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rir\OneDrive\Desktop\temp\"/>
    </mc:Choice>
  </mc:AlternateContent>
  <xr:revisionPtr revIDLastSave="0" documentId="8_{D0B7C92E-2478-4450-94EE-FDCFA20B6C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1" sheetId="1" r:id="rId1"/>
    <sheet name="dat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DGia+OrG/6QOxUn87+YwjzsjZW9Yky6IALsBr1Ddsk="/>
    </ext>
  </extLst>
</workbook>
</file>

<file path=xl/calcChain.xml><?xml version="1.0" encoding="utf-8"?>
<calcChain xmlns="http://schemas.openxmlformats.org/spreadsheetml/2006/main">
  <c r="M7" i="2" l="1"/>
  <c r="J7" i="2"/>
  <c r="G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2" i="2"/>
  <c r="G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</calcChain>
</file>

<file path=xl/sharedStrings.xml><?xml version="1.0" encoding="utf-8"?>
<sst xmlns="http://schemas.openxmlformats.org/spreadsheetml/2006/main" count="37930" uniqueCount="6882">
  <si>
    <t>Order ID</t>
  </si>
  <si>
    <t>Product ID</t>
  </si>
  <si>
    <t>Qty</t>
  </si>
  <si>
    <t>CA-2014-100090</t>
  </si>
  <si>
    <t>FUR-TA-10003715</t>
  </si>
  <si>
    <t>OFF-BI-10001597</t>
  </si>
  <si>
    <t>CA-2014-100293</t>
  </si>
  <si>
    <t>OFF-PA-10000176</t>
  </si>
  <si>
    <t>CA-2014-100328</t>
  </si>
  <si>
    <t>OFF-BI-10000343</t>
  </si>
  <si>
    <t>CA-2014-100363</t>
  </si>
  <si>
    <t>OFF-FA-10000611</t>
  </si>
  <si>
    <t>OFF-PA-10004733</t>
  </si>
  <si>
    <t>CA-2014-100391</t>
  </si>
  <si>
    <t>OFF-PA-10001471</t>
  </si>
  <si>
    <t>CA-2014-100678</t>
  </si>
  <si>
    <t>FUR-CH-10002602</t>
  </si>
  <si>
    <t>OFF-AR-10001868</t>
  </si>
  <si>
    <t>OFF-EN-10000056</t>
  </si>
  <si>
    <t>TEC-AC-10000474</t>
  </si>
  <si>
    <t>CA-2014-100706</t>
  </si>
  <si>
    <t>FUR-FU-10002268</t>
  </si>
  <si>
    <t>CA-2014-100762</t>
  </si>
  <si>
    <t>OFF-AR-10000380</t>
  </si>
  <si>
    <t>OFF-LA-10003930</t>
  </si>
  <si>
    <t>OFF-PA-10004082</t>
  </si>
  <si>
    <t>CA-2014-100860</t>
  </si>
  <si>
    <t>OFF-LA-10001982</t>
  </si>
  <si>
    <t>CA-2014-100867</t>
  </si>
  <si>
    <t>TEC-PH-10004922</t>
  </si>
  <si>
    <t>CA-2014-100881</t>
  </si>
  <si>
    <t>TEC-PH-10003273</t>
  </si>
  <si>
    <t>CA-2014-100895</t>
  </si>
  <si>
    <t>OFF-AR-10004511</t>
  </si>
  <si>
    <t>OFF-ST-10001490</t>
  </si>
  <si>
    <t>TEC-PH-10001425</t>
  </si>
  <si>
    <t>CA-2014-100916</t>
  </si>
  <si>
    <t>FUR-TA-10004607</t>
  </si>
  <si>
    <t>OFF-AR-10001022</t>
  </si>
  <si>
    <t>OFF-ST-10003479</t>
  </si>
  <si>
    <t>CA-2014-100972</t>
  </si>
  <si>
    <t>OFF-PA-10000357</t>
  </si>
  <si>
    <t>CA-2014-101147</t>
  </si>
  <si>
    <t>OFF-AP-10004249</t>
  </si>
  <si>
    <t>CA-2014-101175</t>
  </si>
  <si>
    <t>OFF-ST-10004950</t>
  </si>
  <si>
    <t>CA-2014-101266</t>
  </si>
  <si>
    <t>OFF-PA-10002986</t>
  </si>
  <si>
    <t>CA-2014-101364</t>
  </si>
  <si>
    <t>OFF-BI-10003984</t>
  </si>
  <si>
    <t>CA-2014-101392</t>
  </si>
  <si>
    <t>OFF-ST-10000532</t>
  </si>
  <si>
    <t>CA-2014-101462</t>
  </si>
  <si>
    <t>FUR-FU-10000409</t>
  </si>
  <si>
    <t>CA-2014-101476</t>
  </si>
  <si>
    <t>TEC-MA-10000029</t>
  </si>
  <si>
    <t>CA-2014-101560</t>
  </si>
  <si>
    <t>FUR-FU-10003773</t>
  </si>
  <si>
    <t>OFF-AR-10004757</t>
  </si>
  <si>
    <t>OFF-BI-10000309</t>
  </si>
  <si>
    <t>OFF-PA-10001363</t>
  </si>
  <si>
    <t>CA-2014-101602</t>
  </si>
  <si>
    <t>FUR-CH-10004675</t>
  </si>
  <si>
    <t>TEC-PH-10000169</t>
  </si>
  <si>
    <t>CA-2014-101770</t>
  </si>
  <si>
    <t>OFF-BI-10001097</t>
  </si>
  <si>
    <t>CA-2014-101833</t>
  </si>
  <si>
    <t>OFF-PA-10003591</t>
  </si>
  <si>
    <t>CA-2014-101931</t>
  </si>
  <si>
    <t>FUR-BO-10001337</t>
  </si>
  <si>
    <t>OFF-BI-10004140</t>
  </si>
  <si>
    <t>OFF-ST-10003442</t>
  </si>
  <si>
    <t>OFF-SU-10000646</t>
  </si>
  <si>
    <t>OFF-SU-10002301</t>
  </si>
  <si>
    <t>CA-2014-102008</t>
  </si>
  <si>
    <t>OFF-PA-10004092</t>
  </si>
  <si>
    <t>CA-2014-102085</t>
  </si>
  <si>
    <t>OFF-LA-10002475</t>
  </si>
  <si>
    <t>CA-2014-102274</t>
  </si>
  <si>
    <t>OFF-AR-10002833</t>
  </si>
  <si>
    <t>OFF-PA-10004359</t>
  </si>
  <si>
    <t>OFF-ST-10001511</t>
  </si>
  <si>
    <t>TEC-PH-10002923</t>
  </si>
  <si>
    <t>CA-2014-102295</t>
  </si>
  <si>
    <t>FUR-CH-10001714</t>
  </si>
  <si>
    <t>CA-2014-102330</t>
  </si>
  <si>
    <t>OFF-LA-10003923</t>
  </si>
  <si>
    <t>TEC-PH-10001051</t>
  </si>
  <si>
    <t>CA-2014-102645</t>
  </si>
  <si>
    <t>OFF-PA-10001804</t>
  </si>
  <si>
    <t>CA-2014-102652</t>
  </si>
  <si>
    <t>FUR-FU-10000747</t>
  </si>
  <si>
    <t>OFF-PA-10001977</t>
  </si>
  <si>
    <t>OFF-PA-10003309</t>
  </si>
  <si>
    <t>CA-2014-102673</t>
  </si>
  <si>
    <t>OFF-AR-10000634</t>
  </si>
  <si>
    <t>OFF-FA-10003021</t>
  </si>
  <si>
    <t>OFF-LA-10001771</t>
  </si>
  <si>
    <t>TEC-PH-10004434</t>
  </si>
  <si>
    <t>CA-2014-102869</t>
  </si>
  <si>
    <t>FUR-FU-10002456</t>
  </si>
  <si>
    <t>TEC-AC-10002134</t>
  </si>
  <si>
    <t>TEC-PH-10002549</t>
  </si>
  <si>
    <t>CA-2014-102988</t>
  </si>
  <si>
    <t>OFF-AR-10000127</t>
  </si>
  <si>
    <t>OFF-PA-10003349</t>
  </si>
  <si>
    <t>OFF-SU-10002881</t>
  </si>
  <si>
    <t>TEC-PH-10001615</t>
  </si>
  <si>
    <t>CA-2014-103058</t>
  </si>
  <si>
    <t>TEC-AC-10001314</t>
  </si>
  <si>
    <t>CA-2014-103086</t>
  </si>
  <si>
    <t>FUR-FU-10004586</t>
  </si>
  <si>
    <t>CA-2014-103100</t>
  </si>
  <si>
    <t>OFF-BI-10004600</t>
  </si>
  <si>
    <t>OFF-LA-10003720</t>
  </si>
  <si>
    <t>CA-2014-103191</t>
  </si>
  <si>
    <t>OFF-ST-10002574</t>
  </si>
  <si>
    <t>CA-2014-103219</t>
  </si>
  <si>
    <t>FUR-FU-10004091</t>
  </si>
  <si>
    <t>CA-2014-103310</t>
  </si>
  <si>
    <t>FUR-CH-10002320</t>
  </si>
  <si>
    <t>OFF-PA-10004353</t>
  </si>
  <si>
    <t>OFF-SU-10004737</t>
  </si>
  <si>
    <t>CA-2014-103317</t>
  </si>
  <si>
    <t>FUR-FU-10001591</t>
  </si>
  <si>
    <t>FUR-FU-10003192</t>
  </si>
  <si>
    <t>OFF-BI-10001787</t>
  </si>
  <si>
    <t>CA-2014-103331</t>
  </si>
  <si>
    <t>FUR-FU-10001731</t>
  </si>
  <si>
    <t>OFF-PA-10002659</t>
  </si>
  <si>
    <t>CA-2014-103366</t>
  </si>
  <si>
    <t>TEC-AC-10003628</t>
  </si>
  <si>
    <t>CA-2014-103373</t>
  </si>
  <si>
    <t>TEC-PH-10002885</t>
  </si>
  <si>
    <t>CA-2014-103401</t>
  </si>
  <si>
    <t>CA-2014-103429</t>
  </si>
  <si>
    <t>OFF-AP-10001005</t>
  </si>
  <si>
    <t>OFF-BI-10004233</t>
  </si>
  <si>
    <t>OFF-PA-10001712</t>
  </si>
  <si>
    <t>TEC-PH-10003505</t>
  </si>
  <si>
    <t>CA-2014-103492</t>
  </si>
  <si>
    <t>TEC-PH-10001128</t>
  </si>
  <si>
    <t>TEC-PH-10004667</t>
  </si>
  <si>
    <t>CA-2014-103527</t>
  </si>
  <si>
    <t>OFF-PA-10001622</t>
  </si>
  <si>
    <t>CA-2014-103590</t>
  </si>
  <si>
    <t>OFF-EN-10004007</t>
  </si>
  <si>
    <t>CA-2014-103660</t>
  </si>
  <si>
    <t>TEC-PH-10000895</t>
  </si>
  <si>
    <t>CA-2014-103702</t>
  </si>
  <si>
    <t>OFF-BI-10002429</t>
  </si>
  <si>
    <t>CA-2014-103744</t>
  </si>
  <si>
    <t>OFF-BI-10000320</t>
  </si>
  <si>
    <t>OFF-LA-10004425</t>
  </si>
  <si>
    <t>CA-2014-103800</t>
  </si>
  <si>
    <t>OFF-PA-10000174</t>
  </si>
  <si>
    <t>CA-2014-103807</t>
  </si>
  <si>
    <t>OFF-PA-10002195</t>
  </si>
  <si>
    <t>TEC-AC-10000199</t>
  </si>
  <si>
    <t>CA-2014-103849</t>
  </si>
  <si>
    <t>FUR-FU-10000723</t>
  </si>
  <si>
    <t>TEC-AC-10001465</t>
  </si>
  <si>
    <t>TEC-PH-10002597</t>
  </si>
  <si>
    <t>CA-2014-103940</t>
  </si>
  <si>
    <t>FUR-FU-10004671</t>
  </si>
  <si>
    <t>OFF-BI-10002735</t>
  </si>
  <si>
    <t>OFF-ST-10000943</t>
  </si>
  <si>
    <t>OFF-ST-10004963</t>
  </si>
  <si>
    <t>CA-2014-103989</t>
  </si>
  <si>
    <t>FUR-FU-10002508</t>
  </si>
  <si>
    <t>FUR-FU-10003981</t>
  </si>
  <si>
    <t>OFF-BI-10001196</t>
  </si>
  <si>
    <t>OFF-LA-10000443</t>
  </si>
  <si>
    <t>OFF-ST-10000918</t>
  </si>
  <si>
    <t>TEC-AC-10002647</t>
  </si>
  <si>
    <t>CA-2014-104178</t>
  </si>
  <si>
    <t>FUR-FU-10000771</t>
  </si>
  <si>
    <t>OFF-PA-10004983</t>
  </si>
  <si>
    <t>OFF-ST-10004258</t>
  </si>
  <si>
    <t>TEC-AC-10002399</t>
  </si>
  <si>
    <t>CA-2014-104269</t>
  </si>
  <si>
    <t>FUR-CH-10004063</t>
  </si>
  <si>
    <t>CA-2014-104283</t>
  </si>
  <si>
    <t>FUR-TA-10001039</t>
  </si>
  <si>
    <t>OFF-ST-10004337</t>
  </si>
  <si>
    <t>TEC-AC-10000109</t>
  </si>
  <si>
    <t>CA-2014-104402</t>
  </si>
  <si>
    <t>TEC-MA-10000423</t>
  </si>
  <si>
    <t>CA-2014-104472</t>
  </si>
  <si>
    <t>FUR-FU-10000246</t>
  </si>
  <si>
    <t>OFF-BI-10001658</t>
  </si>
  <si>
    <t>CA-2014-104563</t>
  </si>
  <si>
    <t>FUR-CH-10002780</t>
  </si>
  <si>
    <t>FUR-CH-10004495</t>
  </si>
  <si>
    <t>OFF-AR-10000390</t>
  </si>
  <si>
    <t>OFF-ST-10000934</t>
  </si>
  <si>
    <t>CA-2014-104738</t>
  </si>
  <si>
    <t>OFF-BI-10002160</t>
  </si>
  <si>
    <t>OFF-EN-10004955</t>
  </si>
  <si>
    <t>TEC-PH-10000576</t>
  </si>
  <si>
    <t>TEC-PH-10002468</t>
  </si>
  <si>
    <t>CA-2014-104773</t>
  </si>
  <si>
    <t>OFF-ST-10000777</t>
  </si>
  <si>
    <t>CA-2014-104780</t>
  </si>
  <si>
    <t>OFF-AR-10003514</t>
  </si>
  <si>
    <t>CA-2014-104808</t>
  </si>
  <si>
    <t>OFF-BI-10003676</t>
  </si>
  <si>
    <t>CA-2014-104976</t>
  </si>
  <si>
    <t>OFF-PA-10003845</t>
  </si>
  <si>
    <t>CA-2014-105165</t>
  </si>
  <si>
    <t>OFF-AR-10003179</t>
  </si>
  <si>
    <t>OFF-BI-10000050</t>
  </si>
  <si>
    <t>TEC-AC-10002718</t>
  </si>
  <si>
    <t>TEC-PH-10000675</t>
  </si>
  <si>
    <t>CA-2014-105172</t>
  </si>
  <si>
    <t>OFF-LA-10001641</t>
  </si>
  <si>
    <t>CA-2014-105249</t>
  </si>
  <si>
    <t>FUR-BO-10000330</t>
  </si>
  <si>
    <t>OFF-LA-10002043</t>
  </si>
  <si>
    <t>OFF-SU-10001225</t>
  </si>
  <si>
    <t>CA-2014-105270</t>
  </si>
  <si>
    <t>FUR-CH-10000988</t>
  </si>
  <si>
    <t>OFF-AR-10003156</t>
  </si>
  <si>
    <t>CA-2014-105340</t>
  </si>
  <si>
    <t>OFF-BI-10001765</t>
  </si>
  <si>
    <t>CA-2014-105417</t>
  </si>
  <si>
    <t>FUR-FU-10004864</t>
  </si>
  <si>
    <t>OFF-BI-10003708</t>
  </si>
  <si>
    <t>CA-2014-105872</t>
  </si>
  <si>
    <t>OFF-BI-10003684</t>
  </si>
  <si>
    <t>CA-2014-105893</t>
  </si>
  <si>
    <t>OFF-ST-10004186</t>
  </si>
  <si>
    <t>CA-2014-105984</t>
  </si>
  <si>
    <t>FUR-CH-10000847</t>
  </si>
  <si>
    <t>TEC-PH-10000560</t>
  </si>
  <si>
    <t>CA-2014-106054</t>
  </si>
  <si>
    <t>OFF-AR-10002399</t>
  </si>
  <si>
    <t>CA-2014-106229</t>
  </si>
  <si>
    <t>FUR-TA-10002041</t>
  </si>
  <si>
    <t>CA-2014-106264</t>
  </si>
  <si>
    <t>FUR-FU-10001852</t>
  </si>
  <si>
    <t>OFF-SU-10002189</t>
  </si>
  <si>
    <t>CA-2014-106376</t>
  </si>
  <si>
    <t>OFF-AR-10002671</t>
  </si>
  <si>
    <t>TEC-PH-10002726</t>
  </si>
  <si>
    <t>CA-2014-106439</t>
  </si>
  <si>
    <t>FUR-CH-10003833</t>
  </si>
  <si>
    <t>OFF-BI-10002571</t>
  </si>
  <si>
    <t>OFF-BI-10004209</t>
  </si>
  <si>
    <t>OFF-FA-10002975</t>
  </si>
  <si>
    <t>OFF-PA-10000477</t>
  </si>
  <si>
    <t>OFF-ST-10001963</t>
  </si>
  <si>
    <t>OFF-ST-10003996</t>
  </si>
  <si>
    <t>CA-2014-106572</t>
  </si>
  <si>
    <t>OFF-ST-10000585</t>
  </si>
  <si>
    <t>CA-2014-106719</t>
  </si>
  <si>
    <t>OFF-BI-10002799</t>
  </si>
  <si>
    <t>CA-2014-106726</t>
  </si>
  <si>
    <t>OFF-ST-10001496</t>
  </si>
  <si>
    <t>CA-2014-106803</t>
  </si>
  <si>
    <t>OFF-ST-10002444</t>
  </si>
  <si>
    <t>TEC-AC-10001267</t>
  </si>
  <si>
    <t>CA-2014-106810</t>
  </si>
  <si>
    <t>FUR-FU-10004306</t>
  </si>
  <si>
    <t>CA-2014-106971</t>
  </si>
  <si>
    <t>TEC-AC-10000844</t>
  </si>
  <si>
    <t>CA-2014-107139</t>
  </si>
  <si>
    <t>OFF-BI-10001670</t>
  </si>
  <si>
    <t>CA-2014-107153</t>
  </si>
  <si>
    <t>OFF-ST-10001321</t>
  </si>
  <si>
    <t>CA-2014-107181</t>
  </si>
  <si>
    <t>OFF-BI-10004230</t>
  </si>
  <si>
    <t>OFF-PA-10000350</t>
  </si>
  <si>
    <t>CA-2014-107398</t>
  </si>
  <si>
    <t>OFF-BI-10001982</t>
  </si>
  <si>
    <t>OFF-BI-10002103</t>
  </si>
  <si>
    <t>OFF-BI-10004141</t>
  </si>
  <si>
    <t>CA-2014-107454</t>
  </si>
  <si>
    <t>FUR-FU-10004018</t>
  </si>
  <si>
    <t>OFF-LA-10001569</t>
  </si>
  <si>
    <t>CA-2014-107524</t>
  </si>
  <si>
    <t>OFF-EN-10001990</t>
  </si>
  <si>
    <t>OFF-PA-10000587</t>
  </si>
  <si>
    <t>CA-2014-107573</t>
  </si>
  <si>
    <t>OFF-EN-10001099</t>
  </si>
  <si>
    <t>CA-2014-107594</t>
  </si>
  <si>
    <t>OFF-AR-10000716</t>
  </si>
  <si>
    <t>CA-2014-107706</t>
  </si>
  <si>
    <t>OFF-PA-10000466</t>
  </si>
  <si>
    <t>CA-2014-107755</t>
  </si>
  <si>
    <t>TEC-AC-10000710</t>
  </si>
  <si>
    <t>CA-2014-107769</t>
  </si>
  <si>
    <t>TEC-PH-10001336</t>
  </si>
  <si>
    <t>CA-2014-107811</t>
  </si>
  <si>
    <t>FUR-CH-10001394</t>
  </si>
  <si>
    <t>OFF-ST-10000798</t>
  </si>
  <si>
    <t>CA-2014-107818</t>
  </si>
  <si>
    <t>FUR-CH-10000454</t>
  </si>
  <si>
    <t>OFF-AR-10003045</t>
  </si>
  <si>
    <t>OFF-ST-10000736</t>
  </si>
  <si>
    <t>CA-2014-107916</t>
  </si>
  <si>
    <t>OFF-BI-10001116</t>
  </si>
  <si>
    <t>CA-2014-108147</t>
  </si>
  <si>
    <t>OFF-BI-10003876</t>
  </si>
  <si>
    <t>OFF-ST-10003470</t>
  </si>
  <si>
    <t>CA-2014-108182</t>
  </si>
  <si>
    <t>CA-2014-108189</t>
  </si>
  <si>
    <t>OFF-EN-10004846</t>
  </si>
  <si>
    <t>OFF-FA-10000735</t>
  </si>
  <si>
    <t>OFF-PA-10001838</t>
  </si>
  <si>
    <t>OFF-SU-10003567</t>
  </si>
  <si>
    <t>TEC-AC-10003038</t>
  </si>
  <si>
    <t>TEC-PH-10001557</t>
  </si>
  <si>
    <t>TEC-PH-10001760</t>
  </si>
  <si>
    <t>CA-2014-108273</t>
  </si>
  <si>
    <t>FUR-FU-10002116</t>
  </si>
  <si>
    <t>OFF-PA-10000029</t>
  </si>
  <si>
    <t>CA-2014-108609</t>
  </si>
  <si>
    <t>FUR-TA-10003954</t>
  </si>
  <si>
    <t>CA-2014-108707</t>
  </si>
  <si>
    <t>OFF-PA-10000788</t>
  </si>
  <si>
    <t>CA-2014-108903</t>
  </si>
  <si>
    <t>OFF-AR-10004010</t>
  </si>
  <si>
    <t>OFF-EN-10004030</t>
  </si>
  <si>
    <t>TEC-AC-10003023</t>
  </si>
  <si>
    <t>CA-2014-109043</t>
  </si>
  <si>
    <t>OFF-AP-10004708</t>
  </si>
  <si>
    <t>OFF-PA-10000312</t>
  </si>
  <si>
    <t>CA-2014-109127</t>
  </si>
  <si>
    <t>OFF-LA-10004409</t>
  </si>
  <si>
    <t>CA-2014-109134</t>
  </si>
  <si>
    <t>FUR-FU-10000320</t>
  </si>
  <si>
    <t>CA-2014-109218</t>
  </si>
  <si>
    <t>OFF-AR-10001374</t>
  </si>
  <si>
    <t>CA-2014-109232</t>
  </si>
  <si>
    <t>FUR-CH-10000422</t>
  </si>
  <si>
    <t>CA-2014-109302</t>
  </si>
  <si>
    <t>OFF-BI-10002854</t>
  </si>
  <si>
    <t>CA-2014-109491</t>
  </si>
  <si>
    <t>FUR-FU-10000221</t>
  </si>
  <si>
    <t>TEC-AC-10001284</t>
  </si>
  <si>
    <t>CA-2014-109680</t>
  </si>
  <si>
    <t>OFF-ST-10001932</t>
  </si>
  <si>
    <t>CA-2014-109855</t>
  </si>
  <si>
    <t>OFF-BI-10004716</t>
  </si>
  <si>
    <t>TEC-AC-10002842</t>
  </si>
  <si>
    <t>CA-2014-109890</t>
  </si>
  <si>
    <t>TEC-PH-10004100</t>
  </si>
  <si>
    <t>CA-2014-109897</t>
  </si>
  <si>
    <t>FUR-FU-10002878</t>
  </si>
  <si>
    <t>TEC-PH-10003691</t>
  </si>
  <si>
    <t>CA-2014-109904</t>
  </si>
  <si>
    <t>OFF-AR-10004999</t>
  </si>
  <si>
    <t>CA-2014-109918</t>
  </si>
  <si>
    <t>OFF-BI-10004308</t>
  </si>
  <si>
    <t>OFF-SU-10004290</t>
  </si>
  <si>
    <t>CA-2014-109932</t>
  </si>
  <si>
    <t>OFF-ST-10000036</t>
  </si>
  <si>
    <t>CA-2014-110030</t>
  </si>
  <si>
    <t>FUR-FU-10002759</t>
  </si>
  <si>
    <t>CA-2014-110065</t>
  </si>
  <si>
    <t>OFF-AR-10004165</t>
  </si>
  <si>
    <t>CA-2014-110072</t>
  </si>
  <si>
    <t>FUR-FU-10000521</t>
  </si>
  <si>
    <t>CA-2014-110100</t>
  </si>
  <si>
    <t>TEC-PH-10004531</t>
  </si>
  <si>
    <t>CA-2014-110184</t>
  </si>
  <si>
    <t>OFF-ST-10000107</t>
  </si>
  <si>
    <t>TEC-PH-10000439</t>
  </si>
  <si>
    <t>CA-2014-110219</t>
  </si>
  <si>
    <t>FUR-CH-10001146</t>
  </si>
  <si>
    <t>CA-2014-110352</t>
  </si>
  <si>
    <t>CA-2014-110408</t>
  </si>
  <si>
    <t>FUR-CH-10003774</t>
  </si>
  <si>
    <t>OFF-ST-10001522</t>
  </si>
  <si>
    <t>TEC-PH-10002352</t>
  </si>
  <si>
    <t>CA-2014-110422</t>
  </si>
  <si>
    <t>FUR-FU-10001889</t>
  </si>
  <si>
    <t>CA-2014-110527</t>
  </si>
  <si>
    <t>OFF-LA-10000262</t>
  </si>
  <si>
    <t>CA-2014-110555</t>
  </si>
  <si>
    <t>OFF-ST-10000876</t>
  </si>
  <si>
    <t>TEC-AC-10003399</t>
  </si>
  <si>
    <t>TEC-PH-10000586</t>
  </si>
  <si>
    <t>CA-2014-110639</t>
  </si>
  <si>
    <t>OFF-PA-10003936</t>
  </si>
  <si>
    <t>OFF-PA-10004530</t>
  </si>
  <si>
    <t>CA-2014-110786</t>
  </si>
  <si>
    <t>FUR-FU-10000550</t>
  </si>
  <si>
    <t>FUR-FU-10000672</t>
  </si>
  <si>
    <t>OFF-BI-10003305</t>
  </si>
  <si>
    <t>OFF-LA-10001474</t>
  </si>
  <si>
    <t>OFF-PA-10000528</t>
  </si>
  <si>
    <t>TEC-MA-10003183</t>
  </si>
  <si>
    <t>CA-2014-110849</t>
  </si>
  <si>
    <t>OFF-AR-10000657</t>
  </si>
  <si>
    <t>OFF-AR-10002375</t>
  </si>
  <si>
    <t>OFF-FA-10000134</t>
  </si>
  <si>
    <t>TEC-MA-10002859</t>
  </si>
  <si>
    <t>CA-2014-111003</t>
  </si>
  <si>
    <t>OFF-AR-10002135</t>
  </si>
  <si>
    <t>OFF-BI-10001072</t>
  </si>
  <si>
    <t>CA-2014-111059</t>
  </si>
  <si>
    <t>OFF-BI-10002827</t>
  </si>
  <si>
    <t>OFF-BI-10004593</t>
  </si>
  <si>
    <t>CA-2014-111150</t>
  </si>
  <si>
    <t>TEC-AC-10000290</t>
  </si>
  <si>
    <t>CA-2014-111157</t>
  </si>
  <si>
    <t>OFF-PA-10000327</t>
  </si>
  <si>
    <t>TEC-AC-10004353</t>
  </si>
  <si>
    <t>CA-2014-111192</t>
  </si>
  <si>
    <t>FUR-BO-10002916</t>
  </si>
  <si>
    <t>CA-2014-111360</t>
  </si>
  <si>
    <t>OFF-BI-10003350</t>
  </si>
  <si>
    <t>CA-2014-111451</t>
  </si>
  <si>
    <t>FUR-CH-10001891</t>
  </si>
  <si>
    <t>FUR-FU-10002918</t>
  </si>
  <si>
    <t>OFF-FA-10004854</t>
  </si>
  <si>
    <t>CA-2014-111500</t>
  </si>
  <si>
    <t>OFF-BI-10000829</t>
  </si>
  <si>
    <t>OFF-FA-10002676</t>
  </si>
  <si>
    <t>OFF-PA-10000595</t>
  </si>
  <si>
    <t>CA-2014-111773</t>
  </si>
  <si>
    <t>OFF-BI-10000174</t>
  </si>
  <si>
    <t>CA-2014-111857</t>
  </si>
  <si>
    <t>OFF-PA-10001878</t>
  </si>
  <si>
    <t>CA-2014-111871</t>
  </si>
  <si>
    <t>FUR-BO-10004218</t>
  </si>
  <si>
    <t>CA-2014-111899</t>
  </si>
  <si>
    <t>OFF-AR-10001725</t>
  </si>
  <si>
    <t>OFF-FA-10000840</t>
  </si>
  <si>
    <t>CA-2014-111934</t>
  </si>
  <si>
    <t>OFF-BI-10004364</t>
  </si>
  <si>
    <t>OFF-PA-10000474</t>
  </si>
  <si>
    <t>CA-2014-111962</t>
  </si>
  <si>
    <t>OFF-ST-10000046</t>
  </si>
  <si>
    <t>CA-2014-112158</t>
  </si>
  <si>
    <t>FUR-BO-10003272</t>
  </si>
  <si>
    <t>CA-2014-112291</t>
  </si>
  <si>
    <t>OFF-EN-10001415</t>
  </si>
  <si>
    <t>TEC-AC-10000736</t>
  </si>
  <si>
    <t>CA-2014-112326</t>
  </si>
  <si>
    <t>OFF-BI-10004094</t>
  </si>
  <si>
    <t>OFF-LA-10003223</t>
  </si>
  <si>
    <t>OFF-ST-10002743</t>
  </si>
  <si>
    <t>CA-2014-112403</t>
  </si>
  <si>
    <t>OFF-BI-10003529</t>
  </si>
  <si>
    <t>CA-2014-112718</t>
  </si>
  <si>
    <t>OFF-BI-10000591</t>
  </si>
  <si>
    <t>CA-2014-112837</t>
  </si>
  <si>
    <t>FUR-FU-10004006</t>
  </si>
  <si>
    <t>CA-2014-112851</t>
  </si>
  <si>
    <t>OFF-EN-10001453</t>
  </si>
  <si>
    <t>CA-2014-113047</t>
  </si>
  <si>
    <t>OFF-FA-10002763</t>
  </si>
  <si>
    <t>CA-2014-113257</t>
  </si>
  <si>
    <t>FUR-FU-10001706</t>
  </si>
  <si>
    <t>TEC-AC-10004171</t>
  </si>
  <si>
    <t>CA-2014-113271</t>
  </si>
  <si>
    <t>OFF-BI-10002609</t>
  </si>
  <si>
    <t>CA-2014-113320</t>
  </si>
  <si>
    <t>FUR-FU-10004270</t>
  </si>
  <si>
    <t>OFF-ST-10000617</t>
  </si>
  <si>
    <t>CA-2014-113362</t>
  </si>
  <si>
    <t>OFF-EN-10003845</t>
  </si>
  <si>
    <t>OFF-ST-10001809</t>
  </si>
  <si>
    <t>CA-2014-113579</t>
  </si>
  <si>
    <t>OFF-PA-10001457</t>
  </si>
  <si>
    <t>CA-2014-113768</t>
  </si>
  <si>
    <t>FUR-CH-10002439</t>
  </si>
  <si>
    <t>OFF-PA-10003063</t>
  </si>
  <si>
    <t>CA-2014-113859</t>
  </si>
  <si>
    <t>FUR-CH-10004698</t>
  </si>
  <si>
    <t>CA-2014-113880</t>
  </si>
  <si>
    <t>FUR-CH-10000863</t>
  </si>
  <si>
    <t>OFF-PA-10003036</t>
  </si>
  <si>
    <t>CA-2014-113887</t>
  </si>
  <si>
    <t>OFF-PA-10004071</t>
  </si>
  <si>
    <t>CA-2014-113929</t>
  </si>
  <si>
    <t>OFF-AR-10003772</t>
  </si>
  <si>
    <t>OFF-BI-10002852</t>
  </si>
  <si>
    <t>OFF-EN-10003286</t>
  </si>
  <si>
    <t>CA-2014-113964</t>
  </si>
  <si>
    <t>OFF-BI-10004654</t>
  </si>
  <si>
    <t>CA-2014-114125</t>
  </si>
  <si>
    <t>OFF-BI-10003291</t>
  </si>
  <si>
    <t>OFF-LA-10004559</t>
  </si>
  <si>
    <t>OFF-ST-10001505</t>
  </si>
  <si>
    <t>CA-2014-114181</t>
  </si>
  <si>
    <t>FUR-BO-10004467</t>
  </si>
  <si>
    <t>CA-2014-114195</t>
  </si>
  <si>
    <t>FUR-FU-10002253</t>
  </si>
  <si>
    <t>OFF-BI-10000494</t>
  </si>
  <si>
    <t>CA-2014-114251</t>
  </si>
  <si>
    <t>FUR-FU-10001468</t>
  </si>
  <si>
    <t>OFF-ST-10003716</t>
  </si>
  <si>
    <t>TEC-AC-10001101</t>
  </si>
  <si>
    <t>TEC-AC-10004864</t>
  </si>
  <si>
    <t>CA-2014-114314</t>
  </si>
  <si>
    <t>FUR-FU-10002107</t>
  </si>
  <si>
    <t>CA-2014-114321</t>
  </si>
  <si>
    <t>FUR-CH-10001797</t>
  </si>
  <si>
    <t>OFF-BI-10001359</t>
  </si>
  <si>
    <t>OFF-PA-10000246</t>
  </si>
  <si>
    <t>CA-2014-114335</t>
  </si>
  <si>
    <t>FUR-FU-10000277</t>
  </si>
  <si>
    <t>CA-2014-114433</t>
  </si>
  <si>
    <t>TEC-AC-10002800</t>
  </si>
  <si>
    <t>CA-2014-114510</t>
  </si>
  <si>
    <t>OFF-BI-10001617</t>
  </si>
  <si>
    <t>OFF-BI-10003007</t>
  </si>
  <si>
    <t>TEC-AC-10004877</t>
  </si>
  <si>
    <t>CA-2014-114517</t>
  </si>
  <si>
    <t>FUR-TA-10001676</t>
  </si>
  <si>
    <t>OFF-AP-10002350</t>
  </si>
  <si>
    <t>CA-2014-114643</t>
  </si>
  <si>
    <t>OFF-AR-10003631</t>
  </si>
  <si>
    <t>CA-2014-114790</t>
  </si>
  <si>
    <t>OFF-AP-10002578</t>
  </si>
  <si>
    <t>OFF-PA-10000213</t>
  </si>
  <si>
    <t>TEC-PH-10000984</t>
  </si>
  <si>
    <t>CA-2014-115049</t>
  </si>
  <si>
    <t>TEC-AC-10004859</t>
  </si>
  <si>
    <t>CA-2014-115084</t>
  </si>
  <si>
    <t>FUR-CH-10004626</t>
  </si>
  <si>
    <t>CA-2014-115133</t>
  </si>
  <si>
    <t>OFF-AP-10001634</t>
  </si>
  <si>
    <t>TEC-AC-10002370</t>
  </si>
  <si>
    <t>CA-2014-115161</t>
  </si>
  <si>
    <t>FUR-BO-10003966</t>
  </si>
  <si>
    <t>CA-2014-115259</t>
  </si>
  <si>
    <t>OFF-EN-10002504</t>
  </si>
  <si>
    <t>OFF-EN-10002600</t>
  </si>
  <si>
    <t>CA-2014-115336</t>
  </si>
  <si>
    <t>OFF-BI-10001107</t>
  </si>
  <si>
    <t>CA-2014-115357</t>
  </si>
  <si>
    <t>TEC-AC-10000023</t>
  </si>
  <si>
    <t>CA-2014-115791</t>
  </si>
  <si>
    <t>FUR-FU-10001095</t>
  </si>
  <si>
    <t>OFF-BI-10001575</t>
  </si>
  <si>
    <t>OFF-LA-10001074</t>
  </si>
  <si>
    <t>TEC-PH-10004614</t>
  </si>
  <si>
    <t>CA-2014-115812</t>
  </si>
  <si>
    <t>FUR-FU-10001487</t>
  </si>
  <si>
    <t>FUR-TA-10001539</t>
  </si>
  <si>
    <t>OFF-AP-10002892</t>
  </si>
  <si>
    <t>OFF-BI-10003910</t>
  </si>
  <si>
    <t>TEC-PH-10002033</t>
  </si>
  <si>
    <t>TEC-PH-10002275</t>
  </si>
  <si>
    <t>CA-2014-115889</t>
  </si>
  <si>
    <t>OFF-ST-10003208</t>
  </si>
  <si>
    <t>CA-2014-115980</t>
  </si>
  <si>
    <t>OFF-FA-10000304</t>
  </si>
  <si>
    <t>TEC-AC-10003709</t>
  </si>
  <si>
    <t>CA-2014-116190</t>
  </si>
  <si>
    <t>FUR-CH-10000553</t>
  </si>
  <si>
    <t>FUR-FU-10000719</t>
  </si>
  <si>
    <t>OFF-LA-10002762</t>
  </si>
  <si>
    <t>CA-2014-116239</t>
  </si>
  <si>
    <t>OFF-ST-10001370</t>
  </si>
  <si>
    <t>CA-2014-116246</t>
  </si>
  <si>
    <t>FUR-CH-10002024</t>
  </si>
  <si>
    <t>CA-2014-116407</t>
  </si>
  <si>
    <t>OFF-AP-10002118</t>
  </si>
  <si>
    <t>OFF-AR-10001315</t>
  </si>
  <si>
    <t>CA-2014-116568</t>
  </si>
  <si>
    <t>CA-2014-116666</t>
  </si>
  <si>
    <t>TEC-CO-10001449</t>
  </si>
  <si>
    <t>CA-2014-116673</t>
  </si>
  <si>
    <t>FUR-FU-10003829</t>
  </si>
  <si>
    <t>CA-2014-116757</t>
  </si>
  <si>
    <t>OFF-FA-10002815</t>
  </si>
  <si>
    <t>OFF-PA-10002005</t>
  </si>
  <si>
    <t>CA-2014-116785</t>
  </si>
  <si>
    <t>OFF-AR-10003504</t>
  </si>
  <si>
    <t>OFF-LA-10000305</t>
  </si>
  <si>
    <t>CA-2014-116834</t>
  </si>
  <si>
    <t>FUR-FU-10001196</t>
  </si>
  <si>
    <t>TEC-AC-10002942</t>
  </si>
  <si>
    <t>CA-2014-116904</t>
  </si>
  <si>
    <t>OFF-BI-10001120</t>
  </si>
  <si>
    <t>OFF-PA-10004888</t>
  </si>
  <si>
    <t>CA-2014-116932</t>
  </si>
  <si>
    <t>FUR-CH-10001215</t>
  </si>
  <si>
    <t>FUR-TA-10004175</t>
  </si>
  <si>
    <t>OFF-AR-10002067</t>
  </si>
  <si>
    <t>CA-2014-117016</t>
  </si>
  <si>
    <t>CA-2014-117317</t>
  </si>
  <si>
    <t>OFF-PA-10004519</t>
  </si>
  <si>
    <t>CA-2014-117345</t>
  </si>
  <si>
    <t>FUR-FU-10000629</t>
  </si>
  <si>
    <t>OFF-LA-10000240</t>
  </si>
  <si>
    <t>OFF-PA-10002377</t>
  </si>
  <si>
    <t>CA-2014-117429</t>
  </si>
  <si>
    <t>FUR-FU-10000222</t>
  </si>
  <si>
    <t>CA-2014-117464</t>
  </si>
  <si>
    <t>FUR-CH-10000155</t>
  </si>
  <si>
    <t>FUR-TA-10004767</t>
  </si>
  <si>
    <t>OFF-AR-10003190</t>
  </si>
  <si>
    <t>OFF-ST-10003058</t>
  </si>
  <si>
    <t>CA-2014-117639</t>
  </si>
  <si>
    <t>OFF-BI-10003925</t>
  </si>
  <si>
    <t>TEC-PH-10001530</t>
  </si>
  <si>
    <t>CA-2014-117709</t>
  </si>
  <si>
    <t>OFF-BI-10001294</t>
  </si>
  <si>
    <t>CA-2014-117765</t>
  </si>
  <si>
    <t>OFF-BI-10000474</t>
  </si>
  <si>
    <t>OFF-ST-10003327</t>
  </si>
  <si>
    <t>CA-2014-118192</t>
  </si>
  <si>
    <t>OFF-BI-10003476</t>
  </si>
  <si>
    <t>OFF-PA-10002947</t>
  </si>
  <si>
    <t>CA-2014-118276</t>
  </si>
  <si>
    <t>FUR-FU-10002111</t>
  </si>
  <si>
    <t>CA-2014-118304</t>
  </si>
  <si>
    <t>TEC-PH-10000376</t>
  </si>
  <si>
    <t>CA-2014-118339</t>
  </si>
  <si>
    <t>OFF-AP-10001154</t>
  </si>
  <si>
    <t>OFF-AR-10003829</t>
  </si>
  <si>
    <t>OFF-BI-10000136</t>
  </si>
  <si>
    <t>OFF-BI-10001758</t>
  </si>
  <si>
    <t>CA-2014-118962</t>
  </si>
  <si>
    <t>FUR-CH-10003817</t>
  </si>
  <si>
    <t>OFF-PA-10000659</t>
  </si>
  <si>
    <t>OFF-PA-10001144</t>
  </si>
  <si>
    <t>CA-2014-118976</t>
  </si>
  <si>
    <t>OFF-AR-10004752</t>
  </si>
  <si>
    <t>OFF-BI-10001628</t>
  </si>
  <si>
    <t>OFF-LA-10000452</t>
  </si>
  <si>
    <t>OFF-ST-10000877</t>
  </si>
  <si>
    <t>CA-2014-119032</t>
  </si>
  <si>
    <t>CA-2014-119144</t>
  </si>
  <si>
    <t>FUR-BO-10004015</t>
  </si>
  <si>
    <t>OFF-ST-10000991</t>
  </si>
  <si>
    <t>TEC-PH-10004188</t>
  </si>
  <si>
    <t>CA-2014-119151</t>
  </si>
  <si>
    <t>FUR-BO-10003159</t>
  </si>
  <si>
    <t>CA-2014-119172</t>
  </si>
  <si>
    <t>OFF-BI-10002026</t>
  </si>
  <si>
    <t>CA-2014-119375</t>
  </si>
  <si>
    <t>FUR-FU-10002379</t>
  </si>
  <si>
    <t>OFF-AR-10003752</t>
  </si>
  <si>
    <t>OFF-ST-10002011</t>
  </si>
  <si>
    <t>CA-2014-119466</t>
  </si>
  <si>
    <t>FUR-FU-10001546</t>
  </si>
  <si>
    <t>CA-2014-119977</t>
  </si>
  <si>
    <t>OFF-PA-10003823</t>
  </si>
  <si>
    <t>CA-2014-120096</t>
  </si>
  <si>
    <t>OFF-AP-10000692</t>
  </si>
  <si>
    <t>CA-2014-120243</t>
  </si>
  <si>
    <t>CA-2014-120278</t>
  </si>
  <si>
    <t>OFF-AP-10001293</t>
  </si>
  <si>
    <t>OFF-BI-10004970</t>
  </si>
  <si>
    <t>OFF-ST-10002214</t>
  </si>
  <si>
    <t>CA-2014-120411</t>
  </si>
  <si>
    <t>TEC-PH-10002185</t>
  </si>
  <si>
    <t>CA-2014-120432</t>
  </si>
  <si>
    <t>OFF-SU-10004661</t>
  </si>
  <si>
    <t>CA-2014-120474</t>
  </si>
  <si>
    <t>FUR-CH-10001854</t>
  </si>
  <si>
    <t>OFF-AR-10000475</t>
  </si>
  <si>
    <t>CA-2014-120544</t>
  </si>
  <si>
    <t>FUR-FU-10001940</t>
  </si>
  <si>
    <t>OFF-AP-10004336</t>
  </si>
  <si>
    <t>CA-2014-120670</t>
  </si>
  <si>
    <t>CA-2014-120768</t>
  </si>
  <si>
    <t>FUR-CH-10000513</t>
  </si>
  <si>
    <t>OFF-BI-10001191</t>
  </si>
  <si>
    <t>OFF-SU-10004115</t>
  </si>
  <si>
    <t>CA-2014-120775</t>
  </si>
  <si>
    <t>FUR-FU-10000758</t>
  </si>
  <si>
    <t>OFF-FA-10000254</t>
  </si>
  <si>
    <t>OFF-LA-10002271</t>
  </si>
  <si>
    <t>CA-2014-120838</t>
  </si>
  <si>
    <t>TEC-PH-10003484</t>
  </si>
  <si>
    <t>CA-2014-120852</t>
  </si>
  <si>
    <t>OFF-AP-10001563</t>
  </si>
  <si>
    <t>TEC-AC-10004510</t>
  </si>
  <si>
    <t>CA-2014-120887</t>
  </si>
  <si>
    <t>FUR-FU-10001588</t>
  </si>
  <si>
    <t>CA-2014-121006</t>
  </si>
  <si>
    <t>FUR-CH-10004997</t>
  </si>
  <si>
    <t>OFF-AR-10001149</t>
  </si>
  <si>
    <t>OFF-PA-10002479</t>
  </si>
  <si>
    <t>CA-2014-121167</t>
  </si>
  <si>
    <t>CA-2014-121286</t>
  </si>
  <si>
    <t>OFF-FA-10000585</t>
  </si>
  <si>
    <t>CA-2014-121573</t>
  </si>
  <si>
    <t>OFF-BI-10000666</t>
  </si>
  <si>
    <t>OFF-BI-10003712</t>
  </si>
  <si>
    <t>CA-2014-121629</t>
  </si>
  <si>
    <t>TEC-MA-10004679</t>
  </si>
  <si>
    <t>CA-2014-121664</t>
  </si>
  <si>
    <t>CA-2014-121727</t>
  </si>
  <si>
    <t>OFF-AR-10004930</t>
  </si>
  <si>
    <t>CA-2014-121762</t>
  </si>
  <si>
    <t>OFF-SU-10000157</t>
  </si>
  <si>
    <t>CA-2014-121769</t>
  </si>
  <si>
    <t>FUR-TA-10004442</t>
  </si>
  <si>
    <t>CA-2014-122070</t>
  </si>
  <si>
    <t>OFF-EN-10004773</t>
  </si>
  <si>
    <t>CA-2014-122336</t>
  </si>
  <si>
    <t>OFF-AR-10000122</t>
  </si>
  <si>
    <t>OFF-BI-10003656</t>
  </si>
  <si>
    <t>OFF-FA-10002780</t>
  </si>
  <si>
    <t>TEC-PH-10000702</t>
  </si>
  <si>
    <t>CA-2014-122567</t>
  </si>
  <si>
    <t>OFF-AP-10001303</t>
  </si>
  <si>
    <t>CA-2014-122588</t>
  </si>
  <si>
    <t>CA-2014-122609</t>
  </si>
  <si>
    <t>FUR-FU-10004587</t>
  </si>
  <si>
    <t>TEC-AC-10002567</t>
  </si>
  <si>
    <t>CA-2014-122679</t>
  </si>
  <si>
    <t>CA-2014-122749</t>
  </si>
  <si>
    <t>TEC-PH-10003811</t>
  </si>
  <si>
    <t>CA-2014-122882</t>
  </si>
  <si>
    <t>OFF-ST-10002344</t>
  </si>
  <si>
    <t>TEC-PH-10003589</t>
  </si>
  <si>
    <t>CA-2014-122931</t>
  </si>
  <si>
    <t>FUR-TA-10004147</t>
  </si>
  <si>
    <t>OFF-AR-10003469</t>
  </si>
  <si>
    <t>OFF-LA-10002945</t>
  </si>
  <si>
    <t>OFF-PA-10000533</t>
  </si>
  <si>
    <t>CA-2014-123064</t>
  </si>
  <si>
    <t>OFF-AR-10004582</t>
  </si>
  <si>
    <t>CA-2014-123127</t>
  </si>
  <si>
    <t>OFF-AP-10001962</t>
  </si>
  <si>
    <t>CA-2014-123225</t>
  </si>
  <si>
    <t>OFF-PA-10000552</t>
  </si>
  <si>
    <t>CA-2014-123253</t>
  </si>
  <si>
    <t>OFF-AR-10002804</t>
  </si>
  <si>
    <t>CA-2014-123260</t>
  </si>
  <si>
    <t>TEC-AC-10002323</t>
  </si>
  <si>
    <t>CA-2014-123295</t>
  </si>
  <si>
    <t>FUR-CH-10002372</t>
  </si>
  <si>
    <t>CA-2014-123316</t>
  </si>
  <si>
    <t>OFF-BI-10002764</t>
  </si>
  <si>
    <t>CA-2014-123400</t>
  </si>
  <si>
    <t>TEC-PH-10002890</t>
  </si>
  <si>
    <t>CA-2014-123477</t>
  </si>
  <si>
    <t>CA-2014-123498</t>
  </si>
  <si>
    <t>OFF-BI-10000632</t>
  </si>
  <si>
    <t>CA-2014-123855</t>
  </si>
  <si>
    <t>TEC-PH-10000215</t>
  </si>
  <si>
    <t>CA-2014-123925</t>
  </si>
  <si>
    <t>OFF-AR-10002952</t>
  </si>
  <si>
    <t>CA-2014-124023</t>
  </si>
  <si>
    <t>FUR-FU-10004415</t>
  </si>
  <si>
    <t>CA-2014-124079</t>
  </si>
  <si>
    <t>FUR-FU-10002553</t>
  </si>
  <si>
    <t>CA-2014-124247</t>
  </si>
  <si>
    <t>CA-2014-124394</t>
  </si>
  <si>
    <t>CA-2014-124429</t>
  </si>
  <si>
    <t>FUR-TA-10002607</t>
  </si>
  <si>
    <t>CA-2014-124464</t>
  </si>
  <si>
    <t>OFF-AP-10000576</t>
  </si>
  <si>
    <t>CA-2014-124478</t>
  </si>
  <si>
    <t>FUR-FU-10002088</t>
  </si>
  <si>
    <t>OFF-AP-10002495</t>
  </si>
  <si>
    <t>OFF-EN-10002500</t>
  </si>
  <si>
    <t>TEC-CO-10001571</t>
  </si>
  <si>
    <t>CA-2014-124618</t>
  </si>
  <si>
    <t>TEC-CO-10004202</t>
  </si>
  <si>
    <t>CA-2014-124646</t>
  </si>
  <si>
    <t>OFF-ST-10001097</t>
  </si>
  <si>
    <t>OFF-ST-10001469</t>
  </si>
  <si>
    <t>CA-2014-124688</t>
  </si>
  <si>
    <t>FUR-TA-10003569</t>
  </si>
  <si>
    <t>TEC-PH-10000455</t>
  </si>
  <si>
    <t>CA-2014-124702</t>
  </si>
  <si>
    <t>FUR-FU-10003553</t>
  </si>
  <si>
    <t>FUR-TA-10003008</t>
  </si>
  <si>
    <t>CA-2014-124709</t>
  </si>
  <si>
    <t>CA-2014-124730</t>
  </si>
  <si>
    <t>OFF-BI-10001031</t>
  </si>
  <si>
    <t>OFF-BI-10001078</t>
  </si>
  <si>
    <t>OFF-LA-10001158</t>
  </si>
  <si>
    <t>OFF-LA-10001613</t>
  </si>
  <si>
    <t>TEC-PH-10002170</t>
  </si>
  <si>
    <t>CA-2014-124737</t>
  </si>
  <si>
    <t>FUR-FU-10003274</t>
  </si>
  <si>
    <t>OFF-PA-10000019</t>
  </si>
  <si>
    <t>OFF-PA-10001125</t>
  </si>
  <si>
    <t>OFF-PA-10001837</t>
  </si>
  <si>
    <t>TEC-PH-10000149</t>
  </si>
  <si>
    <t>CA-2014-124807</t>
  </si>
  <si>
    <t>OFF-PA-10001526</t>
  </si>
  <si>
    <t>TEC-AC-10002857</t>
  </si>
  <si>
    <t>CA-2014-124856</t>
  </si>
  <si>
    <t>OFF-LA-10000121</t>
  </si>
  <si>
    <t>OFF-PA-10001289</t>
  </si>
  <si>
    <t>OFF-ST-10002615</t>
  </si>
  <si>
    <t>CA-2014-125136</t>
  </si>
  <si>
    <t>CA-2014-125150</t>
  </si>
  <si>
    <t>CA-2014-125171</t>
  </si>
  <si>
    <t>OFF-LA-10001175</t>
  </si>
  <si>
    <t>CA-2014-125514</t>
  </si>
  <si>
    <t>OFF-AP-10000358</t>
  </si>
  <si>
    <t>OFF-AP-10003281</t>
  </si>
  <si>
    <t>CA-2014-125542</t>
  </si>
  <si>
    <t>CA-2014-125556</t>
  </si>
  <si>
    <t>TEC-PH-10001079</t>
  </si>
  <si>
    <t>CA-2014-125612</t>
  </si>
  <si>
    <t>OFF-PA-10001019</t>
  </si>
  <si>
    <t>OFF-SU-10002537</t>
  </si>
  <si>
    <t>CA-2014-125682</t>
  </si>
  <si>
    <t>OFF-PA-10001752</t>
  </si>
  <si>
    <t>CA-2014-125731</t>
  </si>
  <si>
    <t>FUR-CH-10003973</t>
  </si>
  <si>
    <t>OFF-EN-10003072</t>
  </si>
  <si>
    <t>CA-2014-125759</t>
  </si>
  <si>
    <t>CA-2014-125829</t>
  </si>
  <si>
    <t>OFF-BI-10001036</t>
  </si>
  <si>
    <t>OFF-PA-10000223</t>
  </si>
  <si>
    <t>TEC-MA-10003246</t>
  </si>
  <si>
    <t>CA-2014-125997</t>
  </si>
  <si>
    <t>FUR-BO-10002213</t>
  </si>
  <si>
    <t>OFF-AP-10003842</t>
  </si>
  <si>
    <t>TEC-PH-10003072</t>
  </si>
  <si>
    <t>CA-2014-126193</t>
  </si>
  <si>
    <t>OFF-BI-10001249</t>
  </si>
  <si>
    <t>OFF-BI-10004632</t>
  </si>
  <si>
    <t>OFF-FA-10000936</t>
  </si>
  <si>
    <t>CA-2014-126200</t>
  </si>
  <si>
    <t>OFF-BI-10002133</t>
  </si>
  <si>
    <t>OFF-BI-10002225</t>
  </si>
  <si>
    <t>CA-2014-126333</t>
  </si>
  <si>
    <t>CA-2014-126361</t>
  </si>
  <si>
    <t>OFF-AP-10003590</t>
  </si>
  <si>
    <t>OFF-AR-10000896</t>
  </si>
  <si>
    <t>OFF-PA-10000806</t>
  </si>
  <si>
    <t>OFF-ST-10002289</t>
  </si>
  <si>
    <t>TEC-PH-10002310</t>
  </si>
  <si>
    <t>CA-2014-126403</t>
  </si>
  <si>
    <t>FUR-CH-10003761</t>
  </si>
  <si>
    <t>OFF-PA-10004665</t>
  </si>
  <si>
    <t>OFF-ST-10000078</t>
  </si>
  <si>
    <t>CA-2014-126480</t>
  </si>
  <si>
    <t>OFF-PA-10004610</t>
  </si>
  <si>
    <t>CA-2014-126522</t>
  </si>
  <si>
    <t>OFF-AR-10004042</t>
  </si>
  <si>
    <t>CA-2014-126683</t>
  </si>
  <si>
    <t>FUR-TA-10002958</t>
  </si>
  <si>
    <t>CA-2014-126760</t>
  </si>
  <si>
    <t>TEC-AC-10004814</t>
  </si>
  <si>
    <t>TEC-PH-10001363</t>
  </si>
  <si>
    <t>CA-2014-126802</t>
  </si>
  <si>
    <t>FUR-FU-10000193</t>
  </si>
  <si>
    <t>CA-2014-126907</t>
  </si>
  <si>
    <t>CA-2014-126963</t>
  </si>
  <si>
    <t>OFF-PA-10001952</t>
  </si>
  <si>
    <t>CA-2014-127012</t>
  </si>
  <si>
    <t>FUR-FU-10003691</t>
  </si>
  <si>
    <t>CA-2014-127131</t>
  </si>
  <si>
    <t>OFF-BI-10004656</t>
  </si>
  <si>
    <t>OFF-PA-10001800</t>
  </si>
  <si>
    <t>CA-2014-127159</t>
  </si>
  <si>
    <t>FUR-FU-10000010</t>
  </si>
  <si>
    <t>CA-2014-127166</t>
  </si>
  <si>
    <t>FUR-CH-10003396</t>
  </si>
  <si>
    <t>OFF-BI-10000977</t>
  </si>
  <si>
    <t>OFF-EN-10003134</t>
  </si>
  <si>
    <t>OFF-PA-10001560</t>
  </si>
  <si>
    <t>CA-2014-127187</t>
  </si>
  <si>
    <t>TEC-PH-10000673</t>
  </si>
  <si>
    <t>CA-2014-127299</t>
  </si>
  <si>
    <t>OFF-ST-10003722</t>
  </si>
  <si>
    <t>TEC-MA-10001127</t>
  </si>
  <si>
    <t>CA-2014-127383</t>
  </si>
  <si>
    <t>CA-2014-127446</t>
  </si>
  <si>
    <t>FUR-TA-10000577</t>
  </si>
  <si>
    <t>OFF-LA-10000248</t>
  </si>
  <si>
    <t>OFF-PA-10000955</t>
  </si>
  <si>
    <t>TEC-AC-10001635</t>
  </si>
  <si>
    <t>CA-2014-127488</t>
  </si>
  <si>
    <t>CA-2014-127523</t>
  </si>
  <si>
    <t>CA-2014-127558</t>
  </si>
  <si>
    <t>FUR-FU-10002505</t>
  </si>
  <si>
    <t>TEC-AC-10003832</t>
  </si>
  <si>
    <t>CA-2014-127586</t>
  </si>
  <si>
    <t>CA-2014-127614</t>
  </si>
  <si>
    <t>TEC-AC-10001432</t>
  </si>
  <si>
    <t>CA-2014-127691</t>
  </si>
  <si>
    <t>OFF-AR-10002053</t>
  </si>
  <si>
    <t>CA-2014-127859</t>
  </si>
  <si>
    <t>OFF-PA-10003641</t>
  </si>
  <si>
    <t>CA-2014-127866</t>
  </si>
  <si>
    <t>OFF-AR-10003481</t>
  </si>
  <si>
    <t>OFF-PA-10003971</t>
  </si>
  <si>
    <t>CA-2014-127936</t>
  </si>
  <si>
    <t>OFF-AR-10002445</t>
  </si>
  <si>
    <t>CA-2014-127964</t>
  </si>
  <si>
    <t>OFF-BI-10003429</t>
  </si>
  <si>
    <t>TEC-PH-10004700</t>
  </si>
  <si>
    <t>CA-2014-128055</t>
  </si>
  <si>
    <t>OFF-AP-10002765</t>
  </si>
  <si>
    <t>OFF-BI-10004390</t>
  </si>
  <si>
    <t>CA-2014-128062</t>
  </si>
  <si>
    <t>OFF-PA-10001583</t>
  </si>
  <si>
    <t>CA-2014-128146</t>
  </si>
  <si>
    <t>OFF-AR-10001919</t>
  </si>
  <si>
    <t>TEC-PH-10004539</t>
  </si>
  <si>
    <t>CA-2014-128209</t>
  </si>
  <si>
    <t>CA-2014-128237</t>
  </si>
  <si>
    <t>OFF-AR-10000034</t>
  </si>
  <si>
    <t>OFF-AR-10003338</t>
  </si>
  <si>
    <t>TEC-AC-10002558</t>
  </si>
  <si>
    <t>CA-2014-128524</t>
  </si>
  <si>
    <t>OFF-BI-10003527</t>
  </si>
  <si>
    <t>CA-2014-128538</t>
  </si>
  <si>
    <t>OFF-EN-10001219</t>
  </si>
  <si>
    <t>CA-2014-128622</t>
  </si>
  <si>
    <t>OFF-SU-10001574</t>
  </si>
  <si>
    <t>CA-2014-128839</t>
  </si>
  <si>
    <t>OFF-FA-10002280</t>
  </si>
  <si>
    <t>CA-2014-128846</t>
  </si>
  <si>
    <t>OFF-PA-10000100</t>
  </si>
  <si>
    <t>CA-2014-128888</t>
  </si>
  <si>
    <t>OFF-EN-10003001</t>
  </si>
  <si>
    <t>CA-2014-128986</t>
  </si>
  <si>
    <t>CA-2014-129091</t>
  </si>
  <si>
    <t>OFF-AP-10002734</t>
  </si>
  <si>
    <t>OFF-BI-10001071</t>
  </si>
  <si>
    <t>CA-2014-129147</t>
  </si>
  <si>
    <t>TEC-PH-10001299</t>
  </si>
  <si>
    <t>TEC-PH-10001552</t>
  </si>
  <si>
    <t>CA-2014-129168</t>
  </si>
  <si>
    <t>OFF-PA-10001639</t>
  </si>
  <si>
    <t>CA-2014-129189</t>
  </si>
  <si>
    <t>OFF-EN-10003567</t>
  </si>
  <si>
    <t>CA-2014-129364</t>
  </si>
  <si>
    <t>OFF-BI-10001132</t>
  </si>
  <si>
    <t>OFF-PA-10001569</t>
  </si>
  <si>
    <t>OFF-ST-10001031</t>
  </si>
  <si>
    <t>OFF-SU-10000432</t>
  </si>
  <si>
    <t>TEC-PH-10003095</t>
  </si>
  <si>
    <t>CA-2014-129574</t>
  </si>
  <si>
    <t>OFF-PA-10002893</t>
  </si>
  <si>
    <t>CA-2014-129819</t>
  </si>
  <si>
    <t>CA-2014-129924</t>
  </si>
  <si>
    <t>FUR-TA-10004575</t>
  </si>
  <si>
    <t>OFF-BI-10003314</t>
  </si>
  <si>
    <t>CA-2014-129938</t>
  </si>
  <si>
    <t>CA-2014-130092</t>
  </si>
  <si>
    <t>CA-2014-130155</t>
  </si>
  <si>
    <t>CA-2014-130274</t>
  </si>
  <si>
    <t>OFF-LA-10002195</t>
  </si>
  <si>
    <t>CA-2014-130421</t>
  </si>
  <si>
    <t>OFF-AP-10002534</t>
  </si>
  <si>
    <t>CA-2014-130428</t>
  </si>
  <si>
    <t>FUR-CH-10002965</t>
  </si>
  <si>
    <t>OFF-AR-10004027</t>
  </si>
  <si>
    <t>OFF-BI-10001636</t>
  </si>
  <si>
    <t>CA-2014-130449</t>
  </si>
  <si>
    <t>OFF-LA-10001934</t>
  </si>
  <si>
    <t>CA-2014-130575</t>
  </si>
  <si>
    <t>OFF-BI-10002353</t>
  </si>
  <si>
    <t>CA-2014-130624</t>
  </si>
  <si>
    <t>OFF-PA-10003883</t>
  </si>
  <si>
    <t>TEC-PH-10003963</t>
  </si>
  <si>
    <t>CA-2014-130673</t>
  </si>
  <si>
    <t>FUR-FU-10003489</t>
  </si>
  <si>
    <t>OFF-PA-10000289</t>
  </si>
  <si>
    <t>OFF-ST-10000636</t>
  </si>
  <si>
    <t>TEC-AC-10004227</t>
  </si>
  <si>
    <t>CA-2014-130729</t>
  </si>
  <si>
    <t>OFF-BI-10002706</t>
  </si>
  <si>
    <t>CA-2014-130813</t>
  </si>
  <si>
    <t>CA-2014-130869</t>
  </si>
  <si>
    <t>CA-2014-130918</t>
  </si>
  <si>
    <t>OFF-SU-10003936</t>
  </si>
  <si>
    <t>CA-2014-130960</t>
  </si>
  <si>
    <t>OFF-AR-10003651</t>
  </si>
  <si>
    <t>CA-2014-131002</t>
  </si>
  <si>
    <t>FUR-FU-10004665</t>
  </si>
  <si>
    <t>OFF-BI-10000948</t>
  </si>
  <si>
    <t>CA-2014-131009</t>
  </si>
  <si>
    <t>FUR-CH-10001270</t>
  </si>
  <si>
    <t>OFF-FA-10004395</t>
  </si>
  <si>
    <t>CA-2014-131051</t>
  </si>
  <si>
    <t>FUR-FU-10001861</t>
  </si>
  <si>
    <t>CA-2014-131247</t>
  </si>
  <si>
    <t>CA-2014-131310</t>
  </si>
  <si>
    <t>OFF-BI-10003094</t>
  </si>
  <si>
    <t>CA-2014-131387</t>
  </si>
  <si>
    <t>TEC-PH-10001459</t>
  </si>
  <si>
    <t>CA-2014-131450</t>
  </si>
  <si>
    <t>TEC-CO-10004115</t>
  </si>
  <si>
    <t>TEC-PH-10002398</t>
  </si>
  <si>
    <t>CA-2014-131527</t>
  </si>
  <si>
    <t>TEC-PH-10001644</t>
  </si>
  <si>
    <t>CA-2014-131541</t>
  </si>
  <si>
    <t>FUR-FU-10003623</t>
  </si>
  <si>
    <t>OFF-EN-10000781</t>
  </si>
  <si>
    <t>OFF-FA-10000621</t>
  </si>
  <si>
    <t>CA-2014-131800</t>
  </si>
  <si>
    <t>OFF-AP-10004136</t>
  </si>
  <si>
    <t>CA-2014-131905</t>
  </si>
  <si>
    <t>OFF-LA-10002787</t>
  </si>
  <si>
    <t>TEC-PH-10003645</t>
  </si>
  <si>
    <t>CA-2014-131926</t>
  </si>
  <si>
    <t>OFF-AP-10002945</t>
  </si>
  <si>
    <t>OFF-PA-10000061</t>
  </si>
  <si>
    <t>OFF-ST-10002276</t>
  </si>
  <si>
    <t>CA-2014-131947</t>
  </si>
  <si>
    <t>OFF-AR-10000411</t>
  </si>
  <si>
    <t>OFF-AR-10001473</t>
  </si>
  <si>
    <t>OFF-PA-10003039</t>
  </si>
  <si>
    <t>TEC-AC-10004633</t>
  </si>
  <si>
    <t>TEC-MA-10004086</t>
  </si>
  <si>
    <t>CA-2014-132010</t>
  </si>
  <si>
    <t>OFF-EN-10003160</t>
  </si>
  <si>
    <t>OFF-ST-10003641</t>
  </si>
  <si>
    <t>TEC-AC-10001542</t>
  </si>
  <si>
    <t>CA-2014-132227</t>
  </si>
  <si>
    <t>OFF-BI-10000962</t>
  </si>
  <si>
    <t>CA-2014-132451</t>
  </si>
  <si>
    <t>CA-2014-132500</t>
  </si>
  <si>
    <t>TEC-AC-10001383</t>
  </si>
  <si>
    <t>CA-2014-132542</t>
  </si>
  <si>
    <t>OFF-BI-10004099</t>
  </si>
  <si>
    <t>CA-2014-132612</t>
  </si>
  <si>
    <t>FUR-TA-10004534</t>
  </si>
  <si>
    <t>CA-2014-132787</t>
  </si>
  <si>
    <t>CA-2014-132801</t>
  </si>
  <si>
    <t>OFF-ST-10001228</t>
  </si>
  <si>
    <t>CA-2014-132864</t>
  </si>
  <si>
    <t>CA-2014-132913</t>
  </si>
  <si>
    <t>OFF-AP-10003278</t>
  </si>
  <si>
    <t>CA-2014-132962</t>
  </si>
  <si>
    <t>OFF-PA-10003543</t>
  </si>
  <si>
    <t>CA-2014-132983</t>
  </si>
  <si>
    <t>CA-2014-133158</t>
  </si>
  <si>
    <t>CA-2014-133228</t>
  </si>
  <si>
    <t>FUR-FU-10004020</t>
  </si>
  <si>
    <t>OFF-AR-10001955</t>
  </si>
  <si>
    <t>CA-2014-133270</t>
  </si>
  <si>
    <t>OFF-AR-10002656</t>
  </si>
  <si>
    <t>CA-2014-133305</t>
  </si>
  <si>
    <t>OFF-BI-10002954</t>
  </si>
  <si>
    <t>OFF-PA-10001970</t>
  </si>
  <si>
    <t>CA-2014-133354</t>
  </si>
  <si>
    <t>CA-2014-133389</t>
  </si>
  <si>
    <t>OFF-BI-10001553</t>
  </si>
  <si>
    <t>CA-2014-133424</t>
  </si>
  <si>
    <t>OFF-LA-10002312</t>
  </si>
  <si>
    <t>OFF-ST-10002957</t>
  </si>
  <si>
    <t>CA-2014-133543</t>
  </si>
  <si>
    <t>OFF-AR-10003394</t>
  </si>
  <si>
    <t>CA-2014-133592</t>
  </si>
  <si>
    <t>FUR-BO-10000362</t>
  </si>
  <si>
    <t>FUR-CH-10004218</t>
  </si>
  <si>
    <t>OFF-PA-10002586</t>
  </si>
  <si>
    <t>OFF-PA-10003228</t>
  </si>
  <si>
    <t>TEC-AC-10002049</t>
  </si>
  <si>
    <t>CA-2014-133634</t>
  </si>
  <si>
    <t>TEC-AC-10002550</t>
  </si>
  <si>
    <t>CA-2014-133690</t>
  </si>
  <si>
    <t>FUR-TA-10004289</t>
  </si>
  <si>
    <t>OFF-AP-10003622</t>
  </si>
  <si>
    <t>CA-2014-133704</t>
  </si>
  <si>
    <t>OFF-AP-10001366</t>
  </si>
  <si>
    <t>CA-2014-133753</t>
  </si>
  <si>
    <t>OFF-AR-10001953</t>
  </si>
  <si>
    <t>TEC-AC-10000303</t>
  </si>
  <si>
    <t>CA-2014-133809</t>
  </si>
  <si>
    <t>OFF-BI-10001757</t>
  </si>
  <si>
    <t>TEC-PH-10004875</t>
  </si>
  <si>
    <t>CA-2014-133830</t>
  </si>
  <si>
    <t>CA-2014-133851</t>
  </si>
  <si>
    <t>CA-2014-133963</t>
  </si>
  <si>
    <t>CA-2014-134061</t>
  </si>
  <si>
    <t>FUR-FU-10001424</t>
  </si>
  <si>
    <t>CA-2014-134103</t>
  </si>
  <si>
    <t>OFF-PA-10001204</t>
  </si>
  <si>
    <t>CA-2014-134215</t>
  </si>
  <si>
    <t>OFF-AP-10001271</t>
  </si>
  <si>
    <t>TEC-AC-10002473</t>
  </si>
  <si>
    <t>CA-2014-134278</t>
  </si>
  <si>
    <t>TEC-CO-10001046</t>
  </si>
  <si>
    <t>CA-2014-134313</t>
  </si>
  <si>
    <t>OFF-AR-10001897</t>
  </si>
  <si>
    <t>TEC-PH-10001795</t>
  </si>
  <si>
    <t>CA-2014-134551</t>
  </si>
  <si>
    <t>FUR-CH-10004287</t>
  </si>
  <si>
    <t>OFF-AP-10004868</t>
  </si>
  <si>
    <t>OFF-PA-10002689</t>
  </si>
  <si>
    <t>CA-2014-134572</t>
  </si>
  <si>
    <t>OFF-ST-10004634</t>
  </si>
  <si>
    <t>CA-2014-134621</t>
  </si>
  <si>
    <t>CA-2014-134677</t>
  </si>
  <si>
    <t>TEC-AC-10001445</t>
  </si>
  <si>
    <t>CA-2014-134726</t>
  </si>
  <si>
    <t>TEC-PH-10001750</t>
  </si>
  <si>
    <t>CA-2014-135090</t>
  </si>
  <si>
    <t>OFF-PA-10002245</t>
  </si>
  <si>
    <t>CA-2014-135405</t>
  </si>
  <si>
    <t>OFF-AR-10004078</t>
  </si>
  <si>
    <t>TEC-AC-10001266</t>
  </si>
  <si>
    <t>CA-2014-135608</t>
  </si>
  <si>
    <t>CA-2014-135657</t>
  </si>
  <si>
    <t>FUR-TA-10004086</t>
  </si>
  <si>
    <t>CA-2014-135699</t>
  </si>
  <si>
    <t>OFF-PA-10003001</t>
  </si>
  <si>
    <t>OFF-PA-10004475</t>
  </si>
  <si>
    <t>CA-2014-135755</t>
  </si>
  <si>
    <t>OFF-BI-10003981</t>
  </si>
  <si>
    <t>OFF-BI-10004828</t>
  </si>
  <si>
    <t>CA-2014-135993</t>
  </si>
  <si>
    <t>CA-2014-136280</t>
  </si>
  <si>
    <t>CA-2014-136336</t>
  </si>
  <si>
    <t>CA-2014-136399</t>
  </si>
  <si>
    <t>FUR-FU-10004090</t>
  </si>
  <si>
    <t>TEC-AC-10001142</t>
  </si>
  <si>
    <t>TEC-PH-10004977</t>
  </si>
  <si>
    <t>CA-2014-136567</t>
  </si>
  <si>
    <t>FUR-TA-10000617</t>
  </si>
  <si>
    <t>FUR-TA-10001932</t>
  </si>
  <si>
    <t>OFF-BI-10003982</t>
  </si>
  <si>
    <t>CA-2014-136644</t>
  </si>
  <si>
    <t>FUR-CH-10000225</t>
  </si>
  <si>
    <t>CA-2014-136742</t>
  </si>
  <si>
    <t>OFF-BI-10003719</t>
  </si>
  <si>
    <t>CA-2014-136861</t>
  </si>
  <si>
    <t>FUR-FU-10001967</t>
  </si>
  <si>
    <t>CA-2014-137092</t>
  </si>
  <si>
    <t>OFF-LA-10003510</t>
  </si>
  <si>
    <t>OFF-PA-10002109</t>
  </si>
  <si>
    <t>OFF-ST-10003805</t>
  </si>
  <si>
    <t>TEC-AC-10001606</t>
  </si>
  <si>
    <t>CA-2014-137274</t>
  </si>
  <si>
    <t>FUR-TA-10001889</t>
  </si>
  <si>
    <t>CA-2014-137351</t>
  </si>
  <si>
    <t>CA-2014-137575</t>
  </si>
  <si>
    <t>TEC-AC-10004571</t>
  </si>
  <si>
    <t>CA-2014-137589</t>
  </si>
  <si>
    <t>CA-2014-137911</t>
  </si>
  <si>
    <t>CA-2014-138023</t>
  </si>
  <si>
    <t>OFF-BI-10003638</t>
  </si>
  <si>
    <t>CA-2014-138072</t>
  </si>
  <si>
    <t>CA-2014-138100</t>
  </si>
  <si>
    <t>OFF-PA-10000349</t>
  </si>
  <si>
    <t>CA-2014-138128</t>
  </si>
  <si>
    <t>TEC-CO-10001766</t>
  </si>
  <si>
    <t>CA-2014-138198</t>
  </si>
  <si>
    <t>CA-2014-138240</t>
  </si>
  <si>
    <t>TEC-PH-10002583</t>
  </si>
  <si>
    <t>CA-2014-138296</t>
  </si>
  <si>
    <t>CA-2014-138317</t>
  </si>
  <si>
    <t>OFF-AP-10003860</t>
  </si>
  <si>
    <t>OFF-BI-10000069</t>
  </si>
  <si>
    <t>TEC-MA-10004521</t>
  </si>
  <si>
    <t>CA-2014-138359</t>
  </si>
  <si>
    <t>OFF-BI-10000145</t>
  </si>
  <si>
    <t>CA-2014-138436</t>
  </si>
  <si>
    <t>CA-2014-138450</t>
  </si>
  <si>
    <t>OFF-EN-10001335</t>
  </si>
  <si>
    <t>OFF-PA-10003016</t>
  </si>
  <si>
    <t>CA-2014-138513</t>
  </si>
  <si>
    <t>OFF-PA-10003177</t>
  </si>
  <si>
    <t>CA-2014-138527</t>
  </si>
  <si>
    <t>OFF-AP-10001469</t>
  </si>
  <si>
    <t>CA-2014-138681</t>
  </si>
  <si>
    <t>FUR-CH-10004860</t>
  </si>
  <si>
    <t>FUR-FU-10001876</t>
  </si>
  <si>
    <t>OFF-PA-10003270</t>
  </si>
  <si>
    <t>CA-2014-138709</t>
  </si>
  <si>
    <t>OFF-PA-10004734</t>
  </si>
  <si>
    <t>CA-2014-138737</t>
  </si>
  <si>
    <t>CA-2014-138940</t>
  </si>
  <si>
    <t>TEC-PH-10001835</t>
  </si>
  <si>
    <t>CA-2014-139017</t>
  </si>
  <si>
    <t>TEC-AC-10001013</t>
  </si>
  <si>
    <t>CA-2014-139192</t>
  </si>
  <si>
    <t>TEC-PH-10000486</t>
  </si>
  <si>
    <t>CA-2014-139283</t>
  </si>
  <si>
    <t>OFF-BI-10002049</t>
  </si>
  <si>
    <t>CA-2014-139423</t>
  </si>
  <si>
    <t>CA-2014-139451</t>
  </si>
  <si>
    <t>OFF-ST-10002370</t>
  </si>
  <si>
    <t>CA-2014-139542</t>
  </si>
  <si>
    <t>TEC-AC-10001553</t>
  </si>
  <si>
    <t>CA-2014-139598</t>
  </si>
  <si>
    <t>OFF-AP-10002998</t>
  </si>
  <si>
    <t>OFF-AP-10003287</t>
  </si>
  <si>
    <t>OFF-PA-10004569</t>
  </si>
  <si>
    <t>CA-2014-139633</t>
  </si>
  <si>
    <t>CA-2014-139857</t>
  </si>
  <si>
    <t>OFF-FA-10001843</t>
  </si>
  <si>
    <t>CA-2014-139892</t>
  </si>
  <si>
    <t>OFF-AP-10002518</t>
  </si>
  <si>
    <t>OFF-AR-10004441</t>
  </si>
  <si>
    <t>TEC-MA-10000822</t>
  </si>
  <si>
    <t>TEC-PH-10003931</t>
  </si>
  <si>
    <t>CA-2014-140004</t>
  </si>
  <si>
    <t>OFF-AR-10004685</t>
  </si>
  <si>
    <t>CA-2014-140032</t>
  </si>
  <si>
    <t>OFF-BI-10000822</t>
  </si>
  <si>
    <t>CA-2014-140039</t>
  </si>
  <si>
    <t>OFF-ST-10001034</t>
  </si>
  <si>
    <t>CA-2014-140165</t>
  </si>
  <si>
    <t>CA-2014-140228</t>
  </si>
  <si>
    <t>OFF-ST-10001128</t>
  </si>
  <si>
    <t>CA-2014-140396</t>
  </si>
  <si>
    <t>OFF-BI-10003669</t>
  </si>
  <si>
    <t>OFF-EN-10002592</t>
  </si>
  <si>
    <t>TEC-PH-10004447</t>
  </si>
  <si>
    <t>CA-2014-140403</t>
  </si>
  <si>
    <t>FUR-CH-10002774</t>
  </si>
  <si>
    <t>CA-2014-140473</t>
  </si>
  <si>
    <t>CA-2014-140487</t>
  </si>
  <si>
    <t>FUR-BO-10000711</t>
  </si>
  <si>
    <t>CA-2014-140662</t>
  </si>
  <si>
    <t>OFF-PA-10003395</t>
  </si>
  <si>
    <t>CA-2014-140732</t>
  </si>
  <si>
    <t>OFF-PA-10003625</t>
  </si>
  <si>
    <t>CA-2014-140795</t>
  </si>
  <si>
    <t>CA-2014-140816</t>
  </si>
  <si>
    <t>TEC-AC-10001539</t>
  </si>
  <si>
    <t>CA-2014-140858</t>
  </si>
  <si>
    <t>OFF-PA-10000304</t>
  </si>
  <si>
    <t>CA-2014-140886</t>
  </si>
  <si>
    <t>OFF-AP-10000696</t>
  </si>
  <si>
    <t>CA-2014-141005</t>
  </si>
  <si>
    <t>OFF-BI-10001989</t>
  </si>
  <si>
    <t>CA-2014-141110</t>
  </si>
  <si>
    <t>OFF-BI-10002012</t>
  </si>
  <si>
    <t>CA-2014-141152</t>
  </si>
  <si>
    <t>OFF-BI-10002931</t>
  </si>
  <si>
    <t>CA-2014-141173</t>
  </si>
  <si>
    <t>OFF-ST-10000885</t>
  </si>
  <si>
    <t>CA-2014-141299</t>
  </si>
  <si>
    <t>OFF-EN-10004459</t>
  </si>
  <si>
    <t>CA-2014-141313</t>
  </si>
  <si>
    <t>OFF-AP-10002651</t>
  </si>
  <si>
    <t>OFF-PA-10003302</t>
  </si>
  <si>
    <t>OFF-ST-10000689</t>
  </si>
  <si>
    <t>CA-2014-141355</t>
  </si>
  <si>
    <t>CA-2014-141607</t>
  </si>
  <si>
    <t>FUR-FU-10003975</t>
  </si>
  <si>
    <t>CA-2014-141649</t>
  </si>
  <si>
    <t>OFF-AP-10003217</t>
  </si>
  <si>
    <t>CA-2014-141726</t>
  </si>
  <si>
    <t>FUR-FU-10003577</t>
  </si>
  <si>
    <t>OFF-PA-10000418</t>
  </si>
  <si>
    <t>OFF-PA-10002230</t>
  </si>
  <si>
    <t>CA-2014-141817</t>
  </si>
  <si>
    <t>OFF-AR-10003478</t>
  </si>
  <si>
    <t>CA-2014-141838</t>
  </si>
  <si>
    <t>OFF-AR-10004272</t>
  </si>
  <si>
    <t>CA-2014-141901</t>
  </si>
  <si>
    <t>OFF-PA-10001667</t>
  </si>
  <si>
    <t>CA-2014-142048</t>
  </si>
  <si>
    <t>TEC-AC-10004114</t>
  </si>
  <si>
    <t>CA-2014-142314</t>
  </si>
  <si>
    <t>CA-2014-142510</t>
  </si>
  <si>
    <t>OFF-BI-10002824</t>
  </si>
  <si>
    <t>CA-2014-142587</t>
  </si>
  <si>
    <t>CA-2014-142727</t>
  </si>
  <si>
    <t>FUR-CH-10002304</t>
  </si>
  <si>
    <t>CA-2014-142769</t>
  </si>
  <si>
    <t>FUR-FU-10001918</t>
  </si>
  <si>
    <t>OFF-AP-10004785</t>
  </si>
  <si>
    <t>OFF-PA-10002923</t>
  </si>
  <si>
    <t>TEC-AC-10000865</t>
  </si>
  <si>
    <t>CA-2014-142839</t>
  </si>
  <si>
    <t>CA-2014-142951</t>
  </si>
  <si>
    <t>TEC-AC-10002331</t>
  </si>
  <si>
    <t>CA-2014-142965</t>
  </si>
  <si>
    <t>OFF-ST-10002583</t>
  </si>
  <si>
    <t>CA-2014-142979</t>
  </si>
  <si>
    <t>OFF-AR-10002987</t>
  </si>
  <si>
    <t>CA-2014-143168</t>
  </si>
  <si>
    <t>OFF-BI-10003784</t>
  </si>
  <si>
    <t>OFF-PA-10000167</t>
  </si>
  <si>
    <t>CA-2014-143182</t>
  </si>
  <si>
    <t>CA-2014-143210</t>
  </si>
  <si>
    <t>FUR-FU-10003878</t>
  </si>
  <si>
    <t>CA-2014-143336</t>
  </si>
  <si>
    <t>OFF-AR-10003056</t>
  </si>
  <si>
    <t>OFF-BI-10002215</t>
  </si>
  <si>
    <t>TEC-PH-10001949</t>
  </si>
  <si>
    <t>CA-2014-143371</t>
  </si>
  <si>
    <t>CA-2014-143385</t>
  </si>
  <si>
    <t>CA-2014-143413</t>
  </si>
  <si>
    <t>OFF-PA-10002319</t>
  </si>
  <si>
    <t>CA-2014-143637</t>
  </si>
  <si>
    <t>FUR-FU-10002813</t>
  </si>
  <si>
    <t>CA-2014-143840</t>
  </si>
  <si>
    <t>TEC-PH-10003171</t>
  </si>
  <si>
    <t>CA-2014-143903</t>
  </si>
  <si>
    <t>FUR-FU-10003724</t>
  </si>
  <si>
    <t>OFF-ST-10003306</t>
  </si>
  <si>
    <t>CA-2014-143917</t>
  </si>
  <si>
    <t>FUR-FU-10004351</t>
  </si>
  <si>
    <t>OFF-SU-10000151</t>
  </si>
  <si>
    <t>CA-2014-144029</t>
  </si>
  <si>
    <t>FUR-CH-10003981</t>
  </si>
  <si>
    <t>OFF-ST-10001837</t>
  </si>
  <si>
    <t>CA-2014-144071</t>
  </si>
  <si>
    <t>FUR-FU-10000397</t>
  </si>
  <si>
    <t>CA-2014-144281</t>
  </si>
  <si>
    <t>CA-2014-144414</t>
  </si>
  <si>
    <t>OFF-BI-10004995</t>
  </si>
  <si>
    <t>OFF-FA-10000624</t>
  </si>
  <si>
    <t>CA-2014-144624</t>
  </si>
  <si>
    <t>CA-2014-144666</t>
  </si>
  <si>
    <t>FUR-BO-10001601</t>
  </si>
  <si>
    <t>OFF-PA-10001509</t>
  </si>
  <si>
    <t>OFF-PA-10003465</t>
  </si>
  <si>
    <t>CA-2014-144974</t>
  </si>
  <si>
    <t>OFF-AP-10001492</t>
  </si>
  <si>
    <t>OFF-BI-10003274</t>
  </si>
  <si>
    <t>CA-2014-145212</t>
  </si>
  <si>
    <t>CA-2014-145254</t>
  </si>
  <si>
    <t>OFF-SU-10004664</t>
  </si>
  <si>
    <t>TEC-AC-10002167</t>
  </si>
  <si>
    <t>TEC-PH-10000441</t>
  </si>
  <si>
    <t>CA-2014-145317</t>
  </si>
  <si>
    <t>FUR-FU-10001986</t>
  </si>
  <si>
    <t>OFF-AR-10003183</t>
  </si>
  <si>
    <t>OFF-FA-10003112</t>
  </si>
  <si>
    <t>TEC-MA-10002412</t>
  </si>
  <si>
    <t>TEC-MA-10003626</t>
  </si>
  <si>
    <t>CA-2014-145387</t>
  </si>
  <si>
    <t>FUR-FU-10000023</t>
  </si>
  <si>
    <t>FUR-FU-10002364</t>
  </si>
  <si>
    <t>FUR-TA-10003238</t>
  </si>
  <si>
    <t>OFF-AR-10001683</t>
  </si>
  <si>
    <t>CA-2014-145541</t>
  </si>
  <si>
    <t>CA-2014-145576</t>
  </si>
  <si>
    <t>OFF-AP-10003914</t>
  </si>
  <si>
    <t>CA-2014-145800</t>
  </si>
  <si>
    <t>CA-2014-145926</t>
  </si>
  <si>
    <t>FUR-CH-10004289</t>
  </si>
  <si>
    <t>CA-2014-146283</t>
  </si>
  <si>
    <t>OFF-PA-10000482</t>
  </si>
  <si>
    <t>OFF-PA-10002259</t>
  </si>
  <si>
    <t>CA-2014-146500</t>
  </si>
  <si>
    <t>OFF-BI-10002432</t>
  </si>
  <si>
    <t>OFF-ST-10000563</t>
  </si>
  <si>
    <t>CA-2014-146528</t>
  </si>
  <si>
    <t>OFF-SU-10002522</t>
  </si>
  <si>
    <t>CA-2014-146591</t>
  </si>
  <si>
    <t>FUR-BO-10001972</t>
  </si>
  <si>
    <t>CA-2014-146640</t>
  </si>
  <si>
    <t>OFF-BI-10002867</t>
  </si>
  <si>
    <t>CA-2014-146703</t>
  </si>
  <si>
    <t>OFF-ST-10001713</t>
  </si>
  <si>
    <t>CA-2014-146731</t>
  </si>
  <si>
    <t>OFF-PA-10000141</t>
  </si>
  <si>
    <t>CA-2014-146815</t>
  </si>
  <si>
    <t>CA-2014-146843</t>
  </si>
  <si>
    <t>OFF-SU-10001664</t>
  </si>
  <si>
    <t>CA-2014-146864</t>
  </si>
  <si>
    <t>OFF-ST-10004946</t>
  </si>
  <si>
    <t>CA-2014-146885</t>
  </si>
  <si>
    <t>CA-2014-146969</t>
  </si>
  <si>
    <t>FUR-FU-10004188</t>
  </si>
  <si>
    <t>OFF-FA-10001561</t>
  </si>
  <si>
    <t>OFF-PA-10002105</t>
  </si>
  <si>
    <t>OFF-ST-10004340</t>
  </si>
  <si>
    <t>TEC-MA-10004241</t>
  </si>
  <si>
    <t>CA-2014-146990</t>
  </si>
  <si>
    <t>CA-2014-146997</t>
  </si>
  <si>
    <t>OFF-FA-10003467</t>
  </si>
  <si>
    <t>CA-2014-147235</t>
  </si>
  <si>
    <t>OFF-PA-10004948</t>
  </si>
  <si>
    <t>CA-2014-147298</t>
  </si>
  <si>
    <t>FUR-CH-10004886</t>
  </si>
  <si>
    <t>OFF-BI-10001525</t>
  </si>
  <si>
    <t>CA-2014-147543</t>
  </si>
  <si>
    <t>CA-2014-147900</t>
  </si>
  <si>
    <t>CA-2014-147914</t>
  </si>
  <si>
    <t>OFF-PA-10001685</t>
  </si>
  <si>
    <t>CA-2014-148040</t>
  </si>
  <si>
    <t>FUR-CH-10001482</t>
  </si>
  <si>
    <t>OFF-PA-10002581</t>
  </si>
  <si>
    <t>CA-2014-148285</t>
  </si>
  <si>
    <t>OFF-PA-10001166</t>
  </si>
  <si>
    <t>CA-2014-148369</t>
  </si>
  <si>
    <t>OFF-BI-10004876</t>
  </si>
  <si>
    <t>CA-2014-148383</t>
  </si>
  <si>
    <t>OFF-BI-10003650</t>
  </si>
  <si>
    <t>CA-2014-148425</t>
  </si>
  <si>
    <t>OFF-BI-10000201</t>
  </si>
  <si>
    <t>CA-2014-148488</t>
  </si>
  <si>
    <t>OFF-BI-10000315</t>
  </si>
  <si>
    <t>OFF-PA-10004470</t>
  </si>
  <si>
    <t>CA-2014-148586</t>
  </si>
  <si>
    <t>CA-2014-148614</t>
  </si>
  <si>
    <t>FUR-FU-10003194</t>
  </si>
  <si>
    <t>CA-2014-148761</t>
  </si>
  <si>
    <t>CA-2014-148782</t>
  </si>
  <si>
    <t>CA-2014-148915</t>
  </si>
  <si>
    <t>CA-2014-148950</t>
  </si>
  <si>
    <t>OFF-FA-10003059</t>
  </si>
  <si>
    <t>CA-2014-149020</t>
  </si>
  <si>
    <t>FUR-FU-10000965</t>
  </si>
  <si>
    <t>CA-2014-149055</t>
  </si>
  <si>
    <t>OFF-EN-10003040</t>
  </si>
  <si>
    <t>CA-2014-149104</t>
  </si>
  <si>
    <t>CA-2014-149244</t>
  </si>
  <si>
    <t>CA-2014-149524</t>
  </si>
  <si>
    <t>FUR-BO-10003433</t>
  </si>
  <si>
    <t>CA-2014-149538</t>
  </si>
  <si>
    <t>OFF-PA-10003797</t>
  </si>
  <si>
    <t>TEC-AC-10002926</t>
  </si>
  <si>
    <t>CA-2014-149594</t>
  </si>
  <si>
    <t>CA-2014-149643</t>
  </si>
  <si>
    <t>TEC-PH-10000038</t>
  </si>
  <si>
    <t>CA-2014-149958</t>
  </si>
  <si>
    <t>FUR-FU-10001756</t>
  </si>
  <si>
    <t>OFF-BI-10000773</t>
  </si>
  <si>
    <t>OFF-BI-10001543</t>
  </si>
  <si>
    <t>OFF-PA-10002120</t>
  </si>
  <si>
    <t>CA-2014-150203</t>
  </si>
  <si>
    <t>CA-2014-150245</t>
  </si>
  <si>
    <t>FUR-BO-10002613</t>
  </si>
  <si>
    <t>CA-2014-150301</t>
  </si>
  <si>
    <t>FUR-CH-10002647</t>
  </si>
  <si>
    <t>CA-2014-150329</t>
  </si>
  <si>
    <t>CA-2014-150490</t>
  </si>
  <si>
    <t>OFF-AR-10004602</t>
  </si>
  <si>
    <t>OFF-ST-10000321</t>
  </si>
  <si>
    <t>CA-2014-150518</t>
  </si>
  <si>
    <t>TEC-PH-10002103</t>
  </si>
  <si>
    <t>CA-2014-150581</t>
  </si>
  <si>
    <t>FUR-TA-10003748</t>
  </si>
  <si>
    <t>TEC-AC-10001908</t>
  </si>
  <si>
    <t>CA-2014-150798</t>
  </si>
  <si>
    <t>FUR-CH-10000015</t>
  </si>
  <si>
    <t>OFF-PA-10001972</t>
  </si>
  <si>
    <t>CA-2014-151001</t>
  </si>
  <si>
    <t>OFF-ST-10003455</t>
  </si>
  <si>
    <t>CA-2014-151162</t>
  </si>
  <si>
    <t>OFF-PA-10001033</t>
  </si>
  <si>
    <t>TEC-PH-10001809</t>
  </si>
  <si>
    <t>TEC-PH-10001870</t>
  </si>
  <si>
    <t>CA-2014-151295</t>
  </si>
  <si>
    <t>FUR-TA-10002356</t>
  </si>
  <si>
    <t>OFF-PA-10001947</t>
  </si>
  <si>
    <t>CA-2014-151330</t>
  </si>
  <si>
    <t>FUR-CH-10000749</t>
  </si>
  <si>
    <t>OFF-ST-10000615</t>
  </si>
  <si>
    <t>CA-2014-151379</t>
  </si>
  <si>
    <t>CA-2014-151554</t>
  </si>
  <si>
    <t>OFF-PA-10004609</t>
  </si>
  <si>
    <t>CA-2014-151708</t>
  </si>
  <si>
    <t>FUR-FU-10001602</t>
  </si>
  <si>
    <t>CA-2014-151792</t>
  </si>
  <si>
    <t>CA-2014-151897</t>
  </si>
  <si>
    <t>CA-2014-151946</t>
  </si>
  <si>
    <t>FUR-FU-10002191</t>
  </si>
  <si>
    <t>OFF-AP-10001626</t>
  </si>
  <si>
    <t>CA-2014-151967</t>
  </si>
  <si>
    <t>CA-2014-151995</t>
  </si>
  <si>
    <t>FUR-TA-10002903</t>
  </si>
  <si>
    <t>OFF-AP-10000240</t>
  </si>
  <si>
    <t>CA-2014-152100</t>
  </si>
  <si>
    <t>CA-2014-152233</t>
  </si>
  <si>
    <t>CA-2014-152254</t>
  </si>
  <si>
    <t>CA-2014-152268</t>
  </si>
  <si>
    <t>CA-2014-152296</t>
  </si>
  <si>
    <t>OFF-BI-10004506</t>
  </si>
  <si>
    <t>CA-2014-152345</t>
  </si>
  <si>
    <t>OFF-ST-10003123</t>
  </si>
  <si>
    <t>TEC-PH-10004897</t>
  </si>
  <si>
    <t>CA-2014-152422</t>
  </si>
  <si>
    <t>CA-2014-152443</t>
  </si>
  <si>
    <t>OFF-PA-10003022</t>
  </si>
  <si>
    <t>CA-2014-152562</t>
  </si>
  <si>
    <t>OFF-ST-10000464</t>
  </si>
  <si>
    <t>CA-2014-152618</t>
  </si>
  <si>
    <t>CA-2014-152849</t>
  </si>
  <si>
    <t>CA-2014-153087</t>
  </si>
  <si>
    <t>OFF-PA-10001243</t>
  </si>
  <si>
    <t>TEC-AC-10003198</t>
  </si>
  <si>
    <t>CA-2014-153150</t>
  </si>
  <si>
    <t>OFF-BI-10003355</t>
  </si>
  <si>
    <t>CA-2014-153479</t>
  </si>
  <si>
    <t>OFF-LA-10004689</t>
  </si>
  <si>
    <t>CA-2014-153619</t>
  </si>
  <si>
    <t>CA-2014-153808</t>
  </si>
  <si>
    <t>OFF-BI-10002794</t>
  </si>
  <si>
    <t>CA-2014-153850</t>
  </si>
  <si>
    <t>FUR-FU-10002960</t>
  </si>
  <si>
    <t>TEC-PH-10002584</t>
  </si>
  <si>
    <t>CA-2014-153913</t>
  </si>
  <si>
    <t>OFF-FA-10000490</t>
  </si>
  <si>
    <t>CA-2014-153927</t>
  </si>
  <si>
    <t>OFF-BI-10000138</t>
  </si>
  <si>
    <t>CA-2014-153969</t>
  </si>
  <si>
    <t>OFF-AR-10001615</t>
  </si>
  <si>
    <t>OFF-EN-10001539</t>
  </si>
  <si>
    <t>OFF-EN-10004483</t>
  </si>
  <si>
    <t>OFF-PA-10002246</t>
  </si>
  <si>
    <t>CA-2014-153976</t>
  </si>
  <si>
    <t>FUR-CH-10002880</t>
  </si>
  <si>
    <t>CA-2014-153983</t>
  </si>
  <si>
    <t>OFF-FA-10003495</t>
  </si>
  <si>
    <t>TEC-PH-10004586</t>
  </si>
  <si>
    <t>CA-2014-154095</t>
  </si>
  <si>
    <t>FUR-CH-10004754</t>
  </si>
  <si>
    <t>FUR-FU-10003849</t>
  </si>
  <si>
    <t>OFF-LA-10000634</t>
  </si>
  <si>
    <t>CA-2014-154158</t>
  </si>
  <si>
    <t>OFF-PA-10001295</t>
  </si>
  <si>
    <t>CA-2014-154165</t>
  </si>
  <si>
    <t>CA-2014-154186</t>
  </si>
  <si>
    <t>CA-2014-154592</t>
  </si>
  <si>
    <t>OFF-PA-10000062</t>
  </si>
  <si>
    <t>CA-2014-154599</t>
  </si>
  <si>
    <t>CA-2014-154627</t>
  </si>
  <si>
    <t>CA-2014-154641</t>
  </si>
  <si>
    <t>OFF-ST-10004459</t>
  </si>
  <si>
    <t>CA-2014-154669</t>
  </si>
  <si>
    <t>CA-2014-154781</t>
  </si>
  <si>
    <t>OFF-PA-10001609</t>
  </si>
  <si>
    <t>CA-2014-154837</t>
  </si>
  <si>
    <t>CA-2014-154893</t>
  </si>
  <si>
    <t>FUR-CH-10000595</t>
  </si>
  <si>
    <t>CA-2014-154963</t>
  </si>
  <si>
    <t>TEC-PH-10004093</t>
  </si>
  <si>
    <t>CA-2014-155208</t>
  </si>
  <si>
    <t>CA-2014-155264</t>
  </si>
  <si>
    <t>OFF-BI-10003196</t>
  </si>
  <si>
    <t>OFF-BI-10003727</t>
  </si>
  <si>
    <t>TEC-PH-10001305</t>
  </si>
  <si>
    <t>CA-2014-155271</t>
  </si>
  <si>
    <t>FUR-FU-10001473</t>
  </si>
  <si>
    <t>CA-2014-155390</t>
  </si>
  <si>
    <t>CA-2014-155593</t>
  </si>
  <si>
    <t>CA-2014-155796</t>
  </si>
  <si>
    <t>FUR-BO-10002545</t>
  </si>
  <si>
    <t>CA-2014-155852</t>
  </si>
  <si>
    <t>OFF-AR-10003560</t>
  </si>
  <si>
    <t>CA-2014-155887</t>
  </si>
  <si>
    <t>FUR-TA-10002228</t>
  </si>
  <si>
    <t>CA-2014-156006</t>
  </si>
  <si>
    <t>CA-2014-156160</t>
  </si>
  <si>
    <t>FUR-CH-10004983</t>
  </si>
  <si>
    <t>OFF-AR-10003876</t>
  </si>
  <si>
    <t>CA-2014-156244</t>
  </si>
  <si>
    <t>OFF-AP-10002403</t>
  </si>
  <si>
    <t>OFF-AR-10004344</t>
  </si>
  <si>
    <t>OFF-PA-10000295</t>
  </si>
  <si>
    <t>CA-2014-156314</t>
  </si>
  <si>
    <t>FUR-FU-10003096</t>
  </si>
  <si>
    <t>CA-2014-156342</t>
  </si>
  <si>
    <t>OFF-PA-10001725</t>
  </si>
  <si>
    <t>CA-2014-156349</t>
  </si>
  <si>
    <t>CA-2014-156433</t>
  </si>
  <si>
    <t>OFF-PA-10003724</t>
  </si>
  <si>
    <t>CA-2014-156587</t>
  </si>
  <si>
    <t>FUR-CH-10004477</t>
  </si>
  <si>
    <t>OFF-AR-10001427</t>
  </si>
  <si>
    <t>CA-2014-156594</t>
  </si>
  <si>
    <t>OFF-AR-10004269</t>
  </si>
  <si>
    <t>CA-2014-156790</t>
  </si>
  <si>
    <t>FUR-BO-10000468</t>
  </si>
  <si>
    <t>CA-2014-156993</t>
  </si>
  <si>
    <t>CA-2014-157147</t>
  </si>
  <si>
    <t>FUR-BO-10003034</t>
  </si>
  <si>
    <t>CA-2014-157546</t>
  </si>
  <si>
    <t>OFF-BI-10002498</t>
  </si>
  <si>
    <t>CA-2014-157609</t>
  </si>
  <si>
    <t>TEC-PH-10002415</t>
  </si>
  <si>
    <t>CA-2014-157623</t>
  </si>
  <si>
    <t>OFF-AR-10003723</t>
  </si>
  <si>
    <t>CA-2014-157644</t>
  </si>
  <si>
    <t>OFF-LA-10003148</t>
  </si>
  <si>
    <t>TEC-AC-10003614</t>
  </si>
  <si>
    <t>CA-2014-157721</t>
  </si>
  <si>
    <t>CA-2014-157784</t>
  </si>
  <si>
    <t>TEC-AC-10003911</t>
  </si>
  <si>
    <t>CA-2014-157882</t>
  </si>
  <si>
    <t>FUR-TA-10001866</t>
  </si>
  <si>
    <t>CA-2014-157924</t>
  </si>
  <si>
    <t>FUR-CH-10000229</t>
  </si>
  <si>
    <t>OFF-ST-10002352</t>
  </si>
  <si>
    <t>CA-2014-158029</t>
  </si>
  <si>
    <t>CA-2014-158064</t>
  </si>
  <si>
    <t>OFF-BI-10002976</t>
  </si>
  <si>
    <t>CA-2014-158225</t>
  </si>
  <si>
    <t>OFF-ST-10000675</t>
  </si>
  <si>
    <t>OFF-ST-10002301</t>
  </si>
  <si>
    <t>CA-2014-158274</t>
  </si>
  <si>
    <t>TEC-AC-10002345</t>
  </si>
  <si>
    <t>TEC-PH-10004896</t>
  </si>
  <si>
    <t>CA-2014-158337</t>
  </si>
  <si>
    <t>OFF-PA-10002137</t>
  </si>
  <si>
    <t>CA-2014-158372</t>
  </si>
  <si>
    <t>FUR-FU-10001867</t>
  </si>
  <si>
    <t>OFF-LA-10000407</t>
  </si>
  <si>
    <t>TEC-AC-10004209</t>
  </si>
  <si>
    <t>CA-2014-158442</t>
  </si>
  <si>
    <t>OFF-AR-10003732</t>
  </si>
  <si>
    <t>OFF-PA-10002365</t>
  </si>
  <si>
    <t>CA-2014-158470</t>
  </si>
  <si>
    <t>CA-2014-158540</t>
  </si>
  <si>
    <t>CA-2014-158771</t>
  </si>
  <si>
    <t>OFF-LA-10003121</t>
  </si>
  <si>
    <t>CA-2014-159121</t>
  </si>
  <si>
    <t>TEC-AC-10002006</t>
  </si>
  <si>
    <t>CA-2014-159184</t>
  </si>
  <si>
    <t>OFF-BI-10001890</t>
  </si>
  <si>
    <t>CA-2014-159310</t>
  </si>
  <si>
    <t>FUR-CH-10002758</t>
  </si>
  <si>
    <t>CA-2014-159338</t>
  </si>
  <si>
    <t>CA-2014-159478</t>
  </si>
  <si>
    <t>CA-2014-159520</t>
  </si>
  <si>
    <t>CA-2014-159625</t>
  </si>
  <si>
    <t>OFF-EN-10002621</t>
  </si>
  <si>
    <t>CA-2014-159681</t>
  </si>
  <si>
    <t>CA-2014-159709</t>
  </si>
  <si>
    <t>OFF-EN-10001434</t>
  </si>
  <si>
    <t>TEC-PH-10003988</t>
  </si>
  <si>
    <t>CA-2014-159800</t>
  </si>
  <si>
    <t>OFF-AP-10004859</t>
  </si>
  <si>
    <t>TEC-AC-10003447</t>
  </si>
  <si>
    <t>CA-2014-159814</t>
  </si>
  <si>
    <t>CA-2014-159835</t>
  </si>
  <si>
    <t>CA-2014-160066</t>
  </si>
  <si>
    <t>OFF-LA-10001045</t>
  </si>
  <si>
    <t>CA-2014-160094</t>
  </si>
  <si>
    <t>CA-2014-160157</t>
  </si>
  <si>
    <t>CA-2014-160262</t>
  </si>
  <si>
    <t>FUR-FU-10002685</t>
  </si>
  <si>
    <t>OFF-AR-10002335</t>
  </si>
  <si>
    <t>CA-2014-160276</t>
  </si>
  <si>
    <t>CA-2014-160738</t>
  </si>
  <si>
    <t>CA-2014-160766</t>
  </si>
  <si>
    <t>TEC-MA-10003979</t>
  </si>
  <si>
    <t>TEC-PH-10000526</t>
  </si>
  <si>
    <t>TEC-PH-10001536</t>
  </si>
  <si>
    <t>CA-2014-160773</t>
  </si>
  <si>
    <t>OFF-BI-10000546</t>
  </si>
  <si>
    <t>CA-2014-161032</t>
  </si>
  <si>
    <t>CA-2014-161249</t>
  </si>
  <si>
    <t>OFF-FA-10004838</t>
  </si>
  <si>
    <t>CA-2014-161508</t>
  </si>
  <si>
    <t>FUR-CH-10002126</t>
  </si>
  <si>
    <t>OFF-AR-10003158</t>
  </si>
  <si>
    <t>CA-2014-161634</t>
  </si>
  <si>
    <t>OFF-PA-10002262</t>
  </si>
  <si>
    <t>CA-2014-162089</t>
  </si>
  <si>
    <t>OFF-EN-10002230</t>
  </si>
  <si>
    <t>TEC-PH-10001819</t>
  </si>
  <si>
    <t>CA-2014-162278</t>
  </si>
  <si>
    <t>FUR-FU-10000448</t>
  </si>
  <si>
    <t>CA-2014-162362</t>
  </si>
  <si>
    <t>OFF-BI-10000756</t>
  </si>
  <si>
    <t>CA-2014-162684</t>
  </si>
  <si>
    <t>OFF-FA-10000992</t>
  </si>
  <si>
    <t>CA-2014-162775</t>
  </si>
  <si>
    <t>OFF-BI-10004187</t>
  </si>
  <si>
    <t>OFF-EN-10001532</t>
  </si>
  <si>
    <t>OFF-ST-10000025</t>
  </si>
  <si>
    <t>TEC-AC-10003174</t>
  </si>
  <si>
    <t>CA-2014-162866</t>
  </si>
  <si>
    <t>OFF-ST-10002562</t>
  </si>
  <si>
    <t>CA-2014-162992</t>
  </si>
  <si>
    <t>OFF-FA-10004248</t>
  </si>
  <si>
    <t>TEC-PH-10001944</t>
  </si>
  <si>
    <t>TEC-PH-10002085</t>
  </si>
  <si>
    <t>CA-2014-163013</t>
  </si>
  <si>
    <t>OFF-AR-10001954</t>
  </si>
  <si>
    <t>CA-2014-163034</t>
  </si>
  <si>
    <t>CA-2014-163223</t>
  </si>
  <si>
    <t>OFF-AR-10001573</t>
  </si>
  <si>
    <t>OFF-PA-10000675</t>
  </si>
  <si>
    <t>TEC-PH-10000730</t>
  </si>
  <si>
    <t>CA-2014-163293</t>
  </si>
  <si>
    <t>CA-2014-163412</t>
  </si>
  <si>
    <t>FUR-CH-10004875</t>
  </si>
  <si>
    <t>CA-2014-163419</t>
  </si>
  <si>
    <t>CA-2014-163447</t>
  </si>
  <si>
    <t>CA-2014-163468</t>
  </si>
  <si>
    <t>FUR-BO-10003546</t>
  </si>
  <si>
    <t>FUR-TA-10002533</t>
  </si>
  <si>
    <t>OFF-BI-10004728</t>
  </si>
  <si>
    <t>CA-2014-163552</t>
  </si>
  <si>
    <t>FUR-CH-10003379</t>
  </si>
  <si>
    <t>TEC-PH-10003885</t>
  </si>
  <si>
    <t>CA-2014-163559</t>
  </si>
  <si>
    <t>CA-2014-163650</t>
  </si>
  <si>
    <t>OFF-BI-10004965</t>
  </si>
  <si>
    <t>CA-2014-163748</t>
  </si>
  <si>
    <t>TEC-CO-10002095</t>
  </si>
  <si>
    <t>CA-2014-163867</t>
  </si>
  <si>
    <t>FUR-FU-10001475</t>
  </si>
  <si>
    <t>CA-2014-164182</t>
  </si>
  <si>
    <t>FUR-FU-10001057</t>
  </si>
  <si>
    <t>OFF-AR-10001044</t>
  </si>
  <si>
    <t>TEC-PH-10002070</t>
  </si>
  <si>
    <t>CA-2014-164210</t>
  </si>
  <si>
    <t>FUR-TA-10000849</t>
  </si>
  <si>
    <t>CA-2014-164224</t>
  </si>
  <si>
    <t>FUR-FU-10000308</t>
  </si>
  <si>
    <t>CA-2014-164259</t>
  </si>
  <si>
    <t>OFF-AR-10003373</t>
  </si>
  <si>
    <t>CA-2014-164315</t>
  </si>
  <si>
    <t>OFF-PA-10004248</t>
  </si>
  <si>
    <t>CA-2014-164385</t>
  </si>
  <si>
    <t>OFF-AP-10002191</t>
  </si>
  <si>
    <t>CA-2014-164469</t>
  </si>
  <si>
    <t>CA-2014-164721</t>
  </si>
  <si>
    <t>OFF-PA-10000575</t>
  </si>
  <si>
    <t>CA-2014-164742</t>
  </si>
  <si>
    <t>OFF-BI-10004738</t>
  </si>
  <si>
    <t>CA-2014-164749</t>
  </si>
  <si>
    <t>OFF-LA-10004484</t>
  </si>
  <si>
    <t>CA-2014-164861</t>
  </si>
  <si>
    <t>CA-2014-164903</t>
  </si>
  <si>
    <t>OFF-PA-10003363</t>
  </si>
  <si>
    <t>CA-2014-164910</t>
  </si>
  <si>
    <t>CA-2014-164973</t>
  </si>
  <si>
    <t>OFF-ST-10002974</t>
  </si>
  <si>
    <t>TEC-AC-10000892</t>
  </si>
  <si>
    <t>TEC-MA-10002927</t>
  </si>
  <si>
    <t>CA-2014-165309</t>
  </si>
  <si>
    <t>OFF-BI-10001267</t>
  </si>
  <si>
    <t>TEC-PH-10004959</t>
  </si>
  <si>
    <t>CA-2014-165379</t>
  </si>
  <si>
    <t>OFF-PA-10003072</t>
  </si>
  <si>
    <t>CA-2014-165393</t>
  </si>
  <si>
    <t>CA-2014-165428</t>
  </si>
  <si>
    <t>OFF-BI-10002949</t>
  </si>
  <si>
    <t>OFF-PA-10004100</t>
  </si>
  <si>
    <t>CA-2014-165477</t>
  </si>
  <si>
    <t>CA-2014-165540</t>
  </si>
  <si>
    <t>CA-2014-165568</t>
  </si>
  <si>
    <t>CA-2014-165764</t>
  </si>
  <si>
    <t>FUR-TA-10001768</t>
  </si>
  <si>
    <t>OFF-BI-10002982</t>
  </si>
  <si>
    <t>OFF-ST-10001558</t>
  </si>
  <si>
    <t>CA-2014-165806</t>
  </si>
  <si>
    <t>OFF-PA-10003441</t>
  </si>
  <si>
    <t>CA-2014-165974</t>
  </si>
  <si>
    <t>OFF-AR-10003405</t>
  </si>
  <si>
    <t>CA-2014-166051</t>
  </si>
  <si>
    <t>TEC-PH-10002538</t>
  </si>
  <si>
    <t>TEC-PH-10002680</t>
  </si>
  <si>
    <t>CA-2014-166086</t>
  </si>
  <si>
    <t>FUR-TA-10003469</t>
  </si>
  <si>
    <t>OFF-AR-10002578</t>
  </si>
  <si>
    <t>CA-2014-166191</t>
  </si>
  <si>
    <t>TEC-AC-10004659</t>
  </si>
  <si>
    <t>CA-2014-166457</t>
  </si>
  <si>
    <t>CA-2014-166471</t>
  </si>
  <si>
    <t>CA-2014-166555</t>
  </si>
  <si>
    <t>TEC-PH-10004912</t>
  </si>
  <si>
    <t>CA-2014-166590</t>
  </si>
  <si>
    <t>TEC-AC-10003433</t>
  </si>
  <si>
    <t>CA-2014-166716</t>
  </si>
  <si>
    <t>CA-2014-166730</t>
  </si>
  <si>
    <t>OFF-ST-10002554</t>
  </si>
  <si>
    <t>CA-2014-166744</t>
  </si>
  <si>
    <t>FUR-FU-10004952</t>
  </si>
  <si>
    <t>CA-2014-166863</t>
  </si>
  <si>
    <t>FUR-BO-10001608</t>
  </si>
  <si>
    <t>OFF-ST-10004123</t>
  </si>
  <si>
    <t>TEC-MA-10001972</t>
  </si>
  <si>
    <t>TEC-PH-10000369</t>
  </si>
  <si>
    <t>CA-2014-166884</t>
  </si>
  <si>
    <t>CA-2014-166891</t>
  </si>
  <si>
    <t>FUR-CH-10003298</t>
  </si>
  <si>
    <t>CA-2014-166954</t>
  </si>
  <si>
    <t>FUR-FU-10003708</t>
  </si>
  <si>
    <t>OFF-AP-10001391</t>
  </si>
  <si>
    <t>CA-2014-166961</t>
  </si>
  <si>
    <t>OFF-FA-10003485</t>
  </si>
  <si>
    <t>OFF-ST-10004507</t>
  </si>
  <si>
    <t>CA-2014-166989</t>
  </si>
  <si>
    <t>CA-2014-167164</t>
  </si>
  <si>
    <t>CA-2014-167199</t>
  </si>
  <si>
    <t>OFF-AR-10001662</t>
  </si>
  <si>
    <t>OFF-FA-10001883</t>
  </si>
  <si>
    <t>CA-2014-167360</t>
  </si>
  <si>
    <t>TEC-AC-10001772</t>
  </si>
  <si>
    <t>CA-2014-167486</t>
  </si>
  <si>
    <t>FUR-FU-10003268</t>
  </si>
  <si>
    <t>CA-2014-167724</t>
  </si>
  <si>
    <t>OFF-LA-10002368</t>
  </si>
  <si>
    <t>CA-2014-167850</t>
  </si>
  <si>
    <t>OFF-PA-10001937</t>
  </si>
  <si>
    <t>CA-2014-167927</t>
  </si>
  <si>
    <t>OFF-AP-10002311</t>
  </si>
  <si>
    <t>OFF-AR-10004456</t>
  </si>
  <si>
    <t>OFF-BI-10000605</t>
  </si>
  <si>
    <t>OFF-ST-10000760</t>
  </si>
  <si>
    <t>CA-2014-167997</t>
  </si>
  <si>
    <t>FUR-BO-10004409</t>
  </si>
  <si>
    <t>CA-2014-168130</t>
  </si>
  <si>
    <t>CA-2014-168158</t>
  </si>
  <si>
    <t>OFF-BI-10001759</t>
  </si>
  <si>
    <t>CA-2014-168305</t>
  </si>
  <si>
    <t>OFF-LA-10003498</t>
  </si>
  <si>
    <t>OFF-PA-10004947</t>
  </si>
  <si>
    <t>CA-2014-168312</t>
  </si>
  <si>
    <t>OFF-ST-10003692</t>
  </si>
  <si>
    <t>CA-2014-168368</t>
  </si>
  <si>
    <t>FUR-FU-10002298</t>
  </si>
  <si>
    <t>OFF-LA-10004853</t>
  </si>
  <si>
    <t>CA-2014-168473</t>
  </si>
  <si>
    <t>CA-2014-168494</t>
  </si>
  <si>
    <t>FUR-TA-10003473</t>
  </si>
  <si>
    <t>CA-2014-168592</t>
  </si>
  <si>
    <t>OFF-FA-10002988</t>
  </si>
  <si>
    <t>OFF-ST-10002406</t>
  </si>
  <si>
    <t>CA-2014-168823</t>
  </si>
  <si>
    <t>OFF-PA-10004000</t>
  </si>
  <si>
    <t>CA-2014-168984</t>
  </si>
  <si>
    <t>CA-2014-169019</t>
  </si>
  <si>
    <t>FUR-FU-10004666</t>
  </si>
  <si>
    <t>OFF-BI-10001524</t>
  </si>
  <si>
    <t>OFF-BI-10001679</t>
  </si>
  <si>
    <t>TEC-AC-10002076</t>
  </si>
  <si>
    <t>CA-2014-169033</t>
  </si>
  <si>
    <t>OFF-AR-10001915</t>
  </si>
  <si>
    <t>CA-2014-169061</t>
  </si>
  <si>
    <t>OFF-AR-10000588</t>
  </si>
  <si>
    <t>OFF-SU-10000381</t>
  </si>
  <si>
    <t>TEC-AC-10002001</t>
  </si>
  <si>
    <t>CA-2014-169257</t>
  </si>
  <si>
    <t>OFF-BI-10002557</t>
  </si>
  <si>
    <t>CA-2014-169446</t>
  </si>
  <si>
    <t>OFF-ST-10000419</t>
  </si>
  <si>
    <t>TEC-PH-10002817</t>
  </si>
  <si>
    <t>CA-2014-169460</t>
  </si>
  <si>
    <t>FUR-FU-10004017</t>
  </si>
  <si>
    <t>CA-2014-169642</t>
  </si>
  <si>
    <t>CA-2014-169649</t>
  </si>
  <si>
    <t>OFF-PA-10000143</t>
  </si>
  <si>
    <t>CA-2014-169684</t>
  </si>
  <si>
    <t>CA-2014-169726</t>
  </si>
  <si>
    <t>CA-2014-169775</t>
  </si>
  <si>
    <t>FUR-TA-10001857</t>
  </si>
  <si>
    <t>OFF-EN-10001749</t>
  </si>
  <si>
    <t>CA-2014-169803</t>
  </si>
  <si>
    <t>FUR-TA-10000688</t>
  </si>
  <si>
    <t>TEC-AC-10003441</t>
  </si>
  <si>
    <t>CA-2014-169852</t>
  </si>
  <si>
    <t>OFF-BI-10001460</t>
  </si>
  <si>
    <t>CA-2015-100146</t>
  </si>
  <si>
    <t>FUR-FU-10001979</t>
  </si>
  <si>
    <t>CA-2015-100216</t>
  </si>
  <si>
    <t>OFF-PA-10002968</t>
  </si>
  <si>
    <t>CA-2015-100251</t>
  </si>
  <si>
    <t>OFF-LA-10003766</t>
  </si>
  <si>
    <t>OFF-SU-10000898</t>
  </si>
  <si>
    <t>CA-2015-100454</t>
  </si>
  <si>
    <t>FUR-BO-10001519</t>
  </si>
  <si>
    <t>OFF-AR-10004648</t>
  </si>
  <si>
    <t>CA-2015-100573</t>
  </si>
  <si>
    <t>OFF-EN-10000461</t>
  </si>
  <si>
    <t>CA-2015-100657</t>
  </si>
  <si>
    <t>FUR-CH-10003535</t>
  </si>
  <si>
    <t>CA-2015-100685</t>
  </si>
  <si>
    <t>OFF-FA-10003472</t>
  </si>
  <si>
    <t>CA-2015-100734</t>
  </si>
  <si>
    <t>CA-2015-100769</t>
  </si>
  <si>
    <t>TEC-AC-10002402</t>
  </si>
  <si>
    <t>CA-2015-100818</t>
  </si>
  <si>
    <t>FUR-FU-10002703</t>
  </si>
  <si>
    <t>CA-2015-100888</t>
  </si>
  <si>
    <t>CA-2015-101000</t>
  </si>
  <si>
    <t>OFF-AP-10000179</t>
  </si>
  <si>
    <t>CA-2015-101007</t>
  </si>
  <si>
    <t>CA-2015-101091</t>
  </si>
  <si>
    <t>TEC-AC-10003280</t>
  </si>
  <si>
    <t>CA-2015-101126</t>
  </si>
  <si>
    <t>CA-2015-101154</t>
  </si>
  <si>
    <t>CA-2015-101707</t>
  </si>
  <si>
    <t>OFF-LA-10000134</t>
  </si>
  <si>
    <t>OFF-SU-10001218</t>
  </si>
  <si>
    <t>CA-2015-101868</t>
  </si>
  <si>
    <t>TEC-AC-10004396</t>
  </si>
  <si>
    <t>CA-2015-101889</t>
  </si>
  <si>
    <t>FUR-TA-10004154</t>
  </si>
  <si>
    <t>CA-2015-101910</t>
  </si>
  <si>
    <t>CA-2015-101924</t>
  </si>
  <si>
    <t>CA-2015-102015</t>
  </si>
  <si>
    <t>OFF-PA-10002464</t>
  </si>
  <si>
    <t>CA-2015-102036</t>
  </si>
  <si>
    <t>CA-2015-102260</t>
  </si>
  <si>
    <t>OFF-BI-10000042</t>
  </si>
  <si>
    <t>OFF-LA-10003714</t>
  </si>
  <si>
    <t>CA-2015-102281</t>
  </si>
  <si>
    <t>CA-2015-102316</t>
  </si>
  <si>
    <t>CA-2015-102491</t>
  </si>
  <si>
    <t>TEC-MA-10000864</t>
  </si>
  <si>
    <t>TEC-PH-10001619</t>
  </si>
  <si>
    <t>CA-2015-102582</t>
  </si>
  <si>
    <t>FUR-CH-10004853</t>
  </si>
  <si>
    <t>TEC-PH-10003187</t>
  </si>
  <si>
    <t>CA-2015-102722</t>
  </si>
  <si>
    <t>TEC-AC-10003116</t>
  </si>
  <si>
    <t>CA-2015-102778</t>
  </si>
  <si>
    <t>FUR-FU-10000087</t>
  </si>
  <si>
    <t>CA-2015-102806</t>
  </si>
  <si>
    <t>CA-2015-102848</t>
  </si>
  <si>
    <t>CA-2015-102855</t>
  </si>
  <si>
    <t>OFF-AR-10002467</t>
  </si>
  <si>
    <t>TEC-AC-10001767</t>
  </si>
  <si>
    <t>CA-2015-102876</t>
  </si>
  <si>
    <t>OFF-BI-10000848</t>
  </si>
  <si>
    <t>OFF-BI-10004781</t>
  </si>
  <si>
    <t>CA-2015-103072</t>
  </si>
  <si>
    <t>OFF-PA-10003172</t>
  </si>
  <si>
    <t>CA-2015-103093</t>
  </si>
  <si>
    <t>CA-2015-103135</t>
  </si>
  <si>
    <t>TEC-AC-10003289</t>
  </si>
  <si>
    <t>CA-2015-103177</t>
  </si>
  <si>
    <t>TEC-PH-10001527</t>
  </si>
  <si>
    <t>CA-2015-103205</t>
  </si>
  <si>
    <t>CA-2015-103716</t>
  </si>
  <si>
    <t>OFF-AR-10000658</t>
  </si>
  <si>
    <t>TEC-PH-10000347</t>
  </si>
  <si>
    <t>CA-2015-103723</t>
  </si>
  <si>
    <t>OFF-AR-10003251</t>
  </si>
  <si>
    <t>CA-2015-103772</t>
  </si>
  <si>
    <t>OFF-AR-10000538</t>
  </si>
  <si>
    <t>CA-2015-103793</t>
  </si>
  <si>
    <t>CA-2015-103835</t>
  </si>
  <si>
    <t>CA-2015-103870</t>
  </si>
  <si>
    <t>FUR-BO-10002853</t>
  </si>
  <si>
    <t>CA-2015-103933</t>
  </si>
  <si>
    <t>CA-2015-103954</t>
  </si>
  <si>
    <t>FUR-BO-10004690</t>
  </si>
  <si>
    <t>CA-2015-103961</t>
  </si>
  <si>
    <t>CA-2015-104038</t>
  </si>
  <si>
    <t>OFF-PA-10002751</t>
  </si>
  <si>
    <t>CA-2015-104052</t>
  </si>
  <si>
    <t>TEC-PH-10003215</t>
  </si>
  <si>
    <t>CA-2015-104059</t>
  </si>
  <si>
    <t>CA-2015-104115</t>
  </si>
  <si>
    <t>TEC-PH-10002844</t>
  </si>
  <si>
    <t>CA-2015-104129</t>
  </si>
  <si>
    <t>FUR-TA-10004152</t>
  </si>
  <si>
    <t>TEC-PH-10003800</t>
  </si>
  <si>
    <t>CA-2015-104241</t>
  </si>
  <si>
    <t>CA-2015-104297</t>
  </si>
  <si>
    <t>CA-2015-104346</t>
  </si>
  <si>
    <t>FUR-BO-10003450</t>
  </si>
  <si>
    <t>OFF-AR-10001545</t>
  </si>
  <si>
    <t>OFF-PA-10003256</t>
  </si>
  <si>
    <t>CA-2015-104486</t>
  </si>
  <si>
    <t>OFF-SU-10002573</t>
  </si>
  <si>
    <t>CA-2015-104493</t>
  </si>
  <si>
    <t>OFF-BI-10004817</t>
  </si>
  <si>
    <t>CA-2015-104514</t>
  </si>
  <si>
    <t>OFF-PA-10004285</t>
  </si>
  <si>
    <t>CA-2015-104626</t>
  </si>
  <si>
    <t>OFF-BI-10001510</t>
  </si>
  <si>
    <t>CA-2015-104871</t>
  </si>
  <si>
    <t>CA-2015-104941</t>
  </si>
  <si>
    <t>CA-2015-104948</t>
  </si>
  <si>
    <t>FUR-BO-10004357</t>
  </si>
  <si>
    <t>CA-2015-105102</t>
  </si>
  <si>
    <t>FUR-BO-10004709</t>
  </si>
  <si>
    <t>OFF-BI-10002082</t>
  </si>
  <si>
    <t>CA-2015-105158</t>
  </si>
  <si>
    <t>CA-2015-105221</t>
  </si>
  <si>
    <t>OFF-FA-10001135</t>
  </si>
  <si>
    <t>CA-2015-105312</t>
  </si>
  <si>
    <t>CA-2015-105347</t>
  </si>
  <si>
    <t>CA-2015-105361</t>
  </si>
  <si>
    <t>OFF-PA-10002615</t>
  </si>
  <si>
    <t>CA-2015-105508</t>
  </si>
  <si>
    <t>OFF-EN-10003055</t>
  </si>
  <si>
    <t>CA-2015-105571</t>
  </si>
  <si>
    <t>CA-2015-105599</t>
  </si>
  <si>
    <t>FUR-TA-10003837</t>
  </si>
  <si>
    <t>CA-2015-105613</t>
  </si>
  <si>
    <t>OFF-AP-10000026</t>
  </si>
  <si>
    <t>TEC-AC-10000521</t>
  </si>
  <si>
    <t>CA-2015-105627</t>
  </si>
  <si>
    <t>FUR-CH-10002084</t>
  </si>
  <si>
    <t>OFF-AR-10002704</t>
  </si>
  <si>
    <t>TEC-PH-10003012</t>
  </si>
  <si>
    <t>CA-2015-105634</t>
  </si>
  <si>
    <t>CA-2015-105690</t>
  </si>
  <si>
    <t>FUR-BO-10003965</t>
  </si>
  <si>
    <t>CA-2015-105725</t>
  </si>
  <si>
    <t>CA-2015-105844</t>
  </si>
  <si>
    <t>CA-2015-105970</t>
  </si>
  <si>
    <t>CA-2015-106187</t>
  </si>
  <si>
    <t>FUR-FU-10000794</t>
  </si>
  <si>
    <t>OFF-BI-10004519</t>
  </si>
  <si>
    <t>TEC-AC-10001590</t>
  </si>
  <si>
    <t>CA-2015-106208</t>
  </si>
  <si>
    <t>OFF-AP-10004980</t>
  </si>
  <si>
    <t>CA-2015-106215</t>
  </si>
  <si>
    <t>OFF-FA-10001229</t>
  </si>
  <si>
    <t>CA-2015-106257</t>
  </si>
  <si>
    <t>FUR-TA-10002530</t>
  </si>
  <si>
    <t>TEC-PH-10001494</t>
  </si>
  <si>
    <t>CA-2015-106320</t>
  </si>
  <si>
    <t>CA-2015-106362</t>
  </si>
  <si>
    <t>OFF-BI-10003166</t>
  </si>
  <si>
    <t>CA-2015-106565</t>
  </si>
  <si>
    <t>CA-2015-106978</t>
  </si>
  <si>
    <t>CA-2015-107020</t>
  </si>
  <si>
    <t>CA-2015-107083</t>
  </si>
  <si>
    <t>OFF-AR-10002257</t>
  </si>
  <si>
    <t>OFF-BI-10002194</t>
  </si>
  <si>
    <t>CA-2015-107468</t>
  </si>
  <si>
    <t>CA-2015-107678</t>
  </si>
  <si>
    <t>FUR-FU-10003394</t>
  </si>
  <si>
    <t>CA-2015-107685</t>
  </si>
  <si>
    <t>OFF-PA-10003848</t>
  </si>
  <si>
    <t>CA-2015-107741</t>
  </si>
  <si>
    <t>CA-2015-107937</t>
  </si>
  <si>
    <t>CA-2015-108119</t>
  </si>
  <si>
    <t>CA-2015-108259</t>
  </si>
  <si>
    <t>CA-2015-108532</t>
  </si>
  <si>
    <t>CA-2015-108588</t>
  </si>
  <si>
    <t>CA-2015-108665</t>
  </si>
  <si>
    <t>OFF-ST-10001526</t>
  </si>
  <si>
    <t>CA-2015-108672</t>
  </si>
  <si>
    <t>FUR-FU-10003799</t>
  </si>
  <si>
    <t>CA-2015-109001</t>
  </si>
  <si>
    <t>TEC-PH-10000562</t>
  </si>
  <si>
    <t>CA-2015-109113</t>
  </si>
  <si>
    <t>TEC-AC-10004761</t>
  </si>
  <si>
    <t>CA-2015-109169</t>
  </si>
  <si>
    <t>OFF-EN-10003296</t>
  </si>
  <si>
    <t>CA-2015-109190</t>
  </si>
  <si>
    <t>OFF-PA-10000069</t>
  </si>
  <si>
    <t>TEC-CO-10001943</t>
  </si>
  <si>
    <t>CA-2015-109197</t>
  </si>
  <si>
    <t>CA-2015-109337</t>
  </si>
  <si>
    <t>OFF-AP-10004052</t>
  </si>
  <si>
    <t>OFF-AR-10003759</t>
  </si>
  <si>
    <t>TEC-AC-10000990</t>
  </si>
  <si>
    <t>TEC-MA-10002930</t>
  </si>
  <si>
    <t>CA-2015-109386</t>
  </si>
  <si>
    <t>OFF-AP-10003266</t>
  </si>
  <si>
    <t>CA-2015-109470</t>
  </si>
  <si>
    <t>OFF-BI-10003707</t>
  </si>
  <si>
    <t>OFF-BI-10004492</t>
  </si>
  <si>
    <t>CA-2015-109512</t>
  </si>
  <si>
    <t>CA-2015-109575</t>
  </si>
  <si>
    <t>CA-2015-109603</t>
  </si>
  <si>
    <t>OFF-PA-10003790</t>
  </si>
  <si>
    <t>CA-2015-109638</t>
  </si>
  <si>
    <t>OFF-AP-10002472</t>
  </si>
  <si>
    <t>OFF-BI-10001098</t>
  </si>
  <si>
    <t>CA-2015-109708</t>
  </si>
  <si>
    <t>CA-2015-109736</t>
  </si>
  <si>
    <t>OFF-PA-10004101</t>
  </si>
  <si>
    <t>CA-2015-109862</t>
  </si>
  <si>
    <t>TEC-PH-10004042</t>
  </si>
  <si>
    <t>CA-2015-109939</t>
  </si>
  <si>
    <t>CA-2015-110016</t>
  </si>
  <si>
    <t>CA-2015-110093</t>
  </si>
  <si>
    <t>TEC-AC-10000171</t>
  </si>
  <si>
    <t>CA-2015-110247</t>
  </si>
  <si>
    <t>CA-2015-110289</t>
  </si>
  <si>
    <t>CA-2015-110324</t>
  </si>
  <si>
    <t>OFF-AR-10000823</t>
  </si>
  <si>
    <t>OFF-PA-10001776</t>
  </si>
  <si>
    <t>CA-2015-110345</t>
  </si>
  <si>
    <t>CA-2015-110457</t>
  </si>
  <si>
    <t>CA-2015-110548</t>
  </si>
  <si>
    <t>TEC-PH-10002922</t>
  </si>
  <si>
    <t>CA-2015-110632</t>
  </si>
  <si>
    <t>OFF-ST-10001291</t>
  </si>
  <si>
    <t>TEC-AC-10000387</t>
  </si>
  <si>
    <t>CA-2015-110667</t>
  </si>
  <si>
    <t>CA-2015-110744</t>
  </si>
  <si>
    <t>OFF-ST-10003656</t>
  </si>
  <si>
    <t>CA-2015-110765</t>
  </si>
  <si>
    <t>TEC-PH-10004165</t>
  </si>
  <si>
    <t>CA-2015-110814</t>
  </si>
  <si>
    <t>CA-2015-110863</t>
  </si>
  <si>
    <t>FUR-CH-10002073</t>
  </si>
  <si>
    <t>OFF-ST-10002756</t>
  </si>
  <si>
    <t>CA-2015-110870</t>
  </si>
  <si>
    <t>CA-2015-110877</t>
  </si>
  <si>
    <t>OFF-PA-10004621</t>
  </si>
  <si>
    <t>CA-2015-110891</t>
  </si>
  <si>
    <t>CA-2015-111017</t>
  </si>
  <si>
    <t>CA-2015-111038</t>
  </si>
  <si>
    <t>CA-2015-111073</t>
  </si>
  <si>
    <t>CA-2015-111094</t>
  </si>
  <si>
    <t>CA-2015-111164</t>
  </si>
  <si>
    <t>OFF-AP-10004487</t>
  </si>
  <si>
    <t>CA-2015-111199</t>
  </si>
  <si>
    <t>OFF-PA-10001790</t>
  </si>
  <si>
    <t>CA-2015-111206</t>
  </si>
  <si>
    <t>TEC-AC-10003095</t>
  </si>
  <si>
    <t>CA-2015-111234</t>
  </si>
  <si>
    <t>CA-2015-111297</t>
  </si>
  <si>
    <t>OFF-BI-10002412</t>
  </si>
  <si>
    <t>CA-2015-111325</t>
  </si>
  <si>
    <t>CA-2015-111339</t>
  </si>
  <si>
    <t>FUR-FU-10002506</t>
  </si>
  <si>
    <t>CA-2015-111395</t>
  </si>
  <si>
    <t>OFF-PA-10000994</t>
  </si>
  <si>
    <t>CA-2015-111458</t>
  </si>
  <si>
    <t>CA-2015-111507</t>
  </si>
  <si>
    <t>CA-2015-111514</t>
  </si>
  <si>
    <t>TEC-MA-10000597</t>
  </si>
  <si>
    <t>CA-2015-111612</t>
  </si>
  <si>
    <t>CA-2015-111703</t>
  </si>
  <si>
    <t>CA-2015-111780</t>
  </si>
  <si>
    <t>OFF-PA-10001307</t>
  </si>
  <si>
    <t>CA-2015-111829</t>
  </si>
  <si>
    <t>OFF-ST-10000142</t>
  </si>
  <si>
    <t>CA-2015-111864</t>
  </si>
  <si>
    <t>OFF-LA-10004677</t>
  </si>
  <si>
    <t>CA-2015-111948</t>
  </si>
  <si>
    <t>OFF-ST-10003282</t>
  </si>
  <si>
    <t>CA-2015-111990</t>
  </si>
  <si>
    <t>CA-2015-112014</t>
  </si>
  <si>
    <t>CA-2015-112053</t>
  </si>
  <si>
    <t>CA-2015-112116</t>
  </si>
  <si>
    <t>CA-2015-112130</t>
  </si>
  <si>
    <t>OFF-AR-10001468</t>
  </si>
  <si>
    <t>CA-2015-112144</t>
  </si>
  <si>
    <t>CA-2015-112214</t>
  </si>
  <si>
    <t>CA-2015-112305</t>
  </si>
  <si>
    <t>TEC-AC-10002018</t>
  </si>
  <si>
    <t>CA-2015-112319</t>
  </si>
  <si>
    <t>CA-2015-112375</t>
  </si>
  <si>
    <t>OFF-EN-10003798</t>
  </si>
  <si>
    <t>TEC-AC-10003237</t>
  </si>
  <si>
    <t>CA-2015-112452</t>
  </si>
  <si>
    <t>OFF-AP-10003849</t>
  </si>
  <si>
    <t>TEC-PH-10000307</t>
  </si>
  <si>
    <t>CA-2015-112522</t>
  </si>
  <si>
    <t>CA-2015-112557</t>
  </si>
  <si>
    <t>CA-2015-112571</t>
  </si>
  <si>
    <t>CA-2015-112711</t>
  </si>
  <si>
    <t>CA-2015-112767</t>
  </si>
  <si>
    <t>CA-2015-112823</t>
  </si>
  <si>
    <t>CA-2015-113040</t>
  </si>
  <si>
    <t>CA-2015-113110</t>
  </si>
  <si>
    <t>OFF-BI-10000088</t>
  </si>
  <si>
    <t>OFF-SU-10001165</t>
  </si>
  <si>
    <t>CA-2015-113131</t>
  </si>
  <si>
    <t>OFF-EN-10003068</t>
  </si>
  <si>
    <t>OFF-ST-10001172</t>
  </si>
  <si>
    <t>CA-2015-113145</t>
  </si>
  <si>
    <t>TEC-AC-10001838</t>
  </si>
  <si>
    <t>CA-2015-113152</t>
  </si>
  <si>
    <t>CA-2015-113173</t>
  </si>
  <si>
    <t>OFF-ST-10000604</t>
  </si>
  <si>
    <t>OFF-SU-10001935</t>
  </si>
  <si>
    <t>CA-2015-113222</t>
  </si>
  <si>
    <t>CA-2015-113404</t>
  </si>
  <si>
    <t>FUR-CH-10004086</t>
  </si>
  <si>
    <t>CA-2015-113523</t>
  </si>
  <si>
    <t>CA-2015-113628</t>
  </si>
  <si>
    <t>OFF-AR-10001246</t>
  </si>
  <si>
    <t>CA-2015-113740</t>
  </si>
  <si>
    <t>CA-2015-113901</t>
  </si>
  <si>
    <t>TEC-PH-10002564</t>
  </si>
  <si>
    <t>CA-2015-113971</t>
  </si>
  <si>
    <t>CA-2015-114048</t>
  </si>
  <si>
    <t>CA-2015-114069</t>
  </si>
  <si>
    <t>CA-2015-114300</t>
  </si>
  <si>
    <t>CA-2015-114468</t>
  </si>
  <si>
    <t>OFF-PA-10000809</t>
  </si>
  <si>
    <t>OFF-SU-10004231</t>
  </si>
  <si>
    <t>CA-2015-114503</t>
  </si>
  <si>
    <t>OFF-ST-10003572</t>
  </si>
  <si>
    <t>CA-2015-114811</t>
  </si>
  <si>
    <t>FUR-CH-10003746</t>
  </si>
  <si>
    <t>FUR-FU-10002240</t>
  </si>
  <si>
    <t>CA-2015-114923</t>
  </si>
  <si>
    <t>CA-2015-115091</t>
  </si>
  <si>
    <t>CA-2015-115168</t>
  </si>
  <si>
    <t>CA-2015-115392</t>
  </si>
  <si>
    <t>TEC-PH-10002496</t>
  </si>
  <si>
    <t>CA-2015-115420</t>
  </si>
  <si>
    <t>OFF-EN-10003862</t>
  </si>
  <si>
    <t>CA-2015-115511</t>
  </si>
  <si>
    <t>FUR-BO-10002598</t>
  </si>
  <si>
    <t>CA-2015-115567</t>
  </si>
  <si>
    <t>CA-2015-115693</t>
  </si>
  <si>
    <t>OFF-AR-10003582</t>
  </si>
  <si>
    <t>CA-2015-115742</t>
  </si>
  <si>
    <t>FUR-CH-10003061</t>
  </si>
  <si>
    <t>OFF-BI-10004410</t>
  </si>
  <si>
    <t>CA-2015-115798</t>
  </si>
  <si>
    <t>CA-2015-115847</t>
  </si>
  <si>
    <t>CA-2015-115938</t>
  </si>
  <si>
    <t>FUR-CH-10003199</t>
  </si>
  <si>
    <t>CA-2015-115945</t>
  </si>
  <si>
    <t>OFF-AR-10004062</t>
  </si>
  <si>
    <t>OFF-BI-10004330</t>
  </si>
  <si>
    <t>CA-2015-116092</t>
  </si>
  <si>
    <t>CA-2015-116484</t>
  </si>
  <si>
    <t>FUR-FU-10002874</t>
  </si>
  <si>
    <t>CA-2015-116512</t>
  </si>
  <si>
    <t>CA-2015-116638</t>
  </si>
  <si>
    <t>FUR-TA-10000198</t>
  </si>
  <si>
    <t>CA-2015-116687</t>
  </si>
  <si>
    <t>CA-2015-116750</t>
  </si>
  <si>
    <t>CA-2015-116841</t>
  </si>
  <si>
    <t>CA-2015-116876</t>
  </si>
  <si>
    <t>OFF-BI-10002897</t>
  </si>
  <si>
    <t>CA-2015-117086</t>
  </si>
  <si>
    <t>FUR-BO-10004834</t>
  </si>
  <si>
    <t>CA-2015-117415</t>
  </si>
  <si>
    <t>OFF-EN-10002986</t>
  </si>
  <si>
    <t>CA-2015-117611</t>
  </si>
  <si>
    <t>CA-2015-117772</t>
  </si>
  <si>
    <t>OFF-ST-10003994</t>
  </si>
  <si>
    <t>CA-2015-117800</t>
  </si>
  <si>
    <t>FUR-CH-10000785</t>
  </si>
  <si>
    <t>CA-2015-117828</t>
  </si>
  <si>
    <t>CA-2015-117884</t>
  </si>
  <si>
    <t>OFF-ST-10002182</t>
  </si>
  <si>
    <t>CA-2015-117961</t>
  </si>
  <si>
    <t>OFF-PA-10001274</t>
  </si>
  <si>
    <t>CA-2015-118227</t>
  </si>
  <si>
    <t>CA-2015-118423</t>
  </si>
  <si>
    <t>CA-2015-118444</t>
  </si>
  <si>
    <t>CA-2015-118738</t>
  </si>
  <si>
    <t>CA-2015-118843</t>
  </si>
  <si>
    <t>CA-2015-118871</t>
  </si>
  <si>
    <t>TEC-PH-10000193</t>
  </si>
  <si>
    <t>CA-2015-118948</t>
  </si>
  <si>
    <t>OFF-AR-10001547</t>
  </si>
  <si>
    <t>CA-2015-118955</t>
  </si>
  <si>
    <t>FUR-CH-10001708</t>
  </si>
  <si>
    <t>OFF-EN-10001028</t>
  </si>
  <si>
    <t>CA-2015-119102</t>
  </si>
  <si>
    <t>CA-2015-119214</t>
  </si>
  <si>
    <t>OFF-LA-10003077</t>
  </si>
  <si>
    <t>CA-2015-119291</t>
  </si>
  <si>
    <t>OFF-AR-10001118</t>
  </si>
  <si>
    <t>OFF-EN-10000927</t>
  </si>
  <si>
    <t>CA-2015-119480</t>
  </si>
  <si>
    <t>OFF-AP-10001205</t>
  </si>
  <si>
    <t>OFF-AR-10004691</t>
  </si>
  <si>
    <t>OFF-PA-10004996</t>
  </si>
  <si>
    <t>CA-2015-119508</t>
  </si>
  <si>
    <t>CA-2015-119550</t>
  </si>
  <si>
    <t>FUR-CH-10002044</t>
  </si>
  <si>
    <t>CA-2015-119592</t>
  </si>
  <si>
    <t>CA-2015-119627</t>
  </si>
  <si>
    <t>CA-2015-119634</t>
  </si>
  <si>
    <t>CA-2015-119690</t>
  </si>
  <si>
    <t>CA-2015-119697</t>
  </si>
  <si>
    <t>TEC-AC-10003657</t>
  </si>
  <si>
    <t>CA-2015-119879</t>
  </si>
  <si>
    <t>CA-2015-119907</t>
  </si>
  <si>
    <t>CA-2015-119942</t>
  </si>
  <si>
    <t>CA-2015-120103</t>
  </si>
  <si>
    <t>FUR-FU-10002885</t>
  </si>
  <si>
    <t>CA-2015-120341</t>
  </si>
  <si>
    <t>TEC-PH-10003357</t>
  </si>
  <si>
    <t>CA-2015-120362</t>
  </si>
  <si>
    <t>CA-2015-120397</t>
  </si>
  <si>
    <t>CA-2015-120439</t>
  </si>
  <si>
    <t>CA-2015-120446</t>
  </si>
  <si>
    <t>CA-2015-120551</t>
  </si>
  <si>
    <t>OFF-BI-10002071</t>
  </si>
  <si>
    <t>CA-2015-120621</t>
  </si>
  <si>
    <t>OFF-PA-10002254</t>
  </si>
  <si>
    <t>CA-2015-120677</t>
  </si>
  <si>
    <t>CA-2015-120782</t>
  </si>
  <si>
    <t>OFF-AP-10003779</t>
  </si>
  <si>
    <t>CA-2015-120810</t>
  </si>
  <si>
    <t>CA-2015-120845</t>
  </si>
  <si>
    <t>CA-2015-120880</t>
  </si>
  <si>
    <t>CA-2015-120901</t>
  </si>
  <si>
    <t>CA-2015-120915</t>
  </si>
  <si>
    <t>CA-2015-121041</t>
  </si>
  <si>
    <t>OFF-EN-10001137</t>
  </si>
  <si>
    <t>CA-2015-121097</t>
  </si>
  <si>
    <t>CA-2015-121132</t>
  </si>
  <si>
    <t>CA-2015-121188</t>
  </si>
  <si>
    <t>FUR-BO-10004695</t>
  </si>
  <si>
    <t>CA-2015-121272</t>
  </si>
  <si>
    <t>OFF-AP-10001947</t>
  </si>
  <si>
    <t>CA-2015-121391</t>
  </si>
  <si>
    <t>OFF-ST-10001590</t>
  </si>
  <si>
    <t>CA-2015-121405</t>
  </si>
  <si>
    <t>CA-2015-121552</t>
  </si>
  <si>
    <t>OFF-AR-10003217</t>
  </si>
  <si>
    <t>CA-2015-121608</t>
  </si>
  <si>
    <t>CA-2015-121650</t>
  </si>
  <si>
    <t>CA-2015-121699</t>
  </si>
  <si>
    <t>CA-2015-121720</t>
  </si>
  <si>
    <t>FUR-CH-10003312</t>
  </si>
  <si>
    <t>FUR-FU-10003464</t>
  </si>
  <si>
    <t>OFF-BI-10001308</t>
  </si>
  <si>
    <t>OFF-ST-10001780</t>
  </si>
  <si>
    <t>OFF-ST-10003816</t>
  </si>
  <si>
    <t>CA-2015-121776</t>
  </si>
  <si>
    <t>CA-2015-121783</t>
  </si>
  <si>
    <t>CA-2015-121797</t>
  </si>
  <si>
    <t>TEC-MA-10000488</t>
  </si>
  <si>
    <t>CA-2015-121965</t>
  </si>
  <si>
    <t>FUR-FU-10000732</t>
  </si>
  <si>
    <t>OFF-PA-10004355</t>
  </si>
  <si>
    <t>CA-2015-122168</t>
  </si>
  <si>
    <t>OFF-AR-10003602</t>
  </si>
  <si>
    <t>CA-2015-122210</t>
  </si>
  <si>
    <t>OFF-FA-10000053</t>
  </si>
  <si>
    <t>TEC-PH-10002807</t>
  </si>
  <si>
    <t>CA-2015-122259</t>
  </si>
  <si>
    <t>CA-2015-122266</t>
  </si>
  <si>
    <t>CA-2015-122287</t>
  </si>
  <si>
    <t>FUR-FU-10004973</t>
  </si>
  <si>
    <t>OFF-PA-10001661</t>
  </si>
  <si>
    <t>CA-2015-122371</t>
  </si>
  <si>
    <t>CA-2015-122406</t>
  </si>
  <si>
    <t>FUR-CH-10001973</t>
  </si>
  <si>
    <t>CA-2015-122623</t>
  </si>
  <si>
    <t>CA-2015-122756</t>
  </si>
  <si>
    <t>FUR-FU-10001935</t>
  </si>
  <si>
    <t>TEC-MA-10001681</t>
  </si>
  <si>
    <t>CA-2015-122826</t>
  </si>
  <si>
    <t>TEC-PH-10004830</t>
  </si>
  <si>
    <t>CA-2015-122973</t>
  </si>
  <si>
    <t>OFF-BI-10004182</t>
  </si>
  <si>
    <t>CA-2015-123092</t>
  </si>
  <si>
    <t>OFF-BI-10001718</t>
  </si>
  <si>
    <t>TEC-PH-10001700</t>
  </si>
  <si>
    <t>CA-2015-123113</t>
  </si>
  <si>
    <t>OFF-AP-10000275</t>
  </si>
  <si>
    <t>CA-2015-123141</t>
  </si>
  <si>
    <t>CA-2015-123155</t>
  </si>
  <si>
    <t>CA-2015-123232</t>
  </si>
  <si>
    <t>CA-2015-123330</t>
  </si>
  <si>
    <t>CA-2015-123456</t>
  </si>
  <si>
    <t>OFF-AP-10002684</t>
  </si>
  <si>
    <t>CA-2015-123505</t>
  </si>
  <si>
    <t>CA-2015-123568</t>
  </si>
  <si>
    <t>OFF-FA-10002701</t>
  </si>
  <si>
    <t>CA-2015-123673</t>
  </si>
  <si>
    <t>CA-2015-123939</t>
  </si>
  <si>
    <t>OFF-LA-10003190</t>
  </si>
  <si>
    <t>TEC-PH-10000923</t>
  </si>
  <si>
    <t>CA-2015-124044</t>
  </si>
  <si>
    <t>OFF-BI-10003460</t>
  </si>
  <si>
    <t>CA-2015-124058</t>
  </si>
  <si>
    <t>TEC-PH-10004774</t>
  </si>
  <si>
    <t>CA-2015-124107</t>
  </si>
  <si>
    <t>OFF-AP-10003971</t>
  </si>
  <si>
    <t>TEC-PH-10003875</t>
  </si>
  <si>
    <t>CA-2015-124268</t>
  </si>
  <si>
    <t>OFF-AR-10004817</t>
  </si>
  <si>
    <t>CA-2015-124450</t>
  </si>
  <si>
    <t>FUR-CH-10000309</t>
  </si>
  <si>
    <t>OFF-AR-10001166</t>
  </si>
  <si>
    <t>TEC-MA-10004212</t>
  </si>
  <si>
    <t>CA-2015-124499</t>
  </si>
  <si>
    <t>CA-2015-124541</t>
  </si>
  <si>
    <t>CA-2015-124653</t>
  </si>
  <si>
    <t>CA-2015-124800</t>
  </si>
  <si>
    <t>OFF-BI-10000778</t>
  </si>
  <si>
    <t>OFF-PA-10000501</t>
  </si>
  <si>
    <t>CA-2015-124891</t>
  </si>
  <si>
    <t>TEC-AC-10003033</t>
  </si>
  <si>
    <t>CA-2015-124919</t>
  </si>
  <si>
    <t>OFF-PA-10001950</t>
  </si>
  <si>
    <t>CA-2015-124933</t>
  </si>
  <si>
    <t>CA-2015-124975</t>
  </si>
  <si>
    <t>FUR-TA-10002645</t>
  </si>
  <si>
    <t>CA-2015-125066</t>
  </si>
  <si>
    <t>CA-2015-125185</t>
  </si>
  <si>
    <t>FUR-FU-10003247</t>
  </si>
  <si>
    <t>CA-2015-125234</t>
  </si>
  <si>
    <t>TEC-AC-10000158</t>
  </si>
  <si>
    <t>CA-2015-125395</t>
  </si>
  <si>
    <t>TEC-AC-10004708</t>
  </si>
  <si>
    <t>CA-2015-125416</t>
  </si>
  <si>
    <t>TEC-AC-10001552</t>
  </si>
  <si>
    <t>CA-2015-125423</t>
  </si>
  <si>
    <t>CA-2015-125563</t>
  </si>
  <si>
    <t>FUR-FU-10001290</t>
  </si>
  <si>
    <t>CA-2015-125696</t>
  </si>
  <si>
    <t>CA-2015-125710</t>
  </si>
  <si>
    <t>CA-2015-125934</t>
  </si>
  <si>
    <t>OFF-LA-10000414</t>
  </si>
  <si>
    <t>OFF-PA-10000556</t>
  </si>
  <si>
    <t>CA-2015-125976</t>
  </si>
  <si>
    <t>CA-2015-126137</t>
  </si>
  <si>
    <t>CA-2015-126186</t>
  </si>
  <si>
    <t>FUR-FU-10000073</t>
  </si>
  <si>
    <t>CA-2015-126347</t>
  </si>
  <si>
    <t>TEC-AC-10003063</t>
  </si>
  <si>
    <t>CA-2015-126445</t>
  </si>
  <si>
    <t>CA-2015-126466</t>
  </si>
  <si>
    <t>CA-2015-126557</t>
  </si>
  <si>
    <t>CA-2015-126669</t>
  </si>
  <si>
    <t>OFF-PA-10001357</t>
  </si>
  <si>
    <t>CA-2015-126697</t>
  </si>
  <si>
    <t>CA-2015-126725</t>
  </si>
  <si>
    <t>OFF-ST-10000129</t>
  </si>
  <si>
    <t>OFF-ST-10001418</t>
  </si>
  <si>
    <t>TEC-PH-10003174</t>
  </si>
  <si>
    <t>CA-2015-126970</t>
  </si>
  <si>
    <t>CA-2015-127019</t>
  </si>
  <si>
    <t>CA-2015-127110</t>
  </si>
  <si>
    <t>CA-2015-127173</t>
  </si>
  <si>
    <t>CA-2015-127327</t>
  </si>
  <si>
    <t>CA-2015-127418</t>
  </si>
  <si>
    <t>CA-2015-127453</t>
  </si>
  <si>
    <t>OFF-AP-10000828</t>
  </si>
  <si>
    <t>OFF-AP-10002906</t>
  </si>
  <si>
    <t>CA-2015-127481</t>
  </si>
  <si>
    <t>OFF-PA-10002036</t>
  </si>
  <si>
    <t>CA-2015-127502</t>
  </si>
  <si>
    <t>CA-2015-127509</t>
  </si>
  <si>
    <t>FUR-TA-10002855</t>
  </si>
  <si>
    <t>OFF-BI-10002393</t>
  </si>
  <si>
    <t>OFF-PA-10002160</t>
  </si>
  <si>
    <t>CA-2015-127544</t>
  </si>
  <si>
    <t>CA-2015-127593</t>
  </si>
  <si>
    <t>CA-2015-127607</t>
  </si>
  <si>
    <t>CA-2015-127754</t>
  </si>
  <si>
    <t>CA-2015-127824</t>
  </si>
  <si>
    <t>TEC-PH-10004094</t>
  </si>
  <si>
    <t>CA-2015-128013</t>
  </si>
  <si>
    <t>OFF-PA-10001815</t>
  </si>
  <si>
    <t>CA-2015-128027</t>
  </si>
  <si>
    <t>CA-2015-128083</t>
  </si>
  <si>
    <t>CA-2015-128125</t>
  </si>
  <si>
    <t>FUR-FU-10001085</t>
  </si>
  <si>
    <t>CA-2015-128139</t>
  </si>
  <si>
    <t>FUR-CH-10003956</t>
  </si>
  <si>
    <t>CA-2015-128167</t>
  </si>
  <si>
    <t>CA-2015-128356</t>
  </si>
  <si>
    <t>CA-2015-128608</t>
  </si>
  <si>
    <t>TEC-AC-10000487</t>
  </si>
  <si>
    <t>TEC-PH-10000912</t>
  </si>
  <si>
    <t>TEC-PH-10002262</t>
  </si>
  <si>
    <t>CA-2015-128860</t>
  </si>
  <si>
    <t>CA-2015-128958</t>
  </si>
  <si>
    <t>CA-2015-128993</t>
  </si>
  <si>
    <t>CA-2015-129098</t>
  </si>
  <si>
    <t>CA-2015-129112</t>
  </si>
  <si>
    <t>CA-2015-129217</t>
  </si>
  <si>
    <t>OFF-AP-10002439</t>
  </si>
  <si>
    <t>CA-2015-129322</t>
  </si>
  <si>
    <t>OFF-AR-10004587</t>
  </si>
  <si>
    <t>CA-2015-129392</t>
  </si>
  <si>
    <t>CA-2015-129476</t>
  </si>
  <si>
    <t>CA-2015-129525</t>
  </si>
  <si>
    <t>CA-2015-129532</t>
  </si>
  <si>
    <t>CA-2015-129546</t>
  </si>
  <si>
    <t>OFF-BI-10004001</t>
  </si>
  <si>
    <t>OFF-SU-10004884</t>
  </si>
  <si>
    <t>TEC-PH-10003555</t>
  </si>
  <si>
    <t>CA-2015-129700</t>
  </si>
  <si>
    <t>CA-2015-129770</t>
  </si>
  <si>
    <t>OFF-PA-10000249</t>
  </si>
  <si>
    <t>CA-2015-129854</t>
  </si>
  <si>
    <t>CA-2015-129896</t>
  </si>
  <si>
    <t>FUR-FU-10002396</t>
  </si>
  <si>
    <t>FUR-FU-10004904</t>
  </si>
  <si>
    <t>OFF-ST-10004804</t>
  </si>
  <si>
    <t>CA-2015-129917</t>
  </si>
  <si>
    <t>CA-2015-130022</t>
  </si>
  <si>
    <t>CA-2015-130113</t>
  </si>
  <si>
    <t>CA-2015-130183</t>
  </si>
  <si>
    <t>FUR-BO-10001811</t>
  </si>
  <si>
    <t>CA-2015-130204</t>
  </si>
  <si>
    <t>OFF-ST-10001325</t>
  </si>
  <si>
    <t>TEC-AC-10003590</t>
  </si>
  <si>
    <t>CA-2015-130218</t>
  </si>
  <si>
    <t>OFF-ST-10002486</t>
  </si>
  <si>
    <t>CA-2015-130253</t>
  </si>
  <si>
    <t>FUR-FU-10002963</t>
  </si>
  <si>
    <t>CA-2015-130365</t>
  </si>
  <si>
    <t>CA-2015-130456</t>
  </si>
  <si>
    <t>FUR-BO-10003893</t>
  </si>
  <si>
    <t>CA-2015-130554</t>
  </si>
  <si>
    <t>CA-2015-130610</t>
  </si>
  <si>
    <t>OFF-BI-10003655</t>
  </si>
  <si>
    <t>CA-2015-130659</t>
  </si>
  <si>
    <t>OFF-EN-10004147</t>
  </si>
  <si>
    <t>CA-2015-130736</t>
  </si>
  <si>
    <t>CA-2015-130785</t>
  </si>
  <si>
    <t>OFF-BI-10001900</t>
  </si>
  <si>
    <t>CA-2015-130792</t>
  </si>
  <si>
    <t>CA-2015-130848</t>
  </si>
  <si>
    <t>CA-2015-130855</t>
  </si>
  <si>
    <t>CA-2015-130876</t>
  </si>
  <si>
    <t>CA-2015-130883</t>
  </si>
  <si>
    <t>TEC-AC-10001956</t>
  </si>
  <si>
    <t>CA-2015-130890</t>
  </si>
  <si>
    <t>CA-2015-130974</t>
  </si>
  <si>
    <t>FUR-TA-10004619</t>
  </si>
  <si>
    <t>OFF-PA-10000743</t>
  </si>
  <si>
    <t>CA-2015-130995</t>
  </si>
  <si>
    <t>CA-2015-131072</t>
  </si>
  <si>
    <t>CA-2015-131128</t>
  </si>
  <si>
    <t>CA-2015-131338</t>
  </si>
  <si>
    <t>FUR-FU-10002157</t>
  </si>
  <si>
    <t>OFF-BI-10000545</t>
  </si>
  <si>
    <t>OFF-ST-10000642</t>
  </si>
  <si>
    <t>TEC-AC-10002600</t>
  </si>
  <si>
    <t>CA-2015-131352</t>
  </si>
  <si>
    <t>CA-2015-131422</t>
  </si>
  <si>
    <t>CA-2015-131457</t>
  </si>
  <si>
    <t>OFF-EN-10001509</t>
  </si>
  <si>
    <t>CA-2015-131534</t>
  </si>
  <si>
    <t>TEC-AC-10002253</t>
  </si>
  <si>
    <t>CA-2015-131597</t>
  </si>
  <si>
    <t>CA-2015-131758</t>
  </si>
  <si>
    <t>CA-2015-131779</t>
  </si>
  <si>
    <t>CA-2015-131856</t>
  </si>
  <si>
    <t>OFF-PA-10001954</t>
  </si>
  <si>
    <t>CA-2015-131884</t>
  </si>
  <si>
    <t>TEC-PH-10001578</t>
  </si>
  <si>
    <t>CA-2015-132080</t>
  </si>
  <si>
    <t>OFF-BI-10003694</t>
  </si>
  <si>
    <t>CA-2015-132101</t>
  </si>
  <si>
    <t>CA-2015-132136</t>
  </si>
  <si>
    <t>CA-2015-132276</t>
  </si>
  <si>
    <t>OFF-AP-10000804</t>
  </si>
  <si>
    <t>CA-2015-132318</t>
  </si>
  <si>
    <t>CA-2015-132374</t>
  </si>
  <si>
    <t>CA-2015-132388</t>
  </si>
  <si>
    <t>CA-2015-132465</t>
  </si>
  <si>
    <t>TEC-AC-10001998</t>
  </si>
  <si>
    <t>CA-2015-132486</t>
  </si>
  <si>
    <t>FUR-CH-10004540</t>
  </si>
  <si>
    <t>OFF-PA-10004971</t>
  </si>
  <si>
    <t>CA-2015-132507</t>
  </si>
  <si>
    <t>CA-2015-132570</t>
  </si>
  <si>
    <t>OFF-AR-10000369</t>
  </si>
  <si>
    <t>CA-2015-132626</t>
  </si>
  <si>
    <t>OFF-LA-10000476</t>
  </si>
  <si>
    <t>CA-2015-132633</t>
  </si>
  <si>
    <t>CA-2015-132815</t>
  </si>
  <si>
    <t>CA-2015-132906</t>
  </si>
  <si>
    <t>OFF-SU-10004498</t>
  </si>
  <si>
    <t>CA-2015-132941</t>
  </si>
  <si>
    <t>OFF-SU-10002557</t>
  </si>
  <si>
    <t>CA-2015-132948</t>
  </si>
  <si>
    <t>CA-2015-133025</t>
  </si>
  <si>
    <t>CA-2015-133242</t>
  </si>
  <si>
    <t>OFF-BI-10004002</t>
  </si>
  <si>
    <t>OFF-BI-10004826</t>
  </si>
  <si>
    <t>CA-2015-133396</t>
  </si>
  <si>
    <t>OFF-AR-10001446</t>
  </si>
  <si>
    <t>CA-2015-133445</t>
  </si>
  <si>
    <t>FUR-BO-10003660</t>
  </si>
  <si>
    <t>CA-2015-133452</t>
  </si>
  <si>
    <t>CA-2015-133494</t>
  </si>
  <si>
    <t>CA-2015-133536</t>
  </si>
  <si>
    <t>CA-2015-133585</t>
  </si>
  <si>
    <t>OFF-AR-10003696</t>
  </si>
  <si>
    <t>CA-2015-133627</t>
  </si>
  <si>
    <t>CA-2015-133837</t>
  </si>
  <si>
    <t>OFF-ST-10000344</t>
  </si>
  <si>
    <t>CA-2015-133977</t>
  </si>
  <si>
    <t>CA-2015-134075</t>
  </si>
  <si>
    <t>FUR-FU-10004597</t>
  </si>
  <si>
    <t>CA-2015-134082</t>
  </si>
  <si>
    <t>CA-2015-134117</t>
  </si>
  <si>
    <t>OFF-AR-10001940</t>
  </si>
  <si>
    <t>TEC-PH-10004908</t>
  </si>
  <si>
    <t>CA-2015-134201</t>
  </si>
  <si>
    <t>OFF-ST-10001476</t>
  </si>
  <si>
    <t>CA-2015-134257</t>
  </si>
  <si>
    <t>CA-2015-134719</t>
  </si>
  <si>
    <t>CA-2015-134747</t>
  </si>
  <si>
    <t>CA-2015-134782</t>
  </si>
  <si>
    <t>CA-2015-134859</t>
  </si>
  <si>
    <t>OFF-PA-10001293</t>
  </si>
  <si>
    <t>CA-2015-134894</t>
  </si>
  <si>
    <t>CA-2015-134922</t>
  </si>
  <si>
    <t>OFF-EN-10000483</t>
  </si>
  <si>
    <t>CA-2015-134943</t>
  </si>
  <si>
    <t>CA-2015-134992</t>
  </si>
  <si>
    <t>FUR-FU-10002554</t>
  </si>
  <si>
    <t>CA-2015-135020</t>
  </si>
  <si>
    <t>OFF-PA-10004255</t>
  </si>
  <si>
    <t>CA-2015-135174</t>
  </si>
  <si>
    <t>CA-2015-135251</t>
  </si>
  <si>
    <t>OFF-LA-10004544</t>
  </si>
  <si>
    <t>CA-2015-135272</t>
  </si>
  <si>
    <t>CA-2015-135314</t>
  </si>
  <si>
    <t>CA-2015-135363</t>
  </si>
  <si>
    <t>CA-2015-135391</t>
  </si>
  <si>
    <t>CA-2015-135489</t>
  </si>
  <si>
    <t>TEC-PH-10000011</t>
  </si>
  <si>
    <t>CA-2015-135510</t>
  </si>
  <si>
    <t>FUR-FU-10000820</t>
  </si>
  <si>
    <t>CA-2015-135538</t>
  </si>
  <si>
    <t>CA-2015-135545</t>
  </si>
  <si>
    <t>OFF-PA-10003892</t>
  </si>
  <si>
    <t>CA-2015-135580</t>
  </si>
  <si>
    <t>TEC-MA-10004002</t>
  </si>
  <si>
    <t>TEC-PH-10004345</t>
  </si>
  <si>
    <t>CA-2015-135622</t>
  </si>
  <si>
    <t>TEC-PH-10001817</t>
  </si>
  <si>
    <t>CA-2015-135685</t>
  </si>
  <si>
    <t>FUR-FU-10001185</t>
  </si>
  <si>
    <t>FUR-TA-10001520</t>
  </si>
  <si>
    <t>OFF-PA-10000157</t>
  </si>
  <si>
    <t>TEC-AC-10004145</t>
  </si>
  <si>
    <t>CA-2015-135727</t>
  </si>
  <si>
    <t>CA-2015-135853</t>
  </si>
  <si>
    <t>CA-2015-136105</t>
  </si>
  <si>
    <t>CA-2015-136147</t>
  </si>
  <si>
    <t>OFF-BI-10004224</t>
  </si>
  <si>
    <t>TEC-AC-10004568</t>
  </si>
  <si>
    <t>CA-2015-136196</t>
  </si>
  <si>
    <t>CA-2015-136224</t>
  </si>
  <si>
    <t>CA-2015-136378</t>
  </si>
  <si>
    <t>CA-2015-136420</t>
  </si>
  <si>
    <t>CA-2015-136469</t>
  </si>
  <si>
    <t>CA-2015-136658</t>
  </si>
  <si>
    <t>OFF-AR-10000817</t>
  </si>
  <si>
    <t>CA-2015-136700</t>
  </si>
  <si>
    <t>CA-2015-136728</t>
  </si>
  <si>
    <t>CA-2015-136735</t>
  </si>
  <si>
    <t>CA-2015-136798</t>
  </si>
  <si>
    <t>CA-2015-136805</t>
  </si>
  <si>
    <t>OFF-AP-10001394</t>
  </si>
  <si>
    <t>CA-2015-137064</t>
  </si>
  <si>
    <t>CA-2015-137071</t>
  </si>
  <si>
    <t>CA-2015-137106</t>
  </si>
  <si>
    <t>CA-2015-137113</t>
  </si>
  <si>
    <t>FUR-TA-10001705</t>
  </si>
  <si>
    <t>OFF-PA-10002222</t>
  </si>
  <si>
    <t>CA-2015-137225</t>
  </si>
  <si>
    <t>CA-2015-137281</t>
  </si>
  <si>
    <t>OFF-PA-10001870</t>
  </si>
  <si>
    <t>CA-2015-137302</t>
  </si>
  <si>
    <t>FUR-CH-10002017</t>
  </si>
  <si>
    <t>CA-2015-137512</t>
  </si>
  <si>
    <t>FUR-TA-10001095</t>
  </si>
  <si>
    <t>CA-2015-137526</t>
  </si>
  <si>
    <t>FUR-FU-10004845</t>
  </si>
  <si>
    <t>OFF-BI-10003364</t>
  </si>
  <si>
    <t>CA-2015-137603</t>
  </si>
  <si>
    <t>OFF-AR-10001972</t>
  </si>
  <si>
    <t>CA-2015-137708</t>
  </si>
  <si>
    <t>CA-2015-137750</t>
  </si>
  <si>
    <t>CA-2015-137897</t>
  </si>
  <si>
    <t>OFF-PA-10004041</t>
  </si>
  <si>
    <t>TEC-AC-10002217</t>
  </si>
  <si>
    <t>CA-2015-137925</t>
  </si>
  <si>
    <t>CA-2015-137946</t>
  </si>
  <si>
    <t>OFF-BI-10001922</t>
  </si>
  <si>
    <t>CA-2015-137974</t>
  </si>
  <si>
    <t>CA-2015-138002</t>
  </si>
  <si>
    <t>FUR-FU-10004748</t>
  </si>
  <si>
    <t>CA-2015-138009</t>
  </si>
  <si>
    <t>OFF-ST-10001272</t>
  </si>
  <si>
    <t>CA-2015-138219</t>
  </si>
  <si>
    <t>OFF-PA-10000380</t>
  </si>
  <si>
    <t>CA-2015-138331</t>
  </si>
  <si>
    <t>CA-2015-138457</t>
  </si>
  <si>
    <t>OFF-BI-10000014</t>
  </si>
  <si>
    <t>CA-2015-138485</t>
  </si>
  <si>
    <t>CA-2015-138492</t>
  </si>
  <si>
    <t>CA-2015-138534</t>
  </si>
  <si>
    <t>CA-2015-138625</t>
  </si>
  <si>
    <t>OFF-AP-10003099</t>
  </si>
  <si>
    <t>CA-2015-138674</t>
  </si>
  <si>
    <t>TEC-AC-10000358</t>
  </si>
  <si>
    <t>CA-2015-138898</t>
  </si>
  <si>
    <t>CA-2015-138954</t>
  </si>
  <si>
    <t>OFF-BI-10003963</t>
  </si>
  <si>
    <t>CA-2015-139094</t>
  </si>
  <si>
    <t>CA-2015-139164</t>
  </si>
  <si>
    <t>CA-2015-139248</t>
  </si>
  <si>
    <t>CA-2015-139290</t>
  </si>
  <si>
    <t>OFF-LA-10004008</t>
  </si>
  <si>
    <t>CA-2015-139374</t>
  </si>
  <si>
    <t>CA-2015-139584</t>
  </si>
  <si>
    <t>CA-2015-139731</t>
  </si>
  <si>
    <t>TEC-AC-10004975</t>
  </si>
  <si>
    <t>CA-2015-139738</t>
  </si>
  <si>
    <t>CA-2015-139780</t>
  </si>
  <si>
    <t>OFF-BI-10004139</t>
  </si>
  <si>
    <t>CA-2015-139850</t>
  </si>
  <si>
    <t>CA-2015-139962</t>
  </si>
  <si>
    <t>OFF-PA-10004451</t>
  </si>
  <si>
    <t>CA-2015-140025</t>
  </si>
  <si>
    <t>CA-2015-140144</t>
  </si>
  <si>
    <t>CA-2015-140221</t>
  </si>
  <si>
    <t>CA-2015-140375</t>
  </si>
  <si>
    <t>CA-2015-140410</t>
  </si>
  <si>
    <t>FUR-FU-10003347</t>
  </si>
  <si>
    <t>TEC-AC-10001109</t>
  </si>
  <si>
    <t>TEC-PH-10003580</t>
  </si>
  <si>
    <t>CA-2015-140557</t>
  </si>
  <si>
    <t>CA-2015-140718</t>
  </si>
  <si>
    <t>OFF-PA-10002250</t>
  </si>
  <si>
    <t>CA-2015-140830</t>
  </si>
  <si>
    <t>CA-2015-140984</t>
  </si>
  <si>
    <t>CA-2015-141012</t>
  </si>
  <si>
    <t>TEC-PH-10004522</t>
  </si>
  <si>
    <t>CA-2015-141040</t>
  </si>
  <si>
    <t>CA-2015-141145</t>
  </si>
  <si>
    <t>CA-2015-141243</t>
  </si>
  <si>
    <t>CA-2015-141250</t>
  </si>
  <si>
    <t>CA-2015-141327</t>
  </si>
  <si>
    <t>FUR-FU-10000576</t>
  </si>
  <si>
    <t>CA-2015-141565</t>
  </si>
  <si>
    <t>CA-2015-141593</t>
  </si>
  <si>
    <t>FUR-TA-10002622</t>
  </si>
  <si>
    <t>OFF-BI-10001153</t>
  </si>
  <si>
    <t>CA-2015-141740</t>
  </si>
  <si>
    <t>FUR-CH-10001545</t>
  </si>
  <si>
    <t>CA-2015-141754</t>
  </si>
  <si>
    <t>OFF-LA-10004093</t>
  </si>
  <si>
    <t>CA-2015-141768</t>
  </si>
  <si>
    <t>CA-2015-141810</t>
  </si>
  <si>
    <t>TEC-PH-10002200</t>
  </si>
  <si>
    <t>CA-2015-141936</t>
  </si>
  <si>
    <t>CA-2015-142027</t>
  </si>
  <si>
    <t>FUR-TA-10002774</t>
  </si>
  <si>
    <t>CA-2015-142041</t>
  </si>
  <si>
    <t>CA-2015-142055</t>
  </si>
  <si>
    <t>CA-2015-142139</t>
  </si>
  <si>
    <t>CA-2015-142202</t>
  </si>
  <si>
    <t>CA-2015-142237</t>
  </si>
  <si>
    <t>FUR-FU-10003142</t>
  </si>
  <si>
    <t>FUR-FU-10004848</t>
  </si>
  <si>
    <t>OFF-BI-10004022</t>
  </si>
  <si>
    <t>CA-2015-142377</t>
  </si>
  <si>
    <t>CA-2015-142419</t>
  </si>
  <si>
    <t>OFF-PA-10001763</t>
  </si>
  <si>
    <t>CA-2015-142433</t>
  </si>
  <si>
    <t>CA-2015-142454</t>
  </si>
  <si>
    <t>OFF-ST-10003638</t>
  </si>
  <si>
    <t>CA-2015-142475</t>
  </si>
  <si>
    <t>OFF-BI-10003718</t>
  </si>
  <si>
    <t>CA-2015-142601</t>
  </si>
  <si>
    <t>CA-2015-142692</t>
  </si>
  <si>
    <t>CA-2015-142734</t>
  </si>
  <si>
    <t>FUR-CH-10003968</t>
  </si>
  <si>
    <t>CA-2015-142755</t>
  </si>
  <si>
    <t>CA-2015-142930</t>
  </si>
  <si>
    <t>CA-2015-142937</t>
  </si>
  <si>
    <t>CA-2015-142944</t>
  </si>
  <si>
    <t>TEC-CO-10003763</t>
  </si>
  <si>
    <t>CA-2015-142993</t>
  </si>
  <si>
    <t>CA-2015-143077</t>
  </si>
  <si>
    <t>FUR-FU-10003535</t>
  </si>
  <si>
    <t>CA-2015-143105</t>
  </si>
  <si>
    <t>OFF-PA-10002713</t>
  </si>
  <si>
    <t>CA-2015-143119</t>
  </si>
  <si>
    <t>CA-2015-143147</t>
  </si>
  <si>
    <t>CA-2015-143364</t>
  </si>
  <si>
    <t>OFF-PA-10001846</t>
  </si>
  <si>
    <t>CA-2015-143490</t>
  </si>
  <si>
    <t>CA-2015-143532</t>
  </si>
  <si>
    <t>CA-2015-143602</t>
  </si>
  <si>
    <t>CA-2015-143616</t>
  </si>
  <si>
    <t>CA-2015-143700</t>
  </si>
  <si>
    <t>CA-2015-143882</t>
  </si>
  <si>
    <t>OFF-PA-10004040</t>
  </si>
  <si>
    <t>CA-2015-143980</t>
  </si>
  <si>
    <t>CA-2015-144043</t>
  </si>
  <si>
    <t>CA-2015-144099</t>
  </si>
  <si>
    <t>CA-2015-144190</t>
  </si>
  <si>
    <t>CA-2015-144253</t>
  </si>
  <si>
    <t>FUR-FU-10002671</t>
  </si>
  <si>
    <t>CA-2015-144267</t>
  </si>
  <si>
    <t>FUR-CH-10002335</t>
  </si>
  <si>
    <t>OFF-PA-10003657</t>
  </si>
  <si>
    <t>CA-2015-144274</t>
  </si>
  <si>
    <t>CA-2015-144288</t>
  </si>
  <si>
    <t>OFF-PA-10002787</t>
  </si>
  <si>
    <t>CA-2015-144302</t>
  </si>
  <si>
    <t>CA-2015-144519</t>
  </si>
  <si>
    <t>CA-2015-144652</t>
  </si>
  <si>
    <t>CA-2015-144722</t>
  </si>
  <si>
    <t>FUR-FU-10001215</t>
  </si>
  <si>
    <t>CA-2015-144806</t>
  </si>
  <si>
    <t>CA-2015-145065</t>
  </si>
  <si>
    <t>OFF-BI-10002437</t>
  </si>
  <si>
    <t>CA-2015-145184</t>
  </si>
  <si>
    <t>TEC-AC-10000397</t>
  </si>
  <si>
    <t>TEC-PH-10002350</t>
  </si>
  <si>
    <t>CA-2015-145324</t>
  </si>
  <si>
    <t>CA-2015-145352</t>
  </si>
  <si>
    <t>OFF-AR-10003856</t>
  </si>
  <si>
    <t>CA-2015-145394</t>
  </si>
  <si>
    <t>CA-2015-145415</t>
  </si>
  <si>
    <t>CA-2015-145457</t>
  </si>
  <si>
    <t>FUR-FU-10003832</t>
  </si>
  <si>
    <t>CA-2015-145485</t>
  </si>
  <si>
    <t>OFF-ST-10000649</t>
  </si>
  <si>
    <t>CA-2015-145814</t>
  </si>
  <si>
    <t>CA-2015-145821</t>
  </si>
  <si>
    <t>TEC-PH-10004348</t>
  </si>
  <si>
    <t>CA-2015-145828</t>
  </si>
  <si>
    <t>CA-2015-145835</t>
  </si>
  <si>
    <t>CA-2015-145849</t>
  </si>
  <si>
    <t>CA-2015-146038</t>
  </si>
  <si>
    <t>CA-2015-146087</t>
  </si>
  <si>
    <t>FUR-BO-10002824</t>
  </si>
  <si>
    <t>CA-2015-146255</t>
  </si>
  <si>
    <t>TEC-AC-10004469</t>
  </si>
  <si>
    <t>CA-2015-146262</t>
  </si>
  <si>
    <t>CA-2015-146290</t>
  </si>
  <si>
    <t>CA-2015-146465</t>
  </si>
  <si>
    <t>OFF-BI-10004528</t>
  </si>
  <si>
    <t>CA-2015-146486</t>
  </si>
  <si>
    <t>TEC-AC-10002637</t>
  </si>
  <si>
    <t>CA-2015-146563</t>
  </si>
  <si>
    <t>CA-2015-146675</t>
  </si>
  <si>
    <t>CA-2015-146696</t>
  </si>
  <si>
    <t>CA-2015-146829</t>
  </si>
  <si>
    <t>CA-2015-146948</t>
  </si>
  <si>
    <t>OFF-FA-10001332</t>
  </si>
  <si>
    <t>CA-2015-147011</t>
  </si>
  <si>
    <t>CA-2015-147102</t>
  </si>
  <si>
    <t>TEC-AC-10000682</t>
  </si>
  <si>
    <t>CA-2015-147501</t>
  </si>
  <si>
    <t>OFF-BI-10002003</t>
  </si>
  <si>
    <t>CA-2015-147529</t>
  </si>
  <si>
    <t>CA-2015-147690</t>
  </si>
  <si>
    <t>CA-2015-147788</t>
  </si>
  <si>
    <t>CA-2015-147816</t>
  </si>
  <si>
    <t>CA-2015-147830</t>
  </si>
  <si>
    <t>TEC-MA-10000418</t>
  </si>
  <si>
    <t>CA-2015-147851</t>
  </si>
  <si>
    <t>CA-2015-147879</t>
  </si>
  <si>
    <t>CA-2015-148180</t>
  </si>
  <si>
    <t>CA-2015-148250</t>
  </si>
  <si>
    <t>OFF-AP-10003040</t>
  </si>
  <si>
    <t>CA-2015-148376</t>
  </si>
  <si>
    <t>OFF-LA-10002381</t>
  </si>
  <si>
    <t>CA-2015-148432</t>
  </si>
  <si>
    <t>OFF-FA-10004968</t>
  </si>
  <si>
    <t>CA-2015-148495</t>
  </si>
  <si>
    <t>CA-2015-148628</t>
  </si>
  <si>
    <t>CA-2015-148635</t>
  </si>
  <si>
    <t>OFF-PA-10004782</t>
  </si>
  <si>
    <t>CA-2015-148705</t>
  </si>
  <si>
    <t>CA-2015-148712</t>
  </si>
  <si>
    <t>OFF-AR-10000614</t>
  </si>
  <si>
    <t>CA-2015-148859</t>
  </si>
  <si>
    <t>CA-2015-148873</t>
  </si>
  <si>
    <t>CA-2015-148964</t>
  </si>
  <si>
    <t>CA-2015-149083</t>
  </si>
  <si>
    <t>CA-2015-149097</t>
  </si>
  <si>
    <t>FUR-FU-10003424</t>
  </si>
  <si>
    <t>FUR-TA-10001086</t>
  </si>
  <si>
    <t>CA-2015-149342</t>
  </si>
  <si>
    <t>FUR-FU-10002937</t>
  </si>
  <si>
    <t>CA-2015-149384</t>
  </si>
  <si>
    <t>CA-2015-149517</t>
  </si>
  <si>
    <t>CA-2015-149566</t>
  </si>
  <si>
    <t>CA-2015-149587</t>
  </si>
  <si>
    <t>CA-2015-149601</t>
  </si>
  <si>
    <t>OFF-ST-10001328</t>
  </si>
  <si>
    <t>CA-2015-149636</t>
  </si>
  <si>
    <t>CA-2015-149650</t>
  </si>
  <si>
    <t>CA-2015-149678</t>
  </si>
  <si>
    <t>CA-2015-149713</t>
  </si>
  <si>
    <t>OFF-PA-10001450</t>
  </si>
  <si>
    <t>CA-2015-149734</t>
  </si>
  <si>
    <t>CA-2015-149748</t>
  </si>
  <si>
    <t>FUR-FU-10001847</t>
  </si>
  <si>
    <t>CA-2015-149811</t>
  </si>
  <si>
    <t>CA-2015-149846</t>
  </si>
  <si>
    <t>CA-2015-149909</t>
  </si>
  <si>
    <t>OFF-PA-10000726</t>
  </si>
  <si>
    <t>CA-2015-149972</t>
  </si>
  <si>
    <t>CA-2015-149993</t>
  </si>
  <si>
    <t>CA-2015-150196</t>
  </si>
  <si>
    <t>CA-2015-150308</t>
  </si>
  <si>
    <t>TEC-PH-10001433</t>
  </si>
  <si>
    <t>CA-2015-150413</t>
  </si>
  <si>
    <t>OFF-BI-10000404</t>
  </si>
  <si>
    <t>CA-2015-150441</t>
  </si>
  <si>
    <t>CA-2015-150511</t>
  </si>
  <si>
    <t>CA-2015-150560</t>
  </si>
  <si>
    <t>CA-2015-150714</t>
  </si>
  <si>
    <t>OFF-PA-10001497</t>
  </si>
  <si>
    <t>CA-2015-150749</t>
  </si>
  <si>
    <t>CA-2015-150770</t>
  </si>
  <si>
    <t>CA-2015-150791</t>
  </si>
  <si>
    <t>FUR-CH-10000665</t>
  </si>
  <si>
    <t>CA-2015-150875</t>
  </si>
  <si>
    <t>TEC-PH-10001254</t>
  </si>
  <si>
    <t>CA-2015-151043</t>
  </si>
  <si>
    <t>TEC-AC-10001090</t>
  </si>
  <si>
    <t>CA-2015-151253</t>
  </si>
  <si>
    <t>CA-2015-151470</t>
  </si>
  <si>
    <t>OFF-BI-10004040</t>
  </si>
  <si>
    <t>CA-2015-151547</t>
  </si>
  <si>
    <t>CA-2015-151589</t>
  </si>
  <si>
    <t>CA-2015-151624</t>
  </si>
  <si>
    <t>CA-2015-151680</t>
  </si>
  <si>
    <t>FUR-FU-10000305</t>
  </si>
  <si>
    <t>CA-2015-151722</t>
  </si>
  <si>
    <t>CA-2015-151785</t>
  </si>
  <si>
    <t>CA-2015-151841</t>
  </si>
  <si>
    <t>CA-2015-151869</t>
  </si>
  <si>
    <t>CA-2015-152513</t>
  </si>
  <si>
    <t>CA-2015-152611</t>
  </si>
  <si>
    <t>OFF-AR-10003903</t>
  </si>
  <si>
    <t>CA-2015-152681</t>
  </si>
  <si>
    <t>CA-2015-152891</t>
  </si>
  <si>
    <t>CA-2015-153038</t>
  </si>
  <si>
    <t>CA-2015-153073</t>
  </si>
  <si>
    <t>FUR-FU-10001025</t>
  </si>
  <si>
    <t>CA-2015-153108</t>
  </si>
  <si>
    <t>OFF-AP-10002222</t>
  </si>
  <si>
    <t>CA-2015-153220</t>
  </si>
  <si>
    <t>CA-2015-153325</t>
  </si>
  <si>
    <t>OFF-BI-10004236</t>
  </si>
  <si>
    <t>CA-2015-153381</t>
  </si>
  <si>
    <t>CA-2015-153388</t>
  </si>
  <si>
    <t>CA-2015-153416</t>
  </si>
  <si>
    <t>OFF-BI-10002813</t>
  </si>
  <si>
    <t>OFF-ST-10000060</t>
  </si>
  <si>
    <t>CA-2015-153423</t>
  </si>
  <si>
    <t>CA-2015-153535</t>
  </si>
  <si>
    <t>CA-2015-153549</t>
  </si>
  <si>
    <t>CA-2015-153626</t>
  </si>
  <si>
    <t>CA-2015-153717</t>
  </si>
  <si>
    <t>FUR-BO-10004360</t>
  </si>
  <si>
    <t>CA-2015-153738</t>
  </si>
  <si>
    <t>CA-2015-153752</t>
  </si>
  <si>
    <t>CA-2015-153794</t>
  </si>
  <si>
    <t>CA-2015-153878</t>
  </si>
  <si>
    <t>CA-2015-153906</t>
  </si>
  <si>
    <t>CA-2015-154144</t>
  </si>
  <si>
    <t>CA-2015-154200</t>
  </si>
  <si>
    <t>CA-2015-154284</t>
  </si>
  <si>
    <t>FUR-FU-10003039</t>
  </si>
  <si>
    <t>CA-2015-154291</t>
  </si>
  <si>
    <t>CA-2015-154326</t>
  </si>
  <si>
    <t>CA-2015-154340</t>
  </si>
  <si>
    <t>CA-2015-154620</t>
  </si>
  <si>
    <t>CA-2015-154746</t>
  </si>
  <si>
    <t>OFF-AP-10003057</t>
  </si>
  <si>
    <t>CA-2015-154795</t>
  </si>
  <si>
    <t>CA-2015-154823</t>
  </si>
  <si>
    <t>CA-2015-154886</t>
  </si>
  <si>
    <t>CA-2015-154900</t>
  </si>
  <si>
    <t>CA-2015-154921</t>
  </si>
  <si>
    <t>CA-2015-154956</t>
  </si>
  <si>
    <t>CA-2015-154970</t>
  </si>
  <si>
    <t>CA-2015-155040</t>
  </si>
  <si>
    <t>CA-2015-155054</t>
  </si>
  <si>
    <t>CA-2015-155068</t>
  </si>
  <si>
    <t>TEC-PH-10004924</t>
  </si>
  <si>
    <t>CA-2015-155124</t>
  </si>
  <si>
    <t>TEC-PH-10003356</t>
  </si>
  <si>
    <t>CA-2015-155145</t>
  </si>
  <si>
    <t>CA-2015-155306</t>
  </si>
  <si>
    <t>OFF-PA-10001184</t>
  </si>
  <si>
    <t>CA-2015-155334</t>
  </si>
  <si>
    <t>CA-2015-155453</t>
  </si>
  <si>
    <t>CA-2015-155586</t>
  </si>
  <si>
    <t>CA-2015-155600</t>
  </si>
  <si>
    <t>CA-2015-155635</t>
  </si>
  <si>
    <t>CA-2015-155761</t>
  </si>
  <si>
    <t>CA-2015-156013</t>
  </si>
  <si>
    <t>CA-2015-156104</t>
  </si>
  <si>
    <t>CA-2015-156118</t>
  </si>
  <si>
    <t>CA-2015-156146</t>
  </si>
  <si>
    <t>CA-2015-156153</t>
  </si>
  <si>
    <t>CA-2015-156328</t>
  </si>
  <si>
    <t>TEC-PH-10001198</t>
  </si>
  <si>
    <t>CA-2015-156335</t>
  </si>
  <si>
    <t>CA-2015-156377</t>
  </si>
  <si>
    <t>CA-2015-156440</t>
  </si>
  <si>
    <t>CA-2015-156482</t>
  </si>
  <si>
    <t>CA-2015-156510</t>
  </si>
  <si>
    <t>CA-2015-156524</t>
  </si>
  <si>
    <t>CA-2015-156566</t>
  </si>
  <si>
    <t>CA-2015-156608</t>
  </si>
  <si>
    <t>CA-2015-156734</t>
  </si>
  <si>
    <t>CA-2015-156755</t>
  </si>
  <si>
    <t>CA-2015-156853</t>
  </si>
  <si>
    <t>OFF-PA-10003656</t>
  </si>
  <si>
    <t>CA-2015-156923</t>
  </si>
  <si>
    <t>CA-2015-157028</t>
  </si>
  <si>
    <t>CA-2015-157035</t>
  </si>
  <si>
    <t>OFF-PA-10004156</t>
  </si>
  <si>
    <t>CA-2015-157084</t>
  </si>
  <si>
    <t>CA-2015-157133</t>
  </si>
  <si>
    <t>CA-2015-157287</t>
  </si>
  <si>
    <t>CA-2015-157322</t>
  </si>
  <si>
    <t>CA-2015-157343</t>
  </si>
  <si>
    <t>CA-2015-157434</t>
  </si>
  <si>
    <t>CA-2015-157770</t>
  </si>
  <si>
    <t>CA-2015-157805</t>
  </si>
  <si>
    <t>CA-2015-157812</t>
  </si>
  <si>
    <t>OFF-BI-10000285</t>
  </si>
  <si>
    <t>CA-2015-157959</t>
  </si>
  <si>
    <t>FUR-FU-10004093</t>
  </si>
  <si>
    <t>CA-2015-158148</t>
  </si>
  <si>
    <t>CA-2015-158323</t>
  </si>
  <si>
    <t>CA-2015-158351</t>
  </si>
  <si>
    <t>CA-2015-158421</t>
  </si>
  <si>
    <t>OFF-PA-10001801</t>
  </si>
  <si>
    <t>CA-2015-158456</t>
  </si>
  <si>
    <t>CA-2015-158491</t>
  </si>
  <si>
    <t>TEC-AC-10001874</t>
  </si>
  <si>
    <t>TEC-AC-10003870</t>
  </si>
  <si>
    <t>CA-2015-158659</t>
  </si>
  <si>
    <t>CA-2015-158701</t>
  </si>
  <si>
    <t>CA-2015-158792</t>
  </si>
  <si>
    <t>CA-2015-158918</t>
  </si>
  <si>
    <t>CA-2015-158939</t>
  </si>
  <si>
    <t>TEC-CO-10002313</t>
  </si>
  <si>
    <t>CA-2015-159380</t>
  </si>
  <si>
    <t>OFF-PA-10003893</t>
  </si>
  <si>
    <t>OFF-PA-10004239</t>
  </si>
  <si>
    <t>CA-2015-159534</t>
  </si>
  <si>
    <t>OFF-EN-10004386</t>
  </si>
  <si>
    <t>CA-2015-159590</t>
  </si>
  <si>
    <t>CA-2015-159779</t>
  </si>
  <si>
    <t>CA-2015-159786</t>
  </si>
  <si>
    <t>FUR-TA-10001307</t>
  </si>
  <si>
    <t>CA-2015-159863</t>
  </si>
  <si>
    <t>CA-2015-160059</t>
  </si>
  <si>
    <t>CA-2015-160171</t>
  </si>
  <si>
    <t>CA-2015-160213</t>
  </si>
  <si>
    <t>CA-2015-160227</t>
  </si>
  <si>
    <t>CA-2015-160472</t>
  </si>
  <si>
    <t>OFF-PA-10003129</t>
  </si>
  <si>
    <t>CA-2015-160696</t>
  </si>
  <si>
    <t>CA-2015-160787</t>
  </si>
  <si>
    <t>CA-2015-160794</t>
  </si>
  <si>
    <t>CA-2015-160864</t>
  </si>
  <si>
    <t>CA-2015-161214</t>
  </si>
  <si>
    <t>CA-2015-161242</t>
  </si>
  <si>
    <t>CA-2015-161263</t>
  </si>
  <si>
    <t>TEC-PH-10002115</t>
  </si>
  <si>
    <t>CA-2015-161445</t>
  </si>
  <si>
    <t>CA-2015-161452</t>
  </si>
  <si>
    <t>CA-2015-161627</t>
  </si>
  <si>
    <t>CA-2015-161711</t>
  </si>
  <si>
    <t>CA-2015-161718</t>
  </si>
  <si>
    <t>FUR-FU-10002445</t>
  </si>
  <si>
    <t>CA-2015-161767</t>
  </si>
  <si>
    <t>TEC-MA-10002790</t>
  </si>
  <si>
    <t>CA-2015-161795</t>
  </si>
  <si>
    <t>CA-2015-161830</t>
  </si>
  <si>
    <t>CA-2015-161998</t>
  </si>
  <si>
    <t>OFF-AR-10004022</t>
  </si>
  <si>
    <t>OFF-SU-10004261</t>
  </si>
  <si>
    <t>CA-2015-162047</t>
  </si>
  <si>
    <t>CA-2015-162166</t>
  </si>
  <si>
    <t>OFF-PA-10002606</t>
  </si>
  <si>
    <t>CA-2015-162201</t>
  </si>
  <si>
    <t>OFF-PA-10001215</t>
  </si>
  <si>
    <t>CA-2015-162369</t>
  </si>
  <si>
    <t>CA-2015-162376</t>
  </si>
  <si>
    <t>OFF-PA-10000300</t>
  </si>
  <si>
    <t>CA-2015-162537</t>
  </si>
  <si>
    <t>CA-2015-162544</t>
  </si>
  <si>
    <t>CA-2015-162607</t>
  </si>
  <si>
    <t>CA-2015-162621</t>
  </si>
  <si>
    <t>CA-2015-162761</t>
  </si>
  <si>
    <t>OFF-AR-10001761</t>
  </si>
  <si>
    <t>CA-2015-162782</t>
  </si>
  <si>
    <t>CA-2015-162887</t>
  </si>
  <si>
    <t>CA-2015-162950</t>
  </si>
  <si>
    <t>FUR-BO-10001918</t>
  </si>
  <si>
    <t>CA-2015-162964</t>
  </si>
  <si>
    <t>CA-2015-163055</t>
  </si>
  <si>
    <t>OFF-AR-10001026</t>
  </si>
  <si>
    <t>OFF-ST-10002485</t>
  </si>
  <si>
    <t>CA-2015-163090</t>
  </si>
  <si>
    <t>CA-2015-163104</t>
  </si>
  <si>
    <t>CA-2015-163181</t>
  </si>
  <si>
    <t>TEC-MA-10001016</t>
  </si>
  <si>
    <t>CA-2015-163237</t>
  </si>
  <si>
    <t>OFF-LA-10004545</t>
  </si>
  <si>
    <t>TEC-PH-10003601</t>
  </si>
  <si>
    <t>CA-2015-163440</t>
  </si>
  <si>
    <t>CA-2015-163587</t>
  </si>
  <si>
    <t>CA-2015-163734</t>
  </si>
  <si>
    <t>CA-2015-163762</t>
  </si>
  <si>
    <t>CA-2015-163895</t>
  </si>
  <si>
    <t>CA-2015-163923</t>
  </si>
  <si>
    <t>CA-2015-163965</t>
  </si>
  <si>
    <t>CA-2015-164007</t>
  </si>
  <si>
    <t>CA-2015-164084</t>
  </si>
  <si>
    <t>TEC-AC-10002305</t>
  </si>
  <si>
    <t>CA-2015-164301</t>
  </si>
  <si>
    <t>CA-2015-164336</t>
  </si>
  <si>
    <t>CA-2015-164427</t>
  </si>
  <si>
    <t>CA-2015-164441</t>
  </si>
  <si>
    <t>CA-2015-164497</t>
  </si>
  <si>
    <t>OFF-AP-10004655</t>
  </si>
  <si>
    <t>CA-2015-164539</t>
  </si>
  <si>
    <t>OFF-AP-10002457</t>
  </si>
  <si>
    <t>CA-2015-164623</t>
  </si>
  <si>
    <t>CA-2015-164777</t>
  </si>
  <si>
    <t>CA-2015-164833</t>
  </si>
  <si>
    <t>CA-2015-164882</t>
  </si>
  <si>
    <t>CA-2015-165050</t>
  </si>
  <si>
    <t>CA-2015-165057</t>
  </si>
  <si>
    <t>CA-2015-165085</t>
  </si>
  <si>
    <t>OFF-PA-10000605</t>
  </si>
  <si>
    <t>CA-2015-165162</t>
  </si>
  <si>
    <t>CA-2015-165414</t>
  </si>
  <si>
    <t>TEC-PH-10002293</t>
  </si>
  <si>
    <t>CA-2015-165554</t>
  </si>
  <si>
    <t>CA-2015-165624</t>
  </si>
  <si>
    <t>OFF-PA-10002499</t>
  </si>
  <si>
    <t>CA-2015-165799</t>
  </si>
  <si>
    <t>CA-2015-165813</t>
  </si>
  <si>
    <t>CA-2015-166135</t>
  </si>
  <si>
    <t>CA-2015-166219</t>
  </si>
  <si>
    <t>CA-2015-166338</t>
  </si>
  <si>
    <t>CA-2015-166464</t>
  </si>
  <si>
    <t>OFF-LA-10001317</t>
  </si>
  <si>
    <t>CA-2015-166492</t>
  </si>
  <si>
    <t>CA-2015-166583</t>
  </si>
  <si>
    <t>CA-2015-166604</t>
  </si>
  <si>
    <t>CA-2015-166800</t>
  </si>
  <si>
    <t>CA-2015-166947</t>
  </si>
  <si>
    <t>CA-2015-166975</t>
  </si>
  <si>
    <t>FUR-FU-10003930</t>
  </si>
  <si>
    <t>CA-2015-167010</t>
  </si>
  <si>
    <t>FUR-FU-10001037</t>
  </si>
  <si>
    <t>OFF-BI-10002072</t>
  </si>
  <si>
    <t>CA-2015-167255</t>
  </si>
  <si>
    <t>CA-2015-167269</t>
  </si>
  <si>
    <t>CA-2015-167374</t>
  </si>
  <si>
    <t>CA-2015-167479</t>
  </si>
  <si>
    <t>CA-2015-167696</t>
  </si>
  <si>
    <t>CA-2015-167745</t>
  </si>
  <si>
    <t>OFF-SU-10004782</t>
  </si>
  <si>
    <t>CA-2015-168004</t>
  </si>
  <si>
    <t>CA-2015-168088</t>
  </si>
  <si>
    <t>CA-2015-168186</t>
  </si>
  <si>
    <t>CA-2015-168207</t>
  </si>
  <si>
    <t>FUR-FU-10004909</t>
  </si>
  <si>
    <t>CA-2015-168277</t>
  </si>
  <si>
    <t>CA-2015-168459</t>
  </si>
  <si>
    <t>CA-2015-168480</t>
  </si>
  <si>
    <t>CA-2015-168529</t>
  </si>
  <si>
    <t>CA-2015-168564</t>
  </si>
  <si>
    <t>CA-2015-168634</t>
  </si>
  <si>
    <t>CA-2015-168746</t>
  </si>
  <si>
    <t>TEC-PH-10002555</t>
  </si>
  <si>
    <t>CA-2015-168760</t>
  </si>
  <si>
    <t>OFF-AP-10004532</t>
  </si>
  <si>
    <t>CA-2015-168767</t>
  </si>
  <si>
    <t>CA-2015-168809</t>
  </si>
  <si>
    <t>CA-2015-169201</t>
  </si>
  <si>
    <t>OFF-AP-10002082</t>
  </si>
  <si>
    <t>CA-2015-169278</t>
  </si>
  <si>
    <t>CA-2015-169299</t>
  </si>
  <si>
    <t>CA-2015-169397</t>
  </si>
  <si>
    <t>OFF-AR-10001958</t>
  </si>
  <si>
    <t>TEC-MA-10001148</t>
  </si>
  <si>
    <t>CA-2015-169537</t>
  </si>
  <si>
    <t>CA-2015-169572</t>
  </si>
  <si>
    <t>CA-2015-169656</t>
  </si>
  <si>
    <t>CA-2015-169677</t>
  </si>
  <si>
    <t>CA-2015-169733</t>
  </si>
  <si>
    <t>CA-2015-169740</t>
  </si>
  <si>
    <t>TEC-AC-10000927</t>
  </si>
  <si>
    <t>CA-2015-169796</t>
  </si>
  <si>
    <t>CA-2016-100041</t>
  </si>
  <si>
    <t>CA-2016-100083</t>
  </si>
  <si>
    <t>OFF-PA-10000241</t>
  </si>
  <si>
    <t>CA-2016-100153</t>
  </si>
  <si>
    <t>CA-2016-100244</t>
  </si>
  <si>
    <t>OFF-AR-10000940</t>
  </si>
  <si>
    <t>CA-2016-100300</t>
  </si>
  <si>
    <t>OFF-AP-10001242</t>
  </si>
  <si>
    <t>TEC-MA-10000984</t>
  </si>
  <si>
    <t>CA-2016-100307</t>
  </si>
  <si>
    <t>OFF-PA-10002552</t>
  </si>
  <si>
    <t>CA-2016-100468</t>
  </si>
  <si>
    <t>TEC-PH-10001300</t>
  </si>
  <si>
    <t>CA-2016-100510</t>
  </si>
  <si>
    <t>CA-2016-100587</t>
  </si>
  <si>
    <t>CA-2016-100671</t>
  </si>
  <si>
    <t>CA-2016-100790</t>
  </si>
  <si>
    <t>CA-2016-100944</t>
  </si>
  <si>
    <t>CA-2016-100965</t>
  </si>
  <si>
    <t>CA-2016-100993</t>
  </si>
  <si>
    <t>TEC-PH-10001448</t>
  </si>
  <si>
    <t>CA-2016-101161</t>
  </si>
  <si>
    <t>OFF-AR-10001860</t>
  </si>
  <si>
    <t>CA-2016-101168</t>
  </si>
  <si>
    <t>CA-2016-101189</t>
  </si>
  <si>
    <t>OFF-ST-10004180</t>
  </si>
  <si>
    <t>CA-2016-101329</t>
  </si>
  <si>
    <t>CA-2016-101336</t>
  </si>
  <si>
    <t>CA-2016-101343</t>
  </si>
  <si>
    <t>CA-2016-101378</t>
  </si>
  <si>
    <t>CA-2016-101385</t>
  </si>
  <si>
    <t>CA-2016-101448</t>
  </si>
  <si>
    <t>CA-2016-101469</t>
  </si>
  <si>
    <t>OFF-AR-10003986</t>
  </si>
  <si>
    <t>CA-2016-101525</t>
  </si>
  <si>
    <t>CA-2016-101546</t>
  </si>
  <si>
    <t>CA-2016-101623</t>
  </si>
  <si>
    <t>CA-2016-101630</t>
  </si>
  <si>
    <t>CA-2016-101651</t>
  </si>
  <si>
    <t>CA-2016-101672</t>
  </si>
  <si>
    <t>CA-2016-101693</t>
  </si>
  <si>
    <t>FUR-FU-10003919</t>
  </si>
  <si>
    <t>CA-2016-101742</t>
  </si>
  <si>
    <t>CA-2016-101791</t>
  </si>
  <si>
    <t>CA-2016-101938</t>
  </si>
  <si>
    <t>CA-2016-101966</t>
  </si>
  <si>
    <t>TEC-PH-10003437</t>
  </si>
  <si>
    <t>CA-2016-101980</t>
  </si>
  <si>
    <t>OFF-BI-10004318</t>
  </si>
  <si>
    <t>CA-2016-101987</t>
  </si>
  <si>
    <t>CA-2016-102092</t>
  </si>
  <si>
    <t>CA-2016-102127</t>
  </si>
  <si>
    <t>FUR-FU-10003976</t>
  </si>
  <si>
    <t>CA-2016-102134</t>
  </si>
  <si>
    <t>CA-2016-102162</t>
  </si>
  <si>
    <t>OFF-EN-10002312</t>
  </si>
  <si>
    <t>CA-2016-102456</t>
  </si>
  <si>
    <t>CA-2016-102498</t>
  </si>
  <si>
    <t>CA-2016-102561</t>
  </si>
  <si>
    <t>CA-2016-102596</t>
  </si>
  <si>
    <t>CA-2016-102792</t>
  </si>
  <si>
    <t>CA-2016-102813</t>
  </si>
  <si>
    <t>OFF-PA-10000520</t>
  </si>
  <si>
    <t>CA-2016-102932</t>
  </si>
  <si>
    <t>CA-2016-102981</t>
  </si>
  <si>
    <t>CA-2016-103037</t>
  </si>
  <si>
    <t>OFF-LA-10004345</t>
  </si>
  <si>
    <t>CA-2016-103107</t>
  </si>
  <si>
    <t>CA-2016-103128</t>
  </si>
  <si>
    <t>CA-2016-103163</t>
  </si>
  <si>
    <t>CA-2016-103359</t>
  </si>
  <si>
    <t>CA-2016-103464</t>
  </si>
  <si>
    <t>CA-2016-103709</t>
  </si>
  <si>
    <t>CA-2016-103730</t>
  </si>
  <si>
    <t>CA-2016-103891</t>
  </si>
  <si>
    <t>CA-2016-103919</t>
  </si>
  <si>
    <t>CA-2016-103947</t>
  </si>
  <si>
    <t>CA-2016-103982</t>
  </si>
  <si>
    <t>CA-2016-104150</t>
  </si>
  <si>
    <t>CA-2016-104157</t>
  </si>
  <si>
    <t>FUR-TA-10004915</t>
  </si>
  <si>
    <t>CA-2016-104276</t>
  </si>
  <si>
    <t>CA-2016-104311</t>
  </si>
  <si>
    <t>OFF-LA-10000973</t>
  </si>
  <si>
    <t>CA-2016-104633</t>
  </si>
  <si>
    <t>CA-2016-104689</t>
  </si>
  <si>
    <t>CA-2016-104969</t>
  </si>
  <si>
    <t>CA-2016-104983</t>
  </si>
  <si>
    <t>CA-2016-105018</t>
  </si>
  <si>
    <t>CA-2016-105081</t>
  </si>
  <si>
    <t>CA-2016-105207</t>
  </si>
  <si>
    <t>CA-2016-105256</t>
  </si>
  <si>
    <t>CA-2016-105263</t>
  </si>
  <si>
    <t>CA-2016-105277</t>
  </si>
  <si>
    <t>OFF-BI-10000301</t>
  </si>
  <si>
    <t>CA-2016-105291</t>
  </si>
  <si>
    <t>CA-2016-105354</t>
  </si>
  <si>
    <t>CA-2016-105459</t>
  </si>
  <si>
    <t>CA-2016-105473</t>
  </si>
  <si>
    <t>CA-2016-105494</t>
  </si>
  <si>
    <t>OFF-ST-10002205</t>
  </si>
  <si>
    <t>CA-2016-105585</t>
  </si>
  <si>
    <t>OFF-FA-10002983</t>
  </si>
  <si>
    <t>CA-2016-105662</t>
  </si>
  <si>
    <t>OFF-PA-10001001</t>
  </si>
  <si>
    <t>CA-2016-105732</t>
  </si>
  <si>
    <t>FUR-FU-10003664</t>
  </si>
  <si>
    <t>CA-2016-105746</t>
  </si>
  <si>
    <t>CA-2016-105753</t>
  </si>
  <si>
    <t>CA-2016-105760</t>
  </si>
  <si>
    <t>CA-2016-105781</t>
  </si>
  <si>
    <t>FUR-CH-10001802</t>
  </si>
  <si>
    <t>CA-2016-105816</t>
  </si>
  <si>
    <t>TEC-PH-10002447</t>
  </si>
  <si>
    <t>CA-2016-105900</t>
  </si>
  <si>
    <t>CA-2016-105963</t>
  </si>
  <si>
    <t>CA-2016-106075</t>
  </si>
  <si>
    <t>CA-2016-106243</t>
  </si>
  <si>
    <t>CA-2016-106278</t>
  </si>
  <si>
    <t>CA-2016-106306</t>
  </si>
  <si>
    <t>CA-2016-106341</t>
  </si>
  <si>
    <t>CA-2016-106383</t>
  </si>
  <si>
    <t>FUR-BO-10002202</t>
  </si>
  <si>
    <t>CA-2016-106397</t>
  </si>
  <si>
    <t>CA-2016-106460</t>
  </si>
  <si>
    <t>OFF-PA-10001736</t>
  </si>
  <si>
    <t>CA-2016-106530</t>
  </si>
  <si>
    <t>CA-2016-106558</t>
  </si>
  <si>
    <t>CA-2016-106621</t>
  </si>
  <si>
    <t>CA-2016-106656</t>
  </si>
  <si>
    <t>CA-2016-106894</t>
  </si>
  <si>
    <t>CA-2016-106915</t>
  </si>
  <si>
    <t>CA-2016-106950</t>
  </si>
  <si>
    <t>OFF-AP-10000159</t>
  </si>
  <si>
    <t>CA-2016-107104</t>
  </si>
  <si>
    <t>OFF-AP-10000055</t>
  </si>
  <si>
    <t>CA-2016-107146</t>
  </si>
  <si>
    <t>CA-2016-107202</t>
  </si>
  <si>
    <t>TEC-MA-10000112</t>
  </si>
  <si>
    <t>CA-2016-107216</t>
  </si>
  <si>
    <t>FUR-FU-10000206</t>
  </si>
  <si>
    <t>OFF-AR-10002255</t>
  </si>
  <si>
    <t>CA-2016-107328</t>
  </si>
  <si>
    <t>CA-2016-107475</t>
  </si>
  <si>
    <t>CA-2016-107615</t>
  </si>
  <si>
    <t>CA-2016-107783</t>
  </si>
  <si>
    <t>CA-2016-107790</t>
  </si>
  <si>
    <t>CA-2016-108056</t>
  </si>
  <si>
    <t>CA-2016-108105</t>
  </si>
  <si>
    <t>CA-2016-108196</t>
  </si>
  <si>
    <t>TEC-AC-10000926</t>
  </si>
  <si>
    <t>CA-2016-108210</t>
  </si>
  <si>
    <t>CA-2016-108224</t>
  </si>
  <si>
    <t>CA-2016-108350</t>
  </si>
  <si>
    <t>CA-2016-108364</t>
  </si>
  <si>
    <t>CA-2016-108434</t>
  </si>
  <si>
    <t>CA-2016-108567</t>
  </si>
  <si>
    <t>CA-2016-108581</t>
  </si>
  <si>
    <t>CA-2016-108616</t>
  </si>
  <si>
    <t>TEC-AC-10000420</t>
  </si>
  <si>
    <t>CA-2016-108630</t>
  </si>
  <si>
    <t>CA-2016-108644</t>
  </si>
  <si>
    <t>CA-2016-108735</t>
  </si>
  <si>
    <t>FUR-BO-10003441</t>
  </si>
  <si>
    <t>CA-2016-108868</t>
  </si>
  <si>
    <t>CA-2016-108875</t>
  </si>
  <si>
    <t>CA-2016-108882</t>
  </si>
  <si>
    <t>CA-2016-108959</t>
  </si>
  <si>
    <t>CA-2016-108987</t>
  </si>
  <si>
    <t>OFF-ST-10001580</t>
  </si>
  <si>
    <t>CA-2016-109057</t>
  </si>
  <si>
    <t>CA-2016-109176</t>
  </si>
  <si>
    <t>CA-2016-109344</t>
  </si>
  <si>
    <t>TEC-PH-10002624</t>
  </si>
  <si>
    <t>CA-2016-109365</t>
  </si>
  <si>
    <t>CA-2016-109400</t>
  </si>
  <si>
    <t>CA-2016-109407</t>
  </si>
  <si>
    <t>CA-2016-109652</t>
  </si>
  <si>
    <t>CA-2016-109666</t>
  </si>
  <si>
    <t>CA-2016-109722</t>
  </si>
  <si>
    <t>CA-2016-109743</t>
  </si>
  <si>
    <t>OFF-AR-10003727</t>
  </si>
  <si>
    <t>TEC-PH-10004071</t>
  </si>
  <si>
    <t>CA-2016-109806</t>
  </si>
  <si>
    <t>CA-2016-109820</t>
  </si>
  <si>
    <t>CA-2016-109827</t>
  </si>
  <si>
    <t>TEC-MA-10003356</t>
  </si>
  <si>
    <t>CA-2016-109869</t>
  </si>
  <si>
    <t>OFF-SU-10003505</t>
  </si>
  <si>
    <t>CA-2016-109911</t>
  </si>
  <si>
    <t>CA-2016-109925</t>
  </si>
  <si>
    <t>CA-2016-109953</t>
  </si>
  <si>
    <t>CA-2016-110009</t>
  </si>
  <si>
    <t>CA-2016-110023</t>
  </si>
  <si>
    <t>CA-2016-110044</t>
  </si>
  <si>
    <t>CA-2016-110086</t>
  </si>
  <si>
    <t>CA-2016-110254</t>
  </si>
  <si>
    <t>OFF-LA-10002034</t>
  </si>
  <si>
    <t>CA-2016-110366</t>
  </si>
  <si>
    <t>CA-2016-110492</t>
  </si>
  <si>
    <t>CA-2016-110499</t>
  </si>
  <si>
    <t>CA-2016-110730</t>
  </si>
  <si>
    <t>CA-2016-110772</t>
  </si>
  <si>
    <t>CA-2016-110898</t>
  </si>
  <si>
    <t>CA-2016-110975</t>
  </si>
  <si>
    <t>CA-2016-110982</t>
  </si>
  <si>
    <t>CA-2016-111010</t>
  </si>
  <si>
    <t>CA-2016-111115</t>
  </si>
  <si>
    <t>CA-2016-111143</t>
  </si>
  <si>
    <t>CA-2016-111213</t>
  </si>
  <si>
    <t>OFF-SU-10000946</t>
  </si>
  <si>
    <t>CA-2016-111283</t>
  </si>
  <si>
    <t>CA-2016-111318</t>
  </si>
  <si>
    <t>CA-2016-111409</t>
  </si>
  <si>
    <t>CA-2016-111416</t>
  </si>
  <si>
    <t>CA-2016-111493</t>
  </si>
  <si>
    <t>CA-2016-111605</t>
  </si>
  <si>
    <t>CA-2016-111682</t>
  </si>
  <si>
    <t>CA-2016-111696</t>
  </si>
  <si>
    <t>CA-2016-111794</t>
  </si>
  <si>
    <t>CA-2016-111913</t>
  </si>
  <si>
    <t>CA-2016-111941</t>
  </si>
  <si>
    <t>CA-2016-111976</t>
  </si>
  <si>
    <t>CA-2016-112025</t>
  </si>
  <si>
    <t>CA-2016-112060</t>
  </si>
  <si>
    <t>CA-2016-112102</t>
  </si>
  <si>
    <t>CA-2016-112109</t>
  </si>
  <si>
    <t>OFF-BI-10001634</t>
  </si>
  <si>
    <t>CA-2016-112123</t>
  </si>
  <si>
    <t>CA-2016-112256</t>
  </si>
  <si>
    <t>OFF-AR-10001216</t>
  </si>
  <si>
    <t>CA-2016-112277</t>
  </si>
  <si>
    <t>CA-2016-112340</t>
  </si>
  <si>
    <t>OFF-PA-10001892</t>
  </si>
  <si>
    <t>CA-2016-112382</t>
  </si>
  <si>
    <t>CA-2016-112389</t>
  </si>
  <si>
    <t>CA-2016-112578</t>
  </si>
  <si>
    <t>CA-2016-112585</t>
  </si>
  <si>
    <t>CA-2016-112669</t>
  </si>
  <si>
    <t>CA-2016-112676</t>
  </si>
  <si>
    <t>CA-2016-112697</t>
  </si>
  <si>
    <t>CA-2016-112739</t>
  </si>
  <si>
    <t>TEC-AC-10001714</t>
  </si>
  <si>
    <t>CA-2016-112830</t>
  </si>
  <si>
    <t>CA-2016-112942</t>
  </si>
  <si>
    <t>CA-2016-113061</t>
  </si>
  <si>
    <t>CA-2016-113082</t>
  </si>
  <si>
    <t>CA-2016-113096</t>
  </si>
  <si>
    <t>CA-2016-113117</t>
  </si>
  <si>
    <t>CA-2016-113138</t>
  </si>
  <si>
    <t>OFF-AR-10003770</t>
  </si>
  <si>
    <t>CA-2016-113236</t>
  </si>
  <si>
    <t>CA-2016-113243</t>
  </si>
  <si>
    <t>FUR-TA-10004256</t>
  </si>
  <si>
    <t>OFF-LA-10001297</t>
  </si>
  <si>
    <t>CA-2016-113292</t>
  </si>
  <si>
    <t>CA-2016-113341</t>
  </si>
  <si>
    <t>CA-2016-113390</t>
  </si>
  <si>
    <t>CA-2016-113425</t>
  </si>
  <si>
    <t>CA-2016-113516</t>
  </si>
  <si>
    <t>CA-2016-113551</t>
  </si>
  <si>
    <t>CA-2016-113600</t>
  </si>
  <si>
    <t>CA-2016-113607</t>
  </si>
  <si>
    <t>CA-2016-113621</t>
  </si>
  <si>
    <t>CA-2016-113656</t>
  </si>
  <si>
    <t>CA-2016-113726</t>
  </si>
  <si>
    <t>CA-2016-113733</t>
  </si>
  <si>
    <t>CA-2016-113747</t>
  </si>
  <si>
    <t>CA-2016-113803</t>
  </si>
  <si>
    <t>OFF-PA-10001994</t>
  </si>
  <si>
    <t>CA-2016-113831</t>
  </si>
  <si>
    <t>CA-2016-113845</t>
  </si>
  <si>
    <t>CA-2016-113978</t>
  </si>
  <si>
    <t>CA-2016-114104</t>
  </si>
  <si>
    <t>TEC-PH-10004536</t>
  </si>
  <si>
    <t>CA-2016-114209</t>
  </si>
  <si>
    <t>CA-2016-114307</t>
  </si>
  <si>
    <t>CA-2016-114405</t>
  </si>
  <si>
    <t>OFF-ST-10001627</t>
  </si>
  <si>
    <t>CA-2016-114482</t>
  </si>
  <si>
    <t>TEC-PH-10001580</t>
  </si>
  <si>
    <t>CA-2016-114489</t>
  </si>
  <si>
    <t>CA-2016-114538</t>
  </si>
  <si>
    <t>CA-2016-114601</t>
  </si>
  <si>
    <t>CA-2016-114727</t>
  </si>
  <si>
    <t>FUR-CH-10002331</t>
  </si>
  <si>
    <t>OFF-BI-10004967</t>
  </si>
  <si>
    <t>OFF-ST-10002292</t>
  </si>
  <si>
    <t>CA-2016-114748</t>
  </si>
  <si>
    <t>FUR-FU-10001488</t>
  </si>
  <si>
    <t>CA-2016-114860</t>
  </si>
  <si>
    <t>FUR-FU-10001934</t>
  </si>
  <si>
    <t>CA-2016-114867</t>
  </si>
  <si>
    <t>TEC-PH-10002645</t>
  </si>
  <si>
    <t>CA-2016-114895</t>
  </si>
  <si>
    <t>OFF-PA-10000232</t>
  </si>
  <si>
    <t>CA-2016-114944</t>
  </si>
  <si>
    <t>CA-2016-114951</t>
  </si>
  <si>
    <t>CA-2016-114972</t>
  </si>
  <si>
    <t>FUR-CH-10001190</t>
  </si>
  <si>
    <t>CA-2016-115224</t>
  </si>
  <si>
    <t>CA-2016-115378</t>
  </si>
  <si>
    <t>CA-2016-115476</t>
  </si>
  <si>
    <t>CA-2016-115483</t>
  </si>
  <si>
    <t>CA-2016-115504</t>
  </si>
  <si>
    <t>OFF-PA-10003953</t>
  </si>
  <si>
    <t>CA-2016-115525</t>
  </si>
  <si>
    <t>CA-2016-115574</t>
  </si>
  <si>
    <t>CA-2016-115588</t>
  </si>
  <si>
    <t>CA-2016-115756</t>
  </si>
  <si>
    <t>CA-2016-115917</t>
  </si>
  <si>
    <t>CA-2016-116232</t>
  </si>
  <si>
    <t>CA-2016-116337</t>
  </si>
  <si>
    <t>FUR-FU-10002030</t>
  </si>
  <si>
    <t>CA-2016-116344</t>
  </si>
  <si>
    <t>CA-2016-116379</t>
  </si>
  <si>
    <t>CA-2016-116526</t>
  </si>
  <si>
    <t>TEC-PH-10002365</t>
  </si>
  <si>
    <t>CA-2016-116540</t>
  </si>
  <si>
    <t>CA-2016-116547</t>
  </si>
  <si>
    <t>FUR-FU-10000076</t>
  </si>
  <si>
    <t>TEC-AC-10002335</t>
  </si>
  <si>
    <t>CA-2016-116561</t>
  </si>
  <si>
    <t>CA-2016-116596</t>
  </si>
  <si>
    <t>CA-2016-116603</t>
  </si>
  <si>
    <t>CA-2016-116722</t>
  </si>
  <si>
    <t>CA-2016-116736</t>
  </si>
  <si>
    <t>CA-2016-116799</t>
  </si>
  <si>
    <t>CA-2016-116911</t>
  </si>
  <si>
    <t>CA-2016-116918</t>
  </si>
  <si>
    <t>CA-2016-116974</t>
  </si>
  <si>
    <t>CA-2016-117121</t>
  </si>
  <si>
    <t>CA-2016-117226</t>
  </si>
  <si>
    <t>CA-2016-117282</t>
  </si>
  <si>
    <t>CA-2016-117408</t>
  </si>
  <si>
    <t>CA-2016-117583</t>
  </si>
  <si>
    <t>OFF-PA-10001246</t>
  </si>
  <si>
    <t>CA-2016-117590</t>
  </si>
  <si>
    <t>CA-2016-117604</t>
  </si>
  <si>
    <t>CA-2016-117625</t>
  </si>
  <si>
    <t>OFF-EN-10001535</t>
  </si>
  <si>
    <t>CA-2016-117660</t>
  </si>
  <si>
    <t>CA-2016-117681</t>
  </si>
  <si>
    <t>FUR-BO-10001798</t>
  </si>
  <si>
    <t>CA-2016-117849</t>
  </si>
  <si>
    <t>OFF-PA-10004327</t>
  </si>
  <si>
    <t>CA-2016-117912</t>
  </si>
  <si>
    <t>CA-2016-117919</t>
  </si>
  <si>
    <t>CA-2016-118052</t>
  </si>
  <si>
    <t>CA-2016-118073</t>
  </si>
  <si>
    <t>CA-2016-118101</t>
  </si>
  <si>
    <t>CA-2016-118129</t>
  </si>
  <si>
    <t>CA-2016-118178</t>
  </si>
  <si>
    <t>CA-2016-118255</t>
  </si>
  <si>
    <t>CA-2016-118311</t>
  </si>
  <si>
    <t>CA-2016-118332</t>
  </si>
  <si>
    <t>CA-2016-118500</t>
  </si>
  <si>
    <t>CA-2016-118514</t>
  </si>
  <si>
    <t>CA-2016-118570</t>
  </si>
  <si>
    <t>CA-2016-118626</t>
  </si>
  <si>
    <t>CA-2016-118689</t>
  </si>
  <si>
    <t>TEC-CO-10004722</t>
  </si>
  <si>
    <t>CA-2016-118745</t>
  </si>
  <si>
    <t>CA-2016-118759</t>
  </si>
  <si>
    <t>CA-2016-118899</t>
  </si>
  <si>
    <t>CA-2016-118913</t>
  </si>
  <si>
    <t>CA-2016-118934</t>
  </si>
  <si>
    <t>OFF-BI-10004465</t>
  </si>
  <si>
    <t>CA-2016-118969</t>
  </si>
  <si>
    <t>CA-2016-119018</t>
  </si>
  <si>
    <t>CA-2016-119025</t>
  </si>
  <si>
    <t>CA-2016-119074</t>
  </si>
  <si>
    <t>FUR-FU-10003731</t>
  </si>
  <si>
    <t>FUR-FU-10004053</t>
  </si>
  <si>
    <t>CA-2016-119123</t>
  </si>
  <si>
    <t>CA-2016-119165</t>
  </si>
  <si>
    <t>CA-2016-119186</t>
  </si>
  <si>
    <t>TEC-AC-10000580</t>
  </si>
  <si>
    <t>CA-2016-119445</t>
  </si>
  <si>
    <t>CA-2016-119515</t>
  </si>
  <si>
    <t>CA-2016-119641</t>
  </si>
  <si>
    <t>CA-2016-119683</t>
  </si>
  <si>
    <t>CA-2016-119823</t>
  </si>
  <si>
    <t>CA-2016-119865</t>
  </si>
  <si>
    <t>CA-2016-119935</t>
  </si>
  <si>
    <t>CA-2016-119963</t>
  </si>
  <si>
    <t>CA-2016-120005</t>
  </si>
  <si>
    <t>CA-2016-120180</t>
  </si>
  <si>
    <t>CA-2016-120250</t>
  </si>
  <si>
    <t>CA-2016-120257</t>
  </si>
  <si>
    <t>CA-2016-120355</t>
  </si>
  <si>
    <t>CA-2016-120369</t>
  </si>
  <si>
    <t>FUR-FU-10003806</t>
  </si>
  <si>
    <t>CA-2016-120530</t>
  </si>
  <si>
    <t>CA-2016-120558</t>
  </si>
  <si>
    <t>CA-2016-120796</t>
  </si>
  <si>
    <t>CA-2016-120803</t>
  </si>
  <si>
    <t>CA-2016-120824</t>
  </si>
  <si>
    <t>CA-2016-120859</t>
  </si>
  <si>
    <t>CA-2016-120873</t>
  </si>
  <si>
    <t>CA-2016-121020</t>
  </si>
  <si>
    <t>TEC-PH-10001061</t>
  </si>
  <si>
    <t>CA-2016-121034</t>
  </si>
  <si>
    <t>CA-2016-121223</t>
  </si>
  <si>
    <t>CA-2016-121370</t>
  </si>
  <si>
    <t>CA-2016-121377</t>
  </si>
  <si>
    <t>CA-2016-121447</t>
  </si>
  <si>
    <t>CA-2016-121601</t>
  </si>
  <si>
    <t>CA-2016-121671</t>
  </si>
  <si>
    <t>OFF-PA-10001934</t>
  </si>
  <si>
    <t>CA-2016-121748</t>
  </si>
  <si>
    <t>CA-2016-121755</t>
  </si>
  <si>
    <t>CA-2016-121958</t>
  </si>
  <si>
    <t>CA-2016-121993</t>
  </si>
  <si>
    <t>CA-2016-122017</t>
  </si>
  <si>
    <t>CA-2016-122063</t>
  </si>
  <si>
    <t>CA-2016-122133</t>
  </si>
  <si>
    <t>CA-2016-122322</t>
  </si>
  <si>
    <t>OFF-SU-10000952</t>
  </si>
  <si>
    <t>CA-2016-122392</t>
  </si>
  <si>
    <t>OFF-AR-10002221</t>
  </si>
  <si>
    <t>CA-2016-122448</t>
  </si>
  <si>
    <t>CA-2016-122511</t>
  </si>
  <si>
    <t>CA-2016-122518</t>
  </si>
  <si>
    <t>CA-2016-122581</t>
  </si>
  <si>
    <t>FUR-CH-10002961</t>
  </si>
  <si>
    <t>CA-2016-122728</t>
  </si>
  <si>
    <t>CA-2016-122903</t>
  </si>
  <si>
    <t>CA-2016-123015</t>
  </si>
  <si>
    <t>CA-2016-123050</t>
  </si>
  <si>
    <t>CA-2016-123120</t>
  </si>
  <si>
    <t>CA-2016-123176</t>
  </si>
  <si>
    <t>CA-2016-123274</t>
  </si>
  <si>
    <t>CA-2016-123337</t>
  </si>
  <si>
    <t>OFF-AP-10002287</t>
  </si>
  <si>
    <t>CA-2016-123358</t>
  </si>
  <si>
    <t>CA-2016-123414</t>
  </si>
  <si>
    <t>CA-2016-123512</t>
  </si>
  <si>
    <t>OFF-LA-10000081</t>
  </si>
  <si>
    <t>CA-2016-123526</t>
  </si>
  <si>
    <t>CA-2016-123533</t>
  </si>
  <si>
    <t>FUR-BO-10001619</t>
  </si>
  <si>
    <t>CA-2016-123540</t>
  </si>
  <si>
    <t>CA-2016-123617</t>
  </si>
  <si>
    <t>CA-2016-123666</t>
  </si>
  <si>
    <t>CA-2016-123722</t>
  </si>
  <si>
    <t>CA-2016-123806</t>
  </si>
  <si>
    <t>CA-2016-123932</t>
  </si>
  <si>
    <t>CA-2016-123946</t>
  </si>
  <si>
    <t>CA-2016-124016</t>
  </si>
  <si>
    <t>FUR-FU-10004963</t>
  </si>
  <si>
    <t>CA-2016-124051</t>
  </si>
  <si>
    <t>CA-2016-124100</t>
  </si>
  <si>
    <t>CA-2016-124149</t>
  </si>
  <si>
    <t>OFF-PA-10002421</t>
  </si>
  <si>
    <t>CA-2016-124233</t>
  </si>
  <si>
    <t>FUR-FU-10002597</t>
  </si>
  <si>
    <t>CA-2016-124254</t>
  </si>
  <si>
    <t>OFF-PA-10000807</t>
  </si>
  <si>
    <t>CA-2016-124352</t>
  </si>
  <si>
    <t>TEC-PH-10003442</t>
  </si>
  <si>
    <t>CA-2016-124485</t>
  </si>
  <si>
    <t>CA-2016-124506</t>
  </si>
  <si>
    <t>CA-2016-124527</t>
  </si>
  <si>
    <t>CA-2016-124562</t>
  </si>
  <si>
    <t>CA-2016-124583</t>
  </si>
  <si>
    <t>CA-2016-124590</t>
  </si>
  <si>
    <t>CA-2016-124667</t>
  </si>
  <si>
    <t>CA-2016-124681</t>
  </si>
  <si>
    <t>CA-2016-124772</t>
  </si>
  <si>
    <t>CA-2016-124793</t>
  </si>
  <si>
    <t>CA-2016-124814</t>
  </si>
  <si>
    <t>CA-2016-125017</t>
  </si>
  <si>
    <t>CA-2016-125080</t>
  </si>
  <si>
    <t>CA-2016-125087</t>
  </si>
  <si>
    <t>CA-2016-125094</t>
  </si>
  <si>
    <t>TEC-AC-10004420</t>
  </si>
  <si>
    <t>CA-2016-125164</t>
  </si>
  <si>
    <t>CA-2016-125206</t>
  </si>
  <si>
    <t>CA-2016-125220</t>
  </si>
  <si>
    <t>CA-2016-125318</t>
  </si>
  <si>
    <t>CA-2016-125661</t>
  </si>
  <si>
    <t>TEC-AC-10004855</t>
  </si>
  <si>
    <t>CA-2016-125724</t>
  </si>
  <si>
    <t>CA-2016-125738</t>
  </si>
  <si>
    <t>OFF-PA-10000740</t>
  </si>
  <si>
    <t>CA-2016-125794</t>
  </si>
  <si>
    <t>CA-2016-125815</t>
  </si>
  <si>
    <t>CA-2016-125843</t>
  </si>
  <si>
    <t>OFF-BI-10002309</t>
  </si>
  <si>
    <t>CA-2016-125850</t>
  </si>
  <si>
    <t>CA-2016-125920</t>
  </si>
  <si>
    <t>CA-2016-126004</t>
  </si>
  <si>
    <t>OFF-ST-10000676</t>
  </si>
  <si>
    <t>CA-2016-126102</t>
  </si>
  <si>
    <t>CA-2016-126158</t>
  </si>
  <si>
    <t>CA-2016-126165</t>
  </si>
  <si>
    <t>CA-2016-126270</t>
  </si>
  <si>
    <t>CA-2016-126284</t>
  </si>
  <si>
    <t>CA-2016-126529</t>
  </si>
  <si>
    <t>TEC-PH-10000148</t>
  </si>
  <si>
    <t>CA-2016-126543</t>
  </si>
  <si>
    <t>CA-2016-126613</t>
  </si>
  <si>
    <t>CA-2016-126627</t>
  </si>
  <si>
    <t>CA-2016-126732</t>
  </si>
  <si>
    <t>CA-2016-126795</t>
  </si>
  <si>
    <t>CA-2016-126809</t>
  </si>
  <si>
    <t>CA-2016-126858</t>
  </si>
  <si>
    <t>CA-2016-126935</t>
  </si>
  <si>
    <t>CA-2016-127138</t>
  </si>
  <si>
    <t>CA-2016-127194</t>
  </si>
  <si>
    <t>CA-2016-127208</t>
  </si>
  <si>
    <t>CA-2016-127236</t>
  </si>
  <si>
    <t>TEC-PH-10000141</t>
  </si>
  <si>
    <t>CA-2016-127243</t>
  </si>
  <si>
    <t>OFF-FA-10004076</t>
  </si>
  <si>
    <t>CA-2016-127250</t>
  </si>
  <si>
    <t>CA-2016-127369</t>
  </si>
  <si>
    <t>CA-2016-127642</t>
  </si>
  <si>
    <t>OFF-PA-10000565</t>
  </si>
  <si>
    <t>CA-2016-127649</t>
  </si>
  <si>
    <t>CA-2016-127670</t>
  </si>
  <si>
    <t>CA-2016-127698</t>
  </si>
  <si>
    <t>CA-2016-127761</t>
  </si>
  <si>
    <t>CA-2016-127775</t>
  </si>
  <si>
    <t>CA-2016-127985</t>
  </si>
  <si>
    <t>CA-2016-128111</t>
  </si>
  <si>
    <t>CA-2016-128223</t>
  </si>
  <si>
    <t>FUR-TA-10001771</t>
  </si>
  <si>
    <t>CA-2016-128307</t>
  </si>
  <si>
    <t>CA-2016-128412</t>
  </si>
  <si>
    <t>OFF-AP-10000252</t>
  </si>
  <si>
    <t>CA-2016-128517</t>
  </si>
  <si>
    <t>OFF-BI-10000831</t>
  </si>
  <si>
    <t>CA-2016-128531</t>
  </si>
  <si>
    <t>CA-2016-128671</t>
  </si>
  <si>
    <t>CA-2016-128706</t>
  </si>
  <si>
    <t>CA-2016-128727</t>
  </si>
  <si>
    <t>CA-2016-128811</t>
  </si>
  <si>
    <t>CA-2016-128818</t>
  </si>
  <si>
    <t>CA-2016-128867</t>
  </si>
  <si>
    <t>CA-2016-128916</t>
  </si>
  <si>
    <t>CA-2016-128923</t>
  </si>
  <si>
    <t>CA-2016-128972</t>
  </si>
  <si>
    <t>CA-2016-129126</t>
  </si>
  <si>
    <t>OFF-BI-10000279</t>
  </si>
  <si>
    <t>CA-2016-129196</t>
  </si>
  <si>
    <t>CA-2016-129238</t>
  </si>
  <si>
    <t>OFF-PA-10002764</t>
  </si>
  <si>
    <t>TEC-PH-10004120</t>
  </si>
  <si>
    <t>CA-2016-129280</t>
  </si>
  <si>
    <t>TEC-MA-10003589</t>
  </si>
  <si>
    <t>CA-2016-129308</t>
  </si>
  <si>
    <t>CA-2016-129630</t>
  </si>
  <si>
    <t>FUR-FU-10000260</t>
  </si>
  <si>
    <t>CA-2016-129686</t>
  </si>
  <si>
    <t>CA-2016-129693</t>
  </si>
  <si>
    <t>CA-2016-129714</t>
  </si>
  <si>
    <t>CA-2016-129728</t>
  </si>
  <si>
    <t>CA-2016-129847</t>
  </si>
  <si>
    <t>CA-2016-129861</t>
  </si>
  <si>
    <t>CA-2016-129868</t>
  </si>
  <si>
    <t>CA-2016-129903</t>
  </si>
  <si>
    <t>CA-2016-130001</t>
  </si>
  <si>
    <t>OFF-PA-10002666</t>
  </si>
  <si>
    <t>CA-2016-130029</t>
  </si>
  <si>
    <t>CA-2016-130050</t>
  </si>
  <si>
    <t>CA-2016-130078</t>
  </si>
  <si>
    <t>CA-2016-130162</t>
  </si>
  <si>
    <t>TEC-PH-10002563</t>
  </si>
  <si>
    <t>CA-2016-130225</t>
  </si>
  <si>
    <t>CA-2016-130267</t>
  </si>
  <si>
    <t>CA-2016-130288</t>
  </si>
  <si>
    <t>CA-2016-130393</t>
  </si>
  <si>
    <t>CA-2016-130400</t>
  </si>
  <si>
    <t>CA-2016-130407</t>
  </si>
  <si>
    <t>OFF-AR-10002240</t>
  </si>
  <si>
    <t>CA-2016-130442</t>
  </si>
  <si>
    <t>CA-2016-130477</t>
  </si>
  <si>
    <t>CA-2016-130484</t>
  </si>
  <si>
    <t>CA-2016-130638</t>
  </si>
  <si>
    <t>CA-2016-130680</t>
  </si>
  <si>
    <t>TEC-PH-10004833</t>
  </si>
  <si>
    <t>CA-2016-130778</t>
  </si>
  <si>
    <t>OFF-AP-10000595</t>
  </si>
  <si>
    <t>CA-2016-130799</t>
  </si>
  <si>
    <t>CA-2016-130820</t>
  </si>
  <si>
    <t>CA-2016-130911</t>
  </si>
  <si>
    <t>CA-2016-130946</t>
  </si>
  <si>
    <t>TEC-AC-10001990</t>
  </si>
  <si>
    <t>CA-2016-131065</t>
  </si>
  <si>
    <t>CA-2016-131093</t>
  </si>
  <si>
    <t>OFF-ST-10002790</t>
  </si>
  <si>
    <t>CA-2016-131205</t>
  </si>
  <si>
    <t>CA-2016-131289</t>
  </si>
  <si>
    <t>CA-2016-131296</t>
  </si>
  <si>
    <t>CA-2016-131380</t>
  </si>
  <si>
    <t>CA-2016-131499</t>
  </si>
  <si>
    <t>CA-2016-131576</t>
  </si>
  <si>
    <t>CA-2016-131639</t>
  </si>
  <si>
    <t>CA-2016-131737</t>
  </si>
  <si>
    <t>CA-2016-131744</t>
  </si>
  <si>
    <t>CA-2016-131835</t>
  </si>
  <si>
    <t>CA-2016-131968</t>
  </si>
  <si>
    <t>OFF-AP-10001058</t>
  </si>
  <si>
    <t>CA-2016-132017</t>
  </si>
  <si>
    <t>CA-2016-132066</t>
  </si>
  <si>
    <t>CA-2016-132094</t>
  </si>
  <si>
    <t>CA-2016-132143</t>
  </si>
  <si>
    <t>CA-2016-132304</t>
  </si>
  <si>
    <t>CA-2016-132409</t>
  </si>
  <si>
    <t>CA-2016-132479</t>
  </si>
  <si>
    <t>OFF-BI-10004584</t>
  </si>
  <si>
    <t>CA-2016-132549</t>
  </si>
  <si>
    <t>CA-2016-132661</t>
  </si>
  <si>
    <t>CA-2016-132731</t>
  </si>
  <si>
    <t>CA-2016-132829</t>
  </si>
  <si>
    <t>CA-2016-132899</t>
  </si>
  <si>
    <t>CA-2016-132997</t>
  </si>
  <si>
    <t>CA-2016-133123</t>
  </si>
  <si>
    <t>CA-2016-133144</t>
  </si>
  <si>
    <t>CA-2016-133319</t>
  </si>
  <si>
    <t>CA-2016-133340</t>
  </si>
  <si>
    <t>CA-2016-133368</t>
  </si>
  <si>
    <t>FUR-FU-10003374</t>
  </si>
  <si>
    <t>OFF-PA-10004039</t>
  </si>
  <si>
    <t>CA-2016-133550</t>
  </si>
  <si>
    <t>CA-2016-133613</t>
  </si>
  <si>
    <t>CA-2016-133669</t>
  </si>
  <si>
    <t>CA-2016-133697</t>
  </si>
  <si>
    <t>CA-2016-133711</t>
  </si>
  <si>
    <t>OFF-BI-10004352</t>
  </si>
  <si>
    <t>TEC-MA-10000010</t>
  </si>
  <si>
    <t>CA-2016-133725</t>
  </si>
  <si>
    <t>CA-2016-133795</t>
  </si>
  <si>
    <t>CA-2016-133802</t>
  </si>
  <si>
    <t>CA-2016-133816</t>
  </si>
  <si>
    <t>CA-2016-133872</t>
  </si>
  <si>
    <t>CA-2016-133935</t>
  </si>
  <si>
    <t>CA-2016-134110</t>
  </si>
  <si>
    <t>OFF-PA-10000697</t>
  </si>
  <si>
    <t>CA-2016-134138</t>
  </si>
  <si>
    <t>CA-2016-134180</t>
  </si>
  <si>
    <t>CA-2016-134208</t>
  </si>
  <si>
    <t>TEC-MA-10004458</t>
  </si>
  <si>
    <t>CA-2016-134222</t>
  </si>
  <si>
    <t>CA-2016-134334</t>
  </si>
  <si>
    <t>OFF-AR-10001770</t>
  </si>
  <si>
    <t>OFF-PA-10000791</t>
  </si>
  <si>
    <t>CA-2016-134348</t>
  </si>
  <si>
    <t>CA-2016-134362</t>
  </si>
  <si>
    <t>CA-2016-134376</t>
  </si>
  <si>
    <t>CA-2016-134425</t>
  </si>
  <si>
    <t>CA-2016-134474</t>
  </si>
  <si>
    <t>OFF-AR-10003958</t>
  </si>
  <si>
    <t>CA-2016-134516</t>
  </si>
  <si>
    <t>CA-2016-134544</t>
  </si>
  <si>
    <t>CA-2016-134775</t>
  </si>
  <si>
    <t>CA-2016-134789</t>
  </si>
  <si>
    <t>CA-2016-134803</t>
  </si>
  <si>
    <t>OFF-AP-10000891</t>
  </si>
  <si>
    <t>CA-2016-134887</t>
  </si>
  <si>
    <t>CA-2016-134936</t>
  </si>
  <si>
    <t>CA-2016-135265</t>
  </si>
  <si>
    <t>CA-2016-135461</t>
  </si>
  <si>
    <t>CA-2016-135594</t>
  </si>
  <si>
    <t>CA-2016-135636</t>
  </si>
  <si>
    <t>CA-2016-135776</t>
  </si>
  <si>
    <t>OFF-AR-10001231</t>
  </si>
  <si>
    <t>CA-2016-135965</t>
  </si>
  <si>
    <t>CA-2016-136021</t>
  </si>
  <si>
    <t>OFF-PA-10000551</t>
  </si>
  <si>
    <t>CA-2016-136126</t>
  </si>
  <si>
    <t>CA-2016-136133</t>
  </si>
  <si>
    <t>CA-2016-136231</t>
  </si>
  <si>
    <t>TEC-PH-10002660</t>
  </si>
  <si>
    <t>CA-2016-136287</t>
  </si>
  <si>
    <t>CA-2016-136301</t>
  </si>
  <si>
    <t>FUR-FU-10004712</t>
  </si>
  <si>
    <t>CA-2016-136322</t>
  </si>
  <si>
    <t>CA-2016-136329</t>
  </si>
  <si>
    <t>CA-2016-136371</t>
  </si>
  <si>
    <t>CA-2016-136406</t>
  </si>
  <si>
    <t>CA-2016-136434</t>
  </si>
  <si>
    <t>CA-2016-136483</t>
  </si>
  <si>
    <t>CA-2016-136595</t>
  </si>
  <si>
    <t>CA-2016-136686</t>
  </si>
  <si>
    <t>CA-2016-136770</t>
  </si>
  <si>
    <t>CA-2016-136812</t>
  </si>
  <si>
    <t>CA-2016-136924</t>
  </si>
  <si>
    <t>CA-2016-136994</t>
  </si>
  <si>
    <t>CA-2016-137043</t>
  </si>
  <si>
    <t>CA-2016-137050</t>
  </si>
  <si>
    <t>CA-2016-137127</t>
  </si>
  <si>
    <t>CA-2016-137176</t>
  </si>
  <si>
    <t>CA-2016-137204</t>
  </si>
  <si>
    <t>CA-2016-137239</t>
  </si>
  <si>
    <t>CA-2016-137330</t>
  </si>
  <si>
    <t>OFF-AR-10000246</t>
  </si>
  <si>
    <t>CA-2016-137337</t>
  </si>
  <si>
    <t>CA-2016-137393</t>
  </si>
  <si>
    <t>FUR-FU-10001617</t>
  </si>
  <si>
    <t>CA-2016-137652</t>
  </si>
  <si>
    <t>CA-2016-137673</t>
  </si>
  <si>
    <t>CA-2016-137729</t>
  </si>
  <si>
    <t>CA-2016-137736</t>
  </si>
  <si>
    <t>CA-2016-137743</t>
  </si>
  <si>
    <t>OFF-LA-10003663</t>
  </si>
  <si>
    <t>CA-2016-137848</t>
  </si>
  <si>
    <t>CA-2016-137939</t>
  </si>
  <si>
    <t>CA-2016-138037</t>
  </si>
  <si>
    <t>CA-2016-138079</t>
  </si>
  <si>
    <t>CA-2016-138233</t>
  </si>
  <si>
    <t>CA-2016-138282</t>
  </si>
  <si>
    <t>CA-2016-138478</t>
  </si>
  <si>
    <t>CA-2016-138520</t>
  </si>
  <si>
    <t>FUR-BO-10002268</t>
  </si>
  <si>
    <t>CA-2016-138583</t>
  </si>
  <si>
    <t>CA-2016-138597</t>
  </si>
  <si>
    <t>CA-2016-138667</t>
  </si>
  <si>
    <t>CA-2016-138688</t>
  </si>
  <si>
    <t>CA-2016-138695</t>
  </si>
  <si>
    <t>CA-2016-138933</t>
  </si>
  <si>
    <t>CA-2016-138968</t>
  </si>
  <si>
    <t>CA-2016-139010</t>
  </si>
  <si>
    <t>CA-2016-139157</t>
  </si>
  <si>
    <t>CA-2016-139234</t>
  </si>
  <si>
    <t>CA-2016-139269</t>
  </si>
  <si>
    <t>FUR-FU-10000755</t>
  </si>
  <si>
    <t>CA-2016-139381</t>
  </si>
  <si>
    <t>CA-2016-139395</t>
  </si>
  <si>
    <t>CA-2016-139549</t>
  </si>
  <si>
    <t>CA-2016-139556</t>
  </si>
  <si>
    <t>CA-2016-139689</t>
  </si>
  <si>
    <t>CA-2016-139808</t>
  </si>
  <si>
    <t>CA-2016-139878</t>
  </si>
  <si>
    <t>CA-2016-139885</t>
  </si>
  <si>
    <t>OFF-ST-10003324</t>
  </si>
  <si>
    <t>CA-2016-139934</t>
  </si>
  <si>
    <t>CA-2016-139941</t>
  </si>
  <si>
    <t>OFF-AP-10004036</t>
  </si>
  <si>
    <t>CA-2016-139997</t>
  </si>
  <si>
    <t>TEC-CO-10000971</t>
  </si>
  <si>
    <t>CA-2016-140018</t>
  </si>
  <si>
    <t>TEC-MA-10000752</t>
  </si>
  <si>
    <t>CA-2016-140046</t>
  </si>
  <si>
    <t>CA-2016-140081</t>
  </si>
  <si>
    <t>OFF-PA-10001745</t>
  </si>
  <si>
    <t>CA-2016-140130</t>
  </si>
  <si>
    <t>CA-2016-140207</t>
  </si>
  <si>
    <t>CA-2016-140249</t>
  </si>
  <si>
    <t>CA-2016-140256</t>
  </si>
  <si>
    <t>CA-2016-140382</t>
  </si>
  <si>
    <t>CA-2016-140417</t>
  </si>
  <si>
    <t>CA-2016-140438</t>
  </si>
  <si>
    <t>CA-2016-140501</t>
  </si>
  <si>
    <t>CA-2016-140543</t>
  </si>
  <si>
    <t>CA-2016-140564</t>
  </si>
  <si>
    <t>CA-2016-140571</t>
  </si>
  <si>
    <t>CA-2016-140613</t>
  </si>
  <si>
    <t>CA-2016-140634</t>
  </si>
  <si>
    <t>CA-2016-140641</t>
  </si>
  <si>
    <t>CA-2016-140746</t>
  </si>
  <si>
    <t>CA-2016-140774</t>
  </si>
  <si>
    <t>CA-2016-140928</t>
  </si>
  <si>
    <t>CA-2016-140935</t>
  </si>
  <si>
    <t>CA-2016-140977</t>
  </si>
  <si>
    <t>TEC-MA-10003493</t>
  </si>
  <si>
    <t>CA-2016-141019</t>
  </si>
  <si>
    <t>CA-2016-141082</t>
  </si>
  <si>
    <t>OFF-LA-10001404</t>
  </si>
  <si>
    <t>CA-2016-141180</t>
  </si>
  <si>
    <t>CA-2016-141397</t>
  </si>
  <si>
    <t>FUR-CH-10003846</t>
  </si>
  <si>
    <t>CA-2016-141523</t>
  </si>
  <si>
    <t>CA-2016-141551</t>
  </si>
  <si>
    <t>CA-2016-141586</t>
  </si>
  <si>
    <t>CA-2016-141887</t>
  </si>
  <si>
    <t>CA-2016-141957</t>
  </si>
  <si>
    <t>OFF-AR-10000914</t>
  </si>
  <si>
    <t>CA-2016-142097</t>
  </si>
  <si>
    <t>CA-2016-142335</t>
  </si>
  <si>
    <t>CA-2016-142370</t>
  </si>
  <si>
    <t>OFF-SU-10003002</t>
  </si>
  <si>
    <t>CA-2016-142398</t>
  </si>
  <si>
    <t>CA-2016-142405</t>
  </si>
  <si>
    <t>CA-2016-142524</t>
  </si>
  <si>
    <t>CA-2016-142545</t>
  </si>
  <si>
    <t>OFF-PA-10004243</t>
  </si>
  <si>
    <t>CA-2016-142594</t>
  </si>
  <si>
    <t>FUR-FU-10002045</t>
  </si>
  <si>
    <t>CA-2016-142615</t>
  </si>
  <si>
    <t>TEC-AC-10004803</t>
  </si>
  <si>
    <t>CA-2016-142895</t>
  </si>
  <si>
    <t>CA-2016-142902</t>
  </si>
  <si>
    <t>CA-2016-142958</t>
  </si>
  <si>
    <t>CA-2016-143154</t>
  </si>
  <si>
    <t>CA-2016-143308</t>
  </si>
  <si>
    <t>CA-2016-143406</t>
  </si>
  <si>
    <t>OFF-AP-10001564</t>
  </si>
  <si>
    <t>CA-2016-143441</t>
  </si>
  <si>
    <t>CA-2016-143476</t>
  </si>
  <si>
    <t>CA-2016-143609</t>
  </si>
  <si>
    <t>CA-2016-143714</t>
  </si>
  <si>
    <t>TEC-PH-10004080</t>
  </si>
  <si>
    <t>CA-2016-143749</t>
  </si>
  <si>
    <t>CA-2016-143805</t>
  </si>
  <si>
    <t>CA-2016-143910</t>
  </si>
  <si>
    <t>CA-2016-143924</t>
  </si>
  <si>
    <t>CA-2016-144015</t>
  </si>
  <si>
    <t>OFF-PA-10002870</t>
  </si>
  <si>
    <t>CA-2016-144092</t>
  </si>
  <si>
    <t>CA-2016-144148</t>
  </si>
  <si>
    <t>CA-2016-144218</t>
  </si>
  <si>
    <t>CA-2016-144309</t>
  </si>
  <si>
    <t>CA-2016-144337</t>
  </si>
  <si>
    <t>CA-2016-144344</t>
  </si>
  <si>
    <t>CA-2016-144400</t>
  </si>
  <si>
    <t>CA-2016-144540</t>
  </si>
  <si>
    <t>CA-2016-144554</t>
  </si>
  <si>
    <t>CA-2016-144645</t>
  </si>
  <si>
    <t>FUR-FU-10003601</t>
  </si>
  <si>
    <t>CA-2016-144729</t>
  </si>
  <si>
    <t>CA-2016-144764</t>
  </si>
  <si>
    <t>TEC-MA-10003230</t>
  </si>
  <si>
    <t>CA-2016-144785</t>
  </si>
  <si>
    <t>CA-2016-144792</t>
  </si>
  <si>
    <t>CA-2016-144855</t>
  </si>
  <si>
    <t>CA-2016-144911</t>
  </si>
  <si>
    <t>CA-2016-144939</t>
  </si>
  <si>
    <t>CA-2016-145009</t>
  </si>
  <si>
    <t>CA-2016-145135</t>
  </si>
  <si>
    <t>CA-2016-145177</t>
  </si>
  <si>
    <t>OFF-PA-10000682</t>
  </si>
  <si>
    <t>CA-2016-145240</t>
  </si>
  <si>
    <t>CA-2016-145247</t>
  </si>
  <si>
    <t>CA-2016-145261</t>
  </si>
  <si>
    <t>TEC-AC-10000991</t>
  </si>
  <si>
    <t>CA-2016-145303</t>
  </si>
  <si>
    <t>OFF-BI-10002414</t>
  </si>
  <si>
    <t>CA-2016-145492</t>
  </si>
  <si>
    <t>CA-2016-145499</t>
  </si>
  <si>
    <t>CA-2016-145548</t>
  </si>
  <si>
    <t>CA-2016-145583</t>
  </si>
  <si>
    <t>CA-2016-145611</t>
  </si>
  <si>
    <t>CA-2016-145625</t>
  </si>
  <si>
    <t>CA-2016-145709</t>
  </si>
  <si>
    <t>CA-2016-145730</t>
  </si>
  <si>
    <t>CA-2016-145842</t>
  </si>
  <si>
    <t>CA-2016-145898</t>
  </si>
  <si>
    <t>CA-2016-145905</t>
  </si>
  <si>
    <t>CA-2016-145919</t>
  </si>
  <si>
    <t>FUR-FU-10004960</t>
  </si>
  <si>
    <t>CA-2016-145982</t>
  </si>
  <si>
    <t>CA-2016-146010</t>
  </si>
  <si>
    <t>CA-2016-146143</t>
  </si>
  <si>
    <t>CA-2016-146150</t>
  </si>
  <si>
    <t>CA-2016-146157</t>
  </si>
  <si>
    <t>CA-2016-146171</t>
  </si>
  <si>
    <t>CA-2016-146206</t>
  </si>
  <si>
    <t>CA-2016-146318</t>
  </si>
  <si>
    <t>CA-2016-146325</t>
  </si>
  <si>
    <t>CA-2016-146374</t>
  </si>
  <si>
    <t>CA-2016-146423</t>
  </si>
  <si>
    <t>CA-2016-146437</t>
  </si>
  <si>
    <t>CA-2016-146521</t>
  </si>
  <si>
    <t>CA-2016-146633</t>
  </si>
  <si>
    <t>CA-2016-146682</t>
  </si>
  <si>
    <t>CA-2016-146766</t>
  </si>
  <si>
    <t>CA-2016-146836</t>
  </si>
  <si>
    <t>CA-2016-146913</t>
  </si>
  <si>
    <t>CA-2016-146934</t>
  </si>
  <si>
    <t>CA-2016-146941</t>
  </si>
  <si>
    <t>CA-2016-147067</t>
  </si>
  <si>
    <t>CA-2016-147109</t>
  </si>
  <si>
    <t>CA-2016-147123</t>
  </si>
  <si>
    <t>CA-2016-147137</t>
  </si>
  <si>
    <t>CA-2016-147256</t>
  </si>
  <si>
    <t>CA-2016-147368</t>
  </si>
  <si>
    <t>TEC-MA-10002178</t>
  </si>
  <si>
    <t>CA-2016-147375</t>
  </si>
  <si>
    <t>TEC-MA-10002937</t>
  </si>
  <si>
    <t>CA-2016-147417</t>
  </si>
  <si>
    <t>CA-2016-147431</t>
  </si>
  <si>
    <t>CA-2016-147473</t>
  </si>
  <si>
    <t>CA-2016-147536</t>
  </si>
  <si>
    <t>CA-2016-147578</t>
  </si>
  <si>
    <t>CA-2016-147585</t>
  </si>
  <si>
    <t>CA-2016-147683</t>
  </si>
  <si>
    <t>CA-2016-147970</t>
  </si>
  <si>
    <t>CA-2016-148096</t>
  </si>
  <si>
    <t>CA-2016-148201</t>
  </si>
  <si>
    <t>CA-2016-148208</t>
  </si>
  <si>
    <t>CA-2016-148516</t>
  </si>
  <si>
    <t>TEC-AC-10003610</t>
  </si>
  <si>
    <t>CA-2016-148593</t>
  </si>
  <si>
    <t>CA-2016-148684</t>
  </si>
  <si>
    <t>OFF-AR-10003811</t>
  </si>
  <si>
    <t>CA-2016-148698</t>
  </si>
  <si>
    <t>CA-2016-148740</t>
  </si>
  <si>
    <t>CA-2016-148747</t>
  </si>
  <si>
    <t>CA-2016-148796</t>
  </si>
  <si>
    <t>CA-2016-148852</t>
  </si>
  <si>
    <t>TEC-MA-10002428</t>
  </si>
  <si>
    <t>CA-2016-148908</t>
  </si>
  <si>
    <t>CA-2016-149111</t>
  </si>
  <si>
    <t>TEC-PH-10003092</t>
  </si>
  <si>
    <t>CA-2016-149195</t>
  </si>
  <si>
    <t>CA-2016-149223</t>
  </si>
  <si>
    <t>CA-2016-149237</t>
  </si>
  <si>
    <t>CA-2016-149272</t>
  </si>
  <si>
    <t>CA-2016-149279</t>
  </si>
  <si>
    <t>CA-2016-149314</t>
  </si>
  <si>
    <t>CA-2016-149335</t>
  </si>
  <si>
    <t>OFF-AR-10001419</t>
  </si>
  <si>
    <t>CA-2016-149349</t>
  </si>
  <si>
    <t>CA-2016-149454</t>
  </si>
  <si>
    <t>CA-2016-149461</t>
  </si>
  <si>
    <t>CA-2016-149482</t>
  </si>
  <si>
    <t>CA-2016-149503</t>
  </si>
  <si>
    <t>CA-2016-149671</t>
  </si>
  <si>
    <t>CA-2016-149685</t>
  </si>
  <si>
    <t>CA-2016-149762</t>
  </si>
  <si>
    <t>CA-2016-149783</t>
  </si>
  <si>
    <t>CA-2016-149797</t>
  </si>
  <si>
    <t>CA-2016-149902</t>
  </si>
  <si>
    <t>OFF-AR-10002956</t>
  </si>
  <si>
    <t>CA-2016-149916</t>
  </si>
  <si>
    <t>CA-2016-149965</t>
  </si>
  <si>
    <t>CA-2016-149979</t>
  </si>
  <si>
    <t>CA-2016-150000</t>
  </si>
  <si>
    <t>OFF-EN-10002973</t>
  </si>
  <si>
    <t>CA-2016-150007</t>
  </si>
  <si>
    <t>CA-2016-150077</t>
  </si>
  <si>
    <t>CA-2016-150343</t>
  </si>
  <si>
    <t>CA-2016-150350</t>
  </si>
  <si>
    <t>CA-2016-150483</t>
  </si>
  <si>
    <t>FUR-FU-10001379</t>
  </si>
  <si>
    <t>CA-2016-150889</t>
  </si>
  <si>
    <t>TEC-PH-10000004</t>
  </si>
  <si>
    <t>CA-2016-150945</t>
  </si>
  <si>
    <t>CA-2016-151092</t>
  </si>
  <si>
    <t>CA-2016-151141</t>
  </si>
  <si>
    <t>CA-2016-151148</t>
  </si>
  <si>
    <t>CA-2016-151155</t>
  </si>
  <si>
    <t>CA-2016-151169</t>
  </si>
  <si>
    <t>CA-2016-151323</t>
  </si>
  <si>
    <t>CA-2016-151372</t>
  </si>
  <si>
    <t>OFF-PA-10004381</t>
  </si>
  <si>
    <t>CA-2016-151498</t>
  </si>
  <si>
    <t>CA-2016-151512</t>
  </si>
  <si>
    <t>CA-2016-151561</t>
  </si>
  <si>
    <t>CA-2016-151974</t>
  </si>
  <si>
    <t>CA-2016-152072</t>
  </si>
  <si>
    <t>CA-2016-152121</t>
  </si>
  <si>
    <t>TEC-PH-10002483</t>
  </si>
  <si>
    <t>CA-2016-152156</t>
  </si>
  <si>
    <t>CA-2016-152163</t>
  </si>
  <si>
    <t>CA-2016-152170</t>
  </si>
  <si>
    <t>OFF-EN-10002831</t>
  </si>
  <si>
    <t>CA-2016-152289</t>
  </si>
  <si>
    <t>CA-2016-152331</t>
  </si>
  <si>
    <t>CA-2016-152408</t>
  </si>
  <si>
    <t>CA-2016-152457</t>
  </si>
  <si>
    <t>CA-2016-152471</t>
  </si>
  <si>
    <t>OFF-PA-10004965</t>
  </si>
  <si>
    <t>TEC-PH-10002824</t>
  </si>
  <si>
    <t>CA-2016-152520</t>
  </si>
  <si>
    <t>CA-2016-152534</t>
  </si>
  <si>
    <t>CA-2016-152555</t>
  </si>
  <si>
    <t>CA-2016-152632</t>
  </si>
  <si>
    <t>CA-2016-152688</t>
  </si>
  <si>
    <t>CA-2016-152730</t>
  </si>
  <si>
    <t>CA-2016-152765</t>
  </si>
  <si>
    <t>OFF-PA-10000483</t>
  </si>
  <si>
    <t>CA-2016-152800</t>
  </si>
  <si>
    <t>CA-2016-152814</t>
  </si>
  <si>
    <t>CA-2016-152940</t>
  </si>
  <si>
    <t>OFF-ST-10000352</t>
  </si>
  <si>
    <t>CA-2016-153101</t>
  </si>
  <si>
    <t>CA-2016-153157</t>
  </si>
  <si>
    <t>CA-2016-153178</t>
  </si>
  <si>
    <t>CA-2016-153185</t>
  </si>
  <si>
    <t>CA-2016-153269</t>
  </si>
  <si>
    <t>CA-2016-153318</t>
  </si>
  <si>
    <t>CA-2016-153346</t>
  </si>
  <si>
    <t>OFF-AR-10000315</t>
  </si>
  <si>
    <t>OFF-PA-10000007</t>
  </si>
  <si>
    <t>CA-2016-153353</t>
  </si>
  <si>
    <t>CA-2016-153577</t>
  </si>
  <si>
    <t>CA-2016-153598</t>
  </si>
  <si>
    <t>CA-2016-153661</t>
  </si>
  <si>
    <t>CA-2016-153682</t>
  </si>
  <si>
    <t>CA-2016-153836</t>
  </si>
  <si>
    <t>CA-2016-154018</t>
  </si>
  <si>
    <t>CA-2016-154053</t>
  </si>
  <si>
    <t>CA-2016-154060</t>
  </si>
  <si>
    <t>CA-2016-154067</t>
  </si>
  <si>
    <t>CA-2016-154081</t>
  </si>
  <si>
    <t>TEC-PH-10001918</t>
  </si>
  <si>
    <t>CA-2016-154235</t>
  </si>
  <si>
    <t>CA-2016-154403</t>
  </si>
  <si>
    <t>CA-2016-154508</t>
  </si>
  <si>
    <t>CA-2016-154536</t>
  </si>
  <si>
    <t>CA-2016-154662</t>
  </si>
  <si>
    <t>CA-2016-154690</t>
  </si>
  <si>
    <t>CA-2016-154711</t>
  </si>
  <si>
    <t>CA-2016-154739</t>
  </si>
  <si>
    <t>CA-2016-154767</t>
  </si>
  <si>
    <t>CA-2016-154788</t>
  </si>
  <si>
    <t>CA-2016-154998</t>
  </si>
  <si>
    <t>CA-2016-155005</t>
  </si>
  <si>
    <t>CA-2016-155033</t>
  </si>
  <si>
    <t>CA-2016-155138</t>
  </si>
  <si>
    <t>CA-2016-155166</t>
  </si>
  <si>
    <t>CA-2016-155187</t>
  </si>
  <si>
    <t>CA-2016-155383</t>
  </si>
  <si>
    <t>CA-2016-155439</t>
  </si>
  <si>
    <t>CA-2016-155446</t>
  </si>
  <si>
    <t>CA-2016-155474</t>
  </si>
  <si>
    <t>CA-2016-155481</t>
  </si>
  <si>
    <t>OFF-PA-10004675</t>
  </si>
  <si>
    <t>CA-2016-155488</t>
  </si>
  <si>
    <t>CA-2016-155516</t>
  </si>
  <si>
    <t>CA-2016-155530</t>
  </si>
  <si>
    <t>CA-2016-155551</t>
  </si>
  <si>
    <t>CA-2016-155565</t>
  </si>
  <si>
    <t>CA-2016-155670</t>
  </si>
  <si>
    <t>CA-2016-155747</t>
  </si>
  <si>
    <t>FUR-TA-10003392</t>
  </si>
  <si>
    <t>CA-2016-155845</t>
  </si>
  <si>
    <t>CA-2016-155978</t>
  </si>
  <si>
    <t>CA-2016-156251</t>
  </si>
  <si>
    <t>CA-2016-156265</t>
  </si>
  <si>
    <t>FUR-TA-10001691</t>
  </si>
  <si>
    <t>CA-2016-156300</t>
  </si>
  <si>
    <t>CA-2016-156503</t>
  </si>
  <si>
    <t>FUR-CH-10003606</t>
  </si>
  <si>
    <t>CA-2016-156573</t>
  </si>
  <si>
    <t>CA-2016-156685</t>
  </si>
  <si>
    <t>CA-2016-156748</t>
  </si>
  <si>
    <t>CA-2016-156811</t>
  </si>
  <si>
    <t>CA-2016-157000</t>
  </si>
  <si>
    <t>CA-2016-157161</t>
  </si>
  <si>
    <t>OFF-PA-10001461</t>
  </si>
  <si>
    <t>CA-2016-157217</t>
  </si>
  <si>
    <t>CA-2016-157245</t>
  </si>
  <si>
    <t>CA-2016-157259</t>
  </si>
  <si>
    <t>CA-2016-157266</t>
  </si>
  <si>
    <t>CA-2016-157280</t>
  </si>
  <si>
    <t>TEC-AC-10000057</t>
  </si>
  <si>
    <t>CA-2016-157336</t>
  </si>
  <si>
    <t>CA-2016-157364</t>
  </si>
  <si>
    <t>CA-2016-157511</t>
  </si>
  <si>
    <t>CA-2016-157588</t>
  </si>
  <si>
    <t>CA-2016-157686</t>
  </si>
  <si>
    <t>CA-2016-157707</t>
  </si>
  <si>
    <t>FUR-BO-10001567</t>
  </si>
  <si>
    <t>CA-2016-157714</t>
  </si>
  <si>
    <t>OFF-PA-10004022</t>
  </si>
  <si>
    <t>CA-2016-157742</t>
  </si>
  <si>
    <t>CA-2016-157749</t>
  </si>
  <si>
    <t>CA-2016-157763</t>
  </si>
  <si>
    <t>CA-2016-157791</t>
  </si>
  <si>
    <t>CA-2016-157868</t>
  </si>
  <si>
    <t>CA-2016-158001</t>
  </si>
  <si>
    <t>CA-2016-158043</t>
  </si>
  <si>
    <t>CA-2016-158099</t>
  </si>
  <si>
    <t>CA-2016-158155</t>
  </si>
  <si>
    <t>CA-2016-158211</t>
  </si>
  <si>
    <t>CA-2016-158260</t>
  </si>
  <si>
    <t>TEC-MA-10003176</t>
  </si>
  <si>
    <t>CA-2016-158302</t>
  </si>
  <si>
    <t>CA-2016-158358</t>
  </si>
  <si>
    <t>CA-2016-158435</t>
  </si>
  <si>
    <t>CA-2016-158547</t>
  </si>
  <si>
    <t>CA-2016-158568</t>
  </si>
  <si>
    <t>CA-2016-158575</t>
  </si>
  <si>
    <t>CA-2016-158610</t>
  </si>
  <si>
    <t>CA-2016-158617</t>
  </si>
  <si>
    <t>CA-2016-158694</t>
  </si>
  <si>
    <t>OFF-AR-10001227</t>
  </si>
  <si>
    <t>CA-2016-158778</t>
  </si>
  <si>
    <t>CA-2016-158806</t>
  </si>
  <si>
    <t>CA-2016-158834</t>
  </si>
  <si>
    <t>OFF-AP-10000326</t>
  </si>
  <si>
    <t>CA-2016-158841</t>
  </si>
  <si>
    <t>CA-2016-158869</t>
  </si>
  <si>
    <t>CA-2016-158925</t>
  </si>
  <si>
    <t>CA-2016-159009</t>
  </si>
  <si>
    <t>CA-2016-159016</t>
  </si>
  <si>
    <t>OFF-PA-10004405</t>
  </si>
  <si>
    <t>CA-2016-159023</t>
  </si>
  <si>
    <t>TEC-MA-10003337</t>
  </si>
  <si>
    <t>CA-2016-159142</t>
  </si>
  <si>
    <t>CA-2016-159212</t>
  </si>
  <si>
    <t>CA-2016-159345</t>
  </si>
  <si>
    <t>CA-2016-159373</t>
  </si>
  <si>
    <t>CA-2016-159639</t>
  </si>
  <si>
    <t>CA-2016-159653</t>
  </si>
  <si>
    <t>CA-2016-159730</t>
  </si>
  <si>
    <t>CA-2016-159737</t>
  </si>
  <si>
    <t>CA-2016-159765</t>
  </si>
  <si>
    <t>CA-2016-159891</t>
  </si>
  <si>
    <t>CA-2016-159912</t>
  </si>
  <si>
    <t>CA-2016-159940</t>
  </si>
  <si>
    <t>CA-2016-159989</t>
  </si>
  <si>
    <t>CA-2016-160108</t>
  </si>
  <si>
    <t>CA-2016-160129</t>
  </si>
  <si>
    <t>CA-2016-160220</t>
  </si>
  <si>
    <t>CA-2016-160234</t>
  </si>
  <si>
    <t>CA-2016-160304</t>
  </si>
  <si>
    <t>CA-2016-160479</t>
  </si>
  <si>
    <t>CA-2016-160500</t>
  </si>
  <si>
    <t>CA-2016-160535</t>
  </si>
  <si>
    <t>TEC-MA-10004255</t>
  </si>
  <si>
    <t>CA-2016-160598</t>
  </si>
  <si>
    <t>CA-2016-160717</t>
  </si>
  <si>
    <t>CA-2016-160745</t>
  </si>
  <si>
    <t>CA-2016-160815</t>
  </si>
  <si>
    <t>CA-2016-160941</t>
  </si>
  <si>
    <t>CA-2016-161025</t>
  </si>
  <si>
    <t>CA-2016-161095</t>
  </si>
  <si>
    <t>CA-2016-161158</t>
  </si>
  <si>
    <t>OFF-AR-10000462</t>
  </si>
  <si>
    <t>CA-2016-161207</t>
  </si>
  <si>
    <t>CA-2016-161361</t>
  </si>
  <si>
    <t>CA-2016-161389</t>
  </si>
  <si>
    <t>CA-2016-161473</t>
  </si>
  <si>
    <t>CA-2016-161543</t>
  </si>
  <si>
    <t>CA-2016-161669</t>
  </si>
  <si>
    <t>OFF-SU-10002503</t>
  </si>
  <si>
    <t>CA-2016-161676</t>
  </si>
  <si>
    <t>CA-2016-161746</t>
  </si>
  <si>
    <t>CA-2016-161781</t>
  </si>
  <si>
    <t>OFF-AR-10000255</t>
  </si>
  <si>
    <t>CA-2016-161816</t>
  </si>
  <si>
    <t>CA-2016-161907</t>
  </si>
  <si>
    <t>CA-2016-161928</t>
  </si>
  <si>
    <t>CA-2016-162082</t>
  </si>
  <si>
    <t>CA-2016-162110</t>
  </si>
  <si>
    <t>TEC-PH-10001924</t>
  </si>
  <si>
    <t>CA-2016-162138</t>
  </si>
  <si>
    <t>CA-2016-162159</t>
  </si>
  <si>
    <t>CA-2016-162187</t>
  </si>
  <si>
    <t>CA-2016-162222</t>
  </si>
  <si>
    <t>CA-2016-162236</t>
  </si>
  <si>
    <t>CA-2016-162313</t>
  </si>
  <si>
    <t>CA-2016-162348</t>
  </si>
  <si>
    <t>CA-2016-162355</t>
  </si>
  <si>
    <t>CA-2016-162383</t>
  </si>
  <si>
    <t>CA-2016-162390</t>
  </si>
  <si>
    <t>OFF-BI-10001721</t>
  </si>
  <si>
    <t>CA-2016-162404</t>
  </si>
  <si>
    <t>CA-2016-162614</t>
  </si>
  <si>
    <t>CA-2016-162726</t>
  </si>
  <si>
    <t>CA-2016-162747</t>
  </si>
  <si>
    <t>CA-2016-162901</t>
  </si>
  <si>
    <t>CA-2016-162943</t>
  </si>
  <si>
    <t>CA-2016-163048</t>
  </si>
  <si>
    <t>CA-2016-163153</t>
  </si>
  <si>
    <t>CA-2016-163167</t>
  </si>
  <si>
    <t>CA-2016-163174</t>
  </si>
  <si>
    <t>CA-2016-163202</t>
  </si>
  <si>
    <t>CA-2016-163216</t>
  </si>
  <si>
    <t>CA-2016-163328</t>
  </si>
  <si>
    <t>CA-2016-163384</t>
  </si>
  <si>
    <t>CA-2016-163398</t>
  </si>
  <si>
    <t>CA-2016-163573</t>
  </si>
  <si>
    <t>CA-2016-163594</t>
  </si>
  <si>
    <t>CA-2016-163636</t>
  </si>
  <si>
    <t>CA-2016-163755</t>
  </si>
  <si>
    <t>CA-2016-163776</t>
  </si>
  <si>
    <t>CA-2016-163804</t>
  </si>
  <si>
    <t>CA-2016-163937</t>
  </si>
  <si>
    <t>CA-2016-163951</t>
  </si>
  <si>
    <t>CA-2016-163972</t>
  </si>
  <si>
    <t>FUR-BO-10003894</t>
  </si>
  <si>
    <t>CA-2016-164035</t>
  </si>
  <si>
    <t>CA-2016-164091</t>
  </si>
  <si>
    <t>CA-2016-164154</t>
  </si>
  <si>
    <t>CA-2016-164350</t>
  </si>
  <si>
    <t>CA-2016-164399</t>
  </si>
  <si>
    <t>CA-2016-164483</t>
  </si>
  <si>
    <t>CA-2016-164490</t>
  </si>
  <si>
    <t>CA-2016-164511</t>
  </si>
  <si>
    <t>CA-2016-164574</t>
  </si>
  <si>
    <t>CA-2016-164637</t>
  </si>
  <si>
    <t>CA-2016-164672</t>
  </si>
  <si>
    <t>CA-2016-164735</t>
  </si>
  <si>
    <t>CA-2016-164770</t>
  </si>
  <si>
    <t>CA-2016-164784</t>
  </si>
  <si>
    <t>CA-2016-164889</t>
  </si>
  <si>
    <t>CA-2016-164896</t>
  </si>
  <si>
    <t>CA-2016-164924</t>
  </si>
  <si>
    <t>TEC-MA-10000904</t>
  </si>
  <si>
    <t>CA-2016-164938</t>
  </si>
  <si>
    <t>CA-2016-165015</t>
  </si>
  <si>
    <t>CA-2016-165148</t>
  </si>
  <si>
    <t>CA-2016-165169</t>
  </si>
  <si>
    <t>CA-2016-165218</t>
  </si>
  <si>
    <t>CA-2016-165316</t>
  </si>
  <si>
    <t>CA-2016-165330</t>
  </si>
  <si>
    <t>CA-2016-165470</t>
  </si>
  <si>
    <t>CA-2016-165484</t>
  </si>
  <si>
    <t>CA-2016-165561</t>
  </si>
  <si>
    <t>CA-2016-165673</t>
  </si>
  <si>
    <t>CA-2016-165820</t>
  </si>
  <si>
    <t>OFF-PA-10004735</t>
  </si>
  <si>
    <t>CA-2016-165827</t>
  </si>
  <si>
    <t>CA-2016-165848</t>
  </si>
  <si>
    <t>CA-2016-165918</t>
  </si>
  <si>
    <t>CA-2016-165995</t>
  </si>
  <si>
    <t>CA-2016-166163</t>
  </si>
  <si>
    <t>CA-2016-166226</t>
  </si>
  <si>
    <t>OFF-AP-10002867</t>
  </si>
  <si>
    <t>CA-2016-166240</t>
  </si>
  <si>
    <t>CA-2016-166275</t>
  </si>
  <si>
    <t>CA-2016-166282</t>
  </si>
  <si>
    <t>CA-2016-166373</t>
  </si>
  <si>
    <t>CA-2016-166380</t>
  </si>
  <si>
    <t>CA-2016-166429</t>
  </si>
  <si>
    <t>CA-2016-166443</t>
  </si>
  <si>
    <t>CA-2016-166485</t>
  </si>
  <si>
    <t>CA-2016-166618</t>
  </si>
  <si>
    <t>CA-2016-166625</t>
  </si>
  <si>
    <t>CA-2016-166653</t>
  </si>
  <si>
    <t>CA-2016-166674</t>
  </si>
  <si>
    <t>OFF-AR-10004974</t>
  </si>
  <si>
    <t>CA-2016-166772</t>
  </si>
  <si>
    <t>CA-2016-166912</t>
  </si>
  <si>
    <t>CA-2016-167115</t>
  </si>
  <si>
    <t>CA-2016-167241</t>
  </si>
  <si>
    <t>FUR-FU-10004071</t>
  </si>
  <si>
    <t>OFF-PA-10004911</t>
  </si>
  <si>
    <t>CA-2016-167290</t>
  </si>
  <si>
    <t>CA-2016-167416</t>
  </si>
  <si>
    <t>OFF-EN-10001141</t>
  </si>
  <si>
    <t>CA-2016-167507</t>
  </si>
  <si>
    <t>CA-2016-167556</t>
  </si>
  <si>
    <t>CA-2016-167584</t>
  </si>
  <si>
    <t>CA-2016-167605</t>
  </si>
  <si>
    <t>CA-2016-167682</t>
  </si>
  <si>
    <t>CA-2016-167759</t>
  </si>
  <si>
    <t>CA-2016-167983</t>
  </si>
  <si>
    <t>CA-2016-168032</t>
  </si>
  <si>
    <t>TEC-PH-10004241</t>
  </si>
  <si>
    <t>CA-2016-168046</t>
  </si>
  <si>
    <t>CA-2016-168081</t>
  </si>
  <si>
    <t>CA-2016-168354</t>
  </si>
  <si>
    <t>CA-2016-168361</t>
  </si>
  <si>
    <t>CA-2016-168536</t>
  </si>
  <si>
    <t>CA-2016-168543</t>
  </si>
  <si>
    <t>OFF-AP-10000938</t>
  </si>
  <si>
    <t>CA-2016-168557</t>
  </si>
  <si>
    <t>CA-2016-168753</t>
  </si>
  <si>
    <t>CA-2016-168774</t>
  </si>
  <si>
    <t>CA-2016-168830</t>
  </si>
  <si>
    <t>CA-2016-168844</t>
  </si>
  <si>
    <t>CA-2016-168893</t>
  </si>
  <si>
    <t>CA-2016-168921</t>
  </si>
  <si>
    <t>CA-2016-168956</t>
  </si>
  <si>
    <t>OFF-AP-10004233</t>
  </si>
  <si>
    <t>CA-2016-169026</t>
  </si>
  <si>
    <t>CA-2016-169103</t>
  </si>
  <si>
    <t>CA-2016-169166</t>
  </si>
  <si>
    <t>CA-2016-169194</t>
  </si>
  <si>
    <t>CA-2016-169215</t>
  </si>
  <si>
    <t>CA-2016-169334</t>
  </si>
  <si>
    <t>CA-2016-169663</t>
  </si>
  <si>
    <t>CA-2016-169824</t>
  </si>
  <si>
    <t>CA-2016-169838</t>
  </si>
  <si>
    <t>TEC-AC-10004518</t>
  </si>
  <si>
    <t>CA-2016-169887</t>
  </si>
  <si>
    <t>FUR-FU-10003095</t>
  </si>
  <si>
    <t>CA-2016-169922</t>
  </si>
  <si>
    <t>CA-2016-169943</t>
  </si>
  <si>
    <t>CA-2016-169957</t>
  </si>
  <si>
    <t>CA-2016-169971</t>
  </si>
  <si>
    <t>CA-2017-100013</t>
  </si>
  <si>
    <t>CA-2017-100055</t>
  </si>
  <si>
    <t>CA-2017-100097</t>
  </si>
  <si>
    <t>CA-2017-100111</t>
  </si>
  <si>
    <t>CA-2017-100160</t>
  </si>
  <si>
    <t>CA-2017-100202</t>
  </si>
  <si>
    <t>CA-2017-100223</t>
  </si>
  <si>
    <t>CA-2017-100230</t>
  </si>
  <si>
    <t>CA-2017-100314</t>
  </si>
  <si>
    <t>TEC-MA-10003066</t>
  </si>
  <si>
    <t>CA-2017-100335</t>
  </si>
  <si>
    <t>CA-2017-100356</t>
  </si>
  <si>
    <t>CA-2017-100384</t>
  </si>
  <si>
    <t>CA-2017-100412</t>
  </si>
  <si>
    <t>CA-2017-100426</t>
  </si>
  <si>
    <t>CA-2017-100433</t>
  </si>
  <si>
    <t>CA-2017-100524</t>
  </si>
  <si>
    <t>CA-2017-100580</t>
  </si>
  <si>
    <t>CA-2017-100615</t>
  </si>
  <si>
    <t>CA-2017-100622</t>
  </si>
  <si>
    <t>TEC-CO-10003236</t>
  </si>
  <si>
    <t>CA-2017-100636</t>
  </si>
  <si>
    <t>CA-2017-100748</t>
  </si>
  <si>
    <t>CA-2017-100783</t>
  </si>
  <si>
    <t>CA-2017-100811</t>
  </si>
  <si>
    <t>CA-2017-100825</t>
  </si>
  <si>
    <t>CA-2017-100902</t>
  </si>
  <si>
    <t>OFF-PA-10002558</t>
  </si>
  <si>
    <t>CA-2017-100951</t>
  </si>
  <si>
    <t>CA-2017-101014</t>
  </si>
  <si>
    <t>CA-2017-101042</t>
  </si>
  <si>
    <t>CA-2017-101049</t>
  </si>
  <si>
    <t>CA-2017-101077</t>
  </si>
  <si>
    <t>CA-2017-101182</t>
  </si>
  <si>
    <t>CA-2017-101245</t>
  </si>
  <si>
    <t>CA-2017-101273</t>
  </si>
  <si>
    <t>CA-2017-101308</t>
  </si>
  <si>
    <t>CA-2017-101322</t>
  </si>
  <si>
    <t>CA-2017-101434</t>
  </si>
  <si>
    <t>CA-2017-101483</t>
  </si>
  <si>
    <t>CA-2017-101574</t>
  </si>
  <si>
    <t>CA-2017-101581</t>
  </si>
  <si>
    <t>CA-2017-101637</t>
  </si>
  <si>
    <t>CA-2017-101665</t>
  </si>
  <si>
    <t>CA-2017-101700</t>
  </si>
  <si>
    <t>CA-2017-101728</t>
  </si>
  <si>
    <t>CA-2017-101749</t>
  </si>
  <si>
    <t>CA-2017-101798</t>
  </si>
  <si>
    <t>CA-2017-101805</t>
  </si>
  <si>
    <t>CA-2017-101945</t>
  </si>
  <si>
    <t>CA-2017-101959</t>
  </si>
  <si>
    <t>CA-2017-102099</t>
  </si>
  <si>
    <t>CA-2017-102155</t>
  </si>
  <si>
    <t>OFF-PA-10003673</t>
  </si>
  <si>
    <t>CA-2017-102197</t>
  </si>
  <si>
    <t>CA-2017-102204</t>
  </si>
  <si>
    <t>OFF-SU-10001212</t>
  </si>
  <si>
    <t>CA-2017-102218</t>
  </si>
  <si>
    <t>CA-2017-102267</t>
  </si>
  <si>
    <t>CA-2017-102309</t>
  </si>
  <si>
    <t>TEC-AC-10001114</t>
  </si>
  <si>
    <t>CA-2017-102337</t>
  </si>
  <si>
    <t>CA-2017-102379</t>
  </si>
  <si>
    <t>CA-2017-102407</t>
  </si>
  <si>
    <t>CA-2017-102414</t>
  </si>
  <si>
    <t>OFF-PA-10002333</t>
  </si>
  <si>
    <t>CA-2017-102519</t>
  </si>
  <si>
    <t>CA-2017-102554</t>
  </si>
  <si>
    <t>CA-2017-102610</t>
  </si>
  <si>
    <t>TEC-PH-10000127</t>
  </si>
  <si>
    <t>CA-2017-102659</t>
  </si>
  <si>
    <t>CA-2017-102729</t>
  </si>
  <si>
    <t>CA-2017-102736</t>
  </si>
  <si>
    <t>CA-2017-102750</t>
  </si>
  <si>
    <t>CA-2017-102771</t>
  </si>
  <si>
    <t>CA-2017-102820</t>
  </si>
  <si>
    <t>CA-2017-102834</t>
  </si>
  <si>
    <t>CA-2017-102925</t>
  </si>
  <si>
    <t>FUR-FU-10004245</t>
  </si>
  <si>
    <t>CA-2017-102946</t>
  </si>
  <si>
    <t>CA-2017-102967</t>
  </si>
  <si>
    <t>CA-2017-102974</t>
  </si>
  <si>
    <t>OFF-AR-10004956</t>
  </si>
  <si>
    <t>CA-2017-103009</t>
  </si>
  <si>
    <t>CA-2017-103065</t>
  </si>
  <si>
    <t>FUR-FU-10000175</t>
  </si>
  <si>
    <t>CA-2017-103156</t>
  </si>
  <si>
    <t>CA-2017-103212</t>
  </si>
  <si>
    <t>CA-2017-103352</t>
  </si>
  <si>
    <t>CA-2017-103380</t>
  </si>
  <si>
    <t>CA-2017-103415</t>
  </si>
  <si>
    <t>CA-2017-103443</t>
  </si>
  <si>
    <t>CA-2017-103478</t>
  </si>
  <si>
    <t>CA-2017-103499</t>
  </si>
  <si>
    <t>CA-2017-103506</t>
  </si>
  <si>
    <t>CA-2017-103520</t>
  </si>
  <si>
    <t>CA-2017-103611</t>
  </si>
  <si>
    <t>CA-2017-103765</t>
  </si>
  <si>
    <t>CA-2017-103877</t>
  </si>
  <si>
    <t>CA-2017-103968</t>
  </si>
  <si>
    <t>CA-2017-104003</t>
  </si>
  <si>
    <t>CA-2017-104010</t>
  </si>
  <si>
    <t>CA-2017-104024</t>
  </si>
  <si>
    <t>CA-2017-104066</t>
  </si>
  <si>
    <t>CA-2017-104080</t>
  </si>
  <si>
    <t>CA-2017-104108</t>
  </si>
  <si>
    <t>CA-2017-104136</t>
  </si>
  <si>
    <t>CA-2017-104220</t>
  </si>
  <si>
    <t>CA-2017-104318</t>
  </si>
  <si>
    <t>CA-2017-104381</t>
  </si>
  <si>
    <t>CA-2017-104388</t>
  </si>
  <si>
    <t>CA-2017-104577</t>
  </si>
  <si>
    <t>CA-2017-104619</t>
  </si>
  <si>
    <t>CA-2017-104640</t>
  </si>
  <si>
    <t>CA-2017-104647</t>
  </si>
  <si>
    <t>CA-2017-104731</t>
  </si>
  <si>
    <t>CA-2017-104745</t>
  </si>
  <si>
    <t>CA-2017-104801</t>
  </si>
  <si>
    <t>CA-2017-104822</t>
  </si>
  <si>
    <t>CA-2017-104850</t>
  </si>
  <si>
    <t>CA-2017-104864</t>
  </si>
  <si>
    <t>CA-2017-104885</t>
  </si>
  <si>
    <t>CA-2017-104906</t>
  </si>
  <si>
    <t>CA-2017-104913</t>
  </si>
  <si>
    <t>CA-2017-104927</t>
  </si>
  <si>
    <t>CA-2017-105053</t>
  </si>
  <si>
    <t>CA-2017-105074</t>
  </si>
  <si>
    <t>CA-2017-105130</t>
  </si>
  <si>
    <t>CA-2017-105144</t>
  </si>
  <si>
    <t>CA-2017-105193</t>
  </si>
  <si>
    <t>CA-2017-105214</t>
  </si>
  <si>
    <t>CA-2017-105235</t>
  </si>
  <si>
    <t>CA-2017-105326</t>
  </si>
  <si>
    <t>CA-2017-105333</t>
  </si>
  <si>
    <t>TEC-PH-10001468</t>
  </si>
  <si>
    <t>CA-2017-105410</t>
  </si>
  <si>
    <t>CA-2017-105445</t>
  </si>
  <si>
    <t>CA-2017-105480</t>
  </si>
  <si>
    <t>CA-2017-105487</t>
  </si>
  <si>
    <t>CA-2017-105543</t>
  </si>
  <si>
    <t>CA-2017-105620</t>
  </si>
  <si>
    <t>TEC-MA-10004626</t>
  </si>
  <si>
    <t>CA-2017-105669</t>
  </si>
  <si>
    <t>CA-2017-105809</t>
  </si>
  <si>
    <t>CA-2017-105823</t>
  </si>
  <si>
    <t>CA-2017-105851</t>
  </si>
  <si>
    <t>CA-2017-105886</t>
  </si>
  <si>
    <t>CA-2017-105914</t>
  </si>
  <si>
    <t>CA-2017-105921</t>
  </si>
  <si>
    <t>CA-2017-105991</t>
  </si>
  <si>
    <t>CA-2017-106033</t>
  </si>
  <si>
    <t>OFF-AR-10002818</t>
  </si>
  <si>
    <t>CA-2017-106047</t>
  </si>
  <si>
    <t>CA-2017-106068</t>
  </si>
  <si>
    <t>CA-2017-106103</t>
  </si>
  <si>
    <t>CA-2017-106180</t>
  </si>
  <si>
    <t>CA-2017-106355</t>
  </si>
  <si>
    <t>CA-2017-106432</t>
  </si>
  <si>
    <t>CA-2017-106537</t>
  </si>
  <si>
    <t>CA-2017-106691</t>
  </si>
  <si>
    <t>CA-2017-106747</t>
  </si>
  <si>
    <t>CA-2017-106782</t>
  </si>
  <si>
    <t>CA-2017-106824</t>
  </si>
  <si>
    <t>CA-2017-106831</t>
  </si>
  <si>
    <t>CA-2017-106852</t>
  </si>
  <si>
    <t>CA-2017-106859</t>
  </si>
  <si>
    <t>OFF-PA-10001534</t>
  </si>
  <si>
    <t>TEC-AC-10004001</t>
  </si>
  <si>
    <t>CA-2017-106943</t>
  </si>
  <si>
    <t>CA-2017-106964</t>
  </si>
  <si>
    <t>CA-2017-107125</t>
  </si>
  <si>
    <t>CA-2017-107132</t>
  </si>
  <si>
    <t>CA-2017-107167</t>
  </si>
  <si>
    <t>CA-2017-107174</t>
  </si>
  <si>
    <t>CA-2017-107209</t>
  </si>
  <si>
    <t>CA-2017-107244</t>
  </si>
  <si>
    <t>CA-2017-107265</t>
  </si>
  <si>
    <t>CA-2017-107293</t>
  </si>
  <si>
    <t>CA-2017-107314</t>
  </si>
  <si>
    <t>CA-2017-107321</t>
  </si>
  <si>
    <t>CA-2017-107342</t>
  </si>
  <si>
    <t>CA-2017-107461</t>
  </si>
  <si>
    <t>CA-2017-107503</t>
  </si>
  <si>
    <t>CA-2017-107517</t>
  </si>
  <si>
    <t>CA-2017-107552</t>
  </si>
  <si>
    <t>CA-2017-107629</t>
  </si>
  <si>
    <t>CA-2017-107713</t>
  </si>
  <si>
    <t>CA-2017-107720</t>
  </si>
  <si>
    <t>OFF-ST-10001414</t>
  </si>
  <si>
    <t>CA-2017-107727</t>
  </si>
  <si>
    <t>CA-2017-107748</t>
  </si>
  <si>
    <t>CA-2017-107825</t>
  </si>
  <si>
    <t>CA-2017-107832</t>
  </si>
  <si>
    <t>CA-2017-107853</t>
  </si>
  <si>
    <t>CA-2017-107874</t>
  </si>
  <si>
    <t>CA-2017-107909</t>
  </si>
  <si>
    <t>CA-2017-107958</t>
  </si>
  <si>
    <t>CA-2017-107986</t>
  </si>
  <si>
    <t>CA-2017-108000</t>
  </si>
  <si>
    <t>CA-2017-108035</t>
  </si>
  <si>
    <t>CA-2017-108070</t>
  </si>
  <si>
    <t>CA-2017-108091</t>
  </si>
  <si>
    <t>CA-2017-108112</t>
  </si>
  <si>
    <t>CA-2017-108287</t>
  </si>
  <si>
    <t>CA-2017-108294</t>
  </si>
  <si>
    <t>CA-2017-108322</t>
  </si>
  <si>
    <t>CA-2017-108329</t>
  </si>
  <si>
    <t>CA-2017-108441</t>
  </si>
  <si>
    <t>CA-2017-108539</t>
  </si>
  <si>
    <t>CA-2017-108553</t>
  </si>
  <si>
    <t>CA-2017-108560</t>
  </si>
  <si>
    <t>CA-2017-108574</t>
  </si>
  <si>
    <t>CA-2017-108749</t>
  </si>
  <si>
    <t>CA-2017-108756</t>
  </si>
  <si>
    <t>CA-2017-108791</t>
  </si>
  <si>
    <t>CA-2017-108854</t>
  </si>
  <si>
    <t>CA-2017-108910</t>
  </si>
  <si>
    <t>CA-2017-108931</t>
  </si>
  <si>
    <t>OFF-PA-10002741</t>
  </si>
  <si>
    <t>CA-2017-109085</t>
  </si>
  <si>
    <t>CA-2017-109099</t>
  </si>
  <si>
    <t>CA-2017-109183</t>
  </si>
  <si>
    <t>TEC-MA-10001856</t>
  </si>
  <si>
    <t>CA-2017-109211</t>
  </si>
  <si>
    <t>CA-2017-109393</t>
  </si>
  <si>
    <t>CA-2017-109589</t>
  </si>
  <si>
    <t>CA-2017-109701</t>
  </si>
  <si>
    <t>CA-2017-109715</t>
  </si>
  <si>
    <t>CA-2017-109750</t>
  </si>
  <si>
    <t>CA-2017-109757</t>
  </si>
  <si>
    <t>CA-2017-109778</t>
  </si>
  <si>
    <t>CA-2017-109946</t>
  </si>
  <si>
    <t>CA-2017-109960</t>
  </si>
  <si>
    <t>CA-2017-110198</t>
  </si>
  <si>
    <t>CA-2017-110212</t>
  </si>
  <si>
    <t>CA-2017-110310</t>
  </si>
  <si>
    <t>CA-2017-110373</t>
  </si>
  <si>
    <t>CA-2017-110380</t>
  </si>
  <si>
    <t>OFF-AR-10000422</t>
  </si>
  <si>
    <t>CA-2017-110429</t>
  </si>
  <si>
    <t>OFF-BI-10000216</t>
  </si>
  <si>
    <t>CA-2017-110443</t>
  </si>
  <si>
    <t>TEC-MA-10002073</t>
  </si>
  <si>
    <t>CA-2017-110478</t>
  </si>
  <si>
    <t>CA-2017-110625</t>
  </si>
  <si>
    <t>CA-2017-110821</t>
  </si>
  <si>
    <t>CA-2017-110842</t>
  </si>
  <si>
    <t>CA-2017-110884</t>
  </si>
  <si>
    <t>CA-2017-110905</t>
  </si>
  <si>
    <t>CA-2017-110926</t>
  </si>
  <si>
    <t>CA-2017-110940</t>
  </si>
  <si>
    <t>CA-2017-111178</t>
  </si>
  <si>
    <t>CA-2017-111220</t>
  </si>
  <si>
    <t>CA-2017-111262</t>
  </si>
  <si>
    <t>CA-2017-111269</t>
  </si>
  <si>
    <t>CA-2017-111332</t>
  </si>
  <si>
    <t>CA-2017-111374</t>
  </si>
  <si>
    <t>CA-2017-111388</t>
  </si>
  <si>
    <t>CA-2017-111556</t>
  </si>
  <si>
    <t>OFF-PA-10003651</t>
  </si>
  <si>
    <t>CA-2017-111577</t>
  </si>
  <si>
    <t>CA-2017-111591</t>
  </si>
  <si>
    <t>CA-2017-111647</t>
  </si>
  <si>
    <t>CA-2017-111689</t>
  </si>
  <si>
    <t>CA-2017-111717</t>
  </si>
  <si>
    <t>CA-2017-111738</t>
  </si>
  <si>
    <t>CA-2017-111759</t>
  </si>
  <si>
    <t>OFF-PA-10003127</t>
  </si>
  <si>
    <t>CA-2017-111808</t>
  </si>
  <si>
    <t>CA-2017-111815</t>
  </si>
  <si>
    <t>CA-2017-112004</t>
  </si>
  <si>
    <t>CA-2017-112039</t>
  </si>
  <si>
    <t>CA-2017-112172</t>
  </si>
  <si>
    <t>CA-2017-112333</t>
  </si>
  <si>
    <t>CA-2017-112431</t>
  </si>
  <si>
    <t>CA-2017-112473</t>
  </si>
  <si>
    <t>CA-2017-112487</t>
  </si>
  <si>
    <t>CA-2017-112515</t>
  </si>
  <si>
    <t>FUR-BO-10003404</t>
  </si>
  <si>
    <t>CA-2017-112529</t>
  </si>
  <si>
    <t>CA-2017-112536</t>
  </si>
  <si>
    <t>OFF-ST-10004835</t>
  </si>
  <si>
    <t>CA-2017-112725</t>
  </si>
  <si>
    <t>CA-2017-112753</t>
  </si>
  <si>
    <t>CA-2017-112809</t>
  </si>
  <si>
    <t>CA-2017-112844</t>
  </si>
  <si>
    <t>CA-2017-112865</t>
  </si>
  <si>
    <t>CA-2017-112900</t>
  </si>
  <si>
    <t>CA-2017-112956</t>
  </si>
  <si>
    <t>CA-2017-112984</t>
  </si>
  <si>
    <t>CA-2017-113075</t>
  </si>
  <si>
    <t>CA-2017-113208</t>
  </si>
  <si>
    <t>CA-2017-113278</t>
  </si>
  <si>
    <t>CA-2017-113355</t>
  </si>
  <si>
    <t>CA-2017-113418</t>
  </si>
  <si>
    <t>CA-2017-113453</t>
  </si>
  <si>
    <t>CA-2017-113460</t>
  </si>
  <si>
    <t>CA-2017-113474</t>
  </si>
  <si>
    <t>OFF-EN-10004206</t>
  </si>
  <si>
    <t>CA-2017-113481</t>
  </si>
  <si>
    <t>CA-2017-113530</t>
  </si>
  <si>
    <t>CA-2017-113558</t>
  </si>
  <si>
    <t>CA-2017-113572</t>
  </si>
  <si>
    <t>CA-2017-113670</t>
  </si>
  <si>
    <t>CA-2017-113705</t>
  </si>
  <si>
    <t>TEC-PH-10004006</t>
  </si>
  <si>
    <t>CA-2017-113873</t>
  </si>
  <si>
    <t>CA-2017-113908</t>
  </si>
  <si>
    <t>TEC-MA-10003173</t>
  </si>
  <si>
    <t>CA-2017-114055</t>
  </si>
  <si>
    <t>CA-2017-114216</t>
  </si>
  <si>
    <t>CA-2017-114258</t>
  </si>
  <si>
    <t>CA-2017-114370</t>
  </si>
  <si>
    <t>TEC-PH-10000213</t>
  </si>
  <si>
    <t>CA-2017-114412</t>
  </si>
  <si>
    <t>CA-2017-114440</t>
  </si>
  <si>
    <t>CA-2017-114524</t>
  </si>
  <si>
    <t>CA-2017-114552</t>
  </si>
  <si>
    <t>CA-2017-114636</t>
  </si>
  <si>
    <t>CA-2017-114804</t>
  </si>
  <si>
    <t>CA-2017-115070</t>
  </si>
  <si>
    <t>CA-2017-115105</t>
  </si>
  <si>
    <t>CA-2017-115119</t>
  </si>
  <si>
    <t>CA-2017-115154</t>
  </si>
  <si>
    <t>FUR-TA-10001950</t>
  </si>
  <si>
    <t>CA-2017-115175</t>
  </si>
  <si>
    <t>CA-2017-115322</t>
  </si>
  <si>
    <t>CA-2017-115364</t>
  </si>
  <si>
    <t>CA-2017-115427</t>
  </si>
  <si>
    <t>CA-2017-115448</t>
  </si>
  <si>
    <t>CA-2017-115546</t>
  </si>
  <si>
    <t>TEC-PH-10002834</t>
  </si>
  <si>
    <t>CA-2017-115602</t>
  </si>
  <si>
    <t>OFF-AR-10002280</t>
  </si>
  <si>
    <t>CA-2017-115651</t>
  </si>
  <si>
    <t>OFF-AR-10001130</t>
  </si>
  <si>
    <t>CA-2017-115777</t>
  </si>
  <si>
    <t>CA-2017-115805</t>
  </si>
  <si>
    <t>CA-2017-115882</t>
  </si>
  <si>
    <t>CA-2017-115931</t>
  </si>
  <si>
    <t>CA-2017-115994</t>
  </si>
  <si>
    <t>CA-2017-116113</t>
  </si>
  <si>
    <t>CA-2017-116127</t>
  </si>
  <si>
    <t>CA-2017-116204</t>
  </si>
  <si>
    <t>CA-2017-116225</t>
  </si>
  <si>
    <t>CA-2017-116288</t>
  </si>
  <si>
    <t>CA-2017-116358</t>
  </si>
  <si>
    <t>CA-2017-116498</t>
  </si>
  <si>
    <t>CA-2017-116519</t>
  </si>
  <si>
    <t>CA-2017-116645</t>
  </si>
  <si>
    <t>CA-2017-116680</t>
  </si>
  <si>
    <t>CA-2017-116715</t>
  </si>
  <si>
    <t>CA-2017-116855</t>
  </si>
  <si>
    <t>CA-2017-116939</t>
  </si>
  <si>
    <t>CA-2017-116946</t>
  </si>
  <si>
    <t>CA-2017-116953</t>
  </si>
  <si>
    <t>CA-2017-116988</t>
  </si>
  <si>
    <t>CA-2017-117009</t>
  </si>
  <si>
    <t>CA-2017-117023</t>
  </si>
  <si>
    <t>CA-2017-117044</t>
  </si>
  <si>
    <t>CA-2017-117079</t>
  </si>
  <si>
    <t>CA-2017-117114</t>
  </si>
  <si>
    <t>CA-2017-117128</t>
  </si>
  <si>
    <t>CA-2017-117156</t>
  </si>
  <si>
    <t>CA-2017-117198</t>
  </si>
  <si>
    <t>CA-2017-117212</t>
  </si>
  <si>
    <t>CA-2017-117240</t>
  </si>
  <si>
    <t>CA-2017-117261</t>
  </si>
  <si>
    <t>CA-2017-117324</t>
  </si>
  <si>
    <t>CA-2017-117394</t>
  </si>
  <si>
    <t>CA-2017-117401</t>
  </si>
  <si>
    <t>CA-2017-117422</t>
  </si>
  <si>
    <t>CA-2017-117436</t>
  </si>
  <si>
    <t>CA-2017-117443</t>
  </si>
  <si>
    <t>CA-2017-117457</t>
  </si>
  <si>
    <t>CA-2017-117485</t>
  </si>
  <si>
    <t>CA-2017-117513</t>
  </si>
  <si>
    <t>CA-2017-117632</t>
  </si>
  <si>
    <t>CA-2017-117646</t>
  </si>
  <si>
    <t>CA-2017-117653</t>
  </si>
  <si>
    <t>CA-2017-117667</t>
  </si>
  <si>
    <t>OFF-PA-10002709</t>
  </si>
  <si>
    <t>CA-2017-117695</t>
  </si>
  <si>
    <t>CA-2017-117702</t>
  </si>
  <si>
    <t>CA-2017-117807</t>
  </si>
  <si>
    <t>CA-2017-117821</t>
  </si>
  <si>
    <t>CA-2017-117863</t>
  </si>
  <si>
    <t>CA-2017-117870</t>
  </si>
  <si>
    <t>CA-2017-117926</t>
  </si>
  <si>
    <t>OFF-AP-10002670</t>
  </si>
  <si>
    <t>CA-2017-117947</t>
  </si>
  <si>
    <t>CA-2017-118003</t>
  </si>
  <si>
    <t>CA-2017-118017</t>
  </si>
  <si>
    <t>CA-2017-118122</t>
  </si>
  <si>
    <t>CA-2017-118136</t>
  </si>
  <si>
    <t>CA-2017-118199</t>
  </si>
  <si>
    <t>CA-2017-118213</t>
  </si>
  <si>
    <t>CA-2017-118346</t>
  </si>
  <si>
    <t>CA-2017-118360</t>
  </si>
  <si>
    <t>CA-2017-118367</t>
  </si>
  <si>
    <t>CA-2017-118402</t>
  </si>
  <si>
    <t>CA-2017-118437</t>
  </si>
  <si>
    <t>CA-2017-118521</t>
  </si>
  <si>
    <t>CA-2017-118542</t>
  </si>
  <si>
    <t>CA-2017-118577</t>
  </si>
  <si>
    <t>CA-2017-118640</t>
  </si>
  <si>
    <t>CA-2017-118668</t>
  </si>
  <si>
    <t>CA-2017-118724</t>
  </si>
  <si>
    <t>CA-2017-118731</t>
  </si>
  <si>
    <t>CA-2017-118773</t>
  </si>
  <si>
    <t>CA-2017-118857</t>
  </si>
  <si>
    <t>FUR-FU-10004460</t>
  </si>
  <si>
    <t>CA-2017-118864</t>
  </si>
  <si>
    <t>CA-2017-118885</t>
  </si>
  <si>
    <t>CA-2017-118892</t>
  </si>
  <si>
    <t>CA-2017-119004</t>
  </si>
  <si>
    <t>TEC-AC-10003499</t>
  </si>
  <si>
    <t>CA-2017-119011</t>
  </si>
  <si>
    <t>CA-2017-119193</t>
  </si>
  <si>
    <t>CA-2017-119284</t>
  </si>
  <si>
    <t>CA-2017-119305</t>
  </si>
  <si>
    <t>CA-2017-119389</t>
  </si>
  <si>
    <t>CA-2017-119424</t>
  </si>
  <si>
    <t>CA-2017-119452</t>
  </si>
  <si>
    <t>CA-2017-119564</t>
  </si>
  <si>
    <t>CA-2017-119578</t>
  </si>
  <si>
    <t>CA-2017-119655</t>
  </si>
  <si>
    <t>CA-2017-119669</t>
  </si>
  <si>
    <t>CA-2017-119746</t>
  </si>
  <si>
    <t>CA-2017-119809</t>
  </si>
  <si>
    <t>CA-2017-119914</t>
  </si>
  <si>
    <t>CA-2017-120019</t>
  </si>
  <si>
    <t>CA-2017-120061</t>
  </si>
  <si>
    <t>CA-2017-120168</t>
  </si>
  <si>
    <t>CA-2017-120222</t>
  </si>
  <si>
    <t>CA-2017-120327</t>
  </si>
  <si>
    <t>CA-2017-120376</t>
  </si>
  <si>
    <t>CA-2017-120404</t>
  </si>
  <si>
    <t>CA-2017-120614</t>
  </si>
  <si>
    <t>CA-2017-120705</t>
  </si>
  <si>
    <t>CA-2017-120719</t>
  </si>
  <si>
    <t>CA-2017-120761</t>
  </si>
  <si>
    <t>CA-2017-120894</t>
  </si>
  <si>
    <t>CA-2017-120936</t>
  </si>
  <si>
    <t>CA-2017-120999</t>
  </si>
  <si>
    <t>CA-2017-121027</t>
  </si>
  <si>
    <t>CA-2017-121048</t>
  </si>
  <si>
    <t>CA-2017-121083</t>
  </si>
  <si>
    <t>CA-2017-121125</t>
  </si>
  <si>
    <t>CA-2017-121160</t>
  </si>
  <si>
    <t>CA-2017-121195</t>
  </si>
  <si>
    <t>CA-2017-121216</t>
  </si>
  <si>
    <t>CA-2017-121258</t>
  </si>
  <si>
    <t>CA-2017-121293</t>
  </si>
  <si>
    <t>CA-2017-121300</t>
  </si>
  <si>
    <t>CA-2017-121314</t>
  </si>
  <si>
    <t>CA-2017-121398</t>
  </si>
  <si>
    <t>CA-2017-121412</t>
  </si>
  <si>
    <t>CA-2017-121419</t>
  </si>
  <si>
    <t>CA-2017-121468</t>
  </si>
  <si>
    <t>CA-2017-121489</t>
  </si>
  <si>
    <t>CA-2017-121503</t>
  </si>
  <si>
    <t>TEC-MA-10003674</t>
  </si>
  <si>
    <t>CA-2017-121538</t>
  </si>
  <si>
    <t>CA-2017-121559</t>
  </si>
  <si>
    <t>CA-2017-121580</t>
  </si>
  <si>
    <t>CA-2017-121615</t>
  </si>
  <si>
    <t>CA-2017-121643</t>
  </si>
  <si>
    <t>CA-2017-121678</t>
  </si>
  <si>
    <t>CA-2017-121706</t>
  </si>
  <si>
    <t>CA-2017-121741</t>
  </si>
  <si>
    <t>CA-2017-121790</t>
  </si>
  <si>
    <t>CA-2017-121804</t>
  </si>
  <si>
    <t>CA-2017-121818</t>
  </si>
  <si>
    <t>OFF-AR-10000203</t>
  </si>
  <si>
    <t>OFF-AR-10004790</t>
  </si>
  <si>
    <t>CA-2017-121839</t>
  </si>
  <si>
    <t>CA-2017-121853</t>
  </si>
  <si>
    <t>CA-2017-121888</t>
  </si>
  <si>
    <t>CA-2017-121909</t>
  </si>
  <si>
    <t>CA-2017-122007</t>
  </si>
  <si>
    <t>CA-2017-122028</t>
  </si>
  <si>
    <t>CA-2017-122035</t>
  </si>
  <si>
    <t>CA-2017-122056</t>
  </si>
  <si>
    <t>OFF-AR-10004260</t>
  </si>
  <si>
    <t>CA-2017-122077</t>
  </si>
  <si>
    <t>OFF-LA-10004178</t>
  </si>
  <si>
    <t>CA-2017-122105</t>
  </si>
  <si>
    <t>CA-2017-122112</t>
  </si>
  <si>
    <t>CA-2017-122154</t>
  </si>
  <si>
    <t>CA-2017-122175</t>
  </si>
  <si>
    <t>CA-2017-122196</t>
  </si>
  <si>
    <t>CA-2017-122280</t>
  </si>
  <si>
    <t>CA-2017-122308</t>
  </si>
  <si>
    <t>CA-2017-122364</t>
  </si>
  <si>
    <t>TEC-MA-10001031</t>
  </si>
  <si>
    <t>CA-2017-122490</t>
  </si>
  <si>
    <t>CA-2017-122504</t>
  </si>
  <si>
    <t>CA-2017-122539</t>
  </si>
  <si>
    <t>CA-2017-122595</t>
  </si>
  <si>
    <t>CA-2017-122644</t>
  </si>
  <si>
    <t>CA-2017-122693</t>
  </si>
  <si>
    <t>CA-2017-122700</t>
  </si>
  <si>
    <t>CA-2017-122707</t>
  </si>
  <si>
    <t>CA-2017-122735</t>
  </si>
  <si>
    <t>CA-2017-122763</t>
  </si>
  <si>
    <t>CA-2017-122770</t>
  </si>
  <si>
    <t>CA-2017-122798</t>
  </si>
  <si>
    <t>CA-2017-122945</t>
  </si>
  <si>
    <t>CA-2017-122987</t>
  </si>
  <si>
    <t>CA-2017-122994</t>
  </si>
  <si>
    <t>CA-2017-123001</t>
  </si>
  <si>
    <t>CA-2017-123022</t>
  </si>
  <si>
    <t>CA-2017-123029</t>
  </si>
  <si>
    <t>CA-2017-123036</t>
  </si>
  <si>
    <t>CA-2017-123043</t>
  </si>
  <si>
    <t>CA-2017-123071</t>
  </si>
  <si>
    <t>OFF-PA-10003729</t>
  </si>
  <si>
    <t>CA-2017-123085</t>
  </si>
  <si>
    <t>CA-2017-123134</t>
  </si>
  <si>
    <t>CA-2017-123239</t>
  </si>
  <si>
    <t>CA-2017-123246</t>
  </si>
  <si>
    <t>CA-2017-123351</t>
  </si>
  <si>
    <t>CA-2017-123372</t>
  </si>
  <si>
    <t>CA-2017-123491</t>
  </si>
  <si>
    <t>OFF-PA-10003424</t>
  </si>
  <si>
    <t>CA-2017-123624</t>
  </si>
  <si>
    <t>CA-2017-123638</t>
  </si>
  <si>
    <t>CA-2017-123659</t>
  </si>
  <si>
    <t>CA-2017-123687</t>
  </si>
  <si>
    <t>CA-2017-123701</t>
  </si>
  <si>
    <t>CA-2017-123778</t>
  </si>
  <si>
    <t>CA-2017-123967</t>
  </si>
  <si>
    <t>CA-2017-123981</t>
  </si>
  <si>
    <t>CA-2017-124086</t>
  </si>
  <si>
    <t>CA-2017-124114</t>
  </si>
  <si>
    <t>CA-2017-124191</t>
  </si>
  <si>
    <t>CA-2017-124205</t>
  </si>
  <si>
    <t>CA-2017-124261</t>
  </si>
  <si>
    <t>CA-2017-124296</t>
  </si>
  <si>
    <t>CA-2017-124401</t>
  </si>
  <si>
    <t>CA-2017-124436</t>
  </si>
  <si>
    <t>CA-2017-124576</t>
  </si>
  <si>
    <t>CA-2017-124597</t>
  </si>
  <si>
    <t>CA-2017-124674</t>
  </si>
  <si>
    <t>CA-2017-124716</t>
  </si>
  <si>
    <t>OFF-PA-10000859</t>
  </si>
  <si>
    <t>CA-2017-124744</t>
  </si>
  <si>
    <t>CA-2017-124765</t>
  </si>
  <si>
    <t>CA-2017-124828</t>
  </si>
  <si>
    <t>CA-2017-124898</t>
  </si>
  <si>
    <t>CA-2017-124940</t>
  </si>
  <si>
    <t>CA-2017-125101</t>
  </si>
  <si>
    <t>CA-2017-125115</t>
  </si>
  <si>
    <t>CA-2017-125199</t>
  </si>
  <si>
    <t>CA-2017-125269</t>
  </si>
  <si>
    <t>CA-2017-125290</t>
  </si>
  <si>
    <t>CA-2017-125367</t>
  </si>
  <si>
    <t>CA-2017-125381</t>
  </si>
  <si>
    <t>CA-2017-125388</t>
  </si>
  <si>
    <t>CA-2017-125451</t>
  </si>
  <si>
    <t>CA-2017-125472</t>
  </si>
  <si>
    <t>CA-2017-125640</t>
  </si>
  <si>
    <t>CA-2017-125745</t>
  </si>
  <si>
    <t>CA-2017-125752</t>
  </si>
  <si>
    <t>CA-2017-125878</t>
  </si>
  <si>
    <t>CA-2017-125913</t>
  </si>
  <si>
    <t>CA-2017-125990</t>
  </si>
  <si>
    <t>CA-2017-126046</t>
  </si>
  <si>
    <t>CA-2017-126067</t>
  </si>
  <si>
    <t>CA-2017-126074</t>
  </si>
  <si>
    <t>CA-2017-126123</t>
  </si>
  <si>
    <t>CA-2017-126144</t>
  </si>
  <si>
    <t>CA-2017-126221</t>
  </si>
  <si>
    <t>CA-2017-126242</t>
  </si>
  <si>
    <t>CA-2017-126354</t>
  </si>
  <si>
    <t>CA-2017-126382</t>
  </si>
  <si>
    <t>CA-2017-126396</t>
  </si>
  <si>
    <t>CA-2017-126438</t>
  </si>
  <si>
    <t>CA-2017-126536</t>
  </si>
  <si>
    <t>CA-2017-126550</t>
  </si>
  <si>
    <t>CA-2017-126634</t>
  </si>
  <si>
    <t>CA-2017-126662</t>
  </si>
  <si>
    <t>CA-2017-126676</t>
  </si>
  <si>
    <t>CA-2017-126718</t>
  </si>
  <si>
    <t>OFF-LA-10004055</t>
  </si>
  <si>
    <t>CA-2017-126774</t>
  </si>
  <si>
    <t>CA-2017-126788</t>
  </si>
  <si>
    <t>CA-2017-126865</t>
  </si>
  <si>
    <t>CA-2017-126914</t>
  </si>
  <si>
    <t>CA-2017-126928</t>
  </si>
  <si>
    <t>CA-2017-126956</t>
  </si>
  <si>
    <t>CA-2017-127026</t>
  </si>
  <si>
    <t>TEC-MA-10002981</t>
  </si>
  <si>
    <t>CA-2017-127096</t>
  </si>
  <si>
    <t>CA-2017-127117</t>
  </si>
  <si>
    <t>CA-2017-127180</t>
  </si>
  <si>
    <t>CA-2017-127264</t>
  </si>
  <si>
    <t>CA-2017-127285</t>
  </si>
  <si>
    <t>CA-2017-127306</t>
  </si>
  <si>
    <t>CA-2017-127313</t>
  </si>
  <si>
    <t>FUR-FU-10003798</t>
  </si>
  <si>
    <t>CA-2017-127397</t>
  </si>
  <si>
    <t>CA-2017-127432</t>
  </si>
  <si>
    <t>CA-2017-127460</t>
  </si>
  <si>
    <t>CA-2017-127474</t>
  </si>
  <si>
    <t>CA-2017-127516</t>
  </si>
  <si>
    <t>CA-2017-127621</t>
  </si>
  <si>
    <t>CA-2017-127656</t>
  </si>
  <si>
    <t>CA-2017-127705</t>
  </si>
  <si>
    <t>CA-2017-127712</t>
  </si>
  <si>
    <t>CA-2017-127726</t>
  </si>
  <si>
    <t>CA-2017-127782</t>
  </si>
  <si>
    <t>CA-2017-127803</t>
  </si>
  <si>
    <t>CA-2017-127922</t>
  </si>
  <si>
    <t>CA-2017-127929</t>
  </si>
  <si>
    <t>CA-2017-128041</t>
  </si>
  <si>
    <t>CA-2017-128076</t>
  </si>
  <si>
    <t>FUR-FU-10000293</t>
  </si>
  <si>
    <t>TEC-MA-10002109</t>
  </si>
  <si>
    <t>CA-2017-128160</t>
  </si>
  <si>
    <t>CA-2017-128265</t>
  </si>
  <si>
    <t>CA-2017-128300</t>
  </si>
  <si>
    <t>CA-2017-128328</t>
  </si>
  <si>
    <t>CA-2017-128335</t>
  </si>
  <si>
    <t>CA-2017-128363</t>
  </si>
  <si>
    <t>CA-2017-128370</t>
  </si>
  <si>
    <t>CA-2017-128426</t>
  </si>
  <si>
    <t>CA-2017-128475</t>
  </si>
  <si>
    <t>CA-2017-128629</t>
  </si>
  <si>
    <t>CA-2017-128699</t>
  </si>
  <si>
    <t>CA-2017-128734</t>
  </si>
  <si>
    <t>CA-2017-128755</t>
  </si>
  <si>
    <t>CA-2017-128769</t>
  </si>
  <si>
    <t>CA-2017-128783</t>
  </si>
  <si>
    <t>CA-2017-128853</t>
  </si>
  <si>
    <t>CA-2017-128944</t>
  </si>
  <si>
    <t>CA-2017-128965</t>
  </si>
  <si>
    <t>CA-2017-129000</t>
  </si>
  <si>
    <t>CA-2017-129021</t>
  </si>
  <si>
    <t>CA-2017-129028</t>
  </si>
  <si>
    <t>CA-2017-129294</t>
  </si>
  <si>
    <t>CA-2017-129357</t>
  </si>
  <si>
    <t>CA-2017-129378</t>
  </si>
  <si>
    <t>CA-2017-129462</t>
  </si>
  <si>
    <t>OFF-AP-10003884</t>
  </si>
  <si>
    <t>CA-2017-129490</t>
  </si>
  <si>
    <t>CA-2017-129567</t>
  </si>
  <si>
    <t>CA-2017-129581</t>
  </si>
  <si>
    <t>CA-2017-129707</t>
  </si>
  <si>
    <t>CA-2017-129805</t>
  </si>
  <si>
    <t>CA-2017-129833</t>
  </si>
  <si>
    <t>CA-2017-129910</t>
  </si>
  <si>
    <t>CA-2017-130036</t>
  </si>
  <si>
    <t>CA-2017-130043</t>
  </si>
  <si>
    <t>CA-2017-130106</t>
  </si>
  <si>
    <t>CA-2017-130141</t>
  </si>
  <si>
    <t>CA-2017-130148</t>
  </si>
  <si>
    <t>CA-2017-130211</t>
  </si>
  <si>
    <t>CA-2017-130302</t>
  </si>
  <si>
    <t>CA-2017-130309</t>
  </si>
  <si>
    <t>CA-2017-130351</t>
  </si>
  <si>
    <t>CA-2017-130386</t>
  </si>
  <si>
    <t>OFF-PA-10002749</t>
  </si>
  <si>
    <t>CA-2017-130505</t>
  </si>
  <si>
    <t>CA-2017-130526</t>
  </si>
  <si>
    <t>CA-2017-130631</t>
  </si>
  <si>
    <t>OFF-FA-10000089</t>
  </si>
  <si>
    <t>CA-2017-130715</t>
  </si>
  <si>
    <t>CA-2017-130764</t>
  </si>
  <si>
    <t>CA-2017-130771</t>
  </si>
  <si>
    <t>CA-2017-130834</t>
  </si>
  <si>
    <t>CA-2017-130841</t>
  </si>
  <si>
    <t>CA-2017-130904</t>
  </si>
  <si>
    <t>CA-2017-130967</t>
  </si>
  <si>
    <t>CA-2017-131016</t>
  </si>
  <si>
    <t>CA-2017-131037</t>
  </si>
  <si>
    <t>CA-2017-131156</t>
  </si>
  <si>
    <t>CA-2017-131212</t>
  </si>
  <si>
    <t>CA-2017-131233</t>
  </si>
  <si>
    <t>CA-2017-131254</t>
  </si>
  <si>
    <t>CA-2017-131282</t>
  </si>
  <si>
    <t>OFF-AR-10003087</t>
  </si>
  <si>
    <t>CA-2017-131303</t>
  </si>
  <si>
    <t>CA-2017-131366</t>
  </si>
  <si>
    <t>CA-2017-131492</t>
  </si>
  <si>
    <t>CA-2017-131618</t>
  </si>
  <si>
    <t>CA-2017-131625</t>
  </si>
  <si>
    <t>CA-2017-131632</t>
  </si>
  <si>
    <t>CA-2017-131653</t>
  </si>
  <si>
    <t>CA-2017-131695</t>
  </si>
  <si>
    <t>CA-2017-131807</t>
  </si>
  <si>
    <t>CA-2017-131828</t>
  </si>
  <si>
    <t>CA-2017-131954</t>
  </si>
  <si>
    <t>CA-2017-132122</t>
  </si>
  <si>
    <t>CA-2017-132178</t>
  </si>
  <si>
    <t>CA-2017-132185</t>
  </si>
  <si>
    <t>CA-2017-132199</t>
  </si>
  <si>
    <t>CA-2017-132213</t>
  </si>
  <si>
    <t>CA-2017-132234</t>
  </si>
  <si>
    <t>CA-2017-132262</t>
  </si>
  <si>
    <t>CA-2017-132290</t>
  </si>
  <si>
    <t>CA-2017-132339</t>
  </si>
  <si>
    <t>CA-2017-132346</t>
  </si>
  <si>
    <t>CA-2017-132353</t>
  </si>
  <si>
    <t>CA-2017-132430</t>
  </si>
  <si>
    <t>CA-2017-132437</t>
  </si>
  <si>
    <t>CA-2017-132521</t>
  </si>
  <si>
    <t>CA-2017-132584</t>
  </si>
  <si>
    <t>CA-2017-132619</t>
  </si>
  <si>
    <t>CA-2017-132647</t>
  </si>
  <si>
    <t>CA-2017-132682</t>
  </si>
  <si>
    <t>CA-2017-132738</t>
  </si>
  <si>
    <t>CA-2017-132934</t>
  </si>
  <si>
    <t>CA-2017-132955</t>
  </si>
  <si>
    <t>CA-2017-132976</t>
  </si>
  <si>
    <t>OFF-PA-10000673</t>
  </si>
  <si>
    <t>CA-2017-133004</t>
  </si>
  <si>
    <t>CA-2017-133046</t>
  </si>
  <si>
    <t>CA-2017-133067</t>
  </si>
  <si>
    <t>CA-2017-133095</t>
  </si>
  <si>
    <t>CA-2017-133102</t>
  </si>
  <si>
    <t>CA-2017-133207</t>
  </si>
  <si>
    <t>CA-2017-133235</t>
  </si>
  <si>
    <t>CA-2017-133249</t>
  </si>
  <si>
    <t>CA-2017-133256</t>
  </si>
  <si>
    <t>CA-2017-133263</t>
  </si>
  <si>
    <t>CA-2017-133333</t>
  </si>
  <si>
    <t>CA-2017-133431</t>
  </si>
  <si>
    <t>CA-2017-133487</t>
  </si>
  <si>
    <t>CA-2017-133501</t>
  </si>
  <si>
    <t>CA-2017-133620</t>
  </si>
  <si>
    <t>CA-2017-133641</t>
  </si>
  <si>
    <t>CA-2017-133648</t>
  </si>
  <si>
    <t>CA-2017-133718</t>
  </si>
  <si>
    <t>CA-2017-133823</t>
  </si>
  <si>
    <t>CA-2017-133865</t>
  </si>
  <si>
    <t>CA-2017-133928</t>
  </si>
  <si>
    <t>CA-2017-134096</t>
  </si>
  <si>
    <t>CA-2017-134152</t>
  </si>
  <si>
    <t>CA-2017-134173</t>
  </si>
  <si>
    <t>CA-2017-134194</t>
  </si>
  <si>
    <t>CA-2017-134285</t>
  </si>
  <si>
    <t>CA-2017-134306</t>
  </si>
  <si>
    <t>CA-2017-134404</t>
  </si>
  <si>
    <t>CA-2017-134418</t>
  </si>
  <si>
    <t>CA-2017-134439</t>
  </si>
  <si>
    <t>CA-2017-134495</t>
  </si>
  <si>
    <t>CA-2017-134565</t>
  </si>
  <si>
    <t>TEC-MA-10001570</t>
  </si>
  <si>
    <t>CA-2017-134635</t>
  </si>
  <si>
    <t>CA-2017-134649</t>
  </si>
  <si>
    <t>CA-2017-134796</t>
  </si>
  <si>
    <t>CA-2017-134810</t>
  </si>
  <si>
    <t>CA-2017-134838</t>
  </si>
  <si>
    <t>CA-2017-134845</t>
  </si>
  <si>
    <t>CA-2017-134880</t>
  </si>
  <si>
    <t>CA-2017-134915</t>
  </si>
  <si>
    <t>CA-2017-134978</t>
  </si>
  <si>
    <t>CA-2017-135034</t>
  </si>
  <si>
    <t>CA-2017-135069</t>
  </si>
  <si>
    <t>CA-2017-135076</t>
  </si>
  <si>
    <t>CA-2017-135111</t>
  </si>
  <si>
    <t>OFF-AR-10004707</t>
  </si>
  <si>
    <t>CA-2017-135167</t>
  </si>
  <si>
    <t>CA-2017-135279</t>
  </si>
  <si>
    <t>OFF-PA-10001281</t>
  </si>
  <si>
    <t>CA-2017-135307</t>
  </si>
  <si>
    <t>CA-2017-135377</t>
  </si>
  <si>
    <t>CA-2017-135419</t>
  </si>
  <si>
    <t>CA-2017-135587</t>
  </si>
  <si>
    <t>OFF-AP-10004540</t>
  </si>
  <si>
    <t>CA-2017-135692</t>
  </si>
  <si>
    <t>CA-2017-135783</t>
  </si>
  <si>
    <t>CA-2017-135860</t>
  </si>
  <si>
    <t>CA-2017-135909</t>
  </si>
  <si>
    <t>CA-2017-135937</t>
  </si>
  <si>
    <t>CA-2017-136000</t>
  </si>
  <si>
    <t>CA-2017-136007</t>
  </si>
  <si>
    <t>CA-2017-136063</t>
  </si>
  <si>
    <t>CA-2017-136238</t>
  </si>
  <si>
    <t>CA-2017-136308</t>
  </si>
  <si>
    <t>CA-2017-136350</t>
  </si>
  <si>
    <t>CA-2017-136364</t>
  </si>
  <si>
    <t>FUR-FU-10002501</t>
  </si>
  <si>
    <t>CA-2017-136448</t>
  </si>
  <si>
    <t>CA-2017-136497</t>
  </si>
  <si>
    <t>CA-2017-136511</t>
  </si>
  <si>
    <t>CA-2017-136539</t>
  </si>
  <si>
    <t>CA-2017-136609</t>
  </si>
  <si>
    <t>CA-2017-136623</t>
  </si>
  <si>
    <t>CA-2017-136651</t>
  </si>
  <si>
    <t>CA-2017-136672</t>
  </si>
  <si>
    <t>CA-2017-136826</t>
  </si>
  <si>
    <t>CA-2017-136875</t>
  </si>
  <si>
    <t>CA-2017-136882</t>
  </si>
  <si>
    <t>CA-2017-137001</t>
  </si>
  <si>
    <t>CA-2017-137022</t>
  </si>
  <si>
    <t>CA-2017-137085</t>
  </si>
  <si>
    <t>CA-2017-137365</t>
  </si>
  <si>
    <t>CA-2017-137414</t>
  </si>
  <si>
    <t>CA-2017-137421</t>
  </si>
  <si>
    <t>CA-2017-137428</t>
  </si>
  <si>
    <t>CA-2017-137449</t>
  </si>
  <si>
    <t>FUR-BO-10000780</t>
  </si>
  <si>
    <t>CA-2017-137456</t>
  </si>
  <si>
    <t>CA-2017-137463</t>
  </si>
  <si>
    <t>OFF-AR-10001988</t>
  </si>
  <si>
    <t>CA-2017-137470</t>
  </si>
  <si>
    <t>OFF-PA-10002001</t>
  </si>
  <si>
    <t>CA-2017-137498</t>
  </si>
  <si>
    <t>CA-2017-137505</t>
  </si>
  <si>
    <t>CA-2017-137582</t>
  </si>
  <si>
    <t>CA-2017-137596</t>
  </si>
  <si>
    <t>TEC-AC-10004666</t>
  </si>
  <si>
    <t>CA-2017-137624</t>
  </si>
  <si>
    <t>CA-2017-137631</t>
  </si>
  <si>
    <t>CA-2017-137785</t>
  </si>
  <si>
    <t>CA-2017-137876</t>
  </si>
  <si>
    <t>CA-2017-137918</t>
  </si>
  <si>
    <t>CA-2017-138149</t>
  </si>
  <si>
    <t>OFF-BI-10003091</t>
  </si>
  <si>
    <t>CA-2017-138156</t>
  </si>
  <si>
    <t>CA-2017-138163</t>
  </si>
  <si>
    <t>CA-2017-138289</t>
  </si>
  <si>
    <t>OFF-PA-10001260</t>
  </si>
  <si>
    <t>CA-2017-138310</t>
  </si>
  <si>
    <t>CA-2017-138422</t>
  </si>
  <si>
    <t>CA-2017-138464</t>
  </si>
  <si>
    <t>CA-2017-138548</t>
  </si>
  <si>
    <t>CA-2017-138611</t>
  </si>
  <si>
    <t>CA-2017-138618</t>
  </si>
  <si>
    <t>CA-2017-138779</t>
  </si>
  <si>
    <t>TEC-PH-10003655</t>
  </si>
  <si>
    <t>CA-2017-138870</t>
  </si>
  <si>
    <t>OFF-PA-10004438</t>
  </si>
  <si>
    <t>CA-2017-138975</t>
  </si>
  <si>
    <t>CA-2017-139080</t>
  </si>
  <si>
    <t>CA-2017-139199</t>
  </si>
  <si>
    <t>CA-2017-139304</t>
  </si>
  <si>
    <t>CA-2017-139311</t>
  </si>
  <si>
    <t>CA-2017-139353</t>
  </si>
  <si>
    <t>CA-2017-139402</t>
  </si>
  <si>
    <t>CA-2017-139416</t>
  </si>
  <si>
    <t>CA-2017-139437</t>
  </si>
  <si>
    <t>CA-2017-139444</t>
  </si>
  <si>
    <t>CA-2017-139493</t>
  </si>
  <si>
    <t>CA-2017-139619</t>
  </si>
  <si>
    <t>CA-2017-139661</t>
  </si>
  <si>
    <t>CA-2017-139717</t>
  </si>
  <si>
    <t>CA-2017-139773</t>
  </si>
  <si>
    <t>CA-2017-139787</t>
  </si>
  <si>
    <t>CA-2017-139822</t>
  </si>
  <si>
    <t>CA-2017-139913</t>
  </si>
  <si>
    <t>OFF-PA-10003739</t>
  </si>
  <si>
    <t>CA-2017-139948</t>
  </si>
  <si>
    <t>CA-2017-140053</t>
  </si>
  <si>
    <t>CA-2017-140088</t>
  </si>
  <si>
    <t>CA-2017-140151</t>
  </si>
  <si>
    <t>CA-2017-140186</t>
  </si>
  <si>
    <t>CA-2017-140242</t>
  </si>
  <si>
    <t>CA-2017-140298</t>
  </si>
  <si>
    <t>CA-2017-140326</t>
  </si>
  <si>
    <t>FUR-BO-10000112</t>
  </si>
  <si>
    <t>CA-2017-140480</t>
  </si>
  <si>
    <t>CA-2017-140494</t>
  </si>
  <si>
    <t>CA-2017-140508</t>
  </si>
  <si>
    <t>CA-2017-140515</t>
  </si>
  <si>
    <t>CA-2017-140585</t>
  </si>
  <si>
    <t>FUR-BO-10002206</t>
  </si>
  <si>
    <t>CA-2017-140627</t>
  </si>
  <si>
    <t>CA-2017-140676</t>
  </si>
  <si>
    <t>CA-2017-140760</t>
  </si>
  <si>
    <t>CA-2017-140781</t>
  </si>
  <si>
    <t>CA-2017-140802</t>
  </si>
  <si>
    <t>CA-2017-140844</t>
  </si>
  <si>
    <t>CA-2017-140872</t>
  </si>
  <si>
    <t>CA-2017-140949</t>
  </si>
  <si>
    <t>CA-2017-140963</t>
  </si>
  <si>
    <t>CA-2017-141103</t>
  </si>
  <si>
    <t>CA-2017-141117</t>
  </si>
  <si>
    <t>CA-2017-141138</t>
  </si>
  <si>
    <t>CA-2017-141201</t>
  </si>
  <si>
    <t>CA-2017-141425</t>
  </si>
  <si>
    <t>CA-2017-141439</t>
  </si>
  <si>
    <t>CA-2017-141446</t>
  </si>
  <si>
    <t>CA-2017-141481</t>
  </si>
  <si>
    <t>CA-2017-141572</t>
  </si>
  <si>
    <t>CA-2017-141614</t>
  </si>
  <si>
    <t>CA-2017-141663</t>
  </si>
  <si>
    <t>CA-2017-141705</t>
  </si>
  <si>
    <t>CA-2017-141719</t>
  </si>
  <si>
    <t>CA-2017-141733</t>
  </si>
  <si>
    <t>CA-2017-141747</t>
  </si>
  <si>
    <t>CA-2017-141789</t>
  </si>
  <si>
    <t>CA-2017-141873</t>
  </si>
  <si>
    <t>CA-2017-141929</t>
  </si>
  <si>
    <t>CA-2017-141992</t>
  </si>
  <si>
    <t>CA-2017-142034</t>
  </si>
  <si>
    <t>CA-2017-142090</t>
  </si>
  <si>
    <t>CA-2017-142125</t>
  </si>
  <si>
    <t>CA-2017-142293</t>
  </si>
  <si>
    <t>CA-2017-142328</t>
  </si>
  <si>
    <t>CA-2017-142342</t>
  </si>
  <si>
    <t>CA-2017-142391</t>
  </si>
  <si>
    <t>CA-2017-142461</t>
  </si>
  <si>
    <t>CA-2017-142489</t>
  </si>
  <si>
    <t>CA-2017-142622</t>
  </si>
  <si>
    <t>CA-2017-142636</t>
  </si>
  <si>
    <t>CA-2017-142643</t>
  </si>
  <si>
    <t>CA-2017-142671</t>
  </si>
  <si>
    <t>CA-2017-142776</t>
  </si>
  <si>
    <t>CA-2017-142867</t>
  </si>
  <si>
    <t>CA-2017-142888</t>
  </si>
  <si>
    <t>CA-2017-142909</t>
  </si>
  <si>
    <t>CA-2017-143021</t>
  </si>
  <si>
    <t>CA-2017-143035</t>
  </si>
  <si>
    <t>CA-2017-143063</t>
  </si>
  <si>
    <t>CA-2017-143084</t>
  </si>
  <si>
    <t>OFF-AR-10002766</t>
  </si>
  <si>
    <t>CA-2017-143112</t>
  </si>
  <si>
    <t>TEC-MA-10001047</t>
  </si>
  <si>
    <t>CA-2017-143126</t>
  </si>
  <si>
    <t>CA-2017-143217</t>
  </si>
  <si>
    <t>CA-2017-143245</t>
  </si>
  <si>
    <t>CA-2017-143252</t>
  </si>
  <si>
    <t>CA-2017-143259</t>
  </si>
  <si>
    <t>CA-2017-143294</t>
  </si>
  <si>
    <t>CA-2017-143329</t>
  </si>
  <si>
    <t>CA-2017-143343</t>
  </si>
  <si>
    <t>CA-2017-143378</t>
  </si>
  <si>
    <t>CA-2017-143434</t>
  </si>
  <si>
    <t>CA-2017-143455</t>
  </si>
  <si>
    <t>CA-2017-143567</t>
  </si>
  <si>
    <t>CA-2017-143574</t>
  </si>
  <si>
    <t>CA-2017-143651</t>
  </si>
  <si>
    <t>CA-2017-143658</t>
  </si>
  <si>
    <t>CA-2017-143665</t>
  </si>
  <si>
    <t>CA-2017-143686</t>
  </si>
  <si>
    <t>CA-2017-143756</t>
  </si>
  <si>
    <t>CA-2017-143798</t>
  </si>
  <si>
    <t>CA-2017-143861</t>
  </si>
  <si>
    <t>CA-2017-144064</t>
  </si>
  <si>
    <t>CA-2017-144113</t>
  </si>
  <si>
    <t>CA-2017-144225</t>
  </si>
  <si>
    <t>CA-2017-144365</t>
  </si>
  <si>
    <t>CA-2017-144456</t>
  </si>
  <si>
    <t>CA-2017-144463</t>
  </si>
  <si>
    <t>CA-2017-144484</t>
  </si>
  <si>
    <t>CA-2017-144491</t>
  </si>
  <si>
    <t>TEC-AC-10004901</t>
  </si>
  <si>
    <t>CA-2017-144498</t>
  </si>
  <si>
    <t>CA-2017-144526</t>
  </si>
  <si>
    <t>CA-2017-144589</t>
  </si>
  <si>
    <t>CA-2017-144596</t>
  </si>
  <si>
    <t>CA-2017-144638</t>
  </si>
  <si>
    <t>CA-2017-144680</t>
  </si>
  <si>
    <t>CA-2017-144694</t>
  </si>
  <si>
    <t>CA-2017-144750</t>
  </si>
  <si>
    <t>CA-2017-144820</t>
  </si>
  <si>
    <t>CA-2017-144827</t>
  </si>
  <si>
    <t>CA-2017-144848</t>
  </si>
  <si>
    <t>CA-2017-144862</t>
  </si>
  <si>
    <t>CA-2017-144883</t>
  </si>
  <si>
    <t>CA-2017-144904</t>
  </si>
  <si>
    <t>CA-2017-144932</t>
  </si>
  <si>
    <t>CA-2017-145037</t>
  </si>
  <si>
    <t>CA-2017-145093</t>
  </si>
  <si>
    <t>CA-2017-145128</t>
  </si>
  <si>
    <t>CA-2017-145142</t>
  </si>
  <si>
    <t>CA-2017-145219</t>
  </si>
  <si>
    <t>CA-2017-145226</t>
  </si>
  <si>
    <t>CA-2017-145233</t>
  </si>
  <si>
    <t>CA-2017-145275</t>
  </si>
  <si>
    <t>CA-2017-145310</t>
  </si>
  <si>
    <t>CA-2017-145338</t>
  </si>
  <si>
    <t>CA-2017-145429</t>
  </si>
  <si>
    <t>OFF-PA-10003205</t>
  </si>
  <si>
    <t>CA-2017-145443</t>
  </si>
  <si>
    <t>CA-2017-145506</t>
  </si>
  <si>
    <t>CA-2017-145653</t>
  </si>
  <si>
    <t>CA-2017-145660</t>
  </si>
  <si>
    <t>CA-2017-145702</t>
  </si>
  <si>
    <t>CA-2017-145737</t>
  </si>
  <si>
    <t>CA-2017-145765</t>
  </si>
  <si>
    <t>CA-2017-145772</t>
  </si>
  <si>
    <t>OFF-PA-10001593</t>
  </si>
  <si>
    <t>CA-2017-145779</t>
  </si>
  <si>
    <t>CA-2017-145807</t>
  </si>
  <si>
    <t>CA-2017-145877</t>
  </si>
  <si>
    <t>CA-2017-145884</t>
  </si>
  <si>
    <t>CA-2017-146024</t>
  </si>
  <si>
    <t>CA-2017-146031</t>
  </si>
  <si>
    <t>CA-2017-146136</t>
  </si>
  <si>
    <t>CA-2017-146164</t>
  </si>
  <si>
    <t>CA-2017-146185</t>
  </si>
  <si>
    <t>CA-2017-146192</t>
  </si>
  <si>
    <t>CA-2017-146269</t>
  </si>
  <si>
    <t>CA-2017-146346</t>
  </si>
  <si>
    <t>CA-2017-146360</t>
  </si>
  <si>
    <t>CA-2017-146367</t>
  </si>
  <si>
    <t>CA-2017-146458</t>
  </si>
  <si>
    <t>OFF-AR-10001177</t>
  </si>
  <si>
    <t>CA-2017-146493</t>
  </si>
  <si>
    <t>CA-2017-146535</t>
  </si>
  <si>
    <t>CA-2017-146626</t>
  </si>
  <si>
    <t>CA-2017-146724</t>
  </si>
  <si>
    <t>CA-2017-146780</t>
  </si>
  <si>
    <t>CA-2017-146920</t>
  </si>
  <si>
    <t>CA-2017-146983</t>
  </si>
  <si>
    <t>CA-2017-147032</t>
  </si>
  <si>
    <t>CA-2017-147039</t>
  </si>
  <si>
    <t>CA-2017-147144</t>
  </si>
  <si>
    <t>CA-2017-147207</t>
  </si>
  <si>
    <t>OFF-AP-10000027</t>
  </si>
  <si>
    <t>CA-2017-147228</t>
  </si>
  <si>
    <t>CA-2017-147277</t>
  </si>
  <si>
    <t>CA-2017-147291</t>
  </si>
  <si>
    <t>CA-2017-147333</t>
  </si>
  <si>
    <t>CA-2017-147354</t>
  </si>
  <si>
    <t>CA-2017-147361</t>
  </si>
  <si>
    <t>CA-2017-147403</t>
  </si>
  <si>
    <t>CA-2017-147410</t>
  </si>
  <si>
    <t>CA-2017-147452</t>
  </si>
  <si>
    <t>CA-2017-147550</t>
  </si>
  <si>
    <t>CA-2017-147564</t>
  </si>
  <si>
    <t>CA-2017-147725</t>
  </si>
  <si>
    <t>CA-2017-147753</t>
  </si>
  <si>
    <t>OFF-LA-10003537</t>
  </si>
  <si>
    <t>CA-2017-147760</t>
  </si>
  <si>
    <t>CA-2017-147767</t>
  </si>
  <si>
    <t>CA-2017-147844</t>
  </si>
  <si>
    <t>CA-2017-147942</t>
  </si>
  <si>
    <t>CA-2017-147956</t>
  </si>
  <si>
    <t>CA-2017-148012</t>
  </si>
  <si>
    <t>CA-2017-148068</t>
  </si>
  <si>
    <t>CA-2017-148138</t>
  </si>
  <si>
    <t>CA-2017-148145</t>
  </si>
  <si>
    <t>CA-2017-148166</t>
  </si>
  <si>
    <t>CA-2017-148264</t>
  </si>
  <si>
    <t>CA-2017-148320</t>
  </si>
  <si>
    <t>CA-2017-148355</t>
  </si>
  <si>
    <t>CA-2017-148404</t>
  </si>
  <si>
    <t>CA-2017-148411</t>
  </si>
  <si>
    <t>CA-2017-148446</t>
  </si>
  <si>
    <t>CA-2017-148474</t>
  </si>
  <si>
    <t>CA-2017-148642</t>
  </si>
  <si>
    <t>CA-2017-148691</t>
  </si>
  <si>
    <t>CA-2017-148810</t>
  </si>
  <si>
    <t>CA-2017-148922</t>
  </si>
  <si>
    <t>CA-2017-148929</t>
  </si>
  <si>
    <t>CA-2017-148985</t>
  </si>
  <si>
    <t>CA-2017-148992</t>
  </si>
  <si>
    <t>CA-2017-148999</t>
  </si>
  <si>
    <t>CA-2017-149048</t>
  </si>
  <si>
    <t>CA-2017-149076</t>
  </si>
  <si>
    <t>CA-2017-149146</t>
  </si>
  <si>
    <t>OFF-PA-10003919</t>
  </si>
  <si>
    <t>CA-2017-149160</t>
  </si>
  <si>
    <t>CA-2017-149181</t>
  </si>
  <si>
    <t>CA-2017-149468</t>
  </si>
  <si>
    <t>CA-2017-149489</t>
  </si>
  <si>
    <t>CA-2017-149559</t>
  </si>
  <si>
    <t>CA-2017-149699</t>
  </si>
  <si>
    <t>CA-2017-149706</t>
  </si>
  <si>
    <t>CA-2017-149720</t>
  </si>
  <si>
    <t>CA-2017-149853</t>
  </si>
  <si>
    <t>CA-2017-149881</t>
  </si>
  <si>
    <t>CA-2017-149895</t>
  </si>
  <si>
    <t>CA-2017-149944</t>
  </si>
  <si>
    <t>CA-2017-150091</t>
  </si>
  <si>
    <t>CA-2017-150189</t>
  </si>
  <si>
    <t>CA-2017-150266</t>
  </si>
  <si>
    <t>CA-2017-150420</t>
  </si>
  <si>
    <t>CA-2017-150469</t>
  </si>
  <si>
    <t>CA-2017-150497</t>
  </si>
  <si>
    <t>CA-2017-150504</t>
  </si>
  <si>
    <t>CA-2017-150525</t>
  </si>
  <si>
    <t>CA-2017-150602</t>
  </si>
  <si>
    <t>CA-2017-150609</t>
  </si>
  <si>
    <t>CA-2017-150623</t>
  </si>
  <si>
    <t>CA-2017-150707</t>
  </si>
  <si>
    <t>CA-2017-150910</t>
  </si>
  <si>
    <t>CA-2017-150931</t>
  </si>
  <si>
    <t>CA-2017-150959</t>
  </si>
  <si>
    <t>CA-2017-150987</t>
  </si>
  <si>
    <t>CA-2017-151008</t>
  </si>
  <si>
    <t>CA-2017-151071</t>
  </si>
  <si>
    <t>CA-2017-151176</t>
  </si>
  <si>
    <t>CA-2017-151183</t>
  </si>
  <si>
    <t>CA-2017-151190</t>
  </si>
  <si>
    <t>CA-2017-151211</t>
  </si>
  <si>
    <t>CA-2017-151218</t>
  </si>
  <si>
    <t>CA-2017-151225</t>
  </si>
  <si>
    <t>CA-2017-151281</t>
  </si>
  <si>
    <t>CA-2017-151358</t>
  </si>
  <si>
    <t>CA-2017-151428</t>
  </si>
  <si>
    <t>CA-2017-151484</t>
  </si>
  <si>
    <t>CA-2017-151596</t>
  </si>
  <si>
    <t>CA-2017-151750</t>
  </si>
  <si>
    <t>CA-2017-151799</t>
  </si>
  <si>
    <t>CA-2017-151855</t>
  </si>
  <si>
    <t>TEC-AC-10002380</t>
  </si>
  <si>
    <t>CA-2017-151911</t>
  </si>
  <si>
    <t>CA-2017-151981</t>
  </si>
  <si>
    <t>CA-2017-152079</t>
  </si>
  <si>
    <t>CA-2017-152093</t>
  </si>
  <si>
    <t>CA-2017-152135</t>
  </si>
  <si>
    <t>CA-2017-152142</t>
  </si>
  <si>
    <t>CA-2017-152198</t>
  </si>
  <si>
    <t>CA-2017-152205</t>
  </si>
  <si>
    <t>CA-2017-152261</t>
  </si>
  <si>
    <t>CA-2017-152275</t>
  </si>
  <si>
    <t>CA-2017-152310</t>
  </si>
  <si>
    <t>OFF-PA-10003134</t>
  </si>
  <si>
    <t>CA-2017-152436</t>
  </si>
  <si>
    <t>CA-2017-152485</t>
  </si>
  <si>
    <t>CA-2017-152499</t>
  </si>
  <si>
    <t>CA-2017-152583</t>
  </si>
  <si>
    <t>CA-2017-152660</t>
  </si>
  <si>
    <t>CA-2017-152695</t>
  </si>
  <si>
    <t>CA-2017-152702</t>
  </si>
  <si>
    <t>CA-2017-152709</t>
  </si>
  <si>
    <t>CA-2017-152737</t>
  </si>
  <si>
    <t>CA-2017-152786</t>
  </si>
  <si>
    <t>CA-2017-152807</t>
  </si>
  <si>
    <t>CA-2017-152856</t>
  </si>
  <si>
    <t>CA-2017-152912</t>
  </si>
  <si>
    <t>CA-2017-152926</t>
  </si>
  <si>
    <t>CA-2017-152933</t>
  </si>
  <si>
    <t>CA-2017-152961</t>
  </si>
  <si>
    <t>CA-2017-152968</t>
  </si>
  <si>
    <t>CA-2017-152975</t>
  </si>
  <si>
    <t>CA-2017-153045</t>
  </si>
  <si>
    <t>CA-2017-153080</t>
  </si>
  <si>
    <t>CA-2017-153227</t>
  </si>
  <si>
    <t>CA-2017-153654</t>
  </si>
  <si>
    <t>CA-2017-153787</t>
  </si>
  <si>
    <t>CA-2017-153822</t>
  </si>
  <si>
    <t>CA-2017-153843</t>
  </si>
  <si>
    <t>CA-2017-153871</t>
  </si>
  <si>
    <t>CA-2017-154011</t>
  </si>
  <si>
    <t>CA-2017-154039</t>
  </si>
  <si>
    <t>TEC-PH-10002789</t>
  </si>
  <si>
    <t>CA-2017-154074</t>
  </si>
  <si>
    <t>CA-2017-154088</t>
  </si>
  <si>
    <t>CA-2017-154109</t>
  </si>
  <si>
    <t>CA-2017-154116</t>
  </si>
  <si>
    <t>CA-2017-154123</t>
  </si>
  <si>
    <t>CA-2017-154137</t>
  </si>
  <si>
    <t>CA-2017-154410</t>
  </si>
  <si>
    <t>CA-2017-154466</t>
  </si>
  <si>
    <t>CA-2017-154501</t>
  </si>
  <si>
    <t>CA-2017-154676</t>
  </si>
  <si>
    <t>CA-2017-154718</t>
  </si>
  <si>
    <t>CA-2017-154732</t>
  </si>
  <si>
    <t>CA-2017-154809</t>
  </si>
  <si>
    <t>CA-2017-154816</t>
  </si>
  <si>
    <t>CA-2017-154907</t>
  </si>
  <si>
    <t>CA-2017-154935</t>
  </si>
  <si>
    <t>CA-2017-155047</t>
  </si>
  <si>
    <t>CA-2017-155075</t>
  </si>
  <si>
    <t>CA-2017-155089</t>
  </si>
  <si>
    <t>CA-2017-155152</t>
  </si>
  <si>
    <t>CA-2017-155159</t>
  </si>
  <si>
    <t>CA-2017-155292</t>
  </si>
  <si>
    <t>CA-2017-155362</t>
  </si>
  <si>
    <t>CA-2017-155376</t>
  </si>
  <si>
    <t>CA-2017-155460</t>
  </si>
  <si>
    <t>CA-2017-155558</t>
  </si>
  <si>
    <t>CA-2017-155607</t>
  </si>
  <si>
    <t>CA-2017-155621</t>
  </si>
  <si>
    <t>CA-2017-155642</t>
  </si>
  <si>
    <t>CA-2017-155698</t>
  </si>
  <si>
    <t>OFF-AP-10001124</t>
  </si>
  <si>
    <t>CA-2017-155705</t>
  </si>
  <si>
    <t>CA-2017-155712</t>
  </si>
  <si>
    <t>CA-2017-155740</t>
  </si>
  <si>
    <t>CA-2017-155824</t>
  </si>
  <si>
    <t>OFF-AP-10000390</t>
  </si>
  <si>
    <t>CA-2017-155873</t>
  </si>
  <si>
    <t>CA-2017-155880</t>
  </si>
  <si>
    <t>CA-2017-155936</t>
  </si>
  <si>
    <t>CA-2017-155957</t>
  </si>
  <si>
    <t>CA-2017-155985</t>
  </si>
  <si>
    <t>CA-2017-156139</t>
  </si>
  <si>
    <t>CA-2017-156237</t>
  </si>
  <si>
    <t>CA-2017-156272</t>
  </si>
  <si>
    <t>CA-2017-156363</t>
  </si>
  <si>
    <t>CA-2017-156391</t>
  </si>
  <si>
    <t>CA-2017-156412</t>
  </si>
  <si>
    <t>CA-2017-156622</t>
  </si>
  <si>
    <t>CA-2017-156664</t>
  </si>
  <si>
    <t>CA-2017-156720</t>
  </si>
  <si>
    <t>CA-2017-156769</t>
  </si>
  <si>
    <t>CA-2017-156776</t>
  </si>
  <si>
    <t>FUR-CH-10002317</t>
  </si>
  <si>
    <t>CA-2017-156818</t>
  </si>
  <si>
    <t>CA-2017-156895</t>
  </si>
  <si>
    <t>CA-2017-156951</t>
  </si>
  <si>
    <t>CA-2017-156958</t>
  </si>
  <si>
    <t>CA-2017-157091</t>
  </si>
  <si>
    <t>CA-2017-157112</t>
  </si>
  <si>
    <t>CA-2017-157196</t>
  </si>
  <si>
    <t>CA-2017-157252</t>
  </si>
  <si>
    <t>CA-2017-157273</t>
  </si>
  <si>
    <t>CA-2017-157413</t>
  </si>
  <si>
    <t>CA-2017-157420</t>
  </si>
  <si>
    <t>CA-2017-157448</t>
  </si>
  <si>
    <t>CA-2017-157469</t>
  </si>
  <si>
    <t>CA-2017-157483</t>
  </si>
  <si>
    <t>CA-2017-157651</t>
  </si>
  <si>
    <t>CA-2017-157672</t>
  </si>
  <si>
    <t>CA-2017-157833</t>
  </si>
  <si>
    <t>CA-2017-157854</t>
  </si>
  <si>
    <t>CA-2017-157903</t>
  </si>
  <si>
    <t>CA-2017-157931</t>
  </si>
  <si>
    <t>CA-2017-157966</t>
  </si>
  <si>
    <t>OFF-AR-10000799</t>
  </si>
  <si>
    <t>CA-2017-157980</t>
  </si>
  <si>
    <t>CA-2017-157987</t>
  </si>
  <si>
    <t>CA-2017-158036</t>
  </si>
  <si>
    <t>CA-2017-158071</t>
  </si>
  <si>
    <t>CA-2017-158120</t>
  </si>
  <si>
    <t>CA-2017-158169</t>
  </si>
  <si>
    <t>CA-2017-158246</t>
  </si>
  <si>
    <t>CA-2017-158344</t>
  </si>
  <si>
    <t>CA-2017-158379</t>
  </si>
  <si>
    <t>CA-2017-158386</t>
  </si>
  <si>
    <t>CA-2017-158407</t>
  </si>
  <si>
    <t>CA-2017-158561</t>
  </si>
  <si>
    <t>CA-2017-158673</t>
  </si>
  <si>
    <t>CA-2017-158722</t>
  </si>
  <si>
    <t>CA-2017-158729</t>
  </si>
  <si>
    <t>CA-2017-158736</t>
  </si>
  <si>
    <t>CA-2017-158743</t>
  </si>
  <si>
    <t>CA-2017-158876</t>
  </si>
  <si>
    <t>OFF-PA-10000308</t>
  </si>
  <si>
    <t>CA-2017-158883</t>
  </si>
  <si>
    <t>CA-2017-158953</t>
  </si>
  <si>
    <t>CA-2017-158967</t>
  </si>
  <si>
    <t>CA-2017-159100</t>
  </si>
  <si>
    <t>CA-2017-159107</t>
  </si>
  <si>
    <t>CA-2017-159135</t>
  </si>
  <si>
    <t>CA-2017-159149</t>
  </si>
  <si>
    <t>OFF-AR-10000937</t>
  </si>
  <si>
    <t>CA-2017-159156</t>
  </si>
  <si>
    <t>TEC-PH-10004389</t>
  </si>
  <si>
    <t>CA-2017-159226</t>
  </si>
  <si>
    <t>CA-2017-159282</t>
  </si>
  <si>
    <t>CA-2017-159352</t>
  </si>
  <si>
    <t>CA-2017-159366</t>
  </si>
  <si>
    <t>CA-2017-159457</t>
  </si>
  <si>
    <t>CA-2017-159464</t>
  </si>
  <si>
    <t>CA-2017-159506</t>
  </si>
  <si>
    <t>CA-2017-159597</t>
  </si>
  <si>
    <t>CA-2017-159604</t>
  </si>
  <si>
    <t>CA-2017-159667</t>
  </si>
  <si>
    <t>CA-2017-159688</t>
  </si>
  <si>
    <t>CA-2017-159793</t>
  </si>
  <si>
    <t>CA-2017-159884</t>
  </si>
  <si>
    <t>CA-2017-159954</t>
  </si>
  <si>
    <t>CA-2017-160017</t>
  </si>
  <si>
    <t>CA-2017-160031</t>
  </si>
  <si>
    <t>CA-2017-160045</t>
  </si>
  <si>
    <t>CA-2017-160087</t>
  </si>
  <si>
    <t>CA-2017-160122</t>
  </si>
  <si>
    <t>CA-2017-160325</t>
  </si>
  <si>
    <t>CA-2017-160395</t>
  </si>
  <si>
    <t>CA-2017-160416</t>
  </si>
  <si>
    <t>CA-2017-160423</t>
  </si>
  <si>
    <t>CA-2017-160458</t>
  </si>
  <si>
    <t>CA-2017-160514</t>
  </si>
  <si>
    <t>CA-2017-160633</t>
  </si>
  <si>
    <t>CA-2017-160661</t>
  </si>
  <si>
    <t>CA-2017-160724</t>
  </si>
  <si>
    <t>CA-2017-160801</t>
  </si>
  <si>
    <t>CA-2017-160885</t>
  </si>
  <si>
    <t>CA-2017-160899</t>
  </si>
  <si>
    <t>CA-2017-160927</t>
  </si>
  <si>
    <t>CA-2017-160934</t>
  </si>
  <si>
    <t>CA-2017-160962</t>
  </si>
  <si>
    <t>CA-2017-160983</t>
  </si>
  <si>
    <t>CA-2017-161018</t>
  </si>
  <si>
    <t>CA-2017-161046</t>
  </si>
  <si>
    <t>CA-2017-161053</t>
  </si>
  <si>
    <t>CA-2017-161067</t>
  </si>
  <si>
    <t>CA-2017-161088</t>
  </si>
  <si>
    <t>CA-2017-161102</t>
  </si>
  <si>
    <t>CA-2017-161130</t>
  </si>
  <si>
    <t>CA-2017-161172</t>
  </si>
  <si>
    <t>CA-2017-161200</t>
  </si>
  <si>
    <t>CA-2017-161333</t>
  </si>
  <si>
    <t>CA-2017-161340</t>
  </si>
  <si>
    <t>CA-2017-161410</t>
  </si>
  <si>
    <t>CA-2017-161459</t>
  </si>
  <si>
    <t>CA-2017-161480</t>
  </si>
  <si>
    <t>CA-2017-161578</t>
  </si>
  <si>
    <t>CA-2017-161592</t>
  </si>
  <si>
    <t>CA-2017-161655</t>
  </si>
  <si>
    <t>CA-2017-161739</t>
  </si>
  <si>
    <t>CA-2017-161774</t>
  </si>
  <si>
    <t>CA-2017-161809</t>
  </si>
  <si>
    <t>CA-2017-161823</t>
  </si>
  <si>
    <t>CA-2017-161851</t>
  </si>
  <si>
    <t>CA-2017-161893</t>
  </si>
  <si>
    <t>CA-2017-161956</t>
  </si>
  <si>
    <t>CA-2017-161970</t>
  </si>
  <si>
    <t>CA-2017-161984</t>
  </si>
  <si>
    <t>CA-2017-162015</t>
  </si>
  <si>
    <t>CA-2017-162033</t>
  </si>
  <si>
    <t>CA-2017-162075</t>
  </si>
  <si>
    <t>CA-2017-162096</t>
  </si>
  <si>
    <t>CA-2017-162173</t>
  </si>
  <si>
    <t>CA-2017-162250</t>
  </si>
  <si>
    <t>CA-2017-162474</t>
  </si>
  <si>
    <t>CA-2017-162481</t>
  </si>
  <si>
    <t>CA-2017-162565</t>
  </si>
  <si>
    <t>CA-2017-162572</t>
  </si>
  <si>
    <t>CA-2017-162635</t>
  </si>
  <si>
    <t>CA-2017-162691</t>
  </si>
  <si>
    <t>CA-2017-162712</t>
  </si>
  <si>
    <t>CA-2017-162789</t>
  </si>
  <si>
    <t>CA-2017-162880</t>
  </si>
  <si>
    <t>CA-2017-162929</t>
  </si>
  <si>
    <t>CA-2017-162936</t>
  </si>
  <si>
    <t>CA-2017-162978</t>
  </si>
  <si>
    <t>CA-2017-163006</t>
  </si>
  <si>
    <t>CA-2017-163020</t>
  </si>
  <si>
    <t>CA-2017-163069</t>
  </si>
  <si>
    <t>CA-2017-163097</t>
  </si>
  <si>
    <t>CA-2017-163125</t>
  </si>
  <si>
    <t>CA-2017-163139</t>
  </si>
  <si>
    <t>CA-2017-163160</t>
  </si>
  <si>
    <t>CA-2017-163188</t>
  </si>
  <si>
    <t>CA-2017-163209</t>
  </si>
  <si>
    <t>CA-2017-163265</t>
  </si>
  <si>
    <t>CA-2017-163321</t>
  </si>
  <si>
    <t>CA-2017-163335</t>
  </si>
  <si>
    <t>CA-2017-163405</t>
  </si>
  <si>
    <t>CA-2017-163510</t>
  </si>
  <si>
    <t>CA-2017-163531</t>
  </si>
  <si>
    <t>CA-2017-163566</t>
  </si>
  <si>
    <t>CA-2017-163629</t>
  </si>
  <si>
    <t>CA-2017-163671</t>
  </si>
  <si>
    <t>CA-2017-163692</t>
  </si>
  <si>
    <t>CA-2017-163818</t>
  </si>
  <si>
    <t>CA-2017-163860</t>
  </si>
  <si>
    <t>CA-2017-163874</t>
  </si>
  <si>
    <t>CA-2017-163902</t>
  </si>
  <si>
    <t>CA-2017-163979</t>
  </si>
  <si>
    <t>CA-2017-164000</t>
  </si>
  <si>
    <t>CA-2017-164028</t>
  </si>
  <si>
    <t>CA-2017-164042</t>
  </si>
  <si>
    <t>CA-2017-164049</t>
  </si>
  <si>
    <t>CA-2017-164098</t>
  </si>
  <si>
    <t>CA-2017-164112</t>
  </si>
  <si>
    <t>CA-2017-164168</t>
  </si>
  <si>
    <t>CA-2017-164329</t>
  </si>
  <si>
    <t>CA-2017-164364</t>
  </si>
  <si>
    <t>CA-2017-164378</t>
  </si>
  <si>
    <t>CA-2017-164707</t>
  </si>
  <si>
    <t>CA-2017-164756</t>
  </si>
  <si>
    <t>CA-2017-164819</t>
  </si>
  <si>
    <t>CA-2017-164826</t>
  </si>
  <si>
    <t>CA-2017-164917</t>
  </si>
  <si>
    <t>CA-2017-164959</t>
  </si>
  <si>
    <t>OFF-LA-10004272</t>
  </si>
  <si>
    <t>CA-2017-165008</t>
  </si>
  <si>
    <t>CA-2017-165029</t>
  </si>
  <si>
    <t>CA-2017-165099</t>
  </si>
  <si>
    <t>CA-2017-165155</t>
  </si>
  <si>
    <t>CA-2017-165204</t>
  </si>
  <si>
    <t>CA-2017-165323</t>
  </si>
  <si>
    <t>TEC-AC-10004992</t>
  </si>
  <si>
    <t>TEC-MA-10003673</t>
  </si>
  <si>
    <t>CA-2017-165386</t>
  </si>
  <si>
    <t>CA-2017-165491</t>
  </si>
  <si>
    <t>CA-2017-165603</t>
  </si>
  <si>
    <t>CA-2017-165687</t>
  </si>
  <si>
    <t>CA-2017-165715</t>
  </si>
  <si>
    <t>CA-2017-165757</t>
  </si>
  <si>
    <t>CA-2017-165841</t>
  </si>
  <si>
    <t>CA-2017-165904</t>
  </si>
  <si>
    <t>CA-2017-166093</t>
  </si>
  <si>
    <t>CA-2017-166128</t>
  </si>
  <si>
    <t>OFF-AR-10001221</t>
  </si>
  <si>
    <t>CA-2017-166142</t>
  </si>
  <si>
    <t>CA-2017-166184</t>
  </si>
  <si>
    <t>CA-2017-166198</t>
  </si>
  <si>
    <t>FUR-FU-10004622</t>
  </si>
  <si>
    <t>CA-2017-166296</t>
  </si>
  <si>
    <t>CA-2017-166317</t>
  </si>
  <si>
    <t>CA-2017-166415</t>
  </si>
  <si>
    <t>CA-2017-166436</t>
  </si>
  <si>
    <t>CA-2017-166499</t>
  </si>
  <si>
    <t>CA-2017-166576</t>
  </si>
  <si>
    <t>CA-2017-166695</t>
  </si>
  <si>
    <t>CA-2017-166709</t>
  </si>
  <si>
    <t>CA-2017-166835</t>
  </si>
  <si>
    <t>CA-2017-166849</t>
  </si>
  <si>
    <t>CA-2017-166856</t>
  </si>
  <si>
    <t>CA-2017-166898</t>
  </si>
  <si>
    <t>CA-2017-166919</t>
  </si>
  <si>
    <t>CA-2017-166926</t>
  </si>
  <si>
    <t>CA-2017-166933</t>
  </si>
  <si>
    <t>CA-2017-167003</t>
  </si>
  <si>
    <t>CA-2017-167017</t>
  </si>
  <si>
    <t>CA-2017-167080</t>
  </si>
  <si>
    <t>CA-2017-167094</t>
  </si>
  <si>
    <t>CA-2017-167101</t>
  </si>
  <si>
    <t>CA-2017-167150</t>
  </si>
  <si>
    <t>CA-2017-167227</t>
  </si>
  <si>
    <t>CA-2017-167381</t>
  </si>
  <si>
    <t>CA-2017-167395</t>
  </si>
  <si>
    <t>CA-2017-167542</t>
  </si>
  <si>
    <t>CA-2017-167549</t>
  </si>
  <si>
    <t>CA-2017-167626</t>
  </si>
  <si>
    <t>CA-2017-167640</t>
  </si>
  <si>
    <t>CA-2017-167661</t>
  </si>
  <si>
    <t>CA-2017-167668</t>
  </si>
  <si>
    <t>CA-2017-167703</t>
  </si>
  <si>
    <t>CA-2017-167752</t>
  </si>
  <si>
    <t>CA-2017-167871</t>
  </si>
  <si>
    <t>CA-2017-167899</t>
  </si>
  <si>
    <t>CA-2017-167913</t>
  </si>
  <si>
    <t>CA-2017-167941</t>
  </si>
  <si>
    <t>CA-2017-168102</t>
  </si>
  <si>
    <t>CA-2017-168109</t>
  </si>
  <si>
    <t>CA-2017-168123</t>
  </si>
  <si>
    <t>CA-2017-168172</t>
  </si>
  <si>
    <t>CA-2017-168179</t>
  </si>
  <si>
    <t>CA-2017-168193</t>
  </si>
  <si>
    <t>CA-2017-168228</t>
  </si>
  <si>
    <t>CA-2017-168389</t>
  </si>
  <si>
    <t>CA-2017-168396</t>
  </si>
  <si>
    <t>CA-2017-168403</t>
  </si>
  <si>
    <t>CA-2017-168641</t>
  </si>
  <si>
    <t>CA-2017-168655</t>
  </si>
  <si>
    <t>CA-2017-168739</t>
  </si>
  <si>
    <t>CA-2017-168837</t>
  </si>
  <si>
    <t>CA-2017-168858</t>
  </si>
  <si>
    <t>CA-2017-168900</t>
  </si>
  <si>
    <t>CA-2017-168942</t>
  </si>
  <si>
    <t>CA-2017-169005</t>
  </si>
  <si>
    <t>CA-2017-169012</t>
  </si>
  <si>
    <t>CA-2017-169054</t>
  </si>
  <si>
    <t>CA-2017-169124</t>
  </si>
  <si>
    <t>CA-2017-169264</t>
  </si>
  <si>
    <t>CA-2017-169285</t>
  </si>
  <si>
    <t>CA-2017-169327</t>
  </si>
  <si>
    <t>CA-2017-169362</t>
  </si>
  <si>
    <t>CA-2017-169404</t>
  </si>
  <si>
    <t>CA-2017-169439</t>
  </si>
  <si>
    <t>CA-2017-169474</t>
  </si>
  <si>
    <t>CA-2017-169691</t>
  </si>
  <si>
    <t>CA-2017-169810</t>
  </si>
  <si>
    <t>CA-2017-169859</t>
  </si>
  <si>
    <t>CA-2017-169894</t>
  </si>
  <si>
    <t>CA-2017-169901</t>
  </si>
  <si>
    <t>CA-2017-169929</t>
  </si>
  <si>
    <t>CA-2017-169978</t>
  </si>
  <si>
    <t>CA-2017-169999</t>
  </si>
  <si>
    <t>US-2014-100279</t>
  </si>
  <si>
    <t>US-2014-100853</t>
  </si>
  <si>
    <t>US-2014-102071</t>
  </si>
  <si>
    <t>US-2014-102631</t>
  </si>
  <si>
    <t>US-2014-102715</t>
  </si>
  <si>
    <t>US-2014-103338</t>
  </si>
  <si>
    <t>US-2014-103905</t>
  </si>
  <si>
    <t>US-2014-104759</t>
  </si>
  <si>
    <t>US-2014-105137</t>
  </si>
  <si>
    <t>TEC-MA-10002694</t>
  </si>
  <si>
    <t>US-2014-105151</t>
  </si>
  <si>
    <t>US-2014-105767</t>
  </si>
  <si>
    <t>US-2014-106299</t>
  </si>
  <si>
    <t>US-2014-106334</t>
  </si>
  <si>
    <t>US-2014-106992</t>
  </si>
  <si>
    <t>TEC-MA-10003353</t>
  </si>
  <si>
    <t>US-2014-107405</t>
  </si>
  <si>
    <t>US-2014-107993</t>
  </si>
  <si>
    <t>US-2014-109036</t>
  </si>
  <si>
    <t>US-2014-109162</t>
  </si>
  <si>
    <t>US-2014-109456</t>
  </si>
  <si>
    <t>US-2014-110674</t>
  </si>
  <si>
    <t>US-2014-111171</t>
  </si>
  <si>
    <t>US-2014-111353</t>
  </si>
  <si>
    <t>US-2014-112200</t>
  </si>
  <si>
    <t>US-2014-112564</t>
  </si>
  <si>
    <t>US-2014-112795</t>
  </si>
  <si>
    <t>US-2014-112872</t>
  </si>
  <si>
    <t>US-2014-112914</t>
  </si>
  <si>
    <t>US-2014-112949</t>
  </si>
  <si>
    <t>US-2014-112991</t>
  </si>
  <si>
    <t>US-2014-113124</t>
  </si>
  <si>
    <t>US-2014-114188</t>
  </si>
  <si>
    <t>OFF-AP-10000124</t>
  </si>
  <si>
    <t>US-2014-114377</t>
  </si>
  <si>
    <t>US-2014-115189</t>
  </si>
  <si>
    <t>US-2014-115196</t>
  </si>
  <si>
    <t>US-2014-115413</t>
  </si>
  <si>
    <t>US-2014-115987</t>
  </si>
  <si>
    <t>US-2014-117058</t>
  </si>
  <si>
    <t>US-2014-117135</t>
  </si>
  <si>
    <t>US-2014-117163</t>
  </si>
  <si>
    <t>US-2014-117170</t>
  </si>
  <si>
    <t>US-2014-117380</t>
  </si>
  <si>
    <t>US-2014-117744</t>
  </si>
  <si>
    <t>US-2014-117968</t>
  </si>
  <si>
    <t>US-2014-118486</t>
  </si>
  <si>
    <t>US-2014-118997</t>
  </si>
  <si>
    <t>US-2014-119081</t>
  </si>
  <si>
    <t>US-2014-119137</t>
  </si>
  <si>
    <t>US-2014-120175</t>
  </si>
  <si>
    <t>US-2014-120236</t>
  </si>
  <si>
    <t>US-2014-120313</t>
  </si>
  <si>
    <t>US-2014-120740</t>
  </si>
  <si>
    <t>US-2014-121566</t>
  </si>
  <si>
    <t>US-2014-121734</t>
  </si>
  <si>
    <t>US-2014-122021</t>
  </si>
  <si>
    <t>US-2014-122959</t>
  </si>
  <si>
    <t>US-2014-123183</t>
  </si>
  <si>
    <t>US-2014-123519</t>
  </si>
  <si>
    <t>US-2014-124625</t>
  </si>
  <si>
    <t>US-2014-125521</t>
  </si>
  <si>
    <t>US-2014-126340</t>
  </si>
  <si>
    <t>US-2014-126571</t>
  </si>
  <si>
    <t>US-2014-127635</t>
  </si>
  <si>
    <t>US-2014-127978</t>
  </si>
  <si>
    <t>US-2014-128685</t>
  </si>
  <si>
    <t>US-2014-129609</t>
  </si>
  <si>
    <t>US-2014-130358</t>
  </si>
  <si>
    <t>US-2014-130379</t>
  </si>
  <si>
    <t>US-2014-131275</t>
  </si>
  <si>
    <t>US-2014-131870</t>
  </si>
  <si>
    <t>US-2014-131982</t>
  </si>
  <si>
    <t>US-2014-132745</t>
  </si>
  <si>
    <t>US-2014-133130</t>
  </si>
  <si>
    <t>US-2014-133949</t>
  </si>
  <si>
    <t>US-2014-134054</t>
  </si>
  <si>
    <t>US-2014-134187</t>
  </si>
  <si>
    <t>US-2014-134614</t>
  </si>
  <si>
    <t>US-2014-134712</t>
  </si>
  <si>
    <t>US-2014-134733</t>
  </si>
  <si>
    <t>US-2014-134971</t>
  </si>
  <si>
    <t>US-2014-135881</t>
  </si>
  <si>
    <t>US-2014-135972</t>
  </si>
  <si>
    <t>US-2014-137155</t>
  </si>
  <si>
    <t>US-2014-137680</t>
  </si>
  <si>
    <t>US-2014-137869</t>
  </si>
  <si>
    <t>US-2014-138247</t>
  </si>
  <si>
    <t>US-2014-138758</t>
  </si>
  <si>
    <t>US-2014-138828</t>
  </si>
  <si>
    <t>US-2014-138835</t>
  </si>
  <si>
    <t>US-2014-139500</t>
  </si>
  <si>
    <t>US-2014-139640</t>
  </si>
  <si>
    <t>US-2014-140116</t>
  </si>
  <si>
    <t>US-2014-140452</t>
  </si>
  <si>
    <t>US-2014-140914</t>
  </si>
  <si>
    <t>US-2014-141215</t>
  </si>
  <si>
    <t>US-2014-143231</t>
  </si>
  <si>
    <t>US-2014-143287</t>
  </si>
  <si>
    <t>US-2014-143581</t>
  </si>
  <si>
    <t>US-2014-143707</t>
  </si>
  <si>
    <t>US-2014-143721</t>
  </si>
  <si>
    <t>US-2014-144078</t>
  </si>
  <si>
    <t>US-2014-146353</t>
  </si>
  <si>
    <t>US-2014-147606</t>
  </si>
  <si>
    <t>US-2014-147627</t>
  </si>
  <si>
    <t>US-2014-147648</t>
  </si>
  <si>
    <t>US-2014-147704</t>
  </si>
  <si>
    <t>US-2014-147774</t>
  </si>
  <si>
    <t>US-2014-148194</t>
  </si>
  <si>
    <t>US-2014-148838</t>
  </si>
  <si>
    <t>OFF-PA-10000919</t>
  </si>
  <si>
    <t>OFF-PA-10002960</t>
  </si>
  <si>
    <t>US-2014-149034</t>
  </si>
  <si>
    <t>US-2014-150119</t>
  </si>
  <si>
    <t>US-2014-150126</t>
  </si>
  <si>
    <t>US-2014-150434</t>
  </si>
  <si>
    <t>US-2014-150532</t>
  </si>
  <si>
    <t>US-2014-150574</t>
  </si>
  <si>
    <t>US-2014-150924</t>
  </si>
  <si>
    <t>US-2014-151015</t>
  </si>
  <si>
    <t>US-2014-152030</t>
  </si>
  <si>
    <t>US-2014-152723</t>
  </si>
  <si>
    <t>US-2014-154655</t>
  </si>
  <si>
    <t>US-2014-154879</t>
  </si>
  <si>
    <t>US-2014-155502</t>
  </si>
  <si>
    <t>US-2014-155544</t>
  </si>
  <si>
    <t>US-2014-155817</t>
  </si>
  <si>
    <t>US-2014-155894</t>
  </si>
  <si>
    <t>US-2014-156216</t>
  </si>
  <si>
    <t>US-2014-156559</t>
  </si>
  <si>
    <t>US-2014-157021</t>
  </si>
  <si>
    <t>US-2014-157070</t>
  </si>
  <si>
    <t>US-2014-157231</t>
  </si>
  <si>
    <t>US-2014-157385</t>
  </si>
  <si>
    <t>US-2014-157406</t>
  </si>
  <si>
    <t>US-2014-157847</t>
  </si>
  <si>
    <t>US-2014-158057</t>
  </si>
  <si>
    <t>US-2014-158365</t>
  </si>
  <si>
    <t>US-2014-158400</t>
  </si>
  <si>
    <t>US-2014-158638</t>
  </si>
  <si>
    <t>US-2014-159611</t>
  </si>
  <si>
    <t>US-2014-159618</t>
  </si>
  <si>
    <t>US-2014-159926</t>
  </si>
  <si>
    <t>US-2014-160444</t>
  </si>
  <si>
    <t>US-2014-160780</t>
  </si>
  <si>
    <t>US-2014-161305</t>
  </si>
  <si>
    <t>US-2014-161613</t>
  </si>
  <si>
    <t>US-2014-163146</t>
  </si>
  <si>
    <t>US-2014-163797</t>
  </si>
  <si>
    <t>US-2014-164406</t>
  </si>
  <si>
    <t>US-2014-164616</t>
  </si>
  <si>
    <t>OFF-SU-10004768</t>
  </si>
  <si>
    <t>US-2014-164644</t>
  </si>
  <si>
    <t>US-2014-164763</t>
  </si>
  <si>
    <t>US-2014-165589</t>
  </si>
  <si>
    <t>US-2014-165659</t>
  </si>
  <si>
    <t>US-2014-165862</t>
  </si>
  <si>
    <t>US-2014-166310</t>
  </si>
  <si>
    <t>US-2014-166828</t>
  </si>
  <si>
    <t>US-2014-167262</t>
  </si>
  <si>
    <t>US-2014-167633</t>
  </si>
  <si>
    <t>US-2014-167738</t>
  </si>
  <si>
    <t>US-2014-168501</t>
  </si>
  <si>
    <t>US-2014-169390</t>
  </si>
  <si>
    <t>US-2014-169789</t>
  </si>
  <si>
    <t>US-2015-100069</t>
  </si>
  <si>
    <t>US-2015-100377</t>
  </si>
  <si>
    <t>US-2015-100531</t>
  </si>
  <si>
    <t>US-2015-101399</t>
  </si>
  <si>
    <t>US-2015-101511</t>
  </si>
  <si>
    <t>US-2015-103471</t>
  </si>
  <si>
    <t>US-2015-103996</t>
  </si>
  <si>
    <t>US-2015-104185</t>
  </si>
  <si>
    <t>US-2015-104430</t>
  </si>
  <si>
    <t>US-2015-105676</t>
  </si>
  <si>
    <t>US-2015-106495</t>
  </si>
  <si>
    <t>US-2015-106873</t>
  </si>
  <si>
    <t>US-2015-107349</t>
  </si>
  <si>
    <t>US-2015-107944</t>
  </si>
  <si>
    <t>US-2015-108966</t>
  </si>
  <si>
    <t>US-2015-109015</t>
  </si>
  <si>
    <t>US-2015-110163</t>
  </si>
  <si>
    <t>US-2015-110261</t>
  </si>
  <si>
    <t>US-2015-110569</t>
  </si>
  <si>
    <t>US-2015-111927</t>
  </si>
  <si>
    <t>US-2015-112508</t>
  </si>
  <si>
    <t>US-2015-113327</t>
  </si>
  <si>
    <t>US-2015-113593</t>
  </si>
  <si>
    <t>US-2015-114741</t>
  </si>
  <si>
    <t>OFF-PA-10000048</t>
  </si>
  <si>
    <t>US-2015-114839</t>
  </si>
  <si>
    <t>US-2015-115238</t>
  </si>
  <si>
    <t>US-2015-115343</t>
  </si>
  <si>
    <t>US-2015-116981</t>
  </si>
  <si>
    <t>US-2015-117184</t>
  </si>
  <si>
    <t>US-2015-117492</t>
  </si>
  <si>
    <t>US-2015-118766</t>
  </si>
  <si>
    <t>US-2015-118906</t>
  </si>
  <si>
    <t>US-2015-118983</t>
  </si>
  <si>
    <t>US-2015-119312</t>
  </si>
  <si>
    <t>US-2015-120161</t>
  </si>
  <si>
    <t>US-2015-120502</t>
  </si>
  <si>
    <t>US-2015-120572</t>
  </si>
  <si>
    <t>US-2015-120712</t>
  </si>
  <si>
    <t>US-2015-120957</t>
  </si>
  <si>
    <t>US-2015-122140</t>
  </si>
  <si>
    <t>US-2015-122784</t>
  </si>
  <si>
    <t>US-2015-122910</t>
  </si>
  <si>
    <t>US-2015-123218</t>
  </si>
  <si>
    <t>US-2015-123918</t>
  </si>
  <si>
    <t>US-2015-123960</t>
  </si>
  <si>
    <t>US-2015-124219</t>
  </si>
  <si>
    <t>US-2015-125374</t>
  </si>
  <si>
    <t>US-2015-126214</t>
  </si>
  <si>
    <t>US-2015-126235</t>
  </si>
  <si>
    <t>US-2015-126753</t>
  </si>
  <si>
    <t>OFF-PA-10000130</t>
  </si>
  <si>
    <t>US-2015-126977</t>
  </si>
  <si>
    <t>US-2015-127040</t>
  </si>
  <si>
    <t>US-2015-128090</t>
  </si>
  <si>
    <t>US-2015-128587</t>
  </si>
  <si>
    <t>FUR-FU-10003026</t>
  </si>
  <si>
    <t>US-2015-129007</t>
  </si>
  <si>
    <t>US-2015-129553</t>
  </si>
  <si>
    <t>US-2015-129637</t>
  </si>
  <si>
    <t>US-2015-130491</t>
  </si>
  <si>
    <t>US-2015-130512</t>
  </si>
  <si>
    <t>US-2015-130519</t>
  </si>
  <si>
    <t>US-2015-131359</t>
  </si>
  <si>
    <t>US-2015-131842</t>
  </si>
  <si>
    <t>US-2015-132836</t>
  </si>
  <si>
    <t>US-2015-134026</t>
  </si>
  <si>
    <t>US-2015-134271</t>
  </si>
  <si>
    <t>US-2015-134558</t>
  </si>
  <si>
    <t>US-2015-136259</t>
  </si>
  <si>
    <t>US-2015-136427</t>
  </si>
  <si>
    <t>US-2015-136476</t>
  </si>
  <si>
    <t>US-2015-136749</t>
  </si>
  <si>
    <t>US-2015-136987</t>
  </si>
  <si>
    <t>US-2015-137008</t>
  </si>
  <si>
    <t>US-2015-137533</t>
  </si>
  <si>
    <t>US-2015-137960</t>
  </si>
  <si>
    <t>US-2015-138093</t>
  </si>
  <si>
    <t>US-2015-138121</t>
  </si>
  <si>
    <t>US-2015-138303</t>
  </si>
  <si>
    <t>US-2015-138716</t>
  </si>
  <si>
    <t>US-2015-138919</t>
  </si>
  <si>
    <t>US-2015-139675</t>
  </si>
  <si>
    <t>US-2015-139759</t>
  </si>
  <si>
    <t>US-2015-140200</t>
  </si>
  <si>
    <t>US-2015-140851</t>
  </si>
  <si>
    <t>US-2015-141453</t>
  </si>
  <si>
    <t>US-2015-141684</t>
  </si>
  <si>
    <t>US-2015-142020</t>
  </si>
  <si>
    <t>US-2015-142811</t>
  </si>
  <si>
    <t>US-2015-144771</t>
  </si>
  <si>
    <t>US-2015-145121</t>
  </si>
  <si>
    <t>US-2015-145436</t>
  </si>
  <si>
    <t>US-2015-146745</t>
  </si>
  <si>
    <t>US-2015-147242</t>
  </si>
  <si>
    <t>US-2015-147662</t>
  </si>
  <si>
    <t>US-2015-147739</t>
  </si>
  <si>
    <t>US-2015-148817</t>
  </si>
  <si>
    <t>US-2015-149629</t>
  </si>
  <si>
    <t>US-2015-149692</t>
  </si>
  <si>
    <t>US-2015-150161</t>
  </si>
  <si>
    <t>US-2015-150231</t>
  </si>
  <si>
    <t>US-2015-150630</t>
  </si>
  <si>
    <t>US-2015-151407</t>
  </si>
  <si>
    <t>US-2015-151435</t>
  </si>
  <si>
    <t>US-2015-152128</t>
  </si>
  <si>
    <t>US-2015-153283</t>
  </si>
  <si>
    <t>US-2015-153374</t>
  </si>
  <si>
    <t>US-2015-153500</t>
  </si>
  <si>
    <t>US-2015-154389</t>
  </si>
  <si>
    <t>US-2015-155369</t>
  </si>
  <si>
    <t>US-2015-156496</t>
  </si>
  <si>
    <t>US-2015-156797</t>
  </si>
  <si>
    <t>US-2015-156867</t>
  </si>
  <si>
    <t>US-2015-157014</t>
  </si>
  <si>
    <t>US-2015-157154</t>
  </si>
  <si>
    <t>US-2015-158589</t>
  </si>
  <si>
    <t>US-2015-158911</t>
  </si>
  <si>
    <t>US-2015-159499</t>
  </si>
  <si>
    <t>US-2015-159513</t>
  </si>
  <si>
    <t>TEC-MA-10003329</t>
  </si>
  <si>
    <t>US-2015-159982</t>
  </si>
  <si>
    <t>US-2015-160150</t>
  </si>
  <si>
    <t>US-2015-160563</t>
  </si>
  <si>
    <t>US-2015-160857</t>
  </si>
  <si>
    <t>US-2015-161347</t>
  </si>
  <si>
    <t>US-2015-161466</t>
  </si>
  <si>
    <t>US-2015-161991</t>
  </si>
  <si>
    <t>US-2015-163279</t>
  </si>
  <si>
    <t>US-2015-163433</t>
  </si>
  <si>
    <t>US-2015-163685</t>
  </si>
  <si>
    <t>US-2015-163783</t>
  </si>
  <si>
    <t>US-2015-163825</t>
  </si>
  <si>
    <t>US-2015-164175</t>
  </si>
  <si>
    <t>US-2015-164238</t>
  </si>
  <si>
    <t>US-2015-164308</t>
  </si>
  <si>
    <t>US-2015-164357</t>
  </si>
  <si>
    <t>US-2015-164448</t>
  </si>
  <si>
    <t>US-2015-165449</t>
  </si>
  <si>
    <t>TEC-AC-10004127</t>
  </si>
  <si>
    <t>US-2015-165512</t>
  </si>
  <si>
    <t>US-2015-165743</t>
  </si>
  <si>
    <t>US-2015-166520</t>
  </si>
  <si>
    <t>US-2015-167220</t>
  </si>
  <si>
    <t>US-2015-168704</t>
  </si>
  <si>
    <t>US-2015-168732</t>
  </si>
  <si>
    <t>US-2015-168914</t>
  </si>
  <si>
    <t>US-2015-168935</t>
  </si>
  <si>
    <t>US-2016-100405</t>
  </si>
  <si>
    <t>US-2016-100419</t>
  </si>
  <si>
    <t>US-2016-100461</t>
  </si>
  <si>
    <t>US-2016-100566</t>
  </si>
  <si>
    <t>US-2016-100720</t>
  </si>
  <si>
    <t>US-2016-100839</t>
  </si>
  <si>
    <t>US-2016-101196</t>
  </si>
  <si>
    <t>US-2016-101497</t>
  </si>
  <si>
    <t>US-2016-101616</t>
  </si>
  <si>
    <t>US-2016-102141</t>
  </si>
  <si>
    <t>US-2016-102232</t>
  </si>
  <si>
    <t>US-2016-102239</t>
  </si>
  <si>
    <t>US-2016-103646</t>
  </si>
  <si>
    <t>US-2016-103674</t>
  </si>
  <si>
    <t>US-2016-104794</t>
  </si>
  <si>
    <t>OFF-FA-10001754</t>
  </si>
  <si>
    <t>US-2016-104815</t>
  </si>
  <si>
    <t>US-2016-105452</t>
  </si>
  <si>
    <t>US-2016-105578</t>
  </si>
  <si>
    <t>US-2016-106313</t>
  </si>
  <si>
    <t>US-2016-106600</t>
  </si>
  <si>
    <t>US-2016-106677</t>
  </si>
  <si>
    <t>US-2016-107440</t>
  </si>
  <si>
    <t>US-2016-108098</t>
  </si>
  <si>
    <t>US-2016-108455</t>
  </si>
  <si>
    <t>US-2016-108497</t>
  </si>
  <si>
    <t>US-2016-108504</t>
  </si>
  <si>
    <t>US-2016-108637</t>
  </si>
  <si>
    <t>US-2016-108777</t>
  </si>
  <si>
    <t>US-2016-109260</t>
  </si>
  <si>
    <t>US-2016-110156</t>
  </si>
  <si>
    <t>US-2016-110170</t>
  </si>
  <si>
    <t>US-2016-111290</t>
  </si>
  <si>
    <t>US-2016-111528</t>
  </si>
  <si>
    <t>US-2016-111563</t>
  </si>
  <si>
    <t>US-2016-112396</t>
  </si>
  <si>
    <t>US-2016-112970</t>
  </si>
  <si>
    <t>US-2016-112977</t>
  </si>
  <si>
    <t>US-2016-113509</t>
  </si>
  <si>
    <t>US-2016-113649</t>
  </si>
  <si>
    <t>US-2016-113677</t>
  </si>
  <si>
    <t>TEC-PH-10002114</t>
  </si>
  <si>
    <t>US-2016-113985</t>
  </si>
  <si>
    <t>US-2016-114013</t>
  </si>
  <si>
    <t>US-2016-114174</t>
  </si>
  <si>
    <t>US-2016-114230</t>
  </si>
  <si>
    <t>US-2016-114293</t>
  </si>
  <si>
    <t>US-2016-114622</t>
  </si>
  <si>
    <t>US-2016-114776</t>
  </si>
  <si>
    <t>US-2016-114888</t>
  </si>
  <si>
    <t>US-2016-115441</t>
  </si>
  <si>
    <t>US-2016-115455</t>
  </si>
  <si>
    <t>US-2016-115819</t>
  </si>
  <si>
    <t>US-2016-115952</t>
  </si>
  <si>
    <t>US-2016-116365</t>
  </si>
  <si>
    <t>US-2016-116400</t>
  </si>
  <si>
    <t>US-2016-116442</t>
  </si>
  <si>
    <t>US-2016-116729</t>
  </si>
  <si>
    <t>US-2016-117037</t>
  </si>
  <si>
    <t>US-2016-117387</t>
  </si>
  <si>
    <t>US-2016-117541</t>
  </si>
  <si>
    <t>US-2016-117793</t>
  </si>
  <si>
    <t>US-2016-118780</t>
  </si>
  <si>
    <t>US-2016-119046</t>
  </si>
  <si>
    <t>US-2016-119270</t>
  </si>
  <si>
    <t>US-2016-119298</t>
  </si>
  <si>
    <t>US-2016-120460</t>
  </si>
  <si>
    <t>US-2016-120929</t>
  </si>
  <si>
    <t>US-2016-121013</t>
  </si>
  <si>
    <t>US-2016-122182</t>
  </si>
  <si>
    <t>US-2016-122245</t>
  </si>
  <si>
    <t>US-2016-123470</t>
  </si>
  <si>
    <t>US-2016-123610</t>
  </si>
  <si>
    <t>US-2016-123750</t>
  </si>
  <si>
    <t>US-2016-124163</t>
  </si>
  <si>
    <t>US-2016-125402</t>
  </si>
  <si>
    <t>US-2016-125969</t>
  </si>
  <si>
    <t>US-2016-126431</t>
  </si>
  <si>
    <t>US-2016-126452</t>
  </si>
  <si>
    <t>US-2016-126844</t>
  </si>
  <si>
    <t>US-2016-127334</t>
  </si>
  <si>
    <t>US-2016-127425</t>
  </si>
  <si>
    <t>US-2016-127971</t>
  </si>
  <si>
    <t>US-2016-128195</t>
  </si>
  <si>
    <t>US-2016-128678</t>
  </si>
  <si>
    <t>US-2016-128902</t>
  </si>
  <si>
    <t>US-2016-128909</t>
  </si>
  <si>
    <t>US-2016-129469</t>
  </si>
  <si>
    <t>US-2016-131058</t>
  </si>
  <si>
    <t>US-2016-131114</t>
  </si>
  <si>
    <t>US-2016-131149</t>
  </si>
  <si>
    <t>US-2016-131611</t>
  </si>
  <si>
    <t>US-2016-131674</t>
  </si>
  <si>
    <t>US-2016-131891</t>
  </si>
  <si>
    <t>US-2016-131912</t>
  </si>
  <si>
    <t>US-2016-132423</t>
  </si>
  <si>
    <t>US-2016-132577</t>
  </si>
  <si>
    <t>US-2016-132857</t>
  </si>
  <si>
    <t>US-2016-133508</t>
  </si>
  <si>
    <t>US-2016-133879</t>
  </si>
  <si>
    <t>US-2016-134369</t>
  </si>
  <si>
    <t>US-2016-134488</t>
  </si>
  <si>
    <t>US-2016-134656</t>
  </si>
  <si>
    <t>US-2016-134761</t>
  </si>
  <si>
    <t>US-2016-134908</t>
  </si>
  <si>
    <t>US-2016-135209</t>
  </si>
  <si>
    <t>US-2016-135720</t>
  </si>
  <si>
    <t>US-2016-135923</t>
  </si>
  <si>
    <t>US-2016-136581</t>
  </si>
  <si>
    <t>US-2016-137295</t>
  </si>
  <si>
    <t>US-2016-137547</t>
  </si>
  <si>
    <t>US-2016-138408</t>
  </si>
  <si>
    <t>US-2016-139087</t>
  </si>
  <si>
    <t>FUR-FU-10004164</t>
  </si>
  <si>
    <t>TEC-AC-10004595</t>
  </si>
  <si>
    <t>US-2016-139262</t>
  </si>
  <si>
    <t>US-2016-139486</t>
  </si>
  <si>
    <t>US-2016-139710</t>
  </si>
  <si>
    <t>US-2016-140158</t>
  </si>
  <si>
    <t>OFF-ST-10000136</t>
  </si>
  <si>
    <t>US-2016-140172</t>
  </si>
  <si>
    <t>US-2016-140809</t>
  </si>
  <si>
    <t>US-2016-141264</t>
  </si>
  <si>
    <t>US-2016-141544</t>
  </si>
  <si>
    <t>US-2016-141880</t>
  </si>
  <si>
    <t>US-2016-142251</t>
  </si>
  <si>
    <t>US-2016-142685</t>
  </si>
  <si>
    <t>US-2016-143280</t>
  </si>
  <si>
    <t>US-2016-143448</t>
  </si>
  <si>
    <t>US-2016-143819</t>
  </si>
  <si>
    <t>US-2016-144057</t>
  </si>
  <si>
    <t>US-2016-144211</t>
  </si>
  <si>
    <t>US-2016-144351</t>
  </si>
  <si>
    <t>US-2016-144393</t>
  </si>
  <si>
    <t>US-2016-144477</t>
  </si>
  <si>
    <t>US-2016-144547</t>
  </si>
  <si>
    <t>US-2016-146066</t>
  </si>
  <si>
    <t>US-2016-146570</t>
  </si>
  <si>
    <t>US-2016-146710</t>
  </si>
  <si>
    <t>US-2016-146794</t>
  </si>
  <si>
    <t>US-2016-146857</t>
  </si>
  <si>
    <t>US-2016-147711</t>
  </si>
  <si>
    <t>US-2016-147991</t>
  </si>
  <si>
    <t>US-2016-148110</t>
  </si>
  <si>
    <t>US-2016-148334</t>
  </si>
  <si>
    <t>US-2016-148803</t>
  </si>
  <si>
    <t>US-2016-148901</t>
  </si>
  <si>
    <t>US-2016-148957</t>
  </si>
  <si>
    <t>US-2016-149790</t>
  </si>
  <si>
    <t>US-2016-150035</t>
  </si>
  <si>
    <t>US-2016-150140</t>
  </si>
  <si>
    <t>US-2016-150147</t>
  </si>
  <si>
    <t>US-2016-150357</t>
  </si>
  <si>
    <t>US-2016-150567</t>
  </si>
  <si>
    <t>US-2016-150861</t>
  </si>
  <si>
    <t>US-2016-151260</t>
  </si>
  <si>
    <t>US-2016-151827</t>
  </si>
  <si>
    <t>US-2016-151862</t>
  </si>
  <si>
    <t>TEC-PH-10003535</t>
  </si>
  <si>
    <t>US-2016-152051</t>
  </si>
  <si>
    <t>US-2016-152373</t>
  </si>
  <si>
    <t>US-2016-152415</t>
  </si>
  <si>
    <t>US-2016-152835</t>
  </si>
  <si>
    <t>US-2016-153129</t>
  </si>
  <si>
    <t>US-2016-153815</t>
  </si>
  <si>
    <t>US-2016-154256</t>
  </si>
  <si>
    <t>US-2016-154361</t>
  </si>
  <si>
    <t>US-2016-155103</t>
  </si>
  <si>
    <t>US-2016-155173</t>
  </si>
  <si>
    <t>US-2016-155180</t>
  </si>
  <si>
    <t>US-2016-155404</t>
  </si>
  <si>
    <t>US-2016-155768</t>
  </si>
  <si>
    <t>US-2016-155971</t>
  </si>
  <si>
    <t>OFF-PA-10000210</t>
  </si>
  <si>
    <t>US-2016-156097</t>
  </si>
  <si>
    <t>US-2016-156692</t>
  </si>
  <si>
    <t>US-2016-156986</t>
  </si>
  <si>
    <t>US-2016-157308</t>
  </si>
  <si>
    <t>US-2016-157490</t>
  </si>
  <si>
    <t>TEC-MA-10001695</t>
  </si>
  <si>
    <t>US-2016-157728</t>
  </si>
  <si>
    <t>US-2016-157840</t>
  </si>
  <si>
    <t>US-2016-157945</t>
  </si>
  <si>
    <t>US-2016-158288</t>
  </si>
  <si>
    <t>US-2016-158309</t>
  </si>
  <si>
    <t>US-2016-158680</t>
  </si>
  <si>
    <t>US-2016-158708</t>
  </si>
  <si>
    <t>TEC-AC-10003133</t>
  </si>
  <si>
    <t>US-2016-159093</t>
  </si>
  <si>
    <t>US-2016-159415</t>
  </si>
  <si>
    <t>US-2016-159856</t>
  </si>
  <si>
    <t>US-2016-160206</t>
  </si>
  <si>
    <t>US-2016-160528</t>
  </si>
  <si>
    <t>US-2016-161396</t>
  </si>
  <si>
    <t>US-2016-161683</t>
  </si>
  <si>
    <t>US-2016-161844</t>
  </si>
  <si>
    <t>US-2016-162026</t>
  </si>
  <si>
    <t>US-2016-162103</t>
  </si>
  <si>
    <t>US-2016-162677</t>
  </si>
  <si>
    <t>US-2016-162852</t>
  </si>
  <si>
    <t>US-2016-162859</t>
  </si>
  <si>
    <t>US-2016-163461</t>
  </si>
  <si>
    <t>US-2016-163538</t>
  </si>
  <si>
    <t>US-2016-163881</t>
  </si>
  <si>
    <t>US-2016-164189</t>
  </si>
  <si>
    <t>US-2016-164588</t>
  </si>
  <si>
    <t>US-2016-164630</t>
  </si>
  <si>
    <t>US-2016-165078</t>
  </si>
  <si>
    <t>US-2016-165505</t>
  </si>
  <si>
    <t>US-2016-166660</t>
  </si>
  <si>
    <t>US-2016-167339</t>
  </si>
  <si>
    <t>US-2016-167472</t>
  </si>
  <si>
    <t>US-2016-168095</t>
  </si>
  <si>
    <t>US-2016-168410</t>
  </si>
  <si>
    <t>US-2016-168620</t>
  </si>
  <si>
    <t>US-2016-169040</t>
  </si>
  <si>
    <t>US-2016-169369</t>
  </si>
  <si>
    <t>US-2017-100048</t>
  </si>
  <si>
    <t>US-2017-100209</t>
  </si>
  <si>
    <t>US-2017-100398</t>
  </si>
  <si>
    <t>US-2017-100482</t>
  </si>
  <si>
    <t>US-2017-100930</t>
  </si>
  <si>
    <t>US-2017-101518</t>
  </si>
  <si>
    <t>US-2017-101539</t>
  </si>
  <si>
    <t>US-2017-101721</t>
  </si>
  <si>
    <t>US-2017-101784</t>
  </si>
  <si>
    <t>US-2017-101840</t>
  </si>
  <si>
    <t>US-2017-102183</t>
  </si>
  <si>
    <t>US-2017-102288</t>
  </si>
  <si>
    <t>US-2017-102638</t>
  </si>
  <si>
    <t>US-2017-102890</t>
  </si>
  <si>
    <t>US-2017-102904</t>
  </si>
  <si>
    <t>US-2017-103226</t>
  </si>
  <si>
    <t>US-2017-103247</t>
  </si>
  <si>
    <t>US-2017-103814</t>
  </si>
  <si>
    <t>US-2017-103828</t>
  </si>
  <si>
    <t>US-2017-104094</t>
  </si>
  <si>
    <t>US-2017-104437</t>
  </si>
  <si>
    <t>US-2017-104451</t>
  </si>
  <si>
    <t>US-2017-104661</t>
  </si>
  <si>
    <t>US-2017-104955</t>
  </si>
  <si>
    <t>US-2017-105046</t>
  </si>
  <si>
    <t>US-2017-105389</t>
  </si>
  <si>
    <t>US-2017-105697</t>
  </si>
  <si>
    <t>US-2017-105830</t>
  </si>
  <si>
    <t>US-2017-105935</t>
  </si>
  <si>
    <t>US-2017-105998</t>
  </si>
  <si>
    <t>US-2017-106131</t>
  </si>
  <si>
    <t>TEC-AC-10003027</t>
  </si>
  <si>
    <t>US-2017-106145</t>
  </si>
  <si>
    <t>US-2017-106551</t>
  </si>
  <si>
    <t>US-2017-106579</t>
  </si>
  <si>
    <t>US-2017-106663</t>
  </si>
  <si>
    <t>US-2017-106705</t>
  </si>
  <si>
    <t>US-2017-106796</t>
  </si>
  <si>
    <t>US-2017-107272</t>
  </si>
  <si>
    <t>US-2017-107384</t>
  </si>
  <si>
    <t>US-2017-107636</t>
  </si>
  <si>
    <t>OFF-LA-10003388</t>
  </si>
  <si>
    <t>US-2017-107888</t>
  </si>
  <si>
    <t>US-2017-107979</t>
  </si>
  <si>
    <t>US-2017-108014</t>
  </si>
  <si>
    <t>US-2017-108063</t>
  </si>
  <si>
    <t>US-2017-108245</t>
  </si>
  <si>
    <t>US-2017-108315</t>
  </si>
  <si>
    <t>US-2017-108343</t>
  </si>
  <si>
    <t>US-2017-108700</t>
  </si>
  <si>
    <t>US-2017-109253</t>
  </si>
  <si>
    <t>US-2017-109316</t>
  </si>
  <si>
    <t>US-2017-109484</t>
  </si>
  <si>
    <t>US-2017-109582</t>
  </si>
  <si>
    <t>US-2017-109610</t>
  </si>
  <si>
    <t>US-2017-110149</t>
  </si>
  <si>
    <t>US-2017-110576</t>
  </si>
  <si>
    <t>US-2017-110604</t>
  </si>
  <si>
    <t>US-2017-110646</t>
  </si>
  <si>
    <t>US-2017-110989</t>
  </si>
  <si>
    <t>US-2017-110996</t>
  </si>
  <si>
    <t>US-2017-111024</t>
  </si>
  <si>
    <t>US-2017-111241</t>
  </si>
  <si>
    <t>US-2017-111423</t>
  </si>
  <si>
    <t>US-2017-111745</t>
  </si>
  <si>
    <t>US-2017-111920</t>
  </si>
  <si>
    <t>US-2017-112347</t>
  </si>
  <si>
    <t>US-2017-112613</t>
  </si>
  <si>
    <t>US-2017-112928</t>
  </si>
  <si>
    <t>US-2017-113201</t>
  </si>
  <si>
    <t>US-2017-113852</t>
  </si>
  <si>
    <t>US-2017-113992</t>
  </si>
  <si>
    <t>US-2017-114034</t>
  </si>
  <si>
    <t>US-2017-114356</t>
  </si>
  <si>
    <t>US-2017-114657</t>
  </si>
  <si>
    <t>US-2017-115252</t>
  </si>
  <si>
    <t>US-2017-115301</t>
  </si>
  <si>
    <t>US-2017-115595</t>
  </si>
  <si>
    <t>US-2017-115609</t>
  </si>
  <si>
    <t>US-2017-116491</t>
  </si>
  <si>
    <t>US-2017-116505</t>
  </si>
  <si>
    <t>US-2017-116652</t>
  </si>
  <si>
    <t>US-2017-116701</t>
  </si>
  <si>
    <t>US-2017-116897</t>
  </si>
  <si>
    <t>US-2017-117247</t>
  </si>
  <si>
    <t>US-2017-117331</t>
  </si>
  <si>
    <t>US-2017-117450</t>
  </si>
  <si>
    <t>US-2017-117534</t>
  </si>
  <si>
    <t>US-2017-117723</t>
  </si>
  <si>
    <t>US-2017-118038</t>
  </si>
  <si>
    <t>US-2017-118087</t>
  </si>
  <si>
    <t>US-2017-118535</t>
  </si>
  <si>
    <t>US-2017-118556</t>
  </si>
  <si>
    <t>US-2017-118598</t>
  </si>
  <si>
    <t>US-2017-118941</t>
  </si>
  <si>
    <t>US-2017-119039</t>
  </si>
  <si>
    <t>US-2017-119319</t>
  </si>
  <si>
    <t>US-2017-119438</t>
  </si>
  <si>
    <t>US-2017-119662</t>
  </si>
  <si>
    <t>US-2017-119816</t>
  </si>
  <si>
    <t>US-2017-120089</t>
  </si>
  <si>
    <t>US-2017-120147</t>
  </si>
  <si>
    <t>US-2017-120390</t>
  </si>
  <si>
    <t>US-2017-120418</t>
  </si>
  <si>
    <t>US-2017-120607</t>
  </si>
  <si>
    <t>US-2017-120649</t>
  </si>
  <si>
    <t>US-2017-120908</t>
  </si>
  <si>
    <t>US-2017-121251</t>
  </si>
  <si>
    <t>US-2017-122637</t>
  </si>
  <si>
    <t>US-2017-122672</t>
  </si>
  <si>
    <t>US-2017-122714</t>
  </si>
  <si>
    <t>US-2017-123204</t>
  </si>
  <si>
    <t>US-2017-123281</t>
  </si>
  <si>
    <t>US-2017-123463</t>
  </si>
  <si>
    <t>US-2017-123834</t>
  </si>
  <si>
    <t>US-2017-123862</t>
  </si>
  <si>
    <t>US-2017-124303</t>
  </si>
  <si>
    <t>US-2017-124779</t>
  </si>
  <si>
    <t>US-2017-124821</t>
  </si>
  <si>
    <t>US-2017-124926</t>
  </si>
  <si>
    <t>US-2017-124968</t>
  </si>
  <si>
    <t>US-2017-125213</t>
  </si>
  <si>
    <t>US-2017-125647</t>
  </si>
  <si>
    <t>US-2017-125717</t>
  </si>
  <si>
    <t>US-2017-125808</t>
  </si>
  <si>
    <t>US-2017-126053</t>
  </si>
  <si>
    <t>US-2017-126060</t>
  </si>
  <si>
    <t>US-2017-126081</t>
  </si>
  <si>
    <t>US-2017-126179</t>
  </si>
  <si>
    <t>US-2017-127292</t>
  </si>
  <si>
    <t>US-2017-127341</t>
  </si>
  <si>
    <t>US-2017-127719</t>
  </si>
  <si>
    <t>US-2017-128118</t>
  </si>
  <si>
    <t>OFF-EN-10003448</t>
  </si>
  <si>
    <t>US-2017-128398</t>
  </si>
  <si>
    <t>US-2017-128447</t>
  </si>
  <si>
    <t>US-2017-128832</t>
  </si>
  <si>
    <t>US-2017-128951</t>
  </si>
  <si>
    <t>US-2017-129203</t>
  </si>
  <si>
    <t>US-2017-129224</t>
  </si>
  <si>
    <t>US-2017-129441</t>
  </si>
  <si>
    <t>US-2017-129777</t>
  </si>
  <si>
    <t>US-2017-130603</t>
  </si>
  <si>
    <t>US-2017-130687</t>
  </si>
  <si>
    <t>US-2017-130953</t>
  </si>
  <si>
    <t>US-2017-131583</t>
  </si>
  <si>
    <t>US-2017-131849</t>
  </si>
  <si>
    <t>US-2017-131961</t>
  </si>
  <si>
    <t>US-2017-132031</t>
  </si>
  <si>
    <t>US-2017-132059</t>
  </si>
  <si>
    <t>US-2017-132206</t>
  </si>
  <si>
    <t>US-2017-132220</t>
  </si>
  <si>
    <t>US-2017-132297</t>
  </si>
  <si>
    <t>US-2017-132381</t>
  </si>
  <si>
    <t>US-2017-132444</t>
  </si>
  <si>
    <t>US-2017-132675</t>
  </si>
  <si>
    <t>US-2017-132927</t>
  </si>
  <si>
    <t>US-2017-133081</t>
  </si>
  <si>
    <t>US-2017-133200</t>
  </si>
  <si>
    <t>US-2017-133312</t>
  </si>
  <si>
    <t>US-2017-133361</t>
  </si>
  <si>
    <t>US-2017-134481</t>
  </si>
  <si>
    <t>US-2017-134642</t>
  </si>
  <si>
    <t>US-2017-135013</t>
  </si>
  <si>
    <t>US-2017-135062</t>
  </si>
  <si>
    <t>US-2017-135230</t>
  </si>
  <si>
    <t>US-2017-135503</t>
  </si>
  <si>
    <t>US-2017-135986</t>
  </si>
  <si>
    <t>US-2017-136189</t>
  </si>
  <si>
    <t>US-2017-136679</t>
  </si>
  <si>
    <t>US-2017-136707</t>
  </si>
  <si>
    <t>US-2017-136721</t>
  </si>
  <si>
    <t>US-2017-136784</t>
  </si>
  <si>
    <t>US-2017-136868</t>
  </si>
  <si>
    <t>US-2017-137491</t>
  </si>
  <si>
    <t>US-2017-138086</t>
  </si>
  <si>
    <t>US-2017-139465</t>
  </si>
  <si>
    <t>US-2017-139577</t>
  </si>
  <si>
    <t>US-2017-139647</t>
  </si>
  <si>
    <t>US-2017-139955</t>
  </si>
  <si>
    <t>US-2017-139969</t>
  </si>
  <si>
    <t>US-2017-140074</t>
  </si>
  <si>
    <t>US-2017-140312</t>
  </si>
  <si>
    <t>US-2017-140907</t>
  </si>
  <si>
    <t>US-2017-141509</t>
  </si>
  <si>
    <t>US-2017-141558</t>
  </si>
  <si>
    <t>US-2017-141677</t>
  </si>
  <si>
    <t>US-2017-141698</t>
  </si>
  <si>
    <t>OFF-PA-10001826</t>
  </si>
  <si>
    <t>US-2017-141852</t>
  </si>
  <si>
    <t>US-2017-142188</t>
  </si>
  <si>
    <t>US-2017-142573</t>
  </si>
  <si>
    <t>US-2017-143028</t>
  </si>
  <si>
    <t>US-2017-143175</t>
  </si>
  <si>
    <t>US-2017-143770</t>
  </si>
  <si>
    <t>US-2017-144582</t>
  </si>
  <si>
    <t>US-2017-145366</t>
  </si>
  <si>
    <t>US-2017-145597</t>
  </si>
  <si>
    <t>US-2017-145863</t>
  </si>
  <si>
    <t>US-2017-146213</t>
  </si>
  <si>
    <t>US-2017-146416</t>
  </si>
  <si>
    <t>US-2017-146822</t>
  </si>
  <si>
    <t>US-2017-146878</t>
  </si>
  <si>
    <t>US-2017-146906</t>
  </si>
  <si>
    <t>US-2017-147221</t>
  </si>
  <si>
    <t>US-2017-147655</t>
  </si>
  <si>
    <t>US-2017-147669</t>
  </si>
  <si>
    <t>US-2017-147886</t>
  </si>
  <si>
    <t>US-2017-147984</t>
  </si>
  <si>
    <t>US-2017-147998</t>
  </si>
  <si>
    <t>US-2017-148054</t>
  </si>
  <si>
    <t>US-2017-148362</t>
  </si>
  <si>
    <t>US-2017-148551</t>
  </si>
  <si>
    <t>US-2017-148768</t>
  </si>
  <si>
    <t>US-2017-148831</t>
  </si>
  <si>
    <t>US-2017-149006</t>
  </si>
  <si>
    <t>OFF-ST-10003221</t>
  </si>
  <si>
    <t>US-2017-149510</t>
  </si>
  <si>
    <t>US-2017-150070</t>
  </si>
  <si>
    <t>US-2017-150595</t>
  </si>
  <si>
    <t>US-2017-150847</t>
  </si>
  <si>
    <t>US-2017-151127</t>
  </si>
  <si>
    <t>US-2017-151316</t>
  </si>
  <si>
    <t>US-2017-152002</t>
  </si>
  <si>
    <t>US-2017-152366</t>
  </si>
  <si>
    <t>US-2017-152380</t>
  </si>
  <si>
    <t>US-2017-152492</t>
  </si>
  <si>
    <t>US-2017-152569</t>
  </si>
  <si>
    <t>US-2017-152842</t>
  </si>
  <si>
    <t>US-2017-152898</t>
  </si>
  <si>
    <t>US-2017-153255</t>
  </si>
  <si>
    <t>US-2017-153633</t>
  </si>
  <si>
    <t>US-2017-153948</t>
  </si>
  <si>
    <t>US-2017-154851</t>
  </si>
  <si>
    <t>US-2017-154872</t>
  </si>
  <si>
    <t>US-2017-155299</t>
  </si>
  <si>
    <t>OFF-AP-10002203</t>
  </si>
  <si>
    <t>US-2017-155425</t>
  </si>
  <si>
    <t>US-2017-155866</t>
  </si>
  <si>
    <t>US-2017-155999</t>
  </si>
  <si>
    <t>US-2017-156083</t>
  </si>
  <si>
    <t>US-2017-156356</t>
  </si>
  <si>
    <t>US-2017-156909</t>
  </si>
  <si>
    <t>US-2017-157224</t>
  </si>
  <si>
    <t>US-2017-157896</t>
  </si>
  <si>
    <t>US-2017-158218</t>
  </si>
  <si>
    <t>US-2017-158505</t>
  </si>
  <si>
    <t>US-2017-158512</t>
  </si>
  <si>
    <t>US-2017-158526</t>
  </si>
  <si>
    <t>US-2017-158946</t>
  </si>
  <si>
    <t>US-2017-159205</t>
  </si>
  <si>
    <t>US-2017-159562</t>
  </si>
  <si>
    <t>US-2017-160143</t>
  </si>
  <si>
    <t>US-2017-160465</t>
  </si>
  <si>
    <t>US-2017-160759</t>
  </si>
  <si>
    <t>US-2017-160836</t>
  </si>
  <si>
    <t>US-2017-161193</t>
  </si>
  <si>
    <t>US-2017-161935</t>
  </si>
  <si>
    <t>US-2017-162068</t>
  </si>
  <si>
    <t>US-2017-162124</t>
  </si>
  <si>
    <t>US-2017-162208</t>
  </si>
  <si>
    <t>US-2017-162558</t>
  </si>
  <si>
    <t>US-2017-162670</t>
  </si>
  <si>
    <t>US-2017-163195</t>
  </si>
  <si>
    <t>US-2017-163300</t>
  </si>
  <si>
    <t>US-2017-163657</t>
  </si>
  <si>
    <t>US-2017-163790</t>
  </si>
  <si>
    <t>US-2017-164056</t>
  </si>
  <si>
    <t>US-2017-164147</t>
  </si>
  <si>
    <t>US-2017-165344</t>
  </si>
  <si>
    <t>TEC-MA-10002210</t>
  </si>
  <si>
    <t>US-2017-165358</t>
  </si>
  <si>
    <t>US-2017-165456</t>
  </si>
  <si>
    <t>US-2017-165869</t>
  </si>
  <si>
    <t>US-2017-165953</t>
  </si>
  <si>
    <t>US-2017-166037</t>
  </si>
  <si>
    <t>US-2017-166233</t>
  </si>
  <si>
    <t>US-2017-166324</t>
  </si>
  <si>
    <t>US-2017-166394</t>
  </si>
  <si>
    <t>US-2017-166611</t>
  </si>
  <si>
    <t>US-2017-166688</t>
  </si>
  <si>
    <t>US-2017-167318</t>
  </si>
  <si>
    <t>US-2017-167402</t>
  </si>
  <si>
    <t>US-2017-167570</t>
  </si>
  <si>
    <t>US-2017-167920</t>
  </si>
  <si>
    <t>US-2017-168116</t>
  </si>
  <si>
    <t>TEC-MA-10004125</t>
  </si>
  <si>
    <t>US-2017-168613</t>
  </si>
  <si>
    <t>US-2017-168690</t>
  </si>
  <si>
    <t>US-2017-168802</t>
  </si>
  <si>
    <t>US-2017-169320</t>
  </si>
  <si>
    <t>US-2017-169488</t>
  </si>
  <si>
    <t>US-2017-169502</t>
  </si>
  <si>
    <t>US-2017-169551</t>
  </si>
  <si>
    <t>CA-2014-101427</t>
  </si>
  <si>
    <t>CA-2014-104829</t>
  </si>
  <si>
    <t>CA-2014-105648</t>
  </si>
  <si>
    <t>CA-2014-108861</t>
  </si>
  <si>
    <t>CA-2014-110611</t>
  </si>
  <si>
    <t>CA-2014-113166</t>
  </si>
  <si>
    <t>CA-2014-113383</t>
  </si>
  <si>
    <t>CA-2014-115056</t>
  </si>
  <si>
    <t>CA-2014-115973</t>
  </si>
  <si>
    <t>CA-2014-117478</t>
  </si>
  <si>
    <t>CA-2014-119529</t>
  </si>
  <si>
    <t>CA-2014-120950</t>
  </si>
  <si>
    <t>CA-2014-122217</t>
  </si>
  <si>
    <t>CA-2014-123323</t>
  </si>
  <si>
    <t>CA-2014-123344</t>
  </si>
  <si>
    <t>CA-2014-124513</t>
  </si>
  <si>
    <t>CA-2014-124723</t>
  </si>
  <si>
    <t>CA-2014-126032</t>
  </si>
  <si>
    <t>CA-2014-126277</t>
  </si>
  <si>
    <t>CA-2014-138177</t>
  </si>
  <si>
    <t>CA-2014-141278</t>
  </si>
  <si>
    <t>CA-2014-141796</t>
  </si>
  <si>
    <t>CA-2014-144407</t>
  </si>
  <si>
    <t>CA-2014-151078</t>
  </si>
  <si>
    <t>CA-2014-151953</t>
  </si>
  <si>
    <t>CA-2014-152905</t>
  </si>
  <si>
    <t>CA-2014-156545</t>
  </si>
  <si>
    <t>CA-2014-156601</t>
  </si>
  <si>
    <t>CA-2014-158281</t>
  </si>
  <si>
    <t>CA-2014-159849</t>
  </si>
  <si>
    <t>CA-2015-100545</t>
  </si>
  <si>
    <t>CA-2015-107902</t>
  </si>
  <si>
    <t>CA-2015-110947</t>
  </si>
  <si>
    <t>CA-2015-113215</t>
  </si>
  <si>
    <t>CA-2015-114237</t>
  </si>
  <si>
    <t>TEC-MA-10000045</t>
  </si>
  <si>
    <t>CA-2015-115399</t>
  </si>
  <si>
    <t>CA-2015-115924</t>
  </si>
  <si>
    <t>CA-2015-116260</t>
  </si>
  <si>
    <t>CA-2015-117898</t>
  </si>
  <si>
    <t>CA-2015-120320</t>
  </si>
  <si>
    <t>CA-2015-120516</t>
  </si>
  <si>
    <t>CA-2015-125178</t>
  </si>
  <si>
    <t>CA-2015-126739</t>
  </si>
  <si>
    <t>CA-2015-129042</t>
  </si>
  <si>
    <t>CA-2015-140921</t>
  </si>
  <si>
    <t>CA-2015-143238</t>
  </si>
  <si>
    <t>CA-2015-144386</t>
  </si>
  <si>
    <t>CA-2015-144890</t>
  </si>
  <si>
    <t>CA-2015-145401</t>
  </si>
  <si>
    <t>CA-2015-145758</t>
  </si>
  <si>
    <t>TEC-MA-10004552</t>
  </si>
  <si>
    <t>CA-2015-149300</t>
  </si>
  <si>
    <t>CA-2015-152527</t>
  </si>
  <si>
    <t>CA-2015-153612</t>
  </si>
  <si>
    <t>CA-2015-158554</t>
  </si>
  <si>
    <t>CA-2015-164567</t>
  </si>
  <si>
    <t>CA-2016-105284</t>
  </si>
  <si>
    <t>CA-2016-112893</t>
  </si>
  <si>
    <t>CA-2016-113817</t>
  </si>
  <si>
    <t>CA-2016-114713</t>
  </si>
  <si>
    <t>CA-2016-116764</t>
  </si>
  <si>
    <t>OFF-LA-10002473</t>
  </si>
  <si>
    <t>CA-2016-120082</t>
  </si>
  <si>
    <t>CA-2016-121356</t>
  </si>
  <si>
    <t>CA-2016-128258</t>
  </si>
  <si>
    <t>CA-2016-128594</t>
  </si>
  <si>
    <t>CA-2016-132990</t>
  </si>
  <si>
    <t>CA-2016-134691</t>
  </si>
  <si>
    <t>CA-2016-136049</t>
  </si>
  <si>
    <t>CA-2016-139409</t>
  </si>
  <si>
    <t>CA-2016-142762</t>
  </si>
  <si>
    <t>CA-2016-149370</t>
  </si>
  <si>
    <t>CA-2016-150658</t>
  </si>
  <si>
    <t>CA-2016-152247</t>
  </si>
  <si>
    <t>CA-2016-152646</t>
  </si>
  <si>
    <t>CA-2016-155992</t>
  </si>
  <si>
    <t>CA-2016-159695</t>
  </si>
  <si>
    <t>CA-2016-160136</t>
  </si>
  <si>
    <t>CA-2016-160241</t>
  </si>
  <si>
    <t>CA-2016-160486</t>
  </si>
  <si>
    <t>CA-2016-161662</t>
  </si>
  <si>
    <t>CA-2016-162733</t>
  </si>
  <si>
    <t>CA-2016-163986</t>
  </si>
  <si>
    <t>CA-2016-169670</t>
  </si>
  <si>
    <t>CA-2017-100237</t>
  </si>
  <si>
    <t>CA-2017-100601</t>
  </si>
  <si>
    <t>CA-2017-100650</t>
  </si>
  <si>
    <t>CA-2017-101210</t>
  </si>
  <si>
    <t>CA-2017-107797</t>
  </si>
  <si>
    <t>CA-2017-112774</t>
  </si>
  <si>
    <t>CA-2017-117933</t>
  </si>
  <si>
    <t>CA-2017-119494</t>
  </si>
  <si>
    <t>CA-2017-133074</t>
  </si>
  <si>
    <t>CA-2017-134607</t>
  </si>
  <si>
    <t>CA-2017-135650</t>
  </si>
  <si>
    <t>CA-2017-137099</t>
  </si>
  <si>
    <t>CA-2017-137323</t>
  </si>
  <si>
    <t>CA-2017-137344</t>
  </si>
  <si>
    <t>CA-2017-138380</t>
  </si>
  <si>
    <t>CA-2017-140536</t>
  </si>
  <si>
    <t>CA-2017-141782</t>
  </si>
  <si>
    <t>CA-2017-142174</t>
  </si>
  <si>
    <t>CA-2017-144036</t>
  </si>
  <si>
    <t>CA-2017-144568</t>
  </si>
  <si>
    <t>CA-2017-149888</t>
  </si>
  <si>
    <t>CA-2017-152226</t>
  </si>
  <si>
    <t>CA-2017-153339</t>
  </si>
  <si>
    <t>CA-2017-154102</t>
  </si>
  <si>
    <t>CA-2017-154214</t>
  </si>
  <si>
    <t>CA-2017-154760</t>
  </si>
  <si>
    <t>CA-2017-154949</t>
  </si>
  <si>
    <t>CA-2017-155929</t>
  </si>
  <si>
    <t>CA-2017-157350</t>
  </si>
  <si>
    <t>CA-2017-158106</t>
  </si>
  <si>
    <t>CA-2017-161557</t>
  </si>
  <si>
    <t>OFF-AR-10003896</t>
  </si>
  <si>
    <t>CA-2017-167976</t>
  </si>
  <si>
    <t>CA-2017-169411</t>
  </si>
  <si>
    <t>CA-2017-169607</t>
  </si>
  <si>
    <t>CA-2017-169817</t>
  </si>
  <si>
    <t>US-2014-107699</t>
  </si>
  <si>
    <t>US-2014-141257</t>
  </si>
  <si>
    <t>US-2014-151925</t>
  </si>
  <si>
    <t>US-2015-145422</t>
  </si>
  <si>
    <t>US-2015-164966</t>
  </si>
  <si>
    <t>US-2016-126893</t>
  </si>
  <si>
    <t>US-2016-128293</t>
  </si>
  <si>
    <t>US-2016-139388</t>
  </si>
  <si>
    <t>US-2016-147340</t>
  </si>
  <si>
    <t>US-2016-163258</t>
  </si>
  <si>
    <t>US-2016-164196</t>
  </si>
  <si>
    <t>US-2016-164945</t>
  </si>
  <si>
    <t>OFF-AR-10003477</t>
  </si>
  <si>
    <t>US-2017-116659</t>
  </si>
  <si>
    <t>US-2017-118157</t>
  </si>
  <si>
    <t>US-2017-133781</t>
  </si>
  <si>
    <t>US-2017-141943</t>
  </si>
  <si>
    <t>US-2017-148866</t>
  </si>
  <si>
    <t>Key</t>
  </si>
  <si>
    <t>Status</t>
  </si>
  <si>
    <t>Count of Missing in Data2</t>
  </si>
  <si>
    <t>Count of missing in Data 1</t>
  </si>
  <si>
    <t>Q1</t>
  </si>
  <si>
    <t>Q2</t>
  </si>
  <si>
    <t>Q3</t>
  </si>
  <si>
    <t>Q4</t>
  </si>
  <si>
    <t>Total unique records in Data1 + Data2</t>
  </si>
  <si>
    <t>Sum of Qty for records missing in Data1 but present in 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</si>
</sst>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78"/>
  <sheetViews>
    <sheetView tabSelected="1" workbookViewId="0">
      <selection activeCell="F5" sqref="F5"/>
    </sheetView>
  </sheetViews>
  <sheetFormatPr defaultColWidth="11.25" defaultRowHeight="15" customHeight="1" x14ac:dyDescent="0.25"/>
  <cols>
    <col min="1" max="1" width="13.25" customWidth="1"/>
    <col min="2" max="2" width="14.625" customWidth="1"/>
    <col min="3" max="3" width="7.875" customWidth="1"/>
    <col min="4" max="4" width="30.625" bestFit="1" customWidth="1"/>
    <col min="5" max="5" width="14.75" bestFit="1" customWidth="1"/>
    <col min="6" max="6" width="8.5" customWidth="1"/>
    <col min="7" max="7" width="22.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" t="s">
        <v>6872</v>
      </c>
      <c r="E1" s="3" t="s">
        <v>6873</v>
      </c>
    </row>
    <row r="2" spans="1:7" x14ac:dyDescent="0.25">
      <c r="A2" s="2" t="s">
        <v>3</v>
      </c>
      <c r="B2" s="2" t="s">
        <v>4</v>
      </c>
      <c r="C2" s="2">
        <v>3</v>
      </c>
      <c r="D2" t="str">
        <f>A2&amp;"_"&amp;B2</f>
        <v>CA-2014-100090_FUR-TA-10003715</v>
      </c>
      <c r="E2" t="str">
        <f>IF(COUNTIF(data2!$D:$D,D2)=0,"Missing in Data2","Present")</f>
        <v>Present</v>
      </c>
    </row>
    <row r="3" spans="1:7" x14ac:dyDescent="0.25">
      <c r="A3" s="2" t="s">
        <v>3</v>
      </c>
      <c r="B3" s="2" t="s">
        <v>5</v>
      </c>
      <c r="C3" s="2">
        <v>6</v>
      </c>
      <c r="D3" t="str">
        <f t="shared" ref="D3:D66" si="0">A3&amp;"_"&amp;B3</f>
        <v>CA-2014-100090_OFF-BI-10001597</v>
      </c>
      <c r="E3" t="str">
        <f>IF(COUNTIF(data2!$D:$D,D3)=0,"Missing in Data2","Present")</f>
        <v>Present</v>
      </c>
    </row>
    <row r="4" spans="1:7" x14ac:dyDescent="0.25">
      <c r="A4" s="2" t="s">
        <v>6</v>
      </c>
      <c r="B4" s="2" t="s">
        <v>7</v>
      </c>
      <c r="C4" s="2">
        <v>6</v>
      </c>
      <c r="D4" t="str">
        <f t="shared" si="0"/>
        <v>CA-2014-100293_OFF-PA-10000176</v>
      </c>
      <c r="E4" t="str">
        <f>IF(COUNTIF(data2!$D:$D,D4)=0,"Missing in Data2","Present")</f>
        <v>Present</v>
      </c>
      <c r="F4" t="s">
        <v>6876</v>
      </c>
      <c r="G4" t="s">
        <v>6874</v>
      </c>
    </row>
    <row r="5" spans="1:7" x14ac:dyDescent="0.25">
      <c r="A5" s="2" t="s">
        <v>8</v>
      </c>
      <c r="B5" s="2" t="s">
        <v>9</v>
      </c>
      <c r="C5" s="2">
        <v>1</v>
      </c>
      <c r="D5" t="str">
        <f t="shared" si="0"/>
        <v>CA-2014-100328_OFF-BI-10000343</v>
      </c>
      <c r="E5" t="str">
        <f>IF(COUNTIF(data2!$D:$D,D5)=0,"Missing in Data2","Present")</f>
        <v>Present</v>
      </c>
      <c r="G5">
        <f>COUNTIF(E:E,"Missing in Data2")</f>
        <v>506</v>
      </c>
    </row>
    <row r="6" spans="1:7" x14ac:dyDescent="0.25">
      <c r="A6" s="2" t="s">
        <v>10</v>
      </c>
      <c r="B6" s="2" t="s">
        <v>11</v>
      </c>
      <c r="C6" s="2">
        <v>2</v>
      </c>
      <c r="D6" t="str">
        <f t="shared" si="0"/>
        <v>CA-2014-100363_OFF-FA-10000611</v>
      </c>
      <c r="E6" t="str">
        <f>IF(COUNTIF(data2!$D:$D,D6)=0,"Missing in Data2","Present")</f>
        <v>Present</v>
      </c>
    </row>
    <row r="7" spans="1:7" x14ac:dyDescent="0.25">
      <c r="A7" s="2" t="s">
        <v>10</v>
      </c>
      <c r="B7" s="2" t="s">
        <v>12</v>
      </c>
      <c r="C7" s="2">
        <v>3</v>
      </c>
      <c r="D7" t="str">
        <f t="shared" si="0"/>
        <v>CA-2014-100363_OFF-PA-10004733</v>
      </c>
      <c r="E7" t="str">
        <f>IF(COUNTIF(data2!$D:$D,D7)=0,"Missing in Data2","Present")</f>
        <v>Present</v>
      </c>
    </row>
    <row r="8" spans="1:7" x14ac:dyDescent="0.25">
      <c r="A8" s="2" t="s">
        <v>13</v>
      </c>
      <c r="B8" s="2" t="s">
        <v>14</v>
      </c>
      <c r="C8" s="2">
        <v>2</v>
      </c>
      <c r="D8" t="str">
        <f t="shared" si="0"/>
        <v>CA-2014-100391_OFF-PA-10001471</v>
      </c>
      <c r="E8" t="str">
        <f>IF(COUNTIF(data2!$D:$D,D8)=0,"Missing in Data2","Present")</f>
        <v>Present</v>
      </c>
    </row>
    <row r="9" spans="1:7" x14ac:dyDescent="0.25">
      <c r="A9" s="2" t="s">
        <v>15</v>
      </c>
      <c r="B9" s="2" t="s">
        <v>16</v>
      </c>
      <c r="C9" s="2">
        <v>3</v>
      </c>
      <c r="D9" t="str">
        <f t="shared" si="0"/>
        <v>CA-2014-100678_FUR-CH-10002602</v>
      </c>
      <c r="E9" t="str">
        <f>IF(COUNTIF(data2!$D:$D,D9)=0,"Missing in Data2","Present")</f>
        <v>Present</v>
      </c>
    </row>
    <row r="10" spans="1:7" x14ac:dyDescent="0.25">
      <c r="A10" s="2" t="s">
        <v>15</v>
      </c>
      <c r="B10" s="2" t="s">
        <v>17</v>
      </c>
      <c r="C10" s="2">
        <v>2</v>
      </c>
      <c r="D10" t="str">
        <f t="shared" si="0"/>
        <v>CA-2014-100678_OFF-AR-10001868</v>
      </c>
      <c r="E10" t="str">
        <f>IF(COUNTIF(data2!$D:$D,D10)=0,"Missing in Data2","Present")</f>
        <v>Present</v>
      </c>
    </row>
    <row r="11" spans="1:7" x14ac:dyDescent="0.25">
      <c r="A11" s="2" t="s">
        <v>15</v>
      </c>
      <c r="B11" s="2" t="s">
        <v>18</v>
      </c>
      <c r="C11" s="2">
        <v>3</v>
      </c>
      <c r="D11" t="str">
        <f t="shared" si="0"/>
        <v>CA-2014-100678_OFF-EN-10000056</v>
      </c>
      <c r="E11" t="str">
        <f>IF(COUNTIF(data2!$D:$D,D11)=0,"Missing in Data2","Present")</f>
        <v>Missing in Data2</v>
      </c>
    </row>
    <row r="12" spans="1:7" x14ac:dyDescent="0.25">
      <c r="A12" s="2" t="s">
        <v>15</v>
      </c>
      <c r="B12" s="2" t="s">
        <v>19</v>
      </c>
      <c r="C12" s="2">
        <v>3</v>
      </c>
      <c r="D12" t="str">
        <f t="shared" si="0"/>
        <v>CA-2014-100678_TEC-AC-10000474</v>
      </c>
      <c r="E12" t="str">
        <f>IF(COUNTIF(data2!$D:$D,D12)=0,"Missing in Data2","Present")</f>
        <v>Present</v>
      </c>
    </row>
    <row r="13" spans="1:7" x14ac:dyDescent="0.25">
      <c r="A13" s="2" t="s">
        <v>20</v>
      </c>
      <c r="B13" s="2" t="s">
        <v>21</v>
      </c>
      <c r="C13" s="2">
        <v>6</v>
      </c>
      <c r="D13" t="str">
        <f t="shared" si="0"/>
        <v>CA-2014-100706_FUR-FU-10002268</v>
      </c>
      <c r="E13" t="str">
        <f>IF(COUNTIF(data2!$D:$D,D13)=0,"Missing in Data2","Present")</f>
        <v>Present</v>
      </c>
    </row>
    <row r="14" spans="1:7" x14ac:dyDescent="0.25">
      <c r="A14" s="2" t="s">
        <v>22</v>
      </c>
      <c r="B14" s="2" t="s">
        <v>23</v>
      </c>
      <c r="C14" s="2">
        <v>4</v>
      </c>
      <c r="D14" t="str">
        <f t="shared" si="0"/>
        <v>CA-2014-100762_OFF-AR-10000380</v>
      </c>
      <c r="E14" t="str">
        <f>IF(COUNTIF(data2!$D:$D,D14)=0,"Missing in Data2","Present")</f>
        <v>Present</v>
      </c>
    </row>
    <row r="15" spans="1:7" x14ac:dyDescent="0.25">
      <c r="A15" s="2" t="s">
        <v>22</v>
      </c>
      <c r="B15" s="2" t="s">
        <v>24</v>
      </c>
      <c r="C15" s="2">
        <v>2</v>
      </c>
      <c r="D15" t="str">
        <f t="shared" si="0"/>
        <v>CA-2014-100762_OFF-LA-10003930</v>
      </c>
      <c r="E15" t="str">
        <f>IF(COUNTIF(data2!$D:$D,D15)=0,"Missing in Data2","Present")</f>
        <v>Present</v>
      </c>
    </row>
    <row r="16" spans="1:7" x14ac:dyDescent="0.25">
      <c r="A16" s="2" t="s">
        <v>22</v>
      </c>
      <c r="B16" s="2" t="s">
        <v>25</v>
      </c>
      <c r="C16" s="2">
        <v>2</v>
      </c>
      <c r="D16" t="str">
        <f t="shared" si="0"/>
        <v>CA-2014-100762_OFF-PA-10004082</v>
      </c>
      <c r="E16" t="str">
        <f>IF(COUNTIF(data2!$D:$D,D16)=0,"Missing in Data2","Present")</f>
        <v>Present</v>
      </c>
    </row>
    <row r="17" spans="1:5" x14ac:dyDescent="0.25">
      <c r="A17" s="2" t="s">
        <v>26</v>
      </c>
      <c r="B17" s="2" t="s">
        <v>27</v>
      </c>
      <c r="C17" s="2">
        <v>5</v>
      </c>
      <c r="D17" t="str">
        <f t="shared" si="0"/>
        <v>CA-2014-100860_OFF-LA-10001982</v>
      </c>
      <c r="E17" t="str">
        <f>IF(COUNTIF(data2!$D:$D,D17)=0,"Missing in Data2","Present")</f>
        <v>Present</v>
      </c>
    </row>
    <row r="18" spans="1:5" x14ac:dyDescent="0.25">
      <c r="A18" s="2" t="s">
        <v>28</v>
      </c>
      <c r="B18" s="2" t="s">
        <v>29</v>
      </c>
      <c r="C18" s="2">
        <v>6</v>
      </c>
      <c r="D18" t="str">
        <f t="shared" si="0"/>
        <v>CA-2014-100867_TEC-PH-10004922</v>
      </c>
      <c r="E18" t="str">
        <f>IF(COUNTIF(data2!$D:$D,D18)=0,"Missing in Data2","Present")</f>
        <v>Present</v>
      </c>
    </row>
    <row r="19" spans="1:5" x14ac:dyDescent="0.25">
      <c r="A19" s="2" t="s">
        <v>30</v>
      </c>
      <c r="B19" s="2" t="s">
        <v>31</v>
      </c>
      <c r="C19" s="2">
        <v>3</v>
      </c>
      <c r="D19" t="str">
        <f t="shared" si="0"/>
        <v>CA-2014-100881_TEC-PH-10003273</v>
      </c>
      <c r="E19" t="str">
        <f>IF(COUNTIF(data2!$D:$D,D19)=0,"Missing in Data2","Present")</f>
        <v>Present</v>
      </c>
    </row>
    <row r="20" spans="1:5" x14ac:dyDescent="0.25">
      <c r="A20" s="2" t="s">
        <v>32</v>
      </c>
      <c r="B20" s="2" t="s">
        <v>33</v>
      </c>
      <c r="C20" s="2">
        <v>2</v>
      </c>
      <c r="D20" t="str">
        <f t="shared" si="0"/>
        <v>CA-2014-100895_OFF-AR-10004511</v>
      </c>
      <c r="E20" t="str">
        <f>IF(COUNTIF(data2!$D:$D,D20)=0,"Missing in Data2","Present")</f>
        <v>Missing in Data2</v>
      </c>
    </row>
    <row r="21" spans="1:5" x14ac:dyDescent="0.25">
      <c r="A21" s="2" t="s">
        <v>32</v>
      </c>
      <c r="B21" s="2" t="s">
        <v>34</v>
      </c>
      <c r="C21" s="2">
        <v>2</v>
      </c>
      <c r="D21" t="str">
        <f t="shared" si="0"/>
        <v>CA-2014-100895_OFF-ST-10001490</v>
      </c>
      <c r="E21" t="str">
        <f>IF(COUNTIF(data2!$D:$D,D21)=0,"Missing in Data2","Present")</f>
        <v>Present</v>
      </c>
    </row>
    <row r="22" spans="1:5" x14ac:dyDescent="0.25">
      <c r="A22" s="2" t="s">
        <v>32</v>
      </c>
      <c r="B22" s="2" t="s">
        <v>35</v>
      </c>
      <c r="C22" s="2">
        <v>3</v>
      </c>
      <c r="D22" t="str">
        <f t="shared" si="0"/>
        <v>CA-2014-100895_TEC-PH-10001425</v>
      </c>
      <c r="E22" t="str">
        <f>IF(COUNTIF(data2!$D:$D,D22)=0,"Missing in Data2","Present")</f>
        <v>Present</v>
      </c>
    </row>
    <row r="23" spans="1:5" x14ac:dyDescent="0.25">
      <c r="A23" s="2" t="s">
        <v>36</v>
      </c>
      <c r="B23" s="2" t="s">
        <v>37</v>
      </c>
      <c r="C23" s="2">
        <v>4</v>
      </c>
      <c r="D23" t="str">
        <f t="shared" si="0"/>
        <v>CA-2014-100916_FUR-TA-10004607</v>
      </c>
      <c r="E23" t="str">
        <f>IF(COUNTIF(data2!$D:$D,D23)=0,"Missing in Data2","Present")</f>
        <v>Present</v>
      </c>
    </row>
    <row r="24" spans="1:5" x14ac:dyDescent="0.25">
      <c r="A24" s="2" t="s">
        <v>36</v>
      </c>
      <c r="B24" s="2" t="s">
        <v>38</v>
      </c>
      <c r="C24" s="2">
        <v>1</v>
      </c>
      <c r="D24" t="str">
        <f t="shared" si="0"/>
        <v>CA-2014-100916_OFF-AR-10001022</v>
      </c>
      <c r="E24" t="str">
        <f>IF(COUNTIF(data2!$D:$D,D24)=0,"Missing in Data2","Present")</f>
        <v>Present</v>
      </c>
    </row>
    <row r="25" spans="1:5" x14ac:dyDescent="0.25">
      <c r="A25" s="2" t="s">
        <v>36</v>
      </c>
      <c r="B25" s="2" t="s">
        <v>39</v>
      </c>
      <c r="C25" s="2">
        <v>5</v>
      </c>
      <c r="D25" t="str">
        <f t="shared" si="0"/>
        <v>CA-2014-100916_OFF-ST-10003479</v>
      </c>
      <c r="E25" t="str">
        <f>IF(COUNTIF(data2!$D:$D,D25)=0,"Missing in Data2","Present")</f>
        <v>Present</v>
      </c>
    </row>
    <row r="26" spans="1:5" x14ac:dyDescent="0.25">
      <c r="A26" s="2" t="s">
        <v>40</v>
      </c>
      <c r="B26" s="2" t="s">
        <v>41</v>
      </c>
      <c r="C26" s="2">
        <v>3</v>
      </c>
      <c r="D26" t="str">
        <f t="shared" si="0"/>
        <v>CA-2014-100972_OFF-PA-10000357</v>
      </c>
      <c r="E26" t="str">
        <f>IF(COUNTIF(data2!$D:$D,D26)=0,"Missing in Data2","Present")</f>
        <v>Present</v>
      </c>
    </row>
    <row r="27" spans="1:5" x14ac:dyDescent="0.25">
      <c r="A27" s="2" t="s">
        <v>42</v>
      </c>
      <c r="B27" s="2" t="s">
        <v>43</v>
      </c>
      <c r="C27" s="2">
        <v>1</v>
      </c>
      <c r="D27" t="str">
        <f t="shared" si="0"/>
        <v>CA-2014-101147_OFF-AP-10004249</v>
      </c>
      <c r="E27" t="str">
        <f>IF(COUNTIF(data2!$D:$D,D27)=0,"Missing in Data2","Present")</f>
        <v>Present</v>
      </c>
    </row>
    <row r="28" spans="1:5" x14ac:dyDescent="0.25">
      <c r="A28" s="2" t="s">
        <v>44</v>
      </c>
      <c r="B28" s="2" t="s">
        <v>45</v>
      </c>
      <c r="C28" s="2">
        <v>6</v>
      </c>
      <c r="D28" t="str">
        <f t="shared" si="0"/>
        <v>CA-2014-101175_OFF-ST-10004950</v>
      </c>
      <c r="E28" t="str">
        <f>IF(COUNTIF(data2!$D:$D,D28)=0,"Missing in Data2","Present")</f>
        <v>Present</v>
      </c>
    </row>
    <row r="29" spans="1:5" x14ac:dyDescent="0.25">
      <c r="A29" s="2" t="s">
        <v>46</v>
      </c>
      <c r="B29" s="2" t="s">
        <v>47</v>
      </c>
      <c r="C29" s="2">
        <v>2</v>
      </c>
      <c r="D29" t="str">
        <f t="shared" si="0"/>
        <v>CA-2014-101266_OFF-PA-10002986</v>
      </c>
      <c r="E29" t="str">
        <f>IF(COUNTIF(data2!$D:$D,D29)=0,"Missing in Data2","Present")</f>
        <v>Present</v>
      </c>
    </row>
    <row r="30" spans="1:5" x14ac:dyDescent="0.25">
      <c r="A30" s="2" t="s">
        <v>48</v>
      </c>
      <c r="B30" s="2" t="s">
        <v>49</v>
      </c>
      <c r="C30" s="2">
        <v>13</v>
      </c>
      <c r="D30" t="str">
        <f t="shared" si="0"/>
        <v>CA-2014-101364_OFF-BI-10003984</v>
      </c>
      <c r="E30" t="str">
        <f>IF(COUNTIF(data2!$D:$D,D30)=0,"Missing in Data2","Present")</f>
        <v>Present</v>
      </c>
    </row>
    <row r="31" spans="1:5" x14ac:dyDescent="0.25">
      <c r="A31" s="2" t="s">
        <v>50</v>
      </c>
      <c r="B31" s="2" t="s">
        <v>51</v>
      </c>
      <c r="C31" s="2">
        <v>7</v>
      </c>
      <c r="D31" t="str">
        <f t="shared" si="0"/>
        <v>CA-2014-101392_OFF-ST-10000532</v>
      </c>
      <c r="E31" t="str">
        <f>IF(COUNTIF(data2!$D:$D,D31)=0,"Missing in Data2","Present")</f>
        <v>Present</v>
      </c>
    </row>
    <row r="32" spans="1:5" x14ac:dyDescent="0.25">
      <c r="A32" s="2" t="s">
        <v>52</v>
      </c>
      <c r="B32" s="2" t="s">
        <v>53</v>
      </c>
      <c r="C32" s="2">
        <v>4</v>
      </c>
      <c r="D32" t="str">
        <f t="shared" si="0"/>
        <v>CA-2014-101462_FUR-FU-10000409</v>
      </c>
      <c r="E32" t="str">
        <f>IF(COUNTIF(data2!$D:$D,D32)=0,"Missing in Data2","Present")</f>
        <v>Present</v>
      </c>
    </row>
    <row r="33" spans="1:5" x14ac:dyDescent="0.25">
      <c r="A33" s="2" t="s">
        <v>54</v>
      </c>
      <c r="B33" s="2" t="s">
        <v>55</v>
      </c>
      <c r="C33" s="2">
        <v>1</v>
      </c>
      <c r="D33" t="str">
        <f t="shared" si="0"/>
        <v>CA-2014-101476_TEC-MA-10000029</v>
      </c>
      <c r="E33" t="str">
        <f>IF(COUNTIF(data2!$D:$D,D33)=0,"Missing in Data2","Present")</f>
        <v>Present</v>
      </c>
    </row>
    <row r="34" spans="1:5" x14ac:dyDescent="0.25">
      <c r="A34" s="2" t="s">
        <v>56</v>
      </c>
      <c r="B34" s="2" t="s">
        <v>57</v>
      </c>
      <c r="C34" s="2">
        <v>5</v>
      </c>
      <c r="D34" t="str">
        <f t="shared" si="0"/>
        <v>CA-2014-101560_FUR-FU-10003773</v>
      </c>
      <c r="E34" t="str">
        <f>IF(COUNTIF(data2!$D:$D,D34)=0,"Missing in Data2","Present")</f>
        <v>Present</v>
      </c>
    </row>
    <row r="35" spans="1:5" x14ac:dyDescent="0.25">
      <c r="A35" s="2" t="s">
        <v>56</v>
      </c>
      <c r="B35" s="2" t="s">
        <v>58</v>
      </c>
      <c r="C35" s="2">
        <v>4</v>
      </c>
      <c r="D35" t="str">
        <f t="shared" si="0"/>
        <v>CA-2014-101560_OFF-AR-10004757</v>
      </c>
      <c r="E35" t="str">
        <f>IF(COUNTIF(data2!$D:$D,D35)=0,"Missing in Data2","Present")</f>
        <v>Present</v>
      </c>
    </row>
    <row r="36" spans="1:5" x14ac:dyDescent="0.25">
      <c r="A36" s="2" t="s">
        <v>56</v>
      </c>
      <c r="B36" s="2" t="s">
        <v>59</v>
      </c>
      <c r="C36" s="2">
        <v>3</v>
      </c>
      <c r="D36" t="str">
        <f t="shared" si="0"/>
        <v>CA-2014-101560_OFF-BI-10000309</v>
      </c>
      <c r="E36" t="str">
        <f>IF(COUNTIF(data2!$D:$D,D36)=0,"Missing in Data2","Present")</f>
        <v>Missing in Data2</v>
      </c>
    </row>
    <row r="37" spans="1:5" x14ac:dyDescent="0.25">
      <c r="A37" s="2" t="s">
        <v>56</v>
      </c>
      <c r="B37" s="2" t="s">
        <v>60</v>
      </c>
      <c r="C37" s="2">
        <v>7</v>
      </c>
      <c r="D37" t="str">
        <f t="shared" si="0"/>
        <v>CA-2014-101560_OFF-PA-10001363</v>
      </c>
      <c r="E37" t="str">
        <f>IF(COUNTIF(data2!$D:$D,D37)=0,"Missing in Data2","Present")</f>
        <v>Present</v>
      </c>
    </row>
    <row r="38" spans="1:5" x14ac:dyDescent="0.25">
      <c r="A38" s="2" t="s">
        <v>61</v>
      </c>
      <c r="B38" s="2" t="s">
        <v>62</v>
      </c>
      <c r="C38" s="2">
        <v>5</v>
      </c>
      <c r="D38" t="str">
        <f t="shared" si="0"/>
        <v>CA-2014-101602_FUR-CH-10004675</v>
      </c>
      <c r="E38" t="str">
        <f>IF(COUNTIF(data2!$D:$D,D38)=0,"Missing in Data2","Present")</f>
        <v>Present</v>
      </c>
    </row>
    <row r="39" spans="1:5" x14ac:dyDescent="0.25">
      <c r="A39" s="2" t="s">
        <v>61</v>
      </c>
      <c r="B39" s="2" t="s">
        <v>63</v>
      </c>
      <c r="C39" s="2">
        <v>3</v>
      </c>
      <c r="D39" t="str">
        <f t="shared" si="0"/>
        <v>CA-2014-101602_TEC-PH-10000169</v>
      </c>
      <c r="E39" t="str">
        <f>IF(COUNTIF(data2!$D:$D,D39)=0,"Missing in Data2","Present")</f>
        <v>Present</v>
      </c>
    </row>
    <row r="40" spans="1:5" x14ac:dyDescent="0.25">
      <c r="A40" s="2" t="s">
        <v>64</v>
      </c>
      <c r="B40" s="2" t="s">
        <v>65</v>
      </c>
      <c r="C40" s="2">
        <v>1</v>
      </c>
      <c r="D40" t="str">
        <f t="shared" si="0"/>
        <v>CA-2014-101770_OFF-BI-10001097</v>
      </c>
      <c r="E40" t="str">
        <f>IF(COUNTIF(data2!$D:$D,D40)=0,"Missing in Data2","Present")</f>
        <v>Present</v>
      </c>
    </row>
    <row r="41" spans="1:5" x14ac:dyDescent="0.25">
      <c r="A41" s="2" t="s">
        <v>66</v>
      </c>
      <c r="B41" s="2" t="s">
        <v>67</v>
      </c>
      <c r="C41" s="2">
        <v>3</v>
      </c>
      <c r="D41" t="str">
        <f t="shared" si="0"/>
        <v>CA-2014-101833_OFF-PA-10003591</v>
      </c>
      <c r="E41" t="str">
        <f>IF(COUNTIF(data2!$D:$D,D41)=0,"Missing in Data2","Present")</f>
        <v>Present</v>
      </c>
    </row>
    <row r="42" spans="1:5" x14ac:dyDescent="0.25">
      <c r="A42" s="2" t="s">
        <v>68</v>
      </c>
      <c r="B42" s="2" t="s">
        <v>69</v>
      </c>
      <c r="C42" s="2">
        <v>6</v>
      </c>
      <c r="D42" t="str">
        <f t="shared" si="0"/>
        <v>CA-2014-101931_FUR-BO-10001337</v>
      </c>
      <c r="E42" t="str">
        <f>IF(COUNTIF(data2!$D:$D,D42)=0,"Missing in Data2","Present")</f>
        <v>Present</v>
      </c>
    </row>
    <row r="43" spans="1:5" x14ac:dyDescent="0.25">
      <c r="A43" s="2" t="s">
        <v>68</v>
      </c>
      <c r="B43" s="2" t="s">
        <v>70</v>
      </c>
      <c r="C43" s="2">
        <v>2</v>
      </c>
      <c r="D43" t="str">
        <f t="shared" si="0"/>
        <v>CA-2014-101931_OFF-BI-10004140</v>
      </c>
      <c r="E43" t="str">
        <f>IF(COUNTIF(data2!$D:$D,D43)=0,"Missing in Data2","Present")</f>
        <v>Present</v>
      </c>
    </row>
    <row r="44" spans="1:5" x14ac:dyDescent="0.25">
      <c r="A44" s="2" t="s">
        <v>68</v>
      </c>
      <c r="B44" s="2" t="s">
        <v>71</v>
      </c>
      <c r="C44" s="2">
        <v>5</v>
      </c>
      <c r="D44" t="str">
        <f t="shared" si="0"/>
        <v>CA-2014-101931_OFF-ST-10003442</v>
      </c>
      <c r="E44" t="str">
        <f>IF(COUNTIF(data2!$D:$D,D44)=0,"Missing in Data2","Present")</f>
        <v>Present</v>
      </c>
    </row>
    <row r="45" spans="1:5" x14ac:dyDescent="0.25">
      <c r="A45" s="2" t="s">
        <v>68</v>
      </c>
      <c r="B45" s="2" t="s">
        <v>72</v>
      </c>
      <c r="C45" s="2">
        <v>2</v>
      </c>
      <c r="D45" t="str">
        <f t="shared" si="0"/>
        <v>CA-2014-101931_OFF-SU-10000646</v>
      </c>
      <c r="E45" t="str">
        <f>IF(COUNTIF(data2!$D:$D,D45)=0,"Missing in Data2","Present")</f>
        <v>Present</v>
      </c>
    </row>
    <row r="46" spans="1:5" x14ac:dyDescent="0.25">
      <c r="A46" s="2" t="s">
        <v>68</v>
      </c>
      <c r="B46" s="2" t="s">
        <v>73</v>
      </c>
      <c r="C46" s="2">
        <v>2</v>
      </c>
      <c r="D46" t="str">
        <f t="shared" si="0"/>
        <v>CA-2014-101931_OFF-SU-10002301</v>
      </c>
      <c r="E46" t="str">
        <f>IF(COUNTIF(data2!$D:$D,D46)=0,"Missing in Data2","Present")</f>
        <v>Present</v>
      </c>
    </row>
    <row r="47" spans="1:5" x14ac:dyDescent="0.25">
      <c r="A47" s="2" t="s">
        <v>74</v>
      </c>
      <c r="B47" s="2" t="s">
        <v>75</v>
      </c>
      <c r="C47" s="2">
        <v>1</v>
      </c>
      <c r="D47" t="str">
        <f t="shared" si="0"/>
        <v>CA-2014-102008_OFF-PA-10004092</v>
      </c>
      <c r="E47" t="str">
        <f>IF(COUNTIF(data2!$D:$D,D47)=0,"Missing in Data2","Present")</f>
        <v>Present</v>
      </c>
    </row>
    <row r="48" spans="1:5" x14ac:dyDescent="0.25">
      <c r="A48" s="2" t="s">
        <v>76</v>
      </c>
      <c r="B48" s="2" t="s">
        <v>77</v>
      </c>
      <c r="C48" s="2">
        <v>4</v>
      </c>
      <c r="D48" t="str">
        <f t="shared" si="0"/>
        <v>CA-2014-102085_OFF-LA-10002475</v>
      </c>
      <c r="E48" t="str">
        <f>IF(COUNTIF(data2!$D:$D,D48)=0,"Missing in Data2","Present")</f>
        <v>Present</v>
      </c>
    </row>
    <row r="49" spans="1:5" x14ac:dyDescent="0.25">
      <c r="A49" s="2" t="s">
        <v>78</v>
      </c>
      <c r="B49" s="2" t="s">
        <v>79</v>
      </c>
      <c r="C49" s="2">
        <v>3</v>
      </c>
      <c r="D49" t="str">
        <f t="shared" si="0"/>
        <v>CA-2014-102274_OFF-AR-10002833</v>
      </c>
      <c r="E49" t="str">
        <f>IF(COUNTIF(data2!$D:$D,D49)=0,"Missing in Data2","Present")</f>
        <v>Present</v>
      </c>
    </row>
    <row r="50" spans="1:5" x14ac:dyDescent="0.25">
      <c r="A50" s="2" t="s">
        <v>78</v>
      </c>
      <c r="B50" s="2" t="s">
        <v>80</v>
      </c>
      <c r="C50" s="2">
        <v>6</v>
      </c>
      <c r="D50" t="str">
        <f t="shared" si="0"/>
        <v>CA-2014-102274_OFF-PA-10004359</v>
      </c>
      <c r="E50" t="str">
        <f>IF(COUNTIF(data2!$D:$D,D50)=0,"Missing in Data2","Present")</f>
        <v>Present</v>
      </c>
    </row>
    <row r="51" spans="1:5" x14ac:dyDescent="0.25">
      <c r="A51" s="2" t="s">
        <v>78</v>
      </c>
      <c r="B51" s="2" t="s">
        <v>81</v>
      </c>
      <c r="C51" s="2">
        <v>3</v>
      </c>
      <c r="D51" t="str">
        <f t="shared" si="0"/>
        <v>CA-2014-102274_OFF-ST-10001511</v>
      </c>
      <c r="E51" t="str">
        <f>IF(COUNTIF(data2!$D:$D,D51)=0,"Missing in Data2","Present")</f>
        <v>Present</v>
      </c>
    </row>
    <row r="52" spans="1:5" x14ac:dyDescent="0.25">
      <c r="A52" s="2" t="s">
        <v>78</v>
      </c>
      <c r="B52" s="2" t="s">
        <v>82</v>
      </c>
      <c r="C52" s="2">
        <v>1</v>
      </c>
      <c r="D52" t="str">
        <f t="shared" si="0"/>
        <v>CA-2014-102274_TEC-PH-10002923</v>
      </c>
      <c r="E52" t="str">
        <f>IF(COUNTIF(data2!$D:$D,D52)=0,"Missing in Data2","Present")</f>
        <v>Present</v>
      </c>
    </row>
    <row r="53" spans="1:5" x14ac:dyDescent="0.25">
      <c r="A53" s="2" t="s">
        <v>83</v>
      </c>
      <c r="B53" s="2" t="s">
        <v>84</v>
      </c>
      <c r="C53" s="2">
        <v>1</v>
      </c>
      <c r="D53" t="str">
        <f t="shared" si="0"/>
        <v>CA-2014-102295_FUR-CH-10001714</v>
      </c>
      <c r="E53" t="str">
        <f>IF(COUNTIF(data2!$D:$D,D53)=0,"Missing in Data2","Present")</f>
        <v>Present</v>
      </c>
    </row>
    <row r="54" spans="1:5" x14ac:dyDescent="0.25">
      <c r="A54" s="2" t="s">
        <v>85</v>
      </c>
      <c r="B54" s="2" t="s">
        <v>86</v>
      </c>
      <c r="C54" s="2">
        <v>6</v>
      </c>
      <c r="D54" t="str">
        <f t="shared" si="0"/>
        <v>CA-2014-102330_OFF-LA-10003923</v>
      </c>
      <c r="E54" t="str">
        <f>IF(COUNTIF(data2!$D:$D,D54)=0,"Missing in Data2","Present")</f>
        <v>Present</v>
      </c>
    </row>
    <row r="55" spans="1:5" x14ac:dyDescent="0.25">
      <c r="A55" s="2" t="s">
        <v>85</v>
      </c>
      <c r="B55" s="2" t="s">
        <v>87</v>
      </c>
      <c r="C55" s="2">
        <v>4</v>
      </c>
      <c r="D55" t="str">
        <f t="shared" si="0"/>
        <v>CA-2014-102330_TEC-PH-10001051</v>
      </c>
      <c r="E55" t="str">
        <f>IF(COUNTIF(data2!$D:$D,D55)=0,"Missing in Data2","Present")</f>
        <v>Present</v>
      </c>
    </row>
    <row r="56" spans="1:5" x14ac:dyDescent="0.25">
      <c r="A56" s="2" t="s">
        <v>88</v>
      </c>
      <c r="B56" s="2" t="s">
        <v>89</v>
      </c>
      <c r="C56" s="2">
        <v>6</v>
      </c>
      <c r="D56" t="str">
        <f t="shared" si="0"/>
        <v>CA-2014-102645_OFF-PA-10001804</v>
      </c>
      <c r="E56" t="str">
        <f>IF(COUNTIF(data2!$D:$D,D56)=0,"Missing in Data2","Present")</f>
        <v>Present</v>
      </c>
    </row>
    <row r="57" spans="1:5" x14ac:dyDescent="0.25">
      <c r="A57" s="2" t="s">
        <v>90</v>
      </c>
      <c r="B57" s="2" t="s">
        <v>91</v>
      </c>
      <c r="C57" s="2">
        <v>2</v>
      </c>
      <c r="D57" t="str">
        <f t="shared" si="0"/>
        <v>CA-2014-102652_FUR-FU-10000747</v>
      </c>
      <c r="E57" t="str">
        <f>IF(COUNTIF(data2!$D:$D,D57)=0,"Missing in Data2","Present")</f>
        <v>Present</v>
      </c>
    </row>
    <row r="58" spans="1:5" x14ac:dyDescent="0.25">
      <c r="A58" s="2" t="s">
        <v>90</v>
      </c>
      <c r="B58" s="2" t="s">
        <v>92</v>
      </c>
      <c r="C58" s="2">
        <v>1</v>
      </c>
      <c r="D58" t="str">
        <f t="shared" si="0"/>
        <v>CA-2014-102652_OFF-PA-10001977</v>
      </c>
      <c r="E58" t="str">
        <f>IF(COUNTIF(data2!$D:$D,D58)=0,"Missing in Data2","Present")</f>
        <v>Present</v>
      </c>
    </row>
    <row r="59" spans="1:5" x14ac:dyDescent="0.25">
      <c r="A59" s="2" t="s">
        <v>90</v>
      </c>
      <c r="B59" s="2" t="s">
        <v>93</v>
      </c>
      <c r="C59" s="2">
        <v>3</v>
      </c>
      <c r="D59" t="str">
        <f t="shared" si="0"/>
        <v>CA-2014-102652_OFF-PA-10003309</v>
      </c>
      <c r="E59" t="str">
        <f>IF(COUNTIF(data2!$D:$D,D59)=0,"Missing in Data2","Present")</f>
        <v>Present</v>
      </c>
    </row>
    <row r="60" spans="1:5" x14ac:dyDescent="0.25">
      <c r="A60" s="2" t="s">
        <v>94</v>
      </c>
      <c r="B60" s="2" t="s">
        <v>95</v>
      </c>
      <c r="C60" s="2">
        <v>3</v>
      </c>
      <c r="D60" t="str">
        <f t="shared" si="0"/>
        <v>CA-2014-102673_OFF-AR-10000634</v>
      </c>
      <c r="E60" t="str">
        <f>IF(COUNTIF(data2!$D:$D,D60)=0,"Missing in Data2","Present")</f>
        <v>Present</v>
      </c>
    </row>
    <row r="61" spans="1:5" x14ac:dyDescent="0.25">
      <c r="A61" s="2" t="s">
        <v>94</v>
      </c>
      <c r="B61" s="2" t="s">
        <v>96</v>
      </c>
      <c r="C61" s="2">
        <v>5</v>
      </c>
      <c r="D61" t="str">
        <f t="shared" si="0"/>
        <v>CA-2014-102673_OFF-FA-10003021</v>
      </c>
      <c r="E61" t="str">
        <f>IF(COUNTIF(data2!$D:$D,D61)=0,"Missing in Data2","Present")</f>
        <v>Present</v>
      </c>
    </row>
    <row r="62" spans="1:5" x14ac:dyDescent="0.25">
      <c r="A62" s="2" t="s">
        <v>94</v>
      </c>
      <c r="B62" s="2" t="s">
        <v>97</v>
      </c>
      <c r="C62" s="2">
        <v>12</v>
      </c>
      <c r="D62" t="str">
        <f t="shared" si="0"/>
        <v>CA-2014-102673_OFF-LA-10001771</v>
      </c>
      <c r="E62" t="str">
        <f>IF(COUNTIF(data2!$D:$D,D62)=0,"Missing in Data2","Present")</f>
        <v>Missing in Data2</v>
      </c>
    </row>
    <row r="63" spans="1:5" x14ac:dyDescent="0.25">
      <c r="A63" s="2" t="s">
        <v>94</v>
      </c>
      <c r="B63" s="2" t="s">
        <v>98</v>
      </c>
      <c r="C63" s="2">
        <v>9</v>
      </c>
      <c r="D63" t="str">
        <f t="shared" si="0"/>
        <v>CA-2014-102673_TEC-PH-10004434</v>
      </c>
      <c r="E63" t="str">
        <f>IF(COUNTIF(data2!$D:$D,D63)=0,"Missing in Data2","Present")</f>
        <v>Present</v>
      </c>
    </row>
    <row r="64" spans="1:5" x14ac:dyDescent="0.25">
      <c r="A64" s="2" t="s">
        <v>99</v>
      </c>
      <c r="B64" s="2" t="s">
        <v>100</v>
      </c>
      <c r="C64" s="2">
        <v>3</v>
      </c>
      <c r="D64" t="str">
        <f t="shared" si="0"/>
        <v>CA-2014-102869_FUR-FU-10002456</v>
      </c>
      <c r="E64" t="str">
        <f>IF(COUNTIF(data2!$D:$D,D64)=0,"Missing in Data2","Present")</f>
        <v>Present</v>
      </c>
    </row>
    <row r="65" spans="1:5" x14ac:dyDescent="0.25">
      <c r="A65" s="2" t="s">
        <v>99</v>
      </c>
      <c r="B65" s="2" t="s">
        <v>101</v>
      </c>
      <c r="C65" s="2">
        <v>6</v>
      </c>
      <c r="D65" t="str">
        <f t="shared" si="0"/>
        <v>CA-2014-102869_TEC-AC-10002134</v>
      </c>
      <c r="E65" t="str">
        <f>IF(COUNTIF(data2!$D:$D,D65)=0,"Missing in Data2","Present")</f>
        <v>Present</v>
      </c>
    </row>
    <row r="66" spans="1:5" x14ac:dyDescent="0.25">
      <c r="A66" s="2" t="s">
        <v>99</v>
      </c>
      <c r="B66" s="2" t="s">
        <v>102</v>
      </c>
      <c r="C66" s="2">
        <v>1</v>
      </c>
      <c r="D66" t="str">
        <f t="shared" si="0"/>
        <v>CA-2014-102869_TEC-PH-10002549</v>
      </c>
      <c r="E66" t="str">
        <f>IF(COUNTIF(data2!$D:$D,D66)=0,"Missing in Data2","Present")</f>
        <v>Present</v>
      </c>
    </row>
    <row r="67" spans="1:5" x14ac:dyDescent="0.25">
      <c r="A67" s="2" t="s">
        <v>103</v>
      </c>
      <c r="B67" s="2" t="s">
        <v>104</v>
      </c>
      <c r="C67" s="2">
        <v>7</v>
      </c>
      <c r="D67" t="str">
        <f t="shared" ref="D67:D130" si="1">A67&amp;"_"&amp;B67</f>
        <v>CA-2014-102988_OFF-AR-10000127</v>
      </c>
      <c r="E67" t="str">
        <f>IF(COUNTIF(data2!$D:$D,D67)=0,"Missing in Data2","Present")</f>
        <v>Present</v>
      </c>
    </row>
    <row r="68" spans="1:5" x14ac:dyDescent="0.25">
      <c r="A68" s="2" t="s">
        <v>103</v>
      </c>
      <c r="B68" s="2" t="s">
        <v>58</v>
      </c>
      <c r="C68" s="2">
        <v>7</v>
      </c>
      <c r="D68" t="str">
        <f t="shared" si="1"/>
        <v>CA-2014-102988_OFF-AR-10004757</v>
      </c>
      <c r="E68" t="str">
        <f>IF(COUNTIF(data2!$D:$D,D68)=0,"Missing in Data2","Present")</f>
        <v>Present</v>
      </c>
    </row>
    <row r="69" spans="1:5" x14ac:dyDescent="0.25">
      <c r="A69" s="2" t="s">
        <v>103</v>
      </c>
      <c r="B69" s="2" t="s">
        <v>105</v>
      </c>
      <c r="C69" s="2">
        <v>2</v>
      </c>
      <c r="D69" t="str">
        <f t="shared" si="1"/>
        <v>CA-2014-102988_OFF-PA-10003349</v>
      </c>
      <c r="E69" t="str">
        <f>IF(COUNTIF(data2!$D:$D,D69)=0,"Missing in Data2","Present")</f>
        <v>Present</v>
      </c>
    </row>
    <row r="70" spans="1:5" x14ac:dyDescent="0.25">
      <c r="A70" s="2" t="s">
        <v>103</v>
      </c>
      <c r="B70" s="2" t="s">
        <v>106</v>
      </c>
      <c r="C70" s="2">
        <v>5</v>
      </c>
      <c r="D70" t="str">
        <f t="shared" si="1"/>
        <v>CA-2014-102988_OFF-SU-10002881</v>
      </c>
      <c r="E70" t="str">
        <f>IF(COUNTIF(data2!$D:$D,D70)=0,"Missing in Data2","Present")</f>
        <v>Present</v>
      </c>
    </row>
    <row r="71" spans="1:5" x14ac:dyDescent="0.25">
      <c r="A71" s="2" t="s">
        <v>103</v>
      </c>
      <c r="B71" s="2" t="s">
        <v>107</v>
      </c>
      <c r="C71" s="2">
        <v>1</v>
      </c>
      <c r="D71" t="str">
        <f t="shared" si="1"/>
        <v>CA-2014-102988_TEC-PH-10001615</v>
      </c>
      <c r="E71" t="str">
        <f>IF(COUNTIF(data2!$D:$D,D71)=0,"Missing in Data2","Present")</f>
        <v>Present</v>
      </c>
    </row>
    <row r="72" spans="1:5" x14ac:dyDescent="0.25">
      <c r="A72" s="2" t="s">
        <v>108</v>
      </c>
      <c r="B72" s="2" t="s">
        <v>109</v>
      </c>
      <c r="C72" s="2">
        <v>2</v>
      </c>
      <c r="D72" t="str">
        <f t="shared" si="1"/>
        <v>CA-2014-103058_TEC-AC-10001314</v>
      </c>
      <c r="E72" t="str">
        <f>IF(COUNTIF(data2!$D:$D,D72)=0,"Missing in Data2","Present")</f>
        <v>Present</v>
      </c>
    </row>
    <row r="73" spans="1:5" x14ac:dyDescent="0.25">
      <c r="A73" s="2" t="s">
        <v>110</v>
      </c>
      <c r="B73" s="2" t="s">
        <v>111</v>
      </c>
      <c r="C73" s="2">
        <v>2</v>
      </c>
      <c r="D73" t="str">
        <f t="shared" si="1"/>
        <v>CA-2014-103086_FUR-FU-10004586</v>
      </c>
      <c r="E73" t="str">
        <f>IF(COUNTIF(data2!$D:$D,D73)=0,"Missing in Data2","Present")</f>
        <v>Present</v>
      </c>
    </row>
    <row r="74" spans="1:5" x14ac:dyDescent="0.25">
      <c r="A74" s="2" t="s">
        <v>112</v>
      </c>
      <c r="B74" s="2" t="s">
        <v>113</v>
      </c>
      <c r="C74" s="2">
        <v>3</v>
      </c>
      <c r="D74" t="str">
        <f t="shared" si="1"/>
        <v>CA-2014-103100_OFF-BI-10004600</v>
      </c>
      <c r="E74" t="str">
        <f>IF(COUNTIF(data2!$D:$D,D74)=0,"Missing in Data2","Present")</f>
        <v>Present</v>
      </c>
    </row>
    <row r="75" spans="1:5" x14ac:dyDescent="0.25">
      <c r="A75" s="2" t="s">
        <v>112</v>
      </c>
      <c r="B75" s="2" t="s">
        <v>114</v>
      </c>
      <c r="C75" s="2">
        <v>1</v>
      </c>
      <c r="D75" t="str">
        <f t="shared" si="1"/>
        <v>CA-2014-103100_OFF-LA-10003720</v>
      </c>
      <c r="E75" t="str">
        <f>IF(COUNTIF(data2!$D:$D,D75)=0,"Missing in Data2","Present")</f>
        <v>Present</v>
      </c>
    </row>
    <row r="76" spans="1:5" x14ac:dyDescent="0.25">
      <c r="A76" s="2" t="s">
        <v>115</v>
      </c>
      <c r="B76" s="2" t="s">
        <v>116</v>
      </c>
      <c r="C76" s="2">
        <v>3</v>
      </c>
      <c r="D76" t="str">
        <f t="shared" si="1"/>
        <v>CA-2014-103191_OFF-ST-10002574</v>
      </c>
      <c r="E76" t="str">
        <f>IF(COUNTIF(data2!$D:$D,D76)=0,"Missing in Data2","Present")</f>
        <v>Present</v>
      </c>
    </row>
    <row r="77" spans="1:5" x14ac:dyDescent="0.25">
      <c r="A77" s="2" t="s">
        <v>117</v>
      </c>
      <c r="B77" s="2" t="s">
        <v>118</v>
      </c>
      <c r="C77" s="2">
        <v>9</v>
      </c>
      <c r="D77" t="str">
        <f t="shared" si="1"/>
        <v>CA-2014-103219_FUR-FU-10004091</v>
      </c>
      <c r="E77" t="str">
        <f>IF(COUNTIF(data2!$D:$D,D77)=0,"Missing in Data2","Present")</f>
        <v>Present</v>
      </c>
    </row>
    <row r="78" spans="1:5" x14ac:dyDescent="0.25">
      <c r="A78" s="2" t="s">
        <v>119</v>
      </c>
      <c r="B78" s="2" t="s">
        <v>120</v>
      </c>
      <c r="C78" s="2">
        <v>1</v>
      </c>
      <c r="D78" t="str">
        <f t="shared" si="1"/>
        <v>CA-2014-103310_FUR-CH-10002320</v>
      </c>
      <c r="E78" t="str">
        <f>IF(COUNTIF(data2!$D:$D,D78)=0,"Missing in Data2","Present")</f>
        <v>Present</v>
      </c>
    </row>
    <row r="79" spans="1:5" x14ac:dyDescent="0.25">
      <c r="A79" s="2" t="s">
        <v>119</v>
      </c>
      <c r="B79" s="2" t="s">
        <v>121</v>
      </c>
      <c r="C79" s="2">
        <v>2</v>
      </c>
      <c r="D79" t="str">
        <f t="shared" si="1"/>
        <v>CA-2014-103310_OFF-PA-10004353</v>
      </c>
      <c r="E79" t="str">
        <f>IF(COUNTIF(data2!$D:$D,D79)=0,"Missing in Data2","Present")</f>
        <v>Present</v>
      </c>
    </row>
    <row r="80" spans="1:5" x14ac:dyDescent="0.25">
      <c r="A80" s="2" t="s">
        <v>119</v>
      </c>
      <c r="B80" s="2" t="s">
        <v>122</v>
      </c>
      <c r="C80" s="2">
        <v>6</v>
      </c>
      <c r="D80" t="str">
        <f t="shared" si="1"/>
        <v>CA-2014-103310_OFF-SU-10004737</v>
      </c>
      <c r="E80" t="str">
        <f>IF(COUNTIF(data2!$D:$D,D80)=0,"Missing in Data2","Present")</f>
        <v>Present</v>
      </c>
    </row>
    <row r="81" spans="1:5" x14ac:dyDescent="0.25">
      <c r="A81" s="2" t="s">
        <v>123</v>
      </c>
      <c r="B81" s="2" t="s">
        <v>124</v>
      </c>
      <c r="C81" s="2">
        <v>2</v>
      </c>
      <c r="D81" t="str">
        <f t="shared" si="1"/>
        <v>CA-2014-103317_FUR-FU-10001591</v>
      </c>
      <c r="E81" t="str">
        <f>IF(COUNTIF(data2!$D:$D,D81)=0,"Missing in Data2","Present")</f>
        <v>Present</v>
      </c>
    </row>
    <row r="82" spans="1:5" x14ac:dyDescent="0.25">
      <c r="A82" s="2" t="s">
        <v>123</v>
      </c>
      <c r="B82" s="2" t="s">
        <v>125</v>
      </c>
      <c r="C82" s="2">
        <v>3</v>
      </c>
      <c r="D82" t="str">
        <f t="shared" si="1"/>
        <v>CA-2014-103317_FUR-FU-10003192</v>
      </c>
      <c r="E82" t="str">
        <f>IF(COUNTIF(data2!$D:$D,D82)=0,"Missing in Data2","Present")</f>
        <v>Present</v>
      </c>
    </row>
    <row r="83" spans="1:5" x14ac:dyDescent="0.25">
      <c r="A83" s="2" t="s">
        <v>123</v>
      </c>
      <c r="B83" s="2" t="s">
        <v>126</v>
      </c>
      <c r="C83" s="2">
        <v>5</v>
      </c>
      <c r="D83" t="str">
        <f t="shared" si="1"/>
        <v>CA-2014-103317_OFF-BI-10001787</v>
      </c>
      <c r="E83" t="str">
        <f>IF(COUNTIF(data2!$D:$D,D83)=0,"Missing in Data2","Present")</f>
        <v>Present</v>
      </c>
    </row>
    <row r="84" spans="1:5" x14ac:dyDescent="0.25">
      <c r="A84" s="2" t="s">
        <v>127</v>
      </c>
      <c r="B84" s="2" t="s">
        <v>128</v>
      </c>
      <c r="C84" s="2">
        <v>4</v>
      </c>
      <c r="D84" t="str">
        <f t="shared" si="1"/>
        <v>CA-2014-103331_FUR-FU-10001731</v>
      </c>
      <c r="E84" t="str">
        <f>IF(COUNTIF(data2!$D:$D,D84)=0,"Missing in Data2","Present")</f>
        <v>Present</v>
      </c>
    </row>
    <row r="85" spans="1:5" x14ac:dyDescent="0.25">
      <c r="A85" s="2" t="s">
        <v>127</v>
      </c>
      <c r="B85" s="2" t="s">
        <v>129</v>
      </c>
      <c r="C85" s="2">
        <v>1</v>
      </c>
      <c r="D85" t="str">
        <f t="shared" si="1"/>
        <v>CA-2014-103331_OFF-PA-10002659</v>
      </c>
      <c r="E85" t="str">
        <f>IF(COUNTIF(data2!$D:$D,D85)=0,"Missing in Data2","Present")</f>
        <v>Present</v>
      </c>
    </row>
    <row r="86" spans="1:5" x14ac:dyDescent="0.25">
      <c r="A86" s="2" t="s">
        <v>130</v>
      </c>
      <c r="B86" s="2" t="s">
        <v>131</v>
      </c>
      <c r="C86" s="2">
        <v>5</v>
      </c>
      <c r="D86" t="str">
        <f t="shared" si="1"/>
        <v>CA-2014-103366_TEC-AC-10003628</v>
      </c>
      <c r="E86" t="str">
        <f>IF(COUNTIF(data2!$D:$D,D86)=0,"Missing in Data2","Present")</f>
        <v>Missing in Data2</v>
      </c>
    </row>
    <row r="87" spans="1:5" x14ac:dyDescent="0.25">
      <c r="A87" s="2" t="s">
        <v>132</v>
      </c>
      <c r="B87" s="2" t="s">
        <v>133</v>
      </c>
      <c r="C87" s="2">
        <v>2</v>
      </c>
      <c r="D87" t="str">
        <f t="shared" si="1"/>
        <v>CA-2014-103373_TEC-PH-10002885</v>
      </c>
      <c r="E87" t="str">
        <f>IF(COUNTIF(data2!$D:$D,D87)=0,"Missing in Data2","Present")</f>
        <v>Present</v>
      </c>
    </row>
    <row r="88" spans="1:5" x14ac:dyDescent="0.25">
      <c r="A88" s="2" t="s">
        <v>134</v>
      </c>
      <c r="B88" s="2" t="s">
        <v>93</v>
      </c>
      <c r="C88" s="2">
        <v>2</v>
      </c>
      <c r="D88" t="str">
        <f t="shared" si="1"/>
        <v>CA-2014-103401_OFF-PA-10003309</v>
      </c>
      <c r="E88" t="str">
        <f>IF(COUNTIF(data2!$D:$D,D88)=0,"Missing in Data2","Present")</f>
        <v>Present</v>
      </c>
    </row>
    <row r="89" spans="1:5" x14ac:dyDescent="0.25">
      <c r="A89" s="2" t="s">
        <v>135</v>
      </c>
      <c r="B89" s="2" t="s">
        <v>136</v>
      </c>
      <c r="C89" s="2">
        <v>3</v>
      </c>
      <c r="D89" t="str">
        <f t="shared" si="1"/>
        <v>CA-2014-103429_OFF-AP-10001005</v>
      </c>
      <c r="E89" t="str">
        <f>IF(COUNTIF(data2!$D:$D,D89)=0,"Missing in Data2","Present")</f>
        <v>Present</v>
      </c>
    </row>
    <row r="90" spans="1:5" x14ac:dyDescent="0.25">
      <c r="A90" s="2" t="s">
        <v>135</v>
      </c>
      <c r="B90" s="2" t="s">
        <v>137</v>
      </c>
      <c r="C90" s="2">
        <v>2</v>
      </c>
      <c r="D90" t="str">
        <f t="shared" si="1"/>
        <v>CA-2014-103429_OFF-BI-10004233</v>
      </c>
      <c r="E90" t="str">
        <f>IF(COUNTIF(data2!$D:$D,D90)=0,"Missing in Data2","Present")</f>
        <v>Present</v>
      </c>
    </row>
    <row r="91" spans="1:5" x14ac:dyDescent="0.25">
      <c r="A91" s="2" t="s">
        <v>135</v>
      </c>
      <c r="B91" s="2" t="s">
        <v>138</v>
      </c>
      <c r="C91" s="2">
        <v>4</v>
      </c>
      <c r="D91" t="str">
        <f t="shared" si="1"/>
        <v>CA-2014-103429_OFF-PA-10001712</v>
      </c>
      <c r="E91" t="str">
        <f>IF(COUNTIF(data2!$D:$D,D91)=0,"Missing in Data2","Present")</f>
        <v>Missing in Data2</v>
      </c>
    </row>
    <row r="92" spans="1:5" x14ac:dyDescent="0.25">
      <c r="A92" s="2" t="s">
        <v>135</v>
      </c>
      <c r="B92" s="2" t="s">
        <v>139</v>
      </c>
      <c r="C92" s="2">
        <v>5</v>
      </c>
      <c r="D92" t="str">
        <f t="shared" si="1"/>
        <v>CA-2014-103429_TEC-PH-10003505</v>
      </c>
      <c r="E92" t="str">
        <f>IF(COUNTIF(data2!$D:$D,D92)=0,"Missing in Data2","Present")</f>
        <v>Present</v>
      </c>
    </row>
    <row r="93" spans="1:5" x14ac:dyDescent="0.25">
      <c r="A93" s="2" t="s">
        <v>140</v>
      </c>
      <c r="B93" s="2" t="s">
        <v>70</v>
      </c>
      <c r="C93" s="2">
        <v>1</v>
      </c>
      <c r="D93" t="str">
        <f t="shared" si="1"/>
        <v>CA-2014-103492_OFF-BI-10004140</v>
      </c>
      <c r="E93" t="str">
        <f>IF(COUNTIF(data2!$D:$D,D93)=0,"Missing in Data2","Present")</f>
        <v>Present</v>
      </c>
    </row>
    <row r="94" spans="1:5" x14ac:dyDescent="0.25">
      <c r="A94" s="2" t="s">
        <v>140</v>
      </c>
      <c r="B94" s="2" t="s">
        <v>141</v>
      </c>
      <c r="C94" s="2">
        <v>6</v>
      </c>
      <c r="D94" t="str">
        <f t="shared" si="1"/>
        <v>CA-2014-103492_TEC-PH-10001128</v>
      </c>
      <c r="E94" t="str">
        <f>IF(COUNTIF(data2!$D:$D,D94)=0,"Missing in Data2","Present")</f>
        <v>Present</v>
      </c>
    </row>
    <row r="95" spans="1:5" x14ac:dyDescent="0.25">
      <c r="A95" s="2" t="s">
        <v>140</v>
      </c>
      <c r="B95" s="2" t="s">
        <v>142</v>
      </c>
      <c r="C95" s="2">
        <v>7</v>
      </c>
      <c r="D95" t="str">
        <f t="shared" si="1"/>
        <v>CA-2014-103492_TEC-PH-10004667</v>
      </c>
      <c r="E95" t="str">
        <f>IF(COUNTIF(data2!$D:$D,D95)=0,"Missing in Data2","Present")</f>
        <v>Present</v>
      </c>
    </row>
    <row r="96" spans="1:5" x14ac:dyDescent="0.25">
      <c r="A96" s="2" t="s">
        <v>143</v>
      </c>
      <c r="B96" s="2" t="s">
        <v>144</v>
      </c>
      <c r="C96" s="2">
        <v>3</v>
      </c>
      <c r="D96" t="str">
        <f t="shared" si="1"/>
        <v>CA-2014-103527_OFF-PA-10001622</v>
      </c>
      <c r="E96" t="str">
        <f>IF(COUNTIF(data2!$D:$D,D96)=0,"Missing in Data2","Present")</f>
        <v>Present</v>
      </c>
    </row>
    <row r="97" spans="1:5" x14ac:dyDescent="0.25">
      <c r="A97" s="2" t="s">
        <v>145</v>
      </c>
      <c r="B97" s="2" t="s">
        <v>146</v>
      </c>
      <c r="C97" s="2">
        <v>4</v>
      </c>
      <c r="D97" t="str">
        <f t="shared" si="1"/>
        <v>CA-2014-103590_OFF-EN-10004007</v>
      </c>
      <c r="E97" t="str">
        <f>IF(COUNTIF(data2!$D:$D,D97)=0,"Missing in Data2","Present")</f>
        <v>Present</v>
      </c>
    </row>
    <row r="98" spans="1:5" x14ac:dyDescent="0.25">
      <c r="A98" s="2" t="s">
        <v>147</v>
      </c>
      <c r="B98" s="2" t="s">
        <v>148</v>
      </c>
      <c r="C98" s="2">
        <v>7</v>
      </c>
      <c r="D98" t="str">
        <f t="shared" si="1"/>
        <v>CA-2014-103660_TEC-PH-10000895</v>
      </c>
      <c r="E98" t="str">
        <f>IF(COUNTIF(data2!$D:$D,D98)=0,"Missing in Data2","Present")</f>
        <v>Present</v>
      </c>
    </row>
    <row r="99" spans="1:5" x14ac:dyDescent="0.25">
      <c r="A99" s="2" t="s">
        <v>149</v>
      </c>
      <c r="B99" s="2" t="s">
        <v>150</v>
      </c>
      <c r="C99" s="2">
        <v>7</v>
      </c>
      <c r="D99" t="str">
        <f t="shared" si="1"/>
        <v>CA-2014-103702_OFF-BI-10002429</v>
      </c>
      <c r="E99" t="str">
        <f>IF(COUNTIF(data2!$D:$D,D99)=0,"Missing in Data2","Present")</f>
        <v>Present</v>
      </c>
    </row>
    <row r="100" spans="1:5" x14ac:dyDescent="0.25">
      <c r="A100" s="2" t="s">
        <v>151</v>
      </c>
      <c r="B100" s="2" t="s">
        <v>152</v>
      </c>
      <c r="C100" s="2">
        <v>3</v>
      </c>
      <c r="D100" t="str">
        <f t="shared" si="1"/>
        <v>CA-2014-103744_OFF-BI-10000320</v>
      </c>
      <c r="E100" t="str">
        <f>IF(COUNTIF(data2!$D:$D,D100)=0,"Missing in Data2","Present")</f>
        <v>Present</v>
      </c>
    </row>
    <row r="101" spans="1:5" x14ac:dyDescent="0.25">
      <c r="A101" s="2" t="s">
        <v>151</v>
      </c>
      <c r="B101" s="2" t="s">
        <v>153</v>
      </c>
      <c r="C101" s="2">
        <v>3</v>
      </c>
      <c r="D101" t="str">
        <f t="shared" si="1"/>
        <v>CA-2014-103744_OFF-LA-10004425</v>
      </c>
      <c r="E101" t="str">
        <f>IF(COUNTIF(data2!$D:$D,D101)=0,"Missing in Data2","Present")</f>
        <v>Present</v>
      </c>
    </row>
    <row r="102" spans="1:5" x14ac:dyDescent="0.25">
      <c r="A102" s="2" t="s">
        <v>154</v>
      </c>
      <c r="B102" s="2" t="s">
        <v>155</v>
      </c>
      <c r="C102" s="2">
        <v>2</v>
      </c>
      <c r="D102" t="str">
        <f t="shared" si="1"/>
        <v>CA-2014-103800_OFF-PA-10000174</v>
      </c>
      <c r="E102" t="str">
        <f>IF(COUNTIF(data2!$D:$D,D102)=0,"Missing in Data2","Present")</f>
        <v>Present</v>
      </c>
    </row>
    <row r="103" spans="1:5" x14ac:dyDescent="0.25">
      <c r="A103" s="2" t="s">
        <v>156</v>
      </c>
      <c r="B103" s="2" t="s">
        <v>157</v>
      </c>
      <c r="C103" s="2">
        <v>3</v>
      </c>
      <c r="D103" t="str">
        <f t="shared" si="1"/>
        <v>CA-2014-103807_OFF-PA-10002195</v>
      </c>
      <c r="E103" t="str">
        <f>IF(COUNTIF(data2!$D:$D,D103)=0,"Missing in Data2","Present")</f>
        <v>Present</v>
      </c>
    </row>
    <row r="104" spans="1:5" x14ac:dyDescent="0.25">
      <c r="A104" s="2" t="s">
        <v>156</v>
      </c>
      <c r="B104" s="2" t="s">
        <v>158</v>
      </c>
      <c r="C104" s="2">
        <v>1</v>
      </c>
      <c r="D104" t="str">
        <f t="shared" si="1"/>
        <v>CA-2014-103807_TEC-AC-10000199</v>
      </c>
      <c r="E104" t="str">
        <f>IF(COUNTIF(data2!$D:$D,D104)=0,"Missing in Data2","Present")</f>
        <v>Present</v>
      </c>
    </row>
    <row r="105" spans="1:5" x14ac:dyDescent="0.25">
      <c r="A105" s="2" t="s">
        <v>159</v>
      </c>
      <c r="B105" s="2" t="s">
        <v>160</v>
      </c>
      <c r="C105" s="2">
        <v>4</v>
      </c>
      <c r="D105" t="str">
        <f t="shared" si="1"/>
        <v>CA-2014-103849_FUR-FU-10000723</v>
      </c>
      <c r="E105" t="str">
        <f>IF(COUNTIF(data2!$D:$D,D105)=0,"Missing in Data2","Present")</f>
        <v>Present</v>
      </c>
    </row>
    <row r="106" spans="1:5" x14ac:dyDescent="0.25">
      <c r="A106" s="2" t="s">
        <v>159</v>
      </c>
      <c r="B106" s="2" t="s">
        <v>161</v>
      </c>
      <c r="C106" s="2">
        <v>2</v>
      </c>
      <c r="D106" t="str">
        <f t="shared" si="1"/>
        <v>CA-2014-103849_TEC-AC-10001465</v>
      </c>
      <c r="E106" t="str">
        <f>IF(COUNTIF(data2!$D:$D,D106)=0,"Missing in Data2","Present")</f>
        <v>Present</v>
      </c>
    </row>
    <row r="107" spans="1:5" x14ac:dyDescent="0.25">
      <c r="A107" s="2" t="s">
        <v>159</v>
      </c>
      <c r="B107" s="2" t="s">
        <v>162</v>
      </c>
      <c r="C107" s="2">
        <v>1</v>
      </c>
      <c r="D107" t="str">
        <f t="shared" si="1"/>
        <v>CA-2014-103849_TEC-PH-10002597</v>
      </c>
      <c r="E107" t="str">
        <f>IF(COUNTIF(data2!$D:$D,D107)=0,"Missing in Data2","Present")</f>
        <v>Present</v>
      </c>
    </row>
    <row r="108" spans="1:5" x14ac:dyDescent="0.25">
      <c r="A108" s="2" t="s">
        <v>163</v>
      </c>
      <c r="B108" s="2" t="s">
        <v>164</v>
      </c>
      <c r="C108" s="2">
        <v>2</v>
      </c>
      <c r="D108" t="str">
        <f t="shared" si="1"/>
        <v>CA-2014-103940_FUR-FU-10004671</v>
      </c>
      <c r="E108" t="str">
        <f>IF(COUNTIF(data2!$D:$D,D108)=0,"Missing in Data2","Present")</f>
        <v>Present</v>
      </c>
    </row>
    <row r="109" spans="1:5" x14ac:dyDescent="0.25">
      <c r="A109" s="2" t="s">
        <v>163</v>
      </c>
      <c r="B109" s="2" t="s">
        <v>165</v>
      </c>
      <c r="C109" s="2">
        <v>5</v>
      </c>
      <c r="D109" t="str">
        <f t="shared" si="1"/>
        <v>CA-2014-103940_OFF-BI-10002735</v>
      </c>
      <c r="E109" t="str">
        <f>IF(COUNTIF(data2!$D:$D,D109)=0,"Missing in Data2","Present")</f>
        <v>Present</v>
      </c>
    </row>
    <row r="110" spans="1:5" x14ac:dyDescent="0.25">
      <c r="A110" s="2" t="s">
        <v>163</v>
      </c>
      <c r="B110" s="2" t="s">
        <v>166</v>
      </c>
      <c r="C110" s="2">
        <v>3</v>
      </c>
      <c r="D110" t="str">
        <f t="shared" si="1"/>
        <v>CA-2014-103940_OFF-ST-10000943</v>
      </c>
      <c r="E110" t="str">
        <f>IF(COUNTIF(data2!$D:$D,D110)=0,"Missing in Data2","Present")</f>
        <v>Missing in Data2</v>
      </c>
    </row>
    <row r="111" spans="1:5" x14ac:dyDescent="0.25">
      <c r="A111" s="2" t="s">
        <v>163</v>
      </c>
      <c r="B111" s="2" t="s">
        <v>167</v>
      </c>
      <c r="C111" s="2">
        <v>2</v>
      </c>
      <c r="D111" t="str">
        <f t="shared" si="1"/>
        <v>CA-2014-103940_OFF-ST-10004963</v>
      </c>
      <c r="E111" t="str">
        <f>IF(COUNTIF(data2!$D:$D,D111)=0,"Missing in Data2","Present")</f>
        <v>Present</v>
      </c>
    </row>
    <row r="112" spans="1:5" x14ac:dyDescent="0.25">
      <c r="A112" s="2" t="s">
        <v>168</v>
      </c>
      <c r="B112" s="2" t="s">
        <v>169</v>
      </c>
      <c r="C112" s="2">
        <v>3</v>
      </c>
      <c r="D112" t="str">
        <f t="shared" si="1"/>
        <v>CA-2014-103989_FUR-FU-10002508</v>
      </c>
      <c r="E112" t="str">
        <f>IF(COUNTIF(data2!$D:$D,D112)=0,"Missing in Data2","Present")</f>
        <v>Present</v>
      </c>
    </row>
    <row r="113" spans="1:5" x14ac:dyDescent="0.25">
      <c r="A113" s="2" t="s">
        <v>168</v>
      </c>
      <c r="B113" s="2" t="s">
        <v>170</v>
      </c>
      <c r="C113" s="2">
        <v>3</v>
      </c>
      <c r="D113" t="str">
        <f t="shared" si="1"/>
        <v>CA-2014-103989_FUR-FU-10003981</v>
      </c>
      <c r="E113" t="str">
        <f>IF(COUNTIF(data2!$D:$D,D113)=0,"Missing in Data2","Present")</f>
        <v>Missing in Data2</v>
      </c>
    </row>
    <row r="114" spans="1:5" x14ac:dyDescent="0.25">
      <c r="A114" s="2" t="s">
        <v>168</v>
      </c>
      <c r="B114" s="2" t="s">
        <v>171</v>
      </c>
      <c r="C114" s="2">
        <v>5</v>
      </c>
      <c r="D114" t="str">
        <f t="shared" si="1"/>
        <v>CA-2014-103989_OFF-BI-10001196</v>
      </c>
      <c r="E114" t="str">
        <f>IF(COUNTIF(data2!$D:$D,D114)=0,"Missing in Data2","Present")</f>
        <v>Present</v>
      </c>
    </row>
    <row r="115" spans="1:5" x14ac:dyDescent="0.25">
      <c r="A115" s="2" t="s">
        <v>168</v>
      </c>
      <c r="B115" s="2" t="s">
        <v>172</v>
      </c>
      <c r="C115" s="2">
        <v>4</v>
      </c>
      <c r="D115" t="str">
        <f t="shared" si="1"/>
        <v>CA-2014-103989_OFF-LA-10000443</v>
      </c>
      <c r="E115" t="str">
        <f>IF(COUNTIF(data2!$D:$D,D115)=0,"Missing in Data2","Present")</f>
        <v>Present</v>
      </c>
    </row>
    <row r="116" spans="1:5" x14ac:dyDescent="0.25">
      <c r="A116" s="2" t="s">
        <v>168</v>
      </c>
      <c r="B116" s="2" t="s">
        <v>173</v>
      </c>
      <c r="C116" s="2">
        <v>3</v>
      </c>
      <c r="D116" t="str">
        <f t="shared" si="1"/>
        <v>CA-2014-103989_OFF-ST-10000918</v>
      </c>
      <c r="E116" t="str">
        <f>IF(COUNTIF(data2!$D:$D,D116)=0,"Missing in Data2","Present")</f>
        <v>Present</v>
      </c>
    </row>
    <row r="117" spans="1:5" x14ac:dyDescent="0.25">
      <c r="A117" s="2" t="s">
        <v>168</v>
      </c>
      <c r="B117" s="2" t="s">
        <v>174</v>
      </c>
      <c r="C117" s="2">
        <v>2</v>
      </c>
      <c r="D117" t="str">
        <f t="shared" si="1"/>
        <v>CA-2014-103989_TEC-AC-10002647</v>
      </c>
      <c r="E117" t="str">
        <f>IF(COUNTIF(data2!$D:$D,D117)=0,"Missing in Data2","Present")</f>
        <v>Present</v>
      </c>
    </row>
    <row r="118" spans="1:5" x14ac:dyDescent="0.25">
      <c r="A118" s="2" t="s">
        <v>168</v>
      </c>
      <c r="B118" s="2" t="s">
        <v>142</v>
      </c>
      <c r="C118" s="2">
        <v>3</v>
      </c>
      <c r="D118" t="str">
        <f t="shared" si="1"/>
        <v>CA-2014-103989_TEC-PH-10004667</v>
      </c>
      <c r="E118" t="str">
        <f>IF(COUNTIF(data2!$D:$D,D118)=0,"Missing in Data2","Present")</f>
        <v>Present</v>
      </c>
    </row>
    <row r="119" spans="1:5" x14ac:dyDescent="0.25">
      <c r="A119" s="2" t="s">
        <v>175</v>
      </c>
      <c r="B119" s="2" t="s">
        <v>176</v>
      </c>
      <c r="C119" s="2">
        <v>1</v>
      </c>
      <c r="D119" t="str">
        <f t="shared" si="1"/>
        <v>CA-2014-104178_FUR-FU-10000771</v>
      </c>
      <c r="E119" t="str">
        <f>IF(COUNTIF(data2!$D:$D,D119)=0,"Missing in Data2","Present")</f>
        <v>Present</v>
      </c>
    </row>
    <row r="120" spans="1:5" x14ac:dyDescent="0.25">
      <c r="A120" s="2" t="s">
        <v>175</v>
      </c>
      <c r="B120" s="2" t="s">
        <v>177</v>
      </c>
      <c r="C120" s="2">
        <v>4</v>
      </c>
      <c r="D120" t="str">
        <f t="shared" si="1"/>
        <v>CA-2014-104178_OFF-PA-10004983</v>
      </c>
      <c r="E120" t="str">
        <f>IF(COUNTIF(data2!$D:$D,D120)=0,"Missing in Data2","Present")</f>
        <v>Present</v>
      </c>
    </row>
    <row r="121" spans="1:5" x14ac:dyDescent="0.25">
      <c r="A121" s="2" t="s">
        <v>175</v>
      </c>
      <c r="B121" s="2" t="s">
        <v>178</v>
      </c>
      <c r="C121" s="2">
        <v>4</v>
      </c>
      <c r="D121" t="str">
        <f t="shared" si="1"/>
        <v>CA-2014-104178_OFF-ST-10004258</v>
      </c>
      <c r="E121" t="str">
        <f>IF(COUNTIF(data2!$D:$D,D121)=0,"Missing in Data2","Present")</f>
        <v>Present</v>
      </c>
    </row>
    <row r="122" spans="1:5" x14ac:dyDescent="0.25">
      <c r="A122" s="2" t="s">
        <v>175</v>
      </c>
      <c r="B122" s="2" t="s">
        <v>179</v>
      </c>
      <c r="C122" s="2">
        <v>5</v>
      </c>
      <c r="D122" t="str">
        <f t="shared" si="1"/>
        <v>CA-2014-104178_TEC-AC-10002399</v>
      </c>
      <c r="E122" t="str">
        <f>IF(COUNTIF(data2!$D:$D,D122)=0,"Missing in Data2","Present")</f>
        <v>Present</v>
      </c>
    </row>
    <row r="123" spans="1:5" x14ac:dyDescent="0.25">
      <c r="A123" s="2" t="s">
        <v>180</v>
      </c>
      <c r="B123" s="2" t="s">
        <v>181</v>
      </c>
      <c r="C123" s="2">
        <v>2</v>
      </c>
      <c r="D123" t="str">
        <f t="shared" si="1"/>
        <v>CA-2014-104269_FUR-CH-10004063</v>
      </c>
      <c r="E123" t="str">
        <f>IF(COUNTIF(data2!$D:$D,D123)=0,"Missing in Data2","Present")</f>
        <v>Present</v>
      </c>
    </row>
    <row r="124" spans="1:5" x14ac:dyDescent="0.25">
      <c r="A124" s="2" t="s">
        <v>182</v>
      </c>
      <c r="B124" s="2" t="s">
        <v>183</v>
      </c>
      <c r="C124" s="2">
        <v>1</v>
      </c>
      <c r="D124" t="str">
        <f t="shared" si="1"/>
        <v>CA-2014-104283_FUR-TA-10001039</v>
      </c>
      <c r="E124" t="str">
        <f>IF(COUNTIF(data2!$D:$D,D124)=0,"Missing in Data2","Present")</f>
        <v>Present</v>
      </c>
    </row>
    <row r="125" spans="1:5" x14ac:dyDescent="0.25">
      <c r="A125" s="2" t="s">
        <v>182</v>
      </c>
      <c r="B125" s="2" t="s">
        <v>184</v>
      </c>
      <c r="C125" s="2">
        <v>5</v>
      </c>
      <c r="D125" t="str">
        <f t="shared" si="1"/>
        <v>CA-2014-104283_OFF-ST-10004337</v>
      </c>
      <c r="E125" t="str">
        <f>IF(COUNTIF(data2!$D:$D,D125)=0,"Missing in Data2","Present")</f>
        <v>Present</v>
      </c>
    </row>
    <row r="126" spans="1:5" x14ac:dyDescent="0.25">
      <c r="A126" s="2" t="s">
        <v>182</v>
      </c>
      <c r="B126" s="2" t="s">
        <v>185</v>
      </c>
      <c r="C126" s="2">
        <v>4</v>
      </c>
      <c r="D126" t="str">
        <f t="shared" si="1"/>
        <v>CA-2014-104283_TEC-AC-10000109</v>
      </c>
      <c r="E126" t="str">
        <f>IF(COUNTIF(data2!$D:$D,D126)=0,"Missing in Data2","Present")</f>
        <v>Present</v>
      </c>
    </row>
    <row r="127" spans="1:5" x14ac:dyDescent="0.25">
      <c r="A127" s="2" t="s">
        <v>186</v>
      </c>
      <c r="B127" s="2" t="s">
        <v>187</v>
      </c>
      <c r="C127" s="2">
        <v>3</v>
      </c>
      <c r="D127" t="str">
        <f t="shared" si="1"/>
        <v>CA-2014-104402_TEC-MA-10000423</v>
      </c>
      <c r="E127" t="str">
        <f>IF(COUNTIF(data2!$D:$D,D127)=0,"Missing in Data2","Present")</f>
        <v>Present</v>
      </c>
    </row>
    <row r="128" spans="1:5" x14ac:dyDescent="0.25">
      <c r="A128" s="2" t="s">
        <v>188</v>
      </c>
      <c r="B128" s="2" t="s">
        <v>189</v>
      </c>
      <c r="C128" s="2">
        <v>6</v>
      </c>
      <c r="D128" t="str">
        <f t="shared" si="1"/>
        <v>CA-2014-104472_FUR-FU-10000246</v>
      </c>
      <c r="E128" t="str">
        <f>IF(COUNTIF(data2!$D:$D,D128)=0,"Missing in Data2","Present")</f>
        <v>Present</v>
      </c>
    </row>
    <row r="129" spans="1:5" x14ac:dyDescent="0.25">
      <c r="A129" s="2" t="s">
        <v>188</v>
      </c>
      <c r="B129" s="2" t="s">
        <v>190</v>
      </c>
      <c r="C129" s="2">
        <v>3</v>
      </c>
      <c r="D129" t="str">
        <f t="shared" si="1"/>
        <v>CA-2014-104472_OFF-BI-10001658</v>
      </c>
      <c r="E129" t="str">
        <f>IF(COUNTIF(data2!$D:$D,D129)=0,"Missing in Data2","Present")</f>
        <v>Present</v>
      </c>
    </row>
    <row r="130" spans="1:5" x14ac:dyDescent="0.25">
      <c r="A130" s="2" t="s">
        <v>191</v>
      </c>
      <c r="B130" s="2" t="s">
        <v>192</v>
      </c>
      <c r="C130" s="2">
        <v>6</v>
      </c>
      <c r="D130" t="str">
        <f t="shared" si="1"/>
        <v>CA-2014-104563_FUR-CH-10002780</v>
      </c>
      <c r="E130" t="str">
        <f>IF(COUNTIF(data2!$D:$D,D130)=0,"Missing in Data2","Present")</f>
        <v>Present</v>
      </c>
    </row>
    <row r="131" spans="1:5" x14ac:dyDescent="0.25">
      <c r="A131" s="2" t="s">
        <v>191</v>
      </c>
      <c r="B131" s="2" t="s">
        <v>193</v>
      </c>
      <c r="C131" s="2">
        <v>2</v>
      </c>
      <c r="D131" t="str">
        <f t="shared" ref="D131:D194" si="2">A131&amp;"_"&amp;B131</f>
        <v>CA-2014-104563_FUR-CH-10004495</v>
      </c>
      <c r="E131" t="str">
        <f>IF(COUNTIF(data2!$D:$D,D131)=0,"Missing in Data2","Present")</f>
        <v>Present</v>
      </c>
    </row>
    <row r="132" spans="1:5" x14ac:dyDescent="0.25">
      <c r="A132" s="2" t="s">
        <v>191</v>
      </c>
      <c r="B132" s="2" t="s">
        <v>194</v>
      </c>
      <c r="C132" s="2">
        <v>5</v>
      </c>
      <c r="D132" t="str">
        <f t="shared" si="2"/>
        <v>CA-2014-104563_OFF-AR-10000390</v>
      </c>
      <c r="E132" t="str">
        <f>IF(COUNTIF(data2!$D:$D,D132)=0,"Missing in Data2","Present")</f>
        <v>Present</v>
      </c>
    </row>
    <row r="133" spans="1:5" x14ac:dyDescent="0.25">
      <c r="A133" s="2" t="s">
        <v>191</v>
      </c>
      <c r="B133" s="2" t="s">
        <v>195</v>
      </c>
      <c r="C133" s="2">
        <v>5</v>
      </c>
      <c r="D133" t="str">
        <f t="shared" si="2"/>
        <v>CA-2014-104563_OFF-ST-10000934</v>
      </c>
      <c r="E133" t="str">
        <f>IF(COUNTIF(data2!$D:$D,D133)=0,"Missing in Data2","Present")</f>
        <v>Present</v>
      </c>
    </row>
    <row r="134" spans="1:5" x14ac:dyDescent="0.25">
      <c r="A134" s="2" t="s">
        <v>196</v>
      </c>
      <c r="B134" s="2" t="s">
        <v>197</v>
      </c>
      <c r="C134" s="2">
        <v>3</v>
      </c>
      <c r="D134" t="str">
        <f t="shared" si="2"/>
        <v>CA-2014-104738_OFF-BI-10002160</v>
      </c>
      <c r="E134" t="str">
        <f>IF(COUNTIF(data2!$D:$D,D134)=0,"Missing in Data2","Present")</f>
        <v>Present</v>
      </c>
    </row>
    <row r="135" spans="1:5" x14ac:dyDescent="0.25">
      <c r="A135" s="2" t="s">
        <v>196</v>
      </c>
      <c r="B135" s="2" t="s">
        <v>198</v>
      </c>
      <c r="C135" s="2">
        <v>3</v>
      </c>
      <c r="D135" t="str">
        <f t="shared" si="2"/>
        <v>CA-2014-104738_OFF-EN-10004955</v>
      </c>
      <c r="E135" t="str">
        <f>IF(COUNTIF(data2!$D:$D,D135)=0,"Missing in Data2","Present")</f>
        <v>Present</v>
      </c>
    </row>
    <row r="136" spans="1:5" x14ac:dyDescent="0.25">
      <c r="A136" s="2" t="s">
        <v>196</v>
      </c>
      <c r="B136" s="2" t="s">
        <v>131</v>
      </c>
      <c r="C136" s="2">
        <v>2</v>
      </c>
      <c r="D136" t="str">
        <f t="shared" si="2"/>
        <v>CA-2014-104738_TEC-AC-10003628</v>
      </c>
      <c r="E136" t="str">
        <f>IF(COUNTIF(data2!$D:$D,D136)=0,"Missing in Data2","Present")</f>
        <v>Present</v>
      </c>
    </row>
    <row r="137" spans="1:5" x14ac:dyDescent="0.25">
      <c r="A137" s="2" t="s">
        <v>196</v>
      </c>
      <c r="B137" s="2" t="s">
        <v>199</v>
      </c>
      <c r="C137" s="2">
        <v>3</v>
      </c>
      <c r="D137" t="str">
        <f t="shared" si="2"/>
        <v>CA-2014-104738_TEC-PH-10000576</v>
      </c>
      <c r="E137" t="str">
        <f>IF(COUNTIF(data2!$D:$D,D137)=0,"Missing in Data2","Present")</f>
        <v>Missing in Data2</v>
      </c>
    </row>
    <row r="138" spans="1:5" x14ac:dyDescent="0.25">
      <c r="A138" s="2" t="s">
        <v>196</v>
      </c>
      <c r="B138" s="2" t="s">
        <v>200</v>
      </c>
      <c r="C138" s="2">
        <v>2</v>
      </c>
      <c r="D138" t="str">
        <f t="shared" si="2"/>
        <v>CA-2014-104738_TEC-PH-10002468</v>
      </c>
      <c r="E138" t="str">
        <f>IF(COUNTIF(data2!$D:$D,D138)=0,"Missing in Data2","Present")</f>
        <v>Present</v>
      </c>
    </row>
    <row r="139" spans="1:5" x14ac:dyDescent="0.25">
      <c r="A139" s="2" t="s">
        <v>201</v>
      </c>
      <c r="B139" s="2" t="s">
        <v>202</v>
      </c>
      <c r="C139" s="2">
        <v>2</v>
      </c>
      <c r="D139" t="str">
        <f t="shared" si="2"/>
        <v>CA-2014-104773_OFF-ST-10000777</v>
      </c>
      <c r="E139" t="str">
        <f>IF(COUNTIF(data2!$D:$D,D139)=0,"Missing in Data2","Present")</f>
        <v>Present</v>
      </c>
    </row>
    <row r="140" spans="1:5" x14ac:dyDescent="0.25">
      <c r="A140" s="2" t="s">
        <v>203</v>
      </c>
      <c r="B140" s="2" t="s">
        <v>204</v>
      </c>
      <c r="C140" s="2">
        <v>8</v>
      </c>
      <c r="D140" t="str">
        <f t="shared" si="2"/>
        <v>CA-2014-104780_OFF-AR-10003514</v>
      </c>
      <c r="E140" t="str">
        <f>IF(COUNTIF(data2!$D:$D,D140)=0,"Missing in Data2","Present")</f>
        <v>Present</v>
      </c>
    </row>
    <row r="141" spans="1:5" x14ac:dyDescent="0.25">
      <c r="A141" s="2" t="s">
        <v>205</v>
      </c>
      <c r="B141" s="2" t="s">
        <v>206</v>
      </c>
      <c r="C141" s="2">
        <v>2</v>
      </c>
      <c r="D141" t="str">
        <f t="shared" si="2"/>
        <v>CA-2014-104808_OFF-BI-10003676</v>
      </c>
      <c r="E141" t="str">
        <f>IF(COUNTIF(data2!$D:$D,D141)=0,"Missing in Data2","Present")</f>
        <v>Present</v>
      </c>
    </row>
    <row r="142" spans="1:5" x14ac:dyDescent="0.25">
      <c r="A142" s="2" t="s">
        <v>207</v>
      </c>
      <c r="B142" s="2" t="s">
        <v>208</v>
      </c>
      <c r="C142" s="2">
        <v>6</v>
      </c>
      <c r="D142" t="str">
        <f t="shared" si="2"/>
        <v>CA-2014-104976_OFF-PA-10003845</v>
      </c>
      <c r="E142" t="str">
        <f>IF(COUNTIF(data2!$D:$D,D142)=0,"Missing in Data2","Present")</f>
        <v>Present</v>
      </c>
    </row>
    <row r="143" spans="1:5" x14ac:dyDescent="0.25">
      <c r="A143" s="2" t="s">
        <v>209</v>
      </c>
      <c r="B143" s="2" t="s">
        <v>210</v>
      </c>
      <c r="C143" s="2">
        <v>3</v>
      </c>
      <c r="D143" t="str">
        <f t="shared" si="2"/>
        <v>CA-2014-105165_OFF-AR-10003179</v>
      </c>
      <c r="E143" t="str">
        <f>IF(COUNTIF(data2!$D:$D,D143)=0,"Missing in Data2","Present")</f>
        <v>Present</v>
      </c>
    </row>
    <row r="144" spans="1:5" x14ac:dyDescent="0.25">
      <c r="A144" s="2" t="s">
        <v>209</v>
      </c>
      <c r="B144" s="2" t="s">
        <v>211</v>
      </c>
      <c r="C144" s="2">
        <v>2</v>
      </c>
      <c r="D144" t="str">
        <f t="shared" si="2"/>
        <v>CA-2014-105165_OFF-BI-10000050</v>
      </c>
      <c r="E144" t="str">
        <f>IF(COUNTIF(data2!$D:$D,D144)=0,"Missing in Data2","Present")</f>
        <v>Present</v>
      </c>
    </row>
    <row r="145" spans="1:5" x14ac:dyDescent="0.25">
      <c r="A145" s="2" t="s">
        <v>209</v>
      </c>
      <c r="B145" s="2" t="s">
        <v>212</v>
      </c>
      <c r="C145" s="2">
        <v>4</v>
      </c>
      <c r="D145" t="str">
        <f t="shared" si="2"/>
        <v>CA-2014-105165_TEC-AC-10002718</v>
      </c>
      <c r="E145" t="str">
        <f>IF(COUNTIF(data2!$D:$D,D145)=0,"Missing in Data2","Present")</f>
        <v>Present</v>
      </c>
    </row>
    <row r="146" spans="1:5" x14ac:dyDescent="0.25">
      <c r="A146" s="2" t="s">
        <v>209</v>
      </c>
      <c r="B146" s="2" t="s">
        <v>213</v>
      </c>
      <c r="C146" s="2">
        <v>3</v>
      </c>
      <c r="D146" t="str">
        <f t="shared" si="2"/>
        <v>CA-2014-105165_TEC-PH-10000675</v>
      </c>
      <c r="E146" t="str">
        <f>IF(COUNTIF(data2!$D:$D,D146)=0,"Missing in Data2","Present")</f>
        <v>Present</v>
      </c>
    </row>
    <row r="147" spans="1:5" x14ac:dyDescent="0.25">
      <c r="A147" s="2" t="s">
        <v>214</v>
      </c>
      <c r="B147" s="2" t="s">
        <v>215</v>
      </c>
      <c r="C147" s="2">
        <v>6</v>
      </c>
      <c r="D147" t="str">
        <f t="shared" si="2"/>
        <v>CA-2014-105172_OFF-LA-10001641</v>
      </c>
      <c r="E147" t="str">
        <f>IF(COUNTIF(data2!$D:$D,D147)=0,"Missing in Data2","Present")</f>
        <v>Present</v>
      </c>
    </row>
    <row r="148" spans="1:5" x14ac:dyDescent="0.25">
      <c r="A148" s="2" t="s">
        <v>216</v>
      </c>
      <c r="B148" s="2" t="s">
        <v>217</v>
      </c>
      <c r="C148" s="2">
        <v>4</v>
      </c>
      <c r="D148" t="str">
        <f t="shared" si="2"/>
        <v>CA-2014-105249_FUR-BO-10000330</v>
      </c>
      <c r="E148" t="str">
        <f>IF(COUNTIF(data2!$D:$D,D148)=0,"Missing in Data2","Present")</f>
        <v>Present</v>
      </c>
    </row>
    <row r="149" spans="1:5" x14ac:dyDescent="0.25">
      <c r="A149" s="2" t="s">
        <v>216</v>
      </c>
      <c r="B149" s="2" t="s">
        <v>218</v>
      </c>
      <c r="C149" s="2">
        <v>4</v>
      </c>
      <c r="D149" t="str">
        <f t="shared" si="2"/>
        <v>CA-2014-105249_OFF-LA-10002043</v>
      </c>
      <c r="E149" t="str">
        <f>IF(COUNTIF(data2!$D:$D,D149)=0,"Missing in Data2","Present")</f>
        <v>Present</v>
      </c>
    </row>
    <row r="150" spans="1:5" x14ac:dyDescent="0.25">
      <c r="A150" s="2" t="s">
        <v>216</v>
      </c>
      <c r="B150" s="2" t="s">
        <v>219</v>
      </c>
      <c r="C150" s="2">
        <v>2</v>
      </c>
      <c r="D150" t="str">
        <f t="shared" si="2"/>
        <v>CA-2014-105249_OFF-SU-10001225</v>
      </c>
      <c r="E150" t="str">
        <f>IF(COUNTIF(data2!$D:$D,D150)=0,"Missing in Data2","Present")</f>
        <v>Present</v>
      </c>
    </row>
    <row r="151" spans="1:5" x14ac:dyDescent="0.25">
      <c r="A151" s="2" t="s">
        <v>220</v>
      </c>
      <c r="B151" s="2" t="s">
        <v>221</v>
      </c>
      <c r="C151" s="2">
        <v>1</v>
      </c>
      <c r="D151" t="str">
        <f t="shared" si="2"/>
        <v>CA-2014-105270_FUR-CH-10000988</v>
      </c>
      <c r="E151" t="str">
        <f>IF(COUNTIF(data2!$D:$D,D151)=0,"Missing in Data2","Present")</f>
        <v>Present</v>
      </c>
    </row>
    <row r="152" spans="1:5" x14ac:dyDescent="0.25">
      <c r="A152" s="2" t="s">
        <v>220</v>
      </c>
      <c r="B152" s="2" t="s">
        <v>222</v>
      </c>
      <c r="C152" s="2">
        <v>3</v>
      </c>
      <c r="D152" t="str">
        <f t="shared" si="2"/>
        <v>CA-2014-105270_OFF-AR-10003156</v>
      </c>
      <c r="E152" t="str">
        <f>IF(COUNTIF(data2!$D:$D,D152)=0,"Missing in Data2","Present")</f>
        <v>Present</v>
      </c>
    </row>
    <row r="153" spans="1:5" x14ac:dyDescent="0.25">
      <c r="A153" s="2" t="s">
        <v>223</v>
      </c>
      <c r="B153" s="2" t="s">
        <v>224</v>
      </c>
      <c r="C153" s="2">
        <v>1</v>
      </c>
      <c r="D153" t="str">
        <f t="shared" si="2"/>
        <v>CA-2014-105340_OFF-BI-10001765</v>
      </c>
      <c r="E153" t="str">
        <f>IF(COUNTIF(data2!$D:$D,D153)=0,"Missing in Data2","Present")</f>
        <v>Missing in Data2</v>
      </c>
    </row>
    <row r="154" spans="1:5" x14ac:dyDescent="0.25">
      <c r="A154" s="2" t="s">
        <v>225</v>
      </c>
      <c r="B154" s="2" t="s">
        <v>226</v>
      </c>
      <c r="C154" s="2">
        <v>3</v>
      </c>
      <c r="D154" t="str">
        <f t="shared" si="2"/>
        <v>CA-2014-105417_FUR-FU-10004864</v>
      </c>
      <c r="E154" t="str">
        <f>IF(COUNTIF(data2!$D:$D,D154)=0,"Missing in Data2","Present")</f>
        <v>Present</v>
      </c>
    </row>
    <row r="155" spans="1:5" x14ac:dyDescent="0.25">
      <c r="A155" s="2" t="s">
        <v>225</v>
      </c>
      <c r="B155" s="2" t="s">
        <v>227</v>
      </c>
      <c r="C155" s="2">
        <v>7</v>
      </c>
      <c r="D155" t="str">
        <f t="shared" si="2"/>
        <v>CA-2014-105417_OFF-BI-10003708</v>
      </c>
      <c r="E155" t="str">
        <f>IF(COUNTIF(data2!$D:$D,D155)=0,"Missing in Data2","Present")</f>
        <v>Present</v>
      </c>
    </row>
    <row r="156" spans="1:5" x14ac:dyDescent="0.25">
      <c r="A156" s="2" t="s">
        <v>228</v>
      </c>
      <c r="B156" s="2" t="s">
        <v>229</v>
      </c>
      <c r="C156" s="2">
        <v>4</v>
      </c>
      <c r="D156" t="str">
        <f t="shared" si="2"/>
        <v>CA-2014-105872_OFF-BI-10003684</v>
      </c>
      <c r="E156" t="str">
        <f>IF(COUNTIF(data2!$D:$D,D156)=0,"Missing in Data2","Present")</f>
        <v>Present</v>
      </c>
    </row>
    <row r="157" spans="1:5" x14ac:dyDescent="0.25">
      <c r="A157" s="2" t="s">
        <v>230</v>
      </c>
      <c r="B157" s="2" t="s">
        <v>231</v>
      </c>
      <c r="C157" s="2">
        <v>6</v>
      </c>
      <c r="D157" t="str">
        <f t="shared" si="2"/>
        <v>CA-2014-105893_OFF-ST-10004186</v>
      </c>
      <c r="E157" t="str">
        <f>IF(COUNTIF(data2!$D:$D,D157)=0,"Missing in Data2","Present")</f>
        <v>Present</v>
      </c>
    </row>
    <row r="158" spans="1:5" x14ac:dyDescent="0.25">
      <c r="A158" s="2" t="s">
        <v>232</v>
      </c>
      <c r="B158" s="2" t="s">
        <v>233</v>
      </c>
      <c r="C158" s="2">
        <v>3</v>
      </c>
      <c r="D158" t="str">
        <f t="shared" si="2"/>
        <v>CA-2014-105984_FUR-CH-10000847</v>
      </c>
      <c r="E158" t="str">
        <f>IF(COUNTIF(data2!$D:$D,D158)=0,"Missing in Data2","Present")</f>
        <v>Present</v>
      </c>
    </row>
    <row r="159" spans="1:5" x14ac:dyDescent="0.25">
      <c r="A159" s="2" t="s">
        <v>232</v>
      </c>
      <c r="B159" s="2" t="s">
        <v>234</v>
      </c>
      <c r="C159" s="2">
        <v>5</v>
      </c>
      <c r="D159" t="str">
        <f t="shared" si="2"/>
        <v>CA-2014-105984_TEC-PH-10000560</v>
      </c>
      <c r="E159" t="str">
        <f>IF(COUNTIF(data2!$D:$D,D159)=0,"Missing in Data2","Present")</f>
        <v>Present</v>
      </c>
    </row>
    <row r="160" spans="1:5" x14ac:dyDescent="0.25">
      <c r="A160" s="2" t="s">
        <v>235</v>
      </c>
      <c r="B160" s="2" t="s">
        <v>236</v>
      </c>
      <c r="C160" s="2">
        <v>3</v>
      </c>
      <c r="D160" t="str">
        <f t="shared" si="2"/>
        <v>CA-2014-106054_OFF-AR-10002399</v>
      </c>
      <c r="E160" t="str">
        <f>IF(COUNTIF(data2!$D:$D,D160)=0,"Missing in Data2","Present")</f>
        <v>Present</v>
      </c>
    </row>
    <row r="161" spans="1:5" x14ac:dyDescent="0.25">
      <c r="A161" s="2" t="s">
        <v>237</v>
      </c>
      <c r="B161" s="2" t="s">
        <v>238</v>
      </c>
      <c r="C161" s="2">
        <v>3</v>
      </c>
      <c r="D161" t="str">
        <f t="shared" si="2"/>
        <v>CA-2014-106229_FUR-TA-10002041</v>
      </c>
      <c r="E161" t="str">
        <f>IF(COUNTIF(data2!$D:$D,D161)=0,"Missing in Data2","Present")</f>
        <v>Present</v>
      </c>
    </row>
    <row r="162" spans="1:5" x14ac:dyDescent="0.25">
      <c r="A162" s="2" t="s">
        <v>239</v>
      </c>
      <c r="B162" s="2" t="s">
        <v>240</v>
      </c>
      <c r="C162" s="2">
        <v>2</v>
      </c>
      <c r="D162" t="str">
        <f t="shared" si="2"/>
        <v>CA-2014-106264_FUR-FU-10001852</v>
      </c>
      <c r="E162" t="str">
        <f>IF(COUNTIF(data2!$D:$D,D162)=0,"Missing in Data2","Present")</f>
        <v>Present</v>
      </c>
    </row>
    <row r="163" spans="1:5" x14ac:dyDescent="0.25">
      <c r="A163" s="2" t="s">
        <v>239</v>
      </c>
      <c r="B163" s="2" t="s">
        <v>241</v>
      </c>
      <c r="C163" s="2">
        <v>3</v>
      </c>
      <c r="D163" t="str">
        <f t="shared" si="2"/>
        <v>CA-2014-106264_OFF-SU-10002189</v>
      </c>
      <c r="E163" t="str">
        <f>IF(COUNTIF(data2!$D:$D,D163)=0,"Missing in Data2","Present")</f>
        <v>Present</v>
      </c>
    </row>
    <row r="164" spans="1:5" x14ac:dyDescent="0.25">
      <c r="A164" s="2" t="s">
        <v>242</v>
      </c>
      <c r="B164" s="2" t="s">
        <v>243</v>
      </c>
      <c r="C164" s="2">
        <v>8</v>
      </c>
      <c r="D164" t="str">
        <f t="shared" si="2"/>
        <v>CA-2014-106376_OFF-AR-10002671</v>
      </c>
      <c r="E164" t="str">
        <f>IF(COUNTIF(data2!$D:$D,D164)=0,"Missing in Data2","Present")</f>
        <v>Present</v>
      </c>
    </row>
    <row r="165" spans="1:5" x14ac:dyDescent="0.25">
      <c r="A165" s="2" t="s">
        <v>242</v>
      </c>
      <c r="B165" s="2" t="s">
        <v>244</v>
      </c>
      <c r="C165" s="2">
        <v>4</v>
      </c>
      <c r="D165" t="str">
        <f t="shared" si="2"/>
        <v>CA-2014-106376_TEC-PH-10002726</v>
      </c>
      <c r="E165" t="str">
        <f>IF(COUNTIF(data2!$D:$D,D165)=0,"Missing in Data2","Present")</f>
        <v>Present</v>
      </c>
    </row>
    <row r="166" spans="1:5" x14ac:dyDescent="0.25">
      <c r="A166" s="2" t="s">
        <v>245</v>
      </c>
      <c r="B166" s="2" t="s">
        <v>246</v>
      </c>
      <c r="C166" s="2">
        <v>3</v>
      </c>
      <c r="D166" t="str">
        <f t="shared" si="2"/>
        <v>CA-2014-106439_FUR-CH-10003833</v>
      </c>
      <c r="E166" t="str">
        <f>IF(COUNTIF(data2!$D:$D,D166)=0,"Missing in Data2","Present")</f>
        <v>Present</v>
      </c>
    </row>
    <row r="167" spans="1:5" x14ac:dyDescent="0.25">
      <c r="A167" s="2" t="s">
        <v>245</v>
      </c>
      <c r="B167" s="2" t="s">
        <v>247</v>
      </c>
      <c r="C167" s="2">
        <v>2</v>
      </c>
      <c r="D167" t="str">
        <f t="shared" si="2"/>
        <v>CA-2014-106439_OFF-BI-10002571</v>
      </c>
      <c r="E167" t="str">
        <f>IF(COUNTIF(data2!$D:$D,D167)=0,"Missing in Data2","Present")</f>
        <v>Present</v>
      </c>
    </row>
    <row r="168" spans="1:5" x14ac:dyDescent="0.25">
      <c r="A168" s="2" t="s">
        <v>245</v>
      </c>
      <c r="B168" s="2" t="s">
        <v>248</v>
      </c>
      <c r="C168" s="2">
        <v>3</v>
      </c>
      <c r="D168" t="str">
        <f t="shared" si="2"/>
        <v>CA-2014-106439_OFF-BI-10004209</v>
      </c>
      <c r="E168" t="str">
        <f>IF(COUNTIF(data2!$D:$D,D168)=0,"Missing in Data2","Present")</f>
        <v>Present</v>
      </c>
    </row>
    <row r="169" spans="1:5" x14ac:dyDescent="0.25">
      <c r="A169" s="2" t="s">
        <v>245</v>
      </c>
      <c r="B169" s="2" t="s">
        <v>249</v>
      </c>
      <c r="C169" s="2">
        <v>3</v>
      </c>
      <c r="D169" t="str">
        <f t="shared" si="2"/>
        <v>CA-2014-106439_OFF-FA-10002975</v>
      </c>
      <c r="E169" t="str">
        <f>IF(COUNTIF(data2!$D:$D,D169)=0,"Missing in Data2","Present")</f>
        <v>Present</v>
      </c>
    </row>
    <row r="170" spans="1:5" x14ac:dyDescent="0.25">
      <c r="A170" s="2" t="s">
        <v>245</v>
      </c>
      <c r="B170" s="2" t="s">
        <v>250</v>
      </c>
      <c r="C170" s="2">
        <v>13</v>
      </c>
      <c r="D170" t="str">
        <f t="shared" si="2"/>
        <v>CA-2014-106439_OFF-PA-10000477</v>
      </c>
      <c r="E170" t="str">
        <f>IF(COUNTIF(data2!$D:$D,D170)=0,"Missing in Data2","Present")</f>
        <v>Present</v>
      </c>
    </row>
    <row r="171" spans="1:5" x14ac:dyDescent="0.25">
      <c r="A171" s="2" t="s">
        <v>245</v>
      </c>
      <c r="B171" s="2" t="s">
        <v>251</v>
      </c>
      <c r="C171" s="2">
        <v>4</v>
      </c>
      <c r="D171" t="str">
        <f t="shared" si="2"/>
        <v>CA-2014-106439_OFF-ST-10001963</v>
      </c>
      <c r="E171" t="str">
        <f>IF(COUNTIF(data2!$D:$D,D171)=0,"Missing in Data2","Present")</f>
        <v>Present</v>
      </c>
    </row>
    <row r="172" spans="1:5" x14ac:dyDescent="0.25">
      <c r="A172" s="2" t="s">
        <v>245</v>
      </c>
      <c r="B172" s="2" t="s">
        <v>252</v>
      </c>
      <c r="C172" s="2">
        <v>5</v>
      </c>
      <c r="D172" t="str">
        <f t="shared" si="2"/>
        <v>CA-2014-106439_OFF-ST-10003996</v>
      </c>
      <c r="E172" t="str">
        <f>IF(COUNTIF(data2!$D:$D,D172)=0,"Missing in Data2","Present")</f>
        <v>Present</v>
      </c>
    </row>
    <row r="173" spans="1:5" x14ac:dyDescent="0.25">
      <c r="A173" s="2" t="s">
        <v>253</v>
      </c>
      <c r="B173" s="2" t="s">
        <v>254</v>
      </c>
      <c r="C173" s="2">
        <v>2</v>
      </c>
      <c r="D173" t="str">
        <f t="shared" si="2"/>
        <v>CA-2014-106572_OFF-ST-10000585</v>
      </c>
      <c r="E173" t="str">
        <f>IF(COUNTIF(data2!$D:$D,D173)=0,"Missing in Data2","Present")</f>
        <v>Present</v>
      </c>
    </row>
    <row r="174" spans="1:5" x14ac:dyDescent="0.25">
      <c r="A174" s="2" t="s">
        <v>255</v>
      </c>
      <c r="B174" s="2" t="s">
        <v>256</v>
      </c>
      <c r="C174" s="2">
        <v>2</v>
      </c>
      <c r="D174" t="str">
        <f t="shared" si="2"/>
        <v>CA-2014-106719_OFF-BI-10002799</v>
      </c>
      <c r="E174" t="str">
        <f>IF(COUNTIF(data2!$D:$D,D174)=0,"Missing in Data2","Present")</f>
        <v>Present</v>
      </c>
    </row>
    <row r="175" spans="1:5" x14ac:dyDescent="0.25">
      <c r="A175" s="2" t="s">
        <v>257</v>
      </c>
      <c r="B175" s="2" t="s">
        <v>258</v>
      </c>
      <c r="C175" s="2">
        <v>7</v>
      </c>
      <c r="D175" t="str">
        <f t="shared" si="2"/>
        <v>CA-2014-106726_OFF-ST-10001496</v>
      </c>
      <c r="E175" t="str">
        <f>IF(COUNTIF(data2!$D:$D,D175)=0,"Missing in Data2","Present")</f>
        <v>Missing in Data2</v>
      </c>
    </row>
    <row r="176" spans="1:5" x14ac:dyDescent="0.25">
      <c r="A176" s="2" t="s">
        <v>259</v>
      </c>
      <c r="B176" s="2" t="s">
        <v>260</v>
      </c>
      <c r="C176" s="2">
        <v>2</v>
      </c>
      <c r="D176" t="str">
        <f t="shared" si="2"/>
        <v>CA-2014-106803_OFF-ST-10002444</v>
      </c>
      <c r="E176" t="str">
        <f>IF(COUNTIF(data2!$D:$D,D176)=0,"Missing in Data2","Present")</f>
        <v>Present</v>
      </c>
    </row>
    <row r="177" spans="1:5" x14ac:dyDescent="0.25">
      <c r="A177" s="2" t="s">
        <v>259</v>
      </c>
      <c r="B177" s="2" t="s">
        <v>261</v>
      </c>
      <c r="C177" s="2">
        <v>4</v>
      </c>
      <c r="D177" t="str">
        <f t="shared" si="2"/>
        <v>CA-2014-106803_TEC-AC-10001267</v>
      </c>
      <c r="E177" t="str">
        <f>IF(COUNTIF(data2!$D:$D,D177)=0,"Missing in Data2","Present")</f>
        <v>Present</v>
      </c>
    </row>
    <row r="178" spans="1:5" x14ac:dyDescent="0.25">
      <c r="A178" s="2" t="s">
        <v>262</v>
      </c>
      <c r="B178" s="2" t="s">
        <v>263</v>
      </c>
      <c r="C178" s="2">
        <v>2</v>
      </c>
      <c r="D178" t="str">
        <f t="shared" si="2"/>
        <v>CA-2014-106810_FUR-FU-10004306</v>
      </c>
      <c r="E178" t="str">
        <f>IF(COUNTIF(data2!$D:$D,D178)=0,"Missing in Data2","Present")</f>
        <v>Present</v>
      </c>
    </row>
    <row r="179" spans="1:5" x14ac:dyDescent="0.25">
      <c r="A179" s="2" t="s">
        <v>264</v>
      </c>
      <c r="B179" s="2" t="s">
        <v>265</v>
      </c>
      <c r="C179" s="2">
        <v>7</v>
      </c>
      <c r="D179" t="str">
        <f t="shared" si="2"/>
        <v>CA-2014-106971_TEC-AC-10000844</v>
      </c>
      <c r="E179" t="str">
        <f>IF(COUNTIF(data2!$D:$D,D179)=0,"Missing in Data2","Present")</f>
        <v>Present</v>
      </c>
    </row>
    <row r="180" spans="1:5" x14ac:dyDescent="0.25">
      <c r="A180" s="2" t="s">
        <v>266</v>
      </c>
      <c r="B180" s="2" t="s">
        <v>267</v>
      </c>
      <c r="C180" s="2">
        <v>6</v>
      </c>
      <c r="D180" t="str">
        <f t="shared" si="2"/>
        <v>CA-2014-107139_OFF-BI-10001670</v>
      </c>
      <c r="E180" t="str">
        <f>IF(COUNTIF(data2!$D:$D,D180)=0,"Missing in Data2","Present")</f>
        <v>Present</v>
      </c>
    </row>
    <row r="181" spans="1:5" x14ac:dyDescent="0.25">
      <c r="A181" s="2" t="s">
        <v>268</v>
      </c>
      <c r="B181" s="2" t="s">
        <v>269</v>
      </c>
      <c r="C181" s="2">
        <v>3</v>
      </c>
      <c r="D181" t="str">
        <f t="shared" si="2"/>
        <v>CA-2014-107153_OFF-ST-10001321</v>
      </c>
      <c r="E181" t="str">
        <f>IF(COUNTIF(data2!$D:$D,D181)=0,"Missing in Data2","Present")</f>
        <v>Present</v>
      </c>
    </row>
    <row r="182" spans="1:5" x14ac:dyDescent="0.25">
      <c r="A182" s="2" t="s">
        <v>270</v>
      </c>
      <c r="B182" s="2" t="s">
        <v>271</v>
      </c>
      <c r="C182" s="2">
        <v>3</v>
      </c>
      <c r="D182" t="str">
        <f t="shared" si="2"/>
        <v>CA-2014-107181_OFF-BI-10004230</v>
      </c>
      <c r="E182" t="str">
        <f>IF(COUNTIF(data2!$D:$D,D182)=0,"Missing in Data2","Present")</f>
        <v>Present</v>
      </c>
    </row>
    <row r="183" spans="1:5" x14ac:dyDescent="0.25">
      <c r="A183" s="2" t="s">
        <v>270</v>
      </c>
      <c r="B183" s="2" t="s">
        <v>272</v>
      </c>
      <c r="C183" s="2">
        <v>4</v>
      </c>
      <c r="D183" t="str">
        <f t="shared" si="2"/>
        <v>CA-2014-107181_OFF-PA-10000350</v>
      </c>
      <c r="E183" t="str">
        <f>IF(COUNTIF(data2!$D:$D,D183)=0,"Missing in Data2","Present")</f>
        <v>Present</v>
      </c>
    </row>
    <row r="184" spans="1:5" x14ac:dyDescent="0.25">
      <c r="A184" s="2" t="s">
        <v>273</v>
      </c>
      <c r="B184" s="2" t="s">
        <v>274</v>
      </c>
      <c r="C184" s="2">
        <v>4</v>
      </c>
      <c r="D184" t="str">
        <f t="shared" si="2"/>
        <v>CA-2014-107398_OFF-BI-10001982</v>
      </c>
      <c r="E184" t="str">
        <f>IF(COUNTIF(data2!$D:$D,D184)=0,"Missing in Data2","Present")</f>
        <v>Present</v>
      </c>
    </row>
    <row r="185" spans="1:5" x14ac:dyDescent="0.25">
      <c r="A185" s="2" t="s">
        <v>273</v>
      </c>
      <c r="B185" s="2" t="s">
        <v>275</v>
      </c>
      <c r="C185" s="2">
        <v>8</v>
      </c>
      <c r="D185" t="str">
        <f t="shared" si="2"/>
        <v>CA-2014-107398_OFF-BI-10002103</v>
      </c>
      <c r="E185" t="str">
        <f>IF(COUNTIF(data2!$D:$D,D185)=0,"Missing in Data2","Present")</f>
        <v>Present</v>
      </c>
    </row>
    <row r="186" spans="1:5" x14ac:dyDescent="0.25">
      <c r="A186" s="2" t="s">
        <v>273</v>
      </c>
      <c r="B186" s="2" t="s">
        <v>276</v>
      </c>
      <c r="C186" s="2">
        <v>3</v>
      </c>
      <c r="D186" t="str">
        <f t="shared" si="2"/>
        <v>CA-2014-107398_OFF-BI-10004141</v>
      </c>
      <c r="E186" t="str">
        <f>IF(COUNTIF(data2!$D:$D,D186)=0,"Missing in Data2","Present")</f>
        <v>Present</v>
      </c>
    </row>
    <row r="187" spans="1:5" x14ac:dyDescent="0.25">
      <c r="A187" s="2" t="s">
        <v>277</v>
      </c>
      <c r="B187" s="2" t="s">
        <v>278</v>
      </c>
      <c r="C187" s="2">
        <v>6</v>
      </c>
      <c r="D187" t="str">
        <f t="shared" si="2"/>
        <v>CA-2014-107454_FUR-FU-10004018</v>
      </c>
      <c r="E187" t="str">
        <f>IF(COUNTIF(data2!$D:$D,D187)=0,"Missing in Data2","Present")</f>
        <v>Present</v>
      </c>
    </row>
    <row r="188" spans="1:5" x14ac:dyDescent="0.25">
      <c r="A188" s="2" t="s">
        <v>277</v>
      </c>
      <c r="B188" s="2" t="s">
        <v>279</v>
      </c>
      <c r="C188" s="2">
        <v>7</v>
      </c>
      <c r="D188" t="str">
        <f t="shared" si="2"/>
        <v>CA-2014-107454_OFF-LA-10001569</v>
      </c>
      <c r="E188" t="str">
        <f>IF(COUNTIF(data2!$D:$D,D188)=0,"Missing in Data2","Present")</f>
        <v>Present</v>
      </c>
    </row>
    <row r="189" spans="1:5" x14ac:dyDescent="0.25">
      <c r="A189" s="2" t="s">
        <v>280</v>
      </c>
      <c r="B189" s="2" t="s">
        <v>281</v>
      </c>
      <c r="C189" s="2">
        <v>2</v>
      </c>
      <c r="D189" t="str">
        <f t="shared" si="2"/>
        <v>CA-2014-107524_OFF-EN-10001990</v>
      </c>
      <c r="E189" t="str">
        <f>IF(COUNTIF(data2!$D:$D,D189)=0,"Missing in Data2","Present")</f>
        <v>Present</v>
      </c>
    </row>
    <row r="190" spans="1:5" x14ac:dyDescent="0.25">
      <c r="A190" s="2" t="s">
        <v>280</v>
      </c>
      <c r="B190" s="2" t="s">
        <v>282</v>
      </c>
      <c r="C190" s="2">
        <v>5</v>
      </c>
      <c r="D190" t="str">
        <f t="shared" si="2"/>
        <v>CA-2014-107524_OFF-PA-10000587</v>
      </c>
      <c r="E190" t="str">
        <f>IF(COUNTIF(data2!$D:$D,D190)=0,"Missing in Data2","Present")</f>
        <v>Present</v>
      </c>
    </row>
    <row r="191" spans="1:5" x14ac:dyDescent="0.25">
      <c r="A191" s="2" t="s">
        <v>283</v>
      </c>
      <c r="B191" s="2" t="s">
        <v>284</v>
      </c>
      <c r="C191" s="2">
        <v>3</v>
      </c>
      <c r="D191" t="str">
        <f t="shared" si="2"/>
        <v>CA-2014-107573_OFF-EN-10001099</v>
      </c>
      <c r="E191" t="str">
        <f>IF(COUNTIF(data2!$D:$D,D191)=0,"Missing in Data2","Present")</f>
        <v>Present</v>
      </c>
    </row>
    <row r="192" spans="1:5" x14ac:dyDescent="0.25">
      <c r="A192" s="2" t="s">
        <v>285</v>
      </c>
      <c r="B192" s="2" t="s">
        <v>286</v>
      </c>
      <c r="C192" s="2">
        <v>1</v>
      </c>
      <c r="D192" t="str">
        <f t="shared" si="2"/>
        <v>CA-2014-107594_OFF-AR-10000716</v>
      </c>
      <c r="E192" t="str">
        <f>IF(COUNTIF(data2!$D:$D,D192)=0,"Missing in Data2","Present")</f>
        <v>Present</v>
      </c>
    </row>
    <row r="193" spans="1:5" x14ac:dyDescent="0.25">
      <c r="A193" s="2" t="s">
        <v>285</v>
      </c>
      <c r="B193" s="2" t="s">
        <v>82</v>
      </c>
      <c r="C193" s="2">
        <v>2</v>
      </c>
      <c r="D193" t="str">
        <f t="shared" si="2"/>
        <v>CA-2014-107594_TEC-PH-10002923</v>
      </c>
      <c r="E193" t="str">
        <f>IF(COUNTIF(data2!$D:$D,D193)=0,"Missing in Data2","Present")</f>
        <v>Missing in Data2</v>
      </c>
    </row>
    <row r="194" spans="1:5" x14ac:dyDescent="0.25">
      <c r="A194" s="2" t="s">
        <v>287</v>
      </c>
      <c r="B194" s="2" t="s">
        <v>288</v>
      </c>
      <c r="C194" s="2">
        <v>3</v>
      </c>
      <c r="D194" t="str">
        <f t="shared" si="2"/>
        <v>CA-2014-107706_OFF-PA-10000466</v>
      </c>
      <c r="E194" t="str">
        <f>IF(COUNTIF(data2!$D:$D,D194)=0,"Missing in Data2","Present")</f>
        <v>Present</v>
      </c>
    </row>
    <row r="195" spans="1:5" x14ac:dyDescent="0.25">
      <c r="A195" s="2" t="s">
        <v>289</v>
      </c>
      <c r="B195" s="2" t="s">
        <v>290</v>
      </c>
      <c r="C195" s="2">
        <v>7</v>
      </c>
      <c r="D195" t="str">
        <f t="shared" ref="D195:D258" si="3">A195&amp;"_"&amp;B195</f>
        <v>CA-2014-107755_TEC-AC-10000710</v>
      </c>
      <c r="E195" t="str">
        <f>IF(COUNTIF(data2!$D:$D,D195)=0,"Missing in Data2","Present")</f>
        <v>Present</v>
      </c>
    </row>
    <row r="196" spans="1:5" x14ac:dyDescent="0.25">
      <c r="A196" s="2" t="s">
        <v>291</v>
      </c>
      <c r="B196" s="2" t="s">
        <v>292</v>
      </c>
      <c r="C196" s="2">
        <v>2</v>
      </c>
      <c r="D196" t="str">
        <f t="shared" si="3"/>
        <v>CA-2014-107769_TEC-PH-10001336</v>
      </c>
      <c r="E196" t="str">
        <f>IF(COUNTIF(data2!$D:$D,D196)=0,"Missing in Data2","Present")</f>
        <v>Present</v>
      </c>
    </row>
    <row r="197" spans="1:5" x14ac:dyDescent="0.25">
      <c r="A197" s="2" t="s">
        <v>293</v>
      </c>
      <c r="B197" s="2" t="s">
        <v>294</v>
      </c>
      <c r="C197" s="2">
        <v>2</v>
      </c>
      <c r="D197" t="str">
        <f t="shared" si="3"/>
        <v>CA-2014-107811_FUR-CH-10001394</v>
      </c>
      <c r="E197" t="str">
        <f>IF(COUNTIF(data2!$D:$D,D197)=0,"Missing in Data2","Present")</f>
        <v>Missing in Data2</v>
      </c>
    </row>
    <row r="198" spans="1:5" x14ac:dyDescent="0.25">
      <c r="A198" s="2" t="s">
        <v>293</v>
      </c>
      <c r="B198" s="2" t="s">
        <v>295</v>
      </c>
      <c r="C198" s="2">
        <v>5</v>
      </c>
      <c r="D198" t="str">
        <f t="shared" si="3"/>
        <v>CA-2014-107811_OFF-ST-10000798</v>
      </c>
      <c r="E198" t="str">
        <f>IF(COUNTIF(data2!$D:$D,D198)=0,"Missing in Data2","Present")</f>
        <v>Present</v>
      </c>
    </row>
    <row r="199" spans="1:5" x14ac:dyDescent="0.25">
      <c r="A199" s="2" t="s">
        <v>296</v>
      </c>
      <c r="B199" s="2" t="s">
        <v>297</v>
      </c>
      <c r="C199" s="2">
        <v>5</v>
      </c>
      <c r="D199" t="str">
        <f t="shared" si="3"/>
        <v>CA-2014-107818_FUR-CH-10000454</v>
      </c>
      <c r="E199" t="str">
        <f>IF(COUNTIF(data2!$D:$D,D199)=0,"Missing in Data2","Present")</f>
        <v>Present</v>
      </c>
    </row>
    <row r="200" spans="1:5" x14ac:dyDescent="0.25">
      <c r="A200" s="2" t="s">
        <v>296</v>
      </c>
      <c r="B200" s="2" t="s">
        <v>23</v>
      </c>
      <c r="C200" s="2">
        <v>8</v>
      </c>
      <c r="D200" t="str">
        <f t="shared" si="3"/>
        <v>CA-2014-107818_OFF-AR-10000380</v>
      </c>
      <c r="E200" t="str">
        <f>IF(COUNTIF(data2!$D:$D,D200)=0,"Missing in Data2","Present")</f>
        <v>Present</v>
      </c>
    </row>
    <row r="201" spans="1:5" x14ac:dyDescent="0.25">
      <c r="A201" s="2" t="s">
        <v>296</v>
      </c>
      <c r="B201" s="2" t="s">
        <v>298</v>
      </c>
      <c r="C201" s="2">
        <v>2</v>
      </c>
      <c r="D201" t="str">
        <f t="shared" si="3"/>
        <v>CA-2014-107818_OFF-AR-10003045</v>
      </c>
      <c r="E201" t="str">
        <f>IF(COUNTIF(data2!$D:$D,D201)=0,"Missing in Data2","Present")</f>
        <v>Present</v>
      </c>
    </row>
    <row r="202" spans="1:5" x14ac:dyDescent="0.25">
      <c r="A202" s="2" t="s">
        <v>296</v>
      </c>
      <c r="B202" s="2" t="s">
        <v>299</v>
      </c>
      <c r="C202" s="2">
        <v>6</v>
      </c>
      <c r="D202" t="str">
        <f t="shared" si="3"/>
        <v>CA-2014-107818_OFF-ST-10000736</v>
      </c>
      <c r="E202" t="str">
        <f>IF(COUNTIF(data2!$D:$D,D202)=0,"Missing in Data2","Present")</f>
        <v>Present</v>
      </c>
    </row>
    <row r="203" spans="1:5" x14ac:dyDescent="0.25">
      <c r="A203" s="2" t="s">
        <v>300</v>
      </c>
      <c r="B203" s="2" t="s">
        <v>111</v>
      </c>
      <c r="C203" s="2">
        <v>2</v>
      </c>
      <c r="D203" t="str">
        <f t="shared" si="3"/>
        <v>CA-2014-107916_FUR-FU-10004586</v>
      </c>
      <c r="E203" t="str">
        <f>IF(COUNTIF(data2!$D:$D,D203)=0,"Missing in Data2","Present")</f>
        <v>Present</v>
      </c>
    </row>
    <row r="204" spans="1:5" x14ac:dyDescent="0.25">
      <c r="A204" s="2" t="s">
        <v>300</v>
      </c>
      <c r="B204" s="2" t="s">
        <v>301</v>
      </c>
      <c r="C204" s="2">
        <v>3</v>
      </c>
      <c r="D204" t="str">
        <f t="shared" si="3"/>
        <v>CA-2014-107916_OFF-BI-10001116</v>
      </c>
      <c r="E204" t="str">
        <f>IF(COUNTIF(data2!$D:$D,D204)=0,"Missing in Data2","Present")</f>
        <v>Present</v>
      </c>
    </row>
    <row r="205" spans="1:5" x14ac:dyDescent="0.25">
      <c r="A205" s="2" t="s">
        <v>302</v>
      </c>
      <c r="B205" s="2" t="s">
        <v>303</v>
      </c>
      <c r="C205" s="2">
        <v>2</v>
      </c>
      <c r="D205" t="str">
        <f t="shared" si="3"/>
        <v>CA-2014-108147_OFF-BI-10003876</v>
      </c>
      <c r="E205" t="str">
        <f>IF(COUNTIF(data2!$D:$D,D205)=0,"Missing in Data2","Present")</f>
        <v>Present</v>
      </c>
    </row>
    <row r="206" spans="1:5" x14ac:dyDescent="0.25">
      <c r="A206" s="2" t="s">
        <v>302</v>
      </c>
      <c r="B206" s="2" t="s">
        <v>304</v>
      </c>
      <c r="C206" s="2">
        <v>6</v>
      </c>
      <c r="D206" t="str">
        <f t="shared" si="3"/>
        <v>CA-2014-108147_OFF-ST-10003470</v>
      </c>
      <c r="E206" t="str">
        <f>IF(COUNTIF(data2!$D:$D,D206)=0,"Missing in Data2","Present")</f>
        <v>Present</v>
      </c>
    </row>
    <row r="207" spans="1:5" x14ac:dyDescent="0.25">
      <c r="A207" s="2" t="s">
        <v>305</v>
      </c>
      <c r="B207" s="2" t="s">
        <v>171</v>
      </c>
      <c r="C207" s="2">
        <v>2</v>
      </c>
      <c r="D207" t="str">
        <f t="shared" si="3"/>
        <v>CA-2014-108182_OFF-BI-10001196</v>
      </c>
      <c r="E207" t="str">
        <f>IF(COUNTIF(data2!$D:$D,D207)=0,"Missing in Data2","Present")</f>
        <v>Present</v>
      </c>
    </row>
    <row r="208" spans="1:5" x14ac:dyDescent="0.25">
      <c r="A208" s="2" t="s">
        <v>306</v>
      </c>
      <c r="B208" s="2" t="s">
        <v>307</v>
      </c>
      <c r="C208" s="2">
        <v>6</v>
      </c>
      <c r="D208" t="str">
        <f t="shared" si="3"/>
        <v>CA-2014-108189_OFF-EN-10004846</v>
      </c>
      <c r="E208" t="str">
        <f>IF(COUNTIF(data2!$D:$D,D208)=0,"Missing in Data2","Present")</f>
        <v>Present</v>
      </c>
    </row>
    <row r="209" spans="1:5" x14ac:dyDescent="0.25">
      <c r="A209" s="2" t="s">
        <v>306</v>
      </c>
      <c r="B209" s="2" t="s">
        <v>308</v>
      </c>
      <c r="C209" s="2">
        <v>2</v>
      </c>
      <c r="D209" t="str">
        <f t="shared" si="3"/>
        <v>CA-2014-108189_OFF-FA-10000735</v>
      </c>
      <c r="E209" t="str">
        <f>IF(COUNTIF(data2!$D:$D,D209)=0,"Missing in Data2","Present")</f>
        <v>Missing in Data2</v>
      </c>
    </row>
    <row r="210" spans="1:5" x14ac:dyDescent="0.25">
      <c r="A210" s="2" t="s">
        <v>306</v>
      </c>
      <c r="B210" s="2" t="s">
        <v>309</v>
      </c>
      <c r="C210" s="2">
        <v>2</v>
      </c>
      <c r="D210" t="str">
        <f t="shared" si="3"/>
        <v>CA-2014-108189_OFF-PA-10001838</v>
      </c>
      <c r="E210" t="str">
        <f>IF(COUNTIF(data2!$D:$D,D210)=0,"Missing in Data2","Present")</f>
        <v>Present</v>
      </c>
    </row>
    <row r="211" spans="1:5" x14ac:dyDescent="0.25">
      <c r="A211" s="2" t="s">
        <v>306</v>
      </c>
      <c r="B211" s="2" t="s">
        <v>310</v>
      </c>
      <c r="C211" s="2">
        <v>2</v>
      </c>
      <c r="D211" t="str">
        <f t="shared" si="3"/>
        <v>CA-2014-108189_OFF-SU-10003567</v>
      </c>
      <c r="E211" t="str">
        <f>IF(COUNTIF(data2!$D:$D,D211)=0,"Missing in Data2","Present")</f>
        <v>Present</v>
      </c>
    </row>
    <row r="212" spans="1:5" x14ac:dyDescent="0.25">
      <c r="A212" s="2" t="s">
        <v>306</v>
      </c>
      <c r="B212" s="2" t="s">
        <v>311</v>
      </c>
      <c r="C212" s="2">
        <v>1</v>
      </c>
      <c r="D212" t="str">
        <f t="shared" si="3"/>
        <v>CA-2014-108189_TEC-AC-10003038</v>
      </c>
      <c r="E212" t="str">
        <f>IF(COUNTIF(data2!$D:$D,D212)=0,"Missing in Data2","Present")</f>
        <v>Present</v>
      </c>
    </row>
    <row r="213" spans="1:5" x14ac:dyDescent="0.25">
      <c r="A213" s="2" t="s">
        <v>306</v>
      </c>
      <c r="B213" s="2" t="s">
        <v>312</v>
      </c>
      <c r="C213" s="2">
        <v>3</v>
      </c>
      <c r="D213" t="str">
        <f t="shared" si="3"/>
        <v>CA-2014-108189_TEC-PH-10001557</v>
      </c>
      <c r="E213" t="str">
        <f>IF(COUNTIF(data2!$D:$D,D213)=0,"Missing in Data2","Present")</f>
        <v>Present</v>
      </c>
    </row>
    <row r="214" spans="1:5" x14ac:dyDescent="0.25">
      <c r="A214" s="2" t="s">
        <v>306</v>
      </c>
      <c r="B214" s="2" t="s">
        <v>313</v>
      </c>
      <c r="C214" s="2">
        <v>2</v>
      </c>
      <c r="D214" t="str">
        <f t="shared" si="3"/>
        <v>CA-2014-108189_TEC-PH-10001760</v>
      </c>
      <c r="E214" t="str">
        <f>IF(COUNTIF(data2!$D:$D,D214)=0,"Missing in Data2","Present")</f>
        <v>Present</v>
      </c>
    </row>
    <row r="215" spans="1:5" x14ac:dyDescent="0.25">
      <c r="A215" s="2" t="s">
        <v>314</v>
      </c>
      <c r="B215" s="2" t="s">
        <v>315</v>
      </c>
      <c r="C215" s="2">
        <v>2</v>
      </c>
      <c r="D215" t="str">
        <f t="shared" si="3"/>
        <v>CA-2014-108273_FUR-FU-10002116</v>
      </c>
      <c r="E215" t="str">
        <f>IF(COUNTIF(data2!$D:$D,D215)=0,"Missing in Data2","Present")</f>
        <v>Present</v>
      </c>
    </row>
    <row r="216" spans="1:5" x14ac:dyDescent="0.25">
      <c r="A216" s="2" t="s">
        <v>314</v>
      </c>
      <c r="B216" s="2" t="s">
        <v>316</v>
      </c>
      <c r="C216" s="2">
        <v>7</v>
      </c>
      <c r="D216" t="str">
        <f t="shared" si="3"/>
        <v>CA-2014-108273_OFF-PA-10000029</v>
      </c>
      <c r="E216" t="str">
        <f>IF(COUNTIF(data2!$D:$D,D216)=0,"Missing in Data2","Present")</f>
        <v>Present</v>
      </c>
    </row>
    <row r="217" spans="1:5" x14ac:dyDescent="0.25">
      <c r="A217" s="2" t="s">
        <v>317</v>
      </c>
      <c r="B217" s="2" t="s">
        <v>318</v>
      </c>
      <c r="C217" s="2">
        <v>8</v>
      </c>
      <c r="D217" t="str">
        <f t="shared" si="3"/>
        <v>CA-2014-108609_FUR-TA-10003954</v>
      </c>
      <c r="E217" t="str">
        <f>IF(COUNTIF(data2!$D:$D,D217)=0,"Missing in Data2","Present")</f>
        <v>Present</v>
      </c>
    </row>
    <row r="218" spans="1:5" x14ac:dyDescent="0.25">
      <c r="A218" s="2" t="s">
        <v>319</v>
      </c>
      <c r="B218" s="2" t="s">
        <v>320</v>
      </c>
      <c r="C218" s="2">
        <v>2</v>
      </c>
      <c r="D218" t="str">
        <f t="shared" si="3"/>
        <v>CA-2014-108707_OFF-PA-10000788</v>
      </c>
      <c r="E218" t="str">
        <f>IF(COUNTIF(data2!$D:$D,D218)=0,"Missing in Data2","Present")</f>
        <v>Present</v>
      </c>
    </row>
    <row r="219" spans="1:5" x14ac:dyDescent="0.25">
      <c r="A219" s="2" t="s">
        <v>321</v>
      </c>
      <c r="B219" s="2" t="s">
        <v>322</v>
      </c>
      <c r="C219" s="2">
        <v>2</v>
      </c>
      <c r="D219" t="str">
        <f t="shared" si="3"/>
        <v>CA-2014-108903_OFF-AR-10004010</v>
      </c>
      <c r="E219" t="str">
        <f>IF(COUNTIF(data2!$D:$D,D219)=0,"Missing in Data2","Present")</f>
        <v>Present</v>
      </c>
    </row>
    <row r="220" spans="1:5" x14ac:dyDescent="0.25">
      <c r="A220" s="2" t="s">
        <v>321</v>
      </c>
      <c r="B220" s="2" t="s">
        <v>323</v>
      </c>
      <c r="C220" s="2">
        <v>5</v>
      </c>
      <c r="D220" t="str">
        <f t="shared" si="3"/>
        <v>CA-2014-108903_OFF-EN-10004030</v>
      </c>
      <c r="E220" t="str">
        <f>IF(COUNTIF(data2!$D:$D,D220)=0,"Missing in Data2","Present")</f>
        <v>Present</v>
      </c>
    </row>
    <row r="221" spans="1:5" x14ac:dyDescent="0.25">
      <c r="A221" s="2" t="s">
        <v>321</v>
      </c>
      <c r="B221" s="2" t="s">
        <v>324</v>
      </c>
      <c r="C221" s="2">
        <v>3</v>
      </c>
      <c r="D221" t="str">
        <f t="shared" si="3"/>
        <v>CA-2014-108903_TEC-AC-10003023</v>
      </c>
      <c r="E221" t="str">
        <f>IF(COUNTIF(data2!$D:$D,D221)=0,"Missing in Data2","Present")</f>
        <v>Present</v>
      </c>
    </row>
    <row r="222" spans="1:5" x14ac:dyDescent="0.25">
      <c r="A222" s="2" t="s">
        <v>325</v>
      </c>
      <c r="B222" s="2" t="s">
        <v>326</v>
      </c>
      <c r="C222" s="2">
        <v>5</v>
      </c>
      <c r="D222" t="str">
        <f t="shared" si="3"/>
        <v>CA-2014-109043_OFF-AP-10004708</v>
      </c>
      <c r="E222" t="str">
        <f>IF(COUNTIF(data2!$D:$D,D222)=0,"Missing in Data2","Present")</f>
        <v>Present</v>
      </c>
    </row>
    <row r="223" spans="1:5" x14ac:dyDescent="0.25">
      <c r="A223" s="2" t="s">
        <v>325</v>
      </c>
      <c r="B223" s="2" t="s">
        <v>327</v>
      </c>
      <c r="C223" s="2">
        <v>5</v>
      </c>
      <c r="D223" t="str">
        <f t="shared" si="3"/>
        <v>CA-2014-109043_OFF-PA-10000312</v>
      </c>
      <c r="E223" t="str">
        <f>IF(COUNTIF(data2!$D:$D,D223)=0,"Missing in Data2","Present")</f>
        <v>Present</v>
      </c>
    </row>
    <row r="224" spans="1:5" x14ac:dyDescent="0.25">
      <c r="A224" s="2" t="s">
        <v>328</v>
      </c>
      <c r="B224" s="2" t="s">
        <v>329</v>
      </c>
      <c r="C224" s="2">
        <v>6</v>
      </c>
      <c r="D224" t="str">
        <f t="shared" si="3"/>
        <v>CA-2014-109127_OFF-LA-10004409</v>
      </c>
      <c r="E224" t="str">
        <f>IF(COUNTIF(data2!$D:$D,D224)=0,"Missing in Data2","Present")</f>
        <v>Present</v>
      </c>
    </row>
    <row r="225" spans="1:5" x14ac:dyDescent="0.25">
      <c r="A225" s="2" t="s">
        <v>330</v>
      </c>
      <c r="B225" s="2" t="s">
        <v>331</v>
      </c>
      <c r="C225" s="2">
        <v>6</v>
      </c>
      <c r="D225" t="str">
        <f t="shared" si="3"/>
        <v>CA-2014-109134_FUR-FU-10000320</v>
      </c>
      <c r="E225" t="str">
        <f>IF(COUNTIF(data2!$D:$D,D225)=0,"Missing in Data2","Present")</f>
        <v>Present</v>
      </c>
    </row>
    <row r="226" spans="1:5" x14ac:dyDescent="0.25">
      <c r="A226" s="2" t="s">
        <v>332</v>
      </c>
      <c r="B226" s="2" t="s">
        <v>333</v>
      </c>
      <c r="C226" s="2">
        <v>5</v>
      </c>
      <c r="D226" t="str">
        <f t="shared" si="3"/>
        <v>CA-2014-109218_OFF-AR-10001374</v>
      </c>
      <c r="E226" t="str">
        <f>IF(COUNTIF(data2!$D:$D,D226)=0,"Missing in Data2","Present")</f>
        <v>Present</v>
      </c>
    </row>
    <row r="227" spans="1:5" x14ac:dyDescent="0.25">
      <c r="A227" s="2" t="s">
        <v>334</v>
      </c>
      <c r="B227" s="2" t="s">
        <v>335</v>
      </c>
      <c r="C227" s="2">
        <v>6</v>
      </c>
      <c r="D227" t="str">
        <f t="shared" si="3"/>
        <v>CA-2014-109232_FUR-CH-10000422</v>
      </c>
      <c r="E227" t="str">
        <f>IF(COUNTIF(data2!$D:$D,D227)=0,"Missing in Data2","Present")</f>
        <v>Present</v>
      </c>
    </row>
    <row r="228" spans="1:5" x14ac:dyDescent="0.25">
      <c r="A228" s="2" t="s">
        <v>336</v>
      </c>
      <c r="B228" s="2" t="s">
        <v>337</v>
      </c>
      <c r="C228" s="2">
        <v>7</v>
      </c>
      <c r="D228" t="str">
        <f t="shared" si="3"/>
        <v>CA-2014-109302_OFF-BI-10002854</v>
      </c>
      <c r="E228" t="str">
        <f>IF(COUNTIF(data2!$D:$D,D228)=0,"Missing in Data2","Present")</f>
        <v>Present</v>
      </c>
    </row>
    <row r="229" spans="1:5" x14ac:dyDescent="0.25">
      <c r="A229" s="2" t="s">
        <v>338</v>
      </c>
      <c r="B229" s="2" t="s">
        <v>339</v>
      </c>
      <c r="C229" s="2">
        <v>4</v>
      </c>
      <c r="D229" t="str">
        <f t="shared" si="3"/>
        <v>CA-2014-109491_FUR-FU-10000221</v>
      </c>
      <c r="E229" t="str">
        <f>IF(COUNTIF(data2!$D:$D,D229)=0,"Missing in Data2","Present")</f>
        <v>Present</v>
      </c>
    </row>
    <row r="230" spans="1:5" x14ac:dyDescent="0.25">
      <c r="A230" s="2" t="s">
        <v>338</v>
      </c>
      <c r="B230" s="2" t="s">
        <v>340</v>
      </c>
      <c r="C230" s="2">
        <v>3</v>
      </c>
      <c r="D230" t="str">
        <f t="shared" si="3"/>
        <v>CA-2014-109491_TEC-AC-10001284</v>
      </c>
      <c r="E230" t="str">
        <f>IF(COUNTIF(data2!$D:$D,D230)=0,"Missing in Data2","Present")</f>
        <v>Present</v>
      </c>
    </row>
    <row r="231" spans="1:5" x14ac:dyDescent="0.25">
      <c r="A231" s="2" t="s">
        <v>341</v>
      </c>
      <c r="B231" s="2" t="s">
        <v>342</v>
      </c>
      <c r="C231" s="2">
        <v>2</v>
      </c>
      <c r="D231" t="str">
        <f t="shared" si="3"/>
        <v>CA-2014-109680_OFF-ST-10001932</v>
      </c>
      <c r="E231" t="str">
        <f>IF(COUNTIF(data2!$D:$D,D231)=0,"Missing in Data2","Present")</f>
        <v>Present</v>
      </c>
    </row>
    <row r="232" spans="1:5" x14ac:dyDescent="0.25">
      <c r="A232" s="2" t="s">
        <v>343</v>
      </c>
      <c r="B232" s="2" t="s">
        <v>344</v>
      </c>
      <c r="C232" s="2">
        <v>2</v>
      </c>
      <c r="D232" t="str">
        <f t="shared" si="3"/>
        <v>CA-2014-109855_OFF-BI-10004716</v>
      </c>
      <c r="E232" t="str">
        <f>IF(COUNTIF(data2!$D:$D,D232)=0,"Missing in Data2","Present")</f>
        <v>Present</v>
      </c>
    </row>
    <row r="233" spans="1:5" x14ac:dyDescent="0.25">
      <c r="A233" s="2" t="s">
        <v>343</v>
      </c>
      <c r="B233" s="2" t="s">
        <v>345</v>
      </c>
      <c r="C233" s="2">
        <v>3</v>
      </c>
      <c r="D233" t="str">
        <f t="shared" si="3"/>
        <v>CA-2014-109855_TEC-AC-10002842</v>
      </c>
      <c r="E233" t="str">
        <f>IF(COUNTIF(data2!$D:$D,D233)=0,"Missing in Data2","Present")</f>
        <v>Present</v>
      </c>
    </row>
    <row r="234" spans="1:5" x14ac:dyDescent="0.25">
      <c r="A234" s="2" t="s">
        <v>346</v>
      </c>
      <c r="B234" s="2" t="s">
        <v>347</v>
      </c>
      <c r="C234" s="2">
        <v>2</v>
      </c>
      <c r="D234" t="str">
        <f t="shared" si="3"/>
        <v>CA-2014-109890_TEC-PH-10004100</v>
      </c>
      <c r="E234" t="str">
        <f>IF(COUNTIF(data2!$D:$D,D234)=0,"Missing in Data2","Present")</f>
        <v>Present</v>
      </c>
    </row>
    <row r="235" spans="1:5" x14ac:dyDescent="0.25">
      <c r="A235" s="2" t="s">
        <v>348</v>
      </c>
      <c r="B235" s="2" t="s">
        <v>349</v>
      </c>
      <c r="C235" s="2">
        <v>3</v>
      </c>
      <c r="D235" t="str">
        <f t="shared" si="3"/>
        <v>CA-2014-109897_FUR-FU-10002878</v>
      </c>
      <c r="E235" t="str">
        <f>IF(COUNTIF(data2!$D:$D,D235)=0,"Missing in Data2","Present")</f>
        <v>Present</v>
      </c>
    </row>
    <row r="236" spans="1:5" x14ac:dyDescent="0.25">
      <c r="A236" s="2" t="s">
        <v>348</v>
      </c>
      <c r="B236" s="2" t="s">
        <v>350</v>
      </c>
      <c r="C236" s="2">
        <v>8</v>
      </c>
      <c r="D236" t="str">
        <f t="shared" si="3"/>
        <v>CA-2014-109897_TEC-PH-10003691</v>
      </c>
      <c r="E236" t="str">
        <f>IF(COUNTIF(data2!$D:$D,D236)=0,"Missing in Data2","Present")</f>
        <v>Present</v>
      </c>
    </row>
    <row r="237" spans="1:5" x14ac:dyDescent="0.25">
      <c r="A237" s="2" t="s">
        <v>351</v>
      </c>
      <c r="B237" s="2" t="s">
        <v>352</v>
      </c>
      <c r="C237" s="2">
        <v>3</v>
      </c>
      <c r="D237" t="str">
        <f t="shared" si="3"/>
        <v>CA-2014-109904_OFF-AR-10004999</v>
      </c>
      <c r="E237" t="str">
        <f>IF(COUNTIF(data2!$D:$D,D237)=0,"Missing in Data2","Present")</f>
        <v>Present</v>
      </c>
    </row>
    <row r="238" spans="1:5" x14ac:dyDescent="0.25">
      <c r="A238" s="2" t="s">
        <v>353</v>
      </c>
      <c r="B238" s="2" t="s">
        <v>354</v>
      </c>
      <c r="C238" s="2">
        <v>5</v>
      </c>
      <c r="D238" t="str">
        <f t="shared" si="3"/>
        <v>CA-2014-109918_OFF-BI-10004308</v>
      </c>
      <c r="E238" t="str">
        <f>IF(COUNTIF(data2!$D:$D,D238)=0,"Missing in Data2","Present")</f>
        <v>Present</v>
      </c>
    </row>
    <row r="239" spans="1:5" x14ac:dyDescent="0.25">
      <c r="A239" s="2" t="s">
        <v>353</v>
      </c>
      <c r="B239" s="2" t="s">
        <v>155</v>
      </c>
      <c r="C239" s="2">
        <v>2</v>
      </c>
      <c r="D239" t="str">
        <f t="shared" si="3"/>
        <v>CA-2014-109918_OFF-PA-10000174</v>
      </c>
      <c r="E239" t="str">
        <f>IF(COUNTIF(data2!$D:$D,D239)=0,"Missing in Data2","Present")</f>
        <v>Present</v>
      </c>
    </row>
    <row r="240" spans="1:5" x14ac:dyDescent="0.25">
      <c r="A240" s="2" t="s">
        <v>353</v>
      </c>
      <c r="B240" s="2" t="s">
        <v>355</v>
      </c>
      <c r="C240" s="2">
        <v>4</v>
      </c>
      <c r="D240" t="str">
        <f t="shared" si="3"/>
        <v>CA-2014-109918_OFF-SU-10004290</v>
      </c>
      <c r="E240" t="str">
        <f>IF(COUNTIF(data2!$D:$D,D240)=0,"Missing in Data2","Present")</f>
        <v>Missing in Data2</v>
      </c>
    </row>
    <row r="241" spans="1:5" x14ac:dyDescent="0.25">
      <c r="A241" s="2" t="s">
        <v>356</v>
      </c>
      <c r="B241" s="2" t="s">
        <v>89</v>
      </c>
      <c r="C241" s="2">
        <v>2</v>
      </c>
      <c r="D241" t="str">
        <f t="shared" si="3"/>
        <v>CA-2014-109932_OFF-PA-10001804</v>
      </c>
      <c r="E241" t="str">
        <f>IF(COUNTIF(data2!$D:$D,D241)=0,"Missing in Data2","Present")</f>
        <v>Missing in Data2</v>
      </c>
    </row>
    <row r="242" spans="1:5" x14ac:dyDescent="0.25">
      <c r="A242" s="2" t="s">
        <v>356</v>
      </c>
      <c r="B242" s="2" t="s">
        <v>357</v>
      </c>
      <c r="C242" s="2">
        <v>3</v>
      </c>
      <c r="D242" t="str">
        <f t="shared" si="3"/>
        <v>CA-2014-109932_OFF-ST-10000036</v>
      </c>
      <c r="E242" t="str">
        <f>IF(COUNTIF(data2!$D:$D,D242)=0,"Missing in Data2","Present")</f>
        <v>Present</v>
      </c>
    </row>
    <row r="243" spans="1:5" x14ac:dyDescent="0.25">
      <c r="A243" s="2" t="s">
        <v>358</v>
      </c>
      <c r="B243" s="2" t="s">
        <v>359</v>
      </c>
      <c r="C243" s="2">
        <v>3</v>
      </c>
      <c r="D243" t="str">
        <f t="shared" si="3"/>
        <v>CA-2014-110030_FUR-FU-10002759</v>
      </c>
      <c r="E243" t="str">
        <f>IF(COUNTIF(data2!$D:$D,D243)=0,"Missing in Data2","Present")</f>
        <v>Present</v>
      </c>
    </row>
    <row r="244" spans="1:5" x14ac:dyDescent="0.25">
      <c r="A244" s="2" t="s">
        <v>360</v>
      </c>
      <c r="B244" s="2" t="s">
        <v>361</v>
      </c>
      <c r="C244" s="2">
        <v>7</v>
      </c>
      <c r="D244" t="str">
        <f t="shared" si="3"/>
        <v>CA-2014-110065_OFF-AR-10004165</v>
      </c>
      <c r="E244" t="str">
        <f>IF(COUNTIF(data2!$D:$D,D244)=0,"Missing in Data2","Present")</f>
        <v>Present</v>
      </c>
    </row>
    <row r="245" spans="1:5" x14ac:dyDescent="0.25">
      <c r="A245" s="2" t="s">
        <v>360</v>
      </c>
      <c r="B245" s="2" t="s">
        <v>200</v>
      </c>
      <c r="C245" s="2">
        <v>1</v>
      </c>
      <c r="D245" t="str">
        <f t="shared" si="3"/>
        <v>CA-2014-110065_TEC-PH-10002468</v>
      </c>
      <c r="E245" t="str">
        <f>IF(COUNTIF(data2!$D:$D,D245)=0,"Missing in Data2","Present")</f>
        <v>Missing in Data2</v>
      </c>
    </row>
    <row r="246" spans="1:5" x14ac:dyDescent="0.25">
      <c r="A246" s="2" t="s">
        <v>362</v>
      </c>
      <c r="B246" s="2" t="s">
        <v>363</v>
      </c>
      <c r="C246" s="2">
        <v>4</v>
      </c>
      <c r="D246" t="str">
        <f t="shared" si="3"/>
        <v>CA-2014-110072_FUR-FU-10000521</v>
      </c>
      <c r="E246" t="str">
        <f>IF(COUNTIF(data2!$D:$D,D246)=0,"Missing in Data2","Present")</f>
        <v>Missing in Data2</v>
      </c>
    </row>
    <row r="247" spans="1:5" x14ac:dyDescent="0.25">
      <c r="A247" s="2" t="s">
        <v>364</v>
      </c>
      <c r="B247" s="2" t="s">
        <v>365</v>
      </c>
      <c r="C247" s="2">
        <v>3</v>
      </c>
      <c r="D247" t="str">
        <f t="shared" si="3"/>
        <v>CA-2014-110100_TEC-PH-10004531</v>
      </c>
      <c r="E247" t="str">
        <f>IF(COUNTIF(data2!$D:$D,D247)=0,"Missing in Data2","Present")</f>
        <v>Present</v>
      </c>
    </row>
    <row r="248" spans="1:5" x14ac:dyDescent="0.25">
      <c r="A248" s="2" t="s">
        <v>366</v>
      </c>
      <c r="B248" s="2" t="s">
        <v>367</v>
      </c>
      <c r="C248" s="2">
        <v>9</v>
      </c>
      <c r="D248" t="str">
        <f t="shared" si="3"/>
        <v>CA-2014-110184_OFF-ST-10000107</v>
      </c>
      <c r="E248" t="str">
        <f>IF(COUNTIF(data2!$D:$D,D248)=0,"Missing in Data2","Present")</f>
        <v>Present</v>
      </c>
    </row>
    <row r="249" spans="1:5" x14ac:dyDescent="0.25">
      <c r="A249" s="2" t="s">
        <v>366</v>
      </c>
      <c r="B249" s="2" t="s">
        <v>368</v>
      </c>
      <c r="C249" s="2">
        <v>8</v>
      </c>
      <c r="D249" t="str">
        <f t="shared" si="3"/>
        <v>CA-2014-110184_TEC-PH-10000439</v>
      </c>
      <c r="E249" t="str">
        <f>IF(COUNTIF(data2!$D:$D,D249)=0,"Missing in Data2","Present")</f>
        <v>Present</v>
      </c>
    </row>
    <row r="250" spans="1:5" x14ac:dyDescent="0.25">
      <c r="A250" s="2" t="s">
        <v>369</v>
      </c>
      <c r="B250" s="2" t="s">
        <v>370</v>
      </c>
      <c r="C250" s="2">
        <v>3</v>
      </c>
      <c r="D250" t="str">
        <f t="shared" si="3"/>
        <v>CA-2014-110219_FUR-CH-10001146</v>
      </c>
      <c r="E250" t="str">
        <f>IF(COUNTIF(data2!$D:$D,D250)=0,"Missing in Data2","Present")</f>
        <v>Present</v>
      </c>
    </row>
    <row r="251" spans="1:5" x14ac:dyDescent="0.25">
      <c r="A251" s="2" t="s">
        <v>371</v>
      </c>
      <c r="B251" s="2" t="s">
        <v>86</v>
      </c>
      <c r="C251" s="2">
        <v>2</v>
      </c>
      <c r="D251" t="str">
        <f t="shared" si="3"/>
        <v>CA-2014-110352_OFF-LA-10003923</v>
      </c>
      <c r="E251" t="str">
        <f>IF(COUNTIF(data2!$D:$D,D251)=0,"Missing in Data2","Present")</f>
        <v>Present</v>
      </c>
    </row>
    <row r="252" spans="1:5" x14ac:dyDescent="0.25">
      <c r="A252" s="2" t="s">
        <v>372</v>
      </c>
      <c r="B252" s="2" t="s">
        <v>373</v>
      </c>
      <c r="C252" s="2">
        <v>6</v>
      </c>
      <c r="D252" t="str">
        <f t="shared" si="3"/>
        <v>CA-2014-110408_FUR-CH-10003774</v>
      </c>
      <c r="E252" t="str">
        <f>IF(COUNTIF(data2!$D:$D,D252)=0,"Missing in Data2","Present")</f>
        <v>Present</v>
      </c>
    </row>
    <row r="253" spans="1:5" x14ac:dyDescent="0.25">
      <c r="A253" s="2" t="s">
        <v>372</v>
      </c>
      <c r="B253" s="2" t="s">
        <v>374</v>
      </c>
      <c r="C253" s="2">
        <v>3</v>
      </c>
      <c r="D253" t="str">
        <f t="shared" si="3"/>
        <v>CA-2014-110408_OFF-ST-10001522</v>
      </c>
      <c r="E253" t="str">
        <f>IF(COUNTIF(data2!$D:$D,D253)=0,"Missing in Data2","Present")</f>
        <v>Present</v>
      </c>
    </row>
    <row r="254" spans="1:5" x14ac:dyDescent="0.25">
      <c r="A254" s="2" t="s">
        <v>372</v>
      </c>
      <c r="B254" s="2" t="s">
        <v>375</v>
      </c>
      <c r="C254" s="2">
        <v>5</v>
      </c>
      <c r="D254" t="str">
        <f t="shared" si="3"/>
        <v>CA-2014-110408_TEC-PH-10002352</v>
      </c>
      <c r="E254" t="str">
        <f>IF(COUNTIF(data2!$D:$D,D254)=0,"Missing in Data2","Present")</f>
        <v>Present</v>
      </c>
    </row>
    <row r="255" spans="1:5" x14ac:dyDescent="0.25">
      <c r="A255" s="2" t="s">
        <v>376</v>
      </c>
      <c r="B255" s="2" t="s">
        <v>377</v>
      </c>
      <c r="C255" s="2">
        <v>3</v>
      </c>
      <c r="D255" t="str">
        <f t="shared" si="3"/>
        <v>CA-2014-110422_FUR-FU-10001889</v>
      </c>
      <c r="E255" t="str">
        <f>IF(COUNTIF(data2!$D:$D,D255)=0,"Missing in Data2","Present")</f>
        <v>Present</v>
      </c>
    </row>
    <row r="256" spans="1:5" x14ac:dyDescent="0.25">
      <c r="A256" s="2" t="s">
        <v>378</v>
      </c>
      <c r="B256" s="2" t="s">
        <v>379</v>
      </c>
      <c r="C256" s="2">
        <v>8</v>
      </c>
      <c r="D256" t="str">
        <f t="shared" si="3"/>
        <v>CA-2014-110527_OFF-LA-10000262</v>
      </c>
      <c r="E256" t="str">
        <f>IF(COUNTIF(data2!$D:$D,D256)=0,"Missing in Data2","Present")</f>
        <v>Present</v>
      </c>
    </row>
    <row r="257" spans="1:5" x14ac:dyDescent="0.25">
      <c r="A257" s="2" t="s">
        <v>380</v>
      </c>
      <c r="B257" s="2" t="s">
        <v>381</v>
      </c>
      <c r="C257" s="2">
        <v>7</v>
      </c>
      <c r="D257" t="str">
        <f t="shared" si="3"/>
        <v>CA-2014-110555_OFF-ST-10000876</v>
      </c>
      <c r="E257" t="str">
        <f>IF(COUNTIF(data2!$D:$D,D257)=0,"Missing in Data2","Present")</f>
        <v>Present</v>
      </c>
    </row>
    <row r="258" spans="1:5" x14ac:dyDescent="0.25">
      <c r="A258" s="2" t="s">
        <v>380</v>
      </c>
      <c r="B258" s="2" t="s">
        <v>382</v>
      </c>
      <c r="C258" s="2">
        <v>6</v>
      </c>
      <c r="D258" t="str">
        <f t="shared" si="3"/>
        <v>CA-2014-110555_TEC-AC-10003399</v>
      </c>
      <c r="E258" t="str">
        <f>IF(COUNTIF(data2!$D:$D,D258)=0,"Missing in Data2","Present")</f>
        <v>Present</v>
      </c>
    </row>
    <row r="259" spans="1:5" x14ac:dyDescent="0.25">
      <c r="A259" s="2" t="s">
        <v>380</v>
      </c>
      <c r="B259" s="2" t="s">
        <v>383</v>
      </c>
      <c r="C259" s="2">
        <v>2</v>
      </c>
      <c r="D259" t="str">
        <f t="shared" ref="D259:D322" si="4">A259&amp;"_"&amp;B259</f>
        <v>CA-2014-110555_TEC-PH-10000586</v>
      </c>
      <c r="E259" t="str">
        <f>IF(COUNTIF(data2!$D:$D,D259)=0,"Missing in Data2","Present")</f>
        <v>Present</v>
      </c>
    </row>
    <row r="260" spans="1:5" x14ac:dyDescent="0.25">
      <c r="A260" s="2" t="s">
        <v>384</v>
      </c>
      <c r="B260" s="2" t="s">
        <v>385</v>
      </c>
      <c r="C260" s="2">
        <v>4</v>
      </c>
      <c r="D260" t="str">
        <f t="shared" si="4"/>
        <v>CA-2014-110639_OFF-PA-10003936</v>
      </c>
      <c r="E260" t="str">
        <f>IF(COUNTIF(data2!$D:$D,D260)=0,"Missing in Data2","Present")</f>
        <v>Missing in Data2</v>
      </c>
    </row>
    <row r="261" spans="1:5" x14ac:dyDescent="0.25">
      <c r="A261" s="2" t="s">
        <v>384</v>
      </c>
      <c r="B261" s="2" t="s">
        <v>386</v>
      </c>
      <c r="C261" s="2">
        <v>4</v>
      </c>
      <c r="D261" t="str">
        <f t="shared" si="4"/>
        <v>CA-2014-110639_OFF-PA-10004530</v>
      </c>
      <c r="E261" t="str">
        <f>IF(COUNTIF(data2!$D:$D,D261)=0,"Missing in Data2","Present")</f>
        <v>Present</v>
      </c>
    </row>
    <row r="262" spans="1:5" x14ac:dyDescent="0.25">
      <c r="A262" s="2" t="s">
        <v>387</v>
      </c>
      <c r="B262" s="2" t="s">
        <v>388</v>
      </c>
      <c r="C262" s="2">
        <v>5</v>
      </c>
      <c r="D262" t="str">
        <f t="shared" si="4"/>
        <v>CA-2014-110786_FUR-FU-10000550</v>
      </c>
      <c r="E262" t="str">
        <f>IF(COUNTIF(data2!$D:$D,D262)=0,"Missing in Data2","Present")</f>
        <v>Present</v>
      </c>
    </row>
    <row r="263" spans="1:5" x14ac:dyDescent="0.25">
      <c r="A263" s="2" t="s">
        <v>387</v>
      </c>
      <c r="B263" s="2" t="s">
        <v>389</v>
      </c>
      <c r="C263" s="2">
        <v>6</v>
      </c>
      <c r="D263" t="str">
        <f t="shared" si="4"/>
        <v>CA-2014-110786_FUR-FU-10000672</v>
      </c>
      <c r="E263" t="str">
        <f>IF(COUNTIF(data2!$D:$D,D263)=0,"Missing in Data2","Present")</f>
        <v>Present</v>
      </c>
    </row>
    <row r="264" spans="1:5" x14ac:dyDescent="0.25">
      <c r="A264" s="2" t="s">
        <v>387</v>
      </c>
      <c r="B264" s="2" t="s">
        <v>390</v>
      </c>
      <c r="C264" s="2">
        <v>3</v>
      </c>
      <c r="D264" t="str">
        <f t="shared" si="4"/>
        <v>CA-2014-110786_OFF-BI-10003305</v>
      </c>
      <c r="E264" t="str">
        <f>IF(COUNTIF(data2!$D:$D,D264)=0,"Missing in Data2","Present")</f>
        <v>Present</v>
      </c>
    </row>
    <row r="265" spans="1:5" x14ac:dyDescent="0.25">
      <c r="A265" s="2" t="s">
        <v>387</v>
      </c>
      <c r="B265" s="2" t="s">
        <v>391</v>
      </c>
      <c r="C265" s="2">
        <v>9</v>
      </c>
      <c r="D265" t="str">
        <f t="shared" si="4"/>
        <v>CA-2014-110786_OFF-LA-10001474</v>
      </c>
      <c r="E265" t="str">
        <f>IF(COUNTIF(data2!$D:$D,D265)=0,"Missing in Data2","Present")</f>
        <v>Present</v>
      </c>
    </row>
    <row r="266" spans="1:5" x14ac:dyDescent="0.25">
      <c r="A266" s="2" t="s">
        <v>387</v>
      </c>
      <c r="B266" s="2" t="s">
        <v>392</v>
      </c>
      <c r="C266" s="2">
        <v>4</v>
      </c>
      <c r="D266" t="str">
        <f t="shared" si="4"/>
        <v>CA-2014-110786_OFF-PA-10000528</v>
      </c>
      <c r="E266" t="str">
        <f>IF(COUNTIF(data2!$D:$D,D266)=0,"Missing in Data2","Present")</f>
        <v>Missing in Data2</v>
      </c>
    </row>
    <row r="267" spans="1:5" x14ac:dyDescent="0.25">
      <c r="A267" s="2" t="s">
        <v>387</v>
      </c>
      <c r="B267" s="2" t="s">
        <v>393</v>
      </c>
      <c r="C267" s="2">
        <v>6</v>
      </c>
      <c r="D267" t="str">
        <f t="shared" si="4"/>
        <v>CA-2014-110786_TEC-MA-10003183</v>
      </c>
      <c r="E267" t="str">
        <f>IF(COUNTIF(data2!$D:$D,D267)=0,"Missing in Data2","Present")</f>
        <v>Present</v>
      </c>
    </row>
    <row r="268" spans="1:5" x14ac:dyDescent="0.25">
      <c r="A268" s="2" t="s">
        <v>387</v>
      </c>
      <c r="B268" s="2" t="s">
        <v>35</v>
      </c>
      <c r="C268" s="2">
        <v>3</v>
      </c>
      <c r="D268" t="str">
        <f t="shared" si="4"/>
        <v>CA-2014-110786_TEC-PH-10001425</v>
      </c>
      <c r="E268" t="str">
        <f>IF(COUNTIF(data2!$D:$D,D268)=0,"Missing in Data2","Present")</f>
        <v>Present</v>
      </c>
    </row>
    <row r="269" spans="1:5" x14ac:dyDescent="0.25">
      <c r="A269" s="2" t="s">
        <v>394</v>
      </c>
      <c r="B269" s="2" t="s">
        <v>395</v>
      </c>
      <c r="C269" s="2">
        <v>5</v>
      </c>
      <c r="D269" t="str">
        <f t="shared" si="4"/>
        <v>CA-2014-110849_OFF-AR-10000657</v>
      </c>
      <c r="E269" t="str">
        <f>IF(COUNTIF(data2!$D:$D,D269)=0,"Missing in Data2","Present")</f>
        <v>Present</v>
      </c>
    </row>
    <row r="270" spans="1:5" x14ac:dyDescent="0.25">
      <c r="A270" s="2" t="s">
        <v>394</v>
      </c>
      <c r="B270" s="2" t="s">
        <v>396</v>
      </c>
      <c r="C270" s="2">
        <v>4</v>
      </c>
      <c r="D270" t="str">
        <f t="shared" si="4"/>
        <v>CA-2014-110849_OFF-AR-10002375</v>
      </c>
      <c r="E270" t="str">
        <f>IF(COUNTIF(data2!$D:$D,D270)=0,"Missing in Data2","Present")</f>
        <v>Present</v>
      </c>
    </row>
    <row r="271" spans="1:5" x14ac:dyDescent="0.25">
      <c r="A271" s="2" t="s">
        <v>394</v>
      </c>
      <c r="B271" s="2" t="s">
        <v>397</v>
      </c>
      <c r="C271" s="2">
        <v>2</v>
      </c>
      <c r="D271" t="str">
        <f t="shared" si="4"/>
        <v>CA-2014-110849_OFF-FA-10000134</v>
      </c>
      <c r="E271" t="str">
        <f>IF(COUNTIF(data2!$D:$D,D271)=0,"Missing in Data2","Present")</f>
        <v>Present</v>
      </c>
    </row>
    <row r="272" spans="1:5" x14ac:dyDescent="0.25">
      <c r="A272" s="2" t="s">
        <v>394</v>
      </c>
      <c r="B272" s="2" t="s">
        <v>398</v>
      </c>
      <c r="C272" s="2">
        <v>4</v>
      </c>
      <c r="D272" t="str">
        <f t="shared" si="4"/>
        <v>CA-2014-110849_TEC-MA-10002859</v>
      </c>
      <c r="E272" t="str">
        <f>IF(COUNTIF(data2!$D:$D,D272)=0,"Missing in Data2","Present")</f>
        <v>Present</v>
      </c>
    </row>
    <row r="273" spans="1:5" x14ac:dyDescent="0.25">
      <c r="A273" s="2" t="s">
        <v>399</v>
      </c>
      <c r="B273" s="2" t="s">
        <v>400</v>
      </c>
      <c r="C273" s="2">
        <v>6</v>
      </c>
      <c r="D273" t="str">
        <f t="shared" si="4"/>
        <v>CA-2014-111003_OFF-AR-10002135</v>
      </c>
      <c r="E273" t="str">
        <f>IF(COUNTIF(data2!$D:$D,D273)=0,"Missing in Data2","Present")</f>
        <v>Present</v>
      </c>
    </row>
    <row r="274" spans="1:5" x14ac:dyDescent="0.25">
      <c r="A274" s="2" t="s">
        <v>399</v>
      </c>
      <c r="B274" s="2" t="s">
        <v>401</v>
      </c>
      <c r="C274" s="2">
        <v>3</v>
      </c>
      <c r="D274" t="str">
        <f t="shared" si="4"/>
        <v>CA-2014-111003_OFF-BI-10001072</v>
      </c>
      <c r="E274" t="str">
        <f>IF(COUNTIF(data2!$D:$D,D274)=0,"Missing in Data2","Present")</f>
        <v>Present</v>
      </c>
    </row>
    <row r="275" spans="1:5" x14ac:dyDescent="0.25">
      <c r="A275" s="2" t="s">
        <v>402</v>
      </c>
      <c r="B275" s="2" t="s">
        <v>403</v>
      </c>
      <c r="C275" s="2">
        <v>3</v>
      </c>
      <c r="D275" t="str">
        <f t="shared" si="4"/>
        <v>CA-2014-111059_OFF-BI-10002827</v>
      </c>
      <c r="E275" t="str">
        <f>IF(COUNTIF(data2!$D:$D,D275)=0,"Missing in Data2","Present")</f>
        <v>Present</v>
      </c>
    </row>
    <row r="276" spans="1:5" x14ac:dyDescent="0.25">
      <c r="A276" s="2" t="s">
        <v>402</v>
      </c>
      <c r="B276" s="2" t="s">
        <v>404</v>
      </c>
      <c r="C276" s="2">
        <v>2</v>
      </c>
      <c r="D276" t="str">
        <f t="shared" si="4"/>
        <v>CA-2014-111059_OFF-BI-10004593</v>
      </c>
      <c r="E276" t="str">
        <f>IF(COUNTIF(data2!$D:$D,D276)=0,"Missing in Data2","Present")</f>
        <v>Present</v>
      </c>
    </row>
    <row r="277" spans="1:5" x14ac:dyDescent="0.25">
      <c r="A277" s="2" t="s">
        <v>405</v>
      </c>
      <c r="B277" s="2" t="s">
        <v>406</v>
      </c>
      <c r="C277" s="2">
        <v>7</v>
      </c>
      <c r="D277" t="str">
        <f t="shared" si="4"/>
        <v>CA-2014-111150_TEC-AC-10000290</v>
      </c>
      <c r="E277" t="str">
        <f>IF(COUNTIF(data2!$D:$D,D277)=0,"Missing in Data2","Present")</f>
        <v>Present</v>
      </c>
    </row>
    <row r="278" spans="1:5" x14ac:dyDescent="0.25">
      <c r="A278" s="2" t="s">
        <v>407</v>
      </c>
      <c r="B278" s="2" t="s">
        <v>408</v>
      </c>
      <c r="C278" s="2">
        <v>1</v>
      </c>
      <c r="D278" t="str">
        <f t="shared" si="4"/>
        <v>CA-2014-111157_OFF-PA-10000327</v>
      </c>
      <c r="E278" t="str">
        <f>IF(COUNTIF(data2!$D:$D,D278)=0,"Missing in Data2","Present")</f>
        <v>Present</v>
      </c>
    </row>
    <row r="279" spans="1:5" x14ac:dyDescent="0.25">
      <c r="A279" s="2" t="s">
        <v>407</v>
      </c>
      <c r="B279" s="2" t="s">
        <v>409</v>
      </c>
      <c r="C279" s="2">
        <v>3</v>
      </c>
      <c r="D279" t="str">
        <f t="shared" si="4"/>
        <v>CA-2014-111157_TEC-AC-10004353</v>
      </c>
      <c r="E279" t="str">
        <f>IF(COUNTIF(data2!$D:$D,D279)=0,"Missing in Data2","Present")</f>
        <v>Present</v>
      </c>
    </row>
    <row r="280" spans="1:5" x14ac:dyDescent="0.25">
      <c r="A280" s="2" t="s">
        <v>410</v>
      </c>
      <c r="B280" s="2" t="s">
        <v>411</v>
      </c>
      <c r="C280" s="2">
        <v>8</v>
      </c>
      <c r="D280" t="str">
        <f t="shared" si="4"/>
        <v>CA-2014-111192_FUR-BO-10002916</v>
      </c>
      <c r="E280" t="str">
        <f>IF(COUNTIF(data2!$D:$D,D280)=0,"Missing in Data2","Present")</f>
        <v>Present</v>
      </c>
    </row>
    <row r="281" spans="1:5" x14ac:dyDescent="0.25">
      <c r="A281" s="2" t="s">
        <v>412</v>
      </c>
      <c r="B281" s="2" t="s">
        <v>413</v>
      </c>
      <c r="C281" s="2">
        <v>3</v>
      </c>
      <c r="D281" t="str">
        <f t="shared" si="4"/>
        <v>CA-2014-111360_OFF-BI-10003350</v>
      </c>
      <c r="E281" t="str">
        <f>IF(COUNTIF(data2!$D:$D,D281)=0,"Missing in Data2","Present")</f>
        <v>Present</v>
      </c>
    </row>
    <row r="282" spans="1:5" x14ac:dyDescent="0.25">
      <c r="A282" s="2" t="s">
        <v>414</v>
      </c>
      <c r="B282" s="2" t="s">
        <v>415</v>
      </c>
      <c r="C282" s="2">
        <v>3</v>
      </c>
      <c r="D282" t="str">
        <f t="shared" si="4"/>
        <v>CA-2014-111451_FUR-CH-10001891</v>
      </c>
      <c r="E282" t="str">
        <f>IF(COUNTIF(data2!$D:$D,D282)=0,"Missing in Data2","Present")</f>
        <v>Present</v>
      </c>
    </row>
    <row r="283" spans="1:5" x14ac:dyDescent="0.25">
      <c r="A283" s="2" t="s">
        <v>414</v>
      </c>
      <c r="B283" s="2" t="s">
        <v>416</v>
      </c>
      <c r="C283" s="2">
        <v>3</v>
      </c>
      <c r="D283" t="str">
        <f t="shared" si="4"/>
        <v>CA-2014-111451_FUR-FU-10002918</v>
      </c>
      <c r="E283" t="str">
        <f>IF(COUNTIF(data2!$D:$D,D283)=0,"Missing in Data2","Present")</f>
        <v>Present</v>
      </c>
    </row>
    <row r="284" spans="1:5" x14ac:dyDescent="0.25">
      <c r="A284" s="2" t="s">
        <v>414</v>
      </c>
      <c r="B284" s="2" t="s">
        <v>118</v>
      </c>
      <c r="C284" s="2">
        <v>8</v>
      </c>
      <c r="D284" t="str">
        <f t="shared" si="4"/>
        <v>CA-2014-111451_FUR-FU-10004091</v>
      </c>
      <c r="E284" t="str">
        <f>IF(COUNTIF(data2!$D:$D,D284)=0,"Missing in Data2","Present")</f>
        <v>Present</v>
      </c>
    </row>
    <row r="285" spans="1:5" x14ac:dyDescent="0.25">
      <c r="A285" s="2" t="s">
        <v>414</v>
      </c>
      <c r="B285" s="2" t="s">
        <v>404</v>
      </c>
      <c r="C285" s="2">
        <v>5</v>
      </c>
      <c r="D285" t="str">
        <f t="shared" si="4"/>
        <v>CA-2014-111451_OFF-BI-10004593</v>
      </c>
      <c r="E285" t="str">
        <f>IF(COUNTIF(data2!$D:$D,D285)=0,"Missing in Data2","Present")</f>
        <v>Present</v>
      </c>
    </row>
    <row r="286" spans="1:5" x14ac:dyDescent="0.25">
      <c r="A286" s="2" t="s">
        <v>414</v>
      </c>
      <c r="B286" s="2" t="s">
        <v>417</v>
      </c>
      <c r="C286" s="2">
        <v>3</v>
      </c>
      <c r="D286" t="str">
        <f t="shared" si="4"/>
        <v>CA-2014-111451_OFF-FA-10004854</v>
      </c>
      <c r="E286" t="str">
        <f>IF(COUNTIF(data2!$D:$D,D286)=0,"Missing in Data2","Present")</f>
        <v>Present</v>
      </c>
    </row>
    <row r="287" spans="1:5" x14ac:dyDescent="0.25">
      <c r="A287" s="2" t="s">
        <v>418</v>
      </c>
      <c r="B287" s="2" t="s">
        <v>419</v>
      </c>
      <c r="C287" s="2">
        <v>4</v>
      </c>
      <c r="D287" t="str">
        <f t="shared" si="4"/>
        <v>CA-2014-111500_OFF-BI-10000829</v>
      </c>
      <c r="E287" t="str">
        <f>IF(COUNTIF(data2!$D:$D,D287)=0,"Missing in Data2","Present")</f>
        <v>Present</v>
      </c>
    </row>
    <row r="288" spans="1:5" x14ac:dyDescent="0.25">
      <c r="A288" s="2" t="s">
        <v>418</v>
      </c>
      <c r="B288" s="2" t="s">
        <v>420</v>
      </c>
      <c r="C288" s="2">
        <v>7</v>
      </c>
      <c r="D288" t="str">
        <f t="shared" si="4"/>
        <v>CA-2014-111500_OFF-FA-10002676</v>
      </c>
      <c r="E288" t="str">
        <f>IF(COUNTIF(data2!$D:$D,D288)=0,"Missing in Data2","Present")</f>
        <v>Present</v>
      </c>
    </row>
    <row r="289" spans="1:5" x14ac:dyDescent="0.25">
      <c r="A289" s="2" t="s">
        <v>418</v>
      </c>
      <c r="B289" s="2" t="s">
        <v>421</v>
      </c>
      <c r="C289" s="2">
        <v>5</v>
      </c>
      <c r="D289" t="str">
        <f t="shared" si="4"/>
        <v>CA-2014-111500_OFF-PA-10000595</v>
      </c>
      <c r="E289" t="str">
        <f>IF(COUNTIF(data2!$D:$D,D289)=0,"Missing in Data2","Present")</f>
        <v>Present</v>
      </c>
    </row>
    <row r="290" spans="1:5" x14ac:dyDescent="0.25">
      <c r="A290" s="2" t="s">
        <v>418</v>
      </c>
      <c r="B290" s="2" t="s">
        <v>265</v>
      </c>
      <c r="C290" s="2">
        <v>4</v>
      </c>
      <c r="D290" t="str">
        <f t="shared" si="4"/>
        <v>CA-2014-111500_TEC-AC-10000844</v>
      </c>
      <c r="E290" t="str">
        <f>IF(COUNTIF(data2!$D:$D,D290)=0,"Missing in Data2","Present")</f>
        <v>Present</v>
      </c>
    </row>
    <row r="291" spans="1:5" x14ac:dyDescent="0.25">
      <c r="A291" s="2" t="s">
        <v>422</v>
      </c>
      <c r="B291" s="2" t="s">
        <v>423</v>
      </c>
      <c r="C291" s="2">
        <v>3</v>
      </c>
      <c r="D291" t="str">
        <f t="shared" si="4"/>
        <v>CA-2014-111773_OFF-BI-10000174</v>
      </c>
      <c r="E291" t="str">
        <f>IF(COUNTIF(data2!$D:$D,D291)=0,"Missing in Data2","Present")</f>
        <v>Present</v>
      </c>
    </row>
    <row r="292" spans="1:5" x14ac:dyDescent="0.25">
      <c r="A292" s="2" t="s">
        <v>424</v>
      </c>
      <c r="B292" s="2" t="s">
        <v>425</v>
      </c>
      <c r="C292" s="2">
        <v>1</v>
      </c>
      <c r="D292" t="str">
        <f t="shared" si="4"/>
        <v>CA-2014-111857_OFF-PA-10001878</v>
      </c>
      <c r="E292" t="str">
        <f>IF(COUNTIF(data2!$D:$D,D292)=0,"Missing in Data2","Present")</f>
        <v>Present</v>
      </c>
    </row>
    <row r="293" spans="1:5" x14ac:dyDescent="0.25">
      <c r="A293" s="2" t="s">
        <v>426</v>
      </c>
      <c r="B293" s="2" t="s">
        <v>427</v>
      </c>
      <c r="C293" s="2">
        <v>10</v>
      </c>
      <c r="D293" t="str">
        <f t="shared" si="4"/>
        <v>CA-2014-111871_FUR-BO-10004218</v>
      </c>
      <c r="E293" t="str">
        <f>IF(COUNTIF(data2!$D:$D,D293)=0,"Missing in Data2","Present")</f>
        <v>Present</v>
      </c>
    </row>
    <row r="294" spans="1:5" x14ac:dyDescent="0.25">
      <c r="A294" s="2" t="s">
        <v>428</v>
      </c>
      <c r="B294" s="2" t="s">
        <v>429</v>
      </c>
      <c r="C294" s="2">
        <v>2</v>
      </c>
      <c r="D294" t="str">
        <f t="shared" si="4"/>
        <v>CA-2014-111899_OFF-AR-10001725</v>
      </c>
      <c r="E294" t="str">
        <f>IF(COUNTIF(data2!$D:$D,D294)=0,"Missing in Data2","Present")</f>
        <v>Present</v>
      </c>
    </row>
    <row r="295" spans="1:5" x14ac:dyDescent="0.25">
      <c r="A295" s="2" t="s">
        <v>428</v>
      </c>
      <c r="B295" s="2" t="s">
        <v>430</v>
      </c>
      <c r="C295" s="2">
        <v>6</v>
      </c>
      <c r="D295" t="str">
        <f t="shared" si="4"/>
        <v>CA-2014-111899_OFF-FA-10000840</v>
      </c>
      <c r="E295" t="str">
        <f>IF(COUNTIF(data2!$D:$D,D295)=0,"Missing in Data2","Present")</f>
        <v>Present</v>
      </c>
    </row>
    <row r="296" spans="1:5" x14ac:dyDescent="0.25">
      <c r="A296" s="2" t="s">
        <v>431</v>
      </c>
      <c r="B296" s="2" t="s">
        <v>432</v>
      </c>
      <c r="C296" s="2">
        <v>2</v>
      </c>
      <c r="D296" t="str">
        <f t="shared" si="4"/>
        <v>CA-2014-111934_OFF-BI-10004364</v>
      </c>
      <c r="E296" t="str">
        <f>IF(COUNTIF(data2!$D:$D,D296)=0,"Missing in Data2","Present")</f>
        <v>Present</v>
      </c>
    </row>
    <row r="297" spans="1:5" x14ac:dyDescent="0.25">
      <c r="A297" s="2" t="s">
        <v>431</v>
      </c>
      <c r="B297" s="2" t="s">
        <v>433</v>
      </c>
      <c r="C297" s="2">
        <v>1</v>
      </c>
      <c r="D297" t="str">
        <f t="shared" si="4"/>
        <v>CA-2014-111934_OFF-PA-10000474</v>
      </c>
      <c r="E297" t="str">
        <f>IF(COUNTIF(data2!$D:$D,D297)=0,"Missing in Data2","Present")</f>
        <v>Present</v>
      </c>
    </row>
    <row r="298" spans="1:5" x14ac:dyDescent="0.25">
      <c r="A298" s="2" t="s">
        <v>434</v>
      </c>
      <c r="B298" s="2" t="s">
        <v>435</v>
      </c>
      <c r="C298" s="2">
        <v>5</v>
      </c>
      <c r="D298" t="str">
        <f t="shared" si="4"/>
        <v>CA-2014-111962_OFF-ST-10000046</v>
      </c>
      <c r="E298" t="str">
        <f>IF(COUNTIF(data2!$D:$D,D298)=0,"Missing in Data2","Present")</f>
        <v>Present</v>
      </c>
    </row>
    <row r="299" spans="1:5" x14ac:dyDescent="0.25">
      <c r="A299" s="2" t="s">
        <v>436</v>
      </c>
      <c r="B299" s="2" t="s">
        <v>437</v>
      </c>
      <c r="C299" s="2">
        <v>5</v>
      </c>
      <c r="D299" t="str">
        <f t="shared" si="4"/>
        <v>CA-2014-112158_FUR-BO-10003272</v>
      </c>
      <c r="E299" t="str">
        <f>IF(COUNTIF(data2!$D:$D,D299)=0,"Missing in Data2","Present")</f>
        <v>Present</v>
      </c>
    </row>
    <row r="300" spans="1:5" x14ac:dyDescent="0.25">
      <c r="A300" s="2" t="s">
        <v>436</v>
      </c>
      <c r="B300" s="2" t="s">
        <v>211</v>
      </c>
      <c r="C300" s="2">
        <v>8</v>
      </c>
      <c r="D300" t="str">
        <f t="shared" si="4"/>
        <v>CA-2014-112158_OFF-BI-10000050</v>
      </c>
      <c r="E300" t="str">
        <f>IF(COUNTIF(data2!$D:$D,D300)=0,"Missing in Data2","Present")</f>
        <v>Present</v>
      </c>
    </row>
    <row r="301" spans="1:5" x14ac:dyDescent="0.25">
      <c r="A301" s="2" t="s">
        <v>438</v>
      </c>
      <c r="B301" s="2" t="s">
        <v>439</v>
      </c>
      <c r="C301" s="2">
        <v>2</v>
      </c>
      <c r="D301" t="str">
        <f t="shared" si="4"/>
        <v>CA-2014-112291_OFF-EN-10001415</v>
      </c>
      <c r="E301" t="str">
        <f>IF(COUNTIF(data2!$D:$D,D301)=0,"Missing in Data2","Present")</f>
        <v>Missing in Data2</v>
      </c>
    </row>
    <row r="302" spans="1:5" x14ac:dyDescent="0.25">
      <c r="A302" s="2" t="s">
        <v>438</v>
      </c>
      <c r="B302" s="2" t="s">
        <v>440</v>
      </c>
      <c r="C302" s="2">
        <v>2</v>
      </c>
      <c r="D302" t="str">
        <f t="shared" si="4"/>
        <v>CA-2014-112291_TEC-AC-10000736</v>
      </c>
      <c r="E302" t="str">
        <f>IF(COUNTIF(data2!$D:$D,D302)=0,"Missing in Data2","Present")</f>
        <v>Present</v>
      </c>
    </row>
    <row r="303" spans="1:5" x14ac:dyDescent="0.25">
      <c r="A303" s="2" t="s">
        <v>438</v>
      </c>
      <c r="B303" s="2" t="s">
        <v>340</v>
      </c>
      <c r="C303" s="2">
        <v>3</v>
      </c>
      <c r="D303" t="str">
        <f t="shared" si="4"/>
        <v>CA-2014-112291_TEC-AC-10001284</v>
      </c>
      <c r="E303" t="str">
        <f>IF(COUNTIF(data2!$D:$D,D303)=0,"Missing in Data2","Present")</f>
        <v>Present</v>
      </c>
    </row>
    <row r="304" spans="1:5" x14ac:dyDescent="0.25">
      <c r="A304" s="2" t="s">
        <v>441</v>
      </c>
      <c r="B304" s="2" t="s">
        <v>442</v>
      </c>
      <c r="C304" s="2">
        <v>2</v>
      </c>
      <c r="D304" t="str">
        <f t="shared" si="4"/>
        <v>CA-2014-112326_OFF-BI-10004094</v>
      </c>
      <c r="E304" t="str">
        <f>IF(COUNTIF(data2!$D:$D,D304)=0,"Missing in Data2","Present")</f>
        <v>Present</v>
      </c>
    </row>
    <row r="305" spans="1:5" x14ac:dyDescent="0.25">
      <c r="A305" s="2" t="s">
        <v>441</v>
      </c>
      <c r="B305" s="2" t="s">
        <v>443</v>
      </c>
      <c r="C305" s="2">
        <v>3</v>
      </c>
      <c r="D305" t="str">
        <f t="shared" si="4"/>
        <v>CA-2014-112326_OFF-LA-10003223</v>
      </c>
      <c r="E305" t="str">
        <f>IF(COUNTIF(data2!$D:$D,D305)=0,"Missing in Data2","Present")</f>
        <v>Missing in Data2</v>
      </c>
    </row>
    <row r="306" spans="1:5" x14ac:dyDescent="0.25">
      <c r="A306" s="2" t="s">
        <v>441</v>
      </c>
      <c r="B306" s="2" t="s">
        <v>444</v>
      </c>
      <c r="C306" s="2">
        <v>3</v>
      </c>
      <c r="D306" t="str">
        <f t="shared" si="4"/>
        <v>CA-2014-112326_OFF-ST-10002743</v>
      </c>
      <c r="E306" t="str">
        <f>IF(COUNTIF(data2!$D:$D,D306)=0,"Missing in Data2","Present")</f>
        <v>Present</v>
      </c>
    </row>
    <row r="307" spans="1:5" x14ac:dyDescent="0.25">
      <c r="A307" s="2" t="s">
        <v>445</v>
      </c>
      <c r="B307" s="2" t="s">
        <v>446</v>
      </c>
      <c r="C307" s="2">
        <v>1</v>
      </c>
      <c r="D307" t="str">
        <f t="shared" si="4"/>
        <v>CA-2014-112403_OFF-BI-10003529</v>
      </c>
      <c r="E307" t="str">
        <f>IF(COUNTIF(data2!$D:$D,D307)=0,"Missing in Data2","Present")</f>
        <v>Present</v>
      </c>
    </row>
    <row r="308" spans="1:5" x14ac:dyDescent="0.25">
      <c r="A308" s="2" t="s">
        <v>447</v>
      </c>
      <c r="B308" s="2" t="s">
        <v>448</v>
      </c>
      <c r="C308" s="2">
        <v>1</v>
      </c>
      <c r="D308" t="str">
        <f t="shared" si="4"/>
        <v>CA-2014-112718_OFF-BI-10000591</v>
      </c>
      <c r="E308" t="str">
        <f>IF(COUNTIF(data2!$D:$D,D308)=0,"Missing in Data2","Present")</f>
        <v>Present</v>
      </c>
    </row>
    <row r="309" spans="1:5" x14ac:dyDescent="0.25">
      <c r="A309" s="2" t="s">
        <v>449</v>
      </c>
      <c r="B309" s="2" t="s">
        <v>450</v>
      </c>
      <c r="C309" s="2">
        <v>3</v>
      </c>
      <c r="D309" t="str">
        <f t="shared" si="4"/>
        <v>CA-2014-112837_FUR-FU-10004006</v>
      </c>
      <c r="E309" t="str">
        <f>IF(COUNTIF(data2!$D:$D,D309)=0,"Missing in Data2","Present")</f>
        <v>Present</v>
      </c>
    </row>
    <row r="310" spans="1:5" x14ac:dyDescent="0.25">
      <c r="A310" s="2" t="s">
        <v>451</v>
      </c>
      <c r="B310" s="2" t="s">
        <v>452</v>
      </c>
      <c r="C310" s="2">
        <v>3</v>
      </c>
      <c r="D310" t="str">
        <f t="shared" si="4"/>
        <v>CA-2014-112851_OFF-EN-10001453</v>
      </c>
      <c r="E310" t="str">
        <f>IF(COUNTIF(data2!$D:$D,D310)=0,"Missing in Data2","Present")</f>
        <v>Present</v>
      </c>
    </row>
    <row r="311" spans="1:5" x14ac:dyDescent="0.25">
      <c r="A311" s="2" t="s">
        <v>453</v>
      </c>
      <c r="B311" s="2" t="s">
        <v>454</v>
      </c>
      <c r="C311" s="2">
        <v>3</v>
      </c>
      <c r="D311" t="str">
        <f t="shared" si="4"/>
        <v>CA-2014-113047_OFF-FA-10002763</v>
      </c>
      <c r="E311" t="str">
        <f>IF(COUNTIF(data2!$D:$D,D311)=0,"Missing in Data2","Present")</f>
        <v>Present</v>
      </c>
    </row>
    <row r="312" spans="1:5" x14ac:dyDescent="0.25">
      <c r="A312" s="2" t="s">
        <v>455</v>
      </c>
      <c r="B312" s="2" t="s">
        <v>456</v>
      </c>
      <c r="C312" s="2">
        <v>7</v>
      </c>
      <c r="D312" t="str">
        <f t="shared" si="4"/>
        <v>CA-2014-113257_FUR-FU-10001706</v>
      </c>
      <c r="E312" t="str">
        <f>IF(COUNTIF(data2!$D:$D,D312)=0,"Missing in Data2","Present")</f>
        <v>Present</v>
      </c>
    </row>
    <row r="313" spans="1:5" x14ac:dyDescent="0.25">
      <c r="A313" s="2" t="s">
        <v>455</v>
      </c>
      <c r="B313" s="2" t="s">
        <v>457</v>
      </c>
      <c r="C313" s="2">
        <v>4</v>
      </c>
      <c r="D313" t="str">
        <f t="shared" si="4"/>
        <v>CA-2014-113257_TEC-AC-10004171</v>
      </c>
      <c r="E313" t="str">
        <f>IF(COUNTIF(data2!$D:$D,D313)=0,"Missing in Data2","Present")</f>
        <v>Missing in Data2</v>
      </c>
    </row>
    <row r="314" spans="1:5" x14ac:dyDescent="0.25">
      <c r="A314" s="2" t="s">
        <v>458</v>
      </c>
      <c r="B314" s="2" t="s">
        <v>427</v>
      </c>
      <c r="C314" s="2">
        <v>1</v>
      </c>
      <c r="D314" t="str">
        <f t="shared" si="4"/>
        <v>CA-2014-113271_FUR-BO-10004218</v>
      </c>
      <c r="E314" t="str">
        <f>IF(COUNTIF(data2!$D:$D,D314)=0,"Missing in Data2","Present")</f>
        <v>Present</v>
      </c>
    </row>
    <row r="315" spans="1:5" x14ac:dyDescent="0.25">
      <c r="A315" s="2" t="s">
        <v>458</v>
      </c>
      <c r="B315" s="2" t="s">
        <v>459</v>
      </c>
      <c r="C315" s="2">
        <v>6</v>
      </c>
      <c r="D315" t="str">
        <f t="shared" si="4"/>
        <v>CA-2014-113271_OFF-BI-10002609</v>
      </c>
      <c r="E315" t="str">
        <f>IF(COUNTIF(data2!$D:$D,D315)=0,"Missing in Data2","Present")</f>
        <v>Present</v>
      </c>
    </row>
    <row r="316" spans="1:5" x14ac:dyDescent="0.25">
      <c r="A316" s="2" t="s">
        <v>460</v>
      </c>
      <c r="B316" s="2" t="s">
        <v>456</v>
      </c>
      <c r="C316" s="2">
        <v>3</v>
      </c>
      <c r="D316" t="str">
        <f t="shared" si="4"/>
        <v>CA-2014-113320_FUR-FU-10001706</v>
      </c>
      <c r="E316" t="str">
        <f>IF(COUNTIF(data2!$D:$D,D316)=0,"Missing in Data2","Present")</f>
        <v>Present</v>
      </c>
    </row>
    <row r="317" spans="1:5" x14ac:dyDescent="0.25">
      <c r="A317" s="2" t="s">
        <v>460</v>
      </c>
      <c r="B317" s="2" t="s">
        <v>461</v>
      </c>
      <c r="C317" s="2">
        <v>3</v>
      </c>
      <c r="D317" t="str">
        <f t="shared" si="4"/>
        <v>CA-2014-113320_FUR-FU-10004270</v>
      </c>
      <c r="E317" t="str">
        <f>IF(COUNTIF(data2!$D:$D,D317)=0,"Missing in Data2","Present")</f>
        <v>Missing in Data2</v>
      </c>
    </row>
    <row r="318" spans="1:5" x14ac:dyDescent="0.25">
      <c r="A318" s="2" t="s">
        <v>460</v>
      </c>
      <c r="B318" s="2" t="s">
        <v>462</v>
      </c>
      <c r="C318" s="2">
        <v>3</v>
      </c>
      <c r="D318" t="str">
        <f t="shared" si="4"/>
        <v>CA-2014-113320_OFF-ST-10000617</v>
      </c>
      <c r="E318" t="str">
        <f>IF(COUNTIF(data2!$D:$D,D318)=0,"Missing in Data2","Present")</f>
        <v>Present</v>
      </c>
    </row>
    <row r="319" spans="1:5" x14ac:dyDescent="0.25">
      <c r="A319" s="2" t="s">
        <v>463</v>
      </c>
      <c r="B319" s="2" t="s">
        <v>464</v>
      </c>
      <c r="C319" s="2">
        <v>3</v>
      </c>
      <c r="D319" t="str">
        <f t="shared" si="4"/>
        <v>CA-2014-113362_OFF-EN-10003845</v>
      </c>
      <c r="E319" t="str">
        <f>IF(COUNTIF(data2!$D:$D,D319)=0,"Missing in Data2","Present")</f>
        <v>Present</v>
      </c>
    </row>
    <row r="320" spans="1:5" x14ac:dyDescent="0.25">
      <c r="A320" s="2" t="s">
        <v>463</v>
      </c>
      <c r="B320" s="2" t="s">
        <v>465</v>
      </c>
      <c r="C320" s="2">
        <v>5</v>
      </c>
      <c r="D320" t="str">
        <f t="shared" si="4"/>
        <v>CA-2014-113362_OFF-ST-10001809</v>
      </c>
      <c r="E320" t="str">
        <f>IF(COUNTIF(data2!$D:$D,D320)=0,"Missing in Data2","Present")</f>
        <v>Missing in Data2</v>
      </c>
    </row>
    <row r="321" spans="1:5" x14ac:dyDescent="0.25">
      <c r="A321" s="2" t="s">
        <v>466</v>
      </c>
      <c r="B321" s="2" t="s">
        <v>467</v>
      </c>
      <c r="C321" s="2">
        <v>6</v>
      </c>
      <c r="D321" t="str">
        <f t="shared" si="4"/>
        <v>CA-2014-113579_OFF-PA-10001457</v>
      </c>
      <c r="E321" t="str">
        <f>IF(COUNTIF(data2!$D:$D,D321)=0,"Missing in Data2","Present")</f>
        <v>Present</v>
      </c>
    </row>
    <row r="322" spans="1:5" x14ac:dyDescent="0.25">
      <c r="A322" s="2" t="s">
        <v>468</v>
      </c>
      <c r="B322" s="2" t="s">
        <v>469</v>
      </c>
      <c r="C322" s="2">
        <v>6</v>
      </c>
      <c r="D322" t="str">
        <f t="shared" si="4"/>
        <v>CA-2014-113768_FUR-CH-10002439</v>
      </c>
      <c r="E322" t="str">
        <f>IF(COUNTIF(data2!$D:$D,D322)=0,"Missing in Data2","Present")</f>
        <v>Present</v>
      </c>
    </row>
    <row r="323" spans="1:5" x14ac:dyDescent="0.25">
      <c r="A323" s="2" t="s">
        <v>468</v>
      </c>
      <c r="B323" s="2" t="s">
        <v>470</v>
      </c>
      <c r="C323" s="2">
        <v>2</v>
      </c>
      <c r="D323" t="str">
        <f t="shared" ref="D323:D386" si="5">A323&amp;"_"&amp;B323</f>
        <v>CA-2014-113768_OFF-PA-10003063</v>
      </c>
      <c r="E323" t="str">
        <f>IF(COUNTIF(data2!$D:$D,D323)=0,"Missing in Data2","Present")</f>
        <v>Present</v>
      </c>
    </row>
    <row r="324" spans="1:5" x14ac:dyDescent="0.25">
      <c r="A324" s="2" t="s">
        <v>471</v>
      </c>
      <c r="B324" s="2" t="s">
        <v>472</v>
      </c>
      <c r="C324" s="2">
        <v>6</v>
      </c>
      <c r="D324" t="str">
        <f t="shared" si="5"/>
        <v>CA-2014-113859_FUR-CH-10004698</v>
      </c>
      <c r="E324" t="str">
        <f>IF(COUNTIF(data2!$D:$D,D324)=0,"Missing in Data2","Present")</f>
        <v>Present</v>
      </c>
    </row>
    <row r="325" spans="1:5" x14ac:dyDescent="0.25">
      <c r="A325" s="2" t="s">
        <v>473</v>
      </c>
      <c r="B325" s="2" t="s">
        <v>474</v>
      </c>
      <c r="C325" s="2">
        <v>6</v>
      </c>
      <c r="D325" t="str">
        <f t="shared" si="5"/>
        <v>CA-2014-113880_FUR-CH-10000863</v>
      </c>
      <c r="E325" t="str">
        <f>IF(COUNTIF(data2!$D:$D,D325)=0,"Missing in Data2","Present")</f>
        <v>Present</v>
      </c>
    </row>
    <row r="326" spans="1:5" x14ac:dyDescent="0.25">
      <c r="A326" s="2" t="s">
        <v>473</v>
      </c>
      <c r="B326" s="2" t="s">
        <v>475</v>
      </c>
      <c r="C326" s="2">
        <v>3</v>
      </c>
      <c r="D326" t="str">
        <f t="shared" si="5"/>
        <v>CA-2014-113880_OFF-PA-10003036</v>
      </c>
      <c r="E326" t="str">
        <f>IF(COUNTIF(data2!$D:$D,D326)=0,"Missing in Data2","Present")</f>
        <v>Present</v>
      </c>
    </row>
    <row r="327" spans="1:5" x14ac:dyDescent="0.25">
      <c r="A327" s="2" t="s">
        <v>476</v>
      </c>
      <c r="B327" s="2" t="s">
        <v>477</v>
      </c>
      <c r="C327" s="2">
        <v>1</v>
      </c>
      <c r="D327" t="str">
        <f t="shared" si="5"/>
        <v>CA-2014-113887_OFF-PA-10004071</v>
      </c>
      <c r="E327" t="str">
        <f>IF(COUNTIF(data2!$D:$D,D327)=0,"Missing in Data2","Present")</f>
        <v>Present</v>
      </c>
    </row>
    <row r="328" spans="1:5" x14ac:dyDescent="0.25">
      <c r="A328" s="2" t="s">
        <v>478</v>
      </c>
      <c r="B328" s="2" t="s">
        <v>479</v>
      </c>
      <c r="C328" s="2">
        <v>4</v>
      </c>
      <c r="D328" t="str">
        <f t="shared" si="5"/>
        <v>CA-2014-113929_OFF-AR-10003772</v>
      </c>
      <c r="E328" t="str">
        <f>IF(COUNTIF(data2!$D:$D,D328)=0,"Missing in Data2","Present")</f>
        <v>Present</v>
      </c>
    </row>
    <row r="329" spans="1:5" x14ac:dyDescent="0.25">
      <c r="A329" s="2" t="s">
        <v>478</v>
      </c>
      <c r="B329" s="2" t="s">
        <v>480</v>
      </c>
      <c r="C329" s="2">
        <v>3</v>
      </c>
      <c r="D329" t="str">
        <f t="shared" si="5"/>
        <v>CA-2014-113929_OFF-BI-10002852</v>
      </c>
      <c r="E329" t="str">
        <f>IF(COUNTIF(data2!$D:$D,D329)=0,"Missing in Data2","Present")</f>
        <v>Present</v>
      </c>
    </row>
    <row r="330" spans="1:5" x14ac:dyDescent="0.25">
      <c r="A330" s="2" t="s">
        <v>478</v>
      </c>
      <c r="B330" s="2" t="s">
        <v>481</v>
      </c>
      <c r="C330" s="2">
        <v>5</v>
      </c>
      <c r="D330" t="str">
        <f t="shared" si="5"/>
        <v>CA-2014-113929_OFF-EN-10003286</v>
      </c>
      <c r="E330" t="str">
        <f>IF(COUNTIF(data2!$D:$D,D330)=0,"Missing in Data2","Present")</f>
        <v>Missing in Data2</v>
      </c>
    </row>
    <row r="331" spans="1:5" x14ac:dyDescent="0.25">
      <c r="A331" s="2" t="s">
        <v>482</v>
      </c>
      <c r="B331" s="2" t="s">
        <v>483</v>
      </c>
      <c r="C331" s="2">
        <v>4</v>
      </c>
      <c r="D331" t="str">
        <f t="shared" si="5"/>
        <v>CA-2014-113964_OFF-BI-10004654</v>
      </c>
      <c r="E331" t="str">
        <f>IF(COUNTIF(data2!$D:$D,D331)=0,"Missing in Data2","Present")</f>
        <v>Present</v>
      </c>
    </row>
    <row r="332" spans="1:5" x14ac:dyDescent="0.25">
      <c r="A332" s="2" t="s">
        <v>484</v>
      </c>
      <c r="B332" s="2" t="s">
        <v>485</v>
      </c>
      <c r="C332" s="2">
        <v>6</v>
      </c>
      <c r="D332" t="str">
        <f t="shared" si="5"/>
        <v>CA-2014-114125_OFF-BI-10003291</v>
      </c>
      <c r="E332" t="str">
        <f>IF(COUNTIF(data2!$D:$D,D332)=0,"Missing in Data2","Present")</f>
        <v>Present</v>
      </c>
    </row>
    <row r="333" spans="1:5" x14ac:dyDescent="0.25">
      <c r="A333" s="2" t="s">
        <v>484</v>
      </c>
      <c r="B333" s="2" t="s">
        <v>486</v>
      </c>
      <c r="C333" s="2">
        <v>1</v>
      </c>
      <c r="D333" t="str">
        <f t="shared" si="5"/>
        <v>CA-2014-114125_OFF-LA-10004559</v>
      </c>
      <c r="E333" t="str">
        <f>IF(COUNTIF(data2!$D:$D,D333)=0,"Missing in Data2","Present")</f>
        <v>Present</v>
      </c>
    </row>
    <row r="334" spans="1:5" x14ac:dyDescent="0.25">
      <c r="A334" s="2" t="s">
        <v>484</v>
      </c>
      <c r="B334" s="2" t="s">
        <v>487</v>
      </c>
      <c r="C334" s="2">
        <v>4</v>
      </c>
      <c r="D334" t="str">
        <f t="shared" si="5"/>
        <v>CA-2014-114125_OFF-ST-10001505</v>
      </c>
      <c r="E334" t="str">
        <f>IF(COUNTIF(data2!$D:$D,D334)=0,"Missing in Data2","Present")</f>
        <v>Present</v>
      </c>
    </row>
    <row r="335" spans="1:5" x14ac:dyDescent="0.25">
      <c r="A335" s="2" t="s">
        <v>488</v>
      </c>
      <c r="B335" s="2" t="s">
        <v>489</v>
      </c>
      <c r="C335" s="2">
        <v>7</v>
      </c>
      <c r="D335" t="str">
        <f t="shared" si="5"/>
        <v>CA-2014-114181_FUR-BO-10004467</v>
      </c>
      <c r="E335" t="str">
        <f>IF(COUNTIF(data2!$D:$D,D335)=0,"Missing in Data2","Present")</f>
        <v>Present</v>
      </c>
    </row>
    <row r="336" spans="1:5" x14ac:dyDescent="0.25">
      <c r="A336" s="2" t="s">
        <v>488</v>
      </c>
      <c r="B336" s="2" t="s">
        <v>286</v>
      </c>
      <c r="C336" s="2">
        <v>5</v>
      </c>
      <c r="D336" t="str">
        <f t="shared" si="5"/>
        <v>CA-2014-114181_OFF-AR-10000716</v>
      </c>
      <c r="E336" t="str">
        <f>IF(COUNTIF(data2!$D:$D,D336)=0,"Missing in Data2","Present")</f>
        <v>Present</v>
      </c>
    </row>
    <row r="337" spans="1:5" x14ac:dyDescent="0.25">
      <c r="A337" s="2" t="s">
        <v>490</v>
      </c>
      <c r="B337" s="2" t="s">
        <v>491</v>
      </c>
      <c r="C337" s="2">
        <v>2</v>
      </c>
      <c r="D337" t="str">
        <f t="shared" si="5"/>
        <v>CA-2014-114195_FUR-FU-10002253</v>
      </c>
      <c r="E337" t="str">
        <f>IF(COUNTIF(data2!$D:$D,D337)=0,"Missing in Data2","Present")</f>
        <v>Present</v>
      </c>
    </row>
    <row r="338" spans="1:5" x14ac:dyDescent="0.25">
      <c r="A338" s="2" t="s">
        <v>490</v>
      </c>
      <c r="B338" s="2" t="s">
        <v>492</v>
      </c>
      <c r="C338" s="2">
        <v>2</v>
      </c>
      <c r="D338" t="str">
        <f t="shared" si="5"/>
        <v>CA-2014-114195_OFF-BI-10000494</v>
      </c>
      <c r="E338" t="str">
        <f>IF(COUNTIF(data2!$D:$D,D338)=0,"Missing in Data2","Present")</f>
        <v>Present</v>
      </c>
    </row>
    <row r="339" spans="1:5" x14ac:dyDescent="0.25">
      <c r="A339" s="2" t="s">
        <v>490</v>
      </c>
      <c r="B339" s="2" t="s">
        <v>190</v>
      </c>
      <c r="C339" s="2">
        <v>3</v>
      </c>
      <c r="D339" t="str">
        <f t="shared" si="5"/>
        <v>CA-2014-114195_OFF-BI-10001658</v>
      </c>
      <c r="E339" t="str">
        <f>IF(COUNTIF(data2!$D:$D,D339)=0,"Missing in Data2","Present")</f>
        <v>Present</v>
      </c>
    </row>
    <row r="340" spans="1:5" x14ac:dyDescent="0.25">
      <c r="A340" s="2" t="s">
        <v>493</v>
      </c>
      <c r="B340" s="2" t="s">
        <v>494</v>
      </c>
      <c r="C340" s="2">
        <v>2</v>
      </c>
      <c r="D340" t="str">
        <f t="shared" si="5"/>
        <v>CA-2014-114251_FUR-FU-10001468</v>
      </c>
      <c r="E340" t="str">
        <f>IF(COUNTIF(data2!$D:$D,D340)=0,"Missing in Data2","Present")</f>
        <v>Present</v>
      </c>
    </row>
    <row r="341" spans="1:5" x14ac:dyDescent="0.25">
      <c r="A341" s="2" t="s">
        <v>493</v>
      </c>
      <c r="B341" s="2" t="s">
        <v>229</v>
      </c>
      <c r="C341" s="2">
        <v>2</v>
      </c>
      <c r="D341" t="str">
        <f t="shared" si="5"/>
        <v>CA-2014-114251_OFF-BI-10003684</v>
      </c>
      <c r="E341" t="str">
        <f>IF(COUNTIF(data2!$D:$D,D341)=0,"Missing in Data2","Present")</f>
        <v>Present</v>
      </c>
    </row>
    <row r="342" spans="1:5" x14ac:dyDescent="0.25">
      <c r="A342" s="2" t="s">
        <v>493</v>
      </c>
      <c r="B342" s="2" t="s">
        <v>495</v>
      </c>
      <c r="C342" s="2">
        <v>6</v>
      </c>
      <c r="D342" t="str">
        <f t="shared" si="5"/>
        <v>CA-2014-114251_OFF-ST-10003716</v>
      </c>
      <c r="E342" t="str">
        <f>IF(COUNTIF(data2!$D:$D,D342)=0,"Missing in Data2","Present")</f>
        <v>Present</v>
      </c>
    </row>
    <row r="343" spans="1:5" x14ac:dyDescent="0.25">
      <c r="A343" s="2" t="s">
        <v>493</v>
      </c>
      <c r="B343" s="2" t="s">
        <v>496</v>
      </c>
      <c r="C343" s="2">
        <v>5</v>
      </c>
      <c r="D343" t="str">
        <f t="shared" si="5"/>
        <v>CA-2014-114251_TEC-AC-10001101</v>
      </c>
      <c r="E343" t="str">
        <f>IF(COUNTIF(data2!$D:$D,D343)=0,"Missing in Data2","Present")</f>
        <v>Present</v>
      </c>
    </row>
    <row r="344" spans="1:5" x14ac:dyDescent="0.25">
      <c r="A344" s="2" t="s">
        <v>493</v>
      </c>
      <c r="B344" s="2" t="s">
        <v>497</v>
      </c>
      <c r="C344" s="2">
        <v>2</v>
      </c>
      <c r="D344" t="str">
        <f t="shared" si="5"/>
        <v>CA-2014-114251_TEC-AC-10004864</v>
      </c>
      <c r="E344" t="str">
        <f>IF(COUNTIF(data2!$D:$D,D344)=0,"Missing in Data2","Present")</f>
        <v>Present</v>
      </c>
    </row>
    <row r="345" spans="1:5" x14ac:dyDescent="0.25">
      <c r="A345" s="2" t="s">
        <v>498</v>
      </c>
      <c r="B345" s="2" t="s">
        <v>499</v>
      </c>
      <c r="C345" s="2">
        <v>4</v>
      </c>
      <c r="D345" t="str">
        <f t="shared" si="5"/>
        <v>CA-2014-114314_FUR-FU-10002107</v>
      </c>
      <c r="E345" t="str">
        <f>IF(COUNTIF(data2!$D:$D,D345)=0,"Missing in Data2","Present")</f>
        <v>Present</v>
      </c>
    </row>
    <row r="346" spans="1:5" x14ac:dyDescent="0.25">
      <c r="A346" s="2" t="s">
        <v>500</v>
      </c>
      <c r="B346" s="2" t="s">
        <v>501</v>
      </c>
      <c r="C346" s="2">
        <v>13</v>
      </c>
      <c r="D346" t="str">
        <f t="shared" si="5"/>
        <v>CA-2014-114321_FUR-CH-10001797</v>
      </c>
      <c r="E346" t="str">
        <f>IF(COUNTIF(data2!$D:$D,D346)=0,"Missing in Data2","Present")</f>
        <v>Present</v>
      </c>
    </row>
    <row r="347" spans="1:5" x14ac:dyDescent="0.25">
      <c r="A347" s="2" t="s">
        <v>500</v>
      </c>
      <c r="B347" s="2" t="s">
        <v>502</v>
      </c>
      <c r="C347" s="2">
        <v>1</v>
      </c>
      <c r="D347" t="str">
        <f t="shared" si="5"/>
        <v>CA-2014-114321_OFF-BI-10001359</v>
      </c>
      <c r="E347" t="str">
        <f>IF(COUNTIF(data2!$D:$D,D347)=0,"Missing in Data2","Present")</f>
        <v>Present</v>
      </c>
    </row>
    <row r="348" spans="1:5" x14ac:dyDescent="0.25">
      <c r="A348" s="2" t="s">
        <v>500</v>
      </c>
      <c r="B348" s="2" t="s">
        <v>503</v>
      </c>
      <c r="C348" s="2">
        <v>2</v>
      </c>
      <c r="D348" t="str">
        <f t="shared" si="5"/>
        <v>CA-2014-114321_OFF-PA-10000246</v>
      </c>
      <c r="E348" t="str">
        <f>IF(COUNTIF(data2!$D:$D,D348)=0,"Missing in Data2","Present")</f>
        <v>Present</v>
      </c>
    </row>
    <row r="349" spans="1:5" x14ac:dyDescent="0.25">
      <c r="A349" s="2" t="s">
        <v>504</v>
      </c>
      <c r="B349" s="2" t="s">
        <v>505</v>
      </c>
      <c r="C349" s="2">
        <v>4</v>
      </c>
      <c r="D349" t="str">
        <f t="shared" si="5"/>
        <v>CA-2014-114335_FUR-FU-10000277</v>
      </c>
      <c r="E349" t="str">
        <f>IF(COUNTIF(data2!$D:$D,D349)=0,"Missing in Data2","Present")</f>
        <v>Present</v>
      </c>
    </row>
    <row r="350" spans="1:5" x14ac:dyDescent="0.25">
      <c r="A350" s="2" t="s">
        <v>506</v>
      </c>
      <c r="B350" s="2" t="s">
        <v>507</v>
      </c>
      <c r="C350" s="2">
        <v>3</v>
      </c>
      <c r="D350" t="str">
        <f t="shared" si="5"/>
        <v>CA-2014-114433_TEC-AC-10002800</v>
      </c>
      <c r="E350" t="str">
        <f>IF(COUNTIF(data2!$D:$D,D350)=0,"Missing in Data2","Present")</f>
        <v>Present</v>
      </c>
    </row>
    <row r="351" spans="1:5" x14ac:dyDescent="0.25">
      <c r="A351" s="2" t="s">
        <v>508</v>
      </c>
      <c r="B351" s="2" t="s">
        <v>509</v>
      </c>
      <c r="C351" s="2">
        <v>4</v>
      </c>
      <c r="D351" t="str">
        <f t="shared" si="5"/>
        <v>CA-2014-114510_OFF-BI-10001617</v>
      </c>
      <c r="E351" t="str">
        <f>IF(COUNTIF(data2!$D:$D,D351)=0,"Missing in Data2","Present")</f>
        <v>Present</v>
      </c>
    </row>
    <row r="352" spans="1:5" x14ac:dyDescent="0.25">
      <c r="A352" s="2" t="s">
        <v>508</v>
      </c>
      <c r="B352" s="2" t="s">
        <v>510</v>
      </c>
      <c r="C352" s="2">
        <v>2</v>
      </c>
      <c r="D352" t="str">
        <f t="shared" si="5"/>
        <v>CA-2014-114510_OFF-BI-10003007</v>
      </c>
      <c r="E352" t="str">
        <f>IF(COUNTIF(data2!$D:$D,D352)=0,"Missing in Data2","Present")</f>
        <v>Present</v>
      </c>
    </row>
    <row r="353" spans="1:5" x14ac:dyDescent="0.25">
      <c r="A353" s="2" t="s">
        <v>508</v>
      </c>
      <c r="B353" s="2" t="s">
        <v>299</v>
      </c>
      <c r="C353" s="2">
        <v>1</v>
      </c>
      <c r="D353" t="str">
        <f t="shared" si="5"/>
        <v>CA-2014-114510_OFF-ST-10000736</v>
      </c>
      <c r="E353" t="str">
        <f>IF(COUNTIF(data2!$D:$D,D353)=0,"Missing in Data2","Present")</f>
        <v>Present</v>
      </c>
    </row>
    <row r="354" spans="1:5" x14ac:dyDescent="0.25">
      <c r="A354" s="2" t="s">
        <v>508</v>
      </c>
      <c r="B354" s="2" t="s">
        <v>511</v>
      </c>
      <c r="C354" s="2">
        <v>12</v>
      </c>
      <c r="D354" t="str">
        <f t="shared" si="5"/>
        <v>CA-2014-114510_TEC-AC-10004877</v>
      </c>
      <c r="E354" t="str">
        <f>IF(COUNTIF(data2!$D:$D,D354)=0,"Missing in Data2","Present")</f>
        <v>Present</v>
      </c>
    </row>
    <row r="355" spans="1:5" x14ac:dyDescent="0.25">
      <c r="A355" s="2" t="s">
        <v>512</v>
      </c>
      <c r="B355" s="2" t="s">
        <v>513</v>
      </c>
      <c r="C355" s="2">
        <v>2</v>
      </c>
      <c r="D355" t="str">
        <f t="shared" si="5"/>
        <v>CA-2014-114517_FUR-TA-10001676</v>
      </c>
      <c r="E355" t="str">
        <f>IF(COUNTIF(data2!$D:$D,D355)=0,"Missing in Data2","Present")</f>
        <v>Present</v>
      </c>
    </row>
    <row r="356" spans="1:5" x14ac:dyDescent="0.25">
      <c r="A356" s="2" t="s">
        <v>512</v>
      </c>
      <c r="B356" s="2" t="s">
        <v>514</v>
      </c>
      <c r="C356" s="2">
        <v>3</v>
      </c>
      <c r="D356" t="str">
        <f t="shared" si="5"/>
        <v>CA-2014-114517_OFF-AP-10002350</v>
      </c>
      <c r="E356" t="str">
        <f>IF(COUNTIF(data2!$D:$D,D356)=0,"Missing in Data2","Present")</f>
        <v>Missing in Data2</v>
      </c>
    </row>
    <row r="357" spans="1:5" x14ac:dyDescent="0.25">
      <c r="A357" s="2" t="s">
        <v>515</v>
      </c>
      <c r="B357" s="2" t="s">
        <v>516</v>
      </c>
      <c r="C357" s="2">
        <v>3</v>
      </c>
      <c r="D357" t="str">
        <f t="shared" si="5"/>
        <v>CA-2014-114643_OFF-AR-10003631</v>
      </c>
      <c r="E357" t="str">
        <f>IF(COUNTIF(data2!$D:$D,D357)=0,"Missing in Data2","Present")</f>
        <v>Present</v>
      </c>
    </row>
    <row r="358" spans="1:5" x14ac:dyDescent="0.25">
      <c r="A358" s="2" t="s">
        <v>517</v>
      </c>
      <c r="B358" s="2" t="s">
        <v>518</v>
      </c>
      <c r="C358" s="2">
        <v>3</v>
      </c>
      <c r="D358" t="str">
        <f t="shared" si="5"/>
        <v>CA-2014-114790_OFF-AP-10002578</v>
      </c>
      <c r="E358" t="str">
        <f>IF(COUNTIF(data2!$D:$D,D358)=0,"Missing in Data2","Present")</f>
        <v>Present</v>
      </c>
    </row>
    <row r="359" spans="1:5" x14ac:dyDescent="0.25">
      <c r="A359" s="2" t="s">
        <v>517</v>
      </c>
      <c r="B359" s="2" t="s">
        <v>519</v>
      </c>
      <c r="C359" s="2">
        <v>3</v>
      </c>
      <c r="D359" t="str">
        <f t="shared" si="5"/>
        <v>CA-2014-114790_OFF-PA-10000213</v>
      </c>
      <c r="E359" t="str">
        <f>IF(COUNTIF(data2!$D:$D,D359)=0,"Missing in Data2","Present")</f>
        <v>Present</v>
      </c>
    </row>
    <row r="360" spans="1:5" x14ac:dyDescent="0.25">
      <c r="A360" s="2" t="s">
        <v>517</v>
      </c>
      <c r="B360" s="2" t="s">
        <v>290</v>
      </c>
      <c r="C360" s="2">
        <v>2</v>
      </c>
      <c r="D360" t="str">
        <f t="shared" si="5"/>
        <v>CA-2014-114790_TEC-AC-10000710</v>
      </c>
      <c r="E360" t="str">
        <f>IF(COUNTIF(data2!$D:$D,D360)=0,"Missing in Data2","Present")</f>
        <v>Present</v>
      </c>
    </row>
    <row r="361" spans="1:5" x14ac:dyDescent="0.25">
      <c r="A361" s="2" t="s">
        <v>517</v>
      </c>
      <c r="B361" s="2" t="s">
        <v>520</v>
      </c>
      <c r="C361" s="2">
        <v>3</v>
      </c>
      <c r="D361" t="str">
        <f t="shared" si="5"/>
        <v>CA-2014-114790_TEC-PH-10000984</v>
      </c>
      <c r="E361" t="str">
        <f>IF(COUNTIF(data2!$D:$D,D361)=0,"Missing in Data2","Present")</f>
        <v>Present</v>
      </c>
    </row>
    <row r="362" spans="1:5" x14ac:dyDescent="0.25">
      <c r="A362" s="2" t="s">
        <v>521</v>
      </c>
      <c r="B362" s="2" t="s">
        <v>522</v>
      </c>
      <c r="C362" s="2">
        <v>11</v>
      </c>
      <c r="D362" t="str">
        <f t="shared" si="5"/>
        <v>CA-2014-115049_TEC-AC-10004859</v>
      </c>
      <c r="E362" t="str">
        <f>IF(COUNTIF(data2!$D:$D,D362)=0,"Missing in Data2","Present")</f>
        <v>Present</v>
      </c>
    </row>
    <row r="363" spans="1:5" x14ac:dyDescent="0.25">
      <c r="A363" s="2" t="s">
        <v>523</v>
      </c>
      <c r="B363" s="2" t="s">
        <v>524</v>
      </c>
      <c r="C363" s="2">
        <v>6</v>
      </c>
      <c r="D363" t="str">
        <f t="shared" si="5"/>
        <v>CA-2014-115084_FUR-CH-10004626</v>
      </c>
      <c r="E363" t="str">
        <f>IF(COUNTIF(data2!$D:$D,D363)=0,"Missing in Data2","Present")</f>
        <v>Present</v>
      </c>
    </row>
    <row r="364" spans="1:5" x14ac:dyDescent="0.25">
      <c r="A364" s="2" t="s">
        <v>525</v>
      </c>
      <c r="B364" s="2" t="s">
        <v>526</v>
      </c>
      <c r="C364" s="2">
        <v>6</v>
      </c>
      <c r="D364" t="str">
        <f t="shared" si="5"/>
        <v>CA-2014-115133_OFF-AP-10001634</v>
      </c>
      <c r="E364" t="str">
        <f>IF(COUNTIF(data2!$D:$D,D364)=0,"Missing in Data2","Present")</f>
        <v>Present</v>
      </c>
    </row>
    <row r="365" spans="1:5" x14ac:dyDescent="0.25">
      <c r="A365" s="2" t="s">
        <v>525</v>
      </c>
      <c r="B365" s="2" t="s">
        <v>155</v>
      </c>
      <c r="C365" s="2">
        <v>4</v>
      </c>
      <c r="D365" t="str">
        <f t="shared" si="5"/>
        <v>CA-2014-115133_OFF-PA-10000174</v>
      </c>
      <c r="E365" t="str">
        <f>IF(COUNTIF(data2!$D:$D,D365)=0,"Missing in Data2","Present")</f>
        <v>Present</v>
      </c>
    </row>
    <row r="366" spans="1:5" x14ac:dyDescent="0.25">
      <c r="A366" s="2" t="s">
        <v>525</v>
      </c>
      <c r="B366" s="2" t="s">
        <v>527</v>
      </c>
      <c r="C366" s="2">
        <v>2</v>
      </c>
      <c r="D366" t="str">
        <f t="shared" si="5"/>
        <v>CA-2014-115133_TEC-AC-10002370</v>
      </c>
      <c r="E366" t="str">
        <f>IF(COUNTIF(data2!$D:$D,D366)=0,"Missing in Data2","Present")</f>
        <v>Present</v>
      </c>
    </row>
    <row r="367" spans="1:5" x14ac:dyDescent="0.25">
      <c r="A367" s="2" t="s">
        <v>528</v>
      </c>
      <c r="B367" s="2" t="s">
        <v>529</v>
      </c>
      <c r="C367" s="2">
        <v>2</v>
      </c>
      <c r="D367" t="str">
        <f t="shared" si="5"/>
        <v>CA-2014-115161_FUR-BO-10003966</v>
      </c>
      <c r="E367" t="str">
        <f>IF(COUNTIF(data2!$D:$D,D367)=0,"Missing in Data2","Present")</f>
        <v>Present</v>
      </c>
    </row>
    <row r="368" spans="1:5" x14ac:dyDescent="0.25">
      <c r="A368" s="2" t="s">
        <v>530</v>
      </c>
      <c r="B368" s="2" t="s">
        <v>531</v>
      </c>
      <c r="C368" s="2">
        <v>6</v>
      </c>
      <c r="D368" t="str">
        <f t="shared" si="5"/>
        <v>CA-2014-115259_OFF-EN-10002504</v>
      </c>
      <c r="E368" t="str">
        <f>IF(COUNTIF(data2!$D:$D,D368)=0,"Missing in Data2","Present")</f>
        <v>Present</v>
      </c>
    </row>
    <row r="369" spans="1:5" x14ac:dyDescent="0.25">
      <c r="A369" s="2" t="s">
        <v>530</v>
      </c>
      <c r="B369" s="2" t="s">
        <v>532</v>
      </c>
      <c r="C369" s="2">
        <v>2</v>
      </c>
      <c r="D369" t="str">
        <f t="shared" si="5"/>
        <v>CA-2014-115259_OFF-EN-10002600</v>
      </c>
      <c r="E369" t="str">
        <f>IF(COUNTIF(data2!$D:$D,D369)=0,"Missing in Data2","Present")</f>
        <v>Present</v>
      </c>
    </row>
    <row r="370" spans="1:5" x14ac:dyDescent="0.25">
      <c r="A370" s="2" t="s">
        <v>533</v>
      </c>
      <c r="B370" s="2" t="s">
        <v>534</v>
      </c>
      <c r="C370" s="2">
        <v>5</v>
      </c>
      <c r="D370" t="str">
        <f t="shared" si="5"/>
        <v>CA-2014-115336_OFF-BI-10001107</v>
      </c>
      <c r="E370" t="str">
        <f>IF(COUNTIF(data2!$D:$D,D370)=0,"Missing in Data2","Present")</f>
        <v>Present</v>
      </c>
    </row>
    <row r="371" spans="1:5" x14ac:dyDescent="0.25">
      <c r="A371" s="2" t="s">
        <v>535</v>
      </c>
      <c r="B371" s="2" t="s">
        <v>536</v>
      </c>
      <c r="C371" s="2">
        <v>3</v>
      </c>
      <c r="D371" t="str">
        <f t="shared" si="5"/>
        <v>CA-2014-115357_TEC-AC-10000023</v>
      </c>
      <c r="E371" t="str">
        <f>IF(COUNTIF(data2!$D:$D,D371)=0,"Missing in Data2","Present")</f>
        <v>Present</v>
      </c>
    </row>
    <row r="372" spans="1:5" x14ac:dyDescent="0.25">
      <c r="A372" s="2" t="s">
        <v>537</v>
      </c>
      <c r="B372" s="2" t="s">
        <v>538</v>
      </c>
      <c r="C372" s="2">
        <v>6</v>
      </c>
      <c r="D372" t="str">
        <f t="shared" si="5"/>
        <v>CA-2014-115791_FUR-FU-10001095</v>
      </c>
      <c r="E372" t="str">
        <f>IF(COUNTIF(data2!$D:$D,D372)=0,"Missing in Data2","Present")</f>
        <v>Present</v>
      </c>
    </row>
    <row r="373" spans="1:5" x14ac:dyDescent="0.25">
      <c r="A373" s="2" t="s">
        <v>537</v>
      </c>
      <c r="B373" s="2" t="s">
        <v>539</v>
      </c>
      <c r="C373" s="2">
        <v>2</v>
      </c>
      <c r="D373" t="str">
        <f t="shared" si="5"/>
        <v>CA-2014-115791_OFF-BI-10001575</v>
      </c>
      <c r="E373" t="str">
        <f>IF(COUNTIF(data2!$D:$D,D373)=0,"Missing in Data2","Present")</f>
        <v>Present</v>
      </c>
    </row>
    <row r="374" spans="1:5" x14ac:dyDescent="0.25">
      <c r="A374" s="2" t="s">
        <v>537</v>
      </c>
      <c r="B374" s="2" t="s">
        <v>540</v>
      </c>
      <c r="C374" s="2">
        <v>3</v>
      </c>
      <c r="D374" t="str">
        <f t="shared" si="5"/>
        <v>CA-2014-115791_OFF-LA-10001074</v>
      </c>
      <c r="E374" t="str">
        <f>IF(COUNTIF(data2!$D:$D,D374)=0,"Missing in Data2","Present")</f>
        <v>Present</v>
      </c>
    </row>
    <row r="375" spans="1:5" x14ac:dyDescent="0.25">
      <c r="A375" s="2" t="s">
        <v>537</v>
      </c>
      <c r="B375" s="2" t="s">
        <v>541</v>
      </c>
      <c r="C375" s="2">
        <v>3</v>
      </c>
      <c r="D375" t="str">
        <f t="shared" si="5"/>
        <v>CA-2014-115791_TEC-PH-10004614</v>
      </c>
      <c r="E375" t="str">
        <f>IF(COUNTIF(data2!$D:$D,D375)=0,"Missing in Data2","Present")</f>
        <v>Present</v>
      </c>
    </row>
    <row r="376" spans="1:5" x14ac:dyDescent="0.25">
      <c r="A376" s="2" t="s">
        <v>542</v>
      </c>
      <c r="B376" s="2" t="s">
        <v>543</v>
      </c>
      <c r="C376" s="2">
        <v>7</v>
      </c>
      <c r="D376" t="str">
        <f t="shared" si="5"/>
        <v>CA-2014-115812_FUR-FU-10001487</v>
      </c>
      <c r="E376" t="str">
        <f>IF(COUNTIF(data2!$D:$D,D376)=0,"Missing in Data2","Present")</f>
        <v>Present</v>
      </c>
    </row>
    <row r="377" spans="1:5" x14ac:dyDescent="0.25">
      <c r="A377" s="2" t="s">
        <v>542</v>
      </c>
      <c r="B377" s="2" t="s">
        <v>544</v>
      </c>
      <c r="C377" s="2">
        <v>9</v>
      </c>
      <c r="D377" t="str">
        <f t="shared" si="5"/>
        <v>CA-2014-115812_FUR-TA-10001539</v>
      </c>
      <c r="E377" t="str">
        <f>IF(COUNTIF(data2!$D:$D,D377)=0,"Missing in Data2","Present")</f>
        <v>Present</v>
      </c>
    </row>
    <row r="378" spans="1:5" x14ac:dyDescent="0.25">
      <c r="A378" s="2" t="s">
        <v>542</v>
      </c>
      <c r="B378" s="2" t="s">
        <v>545</v>
      </c>
      <c r="C378" s="2">
        <v>5</v>
      </c>
      <c r="D378" t="str">
        <f t="shared" si="5"/>
        <v>CA-2014-115812_OFF-AP-10002892</v>
      </c>
      <c r="E378" t="str">
        <f>IF(COUNTIF(data2!$D:$D,D378)=0,"Missing in Data2","Present")</f>
        <v>Present</v>
      </c>
    </row>
    <row r="379" spans="1:5" x14ac:dyDescent="0.25">
      <c r="A379" s="2" t="s">
        <v>542</v>
      </c>
      <c r="B379" s="2" t="s">
        <v>79</v>
      </c>
      <c r="C379" s="2">
        <v>4</v>
      </c>
      <c r="D379" t="str">
        <f t="shared" si="5"/>
        <v>CA-2014-115812_OFF-AR-10002833</v>
      </c>
      <c r="E379" t="str">
        <f>IF(COUNTIF(data2!$D:$D,D379)=0,"Missing in Data2","Present")</f>
        <v>Present</v>
      </c>
    </row>
    <row r="380" spans="1:5" x14ac:dyDescent="0.25">
      <c r="A380" s="2" t="s">
        <v>542</v>
      </c>
      <c r="B380" s="2" t="s">
        <v>546</v>
      </c>
      <c r="C380" s="2">
        <v>3</v>
      </c>
      <c r="D380" t="str">
        <f t="shared" si="5"/>
        <v>CA-2014-115812_OFF-BI-10003910</v>
      </c>
      <c r="E380" t="str">
        <f>IF(COUNTIF(data2!$D:$D,D380)=0,"Missing in Data2","Present")</f>
        <v>Present</v>
      </c>
    </row>
    <row r="381" spans="1:5" x14ac:dyDescent="0.25">
      <c r="A381" s="2" t="s">
        <v>542</v>
      </c>
      <c r="B381" s="2" t="s">
        <v>547</v>
      </c>
      <c r="C381" s="2">
        <v>4</v>
      </c>
      <c r="D381" t="str">
        <f t="shared" si="5"/>
        <v>CA-2014-115812_TEC-PH-10002033</v>
      </c>
      <c r="E381" t="str">
        <f>IF(COUNTIF(data2!$D:$D,D381)=0,"Missing in Data2","Present")</f>
        <v>Present</v>
      </c>
    </row>
    <row r="382" spans="1:5" x14ac:dyDescent="0.25">
      <c r="A382" s="2" t="s">
        <v>542</v>
      </c>
      <c r="B382" s="2" t="s">
        <v>548</v>
      </c>
      <c r="C382" s="2">
        <v>6</v>
      </c>
      <c r="D382" t="str">
        <f t="shared" si="5"/>
        <v>CA-2014-115812_TEC-PH-10002275</v>
      </c>
      <c r="E382" t="str">
        <f>IF(COUNTIF(data2!$D:$D,D382)=0,"Missing in Data2","Present")</f>
        <v>Present</v>
      </c>
    </row>
    <row r="383" spans="1:5" x14ac:dyDescent="0.25">
      <c r="A383" s="2" t="s">
        <v>549</v>
      </c>
      <c r="B383" s="2" t="s">
        <v>550</v>
      </c>
      <c r="C383" s="2">
        <v>2</v>
      </c>
      <c r="D383" t="str">
        <f t="shared" si="5"/>
        <v>CA-2014-115889_OFF-ST-10003208</v>
      </c>
      <c r="E383" t="str">
        <f>IF(COUNTIF(data2!$D:$D,D383)=0,"Missing in Data2","Present")</f>
        <v>Present</v>
      </c>
    </row>
    <row r="384" spans="1:5" x14ac:dyDescent="0.25">
      <c r="A384" s="2" t="s">
        <v>549</v>
      </c>
      <c r="B384" s="2" t="s">
        <v>107</v>
      </c>
      <c r="C384" s="2">
        <v>2</v>
      </c>
      <c r="D384" t="str">
        <f t="shared" si="5"/>
        <v>CA-2014-115889_TEC-PH-10001615</v>
      </c>
      <c r="E384" t="str">
        <f>IF(COUNTIF(data2!$D:$D,D384)=0,"Missing in Data2","Present")</f>
        <v>Present</v>
      </c>
    </row>
    <row r="385" spans="1:5" x14ac:dyDescent="0.25">
      <c r="A385" s="2" t="s">
        <v>551</v>
      </c>
      <c r="B385" s="2" t="s">
        <v>552</v>
      </c>
      <c r="C385" s="2">
        <v>3</v>
      </c>
      <c r="D385" t="str">
        <f t="shared" si="5"/>
        <v>CA-2014-115980_OFF-FA-10000304</v>
      </c>
      <c r="E385" t="str">
        <f>IF(COUNTIF(data2!$D:$D,D385)=0,"Missing in Data2","Present")</f>
        <v>Present</v>
      </c>
    </row>
    <row r="386" spans="1:5" x14ac:dyDescent="0.25">
      <c r="A386" s="2" t="s">
        <v>551</v>
      </c>
      <c r="B386" s="2" t="s">
        <v>553</v>
      </c>
      <c r="C386" s="2">
        <v>3</v>
      </c>
      <c r="D386" t="str">
        <f t="shared" si="5"/>
        <v>CA-2014-115980_TEC-AC-10003709</v>
      </c>
      <c r="E386" t="str">
        <f>IF(COUNTIF(data2!$D:$D,D386)=0,"Missing in Data2","Present")</f>
        <v>Missing in Data2</v>
      </c>
    </row>
    <row r="387" spans="1:5" x14ac:dyDescent="0.25">
      <c r="A387" s="2" t="s">
        <v>554</v>
      </c>
      <c r="B387" s="2" t="s">
        <v>555</v>
      </c>
      <c r="C387" s="2">
        <v>2</v>
      </c>
      <c r="D387" t="str">
        <f t="shared" ref="D387:D450" si="6">A387&amp;"_"&amp;B387</f>
        <v>CA-2014-116190_FUR-CH-10000553</v>
      </c>
      <c r="E387" t="str">
        <f>IF(COUNTIF(data2!$D:$D,D387)=0,"Missing in Data2","Present")</f>
        <v>Present</v>
      </c>
    </row>
    <row r="388" spans="1:5" x14ac:dyDescent="0.25">
      <c r="A388" s="2" t="s">
        <v>554</v>
      </c>
      <c r="B388" s="2" t="s">
        <v>556</v>
      </c>
      <c r="C388" s="2">
        <v>3</v>
      </c>
      <c r="D388" t="str">
        <f t="shared" si="6"/>
        <v>CA-2014-116190_FUR-FU-10000719</v>
      </c>
      <c r="E388" t="str">
        <f>IF(COUNTIF(data2!$D:$D,D388)=0,"Missing in Data2","Present")</f>
        <v>Present</v>
      </c>
    </row>
    <row r="389" spans="1:5" x14ac:dyDescent="0.25">
      <c r="A389" s="2" t="s">
        <v>554</v>
      </c>
      <c r="B389" s="2" t="s">
        <v>557</v>
      </c>
      <c r="C389" s="2">
        <v>13</v>
      </c>
      <c r="D389" t="str">
        <f t="shared" si="6"/>
        <v>CA-2014-116190_OFF-LA-10002762</v>
      </c>
      <c r="E389" t="str">
        <f>IF(COUNTIF(data2!$D:$D,D389)=0,"Missing in Data2","Present")</f>
        <v>Present</v>
      </c>
    </row>
    <row r="390" spans="1:5" x14ac:dyDescent="0.25">
      <c r="A390" s="2" t="s">
        <v>558</v>
      </c>
      <c r="B390" s="2" t="s">
        <v>559</v>
      </c>
      <c r="C390" s="2">
        <v>5</v>
      </c>
      <c r="D390" t="str">
        <f t="shared" si="6"/>
        <v>CA-2014-116239_OFF-ST-10001370</v>
      </c>
      <c r="E390" t="str">
        <f>IF(COUNTIF(data2!$D:$D,D390)=0,"Missing in Data2","Present")</f>
        <v>Missing in Data2</v>
      </c>
    </row>
    <row r="391" spans="1:5" x14ac:dyDescent="0.25">
      <c r="A391" s="2" t="s">
        <v>560</v>
      </c>
      <c r="B391" s="2" t="s">
        <v>561</v>
      </c>
      <c r="C391" s="2">
        <v>6</v>
      </c>
      <c r="D391" t="str">
        <f t="shared" si="6"/>
        <v>CA-2014-116246_FUR-CH-10002024</v>
      </c>
      <c r="E391" t="str">
        <f>IF(COUNTIF(data2!$D:$D,D391)=0,"Missing in Data2","Present")</f>
        <v>Present</v>
      </c>
    </row>
    <row r="392" spans="1:5" x14ac:dyDescent="0.25">
      <c r="A392" s="2" t="s">
        <v>562</v>
      </c>
      <c r="B392" s="2" t="s">
        <v>563</v>
      </c>
      <c r="C392" s="2">
        <v>2</v>
      </c>
      <c r="D392" t="str">
        <f t="shared" si="6"/>
        <v>CA-2014-116407_OFF-AP-10002118</v>
      </c>
      <c r="E392" t="str">
        <f>IF(COUNTIF(data2!$D:$D,D392)=0,"Missing in Data2","Present")</f>
        <v>Present</v>
      </c>
    </row>
    <row r="393" spans="1:5" x14ac:dyDescent="0.25">
      <c r="A393" s="2" t="s">
        <v>562</v>
      </c>
      <c r="B393" s="2" t="s">
        <v>564</v>
      </c>
      <c r="C393" s="2">
        <v>3</v>
      </c>
      <c r="D393" t="str">
        <f t="shared" si="6"/>
        <v>CA-2014-116407_OFF-AR-10001315</v>
      </c>
      <c r="E393" t="str">
        <f>IF(COUNTIF(data2!$D:$D,D393)=0,"Missing in Data2","Present")</f>
        <v>Present</v>
      </c>
    </row>
    <row r="394" spans="1:5" x14ac:dyDescent="0.25">
      <c r="A394" s="2" t="s">
        <v>565</v>
      </c>
      <c r="B394" s="2" t="s">
        <v>469</v>
      </c>
      <c r="C394" s="2">
        <v>4</v>
      </c>
      <c r="D394" t="str">
        <f t="shared" si="6"/>
        <v>CA-2014-116568_FUR-CH-10002439</v>
      </c>
      <c r="E394" t="str">
        <f>IF(COUNTIF(data2!$D:$D,D394)=0,"Missing in Data2","Present")</f>
        <v>Present</v>
      </c>
    </row>
    <row r="395" spans="1:5" x14ac:dyDescent="0.25">
      <c r="A395" s="2" t="s">
        <v>566</v>
      </c>
      <c r="B395" s="2" t="s">
        <v>567</v>
      </c>
      <c r="C395" s="2">
        <v>5</v>
      </c>
      <c r="D395" t="str">
        <f t="shared" si="6"/>
        <v>CA-2014-116666_TEC-CO-10001449</v>
      </c>
      <c r="E395" t="str">
        <f>IF(COUNTIF(data2!$D:$D,D395)=0,"Missing in Data2","Present")</f>
        <v>Present</v>
      </c>
    </row>
    <row r="396" spans="1:5" x14ac:dyDescent="0.25">
      <c r="A396" s="2" t="s">
        <v>568</v>
      </c>
      <c r="B396" s="2" t="s">
        <v>569</v>
      </c>
      <c r="C396" s="2">
        <v>2</v>
      </c>
      <c r="D396" t="str">
        <f t="shared" si="6"/>
        <v>CA-2014-116673_FUR-FU-10003829</v>
      </c>
      <c r="E396" t="str">
        <f>IF(COUNTIF(data2!$D:$D,D396)=0,"Missing in Data2","Present")</f>
        <v>Present</v>
      </c>
    </row>
    <row r="397" spans="1:5" x14ac:dyDescent="0.25">
      <c r="A397" s="2" t="s">
        <v>570</v>
      </c>
      <c r="B397" s="2" t="s">
        <v>571</v>
      </c>
      <c r="C397" s="2">
        <v>6</v>
      </c>
      <c r="D397" t="str">
        <f t="shared" si="6"/>
        <v>CA-2014-116757_OFF-FA-10002815</v>
      </c>
      <c r="E397" t="str">
        <f>IF(COUNTIF(data2!$D:$D,D397)=0,"Missing in Data2","Present")</f>
        <v>Present</v>
      </c>
    </row>
    <row r="398" spans="1:5" x14ac:dyDescent="0.25">
      <c r="A398" s="2" t="s">
        <v>570</v>
      </c>
      <c r="B398" s="2" t="s">
        <v>572</v>
      </c>
      <c r="C398" s="2">
        <v>5</v>
      </c>
      <c r="D398" t="str">
        <f t="shared" si="6"/>
        <v>CA-2014-116757_OFF-PA-10002005</v>
      </c>
      <c r="E398" t="str">
        <f>IF(COUNTIF(data2!$D:$D,D398)=0,"Missing in Data2","Present")</f>
        <v>Present</v>
      </c>
    </row>
    <row r="399" spans="1:5" x14ac:dyDescent="0.25">
      <c r="A399" s="2" t="s">
        <v>573</v>
      </c>
      <c r="B399" s="2" t="s">
        <v>574</v>
      </c>
      <c r="C399" s="2">
        <v>5</v>
      </c>
      <c r="D399" t="str">
        <f t="shared" si="6"/>
        <v>CA-2014-116785_OFF-AR-10003504</v>
      </c>
      <c r="E399" t="str">
        <f>IF(COUNTIF(data2!$D:$D,D399)=0,"Missing in Data2","Present")</f>
        <v>Present</v>
      </c>
    </row>
    <row r="400" spans="1:5" x14ac:dyDescent="0.25">
      <c r="A400" s="2" t="s">
        <v>573</v>
      </c>
      <c r="B400" s="2" t="s">
        <v>575</v>
      </c>
      <c r="C400" s="2">
        <v>2</v>
      </c>
      <c r="D400" t="str">
        <f t="shared" si="6"/>
        <v>CA-2014-116785_OFF-LA-10000305</v>
      </c>
      <c r="E400" t="str">
        <f>IF(COUNTIF(data2!$D:$D,D400)=0,"Missing in Data2","Present")</f>
        <v>Present</v>
      </c>
    </row>
    <row r="401" spans="1:5" x14ac:dyDescent="0.25">
      <c r="A401" s="2" t="s">
        <v>576</v>
      </c>
      <c r="B401" s="2" t="s">
        <v>577</v>
      </c>
      <c r="C401" s="2">
        <v>11</v>
      </c>
      <c r="D401" t="str">
        <f t="shared" si="6"/>
        <v>CA-2014-116834_FUR-FU-10001196</v>
      </c>
      <c r="E401" t="str">
        <f>IF(COUNTIF(data2!$D:$D,D401)=0,"Missing in Data2","Present")</f>
        <v>Present</v>
      </c>
    </row>
    <row r="402" spans="1:5" x14ac:dyDescent="0.25">
      <c r="A402" s="2" t="s">
        <v>576</v>
      </c>
      <c r="B402" s="2" t="s">
        <v>578</v>
      </c>
      <c r="C402" s="2">
        <v>5</v>
      </c>
      <c r="D402" t="str">
        <f t="shared" si="6"/>
        <v>CA-2014-116834_TEC-AC-10002942</v>
      </c>
      <c r="E402" t="str">
        <f>IF(COUNTIF(data2!$D:$D,D402)=0,"Missing in Data2","Present")</f>
        <v>Present</v>
      </c>
    </row>
    <row r="403" spans="1:5" x14ac:dyDescent="0.25">
      <c r="A403" s="2" t="s">
        <v>579</v>
      </c>
      <c r="B403" s="2" t="s">
        <v>580</v>
      </c>
      <c r="C403" s="2">
        <v>5</v>
      </c>
      <c r="D403" t="str">
        <f t="shared" si="6"/>
        <v>CA-2014-116904_OFF-BI-10001120</v>
      </c>
      <c r="E403" t="str">
        <f>IF(COUNTIF(data2!$D:$D,D403)=0,"Missing in Data2","Present")</f>
        <v>Present</v>
      </c>
    </row>
    <row r="404" spans="1:5" x14ac:dyDescent="0.25">
      <c r="A404" s="2" t="s">
        <v>579</v>
      </c>
      <c r="B404" s="2" t="s">
        <v>581</v>
      </c>
      <c r="C404" s="2">
        <v>5</v>
      </c>
      <c r="D404" t="str">
        <f t="shared" si="6"/>
        <v>CA-2014-116904_OFF-PA-10004888</v>
      </c>
      <c r="E404" t="str">
        <f>IF(COUNTIF(data2!$D:$D,D404)=0,"Missing in Data2","Present")</f>
        <v>Present</v>
      </c>
    </row>
    <row r="405" spans="1:5" x14ac:dyDescent="0.25">
      <c r="A405" s="2" t="s">
        <v>579</v>
      </c>
      <c r="B405" s="2" t="s">
        <v>299</v>
      </c>
      <c r="C405" s="2">
        <v>5</v>
      </c>
      <c r="D405" t="str">
        <f t="shared" si="6"/>
        <v>CA-2014-116904_OFF-ST-10000736</v>
      </c>
      <c r="E405" t="str">
        <f>IF(COUNTIF(data2!$D:$D,D405)=0,"Missing in Data2","Present")</f>
        <v>Present</v>
      </c>
    </row>
    <row r="406" spans="1:5" x14ac:dyDescent="0.25">
      <c r="A406" s="2" t="s">
        <v>582</v>
      </c>
      <c r="B406" s="2" t="s">
        <v>583</v>
      </c>
      <c r="C406" s="2">
        <v>2</v>
      </c>
      <c r="D406" t="str">
        <f t="shared" si="6"/>
        <v>CA-2014-116932_FUR-CH-10001215</v>
      </c>
      <c r="E406" t="str">
        <f>IF(COUNTIF(data2!$D:$D,D406)=0,"Missing in Data2","Present")</f>
        <v>Present</v>
      </c>
    </row>
    <row r="407" spans="1:5" x14ac:dyDescent="0.25">
      <c r="A407" s="2" t="s">
        <v>582</v>
      </c>
      <c r="B407" s="2" t="s">
        <v>584</v>
      </c>
      <c r="C407" s="2">
        <v>1</v>
      </c>
      <c r="D407" t="str">
        <f t="shared" si="6"/>
        <v>CA-2014-116932_FUR-TA-10004175</v>
      </c>
      <c r="E407" t="str">
        <f>IF(COUNTIF(data2!$D:$D,D407)=0,"Missing in Data2","Present")</f>
        <v>Present</v>
      </c>
    </row>
    <row r="408" spans="1:5" x14ac:dyDescent="0.25">
      <c r="A408" s="2" t="s">
        <v>582</v>
      </c>
      <c r="B408" s="2" t="s">
        <v>585</v>
      </c>
      <c r="C408" s="2">
        <v>5</v>
      </c>
      <c r="D408" t="str">
        <f t="shared" si="6"/>
        <v>CA-2014-116932_OFF-AR-10002067</v>
      </c>
      <c r="E408" t="str">
        <f>IF(COUNTIF(data2!$D:$D,D408)=0,"Missing in Data2","Present")</f>
        <v>Present</v>
      </c>
    </row>
    <row r="409" spans="1:5" x14ac:dyDescent="0.25">
      <c r="A409" s="2" t="s">
        <v>586</v>
      </c>
      <c r="B409" s="2" t="s">
        <v>333</v>
      </c>
      <c r="C409" s="2">
        <v>3</v>
      </c>
      <c r="D409" t="str">
        <f t="shared" si="6"/>
        <v>CA-2014-117016_OFF-AR-10001374</v>
      </c>
      <c r="E409" t="str">
        <f>IF(COUNTIF(data2!$D:$D,D409)=0,"Missing in Data2","Present")</f>
        <v>Present</v>
      </c>
    </row>
    <row r="410" spans="1:5" x14ac:dyDescent="0.25">
      <c r="A410" s="2" t="s">
        <v>587</v>
      </c>
      <c r="B410" s="2" t="s">
        <v>588</v>
      </c>
      <c r="C410" s="2">
        <v>3</v>
      </c>
      <c r="D410" t="str">
        <f t="shared" si="6"/>
        <v>CA-2014-117317_OFF-PA-10004519</v>
      </c>
      <c r="E410" t="str">
        <f>IF(COUNTIF(data2!$D:$D,D410)=0,"Missing in Data2","Present")</f>
        <v>Present</v>
      </c>
    </row>
    <row r="411" spans="1:5" x14ac:dyDescent="0.25">
      <c r="A411" s="2" t="s">
        <v>589</v>
      </c>
      <c r="B411" s="2" t="s">
        <v>590</v>
      </c>
      <c r="C411" s="2">
        <v>4</v>
      </c>
      <c r="D411" t="str">
        <f t="shared" si="6"/>
        <v>CA-2014-117345_FUR-FU-10000629</v>
      </c>
      <c r="E411" t="str">
        <f>IF(COUNTIF(data2!$D:$D,D411)=0,"Missing in Data2","Present")</f>
        <v>Present</v>
      </c>
    </row>
    <row r="412" spans="1:5" x14ac:dyDescent="0.25">
      <c r="A412" s="2" t="s">
        <v>589</v>
      </c>
      <c r="B412" s="2" t="s">
        <v>136</v>
      </c>
      <c r="C412" s="2">
        <v>1</v>
      </c>
      <c r="D412" t="str">
        <f t="shared" si="6"/>
        <v>CA-2014-117345_OFF-AP-10001005</v>
      </c>
      <c r="E412" t="str">
        <f>IF(COUNTIF(data2!$D:$D,D412)=0,"Missing in Data2","Present")</f>
        <v>Present</v>
      </c>
    </row>
    <row r="413" spans="1:5" x14ac:dyDescent="0.25">
      <c r="A413" s="2" t="s">
        <v>589</v>
      </c>
      <c r="B413" s="2" t="s">
        <v>591</v>
      </c>
      <c r="C413" s="2">
        <v>3</v>
      </c>
      <c r="D413" t="str">
        <f t="shared" si="6"/>
        <v>CA-2014-117345_OFF-LA-10000240</v>
      </c>
      <c r="E413" t="str">
        <f>IF(COUNTIF(data2!$D:$D,D413)=0,"Missing in Data2","Present")</f>
        <v>Present</v>
      </c>
    </row>
    <row r="414" spans="1:5" x14ac:dyDescent="0.25">
      <c r="A414" s="2" t="s">
        <v>589</v>
      </c>
      <c r="B414" s="2" t="s">
        <v>592</v>
      </c>
      <c r="C414" s="2">
        <v>2</v>
      </c>
      <c r="D414" t="str">
        <f t="shared" si="6"/>
        <v>CA-2014-117345_OFF-PA-10002377</v>
      </c>
      <c r="E414" t="str">
        <f>IF(COUNTIF(data2!$D:$D,D414)=0,"Missing in Data2","Present")</f>
        <v>Present</v>
      </c>
    </row>
    <row r="415" spans="1:5" x14ac:dyDescent="0.25">
      <c r="A415" s="2" t="s">
        <v>593</v>
      </c>
      <c r="B415" s="2" t="s">
        <v>594</v>
      </c>
      <c r="C415" s="2">
        <v>5</v>
      </c>
      <c r="D415" t="str">
        <f t="shared" si="6"/>
        <v>CA-2014-117429_FUR-FU-10000222</v>
      </c>
      <c r="E415" t="str">
        <f>IF(COUNTIF(data2!$D:$D,D415)=0,"Missing in Data2","Present")</f>
        <v>Present</v>
      </c>
    </row>
    <row r="416" spans="1:5" x14ac:dyDescent="0.25">
      <c r="A416" s="2" t="s">
        <v>595</v>
      </c>
      <c r="B416" s="2" t="s">
        <v>596</v>
      </c>
      <c r="C416" s="2">
        <v>3</v>
      </c>
      <c r="D416" t="str">
        <f t="shared" si="6"/>
        <v>CA-2014-117464_FUR-CH-10000155</v>
      </c>
      <c r="E416" t="str">
        <f>IF(COUNTIF(data2!$D:$D,D416)=0,"Missing in Data2","Present")</f>
        <v>Present</v>
      </c>
    </row>
    <row r="417" spans="1:5" x14ac:dyDescent="0.25">
      <c r="A417" s="2" t="s">
        <v>595</v>
      </c>
      <c r="B417" s="2" t="s">
        <v>597</v>
      </c>
      <c r="C417" s="2">
        <v>3</v>
      </c>
      <c r="D417" t="str">
        <f t="shared" si="6"/>
        <v>CA-2014-117464_FUR-TA-10004767</v>
      </c>
      <c r="E417" t="str">
        <f>IF(COUNTIF(data2!$D:$D,D417)=0,"Missing in Data2","Present")</f>
        <v>Present</v>
      </c>
    </row>
    <row r="418" spans="1:5" x14ac:dyDescent="0.25">
      <c r="A418" s="2" t="s">
        <v>595</v>
      </c>
      <c r="B418" s="2" t="s">
        <v>598</v>
      </c>
      <c r="C418" s="2">
        <v>4</v>
      </c>
      <c r="D418" t="str">
        <f t="shared" si="6"/>
        <v>CA-2014-117464_OFF-AR-10003190</v>
      </c>
      <c r="E418" t="str">
        <f>IF(COUNTIF(data2!$D:$D,D418)=0,"Missing in Data2","Present")</f>
        <v>Present</v>
      </c>
    </row>
    <row r="419" spans="1:5" x14ac:dyDescent="0.25">
      <c r="A419" s="2" t="s">
        <v>595</v>
      </c>
      <c r="B419" s="2" t="s">
        <v>599</v>
      </c>
      <c r="C419" s="2">
        <v>10</v>
      </c>
      <c r="D419" t="str">
        <f t="shared" si="6"/>
        <v>CA-2014-117464_OFF-ST-10003058</v>
      </c>
      <c r="E419" t="str">
        <f>IF(COUNTIF(data2!$D:$D,D419)=0,"Missing in Data2","Present")</f>
        <v>Present</v>
      </c>
    </row>
    <row r="420" spans="1:5" x14ac:dyDescent="0.25">
      <c r="A420" s="2" t="s">
        <v>600</v>
      </c>
      <c r="B420" s="2" t="s">
        <v>601</v>
      </c>
      <c r="C420" s="2">
        <v>7</v>
      </c>
      <c r="D420" t="str">
        <f t="shared" si="6"/>
        <v>CA-2014-117639_OFF-BI-10003925</v>
      </c>
      <c r="E420" t="str">
        <f>IF(COUNTIF(data2!$D:$D,D420)=0,"Missing in Data2","Present")</f>
        <v>Present</v>
      </c>
    </row>
    <row r="421" spans="1:5" x14ac:dyDescent="0.25">
      <c r="A421" s="2" t="s">
        <v>600</v>
      </c>
      <c r="B421" s="2" t="s">
        <v>602</v>
      </c>
      <c r="C421" s="2">
        <v>3</v>
      </c>
      <c r="D421" t="str">
        <f t="shared" si="6"/>
        <v>CA-2014-117639_TEC-PH-10001530</v>
      </c>
      <c r="E421" t="str">
        <f>IF(COUNTIF(data2!$D:$D,D421)=0,"Missing in Data2","Present")</f>
        <v>Present</v>
      </c>
    </row>
    <row r="422" spans="1:5" x14ac:dyDescent="0.25">
      <c r="A422" s="2" t="s">
        <v>603</v>
      </c>
      <c r="B422" s="2" t="s">
        <v>604</v>
      </c>
      <c r="C422" s="2">
        <v>4</v>
      </c>
      <c r="D422" t="str">
        <f t="shared" si="6"/>
        <v>CA-2014-117709_OFF-BI-10001294</v>
      </c>
      <c r="E422" t="str">
        <f>IF(COUNTIF(data2!$D:$D,D422)=0,"Missing in Data2","Present")</f>
        <v>Present</v>
      </c>
    </row>
    <row r="423" spans="1:5" x14ac:dyDescent="0.25">
      <c r="A423" s="2" t="s">
        <v>605</v>
      </c>
      <c r="B423" s="2" t="s">
        <v>472</v>
      </c>
      <c r="C423" s="2">
        <v>2</v>
      </c>
      <c r="D423" t="str">
        <f t="shared" si="6"/>
        <v>CA-2014-117765_FUR-CH-10004698</v>
      </c>
      <c r="E423" t="str">
        <f>IF(COUNTIF(data2!$D:$D,D423)=0,"Missing in Data2","Present")</f>
        <v>Present</v>
      </c>
    </row>
    <row r="424" spans="1:5" x14ac:dyDescent="0.25">
      <c r="A424" s="2" t="s">
        <v>605</v>
      </c>
      <c r="B424" s="2" t="s">
        <v>183</v>
      </c>
      <c r="C424" s="2">
        <v>5</v>
      </c>
      <c r="D424" t="str">
        <f t="shared" si="6"/>
        <v>CA-2014-117765_FUR-TA-10001039</v>
      </c>
      <c r="E424" t="str">
        <f>IF(COUNTIF(data2!$D:$D,D424)=0,"Missing in Data2","Present")</f>
        <v>Present</v>
      </c>
    </row>
    <row r="425" spans="1:5" x14ac:dyDescent="0.25">
      <c r="A425" s="2" t="s">
        <v>605</v>
      </c>
      <c r="B425" s="2" t="s">
        <v>606</v>
      </c>
      <c r="C425" s="2">
        <v>2</v>
      </c>
      <c r="D425" t="str">
        <f t="shared" si="6"/>
        <v>CA-2014-117765_OFF-BI-10000474</v>
      </c>
      <c r="E425" t="str">
        <f>IF(COUNTIF(data2!$D:$D,D425)=0,"Missing in Data2","Present")</f>
        <v>Present</v>
      </c>
    </row>
    <row r="426" spans="1:5" x14ac:dyDescent="0.25">
      <c r="A426" s="2" t="s">
        <v>605</v>
      </c>
      <c r="B426" s="2" t="s">
        <v>607</v>
      </c>
      <c r="C426" s="2">
        <v>2</v>
      </c>
      <c r="D426" t="str">
        <f t="shared" si="6"/>
        <v>CA-2014-117765_OFF-ST-10003327</v>
      </c>
      <c r="E426" t="str">
        <f>IF(COUNTIF(data2!$D:$D,D426)=0,"Missing in Data2","Present")</f>
        <v>Present</v>
      </c>
    </row>
    <row r="427" spans="1:5" x14ac:dyDescent="0.25">
      <c r="A427" s="2" t="s">
        <v>608</v>
      </c>
      <c r="B427" s="2" t="s">
        <v>609</v>
      </c>
      <c r="C427" s="2">
        <v>2</v>
      </c>
      <c r="D427" t="str">
        <f t="shared" si="6"/>
        <v>CA-2014-118192_OFF-BI-10003476</v>
      </c>
      <c r="E427" t="str">
        <f>IF(COUNTIF(data2!$D:$D,D427)=0,"Missing in Data2","Present")</f>
        <v>Present</v>
      </c>
    </row>
    <row r="428" spans="1:5" x14ac:dyDescent="0.25">
      <c r="A428" s="2" t="s">
        <v>608</v>
      </c>
      <c r="B428" s="2" t="s">
        <v>610</v>
      </c>
      <c r="C428" s="2">
        <v>7</v>
      </c>
      <c r="D428" t="str">
        <f t="shared" si="6"/>
        <v>CA-2014-118192_OFF-PA-10002947</v>
      </c>
      <c r="E428" t="str">
        <f>IF(COUNTIF(data2!$D:$D,D428)=0,"Missing in Data2","Present")</f>
        <v>Present</v>
      </c>
    </row>
    <row r="429" spans="1:5" x14ac:dyDescent="0.25">
      <c r="A429" s="2" t="s">
        <v>611</v>
      </c>
      <c r="B429" s="2" t="s">
        <v>612</v>
      </c>
      <c r="C429" s="2">
        <v>3</v>
      </c>
      <c r="D429" t="str">
        <f t="shared" si="6"/>
        <v>CA-2014-118276_FUR-FU-10002111</v>
      </c>
      <c r="E429" t="str">
        <f>IF(COUNTIF(data2!$D:$D,D429)=0,"Missing in Data2","Present")</f>
        <v>Present</v>
      </c>
    </row>
    <row r="430" spans="1:5" x14ac:dyDescent="0.25">
      <c r="A430" s="2" t="s">
        <v>613</v>
      </c>
      <c r="B430" s="2" t="s">
        <v>614</v>
      </c>
      <c r="C430" s="2">
        <v>2</v>
      </c>
      <c r="D430" t="str">
        <f t="shared" si="6"/>
        <v>CA-2014-118304_TEC-PH-10000376</v>
      </c>
      <c r="E430" t="str">
        <f>IF(COUNTIF(data2!$D:$D,D430)=0,"Missing in Data2","Present")</f>
        <v>Present</v>
      </c>
    </row>
    <row r="431" spans="1:5" x14ac:dyDescent="0.25">
      <c r="A431" s="2" t="s">
        <v>615</v>
      </c>
      <c r="B431" s="2" t="s">
        <v>616</v>
      </c>
      <c r="C431" s="2">
        <v>2</v>
      </c>
      <c r="D431" t="str">
        <f t="shared" si="6"/>
        <v>CA-2014-118339_OFF-AP-10001154</v>
      </c>
      <c r="E431" t="str">
        <f>IF(COUNTIF(data2!$D:$D,D431)=0,"Missing in Data2","Present")</f>
        <v>Present</v>
      </c>
    </row>
    <row r="432" spans="1:5" x14ac:dyDescent="0.25">
      <c r="A432" s="2" t="s">
        <v>615</v>
      </c>
      <c r="B432" s="2" t="s">
        <v>617</v>
      </c>
      <c r="C432" s="2">
        <v>6</v>
      </c>
      <c r="D432" t="str">
        <f t="shared" si="6"/>
        <v>CA-2014-118339_OFF-AR-10003829</v>
      </c>
      <c r="E432" t="str">
        <f>IF(COUNTIF(data2!$D:$D,D432)=0,"Missing in Data2","Present")</f>
        <v>Present</v>
      </c>
    </row>
    <row r="433" spans="1:5" x14ac:dyDescent="0.25">
      <c r="A433" s="2" t="s">
        <v>615</v>
      </c>
      <c r="B433" s="2" t="s">
        <v>618</v>
      </c>
      <c r="C433" s="2">
        <v>6</v>
      </c>
      <c r="D433" t="str">
        <f t="shared" si="6"/>
        <v>CA-2014-118339_OFF-BI-10000136</v>
      </c>
      <c r="E433" t="str">
        <f>IF(COUNTIF(data2!$D:$D,D433)=0,"Missing in Data2","Present")</f>
        <v>Present</v>
      </c>
    </row>
    <row r="434" spans="1:5" x14ac:dyDescent="0.25">
      <c r="A434" s="2" t="s">
        <v>615</v>
      </c>
      <c r="B434" s="2" t="s">
        <v>619</v>
      </c>
      <c r="C434" s="2">
        <v>10</v>
      </c>
      <c r="D434" t="str">
        <f t="shared" si="6"/>
        <v>CA-2014-118339_OFF-BI-10001758</v>
      </c>
      <c r="E434" t="str">
        <f>IF(COUNTIF(data2!$D:$D,D434)=0,"Missing in Data2","Present")</f>
        <v>Present</v>
      </c>
    </row>
    <row r="435" spans="1:5" x14ac:dyDescent="0.25">
      <c r="A435" s="2" t="s">
        <v>615</v>
      </c>
      <c r="B435" s="2" t="s">
        <v>288</v>
      </c>
      <c r="C435" s="2">
        <v>7</v>
      </c>
      <c r="D435" t="str">
        <f t="shared" si="6"/>
        <v>CA-2014-118339_OFF-PA-10000466</v>
      </c>
      <c r="E435" t="str">
        <f>IF(COUNTIF(data2!$D:$D,D435)=0,"Missing in Data2","Present")</f>
        <v>Present</v>
      </c>
    </row>
    <row r="436" spans="1:5" x14ac:dyDescent="0.25">
      <c r="A436" s="2" t="s">
        <v>620</v>
      </c>
      <c r="B436" s="2" t="s">
        <v>621</v>
      </c>
      <c r="C436" s="2">
        <v>7</v>
      </c>
      <c r="D436" t="str">
        <f t="shared" si="6"/>
        <v>CA-2014-118962_FUR-CH-10003817</v>
      </c>
      <c r="E436" t="str">
        <f>IF(COUNTIF(data2!$D:$D,D436)=0,"Missing in Data2","Present")</f>
        <v>Present</v>
      </c>
    </row>
    <row r="437" spans="1:5" x14ac:dyDescent="0.25">
      <c r="A437" s="2" t="s">
        <v>620</v>
      </c>
      <c r="B437" s="2" t="s">
        <v>622</v>
      </c>
      <c r="C437" s="2">
        <v>3</v>
      </c>
      <c r="D437" t="str">
        <f t="shared" si="6"/>
        <v>CA-2014-118962_OFF-PA-10000659</v>
      </c>
      <c r="E437" t="str">
        <f>IF(COUNTIF(data2!$D:$D,D437)=0,"Missing in Data2","Present")</f>
        <v>Present</v>
      </c>
    </row>
    <row r="438" spans="1:5" x14ac:dyDescent="0.25">
      <c r="A438" s="2" t="s">
        <v>620</v>
      </c>
      <c r="B438" s="2" t="s">
        <v>623</v>
      </c>
      <c r="C438" s="2">
        <v>2</v>
      </c>
      <c r="D438" t="str">
        <f t="shared" si="6"/>
        <v>CA-2014-118962_OFF-PA-10001144</v>
      </c>
      <c r="E438" t="str">
        <f>IF(COUNTIF(data2!$D:$D,D438)=0,"Missing in Data2","Present")</f>
        <v>Present</v>
      </c>
    </row>
    <row r="439" spans="1:5" x14ac:dyDescent="0.25">
      <c r="A439" s="2" t="s">
        <v>624</v>
      </c>
      <c r="B439" s="2" t="s">
        <v>625</v>
      </c>
      <c r="C439" s="2">
        <v>2</v>
      </c>
      <c r="D439" t="str">
        <f t="shared" si="6"/>
        <v>CA-2014-118976_OFF-AR-10004752</v>
      </c>
      <c r="E439" t="str">
        <f>IF(COUNTIF(data2!$D:$D,D439)=0,"Missing in Data2","Present")</f>
        <v>Present</v>
      </c>
    </row>
    <row r="440" spans="1:5" x14ac:dyDescent="0.25">
      <c r="A440" s="2" t="s">
        <v>624</v>
      </c>
      <c r="B440" s="2" t="s">
        <v>626</v>
      </c>
      <c r="C440" s="2">
        <v>2</v>
      </c>
      <c r="D440" t="str">
        <f t="shared" si="6"/>
        <v>CA-2014-118976_OFF-BI-10001628</v>
      </c>
      <c r="E440" t="str">
        <f>IF(COUNTIF(data2!$D:$D,D440)=0,"Missing in Data2","Present")</f>
        <v>Missing in Data2</v>
      </c>
    </row>
    <row r="441" spans="1:5" x14ac:dyDescent="0.25">
      <c r="A441" s="2" t="s">
        <v>624</v>
      </c>
      <c r="B441" s="2" t="s">
        <v>627</v>
      </c>
      <c r="C441" s="2">
        <v>1</v>
      </c>
      <c r="D441" t="str">
        <f t="shared" si="6"/>
        <v>CA-2014-118976_OFF-LA-10000452</v>
      </c>
      <c r="E441" t="str">
        <f>IF(COUNTIF(data2!$D:$D,D441)=0,"Missing in Data2","Present")</f>
        <v>Present</v>
      </c>
    </row>
    <row r="442" spans="1:5" x14ac:dyDescent="0.25">
      <c r="A442" s="2" t="s">
        <v>624</v>
      </c>
      <c r="B442" s="2" t="s">
        <v>628</v>
      </c>
      <c r="C442" s="2">
        <v>9</v>
      </c>
      <c r="D442" t="str">
        <f t="shared" si="6"/>
        <v>CA-2014-118976_OFF-ST-10000877</v>
      </c>
      <c r="E442" t="str">
        <f>IF(COUNTIF(data2!$D:$D,D442)=0,"Missing in Data2","Present")</f>
        <v>Present</v>
      </c>
    </row>
    <row r="443" spans="1:5" x14ac:dyDescent="0.25">
      <c r="A443" s="2" t="s">
        <v>629</v>
      </c>
      <c r="B443" s="2" t="s">
        <v>96</v>
      </c>
      <c r="C443" s="2">
        <v>2</v>
      </c>
      <c r="D443" t="str">
        <f t="shared" si="6"/>
        <v>CA-2014-119032_OFF-FA-10003021</v>
      </c>
      <c r="E443" t="str">
        <f>IF(COUNTIF(data2!$D:$D,D443)=0,"Missing in Data2","Present")</f>
        <v>Present</v>
      </c>
    </row>
    <row r="444" spans="1:5" x14ac:dyDescent="0.25">
      <c r="A444" s="2" t="s">
        <v>630</v>
      </c>
      <c r="B444" s="2" t="s">
        <v>631</v>
      </c>
      <c r="C444" s="2">
        <v>3</v>
      </c>
      <c r="D444" t="str">
        <f t="shared" si="6"/>
        <v>CA-2014-119144_FUR-BO-10004015</v>
      </c>
      <c r="E444" t="str">
        <f>IF(COUNTIF(data2!$D:$D,D444)=0,"Missing in Data2","Present")</f>
        <v>Present</v>
      </c>
    </row>
    <row r="445" spans="1:5" x14ac:dyDescent="0.25">
      <c r="A445" s="2" t="s">
        <v>630</v>
      </c>
      <c r="B445" s="2" t="s">
        <v>632</v>
      </c>
      <c r="C445" s="2">
        <v>3</v>
      </c>
      <c r="D445" t="str">
        <f t="shared" si="6"/>
        <v>CA-2014-119144_OFF-ST-10000991</v>
      </c>
      <c r="E445" t="str">
        <f>IF(COUNTIF(data2!$D:$D,D445)=0,"Missing in Data2","Present")</f>
        <v>Present</v>
      </c>
    </row>
    <row r="446" spans="1:5" x14ac:dyDescent="0.25">
      <c r="A446" s="2" t="s">
        <v>630</v>
      </c>
      <c r="B446" s="2" t="s">
        <v>633</v>
      </c>
      <c r="C446" s="2">
        <v>4</v>
      </c>
      <c r="D446" t="str">
        <f t="shared" si="6"/>
        <v>CA-2014-119144_TEC-PH-10004188</v>
      </c>
      <c r="E446" t="str">
        <f>IF(COUNTIF(data2!$D:$D,D446)=0,"Missing in Data2","Present")</f>
        <v>Present</v>
      </c>
    </row>
    <row r="447" spans="1:5" x14ac:dyDescent="0.25">
      <c r="A447" s="2" t="s">
        <v>634</v>
      </c>
      <c r="B447" s="2" t="s">
        <v>635</v>
      </c>
      <c r="C447" s="2">
        <v>3</v>
      </c>
      <c r="D447" t="str">
        <f t="shared" si="6"/>
        <v>CA-2014-119151_FUR-BO-10003159</v>
      </c>
      <c r="E447" t="str">
        <f>IF(COUNTIF(data2!$D:$D,D447)=0,"Missing in Data2","Present")</f>
        <v>Present</v>
      </c>
    </row>
    <row r="448" spans="1:5" x14ac:dyDescent="0.25">
      <c r="A448" s="2" t="s">
        <v>634</v>
      </c>
      <c r="B448" s="2" t="s">
        <v>304</v>
      </c>
      <c r="C448" s="2">
        <v>4</v>
      </c>
      <c r="D448" t="str">
        <f t="shared" si="6"/>
        <v>CA-2014-119151_OFF-ST-10003470</v>
      </c>
      <c r="E448" t="str">
        <f>IF(COUNTIF(data2!$D:$D,D448)=0,"Missing in Data2","Present")</f>
        <v>Present</v>
      </c>
    </row>
    <row r="449" spans="1:5" x14ac:dyDescent="0.25">
      <c r="A449" s="2" t="s">
        <v>636</v>
      </c>
      <c r="B449" s="2" t="s">
        <v>637</v>
      </c>
      <c r="C449" s="2">
        <v>9</v>
      </c>
      <c r="D449" t="str">
        <f t="shared" si="6"/>
        <v>CA-2014-119172_OFF-BI-10002026</v>
      </c>
      <c r="E449" t="str">
        <f>IF(COUNTIF(data2!$D:$D,D449)=0,"Missing in Data2","Present")</f>
        <v>Present</v>
      </c>
    </row>
    <row r="450" spans="1:5" x14ac:dyDescent="0.25">
      <c r="A450" s="2" t="s">
        <v>636</v>
      </c>
      <c r="B450" s="2" t="s">
        <v>475</v>
      </c>
      <c r="C450" s="2">
        <v>3</v>
      </c>
      <c r="D450" t="str">
        <f t="shared" si="6"/>
        <v>CA-2014-119172_OFF-PA-10003036</v>
      </c>
      <c r="E450" t="str">
        <f>IF(COUNTIF(data2!$D:$D,D450)=0,"Missing in Data2","Present")</f>
        <v>Missing in Data2</v>
      </c>
    </row>
    <row r="451" spans="1:5" x14ac:dyDescent="0.25">
      <c r="A451" s="2" t="s">
        <v>638</v>
      </c>
      <c r="B451" s="2" t="s">
        <v>639</v>
      </c>
      <c r="C451" s="2">
        <v>3</v>
      </c>
      <c r="D451" t="str">
        <f t="shared" ref="D451:D514" si="7">A451&amp;"_"&amp;B451</f>
        <v>CA-2014-119375_FUR-FU-10002379</v>
      </c>
      <c r="E451" t="str">
        <f>IF(COUNTIF(data2!$D:$D,D451)=0,"Missing in Data2","Present")</f>
        <v>Present</v>
      </c>
    </row>
    <row r="452" spans="1:5" x14ac:dyDescent="0.25">
      <c r="A452" s="2" t="s">
        <v>638</v>
      </c>
      <c r="B452" s="2" t="s">
        <v>640</v>
      </c>
      <c r="C452" s="2">
        <v>5</v>
      </c>
      <c r="D452" t="str">
        <f t="shared" si="7"/>
        <v>CA-2014-119375_OFF-AR-10003752</v>
      </c>
      <c r="E452" t="str">
        <f>IF(COUNTIF(data2!$D:$D,D452)=0,"Missing in Data2","Present")</f>
        <v>Present</v>
      </c>
    </row>
    <row r="453" spans="1:5" x14ac:dyDescent="0.25">
      <c r="A453" s="2" t="s">
        <v>638</v>
      </c>
      <c r="B453" s="2" t="s">
        <v>641</v>
      </c>
      <c r="C453" s="2">
        <v>7</v>
      </c>
      <c r="D453" t="str">
        <f t="shared" si="7"/>
        <v>CA-2014-119375_OFF-ST-10002011</v>
      </c>
      <c r="E453" t="str">
        <f>IF(COUNTIF(data2!$D:$D,D453)=0,"Missing in Data2","Present")</f>
        <v>Missing in Data2</v>
      </c>
    </row>
    <row r="454" spans="1:5" x14ac:dyDescent="0.25">
      <c r="A454" s="2" t="s">
        <v>642</v>
      </c>
      <c r="B454" s="2" t="s">
        <v>643</v>
      </c>
      <c r="C454" s="2">
        <v>2</v>
      </c>
      <c r="D454" t="str">
        <f t="shared" si="7"/>
        <v>CA-2014-119466_FUR-FU-10001546</v>
      </c>
      <c r="E454" t="str">
        <f>IF(COUNTIF(data2!$D:$D,D454)=0,"Missing in Data2","Present")</f>
        <v>Present</v>
      </c>
    </row>
    <row r="455" spans="1:5" x14ac:dyDescent="0.25">
      <c r="A455" s="2" t="s">
        <v>644</v>
      </c>
      <c r="B455" s="2" t="s">
        <v>645</v>
      </c>
      <c r="C455" s="2">
        <v>4</v>
      </c>
      <c r="D455" t="str">
        <f t="shared" si="7"/>
        <v>CA-2014-119977_OFF-PA-10003823</v>
      </c>
      <c r="E455" t="str">
        <f>IF(COUNTIF(data2!$D:$D,D455)=0,"Missing in Data2","Present")</f>
        <v>Present</v>
      </c>
    </row>
    <row r="456" spans="1:5" x14ac:dyDescent="0.25">
      <c r="A456" s="2" t="s">
        <v>646</v>
      </c>
      <c r="B456" s="2" t="s">
        <v>647</v>
      </c>
      <c r="C456" s="2">
        <v>2</v>
      </c>
      <c r="D456" t="str">
        <f t="shared" si="7"/>
        <v>CA-2014-120096_OFF-AP-10000692</v>
      </c>
      <c r="E456" t="str">
        <f>IF(COUNTIF(data2!$D:$D,D456)=0,"Missing in Data2","Present")</f>
        <v>Present</v>
      </c>
    </row>
    <row r="457" spans="1:5" x14ac:dyDescent="0.25">
      <c r="A457" s="2" t="s">
        <v>646</v>
      </c>
      <c r="B457" s="2" t="s">
        <v>92</v>
      </c>
      <c r="C457" s="2">
        <v>4</v>
      </c>
      <c r="D457" t="str">
        <f t="shared" si="7"/>
        <v>CA-2014-120096_OFF-PA-10001977</v>
      </c>
      <c r="E457" t="str">
        <f>IF(COUNTIF(data2!$D:$D,D457)=0,"Missing in Data2","Present")</f>
        <v>Present</v>
      </c>
    </row>
    <row r="458" spans="1:5" x14ac:dyDescent="0.25">
      <c r="A458" s="2" t="s">
        <v>648</v>
      </c>
      <c r="B458" s="2" t="s">
        <v>153</v>
      </c>
      <c r="C458" s="2">
        <v>4</v>
      </c>
      <c r="D458" t="str">
        <f t="shared" si="7"/>
        <v>CA-2014-120243_OFF-LA-10004425</v>
      </c>
      <c r="E458" t="str">
        <f>IF(COUNTIF(data2!$D:$D,D458)=0,"Missing in Data2","Present")</f>
        <v>Present</v>
      </c>
    </row>
    <row r="459" spans="1:5" x14ac:dyDescent="0.25">
      <c r="A459" s="2" t="s">
        <v>649</v>
      </c>
      <c r="B459" s="2" t="s">
        <v>650</v>
      </c>
      <c r="C459" s="2">
        <v>6</v>
      </c>
      <c r="D459" t="str">
        <f t="shared" si="7"/>
        <v>CA-2014-120278_OFF-AP-10001293</v>
      </c>
      <c r="E459" t="str">
        <f>IF(COUNTIF(data2!$D:$D,D459)=0,"Missing in Data2","Present")</f>
        <v>Present</v>
      </c>
    </row>
    <row r="460" spans="1:5" x14ac:dyDescent="0.25">
      <c r="A460" s="2" t="s">
        <v>649</v>
      </c>
      <c r="B460" s="2" t="s">
        <v>651</v>
      </c>
      <c r="C460" s="2">
        <v>3</v>
      </c>
      <c r="D460" t="str">
        <f t="shared" si="7"/>
        <v>CA-2014-120278_OFF-BI-10004970</v>
      </c>
      <c r="E460" t="str">
        <f>IF(COUNTIF(data2!$D:$D,D460)=0,"Missing in Data2","Present")</f>
        <v>Present</v>
      </c>
    </row>
    <row r="461" spans="1:5" x14ac:dyDescent="0.25">
      <c r="A461" s="2" t="s">
        <v>649</v>
      </c>
      <c r="B461" s="2" t="s">
        <v>652</v>
      </c>
      <c r="C461" s="2">
        <v>2</v>
      </c>
      <c r="D461" t="str">
        <f t="shared" si="7"/>
        <v>CA-2014-120278_OFF-ST-10002214</v>
      </c>
      <c r="E461" t="str">
        <f>IF(COUNTIF(data2!$D:$D,D461)=0,"Missing in Data2","Present")</f>
        <v>Missing in Data2</v>
      </c>
    </row>
    <row r="462" spans="1:5" x14ac:dyDescent="0.25">
      <c r="A462" s="2" t="s">
        <v>649</v>
      </c>
      <c r="B462" s="2" t="s">
        <v>178</v>
      </c>
      <c r="C462" s="2">
        <v>3</v>
      </c>
      <c r="D462" t="str">
        <f t="shared" si="7"/>
        <v>CA-2014-120278_OFF-ST-10004258</v>
      </c>
      <c r="E462" t="str">
        <f>IF(COUNTIF(data2!$D:$D,D462)=0,"Missing in Data2","Present")</f>
        <v>Present</v>
      </c>
    </row>
    <row r="463" spans="1:5" x14ac:dyDescent="0.25">
      <c r="A463" s="2" t="s">
        <v>653</v>
      </c>
      <c r="B463" s="2" t="s">
        <v>427</v>
      </c>
      <c r="C463" s="2">
        <v>5</v>
      </c>
      <c r="D463" t="str">
        <f t="shared" si="7"/>
        <v>CA-2014-120411_FUR-BO-10004218</v>
      </c>
      <c r="E463" t="str">
        <f>IF(COUNTIF(data2!$D:$D,D463)=0,"Missing in Data2","Present")</f>
        <v>Present</v>
      </c>
    </row>
    <row r="464" spans="1:5" x14ac:dyDescent="0.25">
      <c r="A464" s="2" t="s">
        <v>653</v>
      </c>
      <c r="B464" s="2" t="s">
        <v>654</v>
      </c>
      <c r="C464" s="2">
        <v>2</v>
      </c>
      <c r="D464" t="str">
        <f t="shared" si="7"/>
        <v>CA-2014-120411_TEC-PH-10002185</v>
      </c>
      <c r="E464" t="str">
        <f>IF(COUNTIF(data2!$D:$D,D464)=0,"Missing in Data2","Present")</f>
        <v>Present</v>
      </c>
    </row>
    <row r="465" spans="1:5" x14ac:dyDescent="0.25">
      <c r="A465" s="2" t="s">
        <v>655</v>
      </c>
      <c r="B465" s="2" t="s">
        <v>656</v>
      </c>
      <c r="C465" s="2">
        <v>3</v>
      </c>
      <c r="D465" t="str">
        <f t="shared" si="7"/>
        <v>CA-2014-120432_OFF-SU-10004661</v>
      </c>
      <c r="E465" t="str">
        <f>IF(COUNTIF(data2!$D:$D,D465)=0,"Missing in Data2","Present")</f>
        <v>Present</v>
      </c>
    </row>
    <row r="466" spans="1:5" x14ac:dyDescent="0.25">
      <c r="A466" s="2" t="s">
        <v>657</v>
      </c>
      <c r="B466" s="2" t="s">
        <v>658</v>
      </c>
      <c r="C466" s="2">
        <v>8</v>
      </c>
      <c r="D466" t="str">
        <f t="shared" si="7"/>
        <v>CA-2014-120474_FUR-CH-10001854</v>
      </c>
      <c r="E466" t="str">
        <f>IF(COUNTIF(data2!$D:$D,D466)=0,"Missing in Data2","Present")</f>
        <v>Present</v>
      </c>
    </row>
    <row r="467" spans="1:5" x14ac:dyDescent="0.25">
      <c r="A467" s="2" t="s">
        <v>657</v>
      </c>
      <c r="B467" s="2" t="s">
        <v>659</v>
      </c>
      <c r="C467" s="2">
        <v>4</v>
      </c>
      <c r="D467" t="str">
        <f t="shared" si="7"/>
        <v>CA-2014-120474_OFF-AR-10000475</v>
      </c>
      <c r="E467" t="str">
        <f>IF(COUNTIF(data2!$D:$D,D467)=0,"Missing in Data2","Present")</f>
        <v>Present</v>
      </c>
    </row>
    <row r="468" spans="1:5" x14ac:dyDescent="0.25">
      <c r="A468" s="2" t="s">
        <v>660</v>
      </c>
      <c r="B468" s="2" t="s">
        <v>661</v>
      </c>
      <c r="C468" s="2">
        <v>2</v>
      </c>
      <c r="D468" t="str">
        <f t="shared" si="7"/>
        <v>CA-2014-120544_FUR-FU-10001940</v>
      </c>
      <c r="E468" t="str">
        <f>IF(COUNTIF(data2!$D:$D,D468)=0,"Missing in Data2","Present")</f>
        <v>Present</v>
      </c>
    </row>
    <row r="469" spans="1:5" x14ac:dyDescent="0.25">
      <c r="A469" s="2" t="s">
        <v>660</v>
      </c>
      <c r="B469" s="2" t="s">
        <v>662</v>
      </c>
      <c r="C469" s="2">
        <v>3</v>
      </c>
      <c r="D469" t="str">
        <f t="shared" si="7"/>
        <v>CA-2014-120544_OFF-AP-10004336</v>
      </c>
      <c r="E469" t="str">
        <f>IF(COUNTIF(data2!$D:$D,D469)=0,"Missing in Data2","Present")</f>
        <v>Present</v>
      </c>
    </row>
    <row r="470" spans="1:5" x14ac:dyDescent="0.25">
      <c r="A470" s="2" t="s">
        <v>660</v>
      </c>
      <c r="B470" s="2" t="s">
        <v>553</v>
      </c>
      <c r="C470" s="2">
        <v>7</v>
      </c>
      <c r="D470" t="str">
        <f t="shared" si="7"/>
        <v>CA-2014-120544_TEC-AC-10003709</v>
      </c>
      <c r="E470" t="str">
        <f>IF(COUNTIF(data2!$D:$D,D470)=0,"Missing in Data2","Present")</f>
        <v>Present</v>
      </c>
    </row>
    <row r="471" spans="1:5" x14ac:dyDescent="0.25">
      <c r="A471" s="2" t="s">
        <v>663</v>
      </c>
      <c r="B471" s="2" t="s">
        <v>457</v>
      </c>
      <c r="C471" s="2">
        <v>10</v>
      </c>
      <c r="D471" t="str">
        <f t="shared" si="7"/>
        <v>CA-2014-120670_TEC-AC-10004171</v>
      </c>
      <c r="E471" t="str">
        <f>IF(COUNTIF(data2!$D:$D,D471)=0,"Missing in Data2","Present")</f>
        <v>Present</v>
      </c>
    </row>
    <row r="472" spans="1:5" x14ac:dyDescent="0.25">
      <c r="A472" s="2" t="s">
        <v>664</v>
      </c>
      <c r="B472" s="2" t="s">
        <v>665</v>
      </c>
      <c r="C472" s="2">
        <v>14</v>
      </c>
      <c r="D472" t="str">
        <f t="shared" si="7"/>
        <v>CA-2014-120768_FUR-CH-10000513</v>
      </c>
      <c r="E472" t="str">
        <f>IF(COUNTIF(data2!$D:$D,D472)=0,"Missing in Data2","Present")</f>
        <v>Present</v>
      </c>
    </row>
    <row r="473" spans="1:5" x14ac:dyDescent="0.25">
      <c r="A473" s="2" t="s">
        <v>664</v>
      </c>
      <c r="B473" s="2" t="s">
        <v>666</v>
      </c>
      <c r="C473" s="2">
        <v>6</v>
      </c>
      <c r="D473" t="str">
        <f t="shared" si="7"/>
        <v>CA-2014-120768_OFF-BI-10001191</v>
      </c>
      <c r="E473" t="str">
        <f>IF(COUNTIF(data2!$D:$D,D473)=0,"Missing in Data2","Present")</f>
        <v>Present</v>
      </c>
    </row>
    <row r="474" spans="1:5" x14ac:dyDescent="0.25">
      <c r="A474" s="2" t="s">
        <v>664</v>
      </c>
      <c r="B474" s="2" t="s">
        <v>667</v>
      </c>
      <c r="C474" s="2">
        <v>1</v>
      </c>
      <c r="D474" t="str">
        <f t="shared" si="7"/>
        <v>CA-2014-120768_OFF-SU-10004115</v>
      </c>
      <c r="E474" t="str">
        <f>IF(COUNTIF(data2!$D:$D,D474)=0,"Missing in Data2","Present")</f>
        <v>Present</v>
      </c>
    </row>
    <row r="475" spans="1:5" x14ac:dyDescent="0.25">
      <c r="A475" s="2" t="s">
        <v>668</v>
      </c>
      <c r="B475" s="2" t="s">
        <v>669</v>
      </c>
      <c r="C475" s="2">
        <v>3</v>
      </c>
      <c r="D475" t="str">
        <f t="shared" si="7"/>
        <v>CA-2014-120775_FUR-FU-10000758</v>
      </c>
      <c r="E475" t="str">
        <f>IF(COUNTIF(data2!$D:$D,D475)=0,"Missing in Data2","Present")</f>
        <v>Present</v>
      </c>
    </row>
    <row r="476" spans="1:5" x14ac:dyDescent="0.25">
      <c r="A476" s="2" t="s">
        <v>668</v>
      </c>
      <c r="B476" s="2" t="s">
        <v>459</v>
      </c>
      <c r="C476" s="2">
        <v>3</v>
      </c>
      <c r="D476" t="str">
        <f t="shared" si="7"/>
        <v>CA-2014-120775_OFF-BI-10002609</v>
      </c>
      <c r="E476" t="str">
        <f>IF(COUNTIF(data2!$D:$D,D476)=0,"Missing in Data2","Present")</f>
        <v>Present</v>
      </c>
    </row>
    <row r="477" spans="1:5" x14ac:dyDescent="0.25">
      <c r="A477" s="2" t="s">
        <v>668</v>
      </c>
      <c r="B477" s="2" t="s">
        <v>670</v>
      </c>
      <c r="C477" s="2">
        <v>4</v>
      </c>
      <c r="D477" t="str">
        <f t="shared" si="7"/>
        <v>CA-2014-120775_OFF-FA-10000254</v>
      </c>
      <c r="E477" t="str">
        <f>IF(COUNTIF(data2!$D:$D,D477)=0,"Missing in Data2","Present")</f>
        <v>Present</v>
      </c>
    </row>
    <row r="478" spans="1:5" x14ac:dyDescent="0.25">
      <c r="A478" s="2" t="s">
        <v>668</v>
      </c>
      <c r="B478" s="2" t="s">
        <v>420</v>
      </c>
      <c r="C478" s="2">
        <v>3</v>
      </c>
      <c r="D478" t="str">
        <f t="shared" si="7"/>
        <v>CA-2014-120775_OFF-FA-10002676</v>
      </c>
      <c r="E478" t="str">
        <f>IF(COUNTIF(data2!$D:$D,D478)=0,"Missing in Data2","Present")</f>
        <v>Present</v>
      </c>
    </row>
    <row r="479" spans="1:5" x14ac:dyDescent="0.25">
      <c r="A479" s="2" t="s">
        <v>668</v>
      </c>
      <c r="B479" s="2" t="s">
        <v>671</v>
      </c>
      <c r="C479" s="2">
        <v>2</v>
      </c>
      <c r="D479" t="str">
        <f t="shared" si="7"/>
        <v>CA-2014-120775_OFF-LA-10002271</v>
      </c>
      <c r="E479" t="str">
        <f>IF(COUNTIF(data2!$D:$D,D479)=0,"Missing in Data2","Present")</f>
        <v>Present</v>
      </c>
    </row>
    <row r="480" spans="1:5" x14ac:dyDescent="0.25">
      <c r="A480" s="2" t="s">
        <v>672</v>
      </c>
      <c r="B480" s="2" t="s">
        <v>254</v>
      </c>
      <c r="C480" s="2">
        <v>2</v>
      </c>
      <c r="D480" t="str">
        <f t="shared" si="7"/>
        <v>CA-2014-120838_OFF-ST-10000585</v>
      </c>
      <c r="E480" t="str">
        <f>IF(COUNTIF(data2!$D:$D,D480)=0,"Missing in Data2","Present")</f>
        <v>Present</v>
      </c>
    </row>
    <row r="481" spans="1:5" x14ac:dyDescent="0.25">
      <c r="A481" s="2" t="s">
        <v>672</v>
      </c>
      <c r="B481" s="2" t="s">
        <v>673</v>
      </c>
      <c r="C481" s="2">
        <v>6</v>
      </c>
      <c r="D481" t="str">
        <f t="shared" si="7"/>
        <v>CA-2014-120838_TEC-PH-10003484</v>
      </c>
      <c r="E481" t="str">
        <f>IF(COUNTIF(data2!$D:$D,D481)=0,"Missing in Data2","Present")</f>
        <v>Present</v>
      </c>
    </row>
    <row r="482" spans="1:5" x14ac:dyDescent="0.25">
      <c r="A482" s="2" t="s">
        <v>674</v>
      </c>
      <c r="B482" s="2" t="s">
        <v>675</v>
      </c>
      <c r="C482" s="2">
        <v>2</v>
      </c>
      <c r="D482" t="str">
        <f t="shared" si="7"/>
        <v>CA-2014-120852_OFF-AP-10001563</v>
      </c>
      <c r="E482" t="str">
        <f>IF(COUNTIF(data2!$D:$D,D482)=0,"Missing in Data2","Present")</f>
        <v>Present</v>
      </c>
    </row>
    <row r="483" spans="1:5" x14ac:dyDescent="0.25">
      <c r="A483" s="2" t="s">
        <v>674</v>
      </c>
      <c r="B483" s="2" t="s">
        <v>676</v>
      </c>
      <c r="C483" s="2">
        <v>5</v>
      </c>
      <c r="D483" t="str">
        <f t="shared" si="7"/>
        <v>CA-2014-120852_TEC-AC-10004510</v>
      </c>
      <c r="E483" t="str">
        <f>IF(COUNTIF(data2!$D:$D,D483)=0,"Missing in Data2","Present")</f>
        <v>Present</v>
      </c>
    </row>
    <row r="484" spans="1:5" x14ac:dyDescent="0.25">
      <c r="A484" s="2" t="s">
        <v>677</v>
      </c>
      <c r="B484" s="2" t="s">
        <v>678</v>
      </c>
      <c r="C484" s="2">
        <v>3</v>
      </c>
      <c r="D484" t="str">
        <f t="shared" si="7"/>
        <v>CA-2014-120887_FUR-FU-10001588</v>
      </c>
      <c r="E484" t="str">
        <f>IF(COUNTIF(data2!$D:$D,D484)=0,"Missing in Data2","Present")</f>
        <v>Missing in Data2</v>
      </c>
    </row>
    <row r="485" spans="1:5" x14ac:dyDescent="0.25">
      <c r="A485" s="2" t="s">
        <v>679</v>
      </c>
      <c r="B485" s="2" t="s">
        <v>680</v>
      </c>
      <c r="C485" s="2">
        <v>3</v>
      </c>
      <c r="D485" t="str">
        <f t="shared" si="7"/>
        <v>CA-2014-121006_FUR-CH-10004997</v>
      </c>
      <c r="E485" t="str">
        <f>IF(COUNTIF(data2!$D:$D,D485)=0,"Missing in Data2","Present")</f>
        <v>Present</v>
      </c>
    </row>
    <row r="486" spans="1:5" x14ac:dyDescent="0.25">
      <c r="A486" s="2" t="s">
        <v>679</v>
      </c>
      <c r="B486" s="2" t="s">
        <v>681</v>
      </c>
      <c r="C486" s="2">
        <v>2</v>
      </c>
      <c r="D486" t="str">
        <f t="shared" si="7"/>
        <v>CA-2014-121006_OFF-AR-10001149</v>
      </c>
      <c r="E486" t="str">
        <f>IF(COUNTIF(data2!$D:$D,D486)=0,"Missing in Data2","Present")</f>
        <v>Present</v>
      </c>
    </row>
    <row r="487" spans="1:5" x14ac:dyDescent="0.25">
      <c r="A487" s="2" t="s">
        <v>679</v>
      </c>
      <c r="B487" s="2" t="s">
        <v>682</v>
      </c>
      <c r="C487" s="2">
        <v>3</v>
      </c>
      <c r="D487" t="str">
        <f t="shared" si="7"/>
        <v>CA-2014-121006_OFF-PA-10002479</v>
      </c>
      <c r="E487" t="str">
        <f>IF(COUNTIF(data2!$D:$D,D487)=0,"Missing in Data2","Present")</f>
        <v>Present</v>
      </c>
    </row>
    <row r="488" spans="1:5" x14ac:dyDescent="0.25">
      <c r="A488" s="2" t="s">
        <v>679</v>
      </c>
      <c r="B488" s="2" t="s">
        <v>34</v>
      </c>
      <c r="C488" s="2">
        <v>3</v>
      </c>
      <c r="D488" t="str">
        <f t="shared" si="7"/>
        <v>CA-2014-121006_OFF-ST-10001490</v>
      </c>
      <c r="E488" t="str">
        <f>IF(COUNTIF(data2!$D:$D,D488)=0,"Missing in Data2","Present")</f>
        <v>Present</v>
      </c>
    </row>
    <row r="489" spans="1:5" x14ac:dyDescent="0.25">
      <c r="A489" s="2" t="s">
        <v>679</v>
      </c>
      <c r="B489" s="2" t="s">
        <v>45</v>
      </c>
      <c r="C489" s="2">
        <v>3</v>
      </c>
      <c r="D489" t="str">
        <f t="shared" si="7"/>
        <v>CA-2014-121006_OFF-ST-10004950</v>
      </c>
      <c r="E489" t="str">
        <f>IF(COUNTIF(data2!$D:$D,D489)=0,"Missing in Data2","Present")</f>
        <v>Present</v>
      </c>
    </row>
    <row r="490" spans="1:5" x14ac:dyDescent="0.25">
      <c r="A490" s="2" t="s">
        <v>683</v>
      </c>
      <c r="B490" s="2" t="s">
        <v>206</v>
      </c>
      <c r="C490" s="2">
        <v>2</v>
      </c>
      <c r="D490" t="str">
        <f t="shared" si="7"/>
        <v>CA-2014-121167_OFF-BI-10003676</v>
      </c>
      <c r="E490" t="str">
        <f>IF(COUNTIF(data2!$D:$D,D490)=0,"Missing in Data2","Present")</f>
        <v>Present</v>
      </c>
    </row>
    <row r="491" spans="1:5" x14ac:dyDescent="0.25">
      <c r="A491" s="2" t="s">
        <v>684</v>
      </c>
      <c r="B491" s="2" t="s">
        <v>685</v>
      </c>
      <c r="C491" s="2">
        <v>3</v>
      </c>
      <c r="D491" t="str">
        <f t="shared" si="7"/>
        <v>CA-2014-121286_OFF-FA-10000585</v>
      </c>
      <c r="E491" t="str">
        <f>IF(COUNTIF(data2!$D:$D,D491)=0,"Missing in Data2","Present")</f>
        <v>Present</v>
      </c>
    </row>
    <row r="492" spans="1:5" x14ac:dyDescent="0.25">
      <c r="A492" s="2" t="s">
        <v>686</v>
      </c>
      <c r="B492" s="2" t="s">
        <v>687</v>
      </c>
      <c r="C492" s="2">
        <v>2</v>
      </c>
      <c r="D492" t="str">
        <f t="shared" si="7"/>
        <v>CA-2014-121573_OFF-BI-10000666</v>
      </c>
      <c r="E492" t="str">
        <f>IF(COUNTIF(data2!$D:$D,D492)=0,"Missing in Data2","Present")</f>
        <v>Present</v>
      </c>
    </row>
    <row r="493" spans="1:5" x14ac:dyDescent="0.25">
      <c r="A493" s="2" t="s">
        <v>686</v>
      </c>
      <c r="B493" s="2" t="s">
        <v>688</v>
      </c>
      <c r="C493" s="2">
        <v>2</v>
      </c>
      <c r="D493" t="str">
        <f t="shared" si="7"/>
        <v>CA-2014-121573_OFF-BI-10003712</v>
      </c>
      <c r="E493" t="str">
        <f>IF(COUNTIF(data2!$D:$D,D493)=0,"Missing in Data2","Present")</f>
        <v>Present</v>
      </c>
    </row>
    <row r="494" spans="1:5" x14ac:dyDescent="0.25">
      <c r="A494" s="2" t="s">
        <v>686</v>
      </c>
      <c r="B494" s="2" t="s">
        <v>520</v>
      </c>
      <c r="C494" s="2">
        <v>4</v>
      </c>
      <c r="D494" t="str">
        <f t="shared" si="7"/>
        <v>CA-2014-121573_TEC-PH-10000984</v>
      </c>
      <c r="E494" t="str">
        <f>IF(COUNTIF(data2!$D:$D,D494)=0,"Missing in Data2","Present")</f>
        <v>Present</v>
      </c>
    </row>
    <row r="495" spans="1:5" x14ac:dyDescent="0.25">
      <c r="A495" s="2" t="s">
        <v>689</v>
      </c>
      <c r="B495" s="2" t="s">
        <v>690</v>
      </c>
      <c r="C495" s="2">
        <v>5</v>
      </c>
      <c r="D495" t="str">
        <f t="shared" si="7"/>
        <v>CA-2014-121629_TEC-MA-10004679</v>
      </c>
      <c r="E495" t="str">
        <f>IF(COUNTIF(data2!$D:$D,D495)=0,"Missing in Data2","Present")</f>
        <v>Present</v>
      </c>
    </row>
    <row r="496" spans="1:5" x14ac:dyDescent="0.25">
      <c r="A496" s="2" t="s">
        <v>691</v>
      </c>
      <c r="B496" s="2" t="s">
        <v>229</v>
      </c>
      <c r="C496" s="2">
        <v>8</v>
      </c>
      <c r="D496" t="str">
        <f t="shared" si="7"/>
        <v>CA-2014-121664_OFF-BI-10003684</v>
      </c>
      <c r="E496" t="str">
        <f>IF(COUNTIF(data2!$D:$D,D496)=0,"Missing in Data2","Present")</f>
        <v>Present</v>
      </c>
    </row>
    <row r="497" spans="1:5" x14ac:dyDescent="0.25">
      <c r="A497" s="2" t="s">
        <v>692</v>
      </c>
      <c r="B497" s="2" t="s">
        <v>693</v>
      </c>
      <c r="C497" s="2">
        <v>2</v>
      </c>
      <c r="D497" t="str">
        <f t="shared" si="7"/>
        <v>CA-2014-121727_OFF-AR-10004930</v>
      </c>
      <c r="E497" t="str">
        <f>IF(COUNTIF(data2!$D:$D,D497)=0,"Missing in Data2","Present")</f>
        <v>Present</v>
      </c>
    </row>
    <row r="498" spans="1:5" x14ac:dyDescent="0.25">
      <c r="A498" s="2" t="s">
        <v>694</v>
      </c>
      <c r="B498" s="2" t="s">
        <v>650</v>
      </c>
      <c r="C498" s="2">
        <v>2</v>
      </c>
      <c r="D498" t="str">
        <f t="shared" si="7"/>
        <v>CA-2014-121762_OFF-AP-10001293</v>
      </c>
      <c r="E498" t="str">
        <f>IF(COUNTIF(data2!$D:$D,D498)=0,"Missing in Data2","Present")</f>
        <v>Missing in Data2</v>
      </c>
    </row>
    <row r="499" spans="1:5" x14ac:dyDescent="0.25">
      <c r="A499" s="2" t="s">
        <v>694</v>
      </c>
      <c r="B499" s="2" t="s">
        <v>695</v>
      </c>
      <c r="C499" s="2">
        <v>2</v>
      </c>
      <c r="D499" t="str">
        <f t="shared" si="7"/>
        <v>CA-2014-121762_OFF-SU-10000157</v>
      </c>
      <c r="E499" t="str">
        <f>IF(COUNTIF(data2!$D:$D,D499)=0,"Missing in Data2","Present")</f>
        <v>Present</v>
      </c>
    </row>
    <row r="500" spans="1:5" x14ac:dyDescent="0.25">
      <c r="A500" s="2" t="s">
        <v>696</v>
      </c>
      <c r="B500" s="2" t="s">
        <v>697</v>
      </c>
      <c r="C500" s="2">
        <v>1</v>
      </c>
      <c r="D500" t="str">
        <f t="shared" si="7"/>
        <v>CA-2014-121769_FUR-TA-10004442</v>
      </c>
      <c r="E500" t="str">
        <f>IF(COUNTIF(data2!$D:$D,D500)=0,"Missing in Data2","Present")</f>
        <v>Present</v>
      </c>
    </row>
    <row r="501" spans="1:5" x14ac:dyDescent="0.25">
      <c r="A501" s="2" t="s">
        <v>698</v>
      </c>
      <c r="B501" s="2" t="s">
        <v>651</v>
      </c>
      <c r="C501" s="2">
        <v>3</v>
      </c>
      <c r="D501" t="str">
        <f t="shared" si="7"/>
        <v>CA-2014-122070_OFF-BI-10004970</v>
      </c>
      <c r="E501" t="str">
        <f>IF(COUNTIF(data2!$D:$D,D501)=0,"Missing in Data2","Present")</f>
        <v>Present</v>
      </c>
    </row>
    <row r="502" spans="1:5" x14ac:dyDescent="0.25">
      <c r="A502" s="2" t="s">
        <v>698</v>
      </c>
      <c r="B502" s="2" t="s">
        <v>699</v>
      </c>
      <c r="C502" s="2">
        <v>8</v>
      </c>
      <c r="D502" t="str">
        <f t="shared" si="7"/>
        <v>CA-2014-122070_OFF-EN-10004773</v>
      </c>
      <c r="E502" t="str">
        <f>IF(COUNTIF(data2!$D:$D,D502)=0,"Missing in Data2","Present")</f>
        <v>Present</v>
      </c>
    </row>
    <row r="503" spans="1:5" x14ac:dyDescent="0.25">
      <c r="A503" s="2" t="s">
        <v>700</v>
      </c>
      <c r="B503" s="2" t="s">
        <v>701</v>
      </c>
      <c r="C503" s="2">
        <v>4</v>
      </c>
      <c r="D503" t="str">
        <f t="shared" si="7"/>
        <v>CA-2014-122336_OFF-AR-10000122</v>
      </c>
      <c r="E503" t="str">
        <f>IF(COUNTIF(data2!$D:$D,D503)=0,"Missing in Data2","Present")</f>
        <v>Present</v>
      </c>
    </row>
    <row r="504" spans="1:5" x14ac:dyDescent="0.25">
      <c r="A504" s="2" t="s">
        <v>700</v>
      </c>
      <c r="B504" s="2" t="s">
        <v>702</v>
      </c>
      <c r="C504" s="2">
        <v>10</v>
      </c>
      <c r="D504" t="str">
        <f t="shared" si="7"/>
        <v>CA-2014-122336_OFF-BI-10003656</v>
      </c>
      <c r="E504" t="str">
        <f>IF(COUNTIF(data2!$D:$D,D504)=0,"Missing in Data2","Present")</f>
        <v>Missing in Data2</v>
      </c>
    </row>
    <row r="505" spans="1:5" x14ac:dyDescent="0.25">
      <c r="A505" s="2" t="s">
        <v>700</v>
      </c>
      <c r="B505" s="2" t="s">
        <v>703</v>
      </c>
      <c r="C505" s="2">
        <v>13</v>
      </c>
      <c r="D505" t="str">
        <f t="shared" si="7"/>
        <v>CA-2014-122336_OFF-FA-10002780</v>
      </c>
      <c r="E505" t="str">
        <f>IF(COUNTIF(data2!$D:$D,D505)=0,"Missing in Data2","Present")</f>
        <v>Present</v>
      </c>
    </row>
    <row r="506" spans="1:5" x14ac:dyDescent="0.25">
      <c r="A506" s="2" t="s">
        <v>700</v>
      </c>
      <c r="B506" s="2" t="s">
        <v>704</v>
      </c>
      <c r="C506" s="2">
        <v>12</v>
      </c>
      <c r="D506" t="str">
        <f t="shared" si="7"/>
        <v>CA-2014-122336_TEC-PH-10000702</v>
      </c>
      <c r="E506" t="str">
        <f>IF(COUNTIF(data2!$D:$D,D506)=0,"Missing in Data2","Present")</f>
        <v>Present</v>
      </c>
    </row>
    <row r="507" spans="1:5" x14ac:dyDescent="0.25">
      <c r="A507" s="2" t="s">
        <v>705</v>
      </c>
      <c r="B507" s="2" t="s">
        <v>706</v>
      </c>
      <c r="C507" s="2">
        <v>2</v>
      </c>
      <c r="D507" t="str">
        <f t="shared" si="7"/>
        <v>CA-2014-122567_OFF-AP-10001303</v>
      </c>
      <c r="E507" t="str">
        <f>IF(COUNTIF(data2!$D:$D,D507)=0,"Missing in Data2","Present")</f>
        <v>Present</v>
      </c>
    </row>
    <row r="508" spans="1:5" x14ac:dyDescent="0.25">
      <c r="A508" s="2" t="s">
        <v>707</v>
      </c>
      <c r="B508" s="2" t="s">
        <v>538</v>
      </c>
      <c r="C508" s="2">
        <v>2</v>
      </c>
      <c r="D508" t="str">
        <f t="shared" si="7"/>
        <v>CA-2014-122588_FUR-FU-10001095</v>
      </c>
      <c r="E508" t="str">
        <f>IF(COUNTIF(data2!$D:$D,D508)=0,"Missing in Data2","Present")</f>
        <v>Present</v>
      </c>
    </row>
    <row r="509" spans="1:5" x14ac:dyDescent="0.25">
      <c r="A509" s="2" t="s">
        <v>708</v>
      </c>
      <c r="B509" s="2" t="s">
        <v>709</v>
      </c>
      <c r="C509" s="2">
        <v>3</v>
      </c>
      <c r="D509" t="str">
        <f t="shared" si="7"/>
        <v>CA-2014-122609_FUR-FU-10004587</v>
      </c>
      <c r="E509" t="str">
        <f>IF(COUNTIF(data2!$D:$D,D509)=0,"Missing in Data2","Present")</f>
        <v>Present</v>
      </c>
    </row>
    <row r="510" spans="1:5" x14ac:dyDescent="0.25">
      <c r="A510" s="2" t="s">
        <v>708</v>
      </c>
      <c r="B510" s="2" t="s">
        <v>710</v>
      </c>
      <c r="C510" s="2">
        <v>2</v>
      </c>
      <c r="D510" t="str">
        <f t="shared" si="7"/>
        <v>CA-2014-122609_TEC-AC-10002567</v>
      </c>
      <c r="E510" t="str">
        <f>IF(COUNTIF(data2!$D:$D,D510)=0,"Missing in Data2","Present")</f>
        <v>Present</v>
      </c>
    </row>
    <row r="511" spans="1:5" x14ac:dyDescent="0.25">
      <c r="A511" s="2" t="s">
        <v>711</v>
      </c>
      <c r="B511" s="2" t="s">
        <v>58</v>
      </c>
      <c r="C511" s="2">
        <v>6</v>
      </c>
      <c r="D511" t="str">
        <f t="shared" si="7"/>
        <v>CA-2014-122679_OFF-AR-10004757</v>
      </c>
      <c r="E511" t="str">
        <f>IF(COUNTIF(data2!$D:$D,D511)=0,"Missing in Data2","Present")</f>
        <v>Present</v>
      </c>
    </row>
    <row r="512" spans="1:5" x14ac:dyDescent="0.25">
      <c r="A512" s="2" t="s">
        <v>712</v>
      </c>
      <c r="B512" s="2" t="s">
        <v>713</v>
      </c>
      <c r="C512" s="2">
        <v>4</v>
      </c>
      <c r="D512" t="str">
        <f t="shared" si="7"/>
        <v>CA-2014-122749_TEC-PH-10003811</v>
      </c>
      <c r="E512" t="str">
        <f>IF(COUNTIF(data2!$D:$D,D512)=0,"Missing in Data2","Present")</f>
        <v>Present</v>
      </c>
    </row>
    <row r="513" spans="1:5" x14ac:dyDescent="0.25">
      <c r="A513" s="2" t="s">
        <v>714</v>
      </c>
      <c r="B513" s="2" t="s">
        <v>669</v>
      </c>
      <c r="C513" s="2">
        <v>2</v>
      </c>
      <c r="D513" t="str">
        <f t="shared" si="7"/>
        <v>CA-2014-122882_FUR-FU-10000758</v>
      </c>
      <c r="E513" t="str">
        <f>IF(COUNTIF(data2!$D:$D,D513)=0,"Missing in Data2","Present")</f>
        <v>Present</v>
      </c>
    </row>
    <row r="514" spans="1:5" x14ac:dyDescent="0.25">
      <c r="A514" s="2" t="s">
        <v>714</v>
      </c>
      <c r="B514" s="2" t="s">
        <v>715</v>
      </c>
      <c r="C514" s="2">
        <v>1</v>
      </c>
      <c r="D514" t="str">
        <f t="shared" si="7"/>
        <v>CA-2014-122882_OFF-ST-10002344</v>
      </c>
      <c r="E514" t="str">
        <f>IF(COUNTIF(data2!$D:$D,D514)=0,"Missing in Data2","Present")</f>
        <v>Present</v>
      </c>
    </row>
    <row r="515" spans="1:5" x14ac:dyDescent="0.25">
      <c r="A515" s="2" t="s">
        <v>714</v>
      </c>
      <c r="B515" s="2" t="s">
        <v>690</v>
      </c>
      <c r="C515" s="2">
        <v>4</v>
      </c>
      <c r="D515" t="str">
        <f t="shared" ref="D515:D578" si="8">A515&amp;"_"&amp;B515</f>
        <v>CA-2014-122882_TEC-MA-10004679</v>
      </c>
      <c r="E515" t="str">
        <f>IF(COUNTIF(data2!$D:$D,D515)=0,"Missing in Data2","Present")</f>
        <v>Present</v>
      </c>
    </row>
    <row r="516" spans="1:5" x14ac:dyDescent="0.25">
      <c r="A516" s="2" t="s">
        <v>714</v>
      </c>
      <c r="B516" s="2" t="s">
        <v>716</v>
      </c>
      <c r="C516" s="2">
        <v>3</v>
      </c>
      <c r="D516" t="str">
        <f t="shared" si="8"/>
        <v>CA-2014-122882_TEC-PH-10003589</v>
      </c>
      <c r="E516" t="str">
        <f>IF(COUNTIF(data2!$D:$D,D516)=0,"Missing in Data2","Present")</f>
        <v>Present</v>
      </c>
    </row>
    <row r="517" spans="1:5" x14ac:dyDescent="0.25">
      <c r="A517" s="2" t="s">
        <v>717</v>
      </c>
      <c r="B517" s="2" t="s">
        <v>718</v>
      </c>
      <c r="C517" s="2">
        <v>1</v>
      </c>
      <c r="D517" t="str">
        <f t="shared" si="8"/>
        <v>CA-2014-122931_FUR-TA-10004147</v>
      </c>
      <c r="E517" t="str">
        <f>IF(COUNTIF(data2!$D:$D,D517)=0,"Missing in Data2","Present")</f>
        <v>Present</v>
      </c>
    </row>
    <row r="518" spans="1:5" x14ac:dyDescent="0.25">
      <c r="A518" s="2" t="s">
        <v>717</v>
      </c>
      <c r="B518" s="2" t="s">
        <v>584</v>
      </c>
      <c r="C518" s="2">
        <v>2</v>
      </c>
      <c r="D518" t="str">
        <f t="shared" si="8"/>
        <v>CA-2014-122931_FUR-TA-10004175</v>
      </c>
      <c r="E518" t="str">
        <f>IF(COUNTIF(data2!$D:$D,D518)=0,"Missing in Data2","Present")</f>
        <v>Present</v>
      </c>
    </row>
    <row r="519" spans="1:5" x14ac:dyDescent="0.25">
      <c r="A519" s="2" t="s">
        <v>717</v>
      </c>
      <c r="B519" s="2" t="s">
        <v>719</v>
      </c>
      <c r="C519" s="2">
        <v>3</v>
      </c>
      <c r="D519" t="str">
        <f t="shared" si="8"/>
        <v>CA-2014-122931_OFF-AR-10003469</v>
      </c>
      <c r="E519" t="str">
        <f>IF(COUNTIF(data2!$D:$D,D519)=0,"Missing in Data2","Present")</f>
        <v>Present</v>
      </c>
    </row>
    <row r="520" spans="1:5" x14ac:dyDescent="0.25">
      <c r="A520" s="2" t="s">
        <v>717</v>
      </c>
      <c r="B520" s="2" t="s">
        <v>720</v>
      </c>
      <c r="C520" s="2">
        <v>11</v>
      </c>
      <c r="D520" t="str">
        <f t="shared" si="8"/>
        <v>CA-2014-122931_OFF-LA-10002945</v>
      </c>
      <c r="E520" t="str">
        <f>IF(COUNTIF(data2!$D:$D,D520)=0,"Missing in Data2","Present")</f>
        <v>Present</v>
      </c>
    </row>
    <row r="521" spans="1:5" x14ac:dyDescent="0.25">
      <c r="A521" s="2" t="s">
        <v>717</v>
      </c>
      <c r="B521" s="2" t="s">
        <v>721</v>
      </c>
      <c r="C521" s="2">
        <v>4</v>
      </c>
      <c r="D521" t="str">
        <f t="shared" si="8"/>
        <v>CA-2014-122931_OFF-PA-10000533</v>
      </c>
      <c r="E521" t="str">
        <f>IF(COUNTIF(data2!$D:$D,D521)=0,"Missing in Data2","Present")</f>
        <v>Present</v>
      </c>
    </row>
    <row r="522" spans="1:5" x14ac:dyDescent="0.25">
      <c r="A522" s="2" t="s">
        <v>722</v>
      </c>
      <c r="B522" s="2" t="s">
        <v>723</v>
      </c>
      <c r="C522" s="2">
        <v>4</v>
      </c>
      <c r="D522" t="str">
        <f t="shared" si="8"/>
        <v>CA-2014-123064_OFF-AR-10004582</v>
      </c>
      <c r="E522" t="str">
        <f>IF(COUNTIF(data2!$D:$D,D522)=0,"Missing in Data2","Present")</f>
        <v>Present</v>
      </c>
    </row>
    <row r="523" spans="1:5" x14ac:dyDescent="0.25">
      <c r="A523" s="2" t="s">
        <v>724</v>
      </c>
      <c r="B523" s="2" t="s">
        <v>725</v>
      </c>
      <c r="C523" s="2">
        <v>2</v>
      </c>
      <c r="D523" t="str">
        <f t="shared" si="8"/>
        <v>CA-2014-123127_OFF-AP-10001962</v>
      </c>
      <c r="E523" t="str">
        <f>IF(COUNTIF(data2!$D:$D,D523)=0,"Missing in Data2","Present")</f>
        <v>Present</v>
      </c>
    </row>
    <row r="524" spans="1:5" x14ac:dyDescent="0.25">
      <c r="A524" s="2" t="s">
        <v>726</v>
      </c>
      <c r="B524" s="2" t="s">
        <v>727</v>
      </c>
      <c r="C524" s="2">
        <v>2</v>
      </c>
      <c r="D524" t="str">
        <f t="shared" si="8"/>
        <v>CA-2014-123225_OFF-PA-10000552</v>
      </c>
      <c r="E524" t="str">
        <f>IF(COUNTIF(data2!$D:$D,D524)=0,"Missing in Data2","Present")</f>
        <v>Present</v>
      </c>
    </row>
    <row r="525" spans="1:5" x14ac:dyDescent="0.25">
      <c r="A525" s="2" t="s">
        <v>726</v>
      </c>
      <c r="B525" s="2" t="s">
        <v>148</v>
      </c>
      <c r="C525" s="2">
        <v>4</v>
      </c>
      <c r="D525" t="str">
        <f t="shared" si="8"/>
        <v>CA-2014-123225_TEC-PH-10000895</v>
      </c>
      <c r="E525" t="str">
        <f>IF(COUNTIF(data2!$D:$D,D525)=0,"Missing in Data2","Present")</f>
        <v>Present</v>
      </c>
    </row>
    <row r="526" spans="1:5" x14ac:dyDescent="0.25">
      <c r="A526" s="2" t="s">
        <v>728</v>
      </c>
      <c r="B526" s="2" t="s">
        <v>729</v>
      </c>
      <c r="C526" s="2">
        <v>1</v>
      </c>
      <c r="D526" t="str">
        <f t="shared" si="8"/>
        <v>CA-2014-123253_OFF-AR-10002804</v>
      </c>
      <c r="E526" t="str">
        <f>IF(COUNTIF(data2!$D:$D,D526)=0,"Missing in Data2","Present")</f>
        <v>Missing in Data2</v>
      </c>
    </row>
    <row r="527" spans="1:5" x14ac:dyDescent="0.25">
      <c r="A527" s="2" t="s">
        <v>730</v>
      </c>
      <c r="B527" s="2" t="s">
        <v>731</v>
      </c>
      <c r="C527" s="2">
        <v>8</v>
      </c>
      <c r="D527" t="str">
        <f t="shared" si="8"/>
        <v>CA-2014-123260_TEC-AC-10002323</v>
      </c>
      <c r="E527" t="str">
        <f>IF(COUNTIF(data2!$D:$D,D527)=0,"Missing in Data2","Present")</f>
        <v>Present</v>
      </c>
    </row>
    <row r="528" spans="1:5" x14ac:dyDescent="0.25">
      <c r="A528" s="2" t="s">
        <v>732</v>
      </c>
      <c r="B528" s="2" t="s">
        <v>733</v>
      </c>
      <c r="C528" s="2">
        <v>4</v>
      </c>
      <c r="D528" t="str">
        <f t="shared" si="8"/>
        <v>CA-2014-123295_FUR-CH-10002372</v>
      </c>
      <c r="E528" t="str">
        <f>IF(COUNTIF(data2!$D:$D,D528)=0,"Missing in Data2","Present")</f>
        <v>Present</v>
      </c>
    </row>
    <row r="529" spans="1:5" x14ac:dyDescent="0.25">
      <c r="A529" s="2" t="s">
        <v>734</v>
      </c>
      <c r="B529" s="2" t="s">
        <v>735</v>
      </c>
      <c r="C529" s="2">
        <v>3</v>
      </c>
      <c r="D529" t="str">
        <f t="shared" si="8"/>
        <v>CA-2014-123316_OFF-BI-10002764</v>
      </c>
      <c r="E529" t="str">
        <f>IF(COUNTIF(data2!$D:$D,D529)=0,"Missing in Data2","Present")</f>
        <v>Present</v>
      </c>
    </row>
    <row r="530" spans="1:5" x14ac:dyDescent="0.25">
      <c r="A530" s="2" t="s">
        <v>736</v>
      </c>
      <c r="B530" s="2" t="s">
        <v>687</v>
      </c>
      <c r="C530" s="2">
        <v>2</v>
      </c>
      <c r="D530" t="str">
        <f t="shared" si="8"/>
        <v>CA-2014-123400_OFF-BI-10000666</v>
      </c>
      <c r="E530" t="str">
        <f>IF(COUNTIF(data2!$D:$D,D530)=0,"Missing in Data2","Present")</f>
        <v>Present</v>
      </c>
    </row>
    <row r="531" spans="1:5" x14ac:dyDescent="0.25">
      <c r="A531" s="2" t="s">
        <v>736</v>
      </c>
      <c r="B531" s="2" t="s">
        <v>737</v>
      </c>
      <c r="C531" s="2">
        <v>5</v>
      </c>
      <c r="D531" t="str">
        <f t="shared" si="8"/>
        <v>CA-2014-123400_TEC-PH-10002890</v>
      </c>
      <c r="E531" t="str">
        <f>IF(COUNTIF(data2!$D:$D,D531)=0,"Missing in Data2","Present")</f>
        <v>Present</v>
      </c>
    </row>
    <row r="532" spans="1:5" x14ac:dyDescent="0.25">
      <c r="A532" s="2" t="s">
        <v>738</v>
      </c>
      <c r="B532" s="2" t="s">
        <v>647</v>
      </c>
      <c r="C532" s="2">
        <v>4</v>
      </c>
      <c r="D532" t="str">
        <f t="shared" si="8"/>
        <v>CA-2014-123477_OFF-AP-10000692</v>
      </c>
      <c r="E532" t="str">
        <f>IF(COUNTIF(data2!$D:$D,D532)=0,"Missing in Data2","Present")</f>
        <v>Present</v>
      </c>
    </row>
    <row r="533" spans="1:5" x14ac:dyDescent="0.25">
      <c r="A533" s="2" t="s">
        <v>739</v>
      </c>
      <c r="B533" s="2" t="s">
        <v>740</v>
      </c>
      <c r="C533" s="2">
        <v>3</v>
      </c>
      <c r="D533" t="str">
        <f t="shared" si="8"/>
        <v>CA-2014-123498_OFF-BI-10000632</v>
      </c>
      <c r="E533" t="str">
        <f>IF(COUNTIF(data2!$D:$D,D533)=0,"Missing in Data2","Present")</f>
        <v>Missing in Data2</v>
      </c>
    </row>
    <row r="534" spans="1:5" x14ac:dyDescent="0.25">
      <c r="A534" s="2" t="s">
        <v>741</v>
      </c>
      <c r="B534" s="2" t="s">
        <v>742</v>
      </c>
      <c r="C534" s="2">
        <v>5</v>
      </c>
      <c r="D534" t="str">
        <f t="shared" si="8"/>
        <v>CA-2014-123855_TEC-PH-10000215</v>
      </c>
      <c r="E534" t="str">
        <f>IF(COUNTIF(data2!$D:$D,D534)=0,"Missing in Data2","Present")</f>
        <v>Present</v>
      </c>
    </row>
    <row r="535" spans="1:5" x14ac:dyDescent="0.25">
      <c r="A535" s="2" t="s">
        <v>743</v>
      </c>
      <c r="B535" s="2" t="s">
        <v>744</v>
      </c>
      <c r="C535" s="2">
        <v>3</v>
      </c>
      <c r="D535" t="str">
        <f t="shared" si="8"/>
        <v>CA-2014-123925_OFF-AR-10002952</v>
      </c>
      <c r="E535" t="str">
        <f>IF(COUNTIF(data2!$D:$D,D535)=0,"Missing in Data2","Present")</f>
        <v>Present</v>
      </c>
    </row>
    <row r="536" spans="1:5" x14ac:dyDescent="0.25">
      <c r="A536" s="2" t="s">
        <v>745</v>
      </c>
      <c r="B536" s="2" t="s">
        <v>746</v>
      </c>
      <c r="C536" s="2">
        <v>2</v>
      </c>
      <c r="D536" t="str">
        <f t="shared" si="8"/>
        <v>CA-2014-124023_FUR-FU-10004415</v>
      </c>
      <c r="E536" t="str">
        <f>IF(COUNTIF(data2!$D:$D,D536)=0,"Missing in Data2","Present")</f>
        <v>Present</v>
      </c>
    </row>
    <row r="537" spans="1:5" x14ac:dyDescent="0.25">
      <c r="A537" s="2" t="s">
        <v>747</v>
      </c>
      <c r="B537" s="2" t="s">
        <v>748</v>
      </c>
      <c r="C537" s="2">
        <v>3</v>
      </c>
      <c r="D537" t="str">
        <f t="shared" si="8"/>
        <v>CA-2014-124079_FUR-FU-10002553</v>
      </c>
      <c r="E537" t="str">
        <f>IF(COUNTIF(data2!$D:$D,D537)=0,"Missing in Data2","Present")</f>
        <v>Present</v>
      </c>
    </row>
    <row r="538" spans="1:5" x14ac:dyDescent="0.25">
      <c r="A538" s="2" t="s">
        <v>747</v>
      </c>
      <c r="B538" s="2" t="s">
        <v>275</v>
      </c>
      <c r="C538" s="2">
        <v>2</v>
      </c>
      <c r="D538" t="str">
        <f t="shared" si="8"/>
        <v>CA-2014-124079_OFF-BI-10002103</v>
      </c>
      <c r="E538" t="str">
        <f>IF(COUNTIF(data2!$D:$D,D538)=0,"Missing in Data2","Present")</f>
        <v>Present</v>
      </c>
    </row>
    <row r="539" spans="1:5" x14ac:dyDescent="0.25">
      <c r="A539" s="2" t="s">
        <v>749</v>
      </c>
      <c r="B539" s="2" t="s">
        <v>658</v>
      </c>
      <c r="C539" s="2">
        <v>5</v>
      </c>
      <c r="D539" t="str">
        <f t="shared" si="8"/>
        <v>CA-2014-124247_FUR-CH-10001854</v>
      </c>
      <c r="E539" t="str">
        <f>IF(COUNTIF(data2!$D:$D,D539)=0,"Missing in Data2","Present")</f>
        <v>Present</v>
      </c>
    </row>
    <row r="540" spans="1:5" x14ac:dyDescent="0.25">
      <c r="A540" s="2" t="s">
        <v>750</v>
      </c>
      <c r="B540" s="2" t="s">
        <v>206</v>
      </c>
      <c r="C540" s="2">
        <v>5</v>
      </c>
      <c r="D540" t="str">
        <f t="shared" si="8"/>
        <v>CA-2014-124394_OFF-BI-10003676</v>
      </c>
      <c r="E540" t="str">
        <f>IF(COUNTIF(data2!$D:$D,D540)=0,"Missing in Data2","Present")</f>
        <v>Present</v>
      </c>
    </row>
    <row r="541" spans="1:5" x14ac:dyDescent="0.25">
      <c r="A541" s="2" t="s">
        <v>750</v>
      </c>
      <c r="B541" s="2" t="s">
        <v>109</v>
      </c>
      <c r="C541" s="2">
        <v>3</v>
      </c>
      <c r="D541" t="str">
        <f t="shared" si="8"/>
        <v>CA-2014-124394_TEC-AC-10001314</v>
      </c>
      <c r="E541" t="str">
        <f>IF(COUNTIF(data2!$D:$D,D541)=0,"Missing in Data2","Present")</f>
        <v>Present</v>
      </c>
    </row>
    <row r="542" spans="1:5" x14ac:dyDescent="0.25">
      <c r="A542" s="2" t="s">
        <v>751</v>
      </c>
      <c r="B542" s="2" t="s">
        <v>752</v>
      </c>
      <c r="C542" s="2">
        <v>10</v>
      </c>
      <c r="D542" t="str">
        <f t="shared" si="8"/>
        <v>CA-2014-124429_FUR-TA-10002607</v>
      </c>
      <c r="E542" t="str">
        <f>IF(COUNTIF(data2!$D:$D,D542)=0,"Missing in Data2","Present")</f>
        <v>Present</v>
      </c>
    </row>
    <row r="543" spans="1:5" x14ac:dyDescent="0.25">
      <c r="A543" s="2" t="s">
        <v>751</v>
      </c>
      <c r="B543" s="2" t="s">
        <v>465</v>
      </c>
      <c r="C543" s="2">
        <v>4</v>
      </c>
      <c r="D543" t="str">
        <f t="shared" si="8"/>
        <v>CA-2014-124429_OFF-ST-10001809</v>
      </c>
      <c r="E543" t="str">
        <f>IF(COUNTIF(data2!$D:$D,D543)=0,"Missing in Data2","Present")</f>
        <v>Present</v>
      </c>
    </row>
    <row r="544" spans="1:5" x14ac:dyDescent="0.25">
      <c r="A544" s="2" t="s">
        <v>753</v>
      </c>
      <c r="B544" s="2" t="s">
        <v>754</v>
      </c>
      <c r="C544" s="2">
        <v>1</v>
      </c>
      <c r="D544" t="str">
        <f t="shared" si="8"/>
        <v>CA-2014-124464_OFF-AP-10000576</v>
      </c>
      <c r="E544" t="str">
        <f>IF(COUNTIF(data2!$D:$D,D544)=0,"Missing in Data2","Present")</f>
        <v>Present</v>
      </c>
    </row>
    <row r="545" spans="1:5" x14ac:dyDescent="0.25">
      <c r="A545" s="2" t="s">
        <v>755</v>
      </c>
      <c r="B545" s="2" t="s">
        <v>756</v>
      </c>
      <c r="C545" s="2">
        <v>6</v>
      </c>
      <c r="D545" t="str">
        <f t="shared" si="8"/>
        <v>CA-2014-124478_FUR-FU-10002088</v>
      </c>
      <c r="E545" t="str">
        <f>IF(COUNTIF(data2!$D:$D,D545)=0,"Missing in Data2","Present")</f>
        <v>Present</v>
      </c>
    </row>
    <row r="546" spans="1:5" x14ac:dyDescent="0.25">
      <c r="A546" s="2" t="s">
        <v>755</v>
      </c>
      <c r="B546" s="2" t="s">
        <v>757</v>
      </c>
      <c r="C546" s="2">
        <v>3</v>
      </c>
      <c r="D546" t="str">
        <f t="shared" si="8"/>
        <v>CA-2014-124478_OFF-AP-10002495</v>
      </c>
      <c r="E546" t="str">
        <f>IF(COUNTIF(data2!$D:$D,D546)=0,"Missing in Data2","Present")</f>
        <v>Present</v>
      </c>
    </row>
    <row r="547" spans="1:5" x14ac:dyDescent="0.25">
      <c r="A547" s="2" t="s">
        <v>755</v>
      </c>
      <c r="B547" s="2" t="s">
        <v>758</v>
      </c>
      <c r="C547" s="2">
        <v>3</v>
      </c>
      <c r="D547" t="str">
        <f t="shared" si="8"/>
        <v>CA-2014-124478_OFF-EN-10002500</v>
      </c>
      <c r="E547" t="str">
        <f>IF(COUNTIF(data2!$D:$D,D547)=0,"Missing in Data2","Present")</f>
        <v>Present</v>
      </c>
    </row>
    <row r="548" spans="1:5" x14ac:dyDescent="0.25">
      <c r="A548" s="2" t="s">
        <v>755</v>
      </c>
      <c r="B548" s="2" t="s">
        <v>759</v>
      </c>
      <c r="C548" s="2">
        <v>1</v>
      </c>
      <c r="D548" t="str">
        <f t="shared" si="8"/>
        <v>CA-2014-124478_TEC-CO-10001571</v>
      </c>
      <c r="E548" t="str">
        <f>IF(COUNTIF(data2!$D:$D,D548)=0,"Missing in Data2","Present")</f>
        <v>Present</v>
      </c>
    </row>
    <row r="549" spans="1:5" x14ac:dyDescent="0.25">
      <c r="A549" s="2" t="s">
        <v>755</v>
      </c>
      <c r="B549" s="2" t="s">
        <v>141</v>
      </c>
      <c r="C549" s="2">
        <v>2</v>
      </c>
      <c r="D549" t="str">
        <f t="shared" si="8"/>
        <v>CA-2014-124478_TEC-PH-10001128</v>
      </c>
      <c r="E549" t="str">
        <f>IF(COUNTIF(data2!$D:$D,D549)=0,"Missing in Data2","Present")</f>
        <v>Present</v>
      </c>
    </row>
    <row r="550" spans="1:5" x14ac:dyDescent="0.25">
      <c r="A550" s="2" t="s">
        <v>760</v>
      </c>
      <c r="B550" s="2" t="s">
        <v>761</v>
      </c>
      <c r="C550" s="2">
        <v>2</v>
      </c>
      <c r="D550" t="str">
        <f t="shared" si="8"/>
        <v>CA-2014-124618_TEC-CO-10004202</v>
      </c>
      <c r="E550" t="str">
        <f>IF(COUNTIF(data2!$D:$D,D550)=0,"Missing in Data2","Present")</f>
        <v>Present</v>
      </c>
    </row>
    <row r="551" spans="1:5" x14ac:dyDescent="0.25">
      <c r="A551" s="2" t="s">
        <v>762</v>
      </c>
      <c r="B551" s="2" t="s">
        <v>763</v>
      </c>
      <c r="C551" s="2">
        <v>3</v>
      </c>
      <c r="D551" t="str">
        <f t="shared" si="8"/>
        <v>CA-2014-124646_OFF-ST-10001097</v>
      </c>
      <c r="E551" t="str">
        <f>IF(COUNTIF(data2!$D:$D,D551)=0,"Missing in Data2","Present")</f>
        <v>Present</v>
      </c>
    </row>
    <row r="552" spans="1:5" x14ac:dyDescent="0.25">
      <c r="A552" s="2" t="s">
        <v>762</v>
      </c>
      <c r="B552" s="2" t="s">
        <v>764</v>
      </c>
      <c r="C552" s="2">
        <v>3</v>
      </c>
      <c r="D552" t="str">
        <f t="shared" si="8"/>
        <v>CA-2014-124646_OFF-ST-10001469</v>
      </c>
      <c r="E552" t="str">
        <f>IF(COUNTIF(data2!$D:$D,D552)=0,"Missing in Data2","Present")</f>
        <v>Present</v>
      </c>
    </row>
    <row r="553" spans="1:5" x14ac:dyDescent="0.25">
      <c r="A553" s="2" t="s">
        <v>765</v>
      </c>
      <c r="B553" s="2" t="s">
        <v>100</v>
      </c>
      <c r="C553" s="2">
        <v>4</v>
      </c>
      <c r="D553" t="str">
        <f t="shared" si="8"/>
        <v>CA-2014-124688_FUR-FU-10002456</v>
      </c>
      <c r="E553" t="str">
        <f>IF(COUNTIF(data2!$D:$D,D553)=0,"Missing in Data2","Present")</f>
        <v>Present</v>
      </c>
    </row>
    <row r="554" spans="1:5" x14ac:dyDescent="0.25">
      <c r="A554" s="2" t="s">
        <v>765</v>
      </c>
      <c r="B554" s="2" t="s">
        <v>766</v>
      </c>
      <c r="C554" s="2">
        <v>3</v>
      </c>
      <c r="D554" t="str">
        <f t="shared" si="8"/>
        <v>CA-2014-124688_FUR-TA-10003569</v>
      </c>
      <c r="E554" t="str">
        <f>IF(COUNTIF(data2!$D:$D,D554)=0,"Missing in Data2","Present")</f>
        <v>Present</v>
      </c>
    </row>
    <row r="555" spans="1:5" x14ac:dyDescent="0.25">
      <c r="A555" s="2" t="s">
        <v>765</v>
      </c>
      <c r="B555" s="2" t="s">
        <v>767</v>
      </c>
      <c r="C555" s="2">
        <v>5</v>
      </c>
      <c r="D555" t="str">
        <f t="shared" si="8"/>
        <v>CA-2014-124688_TEC-PH-10000455</v>
      </c>
      <c r="E555" t="str">
        <f>IF(COUNTIF(data2!$D:$D,D555)=0,"Missing in Data2","Present")</f>
        <v>Present</v>
      </c>
    </row>
    <row r="556" spans="1:5" x14ac:dyDescent="0.25">
      <c r="A556" s="2" t="s">
        <v>768</v>
      </c>
      <c r="B556" s="2" t="s">
        <v>769</v>
      </c>
      <c r="C556" s="2">
        <v>2</v>
      </c>
      <c r="D556" t="str">
        <f t="shared" si="8"/>
        <v>CA-2014-124702_FUR-FU-10003553</v>
      </c>
      <c r="E556" t="str">
        <f>IF(COUNTIF(data2!$D:$D,D556)=0,"Missing in Data2","Present")</f>
        <v>Present</v>
      </c>
    </row>
    <row r="557" spans="1:5" x14ac:dyDescent="0.25">
      <c r="A557" s="2" t="s">
        <v>768</v>
      </c>
      <c r="B557" s="2" t="s">
        <v>770</v>
      </c>
      <c r="C557" s="2">
        <v>4</v>
      </c>
      <c r="D557" t="str">
        <f t="shared" si="8"/>
        <v>CA-2014-124702_FUR-TA-10003008</v>
      </c>
      <c r="E557" t="str">
        <f>IF(COUNTIF(data2!$D:$D,D557)=0,"Missing in Data2","Present")</f>
        <v>Present</v>
      </c>
    </row>
    <row r="558" spans="1:5" x14ac:dyDescent="0.25">
      <c r="A558" s="2" t="s">
        <v>771</v>
      </c>
      <c r="B558" s="2" t="s">
        <v>345</v>
      </c>
      <c r="C558" s="2">
        <v>2</v>
      </c>
      <c r="D558" t="str">
        <f t="shared" si="8"/>
        <v>CA-2014-124709_TEC-AC-10002842</v>
      </c>
      <c r="E558" t="str">
        <f>IF(COUNTIF(data2!$D:$D,D558)=0,"Missing in Data2","Present")</f>
        <v>Present</v>
      </c>
    </row>
    <row r="559" spans="1:5" x14ac:dyDescent="0.25">
      <c r="A559" s="2" t="s">
        <v>772</v>
      </c>
      <c r="B559" s="2" t="s">
        <v>773</v>
      </c>
      <c r="C559" s="2">
        <v>4</v>
      </c>
      <c r="D559" t="str">
        <f t="shared" si="8"/>
        <v>CA-2014-124730_OFF-BI-10001031</v>
      </c>
      <c r="E559" t="str">
        <f>IF(COUNTIF(data2!$D:$D,D559)=0,"Missing in Data2","Present")</f>
        <v>Present</v>
      </c>
    </row>
    <row r="560" spans="1:5" x14ac:dyDescent="0.25">
      <c r="A560" s="2" t="s">
        <v>772</v>
      </c>
      <c r="B560" s="2" t="s">
        <v>774</v>
      </c>
      <c r="C560" s="2">
        <v>3</v>
      </c>
      <c r="D560" t="str">
        <f t="shared" si="8"/>
        <v>CA-2014-124730_OFF-BI-10001078</v>
      </c>
      <c r="E560" t="str">
        <f>IF(COUNTIF(data2!$D:$D,D560)=0,"Missing in Data2","Present")</f>
        <v>Missing in Data2</v>
      </c>
    </row>
    <row r="561" spans="1:5" x14ac:dyDescent="0.25">
      <c r="A561" s="2" t="s">
        <v>772</v>
      </c>
      <c r="B561" s="2" t="s">
        <v>775</v>
      </c>
      <c r="C561" s="2">
        <v>9</v>
      </c>
      <c r="D561" t="str">
        <f t="shared" si="8"/>
        <v>CA-2014-124730_OFF-LA-10001158</v>
      </c>
      <c r="E561" t="str">
        <f>IF(COUNTIF(data2!$D:$D,D561)=0,"Missing in Data2","Present")</f>
        <v>Present</v>
      </c>
    </row>
    <row r="562" spans="1:5" x14ac:dyDescent="0.25">
      <c r="A562" s="2" t="s">
        <v>772</v>
      </c>
      <c r="B562" s="2" t="s">
        <v>776</v>
      </c>
      <c r="C562" s="2">
        <v>4</v>
      </c>
      <c r="D562" t="str">
        <f t="shared" si="8"/>
        <v>CA-2014-124730_OFF-LA-10001613</v>
      </c>
      <c r="E562" t="str">
        <f>IF(COUNTIF(data2!$D:$D,D562)=0,"Missing in Data2","Present")</f>
        <v>Present</v>
      </c>
    </row>
    <row r="563" spans="1:5" x14ac:dyDescent="0.25">
      <c r="A563" s="2" t="s">
        <v>772</v>
      </c>
      <c r="B563" s="2" t="s">
        <v>777</v>
      </c>
      <c r="C563" s="2">
        <v>4</v>
      </c>
      <c r="D563" t="str">
        <f t="shared" si="8"/>
        <v>CA-2014-124730_TEC-PH-10002170</v>
      </c>
      <c r="E563" t="str">
        <f>IF(COUNTIF(data2!$D:$D,D563)=0,"Missing in Data2","Present")</f>
        <v>Present</v>
      </c>
    </row>
    <row r="564" spans="1:5" x14ac:dyDescent="0.25">
      <c r="A564" s="2" t="s">
        <v>778</v>
      </c>
      <c r="B564" s="2" t="s">
        <v>779</v>
      </c>
      <c r="C564" s="2">
        <v>3</v>
      </c>
      <c r="D564" t="str">
        <f t="shared" si="8"/>
        <v>CA-2014-124737_FUR-FU-10003274</v>
      </c>
      <c r="E564" t="str">
        <f>IF(COUNTIF(data2!$D:$D,D564)=0,"Missing in Data2","Present")</f>
        <v>Present</v>
      </c>
    </row>
    <row r="565" spans="1:5" x14ac:dyDescent="0.25">
      <c r="A565" s="2" t="s">
        <v>778</v>
      </c>
      <c r="B565" s="2" t="s">
        <v>780</v>
      </c>
      <c r="C565" s="2">
        <v>6</v>
      </c>
      <c r="D565" t="str">
        <f t="shared" si="8"/>
        <v>CA-2014-124737_OFF-PA-10000019</v>
      </c>
      <c r="E565" t="str">
        <f>IF(COUNTIF(data2!$D:$D,D565)=0,"Missing in Data2","Present")</f>
        <v>Present</v>
      </c>
    </row>
    <row r="566" spans="1:5" x14ac:dyDescent="0.25">
      <c r="A566" s="2" t="s">
        <v>778</v>
      </c>
      <c r="B566" s="2" t="s">
        <v>781</v>
      </c>
      <c r="C566" s="2">
        <v>9</v>
      </c>
      <c r="D566" t="str">
        <f t="shared" si="8"/>
        <v>CA-2014-124737_OFF-PA-10001125</v>
      </c>
      <c r="E566" t="str">
        <f>IF(COUNTIF(data2!$D:$D,D566)=0,"Missing in Data2","Present")</f>
        <v>Present</v>
      </c>
    </row>
    <row r="567" spans="1:5" x14ac:dyDescent="0.25">
      <c r="A567" s="2" t="s">
        <v>778</v>
      </c>
      <c r="B567" s="2" t="s">
        <v>782</v>
      </c>
      <c r="C567" s="2">
        <v>3</v>
      </c>
      <c r="D567" t="str">
        <f t="shared" si="8"/>
        <v>CA-2014-124737_OFF-PA-10001837</v>
      </c>
      <c r="E567" t="str">
        <f>IF(COUNTIF(data2!$D:$D,D567)=0,"Missing in Data2","Present")</f>
        <v>Present</v>
      </c>
    </row>
    <row r="568" spans="1:5" x14ac:dyDescent="0.25">
      <c r="A568" s="2" t="s">
        <v>778</v>
      </c>
      <c r="B568" s="2" t="s">
        <v>656</v>
      </c>
      <c r="C568" s="2">
        <v>1</v>
      </c>
      <c r="D568" t="str">
        <f t="shared" si="8"/>
        <v>CA-2014-124737_OFF-SU-10004661</v>
      </c>
      <c r="E568" t="str">
        <f>IF(COUNTIF(data2!$D:$D,D568)=0,"Missing in Data2","Present")</f>
        <v>Present</v>
      </c>
    </row>
    <row r="569" spans="1:5" x14ac:dyDescent="0.25">
      <c r="A569" s="2" t="s">
        <v>778</v>
      </c>
      <c r="B569" s="2" t="s">
        <v>783</v>
      </c>
      <c r="C569" s="2">
        <v>9</v>
      </c>
      <c r="D569" t="str">
        <f t="shared" si="8"/>
        <v>CA-2014-124737_TEC-PH-10000149</v>
      </c>
      <c r="E569" t="str">
        <f>IF(COUNTIF(data2!$D:$D,D569)=0,"Missing in Data2","Present")</f>
        <v>Present</v>
      </c>
    </row>
    <row r="570" spans="1:5" x14ac:dyDescent="0.25">
      <c r="A570" s="2" t="s">
        <v>784</v>
      </c>
      <c r="B570" s="2" t="s">
        <v>785</v>
      </c>
      <c r="C570" s="2">
        <v>9</v>
      </c>
      <c r="D570" t="str">
        <f t="shared" si="8"/>
        <v>CA-2014-124807_OFF-PA-10001526</v>
      </c>
      <c r="E570" t="str">
        <f>IF(COUNTIF(data2!$D:$D,D570)=0,"Missing in Data2","Present")</f>
        <v>Present</v>
      </c>
    </row>
    <row r="571" spans="1:5" x14ac:dyDescent="0.25">
      <c r="A571" s="2" t="s">
        <v>784</v>
      </c>
      <c r="B571" s="2" t="s">
        <v>786</v>
      </c>
      <c r="C571" s="2">
        <v>4</v>
      </c>
      <c r="D571" t="str">
        <f t="shared" si="8"/>
        <v>CA-2014-124807_TEC-AC-10002857</v>
      </c>
      <c r="E571" t="str">
        <f>IF(COUNTIF(data2!$D:$D,D571)=0,"Missing in Data2","Present")</f>
        <v>Missing in Data2</v>
      </c>
    </row>
    <row r="572" spans="1:5" x14ac:dyDescent="0.25">
      <c r="A572" s="2" t="s">
        <v>787</v>
      </c>
      <c r="B572" s="2" t="s">
        <v>363</v>
      </c>
      <c r="C572" s="2">
        <v>4</v>
      </c>
      <c r="D572" t="str">
        <f t="shared" si="8"/>
        <v>CA-2014-124856_FUR-FU-10000521</v>
      </c>
      <c r="E572" t="str">
        <f>IF(COUNTIF(data2!$D:$D,D572)=0,"Missing in Data2","Present")</f>
        <v>Present</v>
      </c>
    </row>
    <row r="573" spans="1:5" x14ac:dyDescent="0.25">
      <c r="A573" s="2" t="s">
        <v>787</v>
      </c>
      <c r="B573" s="2" t="s">
        <v>788</v>
      </c>
      <c r="C573" s="2">
        <v>3</v>
      </c>
      <c r="D573" t="str">
        <f t="shared" si="8"/>
        <v>CA-2014-124856_OFF-LA-10000121</v>
      </c>
      <c r="E573" t="str">
        <f>IF(COUNTIF(data2!$D:$D,D573)=0,"Missing in Data2","Present")</f>
        <v>Present</v>
      </c>
    </row>
    <row r="574" spans="1:5" x14ac:dyDescent="0.25">
      <c r="A574" s="2" t="s">
        <v>787</v>
      </c>
      <c r="B574" s="2" t="s">
        <v>789</v>
      </c>
      <c r="C574" s="2">
        <v>2</v>
      </c>
      <c r="D574" t="str">
        <f t="shared" si="8"/>
        <v>CA-2014-124856_OFF-PA-10001289</v>
      </c>
      <c r="E574" t="str">
        <f>IF(COUNTIF(data2!$D:$D,D574)=0,"Missing in Data2","Present")</f>
        <v>Present</v>
      </c>
    </row>
    <row r="575" spans="1:5" x14ac:dyDescent="0.25">
      <c r="A575" s="2" t="s">
        <v>787</v>
      </c>
      <c r="B575" s="2" t="s">
        <v>790</v>
      </c>
      <c r="C575" s="2">
        <v>9</v>
      </c>
      <c r="D575" t="str">
        <f t="shared" si="8"/>
        <v>CA-2014-124856_OFF-ST-10002615</v>
      </c>
      <c r="E575" t="str">
        <f>IF(COUNTIF(data2!$D:$D,D575)=0,"Missing in Data2","Present")</f>
        <v>Present</v>
      </c>
    </row>
    <row r="576" spans="1:5" x14ac:dyDescent="0.25">
      <c r="A576" s="2" t="s">
        <v>791</v>
      </c>
      <c r="B576" s="2" t="s">
        <v>467</v>
      </c>
      <c r="C576" s="2">
        <v>8</v>
      </c>
      <c r="D576" t="str">
        <f t="shared" si="8"/>
        <v>CA-2014-125136_OFF-PA-10001457</v>
      </c>
      <c r="E576" t="str">
        <f>IF(COUNTIF(data2!$D:$D,D576)=0,"Missing in Data2","Present")</f>
        <v>Present</v>
      </c>
    </row>
    <row r="577" spans="1:5" x14ac:dyDescent="0.25">
      <c r="A577" s="2" t="s">
        <v>791</v>
      </c>
      <c r="B577" s="2" t="s">
        <v>89</v>
      </c>
      <c r="C577" s="2">
        <v>2</v>
      </c>
      <c r="D577" t="str">
        <f t="shared" si="8"/>
        <v>CA-2014-125136_OFF-PA-10001804</v>
      </c>
      <c r="E577" t="str">
        <f>IF(COUNTIF(data2!$D:$D,D577)=0,"Missing in Data2","Present")</f>
        <v>Present</v>
      </c>
    </row>
    <row r="578" spans="1:5" x14ac:dyDescent="0.25">
      <c r="A578" s="2" t="s">
        <v>792</v>
      </c>
      <c r="B578" s="2" t="s">
        <v>469</v>
      </c>
      <c r="C578" s="2">
        <v>5</v>
      </c>
      <c r="D578" t="str">
        <f t="shared" si="8"/>
        <v>CA-2014-125150_FUR-CH-10002439</v>
      </c>
      <c r="E578" t="str">
        <f>IF(COUNTIF(data2!$D:$D,D578)=0,"Missing in Data2","Present")</f>
        <v>Present</v>
      </c>
    </row>
    <row r="579" spans="1:5" x14ac:dyDescent="0.25">
      <c r="A579" s="2" t="s">
        <v>793</v>
      </c>
      <c r="B579" s="2" t="s">
        <v>794</v>
      </c>
      <c r="C579" s="2">
        <v>5</v>
      </c>
      <c r="D579" t="str">
        <f t="shared" ref="D579:D642" si="9">A579&amp;"_"&amp;B579</f>
        <v>CA-2014-125171_OFF-LA-10001175</v>
      </c>
      <c r="E579" t="str">
        <f>IF(COUNTIF(data2!$D:$D,D579)=0,"Missing in Data2","Present")</f>
        <v>Missing in Data2</v>
      </c>
    </row>
    <row r="580" spans="1:5" x14ac:dyDescent="0.25">
      <c r="A580" s="2" t="s">
        <v>795</v>
      </c>
      <c r="B580" s="2" t="s">
        <v>796</v>
      </c>
      <c r="C580" s="2">
        <v>2</v>
      </c>
      <c r="D580" t="str">
        <f t="shared" si="9"/>
        <v>CA-2014-125514_OFF-AP-10000358</v>
      </c>
      <c r="E580" t="str">
        <f>IF(COUNTIF(data2!$D:$D,D580)=0,"Missing in Data2","Present")</f>
        <v>Present</v>
      </c>
    </row>
    <row r="581" spans="1:5" x14ac:dyDescent="0.25">
      <c r="A581" s="2" t="s">
        <v>795</v>
      </c>
      <c r="B581" s="2" t="s">
        <v>797</v>
      </c>
      <c r="C581" s="2">
        <v>3</v>
      </c>
      <c r="D581" t="str">
        <f t="shared" si="9"/>
        <v>CA-2014-125514_OFF-AP-10003281</v>
      </c>
      <c r="E581" t="str">
        <f>IF(COUNTIF(data2!$D:$D,D581)=0,"Missing in Data2","Present")</f>
        <v>Present</v>
      </c>
    </row>
    <row r="582" spans="1:5" x14ac:dyDescent="0.25">
      <c r="A582" s="2" t="s">
        <v>795</v>
      </c>
      <c r="B582" s="2" t="s">
        <v>316</v>
      </c>
      <c r="C582" s="2">
        <v>1</v>
      </c>
      <c r="D582" t="str">
        <f t="shared" si="9"/>
        <v>CA-2014-125514_OFF-PA-10000029</v>
      </c>
      <c r="E582" t="str">
        <f>IF(COUNTIF(data2!$D:$D,D582)=0,"Missing in Data2","Present")</f>
        <v>Present</v>
      </c>
    </row>
    <row r="583" spans="1:5" x14ac:dyDescent="0.25">
      <c r="A583" s="2" t="s">
        <v>798</v>
      </c>
      <c r="B583" s="2" t="s">
        <v>18</v>
      </c>
      <c r="C583" s="2">
        <v>7</v>
      </c>
      <c r="D583" t="str">
        <f t="shared" si="9"/>
        <v>CA-2014-125542_OFF-EN-10000056</v>
      </c>
      <c r="E583" t="str">
        <f>IF(COUNTIF(data2!$D:$D,D583)=0,"Missing in Data2","Present")</f>
        <v>Missing in Data2</v>
      </c>
    </row>
    <row r="584" spans="1:5" x14ac:dyDescent="0.25">
      <c r="A584" s="2" t="s">
        <v>798</v>
      </c>
      <c r="B584" s="2" t="s">
        <v>764</v>
      </c>
      <c r="C584" s="2">
        <v>4</v>
      </c>
      <c r="D584" t="str">
        <f t="shared" si="9"/>
        <v>CA-2014-125542_OFF-ST-10001469</v>
      </c>
      <c r="E584" t="str">
        <f>IF(COUNTIF(data2!$D:$D,D584)=0,"Missing in Data2","Present")</f>
        <v>Present</v>
      </c>
    </row>
    <row r="585" spans="1:5" x14ac:dyDescent="0.25">
      <c r="A585" s="2" t="s">
        <v>799</v>
      </c>
      <c r="B585" s="2" t="s">
        <v>800</v>
      </c>
      <c r="C585" s="2">
        <v>7</v>
      </c>
      <c r="D585" t="str">
        <f t="shared" si="9"/>
        <v>CA-2014-125556_TEC-PH-10001079</v>
      </c>
      <c r="E585" t="str">
        <f>IF(COUNTIF(data2!$D:$D,D585)=0,"Missing in Data2","Present")</f>
        <v>Present</v>
      </c>
    </row>
    <row r="586" spans="1:5" x14ac:dyDescent="0.25">
      <c r="A586" s="2" t="s">
        <v>801</v>
      </c>
      <c r="B586" s="2" t="s">
        <v>802</v>
      </c>
      <c r="C586" s="2">
        <v>2</v>
      </c>
      <c r="D586" t="str">
        <f t="shared" si="9"/>
        <v>CA-2014-125612_OFF-PA-10001019</v>
      </c>
      <c r="E586" t="str">
        <f>IF(COUNTIF(data2!$D:$D,D586)=0,"Missing in Data2","Present")</f>
        <v>Present</v>
      </c>
    </row>
    <row r="587" spans="1:5" x14ac:dyDescent="0.25">
      <c r="A587" s="2" t="s">
        <v>801</v>
      </c>
      <c r="B587" s="2" t="s">
        <v>803</v>
      </c>
      <c r="C587" s="2">
        <v>10</v>
      </c>
      <c r="D587" t="str">
        <f t="shared" si="9"/>
        <v>CA-2014-125612_OFF-SU-10002537</v>
      </c>
      <c r="E587" t="str">
        <f>IF(COUNTIF(data2!$D:$D,D587)=0,"Missing in Data2","Present")</f>
        <v>Present</v>
      </c>
    </row>
    <row r="588" spans="1:5" x14ac:dyDescent="0.25">
      <c r="A588" s="2" t="s">
        <v>804</v>
      </c>
      <c r="B588" s="2" t="s">
        <v>805</v>
      </c>
      <c r="C588" s="2">
        <v>2</v>
      </c>
      <c r="D588" t="str">
        <f t="shared" si="9"/>
        <v>CA-2014-125682_OFF-PA-10001752</v>
      </c>
      <c r="E588" t="str">
        <f>IF(COUNTIF(data2!$D:$D,D588)=0,"Missing in Data2","Present")</f>
        <v>Present</v>
      </c>
    </row>
    <row r="589" spans="1:5" x14ac:dyDescent="0.25">
      <c r="A589" s="2" t="s">
        <v>806</v>
      </c>
      <c r="B589" s="2" t="s">
        <v>807</v>
      </c>
      <c r="C589" s="2">
        <v>5</v>
      </c>
      <c r="D589" t="str">
        <f t="shared" si="9"/>
        <v>CA-2014-125731_FUR-CH-10003973</v>
      </c>
      <c r="E589" t="str">
        <f>IF(COUNTIF(data2!$D:$D,D589)=0,"Missing in Data2","Present")</f>
        <v>Present</v>
      </c>
    </row>
    <row r="590" spans="1:5" x14ac:dyDescent="0.25">
      <c r="A590" s="2" t="s">
        <v>806</v>
      </c>
      <c r="B590" s="2" t="s">
        <v>808</v>
      </c>
      <c r="C590" s="2">
        <v>7</v>
      </c>
      <c r="D590" t="str">
        <f t="shared" si="9"/>
        <v>CA-2014-125731_OFF-EN-10003072</v>
      </c>
      <c r="E590" t="str">
        <f>IF(COUNTIF(data2!$D:$D,D590)=0,"Missing in Data2","Present")</f>
        <v>Present</v>
      </c>
    </row>
    <row r="591" spans="1:5" x14ac:dyDescent="0.25">
      <c r="A591" s="2" t="s">
        <v>809</v>
      </c>
      <c r="B591" s="2" t="s">
        <v>612</v>
      </c>
      <c r="C591" s="2">
        <v>2</v>
      </c>
      <c r="D591" t="str">
        <f t="shared" si="9"/>
        <v>CA-2014-125759_FUR-FU-10002111</v>
      </c>
      <c r="E591" t="str">
        <f>IF(COUNTIF(data2!$D:$D,D591)=0,"Missing in Data2","Present")</f>
        <v>Present</v>
      </c>
    </row>
    <row r="592" spans="1:5" x14ac:dyDescent="0.25">
      <c r="A592" s="2" t="s">
        <v>810</v>
      </c>
      <c r="B592" s="2" t="s">
        <v>238</v>
      </c>
      <c r="C592" s="2">
        <v>4</v>
      </c>
      <c r="D592" t="str">
        <f t="shared" si="9"/>
        <v>CA-2014-125829_FUR-TA-10002041</v>
      </c>
      <c r="E592" t="str">
        <f>IF(COUNTIF(data2!$D:$D,D592)=0,"Missing in Data2","Present")</f>
        <v>Present</v>
      </c>
    </row>
    <row r="593" spans="1:5" x14ac:dyDescent="0.25">
      <c r="A593" s="2" t="s">
        <v>810</v>
      </c>
      <c r="B593" s="2" t="s">
        <v>811</v>
      </c>
      <c r="C593" s="2">
        <v>3</v>
      </c>
      <c r="D593" t="str">
        <f t="shared" si="9"/>
        <v>CA-2014-125829_OFF-BI-10001036</v>
      </c>
      <c r="E593" t="str">
        <f>IF(COUNTIF(data2!$D:$D,D593)=0,"Missing in Data2","Present")</f>
        <v>Present</v>
      </c>
    </row>
    <row r="594" spans="1:5" x14ac:dyDescent="0.25">
      <c r="A594" s="2" t="s">
        <v>810</v>
      </c>
      <c r="B594" s="2" t="s">
        <v>812</v>
      </c>
      <c r="C594" s="2">
        <v>3</v>
      </c>
      <c r="D594" t="str">
        <f t="shared" si="9"/>
        <v>CA-2014-125829_OFF-PA-10000223</v>
      </c>
      <c r="E594" t="str">
        <f>IF(COUNTIF(data2!$D:$D,D594)=0,"Missing in Data2","Present")</f>
        <v>Present</v>
      </c>
    </row>
    <row r="595" spans="1:5" x14ac:dyDescent="0.25">
      <c r="A595" s="2" t="s">
        <v>810</v>
      </c>
      <c r="B595" s="2" t="s">
        <v>813</v>
      </c>
      <c r="C595" s="2">
        <v>4</v>
      </c>
      <c r="D595" t="str">
        <f t="shared" si="9"/>
        <v>CA-2014-125829_TEC-MA-10003246</v>
      </c>
      <c r="E595" t="str">
        <f>IF(COUNTIF(data2!$D:$D,D595)=0,"Missing in Data2","Present")</f>
        <v>Present</v>
      </c>
    </row>
    <row r="596" spans="1:5" x14ac:dyDescent="0.25">
      <c r="A596" s="2" t="s">
        <v>810</v>
      </c>
      <c r="B596" s="2" t="s">
        <v>800</v>
      </c>
      <c r="C596" s="2">
        <v>7</v>
      </c>
      <c r="D596" t="str">
        <f t="shared" si="9"/>
        <v>CA-2014-125829_TEC-PH-10001079</v>
      </c>
      <c r="E596" t="str">
        <f>IF(COUNTIF(data2!$D:$D,D596)=0,"Missing in Data2","Present")</f>
        <v>Present</v>
      </c>
    </row>
    <row r="597" spans="1:5" x14ac:dyDescent="0.25">
      <c r="A597" s="2" t="s">
        <v>814</v>
      </c>
      <c r="B597" s="2" t="s">
        <v>815</v>
      </c>
      <c r="C597" s="2">
        <v>2</v>
      </c>
      <c r="D597" t="str">
        <f t="shared" si="9"/>
        <v>CA-2014-125997_FUR-BO-10002213</v>
      </c>
      <c r="E597" t="str">
        <f>IF(COUNTIF(data2!$D:$D,D597)=0,"Missing in Data2","Present")</f>
        <v>Present</v>
      </c>
    </row>
    <row r="598" spans="1:5" x14ac:dyDescent="0.25">
      <c r="A598" s="2" t="s">
        <v>814</v>
      </c>
      <c r="B598" s="2" t="s">
        <v>294</v>
      </c>
      <c r="C598" s="2">
        <v>2</v>
      </c>
      <c r="D598" t="str">
        <f t="shared" si="9"/>
        <v>CA-2014-125997_FUR-CH-10001394</v>
      </c>
      <c r="E598" t="str">
        <f>IF(COUNTIF(data2!$D:$D,D598)=0,"Missing in Data2","Present")</f>
        <v>Present</v>
      </c>
    </row>
    <row r="599" spans="1:5" x14ac:dyDescent="0.25">
      <c r="A599" s="2" t="s">
        <v>814</v>
      </c>
      <c r="B599" s="2" t="s">
        <v>816</v>
      </c>
      <c r="C599" s="2">
        <v>1</v>
      </c>
      <c r="D599" t="str">
        <f t="shared" si="9"/>
        <v>CA-2014-125997_OFF-AP-10003842</v>
      </c>
      <c r="E599" t="str">
        <f>IF(COUNTIF(data2!$D:$D,D599)=0,"Missing in Data2","Present")</f>
        <v>Present</v>
      </c>
    </row>
    <row r="600" spans="1:5" x14ac:dyDescent="0.25">
      <c r="A600" s="2" t="s">
        <v>814</v>
      </c>
      <c r="B600" s="2" t="s">
        <v>557</v>
      </c>
      <c r="C600" s="2">
        <v>6</v>
      </c>
      <c r="D600" t="str">
        <f t="shared" si="9"/>
        <v>CA-2014-125997_OFF-LA-10002762</v>
      </c>
      <c r="E600" t="str">
        <f>IF(COUNTIF(data2!$D:$D,D600)=0,"Missing in Data2","Present")</f>
        <v>Present</v>
      </c>
    </row>
    <row r="601" spans="1:5" x14ac:dyDescent="0.25">
      <c r="A601" s="2" t="s">
        <v>814</v>
      </c>
      <c r="B601" s="2" t="s">
        <v>817</v>
      </c>
      <c r="C601" s="2">
        <v>9</v>
      </c>
      <c r="D601" t="str">
        <f t="shared" si="9"/>
        <v>CA-2014-125997_TEC-PH-10003072</v>
      </c>
      <c r="E601" t="str">
        <f>IF(COUNTIF(data2!$D:$D,D601)=0,"Missing in Data2","Present")</f>
        <v>Present</v>
      </c>
    </row>
    <row r="602" spans="1:5" x14ac:dyDescent="0.25">
      <c r="A602" s="2" t="s">
        <v>814</v>
      </c>
      <c r="B602" s="2" t="s">
        <v>673</v>
      </c>
      <c r="C602" s="2">
        <v>5</v>
      </c>
      <c r="D602" t="str">
        <f t="shared" si="9"/>
        <v>CA-2014-125997_TEC-PH-10003484</v>
      </c>
      <c r="E602" t="str">
        <f>IF(COUNTIF(data2!$D:$D,D602)=0,"Missing in Data2","Present")</f>
        <v>Present</v>
      </c>
    </row>
    <row r="603" spans="1:5" x14ac:dyDescent="0.25">
      <c r="A603" s="2" t="s">
        <v>818</v>
      </c>
      <c r="B603" s="2" t="s">
        <v>819</v>
      </c>
      <c r="C603" s="2">
        <v>3</v>
      </c>
      <c r="D603" t="str">
        <f t="shared" si="9"/>
        <v>CA-2014-126193_OFF-BI-10001249</v>
      </c>
      <c r="E603" t="str">
        <f>IF(COUNTIF(data2!$D:$D,D603)=0,"Missing in Data2","Present")</f>
        <v>Present</v>
      </c>
    </row>
    <row r="604" spans="1:5" x14ac:dyDescent="0.25">
      <c r="A604" s="2" t="s">
        <v>818</v>
      </c>
      <c r="B604" s="2" t="s">
        <v>820</v>
      </c>
      <c r="C604" s="2">
        <v>5</v>
      </c>
      <c r="D604" t="str">
        <f t="shared" si="9"/>
        <v>CA-2014-126193_OFF-BI-10004632</v>
      </c>
      <c r="E604" t="str">
        <f>IF(COUNTIF(data2!$D:$D,D604)=0,"Missing in Data2","Present")</f>
        <v>Present</v>
      </c>
    </row>
    <row r="605" spans="1:5" x14ac:dyDescent="0.25">
      <c r="A605" s="2" t="s">
        <v>818</v>
      </c>
      <c r="B605" s="2" t="s">
        <v>821</v>
      </c>
      <c r="C605" s="2">
        <v>5</v>
      </c>
      <c r="D605" t="str">
        <f t="shared" si="9"/>
        <v>CA-2014-126193_OFF-FA-10000936</v>
      </c>
      <c r="E605" t="str">
        <f>IF(COUNTIF(data2!$D:$D,D605)=0,"Missing in Data2","Present")</f>
        <v>Present</v>
      </c>
    </row>
    <row r="606" spans="1:5" x14ac:dyDescent="0.25">
      <c r="A606" s="2" t="s">
        <v>822</v>
      </c>
      <c r="B606" s="2" t="s">
        <v>823</v>
      </c>
      <c r="C606" s="2">
        <v>3</v>
      </c>
      <c r="D606" t="str">
        <f t="shared" si="9"/>
        <v>CA-2014-126200_OFF-BI-10002133</v>
      </c>
      <c r="E606" t="str">
        <f>IF(COUNTIF(data2!$D:$D,D606)=0,"Missing in Data2","Present")</f>
        <v>Present</v>
      </c>
    </row>
    <row r="607" spans="1:5" x14ac:dyDescent="0.25">
      <c r="A607" s="2" t="s">
        <v>822</v>
      </c>
      <c r="B607" s="2" t="s">
        <v>824</v>
      </c>
      <c r="C607" s="2">
        <v>3</v>
      </c>
      <c r="D607" t="str">
        <f t="shared" si="9"/>
        <v>CA-2014-126200_OFF-BI-10002225</v>
      </c>
      <c r="E607" t="str">
        <f>IF(COUNTIF(data2!$D:$D,D607)=0,"Missing in Data2","Present")</f>
        <v>Present</v>
      </c>
    </row>
    <row r="608" spans="1:5" x14ac:dyDescent="0.25">
      <c r="A608" s="2" t="s">
        <v>825</v>
      </c>
      <c r="B608" s="2" t="s">
        <v>812</v>
      </c>
      <c r="C608" s="2">
        <v>1</v>
      </c>
      <c r="D608" t="str">
        <f t="shared" si="9"/>
        <v>CA-2014-126333_OFF-PA-10000223</v>
      </c>
      <c r="E608" t="str">
        <f>IF(COUNTIF(data2!$D:$D,D608)=0,"Missing in Data2","Present")</f>
        <v>Present</v>
      </c>
    </row>
    <row r="609" spans="1:5" x14ac:dyDescent="0.25">
      <c r="A609" s="2" t="s">
        <v>826</v>
      </c>
      <c r="B609" s="2" t="s">
        <v>827</v>
      </c>
      <c r="C609" s="2">
        <v>3</v>
      </c>
      <c r="D609" t="str">
        <f t="shared" si="9"/>
        <v>CA-2014-126361_OFF-AP-10003590</v>
      </c>
      <c r="E609" t="str">
        <f>IF(COUNTIF(data2!$D:$D,D609)=0,"Missing in Data2","Present")</f>
        <v>Present</v>
      </c>
    </row>
    <row r="610" spans="1:5" x14ac:dyDescent="0.25">
      <c r="A610" s="2" t="s">
        <v>826</v>
      </c>
      <c r="B610" s="2" t="s">
        <v>828</v>
      </c>
      <c r="C610" s="2">
        <v>5</v>
      </c>
      <c r="D610" t="str">
        <f t="shared" si="9"/>
        <v>CA-2014-126361_OFF-AR-10000896</v>
      </c>
      <c r="E610" t="str">
        <f>IF(COUNTIF(data2!$D:$D,D610)=0,"Missing in Data2","Present")</f>
        <v>Present</v>
      </c>
    </row>
    <row r="611" spans="1:5" x14ac:dyDescent="0.25">
      <c r="A611" s="2" t="s">
        <v>826</v>
      </c>
      <c r="B611" s="2" t="s">
        <v>480</v>
      </c>
      <c r="C611" s="2">
        <v>1</v>
      </c>
      <c r="D611" t="str">
        <f t="shared" si="9"/>
        <v>CA-2014-126361_OFF-BI-10002852</v>
      </c>
      <c r="E611" t="str">
        <f>IF(COUNTIF(data2!$D:$D,D611)=0,"Missing in Data2","Present")</f>
        <v>Present</v>
      </c>
    </row>
    <row r="612" spans="1:5" x14ac:dyDescent="0.25">
      <c r="A612" s="2" t="s">
        <v>826</v>
      </c>
      <c r="B612" s="2" t="s">
        <v>829</v>
      </c>
      <c r="C612" s="2">
        <v>8</v>
      </c>
      <c r="D612" t="str">
        <f t="shared" si="9"/>
        <v>CA-2014-126361_OFF-PA-10000806</v>
      </c>
      <c r="E612" t="str">
        <f>IF(COUNTIF(data2!$D:$D,D612)=0,"Missing in Data2","Present")</f>
        <v>Present</v>
      </c>
    </row>
    <row r="613" spans="1:5" x14ac:dyDescent="0.25">
      <c r="A613" s="2" t="s">
        <v>826</v>
      </c>
      <c r="B613" s="2" t="s">
        <v>830</v>
      </c>
      <c r="C613" s="2">
        <v>5</v>
      </c>
      <c r="D613" t="str">
        <f t="shared" si="9"/>
        <v>CA-2014-126361_OFF-ST-10002289</v>
      </c>
      <c r="E613" t="str">
        <f>IF(COUNTIF(data2!$D:$D,D613)=0,"Missing in Data2","Present")</f>
        <v>Present</v>
      </c>
    </row>
    <row r="614" spans="1:5" x14ac:dyDescent="0.25">
      <c r="A614" s="2" t="s">
        <v>826</v>
      </c>
      <c r="B614" s="2" t="s">
        <v>831</v>
      </c>
      <c r="C614" s="2">
        <v>5</v>
      </c>
      <c r="D614" t="str">
        <f t="shared" si="9"/>
        <v>CA-2014-126361_TEC-PH-10002310</v>
      </c>
      <c r="E614" t="str">
        <f>IF(COUNTIF(data2!$D:$D,D614)=0,"Missing in Data2","Present")</f>
        <v>Present</v>
      </c>
    </row>
    <row r="615" spans="1:5" x14ac:dyDescent="0.25">
      <c r="A615" s="2" t="s">
        <v>832</v>
      </c>
      <c r="B615" s="2" t="s">
        <v>833</v>
      </c>
      <c r="C615" s="2">
        <v>6</v>
      </c>
      <c r="D615" t="str">
        <f t="shared" si="9"/>
        <v>CA-2014-126403_FUR-CH-10003761</v>
      </c>
      <c r="E615" t="str">
        <f>IF(COUNTIF(data2!$D:$D,D615)=0,"Missing in Data2","Present")</f>
        <v>Present</v>
      </c>
    </row>
    <row r="616" spans="1:5" x14ac:dyDescent="0.25">
      <c r="A616" s="2" t="s">
        <v>832</v>
      </c>
      <c r="B616" s="2" t="s">
        <v>623</v>
      </c>
      <c r="C616" s="2">
        <v>3</v>
      </c>
      <c r="D616" t="str">
        <f t="shared" si="9"/>
        <v>CA-2014-126403_OFF-PA-10001144</v>
      </c>
      <c r="E616" t="str">
        <f>IF(COUNTIF(data2!$D:$D,D616)=0,"Missing in Data2","Present")</f>
        <v>Present</v>
      </c>
    </row>
    <row r="617" spans="1:5" x14ac:dyDescent="0.25">
      <c r="A617" s="2" t="s">
        <v>832</v>
      </c>
      <c r="B617" s="2" t="s">
        <v>834</v>
      </c>
      <c r="C617" s="2">
        <v>2</v>
      </c>
      <c r="D617" t="str">
        <f t="shared" si="9"/>
        <v>CA-2014-126403_OFF-PA-10004665</v>
      </c>
      <c r="E617" t="str">
        <f>IF(COUNTIF(data2!$D:$D,D617)=0,"Missing in Data2","Present")</f>
        <v>Present</v>
      </c>
    </row>
    <row r="618" spans="1:5" x14ac:dyDescent="0.25">
      <c r="A618" s="2" t="s">
        <v>832</v>
      </c>
      <c r="B618" s="2" t="s">
        <v>835</v>
      </c>
      <c r="C618" s="2">
        <v>5</v>
      </c>
      <c r="D618" t="str">
        <f t="shared" si="9"/>
        <v>CA-2014-126403_OFF-ST-10000078</v>
      </c>
      <c r="E618" t="str">
        <f>IF(COUNTIF(data2!$D:$D,D618)=0,"Missing in Data2","Present")</f>
        <v>Present</v>
      </c>
    </row>
    <row r="619" spans="1:5" x14ac:dyDescent="0.25">
      <c r="A619" s="2" t="s">
        <v>836</v>
      </c>
      <c r="B619" s="2" t="s">
        <v>837</v>
      </c>
      <c r="C619" s="2">
        <v>2</v>
      </c>
      <c r="D619" t="str">
        <f t="shared" si="9"/>
        <v>CA-2014-126480_OFF-PA-10004610</v>
      </c>
      <c r="E619" t="str">
        <f>IF(COUNTIF(data2!$D:$D,D619)=0,"Missing in Data2","Present")</f>
        <v>Present</v>
      </c>
    </row>
    <row r="620" spans="1:5" x14ac:dyDescent="0.25">
      <c r="A620" s="2" t="s">
        <v>838</v>
      </c>
      <c r="B620" s="2" t="s">
        <v>839</v>
      </c>
      <c r="C620" s="2">
        <v>3</v>
      </c>
      <c r="D620" t="str">
        <f t="shared" si="9"/>
        <v>CA-2014-126522_OFF-AR-10004042</v>
      </c>
      <c r="E620" t="str">
        <f>IF(COUNTIF(data2!$D:$D,D620)=0,"Missing in Data2","Present")</f>
        <v>Present</v>
      </c>
    </row>
    <row r="621" spans="1:5" x14ac:dyDescent="0.25">
      <c r="A621" s="2" t="s">
        <v>840</v>
      </c>
      <c r="B621" s="2" t="s">
        <v>456</v>
      </c>
      <c r="C621" s="2">
        <v>2</v>
      </c>
      <c r="D621" t="str">
        <f t="shared" si="9"/>
        <v>CA-2014-126683_FUR-FU-10001706</v>
      </c>
      <c r="E621" t="str">
        <f>IF(COUNTIF(data2!$D:$D,D621)=0,"Missing in Data2","Present")</f>
        <v>Present</v>
      </c>
    </row>
    <row r="622" spans="1:5" x14ac:dyDescent="0.25">
      <c r="A622" s="2" t="s">
        <v>840</v>
      </c>
      <c r="B622" s="2" t="s">
        <v>841</v>
      </c>
      <c r="C622" s="2">
        <v>9</v>
      </c>
      <c r="D622" t="str">
        <f t="shared" si="9"/>
        <v>CA-2014-126683_FUR-TA-10002958</v>
      </c>
      <c r="E622" t="str">
        <f>IF(COUNTIF(data2!$D:$D,D622)=0,"Missing in Data2","Present")</f>
        <v>Present</v>
      </c>
    </row>
    <row r="623" spans="1:5" x14ac:dyDescent="0.25">
      <c r="A623" s="2" t="s">
        <v>842</v>
      </c>
      <c r="B623" s="2" t="s">
        <v>278</v>
      </c>
      <c r="C623" s="2">
        <v>9</v>
      </c>
      <c r="D623" t="str">
        <f t="shared" si="9"/>
        <v>CA-2014-126760_FUR-FU-10004018</v>
      </c>
      <c r="E623" t="str">
        <f>IF(COUNTIF(data2!$D:$D,D623)=0,"Missing in Data2","Present")</f>
        <v>Present</v>
      </c>
    </row>
    <row r="624" spans="1:5" x14ac:dyDescent="0.25">
      <c r="A624" s="2" t="s">
        <v>842</v>
      </c>
      <c r="B624" s="2" t="s">
        <v>843</v>
      </c>
      <c r="C624" s="2">
        <v>3</v>
      </c>
      <c r="D624" t="str">
        <f t="shared" si="9"/>
        <v>CA-2014-126760_TEC-AC-10004814</v>
      </c>
      <c r="E624" t="str">
        <f>IF(COUNTIF(data2!$D:$D,D624)=0,"Missing in Data2","Present")</f>
        <v>Present</v>
      </c>
    </row>
    <row r="625" spans="1:5" x14ac:dyDescent="0.25">
      <c r="A625" s="2" t="s">
        <v>842</v>
      </c>
      <c r="B625" s="2" t="s">
        <v>844</v>
      </c>
      <c r="C625" s="2">
        <v>2</v>
      </c>
      <c r="D625" t="str">
        <f t="shared" si="9"/>
        <v>CA-2014-126760_TEC-PH-10001363</v>
      </c>
      <c r="E625" t="str">
        <f>IF(COUNTIF(data2!$D:$D,D625)=0,"Missing in Data2","Present")</f>
        <v>Present</v>
      </c>
    </row>
    <row r="626" spans="1:5" x14ac:dyDescent="0.25">
      <c r="A626" s="2" t="s">
        <v>845</v>
      </c>
      <c r="B626" s="2" t="s">
        <v>846</v>
      </c>
      <c r="C626" s="2">
        <v>3</v>
      </c>
      <c r="D626" t="str">
        <f t="shared" si="9"/>
        <v>CA-2014-126802_FUR-FU-10000193</v>
      </c>
      <c r="E626" t="str">
        <f>IF(COUNTIF(data2!$D:$D,D626)=0,"Missing in Data2","Present")</f>
        <v>Present</v>
      </c>
    </row>
    <row r="627" spans="1:5" x14ac:dyDescent="0.25">
      <c r="A627" s="2" t="s">
        <v>847</v>
      </c>
      <c r="B627" s="2" t="s">
        <v>721</v>
      </c>
      <c r="C627" s="2">
        <v>3</v>
      </c>
      <c r="D627" t="str">
        <f t="shared" si="9"/>
        <v>CA-2014-126907_OFF-PA-10000533</v>
      </c>
      <c r="E627" t="str">
        <f>IF(COUNTIF(data2!$D:$D,D627)=0,"Missing in Data2","Present")</f>
        <v>Present</v>
      </c>
    </row>
    <row r="628" spans="1:5" x14ac:dyDescent="0.25">
      <c r="A628" s="2" t="s">
        <v>848</v>
      </c>
      <c r="B628" s="2" t="s">
        <v>849</v>
      </c>
      <c r="C628" s="2">
        <v>2</v>
      </c>
      <c r="D628" t="str">
        <f t="shared" si="9"/>
        <v>CA-2014-126963_OFF-PA-10001952</v>
      </c>
      <c r="E628" t="str">
        <f>IF(COUNTIF(data2!$D:$D,D628)=0,"Missing in Data2","Present")</f>
        <v>Present</v>
      </c>
    </row>
    <row r="629" spans="1:5" x14ac:dyDescent="0.25">
      <c r="A629" s="2" t="s">
        <v>850</v>
      </c>
      <c r="B629" s="2" t="s">
        <v>851</v>
      </c>
      <c r="C629" s="2">
        <v>1</v>
      </c>
      <c r="D629" t="str">
        <f t="shared" si="9"/>
        <v>CA-2014-127012_FUR-FU-10003691</v>
      </c>
      <c r="E629" t="str">
        <f>IF(COUNTIF(data2!$D:$D,D629)=0,"Missing in Data2","Present")</f>
        <v>Present</v>
      </c>
    </row>
    <row r="630" spans="1:5" x14ac:dyDescent="0.25">
      <c r="A630" s="2" t="s">
        <v>850</v>
      </c>
      <c r="B630" s="2" t="s">
        <v>417</v>
      </c>
      <c r="C630" s="2">
        <v>2</v>
      </c>
      <c r="D630" t="str">
        <f t="shared" si="9"/>
        <v>CA-2014-127012_OFF-FA-10004854</v>
      </c>
      <c r="E630" t="str">
        <f>IF(COUNTIF(data2!$D:$D,D630)=0,"Missing in Data2","Present")</f>
        <v>Present</v>
      </c>
    </row>
    <row r="631" spans="1:5" x14ac:dyDescent="0.25">
      <c r="A631" s="2" t="s">
        <v>852</v>
      </c>
      <c r="B631" s="2" t="s">
        <v>853</v>
      </c>
      <c r="C631" s="2">
        <v>7</v>
      </c>
      <c r="D631" t="str">
        <f t="shared" si="9"/>
        <v>CA-2014-127131_OFF-BI-10004656</v>
      </c>
      <c r="E631" t="str">
        <f>IF(COUNTIF(data2!$D:$D,D631)=0,"Missing in Data2","Present")</f>
        <v>Present</v>
      </c>
    </row>
    <row r="632" spans="1:5" x14ac:dyDescent="0.25">
      <c r="A632" s="2" t="s">
        <v>852</v>
      </c>
      <c r="B632" s="2" t="s">
        <v>854</v>
      </c>
      <c r="C632" s="2">
        <v>4</v>
      </c>
      <c r="D632" t="str">
        <f t="shared" si="9"/>
        <v>CA-2014-127131_OFF-PA-10001800</v>
      </c>
      <c r="E632" t="str">
        <f>IF(COUNTIF(data2!$D:$D,D632)=0,"Missing in Data2","Present")</f>
        <v>Present</v>
      </c>
    </row>
    <row r="633" spans="1:5" x14ac:dyDescent="0.25">
      <c r="A633" s="2" t="s">
        <v>852</v>
      </c>
      <c r="B633" s="2" t="s">
        <v>357</v>
      </c>
      <c r="C633" s="2">
        <v>2</v>
      </c>
      <c r="D633" t="str">
        <f t="shared" si="9"/>
        <v>CA-2014-127131_OFF-ST-10000036</v>
      </c>
      <c r="E633" t="str">
        <f>IF(COUNTIF(data2!$D:$D,D633)=0,"Missing in Data2","Present")</f>
        <v>Present</v>
      </c>
    </row>
    <row r="634" spans="1:5" x14ac:dyDescent="0.25">
      <c r="A634" s="2" t="s">
        <v>852</v>
      </c>
      <c r="B634" s="2" t="s">
        <v>715</v>
      </c>
      <c r="C634" s="2">
        <v>6</v>
      </c>
      <c r="D634" t="str">
        <f t="shared" si="9"/>
        <v>CA-2014-127131_OFF-ST-10002344</v>
      </c>
      <c r="E634" t="str">
        <f>IF(COUNTIF(data2!$D:$D,D634)=0,"Missing in Data2","Present")</f>
        <v>Present</v>
      </c>
    </row>
    <row r="635" spans="1:5" x14ac:dyDescent="0.25">
      <c r="A635" s="2" t="s">
        <v>855</v>
      </c>
      <c r="B635" s="2" t="s">
        <v>856</v>
      </c>
      <c r="C635" s="2">
        <v>7</v>
      </c>
      <c r="D635" t="str">
        <f t="shared" si="9"/>
        <v>CA-2014-127159_FUR-FU-10000010</v>
      </c>
      <c r="E635" t="str">
        <f>IF(COUNTIF(data2!$D:$D,D635)=0,"Missing in Data2","Present")</f>
        <v>Present</v>
      </c>
    </row>
    <row r="636" spans="1:5" x14ac:dyDescent="0.25">
      <c r="A636" s="2" t="s">
        <v>857</v>
      </c>
      <c r="B636" s="2" t="s">
        <v>858</v>
      </c>
      <c r="C636" s="2">
        <v>2</v>
      </c>
      <c r="D636" t="str">
        <f t="shared" si="9"/>
        <v>CA-2014-127166_FUR-CH-10003396</v>
      </c>
      <c r="E636" t="str">
        <f>IF(COUNTIF(data2!$D:$D,D636)=0,"Missing in Data2","Present")</f>
        <v>Present</v>
      </c>
    </row>
    <row r="637" spans="1:5" x14ac:dyDescent="0.25">
      <c r="A637" s="2" t="s">
        <v>857</v>
      </c>
      <c r="B637" s="2" t="s">
        <v>859</v>
      </c>
      <c r="C637" s="2">
        <v>3</v>
      </c>
      <c r="D637" t="str">
        <f t="shared" si="9"/>
        <v>CA-2014-127166_OFF-BI-10000977</v>
      </c>
      <c r="E637" t="str">
        <f>IF(COUNTIF(data2!$D:$D,D637)=0,"Missing in Data2","Present")</f>
        <v>Present</v>
      </c>
    </row>
    <row r="638" spans="1:5" x14ac:dyDescent="0.25">
      <c r="A638" s="2" t="s">
        <v>857</v>
      </c>
      <c r="B638" s="2" t="s">
        <v>860</v>
      </c>
      <c r="C638" s="2">
        <v>6</v>
      </c>
      <c r="D638" t="str">
        <f t="shared" si="9"/>
        <v>CA-2014-127166_OFF-EN-10003134</v>
      </c>
      <c r="E638" t="str">
        <f>IF(COUNTIF(data2!$D:$D,D638)=0,"Missing in Data2","Present")</f>
        <v>Present</v>
      </c>
    </row>
    <row r="639" spans="1:5" x14ac:dyDescent="0.25">
      <c r="A639" s="2" t="s">
        <v>857</v>
      </c>
      <c r="B639" s="2" t="s">
        <v>861</v>
      </c>
      <c r="C639" s="2">
        <v>1</v>
      </c>
      <c r="D639" t="str">
        <f t="shared" si="9"/>
        <v>CA-2014-127166_OFF-PA-10001560</v>
      </c>
      <c r="E639" t="str">
        <f>IF(COUNTIF(data2!$D:$D,D639)=0,"Missing in Data2","Present")</f>
        <v>Present</v>
      </c>
    </row>
    <row r="640" spans="1:5" x14ac:dyDescent="0.25">
      <c r="A640" s="2" t="s">
        <v>862</v>
      </c>
      <c r="B640" s="2" t="s">
        <v>863</v>
      </c>
      <c r="C640" s="2">
        <v>2</v>
      </c>
      <c r="D640" t="str">
        <f t="shared" si="9"/>
        <v>CA-2014-127187_TEC-PH-10000673</v>
      </c>
      <c r="E640" t="str">
        <f>IF(COUNTIF(data2!$D:$D,D640)=0,"Missing in Data2","Present")</f>
        <v>Present</v>
      </c>
    </row>
    <row r="641" spans="1:5" x14ac:dyDescent="0.25">
      <c r="A641" s="2" t="s">
        <v>864</v>
      </c>
      <c r="B641" s="2" t="s">
        <v>865</v>
      </c>
      <c r="C641" s="2">
        <v>6</v>
      </c>
      <c r="D641" t="str">
        <f t="shared" si="9"/>
        <v>CA-2014-127299_OFF-ST-10003722</v>
      </c>
      <c r="E641" t="str">
        <f>IF(COUNTIF(data2!$D:$D,D641)=0,"Missing in Data2","Present")</f>
        <v>Present</v>
      </c>
    </row>
    <row r="642" spans="1:5" x14ac:dyDescent="0.25">
      <c r="A642" s="2" t="s">
        <v>864</v>
      </c>
      <c r="B642" s="2" t="s">
        <v>866</v>
      </c>
      <c r="C642" s="2">
        <v>3</v>
      </c>
      <c r="D642" t="str">
        <f t="shared" si="9"/>
        <v>CA-2014-127299_TEC-MA-10001127</v>
      </c>
      <c r="E642" t="str">
        <f>IF(COUNTIF(data2!$D:$D,D642)=0,"Missing in Data2","Present")</f>
        <v>Present</v>
      </c>
    </row>
    <row r="643" spans="1:5" x14ac:dyDescent="0.25">
      <c r="A643" s="2" t="s">
        <v>867</v>
      </c>
      <c r="B643" s="2" t="s">
        <v>699</v>
      </c>
      <c r="C643" s="2">
        <v>2</v>
      </c>
      <c r="D643" t="str">
        <f t="shared" ref="D643:D706" si="10">A643&amp;"_"&amp;B643</f>
        <v>CA-2014-127383_OFF-EN-10004773</v>
      </c>
      <c r="E643" t="str">
        <f>IF(COUNTIF(data2!$D:$D,D643)=0,"Missing in Data2","Present")</f>
        <v>Present</v>
      </c>
    </row>
    <row r="644" spans="1:5" x14ac:dyDescent="0.25">
      <c r="A644" s="2" t="s">
        <v>868</v>
      </c>
      <c r="B644" s="2" t="s">
        <v>339</v>
      </c>
      <c r="C644" s="2">
        <v>3</v>
      </c>
      <c r="D644" t="str">
        <f t="shared" si="10"/>
        <v>CA-2014-127446_FUR-FU-10000221</v>
      </c>
      <c r="E644" t="str">
        <f>IF(COUNTIF(data2!$D:$D,D644)=0,"Missing in Data2","Present")</f>
        <v>Present</v>
      </c>
    </row>
    <row r="645" spans="1:5" x14ac:dyDescent="0.25">
      <c r="A645" s="2" t="s">
        <v>868</v>
      </c>
      <c r="B645" s="2" t="s">
        <v>869</v>
      </c>
      <c r="C645" s="2">
        <v>5</v>
      </c>
      <c r="D645" t="str">
        <f t="shared" si="10"/>
        <v>CA-2014-127446_FUR-TA-10000577</v>
      </c>
      <c r="E645" t="str">
        <f>IF(COUNTIF(data2!$D:$D,D645)=0,"Missing in Data2","Present")</f>
        <v>Present</v>
      </c>
    </row>
    <row r="646" spans="1:5" x14ac:dyDescent="0.25">
      <c r="A646" s="2" t="s">
        <v>868</v>
      </c>
      <c r="B646" s="2" t="s">
        <v>870</v>
      </c>
      <c r="C646" s="2">
        <v>2</v>
      </c>
      <c r="D646" t="str">
        <f t="shared" si="10"/>
        <v>CA-2014-127446_OFF-LA-10000248</v>
      </c>
      <c r="E646" t="str">
        <f>IF(COUNTIF(data2!$D:$D,D646)=0,"Missing in Data2","Present")</f>
        <v>Present</v>
      </c>
    </row>
    <row r="647" spans="1:5" x14ac:dyDescent="0.25">
      <c r="A647" s="2" t="s">
        <v>868</v>
      </c>
      <c r="B647" s="2" t="s">
        <v>871</v>
      </c>
      <c r="C647" s="2">
        <v>3</v>
      </c>
      <c r="D647" t="str">
        <f t="shared" si="10"/>
        <v>CA-2014-127446_OFF-PA-10000955</v>
      </c>
      <c r="E647" t="str">
        <f>IF(COUNTIF(data2!$D:$D,D647)=0,"Missing in Data2","Present")</f>
        <v>Present</v>
      </c>
    </row>
    <row r="648" spans="1:5" x14ac:dyDescent="0.25">
      <c r="A648" s="2" t="s">
        <v>868</v>
      </c>
      <c r="B648" s="2" t="s">
        <v>872</v>
      </c>
      <c r="C648" s="2">
        <v>3</v>
      </c>
      <c r="D648" t="str">
        <f t="shared" si="10"/>
        <v>CA-2014-127446_TEC-AC-10001635</v>
      </c>
      <c r="E648" t="str">
        <f>IF(COUNTIF(data2!$D:$D,D648)=0,"Missing in Data2","Present")</f>
        <v>Present</v>
      </c>
    </row>
    <row r="649" spans="1:5" x14ac:dyDescent="0.25">
      <c r="A649" s="2" t="s">
        <v>873</v>
      </c>
      <c r="B649" s="2" t="s">
        <v>776</v>
      </c>
      <c r="C649" s="2">
        <v>2</v>
      </c>
      <c r="D649" t="str">
        <f t="shared" si="10"/>
        <v>CA-2014-127488_OFF-LA-10001613</v>
      </c>
      <c r="E649" t="str">
        <f>IF(COUNTIF(data2!$D:$D,D649)=0,"Missing in Data2","Present")</f>
        <v>Present</v>
      </c>
    </row>
    <row r="650" spans="1:5" x14ac:dyDescent="0.25">
      <c r="A650" s="2" t="s">
        <v>874</v>
      </c>
      <c r="B650" s="2" t="s">
        <v>43</v>
      </c>
      <c r="C650" s="2">
        <v>3</v>
      </c>
      <c r="D650" t="str">
        <f t="shared" si="10"/>
        <v>CA-2014-127523_OFF-AP-10004249</v>
      </c>
      <c r="E650" t="str">
        <f>IF(COUNTIF(data2!$D:$D,D650)=0,"Missing in Data2","Present")</f>
        <v>Present</v>
      </c>
    </row>
    <row r="651" spans="1:5" x14ac:dyDescent="0.25">
      <c r="A651" s="2" t="s">
        <v>875</v>
      </c>
      <c r="B651" s="2" t="s">
        <v>876</v>
      </c>
      <c r="C651" s="2">
        <v>3</v>
      </c>
      <c r="D651" t="str">
        <f t="shared" si="10"/>
        <v>CA-2014-127558_FUR-FU-10002505</v>
      </c>
      <c r="E651" t="str">
        <f>IF(COUNTIF(data2!$D:$D,D651)=0,"Missing in Data2","Present")</f>
        <v>Missing in Data2</v>
      </c>
    </row>
    <row r="652" spans="1:5" x14ac:dyDescent="0.25">
      <c r="A652" s="2" t="s">
        <v>875</v>
      </c>
      <c r="B652" s="2" t="s">
        <v>803</v>
      </c>
      <c r="C652" s="2">
        <v>2</v>
      </c>
      <c r="D652" t="str">
        <f t="shared" si="10"/>
        <v>CA-2014-127558_OFF-SU-10002537</v>
      </c>
      <c r="E652" t="str">
        <f>IF(COUNTIF(data2!$D:$D,D652)=0,"Missing in Data2","Present")</f>
        <v>Present</v>
      </c>
    </row>
    <row r="653" spans="1:5" x14ac:dyDescent="0.25">
      <c r="A653" s="2" t="s">
        <v>875</v>
      </c>
      <c r="B653" s="2" t="s">
        <v>877</v>
      </c>
      <c r="C653" s="2">
        <v>3</v>
      </c>
      <c r="D653" t="str">
        <f t="shared" si="10"/>
        <v>CA-2014-127558_TEC-AC-10003832</v>
      </c>
      <c r="E653" t="str">
        <f>IF(COUNTIF(data2!$D:$D,D653)=0,"Missing in Data2","Present")</f>
        <v>Present</v>
      </c>
    </row>
    <row r="654" spans="1:5" x14ac:dyDescent="0.25">
      <c r="A654" s="2" t="s">
        <v>878</v>
      </c>
      <c r="B654" s="2" t="s">
        <v>790</v>
      </c>
      <c r="C654" s="2">
        <v>2</v>
      </c>
      <c r="D654" t="str">
        <f t="shared" si="10"/>
        <v>CA-2014-127586_OFF-ST-10002615</v>
      </c>
      <c r="E654" t="str">
        <f>IF(COUNTIF(data2!$D:$D,D654)=0,"Missing in Data2","Present")</f>
        <v>Present</v>
      </c>
    </row>
    <row r="655" spans="1:5" x14ac:dyDescent="0.25">
      <c r="A655" s="2" t="s">
        <v>879</v>
      </c>
      <c r="B655" s="2" t="s">
        <v>4</v>
      </c>
      <c r="C655" s="2">
        <v>6</v>
      </c>
      <c r="D655" t="str">
        <f t="shared" si="10"/>
        <v>CA-2014-127614_FUR-TA-10003715</v>
      </c>
      <c r="E655" t="str">
        <f>IF(COUNTIF(data2!$D:$D,D655)=0,"Missing in Data2","Present")</f>
        <v>Present</v>
      </c>
    </row>
    <row r="656" spans="1:5" x14ac:dyDescent="0.25">
      <c r="A656" s="2" t="s">
        <v>879</v>
      </c>
      <c r="B656" s="2" t="s">
        <v>485</v>
      </c>
      <c r="C656" s="2">
        <v>2</v>
      </c>
      <c r="D656" t="str">
        <f t="shared" si="10"/>
        <v>CA-2014-127614_OFF-BI-10003291</v>
      </c>
      <c r="E656" t="str">
        <f>IF(COUNTIF(data2!$D:$D,D656)=0,"Missing in Data2","Present")</f>
        <v>Present</v>
      </c>
    </row>
    <row r="657" spans="1:5" x14ac:dyDescent="0.25">
      <c r="A657" s="2" t="s">
        <v>879</v>
      </c>
      <c r="B657" s="2" t="s">
        <v>880</v>
      </c>
      <c r="C657" s="2">
        <v>3</v>
      </c>
      <c r="D657" t="str">
        <f t="shared" si="10"/>
        <v>CA-2014-127614_TEC-AC-10001432</v>
      </c>
      <c r="E657" t="str">
        <f>IF(COUNTIF(data2!$D:$D,D657)=0,"Missing in Data2","Present")</f>
        <v>Present</v>
      </c>
    </row>
    <row r="658" spans="1:5" x14ac:dyDescent="0.25">
      <c r="A658" s="2" t="s">
        <v>881</v>
      </c>
      <c r="B658" s="2" t="s">
        <v>882</v>
      </c>
      <c r="C658" s="2">
        <v>2</v>
      </c>
      <c r="D658" t="str">
        <f t="shared" si="10"/>
        <v>CA-2014-127691_OFF-AR-10002053</v>
      </c>
      <c r="E658" t="str">
        <f>IF(COUNTIF(data2!$D:$D,D658)=0,"Missing in Data2","Present")</f>
        <v>Present</v>
      </c>
    </row>
    <row r="659" spans="1:5" x14ac:dyDescent="0.25">
      <c r="A659" s="2" t="s">
        <v>881</v>
      </c>
      <c r="B659" s="2" t="s">
        <v>710</v>
      </c>
      <c r="C659" s="2">
        <v>2</v>
      </c>
      <c r="D659" t="str">
        <f t="shared" si="10"/>
        <v>CA-2014-127691_TEC-AC-10002567</v>
      </c>
      <c r="E659" t="str">
        <f>IF(COUNTIF(data2!$D:$D,D659)=0,"Missing in Data2","Present")</f>
        <v>Present</v>
      </c>
    </row>
    <row r="660" spans="1:5" x14ac:dyDescent="0.25">
      <c r="A660" s="2" t="s">
        <v>883</v>
      </c>
      <c r="B660" s="2" t="s">
        <v>884</v>
      </c>
      <c r="C660" s="2">
        <v>6</v>
      </c>
      <c r="D660" t="str">
        <f t="shared" si="10"/>
        <v>CA-2014-127859_OFF-PA-10003641</v>
      </c>
      <c r="E660" t="str">
        <f>IF(COUNTIF(data2!$D:$D,D660)=0,"Missing in Data2","Present")</f>
        <v>Present</v>
      </c>
    </row>
    <row r="661" spans="1:5" x14ac:dyDescent="0.25">
      <c r="A661" s="2" t="s">
        <v>885</v>
      </c>
      <c r="B661" s="2" t="s">
        <v>886</v>
      </c>
      <c r="C661" s="2">
        <v>4</v>
      </c>
      <c r="D661" t="str">
        <f t="shared" si="10"/>
        <v>CA-2014-127866_OFF-AR-10003481</v>
      </c>
      <c r="E661" t="str">
        <f>IF(COUNTIF(data2!$D:$D,D661)=0,"Missing in Data2","Present")</f>
        <v>Present</v>
      </c>
    </row>
    <row r="662" spans="1:5" x14ac:dyDescent="0.25">
      <c r="A662" s="2" t="s">
        <v>885</v>
      </c>
      <c r="B662" s="2" t="s">
        <v>887</v>
      </c>
      <c r="C662" s="2">
        <v>2</v>
      </c>
      <c r="D662" t="str">
        <f t="shared" si="10"/>
        <v>CA-2014-127866_OFF-PA-10003971</v>
      </c>
      <c r="E662" t="str">
        <f>IF(COUNTIF(data2!$D:$D,D662)=0,"Missing in Data2","Present")</f>
        <v>Present</v>
      </c>
    </row>
    <row r="663" spans="1:5" x14ac:dyDescent="0.25">
      <c r="A663" s="2" t="s">
        <v>885</v>
      </c>
      <c r="B663" s="2" t="s">
        <v>34</v>
      </c>
      <c r="C663" s="2">
        <v>3</v>
      </c>
      <c r="D663" t="str">
        <f t="shared" si="10"/>
        <v>CA-2014-127866_OFF-ST-10001490</v>
      </c>
      <c r="E663" t="str">
        <f>IF(COUNTIF(data2!$D:$D,D663)=0,"Missing in Data2","Present")</f>
        <v>Present</v>
      </c>
    </row>
    <row r="664" spans="1:5" x14ac:dyDescent="0.25">
      <c r="A664" s="2" t="s">
        <v>885</v>
      </c>
      <c r="B664" s="2" t="s">
        <v>536</v>
      </c>
      <c r="C664" s="2">
        <v>2</v>
      </c>
      <c r="D664" t="str">
        <f t="shared" si="10"/>
        <v>CA-2014-127866_TEC-AC-10000023</v>
      </c>
      <c r="E664" t="str">
        <f>IF(COUNTIF(data2!$D:$D,D664)=0,"Missing in Data2","Present")</f>
        <v>Present</v>
      </c>
    </row>
    <row r="665" spans="1:5" x14ac:dyDescent="0.25">
      <c r="A665" s="2" t="s">
        <v>888</v>
      </c>
      <c r="B665" s="2" t="s">
        <v>889</v>
      </c>
      <c r="C665" s="2">
        <v>3</v>
      </c>
      <c r="D665" t="str">
        <f t="shared" si="10"/>
        <v>CA-2014-127936_OFF-AR-10002445</v>
      </c>
      <c r="E665" t="str">
        <f>IF(COUNTIF(data2!$D:$D,D665)=0,"Missing in Data2","Present")</f>
        <v>Present</v>
      </c>
    </row>
    <row r="666" spans="1:5" x14ac:dyDescent="0.25">
      <c r="A666" s="2" t="s">
        <v>890</v>
      </c>
      <c r="B666" s="2" t="s">
        <v>891</v>
      </c>
      <c r="C666" s="2">
        <v>5</v>
      </c>
      <c r="D666" t="str">
        <f t="shared" si="10"/>
        <v>CA-2014-127964_OFF-BI-10003429</v>
      </c>
      <c r="E666" t="str">
        <f>IF(COUNTIF(data2!$D:$D,D666)=0,"Missing in Data2","Present")</f>
        <v>Present</v>
      </c>
    </row>
    <row r="667" spans="1:5" x14ac:dyDescent="0.25">
      <c r="A667" s="2" t="s">
        <v>890</v>
      </c>
      <c r="B667" s="2" t="s">
        <v>404</v>
      </c>
      <c r="C667" s="2">
        <v>3</v>
      </c>
      <c r="D667" t="str">
        <f t="shared" si="10"/>
        <v>CA-2014-127964_OFF-BI-10004593</v>
      </c>
      <c r="E667" t="str">
        <f>IF(COUNTIF(data2!$D:$D,D667)=0,"Missing in Data2","Present")</f>
        <v>Present</v>
      </c>
    </row>
    <row r="668" spans="1:5" x14ac:dyDescent="0.25">
      <c r="A668" s="2" t="s">
        <v>890</v>
      </c>
      <c r="B668" s="2" t="s">
        <v>892</v>
      </c>
      <c r="C668" s="2">
        <v>1</v>
      </c>
      <c r="D668" t="str">
        <f t="shared" si="10"/>
        <v>CA-2014-127964_TEC-PH-10004700</v>
      </c>
      <c r="E668" t="str">
        <f>IF(COUNTIF(data2!$D:$D,D668)=0,"Missing in Data2","Present")</f>
        <v>Present</v>
      </c>
    </row>
    <row r="669" spans="1:5" x14ac:dyDescent="0.25">
      <c r="A669" s="2" t="s">
        <v>893</v>
      </c>
      <c r="B669" s="2" t="s">
        <v>894</v>
      </c>
      <c r="C669" s="2">
        <v>2</v>
      </c>
      <c r="D669" t="str">
        <f t="shared" si="10"/>
        <v>CA-2014-128055_OFF-AP-10002765</v>
      </c>
      <c r="E669" t="str">
        <f>IF(COUNTIF(data2!$D:$D,D669)=0,"Missing in Data2","Present")</f>
        <v>Present</v>
      </c>
    </row>
    <row r="670" spans="1:5" x14ac:dyDescent="0.25">
      <c r="A670" s="2" t="s">
        <v>893</v>
      </c>
      <c r="B670" s="2" t="s">
        <v>895</v>
      </c>
      <c r="C670" s="2">
        <v>2</v>
      </c>
      <c r="D670" t="str">
        <f t="shared" si="10"/>
        <v>CA-2014-128055_OFF-BI-10004390</v>
      </c>
      <c r="E670" t="str">
        <f>IF(COUNTIF(data2!$D:$D,D670)=0,"Missing in Data2","Present")</f>
        <v>Present</v>
      </c>
    </row>
    <row r="671" spans="1:5" x14ac:dyDescent="0.25">
      <c r="A671" s="2" t="s">
        <v>896</v>
      </c>
      <c r="B671" s="2" t="s">
        <v>897</v>
      </c>
      <c r="C671" s="2">
        <v>1</v>
      </c>
      <c r="D671" t="str">
        <f t="shared" si="10"/>
        <v>CA-2014-128062_OFF-PA-10001583</v>
      </c>
      <c r="E671" t="str">
        <f>IF(COUNTIF(data2!$D:$D,D671)=0,"Missing in Data2","Present")</f>
        <v>Present</v>
      </c>
    </row>
    <row r="672" spans="1:5" x14ac:dyDescent="0.25">
      <c r="A672" s="2" t="s">
        <v>898</v>
      </c>
      <c r="B672" s="2" t="s">
        <v>899</v>
      </c>
      <c r="C672" s="2">
        <v>2</v>
      </c>
      <c r="D672" t="str">
        <f t="shared" si="10"/>
        <v>CA-2014-128146_OFF-AR-10001919</v>
      </c>
      <c r="E672" t="str">
        <f>IF(COUNTIF(data2!$D:$D,D672)=0,"Missing in Data2","Present")</f>
        <v>Present</v>
      </c>
    </row>
    <row r="673" spans="1:5" x14ac:dyDescent="0.25">
      <c r="A673" s="2" t="s">
        <v>898</v>
      </c>
      <c r="B673" s="2" t="s">
        <v>900</v>
      </c>
      <c r="C673" s="2">
        <v>7</v>
      </c>
      <c r="D673" t="str">
        <f t="shared" si="10"/>
        <v>CA-2014-128146_TEC-PH-10004539</v>
      </c>
      <c r="E673" t="str">
        <f>IF(COUNTIF(data2!$D:$D,D673)=0,"Missing in Data2","Present")</f>
        <v>Present</v>
      </c>
    </row>
    <row r="674" spans="1:5" x14ac:dyDescent="0.25">
      <c r="A674" s="2" t="s">
        <v>901</v>
      </c>
      <c r="B674" s="2" t="s">
        <v>502</v>
      </c>
      <c r="C674" s="2">
        <v>3</v>
      </c>
      <c r="D674" t="str">
        <f t="shared" si="10"/>
        <v>CA-2014-128209_OFF-BI-10001359</v>
      </c>
      <c r="E674" t="str">
        <f>IF(COUNTIF(data2!$D:$D,D674)=0,"Missing in Data2","Present")</f>
        <v>Present</v>
      </c>
    </row>
    <row r="675" spans="1:5" x14ac:dyDescent="0.25">
      <c r="A675" s="2" t="s">
        <v>902</v>
      </c>
      <c r="B675" s="2" t="s">
        <v>903</v>
      </c>
      <c r="C675" s="2">
        <v>6</v>
      </c>
      <c r="D675" t="str">
        <f t="shared" si="10"/>
        <v>CA-2014-128237_OFF-AR-10000034</v>
      </c>
      <c r="E675" t="str">
        <f>IF(COUNTIF(data2!$D:$D,D675)=0,"Missing in Data2","Present")</f>
        <v>Present</v>
      </c>
    </row>
    <row r="676" spans="1:5" x14ac:dyDescent="0.25">
      <c r="A676" s="2" t="s">
        <v>902</v>
      </c>
      <c r="B676" s="2" t="s">
        <v>904</v>
      </c>
      <c r="C676" s="2">
        <v>2</v>
      </c>
      <c r="D676" t="str">
        <f t="shared" si="10"/>
        <v>CA-2014-128237_OFF-AR-10003338</v>
      </c>
      <c r="E676" t="str">
        <f>IF(COUNTIF(data2!$D:$D,D676)=0,"Missing in Data2","Present")</f>
        <v>Present</v>
      </c>
    </row>
    <row r="677" spans="1:5" x14ac:dyDescent="0.25">
      <c r="A677" s="2" t="s">
        <v>902</v>
      </c>
      <c r="B677" s="2" t="s">
        <v>617</v>
      </c>
      <c r="C677" s="2">
        <v>2</v>
      </c>
      <c r="D677" t="str">
        <f t="shared" si="10"/>
        <v>CA-2014-128237_OFF-AR-10003829</v>
      </c>
      <c r="E677" t="str">
        <f>IF(COUNTIF(data2!$D:$D,D677)=0,"Missing in Data2","Present")</f>
        <v>Present</v>
      </c>
    </row>
    <row r="678" spans="1:5" x14ac:dyDescent="0.25">
      <c r="A678" s="2" t="s">
        <v>902</v>
      </c>
      <c r="B678" s="2" t="s">
        <v>905</v>
      </c>
      <c r="C678" s="2">
        <v>4</v>
      </c>
      <c r="D678" t="str">
        <f t="shared" si="10"/>
        <v>CA-2014-128237_TEC-AC-10002558</v>
      </c>
      <c r="E678" t="str">
        <f>IF(COUNTIF(data2!$D:$D,D678)=0,"Missing in Data2","Present")</f>
        <v>Missing in Data2</v>
      </c>
    </row>
    <row r="679" spans="1:5" x14ac:dyDescent="0.25">
      <c r="A679" s="2" t="s">
        <v>906</v>
      </c>
      <c r="B679" s="2" t="s">
        <v>545</v>
      </c>
      <c r="C679" s="2">
        <v>1</v>
      </c>
      <c r="D679" t="str">
        <f t="shared" si="10"/>
        <v>CA-2014-128524_OFF-AP-10002892</v>
      </c>
      <c r="E679" t="str">
        <f>IF(COUNTIF(data2!$D:$D,D679)=0,"Missing in Data2","Present")</f>
        <v>Present</v>
      </c>
    </row>
    <row r="680" spans="1:5" x14ac:dyDescent="0.25">
      <c r="A680" s="2" t="s">
        <v>906</v>
      </c>
      <c r="B680" s="2" t="s">
        <v>907</v>
      </c>
      <c r="C680" s="2">
        <v>2</v>
      </c>
      <c r="D680" t="str">
        <f t="shared" si="10"/>
        <v>CA-2014-128524_OFF-BI-10003527</v>
      </c>
      <c r="E680" t="str">
        <f>IF(COUNTIF(data2!$D:$D,D680)=0,"Missing in Data2","Present")</f>
        <v>Present</v>
      </c>
    </row>
    <row r="681" spans="1:5" x14ac:dyDescent="0.25">
      <c r="A681" s="2" t="s">
        <v>906</v>
      </c>
      <c r="B681" s="2" t="s">
        <v>212</v>
      </c>
      <c r="C681" s="2">
        <v>7</v>
      </c>
      <c r="D681" t="str">
        <f t="shared" si="10"/>
        <v>CA-2014-128524_TEC-AC-10002718</v>
      </c>
      <c r="E681" t="str">
        <f>IF(COUNTIF(data2!$D:$D,D681)=0,"Missing in Data2","Present")</f>
        <v>Present</v>
      </c>
    </row>
    <row r="682" spans="1:5" x14ac:dyDescent="0.25">
      <c r="A682" s="2" t="s">
        <v>908</v>
      </c>
      <c r="B682" s="2" t="s">
        <v>909</v>
      </c>
      <c r="C682" s="2">
        <v>1</v>
      </c>
      <c r="D682" t="str">
        <f t="shared" si="10"/>
        <v>CA-2014-128538_OFF-EN-10001219</v>
      </c>
      <c r="E682" t="str">
        <f>IF(COUNTIF(data2!$D:$D,D682)=0,"Missing in Data2","Present")</f>
        <v>Present</v>
      </c>
    </row>
    <row r="683" spans="1:5" x14ac:dyDescent="0.25">
      <c r="A683" s="2" t="s">
        <v>910</v>
      </c>
      <c r="B683" s="2" t="s">
        <v>911</v>
      </c>
      <c r="C683" s="2">
        <v>3</v>
      </c>
      <c r="D683" t="str">
        <f t="shared" si="10"/>
        <v>CA-2014-128622_OFF-SU-10001574</v>
      </c>
      <c r="E683" t="str">
        <f>IF(COUNTIF(data2!$D:$D,D683)=0,"Missing in Data2","Present")</f>
        <v>Missing in Data2</v>
      </c>
    </row>
    <row r="684" spans="1:5" x14ac:dyDescent="0.25">
      <c r="A684" s="2" t="s">
        <v>912</v>
      </c>
      <c r="B684" s="2" t="s">
        <v>913</v>
      </c>
      <c r="C684" s="2">
        <v>9</v>
      </c>
      <c r="D684" t="str">
        <f t="shared" si="10"/>
        <v>CA-2014-128839_OFF-FA-10002280</v>
      </c>
      <c r="E684" t="str">
        <f>IF(COUNTIF(data2!$D:$D,D684)=0,"Missing in Data2","Present")</f>
        <v>Present</v>
      </c>
    </row>
    <row r="685" spans="1:5" x14ac:dyDescent="0.25">
      <c r="A685" s="2" t="s">
        <v>912</v>
      </c>
      <c r="B685" s="2" t="s">
        <v>55</v>
      </c>
      <c r="C685" s="2">
        <v>3</v>
      </c>
      <c r="D685" t="str">
        <f t="shared" si="10"/>
        <v>CA-2014-128839_TEC-MA-10000029</v>
      </c>
      <c r="E685" t="str">
        <f>IF(COUNTIF(data2!$D:$D,D685)=0,"Missing in Data2","Present")</f>
        <v>Present</v>
      </c>
    </row>
    <row r="686" spans="1:5" x14ac:dyDescent="0.25">
      <c r="A686" s="2" t="s">
        <v>914</v>
      </c>
      <c r="B686" s="2" t="s">
        <v>915</v>
      </c>
      <c r="C686" s="2">
        <v>3</v>
      </c>
      <c r="D686" t="str">
        <f t="shared" si="10"/>
        <v>CA-2014-128846_OFF-PA-10000100</v>
      </c>
      <c r="E686" t="str">
        <f>IF(COUNTIF(data2!$D:$D,D686)=0,"Missing in Data2","Present")</f>
        <v>Present</v>
      </c>
    </row>
    <row r="687" spans="1:5" x14ac:dyDescent="0.25">
      <c r="A687" s="2" t="s">
        <v>914</v>
      </c>
      <c r="B687" s="2" t="s">
        <v>31</v>
      </c>
      <c r="C687" s="2">
        <v>5</v>
      </c>
      <c r="D687" t="str">
        <f t="shared" si="10"/>
        <v>CA-2014-128846_TEC-PH-10003273</v>
      </c>
      <c r="E687" t="str">
        <f>IF(COUNTIF(data2!$D:$D,D687)=0,"Missing in Data2","Present")</f>
        <v>Present</v>
      </c>
    </row>
    <row r="688" spans="1:5" x14ac:dyDescent="0.25">
      <c r="A688" s="2" t="s">
        <v>916</v>
      </c>
      <c r="B688" s="2" t="s">
        <v>917</v>
      </c>
      <c r="C688" s="2">
        <v>9</v>
      </c>
      <c r="D688" t="str">
        <f t="shared" si="10"/>
        <v>CA-2014-128888_OFF-EN-10003001</v>
      </c>
      <c r="E688" t="str">
        <f>IF(COUNTIF(data2!$D:$D,D688)=0,"Missing in Data2","Present")</f>
        <v>Present</v>
      </c>
    </row>
    <row r="689" spans="1:5" x14ac:dyDescent="0.25">
      <c r="A689" s="2" t="s">
        <v>918</v>
      </c>
      <c r="B689" s="2" t="s">
        <v>789</v>
      </c>
      <c r="C689" s="2">
        <v>3</v>
      </c>
      <c r="D689" t="str">
        <f t="shared" si="10"/>
        <v>CA-2014-128986_OFF-PA-10001289</v>
      </c>
      <c r="E689" t="str">
        <f>IF(COUNTIF(data2!$D:$D,D689)=0,"Missing in Data2","Present")</f>
        <v>Missing in Data2</v>
      </c>
    </row>
    <row r="690" spans="1:5" x14ac:dyDescent="0.25">
      <c r="A690" s="2" t="s">
        <v>919</v>
      </c>
      <c r="B690" s="2" t="s">
        <v>920</v>
      </c>
      <c r="C690" s="2">
        <v>3</v>
      </c>
      <c r="D690" t="str">
        <f t="shared" si="10"/>
        <v>CA-2014-129091_OFF-AP-10002734</v>
      </c>
      <c r="E690" t="str">
        <f>IF(COUNTIF(data2!$D:$D,D690)=0,"Missing in Data2","Present")</f>
        <v>Present</v>
      </c>
    </row>
    <row r="691" spans="1:5" x14ac:dyDescent="0.25">
      <c r="A691" s="2" t="s">
        <v>919</v>
      </c>
      <c r="B691" s="2" t="s">
        <v>921</v>
      </c>
      <c r="C691" s="2">
        <v>5</v>
      </c>
      <c r="D691" t="str">
        <f t="shared" si="10"/>
        <v>CA-2014-129091_OFF-BI-10001071</v>
      </c>
      <c r="E691" t="str">
        <f>IF(COUNTIF(data2!$D:$D,D691)=0,"Missing in Data2","Present")</f>
        <v>Present</v>
      </c>
    </row>
    <row r="692" spans="1:5" x14ac:dyDescent="0.25">
      <c r="A692" s="2" t="s">
        <v>919</v>
      </c>
      <c r="B692" s="2" t="s">
        <v>281</v>
      </c>
      <c r="C692" s="2">
        <v>2</v>
      </c>
      <c r="D692" t="str">
        <f t="shared" si="10"/>
        <v>CA-2014-129091_OFF-EN-10001990</v>
      </c>
      <c r="E692" t="str">
        <f>IF(COUNTIF(data2!$D:$D,D692)=0,"Missing in Data2","Present")</f>
        <v>Present</v>
      </c>
    </row>
    <row r="693" spans="1:5" x14ac:dyDescent="0.25">
      <c r="A693" s="2" t="s">
        <v>919</v>
      </c>
      <c r="B693" s="2" t="s">
        <v>198</v>
      </c>
      <c r="C693" s="2">
        <v>3</v>
      </c>
      <c r="D693" t="str">
        <f t="shared" si="10"/>
        <v>CA-2014-129091_OFF-EN-10004955</v>
      </c>
      <c r="E693" t="str">
        <f>IF(COUNTIF(data2!$D:$D,D693)=0,"Missing in Data2","Present")</f>
        <v>Present</v>
      </c>
    </row>
    <row r="694" spans="1:5" x14ac:dyDescent="0.25">
      <c r="A694" s="2" t="s">
        <v>922</v>
      </c>
      <c r="B694" s="2" t="s">
        <v>923</v>
      </c>
      <c r="C694" s="2">
        <v>6</v>
      </c>
      <c r="D694" t="str">
        <f t="shared" si="10"/>
        <v>CA-2014-129147_TEC-PH-10001299</v>
      </c>
      <c r="E694" t="str">
        <f>IF(COUNTIF(data2!$D:$D,D694)=0,"Missing in Data2","Present")</f>
        <v>Present</v>
      </c>
    </row>
    <row r="695" spans="1:5" x14ac:dyDescent="0.25">
      <c r="A695" s="2" t="s">
        <v>922</v>
      </c>
      <c r="B695" s="2" t="s">
        <v>924</v>
      </c>
      <c r="C695" s="2">
        <v>7</v>
      </c>
      <c r="D695" t="str">
        <f t="shared" si="10"/>
        <v>CA-2014-129147_TEC-PH-10001552</v>
      </c>
      <c r="E695" t="str">
        <f>IF(COUNTIF(data2!$D:$D,D695)=0,"Missing in Data2","Present")</f>
        <v>Present</v>
      </c>
    </row>
    <row r="696" spans="1:5" x14ac:dyDescent="0.25">
      <c r="A696" s="2" t="s">
        <v>925</v>
      </c>
      <c r="B696" s="2" t="s">
        <v>926</v>
      </c>
      <c r="C696" s="2">
        <v>3</v>
      </c>
      <c r="D696" t="str">
        <f t="shared" si="10"/>
        <v>CA-2014-129168_OFF-PA-10001639</v>
      </c>
      <c r="E696" t="str">
        <f>IF(COUNTIF(data2!$D:$D,D696)=0,"Missing in Data2","Present")</f>
        <v>Present</v>
      </c>
    </row>
    <row r="697" spans="1:5" x14ac:dyDescent="0.25">
      <c r="A697" s="2" t="s">
        <v>927</v>
      </c>
      <c r="B697" s="2" t="s">
        <v>680</v>
      </c>
      <c r="C697" s="2">
        <v>5</v>
      </c>
      <c r="D697" t="str">
        <f t="shared" si="10"/>
        <v>CA-2014-129189_FUR-CH-10004997</v>
      </c>
      <c r="E697" t="str">
        <f>IF(COUNTIF(data2!$D:$D,D697)=0,"Missing in Data2","Present")</f>
        <v>Present</v>
      </c>
    </row>
    <row r="698" spans="1:5" x14ac:dyDescent="0.25">
      <c r="A698" s="2" t="s">
        <v>927</v>
      </c>
      <c r="B698" s="2" t="s">
        <v>492</v>
      </c>
      <c r="C698" s="2">
        <v>1</v>
      </c>
      <c r="D698" t="str">
        <f t="shared" si="10"/>
        <v>CA-2014-129189_OFF-BI-10000494</v>
      </c>
      <c r="E698" t="str">
        <f>IF(COUNTIF(data2!$D:$D,D698)=0,"Missing in Data2","Present")</f>
        <v>Present</v>
      </c>
    </row>
    <row r="699" spans="1:5" x14ac:dyDescent="0.25">
      <c r="A699" s="2" t="s">
        <v>927</v>
      </c>
      <c r="B699" s="2" t="s">
        <v>928</v>
      </c>
      <c r="C699" s="2">
        <v>5</v>
      </c>
      <c r="D699" t="str">
        <f t="shared" si="10"/>
        <v>CA-2014-129189_OFF-EN-10003567</v>
      </c>
      <c r="E699" t="str">
        <f>IF(COUNTIF(data2!$D:$D,D699)=0,"Missing in Data2","Present")</f>
        <v>Present</v>
      </c>
    </row>
    <row r="700" spans="1:5" x14ac:dyDescent="0.25">
      <c r="A700" s="2" t="s">
        <v>929</v>
      </c>
      <c r="B700" s="2" t="s">
        <v>930</v>
      </c>
      <c r="C700" s="2">
        <v>4</v>
      </c>
      <c r="D700" t="str">
        <f t="shared" si="10"/>
        <v>CA-2014-129364_OFF-BI-10001132</v>
      </c>
      <c r="E700" t="str">
        <f>IF(COUNTIF(data2!$D:$D,D700)=0,"Missing in Data2","Present")</f>
        <v>Missing in Data2</v>
      </c>
    </row>
    <row r="701" spans="1:5" x14ac:dyDescent="0.25">
      <c r="A701" s="2" t="s">
        <v>929</v>
      </c>
      <c r="B701" s="2" t="s">
        <v>279</v>
      </c>
      <c r="C701" s="2">
        <v>7</v>
      </c>
      <c r="D701" t="str">
        <f t="shared" si="10"/>
        <v>CA-2014-129364_OFF-LA-10001569</v>
      </c>
      <c r="E701" t="str">
        <f>IF(COUNTIF(data2!$D:$D,D701)=0,"Missing in Data2","Present")</f>
        <v>Missing in Data2</v>
      </c>
    </row>
    <row r="702" spans="1:5" x14ac:dyDescent="0.25">
      <c r="A702" s="2" t="s">
        <v>929</v>
      </c>
      <c r="B702" s="2" t="s">
        <v>329</v>
      </c>
      <c r="C702" s="2">
        <v>5</v>
      </c>
      <c r="D702" t="str">
        <f t="shared" si="10"/>
        <v>CA-2014-129364_OFF-LA-10004409</v>
      </c>
      <c r="E702" t="str">
        <f>IF(COUNTIF(data2!$D:$D,D702)=0,"Missing in Data2","Present")</f>
        <v>Present</v>
      </c>
    </row>
    <row r="703" spans="1:5" x14ac:dyDescent="0.25">
      <c r="A703" s="2" t="s">
        <v>929</v>
      </c>
      <c r="B703" s="2" t="s">
        <v>931</v>
      </c>
      <c r="C703" s="2">
        <v>2</v>
      </c>
      <c r="D703" t="str">
        <f t="shared" si="10"/>
        <v>CA-2014-129364_OFF-PA-10001569</v>
      </c>
      <c r="E703" t="str">
        <f>IF(COUNTIF(data2!$D:$D,D703)=0,"Missing in Data2","Present")</f>
        <v>Missing in Data2</v>
      </c>
    </row>
    <row r="704" spans="1:5" x14ac:dyDescent="0.25">
      <c r="A704" s="2" t="s">
        <v>929</v>
      </c>
      <c r="B704" s="2" t="s">
        <v>932</v>
      </c>
      <c r="C704" s="2">
        <v>3</v>
      </c>
      <c r="D704" t="str">
        <f t="shared" si="10"/>
        <v>CA-2014-129364_OFF-ST-10001031</v>
      </c>
      <c r="E704" t="str">
        <f>IF(COUNTIF(data2!$D:$D,D704)=0,"Missing in Data2","Present")</f>
        <v>Present</v>
      </c>
    </row>
    <row r="705" spans="1:5" x14ac:dyDescent="0.25">
      <c r="A705" s="2" t="s">
        <v>929</v>
      </c>
      <c r="B705" s="2" t="s">
        <v>933</v>
      </c>
      <c r="C705" s="2">
        <v>5</v>
      </c>
      <c r="D705" t="str">
        <f t="shared" si="10"/>
        <v>CA-2014-129364_OFF-SU-10000432</v>
      </c>
      <c r="E705" t="str">
        <f>IF(COUNTIF(data2!$D:$D,D705)=0,"Missing in Data2","Present")</f>
        <v>Present</v>
      </c>
    </row>
    <row r="706" spans="1:5" x14ac:dyDescent="0.25">
      <c r="A706" s="2" t="s">
        <v>929</v>
      </c>
      <c r="B706" s="2" t="s">
        <v>934</v>
      </c>
      <c r="C706" s="2">
        <v>3</v>
      </c>
      <c r="D706" t="str">
        <f t="shared" si="10"/>
        <v>CA-2014-129364_TEC-PH-10003095</v>
      </c>
      <c r="E706" t="str">
        <f>IF(COUNTIF(data2!$D:$D,D706)=0,"Missing in Data2","Present")</f>
        <v>Present</v>
      </c>
    </row>
    <row r="707" spans="1:5" x14ac:dyDescent="0.25">
      <c r="A707" s="2" t="s">
        <v>935</v>
      </c>
      <c r="B707" s="2" t="s">
        <v>936</v>
      </c>
      <c r="C707" s="2">
        <v>5</v>
      </c>
      <c r="D707" t="str">
        <f t="shared" ref="D707:D770" si="11">A707&amp;"_"&amp;B707</f>
        <v>CA-2014-129574_OFF-PA-10002893</v>
      </c>
      <c r="E707" t="str">
        <f>IF(COUNTIF(data2!$D:$D,D707)=0,"Missing in Data2","Present")</f>
        <v>Present</v>
      </c>
    </row>
    <row r="708" spans="1:5" x14ac:dyDescent="0.25">
      <c r="A708" s="2" t="s">
        <v>937</v>
      </c>
      <c r="B708" s="2" t="s">
        <v>651</v>
      </c>
      <c r="C708" s="2">
        <v>3</v>
      </c>
      <c r="D708" t="str">
        <f t="shared" si="11"/>
        <v>CA-2014-129819_OFF-BI-10004970</v>
      </c>
      <c r="E708" t="str">
        <f>IF(COUNTIF(data2!$D:$D,D708)=0,"Missing in Data2","Present")</f>
        <v>Present</v>
      </c>
    </row>
    <row r="709" spans="1:5" x14ac:dyDescent="0.25">
      <c r="A709" s="2" t="s">
        <v>938</v>
      </c>
      <c r="B709" s="2" t="s">
        <v>939</v>
      </c>
      <c r="C709" s="2">
        <v>3</v>
      </c>
      <c r="D709" t="str">
        <f t="shared" si="11"/>
        <v>CA-2014-129924_FUR-TA-10004575</v>
      </c>
      <c r="E709" t="str">
        <f>IF(COUNTIF(data2!$D:$D,D709)=0,"Missing in Data2","Present")</f>
        <v>Present</v>
      </c>
    </row>
    <row r="710" spans="1:5" x14ac:dyDescent="0.25">
      <c r="A710" s="2" t="s">
        <v>938</v>
      </c>
      <c r="B710" s="2" t="s">
        <v>940</v>
      </c>
      <c r="C710" s="2">
        <v>2</v>
      </c>
      <c r="D710" t="str">
        <f t="shared" si="11"/>
        <v>CA-2014-129924_OFF-BI-10003314</v>
      </c>
      <c r="E710" t="str">
        <f>IF(COUNTIF(data2!$D:$D,D710)=0,"Missing in Data2","Present")</f>
        <v>Present</v>
      </c>
    </row>
    <row r="711" spans="1:5" x14ac:dyDescent="0.25">
      <c r="A711" s="2" t="s">
        <v>941</v>
      </c>
      <c r="B711" s="2" t="s">
        <v>373</v>
      </c>
      <c r="C711" s="2">
        <v>7</v>
      </c>
      <c r="D711" t="str">
        <f t="shared" si="11"/>
        <v>CA-2014-129938_FUR-CH-10003774</v>
      </c>
      <c r="E711" t="str">
        <f>IF(COUNTIF(data2!$D:$D,D711)=0,"Missing in Data2","Present")</f>
        <v>Present</v>
      </c>
    </row>
    <row r="712" spans="1:5" x14ac:dyDescent="0.25">
      <c r="A712" s="2" t="s">
        <v>942</v>
      </c>
      <c r="B712" s="2" t="s">
        <v>856</v>
      </c>
      <c r="C712" s="2">
        <v>2</v>
      </c>
      <c r="D712" t="str">
        <f t="shared" si="11"/>
        <v>CA-2014-130092_FUR-FU-10000010</v>
      </c>
      <c r="E712" t="str">
        <f>IF(COUNTIF(data2!$D:$D,D712)=0,"Missing in Data2","Present")</f>
        <v>Present</v>
      </c>
    </row>
    <row r="713" spans="1:5" x14ac:dyDescent="0.25">
      <c r="A713" s="2" t="s">
        <v>943</v>
      </c>
      <c r="B713" s="2" t="s">
        <v>122</v>
      </c>
      <c r="C713" s="2">
        <v>5</v>
      </c>
      <c r="D713" t="str">
        <f t="shared" si="11"/>
        <v>CA-2014-130155_OFF-SU-10004737</v>
      </c>
      <c r="E713" t="str">
        <f>IF(COUNTIF(data2!$D:$D,D713)=0,"Missing in Data2","Present")</f>
        <v>Present</v>
      </c>
    </row>
    <row r="714" spans="1:5" x14ac:dyDescent="0.25">
      <c r="A714" s="2" t="s">
        <v>944</v>
      </c>
      <c r="B714" s="2" t="s">
        <v>945</v>
      </c>
      <c r="C714" s="2">
        <v>7</v>
      </c>
      <c r="D714" t="str">
        <f t="shared" si="11"/>
        <v>CA-2014-130274_OFF-LA-10002195</v>
      </c>
      <c r="E714" t="str">
        <f>IF(COUNTIF(data2!$D:$D,D714)=0,"Missing in Data2","Present")</f>
        <v>Present</v>
      </c>
    </row>
    <row r="715" spans="1:5" x14ac:dyDescent="0.25">
      <c r="A715" s="2" t="s">
        <v>946</v>
      </c>
      <c r="B715" s="2" t="s">
        <v>947</v>
      </c>
      <c r="C715" s="2">
        <v>3</v>
      </c>
      <c r="D715" t="str">
        <f t="shared" si="11"/>
        <v>CA-2014-130421_OFF-AP-10002534</v>
      </c>
      <c r="E715" t="str">
        <f>IF(COUNTIF(data2!$D:$D,D715)=0,"Missing in Data2","Present")</f>
        <v>Present</v>
      </c>
    </row>
    <row r="716" spans="1:5" x14ac:dyDescent="0.25">
      <c r="A716" s="2" t="s">
        <v>948</v>
      </c>
      <c r="B716" s="2" t="s">
        <v>949</v>
      </c>
      <c r="C716" s="2">
        <v>7</v>
      </c>
      <c r="D716" t="str">
        <f t="shared" si="11"/>
        <v>CA-2014-130428_FUR-CH-10002965</v>
      </c>
      <c r="E716" t="str">
        <f>IF(COUNTIF(data2!$D:$D,D716)=0,"Missing in Data2","Present")</f>
        <v>Present</v>
      </c>
    </row>
    <row r="717" spans="1:5" x14ac:dyDescent="0.25">
      <c r="A717" s="2" t="s">
        <v>948</v>
      </c>
      <c r="B717" s="2" t="s">
        <v>950</v>
      </c>
      <c r="C717" s="2">
        <v>2</v>
      </c>
      <c r="D717" t="str">
        <f t="shared" si="11"/>
        <v>CA-2014-130428_OFF-AR-10004027</v>
      </c>
      <c r="E717" t="str">
        <f>IF(COUNTIF(data2!$D:$D,D717)=0,"Missing in Data2","Present")</f>
        <v>Present</v>
      </c>
    </row>
    <row r="718" spans="1:5" x14ac:dyDescent="0.25">
      <c r="A718" s="2" t="s">
        <v>948</v>
      </c>
      <c r="B718" s="2" t="s">
        <v>951</v>
      </c>
      <c r="C718" s="2">
        <v>5</v>
      </c>
      <c r="D718" t="str">
        <f t="shared" si="11"/>
        <v>CA-2014-130428_OFF-BI-10001636</v>
      </c>
      <c r="E718" t="str">
        <f>IF(COUNTIF(data2!$D:$D,D718)=0,"Missing in Data2","Present")</f>
        <v>Missing in Data2</v>
      </c>
    </row>
    <row r="719" spans="1:5" x14ac:dyDescent="0.25">
      <c r="A719" s="2" t="s">
        <v>952</v>
      </c>
      <c r="B719" s="2" t="s">
        <v>543</v>
      </c>
      <c r="C719" s="2">
        <v>6</v>
      </c>
      <c r="D719" t="str">
        <f t="shared" si="11"/>
        <v>CA-2014-130449_FUR-FU-10001487</v>
      </c>
      <c r="E719" t="str">
        <f>IF(COUNTIF(data2!$D:$D,D719)=0,"Missing in Data2","Present")</f>
        <v>Present</v>
      </c>
    </row>
    <row r="720" spans="1:5" x14ac:dyDescent="0.25">
      <c r="A720" s="2" t="s">
        <v>952</v>
      </c>
      <c r="B720" s="2" t="s">
        <v>953</v>
      </c>
      <c r="C720" s="2">
        <v>8</v>
      </c>
      <c r="D720" t="str">
        <f t="shared" si="11"/>
        <v>CA-2014-130449_OFF-LA-10001934</v>
      </c>
      <c r="E720" t="str">
        <f>IF(COUNTIF(data2!$D:$D,D720)=0,"Missing in Data2","Present")</f>
        <v>Present</v>
      </c>
    </row>
    <row r="721" spans="1:5" x14ac:dyDescent="0.25">
      <c r="A721" s="2" t="s">
        <v>954</v>
      </c>
      <c r="B721" s="2" t="s">
        <v>955</v>
      </c>
      <c r="C721" s="2">
        <v>3</v>
      </c>
      <c r="D721" t="str">
        <f t="shared" si="11"/>
        <v>CA-2014-130575_OFF-BI-10002353</v>
      </c>
      <c r="E721" t="str">
        <f>IF(COUNTIF(data2!$D:$D,D721)=0,"Missing in Data2","Present")</f>
        <v>Present</v>
      </c>
    </row>
    <row r="722" spans="1:5" x14ac:dyDescent="0.25">
      <c r="A722" s="2" t="s">
        <v>956</v>
      </c>
      <c r="B722" s="2" t="s">
        <v>706</v>
      </c>
      <c r="C722" s="2">
        <v>3</v>
      </c>
      <c r="D722" t="str">
        <f t="shared" si="11"/>
        <v>CA-2014-130624_OFF-AP-10001303</v>
      </c>
      <c r="E722" t="str">
        <f>IF(COUNTIF(data2!$D:$D,D722)=0,"Missing in Data2","Present")</f>
        <v>Present</v>
      </c>
    </row>
    <row r="723" spans="1:5" x14ac:dyDescent="0.25">
      <c r="A723" s="2" t="s">
        <v>956</v>
      </c>
      <c r="B723" s="2" t="s">
        <v>957</v>
      </c>
      <c r="C723" s="2">
        <v>3</v>
      </c>
      <c r="D723" t="str">
        <f t="shared" si="11"/>
        <v>CA-2014-130624_OFF-PA-10003883</v>
      </c>
      <c r="E723" t="str">
        <f>IF(COUNTIF(data2!$D:$D,D723)=0,"Missing in Data2","Present")</f>
        <v>Present</v>
      </c>
    </row>
    <row r="724" spans="1:5" x14ac:dyDescent="0.25">
      <c r="A724" s="2" t="s">
        <v>956</v>
      </c>
      <c r="B724" s="2" t="s">
        <v>958</v>
      </c>
      <c r="C724" s="2">
        <v>3</v>
      </c>
      <c r="D724" t="str">
        <f t="shared" si="11"/>
        <v>CA-2014-130624_TEC-PH-10003963</v>
      </c>
      <c r="E724" t="str">
        <f>IF(COUNTIF(data2!$D:$D,D724)=0,"Missing in Data2","Present")</f>
        <v>Present</v>
      </c>
    </row>
    <row r="725" spans="1:5" x14ac:dyDescent="0.25">
      <c r="A725" s="2" t="s">
        <v>959</v>
      </c>
      <c r="B725" s="2" t="s">
        <v>960</v>
      </c>
      <c r="C725" s="2">
        <v>3</v>
      </c>
      <c r="D725" t="str">
        <f t="shared" si="11"/>
        <v>CA-2014-130673_FUR-FU-10003489</v>
      </c>
      <c r="E725" t="str">
        <f>IF(COUNTIF(data2!$D:$D,D725)=0,"Missing in Data2","Present")</f>
        <v>Present</v>
      </c>
    </row>
    <row r="726" spans="1:5" x14ac:dyDescent="0.25">
      <c r="A726" s="2" t="s">
        <v>959</v>
      </c>
      <c r="B726" s="2" t="s">
        <v>961</v>
      </c>
      <c r="C726" s="2">
        <v>2</v>
      </c>
      <c r="D726" t="str">
        <f t="shared" si="11"/>
        <v>CA-2014-130673_OFF-PA-10000289</v>
      </c>
      <c r="E726" t="str">
        <f>IF(COUNTIF(data2!$D:$D,D726)=0,"Missing in Data2","Present")</f>
        <v>Present</v>
      </c>
    </row>
    <row r="727" spans="1:5" x14ac:dyDescent="0.25">
      <c r="A727" s="2" t="s">
        <v>959</v>
      </c>
      <c r="B727" s="2" t="s">
        <v>962</v>
      </c>
      <c r="C727" s="2">
        <v>5</v>
      </c>
      <c r="D727" t="str">
        <f t="shared" si="11"/>
        <v>CA-2014-130673_OFF-ST-10000636</v>
      </c>
      <c r="E727" t="str">
        <f>IF(COUNTIF(data2!$D:$D,D727)=0,"Missing in Data2","Present")</f>
        <v>Present</v>
      </c>
    </row>
    <row r="728" spans="1:5" x14ac:dyDescent="0.25">
      <c r="A728" s="2" t="s">
        <v>959</v>
      </c>
      <c r="B728" s="2" t="s">
        <v>963</v>
      </c>
      <c r="C728" s="2">
        <v>2</v>
      </c>
      <c r="D728" t="str">
        <f t="shared" si="11"/>
        <v>CA-2014-130673_TEC-AC-10004227</v>
      </c>
      <c r="E728" t="str">
        <f>IF(COUNTIF(data2!$D:$D,D728)=0,"Missing in Data2","Present")</f>
        <v>Present</v>
      </c>
    </row>
    <row r="729" spans="1:5" x14ac:dyDescent="0.25">
      <c r="A729" s="2" t="s">
        <v>964</v>
      </c>
      <c r="B729" s="2" t="s">
        <v>965</v>
      </c>
      <c r="C729" s="2">
        <v>3</v>
      </c>
      <c r="D729" t="str">
        <f t="shared" si="11"/>
        <v>CA-2014-130729_OFF-BI-10002706</v>
      </c>
      <c r="E729" t="str">
        <f>IF(COUNTIF(data2!$D:$D,D729)=0,"Missing in Data2","Present")</f>
        <v>Present</v>
      </c>
    </row>
    <row r="730" spans="1:5" x14ac:dyDescent="0.25">
      <c r="A730" s="2" t="s">
        <v>966</v>
      </c>
      <c r="B730" s="2" t="s">
        <v>572</v>
      </c>
      <c r="C730" s="2">
        <v>3</v>
      </c>
      <c r="D730" t="str">
        <f t="shared" si="11"/>
        <v>CA-2014-130813_OFF-PA-10002005</v>
      </c>
      <c r="E730" t="str">
        <f>IF(COUNTIF(data2!$D:$D,D730)=0,"Missing in Data2","Present")</f>
        <v>Present</v>
      </c>
    </row>
    <row r="731" spans="1:5" x14ac:dyDescent="0.25">
      <c r="A731" s="2" t="s">
        <v>967</v>
      </c>
      <c r="B731" s="2" t="s">
        <v>532</v>
      </c>
      <c r="C731" s="2">
        <v>3</v>
      </c>
      <c r="D731" t="str">
        <f t="shared" si="11"/>
        <v>CA-2014-130869_OFF-EN-10002600</v>
      </c>
      <c r="E731" t="str">
        <f>IF(COUNTIF(data2!$D:$D,D731)=0,"Missing in Data2","Present")</f>
        <v>Present</v>
      </c>
    </row>
    <row r="732" spans="1:5" x14ac:dyDescent="0.25">
      <c r="A732" s="2" t="s">
        <v>968</v>
      </c>
      <c r="B732" s="2" t="s">
        <v>969</v>
      </c>
      <c r="C732" s="2">
        <v>3</v>
      </c>
      <c r="D732" t="str">
        <f t="shared" si="11"/>
        <v>CA-2014-130918_OFF-SU-10003936</v>
      </c>
      <c r="E732" t="str">
        <f>IF(COUNTIF(data2!$D:$D,D732)=0,"Missing in Data2","Present")</f>
        <v>Present</v>
      </c>
    </row>
    <row r="733" spans="1:5" x14ac:dyDescent="0.25">
      <c r="A733" s="2" t="s">
        <v>970</v>
      </c>
      <c r="B733" s="2" t="s">
        <v>971</v>
      </c>
      <c r="C733" s="2">
        <v>3</v>
      </c>
      <c r="D733" t="str">
        <f t="shared" si="11"/>
        <v>CA-2014-130960_OFF-AR-10003651</v>
      </c>
      <c r="E733" t="str">
        <f>IF(COUNTIF(data2!$D:$D,D733)=0,"Missing in Data2","Present")</f>
        <v>Present</v>
      </c>
    </row>
    <row r="734" spans="1:5" x14ac:dyDescent="0.25">
      <c r="A734" s="2" t="s">
        <v>972</v>
      </c>
      <c r="B734" s="2" t="s">
        <v>461</v>
      </c>
      <c r="C734" s="2">
        <v>3</v>
      </c>
      <c r="D734" t="str">
        <f t="shared" si="11"/>
        <v>CA-2014-131002_FUR-FU-10004270</v>
      </c>
      <c r="E734" t="str">
        <f>IF(COUNTIF(data2!$D:$D,D734)=0,"Missing in Data2","Present")</f>
        <v>Present</v>
      </c>
    </row>
    <row r="735" spans="1:5" x14ac:dyDescent="0.25">
      <c r="A735" s="2" t="s">
        <v>972</v>
      </c>
      <c r="B735" s="2" t="s">
        <v>973</v>
      </c>
      <c r="C735" s="2">
        <v>6</v>
      </c>
      <c r="D735" t="str">
        <f t="shared" si="11"/>
        <v>CA-2014-131002_FUR-FU-10004665</v>
      </c>
      <c r="E735" t="str">
        <f>IF(COUNTIF(data2!$D:$D,D735)=0,"Missing in Data2","Present")</f>
        <v>Present</v>
      </c>
    </row>
    <row r="736" spans="1:5" x14ac:dyDescent="0.25">
      <c r="A736" s="2" t="s">
        <v>972</v>
      </c>
      <c r="B736" s="2" t="s">
        <v>974</v>
      </c>
      <c r="C736" s="2">
        <v>3</v>
      </c>
      <c r="D736" t="str">
        <f t="shared" si="11"/>
        <v>CA-2014-131002_OFF-BI-10000948</v>
      </c>
      <c r="E736" t="str">
        <f>IF(COUNTIF(data2!$D:$D,D736)=0,"Missing in Data2","Present")</f>
        <v>Present</v>
      </c>
    </row>
    <row r="737" spans="1:5" x14ac:dyDescent="0.25">
      <c r="A737" s="2" t="s">
        <v>972</v>
      </c>
      <c r="B737" s="2" t="s">
        <v>812</v>
      </c>
      <c r="C737" s="2">
        <v>2</v>
      </c>
      <c r="D737" t="str">
        <f t="shared" si="11"/>
        <v>CA-2014-131002_OFF-PA-10000223</v>
      </c>
      <c r="E737" t="str">
        <f>IF(COUNTIF(data2!$D:$D,D737)=0,"Missing in Data2","Present")</f>
        <v>Present</v>
      </c>
    </row>
    <row r="738" spans="1:5" x14ac:dyDescent="0.25">
      <c r="A738" s="2" t="s">
        <v>972</v>
      </c>
      <c r="B738" s="2" t="s">
        <v>742</v>
      </c>
      <c r="C738" s="2">
        <v>3</v>
      </c>
      <c r="D738" t="str">
        <f t="shared" si="11"/>
        <v>CA-2014-131002_TEC-PH-10000215</v>
      </c>
      <c r="E738" t="str">
        <f>IF(COUNTIF(data2!$D:$D,D738)=0,"Missing in Data2","Present")</f>
        <v>Present</v>
      </c>
    </row>
    <row r="739" spans="1:5" x14ac:dyDescent="0.25">
      <c r="A739" s="2" t="s">
        <v>975</v>
      </c>
      <c r="B739" s="2" t="s">
        <v>976</v>
      </c>
      <c r="C739" s="2">
        <v>6</v>
      </c>
      <c r="D739" t="str">
        <f t="shared" si="11"/>
        <v>CA-2014-131009_FUR-CH-10001270</v>
      </c>
      <c r="E739" t="str">
        <f>IF(COUNTIF(data2!$D:$D,D739)=0,"Missing in Data2","Present")</f>
        <v>Present</v>
      </c>
    </row>
    <row r="740" spans="1:5" x14ac:dyDescent="0.25">
      <c r="A740" s="2" t="s">
        <v>975</v>
      </c>
      <c r="B740" s="2" t="s">
        <v>538</v>
      </c>
      <c r="C740" s="2">
        <v>6</v>
      </c>
      <c r="D740" t="str">
        <f t="shared" si="11"/>
        <v>CA-2014-131009_FUR-FU-10001095</v>
      </c>
      <c r="E740" t="str">
        <f>IF(COUNTIF(data2!$D:$D,D740)=0,"Missing in Data2","Present")</f>
        <v>Present</v>
      </c>
    </row>
    <row r="741" spans="1:5" x14ac:dyDescent="0.25">
      <c r="A741" s="2" t="s">
        <v>975</v>
      </c>
      <c r="B741" s="2" t="s">
        <v>977</v>
      </c>
      <c r="C741" s="2">
        <v>5</v>
      </c>
      <c r="D741" t="str">
        <f t="shared" si="11"/>
        <v>CA-2014-131009_OFF-FA-10004395</v>
      </c>
      <c r="E741" t="str">
        <f>IF(COUNTIF(data2!$D:$D,D741)=0,"Missing in Data2","Present")</f>
        <v>Present</v>
      </c>
    </row>
    <row r="742" spans="1:5" x14ac:dyDescent="0.25">
      <c r="A742" s="2" t="s">
        <v>975</v>
      </c>
      <c r="B742" s="2" t="s">
        <v>764</v>
      </c>
      <c r="C742" s="2">
        <v>3</v>
      </c>
      <c r="D742" t="str">
        <f t="shared" si="11"/>
        <v>CA-2014-131009_OFF-ST-10001469</v>
      </c>
      <c r="E742" t="str">
        <f>IF(COUNTIF(data2!$D:$D,D742)=0,"Missing in Data2","Present")</f>
        <v>Present</v>
      </c>
    </row>
    <row r="743" spans="1:5" x14ac:dyDescent="0.25">
      <c r="A743" s="2" t="s">
        <v>978</v>
      </c>
      <c r="B743" s="2" t="s">
        <v>979</v>
      </c>
      <c r="C743" s="2">
        <v>3</v>
      </c>
      <c r="D743" t="str">
        <f t="shared" si="11"/>
        <v>CA-2014-131051_FUR-FU-10001861</v>
      </c>
      <c r="E743" t="str">
        <f>IF(COUNTIF(data2!$D:$D,D743)=0,"Missing in Data2","Present")</f>
        <v>Present</v>
      </c>
    </row>
    <row r="744" spans="1:5" x14ac:dyDescent="0.25">
      <c r="A744" s="2" t="s">
        <v>980</v>
      </c>
      <c r="B744" s="2" t="s">
        <v>69</v>
      </c>
      <c r="C744" s="2">
        <v>2</v>
      </c>
      <c r="D744" t="str">
        <f t="shared" si="11"/>
        <v>CA-2014-131247_FUR-BO-10001337</v>
      </c>
      <c r="E744" t="str">
        <f>IF(COUNTIF(data2!$D:$D,D744)=0,"Missing in Data2","Present")</f>
        <v>Present</v>
      </c>
    </row>
    <row r="745" spans="1:5" x14ac:dyDescent="0.25">
      <c r="A745" s="2" t="s">
        <v>981</v>
      </c>
      <c r="B745" s="2" t="s">
        <v>501</v>
      </c>
      <c r="C745" s="2">
        <v>4</v>
      </c>
      <c r="D745" t="str">
        <f t="shared" si="11"/>
        <v>CA-2014-131310_FUR-CH-10001797</v>
      </c>
      <c r="E745" t="str">
        <f>IF(COUNTIF(data2!$D:$D,D745)=0,"Missing in Data2","Present")</f>
        <v>Present</v>
      </c>
    </row>
    <row r="746" spans="1:5" x14ac:dyDescent="0.25">
      <c r="A746" s="2" t="s">
        <v>981</v>
      </c>
      <c r="B746" s="2" t="s">
        <v>982</v>
      </c>
      <c r="C746" s="2">
        <v>4</v>
      </c>
      <c r="D746" t="str">
        <f t="shared" si="11"/>
        <v>CA-2014-131310_OFF-BI-10003094</v>
      </c>
      <c r="E746" t="str">
        <f>IF(COUNTIF(data2!$D:$D,D746)=0,"Missing in Data2","Present")</f>
        <v>Present</v>
      </c>
    </row>
    <row r="747" spans="1:5" x14ac:dyDescent="0.25">
      <c r="A747" s="2" t="s">
        <v>983</v>
      </c>
      <c r="B747" s="2" t="s">
        <v>984</v>
      </c>
      <c r="C747" s="2">
        <v>5</v>
      </c>
      <c r="D747" t="str">
        <f t="shared" si="11"/>
        <v>CA-2014-131387_TEC-PH-10001459</v>
      </c>
      <c r="E747" t="str">
        <f>IF(COUNTIF(data2!$D:$D,D747)=0,"Missing in Data2","Present")</f>
        <v>Present</v>
      </c>
    </row>
    <row r="748" spans="1:5" x14ac:dyDescent="0.25">
      <c r="A748" s="2" t="s">
        <v>985</v>
      </c>
      <c r="B748" s="2" t="s">
        <v>326</v>
      </c>
      <c r="C748" s="2">
        <v>2</v>
      </c>
      <c r="D748" t="str">
        <f t="shared" si="11"/>
        <v>CA-2014-131450_OFF-AP-10004708</v>
      </c>
      <c r="E748" t="str">
        <f>IF(COUNTIF(data2!$D:$D,D748)=0,"Missing in Data2","Present")</f>
        <v>Present</v>
      </c>
    </row>
    <row r="749" spans="1:5" x14ac:dyDescent="0.25">
      <c r="A749" s="2" t="s">
        <v>985</v>
      </c>
      <c r="B749" s="2" t="s">
        <v>986</v>
      </c>
      <c r="C749" s="2">
        <v>3</v>
      </c>
      <c r="D749" t="str">
        <f t="shared" si="11"/>
        <v>CA-2014-131450_TEC-CO-10004115</v>
      </c>
      <c r="E749" t="str">
        <f>IF(COUNTIF(data2!$D:$D,D749)=0,"Missing in Data2","Present")</f>
        <v>Present</v>
      </c>
    </row>
    <row r="750" spans="1:5" x14ac:dyDescent="0.25">
      <c r="A750" s="2" t="s">
        <v>985</v>
      </c>
      <c r="B750" s="2" t="s">
        <v>987</v>
      </c>
      <c r="C750" s="2">
        <v>5</v>
      </c>
      <c r="D750" t="str">
        <f t="shared" si="11"/>
        <v>CA-2014-131450_TEC-PH-10002398</v>
      </c>
      <c r="E750" t="str">
        <f>IF(COUNTIF(data2!$D:$D,D750)=0,"Missing in Data2","Present")</f>
        <v>Present</v>
      </c>
    </row>
    <row r="751" spans="1:5" x14ac:dyDescent="0.25">
      <c r="A751" s="2" t="s">
        <v>988</v>
      </c>
      <c r="B751" s="2" t="s">
        <v>989</v>
      </c>
      <c r="C751" s="2">
        <v>4</v>
      </c>
      <c r="D751" t="str">
        <f t="shared" si="11"/>
        <v>CA-2014-131527_TEC-PH-10001644</v>
      </c>
      <c r="E751" t="str">
        <f>IF(COUNTIF(data2!$D:$D,D751)=0,"Missing in Data2","Present")</f>
        <v>Present</v>
      </c>
    </row>
    <row r="752" spans="1:5" x14ac:dyDescent="0.25">
      <c r="A752" s="2" t="s">
        <v>990</v>
      </c>
      <c r="B752" s="2" t="s">
        <v>991</v>
      </c>
      <c r="C752" s="2">
        <v>6</v>
      </c>
      <c r="D752" t="str">
        <f t="shared" si="11"/>
        <v>CA-2014-131541_FUR-FU-10003623</v>
      </c>
      <c r="E752" t="str">
        <f>IF(COUNTIF(data2!$D:$D,D752)=0,"Missing in Data2","Present")</f>
        <v>Present</v>
      </c>
    </row>
    <row r="753" spans="1:5" x14ac:dyDescent="0.25">
      <c r="A753" s="2" t="s">
        <v>990</v>
      </c>
      <c r="B753" s="2" t="s">
        <v>992</v>
      </c>
      <c r="C753" s="2">
        <v>7</v>
      </c>
      <c r="D753" t="str">
        <f t="shared" si="11"/>
        <v>CA-2014-131541_OFF-EN-10000781</v>
      </c>
      <c r="E753" t="str">
        <f>IF(COUNTIF(data2!$D:$D,D753)=0,"Missing in Data2","Present")</f>
        <v>Present</v>
      </c>
    </row>
    <row r="754" spans="1:5" x14ac:dyDescent="0.25">
      <c r="A754" s="2" t="s">
        <v>990</v>
      </c>
      <c r="B754" s="2" t="s">
        <v>993</v>
      </c>
      <c r="C754" s="2">
        <v>5</v>
      </c>
      <c r="D754" t="str">
        <f t="shared" si="11"/>
        <v>CA-2014-131541_OFF-FA-10000621</v>
      </c>
      <c r="E754" t="str">
        <f>IF(COUNTIF(data2!$D:$D,D754)=0,"Missing in Data2","Present")</f>
        <v>Present</v>
      </c>
    </row>
    <row r="755" spans="1:5" x14ac:dyDescent="0.25">
      <c r="A755" s="2" t="s">
        <v>994</v>
      </c>
      <c r="B755" s="2" t="s">
        <v>995</v>
      </c>
      <c r="C755" s="2">
        <v>3</v>
      </c>
      <c r="D755" t="str">
        <f t="shared" si="11"/>
        <v>CA-2014-131800_OFF-AP-10004136</v>
      </c>
      <c r="E755" t="str">
        <f>IF(COUNTIF(data2!$D:$D,D755)=0,"Missing in Data2","Present")</f>
        <v>Missing in Data2</v>
      </c>
    </row>
    <row r="756" spans="1:5" x14ac:dyDescent="0.25">
      <c r="A756" s="2" t="s">
        <v>994</v>
      </c>
      <c r="B756" s="2" t="s">
        <v>891</v>
      </c>
      <c r="C756" s="2">
        <v>7</v>
      </c>
      <c r="D756" t="str">
        <f t="shared" si="11"/>
        <v>CA-2014-131800_OFF-BI-10003429</v>
      </c>
      <c r="E756" t="str">
        <f>IF(COUNTIF(data2!$D:$D,D756)=0,"Missing in Data2","Present")</f>
        <v>Present</v>
      </c>
    </row>
    <row r="757" spans="1:5" x14ac:dyDescent="0.25">
      <c r="A757" s="2" t="s">
        <v>996</v>
      </c>
      <c r="B757" s="2" t="s">
        <v>997</v>
      </c>
      <c r="C757" s="2">
        <v>4</v>
      </c>
      <c r="D757" t="str">
        <f t="shared" si="11"/>
        <v>CA-2014-131905_OFF-LA-10002787</v>
      </c>
      <c r="E757" t="str">
        <f>IF(COUNTIF(data2!$D:$D,D757)=0,"Missing in Data2","Present")</f>
        <v>Present</v>
      </c>
    </row>
    <row r="758" spans="1:5" x14ac:dyDescent="0.25">
      <c r="A758" s="2" t="s">
        <v>996</v>
      </c>
      <c r="B758" s="2" t="s">
        <v>998</v>
      </c>
      <c r="C758" s="2">
        <v>1</v>
      </c>
      <c r="D758" t="str">
        <f t="shared" si="11"/>
        <v>CA-2014-131905_TEC-PH-10003645</v>
      </c>
      <c r="E758" t="str">
        <f>IF(COUNTIF(data2!$D:$D,D758)=0,"Missing in Data2","Present")</f>
        <v>Present</v>
      </c>
    </row>
    <row r="759" spans="1:5" x14ac:dyDescent="0.25">
      <c r="A759" s="2" t="s">
        <v>999</v>
      </c>
      <c r="B759" s="2" t="s">
        <v>181</v>
      </c>
      <c r="C759" s="2">
        <v>7</v>
      </c>
      <c r="D759" t="str">
        <f t="shared" si="11"/>
        <v>CA-2014-131926_FUR-CH-10004063</v>
      </c>
      <c r="E759" t="str">
        <f>IF(COUNTIF(data2!$D:$D,D759)=0,"Missing in Data2","Present")</f>
        <v>Present</v>
      </c>
    </row>
    <row r="760" spans="1:5" x14ac:dyDescent="0.25">
      <c r="A760" s="2" t="s">
        <v>999</v>
      </c>
      <c r="B760" s="2" t="s">
        <v>1000</v>
      </c>
      <c r="C760" s="2">
        <v>5</v>
      </c>
      <c r="D760" t="str">
        <f t="shared" si="11"/>
        <v>CA-2014-131926_OFF-AP-10002945</v>
      </c>
      <c r="E760" t="str">
        <f>IF(COUNTIF(data2!$D:$D,D760)=0,"Missing in Data2","Present")</f>
        <v>Present</v>
      </c>
    </row>
    <row r="761" spans="1:5" x14ac:dyDescent="0.25">
      <c r="A761" s="2" t="s">
        <v>999</v>
      </c>
      <c r="B761" s="2" t="s">
        <v>1001</v>
      </c>
      <c r="C761" s="2">
        <v>4</v>
      </c>
      <c r="D761" t="str">
        <f t="shared" si="11"/>
        <v>CA-2014-131926_OFF-PA-10000061</v>
      </c>
      <c r="E761" t="str">
        <f>IF(COUNTIF(data2!$D:$D,D761)=0,"Missing in Data2","Present")</f>
        <v>Present</v>
      </c>
    </row>
    <row r="762" spans="1:5" x14ac:dyDescent="0.25">
      <c r="A762" s="2" t="s">
        <v>999</v>
      </c>
      <c r="B762" s="2" t="s">
        <v>25</v>
      </c>
      <c r="C762" s="2">
        <v>6</v>
      </c>
      <c r="D762" t="str">
        <f t="shared" si="11"/>
        <v>CA-2014-131926_OFF-PA-10004082</v>
      </c>
      <c r="E762" t="str">
        <f>IF(COUNTIF(data2!$D:$D,D762)=0,"Missing in Data2","Present")</f>
        <v>Present</v>
      </c>
    </row>
    <row r="763" spans="1:5" x14ac:dyDescent="0.25">
      <c r="A763" s="2" t="s">
        <v>999</v>
      </c>
      <c r="B763" s="2" t="s">
        <v>1002</v>
      </c>
      <c r="C763" s="2">
        <v>2</v>
      </c>
      <c r="D763" t="str">
        <f t="shared" si="11"/>
        <v>CA-2014-131926_OFF-ST-10002276</v>
      </c>
      <c r="E763" t="str">
        <f>IF(COUNTIF(data2!$D:$D,D763)=0,"Missing in Data2","Present")</f>
        <v>Present</v>
      </c>
    </row>
    <row r="764" spans="1:5" x14ac:dyDescent="0.25">
      <c r="A764" s="2" t="s">
        <v>1003</v>
      </c>
      <c r="B764" s="2" t="s">
        <v>1004</v>
      </c>
      <c r="C764" s="2">
        <v>3</v>
      </c>
      <c r="D764" t="str">
        <f t="shared" si="11"/>
        <v>CA-2014-131947_OFF-AR-10000411</v>
      </c>
      <c r="E764" t="str">
        <f>IF(COUNTIF(data2!$D:$D,D764)=0,"Missing in Data2","Present")</f>
        <v>Present</v>
      </c>
    </row>
    <row r="765" spans="1:5" x14ac:dyDescent="0.25">
      <c r="A765" s="2" t="s">
        <v>1003</v>
      </c>
      <c r="B765" s="2" t="s">
        <v>1005</v>
      </c>
      <c r="C765" s="2">
        <v>2</v>
      </c>
      <c r="D765" t="str">
        <f t="shared" si="11"/>
        <v>CA-2014-131947_OFF-AR-10001473</v>
      </c>
      <c r="E765" t="str">
        <f>IF(COUNTIF(data2!$D:$D,D765)=0,"Missing in Data2","Present")</f>
        <v>Present</v>
      </c>
    </row>
    <row r="766" spans="1:5" x14ac:dyDescent="0.25">
      <c r="A766" s="2" t="s">
        <v>1003</v>
      </c>
      <c r="B766" s="2" t="s">
        <v>503</v>
      </c>
      <c r="C766" s="2">
        <v>5</v>
      </c>
      <c r="D766" t="str">
        <f t="shared" si="11"/>
        <v>CA-2014-131947_OFF-PA-10000246</v>
      </c>
      <c r="E766" t="str">
        <f>IF(COUNTIF(data2!$D:$D,D766)=0,"Missing in Data2","Present")</f>
        <v>Present</v>
      </c>
    </row>
    <row r="767" spans="1:5" x14ac:dyDescent="0.25">
      <c r="A767" s="2" t="s">
        <v>1003</v>
      </c>
      <c r="B767" s="2" t="s">
        <v>1006</v>
      </c>
      <c r="C767" s="2">
        <v>6</v>
      </c>
      <c r="D767" t="str">
        <f t="shared" si="11"/>
        <v>CA-2014-131947_OFF-PA-10003039</v>
      </c>
      <c r="E767" t="str">
        <f>IF(COUNTIF(data2!$D:$D,D767)=0,"Missing in Data2","Present")</f>
        <v>Present</v>
      </c>
    </row>
    <row r="768" spans="1:5" x14ac:dyDescent="0.25">
      <c r="A768" s="2" t="s">
        <v>1003</v>
      </c>
      <c r="B768" s="2" t="s">
        <v>1007</v>
      </c>
      <c r="C768" s="2">
        <v>10</v>
      </c>
      <c r="D768" t="str">
        <f t="shared" si="11"/>
        <v>CA-2014-131947_TEC-AC-10004633</v>
      </c>
      <c r="E768" t="str">
        <f>IF(COUNTIF(data2!$D:$D,D768)=0,"Missing in Data2","Present")</f>
        <v>Present</v>
      </c>
    </row>
    <row r="769" spans="1:5" x14ac:dyDescent="0.25">
      <c r="A769" s="2" t="s">
        <v>1003</v>
      </c>
      <c r="B769" s="2" t="s">
        <v>1008</v>
      </c>
      <c r="C769" s="2">
        <v>5</v>
      </c>
      <c r="D769" t="str">
        <f t="shared" si="11"/>
        <v>CA-2014-131947_TEC-MA-10004086</v>
      </c>
      <c r="E769" t="str">
        <f>IF(COUNTIF(data2!$D:$D,D769)=0,"Missing in Data2","Present")</f>
        <v>Present</v>
      </c>
    </row>
    <row r="770" spans="1:5" x14ac:dyDescent="0.25">
      <c r="A770" s="2" t="s">
        <v>1009</v>
      </c>
      <c r="B770" s="2" t="s">
        <v>1010</v>
      </c>
      <c r="C770" s="2">
        <v>5</v>
      </c>
      <c r="D770" t="str">
        <f t="shared" si="11"/>
        <v>CA-2014-132010_OFF-EN-10003160</v>
      </c>
      <c r="E770" t="str">
        <f>IF(COUNTIF(data2!$D:$D,D770)=0,"Missing in Data2","Present")</f>
        <v>Present</v>
      </c>
    </row>
    <row r="771" spans="1:5" x14ac:dyDescent="0.25">
      <c r="A771" s="2" t="s">
        <v>1009</v>
      </c>
      <c r="B771" s="2" t="s">
        <v>1011</v>
      </c>
      <c r="C771" s="2">
        <v>4</v>
      </c>
      <c r="D771" t="str">
        <f t="shared" ref="D771:D834" si="12">A771&amp;"_"&amp;B771</f>
        <v>CA-2014-132010_OFF-ST-10003641</v>
      </c>
      <c r="E771" t="str">
        <f>IF(COUNTIF(data2!$D:$D,D771)=0,"Missing in Data2","Present")</f>
        <v>Present</v>
      </c>
    </row>
    <row r="772" spans="1:5" x14ac:dyDescent="0.25">
      <c r="A772" s="2" t="s">
        <v>1009</v>
      </c>
      <c r="B772" s="2" t="s">
        <v>1012</v>
      </c>
      <c r="C772" s="2">
        <v>2</v>
      </c>
      <c r="D772" t="str">
        <f t="shared" si="12"/>
        <v>CA-2014-132010_TEC-AC-10001542</v>
      </c>
      <c r="E772" t="str">
        <f>IF(COUNTIF(data2!$D:$D,D772)=0,"Missing in Data2","Present")</f>
        <v>Present</v>
      </c>
    </row>
    <row r="773" spans="1:5" x14ac:dyDescent="0.25">
      <c r="A773" s="2" t="s">
        <v>1013</v>
      </c>
      <c r="B773" s="2" t="s">
        <v>1014</v>
      </c>
      <c r="C773" s="2">
        <v>4</v>
      </c>
      <c r="D773" t="str">
        <f t="shared" si="12"/>
        <v>CA-2014-132227_OFF-BI-10000962</v>
      </c>
      <c r="E773" t="str">
        <f>IF(COUNTIF(data2!$D:$D,D773)=0,"Missing in Data2","Present")</f>
        <v>Present</v>
      </c>
    </row>
    <row r="774" spans="1:5" x14ac:dyDescent="0.25">
      <c r="A774" s="2" t="s">
        <v>1015</v>
      </c>
      <c r="B774" s="2" t="s">
        <v>297</v>
      </c>
      <c r="C774" s="2">
        <v>3</v>
      </c>
      <c r="D774" t="str">
        <f t="shared" si="12"/>
        <v>CA-2014-132451_FUR-CH-10000454</v>
      </c>
      <c r="E774" t="str">
        <f>IF(COUNTIF(data2!$D:$D,D774)=0,"Missing in Data2","Present")</f>
        <v>Present</v>
      </c>
    </row>
    <row r="775" spans="1:5" x14ac:dyDescent="0.25">
      <c r="A775" s="2" t="s">
        <v>1015</v>
      </c>
      <c r="B775" s="2" t="s">
        <v>581</v>
      </c>
      <c r="C775" s="2">
        <v>3</v>
      </c>
      <c r="D775" t="str">
        <f t="shared" si="12"/>
        <v>CA-2014-132451_OFF-PA-10004888</v>
      </c>
      <c r="E775" t="str">
        <f>IF(COUNTIF(data2!$D:$D,D775)=0,"Missing in Data2","Present")</f>
        <v>Present</v>
      </c>
    </row>
    <row r="776" spans="1:5" x14ac:dyDescent="0.25">
      <c r="A776" s="2" t="s">
        <v>1016</v>
      </c>
      <c r="B776" s="2" t="s">
        <v>1017</v>
      </c>
      <c r="C776" s="2">
        <v>2</v>
      </c>
      <c r="D776" t="str">
        <f t="shared" si="12"/>
        <v>CA-2014-132500_TEC-AC-10001383</v>
      </c>
      <c r="E776" t="str">
        <f>IF(COUNTIF(data2!$D:$D,D776)=0,"Missing in Data2","Present")</f>
        <v>Present</v>
      </c>
    </row>
    <row r="777" spans="1:5" x14ac:dyDescent="0.25">
      <c r="A777" s="2" t="s">
        <v>1018</v>
      </c>
      <c r="B777" s="2" t="s">
        <v>1019</v>
      </c>
      <c r="C777" s="2">
        <v>2</v>
      </c>
      <c r="D777" t="str">
        <f t="shared" si="12"/>
        <v>CA-2014-132542_OFF-BI-10004099</v>
      </c>
      <c r="E777" t="str">
        <f>IF(COUNTIF(data2!$D:$D,D777)=0,"Missing in Data2","Present")</f>
        <v>Present</v>
      </c>
    </row>
    <row r="778" spans="1:5" x14ac:dyDescent="0.25">
      <c r="A778" s="2" t="s">
        <v>1020</v>
      </c>
      <c r="B778" s="2" t="s">
        <v>1021</v>
      </c>
      <c r="C778" s="2">
        <v>7</v>
      </c>
      <c r="D778" t="str">
        <f t="shared" si="12"/>
        <v>CA-2014-132612_FUR-TA-10004534</v>
      </c>
      <c r="E778" t="str">
        <f>IF(COUNTIF(data2!$D:$D,D778)=0,"Missing in Data2","Present")</f>
        <v>Present</v>
      </c>
    </row>
    <row r="779" spans="1:5" x14ac:dyDescent="0.25">
      <c r="A779" s="2" t="s">
        <v>1022</v>
      </c>
      <c r="B779" s="2" t="s">
        <v>269</v>
      </c>
      <c r="C779" s="2">
        <v>6</v>
      </c>
      <c r="D779" t="str">
        <f t="shared" si="12"/>
        <v>CA-2014-132787_OFF-ST-10001321</v>
      </c>
      <c r="E779" t="str">
        <f>IF(COUNTIF(data2!$D:$D,D779)=0,"Missing in Data2","Present")</f>
        <v>Present</v>
      </c>
    </row>
    <row r="780" spans="1:5" x14ac:dyDescent="0.25">
      <c r="A780" s="2" t="s">
        <v>1023</v>
      </c>
      <c r="B780" s="2" t="s">
        <v>1024</v>
      </c>
      <c r="C780" s="2">
        <v>10</v>
      </c>
      <c r="D780" t="str">
        <f t="shared" si="12"/>
        <v>CA-2014-132801_OFF-ST-10001228</v>
      </c>
      <c r="E780" t="str">
        <f>IF(COUNTIF(data2!$D:$D,D780)=0,"Missing in Data2","Present")</f>
        <v>Present</v>
      </c>
    </row>
    <row r="781" spans="1:5" x14ac:dyDescent="0.25">
      <c r="A781" s="2" t="s">
        <v>1025</v>
      </c>
      <c r="B781" s="2" t="s">
        <v>261</v>
      </c>
      <c r="C781" s="2">
        <v>5</v>
      </c>
      <c r="D781" t="str">
        <f t="shared" si="12"/>
        <v>CA-2014-132864_TEC-AC-10001267</v>
      </c>
      <c r="E781" t="str">
        <f>IF(COUNTIF(data2!$D:$D,D781)=0,"Missing in Data2","Present")</f>
        <v>Present</v>
      </c>
    </row>
    <row r="782" spans="1:5" x14ac:dyDescent="0.25">
      <c r="A782" s="2" t="s">
        <v>1026</v>
      </c>
      <c r="B782" s="2" t="s">
        <v>1027</v>
      </c>
      <c r="C782" s="2">
        <v>1</v>
      </c>
      <c r="D782" t="str">
        <f t="shared" si="12"/>
        <v>CA-2014-132913_OFF-AP-10003278</v>
      </c>
      <c r="E782" t="str">
        <f>IF(COUNTIF(data2!$D:$D,D782)=0,"Missing in Data2","Present")</f>
        <v>Missing in Data2</v>
      </c>
    </row>
    <row r="783" spans="1:5" x14ac:dyDescent="0.25">
      <c r="A783" s="2" t="s">
        <v>1028</v>
      </c>
      <c r="B783" s="2" t="s">
        <v>1029</v>
      </c>
      <c r="C783" s="2">
        <v>3</v>
      </c>
      <c r="D783" t="str">
        <f t="shared" si="12"/>
        <v>CA-2014-132962_OFF-PA-10003543</v>
      </c>
      <c r="E783" t="str">
        <f>IF(COUNTIF(data2!$D:$D,D783)=0,"Missing in Data2","Present")</f>
        <v>Present</v>
      </c>
    </row>
    <row r="784" spans="1:5" x14ac:dyDescent="0.25">
      <c r="A784" s="2" t="s">
        <v>1028</v>
      </c>
      <c r="B784" s="2" t="s">
        <v>409</v>
      </c>
      <c r="C784" s="2">
        <v>5</v>
      </c>
      <c r="D784" t="str">
        <f t="shared" si="12"/>
        <v>CA-2014-132962_TEC-AC-10004353</v>
      </c>
      <c r="E784" t="str">
        <f>IF(COUNTIF(data2!$D:$D,D784)=0,"Missing in Data2","Present")</f>
        <v>Present</v>
      </c>
    </row>
    <row r="785" spans="1:5" x14ac:dyDescent="0.25">
      <c r="A785" s="2" t="s">
        <v>1030</v>
      </c>
      <c r="B785" s="2" t="s">
        <v>440</v>
      </c>
      <c r="C785" s="2">
        <v>2</v>
      </c>
      <c r="D785" t="str">
        <f t="shared" si="12"/>
        <v>CA-2014-132983_TEC-AC-10000736</v>
      </c>
      <c r="E785" t="str">
        <f>IF(COUNTIF(data2!$D:$D,D785)=0,"Missing in Data2","Present")</f>
        <v>Present</v>
      </c>
    </row>
    <row r="786" spans="1:5" x14ac:dyDescent="0.25">
      <c r="A786" s="2" t="s">
        <v>1031</v>
      </c>
      <c r="B786" s="2" t="s">
        <v>160</v>
      </c>
      <c r="C786" s="2">
        <v>7</v>
      </c>
      <c r="D786" t="str">
        <f t="shared" si="12"/>
        <v>CA-2014-133158_FUR-FU-10000723</v>
      </c>
      <c r="E786" t="str">
        <f>IF(COUNTIF(data2!$D:$D,D786)=0,"Missing in Data2","Present")</f>
        <v>Present</v>
      </c>
    </row>
    <row r="787" spans="1:5" x14ac:dyDescent="0.25">
      <c r="A787" s="2" t="s">
        <v>1031</v>
      </c>
      <c r="B787" s="2" t="s">
        <v>740</v>
      </c>
      <c r="C787" s="2">
        <v>2</v>
      </c>
      <c r="D787" t="str">
        <f t="shared" si="12"/>
        <v>CA-2014-133158_OFF-BI-10000632</v>
      </c>
      <c r="E787" t="str">
        <f>IF(COUNTIF(data2!$D:$D,D787)=0,"Missing in Data2","Present")</f>
        <v>Present</v>
      </c>
    </row>
    <row r="788" spans="1:5" x14ac:dyDescent="0.25">
      <c r="A788" s="2" t="s">
        <v>1032</v>
      </c>
      <c r="B788" s="2" t="s">
        <v>1033</v>
      </c>
      <c r="C788" s="2">
        <v>1</v>
      </c>
      <c r="D788" t="str">
        <f t="shared" si="12"/>
        <v>CA-2014-133228_FUR-FU-10004020</v>
      </c>
      <c r="E788" t="str">
        <f>IF(COUNTIF(data2!$D:$D,D788)=0,"Missing in Data2","Present")</f>
        <v>Present</v>
      </c>
    </row>
    <row r="789" spans="1:5" x14ac:dyDescent="0.25">
      <c r="A789" s="2" t="s">
        <v>1032</v>
      </c>
      <c r="B789" s="2" t="s">
        <v>1034</v>
      </c>
      <c r="C789" s="2">
        <v>4</v>
      </c>
      <c r="D789" t="str">
        <f t="shared" si="12"/>
        <v>CA-2014-133228_OFF-AR-10001955</v>
      </c>
      <c r="E789" t="str">
        <f>IF(COUNTIF(data2!$D:$D,D789)=0,"Missing in Data2","Present")</f>
        <v>Present</v>
      </c>
    </row>
    <row r="790" spans="1:5" x14ac:dyDescent="0.25">
      <c r="A790" s="2" t="s">
        <v>1035</v>
      </c>
      <c r="B790" s="2" t="s">
        <v>1036</v>
      </c>
      <c r="C790" s="2">
        <v>2</v>
      </c>
      <c r="D790" t="str">
        <f t="shared" si="12"/>
        <v>CA-2014-133270_OFF-AR-10002656</v>
      </c>
      <c r="E790" t="str">
        <f>IF(COUNTIF(data2!$D:$D,D790)=0,"Missing in Data2","Present")</f>
        <v>Missing in Data2</v>
      </c>
    </row>
    <row r="791" spans="1:5" x14ac:dyDescent="0.25">
      <c r="A791" s="2" t="s">
        <v>1037</v>
      </c>
      <c r="B791" s="2" t="s">
        <v>1038</v>
      </c>
      <c r="C791" s="2">
        <v>5</v>
      </c>
      <c r="D791" t="str">
        <f t="shared" si="12"/>
        <v>CA-2014-133305_OFF-BI-10002954</v>
      </c>
      <c r="E791" t="str">
        <f>IF(COUNTIF(data2!$D:$D,D791)=0,"Missing in Data2","Present")</f>
        <v>Present</v>
      </c>
    </row>
    <row r="792" spans="1:5" x14ac:dyDescent="0.25">
      <c r="A792" s="2" t="s">
        <v>1037</v>
      </c>
      <c r="B792" s="2" t="s">
        <v>1039</v>
      </c>
      <c r="C792" s="2">
        <v>4</v>
      </c>
      <c r="D792" t="str">
        <f t="shared" si="12"/>
        <v>CA-2014-133305_OFF-PA-10001970</v>
      </c>
      <c r="E792" t="str">
        <f>IF(COUNTIF(data2!$D:$D,D792)=0,"Missing in Data2","Present")</f>
        <v>Present</v>
      </c>
    </row>
    <row r="793" spans="1:5" x14ac:dyDescent="0.25">
      <c r="A793" s="2" t="s">
        <v>1040</v>
      </c>
      <c r="B793" s="2" t="s">
        <v>854</v>
      </c>
      <c r="C793" s="2">
        <v>3</v>
      </c>
      <c r="D793" t="str">
        <f t="shared" si="12"/>
        <v>CA-2014-133354_OFF-PA-10001800</v>
      </c>
      <c r="E793" t="str">
        <f>IF(COUNTIF(data2!$D:$D,D793)=0,"Missing in Data2","Present")</f>
        <v>Present</v>
      </c>
    </row>
    <row r="794" spans="1:5" x14ac:dyDescent="0.25">
      <c r="A794" s="2" t="s">
        <v>1041</v>
      </c>
      <c r="B794" s="2" t="s">
        <v>1042</v>
      </c>
      <c r="C794" s="2">
        <v>3</v>
      </c>
      <c r="D794" t="str">
        <f t="shared" si="12"/>
        <v>CA-2014-133389_OFF-BI-10001553</v>
      </c>
      <c r="E794" t="str">
        <f>IF(COUNTIF(data2!$D:$D,D794)=0,"Missing in Data2","Present")</f>
        <v>Present</v>
      </c>
    </row>
    <row r="795" spans="1:5" x14ac:dyDescent="0.25">
      <c r="A795" s="2" t="s">
        <v>1043</v>
      </c>
      <c r="B795" s="2" t="s">
        <v>1044</v>
      </c>
      <c r="C795" s="2">
        <v>3</v>
      </c>
      <c r="D795" t="str">
        <f t="shared" si="12"/>
        <v>CA-2014-133424_OFF-LA-10002312</v>
      </c>
      <c r="E795" t="str">
        <f>IF(COUNTIF(data2!$D:$D,D795)=0,"Missing in Data2","Present")</f>
        <v>Present</v>
      </c>
    </row>
    <row r="796" spans="1:5" x14ac:dyDescent="0.25">
      <c r="A796" s="2" t="s">
        <v>1043</v>
      </c>
      <c r="B796" s="2" t="s">
        <v>1045</v>
      </c>
      <c r="C796" s="2">
        <v>3</v>
      </c>
      <c r="D796" t="str">
        <f t="shared" si="12"/>
        <v>CA-2014-133424_OFF-ST-10002957</v>
      </c>
      <c r="E796" t="str">
        <f>IF(COUNTIF(data2!$D:$D,D796)=0,"Missing in Data2","Present")</f>
        <v>Present</v>
      </c>
    </row>
    <row r="797" spans="1:5" x14ac:dyDescent="0.25">
      <c r="A797" s="2" t="s">
        <v>1046</v>
      </c>
      <c r="B797" s="2" t="s">
        <v>1047</v>
      </c>
      <c r="C797" s="2">
        <v>4</v>
      </c>
      <c r="D797" t="str">
        <f t="shared" si="12"/>
        <v>CA-2014-133543_OFF-AR-10003394</v>
      </c>
      <c r="E797" t="str">
        <f>IF(COUNTIF(data2!$D:$D,D797)=0,"Missing in Data2","Present")</f>
        <v>Present</v>
      </c>
    </row>
    <row r="798" spans="1:5" x14ac:dyDescent="0.25">
      <c r="A798" s="2" t="s">
        <v>1048</v>
      </c>
      <c r="B798" s="2" t="s">
        <v>1049</v>
      </c>
      <c r="C798" s="2">
        <v>2</v>
      </c>
      <c r="D798" t="str">
        <f t="shared" si="12"/>
        <v>CA-2014-133592_FUR-BO-10000362</v>
      </c>
      <c r="E798" t="str">
        <f>IF(COUNTIF(data2!$D:$D,D798)=0,"Missing in Data2","Present")</f>
        <v>Present</v>
      </c>
    </row>
    <row r="799" spans="1:5" x14ac:dyDescent="0.25">
      <c r="A799" s="2" t="s">
        <v>1048</v>
      </c>
      <c r="B799" s="2" t="s">
        <v>1050</v>
      </c>
      <c r="C799" s="2">
        <v>6</v>
      </c>
      <c r="D799" t="str">
        <f t="shared" si="12"/>
        <v>CA-2014-133592_FUR-CH-10004218</v>
      </c>
      <c r="E799" t="str">
        <f>IF(COUNTIF(data2!$D:$D,D799)=0,"Missing in Data2","Present")</f>
        <v>Present</v>
      </c>
    </row>
    <row r="800" spans="1:5" x14ac:dyDescent="0.25">
      <c r="A800" s="2" t="s">
        <v>1048</v>
      </c>
      <c r="B800" s="2" t="s">
        <v>1051</v>
      </c>
      <c r="C800" s="2">
        <v>3</v>
      </c>
      <c r="D800" t="str">
        <f t="shared" si="12"/>
        <v>CA-2014-133592_OFF-PA-10002586</v>
      </c>
      <c r="E800" t="str">
        <f>IF(COUNTIF(data2!$D:$D,D800)=0,"Missing in Data2","Present")</f>
        <v>Present</v>
      </c>
    </row>
    <row r="801" spans="1:5" x14ac:dyDescent="0.25">
      <c r="A801" s="2" t="s">
        <v>1048</v>
      </c>
      <c r="B801" s="2" t="s">
        <v>1052</v>
      </c>
      <c r="C801" s="2">
        <v>4</v>
      </c>
      <c r="D801" t="str">
        <f t="shared" si="12"/>
        <v>CA-2014-133592_OFF-PA-10003228</v>
      </c>
      <c r="E801" t="str">
        <f>IF(COUNTIF(data2!$D:$D,D801)=0,"Missing in Data2","Present")</f>
        <v>Present</v>
      </c>
    </row>
    <row r="802" spans="1:5" x14ac:dyDescent="0.25">
      <c r="A802" s="2" t="s">
        <v>1048</v>
      </c>
      <c r="B802" s="2" t="s">
        <v>1053</v>
      </c>
      <c r="C802" s="2">
        <v>4</v>
      </c>
      <c r="D802" t="str">
        <f t="shared" si="12"/>
        <v>CA-2014-133592_TEC-AC-10002049</v>
      </c>
      <c r="E802" t="str">
        <f>IF(COUNTIF(data2!$D:$D,D802)=0,"Missing in Data2","Present")</f>
        <v>Present</v>
      </c>
    </row>
    <row r="803" spans="1:5" x14ac:dyDescent="0.25">
      <c r="A803" s="2" t="s">
        <v>1054</v>
      </c>
      <c r="B803" s="2" t="s">
        <v>1055</v>
      </c>
      <c r="C803" s="2">
        <v>3</v>
      </c>
      <c r="D803" t="str">
        <f t="shared" si="12"/>
        <v>CA-2014-133634_TEC-AC-10002550</v>
      </c>
      <c r="E803" t="str">
        <f>IF(COUNTIF(data2!$D:$D,D803)=0,"Missing in Data2","Present")</f>
        <v>Present</v>
      </c>
    </row>
    <row r="804" spans="1:5" x14ac:dyDescent="0.25">
      <c r="A804" s="2" t="s">
        <v>1056</v>
      </c>
      <c r="B804" s="2" t="s">
        <v>1057</v>
      </c>
      <c r="C804" s="2">
        <v>2</v>
      </c>
      <c r="D804" t="str">
        <f t="shared" si="12"/>
        <v>CA-2014-133690_FUR-TA-10004289</v>
      </c>
      <c r="E804" t="str">
        <f>IF(COUNTIF(data2!$D:$D,D804)=0,"Missing in Data2","Present")</f>
        <v>Present</v>
      </c>
    </row>
    <row r="805" spans="1:5" x14ac:dyDescent="0.25">
      <c r="A805" s="2" t="s">
        <v>1056</v>
      </c>
      <c r="B805" s="2" t="s">
        <v>1058</v>
      </c>
      <c r="C805" s="2">
        <v>1</v>
      </c>
      <c r="D805" t="str">
        <f t="shared" si="12"/>
        <v>CA-2014-133690_OFF-AP-10003622</v>
      </c>
      <c r="E805" t="str">
        <f>IF(COUNTIF(data2!$D:$D,D805)=0,"Missing in Data2","Present")</f>
        <v>Present</v>
      </c>
    </row>
    <row r="806" spans="1:5" x14ac:dyDescent="0.25">
      <c r="A806" s="2" t="s">
        <v>1059</v>
      </c>
      <c r="B806" s="2" t="s">
        <v>1060</v>
      </c>
      <c r="C806" s="2">
        <v>4</v>
      </c>
      <c r="D806" t="str">
        <f t="shared" si="12"/>
        <v>CA-2014-133704_OFF-AP-10001366</v>
      </c>
      <c r="E806" t="str">
        <f>IF(COUNTIF(data2!$D:$D,D806)=0,"Missing in Data2","Present")</f>
        <v>Present</v>
      </c>
    </row>
    <row r="807" spans="1:5" x14ac:dyDescent="0.25">
      <c r="A807" s="2" t="s">
        <v>1059</v>
      </c>
      <c r="B807" s="2" t="s">
        <v>951</v>
      </c>
      <c r="C807" s="2">
        <v>3</v>
      </c>
      <c r="D807" t="str">
        <f t="shared" si="12"/>
        <v>CA-2014-133704_OFF-BI-10001636</v>
      </c>
      <c r="E807" t="str">
        <f>IF(COUNTIF(data2!$D:$D,D807)=0,"Missing in Data2","Present")</f>
        <v>Present</v>
      </c>
    </row>
    <row r="808" spans="1:5" x14ac:dyDescent="0.25">
      <c r="A808" s="2" t="s">
        <v>1061</v>
      </c>
      <c r="B808" s="2" t="s">
        <v>1062</v>
      </c>
      <c r="C808" s="2">
        <v>2</v>
      </c>
      <c r="D808" t="str">
        <f t="shared" si="12"/>
        <v>CA-2014-133753_OFF-AR-10001953</v>
      </c>
      <c r="E808" t="str">
        <f>IF(COUNTIF(data2!$D:$D,D808)=0,"Missing in Data2","Present")</f>
        <v>Present</v>
      </c>
    </row>
    <row r="809" spans="1:5" x14ac:dyDescent="0.25">
      <c r="A809" s="2" t="s">
        <v>1061</v>
      </c>
      <c r="B809" s="2" t="s">
        <v>1063</v>
      </c>
      <c r="C809" s="2">
        <v>2</v>
      </c>
      <c r="D809" t="str">
        <f t="shared" si="12"/>
        <v>CA-2014-133753_TEC-AC-10000303</v>
      </c>
      <c r="E809" t="str">
        <f>IF(COUNTIF(data2!$D:$D,D809)=0,"Missing in Data2","Present")</f>
        <v>Present</v>
      </c>
    </row>
    <row r="810" spans="1:5" x14ac:dyDescent="0.25">
      <c r="A810" s="2" t="s">
        <v>1061</v>
      </c>
      <c r="B810" s="2" t="s">
        <v>614</v>
      </c>
      <c r="C810" s="2">
        <v>1</v>
      </c>
      <c r="D810" t="str">
        <f t="shared" si="12"/>
        <v>CA-2014-133753_TEC-PH-10000376</v>
      </c>
      <c r="E810" t="str">
        <f>IF(COUNTIF(data2!$D:$D,D810)=0,"Missing in Data2","Present")</f>
        <v>Present</v>
      </c>
    </row>
    <row r="811" spans="1:5" x14ac:dyDescent="0.25">
      <c r="A811" s="2" t="s">
        <v>1064</v>
      </c>
      <c r="B811" s="2" t="s">
        <v>1065</v>
      </c>
      <c r="C811" s="2">
        <v>8</v>
      </c>
      <c r="D811" t="str">
        <f t="shared" si="12"/>
        <v>CA-2014-133809_OFF-BI-10001757</v>
      </c>
      <c r="E811" t="str">
        <f>IF(COUNTIF(data2!$D:$D,D811)=0,"Missing in Data2","Present")</f>
        <v>Present</v>
      </c>
    </row>
    <row r="812" spans="1:5" x14ac:dyDescent="0.25">
      <c r="A812" s="2" t="s">
        <v>1064</v>
      </c>
      <c r="B812" s="2" t="s">
        <v>1066</v>
      </c>
      <c r="C812" s="2">
        <v>2</v>
      </c>
      <c r="D812" t="str">
        <f t="shared" si="12"/>
        <v>CA-2014-133809_TEC-PH-10004875</v>
      </c>
      <c r="E812" t="str">
        <f>IF(COUNTIF(data2!$D:$D,D812)=0,"Missing in Data2","Present")</f>
        <v>Present</v>
      </c>
    </row>
    <row r="813" spans="1:5" x14ac:dyDescent="0.25">
      <c r="A813" s="2" t="s">
        <v>1067</v>
      </c>
      <c r="B813" s="2" t="s">
        <v>298</v>
      </c>
      <c r="C813" s="2">
        <v>9</v>
      </c>
      <c r="D813" t="str">
        <f t="shared" si="12"/>
        <v>CA-2014-133830_OFF-AR-10003045</v>
      </c>
      <c r="E813" t="str">
        <f>IF(COUNTIF(data2!$D:$D,D813)=0,"Missing in Data2","Present")</f>
        <v>Present</v>
      </c>
    </row>
    <row r="814" spans="1:5" x14ac:dyDescent="0.25">
      <c r="A814" s="2" t="s">
        <v>1067</v>
      </c>
      <c r="B814" s="2" t="s">
        <v>913</v>
      </c>
      <c r="C814" s="2">
        <v>3</v>
      </c>
      <c r="D814" t="str">
        <f t="shared" si="12"/>
        <v>CA-2014-133830_OFF-FA-10002280</v>
      </c>
      <c r="E814" t="str">
        <f>IF(COUNTIF(data2!$D:$D,D814)=0,"Missing in Data2","Present")</f>
        <v>Present</v>
      </c>
    </row>
    <row r="815" spans="1:5" x14ac:dyDescent="0.25">
      <c r="A815" s="2" t="s">
        <v>1067</v>
      </c>
      <c r="B815" s="2" t="s">
        <v>60</v>
      </c>
      <c r="C815" s="2">
        <v>4</v>
      </c>
      <c r="D815" t="str">
        <f t="shared" si="12"/>
        <v>CA-2014-133830_OFF-PA-10001363</v>
      </c>
      <c r="E815" t="str">
        <f>IF(COUNTIF(data2!$D:$D,D815)=0,"Missing in Data2","Present")</f>
        <v>Present</v>
      </c>
    </row>
    <row r="816" spans="1:5" x14ac:dyDescent="0.25">
      <c r="A816" s="2" t="s">
        <v>1068</v>
      </c>
      <c r="B816" s="2" t="s">
        <v>640</v>
      </c>
      <c r="C816" s="2">
        <v>2</v>
      </c>
      <c r="D816" t="str">
        <f t="shared" si="12"/>
        <v>CA-2014-133851_OFF-AR-10003752</v>
      </c>
      <c r="E816" t="str">
        <f>IF(COUNTIF(data2!$D:$D,D816)=0,"Missing in Data2","Present")</f>
        <v>Present</v>
      </c>
    </row>
    <row r="817" spans="1:5" x14ac:dyDescent="0.25">
      <c r="A817" s="2" t="s">
        <v>1069</v>
      </c>
      <c r="B817" s="2" t="s">
        <v>785</v>
      </c>
      <c r="C817" s="2">
        <v>1</v>
      </c>
      <c r="D817" t="str">
        <f t="shared" si="12"/>
        <v>CA-2014-133963_OFF-PA-10001526</v>
      </c>
      <c r="E817" t="str">
        <f>IF(COUNTIF(data2!$D:$D,D817)=0,"Missing in Data2","Present")</f>
        <v>Present</v>
      </c>
    </row>
    <row r="818" spans="1:5" x14ac:dyDescent="0.25">
      <c r="A818" s="2" t="s">
        <v>1070</v>
      </c>
      <c r="B818" s="2" t="s">
        <v>1071</v>
      </c>
      <c r="C818" s="2">
        <v>2</v>
      </c>
      <c r="D818" t="str">
        <f t="shared" si="12"/>
        <v>CA-2014-134061_FUR-FU-10001424</v>
      </c>
      <c r="E818" t="str">
        <f>IF(COUNTIF(data2!$D:$D,D818)=0,"Missing in Data2","Present")</f>
        <v>Present</v>
      </c>
    </row>
    <row r="819" spans="1:5" x14ac:dyDescent="0.25">
      <c r="A819" s="2" t="s">
        <v>1072</v>
      </c>
      <c r="B819" s="2" t="s">
        <v>1073</v>
      </c>
      <c r="C819" s="2">
        <v>2</v>
      </c>
      <c r="D819" t="str">
        <f t="shared" si="12"/>
        <v>CA-2014-134103_OFF-PA-10001204</v>
      </c>
      <c r="E819" t="str">
        <f>IF(COUNTIF(data2!$D:$D,D819)=0,"Missing in Data2","Present")</f>
        <v>Present</v>
      </c>
    </row>
    <row r="820" spans="1:5" x14ac:dyDescent="0.25">
      <c r="A820" s="2" t="s">
        <v>1072</v>
      </c>
      <c r="B820" s="2" t="s">
        <v>632</v>
      </c>
      <c r="C820" s="2">
        <v>2</v>
      </c>
      <c r="D820" t="str">
        <f t="shared" si="12"/>
        <v>CA-2014-134103_OFF-ST-10000991</v>
      </c>
      <c r="E820" t="str">
        <f>IF(COUNTIF(data2!$D:$D,D820)=0,"Missing in Data2","Present")</f>
        <v>Present</v>
      </c>
    </row>
    <row r="821" spans="1:5" x14ac:dyDescent="0.25">
      <c r="A821" s="2" t="s">
        <v>1074</v>
      </c>
      <c r="B821" s="2" t="s">
        <v>1075</v>
      </c>
      <c r="C821" s="2">
        <v>2</v>
      </c>
      <c r="D821" t="str">
        <f t="shared" si="12"/>
        <v>CA-2014-134215_OFF-AP-10001271</v>
      </c>
      <c r="E821" t="str">
        <f>IF(COUNTIF(data2!$D:$D,D821)=0,"Missing in Data2","Present")</f>
        <v>Present</v>
      </c>
    </row>
    <row r="822" spans="1:5" x14ac:dyDescent="0.25">
      <c r="A822" s="2" t="s">
        <v>1074</v>
      </c>
      <c r="B822" s="2" t="s">
        <v>121</v>
      </c>
      <c r="C822" s="2">
        <v>13</v>
      </c>
      <c r="D822" t="str">
        <f t="shared" si="12"/>
        <v>CA-2014-134215_OFF-PA-10004353</v>
      </c>
      <c r="E822" t="str">
        <f>IF(COUNTIF(data2!$D:$D,D822)=0,"Missing in Data2","Present")</f>
        <v>Present</v>
      </c>
    </row>
    <row r="823" spans="1:5" x14ac:dyDescent="0.25">
      <c r="A823" s="2" t="s">
        <v>1074</v>
      </c>
      <c r="B823" s="2" t="s">
        <v>1076</v>
      </c>
      <c r="C823" s="2">
        <v>9</v>
      </c>
      <c r="D823" t="str">
        <f t="shared" si="12"/>
        <v>CA-2014-134215_TEC-AC-10002473</v>
      </c>
      <c r="E823" t="str">
        <f>IF(COUNTIF(data2!$D:$D,D823)=0,"Missing in Data2","Present")</f>
        <v>Present</v>
      </c>
    </row>
    <row r="824" spans="1:5" x14ac:dyDescent="0.25">
      <c r="A824" s="2" t="s">
        <v>1077</v>
      </c>
      <c r="B824" s="2" t="s">
        <v>1078</v>
      </c>
      <c r="C824" s="2">
        <v>1</v>
      </c>
      <c r="D824" t="str">
        <f t="shared" si="12"/>
        <v>CA-2014-134278_TEC-CO-10001046</v>
      </c>
      <c r="E824" t="str">
        <f>IF(COUNTIF(data2!$D:$D,D824)=0,"Missing in Data2","Present")</f>
        <v>Present</v>
      </c>
    </row>
    <row r="825" spans="1:5" x14ac:dyDescent="0.25">
      <c r="A825" s="2" t="s">
        <v>1079</v>
      </c>
      <c r="B825" s="2" t="s">
        <v>1080</v>
      </c>
      <c r="C825" s="2">
        <v>3</v>
      </c>
      <c r="D825" t="str">
        <f t="shared" si="12"/>
        <v>CA-2014-134313_OFF-AR-10001897</v>
      </c>
      <c r="E825" t="str">
        <f>IF(COUNTIF(data2!$D:$D,D825)=0,"Missing in Data2","Present")</f>
        <v>Present</v>
      </c>
    </row>
    <row r="826" spans="1:5" x14ac:dyDescent="0.25">
      <c r="A826" s="2" t="s">
        <v>1079</v>
      </c>
      <c r="B826" s="2" t="s">
        <v>1081</v>
      </c>
      <c r="C826" s="2">
        <v>4</v>
      </c>
      <c r="D826" t="str">
        <f t="shared" si="12"/>
        <v>CA-2014-134313_TEC-PH-10001795</v>
      </c>
      <c r="E826" t="str">
        <f>IF(COUNTIF(data2!$D:$D,D826)=0,"Missing in Data2","Present")</f>
        <v>Present</v>
      </c>
    </row>
    <row r="827" spans="1:5" x14ac:dyDescent="0.25">
      <c r="A827" s="2" t="s">
        <v>1082</v>
      </c>
      <c r="B827" s="2" t="s">
        <v>1083</v>
      </c>
      <c r="C827" s="2">
        <v>3</v>
      </c>
      <c r="D827" t="str">
        <f t="shared" si="12"/>
        <v>CA-2014-134551_FUR-CH-10004287</v>
      </c>
      <c r="E827" t="str">
        <f>IF(COUNTIF(data2!$D:$D,D827)=0,"Missing in Data2","Present")</f>
        <v>Present</v>
      </c>
    </row>
    <row r="828" spans="1:5" x14ac:dyDescent="0.25">
      <c r="A828" s="2" t="s">
        <v>1082</v>
      </c>
      <c r="B828" s="2" t="s">
        <v>1084</v>
      </c>
      <c r="C828" s="2">
        <v>7</v>
      </c>
      <c r="D828" t="str">
        <f t="shared" si="12"/>
        <v>CA-2014-134551_OFF-AP-10004868</v>
      </c>
      <c r="E828" t="str">
        <f>IF(COUNTIF(data2!$D:$D,D828)=0,"Missing in Data2","Present")</f>
        <v>Present</v>
      </c>
    </row>
    <row r="829" spans="1:5" x14ac:dyDescent="0.25">
      <c r="A829" s="2" t="s">
        <v>1082</v>
      </c>
      <c r="B829" s="2" t="s">
        <v>1085</v>
      </c>
      <c r="C829" s="2">
        <v>5</v>
      </c>
      <c r="D829" t="str">
        <f t="shared" si="12"/>
        <v>CA-2014-134551_OFF-PA-10002689</v>
      </c>
      <c r="E829" t="str">
        <f>IF(COUNTIF(data2!$D:$D,D829)=0,"Missing in Data2","Present")</f>
        <v>Present</v>
      </c>
    </row>
    <row r="830" spans="1:5" x14ac:dyDescent="0.25">
      <c r="A830" s="2" t="s">
        <v>1086</v>
      </c>
      <c r="B830" s="2" t="s">
        <v>697</v>
      </c>
      <c r="C830" s="2">
        <v>2</v>
      </c>
      <c r="D830" t="str">
        <f t="shared" si="12"/>
        <v>CA-2014-134572_FUR-TA-10004442</v>
      </c>
      <c r="E830" t="str">
        <f>IF(COUNTIF(data2!$D:$D,D830)=0,"Missing in Data2","Present")</f>
        <v>Missing in Data2</v>
      </c>
    </row>
    <row r="831" spans="1:5" x14ac:dyDescent="0.25">
      <c r="A831" s="2" t="s">
        <v>1086</v>
      </c>
      <c r="B831" s="2" t="s">
        <v>1087</v>
      </c>
      <c r="C831" s="2">
        <v>5</v>
      </c>
      <c r="D831" t="str">
        <f t="shared" si="12"/>
        <v>CA-2014-134572_OFF-ST-10004634</v>
      </c>
      <c r="E831" t="str">
        <f>IF(COUNTIF(data2!$D:$D,D831)=0,"Missing in Data2","Present")</f>
        <v>Present</v>
      </c>
    </row>
    <row r="832" spans="1:5" x14ac:dyDescent="0.25">
      <c r="A832" s="2" t="s">
        <v>1088</v>
      </c>
      <c r="B832" s="2" t="s">
        <v>859</v>
      </c>
      <c r="C832" s="2">
        <v>2</v>
      </c>
      <c r="D832" t="str">
        <f t="shared" si="12"/>
        <v>CA-2014-134621_OFF-BI-10000977</v>
      </c>
      <c r="E832" t="str">
        <f>IF(COUNTIF(data2!$D:$D,D832)=0,"Missing in Data2","Present")</f>
        <v>Present</v>
      </c>
    </row>
    <row r="833" spans="1:5" x14ac:dyDescent="0.25">
      <c r="A833" s="2" t="s">
        <v>1089</v>
      </c>
      <c r="B833" s="2" t="s">
        <v>1090</v>
      </c>
      <c r="C833" s="2">
        <v>3</v>
      </c>
      <c r="D833" t="str">
        <f t="shared" si="12"/>
        <v>CA-2014-134677_TEC-AC-10001445</v>
      </c>
      <c r="E833" t="str">
        <f>IF(COUNTIF(data2!$D:$D,D833)=0,"Missing in Data2","Present")</f>
        <v>Present</v>
      </c>
    </row>
    <row r="834" spans="1:5" x14ac:dyDescent="0.25">
      <c r="A834" s="2" t="s">
        <v>1091</v>
      </c>
      <c r="B834" s="2" t="s">
        <v>536</v>
      </c>
      <c r="C834" s="2">
        <v>2</v>
      </c>
      <c r="D834" t="str">
        <f t="shared" si="12"/>
        <v>CA-2014-134726_TEC-AC-10000023</v>
      </c>
      <c r="E834" t="str">
        <f>IF(COUNTIF(data2!$D:$D,D834)=0,"Missing in Data2","Present")</f>
        <v>Present</v>
      </c>
    </row>
    <row r="835" spans="1:5" x14ac:dyDescent="0.25">
      <c r="A835" s="2" t="s">
        <v>1091</v>
      </c>
      <c r="B835" s="2" t="s">
        <v>1092</v>
      </c>
      <c r="C835" s="2">
        <v>1</v>
      </c>
      <c r="D835" t="str">
        <f t="shared" ref="D835:D898" si="13">A835&amp;"_"&amp;B835</f>
        <v>CA-2014-134726_TEC-PH-10001750</v>
      </c>
      <c r="E835" t="str">
        <f>IF(COUNTIF(data2!$D:$D,D835)=0,"Missing in Data2","Present")</f>
        <v>Missing in Data2</v>
      </c>
    </row>
    <row r="836" spans="1:5" x14ac:dyDescent="0.25">
      <c r="A836" s="2" t="s">
        <v>1093</v>
      </c>
      <c r="B836" s="2" t="s">
        <v>1094</v>
      </c>
      <c r="C836" s="2">
        <v>9</v>
      </c>
      <c r="D836" t="str">
        <f t="shared" si="13"/>
        <v>CA-2014-135090_OFF-PA-10002245</v>
      </c>
      <c r="E836" t="str">
        <f>IF(COUNTIF(data2!$D:$D,D836)=0,"Missing in Data2","Present")</f>
        <v>Present</v>
      </c>
    </row>
    <row r="837" spans="1:5" x14ac:dyDescent="0.25">
      <c r="A837" s="2" t="s">
        <v>1095</v>
      </c>
      <c r="B837" s="2" t="s">
        <v>1096</v>
      </c>
      <c r="C837" s="2">
        <v>2</v>
      </c>
      <c r="D837" t="str">
        <f t="shared" si="13"/>
        <v>CA-2014-135405_OFF-AR-10004078</v>
      </c>
      <c r="E837" t="str">
        <f>IF(COUNTIF(data2!$D:$D,D837)=0,"Missing in Data2","Present")</f>
        <v>Present</v>
      </c>
    </row>
    <row r="838" spans="1:5" x14ac:dyDescent="0.25">
      <c r="A838" s="2" t="s">
        <v>1095</v>
      </c>
      <c r="B838" s="2" t="s">
        <v>1097</v>
      </c>
      <c r="C838" s="2">
        <v>3</v>
      </c>
      <c r="D838" t="str">
        <f t="shared" si="13"/>
        <v>CA-2014-135405_TEC-AC-10001266</v>
      </c>
      <c r="E838" t="str">
        <f>IF(COUNTIF(data2!$D:$D,D838)=0,"Missing in Data2","Present")</f>
        <v>Present</v>
      </c>
    </row>
    <row r="839" spans="1:5" x14ac:dyDescent="0.25">
      <c r="A839" s="2" t="s">
        <v>1098</v>
      </c>
      <c r="B839" s="2" t="s">
        <v>16</v>
      </c>
      <c r="C839" s="2">
        <v>5</v>
      </c>
      <c r="D839" t="str">
        <f t="shared" si="13"/>
        <v>CA-2014-135608_FUR-CH-10002602</v>
      </c>
      <c r="E839" t="str">
        <f>IF(COUNTIF(data2!$D:$D,D839)=0,"Missing in Data2","Present")</f>
        <v>Present</v>
      </c>
    </row>
    <row r="840" spans="1:5" x14ac:dyDescent="0.25">
      <c r="A840" s="2" t="s">
        <v>1099</v>
      </c>
      <c r="B840" s="2" t="s">
        <v>1100</v>
      </c>
      <c r="C840" s="2">
        <v>6</v>
      </c>
      <c r="D840" t="str">
        <f t="shared" si="13"/>
        <v>CA-2014-135657_FUR-TA-10004086</v>
      </c>
      <c r="E840" t="str">
        <f>IF(COUNTIF(data2!$D:$D,D840)=0,"Missing in Data2","Present")</f>
        <v>Present</v>
      </c>
    </row>
    <row r="841" spans="1:5" x14ac:dyDescent="0.25">
      <c r="A841" s="2" t="s">
        <v>1101</v>
      </c>
      <c r="B841" s="2" t="s">
        <v>1102</v>
      </c>
      <c r="C841" s="2">
        <v>2</v>
      </c>
      <c r="D841" t="str">
        <f t="shared" si="13"/>
        <v>CA-2014-135699_OFF-PA-10003001</v>
      </c>
      <c r="E841" t="str">
        <f>IF(COUNTIF(data2!$D:$D,D841)=0,"Missing in Data2","Present")</f>
        <v>Present</v>
      </c>
    </row>
    <row r="842" spans="1:5" x14ac:dyDescent="0.25">
      <c r="A842" s="2" t="s">
        <v>1101</v>
      </c>
      <c r="B842" s="2" t="s">
        <v>1103</v>
      </c>
      <c r="C842" s="2">
        <v>2</v>
      </c>
      <c r="D842" t="str">
        <f t="shared" si="13"/>
        <v>CA-2014-135699_OFF-PA-10004475</v>
      </c>
      <c r="E842" t="str">
        <f>IF(COUNTIF(data2!$D:$D,D842)=0,"Missing in Data2","Present")</f>
        <v>Present</v>
      </c>
    </row>
    <row r="843" spans="1:5" x14ac:dyDescent="0.25">
      <c r="A843" s="2" t="s">
        <v>1104</v>
      </c>
      <c r="B843" s="2" t="s">
        <v>1105</v>
      </c>
      <c r="C843" s="2">
        <v>3</v>
      </c>
      <c r="D843" t="str">
        <f t="shared" si="13"/>
        <v>CA-2014-135755_OFF-BI-10003981</v>
      </c>
      <c r="E843" t="str">
        <f>IF(COUNTIF(data2!$D:$D,D843)=0,"Missing in Data2","Present")</f>
        <v>Present</v>
      </c>
    </row>
    <row r="844" spans="1:5" x14ac:dyDescent="0.25">
      <c r="A844" s="2" t="s">
        <v>1104</v>
      </c>
      <c r="B844" s="2" t="s">
        <v>1106</v>
      </c>
      <c r="C844" s="2">
        <v>3</v>
      </c>
      <c r="D844" t="str">
        <f t="shared" si="13"/>
        <v>CA-2014-135755_OFF-BI-10004828</v>
      </c>
      <c r="E844" t="str">
        <f>IF(COUNTIF(data2!$D:$D,D844)=0,"Missing in Data2","Present")</f>
        <v>Present</v>
      </c>
    </row>
    <row r="845" spans="1:5" x14ac:dyDescent="0.25">
      <c r="A845" s="2" t="s">
        <v>1107</v>
      </c>
      <c r="B845" s="2" t="s">
        <v>511</v>
      </c>
      <c r="C845" s="2">
        <v>4</v>
      </c>
      <c r="D845" t="str">
        <f t="shared" si="13"/>
        <v>CA-2014-135993_TEC-AC-10004877</v>
      </c>
      <c r="E845" t="str">
        <f>IF(COUNTIF(data2!$D:$D,D845)=0,"Missing in Data2","Present")</f>
        <v>Present</v>
      </c>
    </row>
    <row r="846" spans="1:5" x14ac:dyDescent="0.25">
      <c r="A846" s="2" t="s">
        <v>1107</v>
      </c>
      <c r="B846" s="2" t="s">
        <v>924</v>
      </c>
      <c r="C846" s="2">
        <v>6</v>
      </c>
      <c r="D846" t="str">
        <f t="shared" si="13"/>
        <v>CA-2014-135993_TEC-PH-10001552</v>
      </c>
      <c r="E846" t="str">
        <f>IF(COUNTIF(data2!$D:$D,D846)=0,"Missing in Data2","Present")</f>
        <v>Present</v>
      </c>
    </row>
    <row r="847" spans="1:5" x14ac:dyDescent="0.25">
      <c r="A847" s="2" t="s">
        <v>1108</v>
      </c>
      <c r="B847" s="2" t="s">
        <v>627</v>
      </c>
      <c r="C847" s="2">
        <v>2</v>
      </c>
      <c r="D847" t="str">
        <f t="shared" si="13"/>
        <v>CA-2014-136280_OFF-LA-10000452</v>
      </c>
      <c r="E847" t="str">
        <f>IF(COUNTIF(data2!$D:$D,D847)=0,"Missing in Data2","Present")</f>
        <v>Present</v>
      </c>
    </row>
    <row r="848" spans="1:5" x14ac:dyDescent="0.25">
      <c r="A848" s="2" t="s">
        <v>1109</v>
      </c>
      <c r="B848" s="2" t="s">
        <v>116</v>
      </c>
      <c r="C848" s="2">
        <v>6</v>
      </c>
      <c r="D848" t="str">
        <f t="shared" si="13"/>
        <v>CA-2014-136336_OFF-ST-10002574</v>
      </c>
      <c r="E848" t="str">
        <f>IF(COUNTIF(data2!$D:$D,D848)=0,"Missing in Data2","Present")</f>
        <v>Present</v>
      </c>
    </row>
    <row r="849" spans="1:5" x14ac:dyDescent="0.25">
      <c r="A849" s="2" t="s">
        <v>1110</v>
      </c>
      <c r="B849" s="2" t="s">
        <v>16</v>
      </c>
      <c r="C849" s="2">
        <v>2</v>
      </c>
      <c r="D849" t="str">
        <f t="shared" si="13"/>
        <v>CA-2014-136399_FUR-CH-10002602</v>
      </c>
      <c r="E849" t="str">
        <f>IF(COUNTIF(data2!$D:$D,D849)=0,"Missing in Data2","Present")</f>
        <v>Present</v>
      </c>
    </row>
    <row r="850" spans="1:5" x14ac:dyDescent="0.25">
      <c r="A850" s="2" t="s">
        <v>1110</v>
      </c>
      <c r="B850" s="2" t="s">
        <v>1111</v>
      </c>
      <c r="C850" s="2">
        <v>2</v>
      </c>
      <c r="D850" t="str">
        <f t="shared" si="13"/>
        <v>CA-2014-136399_FUR-FU-10004090</v>
      </c>
      <c r="E850" t="str">
        <f>IF(COUNTIF(data2!$D:$D,D850)=0,"Missing in Data2","Present")</f>
        <v>Present</v>
      </c>
    </row>
    <row r="851" spans="1:5" x14ac:dyDescent="0.25">
      <c r="A851" s="2" t="s">
        <v>1110</v>
      </c>
      <c r="B851" s="2" t="s">
        <v>1112</v>
      </c>
      <c r="C851" s="2">
        <v>5</v>
      </c>
      <c r="D851" t="str">
        <f t="shared" si="13"/>
        <v>CA-2014-136399_TEC-AC-10001142</v>
      </c>
      <c r="E851" t="str">
        <f>IF(COUNTIF(data2!$D:$D,D851)=0,"Missing in Data2","Present")</f>
        <v>Present</v>
      </c>
    </row>
    <row r="852" spans="1:5" x14ac:dyDescent="0.25">
      <c r="A852" s="2" t="s">
        <v>1110</v>
      </c>
      <c r="B852" s="2" t="s">
        <v>1113</v>
      </c>
      <c r="C852" s="2">
        <v>4</v>
      </c>
      <c r="D852" t="str">
        <f t="shared" si="13"/>
        <v>CA-2014-136399_TEC-PH-10004977</v>
      </c>
      <c r="E852" t="str">
        <f>IF(COUNTIF(data2!$D:$D,D852)=0,"Missing in Data2","Present")</f>
        <v>Present</v>
      </c>
    </row>
    <row r="853" spans="1:5" x14ac:dyDescent="0.25">
      <c r="A853" s="2" t="s">
        <v>1114</v>
      </c>
      <c r="B853" s="2" t="s">
        <v>1115</v>
      </c>
      <c r="C853" s="2">
        <v>2</v>
      </c>
      <c r="D853" t="str">
        <f t="shared" si="13"/>
        <v>CA-2014-136567_FUR-TA-10000617</v>
      </c>
      <c r="E853" t="str">
        <f>IF(COUNTIF(data2!$D:$D,D853)=0,"Missing in Data2","Present")</f>
        <v>Present</v>
      </c>
    </row>
    <row r="854" spans="1:5" x14ac:dyDescent="0.25">
      <c r="A854" s="2" t="s">
        <v>1114</v>
      </c>
      <c r="B854" s="2" t="s">
        <v>1116</v>
      </c>
      <c r="C854" s="2">
        <v>7</v>
      </c>
      <c r="D854" t="str">
        <f t="shared" si="13"/>
        <v>CA-2014-136567_FUR-TA-10001932</v>
      </c>
      <c r="E854" t="str">
        <f>IF(COUNTIF(data2!$D:$D,D854)=0,"Missing in Data2","Present")</f>
        <v>Missing in Data2</v>
      </c>
    </row>
    <row r="855" spans="1:5" x14ac:dyDescent="0.25">
      <c r="A855" s="2" t="s">
        <v>1114</v>
      </c>
      <c r="B855" s="2" t="s">
        <v>1117</v>
      </c>
      <c r="C855" s="2">
        <v>3</v>
      </c>
      <c r="D855" t="str">
        <f t="shared" si="13"/>
        <v>CA-2014-136567_OFF-BI-10003982</v>
      </c>
      <c r="E855" t="str">
        <f>IF(COUNTIF(data2!$D:$D,D855)=0,"Missing in Data2","Present")</f>
        <v>Present</v>
      </c>
    </row>
    <row r="856" spans="1:5" x14ac:dyDescent="0.25">
      <c r="A856" s="2" t="s">
        <v>1114</v>
      </c>
      <c r="B856" s="2" t="s">
        <v>184</v>
      </c>
      <c r="C856" s="2">
        <v>2</v>
      </c>
      <c r="D856" t="str">
        <f t="shared" si="13"/>
        <v>CA-2014-136567_OFF-ST-10004337</v>
      </c>
      <c r="E856" t="str">
        <f>IF(COUNTIF(data2!$D:$D,D856)=0,"Missing in Data2","Present")</f>
        <v>Present</v>
      </c>
    </row>
    <row r="857" spans="1:5" x14ac:dyDescent="0.25">
      <c r="A857" s="2" t="s">
        <v>1118</v>
      </c>
      <c r="B857" s="2" t="s">
        <v>1119</v>
      </c>
      <c r="C857" s="2">
        <v>8</v>
      </c>
      <c r="D857" t="str">
        <f t="shared" si="13"/>
        <v>CA-2014-136644_FUR-CH-10000225</v>
      </c>
      <c r="E857" t="str">
        <f>IF(COUNTIF(data2!$D:$D,D857)=0,"Missing in Data2","Present")</f>
        <v>Present</v>
      </c>
    </row>
    <row r="858" spans="1:5" x14ac:dyDescent="0.25">
      <c r="A858" s="2" t="s">
        <v>1120</v>
      </c>
      <c r="B858" s="2" t="s">
        <v>1121</v>
      </c>
      <c r="C858" s="2">
        <v>6</v>
      </c>
      <c r="D858" t="str">
        <f t="shared" si="13"/>
        <v>CA-2014-136742_OFF-BI-10003719</v>
      </c>
      <c r="E858" t="str">
        <f>IF(COUNTIF(data2!$D:$D,D858)=0,"Missing in Data2","Present")</f>
        <v>Present</v>
      </c>
    </row>
    <row r="859" spans="1:5" x14ac:dyDescent="0.25">
      <c r="A859" s="2" t="s">
        <v>1122</v>
      </c>
      <c r="B859" s="2" t="s">
        <v>1123</v>
      </c>
      <c r="C859" s="2">
        <v>2</v>
      </c>
      <c r="D859" t="str">
        <f t="shared" si="13"/>
        <v>CA-2014-136861_FUR-FU-10001967</v>
      </c>
      <c r="E859" t="str">
        <f>IF(COUNTIF(data2!$D:$D,D859)=0,"Missing in Data2","Present")</f>
        <v>Present</v>
      </c>
    </row>
    <row r="860" spans="1:5" x14ac:dyDescent="0.25">
      <c r="A860" s="2" t="s">
        <v>1124</v>
      </c>
      <c r="B860" s="2" t="s">
        <v>740</v>
      </c>
      <c r="C860" s="2">
        <v>1</v>
      </c>
      <c r="D860" t="str">
        <f t="shared" si="13"/>
        <v>CA-2014-137092_OFF-BI-10000632</v>
      </c>
      <c r="E860" t="str">
        <f>IF(COUNTIF(data2!$D:$D,D860)=0,"Missing in Data2","Present")</f>
        <v>Present</v>
      </c>
    </row>
    <row r="861" spans="1:5" x14ac:dyDescent="0.25">
      <c r="A861" s="2" t="s">
        <v>1124</v>
      </c>
      <c r="B861" s="2" t="s">
        <v>1125</v>
      </c>
      <c r="C861" s="2">
        <v>1</v>
      </c>
      <c r="D861" t="str">
        <f t="shared" si="13"/>
        <v>CA-2014-137092_OFF-LA-10003510</v>
      </c>
      <c r="E861" t="str">
        <f>IF(COUNTIF(data2!$D:$D,D861)=0,"Missing in Data2","Present")</f>
        <v>Present</v>
      </c>
    </row>
    <row r="862" spans="1:5" x14ac:dyDescent="0.25">
      <c r="A862" s="2" t="s">
        <v>1124</v>
      </c>
      <c r="B862" s="2" t="s">
        <v>1126</v>
      </c>
      <c r="C862" s="2">
        <v>1</v>
      </c>
      <c r="D862" t="str">
        <f t="shared" si="13"/>
        <v>CA-2014-137092_OFF-PA-10002109</v>
      </c>
      <c r="E862" t="str">
        <f>IF(COUNTIF(data2!$D:$D,D862)=0,"Missing in Data2","Present")</f>
        <v>Present</v>
      </c>
    </row>
    <row r="863" spans="1:5" x14ac:dyDescent="0.25">
      <c r="A863" s="2" t="s">
        <v>1124</v>
      </c>
      <c r="B863" s="2" t="s">
        <v>1127</v>
      </c>
      <c r="C863" s="2">
        <v>3</v>
      </c>
      <c r="D863" t="str">
        <f t="shared" si="13"/>
        <v>CA-2014-137092_OFF-ST-10003805</v>
      </c>
      <c r="E863" t="str">
        <f>IF(COUNTIF(data2!$D:$D,D863)=0,"Missing in Data2","Present")</f>
        <v>Present</v>
      </c>
    </row>
    <row r="864" spans="1:5" x14ac:dyDescent="0.25">
      <c r="A864" s="2" t="s">
        <v>1124</v>
      </c>
      <c r="B864" s="2" t="s">
        <v>1128</v>
      </c>
      <c r="C864" s="2">
        <v>4</v>
      </c>
      <c r="D864" t="str">
        <f t="shared" si="13"/>
        <v>CA-2014-137092_TEC-AC-10001606</v>
      </c>
      <c r="E864" t="str">
        <f>IF(COUNTIF(data2!$D:$D,D864)=0,"Missing in Data2","Present")</f>
        <v>Present</v>
      </c>
    </row>
    <row r="865" spans="1:5" x14ac:dyDescent="0.25">
      <c r="A865" s="2" t="s">
        <v>1129</v>
      </c>
      <c r="B865" s="2" t="s">
        <v>1130</v>
      </c>
      <c r="C865" s="2">
        <v>3</v>
      </c>
      <c r="D865" t="str">
        <f t="shared" si="13"/>
        <v>CA-2014-137274_FUR-TA-10001889</v>
      </c>
      <c r="E865" t="str">
        <f>IF(COUNTIF(data2!$D:$D,D865)=0,"Missing in Data2","Present")</f>
        <v>Present</v>
      </c>
    </row>
    <row r="866" spans="1:5" x14ac:dyDescent="0.25">
      <c r="A866" s="2" t="s">
        <v>1131</v>
      </c>
      <c r="B866" s="2" t="s">
        <v>546</v>
      </c>
      <c r="C866" s="2">
        <v>7</v>
      </c>
      <c r="D866" t="str">
        <f t="shared" si="13"/>
        <v>CA-2014-137351_OFF-BI-10003910</v>
      </c>
      <c r="E866" t="str">
        <f>IF(COUNTIF(data2!$D:$D,D866)=0,"Missing in Data2","Present")</f>
        <v>Present</v>
      </c>
    </row>
    <row r="867" spans="1:5" x14ac:dyDescent="0.25">
      <c r="A867" s="2" t="s">
        <v>1132</v>
      </c>
      <c r="B867" s="2" t="s">
        <v>1133</v>
      </c>
      <c r="C867" s="2">
        <v>2</v>
      </c>
      <c r="D867" t="str">
        <f t="shared" si="13"/>
        <v>CA-2014-137575_TEC-AC-10004571</v>
      </c>
      <c r="E867" t="str">
        <f>IF(COUNTIF(data2!$D:$D,D867)=0,"Missing in Data2","Present")</f>
        <v>Present</v>
      </c>
    </row>
    <row r="868" spans="1:5" x14ac:dyDescent="0.25">
      <c r="A868" s="2" t="s">
        <v>1134</v>
      </c>
      <c r="B868" s="2" t="s">
        <v>695</v>
      </c>
      <c r="C868" s="2">
        <v>3</v>
      </c>
      <c r="D868" t="str">
        <f t="shared" si="13"/>
        <v>CA-2014-137589_OFF-SU-10000157</v>
      </c>
      <c r="E868" t="str">
        <f>IF(COUNTIF(data2!$D:$D,D868)=0,"Missing in Data2","Present")</f>
        <v>Present</v>
      </c>
    </row>
    <row r="869" spans="1:5" x14ac:dyDescent="0.25">
      <c r="A869" s="2" t="s">
        <v>1135</v>
      </c>
      <c r="B869" s="2" t="s">
        <v>477</v>
      </c>
      <c r="C869" s="2">
        <v>2</v>
      </c>
      <c r="D869" t="str">
        <f t="shared" si="13"/>
        <v>CA-2014-137911_OFF-PA-10004071</v>
      </c>
      <c r="E869" t="str">
        <f>IF(COUNTIF(data2!$D:$D,D869)=0,"Missing in Data2","Present")</f>
        <v>Present</v>
      </c>
    </row>
    <row r="870" spans="1:5" x14ac:dyDescent="0.25">
      <c r="A870" s="2" t="s">
        <v>1136</v>
      </c>
      <c r="B870" s="2" t="s">
        <v>1137</v>
      </c>
      <c r="C870" s="2">
        <v>8</v>
      </c>
      <c r="D870" t="str">
        <f t="shared" si="13"/>
        <v>CA-2014-138023_OFF-BI-10003638</v>
      </c>
      <c r="E870" t="str">
        <f>IF(COUNTIF(data2!$D:$D,D870)=0,"Missing in Data2","Present")</f>
        <v>Present</v>
      </c>
    </row>
    <row r="871" spans="1:5" x14ac:dyDescent="0.25">
      <c r="A871" s="2" t="s">
        <v>1138</v>
      </c>
      <c r="B871" s="2" t="s">
        <v>522</v>
      </c>
      <c r="C871" s="2">
        <v>2</v>
      </c>
      <c r="D871" t="str">
        <f t="shared" si="13"/>
        <v>CA-2014-138072_TEC-AC-10004859</v>
      </c>
      <c r="E871" t="str">
        <f>IF(COUNTIF(data2!$D:$D,D871)=0,"Missing in Data2","Present")</f>
        <v>Present</v>
      </c>
    </row>
    <row r="872" spans="1:5" x14ac:dyDescent="0.25">
      <c r="A872" s="2" t="s">
        <v>1139</v>
      </c>
      <c r="B872" s="2" t="s">
        <v>100</v>
      </c>
      <c r="C872" s="2">
        <v>2</v>
      </c>
      <c r="D872" t="str">
        <f t="shared" si="13"/>
        <v>CA-2014-138100_FUR-FU-10002456</v>
      </c>
      <c r="E872" t="str">
        <f>IF(COUNTIF(data2!$D:$D,D872)=0,"Missing in Data2","Present")</f>
        <v>Present</v>
      </c>
    </row>
    <row r="873" spans="1:5" x14ac:dyDescent="0.25">
      <c r="A873" s="2" t="s">
        <v>1139</v>
      </c>
      <c r="B873" s="2" t="s">
        <v>1140</v>
      </c>
      <c r="C873" s="2">
        <v>3</v>
      </c>
      <c r="D873" t="str">
        <f t="shared" si="13"/>
        <v>CA-2014-138100_OFF-PA-10000349</v>
      </c>
      <c r="E873" t="str">
        <f>IF(COUNTIF(data2!$D:$D,D873)=0,"Missing in Data2","Present")</f>
        <v>Present</v>
      </c>
    </row>
    <row r="874" spans="1:5" x14ac:dyDescent="0.25">
      <c r="A874" s="2" t="s">
        <v>1141</v>
      </c>
      <c r="B874" s="2" t="s">
        <v>758</v>
      </c>
      <c r="C874" s="2">
        <v>3</v>
      </c>
      <c r="D874" t="str">
        <f t="shared" si="13"/>
        <v>CA-2014-138128_OFF-EN-10002500</v>
      </c>
      <c r="E874" t="str">
        <f>IF(COUNTIF(data2!$D:$D,D874)=0,"Missing in Data2","Present")</f>
        <v>Present</v>
      </c>
    </row>
    <row r="875" spans="1:5" x14ac:dyDescent="0.25">
      <c r="A875" s="2" t="s">
        <v>1141</v>
      </c>
      <c r="B875" s="2" t="s">
        <v>1142</v>
      </c>
      <c r="C875" s="2">
        <v>4</v>
      </c>
      <c r="D875" t="str">
        <f t="shared" si="13"/>
        <v>CA-2014-138128_TEC-CO-10001766</v>
      </c>
      <c r="E875" t="str">
        <f>IF(COUNTIF(data2!$D:$D,D875)=0,"Missing in Data2","Present")</f>
        <v>Present</v>
      </c>
    </row>
    <row r="876" spans="1:5" x14ac:dyDescent="0.25">
      <c r="A876" s="2" t="s">
        <v>1143</v>
      </c>
      <c r="B876" s="2" t="s">
        <v>275</v>
      </c>
      <c r="C876" s="2">
        <v>2</v>
      </c>
      <c r="D876" t="str">
        <f t="shared" si="13"/>
        <v>CA-2014-138198_OFF-BI-10002103</v>
      </c>
      <c r="E876" t="str">
        <f>IF(COUNTIF(data2!$D:$D,D876)=0,"Missing in Data2","Present")</f>
        <v>Present</v>
      </c>
    </row>
    <row r="877" spans="1:5" x14ac:dyDescent="0.25">
      <c r="A877" s="2" t="s">
        <v>1144</v>
      </c>
      <c r="B877" s="2" t="s">
        <v>400</v>
      </c>
      <c r="C877" s="2">
        <v>3</v>
      </c>
      <c r="D877" t="str">
        <f t="shared" si="13"/>
        <v>CA-2014-138240_OFF-AR-10002135</v>
      </c>
      <c r="E877" t="str">
        <f>IF(COUNTIF(data2!$D:$D,D877)=0,"Missing in Data2","Present")</f>
        <v>Present</v>
      </c>
    </row>
    <row r="878" spans="1:5" x14ac:dyDescent="0.25">
      <c r="A878" s="2" t="s">
        <v>1144</v>
      </c>
      <c r="B878" s="2" t="s">
        <v>1145</v>
      </c>
      <c r="C878" s="2">
        <v>1</v>
      </c>
      <c r="D878" t="str">
        <f t="shared" si="13"/>
        <v>CA-2014-138240_TEC-PH-10002583</v>
      </c>
      <c r="E878" t="str">
        <f>IF(COUNTIF(data2!$D:$D,D878)=0,"Missing in Data2","Present")</f>
        <v>Present</v>
      </c>
    </row>
    <row r="879" spans="1:5" x14ac:dyDescent="0.25">
      <c r="A879" s="2" t="s">
        <v>1146</v>
      </c>
      <c r="B879" s="2" t="s">
        <v>260</v>
      </c>
      <c r="C879" s="2">
        <v>2</v>
      </c>
      <c r="D879" t="str">
        <f t="shared" si="13"/>
        <v>CA-2014-138296_OFF-ST-10002444</v>
      </c>
      <c r="E879" t="str">
        <f>IF(COUNTIF(data2!$D:$D,D879)=0,"Missing in Data2","Present")</f>
        <v>Present</v>
      </c>
    </row>
    <row r="880" spans="1:5" x14ac:dyDescent="0.25">
      <c r="A880" s="2" t="s">
        <v>1147</v>
      </c>
      <c r="B880" s="2" t="s">
        <v>388</v>
      </c>
      <c r="C880" s="2">
        <v>1</v>
      </c>
      <c r="D880" t="str">
        <f t="shared" si="13"/>
        <v>CA-2014-138317_FUR-FU-10000550</v>
      </c>
      <c r="E880" t="str">
        <f>IF(COUNTIF(data2!$D:$D,D880)=0,"Missing in Data2","Present")</f>
        <v>Present</v>
      </c>
    </row>
    <row r="881" spans="1:5" x14ac:dyDescent="0.25">
      <c r="A881" s="2" t="s">
        <v>1147</v>
      </c>
      <c r="B881" s="2" t="s">
        <v>1148</v>
      </c>
      <c r="C881" s="2">
        <v>2</v>
      </c>
      <c r="D881" t="str">
        <f t="shared" si="13"/>
        <v>CA-2014-138317_OFF-AP-10003860</v>
      </c>
      <c r="E881" t="str">
        <f>IF(COUNTIF(data2!$D:$D,D881)=0,"Missing in Data2","Present")</f>
        <v>Present</v>
      </c>
    </row>
    <row r="882" spans="1:5" x14ac:dyDescent="0.25">
      <c r="A882" s="2" t="s">
        <v>1147</v>
      </c>
      <c r="B882" s="2" t="s">
        <v>1149</v>
      </c>
      <c r="C882" s="2">
        <v>2</v>
      </c>
      <c r="D882" t="str">
        <f t="shared" si="13"/>
        <v>CA-2014-138317_OFF-BI-10000069</v>
      </c>
      <c r="E882" t="str">
        <f>IF(COUNTIF(data2!$D:$D,D882)=0,"Missing in Data2","Present")</f>
        <v>Present</v>
      </c>
    </row>
    <row r="883" spans="1:5" x14ac:dyDescent="0.25">
      <c r="A883" s="2" t="s">
        <v>1147</v>
      </c>
      <c r="B883" s="2" t="s">
        <v>131</v>
      </c>
      <c r="C883" s="2">
        <v>4</v>
      </c>
      <c r="D883" t="str">
        <f t="shared" si="13"/>
        <v>CA-2014-138317_TEC-AC-10003628</v>
      </c>
      <c r="E883" t="str">
        <f>IF(COUNTIF(data2!$D:$D,D883)=0,"Missing in Data2","Present")</f>
        <v>Present</v>
      </c>
    </row>
    <row r="884" spans="1:5" x14ac:dyDescent="0.25">
      <c r="A884" s="2" t="s">
        <v>1147</v>
      </c>
      <c r="B884" s="2" t="s">
        <v>1150</v>
      </c>
      <c r="C884" s="2">
        <v>3</v>
      </c>
      <c r="D884" t="str">
        <f t="shared" si="13"/>
        <v>CA-2014-138317_TEC-MA-10004521</v>
      </c>
      <c r="E884" t="str">
        <f>IF(COUNTIF(data2!$D:$D,D884)=0,"Missing in Data2","Present")</f>
        <v>Present</v>
      </c>
    </row>
    <row r="885" spans="1:5" x14ac:dyDescent="0.25">
      <c r="A885" s="2" t="s">
        <v>1151</v>
      </c>
      <c r="B885" s="2" t="s">
        <v>1152</v>
      </c>
      <c r="C885" s="2">
        <v>2</v>
      </c>
      <c r="D885" t="str">
        <f t="shared" si="13"/>
        <v>CA-2014-138359_OFF-BI-10000145</v>
      </c>
      <c r="E885" t="str">
        <f>IF(COUNTIF(data2!$D:$D,D885)=0,"Missing in Data2","Present")</f>
        <v>Present</v>
      </c>
    </row>
    <row r="886" spans="1:5" x14ac:dyDescent="0.25">
      <c r="A886" s="2" t="s">
        <v>1151</v>
      </c>
      <c r="B886" s="2" t="s">
        <v>962</v>
      </c>
      <c r="C886" s="2">
        <v>4</v>
      </c>
      <c r="D886" t="str">
        <f t="shared" si="13"/>
        <v>CA-2014-138359_OFF-ST-10000636</v>
      </c>
      <c r="E886" t="str">
        <f>IF(COUNTIF(data2!$D:$D,D886)=0,"Missing in Data2","Present")</f>
        <v>Present</v>
      </c>
    </row>
    <row r="887" spans="1:5" x14ac:dyDescent="0.25">
      <c r="A887" s="2" t="s">
        <v>1153</v>
      </c>
      <c r="B887" s="2" t="s">
        <v>731</v>
      </c>
      <c r="C887" s="2">
        <v>3</v>
      </c>
      <c r="D887" t="str">
        <f t="shared" si="13"/>
        <v>CA-2014-138436_TEC-AC-10002323</v>
      </c>
      <c r="E887" t="str">
        <f>IF(COUNTIF(data2!$D:$D,D887)=0,"Missing in Data2","Present")</f>
        <v>Present</v>
      </c>
    </row>
    <row r="888" spans="1:5" x14ac:dyDescent="0.25">
      <c r="A888" s="2" t="s">
        <v>1154</v>
      </c>
      <c r="B888" s="2" t="s">
        <v>1155</v>
      </c>
      <c r="C888" s="2">
        <v>6</v>
      </c>
      <c r="D888" t="str">
        <f t="shared" si="13"/>
        <v>CA-2014-138450_OFF-EN-10001335</v>
      </c>
      <c r="E888" t="str">
        <f>IF(COUNTIF(data2!$D:$D,D888)=0,"Missing in Data2","Present")</f>
        <v>Present</v>
      </c>
    </row>
    <row r="889" spans="1:5" x14ac:dyDescent="0.25">
      <c r="A889" s="2" t="s">
        <v>1154</v>
      </c>
      <c r="B889" s="2" t="s">
        <v>1156</v>
      </c>
      <c r="C889" s="2">
        <v>4</v>
      </c>
      <c r="D889" t="str">
        <f t="shared" si="13"/>
        <v>CA-2014-138450_OFF-PA-10003016</v>
      </c>
      <c r="E889" t="str">
        <f>IF(COUNTIF(data2!$D:$D,D889)=0,"Missing in Data2","Present")</f>
        <v>Present</v>
      </c>
    </row>
    <row r="890" spans="1:5" x14ac:dyDescent="0.25">
      <c r="A890" s="2" t="s">
        <v>1154</v>
      </c>
      <c r="B890" s="2" t="s">
        <v>39</v>
      </c>
      <c r="C890" s="2">
        <v>6</v>
      </c>
      <c r="D890" t="str">
        <f t="shared" si="13"/>
        <v>CA-2014-138450_OFF-ST-10003479</v>
      </c>
      <c r="E890" t="str">
        <f>IF(COUNTIF(data2!$D:$D,D890)=0,"Missing in Data2","Present")</f>
        <v>Present</v>
      </c>
    </row>
    <row r="891" spans="1:5" x14ac:dyDescent="0.25">
      <c r="A891" s="2" t="s">
        <v>1157</v>
      </c>
      <c r="B891" s="2" t="s">
        <v>1158</v>
      </c>
      <c r="C891" s="2">
        <v>2</v>
      </c>
      <c r="D891" t="str">
        <f t="shared" si="13"/>
        <v>CA-2014-138513_OFF-PA-10003177</v>
      </c>
      <c r="E891" t="str">
        <f>IF(COUNTIF(data2!$D:$D,D891)=0,"Missing in Data2","Present")</f>
        <v>Present</v>
      </c>
    </row>
    <row r="892" spans="1:5" x14ac:dyDescent="0.25">
      <c r="A892" s="2" t="s">
        <v>1159</v>
      </c>
      <c r="B892" s="2" t="s">
        <v>1160</v>
      </c>
      <c r="C892" s="2">
        <v>5</v>
      </c>
      <c r="D892" t="str">
        <f t="shared" si="13"/>
        <v>CA-2014-138527_OFF-AP-10001469</v>
      </c>
      <c r="E892" t="str">
        <f>IF(COUNTIF(data2!$D:$D,D892)=0,"Missing in Data2","Present")</f>
        <v>Present</v>
      </c>
    </row>
    <row r="893" spans="1:5" x14ac:dyDescent="0.25">
      <c r="A893" s="2" t="s">
        <v>1159</v>
      </c>
      <c r="B893" s="2" t="s">
        <v>854</v>
      </c>
      <c r="C893" s="2">
        <v>2</v>
      </c>
      <c r="D893" t="str">
        <f t="shared" si="13"/>
        <v>CA-2014-138527_OFF-PA-10001800</v>
      </c>
      <c r="E893" t="str">
        <f>IF(COUNTIF(data2!$D:$D,D893)=0,"Missing in Data2","Present")</f>
        <v>Present</v>
      </c>
    </row>
    <row r="894" spans="1:5" x14ac:dyDescent="0.25">
      <c r="A894" s="2" t="s">
        <v>1159</v>
      </c>
      <c r="B894" s="2" t="s">
        <v>179</v>
      </c>
      <c r="C894" s="2">
        <v>1</v>
      </c>
      <c r="D894" t="str">
        <f t="shared" si="13"/>
        <v>CA-2014-138527_TEC-AC-10002399</v>
      </c>
      <c r="E894" t="str">
        <f>IF(COUNTIF(data2!$D:$D,D894)=0,"Missing in Data2","Present")</f>
        <v>Present</v>
      </c>
    </row>
    <row r="895" spans="1:5" x14ac:dyDescent="0.25">
      <c r="A895" s="2" t="s">
        <v>1161</v>
      </c>
      <c r="B895" s="2" t="s">
        <v>1162</v>
      </c>
      <c r="C895" s="2">
        <v>3</v>
      </c>
      <c r="D895" t="str">
        <f t="shared" si="13"/>
        <v>CA-2014-138681_FUR-CH-10004860</v>
      </c>
      <c r="E895" t="str">
        <f>IF(COUNTIF(data2!$D:$D,D895)=0,"Missing in Data2","Present")</f>
        <v>Present</v>
      </c>
    </row>
    <row r="896" spans="1:5" x14ac:dyDescent="0.25">
      <c r="A896" s="2" t="s">
        <v>1161</v>
      </c>
      <c r="B896" s="2" t="s">
        <v>1163</v>
      </c>
      <c r="C896" s="2">
        <v>2</v>
      </c>
      <c r="D896" t="str">
        <f t="shared" si="13"/>
        <v>CA-2014-138681_FUR-FU-10001876</v>
      </c>
      <c r="E896" t="str">
        <f>IF(COUNTIF(data2!$D:$D,D896)=0,"Missing in Data2","Present")</f>
        <v>Present</v>
      </c>
    </row>
    <row r="897" spans="1:5" x14ac:dyDescent="0.25">
      <c r="A897" s="2" t="s">
        <v>1161</v>
      </c>
      <c r="B897" s="2" t="s">
        <v>41</v>
      </c>
      <c r="C897" s="2">
        <v>5</v>
      </c>
      <c r="D897" t="str">
        <f t="shared" si="13"/>
        <v>CA-2014-138681_OFF-PA-10000357</v>
      </c>
      <c r="E897" t="str">
        <f>IF(COUNTIF(data2!$D:$D,D897)=0,"Missing in Data2","Present")</f>
        <v>Present</v>
      </c>
    </row>
    <row r="898" spans="1:5" x14ac:dyDescent="0.25">
      <c r="A898" s="2" t="s">
        <v>1161</v>
      </c>
      <c r="B898" s="2" t="s">
        <v>1164</v>
      </c>
      <c r="C898" s="2">
        <v>2</v>
      </c>
      <c r="D898" t="str">
        <f t="shared" si="13"/>
        <v>CA-2014-138681_OFF-PA-10003270</v>
      </c>
      <c r="E898" t="str">
        <f>IF(COUNTIF(data2!$D:$D,D898)=0,"Missing in Data2","Present")</f>
        <v>Present</v>
      </c>
    </row>
    <row r="899" spans="1:5" x14ac:dyDescent="0.25">
      <c r="A899" s="2" t="s">
        <v>1161</v>
      </c>
      <c r="B899" s="2" t="s">
        <v>131</v>
      </c>
      <c r="C899" s="2">
        <v>3</v>
      </c>
      <c r="D899" t="str">
        <f t="shared" ref="D899:D962" si="14">A899&amp;"_"&amp;B899</f>
        <v>CA-2014-138681_TEC-AC-10003628</v>
      </c>
      <c r="E899" t="str">
        <f>IF(COUNTIF(data2!$D:$D,D899)=0,"Missing in Data2","Present")</f>
        <v>Present</v>
      </c>
    </row>
    <row r="900" spans="1:5" x14ac:dyDescent="0.25">
      <c r="A900" s="2" t="s">
        <v>1165</v>
      </c>
      <c r="B900" s="2" t="s">
        <v>1152</v>
      </c>
      <c r="C900" s="2">
        <v>5</v>
      </c>
      <c r="D900" t="str">
        <f t="shared" si="14"/>
        <v>CA-2014-138709_OFF-BI-10000145</v>
      </c>
      <c r="E900" t="str">
        <f>IF(COUNTIF(data2!$D:$D,D900)=0,"Missing in Data2","Present")</f>
        <v>Present</v>
      </c>
    </row>
    <row r="901" spans="1:5" x14ac:dyDescent="0.25">
      <c r="A901" s="2" t="s">
        <v>1165</v>
      </c>
      <c r="B901" s="2" t="s">
        <v>1166</v>
      </c>
      <c r="C901" s="2">
        <v>3</v>
      </c>
      <c r="D901" t="str">
        <f t="shared" si="14"/>
        <v>CA-2014-138709_OFF-PA-10004734</v>
      </c>
      <c r="E901" t="str">
        <f>IF(COUNTIF(data2!$D:$D,D901)=0,"Missing in Data2","Present")</f>
        <v>Present</v>
      </c>
    </row>
    <row r="902" spans="1:5" x14ac:dyDescent="0.25">
      <c r="A902" s="2" t="s">
        <v>1167</v>
      </c>
      <c r="B902" s="2" t="s">
        <v>598</v>
      </c>
      <c r="C902" s="2">
        <v>3</v>
      </c>
      <c r="D902" t="str">
        <f t="shared" si="14"/>
        <v>CA-2014-138737_OFF-AR-10003190</v>
      </c>
      <c r="E902" t="str">
        <f>IF(COUNTIF(data2!$D:$D,D902)=0,"Missing in Data2","Present")</f>
        <v>Present</v>
      </c>
    </row>
    <row r="903" spans="1:5" x14ac:dyDescent="0.25">
      <c r="A903" s="2" t="s">
        <v>1168</v>
      </c>
      <c r="B903" s="2" t="s">
        <v>1169</v>
      </c>
      <c r="C903" s="2">
        <v>6</v>
      </c>
      <c r="D903" t="str">
        <f t="shared" si="14"/>
        <v>CA-2014-138940_TEC-PH-10001835</v>
      </c>
      <c r="E903" t="str">
        <f>IF(COUNTIF(data2!$D:$D,D903)=0,"Missing in Data2","Present")</f>
        <v>Present</v>
      </c>
    </row>
    <row r="904" spans="1:5" x14ac:dyDescent="0.25">
      <c r="A904" s="2" t="s">
        <v>1170</v>
      </c>
      <c r="B904" s="2" t="s">
        <v>1171</v>
      </c>
      <c r="C904" s="2">
        <v>2</v>
      </c>
      <c r="D904" t="str">
        <f t="shared" si="14"/>
        <v>CA-2014-139017_TEC-AC-10001013</v>
      </c>
      <c r="E904" t="str">
        <f>IF(COUNTIF(data2!$D:$D,D904)=0,"Missing in Data2","Present")</f>
        <v>Present</v>
      </c>
    </row>
    <row r="905" spans="1:5" x14ac:dyDescent="0.25">
      <c r="A905" s="2" t="s">
        <v>1172</v>
      </c>
      <c r="B905" s="2" t="s">
        <v>1128</v>
      </c>
      <c r="C905" s="2">
        <v>1</v>
      </c>
      <c r="D905" t="str">
        <f t="shared" si="14"/>
        <v>CA-2014-139192_TEC-AC-10001606</v>
      </c>
      <c r="E905" t="str">
        <f>IF(COUNTIF(data2!$D:$D,D905)=0,"Missing in Data2","Present")</f>
        <v>Present</v>
      </c>
    </row>
    <row r="906" spans="1:5" x14ac:dyDescent="0.25">
      <c r="A906" s="2" t="s">
        <v>1172</v>
      </c>
      <c r="B906" s="2" t="s">
        <v>1173</v>
      </c>
      <c r="C906" s="2">
        <v>12</v>
      </c>
      <c r="D906" t="str">
        <f t="shared" si="14"/>
        <v>CA-2014-139192_TEC-PH-10000486</v>
      </c>
      <c r="E906" t="str">
        <f>IF(COUNTIF(data2!$D:$D,D906)=0,"Missing in Data2","Present")</f>
        <v>Present</v>
      </c>
    </row>
    <row r="907" spans="1:5" x14ac:dyDescent="0.25">
      <c r="A907" s="2" t="s">
        <v>1174</v>
      </c>
      <c r="B907" s="2" t="s">
        <v>1175</v>
      </c>
      <c r="C907" s="2">
        <v>3</v>
      </c>
      <c r="D907" t="str">
        <f t="shared" si="14"/>
        <v>CA-2014-139283_OFF-BI-10002049</v>
      </c>
      <c r="E907" t="str">
        <f>IF(COUNTIF(data2!$D:$D,D907)=0,"Missing in Data2","Present")</f>
        <v>Present</v>
      </c>
    </row>
    <row r="908" spans="1:5" x14ac:dyDescent="0.25">
      <c r="A908" s="2" t="s">
        <v>1176</v>
      </c>
      <c r="B908" s="2" t="s">
        <v>326</v>
      </c>
      <c r="C908" s="2">
        <v>2</v>
      </c>
      <c r="D908" t="str">
        <f t="shared" si="14"/>
        <v>CA-2014-139423_OFF-AP-10004708</v>
      </c>
      <c r="E908" t="str">
        <f>IF(COUNTIF(data2!$D:$D,D908)=0,"Missing in Data2","Present")</f>
        <v>Present</v>
      </c>
    </row>
    <row r="909" spans="1:5" x14ac:dyDescent="0.25">
      <c r="A909" s="2" t="s">
        <v>1177</v>
      </c>
      <c r="B909" s="2" t="s">
        <v>882</v>
      </c>
      <c r="C909" s="2">
        <v>5</v>
      </c>
      <c r="D909" t="str">
        <f t="shared" si="14"/>
        <v>CA-2014-139451_OFF-AR-10002053</v>
      </c>
      <c r="E909" t="str">
        <f>IF(COUNTIF(data2!$D:$D,D909)=0,"Missing in Data2","Present")</f>
        <v>Missing in Data2</v>
      </c>
    </row>
    <row r="910" spans="1:5" x14ac:dyDescent="0.25">
      <c r="A910" s="2" t="s">
        <v>1177</v>
      </c>
      <c r="B910" s="2" t="s">
        <v>1178</v>
      </c>
      <c r="C910" s="2">
        <v>1</v>
      </c>
      <c r="D910" t="str">
        <f t="shared" si="14"/>
        <v>CA-2014-139451_OFF-ST-10002370</v>
      </c>
      <c r="E910" t="str">
        <f>IF(COUNTIF(data2!$D:$D,D910)=0,"Missing in Data2","Present")</f>
        <v>Present</v>
      </c>
    </row>
    <row r="911" spans="1:5" x14ac:dyDescent="0.25">
      <c r="A911" s="2" t="s">
        <v>1179</v>
      </c>
      <c r="B911" s="2" t="s">
        <v>59</v>
      </c>
      <c r="C911" s="2">
        <v>3</v>
      </c>
      <c r="D911" t="str">
        <f t="shared" si="14"/>
        <v>CA-2014-139542_OFF-BI-10000309</v>
      </c>
      <c r="E911" t="str">
        <f>IF(COUNTIF(data2!$D:$D,D911)=0,"Missing in Data2","Present")</f>
        <v>Present</v>
      </c>
    </row>
    <row r="912" spans="1:5" x14ac:dyDescent="0.25">
      <c r="A912" s="2" t="s">
        <v>1179</v>
      </c>
      <c r="B912" s="2" t="s">
        <v>1180</v>
      </c>
      <c r="C912" s="2">
        <v>3</v>
      </c>
      <c r="D912" t="str">
        <f t="shared" si="14"/>
        <v>CA-2014-139542_TEC-AC-10001553</v>
      </c>
      <c r="E912" t="str">
        <f>IF(COUNTIF(data2!$D:$D,D912)=0,"Missing in Data2","Present")</f>
        <v>Present</v>
      </c>
    </row>
    <row r="913" spans="1:5" x14ac:dyDescent="0.25">
      <c r="A913" s="2" t="s">
        <v>1181</v>
      </c>
      <c r="B913" s="2" t="s">
        <v>1182</v>
      </c>
      <c r="C913" s="2">
        <v>2</v>
      </c>
      <c r="D913" t="str">
        <f t="shared" si="14"/>
        <v>CA-2014-139598_OFF-AP-10002998</v>
      </c>
      <c r="E913" t="str">
        <f>IF(COUNTIF(data2!$D:$D,D913)=0,"Missing in Data2","Present")</f>
        <v>Present</v>
      </c>
    </row>
    <row r="914" spans="1:5" x14ac:dyDescent="0.25">
      <c r="A914" s="2" t="s">
        <v>1181</v>
      </c>
      <c r="B914" s="2" t="s">
        <v>1183</v>
      </c>
      <c r="C914" s="2">
        <v>2</v>
      </c>
      <c r="D914" t="str">
        <f t="shared" si="14"/>
        <v>CA-2014-139598_OFF-AP-10003287</v>
      </c>
      <c r="E914" t="str">
        <f>IF(COUNTIF(data2!$D:$D,D914)=0,"Missing in Data2","Present")</f>
        <v>Present</v>
      </c>
    </row>
    <row r="915" spans="1:5" x14ac:dyDescent="0.25">
      <c r="A915" s="2" t="s">
        <v>1181</v>
      </c>
      <c r="B915" s="2" t="s">
        <v>1184</v>
      </c>
      <c r="C915" s="2">
        <v>3</v>
      </c>
      <c r="D915" t="str">
        <f t="shared" si="14"/>
        <v>CA-2014-139598_OFF-PA-10004569</v>
      </c>
      <c r="E915" t="str">
        <f>IF(COUNTIF(data2!$D:$D,D915)=0,"Missing in Data2","Present")</f>
        <v>Present</v>
      </c>
    </row>
    <row r="916" spans="1:5" x14ac:dyDescent="0.25">
      <c r="A916" s="2" t="s">
        <v>1181</v>
      </c>
      <c r="B916" s="2" t="s">
        <v>559</v>
      </c>
      <c r="C916" s="2">
        <v>4</v>
      </c>
      <c r="D916" t="str">
        <f t="shared" si="14"/>
        <v>CA-2014-139598_OFF-ST-10001370</v>
      </c>
      <c r="E916" t="str">
        <f>IF(COUNTIF(data2!$D:$D,D916)=0,"Missing in Data2","Present")</f>
        <v>Present</v>
      </c>
    </row>
    <row r="917" spans="1:5" x14ac:dyDescent="0.25">
      <c r="A917" s="2" t="s">
        <v>1185</v>
      </c>
      <c r="B917" s="2" t="s">
        <v>1038</v>
      </c>
      <c r="C917" s="2">
        <v>4</v>
      </c>
      <c r="D917" t="str">
        <f t="shared" si="14"/>
        <v>CA-2014-139633_OFF-BI-10002954</v>
      </c>
      <c r="E917" t="str">
        <f>IF(COUNTIF(data2!$D:$D,D917)=0,"Missing in Data2","Present")</f>
        <v>Present</v>
      </c>
    </row>
    <row r="918" spans="1:5" x14ac:dyDescent="0.25">
      <c r="A918" s="2" t="s">
        <v>1186</v>
      </c>
      <c r="B918" s="2" t="s">
        <v>1187</v>
      </c>
      <c r="C918" s="2">
        <v>5</v>
      </c>
      <c r="D918" t="str">
        <f t="shared" si="14"/>
        <v>CA-2014-139857_OFF-FA-10001843</v>
      </c>
      <c r="E918" t="str">
        <f>IF(COUNTIF(data2!$D:$D,D918)=0,"Missing in Data2","Present")</f>
        <v>Present</v>
      </c>
    </row>
    <row r="919" spans="1:5" x14ac:dyDescent="0.25">
      <c r="A919" s="2" t="s">
        <v>1188</v>
      </c>
      <c r="B919" s="2" t="s">
        <v>1083</v>
      </c>
      <c r="C919" s="2">
        <v>9</v>
      </c>
      <c r="D919" t="str">
        <f t="shared" si="14"/>
        <v>CA-2014-139892_FUR-CH-10004287</v>
      </c>
      <c r="E919" t="str">
        <f>IF(COUNTIF(data2!$D:$D,D919)=0,"Missing in Data2","Present")</f>
        <v>Present</v>
      </c>
    </row>
    <row r="920" spans="1:5" x14ac:dyDescent="0.25">
      <c r="A920" s="2" t="s">
        <v>1188</v>
      </c>
      <c r="B920" s="2" t="s">
        <v>1189</v>
      </c>
      <c r="C920" s="2">
        <v>5</v>
      </c>
      <c r="D920" t="str">
        <f t="shared" si="14"/>
        <v>CA-2014-139892_OFF-AP-10002518</v>
      </c>
      <c r="E920" t="str">
        <f>IF(COUNTIF(data2!$D:$D,D920)=0,"Missing in Data2","Present")</f>
        <v>Present</v>
      </c>
    </row>
    <row r="921" spans="1:5" x14ac:dyDescent="0.25">
      <c r="A921" s="2" t="s">
        <v>1188</v>
      </c>
      <c r="B921" s="2" t="s">
        <v>1036</v>
      </c>
      <c r="C921" s="2">
        <v>6</v>
      </c>
      <c r="D921" t="str">
        <f t="shared" si="14"/>
        <v>CA-2014-139892_OFF-AR-10002656</v>
      </c>
      <c r="E921" t="str">
        <f>IF(COUNTIF(data2!$D:$D,D921)=0,"Missing in Data2","Present")</f>
        <v>Present</v>
      </c>
    </row>
    <row r="922" spans="1:5" x14ac:dyDescent="0.25">
      <c r="A922" s="2" t="s">
        <v>1188</v>
      </c>
      <c r="B922" s="2" t="s">
        <v>1190</v>
      </c>
      <c r="C922" s="2">
        <v>3</v>
      </c>
      <c r="D922" t="str">
        <f t="shared" si="14"/>
        <v>CA-2014-139892_OFF-AR-10004441</v>
      </c>
      <c r="E922" t="str">
        <f>IF(COUNTIF(data2!$D:$D,D922)=0,"Missing in Data2","Present")</f>
        <v>Present</v>
      </c>
    </row>
    <row r="923" spans="1:5" x14ac:dyDescent="0.25">
      <c r="A923" s="2" t="s">
        <v>1188</v>
      </c>
      <c r="B923" s="2" t="s">
        <v>632</v>
      </c>
      <c r="C923" s="2">
        <v>3</v>
      </c>
      <c r="D923" t="str">
        <f t="shared" si="14"/>
        <v>CA-2014-139892_OFF-ST-10000991</v>
      </c>
      <c r="E923" t="str">
        <f>IF(COUNTIF(data2!$D:$D,D923)=0,"Missing in Data2","Present")</f>
        <v>Present</v>
      </c>
    </row>
    <row r="924" spans="1:5" x14ac:dyDescent="0.25">
      <c r="A924" s="2" t="s">
        <v>1188</v>
      </c>
      <c r="B924" s="2" t="s">
        <v>1191</v>
      </c>
      <c r="C924" s="2">
        <v>8</v>
      </c>
      <c r="D924" t="str">
        <f t="shared" si="14"/>
        <v>CA-2014-139892_TEC-MA-10000822</v>
      </c>
      <c r="E924" t="str">
        <f>IF(COUNTIF(data2!$D:$D,D924)=0,"Missing in Data2","Present")</f>
        <v>Present</v>
      </c>
    </row>
    <row r="925" spans="1:5" x14ac:dyDescent="0.25">
      <c r="A925" s="2" t="s">
        <v>1188</v>
      </c>
      <c r="B925" s="2" t="s">
        <v>1192</v>
      </c>
      <c r="C925" s="2">
        <v>3</v>
      </c>
      <c r="D925" t="str">
        <f t="shared" si="14"/>
        <v>CA-2014-139892_TEC-PH-10003931</v>
      </c>
      <c r="E925" t="str">
        <f>IF(COUNTIF(data2!$D:$D,D925)=0,"Missing in Data2","Present")</f>
        <v>Present</v>
      </c>
    </row>
    <row r="926" spans="1:5" x14ac:dyDescent="0.25">
      <c r="A926" s="2" t="s">
        <v>1193</v>
      </c>
      <c r="B926" s="2" t="s">
        <v>950</v>
      </c>
      <c r="C926" s="2">
        <v>3</v>
      </c>
      <c r="D926" t="str">
        <f t="shared" si="14"/>
        <v>CA-2014-140004_OFF-AR-10004027</v>
      </c>
      <c r="E926" t="str">
        <f>IF(COUNTIF(data2!$D:$D,D926)=0,"Missing in Data2","Present")</f>
        <v>Present</v>
      </c>
    </row>
    <row r="927" spans="1:5" x14ac:dyDescent="0.25">
      <c r="A927" s="2" t="s">
        <v>1193</v>
      </c>
      <c r="B927" s="2" t="s">
        <v>1194</v>
      </c>
      <c r="C927" s="2">
        <v>2</v>
      </c>
      <c r="D927" t="str">
        <f t="shared" si="14"/>
        <v>CA-2014-140004_OFF-AR-10004685</v>
      </c>
      <c r="E927" t="str">
        <f>IF(COUNTIF(data2!$D:$D,D927)=0,"Missing in Data2","Present")</f>
        <v>Present</v>
      </c>
    </row>
    <row r="928" spans="1:5" x14ac:dyDescent="0.25">
      <c r="A928" s="2" t="s">
        <v>1195</v>
      </c>
      <c r="B928" s="2" t="s">
        <v>1196</v>
      </c>
      <c r="C928" s="2">
        <v>2</v>
      </c>
      <c r="D928" t="str">
        <f t="shared" si="14"/>
        <v>CA-2014-140032_OFF-BI-10000822</v>
      </c>
      <c r="E928" t="str">
        <f>IF(COUNTIF(data2!$D:$D,D928)=0,"Missing in Data2","Present")</f>
        <v>Present</v>
      </c>
    </row>
    <row r="929" spans="1:5" x14ac:dyDescent="0.25">
      <c r="A929" s="2" t="s">
        <v>1197</v>
      </c>
      <c r="B929" s="2" t="s">
        <v>1198</v>
      </c>
      <c r="C929" s="2">
        <v>5</v>
      </c>
      <c r="D929" t="str">
        <f t="shared" si="14"/>
        <v>CA-2014-140039_OFF-ST-10001034</v>
      </c>
      <c r="E929" t="str">
        <f>IF(COUNTIF(data2!$D:$D,D929)=0,"Missing in Data2","Present")</f>
        <v>Present</v>
      </c>
    </row>
    <row r="930" spans="1:5" x14ac:dyDescent="0.25">
      <c r="A930" s="2" t="s">
        <v>1199</v>
      </c>
      <c r="B930" s="2" t="s">
        <v>571</v>
      </c>
      <c r="C930" s="2">
        <v>2</v>
      </c>
      <c r="D930" t="str">
        <f t="shared" si="14"/>
        <v>CA-2014-140165_OFF-FA-10002815</v>
      </c>
      <c r="E930" t="str">
        <f>IF(COUNTIF(data2!$D:$D,D930)=0,"Missing in Data2","Present")</f>
        <v>Present</v>
      </c>
    </row>
    <row r="931" spans="1:5" x14ac:dyDescent="0.25">
      <c r="A931" s="2" t="s">
        <v>1200</v>
      </c>
      <c r="B931" s="2" t="s">
        <v>776</v>
      </c>
      <c r="C931" s="2">
        <v>3</v>
      </c>
      <c r="D931" t="str">
        <f t="shared" si="14"/>
        <v>CA-2014-140228_OFF-LA-10001613</v>
      </c>
      <c r="E931" t="str">
        <f>IF(COUNTIF(data2!$D:$D,D931)=0,"Missing in Data2","Present")</f>
        <v>Present</v>
      </c>
    </row>
    <row r="932" spans="1:5" x14ac:dyDescent="0.25">
      <c r="A932" s="2" t="s">
        <v>1200</v>
      </c>
      <c r="B932" s="2" t="s">
        <v>1201</v>
      </c>
      <c r="C932" s="2">
        <v>2</v>
      </c>
      <c r="D932" t="str">
        <f t="shared" si="14"/>
        <v>CA-2014-140228_OFF-ST-10001128</v>
      </c>
      <c r="E932" t="str">
        <f>IF(COUNTIF(data2!$D:$D,D932)=0,"Missing in Data2","Present")</f>
        <v>Present</v>
      </c>
    </row>
    <row r="933" spans="1:5" x14ac:dyDescent="0.25">
      <c r="A933" s="2" t="s">
        <v>1200</v>
      </c>
      <c r="B933" s="2" t="s">
        <v>652</v>
      </c>
      <c r="C933" s="2">
        <v>3</v>
      </c>
      <c r="D933" t="str">
        <f t="shared" si="14"/>
        <v>CA-2014-140228_OFF-ST-10002214</v>
      </c>
      <c r="E933" t="str">
        <f>IF(COUNTIF(data2!$D:$D,D933)=0,"Missing in Data2","Present")</f>
        <v>Present</v>
      </c>
    </row>
    <row r="934" spans="1:5" x14ac:dyDescent="0.25">
      <c r="A934" s="2" t="s">
        <v>1202</v>
      </c>
      <c r="B934" s="2" t="s">
        <v>1203</v>
      </c>
      <c r="C934" s="2">
        <v>3</v>
      </c>
      <c r="D934" t="str">
        <f t="shared" si="14"/>
        <v>CA-2014-140396_OFF-BI-10003669</v>
      </c>
      <c r="E934" t="str">
        <f>IF(COUNTIF(data2!$D:$D,D934)=0,"Missing in Data2","Present")</f>
        <v>Missing in Data2</v>
      </c>
    </row>
    <row r="935" spans="1:5" x14ac:dyDescent="0.25">
      <c r="A935" s="2" t="s">
        <v>1202</v>
      </c>
      <c r="B935" s="2" t="s">
        <v>1204</v>
      </c>
      <c r="C935" s="2">
        <v>3</v>
      </c>
      <c r="D935" t="str">
        <f t="shared" si="14"/>
        <v>CA-2014-140396_OFF-EN-10002592</v>
      </c>
      <c r="E935" t="str">
        <f>IF(COUNTIF(data2!$D:$D,D935)=0,"Missing in Data2","Present")</f>
        <v>Present</v>
      </c>
    </row>
    <row r="936" spans="1:5" x14ac:dyDescent="0.25">
      <c r="A936" s="2" t="s">
        <v>1202</v>
      </c>
      <c r="B936" s="2" t="s">
        <v>812</v>
      </c>
      <c r="C936" s="2">
        <v>4</v>
      </c>
      <c r="D936" t="str">
        <f t="shared" si="14"/>
        <v>CA-2014-140396_OFF-PA-10000223</v>
      </c>
      <c r="E936" t="str">
        <f>IF(COUNTIF(data2!$D:$D,D936)=0,"Missing in Data2","Present")</f>
        <v>Present</v>
      </c>
    </row>
    <row r="937" spans="1:5" x14ac:dyDescent="0.25">
      <c r="A937" s="2" t="s">
        <v>1202</v>
      </c>
      <c r="B937" s="2" t="s">
        <v>1205</v>
      </c>
      <c r="C937" s="2">
        <v>6</v>
      </c>
      <c r="D937" t="str">
        <f t="shared" si="14"/>
        <v>CA-2014-140396_TEC-PH-10004447</v>
      </c>
      <c r="E937" t="str">
        <f>IF(COUNTIF(data2!$D:$D,D937)=0,"Missing in Data2","Present")</f>
        <v>Present</v>
      </c>
    </row>
    <row r="938" spans="1:5" x14ac:dyDescent="0.25">
      <c r="A938" s="2" t="s">
        <v>1206</v>
      </c>
      <c r="B938" s="2" t="s">
        <v>1207</v>
      </c>
      <c r="C938" s="2">
        <v>3</v>
      </c>
      <c r="D938" t="str">
        <f t="shared" si="14"/>
        <v>CA-2014-140403_FUR-CH-10002774</v>
      </c>
      <c r="E938" t="str">
        <f>IF(COUNTIF(data2!$D:$D,D938)=0,"Missing in Data2","Present")</f>
        <v>Present</v>
      </c>
    </row>
    <row r="939" spans="1:5" x14ac:dyDescent="0.25">
      <c r="A939" s="2" t="s">
        <v>1206</v>
      </c>
      <c r="B939" s="2" t="s">
        <v>909</v>
      </c>
      <c r="C939" s="2">
        <v>2</v>
      </c>
      <c r="D939" t="str">
        <f t="shared" si="14"/>
        <v>CA-2014-140403_OFF-EN-10001219</v>
      </c>
      <c r="E939" t="str">
        <f>IF(COUNTIF(data2!$D:$D,D939)=0,"Missing in Data2","Present")</f>
        <v>Present</v>
      </c>
    </row>
    <row r="940" spans="1:5" x14ac:dyDescent="0.25">
      <c r="A940" s="2" t="s">
        <v>1208</v>
      </c>
      <c r="B940" s="2" t="s">
        <v>761</v>
      </c>
      <c r="C940" s="2">
        <v>3</v>
      </c>
      <c r="D940" t="str">
        <f t="shared" si="14"/>
        <v>CA-2014-140473_TEC-CO-10004202</v>
      </c>
      <c r="E940" t="str">
        <f>IF(COUNTIF(data2!$D:$D,D940)=0,"Missing in Data2","Present")</f>
        <v>Present</v>
      </c>
    </row>
    <row r="941" spans="1:5" x14ac:dyDescent="0.25">
      <c r="A941" s="2" t="s">
        <v>1209</v>
      </c>
      <c r="B941" s="2" t="s">
        <v>1210</v>
      </c>
      <c r="C941" s="2">
        <v>3</v>
      </c>
      <c r="D941" t="str">
        <f t="shared" si="14"/>
        <v>CA-2014-140487_FUR-BO-10000711</v>
      </c>
      <c r="E941" t="str">
        <f>IF(COUNTIF(data2!$D:$D,D941)=0,"Missing in Data2","Present")</f>
        <v>Present</v>
      </c>
    </row>
    <row r="942" spans="1:5" x14ac:dyDescent="0.25">
      <c r="A942" s="2" t="s">
        <v>1211</v>
      </c>
      <c r="B942" s="2" t="s">
        <v>1212</v>
      </c>
      <c r="C942" s="2">
        <v>7</v>
      </c>
      <c r="D942" t="str">
        <f t="shared" si="14"/>
        <v>CA-2014-140662_OFF-PA-10003395</v>
      </c>
      <c r="E942" t="str">
        <f>IF(COUNTIF(data2!$D:$D,D942)=0,"Missing in Data2","Present")</f>
        <v>Present</v>
      </c>
    </row>
    <row r="943" spans="1:5" x14ac:dyDescent="0.25">
      <c r="A943" s="2" t="s">
        <v>1211</v>
      </c>
      <c r="B943" s="2" t="s">
        <v>109</v>
      </c>
      <c r="C943" s="2">
        <v>2</v>
      </c>
      <c r="D943" t="str">
        <f t="shared" si="14"/>
        <v>CA-2014-140662_TEC-AC-10001314</v>
      </c>
      <c r="E943" t="str">
        <f>IF(COUNTIF(data2!$D:$D,D943)=0,"Missing in Data2","Present")</f>
        <v>Present</v>
      </c>
    </row>
    <row r="944" spans="1:5" x14ac:dyDescent="0.25">
      <c r="A944" s="2" t="s">
        <v>1213</v>
      </c>
      <c r="B944" s="2" t="s">
        <v>1214</v>
      </c>
      <c r="C944" s="2">
        <v>4</v>
      </c>
      <c r="D944" t="str">
        <f t="shared" si="14"/>
        <v>CA-2014-140732_OFF-PA-10003625</v>
      </c>
      <c r="E944" t="str">
        <f>IF(COUNTIF(data2!$D:$D,D944)=0,"Missing in Data2","Present")</f>
        <v>Present</v>
      </c>
    </row>
    <row r="945" spans="1:5" x14ac:dyDescent="0.25">
      <c r="A945" s="2" t="s">
        <v>1213</v>
      </c>
      <c r="B945" s="2" t="s">
        <v>35</v>
      </c>
      <c r="C945" s="2">
        <v>9</v>
      </c>
      <c r="D945" t="str">
        <f t="shared" si="14"/>
        <v>CA-2014-140732_TEC-PH-10001425</v>
      </c>
      <c r="E945" t="str">
        <f>IF(COUNTIF(data2!$D:$D,D945)=0,"Missing in Data2","Present")</f>
        <v>Present</v>
      </c>
    </row>
    <row r="946" spans="1:5" x14ac:dyDescent="0.25">
      <c r="A946" s="2" t="s">
        <v>1215</v>
      </c>
      <c r="B946" s="2" t="s">
        <v>880</v>
      </c>
      <c r="C946" s="2">
        <v>6</v>
      </c>
      <c r="D946" t="str">
        <f t="shared" si="14"/>
        <v>CA-2014-140795_TEC-AC-10001432</v>
      </c>
      <c r="E946" t="str">
        <f>IF(COUNTIF(data2!$D:$D,D946)=0,"Missing in Data2","Present")</f>
        <v>Present</v>
      </c>
    </row>
    <row r="947" spans="1:5" x14ac:dyDescent="0.25">
      <c r="A947" s="2" t="s">
        <v>1216</v>
      </c>
      <c r="B947" s="2" t="s">
        <v>1217</v>
      </c>
      <c r="C947" s="2">
        <v>7</v>
      </c>
      <c r="D947" t="str">
        <f t="shared" si="14"/>
        <v>CA-2014-140816_TEC-AC-10001539</v>
      </c>
      <c r="E947" t="str">
        <f>IF(COUNTIF(data2!$D:$D,D947)=0,"Missing in Data2","Present")</f>
        <v>Present</v>
      </c>
    </row>
    <row r="948" spans="1:5" x14ac:dyDescent="0.25">
      <c r="A948" s="2" t="s">
        <v>1218</v>
      </c>
      <c r="B948" s="2" t="s">
        <v>294</v>
      </c>
      <c r="C948" s="2">
        <v>5</v>
      </c>
      <c r="D948" t="str">
        <f t="shared" si="14"/>
        <v>CA-2014-140858_FUR-CH-10001394</v>
      </c>
      <c r="E948" t="str">
        <f>IF(COUNTIF(data2!$D:$D,D948)=0,"Missing in Data2","Present")</f>
        <v>Present</v>
      </c>
    </row>
    <row r="949" spans="1:5" x14ac:dyDescent="0.25">
      <c r="A949" s="2" t="s">
        <v>1218</v>
      </c>
      <c r="B949" s="2" t="s">
        <v>982</v>
      </c>
      <c r="C949" s="2">
        <v>3</v>
      </c>
      <c r="D949" t="str">
        <f t="shared" si="14"/>
        <v>CA-2014-140858_OFF-BI-10003094</v>
      </c>
      <c r="E949" t="str">
        <f>IF(COUNTIF(data2!$D:$D,D949)=0,"Missing in Data2","Present")</f>
        <v>Present</v>
      </c>
    </row>
    <row r="950" spans="1:5" x14ac:dyDescent="0.25">
      <c r="A950" s="2" t="s">
        <v>1218</v>
      </c>
      <c r="B950" s="2" t="s">
        <v>271</v>
      </c>
      <c r="C950" s="2">
        <v>3</v>
      </c>
      <c r="D950" t="str">
        <f t="shared" si="14"/>
        <v>CA-2014-140858_OFF-BI-10004230</v>
      </c>
      <c r="E950" t="str">
        <f>IF(COUNTIF(data2!$D:$D,D950)=0,"Missing in Data2","Present")</f>
        <v>Present</v>
      </c>
    </row>
    <row r="951" spans="1:5" x14ac:dyDescent="0.25">
      <c r="A951" s="2" t="s">
        <v>1218</v>
      </c>
      <c r="B951" s="2" t="s">
        <v>1219</v>
      </c>
      <c r="C951" s="2">
        <v>8</v>
      </c>
      <c r="D951" t="str">
        <f t="shared" si="14"/>
        <v>CA-2014-140858_OFF-PA-10000304</v>
      </c>
      <c r="E951" t="str">
        <f>IF(COUNTIF(data2!$D:$D,D951)=0,"Missing in Data2","Present")</f>
        <v>Present</v>
      </c>
    </row>
    <row r="952" spans="1:5" x14ac:dyDescent="0.25">
      <c r="A952" s="2" t="s">
        <v>1218</v>
      </c>
      <c r="B952" s="2" t="s">
        <v>1212</v>
      </c>
      <c r="C952" s="2">
        <v>4</v>
      </c>
      <c r="D952" t="str">
        <f t="shared" si="14"/>
        <v>CA-2014-140858_OFF-PA-10003395</v>
      </c>
      <c r="E952" t="str">
        <f>IF(COUNTIF(data2!$D:$D,D952)=0,"Missing in Data2","Present")</f>
        <v>Present</v>
      </c>
    </row>
    <row r="953" spans="1:5" x14ac:dyDescent="0.25">
      <c r="A953" s="2" t="s">
        <v>1220</v>
      </c>
      <c r="B953" s="2" t="s">
        <v>1221</v>
      </c>
      <c r="C953" s="2">
        <v>6</v>
      </c>
      <c r="D953" t="str">
        <f t="shared" si="14"/>
        <v>CA-2014-140886_OFF-AP-10000696</v>
      </c>
      <c r="E953" t="str">
        <f>IF(COUNTIF(data2!$D:$D,D953)=0,"Missing in Data2","Present")</f>
        <v>Present</v>
      </c>
    </row>
    <row r="954" spans="1:5" x14ac:dyDescent="0.25">
      <c r="A954" s="2" t="s">
        <v>1222</v>
      </c>
      <c r="B954" s="2" t="s">
        <v>1223</v>
      </c>
      <c r="C954" s="2">
        <v>3</v>
      </c>
      <c r="D954" t="str">
        <f t="shared" si="14"/>
        <v>CA-2014-141005_OFF-BI-10001989</v>
      </c>
      <c r="E954" t="str">
        <f>IF(COUNTIF(data2!$D:$D,D954)=0,"Missing in Data2","Present")</f>
        <v>Present</v>
      </c>
    </row>
    <row r="955" spans="1:5" x14ac:dyDescent="0.25">
      <c r="A955" s="2" t="s">
        <v>1224</v>
      </c>
      <c r="B955" s="2" t="s">
        <v>647</v>
      </c>
      <c r="C955" s="2">
        <v>2</v>
      </c>
      <c r="D955" t="str">
        <f t="shared" si="14"/>
        <v>CA-2014-141110_OFF-AP-10000692</v>
      </c>
      <c r="E955" t="str">
        <f>IF(COUNTIF(data2!$D:$D,D955)=0,"Missing in Data2","Present")</f>
        <v>Present</v>
      </c>
    </row>
    <row r="956" spans="1:5" x14ac:dyDescent="0.25">
      <c r="A956" s="2" t="s">
        <v>1224</v>
      </c>
      <c r="B956" s="2" t="s">
        <v>1042</v>
      </c>
      <c r="C956" s="2">
        <v>1</v>
      </c>
      <c r="D956" t="str">
        <f t="shared" si="14"/>
        <v>CA-2014-141110_OFF-BI-10001553</v>
      </c>
      <c r="E956" t="str">
        <f>IF(COUNTIF(data2!$D:$D,D956)=0,"Missing in Data2","Present")</f>
        <v>Present</v>
      </c>
    </row>
    <row r="957" spans="1:5" x14ac:dyDescent="0.25">
      <c r="A957" s="2" t="s">
        <v>1224</v>
      </c>
      <c r="B957" s="2" t="s">
        <v>1225</v>
      </c>
      <c r="C957" s="2">
        <v>3</v>
      </c>
      <c r="D957" t="str">
        <f t="shared" si="14"/>
        <v>CA-2014-141110_OFF-BI-10002012</v>
      </c>
      <c r="E957" t="str">
        <f>IF(COUNTIF(data2!$D:$D,D957)=0,"Missing in Data2","Present")</f>
        <v>Present</v>
      </c>
    </row>
    <row r="958" spans="1:5" x14ac:dyDescent="0.25">
      <c r="A958" s="2" t="s">
        <v>1224</v>
      </c>
      <c r="B958" s="2" t="s">
        <v>1051</v>
      </c>
      <c r="C958" s="2">
        <v>3</v>
      </c>
      <c r="D958" t="str">
        <f t="shared" si="14"/>
        <v>CA-2014-141110_OFF-PA-10002586</v>
      </c>
      <c r="E958" t="str">
        <f>IF(COUNTIF(data2!$D:$D,D958)=0,"Missing in Data2","Present")</f>
        <v>Present</v>
      </c>
    </row>
    <row r="959" spans="1:5" x14ac:dyDescent="0.25">
      <c r="A959" s="2" t="s">
        <v>1226</v>
      </c>
      <c r="B959" s="2" t="s">
        <v>1227</v>
      </c>
      <c r="C959" s="2">
        <v>1</v>
      </c>
      <c r="D959" t="str">
        <f t="shared" si="14"/>
        <v>CA-2014-141152_OFF-BI-10002931</v>
      </c>
      <c r="E959" t="str">
        <f>IF(COUNTIF(data2!$D:$D,D959)=0,"Missing in Data2","Present")</f>
        <v>Present</v>
      </c>
    </row>
    <row r="960" spans="1:5" x14ac:dyDescent="0.25">
      <c r="A960" s="2" t="s">
        <v>1228</v>
      </c>
      <c r="B960" s="2" t="s">
        <v>1229</v>
      </c>
      <c r="C960" s="2">
        <v>5</v>
      </c>
      <c r="D960" t="str">
        <f t="shared" si="14"/>
        <v>CA-2014-141173_OFF-ST-10000885</v>
      </c>
      <c r="E960" t="str">
        <f>IF(COUNTIF(data2!$D:$D,D960)=0,"Missing in Data2","Present")</f>
        <v>Present</v>
      </c>
    </row>
    <row r="961" spans="1:5" x14ac:dyDescent="0.25">
      <c r="A961" s="2" t="s">
        <v>1230</v>
      </c>
      <c r="B961" s="2" t="s">
        <v>1231</v>
      </c>
      <c r="C961" s="2">
        <v>2</v>
      </c>
      <c r="D961" t="str">
        <f t="shared" si="14"/>
        <v>CA-2014-141299_OFF-EN-10004459</v>
      </c>
      <c r="E961" t="str">
        <f>IF(COUNTIF(data2!$D:$D,D961)=0,"Missing in Data2","Present")</f>
        <v>Present</v>
      </c>
    </row>
    <row r="962" spans="1:5" x14ac:dyDescent="0.25">
      <c r="A962" s="2" t="s">
        <v>1232</v>
      </c>
      <c r="B962" s="2" t="s">
        <v>1233</v>
      </c>
      <c r="C962" s="2">
        <v>6</v>
      </c>
      <c r="D962" t="str">
        <f t="shared" si="14"/>
        <v>CA-2014-141313_OFF-AP-10002651</v>
      </c>
      <c r="E962" t="str">
        <f>IF(COUNTIF(data2!$D:$D,D962)=0,"Missing in Data2","Present")</f>
        <v>Present</v>
      </c>
    </row>
    <row r="963" spans="1:5" x14ac:dyDescent="0.25">
      <c r="A963" s="2" t="s">
        <v>1232</v>
      </c>
      <c r="B963" s="2" t="s">
        <v>1234</v>
      </c>
      <c r="C963" s="2">
        <v>4</v>
      </c>
      <c r="D963" t="str">
        <f t="shared" ref="D963:D1026" si="15">A963&amp;"_"&amp;B963</f>
        <v>CA-2014-141313_OFF-PA-10003302</v>
      </c>
      <c r="E963" t="str">
        <f>IF(COUNTIF(data2!$D:$D,D963)=0,"Missing in Data2","Present")</f>
        <v>Present</v>
      </c>
    </row>
    <row r="964" spans="1:5" x14ac:dyDescent="0.25">
      <c r="A964" s="2" t="s">
        <v>1232</v>
      </c>
      <c r="B964" s="2" t="s">
        <v>1235</v>
      </c>
      <c r="C964" s="2">
        <v>5</v>
      </c>
      <c r="D964" t="str">
        <f t="shared" si="15"/>
        <v>CA-2014-141313_OFF-ST-10000689</v>
      </c>
      <c r="E964" t="str">
        <f>IF(COUNTIF(data2!$D:$D,D964)=0,"Missing in Data2","Present")</f>
        <v>Present</v>
      </c>
    </row>
    <row r="965" spans="1:5" x14ac:dyDescent="0.25">
      <c r="A965" s="2" t="s">
        <v>1236</v>
      </c>
      <c r="B965" s="2" t="s">
        <v>210</v>
      </c>
      <c r="C965" s="2">
        <v>2</v>
      </c>
      <c r="D965" t="str">
        <f t="shared" si="15"/>
        <v>CA-2014-141355_OFF-AR-10003179</v>
      </c>
      <c r="E965" t="str">
        <f>IF(COUNTIF(data2!$D:$D,D965)=0,"Missing in Data2","Present")</f>
        <v>Present</v>
      </c>
    </row>
    <row r="966" spans="1:5" x14ac:dyDescent="0.25">
      <c r="A966" s="2" t="s">
        <v>1237</v>
      </c>
      <c r="B966" s="2" t="s">
        <v>1238</v>
      </c>
      <c r="C966" s="2">
        <v>1</v>
      </c>
      <c r="D966" t="str">
        <f t="shared" si="15"/>
        <v>CA-2014-141607_FUR-FU-10003975</v>
      </c>
      <c r="E966" t="str">
        <f>IF(COUNTIF(data2!$D:$D,D966)=0,"Missing in Data2","Present")</f>
        <v>Missing in Data2</v>
      </c>
    </row>
    <row r="967" spans="1:5" x14ac:dyDescent="0.25">
      <c r="A967" s="2" t="s">
        <v>1239</v>
      </c>
      <c r="B967" s="2" t="s">
        <v>1240</v>
      </c>
      <c r="C967" s="2">
        <v>6</v>
      </c>
      <c r="D967" t="str">
        <f t="shared" si="15"/>
        <v>CA-2014-141649_OFF-AP-10003217</v>
      </c>
      <c r="E967" t="str">
        <f>IF(COUNTIF(data2!$D:$D,D967)=0,"Missing in Data2","Present")</f>
        <v>Present</v>
      </c>
    </row>
    <row r="968" spans="1:5" x14ac:dyDescent="0.25">
      <c r="A968" s="2" t="s">
        <v>1241</v>
      </c>
      <c r="B968" s="2" t="s">
        <v>1242</v>
      </c>
      <c r="C968" s="2">
        <v>3</v>
      </c>
      <c r="D968" t="str">
        <f t="shared" si="15"/>
        <v>CA-2014-141726_FUR-FU-10003577</v>
      </c>
      <c r="E968" t="str">
        <f>IF(COUNTIF(data2!$D:$D,D968)=0,"Missing in Data2","Present")</f>
        <v>Present</v>
      </c>
    </row>
    <row r="969" spans="1:5" x14ac:dyDescent="0.25">
      <c r="A969" s="2" t="s">
        <v>1241</v>
      </c>
      <c r="B969" s="2" t="s">
        <v>274</v>
      </c>
      <c r="C969" s="2">
        <v>2</v>
      </c>
      <c r="D969" t="str">
        <f t="shared" si="15"/>
        <v>CA-2014-141726_OFF-BI-10001982</v>
      </c>
      <c r="E969" t="str">
        <f>IF(COUNTIF(data2!$D:$D,D969)=0,"Missing in Data2","Present")</f>
        <v>Present</v>
      </c>
    </row>
    <row r="970" spans="1:5" x14ac:dyDescent="0.25">
      <c r="A970" s="2" t="s">
        <v>1241</v>
      </c>
      <c r="B970" s="2" t="s">
        <v>1243</v>
      </c>
      <c r="C970" s="2">
        <v>1</v>
      </c>
      <c r="D970" t="str">
        <f t="shared" si="15"/>
        <v>CA-2014-141726_OFF-PA-10000418</v>
      </c>
      <c r="E970" t="str">
        <f>IF(COUNTIF(data2!$D:$D,D970)=0,"Missing in Data2","Present")</f>
        <v>Present</v>
      </c>
    </row>
    <row r="971" spans="1:5" x14ac:dyDescent="0.25">
      <c r="A971" s="2" t="s">
        <v>1241</v>
      </c>
      <c r="B971" s="2" t="s">
        <v>1244</v>
      </c>
      <c r="C971" s="2">
        <v>4</v>
      </c>
      <c r="D971" t="str">
        <f t="shared" si="15"/>
        <v>CA-2014-141726_OFF-PA-10002230</v>
      </c>
      <c r="E971" t="str">
        <f>IF(COUNTIF(data2!$D:$D,D971)=0,"Missing in Data2","Present")</f>
        <v>Present</v>
      </c>
    </row>
    <row r="972" spans="1:5" x14ac:dyDescent="0.25">
      <c r="A972" s="2" t="s">
        <v>1245</v>
      </c>
      <c r="B972" s="2" t="s">
        <v>1246</v>
      </c>
      <c r="C972" s="2">
        <v>3</v>
      </c>
      <c r="D972" t="str">
        <f t="shared" si="15"/>
        <v>CA-2014-141817_OFF-AR-10003478</v>
      </c>
      <c r="E972" t="str">
        <f>IF(COUNTIF(data2!$D:$D,D972)=0,"Missing in Data2","Present")</f>
        <v>Present</v>
      </c>
    </row>
    <row r="973" spans="1:5" x14ac:dyDescent="0.25">
      <c r="A973" s="2" t="s">
        <v>1247</v>
      </c>
      <c r="B973" s="2" t="s">
        <v>1248</v>
      </c>
      <c r="C973" s="2">
        <v>2</v>
      </c>
      <c r="D973" t="str">
        <f t="shared" si="15"/>
        <v>CA-2014-141838_OFF-AR-10004272</v>
      </c>
      <c r="E973" t="str">
        <f>IF(COUNTIF(data2!$D:$D,D973)=0,"Missing in Data2","Present")</f>
        <v>Present</v>
      </c>
    </row>
    <row r="974" spans="1:5" x14ac:dyDescent="0.25">
      <c r="A974" s="2" t="s">
        <v>1247</v>
      </c>
      <c r="B974" s="2" t="s">
        <v>485</v>
      </c>
      <c r="C974" s="2">
        <v>4</v>
      </c>
      <c r="D974" t="str">
        <f t="shared" si="15"/>
        <v>CA-2014-141838_OFF-BI-10003291</v>
      </c>
      <c r="E974" t="str">
        <f>IF(COUNTIF(data2!$D:$D,D974)=0,"Missing in Data2","Present")</f>
        <v>Present</v>
      </c>
    </row>
    <row r="975" spans="1:5" x14ac:dyDescent="0.25">
      <c r="A975" s="2" t="s">
        <v>1247</v>
      </c>
      <c r="B975" s="2" t="s">
        <v>347</v>
      </c>
      <c r="C975" s="2">
        <v>2</v>
      </c>
      <c r="D975" t="str">
        <f t="shared" si="15"/>
        <v>CA-2014-141838_TEC-PH-10004100</v>
      </c>
      <c r="E975" t="str">
        <f>IF(COUNTIF(data2!$D:$D,D975)=0,"Missing in Data2","Present")</f>
        <v>Present</v>
      </c>
    </row>
    <row r="976" spans="1:5" x14ac:dyDescent="0.25">
      <c r="A976" s="2" t="s">
        <v>1249</v>
      </c>
      <c r="B976" s="2" t="s">
        <v>1250</v>
      </c>
      <c r="C976" s="2">
        <v>1</v>
      </c>
      <c r="D976" t="str">
        <f t="shared" si="15"/>
        <v>CA-2014-141901_OFF-PA-10001667</v>
      </c>
      <c r="E976" t="str">
        <f>IF(COUNTIF(data2!$D:$D,D976)=0,"Missing in Data2","Present")</f>
        <v>Present</v>
      </c>
    </row>
    <row r="977" spans="1:5" x14ac:dyDescent="0.25">
      <c r="A977" s="2" t="s">
        <v>1251</v>
      </c>
      <c r="B977" s="2" t="s">
        <v>1252</v>
      </c>
      <c r="C977" s="2">
        <v>6</v>
      </c>
      <c r="D977" t="str">
        <f t="shared" si="15"/>
        <v>CA-2014-142048_TEC-AC-10004114</v>
      </c>
      <c r="E977" t="str">
        <f>IF(COUNTIF(data2!$D:$D,D977)=0,"Missing in Data2","Present")</f>
        <v>Present</v>
      </c>
    </row>
    <row r="978" spans="1:5" x14ac:dyDescent="0.25">
      <c r="A978" s="2" t="s">
        <v>1253</v>
      </c>
      <c r="B978" s="2" t="s">
        <v>514</v>
      </c>
      <c r="C978" s="2">
        <v>11</v>
      </c>
      <c r="D978" t="str">
        <f t="shared" si="15"/>
        <v>CA-2014-142314_OFF-AP-10002350</v>
      </c>
      <c r="E978" t="str">
        <f>IF(COUNTIF(data2!$D:$D,D978)=0,"Missing in Data2","Present")</f>
        <v>Missing in Data2</v>
      </c>
    </row>
    <row r="979" spans="1:5" x14ac:dyDescent="0.25">
      <c r="A979" s="2" t="s">
        <v>1254</v>
      </c>
      <c r="B979" s="2" t="s">
        <v>1255</v>
      </c>
      <c r="C979" s="2">
        <v>6</v>
      </c>
      <c r="D979" t="str">
        <f t="shared" si="15"/>
        <v>CA-2014-142510_OFF-BI-10002824</v>
      </c>
      <c r="E979" t="str">
        <f>IF(COUNTIF(data2!$D:$D,D979)=0,"Missing in Data2","Present")</f>
        <v>Present</v>
      </c>
    </row>
    <row r="980" spans="1:5" x14ac:dyDescent="0.25">
      <c r="A980" s="2" t="s">
        <v>1254</v>
      </c>
      <c r="B980" s="2" t="s">
        <v>789</v>
      </c>
      <c r="C980" s="2">
        <v>4</v>
      </c>
      <c r="D980" t="str">
        <f t="shared" si="15"/>
        <v>CA-2014-142510_OFF-PA-10001289</v>
      </c>
      <c r="E980" t="str">
        <f>IF(COUNTIF(data2!$D:$D,D980)=0,"Missing in Data2","Present")</f>
        <v>Present</v>
      </c>
    </row>
    <row r="981" spans="1:5" x14ac:dyDescent="0.25">
      <c r="A981" s="2" t="s">
        <v>1254</v>
      </c>
      <c r="B981" s="2" t="s">
        <v>254</v>
      </c>
      <c r="C981" s="2">
        <v>1</v>
      </c>
      <c r="D981" t="str">
        <f t="shared" si="15"/>
        <v>CA-2014-142510_OFF-ST-10000585</v>
      </c>
      <c r="E981" t="str">
        <f>IF(COUNTIF(data2!$D:$D,D981)=0,"Missing in Data2","Present")</f>
        <v>Present</v>
      </c>
    </row>
    <row r="982" spans="1:5" x14ac:dyDescent="0.25">
      <c r="A982" s="2" t="s">
        <v>1256</v>
      </c>
      <c r="B982" s="2" t="s">
        <v>326</v>
      </c>
      <c r="C982" s="2">
        <v>4</v>
      </c>
      <c r="D982" t="str">
        <f t="shared" si="15"/>
        <v>CA-2014-142587_OFF-AP-10004708</v>
      </c>
      <c r="E982" t="str">
        <f>IF(COUNTIF(data2!$D:$D,D982)=0,"Missing in Data2","Present")</f>
        <v>Present</v>
      </c>
    </row>
    <row r="983" spans="1:5" x14ac:dyDescent="0.25">
      <c r="A983" s="2" t="s">
        <v>1257</v>
      </c>
      <c r="B983" s="2" t="s">
        <v>1258</v>
      </c>
      <c r="C983" s="2">
        <v>2</v>
      </c>
      <c r="D983" t="str">
        <f t="shared" si="15"/>
        <v>CA-2014-142727_FUR-CH-10002304</v>
      </c>
      <c r="E983" t="str">
        <f>IF(COUNTIF(data2!$D:$D,D983)=0,"Missing in Data2","Present")</f>
        <v>Present</v>
      </c>
    </row>
    <row r="984" spans="1:5" x14ac:dyDescent="0.25">
      <c r="A984" s="2" t="s">
        <v>1257</v>
      </c>
      <c r="B984" s="2" t="s">
        <v>618</v>
      </c>
      <c r="C984" s="2">
        <v>3</v>
      </c>
      <c r="D984" t="str">
        <f t="shared" si="15"/>
        <v>CA-2014-142727_OFF-BI-10000136</v>
      </c>
      <c r="E984" t="str">
        <f>IF(COUNTIF(data2!$D:$D,D984)=0,"Missing in Data2","Present")</f>
        <v>Present</v>
      </c>
    </row>
    <row r="985" spans="1:5" x14ac:dyDescent="0.25">
      <c r="A985" s="2" t="s">
        <v>1259</v>
      </c>
      <c r="B985" s="2" t="s">
        <v>1260</v>
      </c>
      <c r="C985" s="2">
        <v>3</v>
      </c>
      <c r="D985" t="str">
        <f t="shared" si="15"/>
        <v>CA-2014-142769_FUR-FU-10001918</v>
      </c>
      <c r="E985" t="str">
        <f>IF(COUNTIF(data2!$D:$D,D985)=0,"Missing in Data2","Present")</f>
        <v>Present</v>
      </c>
    </row>
    <row r="986" spans="1:5" x14ac:dyDescent="0.25">
      <c r="A986" s="2" t="s">
        <v>1259</v>
      </c>
      <c r="B986" s="2" t="s">
        <v>1261</v>
      </c>
      <c r="C986" s="2">
        <v>2</v>
      </c>
      <c r="D986" t="str">
        <f t="shared" si="15"/>
        <v>CA-2014-142769_OFF-AP-10004785</v>
      </c>
      <c r="E986" t="str">
        <f>IF(COUNTIF(data2!$D:$D,D986)=0,"Missing in Data2","Present")</f>
        <v>Present</v>
      </c>
    </row>
    <row r="987" spans="1:5" x14ac:dyDescent="0.25">
      <c r="A987" s="2" t="s">
        <v>1259</v>
      </c>
      <c r="B987" s="2" t="s">
        <v>430</v>
      </c>
      <c r="C987" s="2">
        <v>5</v>
      </c>
      <c r="D987" t="str">
        <f t="shared" si="15"/>
        <v>CA-2014-142769_OFF-FA-10000840</v>
      </c>
      <c r="E987" t="str">
        <f>IF(COUNTIF(data2!$D:$D,D987)=0,"Missing in Data2","Present")</f>
        <v>Present</v>
      </c>
    </row>
    <row r="988" spans="1:5" x14ac:dyDescent="0.25">
      <c r="A988" s="2" t="s">
        <v>1259</v>
      </c>
      <c r="B988" s="2" t="s">
        <v>1262</v>
      </c>
      <c r="C988" s="2">
        <v>1</v>
      </c>
      <c r="D988" t="str">
        <f t="shared" si="15"/>
        <v>CA-2014-142769_OFF-PA-10002923</v>
      </c>
      <c r="E988" t="str">
        <f>IF(COUNTIF(data2!$D:$D,D988)=0,"Missing in Data2","Present")</f>
        <v>Present</v>
      </c>
    </row>
    <row r="989" spans="1:5" x14ac:dyDescent="0.25">
      <c r="A989" s="2" t="s">
        <v>1259</v>
      </c>
      <c r="B989" s="2" t="s">
        <v>911</v>
      </c>
      <c r="C989" s="2">
        <v>2</v>
      </c>
      <c r="D989" t="str">
        <f t="shared" si="15"/>
        <v>CA-2014-142769_OFF-SU-10001574</v>
      </c>
      <c r="E989" t="str">
        <f>IF(COUNTIF(data2!$D:$D,D989)=0,"Missing in Data2","Present")</f>
        <v>Present</v>
      </c>
    </row>
    <row r="990" spans="1:5" x14ac:dyDescent="0.25">
      <c r="A990" s="2" t="s">
        <v>1259</v>
      </c>
      <c r="B990" s="2" t="s">
        <v>1263</v>
      </c>
      <c r="C990" s="2">
        <v>2</v>
      </c>
      <c r="D990" t="str">
        <f t="shared" si="15"/>
        <v>CA-2014-142769_TEC-AC-10000865</v>
      </c>
      <c r="E990" t="str">
        <f>IF(COUNTIF(data2!$D:$D,D990)=0,"Missing in Data2","Present")</f>
        <v>Present</v>
      </c>
    </row>
    <row r="991" spans="1:5" x14ac:dyDescent="0.25">
      <c r="A991" s="2" t="s">
        <v>1259</v>
      </c>
      <c r="B991" s="2" t="s">
        <v>1128</v>
      </c>
      <c r="C991" s="2">
        <v>2</v>
      </c>
      <c r="D991" t="str">
        <f t="shared" si="15"/>
        <v>CA-2014-142769_TEC-AC-10001606</v>
      </c>
      <c r="E991" t="str">
        <f>IF(COUNTIF(data2!$D:$D,D991)=0,"Missing in Data2","Present")</f>
        <v>Present</v>
      </c>
    </row>
    <row r="992" spans="1:5" x14ac:dyDescent="0.25">
      <c r="A992" s="2" t="s">
        <v>1259</v>
      </c>
      <c r="B992" s="2" t="s">
        <v>382</v>
      </c>
      <c r="C992" s="2">
        <v>4</v>
      </c>
      <c r="D992" t="str">
        <f t="shared" si="15"/>
        <v>CA-2014-142769_TEC-AC-10003399</v>
      </c>
      <c r="E992" t="str">
        <f>IF(COUNTIF(data2!$D:$D,D992)=0,"Missing in Data2","Present")</f>
        <v>Present</v>
      </c>
    </row>
    <row r="993" spans="1:5" x14ac:dyDescent="0.25">
      <c r="A993" s="2" t="s">
        <v>1264</v>
      </c>
      <c r="B993" s="2" t="s">
        <v>544</v>
      </c>
      <c r="C993" s="2">
        <v>6</v>
      </c>
      <c r="D993" t="str">
        <f t="shared" si="15"/>
        <v>CA-2014-142839_FUR-TA-10001539</v>
      </c>
      <c r="E993" t="str">
        <f>IF(COUNTIF(data2!$D:$D,D993)=0,"Missing in Data2","Present")</f>
        <v>Present</v>
      </c>
    </row>
    <row r="994" spans="1:5" x14ac:dyDescent="0.25">
      <c r="A994" s="2" t="s">
        <v>1265</v>
      </c>
      <c r="B994" s="2" t="s">
        <v>1266</v>
      </c>
      <c r="C994" s="2">
        <v>3</v>
      </c>
      <c r="D994" t="str">
        <f t="shared" si="15"/>
        <v>CA-2014-142951_TEC-AC-10002331</v>
      </c>
      <c r="E994" t="str">
        <f>IF(COUNTIF(data2!$D:$D,D994)=0,"Missing in Data2","Present")</f>
        <v>Present</v>
      </c>
    </row>
    <row r="995" spans="1:5" x14ac:dyDescent="0.25">
      <c r="A995" s="2" t="s">
        <v>1267</v>
      </c>
      <c r="B995" s="2" t="s">
        <v>859</v>
      </c>
      <c r="C995" s="2">
        <v>3</v>
      </c>
      <c r="D995" t="str">
        <f t="shared" si="15"/>
        <v>CA-2014-142965_OFF-BI-10000977</v>
      </c>
      <c r="E995" t="str">
        <f>IF(COUNTIF(data2!$D:$D,D995)=0,"Missing in Data2","Present")</f>
        <v>Present</v>
      </c>
    </row>
    <row r="996" spans="1:5" x14ac:dyDescent="0.25">
      <c r="A996" s="2" t="s">
        <v>1267</v>
      </c>
      <c r="B996" s="2" t="s">
        <v>1268</v>
      </c>
      <c r="C996" s="2">
        <v>1</v>
      </c>
      <c r="D996" t="str">
        <f t="shared" si="15"/>
        <v>CA-2014-142965_OFF-ST-10002583</v>
      </c>
      <c r="E996" t="str">
        <f>IF(COUNTIF(data2!$D:$D,D996)=0,"Missing in Data2","Present")</f>
        <v>Present</v>
      </c>
    </row>
    <row r="997" spans="1:5" x14ac:dyDescent="0.25">
      <c r="A997" s="2" t="s">
        <v>1269</v>
      </c>
      <c r="B997" s="2" t="s">
        <v>1270</v>
      </c>
      <c r="C997" s="2">
        <v>2</v>
      </c>
      <c r="D997" t="str">
        <f t="shared" si="15"/>
        <v>CA-2014-142979_OFF-AR-10002987</v>
      </c>
      <c r="E997" t="str">
        <f>IF(COUNTIF(data2!$D:$D,D997)=0,"Missing in Data2","Present")</f>
        <v>Present</v>
      </c>
    </row>
    <row r="998" spans="1:5" x14ac:dyDescent="0.25">
      <c r="A998" s="2" t="s">
        <v>1271</v>
      </c>
      <c r="B998" s="2" t="s">
        <v>1272</v>
      </c>
      <c r="C998" s="2">
        <v>1</v>
      </c>
      <c r="D998" t="str">
        <f t="shared" si="15"/>
        <v>CA-2014-143168_OFF-BI-10003784</v>
      </c>
      <c r="E998" t="str">
        <f>IF(COUNTIF(data2!$D:$D,D998)=0,"Missing in Data2","Present")</f>
        <v>Present</v>
      </c>
    </row>
    <row r="999" spans="1:5" x14ac:dyDescent="0.25">
      <c r="A999" s="2" t="s">
        <v>1271</v>
      </c>
      <c r="B999" s="2" t="s">
        <v>1273</v>
      </c>
      <c r="C999" s="2">
        <v>2</v>
      </c>
      <c r="D999" t="str">
        <f t="shared" si="15"/>
        <v>CA-2014-143168_OFF-PA-10000167</v>
      </c>
      <c r="E999" t="str">
        <f>IF(COUNTIF(data2!$D:$D,D999)=0,"Missing in Data2","Present")</f>
        <v>Present</v>
      </c>
    </row>
    <row r="1000" spans="1:5" x14ac:dyDescent="0.25">
      <c r="A1000" s="2" t="s">
        <v>1274</v>
      </c>
      <c r="B1000" s="2" t="s">
        <v>461</v>
      </c>
      <c r="C1000" s="2">
        <v>1</v>
      </c>
      <c r="D1000" t="str">
        <f t="shared" si="15"/>
        <v>CA-2014-143182_FUR-FU-10004270</v>
      </c>
      <c r="E1000" t="str">
        <f>IF(COUNTIF(data2!$D:$D,D1000)=0,"Missing in Data2","Present")</f>
        <v>Present</v>
      </c>
    </row>
    <row r="1001" spans="1:5" x14ac:dyDescent="0.25">
      <c r="A1001" s="2" t="s">
        <v>1275</v>
      </c>
      <c r="B1001" s="2" t="s">
        <v>21</v>
      </c>
      <c r="C1001" s="2">
        <v>2</v>
      </c>
      <c r="D1001" t="str">
        <f t="shared" si="15"/>
        <v>CA-2014-143210_FUR-FU-10002268</v>
      </c>
      <c r="E1001" t="str">
        <f>IF(COUNTIF(data2!$D:$D,D1001)=0,"Missing in Data2","Present")</f>
        <v>Present</v>
      </c>
    </row>
    <row r="1002" spans="1:5" x14ac:dyDescent="0.25">
      <c r="A1002" s="2" t="s">
        <v>1275</v>
      </c>
      <c r="B1002" s="2" t="s">
        <v>1276</v>
      </c>
      <c r="C1002" s="2">
        <v>3</v>
      </c>
      <c r="D1002" t="str">
        <f t="shared" si="15"/>
        <v>CA-2014-143210_FUR-FU-10003878</v>
      </c>
      <c r="E1002" t="str">
        <f>IF(COUNTIF(data2!$D:$D,D1002)=0,"Missing in Data2","Present")</f>
        <v>Present</v>
      </c>
    </row>
    <row r="1003" spans="1:5" x14ac:dyDescent="0.25">
      <c r="A1003" s="2" t="s">
        <v>1275</v>
      </c>
      <c r="B1003" s="2" t="s">
        <v>98</v>
      </c>
      <c r="C1003" s="2">
        <v>2</v>
      </c>
      <c r="D1003" t="str">
        <f t="shared" si="15"/>
        <v>CA-2014-143210_TEC-PH-10004434</v>
      </c>
      <c r="E1003" t="str">
        <f>IF(COUNTIF(data2!$D:$D,D1003)=0,"Missing in Data2","Present")</f>
        <v>Present</v>
      </c>
    </row>
    <row r="1004" spans="1:5" x14ac:dyDescent="0.25">
      <c r="A1004" s="2" t="s">
        <v>1277</v>
      </c>
      <c r="B1004" s="2" t="s">
        <v>1278</v>
      </c>
      <c r="C1004" s="2">
        <v>2</v>
      </c>
      <c r="D1004" t="str">
        <f t="shared" si="15"/>
        <v>CA-2014-143336_OFF-AR-10003056</v>
      </c>
      <c r="E1004" t="str">
        <f>IF(COUNTIF(data2!$D:$D,D1004)=0,"Missing in Data2","Present")</f>
        <v>Present</v>
      </c>
    </row>
    <row r="1005" spans="1:5" x14ac:dyDescent="0.25">
      <c r="A1005" s="2" t="s">
        <v>1277</v>
      </c>
      <c r="B1005" s="2" t="s">
        <v>1279</v>
      </c>
      <c r="C1005" s="2">
        <v>4</v>
      </c>
      <c r="D1005" t="str">
        <f t="shared" si="15"/>
        <v>CA-2014-143336_OFF-BI-10002215</v>
      </c>
      <c r="E1005" t="str">
        <f>IF(COUNTIF(data2!$D:$D,D1005)=0,"Missing in Data2","Present")</f>
        <v>Present</v>
      </c>
    </row>
    <row r="1006" spans="1:5" x14ac:dyDescent="0.25">
      <c r="A1006" s="2" t="s">
        <v>1277</v>
      </c>
      <c r="B1006" s="2" t="s">
        <v>1280</v>
      </c>
      <c r="C1006" s="2">
        <v>3</v>
      </c>
      <c r="D1006" t="str">
        <f t="shared" si="15"/>
        <v>CA-2014-143336_TEC-PH-10001949</v>
      </c>
      <c r="E1006" t="str">
        <f>IF(COUNTIF(data2!$D:$D,D1006)=0,"Missing in Data2","Present")</f>
        <v>Present</v>
      </c>
    </row>
    <row r="1007" spans="1:5" x14ac:dyDescent="0.25">
      <c r="A1007" s="2" t="s">
        <v>1281</v>
      </c>
      <c r="B1007" s="2" t="s">
        <v>1201</v>
      </c>
      <c r="C1007" s="2">
        <v>9</v>
      </c>
      <c r="D1007" t="str">
        <f t="shared" si="15"/>
        <v>CA-2014-143371_OFF-ST-10001128</v>
      </c>
      <c r="E1007" t="str">
        <f>IF(COUNTIF(data2!$D:$D,D1007)=0,"Missing in Data2","Present")</f>
        <v>Present</v>
      </c>
    </row>
    <row r="1008" spans="1:5" x14ac:dyDescent="0.25">
      <c r="A1008" s="2" t="s">
        <v>1281</v>
      </c>
      <c r="B1008" s="2" t="s">
        <v>803</v>
      </c>
      <c r="C1008" s="2">
        <v>5</v>
      </c>
      <c r="D1008" t="str">
        <f t="shared" si="15"/>
        <v>CA-2014-143371_OFF-SU-10002537</v>
      </c>
      <c r="E1008" t="str">
        <f>IF(COUNTIF(data2!$D:$D,D1008)=0,"Missing in Data2","Present")</f>
        <v>Present</v>
      </c>
    </row>
    <row r="1009" spans="1:5" x14ac:dyDescent="0.25">
      <c r="A1009" s="2" t="s">
        <v>1282</v>
      </c>
      <c r="B1009" s="2" t="s">
        <v>872</v>
      </c>
      <c r="C1009" s="2">
        <v>9</v>
      </c>
      <c r="D1009" t="str">
        <f t="shared" si="15"/>
        <v>CA-2014-143385_TEC-AC-10001635</v>
      </c>
      <c r="E1009" t="str">
        <f>IF(COUNTIF(data2!$D:$D,D1009)=0,"Missing in Data2","Present")</f>
        <v>Present</v>
      </c>
    </row>
    <row r="1010" spans="1:5" x14ac:dyDescent="0.25">
      <c r="A1010" s="2" t="s">
        <v>1283</v>
      </c>
      <c r="B1010" s="2" t="s">
        <v>1284</v>
      </c>
      <c r="C1010" s="2">
        <v>3</v>
      </c>
      <c r="D1010" t="str">
        <f t="shared" si="15"/>
        <v>CA-2014-143413_OFF-PA-10002319</v>
      </c>
      <c r="E1010" t="str">
        <f>IF(COUNTIF(data2!$D:$D,D1010)=0,"Missing in Data2","Present")</f>
        <v>Present</v>
      </c>
    </row>
    <row r="1011" spans="1:5" x14ac:dyDescent="0.25">
      <c r="A1011" s="2" t="s">
        <v>1285</v>
      </c>
      <c r="B1011" s="2" t="s">
        <v>1286</v>
      </c>
      <c r="C1011" s="2">
        <v>2</v>
      </c>
      <c r="D1011" t="str">
        <f t="shared" si="15"/>
        <v>CA-2014-143637_FUR-FU-10002813</v>
      </c>
      <c r="E1011" t="str">
        <f>IF(COUNTIF(data2!$D:$D,D1011)=0,"Missing in Data2","Present")</f>
        <v>Present</v>
      </c>
    </row>
    <row r="1012" spans="1:5" x14ac:dyDescent="0.25">
      <c r="A1012" s="2" t="s">
        <v>1287</v>
      </c>
      <c r="B1012" s="2" t="s">
        <v>1288</v>
      </c>
      <c r="C1012" s="2">
        <v>1</v>
      </c>
      <c r="D1012" t="str">
        <f t="shared" si="15"/>
        <v>CA-2014-143840_TEC-PH-10003171</v>
      </c>
      <c r="E1012" t="str">
        <f>IF(COUNTIF(data2!$D:$D,D1012)=0,"Missing in Data2","Present")</f>
        <v>Present</v>
      </c>
    </row>
    <row r="1013" spans="1:5" x14ac:dyDescent="0.25">
      <c r="A1013" s="2" t="s">
        <v>1289</v>
      </c>
      <c r="B1013" s="2" t="s">
        <v>561</v>
      </c>
      <c r="C1013" s="2">
        <v>2</v>
      </c>
      <c r="D1013" t="str">
        <f t="shared" si="15"/>
        <v>CA-2014-143903_FUR-CH-10002024</v>
      </c>
      <c r="E1013" t="str">
        <f>IF(COUNTIF(data2!$D:$D,D1013)=0,"Missing in Data2","Present")</f>
        <v>Present</v>
      </c>
    </row>
    <row r="1014" spans="1:5" x14ac:dyDescent="0.25">
      <c r="A1014" s="2" t="s">
        <v>1289</v>
      </c>
      <c r="B1014" s="2" t="s">
        <v>1290</v>
      </c>
      <c r="C1014" s="2">
        <v>5</v>
      </c>
      <c r="D1014" t="str">
        <f t="shared" si="15"/>
        <v>CA-2014-143903_FUR-FU-10003724</v>
      </c>
      <c r="E1014" t="str">
        <f>IF(COUNTIF(data2!$D:$D,D1014)=0,"Missing in Data2","Present")</f>
        <v>Present</v>
      </c>
    </row>
    <row r="1015" spans="1:5" x14ac:dyDescent="0.25">
      <c r="A1015" s="2" t="s">
        <v>1289</v>
      </c>
      <c r="B1015" s="2" t="s">
        <v>1291</v>
      </c>
      <c r="C1015" s="2">
        <v>3</v>
      </c>
      <c r="D1015" t="str">
        <f t="shared" si="15"/>
        <v>CA-2014-143903_OFF-ST-10003306</v>
      </c>
      <c r="E1015" t="str">
        <f>IF(COUNTIF(data2!$D:$D,D1015)=0,"Missing in Data2","Present")</f>
        <v>Present</v>
      </c>
    </row>
    <row r="1016" spans="1:5" x14ac:dyDescent="0.25">
      <c r="A1016" s="2" t="s">
        <v>1292</v>
      </c>
      <c r="B1016" s="2" t="s">
        <v>1293</v>
      </c>
      <c r="C1016" s="2">
        <v>8</v>
      </c>
      <c r="D1016" t="str">
        <f t="shared" si="15"/>
        <v>CA-2014-143917_FUR-FU-10004351</v>
      </c>
      <c r="E1016" t="str">
        <f>IF(COUNTIF(data2!$D:$D,D1016)=0,"Missing in Data2","Present")</f>
        <v>Present</v>
      </c>
    </row>
    <row r="1017" spans="1:5" x14ac:dyDescent="0.25">
      <c r="A1017" s="2" t="s">
        <v>1292</v>
      </c>
      <c r="B1017" s="2" t="s">
        <v>1024</v>
      </c>
      <c r="C1017" s="2">
        <v>4</v>
      </c>
      <c r="D1017" t="str">
        <f t="shared" si="15"/>
        <v>CA-2014-143917_OFF-ST-10001228</v>
      </c>
      <c r="E1017" t="str">
        <f>IF(COUNTIF(data2!$D:$D,D1017)=0,"Missing in Data2","Present")</f>
        <v>Present</v>
      </c>
    </row>
    <row r="1018" spans="1:5" x14ac:dyDescent="0.25">
      <c r="A1018" s="2" t="s">
        <v>1292</v>
      </c>
      <c r="B1018" s="2" t="s">
        <v>1294</v>
      </c>
      <c r="C1018" s="2">
        <v>5</v>
      </c>
      <c r="D1018" t="str">
        <f t="shared" si="15"/>
        <v>CA-2014-143917_OFF-SU-10000151</v>
      </c>
      <c r="E1018" t="str">
        <f>IF(COUNTIF(data2!$D:$D,D1018)=0,"Missing in Data2","Present")</f>
        <v>Present</v>
      </c>
    </row>
    <row r="1019" spans="1:5" x14ac:dyDescent="0.25">
      <c r="A1019" s="2" t="s">
        <v>1295</v>
      </c>
      <c r="B1019" s="2" t="s">
        <v>1296</v>
      </c>
      <c r="C1019" s="2">
        <v>2</v>
      </c>
      <c r="D1019" t="str">
        <f t="shared" si="15"/>
        <v>CA-2014-144029_FUR-CH-10003981</v>
      </c>
      <c r="E1019" t="str">
        <f>IF(COUNTIF(data2!$D:$D,D1019)=0,"Missing in Data2","Present")</f>
        <v>Present</v>
      </c>
    </row>
    <row r="1020" spans="1:5" x14ac:dyDescent="0.25">
      <c r="A1020" s="2" t="s">
        <v>1295</v>
      </c>
      <c r="B1020" s="2" t="s">
        <v>286</v>
      </c>
      <c r="C1020" s="2">
        <v>3</v>
      </c>
      <c r="D1020" t="str">
        <f t="shared" si="15"/>
        <v>CA-2014-144029_OFF-AR-10000716</v>
      </c>
      <c r="E1020" t="str">
        <f>IF(COUNTIF(data2!$D:$D,D1020)=0,"Missing in Data2","Present")</f>
        <v>Present</v>
      </c>
    </row>
    <row r="1021" spans="1:5" x14ac:dyDescent="0.25">
      <c r="A1021" s="2" t="s">
        <v>1295</v>
      </c>
      <c r="B1021" s="2" t="s">
        <v>1297</v>
      </c>
      <c r="C1021" s="2">
        <v>3</v>
      </c>
      <c r="D1021" t="str">
        <f t="shared" si="15"/>
        <v>CA-2014-144029_OFF-ST-10001837</v>
      </c>
      <c r="E1021" t="str">
        <f>IF(COUNTIF(data2!$D:$D,D1021)=0,"Missing in Data2","Present")</f>
        <v>Present</v>
      </c>
    </row>
    <row r="1022" spans="1:5" x14ac:dyDescent="0.25">
      <c r="A1022" s="2" t="s">
        <v>1298</v>
      </c>
      <c r="B1022" s="2" t="s">
        <v>1299</v>
      </c>
      <c r="C1022" s="2">
        <v>2</v>
      </c>
      <c r="D1022" t="str">
        <f t="shared" si="15"/>
        <v>CA-2014-144071_FUR-FU-10000397</v>
      </c>
      <c r="E1022" t="str">
        <f>IF(COUNTIF(data2!$D:$D,D1022)=0,"Missing in Data2","Present")</f>
        <v>Present</v>
      </c>
    </row>
    <row r="1023" spans="1:5" x14ac:dyDescent="0.25">
      <c r="A1023" s="2" t="s">
        <v>1298</v>
      </c>
      <c r="B1023" s="2" t="s">
        <v>669</v>
      </c>
      <c r="C1023" s="2">
        <v>3</v>
      </c>
      <c r="D1023" t="str">
        <f t="shared" si="15"/>
        <v>CA-2014-144071_FUR-FU-10000758</v>
      </c>
      <c r="E1023" t="str">
        <f>IF(COUNTIF(data2!$D:$D,D1023)=0,"Missing in Data2","Present")</f>
        <v>Present</v>
      </c>
    </row>
    <row r="1024" spans="1:5" x14ac:dyDescent="0.25">
      <c r="A1024" s="2" t="s">
        <v>1300</v>
      </c>
      <c r="B1024" s="2" t="s">
        <v>24</v>
      </c>
      <c r="C1024" s="2">
        <v>5</v>
      </c>
      <c r="D1024" t="str">
        <f t="shared" si="15"/>
        <v>CA-2014-144281_OFF-LA-10003930</v>
      </c>
      <c r="E1024" t="str">
        <f>IF(COUNTIF(data2!$D:$D,D1024)=0,"Missing in Data2","Present")</f>
        <v>Present</v>
      </c>
    </row>
    <row r="1025" spans="1:5" x14ac:dyDescent="0.25">
      <c r="A1025" s="2" t="s">
        <v>1301</v>
      </c>
      <c r="B1025" s="2" t="s">
        <v>170</v>
      </c>
      <c r="C1025" s="2">
        <v>3</v>
      </c>
      <c r="D1025" t="str">
        <f t="shared" si="15"/>
        <v>CA-2014-144414_FUR-FU-10003981</v>
      </c>
      <c r="E1025" t="str">
        <f>IF(COUNTIF(data2!$D:$D,D1025)=0,"Missing in Data2","Present")</f>
        <v>Present</v>
      </c>
    </row>
    <row r="1026" spans="1:5" x14ac:dyDescent="0.25">
      <c r="A1026" s="2" t="s">
        <v>1301</v>
      </c>
      <c r="B1026" s="2" t="s">
        <v>1302</v>
      </c>
      <c r="C1026" s="2">
        <v>3</v>
      </c>
      <c r="D1026" t="str">
        <f t="shared" si="15"/>
        <v>CA-2014-144414_OFF-BI-10004995</v>
      </c>
      <c r="E1026" t="str">
        <f>IF(COUNTIF(data2!$D:$D,D1026)=0,"Missing in Data2","Present")</f>
        <v>Present</v>
      </c>
    </row>
    <row r="1027" spans="1:5" x14ac:dyDescent="0.25">
      <c r="A1027" s="2" t="s">
        <v>1301</v>
      </c>
      <c r="B1027" s="2" t="s">
        <v>1303</v>
      </c>
      <c r="C1027" s="2">
        <v>5</v>
      </c>
      <c r="D1027" t="str">
        <f t="shared" ref="D1027:D1090" si="16">A1027&amp;"_"&amp;B1027</f>
        <v>CA-2014-144414_OFF-FA-10000624</v>
      </c>
      <c r="E1027" t="str">
        <f>IF(COUNTIF(data2!$D:$D,D1027)=0,"Missing in Data2","Present")</f>
        <v>Present</v>
      </c>
    </row>
    <row r="1028" spans="1:5" x14ac:dyDescent="0.25">
      <c r="A1028" s="2" t="s">
        <v>1304</v>
      </c>
      <c r="B1028" s="2" t="s">
        <v>133</v>
      </c>
      <c r="C1028" s="2">
        <v>7</v>
      </c>
      <c r="D1028" t="str">
        <f t="shared" si="16"/>
        <v>CA-2014-144624_TEC-PH-10002885</v>
      </c>
      <c r="E1028" t="str">
        <f>IF(COUNTIF(data2!$D:$D,D1028)=0,"Missing in Data2","Present")</f>
        <v>Present</v>
      </c>
    </row>
    <row r="1029" spans="1:5" x14ac:dyDescent="0.25">
      <c r="A1029" s="2" t="s">
        <v>1305</v>
      </c>
      <c r="B1029" s="2" t="s">
        <v>1306</v>
      </c>
      <c r="C1029" s="2">
        <v>2</v>
      </c>
      <c r="D1029" t="str">
        <f t="shared" si="16"/>
        <v>CA-2014-144666_FUR-BO-10001601</v>
      </c>
      <c r="E1029" t="str">
        <f>IF(COUNTIF(data2!$D:$D,D1029)=0,"Missing in Data2","Present")</f>
        <v>Present</v>
      </c>
    </row>
    <row r="1030" spans="1:5" x14ac:dyDescent="0.25">
      <c r="A1030" s="2" t="s">
        <v>1305</v>
      </c>
      <c r="B1030" s="2" t="s">
        <v>1307</v>
      </c>
      <c r="C1030" s="2">
        <v>7</v>
      </c>
      <c r="D1030" t="str">
        <f t="shared" si="16"/>
        <v>CA-2014-144666_OFF-PA-10001509</v>
      </c>
      <c r="E1030" t="str">
        <f>IF(COUNTIF(data2!$D:$D,D1030)=0,"Missing in Data2","Present")</f>
        <v>Present</v>
      </c>
    </row>
    <row r="1031" spans="1:5" x14ac:dyDescent="0.25">
      <c r="A1031" s="2" t="s">
        <v>1305</v>
      </c>
      <c r="B1031" s="2" t="s">
        <v>1308</v>
      </c>
      <c r="C1031" s="2">
        <v>5</v>
      </c>
      <c r="D1031" t="str">
        <f t="shared" si="16"/>
        <v>CA-2014-144666_OFF-PA-10003465</v>
      </c>
      <c r="E1031" t="str">
        <f>IF(COUNTIF(data2!$D:$D,D1031)=0,"Missing in Data2","Present")</f>
        <v>Missing in Data2</v>
      </c>
    </row>
    <row r="1032" spans="1:5" x14ac:dyDescent="0.25">
      <c r="A1032" s="2" t="s">
        <v>1305</v>
      </c>
      <c r="B1032" s="2" t="s">
        <v>269</v>
      </c>
      <c r="C1032" s="2">
        <v>6</v>
      </c>
      <c r="D1032" t="str">
        <f t="shared" si="16"/>
        <v>CA-2014-144666_OFF-ST-10001321</v>
      </c>
      <c r="E1032" t="str">
        <f>IF(COUNTIF(data2!$D:$D,D1032)=0,"Missing in Data2","Present")</f>
        <v>Present</v>
      </c>
    </row>
    <row r="1033" spans="1:5" x14ac:dyDescent="0.25">
      <c r="A1033" s="2" t="s">
        <v>1305</v>
      </c>
      <c r="B1033" s="2" t="s">
        <v>444</v>
      </c>
      <c r="C1033" s="2">
        <v>3</v>
      </c>
      <c r="D1033" t="str">
        <f t="shared" si="16"/>
        <v>CA-2014-144666_OFF-ST-10002743</v>
      </c>
      <c r="E1033" t="str">
        <f>IF(COUNTIF(data2!$D:$D,D1033)=0,"Missing in Data2","Present")</f>
        <v>Present</v>
      </c>
    </row>
    <row r="1034" spans="1:5" x14ac:dyDescent="0.25">
      <c r="A1034" s="2" t="s">
        <v>1309</v>
      </c>
      <c r="B1034" s="2" t="s">
        <v>538</v>
      </c>
      <c r="C1034" s="2">
        <v>1</v>
      </c>
      <c r="D1034" t="str">
        <f t="shared" si="16"/>
        <v>CA-2014-144974_FUR-FU-10001095</v>
      </c>
      <c r="E1034" t="str">
        <f>IF(COUNTIF(data2!$D:$D,D1034)=0,"Missing in Data2","Present")</f>
        <v>Present</v>
      </c>
    </row>
    <row r="1035" spans="1:5" x14ac:dyDescent="0.25">
      <c r="A1035" s="2" t="s">
        <v>1309</v>
      </c>
      <c r="B1035" s="2" t="s">
        <v>1310</v>
      </c>
      <c r="C1035" s="2">
        <v>6</v>
      </c>
      <c r="D1035" t="str">
        <f t="shared" si="16"/>
        <v>CA-2014-144974_OFF-AP-10001492</v>
      </c>
      <c r="E1035" t="str">
        <f>IF(COUNTIF(data2!$D:$D,D1035)=0,"Missing in Data2","Present")</f>
        <v>Present</v>
      </c>
    </row>
    <row r="1036" spans="1:5" x14ac:dyDescent="0.25">
      <c r="A1036" s="2" t="s">
        <v>1309</v>
      </c>
      <c r="B1036" s="2" t="s">
        <v>1311</v>
      </c>
      <c r="C1036" s="2">
        <v>5</v>
      </c>
      <c r="D1036" t="str">
        <f t="shared" si="16"/>
        <v>CA-2014-144974_OFF-BI-10003274</v>
      </c>
      <c r="E1036" t="str">
        <f>IF(COUNTIF(data2!$D:$D,D1036)=0,"Missing in Data2","Present")</f>
        <v>Present</v>
      </c>
    </row>
    <row r="1037" spans="1:5" x14ac:dyDescent="0.25">
      <c r="A1037" s="2" t="s">
        <v>1312</v>
      </c>
      <c r="B1037" s="2" t="s">
        <v>79</v>
      </c>
      <c r="C1037" s="2">
        <v>3</v>
      </c>
      <c r="D1037" t="str">
        <f t="shared" si="16"/>
        <v>CA-2014-145212_OFF-AR-10002833</v>
      </c>
      <c r="E1037" t="str">
        <f>IF(COUNTIF(data2!$D:$D,D1037)=0,"Missing in Data2","Present")</f>
        <v>Present</v>
      </c>
    </row>
    <row r="1038" spans="1:5" x14ac:dyDescent="0.25">
      <c r="A1038" s="2" t="s">
        <v>1313</v>
      </c>
      <c r="B1038" s="2" t="s">
        <v>1314</v>
      </c>
      <c r="C1038" s="2">
        <v>5</v>
      </c>
      <c r="D1038" t="str">
        <f t="shared" si="16"/>
        <v>CA-2014-145254_OFF-SU-10004664</v>
      </c>
      <c r="E1038" t="str">
        <f>IF(COUNTIF(data2!$D:$D,D1038)=0,"Missing in Data2","Present")</f>
        <v>Present</v>
      </c>
    </row>
    <row r="1039" spans="1:5" x14ac:dyDescent="0.25">
      <c r="A1039" s="2" t="s">
        <v>1313</v>
      </c>
      <c r="B1039" s="2" t="s">
        <v>1315</v>
      </c>
      <c r="C1039" s="2">
        <v>3</v>
      </c>
      <c r="D1039" t="str">
        <f t="shared" si="16"/>
        <v>CA-2014-145254_TEC-AC-10002167</v>
      </c>
      <c r="E1039" t="str">
        <f>IF(COUNTIF(data2!$D:$D,D1039)=0,"Missing in Data2","Present")</f>
        <v>Present</v>
      </c>
    </row>
    <row r="1040" spans="1:5" x14ac:dyDescent="0.25">
      <c r="A1040" s="2" t="s">
        <v>1313</v>
      </c>
      <c r="B1040" s="2" t="s">
        <v>1316</v>
      </c>
      <c r="C1040" s="2">
        <v>6</v>
      </c>
      <c r="D1040" t="str">
        <f t="shared" si="16"/>
        <v>CA-2014-145254_TEC-PH-10000441</v>
      </c>
      <c r="E1040" t="str">
        <f>IF(COUNTIF(data2!$D:$D,D1040)=0,"Missing in Data2","Present")</f>
        <v>Present</v>
      </c>
    </row>
    <row r="1041" spans="1:5" x14ac:dyDescent="0.25">
      <c r="A1041" s="2" t="s">
        <v>1313</v>
      </c>
      <c r="B1041" s="2" t="s">
        <v>365</v>
      </c>
      <c r="C1041" s="2">
        <v>3</v>
      </c>
      <c r="D1041" t="str">
        <f t="shared" si="16"/>
        <v>CA-2014-145254_TEC-PH-10004531</v>
      </c>
      <c r="E1041" t="str">
        <f>IF(COUNTIF(data2!$D:$D,D1041)=0,"Missing in Data2","Present")</f>
        <v>Present</v>
      </c>
    </row>
    <row r="1042" spans="1:5" x14ac:dyDescent="0.25">
      <c r="A1042" s="2" t="s">
        <v>1317</v>
      </c>
      <c r="B1042" s="2" t="s">
        <v>1318</v>
      </c>
      <c r="C1042" s="2">
        <v>3</v>
      </c>
      <c r="D1042" t="str">
        <f t="shared" si="16"/>
        <v>CA-2014-145317_FUR-FU-10001986</v>
      </c>
      <c r="E1042" t="str">
        <f>IF(COUNTIF(data2!$D:$D,D1042)=0,"Missing in Data2","Present")</f>
        <v>Present</v>
      </c>
    </row>
    <row r="1043" spans="1:5" x14ac:dyDescent="0.25">
      <c r="A1043" s="2" t="s">
        <v>1317</v>
      </c>
      <c r="B1043" s="2" t="s">
        <v>461</v>
      </c>
      <c r="C1043" s="2">
        <v>2</v>
      </c>
      <c r="D1043" t="str">
        <f t="shared" si="16"/>
        <v>CA-2014-145317_FUR-FU-10004270</v>
      </c>
      <c r="E1043" t="str">
        <f>IF(COUNTIF(data2!$D:$D,D1043)=0,"Missing in Data2","Present")</f>
        <v>Present</v>
      </c>
    </row>
    <row r="1044" spans="1:5" x14ac:dyDescent="0.25">
      <c r="A1044" s="2" t="s">
        <v>1317</v>
      </c>
      <c r="B1044" s="2" t="s">
        <v>1319</v>
      </c>
      <c r="C1044" s="2">
        <v>3</v>
      </c>
      <c r="D1044" t="str">
        <f t="shared" si="16"/>
        <v>CA-2014-145317_OFF-AR-10003183</v>
      </c>
      <c r="E1044" t="str">
        <f>IF(COUNTIF(data2!$D:$D,D1044)=0,"Missing in Data2","Present")</f>
        <v>Present</v>
      </c>
    </row>
    <row r="1045" spans="1:5" x14ac:dyDescent="0.25">
      <c r="A1045" s="2" t="s">
        <v>1317</v>
      </c>
      <c r="B1045" s="2" t="s">
        <v>1320</v>
      </c>
      <c r="C1045" s="2">
        <v>3</v>
      </c>
      <c r="D1045" t="str">
        <f t="shared" si="16"/>
        <v>CA-2014-145317_OFF-FA-10003112</v>
      </c>
      <c r="E1045" t="str">
        <f>IF(COUNTIF(data2!$D:$D,D1045)=0,"Missing in Data2","Present")</f>
        <v>Present</v>
      </c>
    </row>
    <row r="1046" spans="1:5" x14ac:dyDescent="0.25">
      <c r="A1046" s="2" t="s">
        <v>1317</v>
      </c>
      <c r="B1046" s="2" t="s">
        <v>89</v>
      </c>
      <c r="C1046" s="2">
        <v>4</v>
      </c>
      <c r="D1046" t="str">
        <f t="shared" si="16"/>
        <v>CA-2014-145317_OFF-PA-10001804</v>
      </c>
      <c r="E1046" t="str">
        <f>IF(COUNTIF(data2!$D:$D,D1046)=0,"Missing in Data2","Present")</f>
        <v>Present</v>
      </c>
    </row>
    <row r="1047" spans="1:5" x14ac:dyDescent="0.25">
      <c r="A1047" s="2" t="s">
        <v>1317</v>
      </c>
      <c r="B1047" s="2" t="s">
        <v>1321</v>
      </c>
      <c r="C1047" s="2">
        <v>6</v>
      </c>
      <c r="D1047" t="str">
        <f t="shared" si="16"/>
        <v>CA-2014-145317_TEC-MA-10002412</v>
      </c>
      <c r="E1047" t="str">
        <f>IF(COUNTIF(data2!$D:$D,D1047)=0,"Missing in Data2","Present")</f>
        <v>Present</v>
      </c>
    </row>
    <row r="1048" spans="1:5" x14ac:dyDescent="0.25">
      <c r="A1048" s="2" t="s">
        <v>1317</v>
      </c>
      <c r="B1048" s="2" t="s">
        <v>1322</v>
      </c>
      <c r="C1048" s="2">
        <v>4</v>
      </c>
      <c r="D1048" t="str">
        <f t="shared" si="16"/>
        <v>CA-2014-145317_TEC-MA-10003626</v>
      </c>
      <c r="E1048" t="str">
        <f>IF(COUNTIF(data2!$D:$D,D1048)=0,"Missing in Data2","Present")</f>
        <v>Present</v>
      </c>
    </row>
    <row r="1049" spans="1:5" x14ac:dyDescent="0.25">
      <c r="A1049" s="2" t="s">
        <v>1323</v>
      </c>
      <c r="B1049" s="2" t="s">
        <v>120</v>
      </c>
      <c r="C1049" s="2">
        <v>5</v>
      </c>
      <c r="D1049" t="str">
        <f t="shared" si="16"/>
        <v>CA-2014-145387_FUR-CH-10002320</v>
      </c>
      <c r="E1049" t="str">
        <f>IF(COUNTIF(data2!$D:$D,D1049)=0,"Missing in Data2","Present")</f>
        <v>Missing in Data2</v>
      </c>
    </row>
    <row r="1050" spans="1:5" x14ac:dyDescent="0.25">
      <c r="A1050" s="2" t="s">
        <v>1323</v>
      </c>
      <c r="B1050" s="2" t="s">
        <v>1324</v>
      </c>
      <c r="C1050" s="2">
        <v>3</v>
      </c>
      <c r="D1050" t="str">
        <f t="shared" si="16"/>
        <v>CA-2014-145387_FUR-FU-10000023</v>
      </c>
      <c r="E1050" t="str">
        <f>IF(COUNTIF(data2!$D:$D,D1050)=0,"Missing in Data2","Present")</f>
        <v>Present</v>
      </c>
    </row>
    <row r="1051" spans="1:5" x14ac:dyDescent="0.25">
      <c r="A1051" s="2" t="s">
        <v>1323</v>
      </c>
      <c r="B1051" s="2" t="s">
        <v>1325</v>
      </c>
      <c r="C1051" s="2">
        <v>2</v>
      </c>
      <c r="D1051" t="str">
        <f t="shared" si="16"/>
        <v>CA-2014-145387_FUR-FU-10002364</v>
      </c>
      <c r="E1051" t="str">
        <f>IF(COUNTIF(data2!$D:$D,D1051)=0,"Missing in Data2","Present")</f>
        <v>Present</v>
      </c>
    </row>
    <row r="1052" spans="1:5" x14ac:dyDescent="0.25">
      <c r="A1052" s="2" t="s">
        <v>1323</v>
      </c>
      <c r="B1052" s="2" t="s">
        <v>1326</v>
      </c>
      <c r="C1052" s="2">
        <v>1</v>
      </c>
      <c r="D1052" t="str">
        <f t="shared" si="16"/>
        <v>CA-2014-145387_FUR-TA-10003238</v>
      </c>
      <c r="E1052" t="str">
        <f>IF(COUNTIF(data2!$D:$D,D1052)=0,"Missing in Data2","Present")</f>
        <v>Present</v>
      </c>
    </row>
    <row r="1053" spans="1:5" x14ac:dyDescent="0.25">
      <c r="A1053" s="2" t="s">
        <v>1323</v>
      </c>
      <c r="B1053" s="2" t="s">
        <v>1327</v>
      </c>
      <c r="C1053" s="2">
        <v>5</v>
      </c>
      <c r="D1053" t="str">
        <f t="shared" si="16"/>
        <v>CA-2014-145387_OFF-AR-10001683</v>
      </c>
      <c r="E1053" t="str">
        <f>IF(COUNTIF(data2!$D:$D,D1053)=0,"Missing in Data2","Present")</f>
        <v>Present</v>
      </c>
    </row>
    <row r="1054" spans="1:5" x14ac:dyDescent="0.25">
      <c r="A1054" s="2" t="s">
        <v>1323</v>
      </c>
      <c r="B1054" s="2" t="s">
        <v>157</v>
      </c>
      <c r="C1054" s="2">
        <v>2</v>
      </c>
      <c r="D1054" t="str">
        <f t="shared" si="16"/>
        <v>CA-2014-145387_OFF-PA-10002195</v>
      </c>
      <c r="E1054" t="str">
        <f>IF(COUNTIF(data2!$D:$D,D1054)=0,"Missing in Data2","Present")</f>
        <v>Present</v>
      </c>
    </row>
    <row r="1055" spans="1:5" x14ac:dyDescent="0.25">
      <c r="A1055" s="2" t="s">
        <v>1328</v>
      </c>
      <c r="B1055" s="2" t="s">
        <v>866</v>
      </c>
      <c r="C1055" s="2">
        <v>4</v>
      </c>
      <c r="D1055" t="str">
        <f t="shared" si="16"/>
        <v>CA-2014-145541_TEC-MA-10001127</v>
      </c>
      <c r="E1055" t="str">
        <f>IF(COUNTIF(data2!$D:$D,D1055)=0,"Missing in Data2","Present")</f>
        <v>Present</v>
      </c>
    </row>
    <row r="1056" spans="1:5" x14ac:dyDescent="0.25">
      <c r="A1056" s="2" t="s">
        <v>1329</v>
      </c>
      <c r="B1056" s="2" t="s">
        <v>1033</v>
      </c>
      <c r="C1056" s="2">
        <v>3</v>
      </c>
      <c r="D1056" t="str">
        <f t="shared" si="16"/>
        <v>CA-2014-145576_FUR-FU-10004020</v>
      </c>
      <c r="E1056" t="str">
        <f>IF(COUNTIF(data2!$D:$D,D1056)=0,"Missing in Data2","Present")</f>
        <v>Present</v>
      </c>
    </row>
    <row r="1057" spans="1:5" x14ac:dyDescent="0.25">
      <c r="A1057" s="2" t="s">
        <v>1329</v>
      </c>
      <c r="B1057" s="2" t="s">
        <v>1330</v>
      </c>
      <c r="C1057" s="2">
        <v>5</v>
      </c>
      <c r="D1057" t="str">
        <f t="shared" si="16"/>
        <v>CA-2014-145576_OFF-AP-10003914</v>
      </c>
      <c r="E1057" t="str">
        <f>IF(COUNTIF(data2!$D:$D,D1057)=0,"Missing in Data2","Present")</f>
        <v>Present</v>
      </c>
    </row>
    <row r="1058" spans="1:5" x14ac:dyDescent="0.25">
      <c r="A1058" s="2" t="s">
        <v>1331</v>
      </c>
      <c r="B1058" s="2" t="s">
        <v>544</v>
      </c>
      <c r="C1058" s="2">
        <v>3</v>
      </c>
      <c r="D1058" t="str">
        <f t="shared" si="16"/>
        <v>CA-2014-145800_FUR-TA-10001539</v>
      </c>
      <c r="E1058" t="str">
        <f>IF(COUNTIF(data2!$D:$D,D1058)=0,"Missing in Data2","Present")</f>
        <v>Missing in Data2</v>
      </c>
    </row>
    <row r="1059" spans="1:5" x14ac:dyDescent="0.25">
      <c r="A1059" s="2" t="s">
        <v>1332</v>
      </c>
      <c r="B1059" s="2" t="s">
        <v>1333</v>
      </c>
      <c r="C1059" s="2">
        <v>5</v>
      </c>
      <c r="D1059" t="str">
        <f t="shared" si="16"/>
        <v>CA-2014-145926_FUR-CH-10004289</v>
      </c>
      <c r="E1059" t="str">
        <f>IF(COUNTIF(data2!$D:$D,D1059)=0,"Missing in Data2","Present")</f>
        <v>Present</v>
      </c>
    </row>
    <row r="1060" spans="1:5" x14ac:dyDescent="0.25">
      <c r="A1060" s="2" t="s">
        <v>1334</v>
      </c>
      <c r="B1060" s="2" t="s">
        <v>1083</v>
      </c>
      <c r="C1060" s="2">
        <v>5</v>
      </c>
      <c r="D1060" t="str">
        <f t="shared" si="16"/>
        <v>CA-2014-146283_FUR-CH-10004287</v>
      </c>
      <c r="E1060" t="str">
        <f>IF(COUNTIF(data2!$D:$D,D1060)=0,"Missing in Data2","Present")</f>
        <v>Present</v>
      </c>
    </row>
    <row r="1061" spans="1:5" x14ac:dyDescent="0.25">
      <c r="A1061" s="2" t="s">
        <v>1334</v>
      </c>
      <c r="B1061" s="2" t="s">
        <v>1335</v>
      </c>
      <c r="C1061" s="2">
        <v>6</v>
      </c>
      <c r="D1061" t="str">
        <f t="shared" si="16"/>
        <v>CA-2014-146283_OFF-PA-10000482</v>
      </c>
      <c r="E1061" t="str">
        <f>IF(COUNTIF(data2!$D:$D,D1061)=0,"Missing in Data2","Present")</f>
        <v>Present</v>
      </c>
    </row>
    <row r="1062" spans="1:5" x14ac:dyDescent="0.25">
      <c r="A1062" s="2" t="s">
        <v>1334</v>
      </c>
      <c r="B1062" s="2" t="s">
        <v>1336</v>
      </c>
      <c r="C1062" s="2">
        <v>2</v>
      </c>
      <c r="D1062" t="str">
        <f t="shared" si="16"/>
        <v>CA-2014-146283_OFF-PA-10002259</v>
      </c>
      <c r="E1062" t="str">
        <f>IF(COUNTIF(data2!$D:$D,D1062)=0,"Missing in Data2","Present")</f>
        <v>Present</v>
      </c>
    </row>
    <row r="1063" spans="1:5" x14ac:dyDescent="0.25">
      <c r="A1063" s="2" t="s">
        <v>1337</v>
      </c>
      <c r="B1063" s="2" t="s">
        <v>1338</v>
      </c>
      <c r="C1063" s="2">
        <v>5</v>
      </c>
      <c r="D1063" t="str">
        <f t="shared" si="16"/>
        <v>CA-2014-146500_OFF-BI-10002432</v>
      </c>
      <c r="E1063" t="str">
        <f>IF(COUNTIF(data2!$D:$D,D1063)=0,"Missing in Data2","Present")</f>
        <v>Present</v>
      </c>
    </row>
    <row r="1064" spans="1:5" x14ac:dyDescent="0.25">
      <c r="A1064" s="2" t="s">
        <v>1337</v>
      </c>
      <c r="B1064" s="2" t="s">
        <v>1339</v>
      </c>
      <c r="C1064" s="2">
        <v>3</v>
      </c>
      <c r="D1064" t="str">
        <f t="shared" si="16"/>
        <v>CA-2014-146500_OFF-ST-10000563</v>
      </c>
      <c r="E1064" t="str">
        <f>IF(COUNTIF(data2!$D:$D,D1064)=0,"Missing in Data2","Present")</f>
        <v>Present</v>
      </c>
    </row>
    <row r="1065" spans="1:5" x14ac:dyDescent="0.25">
      <c r="A1065" s="2" t="s">
        <v>1340</v>
      </c>
      <c r="B1065" s="2" t="s">
        <v>157</v>
      </c>
      <c r="C1065" s="2">
        <v>1</v>
      </c>
      <c r="D1065" t="str">
        <f t="shared" si="16"/>
        <v>CA-2014-146528_OFF-PA-10002195</v>
      </c>
      <c r="E1065" t="str">
        <f>IF(COUNTIF(data2!$D:$D,D1065)=0,"Missing in Data2","Present")</f>
        <v>Present</v>
      </c>
    </row>
    <row r="1066" spans="1:5" x14ac:dyDescent="0.25">
      <c r="A1066" s="2" t="s">
        <v>1340</v>
      </c>
      <c r="B1066" s="2" t="s">
        <v>1341</v>
      </c>
      <c r="C1066" s="2">
        <v>4</v>
      </c>
      <c r="D1066" t="str">
        <f t="shared" si="16"/>
        <v>CA-2014-146528_OFF-SU-10002522</v>
      </c>
      <c r="E1066" t="str">
        <f>IF(COUNTIF(data2!$D:$D,D1066)=0,"Missing in Data2","Present")</f>
        <v>Present</v>
      </c>
    </row>
    <row r="1067" spans="1:5" x14ac:dyDescent="0.25">
      <c r="A1067" s="2" t="s">
        <v>1342</v>
      </c>
      <c r="B1067" s="2" t="s">
        <v>1343</v>
      </c>
      <c r="C1067" s="2">
        <v>5</v>
      </c>
      <c r="D1067" t="str">
        <f t="shared" si="16"/>
        <v>CA-2014-146591_FUR-BO-10001972</v>
      </c>
      <c r="E1067" t="str">
        <f>IF(COUNTIF(data2!$D:$D,D1067)=0,"Missing in Data2","Present")</f>
        <v>Present</v>
      </c>
    </row>
    <row r="1068" spans="1:5" x14ac:dyDescent="0.25">
      <c r="A1068" s="2" t="s">
        <v>1342</v>
      </c>
      <c r="B1068" s="2" t="s">
        <v>206</v>
      </c>
      <c r="C1068" s="2">
        <v>10</v>
      </c>
      <c r="D1068" t="str">
        <f t="shared" si="16"/>
        <v>CA-2014-146591_OFF-BI-10003676</v>
      </c>
      <c r="E1068" t="str">
        <f>IF(COUNTIF(data2!$D:$D,D1068)=0,"Missing in Data2","Present")</f>
        <v>Present</v>
      </c>
    </row>
    <row r="1069" spans="1:5" x14ac:dyDescent="0.25">
      <c r="A1069" s="2" t="s">
        <v>1342</v>
      </c>
      <c r="B1069" s="2" t="s">
        <v>531</v>
      </c>
      <c r="C1069" s="2">
        <v>5</v>
      </c>
      <c r="D1069" t="str">
        <f t="shared" si="16"/>
        <v>CA-2014-146591_OFF-EN-10002504</v>
      </c>
      <c r="E1069" t="str">
        <f>IF(COUNTIF(data2!$D:$D,D1069)=0,"Missing in Data2","Present")</f>
        <v>Present</v>
      </c>
    </row>
    <row r="1070" spans="1:5" x14ac:dyDescent="0.25">
      <c r="A1070" s="2" t="s">
        <v>1342</v>
      </c>
      <c r="B1070" s="2" t="s">
        <v>622</v>
      </c>
      <c r="C1070" s="2">
        <v>4</v>
      </c>
      <c r="D1070" t="str">
        <f t="shared" si="16"/>
        <v>CA-2014-146591_OFF-PA-10000659</v>
      </c>
      <c r="E1070" t="str">
        <f>IF(COUNTIF(data2!$D:$D,D1070)=0,"Missing in Data2","Present")</f>
        <v>Present</v>
      </c>
    </row>
    <row r="1071" spans="1:5" x14ac:dyDescent="0.25">
      <c r="A1071" s="2" t="s">
        <v>1344</v>
      </c>
      <c r="B1071" s="2" t="s">
        <v>1345</v>
      </c>
      <c r="C1071" s="2">
        <v>7</v>
      </c>
      <c r="D1071" t="str">
        <f t="shared" si="16"/>
        <v>CA-2014-146640_OFF-BI-10002867</v>
      </c>
      <c r="E1071" t="str">
        <f>IF(COUNTIF(data2!$D:$D,D1071)=0,"Missing in Data2","Present")</f>
        <v>Present</v>
      </c>
    </row>
    <row r="1072" spans="1:5" x14ac:dyDescent="0.25">
      <c r="A1072" s="2" t="s">
        <v>1346</v>
      </c>
      <c r="B1072" s="2" t="s">
        <v>1347</v>
      </c>
      <c r="C1072" s="2">
        <v>4</v>
      </c>
      <c r="D1072" t="str">
        <f t="shared" si="16"/>
        <v>CA-2014-146703_OFF-ST-10001713</v>
      </c>
      <c r="E1072" t="str">
        <f>IF(COUNTIF(data2!$D:$D,D1072)=0,"Missing in Data2","Present")</f>
        <v>Present</v>
      </c>
    </row>
    <row r="1073" spans="1:5" x14ac:dyDescent="0.25">
      <c r="A1073" s="2" t="s">
        <v>1348</v>
      </c>
      <c r="B1073" s="2" t="s">
        <v>1349</v>
      </c>
      <c r="C1073" s="2">
        <v>2</v>
      </c>
      <c r="D1073" t="str">
        <f t="shared" si="16"/>
        <v>CA-2014-146731_OFF-PA-10000141</v>
      </c>
      <c r="E1073" t="str">
        <f>IF(COUNTIF(data2!$D:$D,D1073)=0,"Missing in Data2","Present")</f>
        <v>Present</v>
      </c>
    </row>
    <row r="1074" spans="1:5" x14ac:dyDescent="0.25">
      <c r="A1074" s="2" t="s">
        <v>1348</v>
      </c>
      <c r="B1074" s="2" t="s">
        <v>802</v>
      </c>
      <c r="C1074" s="2">
        <v>9</v>
      </c>
      <c r="D1074" t="str">
        <f t="shared" si="16"/>
        <v>CA-2014-146731_OFF-PA-10001019</v>
      </c>
      <c r="E1074" t="str">
        <f>IF(COUNTIF(data2!$D:$D,D1074)=0,"Missing in Data2","Present")</f>
        <v>Present</v>
      </c>
    </row>
    <row r="1075" spans="1:5" x14ac:dyDescent="0.25">
      <c r="A1075" s="2" t="s">
        <v>1350</v>
      </c>
      <c r="B1075" s="2" t="s">
        <v>1333</v>
      </c>
      <c r="C1075" s="2">
        <v>2</v>
      </c>
      <c r="D1075" t="str">
        <f t="shared" si="16"/>
        <v>CA-2014-146815_FUR-CH-10004289</v>
      </c>
      <c r="E1075" t="str">
        <f>IF(COUNTIF(data2!$D:$D,D1075)=0,"Missing in Data2","Present")</f>
        <v>Present</v>
      </c>
    </row>
    <row r="1076" spans="1:5" x14ac:dyDescent="0.25">
      <c r="A1076" s="2" t="s">
        <v>1350</v>
      </c>
      <c r="B1076" s="2" t="s">
        <v>719</v>
      </c>
      <c r="C1076" s="2">
        <v>2</v>
      </c>
      <c r="D1076" t="str">
        <f t="shared" si="16"/>
        <v>CA-2014-146815_OFF-AR-10003469</v>
      </c>
      <c r="E1076" t="str">
        <f>IF(COUNTIF(data2!$D:$D,D1076)=0,"Missing in Data2","Present")</f>
        <v>Present</v>
      </c>
    </row>
    <row r="1077" spans="1:5" x14ac:dyDescent="0.25">
      <c r="A1077" s="2" t="s">
        <v>1351</v>
      </c>
      <c r="B1077" s="2" t="s">
        <v>1352</v>
      </c>
      <c r="C1077" s="2">
        <v>7</v>
      </c>
      <c r="D1077" t="str">
        <f t="shared" si="16"/>
        <v>CA-2014-146843_OFF-SU-10001664</v>
      </c>
      <c r="E1077" t="str">
        <f>IF(COUNTIF(data2!$D:$D,D1077)=0,"Missing in Data2","Present")</f>
        <v>Missing in Data2</v>
      </c>
    </row>
    <row r="1078" spans="1:5" x14ac:dyDescent="0.25">
      <c r="A1078" s="2" t="s">
        <v>1351</v>
      </c>
      <c r="B1078" s="2" t="s">
        <v>1055</v>
      </c>
      <c r="C1078" s="2">
        <v>4</v>
      </c>
      <c r="D1078" t="str">
        <f t="shared" si="16"/>
        <v>CA-2014-146843_TEC-AC-10002550</v>
      </c>
      <c r="E1078" t="str">
        <f>IF(COUNTIF(data2!$D:$D,D1078)=0,"Missing in Data2","Present")</f>
        <v>Present</v>
      </c>
    </row>
    <row r="1079" spans="1:5" x14ac:dyDescent="0.25">
      <c r="A1079" s="2" t="s">
        <v>1353</v>
      </c>
      <c r="B1079" s="2" t="s">
        <v>1354</v>
      </c>
      <c r="C1079" s="2">
        <v>4</v>
      </c>
      <c r="D1079" t="str">
        <f t="shared" si="16"/>
        <v>CA-2014-146864_OFF-ST-10004946</v>
      </c>
      <c r="E1079" t="str">
        <f>IF(COUNTIF(data2!$D:$D,D1079)=0,"Missing in Data2","Present")</f>
        <v>Present</v>
      </c>
    </row>
    <row r="1080" spans="1:5" x14ac:dyDescent="0.25">
      <c r="A1080" s="2" t="s">
        <v>1355</v>
      </c>
      <c r="B1080" s="2" t="s">
        <v>144</v>
      </c>
      <c r="C1080" s="2">
        <v>3</v>
      </c>
      <c r="D1080" t="str">
        <f t="shared" si="16"/>
        <v>CA-2014-146885_OFF-PA-10001622</v>
      </c>
      <c r="E1080" t="str">
        <f>IF(COUNTIF(data2!$D:$D,D1080)=0,"Missing in Data2","Present")</f>
        <v>Present</v>
      </c>
    </row>
    <row r="1081" spans="1:5" x14ac:dyDescent="0.25">
      <c r="A1081" s="2" t="s">
        <v>1356</v>
      </c>
      <c r="B1081" s="2" t="s">
        <v>1357</v>
      </c>
      <c r="C1081" s="2">
        <v>2</v>
      </c>
      <c r="D1081" t="str">
        <f t="shared" si="16"/>
        <v>CA-2014-146969_FUR-FU-10004188</v>
      </c>
      <c r="E1081" t="str">
        <f>IF(COUNTIF(data2!$D:$D,D1081)=0,"Missing in Data2","Present")</f>
        <v>Present</v>
      </c>
    </row>
    <row r="1082" spans="1:5" x14ac:dyDescent="0.25">
      <c r="A1082" s="2" t="s">
        <v>1356</v>
      </c>
      <c r="B1082" s="2" t="s">
        <v>1358</v>
      </c>
      <c r="C1082" s="2">
        <v>4</v>
      </c>
      <c r="D1082" t="str">
        <f t="shared" si="16"/>
        <v>CA-2014-146969_OFF-FA-10001561</v>
      </c>
      <c r="E1082" t="str">
        <f>IF(COUNTIF(data2!$D:$D,D1082)=0,"Missing in Data2","Present")</f>
        <v>Present</v>
      </c>
    </row>
    <row r="1083" spans="1:5" x14ac:dyDescent="0.25">
      <c r="A1083" s="2" t="s">
        <v>1356</v>
      </c>
      <c r="B1083" s="2" t="s">
        <v>1359</v>
      </c>
      <c r="C1083" s="2">
        <v>1</v>
      </c>
      <c r="D1083" t="str">
        <f t="shared" si="16"/>
        <v>CA-2014-146969_OFF-PA-10002105</v>
      </c>
      <c r="E1083" t="str">
        <f>IF(COUNTIF(data2!$D:$D,D1083)=0,"Missing in Data2","Present")</f>
        <v>Present</v>
      </c>
    </row>
    <row r="1084" spans="1:5" x14ac:dyDescent="0.25">
      <c r="A1084" s="2" t="s">
        <v>1356</v>
      </c>
      <c r="B1084" s="2" t="s">
        <v>1360</v>
      </c>
      <c r="C1084" s="2">
        <v>1</v>
      </c>
      <c r="D1084" t="str">
        <f t="shared" si="16"/>
        <v>CA-2014-146969_OFF-ST-10004340</v>
      </c>
      <c r="E1084" t="str">
        <f>IF(COUNTIF(data2!$D:$D,D1084)=0,"Missing in Data2","Present")</f>
        <v>Present</v>
      </c>
    </row>
    <row r="1085" spans="1:5" x14ac:dyDescent="0.25">
      <c r="A1085" s="2" t="s">
        <v>1356</v>
      </c>
      <c r="B1085" s="2" t="s">
        <v>1361</v>
      </c>
      <c r="C1085" s="2">
        <v>2</v>
      </c>
      <c r="D1085" t="str">
        <f t="shared" si="16"/>
        <v>CA-2014-146969_TEC-MA-10004241</v>
      </c>
      <c r="E1085" t="str">
        <f>IF(COUNTIF(data2!$D:$D,D1085)=0,"Missing in Data2","Present")</f>
        <v>Missing in Data2</v>
      </c>
    </row>
    <row r="1086" spans="1:5" x14ac:dyDescent="0.25">
      <c r="A1086" s="2" t="s">
        <v>1362</v>
      </c>
      <c r="B1086" s="2" t="s">
        <v>11</v>
      </c>
      <c r="C1086" s="2">
        <v>4</v>
      </c>
      <c r="D1086" t="str">
        <f t="shared" si="16"/>
        <v>CA-2014-146990_OFF-FA-10000611</v>
      </c>
      <c r="E1086" t="str">
        <f>IF(COUNTIF(data2!$D:$D,D1086)=0,"Missing in Data2","Present")</f>
        <v>Present</v>
      </c>
    </row>
    <row r="1087" spans="1:5" x14ac:dyDescent="0.25">
      <c r="A1087" s="2" t="s">
        <v>1362</v>
      </c>
      <c r="B1087" s="2" t="s">
        <v>503</v>
      </c>
      <c r="C1087" s="2">
        <v>3</v>
      </c>
      <c r="D1087" t="str">
        <f t="shared" si="16"/>
        <v>CA-2014-146990_OFF-PA-10000246</v>
      </c>
      <c r="E1087" t="str">
        <f>IF(COUNTIF(data2!$D:$D,D1087)=0,"Missing in Data2","Present")</f>
        <v>Present</v>
      </c>
    </row>
    <row r="1088" spans="1:5" x14ac:dyDescent="0.25">
      <c r="A1088" s="2" t="s">
        <v>1363</v>
      </c>
      <c r="B1088" s="2" t="s">
        <v>1364</v>
      </c>
      <c r="C1088" s="2">
        <v>3</v>
      </c>
      <c r="D1088" t="str">
        <f t="shared" si="16"/>
        <v>CA-2014-146997_OFF-FA-10003467</v>
      </c>
      <c r="E1088" t="str">
        <f>IF(COUNTIF(data2!$D:$D,D1088)=0,"Missing in Data2","Present")</f>
        <v>Present</v>
      </c>
    </row>
    <row r="1089" spans="1:5" x14ac:dyDescent="0.25">
      <c r="A1089" s="2" t="s">
        <v>1365</v>
      </c>
      <c r="B1089" s="2" t="s">
        <v>1366</v>
      </c>
      <c r="C1089" s="2">
        <v>5</v>
      </c>
      <c r="D1089" t="str">
        <f t="shared" si="16"/>
        <v>CA-2014-147235_OFF-PA-10004948</v>
      </c>
      <c r="E1089" t="str">
        <f>IF(COUNTIF(data2!$D:$D,D1089)=0,"Missing in Data2","Present")</f>
        <v>Present</v>
      </c>
    </row>
    <row r="1090" spans="1:5" x14ac:dyDescent="0.25">
      <c r="A1090" s="2" t="s">
        <v>1367</v>
      </c>
      <c r="B1090" s="2" t="s">
        <v>1368</v>
      </c>
      <c r="C1090" s="2">
        <v>3</v>
      </c>
      <c r="D1090" t="str">
        <f t="shared" si="16"/>
        <v>CA-2014-147298_FUR-CH-10004886</v>
      </c>
      <c r="E1090" t="str">
        <f>IF(COUNTIF(data2!$D:$D,D1090)=0,"Missing in Data2","Present")</f>
        <v>Present</v>
      </c>
    </row>
    <row r="1091" spans="1:5" x14ac:dyDescent="0.25">
      <c r="A1091" s="2" t="s">
        <v>1367</v>
      </c>
      <c r="B1091" s="2" t="s">
        <v>1369</v>
      </c>
      <c r="C1091" s="2">
        <v>6</v>
      </c>
      <c r="D1091" t="str">
        <f t="shared" ref="D1091:D1154" si="17">A1091&amp;"_"&amp;B1091</f>
        <v>CA-2014-147298_OFF-BI-10001525</v>
      </c>
      <c r="E1091" t="str">
        <f>IF(COUNTIF(data2!$D:$D,D1091)=0,"Missing in Data2","Present")</f>
        <v>Present</v>
      </c>
    </row>
    <row r="1092" spans="1:5" x14ac:dyDescent="0.25">
      <c r="A1092" s="2" t="s">
        <v>1370</v>
      </c>
      <c r="B1092" s="2" t="s">
        <v>596</v>
      </c>
      <c r="C1092" s="2">
        <v>2</v>
      </c>
      <c r="D1092" t="str">
        <f t="shared" si="17"/>
        <v>CA-2014-147543_FUR-CH-10000155</v>
      </c>
      <c r="E1092" t="str">
        <f>IF(COUNTIF(data2!$D:$D,D1092)=0,"Missing in Data2","Present")</f>
        <v>Present</v>
      </c>
    </row>
    <row r="1093" spans="1:5" x14ac:dyDescent="0.25">
      <c r="A1093" s="2" t="s">
        <v>1371</v>
      </c>
      <c r="B1093" s="2" t="s">
        <v>470</v>
      </c>
      <c r="C1093" s="2">
        <v>9</v>
      </c>
      <c r="D1093" t="str">
        <f t="shared" si="17"/>
        <v>CA-2014-147900_OFF-PA-10003063</v>
      </c>
      <c r="E1093" t="str">
        <f>IF(COUNTIF(data2!$D:$D,D1093)=0,"Missing in Data2","Present")</f>
        <v>Present</v>
      </c>
    </row>
    <row r="1094" spans="1:5" x14ac:dyDescent="0.25">
      <c r="A1094" s="2" t="s">
        <v>1372</v>
      </c>
      <c r="B1094" s="2" t="s">
        <v>1373</v>
      </c>
      <c r="C1094" s="2">
        <v>2</v>
      </c>
      <c r="D1094" t="str">
        <f t="shared" si="17"/>
        <v>CA-2014-147914_OFF-PA-10001685</v>
      </c>
      <c r="E1094" t="str">
        <f>IF(COUNTIF(data2!$D:$D,D1094)=0,"Missing in Data2","Present")</f>
        <v>Present</v>
      </c>
    </row>
    <row r="1095" spans="1:5" x14ac:dyDescent="0.25">
      <c r="A1095" s="2" t="s">
        <v>1374</v>
      </c>
      <c r="B1095" s="2" t="s">
        <v>1375</v>
      </c>
      <c r="C1095" s="2">
        <v>3</v>
      </c>
      <c r="D1095" t="str">
        <f t="shared" si="17"/>
        <v>CA-2014-148040_FUR-CH-10001482</v>
      </c>
      <c r="E1095" t="str">
        <f>IF(COUNTIF(data2!$D:$D,D1095)=0,"Missing in Data2","Present")</f>
        <v>Present</v>
      </c>
    </row>
    <row r="1096" spans="1:5" x14ac:dyDescent="0.25">
      <c r="A1096" s="2" t="s">
        <v>1374</v>
      </c>
      <c r="B1096" s="2" t="s">
        <v>1376</v>
      </c>
      <c r="C1096" s="2">
        <v>3</v>
      </c>
      <c r="D1096" t="str">
        <f t="shared" si="17"/>
        <v>CA-2014-148040_OFF-PA-10002581</v>
      </c>
      <c r="E1096" t="str">
        <f>IF(COUNTIF(data2!$D:$D,D1096)=0,"Missing in Data2","Present")</f>
        <v>Present</v>
      </c>
    </row>
    <row r="1097" spans="1:5" x14ac:dyDescent="0.25">
      <c r="A1097" s="2" t="s">
        <v>1377</v>
      </c>
      <c r="B1097" s="2" t="s">
        <v>1140</v>
      </c>
      <c r="C1097" s="2">
        <v>3</v>
      </c>
      <c r="D1097" t="str">
        <f t="shared" si="17"/>
        <v>CA-2014-148285_OFF-PA-10000349</v>
      </c>
      <c r="E1097" t="str">
        <f>IF(COUNTIF(data2!$D:$D,D1097)=0,"Missing in Data2","Present")</f>
        <v>Present</v>
      </c>
    </row>
    <row r="1098" spans="1:5" x14ac:dyDescent="0.25">
      <c r="A1098" s="2" t="s">
        <v>1377</v>
      </c>
      <c r="B1098" s="2" t="s">
        <v>1378</v>
      </c>
      <c r="C1098" s="2">
        <v>2</v>
      </c>
      <c r="D1098" t="str">
        <f t="shared" si="17"/>
        <v>CA-2014-148285_OFF-PA-10001166</v>
      </c>
      <c r="E1098" t="str">
        <f>IF(COUNTIF(data2!$D:$D,D1098)=0,"Missing in Data2","Present")</f>
        <v>Present</v>
      </c>
    </row>
    <row r="1099" spans="1:5" x14ac:dyDescent="0.25">
      <c r="A1099" s="2" t="s">
        <v>1379</v>
      </c>
      <c r="B1099" s="2" t="s">
        <v>1380</v>
      </c>
      <c r="C1099" s="2">
        <v>4</v>
      </c>
      <c r="D1099" t="str">
        <f t="shared" si="17"/>
        <v>CA-2014-148369_OFF-BI-10004876</v>
      </c>
      <c r="E1099" t="str">
        <f>IF(COUNTIF(data2!$D:$D,D1099)=0,"Missing in Data2","Present")</f>
        <v>Present</v>
      </c>
    </row>
    <row r="1100" spans="1:5" x14ac:dyDescent="0.25">
      <c r="A1100" s="2" t="s">
        <v>1381</v>
      </c>
      <c r="B1100" s="2" t="s">
        <v>1382</v>
      </c>
      <c r="C1100" s="2">
        <v>6</v>
      </c>
      <c r="D1100" t="str">
        <f t="shared" si="17"/>
        <v>CA-2014-148383_OFF-BI-10003650</v>
      </c>
      <c r="E1100" t="str">
        <f>IF(COUNTIF(data2!$D:$D,D1100)=0,"Missing in Data2","Present")</f>
        <v>Present</v>
      </c>
    </row>
    <row r="1101" spans="1:5" x14ac:dyDescent="0.25">
      <c r="A1101" s="2" t="s">
        <v>1383</v>
      </c>
      <c r="B1101" s="2" t="s">
        <v>1384</v>
      </c>
      <c r="C1101" s="2">
        <v>9</v>
      </c>
      <c r="D1101" t="str">
        <f t="shared" si="17"/>
        <v>CA-2014-148425_OFF-BI-10000201</v>
      </c>
      <c r="E1101" t="str">
        <f>IF(COUNTIF(data2!$D:$D,D1101)=0,"Missing in Data2","Present")</f>
        <v>Present</v>
      </c>
    </row>
    <row r="1102" spans="1:5" x14ac:dyDescent="0.25">
      <c r="A1102" s="2" t="s">
        <v>1385</v>
      </c>
      <c r="B1102" s="2" t="s">
        <v>1386</v>
      </c>
      <c r="C1102" s="2">
        <v>7</v>
      </c>
      <c r="D1102" t="str">
        <f t="shared" si="17"/>
        <v>CA-2014-148488_OFF-BI-10000315</v>
      </c>
      <c r="E1102" t="str">
        <f>IF(COUNTIF(data2!$D:$D,D1102)=0,"Missing in Data2","Present")</f>
        <v>Present</v>
      </c>
    </row>
    <row r="1103" spans="1:5" x14ac:dyDescent="0.25">
      <c r="A1103" s="2" t="s">
        <v>1385</v>
      </c>
      <c r="B1103" s="2" t="s">
        <v>1387</v>
      </c>
      <c r="C1103" s="2">
        <v>2</v>
      </c>
      <c r="D1103" t="str">
        <f t="shared" si="17"/>
        <v>CA-2014-148488_OFF-PA-10004470</v>
      </c>
      <c r="E1103" t="str">
        <f>IF(COUNTIF(data2!$D:$D,D1103)=0,"Missing in Data2","Present")</f>
        <v>Present</v>
      </c>
    </row>
    <row r="1104" spans="1:5" x14ac:dyDescent="0.25">
      <c r="A1104" s="2" t="s">
        <v>1388</v>
      </c>
      <c r="B1104" s="2" t="s">
        <v>469</v>
      </c>
      <c r="C1104" s="2">
        <v>7</v>
      </c>
      <c r="D1104" t="str">
        <f t="shared" si="17"/>
        <v>CA-2014-148586_FUR-CH-10002439</v>
      </c>
      <c r="E1104" t="str">
        <f>IF(COUNTIF(data2!$D:$D,D1104)=0,"Missing in Data2","Present")</f>
        <v>Present</v>
      </c>
    </row>
    <row r="1105" spans="1:5" x14ac:dyDescent="0.25">
      <c r="A1105" s="2" t="s">
        <v>1389</v>
      </c>
      <c r="B1105" s="2" t="s">
        <v>1390</v>
      </c>
      <c r="C1105" s="2">
        <v>2</v>
      </c>
      <c r="D1105" t="str">
        <f t="shared" si="17"/>
        <v>CA-2014-148614_FUR-FU-10003194</v>
      </c>
      <c r="E1105" t="str">
        <f>IF(COUNTIF(data2!$D:$D,D1105)=0,"Missing in Data2","Present")</f>
        <v>Present</v>
      </c>
    </row>
    <row r="1106" spans="1:5" x14ac:dyDescent="0.25">
      <c r="A1106" s="2" t="s">
        <v>1389</v>
      </c>
      <c r="B1106" s="2" t="s">
        <v>936</v>
      </c>
      <c r="C1106" s="2">
        <v>2</v>
      </c>
      <c r="D1106" t="str">
        <f t="shared" si="17"/>
        <v>CA-2014-148614_OFF-PA-10002893</v>
      </c>
      <c r="E1106" t="str">
        <f>IF(COUNTIF(data2!$D:$D,D1106)=0,"Missing in Data2","Present")</f>
        <v>Present</v>
      </c>
    </row>
    <row r="1107" spans="1:5" x14ac:dyDescent="0.25">
      <c r="A1107" s="2" t="s">
        <v>1391</v>
      </c>
      <c r="B1107" s="2" t="s">
        <v>687</v>
      </c>
      <c r="C1107" s="2">
        <v>3</v>
      </c>
      <c r="D1107" t="str">
        <f t="shared" si="17"/>
        <v>CA-2014-148761_OFF-BI-10000666</v>
      </c>
      <c r="E1107" t="str">
        <f>IF(COUNTIF(data2!$D:$D,D1107)=0,"Missing in Data2","Present")</f>
        <v>Present</v>
      </c>
    </row>
    <row r="1108" spans="1:5" x14ac:dyDescent="0.25">
      <c r="A1108" s="2" t="s">
        <v>1392</v>
      </c>
      <c r="B1108" s="2" t="s">
        <v>82</v>
      </c>
      <c r="C1108" s="2">
        <v>3</v>
      </c>
      <c r="D1108" t="str">
        <f t="shared" si="17"/>
        <v>CA-2014-148782_TEC-PH-10002923</v>
      </c>
      <c r="E1108" t="str">
        <f>IF(COUNTIF(data2!$D:$D,D1108)=0,"Missing in Data2","Present")</f>
        <v>Present</v>
      </c>
    </row>
    <row r="1109" spans="1:5" x14ac:dyDescent="0.25">
      <c r="A1109" s="2" t="s">
        <v>1393</v>
      </c>
      <c r="B1109" s="2" t="s">
        <v>1201</v>
      </c>
      <c r="C1109" s="2">
        <v>5</v>
      </c>
      <c r="D1109" t="str">
        <f t="shared" si="17"/>
        <v>CA-2014-148915_OFF-ST-10001128</v>
      </c>
      <c r="E1109" t="str">
        <f>IF(COUNTIF(data2!$D:$D,D1109)=0,"Missing in Data2","Present")</f>
        <v>Present</v>
      </c>
    </row>
    <row r="1110" spans="1:5" x14ac:dyDescent="0.25">
      <c r="A1110" s="2" t="s">
        <v>1393</v>
      </c>
      <c r="B1110" s="2" t="s">
        <v>863</v>
      </c>
      <c r="C1110" s="2">
        <v>3</v>
      </c>
      <c r="D1110" t="str">
        <f t="shared" si="17"/>
        <v>CA-2014-148915_TEC-PH-10000673</v>
      </c>
      <c r="E1110" t="str">
        <f>IF(COUNTIF(data2!$D:$D,D1110)=0,"Missing in Data2","Present")</f>
        <v>Present</v>
      </c>
    </row>
    <row r="1111" spans="1:5" x14ac:dyDescent="0.25">
      <c r="A1111" s="2" t="s">
        <v>1394</v>
      </c>
      <c r="B1111" s="2" t="s">
        <v>819</v>
      </c>
      <c r="C1111" s="2">
        <v>4</v>
      </c>
      <c r="D1111" t="str">
        <f t="shared" si="17"/>
        <v>CA-2014-148950_OFF-BI-10001249</v>
      </c>
      <c r="E1111" t="str">
        <f>IF(COUNTIF(data2!$D:$D,D1111)=0,"Missing in Data2","Present")</f>
        <v>Present</v>
      </c>
    </row>
    <row r="1112" spans="1:5" x14ac:dyDescent="0.25">
      <c r="A1112" s="2" t="s">
        <v>1394</v>
      </c>
      <c r="B1112" s="2" t="s">
        <v>1395</v>
      </c>
      <c r="C1112" s="2">
        <v>2</v>
      </c>
      <c r="D1112" t="str">
        <f t="shared" si="17"/>
        <v>CA-2014-148950_OFF-FA-10003059</v>
      </c>
      <c r="E1112" t="str">
        <f>IF(COUNTIF(data2!$D:$D,D1112)=0,"Missing in Data2","Present")</f>
        <v>Missing in Data2</v>
      </c>
    </row>
    <row r="1113" spans="1:5" x14ac:dyDescent="0.25">
      <c r="A1113" s="2" t="s">
        <v>1394</v>
      </c>
      <c r="B1113" s="2" t="s">
        <v>212</v>
      </c>
      <c r="C1113" s="2">
        <v>3</v>
      </c>
      <c r="D1113" t="str">
        <f t="shared" si="17"/>
        <v>CA-2014-148950_TEC-AC-10002718</v>
      </c>
      <c r="E1113" t="str">
        <f>IF(COUNTIF(data2!$D:$D,D1113)=0,"Missing in Data2","Present")</f>
        <v>Present</v>
      </c>
    </row>
    <row r="1114" spans="1:5" x14ac:dyDescent="0.25">
      <c r="A1114" s="2" t="s">
        <v>1396</v>
      </c>
      <c r="B1114" s="2" t="s">
        <v>1397</v>
      </c>
      <c r="C1114" s="2">
        <v>1</v>
      </c>
      <c r="D1114" t="str">
        <f t="shared" si="17"/>
        <v>CA-2014-149020_FUR-FU-10000965</v>
      </c>
      <c r="E1114" t="str">
        <f>IF(COUNTIF(data2!$D:$D,D1114)=0,"Missing in Data2","Present")</f>
        <v>Present</v>
      </c>
    </row>
    <row r="1115" spans="1:5" x14ac:dyDescent="0.25">
      <c r="A1115" s="2" t="s">
        <v>1398</v>
      </c>
      <c r="B1115" s="2" t="s">
        <v>1399</v>
      </c>
      <c r="C1115" s="2">
        <v>3</v>
      </c>
      <c r="D1115" t="str">
        <f t="shared" si="17"/>
        <v>CA-2014-149055_OFF-EN-10003040</v>
      </c>
      <c r="E1115" t="str">
        <f>IF(COUNTIF(data2!$D:$D,D1115)=0,"Missing in Data2","Present")</f>
        <v>Present</v>
      </c>
    </row>
    <row r="1116" spans="1:5" x14ac:dyDescent="0.25">
      <c r="A1116" s="2" t="s">
        <v>1400</v>
      </c>
      <c r="B1116" s="2" t="s">
        <v>744</v>
      </c>
      <c r="C1116" s="2">
        <v>2</v>
      </c>
      <c r="D1116" t="str">
        <f t="shared" si="17"/>
        <v>CA-2014-149104_OFF-AR-10002952</v>
      </c>
      <c r="E1116" t="str">
        <f>IF(COUNTIF(data2!$D:$D,D1116)=0,"Missing in Data2","Present")</f>
        <v>Present</v>
      </c>
    </row>
    <row r="1117" spans="1:5" x14ac:dyDescent="0.25">
      <c r="A1117" s="2" t="s">
        <v>1400</v>
      </c>
      <c r="B1117" s="2" t="s">
        <v>1194</v>
      </c>
      <c r="C1117" s="2">
        <v>3</v>
      </c>
      <c r="D1117" t="str">
        <f t="shared" si="17"/>
        <v>CA-2014-149104_OFF-AR-10004685</v>
      </c>
      <c r="E1117" t="str">
        <f>IF(COUNTIF(data2!$D:$D,D1117)=0,"Missing in Data2","Present")</f>
        <v>Missing in Data2</v>
      </c>
    </row>
    <row r="1118" spans="1:5" x14ac:dyDescent="0.25">
      <c r="A1118" s="2" t="s">
        <v>1400</v>
      </c>
      <c r="B1118" s="2" t="s">
        <v>248</v>
      </c>
      <c r="C1118" s="2">
        <v>5</v>
      </c>
      <c r="D1118" t="str">
        <f t="shared" si="17"/>
        <v>CA-2014-149104_OFF-BI-10004209</v>
      </c>
      <c r="E1118" t="str">
        <f>IF(COUNTIF(data2!$D:$D,D1118)=0,"Missing in Data2","Present")</f>
        <v>Present</v>
      </c>
    </row>
    <row r="1119" spans="1:5" x14ac:dyDescent="0.25">
      <c r="A1119" s="2" t="s">
        <v>1400</v>
      </c>
      <c r="B1119" s="2" t="s">
        <v>632</v>
      </c>
      <c r="C1119" s="2">
        <v>6</v>
      </c>
      <c r="D1119" t="str">
        <f t="shared" si="17"/>
        <v>CA-2014-149104_OFF-ST-10000991</v>
      </c>
      <c r="E1119" t="str">
        <f>IF(COUNTIF(data2!$D:$D,D1119)=0,"Missing in Data2","Present")</f>
        <v>Present</v>
      </c>
    </row>
    <row r="1120" spans="1:5" x14ac:dyDescent="0.25">
      <c r="A1120" s="2" t="s">
        <v>1401</v>
      </c>
      <c r="B1120" s="2" t="s">
        <v>164</v>
      </c>
      <c r="C1120" s="2">
        <v>2</v>
      </c>
      <c r="D1120" t="str">
        <f t="shared" si="17"/>
        <v>CA-2014-149244_FUR-FU-10004671</v>
      </c>
      <c r="E1120" t="str">
        <f>IF(COUNTIF(data2!$D:$D,D1120)=0,"Missing in Data2","Present")</f>
        <v>Present</v>
      </c>
    </row>
    <row r="1121" spans="1:5" x14ac:dyDescent="0.25">
      <c r="A1121" s="2" t="s">
        <v>1402</v>
      </c>
      <c r="B1121" s="2" t="s">
        <v>1403</v>
      </c>
      <c r="C1121" s="2">
        <v>4</v>
      </c>
      <c r="D1121" t="str">
        <f t="shared" si="17"/>
        <v>CA-2014-149524_FUR-BO-10003433</v>
      </c>
      <c r="E1121" t="str">
        <f>IF(COUNTIF(data2!$D:$D,D1121)=0,"Missing in Data2","Present")</f>
        <v>Present</v>
      </c>
    </row>
    <row r="1122" spans="1:5" x14ac:dyDescent="0.25">
      <c r="A1122" s="2" t="s">
        <v>1404</v>
      </c>
      <c r="B1122" s="2" t="s">
        <v>157</v>
      </c>
      <c r="C1122" s="2">
        <v>2</v>
      </c>
      <c r="D1122" t="str">
        <f t="shared" si="17"/>
        <v>CA-2014-149538_OFF-PA-10002195</v>
      </c>
      <c r="E1122" t="str">
        <f>IF(COUNTIF(data2!$D:$D,D1122)=0,"Missing in Data2","Present")</f>
        <v>Present</v>
      </c>
    </row>
    <row r="1123" spans="1:5" x14ac:dyDescent="0.25">
      <c r="A1123" s="2" t="s">
        <v>1404</v>
      </c>
      <c r="B1123" s="2" t="s">
        <v>1405</v>
      </c>
      <c r="C1123" s="2">
        <v>3</v>
      </c>
      <c r="D1123" t="str">
        <f t="shared" si="17"/>
        <v>CA-2014-149538_OFF-PA-10003797</v>
      </c>
      <c r="E1123" t="str">
        <f>IF(COUNTIF(data2!$D:$D,D1123)=0,"Missing in Data2","Present")</f>
        <v>Present</v>
      </c>
    </row>
    <row r="1124" spans="1:5" x14ac:dyDescent="0.25">
      <c r="A1124" s="2" t="s">
        <v>1404</v>
      </c>
      <c r="B1124" s="2" t="s">
        <v>1406</v>
      </c>
      <c r="C1124" s="2">
        <v>2</v>
      </c>
      <c r="D1124" t="str">
        <f t="shared" si="17"/>
        <v>CA-2014-149538_TEC-AC-10002926</v>
      </c>
      <c r="E1124" t="str">
        <f>IF(COUNTIF(data2!$D:$D,D1124)=0,"Missing in Data2","Present")</f>
        <v>Present</v>
      </c>
    </row>
    <row r="1125" spans="1:5" x14ac:dyDescent="0.25">
      <c r="A1125" s="2" t="s">
        <v>1407</v>
      </c>
      <c r="B1125" s="2" t="s">
        <v>594</v>
      </c>
      <c r="C1125" s="2">
        <v>4</v>
      </c>
      <c r="D1125" t="str">
        <f t="shared" si="17"/>
        <v>CA-2014-149594_FUR-FU-10000222</v>
      </c>
      <c r="E1125" t="str">
        <f>IF(COUNTIF(data2!$D:$D,D1125)=0,"Missing in Data2","Present")</f>
        <v>Present</v>
      </c>
    </row>
    <row r="1126" spans="1:5" x14ac:dyDescent="0.25">
      <c r="A1126" s="2" t="s">
        <v>1408</v>
      </c>
      <c r="B1126" s="2" t="s">
        <v>1409</v>
      </c>
      <c r="C1126" s="2">
        <v>2</v>
      </c>
      <c r="D1126" t="str">
        <f t="shared" si="17"/>
        <v>CA-2014-149643_TEC-PH-10000038</v>
      </c>
      <c r="E1126" t="str">
        <f>IF(COUNTIF(data2!$D:$D,D1126)=0,"Missing in Data2","Present")</f>
        <v>Present</v>
      </c>
    </row>
    <row r="1127" spans="1:5" x14ac:dyDescent="0.25">
      <c r="A1127" s="2" t="s">
        <v>1410</v>
      </c>
      <c r="B1127" s="2" t="s">
        <v>1411</v>
      </c>
      <c r="C1127" s="2">
        <v>3</v>
      </c>
      <c r="D1127" t="str">
        <f t="shared" si="17"/>
        <v>CA-2014-149958_FUR-FU-10001756</v>
      </c>
      <c r="E1127" t="str">
        <f>IF(COUNTIF(data2!$D:$D,D1127)=0,"Missing in Data2","Present")</f>
        <v>Present</v>
      </c>
    </row>
    <row r="1128" spans="1:5" x14ac:dyDescent="0.25">
      <c r="A1128" s="2" t="s">
        <v>1410</v>
      </c>
      <c r="B1128" s="2" t="s">
        <v>1412</v>
      </c>
      <c r="C1128" s="2">
        <v>3</v>
      </c>
      <c r="D1128" t="str">
        <f t="shared" si="17"/>
        <v>CA-2014-149958_OFF-BI-10000773</v>
      </c>
      <c r="E1128" t="str">
        <f>IF(COUNTIF(data2!$D:$D,D1128)=0,"Missing in Data2","Present")</f>
        <v>Present</v>
      </c>
    </row>
    <row r="1129" spans="1:5" x14ac:dyDescent="0.25">
      <c r="A1129" s="2" t="s">
        <v>1410</v>
      </c>
      <c r="B1129" s="2" t="s">
        <v>1413</v>
      </c>
      <c r="C1129" s="2">
        <v>4</v>
      </c>
      <c r="D1129" t="str">
        <f t="shared" si="17"/>
        <v>CA-2014-149958_OFF-BI-10001543</v>
      </c>
      <c r="E1129" t="str">
        <f>IF(COUNTIF(data2!$D:$D,D1129)=0,"Missing in Data2","Present")</f>
        <v>Missing in Data2</v>
      </c>
    </row>
    <row r="1130" spans="1:5" x14ac:dyDescent="0.25">
      <c r="A1130" s="2" t="s">
        <v>1410</v>
      </c>
      <c r="B1130" s="2" t="s">
        <v>1414</v>
      </c>
      <c r="C1130" s="2">
        <v>3</v>
      </c>
      <c r="D1130" t="str">
        <f t="shared" si="17"/>
        <v>CA-2014-149958_OFF-PA-10002120</v>
      </c>
      <c r="E1130" t="str">
        <f>IF(COUNTIF(data2!$D:$D,D1130)=0,"Missing in Data2","Present")</f>
        <v>Missing in Data2</v>
      </c>
    </row>
    <row r="1131" spans="1:5" x14ac:dyDescent="0.25">
      <c r="A1131" s="2" t="s">
        <v>1410</v>
      </c>
      <c r="B1131" s="2" t="s">
        <v>34</v>
      </c>
      <c r="C1131" s="2">
        <v>1</v>
      </c>
      <c r="D1131" t="str">
        <f t="shared" si="17"/>
        <v>CA-2014-149958_OFF-ST-10001490</v>
      </c>
      <c r="E1131" t="str">
        <f>IF(COUNTIF(data2!$D:$D,D1131)=0,"Missing in Data2","Present")</f>
        <v>Present</v>
      </c>
    </row>
    <row r="1132" spans="1:5" x14ac:dyDescent="0.25">
      <c r="A1132" s="2" t="s">
        <v>1415</v>
      </c>
      <c r="B1132" s="2" t="s">
        <v>1160</v>
      </c>
      <c r="C1132" s="2">
        <v>6</v>
      </c>
      <c r="D1132" t="str">
        <f t="shared" si="17"/>
        <v>CA-2014-150203_OFF-AP-10001469</v>
      </c>
      <c r="E1132" t="str">
        <f>IF(COUNTIF(data2!$D:$D,D1132)=0,"Missing in Data2","Present")</f>
        <v>Present</v>
      </c>
    </row>
    <row r="1133" spans="1:5" x14ac:dyDescent="0.25">
      <c r="A1133" s="2" t="s">
        <v>1416</v>
      </c>
      <c r="B1133" s="2" t="s">
        <v>1417</v>
      </c>
      <c r="C1133" s="2">
        <v>7</v>
      </c>
      <c r="D1133" t="str">
        <f t="shared" si="17"/>
        <v>CA-2014-150245_FUR-BO-10002613</v>
      </c>
      <c r="E1133" t="str">
        <f>IF(COUNTIF(data2!$D:$D,D1133)=0,"Missing in Data2","Present")</f>
        <v>Present</v>
      </c>
    </row>
    <row r="1134" spans="1:5" x14ac:dyDescent="0.25">
      <c r="A1134" s="2" t="s">
        <v>1418</v>
      </c>
      <c r="B1134" s="2" t="s">
        <v>1419</v>
      </c>
      <c r="C1134" s="2">
        <v>1</v>
      </c>
      <c r="D1134" t="str">
        <f t="shared" si="17"/>
        <v>CA-2014-150301_FUR-CH-10002647</v>
      </c>
      <c r="E1134" t="str">
        <f>IF(COUNTIF(data2!$D:$D,D1134)=0,"Missing in Data2","Present")</f>
        <v>Missing in Data2</v>
      </c>
    </row>
    <row r="1135" spans="1:5" x14ac:dyDescent="0.25">
      <c r="A1135" s="2" t="s">
        <v>1420</v>
      </c>
      <c r="B1135" s="2" t="s">
        <v>1290</v>
      </c>
      <c r="C1135" s="2">
        <v>7</v>
      </c>
      <c r="D1135" t="str">
        <f t="shared" si="17"/>
        <v>CA-2014-150329_FUR-FU-10003724</v>
      </c>
      <c r="E1135" t="str">
        <f>IF(COUNTIF(data2!$D:$D,D1135)=0,"Missing in Data2","Present")</f>
        <v>Present</v>
      </c>
    </row>
    <row r="1136" spans="1:5" x14ac:dyDescent="0.25">
      <c r="A1136" s="2" t="s">
        <v>1421</v>
      </c>
      <c r="B1136" s="2" t="s">
        <v>1422</v>
      </c>
      <c r="C1136" s="2">
        <v>2</v>
      </c>
      <c r="D1136" t="str">
        <f t="shared" si="17"/>
        <v>CA-2014-150490_OFF-AR-10004602</v>
      </c>
      <c r="E1136" t="str">
        <f>IF(COUNTIF(data2!$D:$D,D1136)=0,"Missing in Data2","Present")</f>
        <v>Present</v>
      </c>
    </row>
    <row r="1137" spans="1:5" x14ac:dyDescent="0.25">
      <c r="A1137" s="2" t="s">
        <v>1421</v>
      </c>
      <c r="B1137" s="2" t="s">
        <v>1423</v>
      </c>
      <c r="C1137" s="2">
        <v>2</v>
      </c>
      <c r="D1137" t="str">
        <f t="shared" si="17"/>
        <v>CA-2014-150490_OFF-ST-10000321</v>
      </c>
      <c r="E1137" t="str">
        <f>IF(COUNTIF(data2!$D:$D,D1137)=0,"Missing in Data2","Present")</f>
        <v>Present</v>
      </c>
    </row>
    <row r="1138" spans="1:5" x14ac:dyDescent="0.25">
      <c r="A1138" s="2" t="s">
        <v>1421</v>
      </c>
      <c r="B1138" s="2" t="s">
        <v>676</v>
      </c>
      <c r="C1138" s="2">
        <v>1</v>
      </c>
      <c r="D1138" t="str">
        <f t="shared" si="17"/>
        <v>CA-2014-150490_TEC-AC-10004510</v>
      </c>
      <c r="E1138" t="str">
        <f>IF(COUNTIF(data2!$D:$D,D1138)=0,"Missing in Data2","Present")</f>
        <v>Present</v>
      </c>
    </row>
    <row r="1139" spans="1:5" x14ac:dyDescent="0.25">
      <c r="A1139" s="2" t="s">
        <v>1424</v>
      </c>
      <c r="B1139" s="2" t="s">
        <v>628</v>
      </c>
      <c r="C1139" s="2">
        <v>4</v>
      </c>
      <c r="D1139" t="str">
        <f t="shared" si="17"/>
        <v>CA-2014-150518_OFF-ST-10000877</v>
      </c>
      <c r="E1139" t="str">
        <f>IF(COUNTIF(data2!$D:$D,D1139)=0,"Missing in Data2","Present")</f>
        <v>Present</v>
      </c>
    </row>
    <row r="1140" spans="1:5" x14ac:dyDescent="0.25">
      <c r="A1140" s="2" t="s">
        <v>1424</v>
      </c>
      <c r="B1140" s="2" t="s">
        <v>1425</v>
      </c>
      <c r="C1140" s="2">
        <v>3</v>
      </c>
      <c r="D1140" t="str">
        <f t="shared" si="17"/>
        <v>CA-2014-150518_TEC-PH-10002103</v>
      </c>
      <c r="E1140" t="str">
        <f>IF(COUNTIF(data2!$D:$D,D1140)=0,"Missing in Data2","Present")</f>
        <v>Missing in Data2</v>
      </c>
    </row>
    <row r="1141" spans="1:5" x14ac:dyDescent="0.25">
      <c r="A1141" s="2" t="s">
        <v>1426</v>
      </c>
      <c r="B1141" s="2" t="s">
        <v>1427</v>
      </c>
      <c r="C1141" s="2">
        <v>1</v>
      </c>
      <c r="D1141" t="str">
        <f t="shared" si="17"/>
        <v>CA-2014-150581_FUR-TA-10003748</v>
      </c>
      <c r="E1141" t="str">
        <f>IF(COUNTIF(data2!$D:$D,D1141)=0,"Missing in Data2","Present")</f>
        <v>Present</v>
      </c>
    </row>
    <row r="1142" spans="1:5" x14ac:dyDescent="0.25">
      <c r="A1142" s="2" t="s">
        <v>1426</v>
      </c>
      <c r="B1142" s="2" t="s">
        <v>1428</v>
      </c>
      <c r="C1142" s="2">
        <v>4</v>
      </c>
      <c r="D1142" t="str">
        <f t="shared" si="17"/>
        <v>CA-2014-150581_TEC-AC-10001908</v>
      </c>
      <c r="E1142" t="str">
        <f>IF(COUNTIF(data2!$D:$D,D1142)=0,"Missing in Data2","Present")</f>
        <v>Present</v>
      </c>
    </row>
    <row r="1143" spans="1:5" x14ac:dyDescent="0.25">
      <c r="A1143" s="2" t="s">
        <v>1429</v>
      </c>
      <c r="B1143" s="2" t="s">
        <v>1430</v>
      </c>
      <c r="C1143" s="2">
        <v>6</v>
      </c>
      <c r="D1143" t="str">
        <f t="shared" si="17"/>
        <v>CA-2014-150798_FUR-CH-10000015</v>
      </c>
      <c r="E1143" t="str">
        <f>IF(COUNTIF(data2!$D:$D,D1143)=0,"Missing in Data2","Present")</f>
        <v>Missing in Data2</v>
      </c>
    </row>
    <row r="1144" spans="1:5" x14ac:dyDescent="0.25">
      <c r="A1144" s="2" t="s">
        <v>1429</v>
      </c>
      <c r="B1144" s="2" t="s">
        <v>339</v>
      </c>
      <c r="C1144" s="2">
        <v>2</v>
      </c>
      <c r="D1144" t="str">
        <f t="shared" si="17"/>
        <v>CA-2014-150798_FUR-FU-10000221</v>
      </c>
      <c r="E1144" t="str">
        <f>IF(COUNTIF(data2!$D:$D,D1144)=0,"Missing in Data2","Present")</f>
        <v>Present</v>
      </c>
    </row>
    <row r="1145" spans="1:5" x14ac:dyDescent="0.25">
      <c r="A1145" s="2" t="s">
        <v>1429</v>
      </c>
      <c r="B1145" s="2" t="s">
        <v>1431</v>
      </c>
      <c r="C1145" s="2">
        <v>7</v>
      </c>
      <c r="D1145" t="str">
        <f t="shared" si="17"/>
        <v>CA-2014-150798_OFF-PA-10001972</v>
      </c>
      <c r="E1145" t="str">
        <f>IF(COUNTIF(data2!$D:$D,D1145)=0,"Missing in Data2","Present")</f>
        <v>Present</v>
      </c>
    </row>
    <row r="1146" spans="1:5" x14ac:dyDescent="0.25">
      <c r="A1146" s="2" t="s">
        <v>1429</v>
      </c>
      <c r="B1146" s="2" t="s">
        <v>759</v>
      </c>
      <c r="C1146" s="2">
        <v>2</v>
      </c>
      <c r="D1146" t="str">
        <f t="shared" si="17"/>
        <v>CA-2014-150798_TEC-CO-10001571</v>
      </c>
      <c r="E1146" t="str">
        <f>IF(COUNTIF(data2!$D:$D,D1146)=0,"Missing in Data2","Present")</f>
        <v>Present</v>
      </c>
    </row>
    <row r="1147" spans="1:5" x14ac:dyDescent="0.25">
      <c r="A1147" s="2" t="s">
        <v>1432</v>
      </c>
      <c r="B1147" s="2" t="s">
        <v>932</v>
      </c>
      <c r="C1147" s="2">
        <v>4</v>
      </c>
      <c r="D1147" t="str">
        <f t="shared" si="17"/>
        <v>CA-2014-151001_OFF-ST-10001031</v>
      </c>
      <c r="E1147" t="str">
        <f>IF(COUNTIF(data2!$D:$D,D1147)=0,"Missing in Data2","Present")</f>
        <v>Present</v>
      </c>
    </row>
    <row r="1148" spans="1:5" x14ac:dyDescent="0.25">
      <c r="A1148" s="2" t="s">
        <v>1432</v>
      </c>
      <c r="B1148" s="2" t="s">
        <v>1433</v>
      </c>
      <c r="C1148" s="2">
        <v>4</v>
      </c>
      <c r="D1148" t="str">
        <f t="shared" si="17"/>
        <v>CA-2014-151001_OFF-ST-10003455</v>
      </c>
      <c r="E1148" t="str">
        <f>IF(COUNTIF(data2!$D:$D,D1148)=0,"Missing in Data2","Present")</f>
        <v>Present</v>
      </c>
    </row>
    <row r="1149" spans="1:5" x14ac:dyDescent="0.25">
      <c r="A1149" s="2" t="s">
        <v>1434</v>
      </c>
      <c r="B1149" s="2" t="s">
        <v>1121</v>
      </c>
      <c r="C1149" s="2">
        <v>4</v>
      </c>
      <c r="D1149" t="str">
        <f t="shared" si="17"/>
        <v>CA-2014-151162_OFF-BI-10003719</v>
      </c>
      <c r="E1149" t="str">
        <f>IF(COUNTIF(data2!$D:$D,D1149)=0,"Missing in Data2","Present")</f>
        <v>Present</v>
      </c>
    </row>
    <row r="1150" spans="1:5" x14ac:dyDescent="0.25">
      <c r="A1150" s="2" t="s">
        <v>1434</v>
      </c>
      <c r="B1150" s="2" t="s">
        <v>1435</v>
      </c>
      <c r="C1150" s="2">
        <v>3</v>
      </c>
      <c r="D1150" t="str">
        <f t="shared" si="17"/>
        <v>CA-2014-151162_OFF-PA-10001033</v>
      </c>
      <c r="E1150" t="str">
        <f>IF(COUNTIF(data2!$D:$D,D1150)=0,"Missing in Data2","Present")</f>
        <v>Present</v>
      </c>
    </row>
    <row r="1151" spans="1:5" x14ac:dyDescent="0.25">
      <c r="A1151" s="2" t="s">
        <v>1434</v>
      </c>
      <c r="B1151" s="2" t="s">
        <v>475</v>
      </c>
      <c r="C1151" s="2">
        <v>3</v>
      </c>
      <c r="D1151" t="str">
        <f t="shared" si="17"/>
        <v>CA-2014-151162_OFF-PA-10003036</v>
      </c>
      <c r="E1151" t="str">
        <f>IF(COUNTIF(data2!$D:$D,D1151)=0,"Missing in Data2","Present")</f>
        <v>Present</v>
      </c>
    </row>
    <row r="1152" spans="1:5" x14ac:dyDescent="0.25">
      <c r="A1152" s="2" t="s">
        <v>1434</v>
      </c>
      <c r="B1152" s="2" t="s">
        <v>1436</v>
      </c>
      <c r="C1152" s="2">
        <v>2</v>
      </c>
      <c r="D1152" t="str">
        <f t="shared" si="17"/>
        <v>CA-2014-151162_TEC-PH-10001809</v>
      </c>
      <c r="E1152" t="str">
        <f>IF(COUNTIF(data2!$D:$D,D1152)=0,"Missing in Data2","Present")</f>
        <v>Present</v>
      </c>
    </row>
    <row r="1153" spans="1:5" x14ac:dyDescent="0.25">
      <c r="A1153" s="2" t="s">
        <v>1434</v>
      </c>
      <c r="B1153" s="2" t="s">
        <v>1437</v>
      </c>
      <c r="C1153" s="2">
        <v>1</v>
      </c>
      <c r="D1153" t="str">
        <f t="shared" si="17"/>
        <v>CA-2014-151162_TEC-PH-10001870</v>
      </c>
      <c r="E1153" t="str">
        <f>IF(COUNTIF(data2!$D:$D,D1153)=0,"Missing in Data2","Present")</f>
        <v>Present</v>
      </c>
    </row>
    <row r="1154" spans="1:5" x14ac:dyDescent="0.25">
      <c r="A1154" s="2" t="s">
        <v>1438</v>
      </c>
      <c r="B1154" s="2" t="s">
        <v>1439</v>
      </c>
      <c r="C1154" s="2">
        <v>3</v>
      </c>
      <c r="D1154" t="str">
        <f t="shared" si="17"/>
        <v>CA-2014-151295_FUR-TA-10002356</v>
      </c>
      <c r="E1154" t="str">
        <f>IF(COUNTIF(data2!$D:$D,D1154)=0,"Missing in Data2","Present")</f>
        <v>Present</v>
      </c>
    </row>
    <row r="1155" spans="1:5" x14ac:dyDescent="0.25">
      <c r="A1155" s="2" t="s">
        <v>1438</v>
      </c>
      <c r="B1155" s="2" t="s">
        <v>1440</v>
      </c>
      <c r="C1155" s="2">
        <v>2</v>
      </c>
      <c r="D1155" t="str">
        <f t="shared" ref="D1155:D1218" si="18">A1155&amp;"_"&amp;B1155</f>
        <v>CA-2014-151295_OFF-PA-10001947</v>
      </c>
      <c r="E1155" t="str">
        <f>IF(COUNTIF(data2!$D:$D,D1155)=0,"Missing in Data2","Present")</f>
        <v>Missing in Data2</v>
      </c>
    </row>
    <row r="1156" spans="1:5" x14ac:dyDescent="0.25">
      <c r="A1156" s="2" t="s">
        <v>1441</v>
      </c>
      <c r="B1156" s="2" t="s">
        <v>1442</v>
      </c>
      <c r="C1156" s="2">
        <v>9</v>
      </c>
      <c r="D1156" t="str">
        <f t="shared" si="18"/>
        <v>CA-2014-151330_FUR-CH-10000749</v>
      </c>
      <c r="E1156" t="str">
        <f>IF(COUNTIF(data2!$D:$D,D1156)=0,"Missing in Data2","Present")</f>
        <v>Present</v>
      </c>
    </row>
    <row r="1157" spans="1:5" x14ac:dyDescent="0.25">
      <c r="A1157" s="2" t="s">
        <v>1441</v>
      </c>
      <c r="B1157" s="2" t="s">
        <v>1443</v>
      </c>
      <c r="C1157" s="2">
        <v>7</v>
      </c>
      <c r="D1157" t="str">
        <f t="shared" si="18"/>
        <v>CA-2014-151330_OFF-ST-10000615</v>
      </c>
      <c r="E1157" t="str">
        <f>IF(COUNTIF(data2!$D:$D,D1157)=0,"Missing in Data2","Present")</f>
        <v>Missing in Data2</v>
      </c>
    </row>
    <row r="1158" spans="1:5" x14ac:dyDescent="0.25">
      <c r="A1158" s="2" t="s">
        <v>1441</v>
      </c>
      <c r="B1158" s="2" t="s">
        <v>1263</v>
      </c>
      <c r="C1158" s="2">
        <v>3</v>
      </c>
      <c r="D1158" t="str">
        <f t="shared" si="18"/>
        <v>CA-2014-151330_TEC-AC-10000865</v>
      </c>
      <c r="E1158" t="str">
        <f>IF(COUNTIF(data2!$D:$D,D1158)=0,"Missing in Data2","Present")</f>
        <v>Present</v>
      </c>
    </row>
    <row r="1159" spans="1:5" x14ac:dyDescent="0.25">
      <c r="A1159" s="2" t="s">
        <v>1444</v>
      </c>
      <c r="B1159" s="2" t="s">
        <v>421</v>
      </c>
      <c r="C1159" s="2">
        <v>5</v>
      </c>
      <c r="D1159" t="str">
        <f t="shared" si="18"/>
        <v>CA-2014-151379_OFF-PA-10000595</v>
      </c>
      <c r="E1159" t="str">
        <f>IF(COUNTIF(data2!$D:$D,D1159)=0,"Missing in Data2","Present")</f>
        <v>Present</v>
      </c>
    </row>
    <row r="1160" spans="1:5" x14ac:dyDescent="0.25">
      <c r="A1160" s="2" t="s">
        <v>1445</v>
      </c>
      <c r="B1160" s="2" t="s">
        <v>1446</v>
      </c>
      <c r="C1160" s="2">
        <v>4</v>
      </c>
      <c r="D1160" t="str">
        <f t="shared" si="18"/>
        <v>CA-2014-151554_OFF-PA-10004609</v>
      </c>
      <c r="E1160" t="str">
        <f>IF(COUNTIF(data2!$D:$D,D1160)=0,"Missing in Data2","Present")</f>
        <v>Present</v>
      </c>
    </row>
    <row r="1161" spans="1:5" x14ac:dyDescent="0.25">
      <c r="A1161" s="2" t="s">
        <v>1447</v>
      </c>
      <c r="B1161" s="2" t="s">
        <v>1448</v>
      </c>
      <c r="C1161" s="2">
        <v>4</v>
      </c>
      <c r="D1161" t="str">
        <f t="shared" si="18"/>
        <v>CA-2014-151708_FUR-FU-10001602</v>
      </c>
      <c r="E1161" t="str">
        <f>IF(COUNTIF(data2!$D:$D,D1161)=0,"Missing in Data2","Present")</f>
        <v>Present</v>
      </c>
    </row>
    <row r="1162" spans="1:5" x14ac:dyDescent="0.25">
      <c r="A1162" s="2" t="s">
        <v>1449</v>
      </c>
      <c r="B1162" s="2" t="s">
        <v>1128</v>
      </c>
      <c r="C1162" s="2">
        <v>3</v>
      </c>
      <c r="D1162" t="str">
        <f t="shared" si="18"/>
        <v>CA-2014-151792_TEC-AC-10001606</v>
      </c>
      <c r="E1162" t="str">
        <f>IF(COUNTIF(data2!$D:$D,D1162)=0,"Missing in Data2","Present")</f>
        <v>Present</v>
      </c>
    </row>
    <row r="1163" spans="1:5" x14ac:dyDescent="0.25">
      <c r="A1163" s="2" t="s">
        <v>1450</v>
      </c>
      <c r="B1163" s="2" t="s">
        <v>540</v>
      </c>
      <c r="C1163" s="2">
        <v>10</v>
      </c>
      <c r="D1163" t="str">
        <f t="shared" si="18"/>
        <v>CA-2014-151897_OFF-LA-10001074</v>
      </c>
      <c r="E1163" t="str">
        <f>IF(COUNTIF(data2!$D:$D,D1163)=0,"Missing in Data2","Present")</f>
        <v>Present</v>
      </c>
    </row>
    <row r="1164" spans="1:5" x14ac:dyDescent="0.25">
      <c r="A1164" s="2" t="s">
        <v>1451</v>
      </c>
      <c r="B1164" s="2" t="s">
        <v>437</v>
      </c>
      <c r="C1164" s="2">
        <v>2</v>
      </c>
      <c r="D1164" t="str">
        <f t="shared" si="18"/>
        <v>CA-2014-151946_FUR-BO-10003272</v>
      </c>
      <c r="E1164" t="str">
        <f>IF(COUNTIF(data2!$D:$D,D1164)=0,"Missing in Data2","Present")</f>
        <v>Present</v>
      </c>
    </row>
    <row r="1165" spans="1:5" x14ac:dyDescent="0.25">
      <c r="A1165" s="2" t="s">
        <v>1451</v>
      </c>
      <c r="B1165" s="2" t="s">
        <v>1452</v>
      </c>
      <c r="C1165" s="2">
        <v>2</v>
      </c>
      <c r="D1165" t="str">
        <f t="shared" si="18"/>
        <v>CA-2014-151946_FUR-FU-10002191</v>
      </c>
      <c r="E1165" t="str">
        <f>IF(COUNTIF(data2!$D:$D,D1165)=0,"Missing in Data2","Present")</f>
        <v>Present</v>
      </c>
    </row>
    <row r="1166" spans="1:5" x14ac:dyDescent="0.25">
      <c r="A1166" s="2" t="s">
        <v>1451</v>
      </c>
      <c r="B1166" s="2" t="s">
        <v>349</v>
      </c>
      <c r="C1166" s="2">
        <v>2</v>
      </c>
      <c r="D1166" t="str">
        <f t="shared" si="18"/>
        <v>CA-2014-151946_FUR-FU-10002878</v>
      </c>
      <c r="E1166" t="str">
        <f>IF(COUNTIF(data2!$D:$D,D1166)=0,"Missing in Data2","Present")</f>
        <v>Present</v>
      </c>
    </row>
    <row r="1167" spans="1:5" x14ac:dyDescent="0.25">
      <c r="A1167" s="2" t="s">
        <v>1451</v>
      </c>
      <c r="B1167" s="2" t="s">
        <v>1453</v>
      </c>
      <c r="C1167" s="2">
        <v>4</v>
      </c>
      <c r="D1167" t="str">
        <f t="shared" si="18"/>
        <v>CA-2014-151946_OFF-AP-10001626</v>
      </c>
      <c r="E1167" t="str">
        <f>IF(COUNTIF(data2!$D:$D,D1167)=0,"Missing in Data2","Present")</f>
        <v>Present</v>
      </c>
    </row>
    <row r="1168" spans="1:5" x14ac:dyDescent="0.25">
      <c r="A1168" s="2" t="s">
        <v>1454</v>
      </c>
      <c r="B1168" s="2" t="s">
        <v>846</v>
      </c>
      <c r="C1168" s="2">
        <v>4</v>
      </c>
      <c r="D1168" t="str">
        <f t="shared" si="18"/>
        <v>CA-2014-151967_FUR-FU-10000193</v>
      </c>
      <c r="E1168" t="str">
        <f>IF(COUNTIF(data2!$D:$D,D1168)=0,"Missing in Data2","Present")</f>
        <v>Present</v>
      </c>
    </row>
    <row r="1169" spans="1:5" x14ac:dyDescent="0.25">
      <c r="A1169" s="2" t="s">
        <v>1455</v>
      </c>
      <c r="B1169" s="2" t="s">
        <v>1456</v>
      </c>
      <c r="C1169" s="2">
        <v>5</v>
      </c>
      <c r="D1169" t="str">
        <f t="shared" si="18"/>
        <v>CA-2014-151995_FUR-TA-10002903</v>
      </c>
      <c r="E1169" t="str">
        <f>IF(COUNTIF(data2!$D:$D,D1169)=0,"Missing in Data2","Present")</f>
        <v>Missing in Data2</v>
      </c>
    </row>
    <row r="1170" spans="1:5" x14ac:dyDescent="0.25">
      <c r="A1170" s="2" t="s">
        <v>1455</v>
      </c>
      <c r="B1170" s="2" t="s">
        <v>1457</v>
      </c>
      <c r="C1170" s="2">
        <v>4</v>
      </c>
      <c r="D1170" t="str">
        <f t="shared" si="18"/>
        <v>CA-2014-151995_OFF-AP-10000240</v>
      </c>
      <c r="E1170" t="str">
        <f>IF(COUNTIF(data2!$D:$D,D1170)=0,"Missing in Data2","Present")</f>
        <v>Present</v>
      </c>
    </row>
    <row r="1171" spans="1:5" x14ac:dyDescent="0.25">
      <c r="A1171" s="2" t="s">
        <v>1455</v>
      </c>
      <c r="B1171" s="2" t="s">
        <v>598</v>
      </c>
      <c r="C1171" s="2">
        <v>4</v>
      </c>
      <c r="D1171" t="str">
        <f t="shared" si="18"/>
        <v>CA-2014-151995_OFF-AR-10003190</v>
      </c>
      <c r="E1171" t="str">
        <f>IF(COUNTIF(data2!$D:$D,D1171)=0,"Missing in Data2","Present")</f>
        <v>Present</v>
      </c>
    </row>
    <row r="1172" spans="1:5" x14ac:dyDescent="0.25">
      <c r="A1172" s="2" t="s">
        <v>1455</v>
      </c>
      <c r="B1172" s="2" t="s">
        <v>496</v>
      </c>
      <c r="C1172" s="2">
        <v>2</v>
      </c>
      <c r="D1172" t="str">
        <f t="shared" si="18"/>
        <v>CA-2014-151995_TEC-AC-10001101</v>
      </c>
      <c r="E1172" t="str">
        <f>IF(COUNTIF(data2!$D:$D,D1172)=0,"Missing in Data2","Present")</f>
        <v>Present</v>
      </c>
    </row>
    <row r="1173" spans="1:5" x14ac:dyDescent="0.25">
      <c r="A1173" s="2" t="s">
        <v>1458</v>
      </c>
      <c r="B1173" s="2" t="s">
        <v>1430</v>
      </c>
      <c r="C1173" s="2">
        <v>8</v>
      </c>
      <c r="D1173" t="str">
        <f t="shared" si="18"/>
        <v>CA-2014-152100_FUR-CH-10000015</v>
      </c>
      <c r="E1173" t="str">
        <f>IF(COUNTIF(data2!$D:$D,D1173)=0,"Missing in Data2","Present")</f>
        <v>Present</v>
      </c>
    </row>
    <row r="1174" spans="1:5" x14ac:dyDescent="0.25">
      <c r="A1174" s="2" t="s">
        <v>1459</v>
      </c>
      <c r="B1174" s="2" t="s">
        <v>507</v>
      </c>
      <c r="C1174" s="2">
        <v>2</v>
      </c>
      <c r="D1174" t="str">
        <f t="shared" si="18"/>
        <v>CA-2014-152233_TEC-AC-10002800</v>
      </c>
      <c r="E1174" t="str">
        <f>IF(COUNTIF(data2!$D:$D,D1174)=0,"Missing in Data2","Present")</f>
        <v>Present</v>
      </c>
    </row>
    <row r="1175" spans="1:5" x14ac:dyDescent="0.25">
      <c r="A1175" s="2" t="s">
        <v>1460</v>
      </c>
      <c r="B1175" s="2" t="s">
        <v>623</v>
      </c>
      <c r="C1175" s="2">
        <v>7</v>
      </c>
      <c r="D1175" t="str">
        <f t="shared" si="18"/>
        <v>CA-2014-152254_OFF-PA-10001144</v>
      </c>
      <c r="E1175" t="str">
        <f>IF(COUNTIF(data2!$D:$D,D1175)=0,"Missing in Data2","Present")</f>
        <v>Present</v>
      </c>
    </row>
    <row r="1176" spans="1:5" x14ac:dyDescent="0.25">
      <c r="A1176" s="2" t="s">
        <v>1461</v>
      </c>
      <c r="B1176" s="2" t="s">
        <v>502</v>
      </c>
      <c r="C1176" s="2">
        <v>2</v>
      </c>
      <c r="D1176" t="str">
        <f t="shared" si="18"/>
        <v>CA-2014-152268_OFF-BI-10001359</v>
      </c>
      <c r="E1176" t="str">
        <f>IF(COUNTIF(data2!$D:$D,D1176)=0,"Missing in Data2","Present")</f>
        <v>Present</v>
      </c>
    </row>
    <row r="1177" spans="1:5" x14ac:dyDescent="0.25">
      <c r="A1177" s="2" t="s">
        <v>1462</v>
      </c>
      <c r="B1177" s="2" t="s">
        <v>1463</v>
      </c>
      <c r="C1177" s="2">
        <v>3</v>
      </c>
      <c r="D1177" t="str">
        <f t="shared" si="18"/>
        <v>CA-2014-152296_OFF-BI-10004506</v>
      </c>
      <c r="E1177" t="str">
        <f>IF(COUNTIF(data2!$D:$D,D1177)=0,"Missing in Data2","Present")</f>
        <v>Present</v>
      </c>
    </row>
    <row r="1178" spans="1:5" x14ac:dyDescent="0.25">
      <c r="A1178" s="2" t="s">
        <v>1464</v>
      </c>
      <c r="B1178" s="2" t="s">
        <v>1465</v>
      </c>
      <c r="C1178" s="2">
        <v>1</v>
      </c>
      <c r="D1178" t="str">
        <f t="shared" si="18"/>
        <v>CA-2014-152345_OFF-ST-10003123</v>
      </c>
      <c r="E1178" t="str">
        <f>IF(COUNTIF(data2!$D:$D,D1178)=0,"Missing in Data2","Present")</f>
        <v>Present</v>
      </c>
    </row>
    <row r="1179" spans="1:5" x14ac:dyDescent="0.25">
      <c r="A1179" s="2" t="s">
        <v>1464</v>
      </c>
      <c r="B1179" s="2" t="s">
        <v>1466</v>
      </c>
      <c r="C1179" s="2">
        <v>3</v>
      </c>
      <c r="D1179" t="str">
        <f t="shared" si="18"/>
        <v>CA-2014-152345_TEC-PH-10004897</v>
      </c>
      <c r="E1179" t="str">
        <f>IF(COUNTIF(data2!$D:$D,D1179)=0,"Missing in Data2","Present")</f>
        <v>Present</v>
      </c>
    </row>
    <row r="1180" spans="1:5" x14ac:dyDescent="0.25">
      <c r="A1180" s="2" t="s">
        <v>1467</v>
      </c>
      <c r="B1180" s="2" t="s">
        <v>545</v>
      </c>
      <c r="C1180" s="2">
        <v>5</v>
      </c>
      <c r="D1180" t="str">
        <f t="shared" si="18"/>
        <v>CA-2014-152422_OFF-AP-10002892</v>
      </c>
      <c r="E1180" t="str">
        <f>IF(COUNTIF(data2!$D:$D,D1180)=0,"Missing in Data2","Present")</f>
        <v>Present</v>
      </c>
    </row>
    <row r="1181" spans="1:5" x14ac:dyDescent="0.25">
      <c r="A1181" s="2" t="s">
        <v>1468</v>
      </c>
      <c r="B1181" s="2" t="s">
        <v>650</v>
      </c>
      <c r="C1181" s="2">
        <v>6</v>
      </c>
      <c r="D1181" t="str">
        <f t="shared" si="18"/>
        <v>CA-2014-152443_OFF-AP-10001293</v>
      </c>
      <c r="E1181" t="str">
        <f>IF(COUNTIF(data2!$D:$D,D1181)=0,"Missing in Data2","Present")</f>
        <v>Missing in Data2</v>
      </c>
    </row>
    <row r="1182" spans="1:5" x14ac:dyDescent="0.25">
      <c r="A1182" s="2" t="s">
        <v>1468</v>
      </c>
      <c r="B1182" s="2" t="s">
        <v>921</v>
      </c>
      <c r="C1182" s="2">
        <v>7</v>
      </c>
      <c r="D1182" t="str">
        <f t="shared" si="18"/>
        <v>CA-2014-152443_OFF-BI-10001071</v>
      </c>
      <c r="E1182" t="str">
        <f>IF(COUNTIF(data2!$D:$D,D1182)=0,"Missing in Data2","Present")</f>
        <v>Present</v>
      </c>
    </row>
    <row r="1183" spans="1:5" x14ac:dyDescent="0.25">
      <c r="A1183" s="2" t="s">
        <v>1468</v>
      </c>
      <c r="B1183" s="2" t="s">
        <v>1469</v>
      </c>
      <c r="C1183" s="2">
        <v>3</v>
      </c>
      <c r="D1183" t="str">
        <f t="shared" si="18"/>
        <v>CA-2014-152443_OFF-PA-10003022</v>
      </c>
      <c r="E1183" t="str">
        <f>IF(COUNTIF(data2!$D:$D,D1183)=0,"Missing in Data2","Present")</f>
        <v>Present</v>
      </c>
    </row>
    <row r="1184" spans="1:5" x14ac:dyDescent="0.25">
      <c r="A1184" s="2" t="s">
        <v>1470</v>
      </c>
      <c r="B1184" s="2" t="s">
        <v>899</v>
      </c>
      <c r="C1184" s="2">
        <v>3</v>
      </c>
      <c r="D1184" t="str">
        <f t="shared" si="18"/>
        <v>CA-2014-152562_OFF-AR-10001919</v>
      </c>
      <c r="E1184" t="str">
        <f>IF(COUNTIF(data2!$D:$D,D1184)=0,"Missing in Data2","Present")</f>
        <v>Present</v>
      </c>
    </row>
    <row r="1185" spans="1:5" x14ac:dyDescent="0.25">
      <c r="A1185" s="2" t="s">
        <v>1470</v>
      </c>
      <c r="B1185" s="2" t="s">
        <v>1471</v>
      </c>
      <c r="C1185" s="2">
        <v>2</v>
      </c>
      <c r="D1185" t="str">
        <f t="shared" si="18"/>
        <v>CA-2014-152562_OFF-ST-10000464</v>
      </c>
      <c r="E1185" t="str">
        <f>IF(COUNTIF(data2!$D:$D,D1185)=0,"Missing in Data2","Present")</f>
        <v>Present</v>
      </c>
    </row>
    <row r="1186" spans="1:5" x14ac:dyDescent="0.25">
      <c r="A1186" s="2" t="s">
        <v>1472</v>
      </c>
      <c r="B1186" s="2" t="s">
        <v>1322</v>
      </c>
      <c r="C1186" s="2">
        <v>2</v>
      </c>
      <c r="D1186" t="str">
        <f t="shared" si="18"/>
        <v>CA-2014-152618_TEC-MA-10003626</v>
      </c>
      <c r="E1186" t="str">
        <f>IF(COUNTIF(data2!$D:$D,D1186)=0,"Missing in Data2","Present")</f>
        <v>Present</v>
      </c>
    </row>
    <row r="1187" spans="1:5" x14ac:dyDescent="0.25">
      <c r="A1187" s="2" t="s">
        <v>1473</v>
      </c>
      <c r="B1187" s="2" t="s">
        <v>79</v>
      </c>
      <c r="C1187" s="2">
        <v>3</v>
      </c>
      <c r="D1187" t="str">
        <f t="shared" si="18"/>
        <v>CA-2014-152849_OFF-AR-10002833</v>
      </c>
      <c r="E1187" t="str">
        <f>IF(COUNTIF(data2!$D:$D,D1187)=0,"Missing in Data2","Present")</f>
        <v>Present</v>
      </c>
    </row>
    <row r="1188" spans="1:5" x14ac:dyDescent="0.25">
      <c r="A1188" s="2" t="s">
        <v>1474</v>
      </c>
      <c r="B1188" s="2" t="s">
        <v>1475</v>
      </c>
      <c r="C1188" s="2">
        <v>4</v>
      </c>
      <c r="D1188" t="str">
        <f t="shared" si="18"/>
        <v>CA-2014-153087_OFF-PA-10001243</v>
      </c>
      <c r="E1188" t="str">
        <f>IF(COUNTIF(data2!$D:$D,D1188)=0,"Missing in Data2","Present")</f>
        <v>Present</v>
      </c>
    </row>
    <row r="1189" spans="1:5" x14ac:dyDescent="0.25">
      <c r="A1189" s="2" t="s">
        <v>1474</v>
      </c>
      <c r="B1189" s="2" t="s">
        <v>1476</v>
      </c>
      <c r="C1189" s="2">
        <v>5</v>
      </c>
      <c r="D1189" t="str">
        <f t="shared" si="18"/>
        <v>CA-2014-153087_TEC-AC-10003198</v>
      </c>
      <c r="E1189" t="str">
        <f>IF(COUNTIF(data2!$D:$D,D1189)=0,"Missing in Data2","Present")</f>
        <v>Present</v>
      </c>
    </row>
    <row r="1190" spans="1:5" x14ac:dyDescent="0.25">
      <c r="A1190" s="2" t="s">
        <v>1477</v>
      </c>
      <c r="B1190" s="2" t="s">
        <v>1478</v>
      </c>
      <c r="C1190" s="2">
        <v>5</v>
      </c>
      <c r="D1190" t="str">
        <f t="shared" si="18"/>
        <v>CA-2014-153150_OFF-BI-10003355</v>
      </c>
      <c r="E1190" t="str">
        <f>IF(COUNTIF(data2!$D:$D,D1190)=0,"Missing in Data2","Present")</f>
        <v>Present</v>
      </c>
    </row>
    <row r="1191" spans="1:5" x14ac:dyDescent="0.25">
      <c r="A1191" s="2" t="s">
        <v>1479</v>
      </c>
      <c r="B1191" s="2" t="s">
        <v>1345</v>
      </c>
      <c r="C1191" s="2">
        <v>2</v>
      </c>
      <c r="D1191" t="str">
        <f t="shared" si="18"/>
        <v>CA-2014-153479_OFF-BI-10002867</v>
      </c>
      <c r="E1191" t="str">
        <f>IF(COUNTIF(data2!$D:$D,D1191)=0,"Missing in Data2","Present")</f>
        <v>Present</v>
      </c>
    </row>
    <row r="1192" spans="1:5" x14ac:dyDescent="0.25">
      <c r="A1192" s="2" t="s">
        <v>1479</v>
      </c>
      <c r="B1192" s="2" t="s">
        <v>1480</v>
      </c>
      <c r="C1192" s="2">
        <v>5</v>
      </c>
      <c r="D1192" t="str">
        <f t="shared" si="18"/>
        <v>CA-2014-153479_OFF-LA-10004689</v>
      </c>
      <c r="E1192" t="str">
        <f>IF(COUNTIF(data2!$D:$D,D1192)=0,"Missing in Data2","Present")</f>
        <v>Present</v>
      </c>
    </row>
    <row r="1193" spans="1:5" x14ac:dyDescent="0.25">
      <c r="A1193" s="2" t="s">
        <v>1481</v>
      </c>
      <c r="B1193" s="2" t="s">
        <v>17</v>
      </c>
      <c r="C1193" s="2">
        <v>4</v>
      </c>
      <c r="D1193" t="str">
        <f t="shared" si="18"/>
        <v>CA-2014-153619_OFF-AR-10001868</v>
      </c>
      <c r="E1193" t="str">
        <f>IF(COUNTIF(data2!$D:$D,D1193)=0,"Missing in Data2","Present")</f>
        <v>Present</v>
      </c>
    </row>
    <row r="1194" spans="1:5" x14ac:dyDescent="0.25">
      <c r="A1194" s="2" t="s">
        <v>1482</v>
      </c>
      <c r="B1194" s="2" t="s">
        <v>429</v>
      </c>
      <c r="C1194" s="2">
        <v>3</v>
      </c>
      <c r="D1194" t="str">
        <f t="shared" si="18"/>
        <v>CA-2014-153808_OFF-AR-10001725</v>
      </c>
      <c r="E1194" t="str">
        <f>IF(COUNTIF(data2!$D:$D,D1194)=0,"Missing in Data2","Present")</f>
        <v>Present</v>
      </c>
    </row>
    <row r="1195" spans="1:5" x14ac:dyDescent="0.25">
      <c r="A1195" s="2" t="s">
        <v>1482</v>
      </c>
      <c r="B1195" s="2" t="s">
        <v>1483</v>
      </c>
      <c r="C1195" s="2">
        <v>2</v>
      </c>
      <c r="D1195" t="str">
        <f t="shared" si="18"/>
        <v>CA-2014-153808_OFF-BI-10002794</v>
      </c>
      <c r="E1195" t="str">
        <f>IF(COUNTIF(data2!$D:$D,D1195)=0,"Missing in Data2","Present")</f>
        <v>Present</v>
      </c>
    </row>
    <row r="1196" spans="1:5" x14ac:dyDescent="0.25">
      <c r="A1196" s="2" t="s">
        <v>1482</v>
      </c>
      <c r="B1196" s="2" t="s">
        <v>457</v>
      </c>
      <c r="C1196" s="2">
        <v>3</v>
      </c>
      <c r="D1196" t="str">
        <f t="shared" si="18"/>
        <v>CA-2014-153808_TEC-AC-10004171</v>
      </c>
      <c r="E1196" t="str">
        <f>IF(COUNTIF(data2!$D:$D,D1196)=0,"Missing in Data2","Present")</f>
        <v>Present</v>
      </c>
    </row>
    <row r="1197" spans="1:5" x14ac:dyDescent="0.25">
      <c r="A1197" s="2" t="s">
        <v>1484</v>
      </c>
      <c r="B1197" s="2" t="s">
        <v>1485</v>
      </c>
      <c r="C1197" s="2">
        <v>7</v>
      </c>
      <c r="D1197" t="str">
        <f t="shared" si="18"/>
        <v>CA-2014-153850_FUR-FU-10002960</v>
      </c>
      <c r="E1197" t="str">
        <f>IF(COUNTIF(data2!$D:$D,D1197)=0,"Missing in Data2","Present")</f>
        <v>Present</v>
      </c>
    </row>
    <row r="1198" spans="1:5" x14ac:dyDescent="0.25">
      <c r="A1198" s="2" t="s">
        <v>1484</v>
      </c>
      <c r="B1198" s="2" t="s">
        <v>1486</v>
      </c>
      <c r="C1198" s="2">
        <v>4</v>
      </c>
      <c r="D1198" t="str">
        <f t="shared" si="18"/>
        <v>CA-2014-153850_TEC-PH-10002584</v>
      </c>
      <c r="E1198" t="str">
        <f>IF(COUNTIF(data2!$D:$D,D1198)=0,"Missing in Data2","Present")</f>
        <v>Present</v>
      </c>
    </row>
    <row r="1199" spans="1:5" x14ac:dyDescent="0.25">
      <c r="A1199" s="2" t="s">
        <v>1487</v>
      </c>
      <c r="B1199" s="2" t="s">
        <v>221</v>
      </c>
      <c r="C1199" s="2">
        <v>9</v>
      </c>
      <c r="D1199" t="str">
        <f t="shared" si="18"/>
        <v>CA-2014-153913_FUR-CH-10000988</v>
      </c>
      <c r="E1199" t="str">
        <f>IF(COUNTIF(data2!$D:$D,D1199)=0,"Missing in Data2","Present")</f>
        <v>Present</v>
      </c>
    </row>
    <row r="1200" spans="1:5" x14ac:dyDescent="0.25">
      <c r="A1200" s="2" t="s">
        <v>1487</v>
      </c>
      <c r="B1200" s="2" t="s">
        <v>1488</v>
      </c>
      <c r="C1200" s="2">
        <v>2</v>
      </c>
      <c r="D1200" t="str">
        <f t="shared" si="18"/>
        <v>CA-2014-153913_OFF-FA-10000490</v>
      </c>
      <c r="E1200" t="str">
        <f>IF(COUNTIF(data2!$D:$D,D1200)=0,"Missing in Data2","Present")</f>
        <v>Present</v>
      </c>
    </row>
    <row r="1201" spans="1:5" x14ac:dyDescent="0.25">
      <c r="A1201" s="2" t="s">
        <v>1489</v>
      </c>
      <c r="B1201" s="2" t="s">
        <v>1490</v>
      </c>
      <c r="C1201" s="2">
        <v>3</v>
      </c>
      <c r="D1201" t="str">
        <f t="shared" si="18"/>
        <v>CA-2014-153927_OFF-BI-10000138</v>
      </c>
      <c r="E1201" t="str">
        <f>IF(COUNTIF(data2!$D:$D,D1201)=0,"Missing in Data2","Present")</f>
        <v>Present</v>
      </c>
    </row>
    <row r="1202" spans="1:5" x14ac:dyDescent="0.25">
      <c r="A1202" s="2" t="s">
        <v>1489</v>
      </c>
      <c r="B1202" s="2" t="s">
        <v>536</v>
      </c>
      <c r="C1202" s="2">
        <v>13</v>
      </c>
      <c r="D1202" t="str">
        <f t="shared" si="18"/>
        <v>CA-2014-153927_TEC-AC-10000023</v>
      </c>
      <c r="E1202" t="str">
        <f>IF(COUNTIF(data2!$D:$D,D1202)=0,"Missing in Data2","Present")</f>
        <v>Present</v>
      </c>
    </row>
    <row r="1203" spans="1:5" x14ac:dyDescent="0.25">
      <c r="A1203" s="2" t="s">
        <v>1491</v>
      </c>
      <c r="B1203" s="2" t="s">
        <v>1492</v>
      </c>
      <c r="C1203" s="2">
        <v>3</v>
      </c>
      <c r="D1203" t="str">
        <f t="shared" si="18"/>
        <v>CA-2014-153969_OFF-AR-10001615</v>
      </c>
      <c r="E1203" t="str">
        <f>IF(COUNTIF(data2!$D:$D,D1203)=0,"Missing in Data2","Present")</f>
        <v>Present</v>
      </c>
    </row>
    <row r="1204" spans="1:5" x14ac:dyDescent="0.25">
      <c r="A1204" s="2" t="s">
        <v>1491</v>
      </c>
      <c r="B1204" s="2" t="s">
        <v>1493</v>
      </c>
      <c r="C1204" s="2">
        <v>2</v>
      </c>
      <c r="D1204" t="str">
        <f t="shared" si="18"/>
        <v>CA-2014-153969_OFF-EN-10001539</v>
      </c>
      <c r="E1204" t="str">
        <f>IF(COUNTIF(data2!$D:$D,D1204)=0,"Missing in Data2","Present")</f>
        <v>Present</v>
      </c>
    </row>
    <row r="1205" spans="1:5" x14ac:dyDescent="0.25">
      <c r="A1205" s="2" t="s">
        <v>1491</v>
      </c>
      <c r="B1205" s="2" t="s">
        <v>1494</v>
      </c>
      <c r="C1205" s="2">
        <v>5</v>
      </c>
      <c r="D1205" t="str">
        <f t="shared" si="18"/>
        <v>CA-2014-153969_OFF-EN-10004483</v>
      </c>
      <c r="E1205" t="str">
        <f>IF(COUNTIF(data2!$D:$D,D1205)=0,"Missing in Data2","Present")</f>
        <v>Present</v>
      </c>
    </row>
    <row r="1206" spans="1:5" x14ac:dyDescent="0.25">
      <c r="A1206" s="2" t="s">
        <v>1491</v>
      </c>
      <c r="B1206" s="2" t="s">
        <v>408</v>
      </c>
      <c r="C1206" s="2">
        <v>9</v>
      </c>
      <c r="D1206" t="str">
        <f t="shared" si="18"/>
        <v>CA-2014-153969_OFF-PA-10000327</v>
      </c>
      <c r="E1206" t="str">
        <f>IF(COUNTIF(data2!$D:$D,D1206)=0,"Missing in Data2","Present")</f>
        <v>Present</v>
      </c>
    </row>
    <row r="1207" spans="1:5" x14ac:dyDescent="0.25">
      <c r="A1207" s="2" t="s">
        <v>1491</v>
      </c>
      <c r="B1207" s="2" t="s">
        <v>1495</v>
      </c>
      <c r="C1207" s="2">
        <v>3</v>
      </c>
      <c r="D1207" t="str">
        <f t="shared" si="18"/>
        <v>CA-2014-153969_OFF-PA-10002246</v>
      </c>
      <c r="E1207" t="str">
        <f>IF(COUNTIF(data2!$D:$D,D1207)=0,"Missing in Data2","Present")</f>
        <v>Present</v>
      </c>
    </row>
    <row r="1208" spans="1:5" x14ac:dyDescent="0.25">
      <c r="A1208" s="2" t="s">
        <v>1496</v>
      </c>
      <c r="B1208" s="2" t="s">
        <v>1497</v>
      </c>
      <c r="C1208" s="2">
        <v>3</v>
      </c>
      <c r="D1208" t="str">
        <f t="shared" si="18"/>
        <v>CA-2014-153976_FUR-CH-10002880</v>
      </c>
      <c r="E1208" t="str">
        <f>IF(COUNTIF(data2!$D:$D,D1208)=0,"Missing in Data2","Present")</f>
        <v>Present</v>
      </c>
    </row>
    <row r="1209" spans="1:5" x14ac:dyDescent="0.25">
      <c r="A1209" s="2" t="s">
        <v>1498</v>
      </c>
      <c r="B1209" s="2" t="s">
        <v>1499</v>
      </c>
      <c r="C1209" s="2">
        <v>5</v>
      </c>
      <c r="D1209" t="str">
        <f t="shared" si="18"/>
        <v>CA-2014-153983_OFF-FA-10003495</v>
      </c>
      <c r="E1209" t="str">
        <f>IF(COUNTIF(data2!$D:$D,D1209)=0,"Missing in Data2","Present")</f>
        <v>Present</v>
      </c>
    </row>
    <row r="1210" spans="1:5" x14ac:dyDescent="0.25">
      <c r="A1210" s="2" t="s">
        <v>1498</v>
      </c>
      <c r="B1210" s="2" t="s">
        <v>1500</v>
      </c>
      <c r="C1210" s="2">
        <v>2</v>
      </c>
      <c r="D1210" t="str">
        <f t="shared" si="18"/>
        <v>CA-2014-153983_TEC-PH-10004586</v>
      </c>
      <c r="E1210" t="str">
        <f>IF(COUNTIF(data2!$D:$D,D1210)=0,"Missing in Data2","Present")</f>
        <v>Present</v>
      </c>
    </row>
    <row r="1211" spans="1:5" x14ac:dyDescent="0.25">
      <c r="A1211" s="2" t="s">
        <v>1501</v>
      </c>
      <c r="B1211" s="2" t="s">
        <v>1502</v>
      </c>
      <c r="C1211" s="2">
        <v>8</v>
      </c>
      <c r="D1211" t="str">
        <f t="shared" si="18"/>
        <v>CA-2014-154095_FUR-CH-10004754</v>
      </c>
      <c r="E1211" t="str">
        <f>IF(COUNTIF(data2!$D:$D,D1211)=0,"Missing in Data2","Present")</f>
        <v>Present</v>
      </c>
    </row>
    <row r="1212" spans="1:5" x14ac:dyDescent="0.25">
      <c r="A1212" s="2" t="s">
        <v>1501</v>
      </c>
      <c r="B1212" s="2" t="s">
        <v>1503</v>
      </c>
      <c r="C1212" s="2">
        <v>3</v>
      </c>
      <c r="D1212" t="str">
        <f t="shared" si="18"/>
        <v>CA-2014-154095_FUR-FU-10003849</v>
      </c>
      <c r="E1212" t="str">
        <f>IF(COUNTIF(data2!$D:$D,D1212)=0,"Missing in Data2","Present")</f>
        <v>Present</v>
      </c>
    </row>
    <row r="1213" spans="1:5" x14ac:dyDescent="0.25">
      <c r="A1213" s="2" t="s">
        <v>1501</v>
      </c>
      <c r="B1213" s="2" t="s">
        <v>1504</v>
      </c>
      <c r="C1213" s="2">
        <v>6</v>
      </c>
      <c r="D1213" t="str">
        <f t="shared" si="18"/>
        <v>CA-2014-154095_OFF-LA-10000634</v>
      </c>
      <c r="E1213" t="str">
        <f>IF(COUNTIF(data2!$D:$D,D1213)=0,"Missing in Data2","Present")</f>
        <v>Present</v>
      </c>
    </row>
    <row r="1214" spans="1:5" x14ac:dyDescent="0.25">
      <c r="A1214" s="2" t="s">
        <v>1501</v>
      </c>
      <c r="B1214" s="2" t="s">
        <v>1262</v>
      </c>
      <c r="C1214" s="2">
        <v>3</v>
      </c>
      <c r="D1214" t="str">
        <f t="shared" si="18"/>
        <v>CA-2014-154095_OFF-PA-10002923</v>
      </c>
      <c r="E1214" t="str">
        <f>IF(COUNTIF(data2!$D:$D,D1214)=0,"Missing in Data2","Present")</f>
        <v>Present</v>
      </c>
    </row>
    <row r="1215" spans="1:5" x14ac:dyDescent="0.25">
      <c r="A1215" s="2" t="s">
        <v>1505</v>
      </c>
      <c r="B1215" s="2" t="s">
        <v>472</v>
      </c>
      <c r="C1215" s="2">
        <v>1</v>
      </c>
      <c r="D1215" t="str">
        <f t="shared" si="18"/>
        <v>CA-2014-154158_FUR-CH-10004698</v>
      </c>
      <c r="E1215" t="str">
        <f>IF(COUNTIF(data2!$D:$D,D1215)=0,"Missing in Data2","Present")</f>
        <v>Present</v>
      </c>
    </row>
    <row r="1216" spans="1:5" x14ac:dyDescent="0.25">
      <c r="A1216" s="2" t="s">
        <v>1505</v>
      </c>
      <c r="B1216" s="2" t="s">
        <v>17</v>
      </c>
      <c r="C1216" s="2">
        <v>1</v>
      </c>
      <c r="D1216" t="str">
        <f t="shared" si="18"/>
        <v>CA-2014-154158_OFF-AR-10001868</v>
      </c>
      <c r="E1216" t="str">
        <f>IF(COUNTIF(data2!$D:$D,D1216)=0,"Missing in Data2","Present")</f>
        <v>Present</v>
      </c>
    </row>
    <row r="1217" spans="1:5" x14ac:dyDescent="0.25">
      <c r="A1217" s="2" t="s">
        <v>1505</v>
      </c>
      <c r="B1217" s="2" t="s">
        <v>1506</v>
      </c>
      <c r="C1217" s="2">
        <v>3</v>
      </c>
      <c r="D1217" t="str">
        <f t="shared" si="18"/>
        <v>CA-2014-154158_OFF-PA-10001295</v>
      </c>
      <c r="E1217" t="str">
        <f>IF(COUNTIF(data2!$D:$D,D1217)=0,"Missing in Data2","Present")</f>
        <v>Present</v>
      </c>
    </row>
    <row r="1218" spans="1:5" x14ac:dyDescent="0.25">
      <c r="A1218" s="2" t="s">
        <v>1505</v>
      </c>
      <c r="B1218" s="2" t="s">
        <v>835</v>
      </c>
      <c r="C1218" s="2">
        <v>2</v>
      </c>
      <c r="D1218" t="str">
        <f t="shared" si="18"/>
        <v>CA-2014-154158_OFF-ST-10000078</v>
      </c>
      <c r="E1218" t="str">
        <f>IF(COUNTIF(data2!$D:$D,D1218)=0,"Missing in Data2","Present")</f>
        <v>Present</v>
      </c>
    </row>
    <row r="1219" spans="1:5" x14ac:dyDescent="0.25">
      <c r="A1219" s="2" t="s">
        <v>1505</v>
      </c>
      <c r="B1219" s="2" t="s">
        <v>45</v>
      </c>
      <c r="C1219" s="2">
        <v>5</v>
      </c>
      <c r="D1219" t="str">
        <f t="shared" ref="D1219:D1282" si="19">A1219&amp;"_"&amp;B1219</f>
        <v>CA-2014-154158_OFF-ST-10004950</v>
      </c>
      <c r="E1219" t="str">
        <f>IF(COUNTIF(data2!$D:$D,D1219)=0,"Missing in Data2","Present")</f>
        <v>Present</v>
      </c>
    </row>
    <row r="1220" spans="1:5" x14ac:dyDescent="0.25">
      <c r="A1220" s="2" t="s">
        <v>1507</v>
      </c>
      <c r="B1220" s="2" t="s">
        <v>516</v>
      </c>
      <c r="C1220" s="2">
        <v>14</v>
      </c>
      <c r="D1220" t="str">
        <f t="shared" si="19"/>
        <v>CA-2014-154165_OFF-AR-10003631</v>
      </c>
      <c r="E1220" t="str">
        <f>IF(COUNTIF(data2!$D:$D,D1220)=0,"Missing in Data2","Present")</f>
        <v>Present</v>
      </c>
    </row>
    <row r="1221" spans="1:5" x14ac:dyDescent="0.25">
      <c r="A1221" s="2" t="s">
        <v>1508</v>
      </c>
      <c r="B1221" s="2" t="s">
        <v>911</v>
      </c>
      <c r="C1221" s="2">
        <v>1</v>
      </c>
      <c r="D1221" t="str">
        <f t="shared" si="19"/>
        <v>CA-2014-154186_OFF-SU-10001574</v>
      </c>
      <c r="E1221" t="str">
        <f>IF(COUNTIF(data2!$D:$D,D1221)=0,"Missing in Data2","Present")</f>
        <v>Present</v>
      </c>
    </row>
    <row r="1222" spans="1:5" x14ac:dyDescent="0.25">
      <c r="A1222" s="2" t="s">
        <v>1509</v>
      </c>
      <c r="B1222" s="2" t="s">
        <v>1510</v>
      </c>
      <c r="C1222" s="2">
        <v>3</v>
      </c>
      <c r="D1222" t="str">
        <f t="shared" si="19"/>
        <v>CA-2014-154592_OFF-PA-10000062</v>
      </c>
      <c r="E1222" t="str">
        <f>IF(COUNTIF(data2!$D:$D,D1222)=0,"Missing in Data2","Present")</f>
        <v>Present</v>
      </c>
    </row>
    <row r="1223" spans="1:5" x14ac:dyDescent="0.25">
      <c r="A1223" s="2" t="s">
        <v>1511</v>
      </c>
      <c r="B1223" s="2" t="s">
        <v>69</v>
      </c>
      <c r="C1223" s="2">
        <v>3</v>
      </c>
      <c r="D1223" t="str">
        <f t="shared" si="19"/>
        <v>CA-2014-154599_FUR-BO-10001337</v>
      </c>
      <c r="E1223" t="str">
        <f>IF(COUNTIF(data2!$D:$D,D1223)=0,"Missing in Data2","Present")</f>
        <v>Present</v>
      </c>
    </row>
    <row r="1224" spans="1:5" x14ac:dyDescent="0.25">
      <c r="A1224" s="2" t="s">
        <v>1511</v>
      </c>
      <c r="B1224" s="2" t="s">
        <v>735</v>
      </c>
      <c r="C1224" s="2">
        <v>7</v>
      </c>
      <c r="D1224" t="str">
        <f t="shared" si="19"/>
        <v>CA-2014-154599_OFF-BI-10002764</v>
      </c>
      <c r="E1224" t="str">
        <f>IF(COUNTIF(data2!$D:$D,D1224)=0,"Missing in Data2","Present")</f>
        <v>Present</v>
      </c>
    </row>
    <row r="1225" spans="1:5" x14ac:dyDescent="0.25">
      <c r="A1225" s="2" t="s">
        <v>1511</v>
      </c>
      <c r="B1225" s="2" t="s">
        <v>199</v>
      </c>
      <c r="C1225" s="2">
        <v>4</v>
      </c>
      <c r="D1225" t="str">
        <f t="shared" si="19"/>
        <v>CA-2014-154599_TEC-PH-10000576</v>
      </c>
      <c r="E1225" t="str">
        <f>IF(COUNTIF(data2!$D:$D,D1225)=0,"Missing in Data2","Present")</f>
        <v>Present</v>
      </c>
    </row>
    <row r="1226" spans="1:5" x14ac:dyDescent="0.25">
      <c r="A1226" s="2" t="s">
        <v>1511</v>
      </c>
      <c r="B1226" s="2" t="s">
        <v>312</v>
      </c>
      <c r="C1226" s="2">
        <v>14</v>
      </c>
      <c r="D1226" t="str">
        <f t="shared" si="19"/>
        <v>CA-2014-154599_TEC-PH-10001557</v>
      </c>
      <c r="E1226" t="str">
        <f>IF(COUNTIF(data2!$D:$D,D1226)=0,"Missing in Data2","Present")</f>
        <v>Present</v>
      </c>
    </row>
    <row r="1227" spans="1:5" x14ac:dyDescent="0.25">
      <c r="A1227" s="2" t="s">
        <v>1512</v>
      </c>
      <c r="B1227" s="2" t="s">
        <v>844</v>
      </c>
      <c r="C1227" s="2">
        <v>6</v>
      </c>
      <c r="D1227" t="str">
        <f t="shared" si="19"/>
        <v>CA-2014-154627_TEC-PH-10001363</v>
      </c>
      <c r="E1227" t="str">
        <f>IF(COUNTIF(data2!$D:$D,D1227)=0,"Missing in Data2","Present")</f>
        <v>Present</v>
      </c>
    </row>
    <row r="1228" spans="1:5" x14ac:dyDescent="0.25">
      <c r="A1228" s="2" t="s">
        <v>1513</v>
      </c>
      <c r="B1228" s="2" t="s">
        <v>1514</v>
      </c>
      <c r="C1228" s="2">
        <v>1</v>
      </c>
      <c r="D1228" t="str">
        <f t="shared" si="19"/>
        <v>CA-2014-154641_OFF-ST-10004459</v>
      </c>
      <c r="E1228" t="str">
        <f>IF(COUNTIF(data2!$D:$D,D1228)=0,"Missing in Data2","Present")</f>
        <v>Present</v>
      </c>
    </row>
    <row r="1229" spans="1:5" x14ac:dyDescent="0.25">
      <c r="A1229" s="2" t="s">
        <v>1515</v>
      </c>
      <c r="B1229" s="2" t="s">
        <v>51</v>
      </c>
      <c r="C1229" s="2">
        <v>11</v>
      </c>
      <c r="D1229" t="str">
        <f t="shared" si="19"/>
        <v>CA-2014-154669_OFF-ST-10000532</v>
      </c>
      <c r="E1229" t="str">
        <f>IF(COUNTIF(data2!$D:$D,D1229)=0,"Missing in Data2","Present")</f>
        <v>Present</v>
      </c>
    </row>
    <row r="1230" spans="1:5" x14ac:dyDescent="0.25">
      <c r="A1230" s="2" t="s">
        <v>1516</v>
      </c>
      <c r="B1230" s="2" t="s">
        <v>1517</v>
      </c>
      <c r="C1230" s="2">
        <v>2</v>
      </c>
      <c r="D1230" t="str">
        <f t="shared" si="19"/>
        <v>CA-2014-154781_OFF-PA-10001609</v>
      </c>
      <c r="E1230" t="str">
        <f>IF(COUNTIF(data2!$D:$D,D1230)=0,"Missing in Data2","Present")</f>
        <v>Present</v>
      </c>
    </row>
    <row r="1231" spans="1:5" x14ac:dyDescent="0.25">
      <c r="A1231" s="2" t="s">
        <v>1516</v>
      </c>
      <c r="B1231" s="2" t="s">
        <v>19</v>
      </c>
      <c r="C1231" s="2">
        <v>1</v>
      </c>
      <c r="D1231" t="str">
        <f t="shared" si="19"/>
        <v>CA-2014-154781_TEC-AC-10000474</v>
      </c>
      <c r="E1231" t="str">
        <f>IF(COUNTIF(data2!$D:$D,D1231)=0,"Missing in Data2","Present")</f>
        <v>Present</v>
      </c>
    </row>
    <row r="1232" spans="1:5" x14ac:dyDescent="0.25">
      <c r="A1232" s="2" t="s">
        <v>1518</v>
      </c>
      <c r="B1232" s="2" t="s">
        <v>539</v>
      </c>
      <c r="C1232" s="2">
        <v>2</v>
      </c>
      <c r="D1232" t="str">
        <f t="shared" si="19"/>
        <v>CA-2014-154837_OFF-BI-10001575</v>
      </c>
      <c r="E1232" t="str">
        <f>IF(COUNTIF(data2!$D:$D,D1232)=0,"Missing in Data2","Present")</f>
        <v>Present</v>
      </c>
    </row>
    <row r="1233" spans="1:5" x14ac:dyDescent="0.25">
      <c r="A1233" s="2" t="s">
        <v>1519</v>
      </c>
      <c r="B1233" s="2" t="s">
        <v>1520</v>
      </c>
      <c r="C1233" s="2">
        <v>3</v>
      </c>
      <c r="D1233" t="str">
        <f t="shared" si="19"/>
        <v>CA-2014-154893_FUR-CH-10000595</v>
      </c>
      <c r="E1233" t="str">
        <f>IF(COUNTIF(data2!$D:$D,D1233)=0,"Missing in Data2","Present")</f>
        <v>Present</v>
      </c>
    </row>
    <row r="1234" spans="1:5" x14ac:dyDescent="0.25">
      <c r="A1234" s="2" t="s">
        <v>1519</v>
      </c>
      <c r="B1234" s="2" t="s">
        <v>1083</v>
      </c>
      <c r="C1234" s="2">
        <v>6</v>
      </c>
      <c r="D1234" t="str">
        <f t="shared" si="19"/>
        <v>CA-2014-154893_FUR-CH-10004287</v>
      </c>
      <c r="E1234" t="str">
        <f>IF(COUNTIF(data2!$D:$D,D1234)=0,"Missing in Data2","Present")</f>
        <v>Present</v>
      </c>
    </row>
    <row r="1235" spans="1:5" x14ac:dyDescent="0.25">
      <c r="A1235" s="2" t="s">
        <v>1521</v>
      </c>
      <c r="B1235" s="2" t="s">
        <v>297</v>
      </c>
      <c r="C1235" s="2">
        <v>5</v>
      </c>
      <c r="D1235" t="str">
        <f t="shared" si="19"/>
        <v>CA-2014-154963_FUR-CH-10000454</v>
      </c>
      <c r="E1235" t="str">
        <f>IF(COUNTIF(data2!$D:$D,D1235)=0,"Missing in Data2","Present")</f>
        <v>Present</v>
      </c>
    </row>
    <row r="1236" spans="1:5" x14ac:dyDescent="0.25">
      <c r="A1236" s="2" t="s">
        <v>1521</v>
      </c>
      <c r="B1236" s="2" t="s">
        <v>472</v>
      </c>
      <c r="C1236" s="2">
        <v>3</v>
      </c>
      <c r="D1236" t="str">
        <f t="shared" si="19"/>
        <v>CA-2014-154963_FUR-CH-10004698</v>
      </c>
      <c r="E1236" t="str">
        <f>IF(COUNTIF(data2!$D:$D,D1236)=0,"Missing in Data2","Present")</f>
        <v>Present</v>
      </c>
    </row>
    <row r="1237" spans="1:5" x14ac:dyDescent="0.25">
      <c r="A1237" s="2" t="s">
        <v>1521</v>
      </c>
      <c r="B1237" s="2" t="s">
        <v>1522</v>
      </c>
      <c r="C1237" s="2">
        <v>3</v>
      </c>
      <c r="D1237" t="str">
        <f t="shared" si="19"/>
        <v>CA-2014-154963_TEC-PH-10004093</v>
      </c>
      <c r="E1237" t="str">
        <f>IF(COUNTIF(data2!$D:$D,D1237)=0,"Missing in Data2","Present")</f>
        <v>Present</v>
      </c>
    </row>
    <row r="1238" spans="1:5" x14ac:dyDescent="0.25">
      <c r="A1238" s="2" t="s">
        <v>1523</v>
      </c>
      <c r="B1238" s="2" t="s">
        <v>1246</v>
      </c>
      <c r="C1238" s="2">
        <v>6</v>
      </c>
      <c r="D1238" t="str">
        <f t="shared" si="19"/>
        <v>CA-2014-155208_OFF-AR-10003478</v>
      </c>
      <c r="E1238" t="str">
        <f>IF(COUNTIF(data2!$D:$D,D1238)=0,"Missing in Data2","Present")</f>
        <v>Present</v>
      </c>
    </row>
    <row r="1239" spans="1:5" x14ac:dyDescent="0.25">
      <c r="A1239" s="2" t="s">
        <v>1524</v>
      </c>
      <c r="B1239" s="2" t="s">
        <v>1525</v>
      </c>
      <c r="C1239" s="2">
        <v>1</v>
      </c>
      <c r="D1239" t="str">
        <f t="shared" si="19"/>
        <v>CA-2014-155264_OFF-BI-10003196</v>
      </c>
      <c r="E1239" t="str">
        <f>IF(COUNTIF(data2!$D:$D,D1239)=0,"Missing in Data2","Present")</f>
        <v>Present</v>
      </c>
    </row>
    <row r="1240" spans="1:5" x14ac:dyDescent="0.25">
      <c r="A1240" s="2" t="s">
        <v>1524</v>
      </c>
      <c r="B1240" s="2" t="s">
        <v>1526</v>
      </c>
      <c r="C1240" s="2">
        <v>6</v>
      </c>
      <c r="D1240" t="str">
        <f t="shared" si="19"/>
        <v>CA-2014-155264_OFF-BI-10003727</v>
      </c>
      <c r="E1240" t="str">
        <f>IF(COUNTIF(data2!$D:$D,D1240)=0,"Missing in Data2","Present")</f>
        <v>Present</v>
      </c>
    </row>
    <row r="1241" spans="1:5" x14ac:dyDescent="0.25">
      <c r="A1241" s="2" t="s">
        <v>1524</v>
      </c>
      <c r="B1241" s="2" t="s">
        <v>997</v>
      </c>
      <c r="C1241" s="2">
        <v>5</v>
      </c>
      <c r="D1241" t="str">
        <f t="shared" si="19"/>
        <v>CA-2014-155264_OFF-LA-10002787</v>
      </c>
      <c r="E1241" t="str">
        <f>IF(COUNTIF(data2!$D:$D,D1241)=0,"Missing in Data2","Present")</f>
        <v>Present</v>
      </c>
    </row>
    <row r="1242" spans="1:5" x14ac:dyDescent="0.25">
      <c r="A1242" s="2" t="s">
        <v>1524</v>
      </c>
      <c r="B1242" s="2" t="s">
        <v>1052</v>
      </c>
      <c r="C1242" s="2">
        <v>3</v>
      </c>
      <c r="D1242" t="str">
        <f t="shared" si="19"/>
        <v>CA-2014-155264_OFF-PA-10003228</v>
      </c>
      <c r="E1242" t="str">
        <f>IF(COUNTIF(data2!$D:$D,D1242)=0,"Missing in Data2","Present")</f>
        <v>Present</v>
      </c>
    </row>
    <row r="1243" spans="1:5" x14ac:dyDescent="0.25">
      <c r="A1243" s="2" t="s">
        <v>1524</v>
      </c>
      <c r="B1243" s="2" t="s">
        <v>1527</v>
      </c>
      <c r="C1243" s="2">
        <v>3</v>
      </c>
      <c r="D1243" t="str">
        <f t="shared" si="19"/>
        <v>CA-2014-155264_TEC-PH-10001305</v>
      </c>
      <c r="E1243" t="str">
        <f>IF(COUNTIF(data2!$D:$D,D1243)=0,"Missing in Data2","Present")</f>
        <v>Present</v>
      </c>
    </row>
    <row r="1244" spans="1:5" x14ac:dyDescent="0.25">
      <c r="A1244" s="2" t="s">
        <v>1528</v>
      </c>
      <c r="B1244" s="2" t="s">
        <v>1529</v>
      </c>
      <c r="C1244" s="2">
        <v>2</v>
      </c>
      <c r="D1244" t="str">
        <f t="shared" si="19"/>
        <v>CA-2014-155271_FUR-FU-10001473</v>
      </c>
      <c r="E1244" t="str">
        <f>IF(COUNTIF(data2!$D:$D,D1244)=0,"Missing in Data2","Present")</f>
        <v>Present</v>
      </c>
    </row>
    <row r="1245" spans="1:5" x14ac:dyDescent="0.25">
      <c r="A1245" s="2" t="s">
        <v>1530</v>
      </c>
      <c r="B1245" s="2" t="s">
        <v>884</v>
      </c>
      <c r="C1245" s="2">
        <v>2</v>
      </c>
      <c r="D1245" t="str">
        <f t="shared" si="19"/>
        <v>CA-2014-155390_OFF-PA-10003641</v>
      </c>
      <c r="E1245" t="str">
        <f>IF(COUNTIF(data2!$D:$D,D1245)=0,"Missing in Data2","Present")</f>
        <v>Present</v>
      </c>
    </row>
    <row r="1246" spans="1:5" x14ac:dyDescent="0.25">
      <c r="A1246" s="2" t="s">
        <v>1531</v>
      </c>
      <c r="B1246" s="2" t="s">
        <v>1341</v>
      </c>
      <c r="C1246" s="2">
        <v>3</v>
      </c>
      <c r="D1246" t="str">
        <f t="shared" si="19"/>
        <v>CA-2014-155593_OFF-SU-10002522</v>
      </c>
      <c r="E1246" t="str">
        <f>IF(COUNTIF(data2!$D:$D,D1246)=0,"Missing in Data2","Present")</f>
        <v>Present</v>
      </c>
    </row>
    <row r="1247" spans="1:5" x14ac:dyDescent="0.25">
      <c r="A1247" s="2" t="s">
        <v>1532</v>
      </c>
      <c r="B1247" s="2" t="s">
        <v>1533</v>
      </c>
      <c r="C1247" s="2">
        <v>4</v>
      </c>
      <c r="D1247" t="str">
        <f t="shared" si="19"/>
        <v>CA-2014-155796_FUR-BO-10002545</v>
      </c>
      <c r="E1247" t="str">
        <f>IF(COUNTIF(data2!$D:$D,D1247)=0,"Missing in Data2","Present")</f>
        <v>Present</v>
      </c>
    </row>
    <row r="1248" spans="1:5" x14ac:dyDescent="0.25">
      <c r="A1248" s="2" t="s">
        <v>1532</v>
      </c>
      <c r="B1248" s="2" t="s">
        <v>53</v>
      </c>
      <c r="C1248" s="2">
        <v>2</v>
      </c>
      <c r="D1248" t="str">
        <f t="shared" si="19"/>
        <v>CA-2014-155796_FUR-FU-10000409</v>
      </c>
      <c r="E1248" t="str">
        <f>IF(COUNTIF(data2!$D:$D,D1248)=0,"Missing in Data2","Present")</f>
        <v>Present</v>
      </c>
    </row>
    <row r="1249" spans="1:5" x14ac:dyDescent="0.25">
      <c r="A1249" s="2" t="s">
        <v>1534</v>
      </c>
      <c r="B1249" s="2" t="s">
        <v>1535</v>
      </c>
      <c r="C1249" s="2">
        <v>4</v>
      </c>
      <c r="D1249" t="str">
        <f t="shared" si="19"/>
        <v>CA-2014-155852_OFF-AR-10003560</v>
      </c>
      <c r="E1249" t="str">
        <f>IF(COUNTIF(data2!$D:$D,D1249)=0,"Missing in Data2","Present")</f>
        <v>Present</v>
      </c>
    </row>
    <row r="1250" spans="1:5" x14ac:dyDescent="0.25">
      <c r="A1250" s="2" t="s">
        <v>1536</v>
      </c>
      <c r="B1250" s="2" t="s">
        <v>1537</v>
      </c>
      <c r="C1250" s="2">
        <v>3</v>
      </c>
      <c r="D1250" t="str">
        <f t="shared" si="19"/>
        <v>CA-2014-155887_FUR-TA-10002228</v>
      </c>
      <c r="E1250" t="str">
        <f>IF(COUNTIF(data2!$D:$D,D1250)=0,"Missing in Data2","Present")</f>
        <v>Missing in Data2</v>
      </c>
    </row>
    <row r="1251" spans="1:5" x14ac:dyDescent="0.25">
      <c r="A1251" s="2" t="s">
        <v>1538</v>
      </c>
      <c r="B1251" s="2" t="s">
        <v>1055</v>
      </c>
      <c r="C1251" s="2">
        <v>3</v>
      </c>
      <c r="D1251" t="str">
        <f t="shared" si="19"/>
        <v>CA-2014-156006_TEC-AC-10002550</v>
      </c>
      <c r="E1251" t="str">
        <f>IF(COUNTIF(data2!$D:$D,D1251)=0,"Missing in Data2","Present")</f>
        <v>Present</v>
      </c>
    </row>
    <row r="1252" spans="1:5" x14ac:dyDescent="0.25">
      <c r="A1252" s="2" t="s">
        <v>1539</v>
      </c>
      <c r="B1252" s="2" t="s">
        <v>1540</v>
      </c>
      <c r="C1252" s="2">
        <v>4</v>
      </c>
      <c r="D1252" t="str">
        <f t="shared" si="19"/>
        <v>CA-2014-156160_FUR-CH-10004983</v>
      </c>
      <c r="E1252" t="str">
        <f>IF(COUNTIF(data2!$D:$D,D1252)=0,"Missing in Data2","Present")</f>
        <v>Present</v>
      </c>
    </row>
    <row r="1253" spans="1:5" x14ac:dyDescent="0.25">
      <c r="A1253" s="2" t="s">
        <v>1539</v>
      </c>
      <c r="B1253" s="2" t="s">
        <v>1163</v>
      </c>
      <c r="C1253" s="2">
        <v>3</v>
      </c>
      <c r="D1253" t="str">
        <f t="shared" si="19"/>
        <v>CA-2014-156160_FUR-FU-10001876</v>
      </c>
      <c r="E1253" t="str">
        <f>IF(COUNTIF(data2!$D:$D,D1253)=0,"Missing in Data2","Present")</f>
        <v>Present</v>
      </c>
    </row>
    <row r="1254" spans="1:5" x14ac:dyDescent="0.25">
      <c r="A1254" s="2" t="s">
        <v>1539</v>
      </c>
      <c r="B1254" s="2" t="s">
        <v>1541</v>
      </c>
      <c r="C1254" s="2">
        <v>4</v>
      </c>
      <c r="D1254" t="str">
        <f t="shared" si="19"/>
        <v>CA-2014-156160_OFF-AR-10003876</v>
      </c>
      <c r="E1254" t="str">
        <f>IF(COUNTIF(data2!$D:$D,D1254)=0,"Missing in Data2","Present")</f>
        <v>Present</v>
      </c>
    </row>
    <row r="1255" spans="1:5" x14ac:dyDescent="0.25">
      <c r="A1255" s="2" t="s">
        <v>1539</v>
      </c>
      <c r="B1255" s="2" t="s">
        <v>1478</v>
      </c>
      <c r="C1255" s="2">
        <v>1</v>
      </c>
      <c r="D1255" t="str">
        <f t="shared" si="19"/>
        <v>CA-2014-156160_OFF-BI-10003355</v>
      </c>
      <c r="E1255" t="str">
        <f>IF(COUNTIF(data2!$D:$D,D1255)=0,"Missing in Data2","Present")</f>
        <v>Present</v>
      </c>
    </row>
    <row r="1256" spans="1:5" x14ac:dyDescent="0.25">
      <c r="A1256" s="2" t="s">
        <v>1542</v>
      </c>
      <c r="B1256" s="2" t="s">
        <v>1543</v>
      </c>
      <c r="C1256" s="2">
        <v>6</v>
      </c>
      <c r="D1256" t="str">
        <f t="shared" si="19"/>
        <v>CA-2014-156244_OFF-AP-10002403</v>
      </c>
      <c r="E1256" t="str">
        <f>IF(COUNTIF(data2!$D:$D,D1256)=0,"Missing in Data2","Present")</f>
        <v>Present</v>
      </c>
    </row>
    <row r="1257" spans="1:5" x14ac:dyDescent="0.25">
      <c r="A1257" s="2" t="s">
        <v>1542</v>
      </c>
      <c r="B1257" s="2" t="s">
        <v>1544</v>
      </c>
      <c r="C1257" s="2">
        <v>5</v>
      </c>
      <c r="D1257" t="str">
        <f t="shared" si="19"/>
        <v>CA-2014-156244_OFF-AR-10004344</v>
      </c>
      <c r="E1257" t="str">
        <f>IF(COUNTIF(data2!$D:$D,D1257)=0,"Missing in Data2","Present")</f>
        <v>Present</v>
      </c>
    </row>
    <row r="1258" spans="1:5" x14ac:dyDescent="0.25">
      <c r="A1258" s="2" t="s">
        <v>1542</v>
      </c>
      <c r="B1258" s="2" t="s">
        <v>172</v>
      </c>
      <c r="C1258" s="2">
        <v>1</v>
      </c>
      <c r="D1258" t="str">
        <f t="shared" si="19"/>
        <v>CA-2014-156244_OFF-LA-10000443</v>
      </c>
      <c r="E1258" t="str">
        <f>IF(COUNTIF(data2!$D:$D,D1258)=0,"Missing in Data2","Present")</f>
        <v>Present</v>
      </c>
    </row>
    <row r="1259" spans="1:5" x14ac:dyDescent="0.25">
      <c r="A1259" s="2" t="s">
        <v>1542</v>
      </c>
      <c r="B1259" s="2" t="s">
        <v>1545</v>
      </c>
      <c r="C1259" s="2">
        <v>6</v>
      </c>
      <c r="D1259" t="str">
        <f t="shared" si="19"/>
        <v>CA-2014-156244_OFF-PA-10000295</v>
      </c>
      <c r="E1259" t="str">
        <f>IF(COUNTIF(data2!$D:$D,D1259)=0,"Missing in Data2","Present")</f>
        <v>Missing in Data2</v>
      </c>
    </row>
    <row r="1260" spans="1:5" x14ac:dyDescent="0.25">
      <c r="A1260" s="2" t="s">
        <v>1542</v>
      </c>
      <c r="B1260" s="2" t="s">
        <v>933</v>
      </c>
      <c r="C1260" s="2">
        <v>2</v>
      </c>
      <c r="D1260" t="str">
        <f t="shared" si="19"/>
        <v>CA-2014-156244_OFF-SU-10000432</v>
      </c>
      <c r="E1260" t="str">
        <f>IF(COUNTIF(data2!$D:$D,D1260)=0,"Missing in Data2","Present")</f>
        <v>Present</v>
      </c>
    </row>
    <row r="1261" spans="1:5" x14ac:dyDescent="0.25">
      <c r="A1261" s="2" t="s">
        <v>1542</v>
      </c>
      <c r="B1261" s="2" t="s">
        <v>1076</v>
      </c>
      <c r="C1261" s="2">
        <v>7</v>
      </c>
      <c r="D1261" t="str">
        <f t="shared" si="19"/>
        <v>CA-2014-156244_TEC-AC-10002473</v>
      </c>
      <c r="E1261" t="str">
        <f>IF(COUNTIF(data2!$D:$D,D1261)=0,"Missing in Data2","Present")</f>
        <v>Present</v>
      </c>
    </row>
    <row r="1262" spans="1:5" x14ac:dyDescent="0.25">
      <c r="A1262" s="2" t="s">
        <v>1546</v>
      </c>
      <c r="B1262" s="2" t="s">
        <v>1547</v>
      </c>
      <c r="C1262" s="2">
        <v>5</v>
      </c>
      <c r="D1262" t="str">
        <f t="shared" si="19"/>
        <v>CA-2014-156314_FUR-FU-10003096</v>
      </c>
      <c r="E1262" t="str">
        <f>IF(COUNTIF(data2!$D:$D,D1262)=0,"Missing in Data2","Present")</f>
        <v>Present</v>
      </c>
    </row>
    <row r="1263" spans="1:5" x14ac:dyDescent="0.25">
      <c r="A1263" s="2" t="s">
        <v>1548</v>
      </c>
      <c r="B1263" s="2" t="s">
        <v>1549</v>
      </c>
      <c r="C1263" s="2">
        <v>2</v>
      </c>
      <c r="D1263" t="str">
        <f t="shared" si="19"/>
        <v>CA-2014-156342_OFF-PA-10001725</v>
      </c>
      <c r="E1263" t="str">
        <f>IF(COUNTIF(data2!$D:$D,D1263)=0,"Missing in Data2","Present")</f>
        <v>Present</v>
      </c>
    </row>
    <row r="1264" spans="1:5" x14ac:dyDescent="0.25">
      <c r="A1264" s="2" t="s">
        <v>1550</v>
      </c>
      <c r="B1264" s="2" t="s">
        <v>1049</v>
      </c>
      <c r="C1264" s="2">
        <v>2</v>
      </c>
      <c r="D1264" t="str">
        <f t="shared" si="19"/>
        <v>CA-2014-156349_FUR-BO-10000362</v>
      </c>
      <c r="E1264" t="str">
        <f>IF(COUNTIF(data2!$D:$D,D1264)=0,"Missing in Data2","Present")</f>
        <v>Present</v>
      </c>
    </row>
    <row r="1265" spans="1:5" x14ac:dyDescent="0.25">
      <c r="A1265" s="2" t="s">
        <v>1550</v>
      </c>
      <c r="B1265" s="2" t="s">
        <v>1316</v>
      </c>
      <c r="C1265" s="2">
        <v>2</v>
      </c>
      <c r="D1265" t="str">
        <f t="shared" si="19"/>
        <v>CA-2014-156349_TEC-PH-10000441</v>
      </c>
      <c r="E1265" t="str">
        <f>IF(COUNTIF(data2!$D:$D,D1265)=0,"Missing in Data2","Present")</f>
        <v>Present</v>
      </c>
    </row>
    <row r="1266" spans="1:5" x14ac:dyDescent="0.25">
      <c r="A1266" s="2" t="s">
        <v>1550</v>
      </c>
      <c r="B1266" s="2" t="s">
        <v>244</v>
      </c>
      <c r="C1266" s="2">
        <v>2</v>
      </c>
      <c r="D1266" t="str">
        <f t="shared" si="19"/>
        <v>CA-2014-156349_TEC-PH-10002726</v>
      </c>
      <c r="E1266" t="str">
        <f>IF(COUNTIF(data2!$D:$D,D1266)=0,"Missing in Data2","Present")</f>
        <v>Present</v>
      </c>
    </row>
    <row r="1267" spans="1:5" x14ac:dyDescent="0.25">
      <c r="A1267" s="2" t="s">
        <v>1551</v>
      </c>
      <c r="B1267" s="2" t="s">
        <v>279</v>
      </c>
      <c r="C1267" s="2">
        <v>2</v>
      </c>
      <c r="D1267" t="str">
        <f t="shared" si="19"/>
        <v>CA-2014-156433_OFF-LA-10001569</v>
      </c>
      <c r="E1267" t="str">
        <f>IF(COUNTIF(data2!$D:$D,D1267)=0,"Missing in Data2","Present")</f>
        <v>Present</v>
      </c>
    </row>
    <row r="1268" spans="1:5" x14ac:dyDescent="0.25">
      <c r="A1268" s="2" t="s">
        <v>1551</v>
      </c>
      <c r="B1268" s="2" t="s">
        <v>1552</v>
      </c>
      <c r="C1268" s="2">
        <v>4</v>
      </c>
      <c r="D1268" t="str">
        <f t="shared" si="19"/>
        <v>CA-2014-156433_OFF-PA-10003724</v>
      </c>
      <c r="E1268" t="str">
        <f>IF(COUNTIF(data2!$D:$D,D1268)=0,"Missing in Data2","Present")</f>
        <v>Present</v>
      </c>
    </row>
    <row r="1269" spans="1:5" x14ac:dyDescent="0.25">
      <c r="A1269" s="2" t="s">
        <v>1553</v>
      </c>
      <c r="B1269" s="2" t="s">
        <v>1554</v>
      </c>
      <c r="C1269" s="2">
        <v>1</v>
      </c>
      <c r="D1269" t="str">
        <f t="shared" si="19"/>
        <v>CA-2014-156587_FUR-CH-10004477</v>
      </c>
      <c r="E1269" t="str">
        <f>IF(COUNTIF(data2!$D:$D,D1269)=0,"Missing in Data2","Present")</f>
        <v>Present</v>
      </c>
    </row>
    <row r="1270" spans="1:5" x14ac:dyDescent="0.25">
      <c r="A1270" s="2" t="s">
        <v>1553</v>
      </c>
      <c r="B1270" s="2" t="s">
        <v>1555</v>
      </c>
      <c r="C1270" s="2">
        <v>3</v>
      </c>
      <c r="D1270" t="str">
        <f t="shared" si="19"/>
        <v>CA-2014-156587_OFF-AR-10001427</v>
      </c>
      <c r="E1270" t="str">
        <f>IF(COUNTIF(data2!$D:$D,D1270)=0,"Missing in Data2","Present")</f>
        <v>Present</v>
      </c>
    </row>
    <row r="1271" spans="1:5" x14ac:dyDescent="0.25">
      <c r="A1271" s="2" t="s">
        <v>1553</v>
      </c>
      <c r="B1271" s="2" t="s">
        <v>715</v>
      </c>
      <c r="C1271" s="2">
        <v>3</v>
      </c>
      <c r="D1271" t="str">
        <f t="shared" si="19"/>
        <v>CA-2014-156587_OFF-ST-10002344</v>
      </c>
      <c r="E1271" t="str">
        <f>IF(COUNTIF(data2!$D:$D,D1271)=0,"Missing in Data2","Present")</f>
        <v>Missing in Data2</v>
      </c>
    </row>
    <row r="1272" spans="1:5" x14ac:dyDescent="0.25">
      <c r="A1272" s="2" t="s">
        <v>1556</v>
      </c>
      <c r="B1272" s="2" t="s">
        <v>429</v>
      </c>
      <c r="C1272" s="2">
        <v>2</v>
      </c>
      <c r="D1272" t="str">
        <f t="shared" si="19"/>
        <v>CA-2014-156594_OFF-AR-10001725</v>
      </c>
      <c r="E1272" t="str">
        <f>IF(COUNTIF(data2!$D:$D,D1272)=0,"Missing in Data2","Present")</f>
        <v>Present</v>
      </c>
    </row>
    <row r="1273" spans="1:5" x14ac:dyDescent="0.25">
      <c r="A1273" s="2" t="s">
        <v>1556</v>
      </c>
      <c r="B1273" s="2" t="s">
        <v>1557</v>
      </c>
      <c r="C1273" s="2">
        <v>1</v>
      </c>
      <c r="D1273" t="str">
        <f t="shared" si="19"/>
        <v>CA-2014-156594_OFF-AR-10004269</v>
      </c>
      <c r="E1273" t="str">
        <f>IF(COUNTIF(data2!$D:$D,D1273)=0,"Missing in Data2","Present")</f>
        <v>Present</v>
      </c>
    </row>
    <row r="1274" spans="1:5" x14ac:dyDescent="0.25">
      <c r="A1274" s="2" t="s">
        <v>1556</v>
      </c>
      <c r="B1274" s="2" t="s">
        <v>510</v>
      </c>
      <c r="C1274" s="2">
        <v>5</v>
      </c>
      <c r="D1274" t="str">
        <f t="shared" si="19"/>
        <v>CA-2014-156594_OFF-BI-10003007</v>
      </c>
      <c r="E1274" t="str">
        <f>IF(COUNTIF(data2!$D:$D,D1274)=0,"Missing in Data2","Present")</f>
        <v>Present</v>
      </c>
    </row>
    <row r="1275" spans="1:5" x14ac:dyDescent="0.25">
      <c r="A1275" s="2" t="s">
        <v>1556</v>
      </c>
      <c r="B1275" s="2" t="s">
        <v>820</v>
      </c>
      <c r="C1275" s="2">
        <v>2</v>
      </c>
      <c r="D1275" t="str">
        <f t="shared" si="19"/>
        <v>CA-2014-156594_OFF-BI-10004632</v>
      </c>
      <c r="E1275" t="str">
        <f>IF(COUNTIF(data2!$D:$D,D1275)=0,"Missing in Data2","Present")</f>
        <v>Present</v>
      </c>
    </row>
    <row r="1276" spans="1:5" x14ac:dyDescent="0.25">
      <c r="A1276" s="2" t="s">
        <v>1558</v>
      </c>
      <c r="B1276" s="2" t="s">
        <v>1559</v>
      </c>
      <c r="C1276" s="2">
        <v>4</v>
      </c>
      <c r="D1276" t="str">
        <f t="shared" si="19"/>
        <v>CA-2014-156790_FUR-BO-10000468</v>
      </c>
      <c r="E1276" t="str">
        <f>IF(COUNTIF(data2!$D:$D,D1276)=0,"Missing in Data2","Present")</f>
        <v>Present</v>
      </c>
    </row>
    <row r="1277" spans="1:5" x14ac:dyDescent="0.25">
      <c r="A1277" s="2" t="s">
        <v>1560</v>
      </c>
      <c r="B1277" s="2" t="s">
        <v>1499</v>
      </c>
      <c r="C1277" s="2">
        <v>1</v>
      </c>
      <c r="D1277" t="str">
        <f t="shared" si="19"/>
        <v>CA-2014-156993_OFF-FA-10003495</v>
      </c>
      <c r="E1277" t="str">
        <f>IF(COUNTIF(data2!$D:$D,D1277)=0,"Missing in Data2","Present")</f>
        <v>Present</v>
      </c>
    </row>
    <row r="1278" spans="1:5" x14ac:dyDescent="0.25">
      <c r="A1278" s="2" t="s">
        <v>1561</v>
      </c>
      <c r="B1278" s="2" t="s">
        <v>1562</v>
      </c>
      <c r="C1278" s="2">
        <v>3</v>
      </c>
      <c r="D1278" t="str">
        <f t="shared" si="19"/>
        <v>CA-2014-157147_FUR-BO-10003034</v>
      </c>
      <c r="E1278" t="str">
        <f>IF(COUNTIF(data2!$D:$D,D1278)=0,"Missing in Data2","Present")</f>
        <v>Present</v>
      </c>
    </row>
    <row r="1279" spans="1:5" x14ac:dyDescent="0.25">
      <c r="A1279" s="2" t="s">
        <v>1561</v>
      </c>
      <c r="B1279" s="2" t="s">
        <v>204</v>
      </c>
      <c r="C1279" s="2">
        <v>5</v>
      </c>
      <c r="D1279" t="str">
        <f t="shared" si="19"/>
        <v>CA-2014-157147_OFF-AR-10003514</v>
      </c>
      <c r="E1279" t="str">
        <f>IF(COUNTIF(data2!$D:$D,D1279)=0,"Missing in Data2","Present")</f>
        <v>Present</v>
      </c>
    </row>
    <row r="1280" spans="1:5" x14ac:dyDescent="0.25">
      <c r="A1280" s="2" t="s">
        <v>1561</v>
      </c>
      <c r="B1280" s="2" t="s">
        <v>835</v>
      </c>
      <c r="C1280" s="2">
        <v>5</v>
      </c>
      <c r="D1280" t="str">
        <f t="shared" si="19"/>
        <v>CA-2014-157147_OFF-ST-10000078</v>
      </c>
      <c r="E1280" t="str">
        <f>IF(COUNTIF(data2!$D:$D,D1280)=0,"Missing in Data2","Present")</f>
        <v>Present</v>
      </c>
    </row>
    <row r="1281" spans="1:5" x14ac:dyDescent="0.25">
      <c r="A1281" s="2" t="s">
        <v>1563</v>
      </c>
      <c r="B1281" s="2" t="s">
        <v>1564</v>
      </c>
      <c r="C1281" s="2">
        <v>6</v>
      </c>
      <c r="D1281" t="str">
        <f t="shared" si="19"/>
        <v>CA-2014-157546_OFF-BI-10002498</v>
      </c>
      <c r="E1281" t="str">
        <f>IF(COUNTIF(data2!$D:$D,D1281)=0,"Missing in Data2","Present")</f>
        <v>Present</v>
      </c>
    </row>
    <row r="1282" spans="1:5" x14ac:dyDescent="0.25">
      <c r="A1282" s="2" t="s">
        <v>1563</v>
      </c>
      <c r="B1282" s="2" t="s">
        <v>1184</v>
      </c>
      <c r="C1282" s="2">
        <v>3</v>
      </c>
      <c r="D1282" t="str">
        <f t="shared" si="19"/>
        <v>CA-2014-157546_OFF-PA-10004569</v>
      </c>
      <c r="E1282" t="str">
        <f>IF(COUNTIF(data2!$D:$D,D1282)=0,"Missing in Data2","Present")</f>
        <v>Present</v>
      </c>
    </row>
    <row r="1283" spans="1:5" x14ac:dyDescent="0.25">
      <c r="A1283" s="2" t="s">
        <v>1565</v>
      </c>
      <c r="B1283" s="2" t="s">
        <v>1566</v>
      </c>
      <c r="C1283" s="2">
        <v>2</v>
      </c>
      <c r="D1283" t="str">
        <f t="shared" ref="D1283:D1346" si="20">A1283&amp;"_"&amp;B1283</f>
        <v>CA-2014-157609_TEC-PH-10002415</v>
      </c>
      <c r="E1283" t="str">
        <f>IF(COUNTIF(data2!$D:$D,D1283)=0,"Missing in Data2","Present")</f>
        <v>Missing in Data2</v>
      </c>
    </row>
    <row r="1284" spans="1:5" x14ac:dyDescent="0.25">
      <c r="A1284" s="2" t="s">
        <v>1567</v>
      </c>
      <c r="B1284" s="2" t="s">
        <v>1568</v>
      </c>
      <c r="C1284" s="2">
        <v>1</v>
      </c>
      <c r="D1284" t="str">
        <f t="shared" si="20"/>
        <v>CA-2014-157623_OFF-AR-10003723</v>
      </c>
      <c r="E1284" t="str">
        <f>IF(COUNTIF(data2!$D:$D,D1284)=0,"Missing in Data2","Present")</f>
        <v>Present</v>
      </c>
    </row>
    <row r="1285" spans="1:5" x14ac:dyDescent="0.25">
      <c r="A1285" s="2" t="s">
        <v>1567</v>
      </c>
      <c r="B1285" s="2" t="s">
        <v>1073</v>
      </c>
      <c r="C1285" s="2">
        <v>2</v>
      </c>
      <c r="D1285" t="str">
        <f t="shared" si="20"/>
        <v>CA-2014-157623_OFF-PA-10001204</v>
      </c>
      <c r="E1285" t="str">
        <f>IF(COUNTIF(data2!$D:$D,D1285)=0,"Missing in Data2","Present")</f>
        <v>Present</v>
      </c>
    </row>
    <row r="1286" spans="1:5" x14ac:dyDescent="0.25">
      <c r="A1286" s="2" t="s">
        <v>1569</v>
      </c>
      <c r="B1286" s="2" t="s">
        <v>1570</v>
      </c>
      <c r="C1286" s="2">
        <v>3</v>
      </c>
      <c r="D1286" t="str">
        <f t="shared" si="20"/>
        <v>CA-2014-157644_OFF-LA-10003148</v>
      </c>
      <c r="E1286" t="str">
        <f>IF(COUNTIF(data2!$D:$D,D1286)=0,"Missing in Data2","Present")</f>
        <v>Present</v>
      </c>
    </row>
    <row r="1287" spans="1:5" x14ac:dyDescent="0.25">
      <c r="A1287" s="2" t="s">
        <v>1569</v>
      </c>
      <c r="B1287" s="2" t="s">
        <v>1571</v>
      </c>
      <c r="C1287" s="2">
        <v>3</v>
      </c>
      <c r="D1287" t="str">
        <f t="shared" si="20"/>
        <v>CA-2014-157644_TEC-AC-10003614</v>
      </c>
      <c r="E1287" t="str">
        <f>IF(COUNTIF(data2!$D:$D,D1287)=0,"Missing in Data2","Present")</f>
        <v>Present</v>
      </c>
    </row>
    <row r="1288" spans="1:5" x14ac:dyDescent="0.25">
      <c r="A1288" s="2" t="s">
        <v>1572</v>
      </c>
      <c r="B1288" s="2" t="s">
        <v>315</v>
      </c>
      <c r="C1288" s="2">
        <v>1</v>
      </c>
      <c r="D1288" t="str">
        <f t="shared" si="20"/>
        <v>CA-2014-157721_FUR-FU-10002116</v>
      </c>
      <c r="E1288" t="str">
        <f>IF(COUNTIF(data2!$D:$D,D1288)=0,"Missing in Data2","Present")</f>
        <v>Present</v>
      </c>
    </row>
    <row r="1289" spans="1:5" x14ac:dyDescent="0.25">
      <c r="A1289" s="2" t="s">
        <v>1572</v>
      </c>
      <c r="B1289" s="2" t="s">
        <v>706</v>
      </c>
      <c r="C1289" s="2">
        <v>1</v>
      </c>
      <c r="D1289" t="str">
        <f t="shared" si="20"/>
        <v>CA-2014-157721_OFF-AP-10001303</v>
      </c>
      <c r="E1289" t="str">
        <f>IF(COUNTIF(data2!$D:$D,D1289)=0,"Missing in Data2","Present")</f>
        <v>Present</v>
      </c>
    </row>
    <row r="1290" spans="1:5" x14ac:dyDescent="0.25">
      <c r="A1290" s="2" t="s">
        <v>1573</v>
      </c>
      <c r="B1290" s="2" t="s">
        <v>953</v>
      </c>
      <c r="C1290" s="2">
        <v>2</v>
      </c>
      <c r="D1290" t="str">
        <f t="shared" si="20"/>
        <v>CA-2014-157784_OFF-LA-10001934</v>
      </c>
      <c r="E1290" t="str">
        <f>IF(COUNTIF(data2!$D:$D,D1290)=0,"Missing in Data2","Present")</f>
        <v>Present</v>
      </c>
    </row>
    <row r="1291" spans="1:5" x14ac:dyDescent="0.25">
      <c r="A1291" s="2" t="s">
        <v>1573</v>
      </c>
      <c r="B1291" s="2" t="s">
        <v>1219</v>
      </c>
      <c r="C1291" s="2">
        <v>3</v>
      </c>
      <c r="D1291" t="str">
        <f t="shared" si="20"/>
        <v>CA-2014-157784_OFF-PA-10000304</v>
      </c>
      <c r="E1291" t="str">
        <f>IF(COUNTIF(data2!$D:$D,D1291)=0,"Missing in Data2","Present")</f>
        <v>Present</v>
      </c>
    </row>
    <row r="1292" spans="1:5" x14ac:dyDescent="0.25">
      <c r="A1292" s="2" t="s">
        <v>1573</v>
      </c>
      <c r="B1292" s="2" t="s">
        <v>1574</v>
      </c>
      <c r="C1292" s="2">
        <v>3</v>
      </c>
      <c r="D1292" t="str">
        <f t="shared" si="20"/>
        <v>CA-2014-157784_TEC-AC-10003911</v>
      </c>
      <c r="E1292" t="str">
        <f>IF(COUNTIF(data2!$D:$D,D1292)=0,"Missing in Data2","Present")</f>
        <v>Present</v>
      </c>
    </row>
    <row r="1293" spans="1:5" x14ac:dyDescent="0.25">
      <c r="A1293" s="2" t="s">
        <v>1575</v>
      </c>
      <c r="B1293" s="2" t="s">
        <v>1207</v>
      </c>
      <c r="C1293" s="2">
        <v>3</v>
      </c>
      <c r="D1293" t="str">
        <f t="shared" si="20"/>
        <v>CA-2014-157882_FUR-CH-10002774</v>
      </c>
      <c r="E1293" t="str">
        <f>IF(COUNTIF(data2!$D:$D,D1293)=0,"Missing in Data2","Present")</f>
        <v>Present</v>
      </c>
    </row>
    <row r="1294" spans="1:5" x14ac:dyDescent="0.25">
      <c r="A1294" s="2" t="s">
        <v>1575</v>
      </c>
      <c r="B1294" s="2" t="s">
        <v>1576</v>
      </c>
      <c r="C1294" s="2">
        <v>1</v>
      </c>
      <c r="D1294" t="str">
        <f t="shared" si="20"/>
        <v>CA-2014-157882_FUR-TA-10001866</v>
      </c>
      <c r="E1294" t="str">
        <f>IF(COUNTIF(data2!$D:$D,D1294)=0,"Missing in Data2","Present")</f>
        <v>Present</v>
      </c>
    </row>
    <row r="1295" spans="1:5" x14ac:dyDescent="0.25">
      <c r="A1295" s="2" t="s">
        <v>1577</v>
      </c>
      <c r="B1295" s="2" t="s">
        <v>1578</v>
      </c>
      <c r="C1295" s="2">
        <v>2</v>
      </c>
      <c r="D1295" t="str">
        <f t="shared" si="20"/>
        <v>CA-2014-157924_FUR-CH-10000229</v>
      </c>
      <c r="E1295" t="str">
        <f>IF(COUNTIF(data2!$D:$D,D1295)=0,"Missing in Data2","Present")</f>
        <v>Present</v>
      </c>
    </row>
    <row r="1296" spans="1:5" x14ac:dyDescent="0.25">
      <c r="A1296" s="2" t="s">
        <v>1577</v>
      </c>
      <c r="B1296" s="2" t="s">
        <v>1579</v>
      </c>
      <c r="C1296" s="2">
        <v>4</v>
      </c>
      <c r="D1296" t="str">
        <f t="shared" si="20"/>
        <v>CA-2014-157924_OFF-ST-10002352</v>
      </c>
      <c r="E1296" t="str">
        <f>IF(COUNTIF(data2!$D:$D,D1296)=0,"Missing in Data2","Present")</f>
        <v>Present</v>
      </c>
    </row>
    <row r="1297" spans="1:5" x14ac:dyDescent="0.25">
      <c r="A1297" s="2" t="s">
        <v>1580</v>
      </c>
      <c r="B1297" s="2" t="s">
        <v>221</v>
      </c>
      <c r="C1297" s="2">
        <v>2</v>
      </c>
      <c r="D1297" t="str">
        <f t="shared" si="20"/>
        <v>CA-2014-158029_FUR-CH-10000988</v>
      </c>
      <c r="E1297" t="str">
        <f>IF(COUNTIF(data2!$D:$D,D1297)=0,"Missing in Data2","Present")</f>
        <v>Present</v>
      </c>
    </row>
    <row r="1298" spans="1:5" x14ac:dyDescent="0.25">
      <c r="A1298" s="2" t="s">
        <v>1581</v>
      </c>
      <c r="B1298" s="2" t="s">
        <v>1582</v>
      </c>
      <c r="C1298" s="2">
        <v>5</v>
      </c>
      <c r="D1298" t="str">
        <f t="shared" si="20"/>
        <v>CA-2014-158064_OFF-BI-10002976</v>
      </c>
      <c r="E1298" t="str">
        <f>IF(COUNTIF(data2!$D:$D,D1298)=0,"Missing in Data2","Present")</f>
        <v>Present</v>
      </c>
    </row>
    <row r="1299" spans="1:5" x14ac:dyDescent="0.25">
      <c r="A1299" s="2" t="s">
        <v>1583</v>
      </c>
      <c r="B1299" s="2" t="s">
        <v>1584</v>
      </c>
      <c r="C1299" s="2">
        <v>5</v>
      </c>
      <c r="D1299" t="str">
        <f t="shared" si="20"/>
        <v>CA-2014-158225_OFF-ST-10000675</v>
      </c>
      <c r="E1299" t="str">
        <f>IF(COUNTIF(data2!$D:$D,D1299)=0,"Missing in Data2","Present")</f>
        <v>Present</v>
      </c>
    </row>
    <row r="1300" spans="1:5" x14ac:dyDescent="0.25">
      <c r="A1300" s="2" t="s">
        <v>1583</v>
      </c>
      <c r="B1300" s="2" t="s">
        <v>1585</v>
      </c>
      <c r="C1300" s="2">
        <v>2</v>
      </c>
      <c r="D1300" t="str">
        <f t="shared" si="20"/>
        <v>CA-2014-158225_OFF-ST-10002301</v>
      </c>
      <c r="E1300" t="str">
        <f>IF(COUNTIF(data2!$D:$D,D1300)=0,"Missing in Data2","Present")</f>
        <v>Present</v>
      </c>
    </row>
    <row r="1301" spans="1:5" x14ac:dyDescent="0.25">
      <c r="A1301" s="2" t="s">
        <v>1586</v>
      </c>
      <c r="B1301" s="2" t="s">
        <v>1587</v>
      </c>
      <c r="C1301" s="2">
        <v>2</v>
      </c>
      <c r="D1301" t="str">
        <f t="shared" si="20"/>
        <v>CA-2014-158274_TEC-AC-10002345</v>
      </c>
      <c r="E1301" t="str">
        <f>IF(COUNTIF(data2!$D:$D,D1301)=0,"Missing in Data2","Present")</f>
        <v>Present</v>
      </c>
    </row>
    <row r="1302" spans="1:5" x14ac:dyDescent="0.25">
      <c r="A1302" s="2" t="s">
        <v>1586</v>
      </c>
      <c r="B1302" s="2" t="s">
        <v>31</v>
      </c>
      <c r="C1302" s="2">
        <v>4</v>
      </c>
      <c r="D1302" t="str">
        <f t="shared" si="20"/>
        <v>CA-2014-158274_TEC-PH-10003273</v>
      </c>
      <c r="E1302" t="str">
        <f>IF(COUNTIF(data2!$D:$D,D1302)=0,"Missing in Data2","Present")</f>
        <v>Present</v>
      </c>
    </row>
    <row r="1303" spans="1:5" x14ac:dyDescent="0.25">
      <c r="A1303" s="2" t="s">
        <v>1586</v>
      </c>
      <c r="B1303" s="2" t="s">
        <v>1588</v>
      </c>
      <c r="C1303" s="2">
        <v>5</v>
      </c>
      <c r="D1303" t="str">
        <f t="shared" si="20"/>
        <v>CA-2014-158274_TEC-PH-10004896</v>
      </c>
      <c r="E1303" t="str">
        <f>IF(COUNTIF(data2!$D:$D,D1303)=0,"Missing in Data2","Present")</f>
        <v>Present</v>
      </c>
    </row>
    <row r="1304" spans="1:5" x14ac:dyDescent="0.25">
      <c r="A1304" s="2" t="s">
        <v>1589</v>
      </c>
      <c r="B1304" s="2" t="s">
        <v>1590</v>
      </c>
      <c r="C1304" s="2">
        <v>14</v>
      </c>
      <c r="D1304" t="str">
        <f t="shared" si="20"/>
        <v>CA-2014-158337_OFF-PA-10002137</v>
      </c>
      <c r="E1304" t="str">
        <f>IF(COUNTIF(data2!$D:$D,D1304)=0,"Missing in Data2","Present")</f>
        <v>Present</v>
      </c>
    </row>
    <row r="1305" spans="1:5" x14ac:dyDescent="0.25">
      <c r="A1305" s="2" t="s">
        <v>1591</v>
      </c>
      <c r="B1305" s="2" t="s">
        <v>1299</v>
      </c>
      <c r="C1305" s="2">
        <v>2</v>
      </c>
      <c r="D1305" t="str">
        <f t="shared" si="20"/>
        <v>CA-2014-158372_FUR-FU-10000397</v>
      </c>
      <c r="E1305" t="str">
        <f>IF(COUNTIF(data2!$D:$D,D1305)=0,"Missing in Data2","Present")</f>
        <v>Present</v>
      </c>
    </row>
    <row r="1306" spans="1:5" x14ac:dyDescent="0.25">
      <c r="A1306" s="2" t="s">
        <v>1591</v>
      </c>
      <c r="B1306" s="2" t="s">
        <v>1592</v>
      </c>
      <c r="C1306" s="2">
        <v>5</v>
      </c>
      <c r="D1306" t="str">
        <f t="shared" si="20"/>
        <v>CA-2014-158372_FUR-FU-10001867</v>
      </c>
      <c r="E1306" t="str">
        <f>IF(COUNTIF(data2!$D:$D,D1306)=0,"Missing in Data2","Present")</f>
        <v>Present</v>
      </c>
    </row>
    <row r="1307" spans="1:5" x14ac:dyDescent="0.25">
      <c r="A1307" s="2" t="s">
        <v>1591</v>
      </c>
      <c r="B1307" s="2" t="s">
        <v>1593</v>
      </c>
      <c r="C1307" s="2">
        <v>8</v>
      </c>
      <c r="D1307" t="str">
        <f t="shared" si="20"/>
        <v>CA-2014-158372_OFF-LA-10000407</v>
      </c>
      <c r="E1307" t="str">
        <f>IF(COUNTIF(data2!$D:$D,D1307)=0,"Missing in Data2","Present")</f>
        <v>Present</v>
      </c>
    </row>
    <row r="1308" spans="1:5" x14ac:dyDescent="0.25">
      <c r="A1308" s="2" t="s">
        <v>1591</v>
      </c>
      <c r="B1308" s="2" t="s">
        <v>1590</v>
      </c>
      <c r="C1308" s="2">
        <v>8</v>
      </c>
      <c r="D1308" t="str">
        <f t="shared" si="20"/>
        <v>CA-2014-158372_OFF-PA-10002137</v>
      </c>
      <c r="E1308" t="str">
        <f>IF(COUNTIF(data2!$D:$D,D1308)=0,"Missing in Data2","Present")</f>
        <v>Present</v>
      </c>
    </row>
    <row r="1309" spans="1:5" x14ac:dyDescent="0.25">
      <c r="A1309" s="2" t="s">
        <v>1591</v>
      </c>
      <c r="B1309" s="2" t="s">
        <v>1594</v>
      </c>
      <c r="C1309" s="2">
        <v>1</v>
      </c>
      <c r="D1309" t="str">
        <f t="shared" si="20"/>
        <v>CA-2014-158372_TEC-AC-10004209</v>
      </c>
      <c r="E1309" t="str">
        <f>IF(COUNTIF(data2!$D:$D,D1309)=0,"Missing in Data2","Present")</f>
        <v>Present</v>
      </c>
    </row>
    <row r="1310" spans="1:5" x14ac:dyDescent="0.25">
      <c r="A1310" s="2" t="s">
        <v>1591</v>
      </c>
      <c r="B1310" s="2" t="s">
        <v>1425</v>
      </c>
      <c r="C1310" s="2">
        <v>8</v>
      </c>
      <c r="D1310" t="str">
        <f t="shared" si="20"/>
        <v>CA-2014-158372_TEC-PH-10002103</v>
      </c>
      <c r="E1310" t="str">
        <f>IF(COUNTIF(data2!$D:$D,D1310)=0,"Missing in Data2","Present")</f>
        <v>Present</v>
      </c>
    </row>
    <row r="1311" spans="1:5" x14ac:dyDescent="0.25">
      <c r="A1311" s="2" t="s">
        <v>1595</v>
      </c>
      <c r="B1311" s="2" t="s">
        <v>1596</v>
      </c>
      <c r="C1311" s="2">
        <v>2</v>
      </c>
      <c r="D1311" t="str">
        <f t="shared" si="20"/>
        <v>CA-2014-158442_OFF-AR-10003732</v>
      </c>
      <c r="E1311" t="str">
        <f>IF(COUNTIF(data2!$D:$D,D1311)=0,"Missing in Data2","Present")</f>
        <v>Present</v>
      </c>
    </row>
    <row r="1312" spans="1:5" x14ac:dyDescent="0.25">
      <c r="A1312" s="2" t="s">
        <v>1595</v>
      </c>
      <c r="B1312" s="2" t="s">
        <v>157</v>
      </c>
      <c r="C1312" s="2">
        <v>1</v>
      </c>
      <c r="D1312" t="str">
        <f t="shared" si="20"/>
        <v>CA-2014-158442_OFF-PA-10002195</v>
      </c>
      <c r="E1312" t="str">
        <f>IF(COUNTIF(data2!$D:$D,D1312)=0,"Missing in Data2","Present")</f>
        <v>Present</v>
      </c>
    </row>
    <row r="1313" spans="1:5" x14ac:dyDescent="0.25">
      <c r="A1313" s="2" t="s">
        <v>1595</v>
      </c>
      <c r="B1313" s="2" t="s">
        <v>1597</v>
      </c>
      <c r="C1313" s="2">
        <v>3</v>
      </c>
      <c r="D1313" t="str">
        <f t="shared" si="20"/>
        <v>CA-2014-158442_OFF-PA-10002365</v>
      </c>
      <c r="E1313" t="str">
        <f>IF(COUNTIF(data2!$D:$D,D1313)=0,"Missing in Data2","Present")</f>
        <v>Present</v>
      </c>
    </row>
    <row r="1314" spans="1:5" x14ac:dyDescent="0.25">
      <c r="A1314" s="2" t="s">
        <v>1598</v>
      </c>
      <c r="B1314" s="2" t="s">
        <v>1137</v>
      </c>
      <c r="C1314" s="2">
        <v>3</v>
      </c>
      <c r="D1314" t="str">
        <f t="shared" si="20"/>
        <v>CA-2014-158470_OFF-BI-10003638</v>
      </c>
      <c r="E1314" t="str">
        <f>IF(COUNTIF(data2!$D:$D,D1314)=0,"Missing in Data2","Present")</f>
        <v>Present</v>
      </c>
    </row>
    <row r="1315" spans="1:5" x14ac:dyDescent="0.25">
      <c r="A1315" s="2" t="s">
        <v>1598</v>
      </c>
      <c r="B1315" s="2" t="s">
        <v>931</v>
      </c>
      <c r="C1315" s="2">
        <v>11</v>
      </c>
      <c r="D1315" t="str">
        <f t="shared" si="20"/>
        <v>CA-2014-158470_OFF-PA-10001569</v>
      </c>
      <c r="E1315" t="str">
        <f>IF(COUNTIF(data2!$D:$D,D1315)=0,"Missing in Data2","Present")</f>
        <v>Present</v>
      </c>
    </row>
    <row r="1316" spans="1:5" x14ac:dyDescent="0.25">
      <c r="A1316" s="2" t="s">
        <v>1599</v>
      </c>
      <c r="B1316" s="2" t="s">
        <v>1448</v>
      </c>
      <c r="C1316" s="2">
        <v>4</v>
      </c>
      <c r="D1316" t="str">
        <f t="shared" si="20"/>
        <v>CA-2014-158540_FUR-FU-10001602</v>
      </c>
      <c r="E1316" t="str">
        <f>IF(COUNTIF(data2!$D:$D,D1316)=0,"Missing in Data2","Present")</f>
        <v>Present</v>
      </c>
    </row>
    <row r="1317" spans="1:5" x14ac:dyDescent="0.25">
      <c r="A1317" s="2" t="s">
        <v>1600</v>
      </c>
      <c r="B1317" s="2" t="s">
        <v>215</v>
      </c>
      <c r="C1317" s="2">
        <v>3</v>
      </c>
      <c r="D1317" t="str">
        <f t="shared" si="20"/>
        <v>CA-2014-158771_OFF-LA-10001641</v>
      </c>
      <c r="E1317" t="str">
        <f>IF(COUNTIF(data2!$D:$D,D1317)=0,"Missing in Data2","Present")</f>
        <v>Present</v>
      </c>
    </row>
    <row r="1318" spans="1:5" x14ac:dyDescent="0.25">
      <c r="A1318" s="2" t="s">
        <v>1600</v>
      </c>
      <c r="B1318" s="2" t="s">
        <v>1601</v>
      </c>
      <c r="C1318" s="2">
        <v>5</v>
      </c>
      <c r="D1318" t="str">
        <f t="shared" si="20"/>
        <v>CA-2014-158771_OFF-LA-10003121</v>
      </c>
      <c r="E1318" t="str">
        <f>IF(COUNTIF(data2!$D:$D,D1318)=0,"Missing in Data2","Present")</f>
        <v>Present</v>
      </c>
    </row>
    <row r="1319" spans="1:5" x14ac:dyDescent="0.25">
      <c r="A1319" s="2" t="s">
        <v>1600</v>
      </c>
      <c r="B1319" s="2" t="s">
        <v>1085</v>
      </c>
      <c r="C1319" s="2">
        <v>7</v>
      </c>
      <c r="D1319" t="str">
        <f t="shared" si="20"/>
        <v>CA-2014-158771_OFF-PA-10002689</v>
      </c>
      <c r="E1319" t="str">
        <f>IF(COUNTIF(data2!$D:$D,D1319)=0,"Missing in Data2","Present")</f>
        <v>Present</v>
      </c>
    </row>
    <row r="1320" spans="1:5" x14ac:dyDescent="0.25">
      <c r="A1320" s="2" t="s">
        <v>1600</v>
      </c>
      <c r="B1320" s="2" t="s">
        <v>367</v>
      </c>
      <c r="C1320" s="2">
        <v>3</v>
      </c>
      <c r="D1320" t="str">
        <f t="shared" si="20"/>
        <v>CA-2014-158771_OFF-ST-10000107</v>
      </c>
      <c r="E1320" t="str">
        <f>IF(COUNTIF(data2!$D:$D,D1320)=0,"Missing in Data2","Present")</f>
        <v>Present</v>
      </c>
    </row>
    <row r="1321" spans="1:5" x14ac:dyDescent="0.25">
      <c r="A1321" s="2" t="s">
        <v>1602</v>
      </c>
      <c r="B1321" s="2" t="s">
        <v>1603</v>
      </c>
      <c r="C1321" s="2">
        <v>7</v>
      </c>
      <c r="D1321" t="str">
        <f t="shared" si="20"/>
        <v>CA-2014-159121_TEC-AC-10002006</v>
      </c>
      <c r="E1321" t="str">
        <f>IF(COUNTIF(data2!$D:$D,D1321)=0,"Missing in Data2","Present")</f>
        <v>Present</v>
      </c>
    </row>
    <row r="1322" spans="1:5" x14ac:dyDescent="0.25">
      <c r="A1322" s="2" t="s">
        <v>1604</v>
      </c>
      <c r="B1322" s="2" t="s">
        <v>349</v>
      </c>
      <c r="C1322" s="2">
        <v>5</v>
      </c>
      <c r="D1322" t="str">
        <f t="shared" si="20"/>
        <v>CA-2014-159184_FUR-FU-10002878</v>
      </c>
      <c r="E1322" t="str">
        <f>IF(COUNTIF(data2!$D:$D,D1322)=0,"Missing in Data2","Present")</f>
        <v>Present</v>
      </c>
    </row>
    <row r="1323" spans="1:5" x14ac:dyDescent="0.25">
      <c r="A1323" s="2" t="s">
        <v>1604</v>
      </c>
      <c r="B1323" s="2" t="s">
        <v>1605</v>
      </c>
      <c r="C1323" s="2">
        <v>2</v>
      </c>
      <c r="D1323" t="str">
        <f t="shared" si="20"/>
        <v>CA-2014-159184_OFF-BI-10001890</v>
      </c>
      <c r="E1323" t="str">
        <f>IF(COUNTIF(data2!$D:$D,D1323)=0,"Missing in Data2","Present")</f>
        <v>Present</v>
      </c>
    </row>
    <row r="1324" spans="1:5" x14ac:dyDescent="0.25">
      <c r="A1324" s="2" t="s">
        <v>1606</v>
      </c>
      <c r="B1324" s="2" t="s">
        <v>1607</v>
      </c>
      <c r="C1324" s="2">
        <v>4</v>
      </c>
      <c r="D1324" t="str">
        <f t="shared" si="20"/>
        <v>CA-2014-159310_FUR-CH-10002758</v>
      </c>
      <c r="E1324" t="str">
        <f>IF(COUNTIF(data2!$D:$D,D1324)=0,"Missing in Data2","Present")</f>
        <v>Present</v>
      </c>
    </row>
    <row r="1325" spans="1:5" x14ac:dyDescent="0.25">
      <c r="A1325" s="2" t="s">
        <v>1606</v>
      </c>
      <c r="B1325" s="2" t="s">
        <v>1384</v>
      </c>
      <c r="C1325" s="2">
        <v>3</v>
      </c>
      <c r="D1325" t="str">
        <f t="shared" si="20"/>
        <v>CA-2014-159310_OFF-BI-10000201</v>
      </c>
      <c r="E1325" t="str">
        <f>IF(COUNTIF(data2!$D:$D,D1325)=0,"Missing in Data2","Present")</f>
        <v>Present</v>
      </c>
    </row>
    <row r="1326" spans="1:5" x14ac:dyDescent="0.25">
      <c r="A1326" s="2" t="s">
        <v>1608</v>
      </c>
      <c r="B1326" s="2" t="s">
        <v>718</v>
      </c>
      <c r="C1326" s="2">
        <v>5</v>
      </c>
      <c r="D1326" t="str">
        <f t="shared" si="20"/>
        <v>CA-2014-159338_FUR-TA-10004147</v>
      </c>
      <c r="E1326" t="str">
        <f>IF(COUNTIF(data2!$D:$D,D1326)=0,"Missing in Data2","Present")</f>
        <v>Present</v>
      </c>
    </row>
    <row r="1327" spans="1:5" x14ac:dyDescent="0.25">
      <c r="A1327" s="2" t="s">
        <v>1609</v>
      </c>
      <c r="B1327" s="2" t="s">
        <v>339</v>
      </c>
      <c r="C1327" s="2">
        <v>3</v>
      </c>
      <c r="D1327" t="str">
        <f t="shared" si="20"/>
        <v>CA-2014-159478_FUR-FU-10000221</v>
      </c>
      <c r="E1327" t="str">
        <f>IF(COUNTIF(data2!$D:$D,D1327)=0,"Missing in Data2","Present")</f>
        <v>Present</v>
      </c>
    </row>
    <row r="1328" spans="1:5" x14ac:dyDescent="0.25">
      <c r="A1328" s="2" t="s">
        <v>1610</v>
      </c>
      <c r="B1328" s="2" t="s">
        <v>1326</v>
      </c>
      <c r="C1328" s="2">
        <v>3</v>
      </c>
      <c r="D1328" t="str">
        <f t="shared" si="20"/>
        <v>CA-2014-159520_FUR-TA-10003238</v>
      </c>
      <c r="E1328" t="str">
        <f>IF(COUNTIF(data2!$D:$D,D1328)=0,"Missing in Data2","Present")</f>
        <v>Present</v>
      </c>
    </row>
    <row r="1329" spans="1:5" x14ac:dyDescent="0.25">
      <c r="A1329" s="2" t="s">
        <v>1610</v>
      </c>
      <c r="B1329" s="2" t="s">
        <v>1117</v>
      </c>
      <c r="C1329" s="2">
        <v>9</v>
      </c>
      <c r="D1329" t="str">
        <f t="shared" si="20"/>
        <v>CA-2014-159520_OFF-BI-10003982</v>
      </c>
      <c r="E1329" t="str">
        <f>IF(COUNTIF(data2!$D:$D,D1329)=0,"Missing in Data2","Present")</f>
        <v>Present</v>
      </c>
    </row>
    <row r="1330" spans="1:5" x14ac:dyDescent="0.25">
      <c r="A1330" s="2" t="s">
        <v>1610</v>
      </c>
      <c r="B1330" s="2" t="s">
        <v>1352</v>
      </c>
      <c r="C1330" s="2">
        <v>2</v>
      </c>
      <c r="D1330" t="str">
        <f t="shared" si="20"/>
        <v>CA-2014-159520_OFF-SU-10001664</v>
      </c>
      <c r="E1330" t="str">
        <f>IF(COUNTIF(data2!$D:$D,D1330)=0,"Missing in Data2","Present")</f>
        <v>Present</v>
      </c>
    </row>
    <row r="1331" spans="1:5" x14ac:dyDescent="0.25">
      <c r="A1331" s="2" t="s">
        <v>1611</v>
      </c>
      <c r="B1331" s="2" t="s">
        <v>1612</v>
      </c>
      <c r="C1331" s="2">
        <v>3</v>
      </c>
      <c r="D1331" t="str">
        <f t="shared" si="20"/>
        <v>CA-2014-159625_OFF-EN-10002621</v>
      </c>
      <c r="E1331" t="str">
        <f>IF(COUNTIF(data2!$D:$D,D1331)=0,"Missing in Data2","Present")</f>
        <v>Present</v>
      </c>
    </row>
    <row r="1332" spans="1:5" x14ac:dyDescent="0.25">
      <c r="A1332" s="2" t="s">
        <v>1613</v>
      </c>
      <c r="B1332" s="2" t="s">
        <v>884</v>
      </c>
      <c r="C1332" s="2">
        <v>4</v>
      </c>
      <c r="D1332" t="str">
        <f t="shared" si="20"/>
        <v>CA-2014-159681_OFF-PA-10003641</v>
      </c>
      <c r="E1332" t="str">
        <f>IF(COUNTIF(data2!$D:$D,D1332)=0,"Missing in Data2","Present")</f>
        <v>Present</v>
      </c>
    </row>
    <row r="1333" spans="1:5" x14ac:dyDescent="0.25">
      <c r="A1333" s="2" t="s">
        <v>1614</v>
      </c>
      <c r="B1333" s="2" t="s">
        <v>1615</v>
      </c>
      <c r="C1333" s="2">
        <v>3</v>
      </c>
      <c r="D1333" t="str">
        <f t="shared" si="20"/>
        <v>CA-2014-159709_OFF-EN-10001434</v>
      </c>
      <c r="E1333" t="str">
        <f>IF(COUNTIF(data2!$D:$D,D1333)=0,"Missing in Data2","Present")</f>
        <v>Present</v>
      </c>
    </row>
    <row r="1334" spans="1:5" x14ac:dyDescent="0.25">
      <c r="A1334" s="2" t="s">
        <v>1614</v>
      </c>
      <c r="B1334" s="2" t="s">
        <v>1616</v>
      </c>
      <c r="C1334" s="2">
        <v>5</v>
      </c>
      <c r="D1334" t="str">
        <f t="shared" si="20"/>
        <v>CA-2014-159709_TEC-PH-10003988</v>
      </c>
      <c r="E1334" t="str">
        <f>IF(COUNTIF(data2!$D:$D,D1334)=0,"Missing in Data2","Present")</f>
        <v>Present</v>
      </c>
    </row>
    <row r="1335" spans="1:5" x14ac:dyDescent="0.25">
      <c r="A1335" s="2" t="s">
        <v>1617</v>
      </c>
      <c r="B1335" s="2" t="s">
        <v>1618</v>
      </c>
      <c r="C1335" s="2">
        <v>3</v>
      </c>
      <c r="D1335" t="str">
        <f t="shared" si="20"/>
        <v>CA-2014-159800_OFF-AP-10004859</v>
      </c>
      <c r="E1335" t="str">
        <f>IF(COUNTIF(data2!$D:$D,D1335)=0,"Missing in Data2","Present")</f>
        <v>Present</v>
      </c>
    </row>
    <row r="1336" spans="1:5" x14ac:dyDescent="0.25">
      <c r="A1336" s="2" t="s">
        <v>1617</v>
      </c>
      <c r="B1336" s="2" t="s">
        <v>1619</v>
      </c>
      <c r="C1336" s="2">
        <v>7</v>
      </c>
      <c r="D1336" t="str">
        <f t="shared" si="20"/>
        <v>CA-2014-159800_TEC-AC-10003447</v>
      </c>
      <c r="E1336" t="str">
        <f>IF(COUNTIF(data2!$D:$D,D1336)=0,"Missing in Data2","Present")</f>
        <v>Present</v>
      </c>
    </row>
    <row r="1337" spans="1:5" x14ac:dyDescent="0.25">
      <c r="A1337" s="2" t="s">
        <v>1620</v>
      </c>
      <c r="B1337" s="2" t="s">
        <v>128</v>
      </c>
      <c r="C1337" s="2">
        <v>2</v>
      </c>
      <c r="D1337" t="str">
        <f t="shared" si="20"/>
        <v>CA-2014-159814_FUR-FU-10001731</v>
      </c>
      <c r="E1337" t="str">
        <f>IF(COUNTIF(data2!$D:$D,D1337)=0,"Missing in Data2","Present")</f>
        <v>Present</v>
      </c>
    </row>
    <row r="1338" spans="1:5" x14ac:dyDescent="0.25">
      <c r="A1338" s="2" t="s">
        <v>1621</v>
      </c>
      <c r="B1338" s="2" t="s">
        <v>680</v>
      </c>
      <c r="C1338" s="2">
        <v>5</v>
      </c>
      <c r="D1338" t="str">
        <f t="shared" si="20"/>
        <v>CA-2014-159835_FUR-CH-10004997</v>
      </c>
      <c r="E1338" t="str">
        <f>IF(COUNTIF(data2!$D:$D,D1338)=0,"Missing in Data2","Present")</f>
        <v>Present</v>
      </c>
    </row>
    <row r="1339" spans="1:5" x14ac:dyDescent="0.25">
      <c r="A1339" s="2" t="s">
        <v>1621</v>
      </c>
      <c r="B1339" s="2" t="s">
        <v>1590</v>
      </c>
      <c r="C1339" s="2">
        <v>2</v>
      </c>
      <c r="D1339" t="str">
        <f t="shared" si="20"/>
        <v>CA-2014-159835_OFF-PA-10002137</v>
      </c>
      <c r="E1339" t="str">
        <f>IF(COUNTIF(data2!$D:$D,D1339)=0,"Missing in Data2","Present")</f>
        <v>Present</v>
      </c>
    </row>
    <row r="1340" spans="1:5" x14ac:dyDescent="0.25">
      <c r="A1340" s="2" t="s">
        <v>1622</v>
      </c>
      <c r="B1340" s="2" t="s">
        <v>1623</v>
      </c>
      <c r="C1340" s="2">
        <v>2</v>
      </c>
      <c r="D1340" t="str">
        <f t="shared" si="20"/>
        <v>CA-2014-160066_OFF-LA-10001045</v>
      </c>
      <c r="E1340" t="str">
        <f>IF(COUNTIF(data2!$D:$D,D1340)=0,"Missing in Data2","Present")</f>
        <v>Present</v>
      </c>
    </row>
    <row r="1341" spans="1:5" x14ac:dyDescent="0.25">
      <c r="A1341" s="2" t="s">
        <v>1624</v>
      </c>
      <c r="B1341" s="2" t="s">
        <v>254</v>
      </c>
      <c r="C1341" s="2">
        <v>5</v>
      </c>
      <c r="D1341" t="str">
        <f t="shared" si="20"/>
        <v>CA-2014-160094_OFF-ST-10000585</v>
      </c>
      <c r="E1341" t="str">
        <f>IF(COUNTIF(data2!$D:$D,D1341)=0,"Missing in Data2","Present")</f>
        <v>Present</v>
      </c>
    </row>
    <row r="1342" spans="1:5" x14ac:dyDescent="0.25">
      <c r="A1342" s="2" t="s">
        <v>1625</v>
      </c>
      <c r="B1342" s="2" t="s">
        <v>57</v>
      </c>
      <c r="C1342" s="2">
        <v>3</v>
      </c>
      <c r="D1342" t="str">
        <f t="shared" si="20"/>
        <v>CA-2014-160157_FUR-FU-10003773</v>
      </c>
      <c r="E1342" t="str">
        <f>IF(COUNTIF(data2!$D:$D,D1342)=0,"Missing in Data2","Present")</f>
        <v>Present</v>
      </c>
    </row>
    <row r="1343" spans="1:5" x14ac:dyDescent="0.25">
      <c r="A1343" s="2" t="s">
        <v>1626</v>
      </c>
      <c r="B1343" s="2" t="s">
        <v>1627</v>
      </c>
      <c r="C1343" s="2">
        <v>2</v>
      </c>
      <c r="D1343" t="str">
        <f t="shared" si="20"/>
        <v>CA-2014-160262_FUR-FU-10002685</v>
      </c>
      <c r="E1343" t="str">
        <f>IF(COUNTIF(data2!$D:$D,D1343)=0,"Missing in Data2","Present")</f>
        <v>Present</v>
      </c>
    </row>
    <row r="1344" spans="1:5" x14ac:dyDescent="0.25">
      <c r="A1344" s="2" t="s">
        <v>1626</v>
      </c>
      <c r="B1344" s="2" t="s">
        <v>1628</v>
      </c>
      <c r="C1344" s="2">
        <v>7</v>
      </c>
      <c r="D1344" t="str">
        <f t="shared" si="20"/>
        <v>CA-2014-160262_OFF-AR-10002335</v>
      </c>
      <c r="E1344" t="str">
        <f>IF(COUNTIF(data2!$D:$D,D1344)=0,"Missing in Data2","Present")</f>
        <v>Present</v>
      </c>
    </row>
    <row r="1345" spans="1:5" x14ac:dyDescent="0.25">
      <c r="A1345" s="2" t="s">
        <v>1626</v>
      </c>
      <c r="B1345" s="2" t="s">
        <v>884</v>
      </c>
      <c r="C1345" s="2">
        <v>3</v>
      </c>
      <c r="D1345" t="str">
        <f t="shared" si="20"/>
        <v>CA-2014-160262_OFF-PA-10003641</v>
      </c>
      <c r="E1345" t="str">
        <f>IF(COUNTIF(data2!$D:$D,D1345)=0,"Missing in Data2","Present")</f>
        <v>Missing in Data2</v>
      </c>
    </row>
    <row r="1346" spans="1:5" x14ac:dyDescent="0.25">
      <c r="A1346" s="2" t="s">
        <v>1629</v>
      </c>
      <c r="B1346" s="2" t="s">
        <v>125</v>
      </c>
      <c r="C1346" s="2">
        <v>2</v>
      </c>
      <c r="D1346" t="str">
        <f t="shared" si="20"/>
        <v>CA-2014-160276_FUR-FU-10003192</v>
      </c>
      <c r="E1346" t="str">
        <f>IF(COUNTIF(data2!$D:$D,D1346)=0,"Missing in Data2","Present")</f>
        <v>Present</v>
      </c>
    </row>
    <row r="1347" spans="1:5" x14ac:dyDescent="0.25">
      <c r="A1347" s="2" t="s">
        <v>1630</v>
      </c>
      <c r="B1347" s="2" t="s">
        <v>71</v>
      </c>
      <c r="C1347" s="2">
        <v>2</v>
      </c>
      <c r="D1347" t="str">
        <f t="shared" ref="D1347:D1410" si="21">A1347&amp;"_"&amp;B1347</f>
        <v>CA-2014-160738_OFF-ST-10003442</v>
      </c>
      <c r="E1347" t="str">
        <f>IF(COUNTIF(data2!$D:$D,D1347)=0,"Missing in Data2","Present")</f>
        <v>Present</v>
      </c>
    </row>
    <row r="1348" spans="1:5" x14ac:dyDescent="0.25">
      <c r="A1348" s="2" t="s">
        <v>1631</v>
      </c>
      <c r="B1348" s="2" t="s">
        <v>183</v>
      </c>
      <c r="C1348" s="2">
        <v>9</v>
      </c>
      <c r="D1348" t="str">
        <f t="shared" si="21"/>
        <v>CA-2014-160766_FUR-TA-10001039</v>
      </c>
      <c r="E1348" t="str">
        <f>IF(COUNTIF(data2!$D:$D,D1348)=0,"Missing in Data2","Present")</f>
        <v>Missing in Data2</v>
      </c>
    </row>
    <row r="1349" spans="1:5" x14ac:dyDescent="0.25">
      <c r="A1349" s="2" t="s">
        <v>1631</v>
      </c>
      <c r="B1349" s="2" t="s">
        <v>1000</v>
      </c>
      <c r="C1349" s="2">
        <v>2</v>
      </c>
      <c r="D1349" t="str">
        <f t="shared" si="21"/>
        <v>CA-2014-160766_OFF-AP-10002945</v>
      </c>
      <c r="E1349" t="str">
        <f>IF(COUNTIF(data2!$D:$D,D1349)=0,"Missing in Data2","Present")</f>
        <v>Present</v>
      </c>
    </row>
    <row r="1350" spans="1:5" x14ac:dyDescent="0.25">
      <c r="A1350" s="2" t="s">
        <v>1631</v>
      </c>
      <c r="B1350" s="2" t="s">
        <v>284</v>
      </c>
      <c r="C1350" s="2">
        <v>7</v>
      </c>
      <c r="D1350" t="str">
        <f t="shared" si="21"/>
        <v>CA-2014-160766_OFF-EN-10001099</v>
      </c>
      <c r="E1350" t="str">
        <f>IF(COUNTIF(data2!$D:$D,D1350)=0,"Missing in Data2","Present")</f>
        <v>Present</v>
      </c>
    </row>
    <row r="1351" spans="1:5" x14ac:dyDescent="0.25">
      <c r="A1351" s="2" t="s">
        <v>1631</v>
      </c>
      <c r="B1351" s="2" t="s">
        <v>519</v>
      </c>
      <c r="C1351" s="2">
        <v>9</v>
      </c>
      <c r="D1351" t="str">
        <f t="shared" si="21"/>
        <v>CA-2014-160766_OFF-PA-10000213</v>
      </c>
      <c r="E1351" t="str">
        <f>IF(COUNTIF(data2!$D:$D,D1351)=0,"Missing in Data2","Present")</f>
        <v>Present</v>
      </c>
    </row>
    <row r="1352" spans="1:5" x14ac:dyDescent="0.25">
      <c r="A1352" s="2" t="s">
        <v>1631</v>
      </c>
      <c r="B1352" s="2" t="s">
        <v>1632</v>
      </c>
      <c r="C1352" s="2">
        <v>4</v>
      </c>
      <c r="D1352" t="str">
        <f t="shared" si="21"/>
        <v>CA-2014-160766_TEC-MA-10003979</v>
      </c>
      <c r="E1352" t="str">
        <f>IF(COUNTIF(data2!$D:$D,D1352)=0,"Missing in Data2","Present")</f>
        <v>Missing in Data2</v>
      </c>
    </row>
    <row r="1353" spans="1:5" x14ac:dyDescent="0.25">
      <c r="A1353" s="2" t="s">
        <v>1631</v>
      </c>
      <c r="B1353" s="2" t="s">
        <v>1633</v>
      </c>
      <c r="C1353" s="2">
        <v>3</v>
      </c>
      <c r="D1353" t="str">
        <f t="shared" si="21"/>
        <v>CA-2014-160766_TEC-PH-10000526</v>
      </c>
      <c r="E1353" t="str">
        <f>IF(COUNTIF(data2!$D:$D,D1353)=0,"Missing in Data2","Present")</f>
        <v>Present</v>
      </c>
    </row>
    <row r="1354" spans="1:5" x14ac:dyDescent="0.25">
      <c r="A1354" s="2" t="s">
        <v>1631</v>
      </c>
      <c r="B1354" s="2" t="s">
        <v>1634</v>
      </c>
      <c r="C1354" s="2">
        <v>1</v>
      </c>
      <c r="D1354" t="str">
        <f t="shared" si="21"/>
        <v>CA-2014-160766_TEC-PH-10001536</v>
      </c>
      <c r="E1354" t="str">
        <f>IF(COUNTIF(data2!$D:$D,D1354)=0,"Missing in Data2","Present")</f>
        <v>Present</v>
      </c>
    </row>
    <row r="1355" spans="1:5" x14ac:dyDescent="0.25">
      <c r="A1355" s="2" t="s">
        <v>1635</v>
      </c>
      <c r="B1355" s="2" t="s">
        <v>1636</v>
      </c>
      <c r="C1355" s="2">
        <v>6</v>
      </c>
      <c r="D1355" t="str">
        <f t="shared" si="21"/>
        <v>CA-2014-160773_OFF-BI-10000546</v>
      </c>
      <c r="E1355" t="str">
        <f>IF(COUNTIF(data2!$D:$D,D1355)=0,"Missing in Data2","Present")</f>
        <v>Present</v>
      </c>
    </row>
    <row r="1356" spans="1:5" x14ac:dyDescent="0.25">
      <c r="A1356" s="2" t="s">
        <v>1635</v>
      </c>
      <c r="B1356" s="2" t="s">
        <v>1500</v>
      </c>
      <c r="C1356" s="2">
        <v>2</v>
      </c>
      <c r="D1356" t="str">
        <f t="shared" si="21"/>
        <v>CA-2014-160773_TEC-PH-10004586</v>
      </c>
      <c r="E1356" t="str">
        <f>IF(COUNTIF(data2!$D:$D,D1356)=0,"Missing in Data2","Present")</f>
        <v>Present</v>
      </c>
    </row>
    <row r="1357" spans="1:5" x14ac:dyDescent="0.25">
      <c r="A1357" s="2" t="s">
        <v>1637</v>
      </c>
      <c r="B1357" s="2" t="s">
        <v>1375</v>
      </c>
      <c r="C1357" s="2">
        <v>3</v>
      </c>
      <c r="D1357" t="str">
        <f t="shared" si="21"/>
        <v>CA-2014-161032_FUR-CH-10001482</v>
      </c>
      <c r="E1357" t="str">
        <f>IF(COUNTIF(data2!$D:$D,D1357)=0,"Missing in Data2","Present")</f>
        <v>Present</v>
      </c>
    </row>
    <row r="1358" spans="1:5" x14ac:dyDescent="0.25">
      <c r="A1358" s="2" t="s">
        <v>1638</v>
      </c>
      <c r="B1358" s="2" t="s">
        <v>65</v>
      </c>
      <c r="C1358" s="2">
        <v>5</v>
      </c>
      <c r="D1358" t="str">
        <f t="shared" si="21"/>
        <v>CA-2014-161249_OFF-BI-10001097</v>
      </c>
      <c r="E1358" t="str">
        <f>IF(COUNTIF(data2!$D:$D,D1358)=0,"Missing in Data2","Present")</f>
        <v>Present</v>
      </c>
    </row>
    <row r="1359" spans="1:5" x14ac:dyDescent="0.25">
      <c r="A1359" s="2" t="s">
        <v>1638</v>
      </c>
      <c r="B1359" s="2" t="s">
        <v>1639</v>
      </c>
      <c r="C1359" s="2">
        <v>3</v>
      </c>
      <c r="D1359" t="str">
        <f t="shared" si="21"/>
        <v>CA-2014-161249_OFF-FA-10004838</v>
      </c>
      <c r="E1359" t="str">
        <f>IF(COUNTIF(data2!$D:$D,D1359)=0,"Missing in Data2","Present")</f>
        <v>Present</v>
      </c>
    </row>
    <row r="1360" spans="1:5" x14ac:dyDescent="0.25">
      <c r="A1360" s="2" t="s">
        <v>1640</v>
      </c>
      <c r="B1360" s="2" t="s">
        <v>1641</v>
      </c>
      <c r="C1360" s="2">
        <v>3</v>
      </c>
      <c r="D1360" t="str">
        <f t="shared" si="21"/>
        <v>CA-2014-161508_FUR-CH-10002126</v>
      </c>
      <c r="E1360" t="str">
        <f>IF(COUNTIF(data2!$D:$D,D1360)=0,"Missing in Data2","Present")</f>
        <v>Present</v>
      </c>
    </row>
    <row r="1361" spans="1:5" x14ac:dyDescent="0.25">
      <c r="A1361" s="2" t="s">
        <v>1640</v>
      </c>
      <c r="B1361" s="2" t="s">
        <v>1642</v>
      </c>
      <c r="C1361" s="2">
        <v>7</v>
      </c>
      <c r="D1361" t="str">
        <f t="shared" si="21"/>
        <v>CA-2014-161508_OFF-AR-10003158</v>
      </c>
      <c r="E1361" t="str">
        <f>IF(COUNTIF(data2!$D:$D,D1361)=0,"Missing in Data2","Present")</f>
        <v>Present</v>
      </c>
    </row>
    <row r="1362" spans="1:5" x14ac:dyDescent="0.25">
      <c r="A1362" s="2" t="s">
        <v>1640</v>
      </c>
      <c r="B1362" s="2" t="s">
        <v>1358</v>
      </c>
      <c r="C1362" s="2">
        <v>2</v>
      </c>
      <c r="D1362" t="str">
        <f t="shared" si="21"/>
        <v>CA-2014-161508_OFF-FA-10001561</v>
      </c>
      <c r="E1362" t="str">
        <f>IF(COUNTIF(data2!$D:$D,D1362)=0,"Missing in Data2","Present")</f>
        <v>Present</v>
      </c>
    </row>
    <row r="1363" spans="1:5" x14ac:dyDescent="0.25">
      <c r="A1363" s="2" t="s">
        <v>1640</v>
      </c>
      <c r="B1363" s="2" t="s">
        <v>89</v>
      </c>
      <c r="C1363" s="2">
        <v>3</v>
      </c>
      <c r="D1363" t="str">
        <f t="shared" si="21"/>
        <v>CA-2014-161508_OFF-PA-10001804</v>
      </c>
      <c r="E1363" t="str">
        <f>IF(COUNTIF(data2!$D:$D,D1363)=0,"Missing in Data2","Present")</f>
        <v>Missing in Data2</v>
      </c>
    </row>
    <row r="1364" spans="1:5" x14ac:dyDescent="0.25">
      <c r="A1364" s="2" t="s">
        <v>1643</v>
      </c>
      <c r="B1364" s="2" t="s">
        <v>1644</v>
      </c>
      <c r="C1364" s="2">
        <v>5</v>
      </c>
      <c r="D1364" t="str">
        <f t="shared" si="21"/>
        <v>CA-2014-161634_OFF-PA-10002262</v>
      </c>
      <c r="E1364" t="str">
        <f>IF(COUNTIF(data2!$D:$D,D1364)=0,"Missing in Data2","Present")</f>
        <v>Present</v>
      </c>
    </row>
    <row r="1365" spans="1:5" x14ac:dyDescent="0.25">
      <c r="A1365" s="2" t="s">
        <v>1645</v>
      </c>
      <c r="B1365" s="2" t="s">
        <v>1258</v>
      </c>
      <c r="C1365" s="2">
        <v>7</v>
      </c>
      <c r="D1365" t="str">
        <f t="shared" si="21"/>
        <v>CA-2014-162089_FUR-CH-10002304</v>
      </c>
      <c r="E1365" t="str">
        <f>IF(COUNTIF(data2!$D:$D,D1365)=0,"Missing in Data2","Present")</f>
        <v>Present</v>
      </c>
    </row>
    <row r="1366" spans="1:5" x14ac:dyDescent="0.25">
      <c r="A1366" s="2" t="s">
        <v>1645</v>
      </c>
      <c r="B1366" s="2" t="s">
        <v>1646</v>
      </c>
      <c r="C1366" s="2">
        <v>5</v>
      </c>
      <c r="D1366" t="str">
        <f t="shared" si="21"/>
        <v>CA-2014-162089_OFF-EN-10002230</v>
      </c>
      <c r="E1366" t="str">
        <f>IF(COUNTIF(data2!$D:$D,D1366)=0,"Missing in Data2","Present")</f>
        <v>Present</v>
      </c>
    </row>
    <row r="1367" spans="1:5" x14ac:dyDescent="0.25">
      <c r="A1367" s="2" t="s">
        <v>1645</v>
      </c>
      <c r="B1367" s="2" t="s">
        <v>1647</v>
      </c>
      <c r="C1367" s="2">
        <v>7</v>
      </c>
      <c r="D1367" t="str">
        <f t="shared" si="21"/>
        <v>CA-2014-162089_TEC-PH-10001819</v>
      </c>
      <c r="E1367" t="str">
        <f>IF(COUNTIF(data2!$D:$D,D1367)=0,"Missing in Data2","Present")</f>
        <v>Present</v>
      </c>
    </row>
    <row r="1368" spans="1:5" x14ac:dyDescent="0.25">
      <c r="A1368" s="2" t="s">
        <v>1648</v>
      </c>
      <c r="B1368" s="2" t="s">
        <v>1649</v>
      </c>
      <c r="C1368" s="2">
        <v>4</v>
      </c>
      <c r="D1368" t="str">
        <f t="shared" si="21"/>
        <v>CA-2014-162278_FUR-FU-10000448</v>
      </c>
      <c r="E1368" t="str">
        <f>IF(COUNTIF(data2!$D:$D,D1368)=0,"Missing in Data2","Present")</f>
        <v>Present</v>
      </c>
    </row>
    <row r="1369" spans="1:5" x14ac:dyDescent="0.25">
      <c r="A1369" s="2" t="s">
        <v>1648</v>
      </c>
      <c r="B1369" s="2" t="s">
        <v>1633</v>
      </c>
      <c r="C1369" s="2">
        <v>5</v>
      </c>
      <c r="D1369" t="str">
        <f t="shared" si="21"/>
        <v>CA-2014-162278_TEC-PH-10000526</v>
      </c>
      <c r="E1369" t="str">
        <f>IF(COUNTIF(data2!$D:$D,D1369)=0,"Missing in Data2","Present")</f>
        <v>Present</v>
      </c>
    </row>
    <row r="1370" spans="1:5" x14ac:dyDescent="0.25">
      <c r="A1370" s="2" t="s">
        <v>1650</v>
      </c>
      <c r="B1370" s="2" t="s">
        <v>1636</v>
      </c>
      <c r="C1370" s="2">
        <v>4</v>
      </c>
      <c r="D1370" t="str">
        <f t="shared" si="21"/>
        <v>CA-2014-162362_OFF-BI-10000546</v>
      </c>
      <c r="E1370" t="str">
        <f>IF(COUNTIF(data2!$D:$D,D1370)=0,"Missing in Data2","Present")</f>
        <v>Present</v>
      </c>
    </row>
    <row r="1371" spans="1:5" x14ac:dyDescent="0.25">
      <c r="A1371" s="2" t="s">
        <v>1650</v>
      </c>
      <c r="B1371" s="2" t="s">
        <v>1651</v>
      </c>
      <c r="C1371" s="2">
        <v>3</v>
      </c>
      <c r="D1371" t="str">
        <f t="shared" si="21"/>
        <v>CA-2014-162362_OFF-BI-10000756</v>
      </c>
      <c r="E1371" t="str">
        <f>IF(COUNTIF(data2!$D:$D,D1371)=0,"Missing in Data2","Present")</f>
        <v>Present</v>
      </c>
    </row>
    <row r="1372" spans="1:5" x14ac:dyDescent="0.25">
      <c r="A1372" s="2" t="s">
        <v>1652</v>
      </c>
      <c r="B1372" s="2" t="s">
        <v>1653</v>
      </c>
      <c r="C1372" s="2">
        <v>2</v>
      </c>
      <c r="D1372" t="str">
        <f t="shared" si="21"/>
        <v>CA-2014-162684_OFF-FA-10000992</v>
      </c>
      <c r="E1372" t="str">
        <f>IF(COUNTIF(data2!$D:$D,D1372)=0,"Missing in Data2","Present")</f>
        <v>Present</v>
      </c>
    </row>
    <row r="1373" spans="1:5" x14ac:dyDescent="0.25">
      <c r="A1373" s="2" t="s">
        <v>1654</v>
      </c>
      <c r="B1373" s="2" t="s">
        <v>1655</v>
      </c>
      <c r="C1373" s="2">
        <v>3</v>
      </c>
      <c r="D1373" t="str">
        <f t="shared" si="21"/>
        <v>CA-2014-162775_OFF-BI-10004187</v>
      </c>
      <c r="E1373" t="str">
        <f>IF(COUNTIF(data2!$D:$D,D1373)=0,"Missing in Data2","Present")</f>
        <v>Present</v>
      </c>
    </row>
    <row r="1374" spans="1:5" x14ac:dyDescent="0.25">
      <c r="A1374" s="2" t="s">
        <v>1654</v>
      </c>
      <c r="B1374" s="2" t="s">
        <v>1656</v>
      </c>
      <c r="C1374" s="2">
        <v>3</v>
      </c>
      <c r="D1374" t="str">
        <f t="shared" si="21"/>
        <v>CA-2014-162775_OFF-EN-10001532</v>
      </c>
      <c r="E1374" t="str">
        <f>IF(COUNTIF(data2!$D:$D,D1374)=0,"Missing in Data2","Present")</f>
        <v>Present</v>
      </c>
    </row>
    <row r="1375" spans="1:5" x14ac:dyDescent="0.25">
      <c r="A1375" s="2" t="s">
        <v>1654</v>
      </c>
      <c r="B1375" s="2" t="s">
        <v>281</v>
      </c>
      <c r="C1375" s="2">
        <v>2</v>
      </c>
      <c r="D1375" t="str">
        <f t="shared" si="21"/>
        <v>CA-2014-162775_OFF-EN-10001990</v>
      </c>
      <c r="E1375" t="str">
        <f>IF(COUNTIF(data2!$D:$D,D1375)=0,"Missing in Data2","Present")</f>
        <v>Present</v>
      </c>
    </row>
    <row r="1376" spans="1:5" x14ac:dyDescent="0.25">
      <c r="A1376" s="2" t="s">
        <v>1654</v>
      </c>
      <c r="B1376" s="2" t="s">
        <v>1657</v>
      </c>
      <c r="C1376" s="2">
        <v>6</v>
      </c>
      <c r="D1376" t="str">
        <f t="shared" si="21"/>
        <v>CA-2014-162775_OFF-ST-10000025</v>
      </c>
      <c r="E1376" t="str">
        <f>IF(COUNTIF(data2!$D:$D,D1376)=0,"Missing in Data2","Present")</f>
        <v>Present</v>
      </c>
    </row>
    <row r="1377" spans="1:5" x14ac:dyDescent="0.25">
      <c r="A1377" s="2" t="s">
        <v>1654</v>
      </c>
      <c r="B1377" s="2" t="s">
        <v>1658</v>
      </c>
      <c r="C1377" s="2">
        <v>6</v>
      </c>
      <c r="D1377" t="str">
        <f t="shared" si="21"/>
        <v>CA-2014-162775_TEC-AC-10003174</v>
      </c>
      <c r="E1377" t="str">
        <f>IF(COUNTIF(data2!$D:$D,D1377)=0,"Missing in Data2","Present")</f>
        <v>Present</v>
      </c>
    </row>
    <row r="1378" spans="1:5" x14ac:dyDescent="0.25">
      <c r="A1378" s="2" t="s">
        <v>1659</v>
      </c>
      <c r="B1378" s="2" t="s">
        <v>1529</v>
      </c>
      <c r="C1378" s="2">
        <v>6</v>
      </c>
      <c r="D1378" t="str">
        <f t="shared" si="21"/>
        <v>CA-2014-162866_FUR-FU-10001473</v>
      </c>
      <c r="E1378" t="str">
        <f>IF(COUNTIF(data2!$D:$D,D1378)=0,"Missing in Data2","Present")</f>
        <v>Present</v>
      </c>
    </row>
    <row r="1379" spans="1:5" x14ac:dyDescent="0.25">
      <c r="A1379" s="2" t="s">
        <v>1659</v>
      </c>
      <c r="B1379" s="2" t="s">
        <v>1660</v>
      </c>
      <c r="C1379" s="2">
        <v>4</v>
      </c>
      <c r="D1379" t="str">
        <f t="shared" si="21"/>
        <v>CA-2014-162866_OFF-ST-10002562</v>
      </c>
      <c r="E1379" t="str">
        <f>IF(COUNTIF(data2!$D:$D,D1379)=0,"Missing in Data2","Present")</f>
        <v>Present</v>
      </c>
    </row>
    <row r="1380" spans="1:5" x14ac:dyDescent="0.25">
      <c r="A1380" s="2" t="s">
        <v>1661</v>
      </c>
      <c r="B1380" s="2" t="s">
        <v>1662</v>
      </c>
      <c r="C1380" s="2">
        <v>5</v>
      </c>
      <c r="D1380" t="str">
        <f t="shared" si="21"/>
        <v>CA-2014-162992_OFF-FA-10004248</v>
      </c>
      <c r="E1380" t="str">
        <f>IF(COUNTIF(data2!$D:$D,D1380)=0,"Missing in Data2","Present")</f>
        <v>Present</v>
      </c>
    </row>
    <row r="1381" spans="1:5" x14ac:dyDescent="0.25">
      <c r="A1381" s="2" t="s">
        <v>1661</v>
      </c>
      <c r="B1381" s="2" t="s">
        <v>953</v>
      </c>
      <c r="C1381" s="2">
        <v>2</v>
      </c>
      <c r="D1381" t="str">
        <f t="shared" si="21"/>
        <v>CA-2014-162992_OFF-LA-10001934</v>
      </c>
      <c r="E1381" t="str">
        <f>IF(COUNTIF(data2!$D:$D,D1381)=0,"Missing in Data2","Present")</f>
        <v>Present</v>
      </c>
    </row>
    <row r="1382" spans="1:5" x14ac:dyDescent="0.25">
      <c r="A1382" s="2" t="s">
        <v>1661</v>
      </c>
      <c r="B1382" s="2" t="s">
        <v>1663</v>
      </c>
      <c r="C1382" s="2">
        <v>5</v>
      </c>
      <c r="D1382" t="str">
        <f t="shared" si="21"/>
        <v>CA-2014-162992_TEC-PH-10001944</v>
      </c>
      <c r="E1382" t="str">
        <f>IF(COUNTIF(data2!$D:$D,D1382)=0,"Missing in Data2","Present")</f>
        <v>Present</v>
      </c>
    </row>
    <row r="1383" spans="1:5" x14ac:dyDescent="0.25">
      <c r="A1383" s="2" t="s">
        <v>1661</v>
      </c>
      <c r="B1383" s="2" t="s">
        <v>1664</v>
      </c>
      <c r="C1383" s="2">
        <v>4</v>
      </c>
      <c r="D1383" t="str">
        <f t="shared" si="21"/>
        <v>CA-2014-162992_TEC-PH-10002085</v>
      </c>
      <c r="E1383" t="str">
        <f>IF(COUNTIF(data2!$D:$D,D1383)=0,"Missing in Data2","Present")</f>
        <v>Present</v>
      </c>
    </row>
    <row r="1384" spans="1:5" x14ac:dyDescent="0.25">
      <c r="A1384" s="2" t="s">
        <v>1665</v>
      </c>
      <c r="B1384" s="2" t="s">
        <v>1666</v>
      </c>
      <c r="C1384" s="2">
        <v>3</v>
      </c>
      <c r="D1384" t="str">
        <f t="shared" si="21"/>
        <v>CA-2014-163013_OFF-AR-10001954</v>
      </c>
      <c r="E1384" t="str">
        <f>IF(COUNTIF(data2!$D:$D,D1384)=0,"Missing in Data2","Present")</f>
        <v>Present</v>
      </c>
    </row>
    <row r="1385" spans="1:5" x14ac:dyDescent="0.25">
      <c r="A1385" s="2" t="s">
        <v>1667</v>
      </c>
      <c r="B1385" s="2" t="s">
        <v>435</v>
      </c>
      <c r="C1385" s="2">
        <v>5</v>
      </c>
      <c r="D1385" t="str">
        <f t="shared" si="21"/>
        <v>CA-2014-163034_OFF-ST-10000046</v>
      </c>
      <c r="E1385" t="str">
        <f>IF(COUNTIF(data2!$D:$D,D1385)=0,"Missing in Data2","Present")</f>
        <v>Present</v>
      </c>
    </row>
    <row r="1386" spans="1:5" x14ac:dyDescent="0.25">
      <c r="A1386" s="2" t="s">
        <v>1668</v>
      </c>
      <c r="B1386" s="2" t="s">
        <v>1669</v>
      </c>
      <c r="C1386" s="2">
        <v>4</v>
      </c>
      <c r="D1386" t="str">
        <f t="shared" si="21"/>
        <v>CA-2014-163223_OFF-AR-10001573</v>
      </c>
      <c r="E1386" t="str">
        <f>IF(COUNTIF(data2!$D:$D,D1386)=0,"Missing in Data2","Present")</f>
        <v>Present</v>
      </c>
    </row>
    <row r="1387" spans="1:5" x14ac:dyDescent="0.25">
      <c r="A1387" s="2" t="s">
        <v>1668</v>
      </c>
      <c r="B1387" s="2" t="s">
        <v>329</v>
      </c>
      <c r="C1387" s="2">
        <v>5</v>
      </c>
      <c r="D1387" t="str">
        <f t="shared" si="21"/>
        <v>CA-2014-163223_OFF-LA-10004409</v>
      </c>
      <c r="E1387" t="str">
        <f>IF(COUNTIF(data2!$D:$D,D1387)=0,"Missing in Data2","Present")</f>
        <v>Present</v>
      </c>
    </row>
    <row r="1388" spans="1:5" x14ac:dyDescent="0.25">
      <c r="A1388" s="2" t="s">
        <v>1668</v>
      </c>
      <c r="B1388" s="2" t="s">
        <v>1670</v>
      </c>
      <c r="C1388" s="2">
        <v>3</v>
      </c>
      <c r="D1388" t="str">
        <f t="shared" si="21"/>
        <v>CA-2014-163223_OFF-PA-10000675</v>
      </c>
      <c r="E1388" t="str">
        <f>IF(COUNTIF(data2!$D:$D,D1388)=0,"Missing in Data2","Present")</f>
        <v>Missing in Data2</v>
      </c>
    </row>
    <row r="1389" spans="1:5" x14ac:dyDescent="0.25">
      <c r="A1389" s="2" t="s">
        <v>1668</v>
      </c>
      <c r="B1389" s="2" t="s">
        <v>1671</v>
      </c>
      <c r="C1389" s="2">
        <v>7</v>
      </c>
      <c r="D1389" t="str">
        <f t="shared" si="21"/>
        <v>CA-2014-163223_TEC-PH-10000730</v>
      </c>
      <c r="E1389" t="str">
        <f>IF(COUNTIF(data2!$D:$D,D1389)=0,"Missing in Data2","Present")</f>
        <v>Present</v>
      </c>
    </row>
    <row r="1390" spans="1:5" x14ac:dyDescent="0.25">
      <c r="A1390" s="2" t="s">
        <v>1672</v>
      </c>
      <c r="B1390" s="2" t="s">
        <v>536</v>
      </c>
      <c r="C1390" s="2">
        <v>4</v>
      </c>
      <c r="D1390" t="str">
        <f t="shared" si="21"/>
        <v>CA-2014-163293_TEC-AC-10000023</v>
      </c>
      <c r="E1390" t="str">
        <f>IF(COUNTIF(data2!$D:$D,D1390)=0,"Missing in Data2","Present")</f>
        <v>Present</v>
      </c>
    </row>
    <row r="1391" spans="1:5" x14ac:dyDescent="0.25">
      <c r="A1391" s="2" t="s">
        <v>1672</v>
      </c>
      <c r="B1391" s="2" t="s">
        <v>1594</v>
      </c>
      <c r="C1391" s="2">
        <v>3</v>
      </c>
      <c r="D1391" t="str">
        <f t="shared" si="21"/>
        <v>CA-2014-163293_TEC-AC-10004209</v>
      </c>
      <c r="E1391" t="str">
        <f>IF(COUNTIF(data2!$D:$D,D1391)=0,"Missing in Data2","Present")</f>
        <v>Missing in Data2</v>
      </c>
    </row>
    <row r="1392" spans="1:5" x14ac:dyDescent="0.25">
      <c r="A1392" s="2" t="s">
        <v>1673</v>
      </c>
      <c r="B1392" s="2" t="s">
        <v>1674</v>
      </c>
      <c r="C1392" s="2">
        <v>3</v>
      </c>
      <c r="D1392" t="str">
        <f t="shared" si="21"/>
        <v>CA-2014-163412_FUR-CH-10004875</v>
      </c>
      <c r="E1392" t="str">
        <f>IF(COUNTIF(data2!$D:$D,D1392)=0,"Missing in Data2","Present")</f>
        <v>Present</v>
      </c>
    </row>
    <row r="1393" spans="1:5" x14ac:dyDescent="0.25">
      <c r="A1393" s="2" t="s">
        <v>1675</v>
      </c>
      <c r="B1393" s="2" t="s">
        <v>903</v>
      </c>
      <c r="C1393" s="2">
        <v>1</v>
      </c>
      <c r="D1393" t="str">
        <f t="shared" si="21"/>
        <v>CA-2014-163419_OFF-AR-10000034</v>
      </c>
      <c r="E1393" t="str">
        <f>IF(COUNTIF(data2!$D:$D,D1393)=0,"Missing in Data2","Present")</f>
        <v>Present</v>
      </c>
    </row>
    <row r="1394" spans="1:5" x14ac:dyDescent="0.25">
      <c r="A1394" s="2" t="s">
        <v>1675</v>
      </c>
      <c r="B1394" s="2" t="s">
        <v>234</v>
      </c>
      <c r="C1394" s="2">
        <v>2</v>
      </c>
      <c r="D1394" t="str">
        <f t="shared" si="21"/>
        <v>CA-2014-163419_TEC-PH-10000560</v>
      </c>
      <c r="E1394" t="str">
        <f>IF(COUNTIF(data2!$D:$D,D1394)=0,"Missing in Data2","Present")</f>
        <v>Present</v>
      </c>
    </row>
    <row r="1395" spans="1:5" x14ac:dyDescent="0.25">
      <c r="A1395" s="2" t="s">
        <v>1676</v>
      </c>
      <c r="B1395" s="2" t="s">
        <v>1554</v>
      </c>
      <c r="C1395" s="2">
        <v>14</v>
      </c>
      <c r="D1395" t="str">
        <f t="shared" si="21"/>
        <v>CA-2014-163447_FUR-CH-10004477</v>
      </c>
      <c r="E1395" t="str">
        <f>IF(COUNTIF(data2!$D:$D,D1395)=0,"Missing in Data2","Present")</f>
        <v>Present</v>
      </c>
    </row>
    <row r="1396" spans="1:5" x14ac:dyDescent="0.25">
      <c r="A1396" s="2" t="s">
        <v>1677</v>
      </c>
      <c r="B1396" s="2" t="s">
        <v>1678</v>
      </c>
      <c r="C1396" s="2">
        <v>6</v>
      </c>
      <c r="D1396" t="str">
        <f t="shared" si="21"/>
        <v>CA-2014-163468_FUR-BO-10003546</v>
      </c>
      <c r="E1396" t="str">
        <f>IF(COUNTIF(data2!$D:$D,D1396)=0,"Missing in Data2","Present")</f>
        <v>Present</v>
      </c>
    </row>
    <row r="1397" spans="1:5" x14ac:dyDescent="0.25">
      <c r="A1397" s="2" t="s">
        <v>1677</v>
      </c>
      <c r="B1397" s="2" t="s">
        <v>643</v>
      </c>
      <c r="C1397" s="2">
        <v>2</v>
      </c>
      <c r="D1397" t="str">
        <f t="shared" si="21"/>
        <v>CA-2014-163468_FUR-FU-10001546</v>
      </c>
      <c r="E1397" t="str">
        <f>IF(COUNTIF(data2!$D:$D,D1397)=0,"Missing in Data2","Present")</f>
        <v>Present</v>
      </c>
    </row>
    <row r="1398" spans="1:5" x14ac:dyDescent="0.25">
      <c r="A1398" s="2" t="s">
        <v>1677</v>
      </c>
      <c r="B1398" s="2" t="s">
        <v>1679</v>
      </c>
      <c r="C1398" s="2">
        <v>4</v>
      </c>
      <c r="D1398" t="str">
        <f t="shared" si="21"/>
        <v>CA-2014-163468_FUR-TA-10002533</v>
      </c>
      <c r="E1398" t="str">
        <f>IF(COUNTIF(data2!$D:$D,D1398)=0,"Missing in Data2","Present")</f>
        <v>Present</v>
      </c>
    </row>
    <row r="1399" spans="1:5" x14ac:dyDescent="0.25">
      <c r="A1399" s="2" t="s">
        <v>1677</v>
      </c>
      <c r="B1399" s="2" t="s">
        <v>1680</v>
      </c>
      <c r="C1399" s="2">
        <v>3</v>
      </c>
      <c r="D1399" t="str">
        <f t="shared" si="21"/>
        <v>CA-2014-163468_OFF-BI-10004728</v>
      </c>
      <c r="E1399" t="str">
        <f>IF(COUNTIF(data2!$D:$D,D1399)=0,"Missing in Data2","Present")</f>
        <v>Present</v>
      </c>
    </row>
    <row r="1400" spans="1:5" x14ac:dyDescent="0.25">
      <c r="A1400" s="2" t="s">
        <v>1677</v>
      </c>
      <c r="B1400" s="2" t="s">
        <v>1657</v>
      </c>
      <c r="C1400" s="2">
        <v>5</v>
      </c>
      <c r="D1400" t="str">
        <f t="shared" si="21"/>
        <v>CA-2014-163468_OFF-ST-10000025</v>
      </c>
      <c r="E1400" t="str">
        <f>IF(COUNTIF(data2!$D:$D,D1400)=0,"Missing in Data2","Present")</f>
        <v>Present</v>
      </c>
    </row>
    <row r="1401" spans="1:5" x14ac:dyDescent="0.25">
      <c r="A1401" s="2" t="s">
        <v>1681</v>
      </c>
      <c r="B1401" s="2" t="s">
        <v>1682</v>
      </c>
      <c r="C1401" s="2">
        <v>3</v>
      </c>
      <c r="D1401" t="str">
        <f t="shared" si="21"/>
        <v>CA-2014-163552_FUR-CH-10003379</v>
      </c>
      <c r="E1401" t="str">
        <f>IF(COUNTIF(data2!$D:$D,D1401)=0,"Missing in Data2","Present")</f>
        <v>Present</v>
      </c>
    </row>
    <row r="1402" spans="1:5" x14ac:dyDescent="0.25">
      <c r="A1402" s="2" t="s">
        <v>1681</v>
      </c>
      <c r="B1402" s="2" t="s">
        <v>590</v>
      </c>
      <c r="C1402" s="2">
        <v>9</v>
      </c>
      <c r="D1402" t="str">
        <f t="shared" si="21"/>
        <v>CA-2014-163552_FUR-FU-10000629</v>
      </c>
      <c r="E1402" t="str">
        <f>IF(COUNTIF(data2!$D:$D,D1402)=0,"Missing in Data2","Present")</f>
        <v>Present</v>
      </c>
    </row>
    <row r="1403" spans="1:5" x14ac:dyDescent="0.25">
      <c r="A1403" s="2" t="s">
        <v>1681</v>
      </c>
      <c r="B1403" s="2" t="s">
        <v>794</v>
      </c>
      <c r="C1403" s="2">
        <v>5</v>
      </c>
      <c r="D1403" t="str">
        <f t="shared" si="21"/>
        <v>CA-2014-163552_OFF-LA-10001175</v>
      </c>
      <c r="E1403" t="str">
        <f>IF(COUNTIF(data2!$D:$D,D1403)=0,"Missing in Data2","Present")</f>
        <v>Present</v>
      </c>
    </row>
    <row r="1404" spans="1:5" x14ac:dyDescent="0.25">
      <c r="A1404" s="2" t="s">
        <v>1681</v>
      </c>
      <c r="B1404" s="2" t="s">
        <v>433</v>
      </c>
      <c r="C1404" s="2">
        <v>5</v>
      </c>
      <c r="D1404" t="str">
        <f t="shared" si="21"/>
        <v>CA-2014-163552_OFF-PA-10000474</v>
      </c>
      <c r="E1404" t="str">
        <f>IF(COUNTIF(data2!$D:$D,D1404)=0,"Missing in Data2","Present")</f>
        <v>Present</v>
      </c>
    </row>
    <row r="1405" spans="1:5" x14ac:dyDescent="0.25">
      <c r="A1405" s="2" t="s">
        <v>1681</v>
      </c>
      <c r="B1405" s="2" t="s">
        <v>1683</v>
      </c>
      <c r="C1405" s="2">
        <v>3</v>
      </c>
      <c r="D1405" t="str">
        <f t="shared" si="21"/>
        <v>CA-2014-163552_TEC-PH-10003885</v>
      </c>
      <c r="E1405" t="str">
        <f>IF(COUNTIF(data2!$D:$D,D1405)=0,"Missing in Data2","Present")</f>
        <v>Missing in Data2</v>
      </c>
    </row>
    <row r="1406" spans="1:5" x14ac:dyDescent="0.25">
      <c r="A1406" s="2" t="s">
        <v>1684</v>
      </c>
      <c r="B1406" s="2" t="s">
        <v>637</v>
      </c>
      <c r="C1406" s="2">
        <v>3</v>
      </c>
      <c r="D1406" t="str">
        <f t="shared" si="21"/>
        <v>CA-2014-163559_OFF-BI-10002026</v>
      </c>
      <c r="E1406" t="str">
        <f>IF(COUNTIF(data2!$D:$D,D1406)=0,"Missing in Data2","Present")</f>
        <v>Present</v>
      </c>
    </row>
    <row r="1407" spans="1:5" x14ac:dyDescent="0.25">
      <c r="A1407" s="2" t="s">
        <v>1685</v>
      </c>
      <c r="B1407" s="2" t="s">
        <v>396</v>
      </c>
      <c r="C1407" s="2">
        <v>3</v>
      </c>
      <c r="D1407" t="str">
        <f t="shared" si="21"/>
        <v>CA-2014-163650_OFF-AR-10002375</v>
      </c>
      <c r="E1407" t="str">
        <f>IF(COUNTIF(data2!$D:$D,D1407)=0,"Missing in Data2","Present")</f>
        <v>Present</v>
      </c>
    </row>
    <row r="1408" spans="1:5" x14ac:dyDescent="0.25">
      <c r="A1408" s="2" t="s">
        <v>1685</v>
      </c>
      <c r="B1408" s="2" t="s">
        <v>1686</v>
      </c>
      <c r="C1408" s="2">
        <v>3</v>
      </c>
      <c r="D1408" t="str">
        <f t="shared" si="21"/>
        <v>CA-2014-163650_OFF-BI-10004965</v>
      </c>
      <c r="E1408" t="str">
        <f>IF(COUNTIF(data2!$D:$D,D1408)=0,"Missing in Data2","Present")</f>
        <v>Present</v>
      </c>
    </row>
    <row r="1409" spans="1:5" x14ac:dyDescent="0.25">
      <c r="A1409" s="2" t="s">
        <v>1687</v>
      </c>
      <c r="B1409" s="2" t="s">
        <v>1688</v>
      </c>
      <c r="C1409" s="2">
        <v>5</v>
      </c>
      <c r="D1409" t="str">
        <f t="shared" si="21"/>
        <v>CA-2014-163748_TEC-CO-10002095</v>
      </c>
      <c r="E1409" t="str">
        <f>IF(COUNTIF(data2!$D:$D,D1409)=0,"Missing in Data2","Present")</f>
        <v>Present</v>
      </c>
    </row>
    <row r="1410" spans="1:5" x14ac:dyDescent="0.25">
      <c r="A1410" s="2" t="s">
        <v>1689</v>
      </c>
      <c r="B1410" s="2" t="s">
        <v>1690</v>
      </c>
      <c r="C1410" s="2">
        <v>7</v>
      </c>
      <c r="D1410" t="str">
        <f t="shared" si="21"/>
        <v>CA-2014-163867_FUR-FU-10001475</v>
      </c>
      <c r="E1410" t="str">
        <f>IF(COUNTIF(data2!$D:$D,D1410)=0,"Missing in Data2","Present")</f>
        <v>Present</v>
      </c>
    </row>
    <row r="1411" spans="1:5" x14ac:dyDescent="0.25">
      <c r="A1411" s="2" t="s">
        <v>1689</v>
      </c>
      <c r="B1411" s="2" t="s">
        <v>97</v>
      </c>
      <c r="C1411" s="2">
        <v>4</v>
      </c>
      <c r="D1411" t="str">
        <f t="shared" ref="D1411:D1474" si="22">A1411&amp;"_"&amp;B1411</f>
        <v>CA-2014-163867_OFF-LA-10001771</v>
      </c>
      <c r="E1411" t="str">
        <f>IF(COUNTIF(data2!$D:$D,D1411)=0,"Missing in Data2","Present")</f>
        <v>Present</v>
      </c>
    </row>
    <row r="1412" spans="1:5" x14ac:dyDescent="0.25">
      <c r="A1412" s="2" t="s">
        <v>1691</v>
      </c>
      <c r="B1412" s="2" t="s">
        <v>1692</v>
      </c>
      <c r="C1412" s="2">
        <v>2</v>
      </c>
      <c r="D1412" t="str">
        <f t="shared" si="22"/>
        <v>CA-2014-164182_FUR-FU-10001057</v>
      </c>
      <c r="E1412" t="str">
        <f>IF(COUNTIF(data2!$D:$D,D1412)=0,"Missing in Data2","Present")</f>
        <v>Present</v>
      </c>
    </row>
    <row r="1413" spans="1:5" x14ac:dyDescent="0.25">
      <c r="A1413" s="2" t="s">
        <v>1691</v>
      </c>
      <c r="B1413" s="2" t="s">
        <v>1693</v>
      </c>
      <c r="C1413" s="2">
        <v>2</v>
      </c>
      <c r="D1413" t="str">
        <f t="shared" si="22"/>
        <v>CA-2014-164182_OFF-AR-10001044</v>
      </c>
      <c r="E1413" t="str">
        <f>IF(COUNTIF(data2!$D:$D,D1413)=0,"Missing in Data2","Present")</f>
        <v>Present</v>
      </c>
    </row>
    <row r="1414" spans="1:5" x14ac:dyDescent="0.25">
      <c r="A1414" s="2" t="s">
        <v>1691</v>
      </c>
      <c r="B1414" s="2" t="s">
        <v>1694</v>
      </c>
      <c r="C1414" s="2">
        <v>1</v>
      </c>
      <c r="D1414" t="str">
        <f t="shared" si="22"/>
        <v>CA-2014-164182_TEC-PH-10002070</v>
      </c>
      <c r="E1414" t="str">
        <f>IF(COUNTIF(data2!$D:$D,D1414)=0,"Missing in Data2","Present")</f>
        <v>Present</v>
      </c>
    </row>
    <row r="1415" spans="1:5" x14ac:dyDescent="0.25">
      <c r="A1415" s="2" t="s">
        <v>1691</v>
      </c>
      <c r="B1415" s="2" t="s">
        <v>1145</v>
      </c>
      <c r="C1415" s="2">
        <v>2</v>
      </c>
      <c r="D1415" t="str">
        <f t="shared" si="22"/>
        <v>CA-2014-164182_TEC-PH-10002583</v>
      </c>
      <c r="E1415" t="str">
        <f>IF(COUNTIF(data2!$D:$D,D1415)=0,"Missing in Data2","Present")</f>
        <v>Present</v>
      </c>
    </row>
    <row r="1416" spans="1:5" x14ac:dyDescent="0.25">
      <c r="A1416" s="2" t="s">
        <v>1695</v>
      </c>
      <c r="B1416" s="2" t="s">
        <v>1696</v>
      </c>
      <c r="C1416" s="2">
        <v>2</v>
      </c>
      <c r="D1416" t="str">
        <f t="shared" si="22"/>
        <v>CA-2014-164210_FUR-TA-10000849</v>
      </c>
      <c r="E1416" t="str">
        <f>IF(COUNTIF(data2!$D:$D,D1416)=0,"Missing in Data2","Present")</f>
        <v>Present</v>
      </c>
    </row>
    <row r="1417" spans="1:5" x14ac:dyDescent="0.25">
      <c r="A1417" s="2" t="s">
        <v>1695</v>
      </c>
      <c r="B1417" s="2" t="s">
        <v>1336</v>
      </c>
      <c r="C1417" s="2">
        <v>4</v>
      </c>
      <c r="D1417" t="str">
        <f t="shared" si="22"/>
        <v>CA-2014-164210_OFF-PA-10002259</v>
      </c>
      <c r="E1417" t="str">
        <f>IF(COUNTIF(data2!$D:$D,D1417)=0,"Missing in Data2","Present")</f>
        <v>Present</v>
      </c>
    </row>
    <row r="1418" spans="1:5" x14ac:dyDescent="0.25">
      <c r="A1418" s="2" t="s">
        <v>1697</v>
      </c>
      <c r="B1418" s="2" t="s">
        <v>1698</v>
      </c>
      <c r="C1418" s="2">
        <v>3</v>
      </c>
      <c r="D1418" t="str">
        <f t="shared" si="22"/>
        <v>CA-2014-164224_FUR-FU-10000308</v>
      </c>
      <c r="E1418" t="str">
        <f>IF(COUNTIF(data2!$D:$D,D1418)=0,"Missing in Data2","Present")</f>
        <v>Present</v>
      </c>
    </row>
    <row r="1419" spans="1:5" x14ac:dyDescent="0.25">
      <c r="A1419" s="2" t="s">
        <v>1697</v>
      </c>
      <c r="B1419" s="2" t="s">
        <v>785</v>
      </c>
      <c r="C1419" s="2">
        <v>4</v>
      </c>
      <c r="D1419" t="str">
        <f t="shared" si="22"/>
        <v>CA-2014-164224_OFF-PA-10001526</v>
      </c>
      <c r="E1419" t="str">
        <f>IF(COUNTIF(data2!$D:$D,D1419)=0,"Missing in Data2","Present")</f>
        <v>Present</v>
      </c>
    </row>
    <row r="1420" spans="1:5" x14ac:dyDescent="0.25">
      <c r="A1420" s="2" t="s">
        <v>1699</v>
      </c>
      <c r="B1420" s="2" t="s">
        <v>1700</v>
      </c>
      <c r="C1420" s="2">
        <v>4</v>
      </c>
      <c r="D1420" t="str">
        <f t="shared" si="22"/>
        <v>CA-2014-164259_OFF-AR-10003373</v>
      </c>
      <c r="E1420" t="str">
        <f>IF(COUNTIF(data2!$D:$D,D1420)=0,"Missing in Data2","Present")</f>
        <v>Present</v>
      </c>
    </row>
    <row r="1421" spans="1:5" x14ac:dyDescent="0.25">
      <c r="A1421" s="2" t="s">
        <v>1701</v>
      </c>
      <c r="B1421" s="2" t="s">
        <v>816</v>
      </c>
      <c r="C1421" s="2">
        <v>5</v>
      </c>
      <c r="D1421" t="str">
        <f t="shared" si="22"/>
        <v>CA-2014-164315_OFF-AP-10003842</v>
      </c>
      <c r="E1421" t="str">
        <f>IF(COUNTIF(data2!$D:$D,D1421)=0,"Missing in Data2","Present")</f>
        <v>Present</v>
      </c>
    </row>
    <row r="1422" spans="1:5" x14ac:dyDescent="0.25">
      <c r="A1422" s="2" t="s">
        <v>1701</v>
      </c>
      <c r="B1422" s="2" t="s">
        <v>1702</v>
      </c>
      <c r="C1422" s="2">
        <v>3</v>
      </c>
      <c r="D1422" t="str">
        <f t="shared" si="22"/>
        <v>CA-2014-164315_OFF-PA-10004248</v>
      </c>
      <c r="E1422" t="str">
        <f>IF(COUNTIF(data2!$D:$D,D1422)=0,"Missing in Data2","Present")</f>
        <v>Present</v>
      </c>
    </row>
    <row r="1423" spans="1:5" x14ac:dyDescent="0.25">
      <c r="A1423" s="2" t="s">
        <v>1703</v>
      </c>
      <c r="B1423" s="2" t="s">
        <v>1704</v>
      </c>
      <c r="C1423" s="2">
        <v>3</v>
      </c>
      <c r="D1423" t="str">
        <f t="shared" si="22"/>
        <v>CA-2014-164385_OFF-AP-10002191</v>
      </c>
      <c r="E1423" t="str">
        <f>IF(COUNTIF(data2!$D:$D,D1423)=0,"Missing in Data2","Present")</f>
        <v>Present</v>
      </c>
    </row>
    <row r="1424" spans="1:5" x14ac:dyDescent="0.25">
      <c r="A1424" s="2" t="s">
        <v>1705</v>
      </c>
      <c r="B1424" s="2" t="s">
        <v>659</v>
      </c>
      <c r="C1424" s="2">
        <v>1</v>
      </c>
      <c r="D1424" t="str">
        <f t="shared" si="22"/>
        <v>CA-2014-164469_OFF-AR-10000475</v>
      </c>
      <c r="E1424" t="str">
        <f>IF(COUNTIF(data2!$D:$D,D1424)=0,"Missing in Data2","Present")</f>
        <v>Present</v>
      </c>
    </row>
    <row r="1425" spans="1:5" x14ac:dyDescent="0.25">
      <c r="A1425" s="2" t="s">
        <v>1705</v>
      </c>
      <c r="B1425" s="2" t="s">
        <v>1246</v>
      </c>
      <c r="C1425" s="2">
        <v>11</v>
      </c>
      <c r="D1425" t="str">
        <f t="shared" si="22"/>
        <v>CA-2014-164469_OFF-AR-10003478</v>
      </c>
      <c r="E1425" t="str">
        <f>IF(COUNTIF(data2!$D:$D,D1425)=0,"Missing in Data2","Present")</f>
        <v>Present</v>
      </c>
    </row>
    <row r="1426" spans="1:5" x14ac:dyDescent="0.25">
      <c r="A1426" s="2" t="s">
        <v>1706</v>
      </c>
      <c r="B1426" s="2" t="s">
        <v>1457</v>
      </c>
      <c r="C1426" s="2">
        <v>6</v>
      </c>
      <c r="D1426" t="str">
        <f t="shared" si="22"/>
        <v>CA-2014-164721_OFF-AP-10000240</v>
      </c>
      <c r="E1426" t="str">
        <f>IF(COUNTIF(data2!$D:$D,D1426)=0,"Missing in Data2","Present")</f>
        <v>Present</v>
      </c>
    </row>
    <row r="1427" spans="1:5" x14ac:dyDescent="0.25">
      <c r="A1427" s="2" t="s">
        <v>1706</v>
      </c>
      <c r="B1427" s="2" t="s">
        <v>1707</v>
      </c>
      <c r="C1427" s="2">
        <v>4</v>
      </c>
      <c r="D1427" t="str">
        <f t="shared" si="22"/>
        <v>CA-2014-164721_OFF-PA-10000575</v>
      </c>
      <c r="E1427" t="str">
        <f>IF(COUNTIF(data2!$D:$D,D1427)=0,"Missing in Data2","Present")</f>
        <v>Present</v>
      </c>
    </row>
    <row r="1428" spans="1:5" x14ac:dyDescent="0.25">
      <c r="A1428" s="2" t="s">
        <v>1708</v>
      </c>
      <c r="B1428" s="2" t="s">
        <v>1497</v>
      </c>
      <c r="C1428" s="2">
        <v>2</v>
      </c>
      <c r="D1428" t="str">
        <f t="shared" si="22"/>
        <v>CA-2014-164742_FUR-CH-10002880</v>
      </c>
      <c r="E1428" t="str">
        <f>IF(COUNTIF(data2!$D:$D,D1428)=0,"Missing in Data2","Present")</f>
        <v>Present</v>
      </c>
    </row>
    <row r="1429" spans="1:5" x14ac:dyDescent="0.25">
      <c r="A1429" s="2" t="s">
        <v>1708</v>
      </c>
      <c r="B1429" s="2" t="s">
        <v>1709</v>
      </c>
      <c r="C1429" s="2">
        <v>1</v>
      </c>
      <c r="D1429" t="str">
        <f t="shared" si="22"/>
        <v>CA-2014-164742_OFF-BI-10004738</v>
      </c>
      <c r="E1429" t="str">
        <f>IF(COUNTIF(data2!$D:$D,D1429)=0,"Missing in Data2","Present")</f>
        <v>Present</v>
      </c>
    </row>
    <row r="1430" spans="1:5" x14ac:dyDescent="0.25">
      <c r="A1430" s="2" t="s">
        <v>1710</v>
      </c>
      <c r="B1430" s="2" t="s">
        <v>1711</v>
      </c>
      <c r="C1430" s="2">
        <v>3</v>
      </c>
      <c r="D1430" t="str">
        <f t="shared" si="22"/>
        <v>CA-2014-164749_OFF-LA-10004484</v>
      </c>
      <c r="E1430" t="str">
        <f>IF(COUNTIF(data2!$D:$D,D1430)=0,"Missing in Data2","Present")</f>
        <v>Present</v>
      </c>
    </row>
    <row r="1431" spans="1:5" x14ac:dyDescent="0.25">
      <c r="A1431" s="2" t="s">
        <v>1712</v>
      </c>
      <c r="B1431" s="2" t="s">
        <v>1431</v>
      </c>
      <c r="C1431" s="2">
        <v>4</v>
      </c>
      <c r="D1431" t="str">
        <f t="shared" si="22"/>
        <v>CA-2014-164861_OFF-PA-10001972</v>
      </c>
      <c r="E1431" t="str">
        <f>IF(COUNTIF(data2!$D:$D,D1431)=0,"Missing in Data2","Present")</f>
        <v>Missing in Data2</v>
      </c>
    </row>
    <row r="1432" spans="1:5" x14ac:dyDescent="0.25">
      <c r="A1432" s="2" t="s">
        <v>1713</v>
      </c>
      <c r="B1432" s="2" t="s">
        <v>1714</v>
      </c>
      <c r="C1432" s="2">
        <v>2</v>
      </c>
      <c r="D1432" t="str">
        <f t="shared" si="22"/>
        <v>CA-2014-164903_OFF-PA-10003363</v>
      </c>
      <c r="E1432" t="str">
        <f>IF(COUNTIF(data2!$D:$D,D1432)=0,"Missing in Data2","Present")</f>
        <v>Missing in Data2</v>
      </c>
    </row>
    <row r="1433" spans="1:5" x14ac:dyDescent="0.25">
      <c r="A1433" s="2" t="s">
        <v>1715</v>
      </c>
      <c r="B1433" s="2" t="s">
        <v>971</v>
      </c>
      <c r="C1433" s="2">
        <v>3</v>
      </c>
      <c r="D1433" t="str">
        <f t="shared" si="22"/>
        <v>CA-2014-164910_OFF-AR-10003651</v>
      </c>
      <c r="E1433" t="str">
        <f>IF(COUNTIF(data2!$D:$D,D1433)=0,"Missing in Data2","Present")</f>
        <v>Present</v>
      </c>
    </row>
    <row r="1434" spans="1:5" x14ac:dyDescent="0.25">
      <c r="A1434" s="2" t="s">
        <v>1716</v>
      </c>
      <c r="B1434" s="2" t="s">
        <v>16</v>
      </c>
      <c r="C1434" s="2">
        <v>1</v>
      </c>
      <c r="D1434" t="str">
        <f t="shared" si="22"/>
        <v>CA-2014-164973_FUR-CH-10002602</v>
      </c>
      <c r="E1434" t="str">
        <f>IF(COUNTIF(data2!$D:$D,D1434)=0,"Missing in Data2","Present")</f>
        <v>Present</v>
      </c>
    </row>
    <row r="1435" spans="1:5" x14ac:dyDescent="0.25">
      <c r="A1435" s="2" t="s">
        <v>1716</v>
      </c>
      <c r="B1435" s="2" t="s">
        <v>1717</v>
      </c>
      <c r="C1435" s="2">
        <v>1</v>
      </c>
      <c r="D1435" t="str">
        <f t="shared" si="22"/>
        <v>CA-2014-164973_OFF-ST-10002974</v>
      </c>
      <c r="E1435" t="str">
        <f>IF(COUNTIF(data2!$D:$D,D1435)=0,"Missing in Data2","Present")</f>
        <v>Present</v>
      </c>
    </row>
    <row r="1436" spans="1:5" x14ac:dyDescent="0.25">
      <c r="A1436" s="2" t="s">
        <v>1716</v>
      </c>
      <c r="B1436" s="2" t="s">
        <v>1718</v>
      </c>
      <c r="C1436" s="2">
        <v>4</v>
      </c>
      <c r="D1436" t="str">
        <f t="shared" si="22"/>
        <v>CA-2014-164973_TEC-AC-10000892</v>
      </c>
      <c r="E1436" t="str">
        <f>IF(COUNTIF(data2!$D:$D,D1436)=0,"Missing in Data2","Present")</f>
        <v>Present</v>
      </c>
    </row>
    <row r="1437" spans="1:5" x14ac:dyDescent="0.25">
      <c r="A1437" s="2" t="s">
        <v>1716</v>
      </c>
      <c r="B1437" s="2" t="s">
        <v>1719</v>
      </c>
      <c r="C1437" s="2">
        <v>2</v>
      </c>
      <c r="D1437" t="str">
        <f t="shared" si="22"/>
        <v>CA-2014-164973_TEC-MA-10002927</v>
      </c>
      <c r="E1437" t="str">
        <f>IF(COUNTIF(data2!$D:$D,D1437)=0,"Missing in Data2","Present")</f>
        <v>Present</v>
      </c>
    </row>
    <row r="1438" spans="1:5" x14ac:dyDescent="0.25">
      <c r="A1438" s="2" t="s">
        <v>1716</v>
      </c>
      <c r="B1438" s="2" t="s">
        <v>1522</v>
      </c>
      <c r="C1438" s="2">
        <v>6</v>
      </c>
      <c r="D1438" t="str">
        <f t="shared" si="22"/>
        <v>CA-2014-164973_TEC-PH-10004093</v>
      </c>
      <c r="E1438" t="str">
        <f>IF(COUNTIF(data2!$D:$D,D1438)=0,"Missing in Data2","Present")</f>
        <v>Present</v>
      </c>
    </row>
    <row r="1439" spans="1:5" x14ac:dyDescent="0.25">
      <c r="A1439" s="2" t="s">
        <v>1720</v>
      </c>
      <c r="B1439" s="2" t="s">
        <v>1721</v>
      </c>
      <c r="C1439" s="2">
        <v>1</v>
      </c>
      <c r="D1439" t="str">
        <f t="shared" si="22"/>
        <v>CA-2014-165309_OFF-BI-10001267</v>
      </c>
      <c r="E1439" t="str">
        <f>IF(COUNTIF(data2!$D:$D,D1439)=0,"Missing in Data2","Present")</f>
        <v>Present</v>
      </c>
    </row>
    <row r="1440" spans="1:5" x14ac:dyDescent="0.25">
      <c r="A1440" s="2" t="s">
        <v>1720</v>
      </c>
      <c r="B1440" s="2" t="s">
        <v>502</v>
      </c>
      <c r="C1440" s="2">
        <v>5</v>
      </c>
      <c r="D1440" t="str">
        <f t="shared" si="22"/>
        <v>CA-2014-165309_OFF-BI-10001359</v>
      </c>
      <c r="E1440" t="str">
        <f>IF(COUNTIF(data2!$D:$D,D1440)=0,"Missing in Data2","Present")</f>
        <v>Present</v>
      </c>
    </row>
    <row r="1441" spans="1:5" x14ac:dyDescent="0.25">
      <c r="A1441" s="2" t="s">
        <v>1720</v>
      </c>
      <c r="B1441" s="2" t="s">
        <v>1552</v>
      </c>
      <c r="C1441" s="2">
        <v>5</v>
      </c>
      <c r="D1441" t="str">
        <f t="shared" si="22"/>
        <v>CA-2014-165309_OFF-PA-10003724</v>
      </c>
      <c r="E1441" t="str">
        <f>IF(COUNTIF(data2!$D:$D,D1441)=0,"Missing in Data2","Present")</f>
        <v>Missing in Data2</v>
      </c>
    </row>
    <row r="1442" spans="1:5" x14ac:dyDescent="0.25">
      <c r="A1442" s="2" t="s">
        <v>1720</v>
      </c>
      <c r="B1442" s="2" t="s">
        <v>1722</v>
      </c>
      <c r="C1442" s="2">
        <v>3</v>
      </c>
      <c r="D1442" t="str">
        <f t="shared" si="22"/>
        <v>CA-2014-165309_TEC-PH-10004959</v>
      </c>
      <c r="E1442" t="str">
        <f>IF(COUNTIF(data2!$D:$D,D1442)=0,"Missing in Data2","Present")</f>
        <v>Present</v>
      </c>
    </row>
    <row r="1443" spans="1:5" x14ac:dyDescent="0.25">
      <c r="A1443" s="2" t="s">
        <v>1723</v>
      </c>
      <c r="B1443" s="2" t="s">
        <v>1094</v>
      </c>
      <c r="C1443" s="2">
        <v>3</v>
      </c>
      <c r="D1443" t="str">
        <f t="shared" si="22"/>
        <v>CA-2014-165379_OFF-PA-10002245</v>
      </c>
      <c r="E1443" t="str">
        <f>IF(COUNTIF(data2!$D:$D,D1443)=0,"Missing in Data2","Present")</f>
        <v>Present</v>
      </c>
    </row>
    <row r="1444" spans="1:5" x14ac:dyDescent="0.25">
      <c r="A1444" s="2" t="s">
        <v>1723</v>
      </c>
      <c r="B1444" s="2" t="s">
        <v>1724</v>
      </c>
      <c r="C1444" s="2">
        <v>2</v>
      </c>
      <c r="D1444" t="str">
        <f t="shared" si="22"/>
        <v>CA-2014-165379_OFF-PA-10003072</v>
      </c>
      <c r="E1444" t="str">
        <f>IF(COUNTIF(data2!$D:$D,D1444)=0,"Missing in Data2","Present")</f>
        <v>Present</v>
      </c>
    </row>
    <row r="1445" spans="1:5" x14ac:dyDescent="0.25">
      <c r="A1445" s="2" t="s">
        <v>1725</v>
      </c>
      <c r="B1445" s="2" t="s">
        <v>190</v>
      </c>
      <c r="C1445" s="2">
        <v>1</v>
      </c>
      <c r="D1445" t="str">
        <f t="shared" si="22"/>
        <v>CA-2014-165393_OFF-BI-10001658</v>
      </c>
      <c r="E1445" t="str">
        <f>IF(COUNTIF(data2!$D:$D,D1445)=0,"Missing in Data2","Present")</f>
        <v>Present</v>
      </c>
    </row>
    <row r="1446" spans="1:5" x14ac:dyDescent="0.25">
      <c r="A1446" s="2" t="s">
        <v>1726</v>
      </c>
      <c r="B1446" s="2" t="s">
        <v>1727</v>
      </c>
      <c r="C1446" s="2">
        <v>3</v>
      </c>
      <c r="D1446" t="str">
        <f t="shared" si="22"/>
        <v>CA-2014-165428_OFF-BI-10002949</v>
      </c>
      <c r="E1446" t="str">
        <f>IF(COUNTIF(data2!$D:$D,D1446)=0,"Missing in Data2","Present")</f>
        <v>Present</v>
      </c>
    </row>
    <row r="1447" spans="1:5" x14ac:dyDescent="0.25">
      <c r="A1447" s="2" t="s">
        <v>1726</v>
      </c>
      <c r="B1447" s="2" t="s">
        <v>1728</v>
      </c>
      <c r="C1447" s="2">
        <v>6</v>
      </c>
      <c r="D1447" t="str">
        <f t="shared" si="22"/>
        <v>CA-2014-165428_OFF-PA-10004100</v>
      </c>
      <c r="E1447" t="str">
        <f>IF(COUNTIF(data2!$D:$D,D1447)=0,"Missing in Data2","Present")</f>
        <v>Present</v>
      </c>
    </row>
    <row r="1448" spans="1:5" x14ac:dyDescent="0.25">
      <c r="A1448" s="2" t="s">
        <v>1729</v>
      </c>
      <c r="B1448" s="2" t="s">
        <v>797</v>
      </c>
      <c r="C1448" s="2">
        <v>5</v>
      </c>
      <c r="D1448" t="str">
        <f t="shared" si="22"/>
        <v>CA-2014-165477_OFF-AP-10003281</v>
      </c>
      <c r="E1448" t="str">
        <f>IF(COUNTIF(data2!$D:$D,D1448)=0,"Missing in Data2","Present")</f>
        <v>Present</v>
      </c>
    </row>
    <row r="1449" spans="1:5" x14ac:dyDescent="0.25">
      <c r="A1449" s="2" t="s">
        <v>1730</v>
      </c>
      <c r="B1449" s="2" t="s">
        <v>442</v>
      </c>
      <c r="C1449" s="2">
        <v>5</v>
      </c>
      <c r="D1449" t="str">
        <f t="shared" si="22"/>
        <v>CA-2014-165540_OFF-BI-10004094</v>
      </c>
      <c r="E1449" t="str">
        <f>IF(COUNTIF(data2!$D:$D,D1449)=0,"Missing in Data2","Present")</f>
        <v>Present</v>
      </c>
    </row>
    <row r="1450" spans="1:5" x14ac:dyDescent="0.25">
      <c r="A1450" s="2" t="s">
        <v>1731</v>
      </c>
      <c r="B1450" s="2" t="s">
        <v>773</v>
      </c>
      <c r="C1450" s="2">
        <v>5</v>
      </c>
      <c r="D1450" t="str">
        <f t="shared" si="22"/>
        <v>CA-2014-165568_OFF-BI-10001031</v>
      </c>
      <c r="E1450" t="str">
        <f>IF(COUNTIF(data2!$D:$D,D1450)=0,"Missing in Data2","Present")</f>
        <v>Present</v>
      </c>
    </row>
    <row r="1451" spans="1:5" x14ac:dyDescent="0.25">
      <c r="A1451" s="2" t="s">
        <v>1732</v>
      </c>
      <c r="B1451" s="2" t="s">
        <v>494</v>
      </c>
      <c r="C1451" s="2">
        <v>3</v>
      </c>
      <c r="D1451" t="str">
        <f t="shared" si="22"/>
        <v>CA-2014-165764_FUR-FU-10001468</v>
      </c>
      <c r="E1451" t="str">
        <f>IF(COUNTIF(data2!$D:$D,D1451)=0,"Missing in Data2","Present")</f>
        <v>Present</v>
      </c>
    </row>
    <row r="1452" spans="1:5" x14ac:dyDescent="0.25">
      <c r="A1452" s="2" t="s">
        <v>1732</v>
      </c>
      <c r="B1452" s="2" t="s">
        <v>1733</v>
      </c>
      <c r="C1452" s="2">
        <v>6</v>
      </c>
      <c r="D1452" t="str">
        <f t="shared" si="22"/>
        <v>CA-2014-165764_FUR-TA-10001768</v>
      </c>
      <c r="E1452" t="str">
        <f>IF(COUNTIF(data2!$D:$D,D1452)=0,"Missing in Data2","Present")</f>
        <v>Present</v>
      </c>
    </row>
    <row r="1453" spans="1:5" x14ac:dyDescent="0.25">
      <c r="A1453" s="2" t="s">
        <v>1732</v>
      </c>
      <c r="B1453" s="2" t="s">
        <v>1734</v>
      </c>
      <c r="C1453" s="2">
        <v>7</v>
      </c>
      <c r="D1453" t="str">
        <f t="shared" si="22"/>
        <v>CA-2014-165764_OFF-BI-10002982</v>
      </c>
      <c r="E1453" t="str">
        <f>IF(COUNTIF(data2!$D:$D,D1453)=0,"Missing in Data2","Present")</f>
        <v>Present</v>
      </c>
    </row>
    <row r="1454" spans="1:5" x14ac:dyDescent="0.25">
      <c r="A1454" s="2" t="s">
        <v>1732</v>
      </c>
      <c r="B1454" s="2" t="s">
        <v>1735</v>
      </c>
      <c r="C1454" s="2">
        <v>2</v>
      </c>
      <c r="D1454" t="str">
        <f t="shared" si="22"/>
        <v>CA-2014-165764_OFF-ST-10001558</v>
      </c>
      <c r="E1454" t="str">
        <f>IF(COUNTIF(data2!$D:$D,D1454)=0,"Missing in Data2","Present")</f>
        <v>Present</v>
      </c>
    </row>
    <row r="1455" spans="1:5" x14ac:dyDescent="0.25">
      <c r="A1455" s="2" t="s">
        <v>1736</v>
      </c>
      <c r="B1455" s="2" t="s">
        <v>1737</v>
      </c>
      <c r="C1455" s="2">
        <v>9</v>
      </c>
      <c r="D1455" t="str">
        <f t="shared" si="22"/>
        <v>CA-2014-165806_OFF-PA-10003441</v>
      </c>
      <c r="E1455" t="str">
        <f>IF(COUNTIF(data2!$D:$D,D1455)=0,"Missing in Data2","Present")</f>
        <v>Missing in Data2</v>
      </c>
    </row>
    <row r="1456" spans="1:5" x14ac:dyDescent="0.25">
      <c r="A1456" s="2" t="s">
        <v>1736</v>
      </c>
      <c r="B1456" s="2" t="s">
        <v>29</v>
      </c>
      <c r="C1456" s="2">
        <v>3</v>
      </c>
      <c r="D1456" t="str">
        <f t="shared" si="22"/>
        <v>CA-2014-165806_TEC-PH-10004922</v>
      </c>
      <c r="E1456" t="str">
        <f>IF(COUNTIF(data2!$D:$D,D1456)=0,"Missing in Data2","Present")</f>
        <v>Present</v>
      </c>
    </row>
    <row r="1457" spans="1:5" x14ac:dyDescent="0.25">
      <c r="A1457" s="2" t="s">
        <v>1738</v>
      </c>
      <c r="B1457" s="2" t="s">
        <v>1739</v>
      </c>
      <c r="C1457" s="2">
        <v>7</v>
      </c>
      <c r="D1457" t="str">
        <f t="shared" si="22"/>
        <v>CA-2014-165974_OFF-AR-10003405</v>
      </c>
      <c r="E1457" t="str">
        <f>IF(COUNTIF(data2!$D:$D,D1457)=0,"Missing in Data2","Present")</f>
        <v>Present</v>
      </c>
    </row>
    <row r="1458" spans="1:5" x14ac:dyDescent="0.25">
      <c r="A1458" s="2" t="s">
        <v>1740</v>
      </c>
      <c r="B1458" s="2" t="s">
        <v>1741</v>
      </c>
      <c r="C1458" s="2">
        <v>3</v>
      </c>
      <c r="D1458" t="str">
        <f t="shared" si="22"/>
        <v>CA-2014-166051_TEC-PH-10002538</v>
      </c>
      <c r="E1458" t="str">
        <f>IF(COUNTIF(data2!$D:$D,D1458)=0,"Missing in Data2","Present")</f>
        <v>Present</v>
      </c>
    </row>
    <row r="1459" spans="1:5" x14ac:dyDescent="0.25">
      <c r="A1459" s="2" t="s">
        <v>1740</v>
      </c>
      <c r="B1459" s="2" t="s">
        <v>1742</v>
      </c>
      <c r="C1459" s="2">
        <v>3</v>
      </c>
      <c r="D1459" t="str">
        <f t="shared" si="22"/>
        <v>CA-2014-166051_TEC-PH-10002680</v>
      </c>
      <c r="E1459" t="str">
        <f>IF(COUNTIF(data2!$D:$D,D1459)=0,"Missing in Data2","Present")</f>
        <v>Present</v>
      </c>
    </row>
    <row r="1460" spans="1:5" x14ac:dyDescent="0.25">
      <c r="A1460" s="2" t="s">
        <v>1743</v>
      </c>
      <c r="B1460" s="2" t="s">
        <v>62</v>
      </c>
      <c r="C1460" s="2">
        <v>4</v>
      </c>
      <c r="D1460" t="str">
        <f t="shared" si="22"/>
        <v>CA-2014-166086_FUR-CH-10004675</v>
      </c>
      <c r="E1460" t="str">
        <f>IF(COUNTIF(data2!$D:$D,D1460)=0,"Missing in Data2","Present")</f>
        <v>Present</v>
      </c>
    </row>
    <row r="1461" spans="1:5" x14ac:dyDescent="0.25">
      <c r="A1461" s="2" t="s">
        <v>1743</v>
      </c>
      <c r="B1461" s="2" t="s">
        <v>1744</v>
      </c>
      <c r="C1461" s="2">
        <v>2</v>
      </c>
      <c r="D1461" t="str">
        <f t="shared" si="22"/>
        <v>CA-2014-166086_FUR-TA-10003469</v>
      </c>
      <c r="E1461" t="str">
        <f>IF(COUNTIF(data2!$D:$D,D1461)=0,"Missing in Data2","Present")</f>
        <v>Present</v>
      </c>
    </row>
    <row r="1462" spans="1:5" x14ac:dyDescent="0.25">
      <c r="A1462" s="2" t="s">
        <v>1743</v>
      </c>
      <c r="B1462" s="2" t="s">
        <v>1745</v>
      </c>
      <c r="C1462" s="2">
        <v>3</v>
      </c>
      <c r="D1462" t="str">
        <f t="shared" si="22"/>
        <v>CA-2014-166086_OFF-AR-10002578</v>
      </c>
      <c r="E1462" t="str">
        <f>IF(COUNTIF(data2!$D:$D,D1462)=0,"Missing in Data2","Present")</f>
        <v>Present</v>
      </c>
    </row>
    <row r="1463" spans="1:5" x14ac:dyDescent="0.25">
      <c r="A1463" s="2" t="s">
        <v>1743</v>
      </c>
      <c r="B1463" s="2" t="s">
        <v>774</v>
      </c>
      <c r="C1463" s="2">
        <v>3</v>
      </c>
      <c r="D1463" t="str">
        <f t="shared" si="22"/>
        <v>CA-2014-166086_OFF-BI-10001078</v>
      </c>
      <c r="E1463" t="str">
        <f>IF(COUNTIF(data2!$D:$D,D1463)=0,"Missing in Data2","Present")</f>
        <v>Present</v>
      </c>
    </row>
    <row r="1464" spans="1:5" x14ac:dyDescent="0.25">
      <c r="A1464" s="2" t="s">
        <v>1746</v>
      </c>
      <c r="B1464" s="2" t="s">
        <v>1433</v>
      </c>
      <c r="C1464" s="2">
        <v>2</v>
      </c>
      <c r="D1464" t="str">
        <f t="shared" si="22"/>
        <v>CA-2014-166191_OFF-ST-10003455</v>
      </c>
      <c r="E1464" t="str">
        <f>IF(COUNTIF(data2!$D:$D,D1464)=0,"Missing in Data2","Present")</f>
        <v>Present</v>
      </c>
    </row>
    <row r="1465" spans="1:5" x14ac:dyDescent="0.25">
      <c r="A1465" s="2" t="s">
        <v>1746</v>
      </c>
      <c r="B1465" s="2" t="s">
        <v>1747</v>
      </c>
      <c r="C1465" s="2">
        <v>7</v>
      </c>
      <c r="D1465" t="str">
        <f t="shared" si="22"/>
        <v>CA-2014-166191_TEC-AC-10004659</v>
      </c>
      <c r="E1465" t="str">
        <f>IF(COUNTIF(data2!$D:$D,D1465)=0,"Missing in Data2","Present")</f>
        <v>Present</v>
      </c>
    </row>
    <row r="1466" spans="1:5" x14ac:dyDescent="0.25">
      <c r="A1466" s="2" t="s">
        <v>1748</v>
      </c>
      <c r="B1466" s="2" t="s">
        <v>971</v>
      </c>
      <c r="C1466" s="2">
        <v>2</v>
      </c>
      <c r="D1466" t="str">
        <f t="shared" si="22"/>
        <v>CA-2014-166457_OFF-AR-10003651</v>
      </c>
      <c r="E1466" t="str">
        <f>IF(COUNTIF(data2!$D:$D,D1466)=0,"Missing in Data2","Present")</f>
        <v>Present</v>
      </c>
    </row>
    <row r="1467" spans="1:5" x14ac:dyDescent="0.25">
      <c r="A1467" s="2" t="s">
        <v>1748</v>
      </c>
      <c r="B1467" s="2" t="s">
        <v>60</v>
      </c>
      <c r="C1467" s="2">
        <v>2</v>
      </c>
      <c r="D1467" t="str">
        <f t="shared" si="22"/>
        <v>CA-2014-166457_OFF-PA-10001363</v>
      </c>
      <c r="E1467" t="str">
        <f>IF(COUNTIF(data2!$D:$D,D1467)=0,"Missing in Data2","Present")</f>
        <v>Present</v>
      </c>
    </row>
    <row r="1468" spans="1:5" x14ac:dyDescent="0.25">
      <c r="A1468" s="2" t="s">
        <v>1748</v>
      </c>
      <c r="B1468" s="2" t="s">
        <v>1156</v>
      </c>
      <c r="C1468" s="2">
        <v>3</v>
      </c>
      <c r="D1468" t="str">
        <f t="shared" si="22"/>
        <v>CA-2014-166457_OFF-PA-10003016</v>
      </c>
      <c r="E1468" t="str">
        <f>IF(COUNTIF(data2!$D:$D,D1468)=0,"Missing in Data2","Present")</f>
        <v>Present</v>
      </c>
    </row>
    <row r="1469" spans="1:5" x14ac:dyDescent="0.25">
      <c r="A1469" s="2" t="s">
        <v>1749</v>
      </c>
      <c r="B1469" s="2" t="s">
        <v>1409</v>
      </c>
      <c r="C1469" s="2">
        <v>2</v>
      </c>
      <c r="D1469" t="str">
        <f t="shared" si="22"/>
        <v>CA-2014-166471_TEC-PH-10000038</v>
      </c>
      <c r="E1469" t="str">
        <f>IF(COUNTIF(data2!$D:$D,D1469)=0,"Missing in Data2","Present")</f>
        <v>Present</v>
      </c>
    </row>
    <row r="1470" spans="1:5" x14ac:dyDescent="0.25">
      <c r="A1470" s="2" t="s">
        <v>1750</v>
      </c>
      <c r="B1470" s="2" t="s">
        <v>1751</v>
      </c>
      <c r="C1470" s="2">
        <v>3</v>
      </c>
      <c r="D1470" t="str">
        <f t="shared" si="22"/>
        <v>CA-2014-166555_TEC-PH-10004912</v>
      </c>
      <c r="E1470" t="str">
        <f>IF(COUNTIF(data2!$D:$D,D1470)=0,"Missing in Data2","Present")</f>
        <v>Present</v>
      </c>
    </row>
    <row r="1471" spans="1:5" x14ac:dyDescent="0.25">
      <c r="A1471" s="2" t="s">
        <v>1752</v>
      </c>
      <c r="B1471" s="2" t="s">
        <v>1335</v>
      </c>
      <c r="C1471" s="2">
        <v>2</v>
      </c>
      <c r="D1471" t="str">
        <f t="shared" si="22"/>
        <v>CA-2014-166590_OFF-PA-10000482</v>
      </c>
      <c r="E1471" t="str">
        <f>IF(COUNTIF(data2!$D:$D,D1471)=0,"Missing in Data2","Present")</f>
        <v>Present</v>
      </c>
    </row>
    <row r="1472" spans="1:5" x14ac:dyDescent="0.25">
      <c r="A1472" s="2" t="s">
        <v>1752</v>
      </c>
      <c r="B1472" s="2" t="s">
        <v>1753</v>
      </c>
      <c r="C1472" s="2">
        <v>2</v>
      </c>
      <c r="D1472" t="str">
        <f t="shared" si="22"/>
        <v>CA-2014-166590_TEC-AC-10003433</v>
      </c>
      <c r="E1472" t="str">
        <f>IF(COUNTIF(data2!$D:$D,D1472)=0,"Missing in Data2","Present")</f>
        <v>Present</v>
      </c>
    </row>
    <row r="1473" spans="1:5" x14ac:dyDescent="0.25">
      <c r="A1473" s="2" t="s">
        <v>1754</v>
      </c>
      <c r="B1473" s="2" t="s">
        <v>193</v>
      </c>
      <c r="C1473" s="2">
        <v>2</v>
      </c>
      <c r="D1473" t="str">
        <f t="shared" si="22"/>
        <v>CA-2014-166716_FUR-CH-10004495</v>
      </c>
      <c r="E1473" t="str">
        <f>IF(COUNTIF(data2!$D:$D,D1473)=0,"Missing in Data2","Present")</f>
        <v>Present</v>
      </c>
    </row>
    <row r="1474" spans="1:5" x14ac:dyDescent="0.25">
      <c r="A1474" s="2" t="s">
        <v>1755</v>
      </c>
      <c r="B1474" s="2" t="s">
        <v>1756</v>
      </c>
      <c r="C1474" s="2">
        <v>1</v>
      </c>
      <c r="D1474" t="str">
        <f t="shared" si="22"/>
        <v>CA-2014-166730_OFF-ST-10002554</v>
      </c>
      <c r="E1474" t="str">
        <f>IF(COUNTIF(data2!$D:$D,D1474)=0,"Missing in Data2","Present")</f>
        <v>Present</v>
      </c>
    </row>
    <row r="1475" spans="1:5" x14ac:dyDescent="0.25">
      <c r="A1475" s="2" t="s">
        <v>1757</v>
      </c>
      <c r="B1475" s="2" t="s">
        <v>69</v>
      </c>
      <c r="C1475" s="2">
        <v>3</v>
      </c>
      <c r="D1475" t="str">
        <f t="shared" ref="D1475:D1538" si="23">A1475&amp;"_"&amp;B1475</f>
        <v>CA-2014-166744_FUR-BO-10001337</v>
      </c>
      <c r="E1475" t="str">
        <f>IF(COUNTIF(data2!$D:$D,D1475)=0,"Missing in Data2","Present")</f>
        <v>Present</v>
      </c>
    </row>
    <row r="1476" spans="1:5" x14ac:dyDescent="0.25">
      <c r="A1476" s="2" t="s">
        <v>1757</v>
      </c>
      <c r="B1476" s="2" t="s">
        <v>1758</v>
      </c>
      <c r="C1476" s="2">
        <v>3</v>
      </c>
      <c r="D1476" t="str">
        <f t="shared" si="23"/>
        <v>CA-2014-166744_FUR-FU-10004952</v>
      </c>
      <c r="E1476" t="str">
        <f>IF(COUNTIF(data2!$D:$D,D1476)=0,"Missing in Data2","Present")</f>
        <v>Present</v>
      </c>
    </row>
    <row r="1477" spans="1:5" x14ac:dyDescent="0.25">
      <c r="A1477" s="2" t="s">
        <v>1757</v>
      </c>
      <c r="B1477" s="2" t="s">
        <v>131</v>
      </c>
      <c r="C1477" s="2">
        <v>2</v>
      </c>
      <c r="D1477" t="str">
        <f t="shared" si="23"/>
        <v>CA-2014-166744_TEC-AC-10003628</v>
      </c>
      <c r="E1477" t="str">
        <f>IF(COUNTIF(data2!$D:$D,D1477)=0,"Missing in Data2","Present")</f>
        <v>Present</v>
      </c>
    </row>
    <row r="1478" spans="1:5" x14ac:dyDescent="0.25">
      <c r="A1478" s="2" t="s">
        <v>1759</v>
      </c>
      <c r="B1478" s="2" t="s">
        <v>1760</v>
      </c>
      <c r="C1478" s="2">
        <v>4</v>
      </c>
      <c r="D1478" t="str">
        <f t="shared" si="23"/>
        <v>CA-2014-166863_FUR-BO-10001608</v>
      </c>
      <c r="E1478" t="str">
        <f>IF(COUNTIF(data2!$D:$D,D1478)=0,"Missing in Data2","Present")</f>
        <v>Present</v>
      </c>
    </row>
    <row r="1479" spans="1:5" x14ac:dyDescent="0.25">
      <c r="A1479" s="2" t="s">
        <v>1759</v>
      </c>
      <c r="B1479" s="2" t="s">
        <v>1651</v>
      </c>
      <c r="C1479" s="2">
        <v>4</v>
      </c>
      <c r="D1479" t="str">
        <f t="shared" si="23"/>
        <v>CA-2014-166863_OFF-BI-10000756</v>
      </c>
      <c r="E1479" t="str">
        <f>IF(COUNTIF(data2!$D:$D,D1479)=0,"Missing in Data2","Present")</f>
        <v>Present</v>
      </c>
    </row>
    <row r="1480" spans="1:5" x14ac:dyDescent="0.25">
      <c r="A1480" s="2" t="s">
        <v>1759</v>
      </c>
      <c r="B1480" s="2" t="s">
        <v>1378</v>
      </c>
      <c r="C1480" s="2">
        <v>3</v>
      </c>
      <c r="D1480" t="str">
        <f t="shared" si="23"/>
        <v>CA-2014-166863_OFF-PA-10001166</v>
      </c>
      <c r="E1480" t="str">
        <f>IF(COUNTIF(data2!$D:$D,D1480)=0,"Missing in Data2","Present")</f>
        <v>Present</v>
      </c>
    </row>
    <row r="1481" spans="1:5" x14ac:dyDescent="0.25">
      <c r="A1481" s="2" t="s">
        <v>1759</v>
      </c>
      <c r="B1481" s="2" t="s">
        <v>1761</v>
      </c>
      <c r="C1481" s="2">
        <v>7</v>
      </c>
      <c r="D1481" t="str">
        <f t="shared" si="23"/>
        <v>CA-2014-166863_OFF-ST-10004123</v>
      </c>
      <c r="E1481" t="str">
        <f>IF(COUNTIF(data2!$D:$D,D1481)=0,"Missing in Data2","Present")</f>
        <v>Missing in Data2</v>
      </c>
    </row>
    <row r="1482" spans="1:5" x14ac:dyDescent="0.25">
      <c r="A1482" s="2" t="s">
        <v>1759</v>
      </c>
      <c r="B1482" s="2" t="s">
        <v>1762</v>
      </c>
      <c r="C1482" s="2">
        <v>2</v>
      </c>
      <c r="D1482" t="str">
        <f t="shared" si="23"/>
        <v>CA-2014-166863_TEC-MA-10001972</v>
      </c>
      <c r="E1482" t="str">
        <f>IF(COUNTIF(data2!$D:$D,D1482)=0,"Missing in Data2","Present")</f>
        <v>Present</v>
      </c>
    </row>
    <row r="1483" spans="1:5" x14ac:dyDescent="0.25">
      <c r="A1483" s="2" t="s">
        <v>1759</v>
      </c>
      <c r="B1483" s="2" t="s">
        <v>1763</v>
      </c>
      <c r="C1483" s="2">
        <v>2</v>
      </c>
      <c r="D1483" t="str">
        <f t="shared" si="23"/>
        <v>CA-2014-166863_TEC-PH-10000369</v>
      </c>
      <c r="E1483" t="str">
        <f>IF(COUNTIF(data2!$D:$D,D1483)=0,"Missing in Data2","Present")</f>
        <v>Present</v>
      </c>
    </row>
    <row r="1484" spans="1:5" x14ac:dyDescent="0.25">
      <c r="A1484" s="2" t="s">
        <v>1764</v>
      </c>
      <c r="B1484" s="2" t="s">
        <v>170</v>
      </c>
      <c r="C1484" s="2">
        <v>5</v>
      </c>
      <c r="D1484" t="str">
        <f t="shared" si="23"/>
        <v>CA-2014-166884_FUR-FU-10003981</v>
      </c>
      <c r="E1484" t="str">
        <f>IF(COUNTIF(data2!$D:$D,D1484)=0,"Missing in Data2","Present")</f>
        <v>Present</v>
      </c>
    </row>
    <row r="1485" spans="1:5" x14ac:dyDescent="0.25">
      <c r="A1485" s="2" t="s">
        <v>1764</v>
      </c>
      <c r="B1485" s="2" t="s">
        <v>1358</v>
      </c>
      <c r="C1485" s="2">
        <v>6</v>
      </c>
      <c r="D1485" t="str">
        <f t="shared" si="23"/>
        <v>CA-2014-166884_OFF-FA-10001561</v>
      </c>
      <c r="E1485" t="str">
        <f>IF(COUNTIF(data2!$D:$D,D1485)=0,"Missing in Data2","Present")</f>
        <v>Present</v>
      </c>
    </row>
    <row r="1486" spans="1:5" x14ac:dyDescent="0.25">
      <c r="A1486" s="2" t="s">
        <v>1765</v>
      </c>
      <c r="B1486" s="2" t="s">
        <v>1766</v>
      </c>
      <c r="C1486" s="2">
        <v>5</v>
      </c>
      <c r="D1486" t="str">
        <f t="shared" si="23"/>
        <v>CA-2014-166891_FUR-CH-10003298</v>
      </c>
      <c r="E1486" t="str">
        <f>IF(COUNTIF(data2!$D:$D,D1486)=0,"Missing in Data2","Present")</f>
        <v>Present</v>
      </c>
    </row>
    <row r="1487" spans="1:5" x14ac:dyDescent="0.25">
      <c r="A1487" s="2" t="s">
        <v>1767</v>
      </c>
      <c r="B1487" s="2" t="s">
        <v>807</v>
      </c>
      <c r="C1487" s="2">
        <v>5</v>
      </c>
      <c r="D1487" t="str">
        <f t="shared" si="23"/>
        <v>CA-2014-166954_FUR-CH-10003973</v>
      </c>
      <c r="E1487" t="str">
        <f>IF(COUNTIF(data2!$D:$D,D1487)=0,"Missing in Data2","Present")</f>
        <v>Present</v>
      </c>
    </row>
    <row r="1488" spans="1:5" x14ac:dyDescent="0.25">
      <c r="A1488" s="2" t="s">
        <v>1767</v>
      </c>
      <c r="B1488" s="2" t="s">
        <v>1768</v>
      </c>
      <c r="C1488" s="2">
        <v>5</v>
      </c>
      <c r="D1488" t="str">
        <f t="shared" si="23"/>
        <v>CA-2014-166954_FUR-FU-10003708</v>
      </c>
      <c r="E1488" t="str">
        <f>IF(COUNTIF(data2!$D:$D,D1488)=0,"Missing in Data2","Present")</f>
        <v>Present</v>
      </c>
    </row>
    <row r="1489" spans="1:5" x14ac:dyDescent="0.25">
      <c r="A1489" s="2" t="s">
        <v>1767</v>
      </c>
      <c r="B1489" s="2" t="s">
        <v>1769</v>
      </c>
      <c r="C1489" s="2">
        <v>3</v>
      </c>
      <c r="D1489" t="str">
        <f t="shared" si="23"/>
        <v>CA-2014-166954_OFF-AP-10001391</v>
      </c>
      <c r="E1489" t="str">
        <f>IF(COUNTIF(data2!$D:$D,D1489)=0,"Missing in Data2","Present")</f>
        <v>Present</v>
      </c>
    </row>
    <row r="1490" spans="1:5" x14ac:dyDescent="0.25">
      <c r="A1490" s="2" t="s">
        <v>1770</v>
      </c>
      <c r="B1490" s="2" t="s">
        <v>1060</v>
      </c>
      <c r="C1490" s="2">
        <v>1</v>
      </c>
      <c r="D1490" t="str">
        <f t="shared" si="23"/>
        <v>CA-2014-166961_OFF-AP-10001366</v>
      </c>
      <c r="E1490" t="str">
        <f>IF(COUNTIF(data2!$D:$D,D1490)=0,"Missing in Data2","Present")</f>
        <v>Present</v>
      </c>
    </row>
    <row r="1491" spans="1:5" x14ac:dyDescent="0.25">
      <c r="A1491" s="2" t="s">
        <v>1770</v>
      </c>
      <c r="B1491" s="2" t="s">
        <v>955</v>
      </c>
      <c r="C1491" s="2">
        <v>3</v>
      </c>
      <c r="D1491" t="str">
        <f t="shared" si="23"/>
        <v>CA-2014-166961_OFF-BI-10002353</v>
      </c>
      <c r="E1491" t="str">
        <f>IF(COUNTIF(data2!$D:$D,D1491)=0,"Missing in Data2","Present")</f>
        <v>Missing in Data2</v>
      </c>
    </row>
    <row r="1492" spans="1:5" x14ac:dyDescent="0.25">
      <c r="A1492" s="2" t="s">
        <v>1770</v>
      </c>
      <c r="B1492" s="2" t="s">
        <v>1771</v>
      </c>
      <c r="C1492" s="2">
        <v>3</v>
      </c>
      <c r="D1492" t="str">
        <f t="shared" si="23"/>
        <v>CA-2014-166961_OFF-FA-10003485</v>
      </c>
      <c r="E1492" t="str">
        <f>IF(COUNTIF(data2!$D:$D,D1492)=0,"Missing in Data2","Present")</f>
        <v>Present</v>
      </c>
    </row>
    <row r="1493" spans="1:5" x14ac:dyDescent="0.25">
      <c r="A1493" s="2" t="s">
        <v>1770</v>
      </c>
      <c r="B1493" s="2" t="s">
        <v>1772</v>
      </c>
      <c r="C1493" s="2">
        <v>3</v>
      </c>
      <c r="D1493" t="str">
        <f t="shared" si="23"/>
        <v>CA-2014-166961_OFF-ST-10004507</v>
      </c>
      <c r="E1493" t="str">
        <f>IF(COUNTIF(data2!$D:$D,D1493)=0,"Missing in Data2","Present")</f>
        <v>Present</v>
      </c>
    </row>
    <row r="1494" spans="1:5" x14ac:dyDescent="0.25">
      <c r="A1494" s="2" t="s">
        <v>1773</v>
      </c>
      <c r="B1494" s="2" t="s">
        <v>501</v>
      </c>
      <c r="C1494" s="2">
        <v>2</v>
      </c>
      <c r="D1494" t="str">
        <f t="shared" si="23"/>
        <v>CA-2014-166989_FUR-CH-10001797</v>
      </c>
      <c r="E1494" t="str">
        <f>IF(COUNTIF(data2!$D:$D,D1494)=0,"Missing in Data2","Present")</f>
        <v>Present</v>
      </c>
    </row>
    <row r="1495" spans="1:5" x14ac:dyDescent="0.25">
      <c r="A1495" s="2" t="s">
        <v>1773</v>
      </c>
      <c r="B1495" s="2" t="s">
        <v>1387</v>
      </c>
      <c r="C1495" s="2">
        <v>2</v>
      </c>
      <c r="D1495" t="str">
        <f t="shared" si="23"/>
        <v>CA-2014-166989_OFF-PA-10004470</v>
      </c>
      <c r="E1495" t="str">
        <f>IF(COUNTIF(data2!$D:$D,D1495)=0,"Missing in Data2","Present")</f>
        <v>Present</v>
      </c>
    </row>
    <row r="1496" spans="1:5" x14ac:dyDescent="0.25">
      <c r="A1496" s="2" t="s">
        <v>1774</v>
      </c>
      <c r="B1496" s="2" t="s">
        <v>367</v>
      </c>
      <c r="C1496" s="2">
        <v>2</v>
      </c>
      <c r="D1496" t="str">
        <f t="shared" si="23"/>
        <v>CA-2014-167164_OFF-ST-10000107</v>
      </c>
      <c r="E1496" t="str">
        <f>IF(COUNTIF(data2!$D:$D,D1496)=0,"Missing in Data2","Present")</f>
        <v>Present</v>
      </c>
    </row>
    <row r="1497" spans="1:5" x14ac:dyDescent="0.25">
      <c r="A1497" s="2" t="s">
        <v>1775</v>
      </c>
      <c r="B1497" s="2" t="s">
        <v>181</v>
      </c>
      <c r="C1497" s="2">
        <v>9</v>
      </c>
      <c r="D1497" t="str">
        <f t="shared" si="23"/>
        <v>CA-2014-167199_FUR-CH-10004063</v>
      </c>
      <c r="E1497" t="str">
        <f>IF(COUNTIF(data2!$D:$D,D1497)=0,"Missing in Data2","Present")</f>
        <v>Present</v>
      </c>
    </row>
    <row r="1498" spans="1:5" x14ac:dyDescent="0.25">
      <c r="A1498" s="2" t="s">
        <v>1775</v>
      </c>
      <c r="B1498" s="2" t="s">
        <v>1776</v>
      </c>
      <c r="C1498" s="2">
        <v>2</v>
      </c>
      <c r="D1498" t="str">
        <f t="shared" si="23"/>
        <v>CA-2014-167199_OFF-AR-10001662</v>
      </c>
      <c r="E1498" t="str">
        <f>IF(COUNTIF(data2!$D:$D,D1498)=0,"Missing in Data2","Present")</f>
        <v>Present</v>
      </c>
    </row>
    <row r="1499" spans="1:5" x14ac:dyDescent="0.25">
      <c r="A1499" s="2" t="s">
        <v>1775</v>
      </c>
      <c r="B1499" s="2" t="s">
        <v>820</v>
      </c>
      <c r="C1499" s="2">
        <v>2</v>
      </c>
      <c r="D1499" t="str">
        <f t="shared" si="23"/>
        <v>CA-2014-167199_OFF-BI-10004632</v>
      </c>
      <c r="E1499" t="str">
        <f>IF(COUNTIF(data2!$D:$D,D1499)=0,"Missing in Data2","Present")</f>
        <v>Present</v>
      </c>
    </row>
    <row r="1500" spans="1:5" x14ac:dyDescent="0.25">
      <c r="A1500" s="2" t="s">
        <v>1775</v>
      </c>
      <c r="B1500" s="2" t="s">
        <v>1777</v>
      </c>
      <c r="C1500" s="2">
        <v>4</v>
      </c>
      <c r="D1500" t="str">
        <f t="shared" si="23"/>
        <v>CA-2014-167199_OFF-FA-10001883</v>
      </c>
      <c r="E1500" t="str">
        <f>IF(COUNTIF(data2!$D:$D,D1500)=0,"Missing in Data2","Present")</f>
        <v>Present</v>
      </c>
    </row>
    <row r="1501" spans="1:5" x14ac:dyDescent="0.25">
      <c r="A1501" s="2" t="s">
        <v>1775</v>
      </c>
      <c r="B1501" s="2" t="s">
        <v>871</v>
      </c>
      <c r="C1501" s="2">
        <v>1</v>
      </c>
      <c r="D1501" t="str">
        <f t="shared" si="23"/>
        <v>CA-2014-167199_OFF-PA-10000955</v>
      </c>
      <c r="E1501" t="str">
        <f>IF(COUNTIF(data2!$D:$D,D1501)=0,"Missing in Data2","Present")</f>
        <v>Present</v>
      </c>
    </row>
    <row r="1502" spans="1:5" x14ac:dyDescent="0.25">
      <c r="A1502" s="2" t="s">
        <v>1775</v>
      </c>
      <c r="B1502" s="2" t="s">
        <v>900</v>
      </c>
      <c r="C1502" s="2">
        <v>4</v>
      </c>
      <c r="D1502" t="str">
        <f t="shared" si="23"/>
        <v>CA-2014-167199_TEC-PH-10004539</v>
      </c>
      <c r="E1502" t="str">
        <f>IF(COUNTIF(data2!$D:$D,D1502)=0,"Missing in Data2","Present")</f>
        <v>Present</v>
      </c>
    </row>
    <row r="1503" spans="1:5" x14ac:dyDescent="0.25">
      <c r="A1503" s="2" t="s">
        <v>1775</v>
      </c>
      <c r="B1503" s="2" t="s">
        <v>1113</v>
      </c>
      <c r="C1503" s="2">
        <v>2</v>
      </c>
      <c r="D1503" t="str">
        <f t="shared" si="23"/>
        <v>CA-2014-167199_TEC-PH-10004977</v>
      </c>
      <c r="E1503" t="str">
        <f>IF(COUNTIF(data2!$D:$D,D1503)=0,"Missing in Data2","Present")</f>
        <v>Present</v>
      </c>
    </row>
    <row r="1504" spans="1:5" x14ac:dyDescent="0.25">
      <c r="A1504" s="2" t="s">
        <v>1778</v>
      </c>
      <c r="B1504" s="2" t="s">
        <v>1779</v>
      </c>
      <c r="C1504" s="2">
        <v>7</v>
      </c>
      <c r="D1504" t="str">
        <f t="shared" si="23"/>
        <v>CA-2014-167360_TEC-AC-10001772</v>
      </c>
      <c r="E1504" t="str">
        <f>IF(COUNTIF(data2!$D:$D,D1504)=0,"Missing in Data2","Present")</f>
        <v>Present</v>
      </c>
    </row>
    <row r="1505" spans="1:5" x14ac:dyDescent="0.25">
      <c r="A1505" s="2" t="s">
        <v>1780</v>
      </c>
      <c r="B1505" s="2" t="s">
        <v>1781</v>
      </c>
      <c r="C1505" s="2">
        <v>5</v>
      </c>
      <c r="D1505" t="str">
        <f t="shared" si="23"/>
        <v>CA-2014-167486_FUR-FU-10003268</v>
      </c>
      <c r="E1505" t="str">
        <f>IF(COUNTIF(data2!$D:$D,D1505)=0,"Missing in Data2","Present")</f>
        <v>Present</v>
      </c>
    </row>
    <row r="1506" spans="1:5" x14ac:dyDescent="0.25">
      <c r="A1506" s="2" t="s">
        <v>1782</v>
      </c>
      <c r="B1506" s="2" t="s">
        <v>1783</v>
      </c>
      <c r="C1506" s="2">
        <v>3</v>
      </c>
      <c r="D1506" t="str">
        <f t="shared" si="23"/>
        <v>CA-2014-167724_OFF-LA-10002368</v>
      </c>
      <c r="E1506" t="str">
        <f>IF(COUNTIF(data2!$D:$D,D1506)=0,"Missing in Data2","Present")</f>
        <v>Missing in Data2</v>
      </c>
    </row>
    <row r="1507" spans="1:5" x14ac:dyDescent="0.25">
      <c r="A1507" s="2" t="s">
        <v>1784</v>
      </c>
      <c r="B1507" s="2" t="s">
        <v>1785</v>
      </c>
      <c r="C1507" s="2">
        <v>3</v>
      </c>
      <c r="D1507" t="str">
        <f t="shared" si="23"/>
        <v>CA-2014-167850_OFF-PA-10001937</v>
      </c>
      <c r="E1507" t="str">
        <f>IF(COUNTIF(data2!$D:$D,D1507)=0,"Missing in Data2","Present")</f>
        <v>Present</v>
      </c>
    </row>
    <row r="1508" spans="1:5" x14ac:dyDescent="0.25">
      <c r="A1508" s="2" t="s">
        <v>1784</v>
      </c>
      <c r="B1508" s="2" t="s">
        <v>987</v>
      </c>
      <c r="C1508" s="2">
        <v>2</v>
      </c>
      <c r="D1508" t="str">
        <f t="shared" si="23"/>
        <v>CA-2014-167850_TEC-PH-10002398</v>
      </c>
      <c r="E1508" t="str">
        <f>IF(COUNTIF(data2!$D:$D,D1508)=0,"Missing in Data2","Present")</f>
        <v>Present</v>
      </c>
    </row>
    <row r="1509" spans="1:5" x14ac:dyDescent="0.25">
      <c r="A1509" s="2" t="s">
        <v>1786</v>
      </c>
      <c r="B1509" s="2" t="s">
        <v>21</v>
      </c>
      <c r="C1509" s="2">
        <v>3</v>
      </c>
      <c r="D1509" t="str">
        <f t="shared" si="23"/>
        <v>CA-2014-167927_FUR-FU-10002268</v>
      </c>
      <c r="E1509" t="str">
        <f>IF(COUNTIF(data2!$D:$D,D1509)=0,"Missing in Data2","Present")</f>
        <v>Present</v>
      </c>
    </row>
    <row r="1510" spans="1:5" x14ac:dyDescent="0.25">
      <c r="A1510" s="2" t="s">
        <v>1786</v>
      </c>
      <c r="B1510" s="2" t="s">
        <v>416</v>
      </c>
      <c r="C1510" s="2">
        <v>3</v>
      </c>
      <c r="D1510" t="str">
        <f t="shared" si="23"/>
        <v>CA-2014-167927_FUR-FU-10002918</v>
      </c>
      <c r="E1510" t="str">
        <f>IF(COUNTIF(data2!$D:$D,D1510)=0,"Missing in Data2","Present")</f>
        <v>Present</v>
      </c>
    </row>
    <row r="1511" spans="1:5" x14ac:dyDescent="0.25">
      <c r="A1511" s="2" t="s">
        <v>1786</v>
      </c>
      <c r="B1511" s="2" t="s">
        <v>1787</v>
      </c>
      <c r="C1511" s="2">
        <v>4</v>
      </c>
      <c r="D1511" t="str">
        <f t="shared" si="23"/>
        <v>CA-2014-167927_OFF-AP-10002311</v>
      </c>
      <c r="E1511" t="str">
        <f>IF(COUNTIF(data2!$D:$D,D1511)=0,"Missing in Data2","Present")</f>
        <v>Present</v>
      </c>
    </row>
    <row r="1512" spans="1:5" x14ac:dyDescent="0.25">
      <c r="A1512" s="2" t="s">
        <v>1786</v>
      </c>
      <c r="B1512" s="2" t="s">
        <v>1788</v>
      </c>
      <c r="C1512" s="2">
        <v>3</v>
      </c>
      <c r="D1512" t="str">
        <f t="shared" si="23"/>
        <v>CA-2014-167927_OFF-AR-10004456</v>
      </c>
      <c r="E1512" t="str">
        <f>IF(COUNTIF(data2!$D:$D,D1512)=0,"Missing in Data2","Present")</f>
        <v>Present</v>
      </c>
    </row>
    <row r="1513" spans="1:5" x14ac:dyDescent="0.25">
      <c r="A1513" s="2" t="s">
        <v>1786</v>
      </c>
      <c r="B1513" s="2" t="s">
        <v>1789</v>
      </c>
      <c r="C1513" s="2">
        <v>5</v>
      </c>
      <c r="D1513" t="str">
        <f t="shared" si="23"/>
        <v>CA-2014-167927_OFF-BI-10000605</v>
      </c>
      <c r="E1513" t="str">
        <f>IF(COUNTIF(data2!$D:$D,D1513)=0,"Missing in Data2","Present")</f>
        <v>Present</v>
      </c>
    </row>
    <row r="1514" spans="1:5" x14ac:dyDescent="0.25">
      <c r="A1514" s="2" t="s">
        <v>1786</v>
      </c>
      <c r="B1514" s="2" t="s">
        <v>432</v>
      </c>
      <c r="C1514" s="2">
        <v>5</v>
      </c>
      <c r="D1514" t="str">
        <f t="shared" si="23"/>
        <v>CA-2014-167927_OFF-BI-10004364</v>
      </c>
      <c r="E1514" t="str">
        <f>IF(COUNTIF(data2!$D:$D,D1514)=0,"Missing in Data2","Present")</f>
        <v>Present</v>
      </c>
    </row>
    <row r="1515" spans="1:5" x14ac:dyDescent="0.25">
      <c r="A1515" s="2" t="s">
        <v>1786</v>
      </c>
      <c r="B1515" s="2" t="s">
        <v>1790</v>
      </c>
      <c r="C1515" s="2">
        <v>1</v>
      </c>
      <c r="D1515" t="str">
        <f t="shared" si="23"/>
        <v>CA-2014-167927_OFF-ST-10000760</v>
      </c>
      <c r="E1515" t="str">
        <f>IF(COUNTIF(data2!$D:$D,D1515)=0,"Missing in Data2","Present")</f>
        <v>Present</v>
      </c>
    </row>
    <row r="1516" spans="1:5" x14ac:dyDescent="0.25">
      <c r="A1516" s="2" t="s">
        <v>1786</v>
      </c>
      <c r="B1516" s="2" t="s">
        <v>1465</v>
      </c>
      <c r="C1516" s="2">
        <v>2</v>
      </c>
      <c r="D1516" t="str">
        <f t="shared" si="23"/>
        <v>CA-2014-167927_OFF-ST-10003123</v>
      </c>
      <c r="E1516" t="str">
        <f>IF(COUNTIF(data2!$D:$D,D1516)=0,"Missing in Data2","Present")</f>
        <v>Present</v>
      </c>
    </row>
    <row r="1517" spans="1:5" x14ac:dyDescent="0.25">
      <c r="A1517" s="2" t="s">
        <v>1791</v>
      </c>
      <c r="B1517" s="2" t="s">
        <v>1792</v>
      </c>
      <c r="C1517" s="2">
        <v>2</v>
      </c>
      <c r="D1517" t="str">
        <f t="shared" si="23"/>
        <v>CA-2014-167997_FUR-BO-10004409</v>
      </c>
      <c r="E1517" t="str">
        <f>IF(COUNTIF(data2!$D:$D,D1517)=0,"Missing in Data2","Present")</f>
        <v>Present</v>
      </c>
    </row>
    <row r="1518" spans="1:5" x14ac:dyDescent="0.25">
      <c r="A1518" s="2" t="s">
        <v>1791</v>
      </c>
      <c r="B1518" s="2" t="s">
        <v>619</v>
      </c>
      <c r="C1518" s="2">
        <v>2</v>
      </c>
      <c r="D1518" t="str">
        <f t="shared" si="23"/>
        <v>CA-2014-167997_OFF-BI-10001758</v>
      </c>
      <c r="E1518" t="str">
        <f>IF(COUNTIF(data2!$D:$D,D1518)=0,"Missing in Data2","Present")</f>
        <v>Present</v>
      </c>
    </row>
    <row r="1519" spans="1:5" x14ac:dyDescent="0.25">
      <c r="A1519" s="2" t="s">
        <v>1793</v>
      </c>
      <c r="B1519" s="2" t="s">
        <v>221</v>
      </c>
      <c r="C1519" s="2">
        <v>7</v>
      </c>
      <c r="D1519" t="str">
        <f t="shared" si="23"/>
        <v>CA-2014-168130_FUR-CH-10000988</v>
      </c>
      <c r="E1519" t="str">
        <f>IF(COUNTIF(data2!$D:$D,D1519)=0,"Missing in Data2","Present")</f>
        <v>Present</v>
      </c>
    </row>
    <row r="1520" spans="1:5" x14ac:dyDescent="0.25">
      <c r="A1520" s="2" t="s">
        <v>1794</v>
      </c>
      <c r="B1520" s="2" t="s">
        <v>1795</v>
      </c>
      <c r="C1520" s="2">
        <v>2</v>
      </c>
      <c r="D1520" t="str">
        <f t="shared" si="23"/>
        <v>CA-2014-168158_OFF-BI-10001759</v>
      </c>
      <c r="E1520" t="str">
        <f>IF(COUNTIF(data2!$D:$D,D1520)=0,"Missing in Data2","Present")</f>
        <v>Present</v>
      </c>
    </row>
    <row r="1521" spans="1:5" x14ac:dyDescent="0.25">
      <c r="A1521" s="2" t="s">
        <v>1796</v>
      </c>
      <c r="B1521" s="2" t="s">
        <v>1797</v>
      </c>
      <c r="C1521" s="2">
        <v>3</v>
      </c>
      <c r="D1521" t="str">
        <f t="shared" si="23"/>
        <v>CA-2014-168305_OFF-LA-10003498</v>
      </c>
      <c r="E1521" t="str">
        <f>IF(COUNTIF(data2!$D:$D,D1521)=0,"Missing in Data2","Present")</f>
        <v>Present</v>
      </c>
    </row>
    <row r="1522" spans="1:5" x14ac:dyDescent="0.25">
      <c r="A1522" s="2" t="s">
        <v>1796</v>
      </c>
      <c r="B1522" s="2" t="s">
        <v>1798</v>
      </c>
      <c r="C1522" s="2">
        <v>5</v>
      </c>
      <c r="D1522" t="str">
        <f t="shared" si="23"/>
        <v>CA-2014-168305_OFF-PA-10004947</v>
      </c>
      <c r="E1522" t="str">
        <f>IF(COUNTIF(data2!$D:$D,D1522)=0,"Missing in Data2","Present")</f>
        <v>Present</v>
      </c>
    </row>
    <row r="1523" spans="1:5" x14ac:dyDescent="0.25">
      <c r="A1523" s="2" t="s">
        <v>1799</v>
      </c>
      <c r="B1523" s="2" t="s">
        <v>1576</v>
      </c>
      <c r="C1523" s="2">
        <v>3</v>
      </c>
      <c r="D1523" t="str">
        <f t="shared" si="23"/>
        <v>CA-2014-168312_FUR-TA-10001866</v>
      </c>
      <c r="E1523" t="str">
        <f>IF(COUNTIF(data2!$D:$D,D1523)=0,"Missing in Data2","Present")</f>
        <v>Present</v>
      </c>
    </row>
    <row r="1524" spans="1:5" x14ac:dyDescent="0.25">
      <c r="A1524" s="2" t="s">
        <v>1799</v>
      </c>
      <c r="B1524" s="2" t="s">
        <v>1800</v>
      </c>
      <c r="C1524" s="2">
        <v>3</v>
      </c>
      <c r="D1524" t="str">
        <f t="shared" si="23"/>
        <v>CA-2014-168312_OFF-ST-10003692</v>
      </c>
      <c r="E1524" t="str">
        <f>IF(COUNTIF(data2!$D:$D,D1524)=0,"Missing in Data2","Present")</f>
        <v>Present</v>
      </c>
    </row>
    <row r="1525" spans="1:5" x14ac:dyDescent="0.25">
      <c r="A1525" s="2" t="s">
        <v>1801</v>
      </c>
      <c r="B1525" s="2" t="s">
        <v>370</v>
      </c>
      <c r="C1525" s="2">
        <v>1</v>
      </c>
      <c r="D1525" t="str">
        <f t="shared" si="23"/>
        <v>CA-2014-168368_FUR-CH-10001146</v>
      </c>
      <c r="E1525" t="str">
        <f>IF(COUNTIF(data2!$D:$D,D1525)=0,"Missing in Data2","Present")</f>
        <v>Present</v>
      </c>
    </row>
    <row r="1526" spans="1:5" x14ac:dyDescent="0.25">
      <c r="A1526" s="2" t="s">
        <v>1801</v>
      </c>
      <c r="B1526" s="2" t="s">
        <v>1802</v>
      </c>
      <c r="C1526" s="2">
        <v>3</v>
      </c>
      <c r="D1526" t="str">
        <f t="shared" si="23"/>
        <v>CA-2014-168368_FUR-FU-10002298</v>
      </c>
      <c r="E1526" t="str">
        <f>IF(COUNTIF(data2!$D:$D,D1526)=0,"Missing in Data2","Present")</f>
        <v>Present</v>
      </c>
    </row>
    <row r="1527" spans="1:5" x14ac:dyDescent="0.25">
      <c r="A1527" s="2" t="s">
        <v>1801</v>
      </c>
      <c r="B1527" s="2" t="s">
        <v>483</v>
      </c>
      <c r="C1527" s="2">
        <v>3</v>
      </c>
      <c r="D1527" t="str">
        <f t="shared" si="23"/>
        <v>CA-2014-168368_OFF-BI-10004654</v>
      </c>
      <c r="E1527" t="str">
        <f>IF(COUNTIF(data2!$D:$D,D1527)=0,"Missing in Data2","Present")</f>
        <v>Present</v>
      </c>
    </row>
    <row r="1528" spans="1:5" x14ac:dyDescent="0.25">
      <c r="A1528" s="2" t="s">
        <v>1801</v>
      </c>
      <c r="B1528" s="2" t="s">
        <v>1680</v>
      </c>
      <c r="C1528" s="2">
        <v>2</v>
      </c>
      <c r="D1528" t="str">
        <f t="shared" si="23"/>
        <v>CA-2014-168368_OFF-BI-10004728</v>
      </c>
      <c r="E1528" t="str">
        <f>IF(COUNTIF(data2!$D:$D,D1528)=0,"Missing in Data2","Present")</f>
        <v>Present</v>
      </c>
    </row>
    <row r="1529" spans="1:5" x14ac:dyDescent="0.25">
      <c r="A1529" s="2" t="s">
        <v>1801</v>
      </c>
      <c r="B1529" s="2" t="s">
        <v>1803</v>
      </c>
      <c r="C1529" s="2">
        <v>3</v>
      </c>
      <c r="D1529" t="str">
        <f t="shared" si="23"/>
        <v>CA-2014-168368_OFF-LA-10004853</v>
      </c>
      <c r="E1529" t="str">
        <f>IF(COUNTIF(data2!$D:$D,D1529)=0,"Missing in Data2","Present")</f>
        <v>Present</v>
      </c>
    </row>
    <row r="1530" spans="1:5" x14ac:dyDescent="0.25">
      <c r="A1530" s="2" t="s">
        <v>1801</v>
      </c>
      <c r="B1530" s="2" t="s">
        <v>1268</v>
      </c>
      <c r="C1530" s="2">
        <v>2</v>
      </c>
      <c r="D1530" t="str">
        <f t="shared" si="23"/>
        <v>CA-2014-168368_OFF-ST-10002583</v>
      </c>
      <c r="E1530" t="str">
        <f>IF(COUNTIF(data2!$D:$D,D1530)=0,"Missing in Data2","Present")</f>
        <v>Present</v>
      </c>
    </row>
    <row r="1531" spans="1:5" x14ac:dyDescent="0.25">
      <c r="A1531" s="2" t="s">
        <v>1804</v>
      </c>
      <c r="B1531" s="2" t="s">
        <v>1339</v>
      </c>
      <c r="C1531" s="2">
        <v>6</v>
      </c>
      <c r="D1531" t="str">
        <f t="shared" si="23"/>
        <v>CA-2014-168473_OFF-ST-10000563</v>
      </c>
      <c r="E1531" t="str">
        <f>IF(COUNTIF(data2!$D:$D,D1531)=0,"Missing in Data2","Present")</f>
        <v>Present</v>
      </c>
    </row>
    <row r="1532" spans="1:5" x14ac:dyDescent="0.25">
      <c r="A1532" s="2" t="s">
        <v>1805</v>
      </c>
      <c r="B1532" s="2" t="s">
        <v>489</v>
      </c>
      <c r="C1532" s="2">
        <v>3</v>
      </c>
      <c r="D1532" t="str">
        <f t="shared" si="23"/>
        <v>CA-2014-168494_FUR-BO-10004467</v>
      </c>
      <c r="E1532" t="str">
        <f>IF(COUNTIF(data2!$D:$D,D1532)=0,"Missing in Data2","Present")</f>
        <v>Present</v>
      </c>
    </row>
    <row r="1533" spans="1:5" x14ac:dyDescent="0.25">
      <c r="A1533" s="2" t="s">
        <v>1805</v>
      </c>
      <c r="B1533" s="2" t="s">
        <v>1806</v>
      </c>
      <c r="C1533" s="2">
        <v>12</v>
      </c>
      <c r="D1533" t="str">
        <f t="shared" si="23"/>
        <v>CA-2014-168494_FUR-TA-10003473</v>
      </c>
      <c r="E1533" t="str">
        <f>IF(COUNTIF(data2!$D:$D,D1533)=0,"Missing in Data2","Present")</f>
        <v>Present</v>
      </c>
    </row>
    <row r="1534" spans="1:5" x14ac:dyDescent="0.25">
      <c r="A1534" s="2" t="s">
        <v>1807</v>
      </c>
      <c r="B1534" s="2" t="s">
        <v>1261</v>
      </c>
      <c r="C1534" s="2">
        <v>5</v>
      </c>
      <c r="D1534" t="str">
        <f t="shared" si="23"/>
        <v>CA-2014-168592_OFF-AP-10004785</v>
      </c>
      <c r="E1534" t="str">
        <f>IF(COUNTIF(data2!$D:$D,D1534)=0,"Missing in Data2","Present")</f>
        <v>Present</v>
      </c>
    </row>
    <row r="1535" spans="1:5" x14ac:dyDescent="0.25">
      <c r="A1535" s="2" t="s">
        <v>1807</v>
      </c>
      <c r="B1535" s="2" t="s">
        <v>1808</v>
      </c>
      <c r="C1535" s="2">
        <v>2</v>
      </c>
      <c r="D1535" t="str">
        <f t="shared" si="23"/>
        <v>CA-2014-168592_OFF-FA-10002988</v>
      </c>
      <c r="E1535" t="str">
        <f>IF(COUNTIF(data2!$D:$D,D1535)=0,"Missing in Data2","Present")</f>
        <v>Present</v>
      </c>
    </row>
    <row r="1536" spans="1:5" x14ac:dyDescent="0.25">
      <c r="A1536" s="2" t="s">
        <v>1807</v>
      </c>
      <c r="B1536" s="2" t="s">
        <v>1809</v>
      </c>
      <c r="C1536" s="2">
        <v>1</v>
      </c>
      <c r="D1536" t="str">
        <f t="shared" si="23"/>
        <v>CA-2014-168592_OFF-ST-10002406</v>
      </c>
      <c r="E1536" t="str">
        <f>IF(COUNTIF(data2!$D:$D,D1536)=0,"Missing in Data2","Present")</f>
        <v>Present</v>
      </c>
    </row>
    <row r="1537" spans="1:5" x14ac:dyDescent="0.25">
      <c r="A1537" s="2" t="s">
        <v>1810</v>
      </c>
      <c r="B1537" s="2" t="s">
        <v>153</v>
      </c>
      <c r="C1537" s="2">
        <v>9</v>
      </c>
      <c r="D1537" t="str">
        <f t="shared" si="23"/>
        <v>CA-2014-168823_OFF-LA-10004425</v>
      </c>
      <c r="E1537" t="str">
        <f>IF(COUNTIF(data2!$D:$D,D1537)=0,"Missing in Data2","Present")</f>
        <v>Present</v>
      </c>
    </row>
    <row r="1538" spans="1:5" x14ac:dyDescent="0.25">
      <c r="A1538" s="2" t="s">
        <v>1810</v>
      </c>
      <c r="B1538" s="2" t="s">
        <v>1811</v>
      </c>
      <c r="C1538" s="2">
        <v>3</v>
      </c>
      <c r="D1538" t="str">
        <f t="shared" si="23"/>
        <v>CA-2014-168823_OFF-PA-10004000</v>
      </c>
      <c r="E1538" t="str">
        <f>IF(COUNTIF(data2!$D:$D,D1538)=0,"Missing in Data2","Present")</f>
        <v>Present</v>
      </c>
    </row>
    <row r="1539" spans="1:5" x14ac:dyDescent="0.25">
      <c r="A1539" s="2" t="s">
        <v>1812</v>
      </c>
      <c r="B1539" s="2" t="s">
        <v>1378</v>
      </c>
      <c r="C1539" s="2">
        <v>3</v>
      </c>
      <c r="D1539" t="str">
        <f t="shared" ref="D1539:D1602" si="24">A1539&amp;"_"&amp;B1539</f>
        <v>CA-2014-168984_OFF-PA-10001166</v>
      </c>
      <c r="E1539" t="str">
        <f>IF(COUNTIF(data2!$D:$D,D1539)=0,"Missing in Data2","Present")</f>
        <v>Present</v>
      </c>
    </row>
    <row r="1540" spans="1:5" x14ac:dyDescent="0.25">
      <c r="A1540" s="2" t="s">
        <v>1812</v>
      </c>
      <c r="B1540" s="2" t="s">
        <v>763</v>
      </c>
      <c r="C1540" s="2">
        <v>5</v>
      </c>
      <c r="D1540" t="str">
        <f t="shared" si="24"/>
        <v>CA-2014-168984_OFF-ST-10001097</v>
      </c>
      <c r="E1540" t="str">
        <f>IF(COUNTIF(data2!$D:$D,D1540)=0,"Missing in Data2","Present")</f>
        <v>Present</v>
      </c>
    </row>
    <row r="1541" spans="1:5" x14ac:dyDescent="0.25">
      <c r="A1541" s="2" t="s">
        <v>1812</v>
      </c>
      <c r="B1541" s="2" t="s">
        <v>1409</v>
      </c>
      <c r="C1541" s="2">
        <v>4</v>
      </c>
      <c r="D1541" t="str">
        <f t="shared" si="24"/>
        <v>CA-2014-168984_TEC-PH-10000038</v>
      </c>
      <c r="E1541" t="str">
        <f>IF(COUNTIF(data2!$D:$D,D1541)=0,"Missing in Data2","Present")</f>
        <v>Present</v>
      </c>
    </row>
    <row r="1542" spans="1:5" x14ac:dyDescent="0.25">
      <c r="A1542" s="2" t="s">
        <v>1813</v>
      </c>
      <c r="B1542" s="2" t="s">
        <v>1814</v>
      </c>
      <c r="C1542" s="2">
        <v>3</v>
      </c>
      <c r="D1542" t="str">
        <f t="shared" si="24"/>
        <v>CA-2014-169019_FUR-FU-10004666</v>
      </c>
      <c r="E1542" t="str">
        <f>IF(COUNTIF(data2!$D:$D,D1542)=0,"Missing in Data2","Present")</f>
        <v>Present</v>
      </c>
    </row>
    <row r="1543" spans="1:5" x14ac:dyDescent="0.25">
      <c r="A1543" s="2" t="s">
        <v>1813</v>
      </c>
      <c r="B1543" s="2" t="s">
        <v>797</v>
      </c>
      <c r="C1543" s="2">
        <v>2</v>
      </c>
      <c r="D1543" t="str">
        <f t="shared" si="24"/>
        <v>CA-2014-169019_OFF-AP-10003281</v>
      </c>
      <c r="E1543" t="str">
        <f>IF(COUNTIF(data2!$D:$D,D1543)=0,"Missing in Data2","Present")</f>
        <v>Present</v>
      </c>
    </row>
    <row r="1544" spans="1:5" x14ac:dyDescent="0.25">
      <c r="A1544" s="2" t="s">
        <v>1813</v>
      </c>
      <c r="B1544" s="2" t="s">
        <v>1815</v>
      </c>
      <c r="C1544" s="2">
        <v>4</v>
      </c>
      <c r="D1544" t="str">
        <f t="shared" si="24"/>
        <v>CA-2014-169019_OFF-BI-10001524</v>
      </c>
      <c r="E1544" t="str">
        <f>IF(COUNTIF(data2!$D:$D,D1544)=0,"Missing in Data2","Present")</f>
        <v>Present</v>
      </c>
    </row>
    <row r="1545" spans="1:5" x14ac:dyDescent="0.25">
      <c r="A1545" s="2" t="s">
        <v>1813</v>
      </c>
      <c r="B1545" s="2" t="s">
        <v>1816</v>
      </c>
      <c r="C1545" s="2">
        <v>5</v>
      </c>
      <c r="D1545" t="str">
        <f t="shared" si="24"/>
        <v>CA-2014-169019_OFF-BI-10001679</v>
      </c>
      <c r="E1545" t="str">
        <f>IF(COUNTIF(data2!$D:$D,D1545)=0,"Missing in Data2","Present")</f>
        <v>Missing in Data2</v>
      </c>
    </row>
    <row r="1546" spans="1:5" x14ac:dyDescent="0.25">
      <c r="A1546" s="2" t="s">
        <v>1813</v>
      </c>
      <c r="B1546" s="2" t="s">
        <v>1302</v>
      </c>
      <c r="C1546" s="2">
        <v>8</v>
      </c>
      <c r="D1546" t="str">
        <f t="shared" si="24"/>
        <v>CA-2014-169019_OFF-BI-10004995</v>
      </c>
      <c r="E1546" t="str">
        <f>IF(COUNTIF(data2!$D:$D,D1546)=0,"Missing in Data2","Present")</f>
        <v>Present</v>
      </c>
    </row>
    <row r="1547" spans="1:5" x14ac:dyDescent="0.25">
      <c r="A1547" s="2" t="s">
        <v>1813</v>
      </c>
      <c r="B1547" s="2" t="s">
        <v>1817</v>
      </c>
      <c r="C1547" s="2">
        <v>9</v>
      </c>
      <c r="D1547" t="str">
        <f t="shared" si="24"/>
        <v>CA-2014-169019_TEC-AC-10002076</v>
      </c>
      <c r="E1547" t="str">
        <f>IF(COUNTIF(data2!$D:$D,D1547)=0,"Missing in Data2","Present")</f>
        <v>Missing in Data2</v>
      </c>
    </row>
    <row r="1548" spans="1:5" x14ac:dyDescent="0.25">
      <c r="A1548" s="2" t="s">
        <v>1818</v>
      </c>
      <c r="B1548" s="2" t="s">
        <v>1819</v>
      </c>
      <c r="C1548" s="2">
        <v>5</v>
      </c>
      <c r="D1548" t="str">
        <f t="shared" si="24"/>
        <v>CA-2014-169033_OFF-AR-10001915</v>
      </c>
      <c r="E1548" t="str">
        <f>IF(COUNTIF(data2!$D:$D,D1548)=0,"Missing in Data2","Present")</f>
        <v>Present</v>
      </c>
    </row>
    <row r="1549" spans="1:5" x14ac:dyDescent="0.25">
      <c r="A1549" s="2" t="s">
        <v>1820</v>
      </c>
      <c r="B1549" s="2" t="s">
        <v>1821</v>
      </c>
      <c r="C1549" s="2">
        <v>3</v>
      </c>
      <c r="D1549" t="str">
        <f t="shared" si="24"/>
        <v>CA-2014-169061_OFF-AR-10000588</v>
      </c>
      <c r="E1549" t="str">
        <f>IF(COUNTIF(data2!$D:$D,D1549)=0,"Missing in Data2","Present")</f>
        <v>Present</v>
      </c>
    </row>
    <row r="1550" spans="1:5" x14ac:dyDescent="0.25">
      <c r="A1550" s="2" t="s">
        <v>1820</v>
      </c>
      <c r="B1550" s="2" t="s">
        <v>1822</v>
      </c>
      <c r="C1550" s="2">
        <v>2</v>
      </c>
      <c r="D1550" t="str">
        <f t="shared" si="24"/>
        <v>CA-2014-169061_OFF-SU-10000381</v>
      </c>
      <c r="E1550" t="str">
        <f>IF(COUNTIF(data2!$D:$D,D1550)=0,"Missing in Data2","Present")</f>
        <v>Present</v>
      </c>
    </row>
    <row r="1551" spans="1:5" x14ac:dyDescent="0.25">
      <c r="A1551" s="2" t="s">
        <v>1820</v>
      </c>
      <c r="B1551" s="2" t="s">
        <v>1823</v>
      </c>
      <c r="C1551" s="2">
        <v>3</v>
      </c>
      <c r="D1551" t="str">
        <f t="shared" si="24"/>
        <v>CA-2014-169061_TEC-AC-10002001</v>
      </c>
      <c r="E1551" t="str">
        <f>IF(COUNTIF(data2!$D:$D,D1551)=0,"Missing in Data2","Present")</f>
        <v>Present</v>
      </c>
    </row>
    <row r="1552" spans="1:5" x14ac:dyDescent="0.25">
      <c r="A1552" s="2" t="s">
        <v>1824</v>
      </c>
      <c r="B1552" s="2" t="s">
        <v>1825</v>
      </c>
      <c r="C1552" s="2">
        <v>1</v>
      </c>
      <c r="D1552" t="str">
        <f t="shared" si="24"/>
        <v>CA-2014-169257_OFF-BI-10002557</v>
      </c>
      <c r="E1552" t="str">
        <f>IF(COUNTIF(data2!$D:$D,D1552)=0,"Missing in Data2","Present")</f>
        <v>Present</v>
      </c>
    </row>
    <row r="1553" spans="1:5" x14ac:dyDescent="0.25">
      <c r="A1553" s="2" t="s">
        <v>1824</v>
      </c>
      <c r="B1553" s="2" t="s">
        <v>1284</v>
      </c>
      <c r="C1553" s="2">
        <v>2</v>
      </c>
      <c r="D1553" t="str">
        <f t="shared" si="24"/>
        <v>CA-2014-169257_OFF-PA-10002319</v>
      </c>
      <c r="E1553" t="str">
        <f>IF(COUNTIF(data2!$D:$D,D1553)=0,"Missing in Data2","Present")</f>
        <v>Present</v>
      </c>
    </row>
    <row r="1554" spans="1:5" x14ac:dyDescent="0.25">
      <c r="A1554" s="2" t="s">
        <v>1826</v>
      </c>
      <c r="B1554" s="2" t="s">
        <v>1545</v>
      </c>
      <c r="C1554" s="2">
        <v>3</v>
      </c>
      <c r="D1554" t="str">
        <f t="shared" si="24"/>
        <v>CA-2014-169446_OFF-PA-10000295</v>
      </c>
      <c r="E1554" t="str">
        <f>IF(COUNTIF(data2!$D:$D,D1554)=0,"Missing in Data2","Present")</f>
        <v>Present</v>
      </c>
    </row>
    <row r="1555" spans="1:5" x14ac:dyDescent="0.25">
      <c r="A1555" s="2" t="s">
        <v>1826</v>
      </c>
      <c r="B1555" s="2" t="s">
        <v>1827</v>
      </c>
      <c r="C1555" s="2">
        <v>3</v>
      </c>
      <c r="D1555" t="str">
        <f t="shared" si="24"/>
        <v>CA-2014-169446_OFF-ST-10000419</v>
      </c>
      <c r="E1555" t="str">
        <f>IF(COUNTIF(data2!$D:$D,D1555)=0,"Missing in Data2","Present")</f>
        <v>Present</v>
      </c>
    </row>
    <row r="1556" spans="1:5" x14ac:dyDescent="0.25">
      <c r="A1556" s="2" t="s">
        <v>1826</v>
      </c>
      <c r="B1556" s="2" t="s">
        <v>1828</v>
      </c>
      <c r="C1556" s="2">
        <v>3</v>
      </c>
      <c r="D1556" t="str">
        <f t="shared" si="24"/>
        <v>CA-2014-169446_TEC-PH-10002817</v>
      </c>
      <c r="E1556" t="str">
        <f>IF(COUNTIF(data2!$D:$D,D1556)=0,"Missing in Data2","Present")</f>
        <v>Present</v>
      </c>
    </row>
    <row r="1557" spans="1:5" x14ac:dyDescent="0.25">
      <c r="A1557" s="2" t="s">
        <v>1829</v>
      </c>
      <c r="B1557" s="2" t="s">
        <v>1830</v>
      </c>
      <c r="C1557" s="2">
        <v>3</v>
      </c>
      <c r="D1557" t="str">
        <f t="shared" si="24"/>
        <v>CA-2014-169460_FUR-FU-10004017</v>
      </c>
      <c r="E1557" t="str">
        <f>IF(COUNTIF(data2!$D:$D,D1557)=0,"Missing in Data2","Present")</f>
        <v>Present</v>
      </c>
    </row>
    <row r="1558" spans="1:5" x14ac:dyDescent="0.25">
      <c r="A1558" s="2" t="s">
        <v>1831</v>
      </c>
      <c r="B1558" s="2" t="s">
        <v>116</v>
      </c>
      <c r="C1558" s="2">
        <v>2</v>
      </c>
      <c r="D1558" t="str">
        <f t="shared" si="24"/>
        <v>CA-2014-169642_OFF-ST-10002574</v>
      </c>
      <c r="E1558" t="str">
        <f>IF(COUNTIF(data2!$D:$D,D1558)=0,"Missing in Data2","Present")</f>
        <v>Present</v>
      </c>
    </row>
    <row r="1559" spans="1:5" x14ac:dyDescent="0.25">
      <c r="A1559" s="2" t="s">
        <v>1832</v>
      </c>
      <c r="B1559" s="2" t="s">
        <v>1183</v>
      </c>
      <c r="C1559" s="2">
        <v>2</v>
      </c>
      <c r="D1559" t="str">
        <f t="shared" si="24"/>
        <v>CA-2014-169649_OFF-AP-10003287</v>
      </c>
      <c r="E1559" t="str">
        <f>IF(COUNTIF(data2!$D:$D,D1559)=0,"Missing in Data2","Present")</f>
        <v>Present</v>
      </c>
    </row>
    <row r="1560" spans="1:5" x14ac:dyDescent="0.25">
      <c r="A1560" s="2" t="s">
        <v>1832</v>
      </c>
      <c r="B1560" s="2" t="s">
        <v>1833</v>
      </c>
      <c r="C1560" s="2">
        <v>2</v>
      </c>
      <c r="D1560" t="str">
        <f t="shared" si="24"/>
        <v>CA-2014-169649_OFF-PA-10000143</v>
      </c>
      <c r="E1560" t="str">
        <f>IF(COUNTIF(data2!$D:$D,D1560)=0,"Missing in Data2","Present")</f>
        <v>Present</v>
      </c>
    </row>
    <row r="1561" spans="1:5" x14ac:dyDescent="0.25">
      <c r="A1561" s="2" t="s">
        <v>1834</v>
      </c>
      <c r="B1561" s="2" t="s">
        <v>770</v>
      </c>
      <c r="C1561" s="2">
        <v>3</v>
      </c>
      <c r="D1561" t="str">
        <f t="shared" si="24"/>
        <v>CA-2014-169684_FUR-TA-10003008</v>
      </c>
      <c r="E1561" t="str">
        <f>IF(COUNTIF(data2!$D:$D,D1561)=0,"Missing in Data2","Present")</f>
        <v>Present</v>
      </c>
    </row>
    <row r="1562" spans="1:5" x14ac:dyDescent="0.25">
      <c r="A1562" s="2" t="s">
        <v>1834</v>
      </c>
      <c r="B1562" s="2" t="s">
        <v>195</v>
      </c>
      <c r="C1562" s="2">
        <v>3</v>
      </c>
      <c r="D1562" t="str">
        <f t="shared" si="24"/>
        <v>CA-2014-169684_OFF-ST-10000934</v>
      </c>
      <c r="E1562" t="str">
        <f>IF(COUNTIF(data2!$D:$D,D1562)=0,"Missing in Data2","Present")</f>
        <v>Present</v>
      </c>
    </row>
    <row r="1563" spans="1:5" x14ac:dyDescent="0.25">
      <c r="A1563" s="2" t="s">
        <v>1835</v>
      </c>
      <c r="B1563" s="2" t="s">
        <v>113</v>
      </c>
      <c r="C1563" s="2">
        <v>7</v>
      </c>
      <c r="D1563" t="str">
        <f t="shared" si="24"/>
        <v>CA-2014-169726_OFF-BI-10004600</v>
      </c>
      <c r="E1563" t="str">
        <f>IF(COUNTIF(data2!$D:$D,D1563)=0,"Missing in Data2","Present")</f>
        <v>Present</v>
      </c>
    </row>
    <row r="1564" spans="1:5" x14ac:dyDescent="0.25">
      <c r="A1564" s="2" t="s">
        <v>1836</v>
      </c>
      <c r="B1564" s="2" t="s">
        <v>1837</v>
      </c>
      <c r="C1564" s="2">
        <v>3</v>
      </c>
      <c r="D1564" t="str">
        <f t="shared" si="24"/>
        <v>CA-2014-169775_FUR-TA-10001857</v>
      </c>
      <c r="E1564" t="str">
        <f>IF(COUNTIF(data2!$D:$D,D1564)=0,"Missing in Data2","Present")</f>
        <v>Present</v>
      </c>
    </row>
    <row r="1565" spans="1:5" x14ac:dyDescent="0.25">
      <c r="A1565" s="2" t="s">
        <v>1836</v>
      </c>
      <c r="B1565" s="2" t="s">
        <v>895</v>
      </c>
      <c r="C1565" s="2">
        <v>4</v>
      </c>
      <c r="D1565" t="str">
        <f t="shared" si="24"/>
        <v>CA-2014-169775_OFF-BI-10004390</v>
      </c>
      <c r="E1565" t="str">
        <f>IF(COUNTIF(data2!$D:$D,D1565)=0,"Missing in Data2","Present")</f>
        <v>Present</v>
      </c>
    </row>
    <row r="1566" spans="1:5" x14ac:dyDescent="0.25">
      <c r="A1566" s="2" t="s">
        <v>1836</v>
      </c>
      <c r="B1566" s="2" t="s">
        <v>1838</v>
      </c>
      <c r="C1566" s="2">
        <v>2</v>
      </c>
      <c r="D1566" t="str">
        <f t="shared" si="24"/>
        <v>CA-2014-169775_OFF-EN-10001749</v>
      </c>
      <c r="E1566" t="str">
        <f>IF(COUNTIF(data2!$D:$D,D1566)=0,"Missing in Data2","Present")</f>
        <v>Present</v>
      </c>
    </row>
    <row r="1567" spans="1:5" x14ac:dyDescent="0.25">
      <c r="A1567" s="2" t="s">
        <v>1839</v>
      </c>
      <c r="B1567" s="2" t="s">
        <v>1840</v>
      </c>
      <c r="C1567" s="2">
        <v>3</v>
      </c>
      <c r="D1567" t="str">
        <f t="shared" si="24"/>
        <v>CA-2014-169803_FUR-TA-10000688</v>
      </c>
      <c r="E1567" t="str">
        <f>IF(COUNTIF(data2!$D:$D,D1567)=0,"Missing in Data2","Present")</f>
        <v>Present</v>
      </c>
    </row>
    <row r="1568" spans="1:5" x14ac:dyDescent="0.25">
      <c r="A1568" s="2" t="s">
        <v>1839</v>
      </c>
      <c r="B1568" s="2" t="s">
        <v>1841</v>
      </c>
      <c r="C1568" s="2">
        <v>2</v>
      </c>
      <c r="D1568" t="str">
        <f t="shared" si="24"/>
        <v>CA-2014-169803_TEC-AC-10003441</v>
      </c>
      <c r="E1568" t="str">
        <f>IF(COUNTIF(data2!$D:$D,D1568)=0,"Missing in Data2","Present")</f>
        <v>Present</v>
      </c>
    </row>
    <row r="1569" spans="1:5" x14ac:dyDescent="0.25">
      <c r="A1569" s="2" t="s">
        <v>1842</v>
      </c>
      <c r="B1569" s="2" t="s">
        <v>1843</v>
      </c>
      <c r="C1569" s="2">
        <v>3</v>
      </c>
      <c r="D1569" t="str">
        <f t="shared" si="24"/>
        <v>CA-2014-169852_OFF-BI-10001460</v>
      </c>
      <c r="E1569" t="str">
        <f>IF(COUNTIF(data2!$D:$D,D1569)=0,"Missing in Data2","Present")</f>
        <v>Present</v>
      </c>
    </row>
    <row r="1570" spans="1:5" x14ac:dyDescent="0.25">
      <c r="A1570" s="2" t="s">
        <v>1844</v>
      </c>
      <c r="B1570" s="2" t="s">
        <v>631</v>
      </c>
      <c r="C1570" s="2">
        <v>5</v>
      </c>
      <c r="D1570" t="str">
        <f t="shared" si="24"/>
        <v>CA-2015-100146_FUR-BO-10004015</v>
      </c>
      <c r="E1570" t="str">
        <f>IF(COUNTIF(data2!$D:$D,D1570)=0,"Missing in Data2","Present")</f>
        <v>Missing in Data2</v>
      </c>
    </row>
    <row r="1571" spans="1:5" x14ac:dyDescent="0.25">
      <c r="A1571" s="2" t="s">
        <v>1844</v>
      </c>
      <c r="B1571" s="2" t="s">
        <v>246</v>
      </c>
      <c r="C1571" s="2">
        <v>2</v>
      </c>
      <c r="D1571" t="str">
        <f t="shared" si="24"/>
        <v>CA-2015-100146_FUR-CH-10003833</v>
      </c>
      <c r="E1571" t="str">
        <f>IF(COUNTIF(data2!$D:$D,D1571)=0,"Missing in Data2","Present")</f>
        <v>Present</v>
      </c>
    </row>
    <row r="1572" spans="1:5" x14ac:dyDescent="0.25">
      <c r="A1572" s="2" t="s">
        <v>1844</v>
      </c>
      <c r="B1572" s="2" t="s">
        <v>193</v>
      </c>
      <c r="C1572" s="2">
        <v>3</v>
      </c>
      <c r="D1572" t="str">
        <f t="shared" si="24"/>
        <v>CA-2015-100146_FUR-CH-10004495</v>
      </c>
      <c r="E1572" t="str">
        <f>IF(COUNTIF(data2!$D:$D,D1572)=0,"Missing in Data2","Present")</f>
        <v>Present</v>
      </c>
    </row>
    <row r="1573" spans="1:5" x14ac:dyDescent="0.25">
      <c r="A1573" s="2" t="s">
        <v>1844</v>
      </c>
      <c r="B1573" s="2" t="s">
        <v>1845</v>
      </c>
      <c r="C1573" s="2">
        <v>3</v>
      </c>
      <c r="D1573" t="str">
        <f t="shared" si="24"/>
        <v>CA-2015-100146_FUR-FU-10001979</v>
      </c>
      <c r="E1573" t="str">
        <f>IF(COUNTIF(data2!$D:$D,D1573)=0,"Missing in Data2","Present")</f>
        <v>Present</v>
      </c>
    </row>
    <row r="1574" spans="1:5" x14ac:dyDescent="0.25">
      <c r="A1574" s="2" t="s">
        <v>1846</v>
      </c>
      <c r="B1574" s="2" t="s">
        <v>320</v>
      </c>
      <c r="C1574" s="2">
        <v>6</v>
      </c>
      <c r="D1574" t="str">
        <f t="shared" si="24"/>
        <v>CA-2015-100216_OFF-PA-10000788</v>
      </c>
      <c r="E1574" t="str">
        <f>IF(COUNTIF(data2!$D:$D,D1574)=0,"Missing in Data2","Present")</f>
        <v>Present</v>
      </c>
    </row>
    <row r="1575" spans="1:5" x14ac:dyDescent="0.25">
      <c r="A1575" s="2" t="s">
        <v>1846</v>
      </c>
      <c r="B1575" s="2" t="s">
        <v>1847</v>
      </c>
      <c r="C1575" s="2">
        <v>3</v>
      </c>
      <c r="D1575" t="str">
        <f t="shared" si="24"/>
        <v>CA-2015-100216_OFF-PA-10002968</v>
      </c>
      <c r="E1575" t="str">
        <f>IF(COUNTIF(data2!$D:$D,D1575)=0,"Missing in Data2","Present")</f>
        <v>Present</v>
      </c>
    </row>
    <row r="1576" spans="1:5" x14ac:dyDescent="0.25">
      <c r="A1576" s="2" t="s">
        <v>1848</v>
      </c>
      <c r="B1576" s="2" t="s">
        <v>1849</v>
      </c>
      <c r="C1576" s="2">
        <v>10</v>
      </c>
      <c r="D1576" t="str">
        <f t="shared" si="24"/>
        <v>CA-2015-100251_OFF-LA-10003766</v>
      </c>
      <c r="E1576" t="str">
        <f>IF(COUNTIF(data2!$D:$D,D1576)=0,"Missing in Data2","Present")</f>
        <v>Present</v>
      </c>
    </row>
    <row r="1577" spans="1:5" x14ac:dyDescent="0.25">
      <c r="A1577" s="2" t="s">
        <v>1848</v>
      </c>
      <c r="B1577" s="2" t="s">
        <v>1850</v>
      </c>
      <c r="C1577" s="2">
        <v>4</v>
      </c>
      <c r="D1577" t="str">
        <f t="shared" si="24"/>
        <v>CA-2015-100251_OFF-SU-10000898</v>
      </c>
      <c r="E1577" t="str">
        <f>IF(COUNTIF(data2!$D:$D,D1577)=0,"Missing in Data2","Present")</f>
        <v>Present</v>
      </c>
    </row>
    <row r="1578" spans="1:5" x14ac:dyDescent="0.25">
      <c r="A1578" s="2" t="s">
        <v>1851</v>
      </c>
      <c r="B1578" s="2" t="s">
        <v>1852</v>
      </c>
      <c r="C1578" s="2">
        <v>4</v>
      </c>
      <c r="D1578" t="str">
        <f t="shared" si="24"/>
        <v>CA-2015-100454_FUR-BO-10001519</v>
      </c>
      <c r="E1578" t="str">
        <f>IF(COUNTIF(data2!$D:$D,D1578)=0,"Missing in Data2","Present")</f>
        <v>Present</v>
      </c>
    </row>
    <row r="1579" spans="1:5" x14ac:dyDescent="0.25">
      <c r="A1579" s="2" t="s">
        <v>1851</v>
      </c>
      <c r="B1579" s="2" t="s">
        <v>1745</v>
      </c>
      <c r="C1579" s="2">
        <v>4</v>
      </c>
      <c r="D1579" t="str">
        <f t="shared" si="24"/>
        <v>CA-2015-100454_OFF-AR-10002578</v>
      </c>
      <c r="E1579" t="str">
        <f>IF(COUNTIF(data2!$D:$D,D1579)=0,"Missing in Data2","Present")</f>
        <v>Present</v>
      </c>
    </row>
    <row r="1580" spans="1:5" x14ac:dyDescent="0.25">
      <c r="A1580" s="2" t="s">
        <v>1851</v>
      </c>
      <c r="B1580" s="2" t="s">
        <v>1853</v>
      </c>
      <c r="C1580" s="2">
        <v>3</v>
      </c>
      <c r="D1580" t="str">
        <f t="shared" si="24"/>
        <v>CA-2015-100454_OFF-AR-10004648</v>
      </c>
      <c r="E1580" t="str">
        <f>IF(COUNTIF(data2!$D:$D,D1580)=0,"Missing in Data2","Present")</f>
        <v>Present</v>
      </c>
    </row>
    <row r="1581" spans="1:5" x14ac:dyDescent="0.25">
      <c r="A1581" s="2" t="s">
        <v>1854</v>
      </c>
      <c r="B1581" s="2" t="s">
        <v>1855</v>
      </c>
      <c r="C1581" s="2">
        <v>2</v>
      </c>
      <c r="D1581" t="str">
        <f t="shared" si="24"/>
        <v>CA-2015-100573_OFF-EN-10000461</v>
      </c>
      <c r="E1581" t="str">
        <f>IF(COUNTIF(data2!$D:$D,D1581)=0,"Missing in Data2","Present")</f>
        <v>Missing in Data2</v>
      </c>
    </row>
    <row r="1582" spans="1:5" x14ac:dyDescent="0.25">
      <c r="A1582" s="2" t="s">
        <v>1856</v>
      </c>
      <c r="B1582" s="2" t="s">
        <v>1857</v>
      </c>
      <c r="C1582" s="2">
        <v>2</v>
      </c>
      <c r="D1582" t="str">
        <f t="shared" si="24"/>
        <v>CA-2015-100657_FUR-CH-10003535</v>
      </c>
      <c r="E1582" t="str">
        <f>IF(COUNTIF(data2!$D:$D,D1582)=0,"Missing in Data2","Present")</f>
        <v>Present</v>
      </c>
    </row>
    <row r="1583" spans="1:5" x14ac:dyDescent="0.25">
      <c r="A1583" s="2" t="s">
        <v>1858</v>
      </c>
      <c r="B1583" s="2" t="s">
        <v>982</v>
      </c>
      <c r="C1583" s="2">
        <v>2</v>
      </c>
      <c r="D1583" t="str">
        <f t="shared" si="24"/>
        <v>CA-2015-100685_OFF-BI-10003094</v>
      </c>
      <c r="E1583" t="str">
        <f>IF(COUNTIF(data2!$D:$D,D1583)=0,"Missing in Data2","Present")</f>
        <v>Present</v>
      </c>
    </row>
    <row r="1584" spans="1:5" x14ac:dyDescent="0.25">
      <c r="A1584" s="2" t="s">
        <v>1858</v>
      </c>
      <c r="B1584" s="2" t="s">
        <v>1859</v>
      </c>
      <c r="C1584" s="2">
        <v>4</v>
      </c>
      <c r="D1584" t="str">
        <f t="shared" si="24"/>
        <v>CA-2015-100685_OFF-FA-10003472</v>
      </c>
      <c r="E1584" t="str">
        <f>IF(COUNTIF(data2!$D:$D,D1584)=0,"Missing in Data2","Present")</f>
        <v>Present</v>
      </c>
    </row>
    <row r="1585" spans="1:5" x14ac:dyDescent="0.25">
      <c r="A1585" s="2" t="s">
        <v>1858</v>
      </c>
      <c r="B1585" s="2" t="s">
        <v>789</v>
      </c>
      <c r="C1585" s="2">
        <v>3</v>
      </c>
      <c r="D1585" t="str">
        <f t="shared" si="24"/>
        <v>CA-2015-100685_OFF-PA-10001289</v>
      </c>
      <c r="E1585" t="str">
        <f>IF(COUNTIF(data2!$D:$D,D1585)=0,"Missing in Data2","Present")</f>
        <v>Present</v>
      </c>
    </row>
    <row r="1586" spans="1:5" x14ac:dyDescent="0.25">
      <c r="A1586" s="2" t="s">
        <v>1860</v>
      </c>
      <c r="B1586" s="2" t="s">
        <v>374</v>
      </c>
      <c r="C1586" s="2">
        <v>2</v>
      </c>
      <c r="D1586" t="str">
        <f t="shared" si="24"/>
        <v>CA-2015-100734_OFF-ST-10001522</v>
      </c>
      <c r="E1586" t="str">
        <f>IF(COUNTIF(data2!$D:$D,D1586)=0,"Missing in Data2","Present")</f>
        <v>Present</v>
      </c>
    </row>
    <row r="1587" spans="1:5" x14ac:dyDescent="0.25">
      <c r="A1587" s="2" t="s">
        <v>1861</v>
      </c>
      <c r="B1587" s="2" t="s">
        <v>1862</v>
      </c>
      <c r="C1587" s="2">
        <v>4</v>
      </c>
      <c r="D1587" t="str">
        <f t="shared" si="24"/>
        <v>CA-2015-100769_TEC-AC-10002402</v>
      </c>
      <c r="E1587" t="str">
        <f>IF(COUNTIF(data2!$D:$D,D1587)=0,"Missing in Data2","Present")</f>
        <v>Present</v>
      </c>
    </row>
    <row r="1588" spans="1:5" x14ac:dyDescent="0.25">
      <c r="A1588" s="2" t="s">
        <v>1863</v>
      </c>
      <c r="B1588" s="2" t="s">
        <v>1864</v>
      </c>
      <c r="C1588" s="2">
        <v>2</v>
      </c>
      <c r="D1588" t="str">
        <f t="shared" si="24"/>
        <v>CA-2015-100818_FUR-FU-10002703</v>
      </c>
      <c r="E1588" t="str">
        <f>IF(COUNTIF(data2!$D:$D,D1588)=0,"Missing in Data2","Present")</f>
        <v>Present</v>
      </c>
    </row>
    <row r="1589" spans="1:5" x14ac:dyDescent="0.25">
      <c r="A1589" s="2" t="s">
        <v>1863</v>
      </c>
      <c r="B1589" s="2" t="s">
        <v>432</v>
      </c>
      <c r="C1589" s="2">
        <v>3</v>
      </c>
      <c r="D1589" t="str">
        <f t="shared" si="24"/>
        <v>CA-2015-100818_OFF-BI-10004364</v>
      </c>
      <c r="E1589" t="str">
        <f>IF(COUNTIF(data2!$D:$D,D1589)=0,"Missing in Data2","Present")</f>
        <v>Present</v>
      </c>
    </row>
    <row r="1590" spans="1:5" x14ac:dyDescent="0.25">
      <c r="A1590" s="2" t="s">
        <v>1863</v>
      </c>
      <c r="B1590" s="2" t="s">
        <v>172</v>
      </c>
      <c r="C1590" s="2">
        <v>2</v>
      </c>
      <c r="D1590" t="str">
        <f t="shared" si="24"/>
        <v>CA-2015-100818_OFF-LA-10000443</v>
      </c>
      <c r="E1590" t="str">
        <f>IF(COUNTIF(data2!$D:$D,D1590)=0,"Missing in Data2","Present")</f>
        <v>Present</v>
      </c>
    </row>
    <row r="1591" spans="1:5" x14ac:dyDescent="0.25">
      <c r="A1591" s="2" t="s">
        <v>1863</v>
      </c>
      <c r="B1591" s="2" t="s">
        <v>781</v>
      </c>
      <c r="C1591" s="2">
        <v>7</v>
      </c>
      <c r="D1591" t="str">
        <f t="shared" si="24"/>
        <v>CA-2015-100818_OFF-PA-10001125</v>
      </c>
      <c r="E1591" t="str">
        <f>IF(COUNTIF(data2!$D:$D,D1591)=0,"Missing in Data2","Present")</f>
        <v>Present</v>
      </c>
    </row>
    <row r="1592" spans="1:5" x14ac:dyDescent="0.25">
      <c r="A1592" s="2" t="s">
        <v>1865</v>
      </c>
      <c r="B1592" s="2" t="s">
        <v>802</v>
      </c>
      <c r="C1592" s="2">
        <v>3</v>
      </c>
      <c r="D1592" t="str">
        <f t="shared" si="24"/>
        <v>CA-2015-100888_OFF-PA-10001019</v>
      </c>
      <c r="E1592" t="str">
        <f>IF(COUNTIF(data2!$D:$D,D1592)=0,"Missing in Data2","Present")</f>
        <v>Present</v>
      </c>
    </row>
    <row r="1593" spans="1:5" x14ac:dyDescent="0.25">
      <c r="A1593" s="2" t="s">
        <v>1866</v>
      </c>
      <c r="B1593" s="2" t="s">
        <v>1867</v>
      </c>
      <c r="C1593" s="2">
        <v>3</v>
      </c>
      <c r="D1593" t="str">
        <f t="shared" si="24"/>
        <v>CA-2015-101000_OFF-AP-10000179</v>
      </c>
      <c r="E1593" t="str">
        <f>IF(COUNTIF(data2!$D:$D,D1593)=0,"Missing in Data2","Present")</f>
        <v>Present</v>
      </c>
    </row>
    <row r="1594" spans="1:5" x14ac:dyDescent="0.25">
      <c r="A1594" s="2" t="s">
        <v>1868</v>
      </c>
      <c r="B1594" s="2" t="s">
        <v>1097</v>
      </c>
      <c r="C1594" s="2">
        <v>2</v>
      </c>
      <c r="D1594" t="str">
        <f t="shared" si="24"/>
        <v>CA-2015-101007_TEC-AC-10001266</v>
      </c>
      <c r="E1594" t="str">
        <f>IF(COUNTIF(data2!$D:$D,D1594)=0,"Missing in Data2","Present")</f>
        <v>Present</v>
      </c>
    </row>
    <row r="1595" spans="1:5" x14ac:dyDescent="0.25">
      <c r="A1595" s="2" t="s">
        <v>1869</v>
      </c>
      <c r="B1595" s="2" t="s">
        <v>534</v>
      </c>
      <c r="C1595" s="2">
        <v>6</v>
      </c>
      <c r="D1595" t="str">
        <f t="shared" si="24"/>
        <v>CA-2015-101091_OFF-BI-10001107</v>
      </c>
      <c r="E1595" t="str">
        <f>IF(COUNTIF(data2!$D:$D,D1595)=0,"Missing in Data2","Present")</f>
        <v>Present</v>
      </c>
    </row>
    <row r="1596" spans="1:5" x14ac:dyDescent="0.25">
      <c r="A1596" s="2" t="s">
        <v>1869</v>
      </c>
      <c r="B1596" s="2" t="s">
        <v>1870</v>
      </c>
      <c r="C1596" s="2">
        <v>2</v>
      </c>
      <c r="D1596" t="str">
        <f t="shared" si="24"/>
        <v>CA-2015-101091_TEC-AC-10003280</v>
      </c>
      <c r="E1596" t="str">
        <f>IF(COUNTIF(data2!$D:$D,D1596)=0,"Missing in Data2","Present")</f>
        <v>Present</v>
      </c>
    </row>
    <row r="1597" spans="1:5" x14ac:dyDescent="0.25">
      <c r="A1597" s="2" t="s">
        <v>1871</v>
      </c>
      <c r="B1597" s="2" t="s">
        <v>166</v>
      </c>
      <c r="C1597" s="2">
        <v>5</v>
      </c>
      <c r="D1597" t="str">
        <f t="shared" si="24"/>
        <v>CA-2015-101126_OFF-ST-10000943</v>
      </c>
      <c r="E1597" t="str">
        <f>IF(COUNTIF(data2!$D:$D,D1597)=0,"Missing in Data2","Present")</f>
        <v>Present</v>
      </c>
    </row>
    <row r="1598" spans="1:5" x14ac:dyDescent="0.25">
      <c r="A1598" s="2" t="s">
        <v>1872</v>
      </c>
      <c r="B1598" s="2" t="s">
        <v>231</v>
      </c>
      <c r="C1598" s="2">
        <v>4</v>
      </c>
      <c r="D1598" t="str">
        <f t="shared" si="24"/>
        <v>CA-2015-101154_OFF-ST-10004186</v>
      </c>
      <c r="E1598" t="str">
        <f>IF(COUNTIF(data2!$D:$D,D1598)=0,"Missing in Data2","Present")</f>
        <v>Present</v>
      </c>
    </row>
    <row r="1599" spans="1:5" x14ac:dyDescent="0.25">
      <c r="A1599" s="2" t="s">
        <v>1873</v>
      </c>
      <c r="B1599" s="2" t="s">
        <v>1874</v>
      </c>
      <c r="C1599" s="2">
        <v>1</v>
      </c>
      <c r="D1599" t="str">
        <f t="shared" si="24"/>
        <v>CA-2015-101707_OFF-LA-10000134</v>
      </c>
      <c r="E1599" t="str">
        <f>IF(COUNTIF(data2!$D:$D,D1599)=0,"Missing in Data2","Present")</f>
        <v>Present</v>
      </c>
    </row>
    <row r="1600" spans="1:5" x14ac:dyDescent="0.25">
      <c r="A1600" s="2" t="s">
        <v>1873</v>
      </c>
      <c r="B1600" s="2" t="s">
        <v>1847</v>
      </c>
      <c r="C1600" s="2">
        <v>5</v>
      </c>
      <c r="D1600" t="str">
        <f t="shared" si="24"/>
        <v>CA-2015-101707_OFF-PA-10002968</v>
      </c>
      <c r="E1600" t="str">
        <f>IF(COUNTIF(data2!$D:$D,D1600)=0,"Missing in Data2","Present")</f>
        <v>Present</v>
      </c>
    </row>
    <row r="1601" spans="1:5" x14ac:dyDescent="0.25">
      <c r="A1601" s="2" t="s">
        <v>1873</v>
      </c>
      <c r="B1601" s="2" t="s">
        <v>1875</v>
      </c>
      <c r="C1601" s="2">
        <v>3</v>
      </c>
      <c r="D1601" t="str">
        <f t="shared" si="24"/>
        <v>CA-2015-101707_OFF-SU-10001218</v>
      </c>
      <c r="E1601" t="str">
        <f>IF(COUNTIF(data2!$D:$D,D1601)=0,"Missing in Data2","Present")</f>
        <v>Present</v>
      </c>
    </row>
    <row r="1602" spans="1:5" x14ac:dyDescent="0.25">
      <c r="A1602" s="2" t="s">
        <v>1876</v>
      </c>
      <c r="B1602" s="2" t="s">
        <v>823</v>
      </c>
      <c r="C1602" s="2">
        <v>3</v>
      </c>
      <c r="D1602" t="str">
        <f t="shared" si="24"/>
        <v>CA-2015-101868_OFF-BI-10002133</v>
      </c>
      <c r="E1602" t="str">
        <f>IF(COUNTIF(data2!$D:$D,D1602)=0,"Missing in Data2","Present")</f>
        <v>Present</v>
      </c>
    </row>
    <row r="1603" spans="1:5" x14ac:dyDescent="0.25">
      <c r="A1603" s="2" t="s">
        <v>1876</v>
      </c>
      <c r="B1603" s="2" t="s">
        <v>303</v>
      </c>
      <c r="C1603" s="2">
        <v>5</v>
      </c>
      <c r="D1603" t="str">
        <f t="shared" ref="D1603:D1666" si="25">A1603&amp;"_"&amp;B1603</f>
        <v>CA-2015-101868_OFF-BI-10003876</v>
      </c>
      <c r="E1603" t="str">
        <f>IF(COUNTIF(data2!$D:$D,D1603)=0,"Missing in Data2","Present")</f>
        <v>Present</v>
      </c>
    </row>
    <row r="1604" spans="1:5" x14ac:dyDescent="0.25">
      <c r="A1604" s="2" t="s">
        <v>1876</v>
      </c>
      <c r="B1604" s="2" t="s">
        <v>1877</v>
      </c>
      <c r="C1604" s="2">
        <v>5</v>
      </c>
      <c r="D1604" t="str">
        <f t="shared" si="25"/>
        <v>CA-2015-101868_TEC-AC-10004396</v>
      </c>
      <c r="E1604" t="str">
        <f>IF(COUNTIF(data2!$D:$D,D1604)=0,"Missing in Data2","Present")</f>
        <v>Present</v>
      </c>
    </row>
    <row r="1605" spans="1:5" x14ac:dyDescent="0.25">
      <c r="A1605" s="2" t="s">
        <v>1878</v>
      </c>
      <c r="B1605" s="2" t="s">
        <v>1879</v>
      </c>
      <c r="C1605" s="2">
        <v>9</v>
      </c>
      <c r="D1605" t="str">
        <f t="shared" si="25"/>
        <v>CA-2015-101889_FUR-TA-10004154</v>
      </c>
      <c r="E1605" t="str">
        <f>IF(COUNTIF(data2!$D:$D,D1605)=0,"Missing in Data2","Present")</f>
        <v>Present</v>
      </c>
    </row>
    <row r="1606" spans="1:5" x14ac:dyDescent="0.25">
      <c r="A1606" s="2" t="s">
        <v>1878</v>
      </c>
      <c r="B1606" s="2" t="s">
        <v>481</v>
      </c>
      <c r="C1606" s="2">
        <v>3</v>
      </c>
      <c r="D1606" t="str">
        <f t="shared" si="25"/>
        <v>CA-2015-101889_OFF-EN-10003286</v>
      </c>
      <c r="E1606" t="str">
        <f>IF(COUNTIF(data2!$D:$D,D1606)=0,"Missing in Data2","Present")</f>
        <v>Present</v>
      </c>
    </row>
    <row r="1607" spans="1:5" x14ac:dyDescent="0.25">
      <c r="A1607" s="2" t="s">
        <v>1880</v>
      </c>
      <c r="B1607" s="2" t="s">
        <v>1419</v>
      </c>
      <c r="C1607" s="2">
        <v>5</v>
      </c>
      <c r="D1607" t="str">
        <f t="shared" si="25"/>
        <v>CA-2015-101910_FUR-CH-10002647</v>
      </c>
      <c r="E1607" t="str">
        <f>IF(COUNTIF(data2!$D:$D,D1607)=0,"Missing in Data2","Present")</f>
        <v>Present</v>
      </c>
    </row>
    <row r="1608" spans="1:5" x14ac:dyDescent="0.25">
      <c r="A1608" s="2" t="s">
        <v>1881</v>
      </c>
      <c r="B1608" s="2" t="s">
        <v>1014</v>
      </c>
      <c r="C1608" s="2">
        <v>2</v>
      </c>
      <c r="D1608" t="str">
        <f t="shared" si="25"/>
        <v>CA-2015-101924_OFF-BI-10000962</v>
      </c>
      <c r="E1608" t="str">
        <f>IF(COUNTIF(data2!$D:$D,D1608)=0,"Missing in Data2","Present")</f>
        <v>Present</v>
      </c>
    </row>
    <row r="1609" spans="1:5" x14ac:dyDescent="0.25">
      <c r="A1609" s="2" t="s">
        <v>1882</v>
      </c>
      <c r="B1609" s="2" t="s">
        <v>1194</v>
      </c>
      <c r="C1609" s="2">
        <v>2</v>
      </c>
      <c r="D1609" t="str">
        <f t="shared" si="25"/>
        <v>CA-2015-102015_OFF-AR-10004685</v>
      </c>
      <c r="E1609" t="str">
        <f>IF(COUNTIF(data2!$D:$D,D1609)=0,"Missing in Data2","Present")</f>
        <v>Present</v>
      </c>
    </row>
    <row r="1610" spans="1:5" x14ac:dyDescent="0.25">
      <c r="A1610" s="2" t="s">
        <v>1882</v>
      </c>
      <c r="B1610" s="2" t="s">
        <v>531</v>
      </c>
      <c r="C1610" s="2">
        <v>1</v>
      </c>
      <c r="D1610" t="str">
        <f t="shared" si="25"/>
        <v>CA-2015-102015_OFF-EN-10002504</v>
      </c>
      <c r="E1610" t="str">
        <f>IF(COUNTIF(data2!$D:$D,D1610)=0,"Missing in Data2","Present")</f>
        <v>Present</v>
      </c>
    </row>
    <row r="1611" spans="1:5" x14ac:dyDescent="0.25">
      <c r="A1611" s="2" t="s">
        <v>1882</v>
      </c>
      <c r="B1611" s="2" t="s">
        <v>1488</v>
      </c>
      <c r="C1611" s="2">
        <v>1</v>
      </c>
      <c r="D1611" t="str">
        <f t="shared" si="25"/>
        <v>CA-2015-102015_OFF-FA-10000490</v>
      </c>
      <c r="E1611" t="str">
        <f>IF(COUNTIF(data2!$D:$D,D1611)=0,"Missing in Data2","Present")</f>
        <v>Present</v>
      </c>
    </row>
    <row r="1612" spans="1:5" x14ac:dyDescent="0.25">
      <c r="A1612" s="2" t="s">
        <v>1882</v>
      </c>
      <c r="B1612" s="2" t="s">
        <v>218</v>
      </c>
      <c r="C1612" s="2">
        <v>2</v>
      </c>
      <c r="D1612" t="str">
        <f t="shared" si="25"/>
        <v>CA-2015-102015_OFF-LA-10002043</v>
      </c>
      <c r="E1612" t="str">
        <f>IF(COUNTIF(data2!$D:$D,D1612)=0,"Missing in Data2","Present")</f>
        <v>Present</v>
      </c>
    </row>
    <row r="1613" spans="1:5" x14ac:dyDescent="0.25">
      <c r="A1613" s="2" t="s">
        <v>1882</v>
      </c>
      <c r="B1613" s="2" t="s">
        <v>1883</v>
      </c>
      <c r="C1613" s="2">
        <v>5</v>
      </c>
      <c r="D1613" t="str">
        <f t="shared" si="25"/>
        <v>CA-2015-102015_OFF-PA-10002464</v>
      </c>
      <c r="E1613" t="str">
        <f>IF(COUNTIF(data2!$D:$D,D1613)=0,"Missing in Data2","Present")</f>
        <v>Present</v>
      </c>
    </row>
    <row r="1614" spans="1:5" x14ac:dyDescent="0.25">
      <c r="A1614" s="2" t="s">
        <v>1882</v>
      </c>
      <c r="B1614" s="2" t="s">
        <v>1347</v>
      </c>
      <c r="C1614" s="2">
        <v>2</v>
      </c>
      <c r="D1614" t="str">
        <f t="shared" si="25"/>
        <v>CA-2015-102015_OFF-ST-10001713</v>
      </c>
      <c r="E1614" t="str">
        <f>IF(COUNTIF(data2!$D:$D,D1614)=0,"Missing in Data2","Present")</f>
        <v>Present</v>
      </c>
    </row>
    <row r="1615" spans="1:5" x14ac:dyDescent="0.25">
      <c r="A1615" s="2" t="s">
        <v>1884</v>
      </c>
      <c r="B1615" s="2" t="s">
        <v>1465</v>
      </c>
      <c r="C1615" s="2">
        <v>6</v>
      </c>
      <c r="D1615" t="str">
        <f t="shared" si="25"/>
        <v>CA-2015-102036_OFF-ST-10003123</v>
      </c>
      <c r="E1615" t="str">
        <f>IF(COUNTIF(data2!$D:$D,D1615)=0,"Missing in Data2","Present")</f>
        <v>Present</v>
      </c>
    </row>
    <row r="1616" spans="1:5" x14ac:dyDescent="0.25">
      <c r="A1616" s="2" t="s">
        <v>1885</v>
      </c>
      <c r="B1616" s="2" t="s">
        <v>564</v>
      </c>
      <c r="C1616" s="2">
        <v>2</v>
      </c>
      <c r="D1616" t="str">
        <f t="shared" si="25"/>
        <v>CA-2015-102260_OFF-AR-10001315</v>
      </c>
      <c r="E1616" t="str">
        <f>IF(COUNTIF(data2!$D:$D,D1616)=0,"Missing in Data2","Present")</f>
        <v>Present</v>
      </c>
    </row>
    <row r="1617" spans="1:5" x14ac:dyDescent="0.25">
      <c r="A1617" s="2" t="s">
        <v>1885</v>
      </c>
      <c r="B1617" s="2" t="s">
        <v>1886</v>
      </c>
      <c r="C1617" s="2">
        <v>2</v>
      </c>
      <c r="D1617" t="str">
        <f t="shared" si="25"/>
        <v>CA-2015-102260_OFF-BI-10000042</v>
      </c>
      <c r="E1617" t="str">
        <f>IF(COUNTIF(data2!$D:$D,D1617)=0,"Missing in Data2","Present")</f>
        <v>Present</v>
      </c>
    </row>
    <row r="1618" spans="1:5" x14ac:dyDescent="0.25">
      <c r="A1618" s="2" t="s">
        <v>1885</v>
      </c>
      <c r="B1618" s="2" t="s">
        <v>1887</v>
      </c>
      <c r="C1618" s="2">
        <v>4</v>
      </c>
      <c r="D1618" t="str">
        <f t="shared" si="25"/>
        <v>CA-2015-102260_OFF-LA-10003714</v>
      </c>
      <c r="E1618" t="str">
        <f>IF(COUNTIF(data2!$D:$D,D1618)=0,"Missing in Data2","Present")</f>
        <v>Present</v>
      </c>
    </row>
    <row r="1619" spans="1:5" x14ac:dyDescent="0.25">
      <c r="A1619" s="2" t="s">
        <v>1885</v>
      </c>
      <c r="B1619" s="2" t="s">
        <v>830</v>
      </c>
      <c r="C1619" s="2">
        <v>1</v>
      </c>
      <c r="D1619" t="str">
        <f t="shared" si="25"/>
        <v>CA-2015-102260_OFF-ST-10002289</v>
      </c>
      <c r="E1619" t="str">
        <f>IF(COUNTIF(data2!$D:$D,D1619)=0,"Missing in Data2","Present")</f>
        <v>Missing in Data2</v>
      </c>
    </row>
    <row r="1620" spans="1:5" x14ac:dyDescent="0.25">
      <c r="A1620" s="2" t="s">
        <v>1885</v>
      </c>
      <c r="B1620" s="2" t="s">
        <v>495</v>
      </c>
      <c r="C1620" s="2">
        <v>4</v>
      </c>
      <c r="D1620" t="str">
        <f t="shared" si="25"/>
        <v>CA-2015-102260_OFF-ST-10003716</v>
      </c>
      <c r="E1620" t="str">
        <f>IF(COUNTIF(data2!$D:$D,D1620)=0,"Missing in Data2","Present")</f>
        <v>Present</v>
      </c>
    </row>
    <row r="1621" spans="1:5" x14ac:dyDescent="0.25">
      <c r="A1621" s="2" t="s">
        <v>1888</v>
      </c>
      <c r="B1621" s="2" t="s">
        <v>1533</v>
      </c>
      <c r="C1621" s="2">
        <v>3</v>
      </c>
      <c r="D1621" t="str">
        <f t="shared" si="25"/>
        <v>CA-2015-102281_FUR-BO-10002545</v>
      </c>
      <c r="E1621" t="str">
        <f>IF(COUNTIF(data2!$D:$D,D1621)=0,"Missing in Data2","Present")</f>
        <v>Present</v>
      </c>
    </row>
    <row r="1622" spans="1:5" x14ac:dyDescent="0.25">
      <c r="A1622" s="2" t="s">
        <v>1888</v>
      </c>
      <c r="B1622" s="2" t="s">
        <v>1417</v>
      </c>
      <c r="C1622" s="2">
        <v>4</v>
      </c>
      <c r="D1622" t="str">
        <f t="shared" si="25"/>
        <v>CA-2015-102281_FUR-BO-10002613</v>
      </c>
      <c r="E1622" t="str">
        <f>IF(COUNTIF(data2!$D:$D,D1622)=0,"Missing in Data2","Present")</f>
        <v>Present</v>
      </c>
    </row>
    <row r="1623" spans="1:5" x14ac:dyDescent="0.25">
      <c r="A1623" s="2" t="s">
        <v>1888</v>
      </c>
      <c r="B1623" s="2" t="s">
        <v>204</v>
      </c>
      <c r="C1623" s="2">
        <v>5</v>
      </c>
      <c r="D1623" t="str">
        <f t="shared" si="25"/>
        <v>CA-2015-102281_OFF-AR-10003514</v>
      </c>
      <c r="E1623" t="str">
        <f>IF(COUNTIF(data2!$D:$D,D1623)=0,"Missing in Data2","Present")</f>
        <v>Present</v>
      </c>
    </row>
    <row r="1624" spans="1:5" x14ac:dyDescent="0.25">
      <c r="A1624" s="2" t="s">
        <v>1888</v>
      </c>
      <c r="B1624" s="2" t="s">
        <v>1001</v>
      </c>
      <c r="C1624" s="2">
        <v>8</v>
      </c>
      <c r="D1624" t="str">
        <f t="shared" si="25"/>
        <v>CA-2015-102281_OFF-PA-10000061</v>
      </c>
      <c r="E1624" t="str">
        <f>IF(COUNTIF(data2!$D:$D,D1624)=0,"Missing in Data2","Present")</f>
        <v>Present</v>
      </c>
    </row>
    <row r="1625" spans="1:5" x14ac:dyDescent="0.25">
      <c r="A1625" s="2" t="s">
        <v>1888</v>
      </c>
      <c r="B1625" s="2" t="s">
        <v>924</v>
      </c>
      <c r="C1625" s="2">
        <v>6</v>
      </c>
      <c r="D1625" t="str">
        <f t="shared" si="25"/>
        <v>CA-2015-102281_TEC-PH-10001552</v>
      </c>
      <c r="E1625" t="str">
        <f>IF(COUNTIF(data2!$D:$D,D1625)=0,"Missing in Data2","Present")</f>
        <v>Present</v>
      </c>
    </row>
    <row r="1626" spans="1:5" x14ac:dyDescent="0.25">
      <c r="A1626" s="2" t="s">
        <v>1889</v>
      </c>
      <c r="B1626" s="2" t="s">
        <v>858</v>
      </c>
      <c r="C1626" s="2">
        <v>3</v>
      </c>
      <c r="D1626" t="str">
        <f t="shared" si="25"/>
        <v>CA-2015-102316_FUR-CH-10003396</v>
      </c>
      <c r="E1626" t="str">
        <f>IF(COUNTIF(data2!$D:$D,D1626)=0,"Missing in Data2","Present")</f>
        <v>Present</v>
      </c>
    </row>
    <row r="1627" spans="1:5" x14ac:dyDescent="0.25">
      <c r="A1627" s="2" t="s">
        <v>1889</v>
      </c>
      <c r="B1627" s="2" t="s">
        <v>614</v>
      </c>
      <c r="C1627" s="2">
        <v>2</v>
      </c>
      <c r="D1627" t="str">
        <f t="shared" si="25"/>
        <v>CA-2015-102316_TEC-PH-10000376</v>
      </c>
      <c r="E1627" t="str">
        <f>IF(COUNTIF(data2!$D:$D,D1627)=0,"Missing in Data2","Present")</f>
        <v>Present</v>
      </c>
    </row>
    <row r="1628" spans="1:5" x14ac:dyDescent="0.25">
      <c r="A1628" s="2" t="s">
        <v>1890</v>
      </c>
      <c r="B1628" s="2" t="s">
        <v>1891</v>
      </c>
      <c r="C1628" s="2">
        <v>7</v>
      </c>
      <c r="D1628" t="str">
        <f t="shared" si="25"/>
        <v>CA-2015-102491_TEC-MA-10000864</v>
      </c>
      <c r="E1628" t="str">
        <f>IF(COUNTIF(data2!$D:$D,D1628)=0,"Missing in Data2","Present")</f>
        <v>Present</v>
      </c>
    </row>
    <row r="1629" spans="1:5" x14ac:dyDescent="0.25">
      <c r="A1629" s="2" t="s">
        <v>1890</v>
      </c>
      <c r="B1629" s="2" t="s">
        <v>1892</v>
      </c>
      <c r="C1629" s="2">
        <v>3</v>
      </c>
      <c r="D1629" t="str">
        <f t="shared" si="25"/>
        <v>CA-2015-102491_TEC-PH-10001619</v>
      </c>
      <c r="E1629" t="str">
        <f>IF(COUNTIF(data2!$D:$D,D1629)=0,"Missing in Data2","Present")</f>
        <v>Present</v>
      </c>
    </row>
    <row r="1630" spans="1:5" x14ac:dyDescent="0.25">
      <c r="A1630" s="2" t="s">
        <v>1893</v>
      </c>
      <c r="B1630" s="2" t="s">
        <v>1894</v>
      </c>
      <c r="C1630" s="2">
        <v>7</v>
      </c>
      <c r="D1630" t="str">
        <f t="shared" si="25"/>
        <v>CA-2015-102582_FUR-CH-10004853</v>
      </c>
      <c r="E1630" t="str">
        <f>IF(COUNTIF(data2!$D:$D,D1630)=0,"Missing in Data2","Present")</f>
        <v>Present</v>
      </c>
    </row>
    <row r="1631" spans="1:5" x14ac:dyDescent="0.25">
      <c r="A1631" s="2" t="s">
        <v>1893</v>
      </c>
      <c r="B1631" s="2" t="s">
        <v>766</v>
      </c>
      <c r="C1631" s="2">
        <v>2</v>
      </c>
      <c r="D1631" t="str">
        <f t="shared" si="25"/>
        <v>CA-2015-102582_FUR-TA-10003569</v>
      </c>
      <c r="E1631" t="str">
        <f>IF(COUNTIF(data2!$D:$D,D1631)=0,"Missing in Data2","Present")</f>
        <v>Present</v>
      </c>
    </row>
    <row r="1632" spans="1:5" x14ac:dyDescent="0.25">
      <c r="A1632" s="2" t="s">
        <v>1893</v>
      </c>
      <c r="B1632" s="2" t="s">
        <v>1895</v>
      </c>
      <c r="C1632" s="2">
        <v>3</v>
      </c>
      <c r="D1632" t="str">
        <f t="shared" si="25"/>
        <v>CA-2015-102582_TEC-PH-10003187</v>
      </c>
      <c r="E1632" t="str">
        <f>IF(COUNTIF(data2!$D:$D,D1632)=0,"Missing in Data2","Present")</f>
        <v>Present</v>
      </c>
    </row>
    <row r="1633" spans="1:5" x14ac:dyDescent="0.25">
      <c r="A1633" s="2" t="s">
        <v>1896</v>
      </c>
      <c r="B1633" s="2" t="s">
        <v>1897</v>
      </c>
      <c r="C1633" s="2">
        <v>6</v>
      </c>
      <c r="D1633" t="str">
        <f t="shared" si="25"/>
        <v>CA-2015-102722_TEC-AC-10003116</v>
      </c>
      <c r="E1633" t="str">
        <f>IF(COUNTIF(data2!$D:$D,D1633)=0,"Missing in Data2","Present")</f>
        <v>Present</v>
      </c>
    </row>
    <row r="1634" spans="1:5" x14ac:dyDescent="0.25">
      <c r="A1634" s="2" t="s">
        <v>1898</v>
      </c>
      <c r="B1634" s="2" t="s">
        <v>1899</v>
      </c>
      <c r="C1634" s="2">
        <v>1</v>
      </c>
      <c r="D1634" t="str">
        <f t="shared" si="25"/>
        <v>CA-2015-102778_FUR-FU-10000087</v>
      </c>
      <c r="E1634" t="str">
        <f>IF(COUNTIF(data2!$D:$D,D1634)=0,"Missing in Data2","Present")</f>
        <v>Present</v>
      </c>
    </row>
    <row r="1635" spans="1:5" x14ac:dyDescent="0.25">
      <c r="A1635" s="2" t="s">
        <v>1900</v>
      </c>
      <c r="B1635" s="2" t="s">
        <v>5</v>
      </c>
      <c r="C1635" s="2">
        <v>2</v>
      </c>
      <c r="D1635" t="str">
        <f t="shared" si="25"/>
        <v>CA-2015-102806_OFF-BI-10001597</v>
      </c>
      <c r="E1635" t="str">
        <f>IF(COUNTIF(data2!$D:$D,D1635)=0,"Missing in Data2","Present")</f>
        <v>Present</v>
      </c>
    </row>
    <row r="1636" spans="1:5" x14ac:dyDescent="0.25">
      <c r="A1636" s="2" t="s">
        <v>1901</v>
      </c>
      <c r="B1636" s="2" t="s">
        <v>1520</v>
      </c>
      <c r="C1636" s="2">
        <v>1</v>
      </c>
      <c r="D1636" t="str">
        <f t="shared" si="25"/>
        <v>CA-2015-102848_FUR-CH-10000595</v>
      </c>
      <c r="E1636" t="str">
        <f>IF(COUNTIF(data2!$D:$D,D1636)=0,"Missing in Data2","Present")</f>
        <v>Present</v>
      </c>
    </row>
    <row r="1637" spans="1:5" x14ac:dyDescent="0.25">
      <c r="A1637" s="2" t="s">
        <v>1902</v>
      </c>
      <c r="B1637" s="2" t="s">
        <v>1903</v>
      </c>
      <c r="C1637" s="2">
        <v>8</v>
      </c>
      <c r="D1637" t="str">
        <f t="shared" si="25"/>
        <v>CA-2015-102855_OFF-AR-10002467</v>
      </c>
      <c r="E1637" t="str">
        <f>IF(COUNTIF(data2!$D:$D,D1637)=0,"Missing in Data2","Present")</f>
        <v>Present</v>
      </c>
    </row>
    <row r="1638" spans="1:5" x14ac:dyDescent="0.25">
      <c r="A1638" s="2" t="s">
        <v>1902</v>
      </c>
      <c r="B1638" s="2" t="s">
        <v>1904</v>
      </c>
      <c r="C1638" s="2">
        <v>6</v>
      </c>
      <c r="D1638" t="str">
        <f t="shared" si="25"/>
        <v>CA-2015-102855_TEC-AC-10001767</v>
      </c>
      <c r="E1638" t="str">
        <f>IF(COUNTIF(data2!$D:$D,D1638)=0,"Missing in Data2","Present")</f>
        <v>Present</v>
      </c>
    </row>
    <row r="1639" spans="1:5" x14ac:dyDescent="0.25">
      <c r="A1639" s="2" t="s">
        <v>1905</v>
      </c>
      <c r="B1639" s="2" t="s">
        <v>1906</v>
      </c>
      <c r="C1639" s="2">
        <v>3</v>
      </c>
      <c r="D1639" t="str">
        <f t="shared" si="25"/>
        <v>CA-2015-102876_OFF-BI-10000848</v>
      </c>
      <c r="E1639" t="str">
        <f>IF(COUNTIF(data2!$D:$D,D1639)=0,"Missing in Data2","Present")</f>
        <v>Present</v>
      </c>
    </row>
    <row r="1640" spans="1:5" x14ac:dyDescent="0.25">
      <c r="A1640" s="2" t="s">
        <v>1905</v>
      </c>
      <c r="B1640" s="2" t="s">
        <v>1907</v>
      </c>
      <c r="C1640" s="2">
        <v>1</v>
      </c>
      <c r="D1640" t="str">
        <f t="shared" si="25"/>
        <v>CA-2015-102876_OFF-BI-10004781</v>
      </c>
      <c r="E1640" t="str">
        <f>IF(COUNTIF(data2!$D:$D,D1640)=0,"Missing in Data2","Present")</f>
        <v>Missing in Data2</v>
      </c>
    </row>
    <row r="1641" spans="1:5" x14ac:dyDescent="0.25">
      <c r="A1641" s="2" t="s">
        <v>1905</v>
      </c>
      <c r="B1641" s="2" t="s">
        <v>1742</v>
      </c>
      <c r="C1641" s="2">
        <v>6</v>
      </c>
      <c r="D1641" t="str">
        <f t="shared" si="25"/>
        <v>CA-2015-102876_TEC-PH-10002680</v>
      </c>
      <c r="E1641" t="str">
        <f>IF(COUNTIF(data2!$D:$D,D1641)=0,"Missing in Data2","Present")</f>
        <v>Present</v>
      </c>
    </row>
    <row r="1642" spans="1:5" x14ac:dyDescent="0.25">
      <c r="A1642" s="2" t="s">
        <v>1908</v>
      </c>
      <c r="B1642" s="2" t="s">
        <v>104</v>
      </c>
      <c r="C1642" s="2">
        <v>5</v>
      </c>
      <c r="D1642" t="str">
        <f t="shared" si="25"/>
        <v>CA-2015-103072_OFF-AR-10000127</v>
      </c>
      <c r="E1642" t="str">
        <f>IF(COUNTIF(data2!$D:$D,D1642)=0,"Missing in Data2","Present")</f>
        <v>Present</v>
      </c>
    </row>
    <row r="1643" spans="1:5" x14ac:dyDescent="0.25">
      <c r="A1643" s="2" t="s">
        <v>1908</v>
      </c>
      <c r="B1643" s="2" t="s">
        <v>1909</v>
      </c>
      <c r="C1643" s="2">
        <v>4</v>
      </c>
      <c r="D1643" t="str">
        <f t="shared" si="25"/>
        <v>CA-2015-103072_OFF-PA-10003172</v>
      </c>
      <c r="E1643" t="str">
        <f>IF(COUNTIF(data2!$D:$D,D1643)=0,"Missing in Data2","Present")</f>
        <v>Present</v>
      </c>
    </row>
    <row r="1644" spans="1:5" x14ac:dyDescent="0.25">
      <c r="A1644" s="2" t="s">
        <v>1910</v>
      </c>
      <c r="B1644" s="2" t="s">
        <v>481</v>
      </c>
      <c r="C1644" s="2">
        <v>9</v>
      </c>
      <c r="D1644" t="str">
        <f t="shared" si="25"/>
        <v>CA-2015-103093_OFF-EN-10003286</v>
      </c>
      <c r="E1644" t="str">
        <f>IF(COUNTIF(data2!$D:$D,D1644)=0,"Missing in Data2","Present")</f>
        <v>Present</v>
      </c>
    </row>
    <row r="1645" spans="1:5" x14ac:dyDescent="0.25">
      <c r="A1645" s="2" t="s">
        <v>1911</v>
      </c>
      <c r="B1645" s="2" t="s">
        <v>1149</v>
      </c>
      <c r="C1645" s="2">
        <v>15</v>
      </c>
      <c r="D1645" t="str">
        <f t="shared" si="25"/>
        <v>CA-2015-103135_OFF-BI-10000069</v>
      </c>
      <c r="E1645" t="str">
        <f>IF(COUNTIF(data2!$D:$D,D1645)=0,"Missing in Data2","Present")</f>
        <v>Present</v>
      </c>
    </row>
    <row r="1646" spans="1:5" x14ac:dyDescent="0.25">
      <c r="A1646" s="2" t="s">
        <v>1911</v>
      </c>
      <c r="B1646" s="2" t="s">
        <v>1912</v>
      </c>
      <c r="C1646" s="2">
        <v>14</v>
      </c>
      <c r="D1646" t="str">
        <f t="shared" si="25"/>
        <v>CA-2015-103135_TEC-AC-10003289</v>
      </c>
      <c r="E1646" t="str">
        <f>IF(COUNTIF(data2!$D:$D,D1646)=0,"Missing in Data2","Present")</f>
        <v>Present</v>
      </c>
    </row>
    <row r="1647" spans="1:5" x14ac:dyDescent="0.25">
      <c r="A1647" s="2" t="s">
        <v>1913</v>
      </c>
      <c r="B1647" s="2" t="s">
        <v>1914</v>
      </c>
      <c r="C1647" s="2">
        <v>3</v>
      </c>
      <c r="D1647" t="str">
        <f t="shared" si="25"/>
        <v>CA-2015-103177_TEC-PH-10001527</v>
      </c>
      <c r="E1647" t="str">
        <f>IF(COUNTIF(data2!$D:$D,D1647)=0,"Missing in Data2","Present")</f>
        <v>Present</v>
      </c>
    </row>
    <row r="1648" spans="1:5" x14ac:dyDescent="0.25">
      <c r="A1648" s="2" t="s">
        <v>1913</v>
      </c>
      <c r="B1648" s="2" t="s">
        <v>1081</v>
      </c>
      <c r="C1648" s="2">
        <v>3</v>
      </c>
      <c r="D1648" t="str">
        <f t="shared" si="25"/>
        <v>CA-2015-103177_TEC-PH-10001795</v>
      </c>
      <c r="E1648" t="str">
        <f>IF(COUNTIF(data2!$D:$D,D1648)=0,"Missing in Data2","Present")</f>
        <v>Present</v>
      </c>
    </row>
    <row r="1649" spans="1:5" x14ac:dyDescent="0.25">
      <c r="A1649" s="2" t="s">
        <v>1915</v>
      </c>
      <c r="B1649" s="2" t="s">
        <v>1588</v>
      </c>
      <c r="C1649" s="2">
        <v>5</v>
      </c>
      <c r="D1649" t="str">
        <f t="shared" si="25"/>
        <v>CA-2015-103205_TEC-PH-10004896</v>
      </c>
      <c r="E1649" t="str">
        <f>IF(COUNTIF(data2!$D:$D,D1649)=0,"Missing in Data2","Present")</f>
        <v>Present</v>
      </c>
    </row>
    <row r="1650" spans="1:5" x14ac:dyDescent="0.25">
      <c r="A1650" s="2" t="s">
        <v>1916</v>
      </c>
      <c r="B1650" s="2" t="s">
        <v>1917</v>
      </c>
      <c r="C1650" s="2">
        <v>3</v>
      </c>
      <c r="D1650" t="str">
        <f t="shared" si="25"/>
        <v>CA-2015-103716_OFF-AR-10000658</v>
      </c>
      <c r="E1650" t="str">
        <f>IF(COUNTIF(data2!$D:$D,D1650)=0,"Missing in Data2","Present")</f>
        <v>Present</v>
      </c>
    </row>
    <row r="1651" spans="1:5" x14ac:dyDescent="0.25">
      <c r="A1651" s="2" t="s">
        <v>1916</v>
      </c>
      <c r="B1651" s="2" t="s">
        <v>1918</v>
      </c>
      <c r="C1651" s="2">
        <v>5</v>
      </c>
      <c r="D1651" t="str">
        <f t="shared" si="25"/>
        <v>CA-2015-103716_TEC-PH-10000347</v>
      </c>
      <c r="E1651" t="str">
        <f>IF(COUNTIF(data2!$D:$D,D1651)=0,"Missing in Data2","Present")</f>
        <v>Present</v>
      </c>
    </row>
    <row r="1652" spans="1:5" x14ac:dyDescent="0.25">
      <c r="A1652" s="2" t="s">
        <v>1919</v>
      </c>
      <c r="B1652" s="2" t="s">
        <v>1920</v>
      </c>
      <c r="C1652" s="2">
        <v>5</v>
      </c>
      <c r="D1652" t="str">
        <f t="shared" si="25"/>
        <v>CA-2015-103723_OFF-AR-10003251</v>
      </c>
      <c r="E1652" t="str">
        <f>IF(COUNTIF(data2!$D:$D,D1652)=0,"Missing in Data2","Present")</f>
        <v>Present</v>
      </c>
    </row>
    <row r="1653" spans="1:5" x14ac:dyDescent="0.25">
      <c r="A1653" s="2" t="s">
        <v>1921</v>
      </c>
      <c r="B1653" s="2" t="s">
        <v>1922</v>
      </c>
      <c r="C1653" s="2">
        <v>5</v>
      </c>
      <c r="D1653" t="str">
        <f t="shared" si="25"/>
        <v>CA-2015-103772_OFF-AR-10000538</v>
      </c>
      <c r="E1653" t="str">
        <f>IF(COUNTIF(data2!$D:$D,D1653)=0,"Missing in Data2","Present")</f>
        <v>Present</v>
      </c>
    </row>
    <row r="1654" spans="1:5" x14ac:dyDescent="0.25">
      <c r="A1654" s="2" t="s">
        <v>1921</v>
      </c>
      <c r="B1654" s="2" t="s">
        <v>1345</v>
      </c>
      <c r="C1654" s="2">
        <v>2</v>
      </c>
      <c r="D1654" t="str">
        <f t="shared" si="25"/>
        <v>CA-2015-103772_OFF-BI-10002867</v>
      </c>
      <c r="E1654" t="str">
        <f>IF(COUNTIF(data2!$D:$D,D1654)=0,"Missing in Data2","Present")</f>
        <v>Present</v>
      </c>
    </row>
    <row r="1655" spans="1:5" x14ac:dyDescent="0.25">
      <c r="A1655" s="2" t="s">
        <v>1923</v>
      </c>
      <c r="B1655" s="2" t="s">
        <v>781</v>
      </c>
      <c r="C1655" s="2">
        <v>3</v>
      </c>
      <c r="D1655" t="str">
        <f t="shared" si="25"/>
        <v>CA-2015-103793_OFF-PA-10001125</v>
      </c>
      <c r="E1655" t="str">
        <f>IF(COUNTIF(data2!$D:$D,D1655)=0,"Missing in Data2","Present")</f>
        <v>Present</v>
      </c>
    </row>
    <row r="1656" spans="1:5" x14ac:dyDescent="0.25">
      <c r="A1656" s="2" t="s">
        <v>1924</v>
      </c>
      <c r="B1656" s="2" t="s">
        <v>856</v>
      </c>
      <c r="C1656" s="2">
        <v>3</v>
      </c>
      <c r="D1656" t="str">
        <f t="shared" si="25"/>
        <v>CA-2015-103835_FUR-FU-10000010</v>
      </c>
      <c r="E1656" t="str">
        <f>IF(COUNTIF(data2!$D:$D,D1656)=0,"Missing in Data2","Present")</f>
        <v>Present</v>
      </c>
    </row>
    <row r="1657" spans="1:5" x14ac:dyDescent="0.25">
      <c r="A1657" s="2" t="s">
        <v>1924</v>
      </c>
      <c r="B1657" s="2" t="s">
        <v>1233</v>
      </c>
      <c r="C1657" s="2">
        <v>4</v>
      </c>
      <c r="D1657" t="str">
        <f t="shared" si="25"/>
        <v>CA-2015-103835_OFF-AP-10002651</v>
      </c>
      <c r="E1657" t="str">
        <f>IF(COUNTIF(data2!$D:$D,D1657)=0,"Missing in Data2","Present")</f>
        <v>Present</v>
      </c>
    </row>
    <row r="1658" spans="1:5" x14ac:dyDescent="0.25">
      <c r="A1658" s="2" t="s">
        <v>1925</v>
      </c>
      <c r="B1658" s="2" t="s">
        <v>1926</v>
      </c>
      <c r="C1658" s="2">
        <v>2</v>
      </c>
      <c r="D1658" t="str">
        <f t="shared" si="25"/>
        <v>CA-2015-103870_FUR-BO-10002853</v>
      </c>
      <c r="E1658" t="str">
        <f>IF(COUNTIF(data2!$D:$D,D1658)=0,"Missing in Data2","Present")</f>
        <v>Present</v>
      </c>
    </row>
    <row r="1659" spans="1:5" x14ac:dyDescent="0.25">
      <c r="A1659" s="2" t="s">
        <v>1925</v>
      </c>
      <c r="B1659" s="2" t="s">
        <v>1660</v>
      </c>
      <c r="C1659" s="2">
        <v>3</v>
      </c>
      <c r="D1659" t="str">
        <f t="shared" si="25"/>
        <v>CA-2015-103870_OFF-ST-10002562</v>
      </c>
      <c r="E1659" t="str">
        <f>IF(COUNTIF(data2!$D:$D,D1659)=0,"Missing in Data2","Present")</f>
        <v>Present</v>
      </c>
    </row>
    <row r="1660" spans="1:5" x14ac:dyDescent="0.25">
      <c r="A1660" s="2" t="s">
        <v>1925</v>
      </c>
      <c r="B1660" s="2" t="s">
        <v>527</v>
      </c>
      <c r="C1660" s="2">
        <v>3</v>
      </c>
      <c r="D1660" t="str">
        <f t="shared" si="25"/>
        <v>CA-2015-103870_TEC-AC-10002370</v>
      </c>
      <c r="E1660" t="str">
        <f>IF(COUNTIF(data2!$D:$D,D1660)=0,"Missing in Data2","Present")</f>
        <v>Present</v>
      </c>
    </row>
    <row r="1661" spans="1:5" x14ac:dyDescent="0.25">
      <c r="A1661" s="2" t="s">
        <v>1925</v>
      </c>
      <c r="B1661" s="2" t="s">
        <v>963</v>
      </c>
      <c r="C1661" s="2">
        <v>7</v>
      </c>
      <c r="D1661" t="str">
        <f t="shared" si="25"/>
        <v>CA-2015-103870_TEC-AC-10004227</v>
      </c>
      <c r="E1661" t="str">
        <f>IF(COUNTIF(data2!$D:$D,D1661)=0,"Missing in Data2","Present")</f>
        <v>Present</v>
      </c>
    </row>
    <row r="1662" spans="1:5" x14ac:dyDescent="0.25">
      <c r="A1662" s="2" t="s">
        <v>1927</v>
      </c>
      <c r="B1662" s="2" t="s">
        <v>457</v>
      </c>
      <c r="C1662" s="2">
        <v>9</v>
      </c>
      <c r="D1662" t="str">
        <f t="shared" si="25"/>
        <v>CA-2015-103933_TEC-AC-10004171</v>
      </c>
      <c r="E1662" t="str">
        <f>IF(COUNTIF(data2!$D:$D,D1662)=0,"Missing in Data2","Present")</f>
        <v>Present</v>
      </c>
    </row>
    <row r="1663" spans="1:5" x14ac:dyDescent="0.25">
      <c r="A1663" s="2" t="s">
        <v>1928</v>
      </c>
      <c r="B1663" s="2" t="s">
        <v>1929</v>
      </c>
      <c r="C1663" s="2">
        <v>5</v>
      </c>
      <c r="D1663" t="str">
        <f t="shared" si="25"/>
        <v>CA-2015-103954_FUR-BO-10004690</v>
      </c>
      <c r="E1663" t="str">
        <f>IF(COUNTIF(data2!$D:$D,D1663)=0,"Missing in Data2","Present")</f>
        <v>Present</v>
      </c>
    </row>
    <row r="1664" spans="1:5" x14ac:dyDescent="0.25">
      <c r="A1664" s="2" t="s">
        <v>1930</v>
      </c>
      <c r="B1664" s="2" t="s">
        <v>1711</v>
      </c>
      <c r="C1664" s="2">
        <v>6</v>
      </c>
      <c r="D1664" t="str">
        <f t="shared" si="25"/>
        <v>CA-2015-103961_OFF-LA-10004484</v>
      </c>
      <c r="E1664" t="str">
        <f>IF(COUNTIF(data2!$D:$D,D1664)=0,"Missing in Data2","Present")</f>
        <v>Present</v>
      </c>
    </row>
    <row r="1665" spans="1:5" x14ac:dyDescent="0.25">
      <c r="A1665" s="2" t="s">
        <v>1931</v>
      </c>
      <c r="B1665" s="2" t="s">
        <v>1932</v>
      </c>
      <c r="C1665" s="2">
        <v>5</v>
      </c>
      <c r="D1665" t="str">
        <f t="shared" si="25"/>
        <v>CA-2015-104038_OFF-PA-10002751</v>
      </c>
      <c r="E1665" t="str">
        <f>IF(COUNTIF(data2!$D:$D,D1665)=0,"Missing in Data2","Present")</f>
        <v>Present</v>
      </c>
    </row>
    <row r="1666" spans="1:5" x14ac:dyDescent="0.25">
      <c r="A1666" s="2" t="s">
        <v>1931</v>
      </c>
      <c r="B1666" s="2" t="s">
        <v>1756</v>
      </c>
      <c r="C1666" s="2">
        <v>3</v>
      </c>
      <c r="D1666" t="str">
        <f t="shared" si="25"/>
        <v>CA-2015-104038_OFF-ST-10002554</v>
      </c>
      <c r="E1666" t="str">
        <f>IF(COUNTIF(data2!$D:$D,D1666)=0,"Missing in Data2","Present")</f>
        <v>Present</v>
      </c>
    </row>
    <row r="1667" spans="1:5" x14ac:dyDescent="0.25">
      <c r="A1667" s="2" t="s">
        <v>1933</v>
      </c>
      <c r="B1667" s="2" t="s">
        <v>1934</v>
      </c>
      <c r="C1667" s="2">
        <v>4</v>
      </c>
      <c r="D1667" t="str">
        <f t="shared" ref="D1667:D1730" si="26">A1667&amp;"_"&amp;B1667</f>
        <v>CA-2015-104052_TEC-PH-10003215</v>
      </c>
      <c r="E1667" t="str">
        <f>IF(COUNTIF(data2!$D:$D,D1667)=0,"Missing in Data2","Present")</f>
        <v>Present</v>
      </c>
    </row>
    <row r="1668" spans="1:5" x14ac:dyDescent="0.25">
      <c r="A1668" s="2" t="s">
        <v>1935</v>
      </c>
      <c r="B1668" s="2" t="s">
        <v>95</v>
      </c>
      <c r="C1668" s="2">
        <v>1</v>
      </c>
      <c r="D1668" t="str">
        <f t="shared" si="26"/>
        <v>CA-2015-104059_OFF-AR-10000634</v>
      </c>
      <c r="E1668" t="str">
        <f>IF(COUNTIF(data2!$D:$D,D1668)=0,"Missing in Data2","Present")</f>
        <v>Present</v>
      </c>
    </row>
    <row r="1669" spans="1:5" x14ac:dyDescent="0.25">
      <c r="A1669" s="2" t="s">
        <v>1936</v>
      </c>
      <c r="B1669" s="2" t="s">
        <v>1937</v>
      </c>
      <c r="C1669" s="2">
        <v>2</v>
      </c>
      <c r="D1669" t="str">
        <f t="shared" si="26"/>
        <v>CA-2015-104115_TEC-PH-10002844</v>
      </c>
      <c r="E1669" t="str">
        <f>IF(COUNTIF(data2!$D:$D,D1669)=0,"Missing in Data2","Present")</f>
        <v>Present</v>
      </c>
    </row>
    <row r="1670" spans="1:5" x14ac:dyDescent="0.25">
      <c r="A1670" s="2" t="s">
        <v>1938</v>
      </c>
      <c r="B1670" s="2" t="s">
        <v>1939</v>
      </c>
      <c r="C1670" s="2">
        <v>7</v>
      </c>
      <c r="D1670" t="str">
        <f t="shared" si="26"/>
        <v>CA-2015-104129_FUR-TA-10004152</v>
      </c>
      <c r="E1670" t="str">
        <f>IF(COUNTIF(data2!$D:$D,D1670)=0,"Missing in Data2","Present")</f>
        <v>Present</v>
      </c>
    </row>
    <row r="1671" spans="1:5" x14ac:dyDescent="0.25">
      <c r="A1671" s="2" t="s">
        <v>1938</v>
      </c>
      <c r="B1671" s="2" t="s">
        <v>1940</v>
      </c>
      <c r="C1671" s="2">
        <v>2</v>
      </c>
      <c r="D1671" t="str">
        <f t="shared" si="26"/>
        <v>CA-2015-104129_TEC-PH-10003800</v>
      </c>
      <c r="E1671" t="str">
        <f>IF(COUNTIF(data2!$D:$D,D1671)=0,"Missing in Data2","Present")</f>
        <v>Present</v>
      </c>
    </row>
    <row r="1672" spans="1:5" x14ac:dyDescent="0.25">
      <c r="A1672" s="2" t="s">
        <v>1941</v>
      </c>
      <c r="B1672" s="2" t="s">
        <v>1529</v>
      </c>
      <c r="C1672" s="2">
        <v>14</v>
      </c>
      <c r="D1672" t="str">
        <f t="shared" si="26"/>
        <v>CA-2015-104241_FUR-FU-10001473</v>
      </c>
      <c r="E1672" t="str">
        <f>IF(COUNTIF(data2!$D:$D,D1672)=0,"Missing in Data2","Present")</f>
        <v>Present</v>
      </c>
    </row>
    <row r="1673" spans="1:5" x14ac:dyDescent="0.25">
      <c r="A1673" s="2" t="s">
        <v>1942</v>
      </c>
      <c r="B1673" s="2" t="s">
        <v>433</v>
      </c>
      <c r="C1673" s="2">
        <v>3</v>
      </c>
      <c r="D1673" t="str">
        <f t="shared" si="26"/>
        <v>CA-2015-104297_OFF-PA-10000474</v>
      </c>
      <c r="E1673" t="str">
        <f>IF(COUNTIF(data2!$D:$D,D1673)=0,"Missing in Data2","Present")</f>
        <v>Present</v>
      </c>
    </row>
    <row r="1674" spans="1:5" x14ac:dyDescent="0.25">
      <c r="A1674" s="2" t="s">
        <v>1943</v>
      </c>
      <c r="B1674" s="2" t="s">
        <v>1944</v>
      </c>
      <c r="C1674" s="2">
        <v>4</v>
      </c>
      <c r="D1674" t="str">
        <f t="shared" si="26"/>
        <v>CA-2015-104346_FUR-BO-10003450</v>
      </c>
      <c r="E1674" t="str">
        <f>IF(COUNTIF(data2!$D:$D,D1674)=0,"Missing in Data2","Present")</f>
        <v>Present</v>
      </c>
    </row>
    <row r="1675" spans="1:5" x14ac:dyDescent="0.25">
      <c r="A1675" s="2" t="s">
        <v>1943</v>
      </c>
      <c r="B1675" s="2" t="s">
        <v>100</v>
      </c>
      <c r="C1675" s="2">
        <v>9</v>
      </c>
      <c r="D1675" t="str">
        <f t="shared" si="26"/>
        <v>CA-2015-104346_FUR-FU-10002456</v>
      </c>
      <c r="E1675" t="str">
        <f>IF(COUNTIF(data2!$D:$D,D1675)=0,"Missing in Data2","Present")</f>
        <v>Present</v>
      </c>
    </row>
    <row r="1676" spans="1:5" x14ac:dyDescent="0.25">
      <c r="A1676" s="2" t="s">
        <v>1943</v>
      </c>
      <c r="B1676" s="2" t="s">
        <v>1696</v>
      </c>
      <c r="C1676" s="2">
        <v>5</v>
      </c>
      <c r="D1676" t="str">
        <f t="shared" si="26"/>
        <v>CA-2015-104346_FUR-TA-10000849</v>
      </c>
      <c r="E1676" t="str">
        <f>IF(COUNTIF(data2!$D:$D,D1676)=0,"Missing in Data2","Present")</f>
        <v>Present</v>
      </c>
    </row>
    <row r="1677" spans="1:5" x14ac:dyDescent="0.25">
      <c r="A1677" s="2" t="s">
        <v>1943</v>
      </c>
      <c r="B1677" s="2" t="s">
        <v>1945</v>
      </c>
      <c r="C1677" s="2">
        <v>3</v>
      </c>
      <c r="D1677" t="str">
        <f t="shared" si="26"/>
        <v>CA-2015-104346_OFF-AR-10001545</v>
      </c>
      <c r="E1677" t="str">
        <f>IF(COUNTIF(data2!$D:$D,D1677)=0,"Missing in Data2","Present")</f>
        <v>Present</v>
      </c>
    </row>
    <row r="1678" spans="1:5" x14ac:dyDescent="0.25">
      <c r="A1678" s="2" t="s">
        <v>1943</v>
      </c>
      <c r="B1678" s="2" t="s">
        <v>1378</v>
      </c>
      <c r="C1678" s="2">
        <v>3</v>
      </c>
      <c r="D1678" t="str">
        <f t="shared" si="26"/>
        <v>CA-2015-104346_OFF-PA-10001166</v>
      </c>
      <c r="E1678" t="str">
        <f>IF(COUNTIF(data2!$D:$D,D1678)=0,"Missing in Data2","Present")</f>
        <v>Present</v>
      </c>
    </row>
    <row r="1679" spans="1:5" x14ac:dyDescent="0.25">
      <c r="A1679" s="2" t="s">
        <v>1943</v>
      </c>
      <c r="B1679" s="2" t="s">
        <v>1946</v>
      </c>
      <c r="C1679" s="2">
        <v>3</v>
      </c>
      <c r="D1679" t="str">
        <f t="shared" si="26"/>
        <v>CA-2015-104346_OFF-PA-10003256</v>
      </c>
      <c r="E1679" t="str">
        <f>IF(COUNTIF(data2!$D:$D,D1679)=0,"Missing in Data2","Present")</f>
        <v>Present</v>
      </c>
    </row>
    <row r="1680" spans="1:5" x14ac:dyDescent="0.25">
      <c r="A1680" s="2" t="s">
        <v>1943</v>
      </c>
      <c r="B1680" s="2" t="s">
        <v>1877</v>
      </c>
      <c r="C1680" s="2">
        <v>4</v>
      </c>
      <c r="D1680" t="str">
        <f t="shared" si="26"/>
        <v>CA-2015-104346_TEC-AC-10004396</v>
      </c>
      <c r="E1680" t="str">
        <f>IF(COUNTIF(data2!$D:$D,D1680)=0,"Missing in Data2","Present")</f>
        <v>Present</v>
      </c>
    </row>
    <row r="1681" spans="1:5" x14ac:dyDescent="0.25">
      <c r="A1681" s="2" t="s">
        <v>1947</v>
      </c>
      <c r="B1681" s="2" t="s">
        <v>59</v>
      </c>
      <c r="C1681" s="2">
        <v>1</v>
      </c>
      <c r="D1681" t="str">
        <f t="shared" si="26"/>
        <v>CA-2015-104486_OFF-BI-10000309</v>
      </c>
      <c r="E1681" t="str">
        <f>IF(COUNTIF(data2!$D:$D,D1681)=0,"Missing in Data2","Present")</f>
        <v>Present</v>
      </c>
    </row>
    <row r="1682" spans="1:5" x14ac:dyDescent="0.25">
      <c r="A1682" s="2" t="s">
        <v>1947</v>
      </c>
      <c r="B1682" s="2" t="s">
        <v>381</v>
      </c>
      <c r="C1682" s="2">
        <v>3</v>
      </c>
      <c r="D1682" t="str">
        <f t="shared" si="26"/>
        <v>CA-2015-104486_OFF-ST-10000876</v>
      </c>
      <c r="E1682" t="str">
        <f>IF(COUNTIF(data2!$D:$D,D1682)=0,"Missing in Data2","Present")</f>
        <v>Present</v>
      </c>
    </row>
    <row r="1683" spans="1:5" x14ac:dyDescent="0.25">
      <c r="A1683" s="2" t="s">
        <v>1947</v>
      </c>
      <c r="B1683" s="2" t="s">
        <v>1948</v>
      </c>
      <c r="C1683" s="2">
        <v>2</v>
      </c>
      <c r="D1683" t="str">
        <f t="shared" si="26"/>
        <v>CA-2015-104486_OFF-SU-10002573</v>
      </c>
      <c r="E1683" t="str">
        <f>IF(COUNTIF(data2!$D:$D,D1683)=0,"Missing in Data2","Present")</f>
        <v>Missing in Data2</v>
      </c>
    </row>
    <row r="1684" spans="1:5" x14ac:dyDescent="0.25">
      <c r="A1684" s="2" t="s">
        <v>1949</v>
      </c>
      <c r="B1684" s="2" t="s">
        <v>1950</v>
      </c>
      <c r="C1684" s="2">
        <v>6</v>
      </c>
      <c r="D1684" t="str">
        <f t="shared" si="26"/>
        <v>CA-2015-104493_OFF-BI-10004817</v>
      </c>
      <c r="E1684" t="str">
        <f>IF(COUNTIF(data2!$D:$D,D1684)=0,"Missing in Data2","Present")</f>
        <v>Present</v>
      </c>
    </row>
    <row r="1685" spans="1:5" x14ac:dyDescent="0.25">
      <c r="A1685" s="2" t="s">
        <v>1951</v>
      </c>
      <c r="B1685" s="2" t="s">
        <v>1005</v>
      </c>
      <c r="C1685" s="2">
        <v>3</v>
      </c>
      <c r="D1685" t="str">
        <f t="shared" si="26"/>
        <v>CA-2015-104514_OFF-AR-10001473</v>
      </c>
      <c r="E1685" t="str">
        <f>IF(COUNTIF(data2!$D:$D,D1685)=0,"Missing in Data2","Present")</f>
        <v>Present</v>
      </c>
    </row>
    <row r="1686" spans="1:5" x14ac:dyDescent="0.25">
      <c r="A1686" s="2" t="s">
        <v>1951</v>
      </c>
      <c r="B1686" s="2" t="s">
        <v>1952</v>
      </c>
      <c r="C1686" s="2">
        <v>3</v>
      </c>
      <c r="D1686" t="str">
        <f t="shared" si="26"/>
        <v>CA-2015-104514_OFF-PA-10004285</v>
      </c>
      <c r="E1686" t="str">
        <f>IF(COUNTIF(data2!$D:$D,D1686)=0,"Missing in Data2","Present")</f>
        <v>Present</v>
      </c>
    </row>
    <row r="1687" spans="1:5" x14ac:dyDescent="0.25">
      <c r="A1687" s="2" t="s">
        <v>1951</v>
      </c>
      <c r="B1687" s="2" t="s">
        <v>1297</v>
      </c>
      <c r="C1687" s="2">
        <v>2</v>
      </c>
      <c r="D1687" t="str">
        <f t="shared" si="26"/>
        <v>CA-2015-104514_OFF-ST-10001837</v>
      </c>
      <c r="E1687" t="str">
        <f>IF(COUNTIF(data2!$D:$D,D1687)=0,"Missing in Data2","Present")</f>
        <v>Present</v>
      </c>
    </row>
    <row r="1688" spans="1:5" x14ac:dyDescent="0.25">
      <c r="A1688" s="2" t="s">
        <v>1953</v>
      </c>
      <c r="B1688" s="2" t="s">
        <v>621</v>
      </c>
      <c r="C1688" s="2">
        <v>1</v>
      </c>
      <c r="D1688" t="str">
        <f t="shared" si="26"/>
        <v>CA-2015-104626_FUR-CH-10003817</v>
      </c>
      <c r="E1688" t="str">
        <f>IF(COUNTIF(data2!$D:$D,D1688)=0,"Missing in Data2","Present")</f>
        <v>Present</v>
      </c>
    </row>
    <row r="1689" spans="1:5" x14ac:dyDescent="0.25">
      <c r="A1689" s="2" t="s">
        <v>1953</v>
      </c>
      <c r="B1689" s="2" t="s">
        <v>1698</v>
      </c>
      <c r="C1689" s="2">
        <v>2</v>
      </c>
      <c r="D1689" t="str">
        <f t="shared" si="26"/>
        <v>CA-2015-104626_FUR-FU-10000308</v>
      </c>
      <c r="E1689" t="str">
        <f>IF(COUNTIF(data2!$D:$D,D1689)=0,"Missing in Data2","Present")</f>
        <v>Present</v>
      </c>
    </row>
    <row r="1690" spans="1:5" x14ac:dyDescent="0.25">
      <c r="A1690" s="2" t="s">
        <v>1953</v>
      </c>
      <c r="B1690" s="2" t="s">
        <v>1954</v>
      </c>
      <c r="C1690" s="2">
        <v>5</v>
      </c>
      <c r="D1690" t="str">
        <f t="shared" si="26"/>
        <v>CA-2015-104626_OFF-BI-10001510</v>
      </c>
      <c r="E1690" t="str">
        <f>IF(COUNTIF(data2!$D:$D,D1690)=0,"Missing in Data2","Present")</f>
        <v>Present</v>
      </c>
    </row>
    <row r="1691" spans="1:5" x14ac:dyDescent="0.25">
      <c r="A1691" s="2" t="s">
        <v>1955</v>
      </c>
      <c r="B1691" s="2" t="s">
        <v>1766</v>
      </c>
      <c r="C1691" s="2">
        <v>4</v>
      </c>
      <c r="D1691" t="str">
        <f t="shared" si="26"/>
        <v>CA-2015-104871_FUR-CH-10003298</v>
      </c>
      <c r="E1691" t="str">
        <f>IF(COUNTIF(data2!$D:$D,D1691)=0,"Missing in Data2","Present")</f>
        <v>Present</v>
      </c>
    </row>
    <row r="1692" spans="1:5" x14ac:dyDescent="0.25">
      <c r="A1692" s="2" t="s">
        <v>1956</v>
      </c>
      <c r="B1692" s="2" t="s">
        <v>1557</v>
      </c>
      <c r="C1692" s="2">
        <v>6</v>
      </c>
      <c r="D1692" t="str">
        <f t="shared" si="26"/>
        <v>CA-2015-104941_OFF-AR-10004269</v>
      </c>
      <c r="E1692" t="str">
        <f>IF(COUNTIF(data2!$D:$D,D1692)=0,"Missing in Data2","Present")</f>
        <v>Present</v>
      </c>
    </row>
    <row r="1693" spans="1:5" x14ac:dyDescent="0.25">
      <c r="A1693" s="2" t="s">
        <v>1956</v>
      </c>
      <c r="B1693" s="2" t="s">
        <v>819</v>
      </c>
      <c r="C1693" s="2">
        <v>3</v>
      </c>
      <c r="D1693" t="str">
        <f t="shared" si="26"/>
        <v>CA-2015-104941_OFF-BI-10001249</v>
      </c>
      <c r="E1693" t="str">
        <f>IF(COUNTIF(data2!$D:$D,D1693)=0,"Missing in Data2","Present")</f>
        <v>Present</v>
      </c>
    </row>
    <row r="1694" spans="1:5" x14ac:dyDescent="0.25">
      <c r="A1694" s="2" t="s">
        <v>1956</v>
      </c>
      <c r="B1694" s="2" t="s">
        <v>1714</v>
      </c>
      <c r="C1694" s="2">
        <v>5</v>
      </c>
      <c r="D1694" t="str">
        <f t="shared" si="26"/>
        <v>CA-2015-104941_OFF-PA-10003363</v>
      </c>
      <c r="E1694" t="str">
        <f>IF(COUNTIF(data2!$D:$D,D1694)=0,"Missing in Data2","Present")</f>
        <v>Present</v>
      </c>
    </row>
    <row r="1695" spans="1:5" x14ac:dyDescent="0.25">
      <c r="A1695" s="2" t="s">
        <v>1956</v>
      </c>
      <c r="B1695" s="2" t="s">
        <v>761</v>
      </c>
      <c r="C1695" s="2">
        <v>3</v>
      </c>
      <c r="D1695" t="str">
        <f t="shared" si="26"/>
        <v>CA-2015-104941_TEC-CO-10004202</v>
      </c>
      <c r="E1695" t="str">
        <f>IF(COUNTIF(data2!$D:$D,D1695)=0,"Missing in Data2","Present")</f>
        <v>Missing in Data2</v>
      </c>
    </row>
    <row r="1696" spans="1:5" x14ac:dyDescent="0.25">
      <c r="A1696" s="2" t="s">
        <v>1957</v>
      </c>
      <c r="B1696" s="2" t="s">
        <v>1958</v>
      </c>
      <c r="C1696" s="2">
        <v>4</v>
      </c>
      <c r="D1696" t="str">
        <f t="shared" si="26"/>
        <v>CA-2015-104948_FUR-BO-10004357</v>
      </c>
      <c r="E1696" t="str">
        <f>IF(COUNTIF(data2!$D:$D,D1696)=0,"Missing in Data2","Present")</f>
        <v>Present</v>
      </c>
    </row>
    <row r="1697" spans="1:5" x14ac:dyDescent="0.25">
      <c r="A1697" s="2" t="s">
        <v>1957</v>
      </c>
      <c r="B1697" s="2" t="s">
        <v>1721</v>
      </c>
      <c r="C1697" s="2">
        <v>2</v>
      </c>
      <c r="D1697" t="str">
        <f t="shared" si="26"/>
        <v>CA-2015-104948_OFF-BI-10001267</v>
      </c>
      <c r="E1697" t="str">
        <f>IF(COUNTIF(data2!$D:$D,D1697)=0,"Missing in Data2","Present")</f>
        <v>Present</v>
      </c>
    </row>
    <row r="1698" spans="1:5" x14ac:dyDescent="0.25">
      <c r="A1698" s="2" t="s">
        <v>1957</v>
      </c>
      <c r="B1698" s="2" t="s">
        <v>837</v>
      </c>
      <c r="C1698" s="2">
        <v>7</v>
      </c>
      <c r="D1698" t="str">
        <f t="shared" si="26"/>
        <v>CA-2015-104948_OFF-PA-10004610</v>
      </c>
      <c r="E1698" t="str">
        <f>IF(COUNTIF(data2!$D:$D,D1698)=0,"Missing in Data2","Present")</f>
        <v>Present</v>
      </c>
    </row>
    <row r="1699" spans="1:5" x14ac:dyDescent="0.25">
      <c r="A1699" s="2" t="s">
        <v>1959</v>
      </c>
      <c r="B1699" s="2" t="s">
        <v>1960</v>
      </c>
      <c r="C1699" s="2">
        <v>1</v>
      </c>
      <c r="D1699" t="str">
        <f t="shared" si="26"/>
        <v>CA-2015-105102_FUR-BO-10004709</v>
      </c>
      <c r="E1699" t="str">
        <f>IF(COUNTIF(data2!$D:$D,D1699)=0,"Missing in Data2","Present")</f>
        <v>Present</v>
      </c>
    </row>
    <row r="1700" spans="1:5" x14ac:dyDescent="0.25">
      <c r="A1700" s="2" t="s">
        <v>1959</v>
      </c>
      <c r="B1700" s="2" t="s">
        <v>1961</v>
      </c>
      <c r="C1700" s="2">
        <v>3</v>
      </c>
      <c r="D1700" t="str">
        <f t="shared" si="26"/>
        <v>CA-2015-105102_OFF-BI-10002082</v>
      </c>
      <c r="E1700" t="str">
        <f>IF(COUNTIF(data2!$D:$D,D1700)=0,"Missing in Data2","Present")</f>
        <v>Present</v>
      </c>
    </row>
    <row r="1701" spans="1:5" x14ac:dyDescent="0.25">
      <c r="A1701" s="2" t="s">
        <v>1959</v>
      </c>
      <c r="B1701" s="2" t="s">
        <v>1597</v>
      </c>
      <c r="C1701" s="2">
        <v>2</v>
      </c>
      <c r="D1701" t="str">
        <f t="shared" si="26"/>
        <v>CA-2015-105102_OFF-PA-10002365</v>
      </c>
      <c r="E1701" t="str">
        <f>IF(COUNTIF(data2!$D:$D,D1701)=0,"Missing in Data2","Present")</f>
        <v>Present</v>
      </c>
    </row>
    <row r="1702" spans="1:5" x14ac:dyDescent="0.25">
      <c r="A1702" s="2" t="s">
        <v>1962</v>
      </c>
      <c r="B1702" s="2" t="s">
        <v>456</v>
      </c>
      <c r="C1702" s="2">
        <v>2</v>
      </c>
      <c r="D1702" t="str">
        <f t="shared" si="26"/>
        <v>CA-2015-105158_FUR-FU-10001706</v>
      </c>
      <c r="E1702" t="str">
        <f>IF(COUNTIF(data2!$D:$D,D1702)=0,"Missing in Data2","Present")</f>
        <v>Present</v>
      </c>
    </row>
    <row r="1703" spans="1:5" x14ac:dyDescent="0.25">
      <c r="A1703" s="2" t="s">
        <v>1962</v>
      </c>
      <c r="B1703" s="2" t="s">
        <v>1039</v>
      </c>
      <c r="C1703" s="2">
        <v>3</v>
      </c>
      <c r="D1703" t="str">
        <f t="shared" si="26"/>
        <v>CA-2015-105158_OFF-PA-10001970</v>
      </c>
      <c r="E1703" t="str">
        <f>IF(COUNTIF(data2!$D:$D,D1703)=0,"Missing in Data2","Present")</f>
        <v>Present</v>
      </c>
    </row>
    <row r="1704" spans="1:5" x14ac:dyDescent="0.25">
      <c r="A1704" s="2" t="s">
        <v>1963</v>
      </c>
      <c r="B1704" s="2" t="s">
        <v>1964</v>
      </c>
      <c r="C1704" s="2">
        <v>2</v>
      </c>
      <c r="D1704" t="str">
        <f t="shared" si="26"/>
        <v>CA-2015-105221_OFF-FA-10001135</v>
      </c>
      <c r="E1704" t="str">
        <f>IF(COUNTIF(data2!$D:$D,D1704)=0,"Missing in Data2","Present")</f>
        <v>Present</v>
      </c>
    </row>
    <row r="1705" spans="1:5" x14ac:dyDescent="0.25">
      <c r="A1705" s="2" t="s">
        <v>1963</v>
      </c>
      <c r="B1705" s="2" t="s">
        <v>731</v>
      </c>
      <c r="C1705" s="2">
        <v>2</v>
      </c>
      <c r="D1705" t="str">
        <f t="shared" si="26"/>
        <v>CA-2015-105221_TEC-AC-10002323</v>
      </c>
      <c r="E1705" t="str">
        <f>IF(COUNTIF(data2!$D:$D,D1705)=0,"Missing in Data2","Present")</f>
        <v>Present</v>
      </c>
    </row>
    <row r="1706" spans="1:5" x14ac:dyDescent="0.25">
      <c r="A1706" s="2" t="s">
        <v>1965</v>
      </c>
      <c r="B1706" s="2" t="s">
        <v>1175</v>
      </c>
      <c r="C1706" s="2">
        <v>3</v>
      </c>
      <c r="D1706" t="str">
        <f t="shared" si="26"/>
        <v>CA-2015-105312_OFF-BI-10002049</v>
      </c>
      <c r="E1706" t="str">
        <f>IF(COUNTIF(data2!$D:$D,D1706)=0,"Missing in Data2","Present")</f>
        <v>Present</v>
      </c>
    </row>
    <row r="1707" spans="1:5" x14ac:dyDescent="0.25">
      <c r="A1707" s="2" t="s">
        <v>1965</v>
      </c>
      <c r="B1707" s="2" t="s">
        <v>532</v>
      </c>
      <c r="C1707" s="2">
        <v>3</v>
      </c>
      <c r="D1707" t="str">
        <f t="shared" si="26"/>
        <v>CA-2015-105312_OFF-EN-10002600</v>
      </c>
      <c r="E1707" t="str">
        <f>IF(COUNTIF(data2!$D:$D,D1707)=0,"Missing in Data2","Present")</f>
        <v>Present</v>
      </c>
    </row>
    <row r="1708" spans="1:5" x14ac:dyDescent="0.25">
      <c r="A1708" s="2" t="s">
        <v>1966</v>
      </c>
      <c r="B1708" s="2" t="s">
        <v>298</v>
      </c>
      <c r="C1708" s="2">
        <v>5</v>
      </c>
      <c r="D1708" t="str">
        <f t="shared" si="26"/>
        <v>CA-2015-105347_OFF-AR-10003045</v>
      </c>
      <c r="E1708" t="str">
        <f>IF(COUNTIF(data2!$D:$D,D1708)=0,"Missing in Data2","Present")</f>
        <v>Present</v>
      </c>
    </row>
    <row r="1709" spans="1:5" x14ac:dyDescent="0.25">
      <c r="A1709" s="2" t="s">
        <v>1966</v>
      </c>
      <c r="B1709" s="2" t="s">
        <v>1670</v>
      </c>
      <c r="C1709" s="2">
        <v>9</v>
      </c>
      <c r="D1709" t="str">
        <f t="shared" si="26"/>
        <v>CA-2015-105347_OFF-PA-10000675</v>
      </c>
      <c r="E1709" t="str">
        <f>IF(COUNTIF(data2!$D:$D,D1709)=0,"Missing in Data2","Present")</f>
        <v>Present</v>
      </c>
    </row>
    <row r="1710" spans="1:5" x14ac:dyDescent="0.25">
      <c r="A1710" s="2" t="s">
        <v>1967</v>
      </c>
      <c r="B1710" s="2" t="s">
        <v>1968</v>
      </c>
      <c r="C1710" s="2">
        <v>4</v>
      </c>
      <c r="D1710" t="str">
        <f t="shared" si="26"/>
        <v>CA-2015-105361_OFF-PA-10002615</v>
      </c>
      <c r="E1710" t="str">
        <f>IF(COUNTIF(data2!$D:$D,D1710)=0,"Missing in Data2","Present")</f>
        <v>Present</v>
      </c>
    </row>
    <row r="1711" spans="1:5" x14ac:dyDescent="0.25">
      <c r="A1711" s="2" t="s">
        <v>1969</v>
      </c>
      <c r="B1711" s="2" t="s">
        <v>1970</v>
      </c>
      <c r="C1711" s="2">
        <v>1</v>
      </c>
      <c r="D1711" t="str">
        <f t="shared" si="26"/>
        <v>CA-2015-105508_OFF-EN-10003055</v>
      </c>
      <c r="E1711" t="str">
        <f>IF(COUNTIF(data2!$D:$D,D1711)=0,"Missing in Data2","Present")</f>
        <v>Present</v>
      </c>
    </row>
    <row r="1712" spans="1:5" x14ac:dyDescent="0.25">
      <c r="A1712" s="2" t="s">
        <v>1971</v>
      </c>
      <c r="B1712" s="2" t="s">
        <v>502</v>
      </c>
      <c r="C1712" s="2">
        <v>5</v>
      </c>
      <c r="D1712" t="str">
        <f t="shared" si="26"/>
        <v>CA-2015-105571_OFF-BI-10001359</v>
      </c>
      <c r="E1712" t="str">
        <f>IF(COUNTIF(data2!$D:$D,D1712)=0,"Missing in Data2","Present")</f>
        <v>Present</v>
      </c>
    </row>
    <row r="1713" spans="1:5" x14ac:dyDescent="0.25">
      <c r="A1713" s="2" t="s">
        <v>1971</v>
      </c>
      <c r="B1713" s="2" t="s">
        <v>390</v>
      </c>
      <c r="C1713" s="2">
        <v>9</v>
      </c>
      <c r="D1713" t="str">
        <f t="shared" si="26"/>
        <v>CA-2015-105571_OFF-BI-10003305</v>
      </c>
      <c r="E1713" t="str">
        <f>IF(COUNTIF(data2!$D:$D,D1713)=0,"Missing in Data2","Present")</f>
        <v>Present</v>
      </c>
    </row>
    <row r="1714" spans="1:5" x14ac:dyDescent="0.25">
      <c r="A1714" s="2" t="s">
        <v>1972</v>
      </c>
      <c r="B1714" s="2" t="s">
        <v>1973</v>
      </c>
      <c r="C1714" s="2">
        <v>3</v>
      </c>
      <c r="D1714" t="str">
        <f t="shared" si="26"/>
        <v>CA-2015-105599_FUR-TA-10003837</v>
      </c>
      <c r="E1714" t="str">
        <f>IF(COUNTIF(data2!$D:$D,D1714)=0,"Missing in Data2","Present")</f>
        <v>Present</v>
      </c>
    </row>
    <row r="1715" spans="1:5" x14ac:dyDescent="0.25">
      <c r="A1715" s="2" t="s">
        <v>1974</v>
      </c>
      <c r="B1715" s="2" t="s">
        <v>1975</v>
      </c>
      <c r="C1715" s="2">
        <v>6</v>
      </c>
      <c r="D1715" t="str">
        <f t="shared" si="26"/>
        <v>CA-2015-105613_OFF-AP-10000026</v>
      </c>
      <c r="E1715" t="str">
        <f>IF(COUNTIF(data2!$D:$D,D1715)=0,"Missing in Data2","Present")</f>
        <v>Present</v>
      </c>
    </row>
    <row r="1716" spans="1:5" x14ac:dyDescent="0.25">
      <c r="A1716" s="2" t="s">
        <v>1974</v>
      </c>
      <c r="B1716" s="2" t="s">
        <v>1976</v>
      </c>
      <c r="C1716" s="2">
        <v>3</v>
      </c>
      <c r="D1716" t="str">
        <f t="shared" si="26"/>
        <v>CA-2015-105613_TEC-AC-10000521</v>
      </c>
      <c r="E1716" t="str">
        <f>IF(COUNTIF(data2!$D:$D,D1716)=0,"Missing in Data2","Present")</f>
        <v>Present</v>
      </c>
    </row>
    <row r="1717" spans="1:5" x14ac:dyDescent="0.25">
      <c r="A1717" s="2" t="s">
        <v>1977</v>
      </c>
      <c r="B1717" s="2" t="s">
        <v>411</v>
      </c>
      <c r="C1717" s="2">
        <v>3</v>
      </c>
      <c r="D1717" t="str">
        <f t="shared" si="26"/>
        <v>CA-2015-105627_FUR-BO-10002916</v>
      </c>
      <c r="E1717" t="str">
        <f>IF(COUNTIF(data2!$D:$D,D1717)=0,"Missing in Data2","Present")</f>
        <v>Present</v>
      </c>
    </row>
    <row r="1718" spans="1:5" x14ac:dyDescent="0.25">
      <c r="A1718" s="2" t="s">
        <v>1977</v>
      </c>
      <c r="B1718" s="2" t="s">
        <v>1978</v>
      </c>
      <c r="C1718" s="2">
        <v>7</v>
      </c>
      <c r="D1718" t="str">
        <f t="shared" si="26"/>
        <v>CA-2015-105627_FUR-CH-10002084</v>
      </c>
      <c r="E1718" t="str">
        <f>IF(COUNTIF(data2!$D:$D,D1718)=0,"Missing in Data2","Present")</f>
        <v>Present</v>
      </c>
    </row>
    <row r="1719" spans="1:5" x14ac:dyDescent="0.25">
      <c r="A1719" s="2" t="s">
        <v>1977</v>
      </c>
      <c r="B1719" s="2" t="s">
        <v>1698</v>
      </c>
      <c r="C1719" s="2">
        <v>6</v>
      </c>
      <c r="D1719" t="str">
        <f t="shared" si="26"/>
        <v>CA-2015-105627_FUR-FU-10000308</v>
      </c>
      <c r="E1719" t="str">
        <f>IF(COUNTIF(data2!$D:$D,D1719)=0,"Missing in Data2","Present")</f>
        <v>Present</v>
      </c>
    </row>
    <row r="1720" spans="1:5" x14ac:dyDescent="0.25">
      <c r="A1720" s="2" t="s">
        <v>1977</v>
      </c>
      <c r="B1720" s="2" t="s">
        <v>1979</v>
      </c>
      <c r="C1720" s="2">
        <v>1</v>
      </c>
      <c r="D1720" t="str">
        <f t="shared" si="26"/>
        <v>CA-2015-105627_OFF-AR-10002704</v>
      </c>
      <c r="E1720" t="str">
        <f>IF(COUNTIF(data2!$D:$D,D1720)=0,"Missing in Data2","Present")</f>
        <v>Present</v>
      </c>
    </row>
    <row r="1721" spans="1:5" x14ac:dyDescent="0.25">
      <c r="A1721" s="2" t="s">
        <v>1977</v>
      </c>
      <c r="B1721" s="2" t="s">
        <v>1980</v>
      </c>
      <c r="C1721" s="2">
        <v>5</v>
      </c>
      <c r="D1721" t="str">
        <f t="shared" si="26"/>
        <v>CA-2015-105627_TEC-PH-10003012</v>
      </c>
      <c r="E1721" t="str">
        <f>IF(COUNTIF(data2!$D:$D,D1721)=0,"Missing in Data2","Present")</f>
        <v>Present</v>
      </c>
    </row>
    <row r="1722" spans="1:5" x14ac:dyDescent="0.25">
      <c r="A1722" s="2" t="s">
        <v>1981</v>
      </c>
      <c r="B1722" s="2" t="s">
        <v>1669</v>
      </c>
      <c r="C1722" s="2">
        <v>5</v>
      </c>
      <c r="D1722" t="str">
        <f t="shared" si="26"/>
        <v>CA-2015-105634_OFF-AR-10001573</v>
      </c>
      <c r="E1722" t="str">
        <f>IF(COUNTIF(data2!$D:$D,D1722)=0,"Missing in Data2","Present")</f>
        <v>Present</v>
      </c>
    </row>
    <row r="1723" spans="1:5" x14ac:dyDescent="0.25">
      <c r="A1723" s="2" t="s">
        <v>1982</v>
      </c>
      <c r="B1723" s="2" t="s">
        <v>1983</v>
      </c>
      <c r="C1723" s="2">
        <v>2</v>
      </c>
      <c r="D1723" t="str">
        <f t="shared" si="26"/>
        <v>CA-2015-105690_FUR-BO-10003965</v>
      </c>
      <c r="E1723" t="str">
        <f>IF(COUNTIF(data2!$D:$D,D1723)=0,"Missing in Data2","Present")</f>
        <v>Missing in Data2</v>
      </c>
    </row>
    <row r="1724" spans="1:5" x14ac:dyDescent="0.25">
      <c r="A1724" s="2" t="s">
        <v>1982</v>
      </c>
      <c r="B1724" s="2" t="s">
        <v>591</v>
      </c>
      <c r="C1724" s="2">
        <v>2</v>
      </c>
      <c r="D1724" t="str">
        <f t="shared" si="26"/>
        <v>CA-2015-105690_OFF-LA-10000240</v>
      </c>
      <c r="E1724" t="str">
        <f>IF(COUNTIF(data2!$D:$D,D1724)=0,"Missing in Data2","Present")</f>
        <v>Present</v>
      </c>
    </row>
    <row r="1725" spans="1:5" x14ac:dyDescent="0.25">
      <c r="A1725" s="2" t="s">
        <v>1982</v>
      </c>
      <c r="B1725" s="2" t="s">
        <v>759</v>
      </c>
      <c r="C1725" s="2">
        <v>1</v>
      </c>
      <c r="D1725" t="str">
        <f t="shared" si="26"/>
        <v>CA-2015-105690_TEC-CO-10001571</v>
      </c>
      <c r="E1725" t="str">
        <f>IF(COUNTIF(data2!$D:$D,D1725)=0,"Missing in Data2","Present")</f>
        <v>Missing in Data2</v>
      </c>
    </row>
    <row r="1726" spans="1:5" x14ac:dyDescent="0.25">
      <c r="A1726" s="2" t="s">
        <v>1984</v>
      </c>
      <c r="B1726" s="2" t="s">
        <v>513</v>
      </c>
      <c r="C1726" s="2">
        <v>1</v>
      </c>
      <c r="D1726" t="str">
        <f t="shared" si="26"/>
        <v>CA-2015-105725_FUR-TA-10001676</v>
      </c>
      <c r="E1726" t="str">
        <f>IF(COUNTIF(data2!$D:$D,D1726)=0,"Missing in Data2","Present")</f>
        <v>Present</v>
      </c>
    </row>
    <row r="1727" spans="1:5" x14ac:dyDescent="0.25">
      <c r="A1727" s="2" t="s">
        <v>1985</v>
      </c>
      <c r="B1727" s="2" t="s">
        <v>1034</v>
      </c>
      <c r="C1727" s="2">
        <v>4</v>
      </c>
      <c r="D1727" t="str">
        <f t="shared" si="26"/>
        <v>CA-2015-105844_OFF-AR-10001955</v>
      </c>
      <c r="E1727" t="str">
        <f>IF(COUNTIF(data2!$D:$D,D1727)=0,"Missing in Data2","Present")</f>
        <v>Present</v>
      </c>
    </row>
    <row r="1728" spans="1:5" x14ac:dyDescent="0.25">
      <c r="A1728" s="2" t="s">
        <v>1986</v>
      </c>
      <c r="B1728" s="2" t="s">
        <v>222</v>
      </c>
      <c r="C1728" s="2">
        <v>1</v>
      </c>
      <c r="D1728" t="str">
        <f t="shared" si="26"/>
        <v>CA-2015-105970_OFF-AR-10003156</v>
      </c>
      <c r="E1728" t="str">
        <f>IF(COUNTIF(data2!$D:$D,D1728)=0,"Missing in Data2","Present")</f>
        <v>Present</v>
      </c>
    </row>
    <row r="1729" spans="1:5" x14ac:dyDescent="0.25">
      <c r="A1729" s="2" t="s">
        <v>1986</v>
      </c>
      <c r="B1729" s="2" t="s">
        <v>1656</v>
      </c>
      <c r="C1729" s="2">
        <v>6</v>
      </c>
      <c r="D1729" t="str">
        <f t="shared" si="26"/>
        <v>CA-2015-105970_OFF-EN-10001532</v>
      </c>
      <c r="E1729" t="str">
        <f>IF(COUNTIF(data2!$D:$D,D1729)=0,"Missing in Data2","Present")</f>
        <v>Present</v>
      </c>
    </row>
    <row r="1730" spans="1:5" x14ac:dyDescent="0.25">
      <c r="A1730" s="2" t="s">
        <v>1987</v>
      </c>
      <c r="B1730" s="2" t="s">
        <v>1988</v>
      </c>
      <c r="C1730" s="2">
        <v>3</v>
      </c>
      <c r="D1730" t="str">
        <f t="shared" si="26"/>
        <v>CA-2015-106187_FUR-FU-10000794</v>
      </c>
      <c r="E1730" t="str">
        <f>IF(COUNTIF(data2!$D:$D,D1730)=0,"Missing in Data2","Present")</f>
        <v>Missing in Data2</v>
      </c>
    </row>
    <row r="1731" spans="1:5" x14ac:dyDescent="0.25">
      <c r="A1731" s="2" t="s">
        <v>1987</v>
      </c>
      <c r="B1731" s="2" t="s">
        <v>1989</v>
      </c>
      <c r="C1731" s="2">
        <v>1</v>
      </c>
      <c r="D1731" t="str">
        <f t="shared" ref="D1731:D1794" si="27">A1731&amp;"_"&amp;B1731</f>
        <v>CA-2015-106187_OFF-BI-10004519</v>
      </c>
      <c r="E1731" t="str">
        <f>IF(COUNTIF(data2!$D:$D,D1731)=0,"Missing in Data2","Present")</f>
        <v>Present</v>
      </c>
    </row>
    <row r="1732" spans="1:5" x14ac:dyDescent="0.25">
      <c r="A1732" s="2" t="s">
        <v>1987</v>
      </c>
      <c r="B1732" s="2" t="s">
        <v>1990</v>
      </c>
      <c r="C1732" s="2">
        <v>3</v>
      </c>
      <c r="D1732" t="str">
        <f t="shared" si="27"/>
        <v>CA-2015-106187_TEC-AC-10001590</v>
      </c>
      <c r="E1732" t="str">
        <f>IF(COUNTIF(data2!$D:$D,D1732)=0,"Missing in Data2","Present")</f>
        <v>Missing in Data2</v>
      </c>
    </row>
    <row r="1733" spans="1:5" x14ac:dyDescent="0.25">
      <c r="A1733" s="2" t="s">
        <v>1991</v>
      </c>
      <c r="B1733" s="2" t="s">
        <v>1992</v>
      </c>
      <c r="C1733" s="2">
        <v>7</v>
      </c>
      <c r="D1733" t="str">
        <f t="shared" si="27"/>
        <v>CA-2015-106208_OFF-AP-10004980</v>
      </c>
      <c r="E1733" t="str">
        <f>IF(COUNTIF(data2!$D:$D,D1733)=0,"Missing in Data2","Present")</f>
        <v>Present</v>
      </c>
    </row>
    <row r="1734" spans="1:5" x14ac:dyDescent="0.25">
      <c r="A1734" s="2" t="s">
        <v>1993</v>
      </c>
      <c r="B1734" s="2" t="s">
        <v>1994</v>
      </c>
      <c r="C1734" s="2">
        <v>4</v>
      </c>
      <c r="D1734" t="str">
        <f t="shared" si="27"/>
        <v>CA-2015-106215_OFF-FA-10001229</v>
      </c>
      <c r="E1734" t="str">
        <f>IF(COUNTIF(data2!$D:$D,D1734)=0,"Missing in Data2","Present")</f>
        <v>Present</v>
      </c>
    </row>
    <row r="1735" spans="1:5" x14ac:dyDescent="0.25">
      <c r="A1735" s="2" t="s">
        <v>1995</v>
      </c>
      <c r="B1735" s="2" t="s">
        <v>1996</v>
      </c>
      <c r="C1735" s="2">
        <v>2</v>
      </c>
      <c r="D1735" t="str">
        <f t="shared" si="27"/>
        <v>CA-2015-106257_FUR-TA-10002530</v>
      </c>
      <c r="E1735" t="str">
        <f>IF(COUNTIF(data2!$D:$D,D1735)=0,"Missing in Data2","Present")</f>
        <v>Present</v>
      </c>
    </row>
    <row r="1736" spans="1:5" x14ac:dyDescent="0.25">
      <c r="A1736" s="2" t="s">
        <v>1995</v>
      </c>
      <c r="B1736" s="2" t="s">
        <v>1997</v>
      </c>
      <c r="C1736" s="2">
        <v>2</v>
      </c>
      <c r="D1736" t="str">
        <f t="shared" si="27"/>
        <v>CA-2015-106257_TEC-PH-10001494</v>
      </c>
      <c r="E1736" t="str">
        <f>IF(COUNTIF(data2!$D:$D,D1736)=0,"Missing in Data2","Present")</f>
        <v>Present</v>
      </c>
    </row>
    <row r="1737" spans="1:5" x14ac:dyDescent="0.25">
      <c r="A1737" s="2" t="s">
        <v>1998</v>
      </c>
      <c r="B1737" s="2" t="s">
        <v>869</v>
      </c>
      <c r="C1737" s="2">
        <v>3</v>
      </c>
      <c r="D1737" t="str">
        <f t="shared" si="27"/>
        <v>CA-2015-106320_FUR-TA-10000577</v>
      </c>
      <c r="E1737" t="str">
        <f>IF(COUNTIF(data2!$D:$D,D1737)=0,"Missing in Data2","Present")</f>
        <v>Present</v>
      </c>
    </row>
    <row r="1738" spans="1:5" x14ac:dyDescent="0.25">
      <c r="A1738" s="2" t="s">
        <v>1999</v>
      </c>
      <c r="B1738" s="2" t="s">
        <v>2000</v>
      </c>
      <c r="C1738" s="2">
        <v>3</v>
      </c>
      <c r="D1738" t="str">
        <f t="shared" si="27"/>
        <v>CA-2015-106362_OFF-BI-10003166</v>
      </c>
      <c r="E1738" t="str">
        <f>IF(COUNTIF(data2!$D:$D,D1738)=0,"Missing in Data2","Present")</f>
        <v>Present</v>
      </c>
    </row>
    <row r="1739" spans="1:5" x14ac:dyDescent="0.25">
      <c r="A1739" s="2" t="s">
        <v>2001</v>
      </c>
      <c r="B1739" s="2" t="s">
        <v>1001</v>
      </c>
      <c r="C1739" s="2">
        <v>8</v>
      </c>
      <c r="D1739" t="str">
        <f t="shared" si="27"/>
        <v>CA-2015-106565_OFF-PA-10000061</v>
      </c>
      <c r="E1739" t="str">
        <f>IF(COUNTIF(data2!$D:$D,D1739)=0,"Missing in Data2","Present")</f>
        <v>Present</v>
      </c>
    </row>
    <row r="1740" spans="1:5" x14ac:dyDescent="0.25">
      <c r="A1740" s="2" t="s">
        <v>2002</v>
      </c>
      <c r="B1740" s="2" t="s">
        <v>1225</v>
      </c>
      <c r="C1740" s="2">
        <v>2</v>
      </c>
      <c r="D1740" t="str">
        <f t="shared" si="27"/>
        <v>CA-2015-106978_OFF-BI-10002012</v>
      </c>
      <c r="E1740" t="str">
        <f>IF(COUNTIF(data2!$D:$D,D1740)=0,"Missing in Data2","Present")</f>
        <v>Present</v>
      </c>
    </row>
    <row r="1741" spans="1:5" x14ac:dyDescent="0.25">
      <c r="A1741" s="2" t="s">
        <v>2002</v>
      </c>
      <c r="B1741" s="2" t="s">
        <v>1494</v>
      </c>
      <c r="C1741" s="2">
        <v>1</v>
      </c>
      <c r="D1741" t="str">
        <f t="shared" si="27"/>
        <v>CA-2015-106978_OFF-EN-10004483</v>
      </c>
      <c r="E1741" t="str">
        <f>IF(COUNTIF(data2!$D:$D,D1741)=0,"Missing in Data2","Present")</f>
        <v>Present</v>
      </c>
    </row>
    <row r="1742" spans="1:5" x14ac:dyDescent="0.25">
      <c r="A1742" s="2" t="s">
        <v>2002</v>
      </c>
      <c r="B1742" s="2" t="s">
        <v>96</v>
      </c>
      <c r="C1742" s="2">
        <v>3</v>
      </c>
      <c r="D1742" t="str">
        <f t="shared" si="27"/>
        <v>CA-2015-106978_OFF-FA-10003021</v>
      </c>
      <c r="E1742" t="str">
        <f>IF(COUNTIF(data2!$D:$D,D1742)=0,"Missing in Data2","Present")</f>
        <v>Present</v>
      </c>
    </row>
    <row r="1743" spans="1:5" x14ac:dyDescent="0.25">
      <c r="A1743" s="2" t="s">
        <v>2003</v>
      </c>
      <c r="B1743" s="2" t="s">
        <v>1121</v>
      </c>
      <c r="C1743" s="2">
        <v>2</v>
      </c>
      <c r="D1743" t="str">
        <f t="shared" si="27"/>
        <v>CA-2015-107020_OFF-BI-10003719</v>
      </c>
      <c r="E1743" t="str">
        <f>IF(COUNTIF(data2!$D:$D,D1743)=0,"Missing in Data2","Present")</f>
        <v>Present</v>
      </c>
    </row>
    <row r="1744" spans="1:5" x14ac:dyDescent="0.25">
      <c r="A1744" s="2" t="s">
        <v>2004</v>
      </c>
      <c r="B1744" s="2" t="s">
        <v>995</v>
      </c>
      <c r="C1744" s="2">
        <v>3</v>
      </c>
      <c r="D1744" t="str">
        <f t="shared" si="27"/>
        <v>CA-2015-107083_OFF-AP-10004136</v>
      </c>
      <c r="E1744" t="str">
        <f>IF(COUNTIF(data2!$D:$D,D1744)=0,"Missing in Data2","Present")</f>
        <v>Present</v>
      </c>
    </row>
    <row r="1745" spans="1:5" x14ac:dyDescent="0.25">
      <c r="A1745" s="2" t="s">
        <v>2004</v>
      </c>
      <c r="B1745" s="2" t="s">
        <v>2005</v>
      </c>
      <c r="C1745" s="2">
        <v>2</v>
      </c>
      <c r="D1745" t="str">
        <f t="shared" si="27"/>
        <v>CA-2015-107083_OFF-AR-10002257</v>
      </c>
      <c r="E1745" t="str">
        <f>IF(COUNTIF(data2!$D:$D,D1745)=0,"Missing in Data2","Present")</f>
        <v>Present</v>
      </c>
    </row>
    <row r="1746" spans="1:5" x14ac:dyDescent="0.25">
      <c r="A1746" s="2" t="s">
        <v>2004</v>
      </c>
      <c r="B1746" s="2" t="s">
        <v>1651</v>
      </c>
      <c r="C1746" s="2">
        <v>2</v>
      </c>
      <c r="D1746" t="str">
        <f t="shared" si="27"/>
        <v>CA-2015-107083_OFF-BI-10000756</v>
      </c>
      <c r="E1746" t="str">
        <f>IF(COUNTIF(data2!$D:$D,D1746)=0,"Missing in Data2","Present")</f>
        <v>Present</v>
      </c>
    </row>
    <row r="1747" spans="1:5" x14ac:dyDescent="0.25">
      <c r="A1747" s="2" t="s">
        <v>2004</v>
      </c>
      <c r="B1747" s="2" t="s">
        <v>2006</v>
      </c>
      <c r="C1747" s="2">
        <v>5</v>
      </c>
      <c r="D1747" t="str">
        <f t="shared" si="27"/>
        <v>CA-2015-107083_OFF-BI-10002194</v>
      </c>
      <c r="E1747" t="str">
        <f>IF(COUNTIF(data2!$D:$D,D1747)=0,"Missing in Data2","Present")</f>
        <v>Present</v>
      </c>
    </row>
    <row r="1748" spans="1:5" x14ac:dyDescent="0.25">
      <c r="A1748" s="2" t="s">
        <v>2007</v>
      </c>
      <c r="B1748" s="2" t="s">
        <v>95</v>
      </c>
      <c r="C1748" s="2">
        <v>2</v>
      </c>
      <c r="D1748" t="str">
        <f t="shared" si="27"/>
        <v>CA-2015-107468_OFF-AR-10000634</v>
      </c>
      <c r="E1748" t="str">
        <f>IF(COUNTIF(data2!$D:$D,D1748)=0,"Missing in Data2","Present")</f>
        <v>Present</v>
      </c>
    </row>
    <row r="1749" spans="1:5" x14ac:dyDescent="0.25">
      <c r="A1749" s="2" t="s">
        <v>2008</v>
      </c>
      <c r="B1749" s="2" t="s">
        <v>415</v>
      </c>
      <c r="C1749" s="2">
        <v>2</v>
      </c>
      <c r="D1749" t="str">
        <f t="shared" si="27"/>
        <v>CA-2015-107678_FUR-CH-10001891</v>
      </c>
      <c r="E1749" t="str">
        <f>IF(COUNTIF(data2!$D:$D,D1749)=0,"Missing in Data2","Present")</f>
        <v>Present</v>
      </c>
    </row>
    <row r="1750" spans="1:5" x14ac:dyDescent="0.25">
      <c r="A1750" s="2" t="s">
        <v>2008</v>
      </c>
      <c r="B1750" s="2" t="s">
        <v>2009</v>
      </c>
      <c r="C1750" s="2">
        <v>3</v>
      </c>
      <c r="D1750" t="str">
        <f t="shared" si="27"/>
        <v>CA-2015-107678_FUR-FU-10003394</v>
      </c>
      <c r="E1750" t="str">
        <f>IF(COUNTIF(data2!$D:$D,D1750)=0,"Missing in Data2","Present")</f>
        <v>Present</v>
      </c>
    </row>
    <row r="1751" spans="1:5" x14ac:dyDescent="0.25">
      <c r="A1751" s="2" t="s">
        <v>2008</v>
      </c>
      <c r="B1751" s="2" t="s">
        <v>1279</v>
      </c>
      <c r="C1751" s="2">
        <v>3</v>
      </c>
      <c r="D1751" t="str">
        <f t="shared" si="27"/>
        <v>CA-2015-107678_OFF-BI-10002215</v>
      </c>
      <c r="E1751" t="str">
        <f>IF(COUNTIF(data2!$D:$D,D1751)=0,"Missing in Data2","Present")</f>
        <v>Present</v>
      </c>
    </row>
    <row r="1752" spans="1:5" x14ac:dyDescent="0.25">
      <c r="A1752" s="2" t="s">
        <v>2008</v>
      </c>
      <c r="B1752" s="2" t="s">
        <v>1425</v>
      </c>
      <c r="C1752" s="2">
        <v>5</v>
      </c>
      <c r="D1752" t="str">
        <f t="shared" si="27"/>
        <v>CA-2015-107678_TEC-PH-10002103</v>
      </c>
      <c r="E1752" t="str">
        <f>IF(COUNTIF(data2!$D:$D,D1752)=0,"Missing in Data2","Present")</f>
        <v>Present</v>
      </c>
    </row>
    <row r="1753" spans="1:5" x14ac:dyDescent="0.25">
      <c r="A1753" s="2" t="s">
        <v>2010</v>
      </c>
      <c r="B1753" s="2" t="s">
        <v>1286</v>
      </c>
      <c r="C1753" s="2">
        <v>4</v>
      </c>
      <c r="D1753" t="str">
        <f t="shared" si="27"/>
        <v>CA-2015-107685_FUR-FU-10002813</v>
      </c>
      <c r="E1753" t="str">
        <f>IF(COUNTIF(data2!$D:$D,D1753)=0,"Missing in Data2","Present")</f>
        <v>Present</v>
      </c>
    </row>
    <row r="1754" spans="1:5" x14ac:dyDescent="0.25">
      <c r="A1754" s="2" t="s">
        <v>2010</v>
      </c>
      <c r="B1754" s="2" t="s">
        <v>2011</v>
      </c>
      <c r="C1754" s="2">
        <v>4</v>
      </c>
      <c r="D1754" t="str">
        <f t="shared" si="27"/>
        <v>CA-2015-107685_OFF-PA-10003848</v>
      </c>
      <c r="E1754" t="str">
        <f>IF(COUNTIF(data2!$D:$D,D1754)=0,"Missing in Data2","Present")</f>
        <v>Present</v>
      </c>
    </row>
    <row r="1755" spans="1:5" x14ac:dyDescent="0.25">
      <c r="A1755" s="2" t="s">
        <v>2012</v>
      </c>
      <c r="B1755" s="2" t="s">
        <v>236</v>
      </c>
      <c r="C1755" s="2">
        <v>1</v>
      </c>
      <c r="D1755" t="str">
        <f t="shared" si="27"/>
        <v>CA-2015-107741_OFF-AR-10002399</v>
      </c>
      <c r="E1755" t="str">
        <f>IF(COUNTIF(data2!$D:$D,D1755)=0,"Missing in Data2","Present")</f>
        <v>Present</v>
      </c>
    </row>
    <row r="1756" spans="1:5" x14ac:dyDescent="0.25">
      <c r="A1756" s="2" t="s">
        <v>2013</v>
      </c>
      <c r="B1756" s="2" t="s">
        <v>1802</v>
      </c>
      <c r="C1756" s="2">
        <v>6</v>
      </c>
      <c r="D1756" t="str">
        <f t="shared" si="27"/>
        <v>CA-2015-107937_FUR-FU-10002298</v>
      </c>
      <c r="E1756" t="str">
        <f>IF(COUNTIF(data2!$D:$D,D1756)=0,"Missing in Data2","Present")</f>
        <v>Present</v>
      </c>
    </row>
    <row r="1757" spans="1:5" x14ac:dyDescent="0.25">
      <c r="A1757" s="2" t="s">
        <v>2014</v>
      </c>
      <c r="B1757" s="2" t="s">
        <v>1996</v>
      </c>
      <c r="C1757" s="2">
        <v>2</v>
      </c>
      <c r="D1757" t="str">
        <f t="shared" si="27"/>
        <v>CA-2015-108119_FUR-TA-10002530</v>
      </c>
      <c r="E1757" t="str">
        <f>IF(COUNTIF(data2!$D:$D,D1757)=0,"Missing in Data2","Present")</f>
        <v>Present</v>
      </c>
    </row>
    <row r="1758" spans="1:5" x14ac:dyDescent="0.25">
      <c r="A1758" s="2" t="s">
        <v>2015</v>
      </c>
      <c r="B1758" s="2" t="s">
        <v>1324</v>
      </c>
      <c r="C1758" s="2">
        <v>1</v>
      </c>
      <c r="D1758" t="str">
        <f t="shared" si="27"/>
        <v>CA-2015-108259_FUR-FU-10000023</v>
      </c>
      <c r="E1758" t="str">
        <f>IF(COUNTIF(data2!$D:$D,D1758)=0,"Missing in Data2","Present")</f>
        <v>Present</v>
      </c>
    </row>
    <row r="1759" spans="1:5" x14ac:dyDescent="0.25">
      <c r="A1759" s="2" t="s">
        <v>2015</v>
      </c>
      <c r="B1759" s="2" t="s">
        <v>1386</v>
      </c>
      <c r="C1759" s="2">
        <v>7</v>
      </c>
      <c r="D1759" t="str">
        <f t="shared" si="27"/>
        <v>CA-2015-108259_OFF-BI-10000315</v>
      </c>
      <c r="E1759" t="str">
        <f>IF(COUNTIF(data2!$D:$D,D1759)=0,"Missing in Data2","Present")</f>
        <v>Present</v>
      </c>
    </row>
    <row r="1760" spans="1:5" x14ac:dyDescent="0.25">
      <c r="A1760" s="2" t="s">
        <v>2015</v>
      </c>
      <c r="B1760" s="2" t="s">
        <v>1303</v>
      </c>
      <c r="C1760" s="2">
        <v>11</v>
      </c>
      <c r="D1760" t="str">
        <f t="shared" si="27"/>
        <v>CA-2015-108259_OFF-FA-10000624</v>
      </c>
      <c r="E1760" t="str">
        <f>IF(COUNTIF(data2!$D:$D,D1760)=0,"Missing in Data2","Present")</f>
        <v>Present</v>
      </c>
    </row>
    <row r="1761" spans="1:5" x14ac:dyDescent="0.25">
      <c r="A1761" s="2" t="s">
        <v>2015</v>
      </c>
      <c r="B1761" s="2" t="s">
        <v>720</v>
      </c>
      <c r="C1761" s="2">
        <v>1</v>
      </c>
      <c r="D1761" t="str">
        <f t="shared" si="27"/>
        <v>CA-2015-108259_OFF-LA-10002945</v>
      </c>
      <c r="E1761" t="str">
        <f>IF(COUNTIF(data2!$D:$D,D1761)=0,"Missing in Data2","Present")</f>
        <v>Present</v>
      </c>
    </row>
    <row r="1762" spans="1:5" x14ac:dyDescent="0.25">
      <c r="A1762" s="2" t="s">
        <v>2016</v>
      </c>
      <c r="B1762" s="2" t="s">
        <v>676</v>
      </c>
      <c r="C1762" s="2">
        <v>7</v>
      </c>
      <c r="D1762" t="str">
        <f t="shared" si="27"/>
        <v>CA-2015-108532_TEC-AC-10004510</v>
      </c>
      <c r="E1762" t="str">
        <f>IF(COUNTIF(data2!$D:$D,D1762)=0,"Missing in Data2","Present")</f>
        <v>Present</v>
      </c>
    </row>
    <row r="1763" spans="1:5" x14ac:dyDescent="0.25">
      <c r="A1763" s="2" t="s">
        <v>2016</v>
      </c>
      <c r="B1763" s="2" t="s">
        <v>1092</v>
      </c>
      <c r="C1763" s="2">
        <v>2</v>
      </c>
      <c r="D1763" t="str">
        <f t="shared" si="27"/>
        <v>CA-2015-108532_TEC-PH-10001750</v>
      </c>
      <c r="E1763" t="str">
        <f>IF(COUNTIF(data2!$D:$D,D1763)=0,"Missing in Data2","Present")</f>
        <v>Present</v>
      </c>
    </row>
    <row r="1764" spans="1:5" x14ac:dyDescent="0.25">
      <c r="A1764" s="2" t="s">
        <v>2017</v>
      </c>
      <c r="B1764" s="2" t="s">
        <v>1492</v>
      </c>
      <c r="C1764" s="2">
        <v>3</v>
      </c>
      <c r="D1764" t="str">
        <f t="shared" si="27"/>
        <v>CA-2015-108588_OFF-AR-10001615</v>
      </c>
      <c r="E1764" t="str">
        <f>IF(COUNTIF(data2!$D:$D,D1764)=0,"Missing in Data2","Present")</f>
        <v>Missing in Data2</v>
      </c>
    </row>
    <row r="1765" spans="1:5" x14ac:dyDescent="0.25">
      <c r="A1765" s="2" t="s">
        <v>2017</v>
      </c>
      <c r="B1765" s="2" t="s">
        <v>1463</v>
      </c>
      <c r="C1765" s="2">
        <v>2</v>
      </c>
      <c r="D1765" t="str">
        <f t="shared" si="27"/>
        <v>CA-2015-108588_OFF-BI-10004506</v>
      </c>
      <c r="E1765" t="str">
        <f>IF(COUNTIF(data2!$D:$D,D1765)=0,"Missing in Data2","Present")</f>
        <v>Present</v>
      </c>
    </row>
    <row r="1766" spans="1:5" x14ac:dyDescent="0.25">
      <c r="A1766" s="2" t="s">
        <v>2017</v>
      </c>
      <c r="B1766" s="2" t="s">
        <v>1855</v>
      </c>
      <c r="C1766" s="2">
        <v>2</v>
      </c>
      <c r="D1766" t="str">
        <f t="shared" si="27"/>
        <v>CA-2015-108588_OFF-EN-10000461</v>
      </c>
      <c r="E1766" t="str">
        <f>IF(COUNTIF(data2!$D:$D,D1766)=0,"Missing in Data2","Present")</f>
        <v>Present</v>
      </c>
    </row>
    <row r="1767" spans="1:5" x14ac:dyDescent="0.25">
      <c r="A1767" s="2" t="s">
        <v>2018</v>
      </c>
      <c r="B1767" s="2" t="s">
        <v>1397</v>
      </c>
      <c r="C1767" s="2">
        <v>3</v>
      </c>
      <c r="D1767" t="str">
        <f t="shared" si="27"/>
        <v>CA-2015-108665_FUR-FU-10000965</v>
      </c>
      <c r="E1767" t="str">
        <f>IF(COUNTIF(data2!$D:$D,D1767)=0,"Missing in Data2","Present")</f>
        <v>Present</v>
      </c>
    </row>
    <row r="1768" spans="1:5" x14ac:dyDescent="0.25">
      <c r="A1768" s="2" t="s">
        <v>2018</v>
      </c>
      <c r="B1768" s="2" t="s">
        <v>1452</v>
      </c>
      <c r="C1768" s="2">
        <v>2</v>
      </c>
      <c r="D1768" t="str">
        <f t="shared" si="27"/>
        <v>CA-2015-108665_FUR-FU-10002191</v>
      </c>
      <c r="E1768" t="str">
        <f>IF(COUNTIF(data2!$D:$D,D1768)=0,"Missing in Data2","Present")</f>
        <v>Present</v>
      </c>
    </row>
    <row r="1769" spans="1:5" x14ac:dyDescent="0.25">
      <c r="A1769" s="2" t="s">
        <v>2018</v>
      </c>
      <c r="B1769" s="2" t="s">
        <v>2019</v>
      </c>
      <c r="C1769" s="2">
        <v>5</v>
      </c>
      <c r="D1769" t="str">
        <f t="shared" si="27"/>
        <v>CA-2015-108665_OFF-ST-10001526</v>
      </c>
      <c r="E1769" t="str">
        <f>IF(COUNTIF(data2!$D:$D,D1769)=0,"Missing in Data2","Present")</f>
        <v>Present</v>
      </c>
    </row>
    <row r="1770" spans="1:5" x14ac:dyDescent="0.25">
      <c r="A1770" s="2" t="s">
        <v>2018</v>
      </c>
      <c r="B1770" s="2" t="s">
        <v>633</v>
      </c>
      <c r="C1770" s="2">
        <v>5</v>
      </c>
      <c r="D1770" t="str">
        <f t="shared" si="27"/>
        <v>CA-2015-108665_TEC-PH-10004188</v>
      </c>
      <c r="E1770" t="str">
        <f>IF(COUNTIF(data2!$D:$D,D1770)=0,"Missing in Data2","Present")</f>
        <v>Present</v>
      </c>
    </row>
    <row r="1771" spans="1:5" x14ac:dyDescent="0.25">
      <c r="A1771" s="2" t="s">
        <v>2020</v>
      </c>
      <c r="B1771" s="2" t="s">
        <v>2021</v>
      </c>
      <c r="C1771" s="2">
        <v>6</v>
      </c>
      <c r="D1771" t="str">
        <f t="shared" si="27"/>
        <v>CA-2015-108672_FUR-FU-10003799</v>
      </c>
      <c r="E1771" t="str">
        <f>IF(COUNTIF(data2!$D:$D,D1771)=0,"Missing in Data2","Present")</f>
        <v>Present</v>
      </c>
    </row>
    <row r="1772" spans="1:5" x14ac:dyDescent="0.25">
      <c r="A1772" s="2" t="s">
        <v>2022</v>
      </c>
      <c r="B1772" s="2" t="s">
        <v>446</v>
      </c>
      <c r="C1772" s="2">
        <v>3</v>
      </c>
      <c r="D1772" t="str">
        <f t="shared" si="27"/>
        <v>CA-2015-109001_OFF-BI-10003529</v>
      </c>
      <c r="E1772" t="str">
        <f>IF(COUNTIF(data2!$D:$D,D1772)=0,"Missing in Data2","Present")</f>
        <v>Present</v>
      </c>
    </row>
    <row r="1773" spans="1:5" x14ac:dyDescent="0.25">
      <c r="A1773" s="2" t="s">
        <v>2022</v>
      </c>
      <c r="B1773" s="2" t="s">
        <v>496</v>
      </c>
      <c r="C1773" s="2">
        <v>1</v>
      </c>
      <c r="D1773" t="str">
        <f t="shared" si="27"/>
        <v>CA-2015-109001_TEC-AC-10001101</v>
      </c>
      <c r="E1773" t="str">
        <f>IF(COUNTIF(data2!$D:$D,D1773)=0,"Missing in Data2","Present")</f>
        <v>Present</v>
      </c>
    </row>
    <row r="1774" spans="1:5" x14ac:dyDescent="0.25">
      <c r="A1774" s="2" t="s">
        <v>2022</v>
      </c>
      <c r="B1774" s="2" t="s">
        <v>2023</v>
      </c>
      <c r="C1774" s="2">
        <v>7</v>
      </c>
      <c r="D1774" t="str">
        <f t="shared" si="27"/>
        <v>CA-2015-109001_TEC-PH-10000562</v>
      </c>
      <c r="E1774" t="str">
        <f>IF(COUNTIF(data2!$D:$D,D1774)=0,"Missing in Data2","Present")</f>
        <v>Present</v>
      </c>
    </row>
    <row r="1775" spans="1:5" x14ac:dyDescent="0.25">
      <c r="A1775" s="2" t="s">
        <v>2024</v>
      </c>
      <c r="B1775" s="2" t="s">
        <v>2025</v>
      </c>
      <c r="C1775" s="2">
        <v>2</v>
      </c>
      <c r="D1775" t="str">
        <f t="shared" si="27"/>
        <v>CA-2015-109113_TEC-AC-10004761</v>
      </c>
      <c r="E1775" t="str">
        <f>IF(COUNTIF(data2!$D:$D,D1775)=0,"Missing in Data2","Present")</f>
        <v>Present</v>
      </c>
    </row>
    <row r="1776" spans="1:5" x14ac:dyDescent="0.25">
      <c r="A1776" s="2" t="s">
        <v>2026</v>
      </c>
      <c r="B1776" s="2" t="s">
        <v>2027</v>
      </c>
      <c r="C1776" s="2">
        <v>2</v>
      </c>
      <c r="D1776" t="str">
        <f t="shared" si="27"/>
        <v>CA-2015-109169_OFF-EN-10003296</v>
      </c>
      <c r="E1776" t="str">
        <f>IF(COUNTIF(data2!$D:$D,D1776)=0,"Missing in Data2","Present")</f>
        <v>Present</v>
      </c>
    </row>
    <row r="1777" spans="1:5" x14ac:dyDescent="0.25">
      <c r="A1777" s="2" t="s">
        <v>2028</v>
      </c>
      <c r="B1777" s="2" t="s">
        <v>859</v>
      </c>
      <c r="C1777" s="2">
        <v>1</v>
      </c>
      <c r="D1777" t="str">
        <f t="shared" si="27"/>
        <v>CA-2015-109190_OFF-BI-10000977</v>
      </c>
      <c r="E1777" t="str">
        <f>IF(COUNTIF(data2!$D:$D,D1777)=0,"Missing in Data2","Present")</f>
        <v>Present</v>
      </c>
    </row>
    <row r="1778" spans="1:5" x14ac:dyDescent="0.25">
      <c r="A1778" s="2" t="s">
        <v>2028</v>
      </c>
      <c r="B1778" s="2" t="s">
        <v>2029</v>
      </c>
      <c r="C1778" s="2">
        <v>8</v>
      </c>
      <c r="D1778" t="str">
        <f t="shared" si="27"/>
        <v>CA-2015-109190_OFF-PA-10000069</v>
      </c>
      <c r="E1778" t="str">
        <f>IF(COUNTIF(data2!$D:$D,D1778)=0,"Missing in Data2","Present")</f>
        <v>Present</v>
      </c>
    </row>
    <row r="1779" spans="1:5" x14ac:dyDescent="0.25">
      <c r="A1779" s="2" t="s">
        <v>2028</v>
      </c>
      <c r="B1779" s="2" t="s">
        <v>2030</v>
      </c>
      <c r="C1779" s="2">
        <v>3</v>
      </c>
      <c r="D1779" t="str">
        <f t="shared" si="27"/>
        <v>CA-2015-109190_TEC-CO-10001943</v>
      </c>
      <c r="E1779" t="str">
        <f>IF(COUNTIF(data2!$D:$D,D1779)=0,"Missing in Data2","Present")</f>
        <v>Present</v>
      </c>
    </row>
    <row r="1780" spans="1:5" x14ac:dyDescent="0.25">
      <c r="A1780" s="2" t="s">
        <v>2031</v>
      </c>
      <c r="B1780" s="2" t="s">
        <v>820</v>
      </c>
      <c r="C1780" s="2">
        <v>2</v>
      </c>
      <c r="D1780" t="str">
        <f t="shared" si="27"/>
        <v>CA-2015-109197_OFF-BI-10004632</v>
      </c>
      <c r="E1780" t="str">
        <f>IF(COUNTIF(data2!$D:$D,D1780)=0,"Missing in Data2","Present")</f>
        <v>Present</v>
      </c>
    </row>
    <row r="1781" spans="1:5" x14ac:dyDescent="0.25">
      <c r="A1781" s="2" t="s">
        <v>2032</v>
      </c>
      <c r="B1781" s="2" t="s">
        <v>2033</v>
      </c>
      <c r="C1781" s="2">
        <v>5</v>
      </c>
      <c r="D1781" t="str">
        <f t="shared" si="27"/>
        <v>CA-2015-109337_OFF-AP-10004052</v>
      </c>
      <c r="E1781" t="str">
        <f>IF(COUNTIF(data2!$D:$D,D1781)=0,"Missing in Data2","Present")</f>
        <v>Present</v>
      </c>
    </row>
    <row r="1782" spans="1:5" x14ac:dyDescent="0.25">
      <c r="A1782" s="2" t="s">
        <v>2032</v>
      </c>
      <c r="B1782" s="2" t="s">
        <v>2034</v>
      </c>
      <c r="C1782" s="2">
        <v>6</v>
      </c>
      <c r="D1782" t="str">
        <f t="shared" si="27"/>
        <v>CA-2015-109337_OFF-AR-10003759</v>
      </c>
      <c r="E1782" t="str">
        <f>IF(COUNTIF(data2!$D:$D,D1782)=0,"Missing in Data2","Present")</f>
        <v>Present</v>
      </c>
    </row>
    <row r="1783" spans="1:5" x14ac:dyDescent="0.25">
      <c r="A1783" s="2" t="s">
        <v>2032</v>
      </c>
      <c r="B1783" s="2" t="s">
        <v>2035</v>
      </c>
      <c r="C1783" s="2">
        <v>3</v>
      </c>
      <c r="D1783" t="str">
        <f t="shared" si="27"/>
        <v>CA-2015-109337_TEC-AC-10000990</v>
      </c>
      <c r="E1783" t="str">
        <f>IF(COUNTIF(data2!$D:$D,D1783)=0,"Missing in Data2","Present")</f>
        <v>Present</v>
      </c>
    </row>
    <row r="1784" spans="1:5" x14ac:dyDescent="0.25">
      <c r="A1784" s="2" t="s">
        <v>2032</v>
      </c>
      <c r="B1784" s="2" t="s">
        <v>2036</v>
      </c>
      <c r="C1784" s="2">
        <v>2</v>
      </c>
      <c r="D1784" t="str">
        <f t="shared" si="27"/>
        <v>CA-2015-109337_TEC-MA-10002930</v>
      </c>
      <c r="E1784" t="str">
        <f>IF(COUNTIF(data2!$D:$D,D1784)=0,"Missing in Data2","Present")</f>
        <v>Present</v>
      </c>
    </row>
    <row r="1785" spans="1:5" x14ac:dyDescent="0.25">
      <c r="A1785" s="2" t="s">
        <v>2037</v>
      </c>
      <c r="B1785" s="2" t="s">
        <v>1698</v>
      </c>
      <c r="C1785" s="2">
        <v>3</v>
      </c>
      <c r="D1785" t="str">
        <f t="shared" si="27"/>
        <v>CA-2015-109386_FUR-FU-10000308</v>
      </c>
      <c r="E1785" t="str">
        <f>IF(COUNTIF(data2!$D:$D,D1785)=0,"Missing in Data2","Present")</f>
        <v>Present</v>
      </c>
    </row>
    <row r="1786" spans="1:5" x14ac:dyDescent="0.25">
      <c r="A1786" s="2" t="s">
        <v>2037</v>
      </c>
      <c r="B1786" s="2" t="s">
        <v>2038</v>
      </c>
      <c r="C1786" s="2">
        <v>3</v>
      </c>
      <c r="D1786" t="str">
        <f t="shared" si="27"/>
        <v>CA-2015-109386_OFF-AP-10003266</v>
      </c>
      <c r="E1786" t="str">
        <f>IF(COUNTIF(data2!$D:$D,D1786)=0,"Missing in Data2","Present")</f>
        <v>Present</v>
      </c>
    </row>
    <row r="1787" spans="1:5" x14ac:dyDescent="0.25">
      <c r="A1787" s="2" t="s">
        <v>2037</v>
      </c>
      <c r="B1787" s="2" t="s">
        <v>701</v>
      </c>
      <c r="C1787" s="2">
        <v>5</v>
      </c>
      <c r="D1787" t="str">
        <f t="shared" si="27"/>
        <v>CA-2015-109386_OFF-AR-10000122</v>
      </c>
      <c r="E1787" t="str">
        <f>IF(COUNTIF(data2!$D:$D,D1787)=0,"Missing in Data2","Present")</f>
        <v>Present</v>
      </c>
    </row>
    <row r="1788" spans="1:5" x14ac:dyDescent="0.25">
      <c r="A1788" s="2" t="s">
        <v>2037</v>
      </c>
      <c r="B1788" s="2" t="s">
        <v>23</v>
      </c>
      <c r="C1788" s="2">
        <v>7</v>
      </c>
      <c r="D1788" t="str">
        <f t="shared" si="27"/>
        <v>CA-2015-109386_OFF-AR-10000380</v>
      </c>
      <c r="E1788" t="str">
        <f>IF(COUNTIF(data2!$D:$D,D1788)=0,"Missing in Data2","Present")</f>
        <v>Present</v>
      </c>
    </row>
    <row r="1789" spans="1:5" x14ac:dyDescent="0.25">
      <c r="A1789" s="2" t="s">
        <v>2037</v>
      </c>
      <c r="B1789" s="2" t="s">
        <v>737</v>
      </c>
      <c r="C1789" s="2">
        <v>5</v>
      </c>
      <c r="D1789" t="str">
        <f t="shared" si="27"/>
        <v>CA-2015-109386_TEC-PH-10002890</v>
      </c>
      <c r="E1789" t="str">
        <f>IF(COUNTIF(data2!$D:$D,D1789)=0,"Missing in Data2","Present")</f>
        <v>Present</v>
      </c>
    </row>
    <row r="1790" spans="1:5" x14ac:dyDescent="0.25">
      <c r="A1790" s="2" t="s">
        <v>2039</v>
      </c>
      <c r="B1790" s="2" t="s">
        <v>859</v>
      </c>
      <c r="C1790" s="2">
        <v>12</v>
      </c>
      <c r="D1790" t="str">
        <f t="shared" si="27"/>
        <v>CA-2015-109470_OFF-BI-10000977</v>
      </c>
      <c r="E1790" t="str">
        <f>IF(COUNTIF(data2!$D:$D,D1790)=0,"Missing in Data2","Present")</f>
        <v>Missing in Data2</v>
      </c>
    </row>
    <row r="1791" spans="1:5" x14ac:dyDescent="0.25">
      <c r="A1791" s="2" t="s">
        <v>2039</v>
      </c>
      <c r="B1791" s="2" t="s">
        <v>401</v>
      </c>
      <c r="C1791" s="2">
        <v>4</v>
      </c>
      <c r="D1791" t="str">
        <f t="shared" si="27"/>
        <v>CA-2015-109470_OFF-BI-10001072</v>
      </c>
      <c r="E1791" t="str">
        <f>IF(COUNTIF(data2!$D:$D,D1791)=0,"Missing in Data2","Present")</f>
        <v>Present</v>
      </c>
    </row>
    <row r="1792" spans="1:5" x14ac:dyDescent="0.25">
      <c r="A1792" s="2" t="s">
        <v>2039</v>
      </c>
      <c r="B1792" s="2" t="s">
        <v>2040</v>
      </c>
      <c r="C1792" s="2">
        <v>5</v>
      </c>
      <c r="D1792" t="str">
        <f t="shared" si="27"/>
        <v>CA-2015-109470_OFF-BI-10003707</v>
      </c>
      <c r="E1792" t="str">
        <f>IF(COUNTIF(data2!$D:$D,D1792)=0,"Missing in Data2","Present")</f>
        <v>Present</v>
      </c>
    </row>
    <row r="1793" spans="1:5" x14ac:dyDescent="0.25">
      <c r="A1793" s="2" t="s">
        <v>2039</v>
      </c>
      <c r="B1793" s="2" t="s">
        <v>2041</v>
      </c>
      <c r="C1793" s="2">
        <v>3</v>
      </c>
      <c r="D1793" t="str">
        <f t="shared" si="27"/>
        <v>CA-2015-109470_OFF-BI-10004492</v>
      </c>
      <c r="E1793" t="str">
        <f>IF(COUNTIF(data2!$D:$D,D1793)=0,"Missing in Data2","Present")</f>
        <v>Present</v>
      </c>
    </row>
    <row r="1794" spans="1:5" x14ac:dyDescent="0.25">
      <c r="A1794" s="2" t="s">
        <v>2042</v>
      </c>
      <c r="B1794" s="2" t="s">
        <v>370</v>
      </c>
      <c r="C1794" s="2">
        <v>7</v>
      </c>
      <c r="D1794" t="str">
        <f t="shared" si="27"/>
        <v>CA-2015-109512_FUR-CH-10001146</v>
      </c>
      <c r="E1794" t="str">
        <f>IF(COUNTIF(data2!$D:$D,D1794)=0,"Missing in Data2","Present")</f>
        <v>Present</v>
      </c>
    </row>
    <row r="1795" spans="1:5" x14ac:dyDescent="0.25">
      <c r="A1795" s="2" t="s">
        <v>2042</v>
      </c>
      <c r="B1795" s="2" t="s">
        <v>1612</v>
      </c>
      <c r="C1795" s="2">
        <v>3</v>
      </c>
      <c r="D1795" t="str">
        <f t="shared" ref="D1795:D1858" si="28">A1795&amp;"_"&amp;B1795</f>
        <v>CA-2015-109512_OFF-EN-10002621</v>
      </c>
      <c r="E1795" t="str">
        <f>IF(COUNTIF(data2!$D:$D,D1795)=0,"Missing in Data2","Present")</f>
        <v>Present</v>
      </c>
    </row>
    <row r="1796" spans="1:5" x14ac:dyDescent="0.25">
      <c r="A1796" s="2" t="s">
        <v>2042</v>
      </c>
      <c r="B1796" s="2" t="s">
        <v>1235</v>
      </c>
      <c r="C1796" s="2">
        <v>4</v>
      </c>
      <c r="D1796" t="str">
        <f t="shared" si="28"/>
        <v>CA-2015-109512_OFF-ST-10000689</v>
      </c>
      <c r="E1796" t="str">
        <f>IF(COUNTIF(data2!$D:$D,D1796)=0,"Missing in Data2","Present")</f>
        <v>Present</v>
      </c>
    </row>
    <row r="1797" spans="1:5" x14ac:dyDescent="0.25">
      <c r="A1797" s="2" t="s">
        <v>2043</v>
      </c>
      <c r="B1797" s="2" t="s">
        <v>1014</v>
      </c>
      <c r="C1797" s="2">
        <v>4</v>
      </c>
      <c r="D1797" t="str">
        <f t="shared" si="28"/>
        <v>CA-2015-109575_OFF-BI-10000962</v>
      </c>
      <c r="E1797" t="str">
        <f>IF(COUNTIF(data2!$D:$D,D1797)=0,"Missing in Data2","Present")</f>
        <v>Present</v>
      </c>
    </row>
    <row r="1798" spans="1:5" x14ac:dyDescent="0.25">
      <c r="A1798" s="2" t="s">
        <v>2043</v>
      </c>
      <c r="B1798" s="2" t="s">
        <v>1761</v>
      </c>
      <c r="C1798" s="2">
        <v>7</v>
      </c>
      <c r="D1798" t="str">
        <f t="shared" si="28"/>
        <v>CA-2015-109575_OFF-ST-10004123</v>
      </c>
      <c r="E1798" t="str">
        <f>IF(COUNTIF(data2!$D:$D,D1798)=0,"Missing in Data2","Present")</f>
        <v>Present</v>
      </c>
    </row>
    <row r="1799" spans="1:5" x14ac:dyDescent="0.25">
      <c r="A1799" s="2" t="s">
        <v>2043</v>
      </c>
      <c r="B1799" s="2" t="s">
        <v>45</v>
      </c>
      <c r="C1799" s="2">
        <v>2</v>
      </c>
      <c r="D1799" t="str">
        <f t="shared" si="28"/>
        <v>CA-2015-109575_OFF-ST-10004950</v>
      </c>
      <c r="E1799" t="str">
        <f>IF(COUNTIF(data2!$D:$D,D1799)=0,"Missing in Data2","Present")</f>
        <v>Present</v>
      </c>
    </row>
    <row r="1800" spans="1:5" x14ac:dyDescent="0.25">
      <c r="A1800" s="2" t="s">
        <v>2043</v>
      </c>
      <c r="B1800" s="2" t="s">
        <v>1671</v>
      </c>
      <c r="C1800" s="2">
        <v>1</v>
      </c>
      <c r="D1800" t="str">
        <f t="shared" si="28"/>
        <v>CA-2015-109575_TEC-PH-10000730</v>
      </c>
      <c r="E1800" t="str">
        <f>IF(COUNTIF(data2!$D:$D,D1800)=0,"Missing in Data2","Present")</f>
        <v>Missing in Data2</v>
      </c>
    </row>
    <row r="1801" spans="1:5" x14ac:dyDescent="0.25">
      <c r="A1801" s="2" t="s">
        <v>2043</v>
      </c>
      <c r="B1801" s="2" t="s">
        <v>148</v>
      </c>
      <c r="C1801" s="2">
        <v>7</v>
      </c>
      <c r="D1801" t="str">
        <f t="shared" si="28"/>
        <v>CA-2015-109575_TEC-PH-10000895</v>
      </c>
      <c r="E1801" t="str">
        <f>IF(COUNTIF(data2!$D:$D,D1801)=0,"Missing in Data2","Present")</f>
        <v>Present</v>
      </c>
    </row>
    <row r="1802" spans="1:5" x14ac:dyDescent="0.25">
      <c r="A1802" s="2" t="s">
        <v>2044</v>
      </c>
      <c r="B1802" s="2" t="s">
        <v>2045</v>
      </c>
      <c r="C1802" s="2">
        <v>8</v>
      </c>
      <c r="D1802" t="str">
        <f t="shared" si="28"/>
        <v>CA-2015-109603_OFF-PA-10003790</v>
      </c>
      <c r="E1802" t="str">
        <f>IF(COUNTIF(data2!$D:$D,D1802)=0,"Missing in Data2","Present")</f>
        <v>Present</v>
      </c>
    </row>
    <row r="1803" spans="1:5" x14ac:dyDescent="0.25">
      <c r="A1803" s="2" t="s">
        <v>2046</v>
      </c>
      <c r="B1803" s="2" t="s">
        <v>2047</v>
      </c>
      <c r="C1803" s="2">
        <v>4</v>
      </c>
      <c r="D1803" t="str">
        <f t="shared" si="28"/>
        <v>CA-2015-109638_OFF-AP-10002472</v>
      </c>
      <c r="E1803" t="str">
        <f>IF(COUNTIF(data2!$D:$D,D1803)=0,"Missing in Data2","Present")</f>
        <v>Present</v>
      </c>
    </row>
    <row r="1804" spans="1:5" x14ac:dyDescent="0.25">
      <c r="A1804" s="2" t="s">
        <v>2046</v>
      </c>
      <c r="B1804" s="2" t="s">
        <v>2048</v>
      </c>
      <c r="C1804" s="2">
        <v>3</v>
      </c>
      <c r="D1804" t="str">
        <f t="shared" si="28"/>
        <v>CA-2015-109638_OFF-BI-10001098</v>
      </c>
      <c r="E1804" t="str">
        <f>IF(COUNTIF(data2!$D:$D,D1804)=0,"Missing in Data2","Present")</f>
        <v>Present</v>
      </c>
    </row>
    <row r="1805" spans="1:5" x14ac:dyDescent="0.25">
      <c r="A1805" s="2" t="s">
        <v>2046</v>
      </c>
      <c r="B1805" s="2" t="s">
        <v>1133</v>
      </c>
      <c r="C1805" s="2">
        <v>9</v>
      </c>
      <c r="D1805" t="str">
        <f t="shared" si="28"/>
        <v>CA-2015-109638_TEC-AC-10004571</v>
      </c>
      <c r="E1805" t="str">
        <f>IF(COUNTIF(data2!$D:$D,D1805)=0,"Missing in Data2","Present")</f>
        <v>Present</v>
      </c>
    </row>
    <row r="1806" spans="1:5" x14ac:dyDescent="0.25">
      <c r="A1806" s="2" t="s">
        <v>2049</v>
      </c>
      <c r="B1806" s="2" t="s">
        <v>1663</v>
      </c>
      <c r="C1806" s="2">
        <v>4</v>
      </c>
      <c r="D1806" t="str">
        <f t="shared" si="28"/>
        <v>CA-2015-109708_TEC-PH-10001944</v>
      </c>
      <c r="E1806" t="str">
        <f>IF(COUNTIF(data2!$D:$D,D1806)=0,"Missing in Data2","Present")</f>
        <v>Present</v>
      </c>
    </row>
    <row r="1807" spans="1:5" x14ac:dyDescent="0.25">
      <c r="A1807" s="2" t="s">
        <v>2050</v>
      </c>
      <c r="B1807" s="2" t="s">
        <v>2051</v>
      </c>
      <c r="C1807" s="2">
        <v>7</v>
      </c>
      <c r="D1807" t="str">
        <f t="shared" si="28"/>
        <v>CA-2015-109736_OFF-PA-10004101</v>
      </c>
      <c r="E1807" t="str">
        <f>IF(COUNTIF(data2!$D:$D,D1807)=0,"Missing in Data2","Present")</f>
        <v>Present</v>
      </c>
    </row>
    <row r="1808" spans="1:5" x14ac:dyDescent="0.25">
      <c r="A1808" s="2" t="s">
        <v>2052</v>
      </c>
      <c r="B1808" s="2" t="s">
        <v>469</v>
      </c>
      <c r="C1808" s="2">
        <v>5</v>
      </c>
      <c r="D1808" t="str">
        <f t="shared" si="28"/>
        <v>CA-2015-109862_FUR-CH-10002439</v>
      </c>
      <c r="E1808" t="str">
        <f>IF(COUNTIF(data2!$D:$D,D1808)=0,"Missing in Data2","Present")</f>
        <v>Present</v>
      </c>
    </row>
    <row r="1809" spans="1:5" x14ac:dyDescent="0.25">
      <c r="A1809" s="2" t="s">
        <v>2052</v>
      </c>
      <c r="B1809" s="2" t="s">
        <v>2053</v>
      </c>
      <c r="C1809" s="2">
        <v>1</v>
      </c>
      <c r="D1809" t="str">
        <f t="shared" si="28"/>
        <v>CA-2015-109862_TEC-PH-10004042</v>
      </c>
      <c r="E1809" t="str">
        <f>IF(COUNTIF(data2!$D:$D,D1809)=0,"Missing in Data2","Present")</f>
        <v>Present</v>
      </c>
    </row>
    <row r="1810" spans="1:5" x14ac:dyDescent="0.25">
      <c r="A1810" s="2" t="s">
        <v>2054</v>
      </c>
      <c r="B1810" s="2" t="s">
        <v>104</v>
      </c>
      <c r="C1810" s="2">
        <v>2</v>
      </c>
      <c r="D1810" t="str">
        <f t="shared" si="28"/>
        <v>CA-2015-109939_OFF-AR-10000127</v>
      </c>
      <c r="E1810" t="str">
        <f>IF(COUNTIF(data2!$D:$D,D1810)=0,"Missing in Data2","Present")</f>
        <v>Present</v>
      </c>
    </row>
    <row r="1811" spans="1:5" x14ac:dyDescent="0.25">
      <c r="A1811" s="2" t="s">
        <v>2055</v>
      </c>
      <c r="B1811" s="2" t="s">
        <v>1497</v>
      </c>
      <c r="C1811" s="2">
        <v>9</v>
      </c>
      <c r="D1811" t="str">
        <f t="shared" si="28"/>
        <v>CA-2015-110016_FUR-CH-10002880</v>
      </c>
      <c r="E1811" t="str">
        <f>IF(COUNTIF(data2!$D:$D,D1811)=0,"Missing in Data2","Present")</f>
        <v>Present</v>
      </c>
    </row>
    <row r="1812" spans="1:5" x14ac:dyDescent="0.25">
      <c r="A1812" s="2" t="s">
        <v>2055</v>
      </c>
      <c r="B1812" s="2" t="s">
        <v>1140</v>
      </c>
      <c r="C1812" s="2">
        <v>4</v>
      </c>
      <c r="D1812" t="str">
        <f t="shared" si="28"/>
        <v>CA-2015-110016_OFF-PA-10000349</v>
      </c>
      <c r="E1812" t="str">
        <f>IF(COUNTIF(data2!$D:$D,D1812)=0,"Missing in Data2","Present")</f>
        <v>Present</v>
      </c>
    </row>
    <row r="1813" spans="1:5" x14ac:dyDescent="0.25">
      <c r="A1813" s="2" t="s">
        <v>2056</v>
      </c>
      <c r="B1813" s="2" t="s">
        <v>155</v>
      </c>
      <c r="C1813" s="2">
        <v>2</v>
      </c>
      <c r="D1813" t="str">
        <f t="shared" si="28"/>
        <v>CA-2015-110093_OFF-PA-10000174</v>
      </c>
      <c r="E1813" t="str">
        <f>IF(COUNTIF(data2!$D:$D,D1813)=0,"Missing in Data2","Present")</f>
        <v>Present</v>
      </c>
    </row>
    <row r="1814" spans="1:5" x14ac:dyDescent="0.25">
      <c r="A1814" s="2" t="s">
        <v>2056</v>
      </c>
      <c r="B1814" s="2" t="s">
        <v>2057</v>
      </c>
      <c r="C1814" s="2">
        <v>2</v>
      </c>
      <c r="D1814" t="str">
        <f t="shared" si="28"/>
        <v>CA-2015-110093_TEC-AC-10000171</v>
      </c>
      <c r="E1814" t="str">
        <f>IF(COUNTIF(data2!$D:$D,D1814)=0,"Missing in Data2","Present")</f>
        <v>Present</v>
      </c>
    </row>
    <row r="1815" spans="1:5" x14ac:dyDescent="0.25">
      <c r="A1815" s="2" t="s">
        <v>2058</v>
      </c>
      <c r="B1815" s="2" t="s">
        <v>1042</v>
      </c>
      <c r="C1815" s="2">
        <v>3</v>
      </c>
      <c r="D1815" t="str">
        <f t="shared" si="28"/>
        <v>CA-2015-110247_OFF-BI-10001553</v>
      </c>
      <c r="E1815" t="str">
        <f>IF(COUNTIF(data2!$D:$D,D1815)=0,"Missing in Data2","Present")</f>
        <v>Present</v>
      </c>
    </row>
    <row r="1816" spans="1:5" x14ac:dyDescent="0.25">
      <c r="A1816" s="2" t="s">
        <v>2059</v>
      </c>
      <c r="B1816" s="2" t="s">
        <v>1615</v>
      </c>
      <c r="C1816" s="2">
        <v>4</v>
      </c>
      <c r="D1816" t="str">
        <f t="shared" si="28"/>
        <v>CA-2015-110289_OFF-EN-10001434</v>
      </c>
      <c r="E1816" t="str">
        <f>IF(COUNTIF(data2!$D:$D,D1816)=0,"Missing in Data2","Present")</f>
        <v>Present</v>
      </c>
    </row>
    <row r="1817" spans="1:5" x14ac:dyDescent="0.25">
      <c r="A1817" s="2" t="s">
        <v>2059</v>
      </c>
      <c r="B1817" s="2" t="s">
        <v>47</v>
      </c>
      <c r="C1817" s="2">
        <v>5</v>
      </c>
      <c r="D1817" t="str">
        <f t="shared" si="28"/>
        <v>CA-2015-110289_OFF-PA-10002986</v>
      </c>
      <c r="E1817" t="str">
        <f>IF(COUNTIF(data2!$D:$D,D1817)=0,"Missing in Data2","Present")</f>
        <v>Present</v>
      </c>
    </row>
    <row r="1818" spans="1:5" x14ac:dyDescent="0.25">
      <c r="A1818" s="2" t="s">
        <v>2060</v>
      </c>
      <c r="B1818" s="2" t="s">
        <v>2061</v>
      </c>
      <c r="C1818" s="2">
        <v>2</v>
      </c>
      <c r="D1818" t="str">
        <f t="shared" si="28"/>
        <v>CA-2015-110324_OFF-AR-10000823</v>
      </c>
      <c r="E1818" t="str">
        <f>IF(COUNTIF(data2!$D:$D,D1818)=0,"Missing in Data2","Present")</f>
        <v>Present</v>
      </c>
    </row>
    <row r="1819" spans="1:5" x14ac:dyDescent="0.25">
      <c r="A1819" s="2" t="s">
        <v>2060</v>
      </c>
      <c r="B1819" s="2" t="s">
        <v>2062</v>
      </c>
      <c r="C1819" s="2">
        <v>2</v>
      </c>
      <c r="D1819" t="str">
        <f t="shared" si="28"/>
        <v>CA-2015-110324_OFF-PA-10001776</v>
      </c>
      <c r="E1819" t="str">
        <f>IF(COUNTIF(data2!$D:$D,D1819)=0,"Missing in Data2","Present")</f>
        <v>Present</v>
      </c>
    </row>
    <row r="1820" spans="1:5" x14ac:dyDescent="0.25">
      <c r="A1820" s="2" t="s">
        <v>2063</v>
      </c>
      <c r="B1820" s="2" t="s">
        <v>794</v>
      </c>
      <c r="C1820" s="2">
        <v>2</v>
      </c>
      <c r="D1820" t="str">
        <f t="shared" si="28"/>
        <v>CA-2015-110345_OFF-LA-10001175</v>
      </c>
      <c r="E1820" t="str">
        <f>IF(COUNTIF(data2!$D:$D,D1820)=0,"Missing in Data2","Present")</f>
        <v>Present</v>
      </c>
    </row>
    <row r="1821" spans="1:5" x14ac:dyDescent="0.25">
      <c r="A1821" s="2" t="s">
        <v>2064</v>
      </c>
      <c r="B1821" s="2" t="s">
        <v>1733</v>
      </c>
      <c r="C1821" s="2">
        <v>3</v>
      </c>
      <c r="D1821" t="str">
        <f t="shared" si="28"/>
        <v>CA-2015-110457_FUR-TA-10001768</v>
      </c>
      <c r="E1821" t="str">
        <f>IF(COUNTIF(data2!$D:$D,D1821)=0,"Missing in Data2","Present")</f>
        <v>Present</v>
      </c>
    </row>
    <row r="1822" spans="1:5" x14ac:dyDescent="0.25">
      <c r="A1822" s="2" t="s">
        <v>2065</v>
      </c>
      <c r="B1822" s="2" t="s">
        <v>2066</v>
      </c>
      <c r="C1822" s="2">
        <v>7</v>
      </c>
      <c r="D1822" t="str">
        <f t="shared" si="28"/>
        <v>CA-2015-110548_TEC-PH-10002922</v>
      </c>
      <c r="E1822" t="str">
        <f>IF(COUNTIF(data2!$D:$D,D1822)=0,"Missing in Data2","Present")</f>
        <v>Present</v>
      </c>
    </row>
    <row r="1823" spans="1:5" x14ac:dyDescent="0.25">
      <c r="A1823" s="2" t="s">
        <v>2067</v>
      </c>
      <c r="B1823" s="2" t="s">
        <v>2068</v>
      </c>
      <c r="C1823" s="2">
        <v>2</v>
      </c>
      <c r="D1823" t="str">
        <f t="shared" si="28"/>
        <v>CA-2015-110632_OFF-ST-10001291</v>
      </c>
      <c r="E1823" t="str">
        <f>IF(COUNTIF(data2!$D:$D,D1823)=0,"Missing in Data2","Present")</f>
        <v>Present</v>
      </c>
    </row>
    <row r="1824" spans="1:5" x14ac:dyDescent="0.25">
      <c r="A1824" s="2" t="s">
        <v>2067</v>
      </c>
      <c r="B1824" s="2" t="s">
        <v>2069</v>
      </c>
      <c r="C1824" s="2">
        <v>1</v>
      </c>
      <c r="D1824" t="str">
        <f t="shared" si="28"/>
        <v>CA-2015-110632_TEC-AC-10000387</v>
      </c>
      <c r="E1824" t="str">
        <f>IF(COUNTIF(data2!$D:$D,D1824)=0,"Missing in Data2","Present")</f>
        <v>Missing in Data2</v>
      </c>
    </row>
    <row r="1825" spans="1:5" x14ac:dyDescent="0.25">
      <c r="A1825" s="2" t="s">
        <v>2070</v>
      </c>
      <c r="B1825" s="2" t="s">
        <v>286</v>
      </c>
      <c r="C1825" s="2">
        <v>2</v>
      </c>
      <c r="D1825" t="str">
        <f t="shared" si="28"/>
        <v>CA-2015-110667_OFF-AR-10000716</v>
      </c>
      <c r="E1825" t="str">
        <f>IF(COUNTIF(data2!$D:$D,D1825)=0,"Missing in Data2","Present")</f>
        <v>Present</v>
      </c>
    </row>
    <row r="1826" spans="1:5" x14ac:dyDescent="0.25">
      <c r="A1826" s="2" t="s">
        <v>2070</v>
      </c>
      <c r="B1826" s="2" t="s">
        <v>165</v>
      </c>
      <c r="C1826" s="2">
        <v>3</v>
      </c>
      <c r="D1826" t="str">
        <f t="shared" si="28"/>
        <v>CA-2015-110667_OFF-BI-10002735</v>
      </c>
      <c r="E1826" t="str">
        <f>IF(COUNTIF(data2!$D:$D,D1826)=0,"Missing in Data2","Present")</f>
        <v>Present</v>
      </c>
    </row>
    <row r="1827" spans="1:5" x14ac:dyDescent="0.25">
      <c r="A1827" s="2" t="s">
        <v>2071</v>
      </c>
      <c r="B1827" s="2" t="s">
        <v>2072</v>
      </c>
      <c r="C1827" s="2">
        <v>7</v>
      </c>
      <c r="D1827" t="str">
        <f t="shared" si="28"/>
        <v>CA-2015-110744_OFF-ST-10003656</v>
      </c>
      <c r="E1827" t="str">
        <f>IF(COUNTIF(data2!$D:$D,D1827)=0,"Missing in Data2","Present")</f>
        <v>Present</v>
      </c>
    </row>
    <row r="1828" spans="1:5" x14ac:dyDescent="0.25">
      <c r="A1828" s="2" t="s">
        <v>2073</v>
      </c>
      <c r="B1828" s="2" t="s">
        <v>2074</v>
      </c>
      <c r="C1828" s="2">
        <v>3</v>
      </c>
      <c r="D1828" t="str">
        <f t="shared" si="28"/>
        <v>CA-2015-110765_TEC-PH-10004165</v>
      </c>
      <c r="E1828" t="str">
        <f>IF(COUNTIF(data2!$D:$D,D1828)=0,"Missing in Data2","Present")</f>
        <v>Present</v>
      </c>
    </row>
    <row r="1829" spans="1:5" x14ac:dyDescent="0.25">
      <c r="A1829" s="2" t="s">
        <v>2075</v>
      </c>
      <c r="B1829" s="2" t="s">
        <v>1857</v>
      </c>
      <c r="C1829" s="2">
        <v>3</v>
      </c>
      <c r="D1829" t="str">
        <f t="shared" si="28"/>
        <v>CA-2015-110814_FUR-CH-10003535</v>
      </c>
      <c r="E1829" t="str">
        <f>IF(COUNTIF(data2!$D:$D,D1829)=0,"Missing in Data2","Present")</f>
        <v>Present</v>
      </c>
    </row>
    <row r="1830" spans="1:5" x14ac:dyDescent="0.25">
      <c r="A1830" s="2" t="s">
        <v>2075</v>
      </c>
      <c r="B1830" s="2" t="s">
        <v>637</v>
      </c>
      <c r="C1830" s="2">
        <v>5</v>
      </c>
      <c r="D1830" t="str">
        <f t="shared" si="28"/>
        <v>CA-2015-110814_OFF-BI-10002026</v>
      </c>
      <c r="E1830" t="str">
        <f>IF(COUNTIF(data2!$D:$D,D1830)=0,"Missing in Data2","Present")</f>
        <v>Present</v>
      </c>
    </row>
    <row r="1831" spans="1:5" x14ac:dyDescent="0.25">
      <c r="A1831" s="2" t="s">
        <v>2076</v>
      </c>
      <c r="B1831" s="2" t="s">
        <v>2077</v>
      </c>
      <c r="C1831" s="2">
        <v>5</v>
      </c>
      <c r="D1831" t="str">
        <f t="shared" si="28"/>
        <v>CA-2015-110863_FUR-CH-10002073</v>
      </c>
      <c r="E1831" t="str">
        <f>IF(COUNTIF(data2!$D:$D,D1831)=0,"Missing in Data2","Present")</f>
        <v>Present</v>
      </c>
    </row>
    <row r="1832" spans="1:5" x14ac:dyDescent="0.25">
      <c r="A1832" s="2" t="s">
        <v>2076</v>
      </c>
      <c r="B1832" s="2" t="s">
        <v>433</v>
      </c>
      <c r="C1832" s="2">
        <v>3</v>
      </c>
      <c r="D1832" t="str">
        <f t="shared" si="28"/>
        <v>CA-2015-110863_OFF-PA-10000474</v>
      </c>
      <c r="E1832" t="str">
        <f>IF(COUNTIF(data2!$D:$D,D1832)=0,"Missing in Data2","Present")</f>
        <v>Present</v>
      </c>
    </row>
    <row r="1833" spans="1:5" x14ac:dyDescent="0.25">
      <c r="A1833" s="2" t="s">
        <v>2076</v>
      </c>
      <c r="B1833" s="2" t="s">
        <v>2078</v>
      </c>
      <c r="C1833" s="2">
        <v>4</v>
      </c>
      <c r="D1833" t="str">
        <f t="shared" si="28"/>
        <v>CA-2015-110863_OFF-ST-10002756</v>
      </c>
      <c r="E1833" t="str">
        <f>IF(COUNTIF(data2!$D:$D,D1833)=0,"Missing in Data2","Present")</f>
        <v>Present</v>
      </c>
    </row>
    <row r="1834" spans="1:5" x14ac:dyDescent="0.25">
      <c r="A1834" s="2" t="s">
        <v>2079</v>
      </c>
      <c r="B1834" s="2" t="s">
        <v>219</v>
      </c>
      <c r="C1834" s="2">
        <v>7</v>
      </c>
      <c r="D1834" t="str">
        <f t="shared" si="28"/>
        <v>CA-2015-110870_OFF-SU-10001225</v>
      </c>
      <c r="E1834" t="str">
        <f>IF(COUNTIF(data2!$D:$D,D1834)=0,"Missing in Data2","Present")</f>
        <v>Present</v>
      </c>
    </row>
    <row r="1835" spans="1:5" x14ac:dyDescent="0.25">
      <c r="A1835" s="2" t="s">
        <v>2079</v>
      </c>
      <c r="B1835" s="2" t="s">
        <v>1406</v>
      </c>
      <c r="C1835" s="2">
        <v>6</v>
      </c>
      <c r="D1835" t="str">
        <f t="shared" si="28"/>
        <v>CA-2015-110870_TEC-AC-10002926</v>
      </c>
      <c r="E1835" t="str">
        <f>IF(COUNTIF(data2!$D:$D,D1835)=0,"Missing in Data2","Present")</f>
        <v>Present</v>
      </c>
    </row>
    <row r="1836" spans="1:5" x14ac:dyDescent="0.25">
      <c r="A1836" s="2" t="s">
        <v>2080</v>
      </c>
      <c r="B1836" s="2" t="s">
        <v>2081</v>
      </c>
      <c r="C1836" s="2">
        <v>7</v>
      </c>
      <c r="D1836" t="str">
        <f t="shared" si="28"/>
        <v>CA-2015-110877_OFF-PA-10004621</v>
      </c>
      <c r="E1836" t="str">
        <f>IF(COUNTIF(data2!$D:$D,D1836)=0,"Missing in Data2","Present")</f>
        <v>Present</v>
      </c>
    </row>
    <row r="1837" spans="1:5" x14ac:dyDescent="0.25">
      <c r="A1837" s="2" t="s">
        <v>2080</v>
      </c>
      <c r="B1837" s="2" t="s">
        <v>1425</v>
      </c>
      <c r="C1837" s="2">
        <v>2</v>
      </c>
      <c r="D1837" t="str">
        <f t="shared" si="28"/>
        <v>CA-2015-110877_TEC-PH-10002103</v>
      </c>
      <c r="E1837" t="str">
        <f>IF(COUNTIF(data2!$D:$D,D1837)=0,"Missing in Data2","Present")</f>
        <v>Present</v>
      </c>
    </row>
    <row r="1838" spans="1:5" x14ac:dyDescent="0.25">
      <c r="A1838" s="2" t="s">
        <v>2082</v>
      </c>
      <c r="B1838" s="2" t="s">
        <v>1497</v>
      </c>
      <c r="C1838" s="2">
        <v>4</v>
      </c>
      <c r="D1838" t="str">
        <f t="shared" si="28"/>
        <v>CA-2015-110891_FUR-CH-10002880</v>
      </c>
      <c r="E1838" t="str">
        <f>IF(COUNTIF(data2!$D:$D,D1838)=0,"Missing in Data2","Present")</f>
        <v>Present</v>
      </c>
    </row>
    <row r="1839" spans="1:5" x14ac:dyDescent="0.25">
      <c r="A1839" s="2" t="s">
        <v>2083</v>
      </c>
      <c r="B1839" s="2" t="s">
        <v>1948</v>
      </c>
      <c r="C1839" s="2">
        <v>3</v>
      </c>
      <c r="D1839" t="str">
        <f t="shared" si="28"/>
        <v>CA-2015-111017_OFF-SU-10002573</v>
      </c>
      <c r="E1839" t="str">
        <f>IF(COUNTIF(data2!$D:$D,D1839)=0,"Missing in Data2","Present")</f>
        <v>Present</v>
      </c>
    </row>
    <row r="1840" spans="1:5" x14ac:dyDescent="0.25">
      <c r="A1840" s="2" t="s">
        <v>2084</v>
      </c>
      <c r="B1840" s="2" t="s">
        <v>807</v>
      </c>
      <c r="C1840" s="2">
        <v>9</v>
      </c>
      <c r="D1840" t="str">
        <f t="shared" si="28"/>
        <v>CA-2015-111038_FUR-CH-10003973</v>
      </c>
      <c r="E1840" t="str">
        <f>IF(COUNTIF(data2!$D:$D,D1840)=0,"Missing in Data2","Present")</f>
        <v>Present</v>
      </c>
    </row>
    <row r="1841" spans="1:5" x14ac:dyDescent="0.25">
      <c r="A1841" s="2" t="s">
        <v>2085</v>
      </c>
      <c r="B1841" s="2" t="s">
        <v>1100</v>
      </c>
      <c r="C1841" s="2">
        <v>1</v>
      </c>
      <c r="D1841" t="str">
        <f t="shared" si="28"/>
        <v>CA-2015-111073_FUR-TA-10004086</v>
      </c>
      <c r="E1841" t="str">
        <f>IF(COUNTIF(data2!$D:$D,D1841)=0,"Missing in Data2","Present")</f>
        <v>Present</v>
      </c>
    </row>
    <row r="1842" spans="1:5" x14ac:dyDescent="0.25">
      <c r="A1842" s="2" t="s">
        <v>2086</v>
      </c>
      <c r="B1842" s="2" t="s">
        <v>5</v>
      </c>
      <c r="C1842" s="2">
        <v>3</v>
      </c>
      <c r="D1842" t="str">
        <f t="shared" si="28"/>
        <v>CA-2015-111094_OFF-BI-10001597</v>
      </c>
      <c r="E1842" t="str">
        <f>IF(COUNTIF(data2!$D:$D,D1842)=0,"Missing in Data2","Present")</f>
        <v>Present</v>
      </c>
    </row>
    <row r="1843" spans="1:5" x14ac:dyDescent="0.25">
      <c r="A1843" s="2" t="s">
        <v>2086</v>
      </c>
      <c r="B1843" s="2" t="s">
        <v>1517</v>
      </c>
      <c r="C1843" s="2">
        <v>2</v>
      </c>
      <c r="D1843" t="str">
        <f t="shared" si="28"/>
        <v>CA-2015-111094_OFF-PA-10001609</v>
      </c>
      <c r="E1843" t="str">
        <f>IF(COUNTIF(data2!$D:$D,D1843)=0,"Missing in Data2","Present")</f>
        <v>Present</v>
      </c>
    </row>
    <row r="1844" spans="1:5" x14ac:dyDescent="0.25">
      <c r="A1844" s="2" t="s">
        <v>2087</v>
      </c>
      <c r="B1844" s="2" t="s">
        <v>2088</v>
      </c>
      <c r="C1844" s="2">
        <v>5</v>
      </c>
      <c r="D1844" t="str">
        <f t="shared" si="28"/>
        <v>CA-2015-111164_OFF-AP-10004487</v>
      </c>
      <c r="E1844" t="str">
        <f>IF(COUNTIF(data2!$D:$D,D1844)=0,"Missing in Data2","Present")</f>
        <v>Present</v>
      </c>
    </row>
    <row r="1845" spans="1:5" x14ac:dyDescent="0.25">
      <c r="A1845" s="2" t="s">
        <v>2087</v>
      </c>
      <c r="B1845" s="2" t="s">
        <v>1076</v>
      </c>
      <c r="C1845" s="2">
        <v>3</v>
      </c>
      <c r="D1845" t="str">
        <f t="shared" si="28"/>
        <v>CA-2015-111164_TEC-AC-10002473</v>
      </c>
      <c r="E1845" t="str">
        <f>IF(COUNTIF(data2!$D:$D,D1845)=0,"Missing in Data2","Present")</f>
        <v>Present</v>
      </c>
    </row>
    <row r="1846" spans="1:5" x14ac:dyDescent="0.25">
      <c r="A1846" s="2" t="s">
        <v>2087</v>
      </c>
      <c r="B1846" s="2" t="s">
        <v>365</v>
      </c>
      <c r="C1846" s="2">
        <v>1</v>
      </c>
      <c r="D1846" t="str">
        <f t="shared" si="28"/>
        <v>CA-2015-111164_TEC-PH-10004531</v>
      </c>
      <c r="E1846" t="str">
        <f>IF(COUNTIF(data2!$D:$D,D1846)=0,"Missing in Data2","Present")</f>
        <v>Present</v>
      </c>
    </row>
    <row r="1847" spans="1:5" x14ac:dyDescent="0.25">
      <c r="A1847" s="2" t="s">
        <v>2089</v>
      </c>
      <c r="B1847" s="2" t="s">
        <v>2090</v>
      </c>
      <c r="C1847" s="2">
        <v>3</v>
      </c>
      <c r="D1847" t="str">
        <f t="shared" si="28"/>
        <v>CA-2015-111199_OFF-PA-10001790</v>
      </c>
      <c r="E1847" t="str">
        <f>IF(COUNTIF(data2!$D:$D,D1847)=0,"Missing in Data2","Present")</f>
        <v>Present</v>
      </c>
    </row>
    <row r="1848" spans="1:5" x14ac:dyDescent="0.25">
      <c r="A1848" s="2" t="s">
        <v>2091</v>
      </c>
      <c r="B1848" s="2" t="s">
        <v>2092</v>
      </c>
      <c r="C1848" s="2">
        <v>4</v>
      </c>
      <c r="D1848" t="str">
        <f t="shared" si="28"/>
        <v>CA-2015-111206_TEC-AC-10003095</v>
      </c>
      <c r="E1848" t="str">
        <f>IF(COUNTIF(data2!$D:$D,D1848)=0,"Missing in Data2","Present")</f>
        <v>Present</v>
      </c>
    </row>
    <row r="1849" spans="1:5" x14ac:dyDescent="0.25">
      <c r="A1849" s="2" t="s">
        <v>2093</v>
      </c>
      <c r="B1849" s="2" t="s">
        <v>671</v>
      </c>
      <c r="C1849" s="2">
        <v>3</v>
      </c>
      <c r="D1849" t="str">
        <f t="shared" si="28"/>
        <v>CA-2015-111234_OFF-LA-10002271</v>
      </c>
      <c r="E1849" t="str">
        <f>IF(COUNTIF(data2!$D:$D,D1849)=0,"Missing in Data2","Present")</f>
        <v>Present</v>
      </c>
    </row>
    <row r="1850" spans="1:5" x14ac:dyDescent="0.25">
      <c r="A1850" s="2" t="s">
        <v>2094</v>
      </c>
      <c r="B1850" s="2" t="s">
        <v>2095</v>
      </c>
      <c r="C1850" s="2">
        <v>9</v>
      </c>
      <c r="D1850" t="str">
        <f t="shared" si="28"/>
        <v>CA-2015-111297_OFF-BI-10002412</v>
      </c>
      <c r="E1850" t="str">
        <f>IF(COUNTIF(data2!$D:$D,D1850)=0,"Missing in Data2","Present")</f>
        <v>Present</v>
      </c>
    </row>
    <row r="1851" spans="1:5" x14ac:dyDescent="0.25">
      <c r="A1851" s="2" t="s">
        <v>2096</v>
      </c>
      <c r="B1851" s="2" t="s">
        <v>2005</v>
      </c>
      <c r="C1851" s="2">
        <v>6</v>
      </c>
      <c r="D1851" t="str">
        <f t="shared" si="28"/>
        <v>CA-2015-111325_OFF-AR-10002257</v>
      </c>
      <c r="E1851" t="str">
        <f>IF(COUNTIF(data2!$D:$D,D1851)=0,"Missing in Data2","Present")</f>
        <v>Present</v>
      </c>
    </row>
    <row r="1852" spans="1:5" x14ac:dyDescent="0.25">
      <c r="A1852" s="2" t="s">
        <v>2096</v>
      </c>
      <c r="B1852" s="2" t="s">
        <v>9</v>
      </c>
      <c r="C1852" s="2">
        <v>3</v>
      </c>
      <c r="D1852" t="str">
        <f t="shared" si="28"/>
        <v>CA-2015-111325_OFF-BI-10000343</v>
      </c>
      <c r="E1852" t="str">
        <f>IF(COUNTIF(data2!$D:$D,D1852)=0,"Missing in Data2","Present")</f>
        <v>Present</v>
      </c>
    </row>
    <row r="1853" spans="1:5" x14ac:dyDescent="0.25">
      <c r="A1853" s="2" t="s">
        <v>2097</v>
      </c>
      <c r="B1853" s="2" t="s">
        <v>474</v>
      </c>
      <c r="C1853" s="2">
        <v>3</v>
      </c>
      <c r="D1853" t="str">
        <f t="shared" si="28"/>
        <v>CA-2015-111339_FUR-CH-10000863</v>
      </c>
      <c r="E1853" t="str">
        <f>IF(COUNTIF(data2!$D:$D,D1853)=0,"Missing in Data2","Present")</f>
        <v>Present</v>
      </c>
    </row>
    <row r="1854" spans="1:5" x14ac:dyDescent="0.25">
      <c r="A1854" s="2" t="s">
        <v>2097</v>
      </c>
      <c r="B1854" s="2" t="s">
        <v>2098</v>
      </c>
      <c r="C1854" s="2">
        <v>4</v>
      </c>
      <c r="D1854" t="str">
        <f t="shared" si="28"/>
        <v>CA-2015-111339_FUR-FU-10002506</v>
      </c>
      <c r="E1854" t="str">
        <f>IF(COUNTIF(data2!$D:$D,D1854)=0,"Missing in Data2","Present")</f>
        <v>Present</v>
      </c>
    </row>
    <row r="1855" spans="1:5" x14ac:dyDescent="0.25">
      <c r="A1855" s="2" t="s">
        <v>2097</v>
      </c>
      <c r="B1855" s="2" t="s">
        <v>1808</v>
      </c>
      <c r="C1855" s="2">
        <v>5</v>
      </c>
      <c r="D1855" t="str">
        <f t="shared" si="28"/>
        <v>CA-2015-111339_OFF-FA-10002988</v>
      </c>
      <c r="E1855" t="str">
        <f>IF(COUNTIF(data2!$D:$D,D1855)=0,"Missing in Data2","Present")</f>
        <v>Present</v>
      </c>
    </row>
    <row r="1856" spans="1:5" x14ac:dyDescent="0.25">
      <c r="A1856" s="2" t="s">
        <v>2099</v>
      </c>
      <c r="B1856" s="2" t="s">
        <v>1345</v>
      </c>
      <c r="C1856" s="2">
        <v>2</v>
      </c>
      <c r="D1856" t="str">
        <f t="shared" si="28"/>
        <v>CA-2015-111395_OFF-BI-10002867</v>
      </c>
      <c r="E1856" t="str">
        <f>IF(COUNTIF(data2!$D:$D,D1856)=0,"Missing in Data2","Present")</f>
        <v>Missing in Data2</v>
      </c>
    </row>
    <row r="1857" spans="1:5" x14ac:dyDescent="0.25">
      <c r="A1857" s="2" t="s">
        <v>2099</v>
      </c>
      <c r="B1857" s="2" t="s">
        <v>2100</v>
      </c>
      <c r="C1857" s="2">
        <v>4</v>
      </c>
      <c r="D1857" t="str">
        <f t="shared" si="28"/>
        <v>CA-2015-111395_OFF-PA-10000994</v>
      </c>
      <c r="E1857" t="str">
        <f>IF(COUNTIF(data2!$D:$D,D1857)=0,"Missing in Data2","Present")</f>
        <v>Present</v>
      </c>
    </row>
    <row r="1858" spans="1:5" x14ac:dyDescent="0.25">
      <c r="A1858" s="2" t="s">
        <v>2099</v>
      </c>
      <c r="B1858" s="2" t="s">
        <v>2068</v>
      </c>
      <c r="C1858" s="2">
        <v>2</v>
      </c>
      <c r="D1858" t="str">
        <f t="shared" si="28"/>
        <v>CA-2015-111395_OFF-ST-10001291</v>
      </c>
      <c r="E1858" t="str">
        <f>IF(COUNTIF(data2!$D:$D,D1858)=0,"Missing in Data2","Present")</f>
        <v>Present</v>
      </c>
    </row>
    <row r="1859" spans="1:5" x14ac:dyDescent="0.25">
      <c r="A1859" s="2" t="s">
        <v>2101</v>
      </c>
      <c r="B1859" s="2" t="s">
        <v>1990</v>
      </c>
      <c r="C1859" s="2">
        <v>2</v>
      </c>
      <c r="D1859" t="str">
        <f t="shared" ref="D1859:D1922" si="29">A1859&amp;"_"&amp;B1859</f>
        <v>CA-2015-111458_TEC-AC-10001590</v>
      </c>
      <c r="E1859" t="str">
        <f>IF(COUNTIF(data2!$D:$D,D1859)=0,"Missing in Data2","Present")</f>
        <v>Present</v>
      </c>
    </row>
    <row r="1860" spans="1:5" x14ac:dyDescent="0.25">
      <c r="A1860" s="2" t="s">
        <v>2102</v>
      </c>
      <c r="B1860" s="2" t="s">
        <v>564</v>
      </c>
      <c r="C1860" s="2">
        <v>3</v>
      </c>
      <c r="D1860" t="str">
        <f t="shared" si="29"/>
        <v>CA-2015-111507_OFF-AR-10001315</v>
      </c>
      <c r="E1860" t="str">
        <f>IF(COUNTIF(data2!$D:$D,D1860)=0,"Missing in Data2","Present")</f>
        <v>Present</v>
      </c>
    </row>
    <row r="1861" spans="1:5" x14ac:dyDescent="0.25">
      <c r="A1861" s="2" t="s">
        <v>2103</v>
      </c>
      <c r="B1861" s="2" t="s">
        <v>1533</v>
      </c>
      <c r="C1861" s="2">
        <v>7</v>
      </c>
      <c r="D1861" t="str">
        <f t="shared" si="29"/>
        <v>CA-2015-111514_FUR-BO-10002545</v>
      </c>
      <c r="E1861" t="str">
        <f>IF(COUNTIF(data2!$D:$D,D1861)=0,"Missing in Data2","Present")</f>
        <v>Missing in Data2</v>
      </c>
    </row>
    <row r="1862" spans="1:5" x14ac:dyDescent="0.25">
      <c r="A1862" s="2" t="s">
        <v>2103</v>
      </c>
      <c r="B1862" s="2" t="s">
        <v>165</v>
      </c>
      <c r="C1862" s="2">
        <v>5</v>
      </c>
      <c r="D1862" t="str">
        <f t="shared" si="29"/>
        <v>CA-2015-111514_OFF-BI-10002735</v>
      </c>
      <c r="E1862" t="str">
        <f>IF(COUNTIF(data2!$D:$D,D1862)=0,"Missing in Data2","Present")</f>
        <v>Missing in Data2</v>
      </c>
    </row>
    <row r="1863" spans="1:5" x14ac:dyDescent="0.25">
      <c r="A1863" s="2" t="s">
        <v>2103</v>
      </c>
      <c r="B1863" s="2" t="s">
        <v>497</v>
      </c>
      <c r="C1863" s="2">
        <v>1</v>
      </c>
      <c r="D1863" t="str">
        <f t="shared" si="29"/>
        <v>CA-2015-111514_TEC-AC-10004864</v>
      </c>
      <c r="E1863" t="str">
        <f>IF(COUNTIF(data2!$D:$D,D1863)=0,"Missing in Data2","Present")</f>
        <v>Missing in Data2</v>
      </c>
    </row>
    <row r="1864" spans="1:5" x14ac:dyDescent="0.25">
      <c r="A1864" s="2" t="s">
        <v>2103</v>
      </c>
      <c r="B1864" s="2" t="s">
        <v>2104</v>
      </c>
      <c r="C1864" s="2">
        <v>3</v>
      </c>
      <c r="D1864" t="str">
        <f t="shared" si="29"/>
        <v>CA-2015-111514_TEC-MA-10000597</v>
      </c>
      <c r="E1864" t="str">
        <f>IF(COUNTIF(data2!$D:$D,D1864)=0,"Missing in Data2","Present")</f>
        <v>Present</v>
      </c>
    </row>
    <row r="1865" spans="1:5" x14ac:dyDescent="0.25">
      <c r="A1865" s="2" t="s">
        <v>2105</v>
      </c>
      <c r="B1865" s="2" t="s">
        <v>2021</v>
      </c>
      <c r="C1865" s="2">
        <v>5</v>
      </c>
      <c r="D1865" t="str">
        <f t="shared" si="29"/>
        <v>CA-2015-111612_FUR-FU-10003799</v>
      </c>
      <c r="E1865" t="str">
        <f>IF(COUNTIF(data2!$D:$D,D1865)=0,"Missing in Data2","Present")</f>
        <v>Present</v>
      </c>
    </row>
    <row r="1866" spans="1:5" x14ac:dyDescent="0.25">
      <c r="A1866" s="2" t="s">
        <v>2105</v>
      </c>
      <c r="B1866" s="2" t="s">
        <v>96</v>
      </c>
      <c r="C1866" s="2">
        <v>2</v>
      </c>
      <c r="D1866" t="str">
        <f t="shared" si="29"/>
        <v>CA-2015-111612_OFF-FA-10003021</v>
      </c>
      <c r="E1866" t="str">
        <f>IF(COUNTIF(data2!$D:$D,D1866)=0,"Missing in Data2","Present")</f>
        <v>Present</v>
      </c>
    </row>
    <row r="1867" spans="1:5" x14ac:dyDescent="0.25">
      <c r="A1867" s="2" t="s">
        <v>2106</v>
      </c>
      <c r="B1867" s="2" t="s">
        <v>1140</v>
      </c>
      <c r="C1867" s="2">
        <v>3</v>
      </c>
      <c r="D1867" t="str">
        <f t="shared" si="29"/>
        <v>CA-2015-111703_OFF-PA-10000349</v>
      </c>
      <c r="E1867" t="str">
        <f>IF(COUNTIF(data2!$D:$D,D1867)=0,"Missing in Data2","Present")</f>
        <v>Present</v>
      </c>
    </row>
    <row r="1868" spans="1:5" x14ac:dyDescent="0.25">
      <c r="A1868" s="2" t="s">
        <v>2106</v>
      </c>
      <c r="B1868" s="2" t="s">
        <v>105</v>
      </c>
      <c r="C1868" s="2">
        <v>3</v>
      </c>
      <c r="D1868" t="str">
        <f t="shared" si="29"/>
        <v>CA-2015-111703_OFF-PA-10003349</v>
      </c>
      <c r="E1868" t="str">
        <f>IF(COUNTIF(data2!$D:$D,D1868)=0,"Missing in Data2","Present")</f>
        <v>Missing in Data2</v>
      </c>
    </row>
    <row r="1869" spans="1:5" x14ac:dyDescent="0.25">
      <c r="A1869" s="2" t="s">
        <v>2107</v>
      </c>
      <c r="B1869" s="2" t="s">
        <v>2108</v>
      </c>
      <c r="C1869" s="2">
        <v>3</v>
      </c>
      <c r="D1869" t="str">
        <f t="shared" si="29"/>
        <v>CA-2015-111780_OFF-PA-10001307</v>
      </c>
      <c r="E1869" t="str">
        <f>IF(COUNTIF(data2!$D:$D,D1869)=0,"Missing in Data2","Present")</f>
        <v>Present</v>
      </c>
    </row>
    <row r="1870" spans="1:5" x14ac:dyDescent="0.25">
      <c r="A1870" s="2" t="s">
        <v>2107</v>
      </c>
      <c r="B1870" s="2" t="s">
        <v>1250</v>
      </c>
      <c r="C1870" s="2">
        <v>3</v>
      </c>
      <c r="D1870" t="str">
        <f t="shared" si="29"/>
        <v>CA-2015-111780_OFF-PA-10001667</v>
      </c>
      <c r="E1870" t="str">
        <f>IF(COUNTIF(data2!$D:$D,D1870)=0,"Missing in Data2","Present")</f>
        <v>Present</v>
      </c>
    </row>
    <row r="1871" spans="1:5" x14ac:dyDescent="0.25">
      <c r="A1871" s="2" t="s">
        <v>2107</v>
      </c>
      <c r="B1871" s="2" t="s">
        <v>761</v>
      </c>
      <c r="C1871" s="2">
        <v>5</v>
      </c>
      <c r="D1871" t="str">
        <f t="shared" si="29"/>
        <v>CA-2015-111780_TEC-CO-10004202</v>
      </c>
      <c r="E1871" t="str">
        <f>IF(COUNTIF(data2!$D:$D,D1871)=0,"Missing in Data2","Present")</f>
        <v>Present</v>
      </c>
    </row>
    <row r="1872" spans="1:5" x14ac:dyDescent="0.25">
      <c r="A1872" s="2" t="s">
        <v>2109</v>
      </c>
      <c r="B1872" s="2" t="s">
        <v>80</v>
      </c>
      <c r="C1872" s="2">
        <v>2</v>
      </c>
      <c r="D1872" t="str">
        <f t="shared" si="29"/>
        <v>CA-2015-111829_OFF-PA-10004359</v>
      </c>
      <c r="E1872" t="str">
        <f>IF(COUNTIF(data2!$D:$D,D1872)=0,"Missing in Data2","Present")</f>
        <v>Present</v>
      </c>
    </row>
    <row r="1873" spans="1:5" x14ac:dyDescent="0.25">
      <c r="A1873" s="2" t="s">
        <v>2109</v>
      </c>
      <c r="B1873" s="2" t="s">
        <v>2110</v>
      </c>
      <c r="C1873" s="2">
        <v>3</v>
      </c>
      <c r="D1873" t="str">
        <f t="shared" si="29"/>
        <v>CA-2015-111829_OFF-ST-10000142</v>
      </c>
      <c r="E1873" t="str">
        <f>IF(COUNTIF(data2!$D:$D,D1873)=0,"Missing in Data2","Present")</f>
        <v>Present</v>
      </c>
    </row>
    <row r="1874" spans="1:5" x14ac:dyDescent="0.25">
      <c r="A1874" s="2" t="s">
        <v>2109</v>
      </c>
      <c r="B1874" s="2" t="s">
        <v>1142</v>
      </c>
      <c r="C1874" s="2">
        <v>7</v>
      </c>
      <c r="D1874" t="str">
        <f t="shared" si="29"/>
        <v>CA-2015-111829_TEC-CO-10001766</v>
      </c>
      <c r="E1874" t="str">
        <f>IF(COUNTIF(data2!$D:$D,D1874)=0,"Missing in Data2","Present")</f>
        <v>Present</v>
      </c>
    </row>
    <row r="1875" spans="1:5" x14ac:dyDescent="0.25">
      <c r="A1875" s="2" t="s">
        <v>2111</v>
      </c>
      <c r="B1875" s="2" t="s">
        <v>2112</v>
      </c>
      <c r="C1875" s="2">
        <v>2</v>
      </c>
      <c r="D1875" t="str">
        <f t="shared" si="29"/>
        <v>CA-2015-111864_OFF-LA-10004677</v>
      </c>
      <c r="E1875" t="str">
        <f>IF(COUNTIF(data2!$D:$D,D1875)=0,"Missing in Data2","Present")</f>
        <v>Present</v>
      </c>
    </row>
    <row r="1876" spans="1:5" x14ac:dyDescent="0.25">
      <c r="A1876" s="2" t="s">
        <v>2113</v>
      </c>
      <c r="B1876" s="2" t="s">
        <v>1787</v>
      </c>
      <c r="C1876" s="2">
        <v>2</v>
      </c>
      <c r="D1876" t="str">
        <f t="shared" si="29"/>
        <v>CA-2015-111948_OFF-AP-10002311</v>
      </c>
      <c r="E1876" t="str">
        <f>IF(COUNTIF(data2!$D:$D,D1876)=0,"Missing in Data2","Present")</f>
        <v>Present</v>
      </c>
    </row>
    <row r="1877" spans="1:5" x14ac:dyDescent="0.25">
      <c r="A1877" s="2" t="s">
        <v>2113</v>
      </c>
      <c r="B1877" s="2" t="s">
        <v>2114</v>
      </c>
      <c r="C1877" s="2">
        <v>7</v>
      </c>
      <c r="D1877" t="str">
        <f t="shared" si="29"/>
        <v>CA-2015-111948_OFF-ST-10003282</v>
      </c>
      <c r="E1877" t="str">
        <f>IF(COUNTIF(data2!$D:$D,D1877)=0,"Missing in Data2","Present")</f>
        <v>Missing in Data2</v>
      </c>
    </row>
    <row r="1878" spans="1:5" x14ac:dyDescent="0.25">
      <c r="A1878" s="2" t="s">
        <v>2115</v>
      </c>
      <c r="B1878" s="2" t="s">
        <v>485</v>
      </c>
      <c r="C1878" s="2">
        <v>6</v>
      </c>
      <c r="D1878" t="str">
        <f t="shared" si="29"/>
        <v>CA-2015-111990_OFF-BI-10003291</v>
      </c>
      <c r="E1878" t="str">
        <f>IF(COUNTIF(data2!$D:$D,D1878)=0,"Missing in Data2","Present")</f>
        <v>Present</v>
      </c>
    </row>
    <row r="1879" spans="1:5" x14ac:dyDescent="0.25">
      <c r="A1879" s="2" t="s">
        <v>2116</v>
      </c>
      <c r="B1879" s="2" t="s">
        <v>222</v>
      </c>
      <c r="C1879" s="2">
        <v>5</v>
      </c>
      <c r="D1879" t="str">
        <f t="shared" si="29"/>
        <v>CA-2015-112014_OFF-AR-10003156</v>
      </c>
      <c r="E1879" t="str">
        <f>IF(COUNTIF(data2!$D:$D,D1879)=0,"Missing in Data2","Present")</f>
        <v>Present</v>
      </c>
    </row>
    <row r="1880" spans="1:5" x14ac:dyDescent="0.25">
      <c r="A1880" s="2" t="s">
        <v>2117</v>
      </c>
      <c r="B1880" s="2" t="s">
        <v>1055</v>
      </c>
      <c r="C1880" s="2">
        <v>1</v>
      </c>
      <c r="D1880" t="str">
        <f t="shared" si="29"/>
        <v>CA-2015-112053_TEC-AC-10002550</v>
      </c>
      <c r="E1880" t="str">
        <f>IF(COUNTIF(data2!$D:$D,D1880)=0,"Missing in Data2","Present")</f>
        <v>Present</v>
      </c>
    </row>
    <row r="1881" spans="1:5" x14ac:dyDescent="0.25">
      <c r="A1881" s="2" t="s">
        <v>2118</v>
      </c>
      <c r="B1881" s="2" t="s">
        <v>183</v>
      </c>
      <c r="C1881" s="2">
        <v>2</v>
      </c>
      <c r="D1881" t="str">
        <f t="shared" si="29"/>
        <v>CA-2015-112116_FUR-TA-10001039</v>
      </c>
      <c r="E1881" t="str">
        <f>IF(COUNTIF(data2!$D:$D,D1881)=0,"Missing in Data2","Present")</f>
        <v>Present</v>
      </c>
    </row>
    <row r="1882" spans="1:5" x14ac:dyDescent="0.25">
      <c r="A1882" s="2" t="s">
        <v>2119</v>
      </c>
      <c r="B1882" s="2" t="s">
        <v>949</v>
      </c>
      <c r="C1882" s="2">
        <v>6</v>
      </c>
      <c r="D1882" t="str">
        <f t="shared" si="29"/>
        <v>CA-2015-112130_FUR-CH-10002965</v>
      </c>
      <c r="E1882" t="str">
        <f>IF(COUNTIF(data2!$D:$D,D1882)=0,"Missing in Data2","Present")</f>
        <v>Present</v>
      </c>
    </row>
    <row r="1883" spans="1:5" x14ac:dyDescent="0.25">
      <c r="A1883" s="2" t="s">
        <v>2119</v>
      </c>
      <c r="B1883" s="2" t="s">
        <v>2038</v>
      </c>
      <c r="C1883" s="2">
        <v>2</v>
      </c>
      <c r="D1883" t="str">
        <f t="shared" si="29"/>
        <v>CA-2015-112130_OFF-AP-10003266</v>
      </c>
      <c r="E1883" t="str">
        <f>IF(COUNTIF(data2!$D:$D,D1883)=0,"Missing in Data2","Present")</f>
        <v>Present</v>
      </c>
    </row>
    <row r="1884" spans="1:5" x14ac:dyDescent="0.25">
      <c r="A1884" s="2" t="s">
        <v>2119</v>
      </c>
      <c r="B1884" s="2" t="s">
        <v>1058</v>
      </c>
      <c r="C1884" s="2">
        <v>7</v>
      </c>
      <c r="D1884" t="str">
        <f t="shared" si="29"/>
        <v>CA-2015-112130_OFF-AP-10003622</v>
      </c>
      <c r="E1884" t="str">
        <f>IF(COUNTIF(data2!$D:$D,D1884)=0,"Missing in Data2","Present")</f>
        <v>Present</v>
      </c>
    </row>
    <row r="1885" spans="1:5" x14ac:dyDescent="0.25">
      <c r="A1885" s="2" t="s">
        <v>2119</v>
      </c>
      <c r="B1885" s="2" t="s">
        <v>2120</v>
      </c>
      <c r="C1885" s="2">
        <v>2</v>
      </c>
      <c r="D1885" t="str">
        <f t="shared" si="29"/>
        <v>CA-2015-112130_OFF-AR-10001468</v>
      </c>
      <c r="E1885" t="str">
        <f>IF(COUNTIF(data2!$D:$D,D1885)=0,"Missing in Data2","Present")</f>
        <v>Present</v>
      </c>
    </row>
    <row r="1886" spans="1:5" x14ac:dyDescent="0.25">
      <c r="A1886" s="2" t="s">
        <v>2119</v>
      </c>
      <c r="B1886" s="2" t="s">
        <v>1244</v>
      </c>
      <c r="C1886" s="2">
        <v>2</v>
      </c>
      <c r="D1886" t="str">
        <f t="shared" si="29"/>
        <v>CA-2015-112130_OFF-PA-10002230</v>
      </c>
      <c r="E1886" t="str">
        <f>IF(COUNTIF(data2!$D:$D,D1886)=0,"Missing in Data2","Present")</f>
        <v>Present</v>
      </c>
    </row>
    <row r="1887" spans="1:5" x14ac:dyDescent="0.25">
      <c r="A1887" s="2" t="s">
        <v>2119</v>
      </c>
      <c r="B1887" s="2" t="s">
        <v>1339</v>
      </c>
      <c r="C1887" s="2">
        <v>3</v>
      </c>
      <c r="D1887" t="str">
        <f t="shared" si="29"/>
        <v>CA-2015-112130_OFF-ST-10000563</v>
      </c>
      <c r="E1887" t="str">
        <f>IF(COUNTIF(data2!$D:$D,D1887)=0,"Missing in Data2","Present")</f>
        <v>Present</v>
      </c>
    </row>
    <row r="1888" spans="1:5" x14ac:dyDescent="0.25">
      <c r="A1888" s="2" t="s">
        <v>2119</v>
      </c>
      <c r="B1888" s="2" t="s">
        <v>1012</v>
      </c>
      <c r="C1888" s="2">
        <v>3</v>
      </c>
      <c r="D1888" t="str">
        <f t="shared" si="29"/>
        <v>CA-2015-112130_TEC-AC-10001542</v>
      </c>
      <c r="E1888" t="str">
        <f>IF(COUNTIF(data2!$D:$D,D1888)=0,"Missing in Data2","Present")</f>
        <v>Present</v>
      </c>
    </row>
    <row r="1889" spans="1:5" x14ac:dyDescent="0.25">
      <c r="A1889" s="2" t="s">
        <v>2121</v>
      </c>
      <c r="B1889" s="2" t="s">
        <v>263</v>
      </c>
      <c r="C1889" s="2">
        <v>4</v>
      </c>
      <c r="D1889" t="str">
        <f t="shared" si="29"/>
        <v>CA-2015-112144_FUR-FU-10004306</v>
      </c>
      <c r="E1889" t="str">
        <f>IF(COUNTIF(data2!$D:$D,D1889)=0,"Missing in Data2","Present")</f>
        <v>Present</v>
      </c>
    </row>
    <row r="1890" spans="1:5" x14ac:dyDescent="0.25">
      <c r="A1890" s="2" t="s">
        <v>2121</v>
      </c>
      <c r="B1890" s="2" t="s">
        <v>172</v>
      </c>
      <c r="C1890" s="2">
        <v>2</v>
      </c>
      <c r="D1890" t="str">
        <f t="shared" si="29"/>
        <v>CA-2015-112144_OFF-LA-10000443</v>
      </c>
      <c r="E1890" t="str">
        <f>IF(COUNTIF(data2!$D:$D,D1890)=0,"Missing in Data2","Present")</f>
        <v>Present</v>
      </c>
    </row>
    <row r="1891" spans="1:5" x14ac:dyDescent="0.25">
      <c r="A1891" s="2" t="s">
        <v>2122</v>
      </c>
      <c r="B1891" s="2" t="s">
        <v>1325</v>
      </c>
      <c r="C1891" s="2">
        <v>5</v>
      </c>
      <c r="D1891" t="str">
        <f t="shared" si="29"/>
        <v>CA-2015-112214_FUR-FU-10002364</v>
      </c>
      <c r="E1891" t="str">
        <f>IF(COUNTIF(data2!$D:$D,D1891)=0,"Missing in Data2","Present")</f>
        <v>Present</v>
      </c>
    </row>
    <row r="1892" spans="1:5" x14ac:dyDescent="0.25">
      <c r="A1892" s="2" t="s">
        <v>2122</v>
      </c>
      <c r="B1892" s="2" t="s">
        <v>1734</v>
      </c>
      <c r="C1892" s="2">
        <v>1</v>
      </c>
      <c r="D1892" t="str">
        <f t="shared" si="29"/>
        <v>CA-2015-112214_OFF-BI-10002982</v>
      </c>
      <c r="E1892" t="str">
        <f>IF(COUNTIF(data2!$D:$D,D1892)=0,"Missing in Data2","Present")</f>
        <v>Present</v>
      </c>
    </row>
    <row r="1893" spans="1:5" x14ac:dyDescent="0.25">
      <c r="A1893" s="2" t="s">
        <v>2122</v>
      </c>
      <c r="B1893" s="2" t="s">
        <v>487</v>
      </c>
      <c r="C1893" s="2">
        <v>7</v>
      </c>
      <c r="D1893" t="str">
        <f t="shared" si="29"/>
        <v>CA-2015-112214_OFF-ST-10001505</v>
      </c>
      <c r="E1893" t="str">
        <f>IF(COUNTIF(data2!$D:$D,D1893)=0,"Missing in Data2","Present")</f>
        <v>Present</v>
      </c>
    </row>
    <row r="1894" spans="1:5" x14ac:dyDescent="0.25">
      <c r="A1894" s="2" t="s">
        <v>2122</v>
      </c>
      <c r="B1894" s="2" t="s">
        <v>310</v>
      </c>
      <c r="C1894" s="2">
        <v>3</v>
      </c>
      <c r="D1894" t="str">
        <f t="shared" si="29"/>
        <v>CA-2015-112214_OFF-SU-10003567</v>
      </c>
      <c r="E1894" t="str">
        <f>IF(COUNTIF(data2!$D:$D,D1894)=0,"Missing in Data2","Present")</f>
        <v>Present</v>
      </c>
    </row>
    <row r="1895" spans="1:5" x14ac:dyDescent="0.25">
      <c r="A1895" s="2" t="s">
        <v>2123</v>
      </c>
      <c r="B1895" s="2" t="s">
        <v>1325</v>
      </c>
      <c r="C1895" s="2">
        <v>3</v>
      </c>
      <c r="D1895" t="str">
        <f t="shared" si="29"/>
        <v>CA-2015-112305_FUR-FU-10002364</v>
      </c>
      <c r="E1895" t="str">
        <f>IF(COUNTIF(data2!$D:$D,D1895)=0,"Missing in Data2","Present")</f>
        <v>Present</v>
      </c>
    </row>
    <row r="1896" spans="1:5" x14ac:dyDescent="0.25">
      <c r="A1896" s="2" t="s">
        <v>2123</v>
      </c>
      <c r="B1896" s="2" t="s">
        <v>585</v>
      </c>
      <c r="C1896" s="2">
        <v>6</v>
      </c>
      <c r="D1896" t="str">
        <f t="shared" si="29"/>
        <v>CA-2015-112305_OFF-AR-10002067</v>
      </c>
      <c r="E1896" t="str">
        <f>IF(COUNTIF(data2!$D:$D,D1896)=0,"Missing in Data2","Present")</f>
        <v>Present</v>
      </c>
    </row>
    <row r="1897" spans="1:5" x14ac:dyDescent="0.25">
      <c r="A1897" s="2" t="s">
        <v>2123</v>
      </c>
      <c r="B1897" s="2" t="s">
        <v>2124</v>
      </c>
      <c r="C1897" s="2">
        <v>2</v>
      </c>
      <c r="D1897" t="str">
        <f t="shared" si="29"/>
        <v>CA-2015-112305_TEC-AC-10002018</v>
      </c>
      <c r="E1897" t="str">
        <f>IF(COUNTIF(data2!$D:$D,D1897)=0,"Missing in Data2","Present")</f>
        <v>Present</v>
      </c>
    </row>
    <row r="1898" spans="1:5" x14ac:dyDescent="0.25">
      <c r="A1898" s="2" t="s">
        <v>2125</v>
      </c>
      <c r="B1898" s="2" t="s">
        <v>1737</v>
      </c>
      <c r="C1898" s="2">
        <v>9</v>
      </c>
      <c r="D1898" t="str">
        <f t="shared" si="29"/>
        <v>CA-2015-112319_OFF-PA-10003441</v>
      </c>
      <c r="E1898" t="str">
        <f>IF(COUNTIF(data2!$D:$D,D1898)=0,"Missing in Data2","Present")</f>
        <v>Present</v>
      </c>
    </row>
    <row r="1899" spans="1:5" x14ac:dyDescent="0.25">
      <c r="A1899" s="2" t="s">
        <v>2126</v>
      </c>
      <c r="B1899" s="2" t="s">
        <v>2127</v>
      </c>
      <c r="C1899" s="2">
        <v>2</v>
      </c>
      <c r="D1899" t="str">
        <f t="shared" si="29"/>
        <v>CA-2015-112375_OFF-EN-10003798</v>
      </c>
      <c r="E1899" t="str">
        <f>IF(COUNTIF(data2!$D:$D,D1899)=0,"Missing in Data2","Present")</f>
        <v>Present</v>
      </c>
    </row>
    <row r="1900" spans="1:5" x14ac:dyDescent="0.25">
      <c r="A1900" s="2" t="s">
        <v>2126</v>
      </c>
      <c r="B1900" s="2" t="s">
        <v>2128</v>
      </c>
      <c r="C1900" s="2">
        <v>6</v>
      </c>
      <c r="D1900" t="str">
        <f t="shared" si="29"/>
        <v>CA-2015-112375_TEC-AC-10003237</v>
      </c>
      <c r="E1900" t="str">
        <f>IF(COUNTIF(data2!$D:$D,D1900)=0,"Missing in Data2","Present")</f>
        <v>Present</v>
      </c>
    </row>
    <row r="1901" spans="1:5" x14ac:dyDescent="0.25">
      <c r="A1901" s="2" t="s">
        <v>2129</v>
      </c>
      <c r="B1901" s="2" t="s">
        <v>2130</v>
      </c>
      <c r="C1901" s="2">
        <v>2</v>
      </c>
      <c r="D1901" t="str">
        <f t="shared" si="29"/>
        <v>CA-2015-112452_OFF-AP-10003849</v>
      </c>
      <c r="E1901" t="str">
        <f>IF(COUNTIF(data2!$D:$D,D1901)=0,"Missing in Data2","Present")</f>
        <v>Present</v>
      </c>
    </row>
    <row r="1902" spans="1:5" x14ac:dyDescent="0.25">
      <c r="A1902" s="2" t="s">
        <v>2129</v>
      </c>
      <c r="B1902" s="2" t="s">
        <v>413</v>
      </c>
      <c r="C1902" s="2">
        <v>2</v>
      </c>
      <c r="D1902" t="str">
        <f t="shared" si="29"/>
        <v>CA-2015-112452_OFF-BI-10003350</v>
      </c>
      <c r="E1902" t="str">
        <f>IF(COUNTIF(data2!$D:$D,D1902)=0,"Missing in Data2","Present")</f>
        <v>Present</v>
      </c>
    </row>
    <row r="1903" spans="1:5" x14ac:dyDescent="0.25">
      <c r="A1903" s="2" t="s">
        <v>2129</v>
      </c>
      <c r="B1903" s="2" t="s">
        <v>308</v>
      </c>
      <c r="C1903" s="2">
        <v>2</v>
      </c>
      <c r="D1903" t="str">
        <f t="shared" si="29"/>
        <v>CA-2015-112452_OFF-FA-10000735</v>
      </c>
      <c r="E1903" t="str">
        <f>IF(COUNTIF(data2!$D:$D,D1903)=0,"Missing in Data2","Present")</f>
        <v>Missing in Data2</v>
      </c>
    </row>
    <row r="1904" spans="1:5" x14ac:dyDescent="0.25">
      <c r="A1904" s="2" t="s">
        <v>2129</v>
      </c>
      <c r="B1904" s="2" t="s">
        <v>761</v>
      </c>
      <c r="C1904" s="2">
        <v>2</v>
      </c>
      <c r="D1904" t="str">
        <f t="shared" si="29"/>
        <v>CA-2015-112452_TEC-CO-10004202</v>
      </c>
      <c r="E1904" t="str">
        <f>IF(COUNTIF(data2!$D:$D,D1904)=0,"Missing in Data2","Present")</f>
        <v>Present</v>
      </c>
    </row>
    <row r="1905" spans="1:5" x14ac:dyDescent="0.25">
      <c r="A1905" s="2" t="s">
        <v>2129</v>
      </c>
      <c r="B1905" s="2" t="s">
        <v>2131</v>
      </c>
      <c r="C1905" s="2">
        <v>1</v>
      </c>
      <c r="D1905" t="str">
        <f t="shared" si="29"/>
        <v>CA-2015-112452_TEC-PH-10000307</v>
      </c>
      <c r="E1905" t="str">
        <f>IF(COUNTIF(data2!$D:$D,D1905)=0,"Missing in Data2","Present")</f>
        <v>Present</v>
      </c>
    </row>
    <row r="1906" spans="1:5" x14ac:dyDescent="0.25">
      <c r="A1906" s="2" t="s">
        <v>2132</v>
      </c>
      <c r="B1906" s="2" t="s">
        <v>1319</v>
      </c>
      <c r="C1906" s="2">
        <v>3</v>
      </c>
      <c r="D1906" t="str">
        <f t="shared" si="29"/>
        <v>CA-2015-112522_OFF-AR-10003183</v>
      </c>
      <c r="E1906" t="str">
        <f>IF(COUNTIF(data2!$D:$D,D1906)=0,"Missing in Data2","Present")</f>
        <v>Present</v>
      </c>
    </row>
    <row r="1907" spans="1:5" x14ac:dyDescent="0.25">
      <c r="A1907" s="2" t="s">
        <v>2133</v>
      </c>
      <c r="B1907" s="2" t="s">
        <v>1787</v>
      </c>
      <c r="C1907" s="2">
        <v>3</v>
      </c>
      <c r="D1907" t="str">
        <f t="shared" si="29"/>
        <v>CA-2015-112557_OFF-AP-10002311</v>
      </c>
      <c r="E1907" t="str">
        <f>IF(COUNTIF(data2!$D:$D,D1907)=0,"Missing in Data2","Present")</f>
        <v>Present</v>
      </c>
    </row>
    <row r="1908" spans="1:5" x14ac:dyDescent="0.25">
      <c r="A1908" s="2" t="s">
        <v>2134</v>
      </c>
      <c r="B1908" s="2" t="s">
        <v>1357</v>
      </c>
      <c r="C1908" s="2">
        <v>2</v>
      </c>
      <c r="D1908" t="str">
        <f t="shared" si="29"/>
        <v>CA-2015-112571_FUR-FU-10004188</v>
      </c>
      <c r="E1908" t="str">
        <f>IF(COUNTIF(data2!$D:$D,D1908)=0,"Missing in Data2","Present")</f>
        <v>Present</v>
      </c>
    </row>
    <row r="1909" spans="1:5" x14ac:dyDescent="0.25">
      <c r="A1909" s="2" t="s">
        <v>2135</v>
      </c>
      <c r="B1909" s="2" t="s">
        <v>1633</v>
      </c>
      <c r="C1909" s="2">
        <v>4</v>
      </c>
      <c r="D1909" t="str">
        <f t="shared" si="29"/>
        <v>CA-2015-112711_TEC-PH-10000526</v>
      </c>
      <c r="E1909" t="str">
        <f>IF(COUNTIF(data2!$D:$D,D1909)=0,"Missing in Data2","Present")</f>
        <v>Present</v>
      </c>
    </row>
    <row r="1910" spans="1:5" x14ac:dyDescent="0.25">
      <c r="A1910" s="2" t="s">
        <v>2136</v>
      </c>
      <c r="B1910" s="2" t="s">
        <v>1744</v>
      </c>
      <c r="C1910" s="2">
        <v>4</v>
      </c>
      <c r="D1910" t="str">
        <f t="shared" si="29"/>
        <v>CA-2015-112767_FUR-TA-10003469</v>
      </c>
      <c r="E1910" t="str">
        <f>IF(COUNTIF(data2!$D:$D,D1910)=0,"Missing in Data2","Present")</f>
        <v>Present</v>
      </c>
    </row>
    <row r="1911" spans="1:5" x14ac:dyDescent="0.25">
      <c r="A1911" s="2" t="s">
        <v>2137</v>
      </c>
      <c r="B1911" s="2" t="s">
        <v>1055</v>
      </c>
      <c r="C1911" s="2">
        <v>2</v>
      </c>
      <c r="D1911" t="str">
        <f t="shared" si="29"/>
        <v>CA-2015-112823_TEC-AC-10002550</v>
      </c>
      <c r="E1911" t="str">
        <f>IF(COUNTIF(data2!$D:$D,D1911)=0,"Missing in Data2","Present")</f>
        <v>Missing in Data2</v>
      </c>
    </row>
    <row r="1912" spans="1:5" x14ac:dyDescent="0.25">
      <c r="A1912" s="2" t="s">
        <v>2138</v>
      </c>
      <c r="B1912" s="2" t="s">
        <v>819</v>
      </c>
      <c r="C1912" s="2">
        <v>1</v>
      </c>
      <c r="D1912" t="str">
        <f t="shared" si="29"/>
        <v>CA-2015-113040_OFF-BI-10001249</v>
      </c>
      <c r="E1912" t="str">
        <f>IF(COUNTIF(data2!$D:$D,D1912)=0,"Missing in Data2","Present")</f>
        <v>Present</v>
      </c>
    </row>
    <row r="1913" spans="1:5" x14ac:dyDescent="0.25">
      <c r="A1913" s="2" t="s">
        <v>2139</v>
      </c>
      <c r="B1913" s="2" t="s">
        <v>2140</v>
      </c>
      <c r="C1913" s="2">
        <v>2</v>
      </c>
      <c r="D1913" t="str">
        <f t="shared" si="29"/>
        <v>CA-2015-113110_OFF-BI-10000088</v>
      </c>
      <c r="E1913" t="str">
        <f>IF(COUNTIF(data2!$D:$D,D1913)=0,"Missing in Data2","Present")</f>
        <v>Present</v>
      </c>
    </row>
    <row r="1914" spans="1:5" x14ac:dyDescent="0.25">
      <c r="A1914" s="2" t="s">
        <v>2139</v>
      </c>
      <c r="B1914" s="2" t="s">
        <v>591</v>
      </c>
      <c r="C1914" s="2">
        <v>2</v>
      </c>
      <c r="D1914" t="str">
        <f t="shared" si="29"/>
        <v>CA-2015-113110_OFF-LA-10000240</v>
      </c>
      <c r="E1914" t="str">
        <f>IF(COUNTIF(data2!$D:$D,D1914)=0,"Missing in Data2","Present")</f>
        <v>Present</v>
      </c>
    </row>
    <row r="1915" spans="1:5" x14ac:dyDescent="0.25">
      <c r="A1915" s="2" t="s">
        <v>2139</v>
      </c>
      <c r="B1915" s="2" t="s">
        <v>2141</v>
      </c>
      <c r="C1915" s="2">
        <v>4</v>
      </c>
      <c r="D1915" t="str">
        <f t="shared" si="29"/>
        <v>CA-2015-113110_OFF-SU-10001165</v>
      </c>
      <c r="E1915" t="str">
        <f>IF(COUNTIF(data2!$D:$D,D1915)=0,"Missing in Data2","Present")</f>
        <v>Present</v>
      </c>
    </row>
    <row r="1916" spans="1:5" x14ac:dyDescent="0.25">
      <c r="A1916" s="2" t="s">
        <v>2142</v>
      </c>
      <c r="B1916" s="2" t="s">
        <v>574</v>
      </c>
      <c r="C1916" s="2">
        <v>5</v>
      </c>
      <c r="D1916" t="str">
        <f t="shared" si="29"/>
        <v>CA-2015-113131_OFF-AR-10003504</v>
      </c>
      <c r="E1916" t="str">
        <f>IF(COUNTIF(data2!$D:$D,D1916)=0,"Missing in Data2","Present")</f>
        <v>Present</v>
      </c>
    </row>
    <row r="1917" spans="1:5" x14ac:dyDescent="0.25">
      <c r="A1917" s="2" t="s">
        <v>2142</v>
      </c>
      <c r="B1917" s="2" t="s">
        <v>1525</v>
      </c>
      <c r="C1917" s="2">
        <v>6</v>
      </c>
      <c r="D1917" t="str">
        <f t="shared" si="29"/>
        <v>CA-2015-113131_OFF-BI-10003196</v>
      </c>
      <c r="E1917" t="str">
        <f>IF(COUNTIF(data2!$D:$D,D1917)=0,"Missing in Data2","Present")</f>
        <v>Present</v>
      </c>
    </row>
    <row r="1918" spans="1:5" x14ac:dyDescent="0.25">
      <c r="A1918" s="2" t="s">
        <v>2142</v>
      </c>
      <c r="B1918" s="2" t="s">
        <v>2143</v>
      </c>
      <c r="C1918" s="2">
        <v>2</v>
      </c>
      <c r="D1918" t="str">
        <f t="shared" si="29"/>
        <v>CA-2015-113131_OFF-EN-10003068</v>
      </c>
      <c r="E1918" t="str">
        <f>IF(COUNTIF(data2!$D:$D,D1918)=0,"Missing in Data2","Present")</f>
        <v>Present</v>
      </c>
    </row>
    <row r="1919" spans="1:5" x14ac:dyDescent="0.25">
      <c r="A1919" s="2" t="s">
        <v>2142</v>
      </c>
      <c r="B1919" s="2" t="s">
        <v>1125</v>
      </c>
      <c r="C1919" s="2">
        <v>1</v>
      </c>
      <c r="D1919" t="str">
        <f t="shared" si="29"/>
        <v>CA-2015-113131_OFF-LA-10003510</v>
      </c>
      <c r="E1919" t="str">
        <f>IF(COUNTIF(data2!$D:$D,D1919)=0,"Missing in Data2","Present")</f>
        <v>Present</v>
      </c>
    </row>
    <row r="1920" spans="1:5" x14ac:dyDescent="0.25">
      <c r="A1920" s="2" t="s">
        <v>2142</v>
      </c>
      <c r="B1920" s="2" t="s">
        <v>2144</v>
      </c>
      <c r="C1920" s="2">
        <v>2</v>
      </c>
      <c r="D1920" t="str">
        <f t="shared" si="29"/>
        <v>CA-2015-113131_OFF-ST-10001172</v>
      </c>
      <c r="E1920" t="str">
        <f>IF(COUNTIF(data2!$D:$D,D1920)=0,"Missing in Data2","Present")</f>
        <v>Present</v>
      </c>
    </row>
    <row r="1921" spans="1:5" x14ac:dyDescent="0.25">
      <c r="A1921" s="2" t="s">
        <v>2145</v>
      </c>
      <c r="B1921" s="2" t="s">
        <v>1397</v>
      </c>
      <c r="C1921" s="2">
        <v>5</v>
      </c>
      <c r="D1921" t="str">
        <f t="shared" si="29"/>
        <v>CA-2015-113145_FUR-FU-10000965</v>
      </c>
      <c r="E1921" t="str">
        <f>IF(COUNTIF(data2!$D:$D,D1921)=0,"Missing in Data2","Present")</f>
        <v>Present</v>
      </c>
    </row>
    <row r="1922" spans="1:5" x14ac:dyDescent="0.25">
      <c r="A1922" s="2" t="s">
        <v>2145</v>
      </c>
      <c r="B1922" s="2" t="s">
        <v>129</v>
      </c>
      <c r="C1922" s="2">
        <v>4</v>
      </c>
      <c r="D1922" t="str">
        <f t="shared" si="29"/>
        <v>CA-2015-113145_OFF-PA-10002659</v>
      </c>
      <c r="E1922" t="str">
        <f>IF(COUNTIF(data2!$D:$D,D1922)=0,"Missing in Data2","Present")</f>
        <v>Present</v>
      </c>
    </row>
    <row r="1923" spans="1:5" x14ac:dyDescent="0.25">
      <c r="A1923" s="2" t="s">
        <v>2145</v>
      </c>
      <c r="B1923" s="2" t="s">
        <v>2146</v>
      </c>
      <c r="C1923" s="2">
        <v>7</v>
      </c>
      <c r="D1923" t="str">
        <f t="shared" ref="D1923:D1986" si="30">A1923&amp;"_"&amp;B1923</f>
        <v>CA-2015-113145_TEC-AC-10001838</v>
      </c>
      <c r="E1923" t="str">
        <f>IF(COUNTIF(data2!$D:$D,D1923)=0,"Missing in Data2","Present")</f>
        <v>Present</v>
      </c>
    </row>
    <row r="1924" spans="1:5" x14ac:dyDescent="0.25">
      <c r="A1924" s="2" t="s">
        <v>2145</v>
      </c>
      <c r="B1924" s="2" t="s">
        <v>1914</v>
      </c>
      <c r="C1924" s="2">
        <v>1</v>
      </c>
      <c r="D1924" t="str">
        <f t="shared" si="30"/>
        <v>CA-2015-113145_TEC-PH-10001527</v>
      </c>
      <c r="E1924" t="str">
        <f>IF(COUNTIF(data2!$D:$D,D1924)=0,"Missing in Data2","Present")</f>
        <v>Present</v>
      </c>
    </row>
    <row r="1925" spans="1:5" x14ac:dyDescent="0.25">
      <c r="A1925" s="2" t="s">
        <v>2145</v>
      </c>
      <c r="B1925" s="2" t="s">
        <v>162</v>
      </c>
      <c r="C1925" s="2">
        <v>4</v>
      </c>
      <c r="D1925" t="str">
        <f t="shared" si="30"/>
        <v>CA-2015-113145_TEC-PH-10002597</v>
      </c>
      <c r="E1925" t="str">
        <f>IF(COUNTIF(data2!$D:$D,D1925)=0,"Missing in Data2","Present")</f>
        <v>Present</v>
      </c>
    </row>
    <row r="1926" spans="1:5" x14ac:dyDescent="0.25">
      <c r="A1926" s="2" t="s">
        <v>2147</v>
      </c>
      <c r="B1926" s="2" t="s">
        <v>1417</v>
      </c>
      <c r="C1926" s="2">
        <v>2</v>
      </c>
      <c r="D1926" t="str">
        <f t="shared" si="30"/>
        <v>CA-2015-113152_FUR-BO-10002613</v>
      </c>
      <c r="E1926" t="str">
        <f>IF(COUNTIF(data2!$D:$D,D1926)=0,"Missing in Data2","Present")</f>
        <v>Present</v>
      </c>
    </row>
    <row r="1927" spans="1:5" x14ac:dyDescent="0.25">
      <c r="A1927" s="2" t="s">
        <v>2147</v>
      </c>
      <c r="B1927" s="2" t="s">
        <v>1053</v>
      </c>
      <c r="C1927" s="2">
        <v>2</v>
      </c>
      <c r="D1927" t="str">
        <f t="shared" si="30"/>
        <v>CA-2015-113152_TEC-AC-10002049</v>
      </c>
      <c r="E1927" t="str">
        <f>IF(COUNTIF(data2!$D:$D,D1927)=0,"Missing in Data2","Present")</f>
        <v>Present</v>
      </c>
    </row>
    <row r="1928" spans="1:5" x14ac:dyDescent="0.25">
      <c r="A1928" s="2" t="s">
        <v>2148</v>
      </c>
      <c r="B1928" s="2" t="s">
        <v>1709</v>
      </c>
      <c r="C1928" s="2">
        <v>3</v>
      </c>
      <c r="D1928" t="str">
        <f t="shared" si="30"/>
        <v>CA-2015-113173_OFF-BI-10004738</v>
      </c>
      <c r="E1928" t="str">
        <f>IF(COUNTIF(data2!$D:$D,D1928)=0,"Missing in Data2","Present")</f>
        <v>Present</v>
      </c>
    </row>
    <row r="1929" spans="1:5" x14ac:dyDescent="0.25">
      <c r="A1929" s="2" t="s">
        <v>2148</v>
      </c>
      <c r="B1929" s="2" t="s">
        <v>2149</v>
      </c>
      <c r="C1929" s="2">
        <v>9</v>
      </c>
      <c r="D1929" t="str">
        <f t="shared" si="30"/>
        <v>CA-2015-113173_OFF-ST-10000604</v>
      </c>
      <c r="E1929" t="str">
        <f>IF(COUNTIF(data2!$D:$D,D1929)=0,"Missing in Data2","Present")</f>
        <v>Present</v>
      </c>
    </row>
    <row r="1930" spans="1:5" x14ac:dyDescent="0.25">
      <c r="A1930" s="2" t="s">
        <v>2148</v>
      </c>
      <c r="B1930" s="2" t="s">
        <v>2150</v>
      </c>
      <c r="C1930" s="2">
        <v>5</v>
      </c>
      <c r="D1930" t="str">
        <f t="shared" si="30"/>
        <v>CA-2015-113173_OFF-SU-10001935</v>
      </c>
      <c r="E1930" t="str">
        <f>IF(COUNTIF(data2!$D:$D,D1930)=0,"Missing in Data2","Present")</f>
        <v>Present</v>
      </c>
    </row>
    <row r="1931" spans="1:5" x14ac:dyDescent="0.25">
      <c r="A1931" s="2" t="s">
        <v>2151</v>
      </c>
      <c r="B1931" s="2" t="s">
        <v>1605</v>
      </c>
      <c r="C1931" s="2">
        <v>3</v>
      </c>
      <c r="D1931" t="str">
        <f t="shared" si="30"/>
        <v>CA-2015-113222_OFF-BI-10001890</v>
      </c>
      <c r="E1931" t="str">
        <f>IF(COUNTIF(data2!$D:$D,D1931)=0,"Missing in Data2","Present")</f>
        <v>Present</v>
      </c>
    </row>
    <row r="1932" spans="1:5" x14ac:dyDescent="0.25">
      <c r="A1932" s="2" t="s">
        <v>2152</v>
      </c>
      <c r="B1932" s="2" t="s">
        <v>2153</v>
      </c>
      <c r="C1932" s="2">
        <v>3</v>
      </c>
      <c r="D1932" t="str">
        <f t="shared" si="30"/>
        <v>CA-2015-113404_FUR-CH-10004086</v>
      </c>
      <c r="E1932" t="str">
        <f>IF(COUNTIF(data2!$D:$D,D1932)=0,"Missing in Data2","Present")</f>
        <v>Missing in Data2</v>
      </c>
    </row>
    <row r="1933" spans="1:5" x14ac:dyDescent="0.25">
      <c r="A1933" s="2" t="s">
        <v>2154</v>
      </c>
      <c r="B1933" s="2" t="s">
        <v>819</v>
      </c>
      <c r="C1933" s="2">
        <v>4</v>
      </c>
      <c r="D1933" t="str">
        <f t="shared" si="30"/>
        <v>CA-2015-113523_OFF-BI-10001249</v>
      </c>
      <c r="E1933" t="str">
        <f>IF(COUNTIF(data2!$D:$D,D1933)=0,"Missing in Data2","Present")</f>
        <v>Present</v>
      </c>
    </row>
    <row r="1934" spans="1:5" x14ac:dyDescent="0.25">
      <c r="A1934" s="2" t="s">
        <v>2155</v>
      </c>
      <c r="B1934" s="2" t="s">
        <v>1766</v>
      </c>
      <c r="C1934" s="2">
        <v>5</v>
      </c>
      <c r="D1934" t="str">
        <f t="shared" si="30"/>
        <v>CA-2015-113628_FUR-CH-10003298</v>
      </c>
      <c r="E1934" t="str">
        <f>IF(COUNTIF(data2!$D:$D,D1934)=0,"Missing in Data2","Present")</f>
        <v>Present</v>
      </c>
    </row>
    <row r="1935" spans="1:5" x14ac:dyDescent="0.25">
      <c r="A1935" s="2" t="s">
        <v>2155</v>
      </c>
      <c r="B1935" s="2" t="s">
        <v>1554</v>
      </c>
      <c r="C1935" s="2">
        <v>3</v>
      </c>
      <c r="D1935" t="str">
        <f t="shared" si="30"/>
        <v>CA-2015-113628_FUR-CH-10004477</v>
      </c>
      <c r="E1935" t="str">
        <f>IF(COUNTIF(data2!$D:$D,D1935)=0,"Missing in Data2","Present")</f>
        <v>Present</v>
      </c>
    </row>
    <row r="1936" spans="1:5" x14ac:dyDescent="0.25">
      <c r="A1936" s="2" t="s">
        <v>2155</v>
      </c>
      <c r="B1936" s="2" t="s">
        <v>2156</v>
      </c>
      <c r="C1936" s="2">
        <v>5</v>
      </c>
      <c r="D1936" t="str">
        <f t="shared" si="30"/>
        <v>CA-2015-113628_OFF-AR-10001246</v>
      </c>
      <c r="E1936" t="str">
        <f>IF(COUNTIF(data2!$D:$D,D1936)=0,"Missing in Data2","Present")</f>
        <v>Present</v>
      </c>
    </row>
    <row r="1937" spans="1:5" x14ac:dyDescent="0.25">
      <c r="A1937" s="2" t="s">
        <v>2155</v>
      </c>
      <c r="B1937" s="2" t="s">
        <v>256</v>
      </c>
      <c r="C1937" s="2">
        <v>3</v>
      </c>
      <c r="D1937" t="str">
        <f t="shared" si="30"/>
        <v>CA-2015-113628_OFF-BI-10002799</v>
      </c>
      <c r="E1937" t="str">
        <f>IF(COUNTIF(data2!$D:$D,D1937)=0,"Missing in Data2","Present")</f>
        <v>Present</v>
      </c>
    </row>
    <row r="1938" spans="1:5" x14ac:dyDescent="0.25">
      <c r="A1938" s="2" t="s">
        <v>2155</v>
      </c>
      <c r="B1938" s="2" t="s">
        <v>485</v>
      </c>
      <c r="C1938" s="2">
        <v>2</v>
      </c>
      <c r="D1938" t="str">
        <f t="shared" si="30"/>
        <v>CA-2015-113628_OFF-BI-10003291</v>
      </c>
      <c r="E1938" t="str">
        <f>IF(COUNTIF(data2!$D:$D,D1938)=0,"Missing in Data2","Present")</f>
        <v>Present</v>
      </c>
    </row>
    <row r="1939" spans="1:5" x14ac:dyDescent="0.25">
      <c r="A1939" s="2" t="s">
        <v>2155</v>
      </c>
      <c r="B1939" s="2" t="s">
        <v>1316</v>
      </c>
      <c r="C1939" s="2">
        <v>1</v>
      </c>
      <c r="D1939" t="str">
        <f t="shared" si="30"/>
        <v>CA-2015-113628_TEC-PH-10000441</v>
      </c>
      <c r="E1939" t="str">
        <f>IF(COUNTIF(data2!$D:$D,D1939)=0,"Missing in Data2","Present")</f>
        <v>Present</v>
      </c>
    </row>
    <row r="1940" spans="1:5" x14ac:dyDescent="0.25">
      <c r="A1940" s="2" t="s">
        <v>2157</v>
      </c>
      <c r="B1940" s="2" t="s">
        <v>856</v>
      </c>
      <c r="C1940" s="2">
        <v>3</v>
      </c>
      <c r="D1940" t="str">
        <f t="shared" si="30"/>
        <v>CA-2015-113740_FUR-FU-10000010</v>
      </c>
      <c r="E1940" t="str">
        <f>IF(COUNTIF(data2!$D:$D,D1940)=0,"Missing in Data2","Present")</f>
        <v>Missing in Data2</v>
      </c>
    </row>
    <row r="1941" spans="1:5" x14ac:dyDescent="0.25">
      <c r="A1941" s="2" t="s">
        <v>2158</v>
      </c>
      <c r="B1941" s="2" t="s">
        <v>819</v>
      </c>
      <c r="C1941" s="2">
        <v>6</v>
      </c>
      <c r="D1941" t="str">
        <f t="shared" si="30"/>
        <v>CA-2015-113901_OFF-BI-10001249</v>
      </c>
      <c r="E1941" t="str">
        <f>IF(COUNTIF(data2!$D:$D,D1941)=0,"Missing in Data2","Present")</f>
        <v>Present</v>
      </c>
    </row>
    <row r="1942" spans="1:5" x14ac:dyDescent="0.25">
      <c r="A1942" s="2" t="s">
        <v>2158</v>
      </c>
      <c r="B1942" s="2" t="s">
        <v>2159</v>
      </c>
      <c r="C1942" s="2">
        <v>5</v>
      </c>
      <c r="D1942" t="str">
        <f t="shared" si="30"/>
        <v>CA-2015-113901_TEC-PH-10002564</v>
      </c>
      <c r="E1942" t="str">
        <f>IF(COUNTIF(data2!$D:$D,D1942)=0,"Missing in Data2","Present")</f>
        <v>Present</v>
      </c>
    </row>
    <row r="1943" spans="1:5" x14ac:dyDescent="0.25">
      <c r="A1943" s="2" t="s">
        <v>2160</v>
      </c>
      <c r="B1943" s="2" t="s">
        <v>240</v>
      </c>
      <c r="C1943" s="2">
        <v>6</v>
      </c>
      <c r="D1943" t="str">
        <f t="shared" si="30"/>
        <v>CA-2015-113971_FUR-FU-10001852</v>
      </c>
      <c r="E1943" t="str">
        <f>IF(COUNTIF(data2!$D:$D,D1943)=0,"Missing in Data2","Present")</f>
        <v>Present</v>
      </c>
    </row>
    <row r="1944" spans="1:5" x14ac:dyDescent="0.25">
      <c r="A1944" s="2" t="s">
        <v>2161</v>
      </c>
      <c r="B1944" s="2" t="s">
        <v>1293</v>
      </c>
      <c r="C1944" s="2">
        <v>3</v>
      </c>
      <c r="D1944" t="str">
        <f t="shared" si="30"/>
        <v>CA-2015-114048_FUR-FU-10004351</v>
      </c>
      <c r="E1944" t="str">
        <f>IF(COUNTIF(data2!$D:$D,D1944)=0,"Missing in Data2","Present")</f>
        <v>Present</v>
      </c>
    </row>
    <row r="1945" spans="1:5" x14ac:dyDescent="0.25">
      <c r="A1945" s="2" t="s">
        <v>2162</v>
      </c>
      <c r="B1945" s="2" t="s">
        <v>1520</v>
      </c>
      <c r="C1945" s="2">
        <v>9</v>
      </c>
      <c r="D1945" t="str">
        <f t="shared" si="30"/>
        <v>CA-2015-114069_FUR-CH-10000595</v>
      </c>
      <c r="E1945" t="str">
        <f>IF(COUNTIF(data2!$D:$D,D1945)=0,"Missing in Data2","Present")</f>
        <v>Present</v>
      </c>
    </row>
    <row r="1946" spans="1:5" x14ac:dyDescent="0.25">
      <c r="A1946" s="2" t="s">
        <v>2162</v>
      </c>
      <c r="B1946" s="2" t="s">
        <v>152</v>
      </c>
      <c r="C1946" s="2">
        <v>2</v>
      </c>
      <c r="D1946" t="str">
        <f t="shared" si="30"/>
        <v>CA-2015-114069_OFF-BI-10000320</v>
      </c>
      <c r="E1946" t="str">
        <f>IF(COUNTIF(data2!$D:$D,D1946)=0,"Missing in Data2","Present")</f>
        <v>Present</v>
      </c>
    </row>
    <row r="1947" spans="1:5" x14ac:dyDescent="0.25">
      <c r="A1947" s="2" t="s">
        <v>2162</v>
      </c>
      <c r="B1947" s="2" t="s">
        <v>1140</v>
      </c>
      <c r="C1947" s="2">
        <v>2</v>
      </c>
      <c r="D1947" t="str">
        <f t="shared" si="30"/>
        <v>CA-2015-114069_OFF-PA-10000349</v>
      </c>
      <c r="E1947" t="str">
        <f>IF(COUNTIF(data2!$D:$D,D1947)=0,"Missing in Data2","Present")</f>
        <v>Present</v>
      </c>
    </row>
    <row r="1948" spans="1:5" x14ac:dyDescent="0.25">
      <c r="A1948" s="2" t="s">
        <v>2163</v>
      </c>
      <c r="B1948" s="2" t="s">
        <v>415</v>
      </c>
      <c r="C1948" s="2">
        <v>3</v>
      </c>
      <c r="D1948" t="str">
        <f t="shared" si="30"/>
        <v>CA-2015-114300_FUR-CH-10001891</v>
      </c>
      <c r="E1948" t="str">
        <f>IF(COUNTIF(data2!$D:$D,D1948)=0,"Missing in Data2","Present")</f>
        <v>Present</v>
      </c>
    </row>
    <row r="1949" spans="1:5" x14ac:dyDescent="0.25">
      <c r="A1949" s="2" t="s">
        <v>2164</v>
      </c>
      <c r="B1949" s="2" t="s">
        <v>1221</v>
      </c>
      <c r="C1949" s="2">
        <v>2</v>
      </c>
      <c r="D1949" t="str">
        <f t="shared" si="30"/>
        <v>CA-2015-114468_OFF-AP-10000696</v>
      </c>
      <c r="E1949" t="str">
        <f>IF(COUNTIF(data2!$D:$D,D1949)=0,"Missing in Data2","Present")</f>
        <v>Present</v>
      </c>
    </row>
    <row r="1950" spans="1:5" x14ac:dyDescent="0.25">
      <c r="A1950" s="2" t="s">
        <v>2164</v>
      </c>
      <c r="B1950" s="2" t="s">
        <v>96</v>
      </c>
      <c r="C1950" s="2">
        <v>8</v>
      </c>
      <c r="D1950" t="str">
        <f t="shared" si="30"/>
        <v>CA-2015-114468_OFF-FA-10003021</v>
      </c>
      <c r="E1950" t="str">
        <f>IF(COUNTIF(data2!$D:$D,D1950)=0,"Missing in Data2","Present")</f>
        <v>Present</v>
      </c>
    </row>
    <row r="1951" spans="1:5" x14ac:dyDescent="0.25">
      <c r="A1951" s="2" t="s">
        <v>2164</v>
      </c>
      <c r="B1951" s="2" t="s">
        <v>2165</v>
      </c>
      <c r="C1951" s="2">
        <v>2</v>
      </c>
      <c r="D1951" t="str">
        <f t="shared" si="30"/>
        <v>CA-2015-114468_OFF-PA-10000809</v>
      </c>
      <c r="E1951" t="str">
        <f>IF(COUNTIF(data2!$D:$D,D1951)=0,"Missing in Data2","Present")</f>
        <v>Present</v>
      </c>
    </row>
    <row r="1952" spans="1:5" x14ac:dyDescent="0.25">
      <c r="A1952" s="2" t="s">
        <v>2164</v>
      </c>
      <c r="B1952" s="2" t="s">
        <v>2166</v>
      </c>
      <c r="C1952" s="2">
        <v>4</v>
      </c>
      <c r="D1952" t="str">
        <f t="shared" si="30"/>
        <v>CA-2015-114468_OFF-SU-10004231</v>
      </c>
      <c r="E1952" t="str">
        <f>IF(COUNTIF(data2!$D:$D,D1952)=0,"Missing in Data2","Present")</f>
        <v>Present</v>
      </c>
    </row>
    <row r="1953" spans="1:5" x14ac:dyDescent="0.25">
      <c r="A1953" s="2" t="s">
        <v>2167</v>
      </c>
      <c r="B1953" s="2" t="s">
        <v>2168</v>
      </c>
      <c r="C1953" s="2">
        <v>6</v>
      </c>
      <c r="D1953" t="str">
        <f t="shared" si="30"/>
        <v>CA-2015-114503_OFF-ST-10003572</v>
      </c>
      <c r="E1953" t="str">
        <f>IF(COUNTIF(data2!$D:$D,D1953)=0,"Missing in Data2","Present")</f>
        <v>Present</v>
      </c>
    </row>
    <row r="1954" spans="1:5" x14ac:dyDescent="0.25">
      <c r="A1954" s="2" t="s">
        <v>2169</v>
      </c>
      <c r="B1954" s="2" t="s">
        <v>2170</v>
      </c>
      <c r="C1954" s="2">
        <v>2</v>
      </c>
      <c r="D1954" t="str">
        <f t="shared" si="30"/>
        <v>CA-2015-114811_FUR-CH-10003746</v>
      </c>
      <c r="E1954" t="str">
        <f>IF(COUNTIF(data2!$D:$D,D1954)=0,"Missing in Data2","Present")</f>
        <v>Present</v>
      </c>
    </row>
    <row r="1955" spans="1:5" x14ac:dyDescent="0.25">
      <c r="A1955" s="2" t="s">
        <v>2169</v>
      </c>
      <c r="B1955" s="2" t="s">
        <v>2171</v>
      </c>
      <c r="C1955" s="2">
        <v>3</v>
      </c>
      <c r="D1955" t="str">
        <f t="shared" si="30"/>
        <v>CA-2015-114811_FUR-FU-10002240</v>
      </c>
      <c r="E1955" t="str">
        <f>IF(COUNTIF(data2!$D:$D,D1955)=0,"Missing in Data2","Present")</f>
        <v>Present</v>
      </c>
    </row>
    <row r="1956" spans="1:5" x14ac:dyDescent="0.25">
      <c r="A1956" s="2" t="s">
        <v>2169</v>
      </c>
      <c r="B1956" s="2" t="s">
        <v>1229</v>
      </c>
      <c r="C1956" s="2">
        <v>5</v>
      </c>
      <c r="D1956" t="str">
        <f t="shared" si="30"/>
        <v>CA-2015-114811_OFF-ST-10000885</v>
      </c>
      <c r="E1956" t="str">
        <f>IF(COUNTIF(data2!$D:$D,D1956)=0,"Missing in Data2","Present")</f>
        <v>Present</v>
      </c>
    </row>
    <row r="1957" spans="1:5" x14ac:dyDescent="0.25">
      <c r="A1957" s="2" t="s">
        <v>2169</v>
      </c>
      <c r="B1957" s="2" t="s">
        <v>2074</v>
      </c>
      <c r="C1957" s="2">
        <v>2</v>
      </c>
      <c r="D1957" t="str">
        <f t="shared" si="30"/>
        <v>CA-2015-114811_TEC-PH-10004165</v>
      </c>
      <c r="E1957" t="str">
        <f>IF(COUNTIF(data2!$D:$D,D1957)=0,"Missing in Data2","Present")</f>
        <v>Present</v>
      </c>
    </row>
    <row r="1958" spans="1:5" x14ac:dyDescent="0.25">
      <c r="A1958" s="2" t="s">
        <v>2172</v>
      </c>
      <c r="B1958" s="2" t="s">
        <v>1192</v>
      </c>
      <c r="C1958" s="2">
        <v>3</v>
      </c>
      <c r="D1958" t="str">
        <f t="shared" si="30"/>
        <v>CA-2015-114923_TEC-PH-10003931</v>
      </c>
      <c r="E1958" t="str">
        <f>IF(COUNTIF(data2!$D:$D,D1958)=0,"Missing in Data2","Present")</f>
        <v>Present</v>
      </c>
    </row>
    <row r="1959" spans="1:5" x14ac:dyDescent="0.25">
      <c r="A1959" s="2" t="s">
        <v>2173</v>
      </c>
      <c r="B1959" s="2" t="s">
        <v>1221</v>
      </c>
      <c r="C1959" s="2">
        <v>2</v>
      </c>
      <c r="D1959" t="str">
        <f t="shared" si="30"/>
        <v>CA-2015-115091_OFF-AP-10000696</v>
      </c>
      <c r="E1959" t="str">
        <f>IF(COUNTIF(data2!$D:$D,D1959)=0,"Missing in Data2","Present")</f>
        <v>Present</v>
      </c>
    </row>
    <row r="1960" spans="1:5" x14ac:dyDescent="0.25">
      <c r="A1960" s="2" t="s">
        <v>2173</v>
      </c>
      <c r="B1960" s="2" t="s">
        <v>1917</v>
      </c>
      <c r="C1960" s="2">
        <v>4</v>
      </c>
      <c r="D1960" t="str">
        <f t="shared" si="30"/>
        <v>CA-2015-115091_OFF-AR-10000658</v>
      </c>
      <c r="E1960" t="str">
        <f>IF(COUNTIF(data2!$D:$D,D1960)=0,"Missing in Data2","Present")</f>
        <v>Present</v>
      </c>
    </row>
    <row r="1961" spans="1:5" x14ac:dyDescent="0.25">
      <c r="A1961" s="2" t="s">
        <v>2174</v>
      </c>
      <c r="B1961" s="2" t="s">
        <v>392</v>
      </c>
      <c r="C1961" s="2">
        <v>2</v>
      </c>
      <c r="D1961" t="str">
        <f t="shared" si="30"/>
        <v>CA-2015-115168_OFF-PA-10000528</v>
      </c>
      <c r="E1961" t="str">
        <f>IF(COUNTIF(data2!$D:$D,D1961)=0,"Missing in Data2","Present")</f>
        <v>Present</v>
      </c>
    </row>
    <row r="1962" spans="1:5" x14ac:dyDescent="0.25">
      <c r="A1962" s="2" t="s">
        <v>2175</v>
      </c>
      <c r="B1962" s="2" t="s">
        <v>419</v>
      </c>
      <c r="C1962" s="2">
        <v>5</v>
      </c>
      <c r="D1962" t="str">
        <f t="shared" si="30"/>
        <v>CA-2015-115392_OFF-BI-10000829</v>
      </c>
      <c r="E1962" t="str">
        <f>IF(COUNTIF(data2!$D:$D,D1962)=0,"Missing in Data2","Present")</f>
        <v>Present</v>
      </c>
    </row>
    <row r="1963" spans="1:5" x14ac:dyDescent="0.25">
      <c r="A1963" s="2" t="s">
        <v>2175</v>
      </c>
      <c r="B1963" s="2" t="s">
        <v>2176</v>
      </c>
      <c r="C1963" s="2">
        <v>2</v>
      </c>
      <c r="D1963" t="str">
        <f t="shared" si="30"/>
        <v>CA-2015-115392_TEC-PH-10002496</v>
      </c>
      <c r="E1963" t="str">
        <f>IF(COUNTIF(data2!$D:$D,D1963)=0,"Missing in Data2","Present")</f>
        <v>Present</v>
      </c>
    </row>
    <row r="1964" spans="1:5" x14ac:dyDescent="0.25">
      <c r="A1964" s="2" t="s">
        <v>2177</v>
      </c>
      <c r="B1964" s="2" t="s">
        <v>2178</v>
      </c>
      <c r="C1964" s="2">
        <v>2</v>
      </c>
      <c r="D1964" t="str">
        <f t="shared" si="30"/>
        <v>CA-2015-115420_OFF-EN-10003862</v>
      </c>
      <c r="E1964" t="str">
        <f>IF(COUNTIF(data2!$D:$D,D1964)=0,"Missing in Data2","Present")</f>
        <v>Present</v>
      </c>
    </row>
    <row r="1965" spans="1:5" x14ac:dyDescent="0.25">
      <c r="A1965" s="2" t="s">
        <v>2179</v>
      </c>
      <c r="B1965" s="2" t="s">
        <v>2180</v>
      </c>
      <c r="C1965" s="2">
        <v>2</v>
      </c>
      <c r="D1965" t="str">
        <f t="shared" si="30"/>
        <v>CA-2015-115511_FUR-BO-10002598</v>
      </c>
      <c r="E1965" t="str">
        <f>IF(COUNTIF(data2!$D:$D,D1965)=0,"Missing in Data2","Present")</f>
        <v>Present</v>
      </c>
    </row>
    <row r="1966" spans="1:5" x14ac:dyDescent="0.25">
      <c r="A1966" s="2" t="s">
        <v>2179</v>
      </c>
      <c r="B1966" s="2" t="s">
        <v>824</v>
      </c>
      <c r="C1966" s="2">
        <v>4</v>
      </c>
      <c r="D1966" t="str">
        <f t="shared" si="30"/>
        <v>CA-2015-115511_OFF-BI-10002225</v>
      </c>
      <c r="E1966" t="str">
        <f>IF(COUNTIF(data2!$D:$D,D1966)=0,"Missing in Data2","Present")</f>
        <v>Present</v>
      </c>
    </row>
    <row r="1967" spans="1:5" x14ac:dyDescent="0.25">
      <c r="A1967" s="2" t="s">
        <v>2181</v>
      </c>
      <c r="B1967" s="2" t="s">
        <v>1430</v>
      </c>
      <c r="C1967" s="2">
        <v>7</v>
      </c>
      <c r="D1967" t="str">
        <f t="shared" si="30"/>
        <v>CA-2015-115567_FUR-CH-10000015</v>
      </c>
      <c r="E1967" t="str">
        <f>IF(COUNTIF(data2!$D:$D,D1967)=0,"Missing in Data2","Present")</f>
        <v>Present</v>
      </c>
    </row>
    <row r="1968" spans="1:5" x14ac:dyDescent="0.25">
      <c r="A1968" s="2" t="s">
        <v>2181</v>
      </c>
      <c r="B1968" s="2" t="s">
        <v>109</v>
      </c>
      <c r="C1968" s="2">
        <v>4</v>
      </c>
      <c r="D1968" t="str">
        <f t="shared" si="30"/>
        <v>CA-2015-115567_TEC-AC-10001314</v>
      </c>
      <c r="E1968" t="str">
        <f>IF(COUNTIF(data2!$D:$D,D1968)=0,"Missing in Data2","Present")</f>
        <v>Present</v>
      </c>
    </row>
    <row r="1969" spans="1:5" x14ac:dyDescent="0.25">
      <c r="A1969" s="2" t="s">
        <v>2182</v>
      </c>
      <c r="B1969" s="2" t="s">
        <v>2183</v>
      </c>
      <c r="C1969" s="2">
        <v>2</v>
      </c>
      <c r="D1969" t="str">
        <f t="shared" si="30"/>
        <v>CA-2015-115693_OFF-AR-10003582</v>
      </c>
      <c r="E1969" t="str">
        <f>IF(COUNTIF(data2!$D:$D,D1969)=0,"Missing in Data2","Present")</f>
        <v>Present</v>
      </c>
    </row>
    <row r="1970" spans="1:5" x14ac:dyDescent="0.25">
      <c r="A1970" s="2" t="s">
        <v>2184</v>
      </c>
      <c r="B1970" s="2" t="s">
        <v>2185</v>
      </c>
      <c r="C1970" s="2">
        <v>1</v>
      </c>
      <c r="D1970" t="str">
        <f t="shared" si="30"/>
        <v>CA-2015-115742_FUR-CH-10003061</v>
      </c>
      <c r="E1970" t="str">
        <f>IF(COUNTIF(data2!$D:$D,D1970)=0,"Missing in Data2","Present")</f>
        <v>Present</v>
      </c>
    </row>
    <row r="1971" spans="1:5" x14ac:dyDescent="0.25">
      <c r="A1971" s="2" t="s">
        <v>2184</v>
      </c>
      <c r="B1971" s="2" t="s">
        <v>456</v>
      </c>
      <c r="C1971" s="2">
        <v>2</v>
      </c>
      <c r="D1971" t="str">
        <f t="shared" si="30"/>
        <v>CA-2015-115742_FUR-FU-10001706</v>
      </c>
      <c r="E1971" t="str">
        <f>IF(COUNTIF(data2!$D:$D,D1971)=0,"Missing in Data2","Present")</f>
        <v>Present</v>
      </c>
    </row>
    <row r="1972" spans="1:5" x14ac:dyDescent="0.25">
      <c r="A1972" s="2" t="s">
        <v>2184</v>
      </c>
      <c r="B1972" s="2" t="s">
        <v>2186</v>
      </c>
      <c r="C1972" s="2">
        <v>6</v>
      </c>
      <c r="D1972" t="str">
        <f t="shared" si="30"/>
        <v>CA-2015-115742_OFF-BI-10004410</v>
      </c>
      <c r="E1972" t="str">
        <f>IF(COUNTIF(data2!$D:$D,D1972)=0,"Missing in Data2","Present")</f>
        <v>Present</v>
      </c>
    </row>
    <row r="1973" spans="1:5" x14ac:dyDescent="0.25">
      <c r="A1973" s="2" t="s">
        <v>2184</v>
      </c>
      <c r="B1973" s="2" t="s">
        <v>557</v>
      </c>
      <c r="C1973" s="2">
        <v>6</v>
      </c>
      <c r="D1973" t="str">
        <f t="shared" si="30"/>
        <v>CA-2015-115742_OFF-LA-10002762</v>
      </c>
      <c r="E1973" t="str">
        <f>IF(COUNTIF(data2!$D:$D,D1973)=0,"Missing in Data2","Present")</f>
        <v>Present</v>
      </c>
    </row>
    <row r="1974" spans="1:5" x14ac:dyDescent="0.25">
      <c r="A1974" s="2" t="s">
        <v>2187</v>
      </c>
      <c r="B1974" s="2" t="s">
        <v>489</v>
      </c>
      <c r="C1974" s="2">
        <v>3</v>
      </c>
      <c r="D1974" t="str">
        <f t="shared" si="30"/>
        <v>CA-2015-115798_FUR-BO-10004467</v>
      </c>
      <c r="E1974" t="str">
        <f>IF(COUNTIF(data2!$D:$D,D1974)=0,"Missing in Data2","Present")</f>
        <v>Present</v>
      </c>
    </row>
    <row r="1975" spans="1:5" x14ac:dyDescent="0.25">
      <c r="A1975" s="2" t="s">
        <v>2187</v>
      </c>
      <c r="B1975" s="2" t="s">
        <v>861</v>
      </c>
      <c r="C1975" s="2">
        <v>7</v>
      </c>
      <c r="D1975" t="str">
        <f t="shared" si="30"/>
        <v>CA-2015-115798_OFF-PA-10001560</v>
      </c>
      <c r="E1975" t="str">
        <f>IF(COUNTIF(data2!$D:$D,D1975)=0,"Missing in Data2","Present")</f>
        <v>Present</v>
      </c>
    </row>
    <row r="1976" spans="1:5" x14ac:dyDescent="0.25">
      <c r="A1976" s="2" t="s">
        <v>2187</v>
      </c>
      <c r="B1976" s="2" t="s">
        <v>350</v>
      </c>
      <c r="C1976" s="2">
        <v>3</v>
      </c>
      <c r="D1976" t="str">
        <f t="shared" si="30"/>
        <v>CA-2015-115798_TEC-PH-10003691</v>
      </c>
      <c r="E1976" t="str">
        <f>IF(COUNTIF(data2!$D:$D,D1976)=0,"Missing in Data2","Present")</f>
        <v>Present</v>
      </c>
    </row>
    <row r="1977" spans="1:5" x14ac:dyDescent="0.25">
      <c r="A1977" s="2" t="s">
        <v>2188</v>
      </c>
      <c r="B1977" s="2" t="s">
        <v>1403</v>
      </c>
      <c r="C1977" s="2">
        <v>2</v>
      </c>
      <c r="D1977" t="str">
        <f t="shared" si="30"/>
        <v>CA-2015-115847_FUR-BO-10003433</v>
      </c>
      <c r="E1977" t="str">
        <f>IF(COUNTIF(data2!$D:$D,D1977)=0,"Missing in Data2","Present")</f>
        <v>Present</v>
      </c>
    </row>
    <row r="1978" spans="1:5" x14ac:dyDescent="0.25">
      <c r="A1978" s="2" t="s">
        <v>2189</v>
      </c>
      <c r="B1978" s="2" t="s">
        <v>2190</v>
      </c>
      <c r="C1978" s="2">
        <v>3</v>
      </c>
      <c r="D1978" t="str">
        <f t="shared" si="30"/>
        <v>CA-2015-115938_FUR-CH-10003199</v>
      </c>
      <c r="E1978" t="str">
        <f>IF(COUNTIF(data2!$D:$D,D1978)=0,"Missing in Data2","Present")</f>
        <v>Present</v>
      </c>
    </row>
    <row r="1979" spans="1:5" x14ac:dyDescent="0.25">
      <c r="A1979" s="2" t="s">
        <v>2189</v>
      </c>
      <c r="B1979" s="2" t="s">
        <v>930</v>
      </c>
      <c r="C1979" s="2">
        <v>8</v>
      </c>
      <c r="D1979" t="str">
        <f t="shared" si="30"/>
        <v>CA-2015-115938_OFF-BI-10001132</v>
      </c>
      <c r="E1979" t="str">
        <f>IF(COUNTIF(data2!$D:$D,D1979)=0,"Missing in Data2","Present")</f>
        <v>Present</v>
      </c>
    </row>
    <row r="1980" spans="1:5" x14ac:dyDescent="0.25">
      <c r="A1980" s="2" t="s">
        <v>2189</v>
      </c>
      <c r="B1980" s="2" t="s">
        <v>1413</v>
      </c>
      <c r="C1980" s="2">
        <v>4</v>
      </c>
      <c r="D1980" t="str">
        <f t="shared" si="30"/>
        <v>CA-2015-115938_OFF-BI-10001543</v>
      </c>
      <c r="E1980" t="str">
        <f>IF(COUNTIF(data2!$D:$D,D1980)=0,"Missing in Data2","Present")</f>
        <v>Present</v>
      </c>
    </row>
    <row r="1981" spans="1:5" x14ac:dyDescent="0.25">
      <c r="A1981" s="2" t="s">
        <v>2191</v>
      </c>
      <c r="B1981" s="2" t="s">
        <v>2192</v>
      </c>
      <c r="C1981" s="2">
        <v>2</v>
      </c>
      <c r="D1981" t="str">
        <f t="shared" si="30"/>
        <v>CA-2015-115945_OFF-AR-10004062</v>
      </c>
      <c r="E1981" t="str">
        <f>IF(COUNTIF(data2!$D:$D,D1981)=0,"Missing in Data2","Present")</f>
        <v>Present</v>
      </c>
    </row>
    <row r="1982" spans="1:5" x14ac:dyDescent="0.25">
      <c r="A1982" s="2" t="s">
        <v>2191</v>
      </c>
      <c r="B1982" s="2" t="s">
        <v>2193</v>
      </c>
      <c r="C1982" s="2">
        <v>3</v>
      </c>
      <c r="D1982" t="str">
        <f t="shared" si="30"/>
        <v>CA-2015-115945_OFF-BI-10004330</v>
      </c>
      <c r="E1982" t="str">
        <f>IF(COUNTIF(data2!$D:$D,D1982)=0,"Missing in Data2","Present")</f>
        <v>Present</v>
      </c>
    </row>
    <row r="1983" spans="1:5" x14ac:dyDescent="0.25">
      <c r="A1983" s="2" t="s">
        <v>2191</v>
      </c>
      <c r="B1983" s="2" t="s">
        <v>251</v>
      </c>
      <c r="C1983" s="2">
        <v>3</v>
      </c>
      <c r="D1983" t="str">
        <f t="shared" si="30"/>
        <v>CA-2015-115945_OFF-ST-10001963</v>
      </c>
      <c r="E1983" t="str">
        <f>IF(COUNTIF(data2!$D:$D,D1983)=0,"Missing in Data2","Present")</f>
        <v>Present</v>
      </c>
    </row>
    <row r="1984" spans="1:5" x14ac:dyDescent="0.25">
      <c r="A1984" s="2" t="s">
        <v>2194</v>
      </c>
      <c r="B1984" s="2" t="s">
        <v>1769</v>
      </c>
      <c r="C1984" s="2">
        <v>6</v>
      </c>
      <c r="D1984" t="str">
        <f t="shared" si="30"/>
        <v>CA-2015-116092_OFF-AP-10001391</v>
      </c>
      <c r="E1984" t="str">
        <f>IF(COUNTIF(data2!$D:$D,D1984)=0,"Missing in Data2","Present")</f>
        <v>Present</v>
      </c>
    </row>
    <row r="1985" spans="1:5" x14ac:dyDescent="0.25">
      <c r="A1985" s="2" t="s">
        <v>2194</v>
      </c>
      <c r="B1985" s="2" t="s">
        <v>1636</v>
      </c>
      <c r="C1985" s="2">
        <v>5</v>
      </c>
      <c r="D1985" t="str">
        <f t="shared" si="30"/>
        <v>CA-2015-116092_OFF-BI-10000546</v>
      </c>
      <c r="E1985" t="str">
        <f>IF(COUNTIF(data2!$D:$D,D1985)=0,"Missing in Data2","Present")</f>
        <v>Present</v>
      </c>
    </row>
    <row r="1986" spans="1:5" x14ac:dyDescent="0.25">
      <c r="A1986" s="2" t="s">
        <v>2194</v>
      </c>
      <c r="B1986" s="2" t="s">
        <v>250</v>
      </c>
      <c r="C1986" s="2">
        <v>3</v>
      </c>
      <c r="D1986" t="str">
        <f t="shared" si="30"/>
        <v>CA-2015-116092_OFF-PA-10000477</v>
      </c>
      <c r="E1986" t="str">
        <f>IF(COUNTIF(data2!$D:$D,D1986)=0,"Missing in Data2","Present")</f>
        <v>Present</v>
      </c>
    </row>
    <row r="1987" spans="1:5" x14ac:dyDescent="0.25">
      <c r="A1987" s="2" t="s">
        <v>2194</v>
      </c>
      <c r="B1987" s="2" t="s">
        <v>1952</v>
      </c>
      <c r="C1987" s="2">
        <v>2</v>
      </c>
      <c r="D1987" t="str">
        <f t="shared" ref="D1987:D2050" si="31">A1987&amp;"_"&amp;B1987</f>
        <v>CA-2015-116092_OFF-PA-10004285</v>
      </c>
      <c r="E1987" t="str">
        <f>IF(COUNTIF(data2!$D:$D,D1987)=0,"Missing in Data2","Present")</f>
        <v>Present</v>
      </c>
    </row>
    <row r="1988" spans="1:5" x14ac:dyDescent="0.25">
      <c r="A1988" s="2" t="s">
        <v>2195</v>
      </c>
      <c r="B1988" s="2" t="s">
        <v>2196</v>
      </c>
      <c r="C1988" s="2">
        <v>2</v>
      </c>
      <c r="D1988" t="str">
        <f t="shared" si="31"/>
        <v>CA-2015-116484_FUR-FU-10002874</v>
      </c>
      <c r="E1988" t="str">
        <f>IF(COUNTIF(data2!$D:$D,D1988)=0,"Missing in Data2","Present")</f>
        <v>Present</v>
      </c>
    </row>
    <row r="1989" spans="1:5" x14ac:dyDescent="0.25">
      <c r="A1989" s="2" t="s">
        <v>2197</v>
      </c>
      <c r="B1989" s="2" t="s">
        <v>487</v>
      </c>
      <c r="C1989" s="2">
        <v>3</v>
      </c>
      <c r="D1989" t="str">
        <f t="shared" si="31"/>
        <v>CA-2015-116512_OFF-ST-10001505</v>
      </c>
      <c r="E1989" t="str">
        <f>IF(COUNTIF(data2!$D:$D,D1989)=0,"Missing in Data2","Present")</f>
        <v>Present</v>
      </c>
    </row>
    <row r="1990" spans="1:5" x14ac:dyDescent="0.25">
      <c r="A1990" s="2" t="s">
        <v>2198</v>
      </c>
      <c r="B1990" s="2" t="s">
        <v>2199</v>
      </c>
      <c r="C1990" s="2">
        <v>13</v>
      </c>
      <c r="D1990" t="str">
        <f t="shared" si="31"/>
        <v>CA-2015-116638_FUR-TA-10000198</v>
      </c>
      <c r="E1990" t="str">
        <f>IF(COUNTIF(data2!$D:$D,D1990)=0,"Missing in Data2","Present")</f>
        <v>Present</v>
      </c>
    </row>
    <row r="1991" spans="1:5" x14ac:dyDescent="0.25">
      <c r="A1991" s="2" t="s">
        <v>2200</v>
      </c>
      <c r="B1991" s="2" t="s">
        <v>172</v>
      </c>
      <c r="C1991" s="2">
        <v>3</v>
      </c>
      <c r="D1991" t="str">
        <f t="shared" si="31"/>
        <v>CA-2015-116687_OFF-LA-10000443</v>
      </c>
      <c r="E1991" t="str">
        <f>IF(COUNTIF(data2!$D:$D,D1991)=0,"Missing in Data2","Present")</f>
        <v>Present</v>
      </c>
    </row>
    <row r="1992" spans="1:5" x14ac:dyDescent="0.25">
      <c r="A1992" s="2" t="s">
        <v>2200</v>
      </c>
      <c r="B1992" s="2" t="s">
        <v>1092</v>
      </c>
      <c r="C1992" s="2">
        <v>3</v>
      </c>
      <c r="D1992" t="str">
        <f t="shared" si="31"/>
        <v>CA-2015-116687_TEC-PH-10001750</v>
      </c>
      <c r="E1992" t="str">
        <f>IF(COUNTIF(data2!$D:$D,D1992)=0,"Missing in Data2","Present")</f>
        <v>Present</v>
      </c>
    </row>
    <row r="1993" spans="1:5" x14ac:dyDescent="0.25">
      <c r="A1993" s="2" t="s">
        <v>2201</v>
      </c>
      <c r="B1993" s="2" t="s">
        <v>569</v>
      </c>
      <c r="C1993" s="2">
        <v>2</v>
      </c>
      <c r="D1993" t="str">
        <f t="shared" si="31"/>
        <v>CA-2015-116750_FUR-FU-10003829</v>
      </c>
      <c r="E1993" t="str">
        <f>IF(COUNTIF(data2!$D:$D,D1993)=0,"Missing in Data2","Present")</f>
        <v>Present</v>
      </c>
    </row>
    <row r="1994" spans="1:5" x14ac:dyDescent="0.25">
      <c r="A1994" s="2" t="s">
        <v>2201</v>
      </c>
      <c r="B1994" s="2" t="s">
        <v>1680</v>
      </c>
      <c r="C1994" s="2">
        <v>5</v>
      </c>
      <c r="D1994" t="str">
        <f t="shared" si="31"/>
        <v>CA-2015-116750_OFF-BI-10004728</v>
      </c>
      <c r="E1994" t="str">
        <f>IF(COUNTIF(data2!$D:$D,D1994)=0,"Missing in Data2","Present")</f>
        <v>Present</v>
      </c>
    </row>
    <row r="1995" spans="1:5" x14ac:dyDescent="0.25">
      <c r="A1995" s="2" t="s">
        <v>2202</v>
      </c>
      <c r="B1995" s="2" t="s">
        <v>1543</v>
      </c>
      <c r="C1995" s="2">
        <v>1</v>
      </c>
      <c r="D1995" t="str">
        <f t="shared" si="31"/>
        <v>CA-2015-116841_OFF-AP-10002403</v>
      </c>
      <c r="E1995" t="str">
        <f>IF(COUNTIF(data2!$D:$D,D1995)=0,"Missing in Data2","Present")</f>
        <v>Present</v>
      </c>
    </row>
    <row r="1996" spans="1:5" x14ac:dyDescent="0.25">
      <c r="A1996" s="2" t="s">
        <v>2203</v>
      </c>
      <c r="B1996" s="2" t="s">
        <v>2204</v>
      </c>
      <c r="C1996" s="2">
        <v>9</v>
      </c>
      <c r="D1996" t="str">
        <f t="shared" si="31"/>
        <v>CA-2015-116876_OFF-BI-10002897</v>
      </c>
      <c r="E1996" t="str">
        <f>IF(COUNTIF(data2!$D:$D,D1996)=0,"Missing in Data2","Present")</f>
        <v>Present</v>
      </c>
    </row>
    <row r="1997" spans="1:5" x14ac:dyDescent="0.25">
      <c r="A1997" s="2" t="s">
        <v>2203</v>
      </c>
      <c r="B1997" s="2" t="s">
        <v>1486</v>
      </c>
      <c r="C1997" s="2">
        <v>1</v>
      </c>
      <c r="D1997" t="str">
        <f t="shared" si="31"/>
        <v>CA-2015-116876_TEC-PH-10002584</v>
      </c>
      <c r="E1997" t="str">
        <f>IF(COUNTIF(data2!$D:$D,D1997)=0,"Missing in Data2","Present")</f>
        <v>Present</v>
      </c>
    </row>
    <row r="1998" spans="1:5" x14ac:dyDescent="0.25">
      <c r="A1998" s="2" t="s">
        <v>2205</v>
      </c>
      <c r="B1998" s="2" t="s">
        <v>2206</v>
      </c>
      <c r="C1998" s="2">
        <v>5</v>
      </c>
      <c r="D1998" t="str">
        <f t="shared" si="31"/>
        <v>CA-2015-117086_FUR-BO-10004834</v>
      </c>
      <c r="E1998" t="str">
        <f>IF(COUNTIF(data2!$D:$D,D1998)=0,"Missing in Data2","Present")</f>
        <v>Missing in Data2</v>
      </c>
    </row>
    <row r="1999" spans="1:5" x14ac:dyDescent="0.25">
      <c r="A1999" s="2" t="s">
        <v>2207</v>
      </c>
      <c r="B1999" s="2" t="s">
        <v>1533</v>
      </c>
      <c r="C1999" s="2">
        <v>3</v>
      </c>
      <c r="D1999" t="str">
        <f t="shared" si="31"/>
        <v>CA-2015-117415_FUR-BO-10002545</v>
      </c>
      <c r="E1999" t="str">
        <f>IF(COUNTIF(data2!$D:$D,D1999)=0,"Missing in Data2","Present")</f>
        <v>Present</v>
      </c>
    </row>
    <row r="2000" spans="1:5" x14ac:dyDescent="0.25">
      <c r="A2000" s="2" t="s">
        <v>2207</v>
      </c>
      <c r="B2000" s="2" t="s">
        <v>1050</v>
      </c>
      <c r="C2000" s="2">
        <v>3</v>
      </c>
      <c r="D2000" t="str">
        <f t="shared" si="31"/>
        <v>CA-2015-117415_FUR-CH-10004218</v>
      </c>
      <c r="E2000" t="str">
        <f>IF(COUNTIF(data2!$D:$D,D2000)=0,"Missing in Data2","Present")</f>
        <v>Present</v>
      </c>
    </row>
    <row r="2001" spans="1:5" x14ac:dyDescent="0.25">
      <c r="A2001" s="2" t="s">
        <v>2207</v>
      </c>
      <c r="B2001" s="2" t="s">
        <v>2208</v>
      </c>
      <c r="C2001" s="2">
        <v>9</v>
      </c>
      <c r="D2001" t="str">
        <f t="shared" si="31"/>
        <v>CA-2015-117415_OFF-EN-10002986</v>
      </c>
      <c r="E2001" t="str">
        <f>IF(COUNTIF(data2!$D:$D,D2001)=0,"Missing in Data2","Present")</f>
        <v>Present</v>
      </c>
    </row>
    <row r="2002" spans="1:5" x14ac:dyDescent="0.25">
      <c r="A2002" s="2" t="s">
        <v>2207</v>
      </c>
      <c r="B2002" s="2" t="s">
        <v>1173</v>
      </c>
      <c r="C2002" s="2">
        <v>4</v>
      </c>
      <c r="D2002" t="str">
        <f t="shared" si="31"/>
        <v>CA-2015-117415_TEC-PH-10000486</v>
      </c>
      <c r="E2002" t="str">
        <f>IF(COUNTIF(data2!$D:$D,D2002)=0,"Missing in Data2","Present")</f>
        <v>Present</v>
      </c>
    </row>
    <row r="2003" spans="1:5" x14ac:dyDescent="0.25">
      <c r="A2003" s="2" t="s">
        <v>2209</v>
      </c>
      <c r="B2003" s="2" t="s">
        <v>913</v>
      </c>
      <c r="C2003" s="2">
        <v>1</v>
      </c>
      <c r="D2003" t="str">
        <f t="shared" si="31"/>
        <v>CA-2015-117611_OFF-FA-10002280</v>
      </c>
      <c r="E2003" t="str">
        <f>IF(COUNTIF(data2!$D:$D,D2003)=0,"Missing in Data2","Present")</f>
        <v>Present</v>
      </c>
    </row>
    <row r="2004" spans="1:5" x14ac:dyDescent="0.25">
      <c r="A2004" s="2" t="s">
        <v>2209</v>
      </c>
      <c r="B2004" s="2" t="s">
        <v>1053</v>
      </c>
      <c r="C2004" s="2">
        <v>3</v>
      </c>
      <c r="D2004" t="str">
        <f t="shared" si="31"/>
        <v>CA-2015-117611_TEC-AC-10002049</v>
      </c>
      <c r="E2004" t="str">
        <f>IF(COUNTIF(data2!$D:$D,D2004)=0,"Missing in Data2","Present")</f>
        <v>Present</v>
      </c>
    </row>
    <row r="2005" spans="1:5" x14ac:dyDescent="0.25">
      <c r="A2005" s="2" t="s">
        <v>2210</v>
      </c>
      <c r="B2005" s="2" t="s">
        <v>2211</v>
      </c>
      <c r="C2005" s="2">
        <v>6</v>
      </c>
      <c r="D2005" t="str">
        <f t="shared" si="31"/>
        <v>CA-2015-117772_OFF-ST-10003994</v>
      </c>
      <c r="E2005" t="str">
        <f>IF(COUNTIF(data2!$D:$D,D2005)=0,"Missing in Data2","Present")</f>
        <v>Present</v>
      </c>
    </row>
    <row r="2006" spans="1:5" x14ac:dyDescent="0.25">
      <c r="A2006" s="2" t="s">
        <v>2212</v>
      </c>
      <c r="B2006" s="2" t="s">
        <v>2213</v>
      </c>
      <c r="C2006" s="2">
        <v>3</v>
      </c>
      <c r="D2006" t="str">
        <f t="shared" si="31"/>
        <v>CA-2015-117800_FUR-CH-10000785</v>
      </c>
      <c r="E2006" t="str">
        <f>IF(COUNTIF(data2!$D:$D,D2006)=0,"Missing in Data2","Present")</f>
        <v>Present</v>
      </c>
    </row>
    <row r="2007" spans="1:5" x14ac:dyDescent="0.25">
      <c r="A2007" s="2" t="s">
        <v>2212</v>
      </c>
      <c r="B2007" s="2" t="s">
        <v>1566</v>
      </c>
      <c r="C2007" s="2">
        <v>2</v>
      </c>
      <c r="D2007" t="str">
        <f t="shared" si="31"/>
        <v>CA-2015-117800_TEC-PH-10002415</v>
      </c>
      <c r="E2007" t="str">
        <f>IF(COUNTIF(data2!$D:$D,D2007)=0,"Missing in Data2","Present")</f>
        <v>Present</v>
      </c>
    </row>
    <row r="2008" spans="1:5" x14ac:dyDescent="0.25">
      <c r="A2008" s="2" t="s">
        <v>2214</v>
      </c>
      <c r="B2008" s="2" t="s">
        <v>675</v>
      </c>
      <c r="C2008" s="2">
        <v>4</v>
      </c>
      <c r="D2008" t="str">
        <f t="shared" si="31"/>
        <v>CA-2015-117828_OFF-AP-10001563</v>
      </c>
      <c r="E2008" t="str">
        <f>IF(COUNTIF(data2!$D:$D,D2008)=0,"Missing in Data2","Present")</f>
        <v>Present</v>
      </c>
    </row>
    <row r="2009" spans="1:5" x14ac:dyDescent="0.25">
      <c r="A2009" s="2" t="s">
        <v>2215</v>
      </c>
      <c r="B2009" s="2" t="s">
        <v>2216</v>
      </c>
      <c r="C2009" s="2">
        <v>9</v>
      </c>
      <c r="D2009" t="str">
        <f t="shared" si="31"/>
        <v>CA-2015-117884_OFF-ST-10002182</v>
      </c>
      <c r="E2009" t="str">
        <f>IF(COUNTIF(data2!$D:$D,D2009)=0,"Missing in Data2","Present")</f>
        <v>Present</v>
      </c>
    </row>
    <row r="2010" spans="1:5" x14ac:dyDescent="0.25">
      <c r="A2010" s="2" t="s">
        <v>2215</v>
      </c>
      <c r="B2010" s="2" t="s">
        <v>710</v>
      </c>
      <c r="C2010" s="2">
        <v>7</v>
      </c>
      <c r="D2010" t="str">
        <f t="shared" si="31"/>
        <v>CA-2015-117884_TEC-AC-10002567</v>
      </c>
      <c r="E2010" t="str">
        <f>IF(COUNTIF(data2!$D:$D,D2010)=0,"Missing in Data2","Present")</f>
        <v>Present</v>
      </c>
    </row>
    <row r="2011" spans="1:5" x14ac:dyDescent="0.25">
      <c r="A2011" s="2" t="s">
        <v>2217</v>
      </c>
      <c r="B2011" s="2" t="s">
        <v>9</v>
      </c>
      <c r="C2011" s="2">
        <v>3</v>
      </c>
      <c r="D2011" t="str">
        <f t="shared" si="31"/>
        <v>CA-2015-117961_OFF-BI-10000343</v>
      </c>
      <c r="E2011" t="str">
        <f>IF(COUNTIF(data2!$D:$D,D2011)=0,"Missing in Data2","Present")</f>
        <v>Present</v>
      </c>
    </row>
    <row r="2012" spans="1:5" x14ac:dyDescent="0.25">
      <c r="A2012" s="2" t="s">
        <v>2217</v>
      </c>
      <c r="B2012" s="2" t="s">
        <v>2040</v>
      </c>
      <c r="C2012" s="2">
        <v>4</v>
      </c>
      <c r="D2012" t="str">
        <f t="shared" si="31"/>
        <v>CA-2015-117961_OFF-BI-10003707</v>
      </c>
      <c r="E2012" t="str">
        <f>IF(COUNTIF(data2!$D:$D,D2012)=0,"Missing in Data2","Present")</f>
        <v>Present</v>
      </c>
    </row>
    <row r="2013" spans="1:5" x14ac:dyDescent="0.25">
      <c r="A2013" s="2" t="s">
        <v>2217</v>
      </c>
      <c r="B2013" s="2" t="s">
        <v>2218</v>
      </c>
      <c r="C2013" s="2">
        <v>3</v>
      </c>
      <c r="D2013" t="str">
        <f t="shared" si="31"/>
        <v>CA-2015-117961_OFF-PA-10001274</v>
      </c>
      <c r="E2013" t="str">
        <f>IF(COUNTIF(data2!$D:$D,D2013)=0,"Missing in Data2","Present")</f>
        <v>Present</v>
      </c>
    </row>
    <row r="2014" spans="1:5" x14ac:dyDescent="0.25">
      <c r="A2014" s="2" t="s">
        <v>2217</v>
      </c>
      <c r="B2014" s="2" t="s">
        <v>2144</v>
      </c>
      <c r="C2014" s="2">
        <v>5</v>
      </c>
      <c r="D2014" t="str">
        <f t="shared" si="31"/>
        <v>CA-2015-117961_OFF-ST-10001172</v>
      </c>
      <c r="E2014" t="str">
        <f>IF(COUNTIF(data2!$D:$D,D2014)=0,"Missing in Data2","Present")</f>
        <v>Present</v>
      </c>
    </row>
    <row r="2015" spans="1:5" x14ac:dyDescent="0.25">
      <c r="A2015" s="2" t="s">
        <v>2219</v>
      </c>
      <c r="B2015" s="2" t="s">
        <v>1693</v>
      </c>
      <c r="C2015" s="2">
        <v>1</v>
      </c>
      <c r="D2015" t="str">
        <f t="shared" si="31"/>
        <v>CA-2015-118227_OFF-AR-10001044</v>
      </c>
      <c r="E2015" t="str">
        <f>IF(COUNTIF(data2!$D:$D,D2015)=0,"Missing in Data2","Present")</f>
        <v>Present</v>
      </c>
    </row>
    <row r="2016" spans="1:5" x14ac:dyDescent="0.25">
      <c r="A2016" s="2" t="s">
        <v>2220</v>
      </c>
      <c r="B2016" s="2" t="s">
        <v>1049</v>
      </c>
      <c r="C2016" s="2">
        <v>3</v>
      </c>
      <c r="D2016" t="str">
        <f t="shared" si="31"/>
        <v>CA-2015-118423_FUR-BO-10000362</v>
      </c>
      <c r="E2016" t="str">
        <f>IF(COUNTIF(data2!$D:$D,D2016)=0,"Missing in Data2","Present")</f>
        <v>Present</v>
      </c>
    </row>
    <row r="2017" spans="1:5" x14ac:dyDescent="0.25">
      <c r="A2017" s="2" t="s">
        <v>2221</v>
      </c>
      <c r="B2017" s="2" t="s">
        <v>754</v>
      </c>
      <c r="C2017" s="2">
        <v>4</v>
      </c>
      <c r="D2017" t="str">
        <f t="shared" si="31"/>
        <v>CA-2015-118444_OFF-AP-10000576</v>
      </c>
      <c r="E2017" t="str">
        <f>IF(COUNTIF(data2!$D:$D,D2017)=0,"Missing in Data2","Present")</f>
        <v>Present</v>
      </c>
    </row>
    <row r="2018" spans="1:5" x14ac:dyDescent="0.25">
      <c r="A2018" s="2" t="s">
        <v>2222</v>
      </c>
      <c r="B2018" s="2" t="s">
        <v>752</v>
      </c>
      <c r="C2018" s="2">
        <v>7</v>
      </c>
      <c r="D2018" t="str">
        <f t="shared" si="31"/>
        <v>CA-2015-118738_FUR-TA-10002607</v>
      </c>
      <c r="E2018" t="str">
        <f>IF(COUNTIF(data2!$D:$D,D2018)=0,"Missing in Data2","Present")</f>
        <v>Present</v>
      </c>
    </row>
    <row r="2019" spans="1:5" x14ac:dyDescent="0.25">
      <c r="A2019" s="2" t="s">
        <v>2222</v>
      </c>
      <c r="B2019" s="2" t="s">
        <v>1378</v>
      </c>
      <c r="C2019" s="2">
        <v>2</v>
      </c>
      <c r="D2019" t="str">
        <f t="shared" si="31"/>
        <v>CA-2015-118738_OFF-PA-10001166</v>
      </c>
      <c r="E2019" t="str">
        <f>IF(COUNTIF(data2!$D:$D,D2019)=0,"Missing in Data2","Present")</f>
        <v>Present</v>
      </c>
    </row>
    <row r="2020" spans="1:5" x14ac:dyDescent="0.25">
      <c r="A2020" s="2" t="s">
        <v>2222</v>
      </c>
      <c r="B2020" s="2" t="s">
        <v>1158</v>
      </c>
      <c r="C2020" s="2">
        <v>3</v>
      </c>
      <c r="D2020" t="str">
        <f t="shared" si="31"/>
        <v>CA-2015-118738_OFF-PA-10003177</v>
      </c>
      <c r="E2020" t="str">
        <f>IF(COUNTIF(data2!$D:$D,D2020)=0,"Missing in Data2","Present")</f>
        <v>Present</v>
      </c>
    </row>
    <row r="2021" spans="1:5" x14ac:dyDescent="0.25">
      <c r="A2021" s="2" t="s">
        <v>2223</v>
      </c>
      <c r="B2021" s="2" t="s">
        <v>1238</v>
      </c>
      <c r="C2021" s="2">
        <v>3</v>
      </c>
      <c r="D2021" t="str">
        <f t="shared" si="31"/>
        <v>CA-2015-118843_FUR-FU-10003975</v>
      </c>
      <c r="E2021" t="str">
        <f>IF(COUNTIF(data2!$D:$D,D2021)=0,"Missing in Data2","Present")</f>
        <v>Present</v>
      </c>
    </row>
    <row r="2022" spans="1:5" x14ac:dyDescent="0.25">
      <c r="A2022" s="2" t="s">
        <v>2223</v>
      </c>
      <c r="B2022" s="2" t="s">
        <v>138</v>
      </c>
      <c r="C2022" s="2">
        <v>7</v>
      </c>
      <c r="D2022" t="str">
        <f t="shared" si="31"/>
        <v>CA-2015-118843_OFF-PA-10001712</v>
      </c>
      <c r="E2022" t="str">
        <f>IF(COUNTIF(data2!$D:$D,D2022)=0,"Missing in Data2","Present")</f>
        <v>Present</v>
      </c>
    </row>
    <row r="2023" spans="1:5" x14ac:dyDescent="0.25">
      <c r="A2023" s="2" t="s">
        <v>2224</v>
      </c>
      <c r="B2023" s="2" t="s">
        <v>612</v>
      </c>
      <c r="C2023" s="2">
        <v>5</v>
      </c>
      <c r="D2023" t="str">
        <f t="shared" si="31"/>
        <v>CA-2015-118871_FUR-FU-10002111</v>
      </c>
      <c r="E2023" t="str">
        <f>IF(COUNTIF(data2!$D:$D,D2023)=0,"Missing in Data2","Present")</f>
        <v>Present</v>
      </c>
    </row>
    <row r="2024" spans="1:5" x14ac:dyDescent="0.25">
      <c r="A2024" s="2" t="s">
        <v>2224</v>
      </c>
      <c r="B2024" s="2" t="s">
        <v>2027</v>
      </c>
      <c r="C2024" s="2">
        <v>3</v>
      </c>
      <c r="D2024" t="str">
        <f t="shared" si="31"/>
        <v>CA-2015-118871_OFF-EN-10003296</v>
      </c>
      <c r="E2024" t="str">
        <f>IF(COUNTIF(data2!$D:$D,D2024)=0,"Missing in Data2","Present")</f>
        <v>Present</v>
      </c>
    </row>
    <row r="2025" spans="1:5" x14ac:dyDescent="0.25">
      <c r="A2025" s="2" t="s">
        <v>2224</v>
      </c>
      <c r="B2025" s="2" t="s">
        <v>2225</v>
      </c>
      <c r="C2025" s="2">
        <v>3</v>
      </c>
      <c r="D2025" t="str">
        <f t="shared" si="31"/>
        <v>CA-2015-118871_TEC-PH-10000193</v>
      </c>
      <c r="E2025" t="str">
        <f>IF(COUNTIF(data2!$D:$D,D2025)=0,"Missing in Data2","Present")</f>
        <v>Present</v>
      </c>
    </row>
    <row r="2026" spans="1:5" x14ac:dyDescent="0.25">
      <c r="A2026" s="2" t="s">
        <v>2226</v>
      </c>
      <c r="B2026" s="2" t="s">
        <v>2227</v>
      </c>
      <c r="C2026" s="2">
        <v>3</v>
      </c>
      <c r="D2026" t="str">
        <f t="shared" si="31"/>
        <v>CA-2015-118948_OFF-AR-10001547</v>
      </c>
      <c r="E2026" t="str">
        <f>IF(COUNTIF(data2!$D:$D,D2026)=0,"Missing in Data2","Present")</f>
        <v>Present</v>
      </c>
    </row>
    <row r="2027" spans="1:5" x14ac:dyDescent="0.25">
      <c r="A2027" s="2" t="s">
        <v>2228</v>
      </c>
      <c r="B2027" s="2" t="s">
        <v>2229</v>
      </c>
      <c r="C2027" s="2">
        <v>2</v>
      </c>
      <c r="D2027" t="str">
        <f t="shared" si="31"/>
        <v>CA-2015-118955_FUR-CH-10001708</v>
      </c>
      <c r="E2027" t="str">
        <f>IF(COUNTIF(data2!$D:$D,D2027)=0,"Missing in Data2","Present")</f>
        <v>Present</v>
      </c>
    </row>
    <row r="2028" spans="1:5" x14ac:dyDescent="0.25">
      <c r="A2028" s="2" t="s">
        <v>2228</v>
      </c>
      <c r="B2028" s="2" t="s">
        <v>2230</v>
      </c>
      <c r="C2028" s="2">
        <v>3</v>
      </c>
      <c r="D2028" t="str">
        <f t="shared" si="31"/>
        <v>CA-2015-118955_OFF-EN-10001028</v>
      </c>
      <c r="E2028" t="str">
        <f>IF(COUNTIF(data2!$D:$D,D2028)=0,"Missing in Data2","Present")</f>
        <v>Present</v>
      </c>
    </row>
    <row r="2029" spans="1:5" x14ac:dyDescent="0.25">
      <c r="A2029" s="2" t="s">
        <v>2231</v>
      </c>
      <c r="B2029" s="2" t="s">
        <v>1772</v>
      </c>
      <c r="C2029" s="2">
        <v>3</v>
      </c>
      <c r="D2029" t="str">
        <f t="shared" si="31"/>
        <v>CA-2015-119102_OFF-ST-10004507</v>
      </c>
      <c r="E2029" t="str">
        <f>IF(COUNTIF(data2!$D:$D,D2029)=0,"Missing in Data2","Present")</f>
        <v>Present</v>
      </c>
    </row>
    <row r="2030" spans="1:5" x14ac:dyDescent="0.25">
      <c r="A2030" s="2" t="s">
        <v>2232</v>
      </c>
      <c r="B2030" s="2" t="s">
        <v>2233</v>
      </c>
      <c r="C2030" s="2">
        <v>2</v>
      </c>
      <c r="D2030" t="str">
        <f t="shared" si="31"/>
        <v>CA-2015-119214_OFF-LA-10003077</v>
      </c>
      <c r="E2030" t="str">
        <f>IF(COUNTIF(data2!$D:$D,D2030)=0,"Missing in Data2","Present")</f>
        <v>Present</v>
      </c>
    </row>
    <row r="2031" spans="1:5" x14ac:dyDescent="0.25">
      <c r="A2031" s="2" t="s">
        <v>2232</v>
      </c>
      <c r="B2031" s="2" t="s">
        <v>936</v>
      </c>
      <c r="C2031" s="2">
        <v>3</v>
      </c>
      <c r="D2031" t="str">
        <f t="shared" si="31"/>
        <v>CA-2015-119214_OFF-PA-10002893</v>
      </c>
      <c r="E2031" t="str">
        <f>IF(COUNTIF(data2!$D:$D,D2031)=0,"Missing in Data2","Present")</f>
        <v>Present</v>
      </c>
    </row>
    <row r="2032" spans="1:5" x14ac:dyDescent="0.25">
      <c r="A2032" s="2" t="s">
        <v>2234</v>
      </c>
      <c r="B2032" s="2" t="s">
        <v>2235</v>
      </c>
      <c r="C2032" s="2">
        <v>1</v>
      </c>
      <c r="D2032" t="str">
        <f t="shared" si="31"/>
        <v>CA-2015-119291_OFF-AR-10001118</v>
      </c>
      <c r="E2032" t="str">
        <f>IF(COUNTIF(data2!$D:$D,D2032)=0,"Missing in Data2","Present")</f>
        <v>Present</v>
      </c>
    </row>
    <row r="2033" spans="1:5" x14ac:dyDescent="0.25">
      <c r="A2033" s="2" t="s">
        <v>2234</v>
      </c>
      <c r="B2033" s="2" t="s">
        <v>1700</v>
      </c>
      <c r="C2033" s="2">
        <v>8</v>
      </c>
      <c r="D2033" t="str">
        <f t="shared" si="31"/>
        <v>CA-2015-119291_OFF-AR-10003373</v>
      </c>
      <c r="E2033" t="str">
        <f>IF(COUNTIF(data2!$D:$D,D2033)=0,"Missing in Data2","Present")</f>
        <v>Present</v>
      </c>
    </row>
    <row r="2034" spans="1:5" x14ac:dyDescent="0.25">
      <c r="A2034" s="2" t="s">
        <v>2234</v>
      </c>
      <c r="B2034" s="2" t="s">
        <v>274</v>
      </c>
      <c r="C2034" s="2">
        <v>3</v>
      </c>
      <c r="D2034" t="str">
        <f t="shared" si="31"/>
        <v>CA-2015-119291_OFF-BI-10001982</v>
      </c>
      <c r="E2034" t="str">
        <f>IF(COUNTIF(data2!$D:$D,D2034)=0,"Missing in Data2","Present")</f>
        <v>Missing in Data2</v>
      </c>
    </row>
    <row r="2035" spans="1:5" x14ac:dyDescent="0.25">
      <c r="A2035" s="2" t="s">
        <v>2234</v>
      </c>
      <c r="B2035" s="2" t="s">
        <v>2236</v>
      </c>
      <c r="C2035" s="2">
        <v>7</v>
      </c>
      <c r="D2035" t="str">
        <f t="shared" si="31"/>
        <v>CA-2015-119291_OFF-EN-10000927</v>
      </c>
      <c r="E2035" t="str">
        <f>IF(COUNTIF(data2!$D:$D,D2035)=0,"Missing in Data2","Present")</f>
        <v>Present</v>
      </c>
    </row>
    <row r="2036" spans="1:5" x14ac:dyDescent="0.25">
      <c r="A2036" s="2" t="s">
        <v>2234</v>
      </c>
      <c r="B2036" s="2" t="s">
        <v>1044</v>
      </c>
      <c r="C2036" s="2">
        <v>4</v>
      </c>
      <c r="D2036" t="str">
        <f t="shared" si="31"/>
        <v>CA-2015-119291_OFF-LA-10002312</v>
      </c>
      <c r="E2036" t="str">
        <f>IF(COUNTIF(data2!$D:$D,D2036)=0,"Missing in Data2","Present")</f>
        <v>Present</v>
      </c>
    </row>
    <row r="2037" spans="1:5" x14ac:dyDescent="0.25">
      <c r="A2037" s="2" t="s">
        <v>2234</v>
      </c>
      <c r="B2037" s="2" t="s">
        <v>1125</v>
      </c>
      <c r="C2037" s="2">
        <v>4</v>
      </c>
      <c r="D2037" t="str">
        <f t="shared" si="31"/>
        <v>CA-2015-119291_OFF-LA-10003510</v>
      </c>
      <c r="E2037" t="str">
        <f>IF(COUNTIF(data2!$D:$D,D2037)=0,"Missing in Data2","Present")</f>
        <v>Present</v>
      </c>
    </row>
    <row r="2038" spans="1:5" x14ac:dyDescent="0.25">
      <c r="A2038" s="2" t="s">
        <v>2237</v>
      </c>
      <c r="B2038" s="2" t="s">
        <v>2238</v>
      </c>
      <c r="C2038" s="2">
        <v>3</v>
      </c>
      <c r="D2038" t="str">
        <f t="shared" si="31"/>
        <v>CA-2015-119480_OFF-AP-10001205</v>
      </c>
      <c r="E2038" t="str">
        <f>IF(COUNTIF(data2!$D:$D,D2038)=0,"Missing in Data2","Present")</f>
        <v>Present</v>
      </c>
    </row>
    <row r="2039" spans="1:5" x14ac:dyDescent="0.25">
      <c r="A2039" s="2" t="s">
        <v>2237</v>
      </c>
      <c r="B2039" s="2" t="s">
        <v>2239</v>
      </c>
      <c r="C2039" s="2">
        <v>2</v>
      </c>
      <c r="D2039" t="str">
        <f t="shared" si="31"/>
        <v>CA-2015-119480_OFF-AR-10004691</v>
      </c>
      <c r="E2039" t="str">
        <f>IF(COUNTIF(data2!$D:$D,D2039)=0,"Missing in Data2","Present")</f>
        <v>Present</v>
      </c>
    </row>
    <row r="2040" spans="1:5" x14ac:dyDescent="0.25">
      <c r="A2040" s="2" t="s">
        <v>2237</v>
      </c>
      <c r="B2040" s="2" t="s">
        <v>433</v>
      </c>
      <c r="C2040" s="2">
        <v>3</v>
      </c>
      <c r="D2040" t="str">
        <f t="shared" si="31"/>
        <v>CA-2015-119480_OFF-PA-10000474</v>
      </c>
      <c r="E2040" t="str">
        <f>IF(COUNTIF(data2!$D:$D,D2040)=0,"Missing in Data2","Present")</f>
        <v>Present</v>
      </c>
    </row>
    <row r="2041" spans="1:5" x14ac:dyDescent="0.25">
      <c r="A2041" s="2" t="s">
        <v>2237</v>
      </c>
      <c r="B2041" s="2" t="s">
        <v>2240</v>
      </c>
      <c r="C2041" s="2">
        <v>5</v>
      </c>
      <c r="D2041" t="str">
        <f t="shared" si="31"/>
        <v>CA-2015-119480_OFF-PA-10004996</v>
      </c>
      <c r="E2041" t="str">
        <f>IF(COUNTIF(data2!$D:$D,D2041)=0,"Missing in Data2","Present")</f>
        <v>Present</v>
      </c>
    </row>
    <row r="2042" spans="1:5" x14ac:dyDescent="0.25">
      <c r="A2042" s="2" t="s">
        <v>2241</v>
      </c>
      <c r="B2042" s="2" t="s">
        <v>461</v>
      </c>
      <c r="C2042" s="2">
        <v>6</v>
      </c>
      <c r="D2042" t="str">
        <f t="shared" si="31"/>
        <v>CA-2015-119508_FUR-FU-10004270</v>
      </c>
      <c r="E2042" t="str">
        <f>IF(COUNTIF(data2!$D:$D,D2042)=0,"Missing in Data2","Present")</f>
        <v>Present</v>
      </c>
    </row>
    <row r="2043" spans="1:5" x14ac:dyDescent="0.25">
      <c r="A2043" s="2" t="s">
        <v>2241</v>
      </c>
      <c r="B2043" s="2" t="s">
        <v>1568</v>
      </c>
      <c r="C2043" s="2">
        <v>5</v>
      </c>
      <c r="D2043" t="str">
        <f t="shared" si="31"/>
        <v>CA-2015-119508_OFF-AR-10003723</v>
      </c>
      <c r="E2043" t="str">
        <f>IF(COUNTIF(data2!$D:$D,D2043)=0,"Missing in Data2","Present")</f>
        <v>Missing in Data2</v>
      </c>
    </row>
    <row r="2044" spans="1:5" x14ac:dyDescent="0.25">
      <c r="A2044" s="2" t="s">
        <v>2242</v>
      </c>
      <c r="B2044" s="2" t="s">
        <v>2243</v>
      </c>
      <c r="C2044" s="2">
        <v>3</v>
      </c>
      <c r="D2044" t="str">
        <f t="shared" si="31"/>
        <v>CA-2015-119550_FUR-CH-10002044</v>
      </c>
      <c r="E2044" t="str">
        <f>IF(COUNTIF(data2!$D:$D,D2044)=0,"Missing in Data2","Present")</f>
        <v>Present</v>
      </c>
    </row>
    <row r="2045" spans="1:5" x14ac:dyDescent="0.25">
      <c r="A2045" s="2" t="s">
        <v>2244</v>
      </c>
      <c r="B2045" s="2" t="s">
        <v>1655</v>
      </c>
      <c r="C2045" s="2">
        <v>2</v>
      </c>
      <c r="D2045" t="str">
        <f t="shared" si="31"/>
        <v>CA-2015-119592_OFF-BI-10004187</v>
      </c>
      <c r="E2045" t="str">
        <f>IF(COUNTIF(data2!$D:$D,D2045)=0,"Missing in Data2","Present")</f>
        <v>Present</v>
      </c>
    </row>
    <row r="2046" spans="1:5" x14ac:dyDescent="0.25">
      <c r="A2046" s="2" t="s">
        <v>2245</v>
      </c>
      <c r="B2046" s="2" t="s">
        <v>1785</v>
      </c>
      <c r="C2046" s="2">
        <v>7</v>
      </c>
      <c r="D2046" t="str">
        <f t="shared" si="31"/>
        <v>CA-2015-119627_OFF-PA-10001937</v>
      </c>
      <c r="E2046" t="str">
        <f>IF(COUNTIF(data2!$D:$D,D2046)=0,"Missing in Data2","Present")</f>
        <v>Present</v>
      </c>
    </row>
    <row r="2047" spans="1:5" x14ac:dyDescent="0.25">
      <c r="A2047" s="2" t="s">
        <v>2246</v>
      </c>
      <c r="B2047" s="2" t="s">
        <v>461</v>
      </c>
      <c r="C2047" s="2">
        <v>3</v>
      </c>
      <c r="D2047" t="str">
        <f t="shared" si="31"/>
        <v>CA-2015-119634_FUR-FU-10004270</v>
      </c>
      <c r="E2047" t="str">
        <f>IF(COUNTIF(data2!$D:$D,D2047)=0,"Missing in Data2","Present")</f>
        <v>Present</v>
      </c>
    </row>
    <row r="2048" spans="1:5" x14ac:dyDescent="0.25">
      <c r="A2048" s="2" t="s">
        <v>2247</v>
      </c>
      <c r="B2048" s="2" t="s">
        <v>709</v>
      </c>
      <c r="C2048" s="2">
        <v>9</v>
      </c>
      <c r="D2048" t="str">
        <f t="shared" si="31"/>
        <v>CA-2015-119690_FUR-FU-10004587</v>
      </c>
      <c r="E2048" t="str">
        <f>IF(COUNTIF(data2!$D:$D,D2048)=0,"Missing in Data2","Present")</f>
        <v>Present</v>
      </c>
    </row>
    <row r="2049" spans="1:5" x14ac:dyDescent="0.25">
      <c r="A2049" s="2" t="s">
        <v>2247</v>
      </c>
      <c r="B2049" s="2" t="s">
        <v>1384</v>
      </c>
      <c r="C2049" s="2">
        <v>2</v>
      </c>
      <c r="D2049" t="str">
        <f t="shared" si="31"/>
        <v>CA-2015-119690_OFF-BI-10000201</v>
      </c>
      <c r="E2049" t="str">
        <f>IF(COUNTIF(data2!$D:$D,D2049)=0,"Missing in Data2","Present")</f>
        <v>Present</v>
      </c>
    </row>
    <row r="2050" spans="1:5" x14ac:dyDescent="0.25">
      <c r="A2050" s="2" t="s">
        <v>2247</v>
      </c>
      <c r="B2050" s="2" t="s">
        <v>776</v>
      </c>
      <c r="C2050" s="2">
        <v>2</v>
      </c>
      <c r="D2050" t="str">
        <f t="shared" si="31"/>
        <v>CA-2015-119690_OFF-LA-10001613</v>
      </c>
      <c r="E2050" t="str">
        <f>IF(COUNTIF(data2!$D:$D,D2050)=0,"Missing in Data2","Present")</f>
        <v>Present</v>
      </c>
    </row>
    <row r="2051" spans="1:5" x14ac:dyDescent="0.25">
      <c r="A2051" s="2" t="s">
        <v>2247</v>
      </c>
      <c r="B2051" s="2" t="s">
        <v>802</v>
      </c>
      <c r="C2051" s="2">
        <v>3</v>
      </c>
      <c r="D2051" t="str">
        <f t="shared" ref="D2051:D2114" si="32">A2051&amp;"_"&amp;B2051</f>
        <v>CA-2015-119690_OFF-PA-10001019</v>
      </c>
      <c r="E2051" t="str">
        <f>IF(COUNTIF(data2!$D:$D,D2051)=0,"Missing in Data2","Present")</f>
        <v>Missing in Data2</v>
      </c>
    </row>
    <row r="2052" spans="1:5" x14ac:dyDescent="0.25">
      <c r="A2052" s="2" t="s">
        <v>2248</v>
      </c>
      <c r="B2052" s="2" t="s">
        <v>2249</v>
      </c>
      <c r="C2052" s="2">
        <v>2</v>
      </c>
      <c r="D2052" t="str">
        <f t="shared" si="32"/>
        <v>CA-2015-119697_TEC-AC-10003657</v>
      </c>
      <c r="E2052" t="str">
        <f>IF(COUNTIF(data2!$D:$D,D2052)=0,"Missing in Data2","Present")</f>
        <v>Present</v>
      </c>
    </row>
    <row r="2053" spans="1:5" x14ac:dyDescent="0.25">
      <c r="A2053" s="2" t="s">
        <v>2250</v>
      </c>
      <c r="B2053" s="2" t="s">
        <v>841</v>
      </c>
      <c r="C2053" s="2">
        <v>8</v>
      </c>
      <c r="D2053" t="str">
        <f t="shared" si="32"/>
        <v>CA-2015-119879_FUR-TA-10002958</v>
      </c>
      <c r="E2053" t="str">
        <f>IF(COUNTIF(data2!$D:$D,D2053)=0,"Missing in Data2","Present")</f>
        <v>Present</v>
      </c>
    </row>
    <row r="2054" spans="1:5" x14ac:dyDescent="0.25">
      <c r="A2054" s="2" t="s">
        <v>2250</v>
      </c>
      <c r="B2054" s="2" t="s">
        <v>82</v>
      </c>
      <c r="C2054" s="2">
        <v>5</v>
      </c>
      <c r="D2054" t="str">
        <f t="shared" si="32"/>
        <v>CA-2015-119879_TEC-PH-10002923</v>
      </c>
      <c r="E2054" t="str">
        <f>IF(COUNTIF(data2!$D:$D,D2054)=0,"Missing in Data2","Present")</f>
        <v>Present</v>
      </c>
    </row>
    <row r="2055" spans="1:5" x14ac:dyDescent="0.25">
      <c r="A2055" s="2" t="s">
        <v>2251</v>
      </c>
      <c r="B2055" s="2" t="s">
        <v>224</v>
      </c>
      <c r="C2055" s="2">
        <v>2</v>
      </c>
      <c r="D2055" t="str">
        <f t="shared" si="32"/>
        <v>CA-2015-119907_OFF-BI-10001765</v>
      </c>
      <c r="E2055" t="str">
        <f>IF(COUNTIF(data2!$D:$D,D2055)=0,"Missing in Data2","Present")</f>
        <v>Present</v>
      </c>
    </row>
    <row r="2056" spans="1:5" x14ac:dyDescent="0.25">
      <c r="A2056" s="2" t="s">
        <v>2252</v>
      </c>
      <c r="B2056" s="2" t="s">
        <v>279</v>
      </c>
      <c r="C2056" s="2">
        <v>6</v>
      </c>
      <c r="D2056" t="str">
        <f t="shared" si="32"/>
        <v>CA-2015-119942_OFF-LA-10001569</v>
      </c>
      <c r="E2056" t="str">
        <f>IF(COUNTIF(data2!$D:$D,D2056)=0,"Missing in Data2","Present")</f>
        <v>Present</v>
      </c>
    </row>
    <row r="2057" spans="1:5" x14ac:dyDescent="0.25">
      <c r="A2057" s="2" t="s">
        <v>2253</v>
      </c>
      <c r="B2057" s="2" t="s">
        <v>2254</v>
      </c>
      <c r="C2057" s="2">
        <v>2</v>
      </c>
      <c r="D2057" t="str">
        <f t="shared" si="32"/>
        <v>CA-2015-120103_FUR-FU-10002885</v>
      </c>
      <c r="E2057" t="str">
        <f>IF(COUNTIF(data2!$D:$D,D2057)=0,"Missing in Data2","Present")</f>
        <v>Present</v>
      </c>
    </row>
    <row r="2058" spans="1:5" x14ac:dyDescent="0.25">
      <c r="A2058" s="2" t="s">
        <v>2253</v>
      </c>
      <c r="B2058" s="2" t="s">
        <v>1506</v>
      </c>
      <c r="C2058" s="2">
        <v>7</v>
      </c>
      <c r="D2058" t="str">
        <f t="shared" si="32"/>
        <v>CA-2015-120103_OFF-PA-10001295</v>
      </c>
      <c r="E2058" t="str">
        <f>IF(COUNTIF(data2!$D:$D,D2058)=0,"Missing in Data2","Present")</f>
        <v>Present</v>
      </c>
    </row>
    <row r="2059" spans="1:5" x14ac:dyDescent="0.25">
      <c r="A2059" s="2" t="s">
        <v>2253</v>
      </c>
      <c r="B2059" s="2" t="s">
        <v>777</v>
      </c>
      <c r="C2059" s="2">
        <v>2</v>
      </c>
      <c r="D2059" t="str">
        <f t="shared" si="32"/>
        <v>CA-2015-120103_TEC-PH-10002170</v>
      </c>
      <c r="E2059" t="str">
        <f>IF(COUNTIF(data2!$D:$D,D2059)=0,"Missing in Data2","Present")</f>
        <v>Present</v>
      </c>
    </row>
    <row r="2060" spans="1:5" x14ac:dyDescent="0.25">
      <c r="A2060" s="2" t="s">
        <v>2255</v>
      </c>
      <c r="B2060" s="2" t="s">
        <v>2256</v>
      </c>
      <c r="C2060" s="2">
        <v>1</v>
      </c>
      <c r="D2060" t="str">
        <f t="shared" si="32"/>
        <v>CA-2015-120341_TEC-PH-10003357</v>
      </c>
      <c r="E2060" t="str">
        <f>IF(COUNTIF(data2!$D:$D,D2060)=0,"Missing in Data2","Present")</f>
        <v>Present</v>
      </c>
    </row>
    <row r="2061" spans="1:5" x14ac:dyDescent="0.25">
      <c r="A2061" s="2" t="s">
        <v>2257</v>
      </c>
      <c r="B2061" s="2" t="s">
        <v>770</v>
      </c>
      <c r="C2061" s="2">
        <v>5</v>
      </c>
      <c r="D2061" t="str">
        <f t="shared" si="32"/>
        <v>CA-2015-120362_FUR-TA-10003008</v>
      </c>
      <c r="E2061" t="str">
        <f>IF(COUNTIF(data2!$D:$D,D2061)=0,"Missing in Data2","Present")</f>
        <v>Present</v>
      </c>
    </row>
    <row r="2062" spans="1:5" x14ac:dyDescent="0.25">
      <c r="A2062" s="2" t="s">
        <v>2258</v>
      </c>
      <c r="B2062" s="2" t="s">
        <v>650</v>
      </c>
      <c r="C2062" s="2">
        <v>4</v>
      </c>
      <c r="D2062" t="str">
        <f t="shared" si="32"/>
        <v>CA-2015-120397_OFF-AP-10001293</v>
      </c>
      <c r="E2062" t="str">
        <f>IF(COUNTIF(data2!$D:$D,D2062)=0,"Missing in Data2","Present")</f>
        <v>Present</v>
      </c>
    </row>
    <row r="2063" spans="1:5" x14ac:dyDescent="0.25">
      <c r="A2063" s="2" t="s">
        <v>2259</v>
      </c>
      <c r="B2063" s="2" t="s">
        <v>1592</v>
      </c>
      <c r="C2063" s="2">
        <v>6</v>
      </c>
      <c r="D2063" t="str">
        <f t="shared" si="32"/>
        <v>CA-2015-120439_FUR-FU-10001867</v>
      </c>
      <c r="E2063" t="str">
        <f>IF(COUNTIF(data2!$D:$D,D2063)=0,"Missing in Data2","Present")</f>
        <v>Present</v>
      </c>
    </row>
    <row r="2064" spans="1:5" x14ac:dyDescent="0.25">
      <c r="A2064" s="2" t="s">
        <v>2260</v>
      </c>
      <c r="B2064" s="2" t="s">
        <v>1570</v>
      </c>
      <c r="C2064" s="2">
        <v>3</v>
      </c>
      <c r="D2064" t="str">
        <f t="shared" si="32"/>
        <v>CA-2015-120446_OFF-LA-10003148</v>
      </c>
      <c r="E2064" t="str">
        <f>IF(COUNTIF(data2!$D:$D,D2064)=0,"Missing in Data2","Present")</f>
        <v>Present</v>
      </c>
    </row>
    <row r="2065" spans="1:5" x14ac:dyDescent="0.25">
      <c r="A2065" s="2" t="s">
        <v>2261</v>
      </c>
      <c r="B2065" s="2" t="s">
        <v>2262</v>
      </c>
      <c r="C2065" s="2">
        <v>3</v>
      </c>
      <c r="D2065" t="str">
        <f t="shared" si="32"/>
        <v>CA-2015-120551_OFF-BI-10002071</v>
      </c>
      <c r="E2065" t="str">
        <f>IF(COUNTIF(data2!$D:$D,D2065)=0,"Missing in Data2","Present")</f>
        <v>Present</v>
      </c>
    </row>
    <row r="2066" spans="1:5" x14ac:dyDescent="0.25">
      <c r="A2066" s="2" t="s">
        <v>2263</v>
      </c>
      <c r="B2066" s="2" t="s">
        <v>974</v>
      </c>
      <c r="C2066" s="2">
        <v>3</v>
      </c>
      <c r="D2066" t="str">
        <f t="shared" si="32"/>
        <v>CA-2015-120621_OFF-BI-10000948</v>
      </c>
      <c r="E2066" t="str">
        <f>IF(COUNTIF(data2!$D:$D,D2066)=0,"Missing in Data2","Present")</f>
        <v>Present</v>
      </c>
    </row>
    <row r="2067" spans="1:5" x14ac:dyDescent="0.25">
      <c r="A2067" s="2" t="s">
        <v>2263</v>
      </c>
      <c r="B2067" s="2" t="s">
        <v>2264</v>
      </c>
      <c r="C2067" s="2">
        <v>14</v>
      </c>
      <c r="D2067" t="str">
        <f t="shared" si="32"/>
        <v>CA-2015-120621_OFF-PA-10002254</v>
      </c>
      <c r="E2067" t="str">
        <f>IF(COUNTIF(data2!$D:$D,D2067)=0,"Missing in Data2","Present")</f>
        <v>Present</v>
      </c>
    </row>
    <row r="2068" spans="1:5" x14ac:dyDescent="0.25">
      <c r="A2068" s="2" t="s">
        <v>2265</v>
      </c>
      <c r="B2068" s="2" t="s">
        <v>120</v>
      </c>
      <c r="C2068" s="2">
        <v>8</v>
      </c>
      <c r="D2068" t="str">
        <f t="shared" si="32"/>
        <v>CA-2015-120677_FUR-CH-10002320</v>
      </c>
      <c r="E2068" t="str">
        <f>IF(COUNTIF(data2!$D:$D,D2068)=0,"Missing in Data2","Present")</f>
        <v>Present</v>
      </c>
    </row>
    <row r="2069" spans="1:5" x14ac:dyDescent="0.25">
      <c r="A2069" s="2" t="s">
        <v>2266</v>
      </c>
      <c r="B2069" s="2" t="s">
        <v>2267</v>
      </c>
      <c r="C2069" s="2">
        <v>1</v>
      </c>
      <c r="D2069" t="str">
        <f t="shared" si="32"/>
        <v>CA-2015-120782_OFF-AP-10003779</v>
      </c>
      <c r="E2069" t="str">
        <f>IF(COUNTIF(data2!$D:$D,D2069)=0,"Missing in Data2","Present")</f>
        <v>Present</v>
      </c>
    </row>
    <row r="2070" spans="1:5" x14ac:dyDescent="0.25">
      <c r="A2070" s="2" t="s">
        <v>2266</v>
      </c>
      <c r="B2070" s="2" t="s">
        <v>907</v>
      </c>
      <c r="C2070" s="2">
        <v>3</v>
      </c>
      <c r="D2070" t="str">
        <f t="shared" si="32"/>
        <v>CA-2015-120782_OFF-BI-10003527</v>
      </c>
      <c r="E2070" t="str">
        <f>IF(COUNTIF(data2!$D:$D,D2070)=0,"Missing in Data2","Present")</f>
        <v>Present</v>
      </c>
    </row>
    <row r="2071" spans="1:5" x14ac:dyDescent="0.25">
      <c r="A2071" s="2" t="s">
        <v>2268</v>
      </c>
      <c r="B2071" s="2" t="s">
        <v>491</v>
      </c>
      <c r="C2071" s="2">
        <v>3</v>
      </c>
      <c r="D2071" t="str">
        <f t="shared" si="32"/>
        <v>CA-2015-120810_FUR-FU-10002253</v>
      </c>
      <c r="E2071" t="str">
        <f>IF(COUNTIF(data2!$D:$D,D2071)=0,"Missing in Data2","Present")</f>
        <v>Present</v>
      </c>
    </row>
    <row r="2072" spans="1:5" x14ac:dyDescent="0.25">
      <c r="A2072" s="2" t="s">
        <v>2268</v>
      </c>
      <c r="B2072" s="2" t="s">
        <v>545</v>
      </c>
      <c r="C2072" s="2">
        <v>3</v>
      </c>
      <c r="D2072" t="str">
        <f t="shared" si="32"/>
        <v>CA-2015-120810_OFF-AP-10002892</v>
      </c>
      <c r="E2072" t="str">
        <f>IF(COUNTIF(data2!$D:$D,D2072)=0,"Missing in Data2","Present")</f>
        <v>Missing in Data2</v>
      </c>
    </row>
    <row r="2073" spans="1:5" x14ac:dyDescent="0.25">
      <c r="A2073" s="2" t="s">
        <v>2269</v>
      </c>
      <c r="B2073" s="2" t="s">
        <v>301</v>
      </c>
      <c r="C2073" s="2">
        <v>4</v>
      </c>
      <c r="D2073" t="str">
        <f t="shared" si="32"/>
        <v>CA-2015-120845_OFF-BI-10001116</v>
      </c>
      <c r="E2073" t="str">
        <f>IF(COUNTIF(data2!$D:$D,D2073)=0,"Missing in Data2","Present")</f>
        <v>Present</v>
      </c>
    </row>
    <row r="2074" spans="1:5" x14ac:dyDescent="0.25">
      <c r="A2074" s="2" t="s">
        <v>2269</v>
      </c>
      <c r="B2074" s="2" t="s">
        <v>274</v>
      </c>
      <c r="C2074" s="2">
        <v>2</v>
      </c>
      <c r="D2074" t="str">
        <f t="shared" si="32"/>
        <v>CA-2015-120845_OFF-BI-10001982</v>
      </c>
      <c r="E2074" t="str">
        <f>IF(COUNTIF(data2!$D:$D,D2074)=0,"Missing in Data2","Present")</f>
        <v>Present</v>
      </c>
    </row>
    <row r="2075" spans="1:5" x14ac:dyDescent="0.25">
      <c r="A2075" s="2" t="s">
        <v>2269</v>
      </c>
      <c r="B2075" s="2" t="s">
        <v>1463</v>
      </c>
      <c r="C2075" s="2">
        <v>1</v>
      </c>
      <c r="D2075" t="str">
        <f t="shared" si="32"/>
        <v>CA-2015-120845_OFF-BI-10004506</v>
      </c>
      <c r="E2075" t="str">
        <f>IF(COUNTIF(data2!$D:$D,D2075)=0,"Missing in Data2","Present")</f>
        <v>Missing in Data2</v>
      </c>
    </row>
    <row r="2076" spans="1:5" x14ac:dyDescent="0.25">
      <c r="A2076" s="2" t="s">
        <v>2269</v>
      </c>
      <c r="B2076" s="2" t="s">
        <v>834</v>
      </c>
      <c r="C2076" s="2">
        <v>1</v>
      </c>
      <c r="D2076" t="str">
        <f t="shared" si="32"/>
        <v>CA-2015-120845_OFF-PA-10004665</v>
      </c>
      <c r="E2076" t="str">
        <f>IF(COUNTIF(data2!$D:$D,D2076)=0,"Missing in Data2","Present")</f>
        <v>Present</v>
      </c>
    </row>
    <row r="2077" spans="1:5" x14ac:dyDescent="0.25">
      <c r="A2077" s="2" t="s">
        <v>2270</v>
      </c>
      <c r="B2077" s="2" t="s">
        <v>1227</v>
      </c>
      <c r="C2077" s="2">
        <v>5</v>
      </c>
      <c r="D2077" t="str">
        <f t="shared" si="32"/>
        <v>CA-2015-120880_OFF-BI-10002931</v>
      </c>
      <c r="E2077" t="str">
        <f>IF(COUNTIF(data2!$D:$D,D2077)=0,"Missing in Data2","Present")</f>
        <v>Present</v>
      </c>
    </row>
    <row r="2078" spans="1:5" x14ac:dyDescent="0.25">
      <c r="A2078" s="2" t="s">
        <v>2270</v>
      </c>
      <c r="B2078" s="2" t="s">
        <v>2051</v>
      </c>
      <c r="C2078" s="2">
        <v>5</v>
      </c>
      <c r="D2078" t="str">
        <f t="shared" si="32"/>
        <v>CA-2015-120880_OFF-PA-10004101</v>
      </c>
      <c r="E2078" t="str">
        <f>IF(COUNTIF(data2!$D:$D,D2078)=0,"Missing in Data2","Present")</f>
        <v>Present</v>
      </c>
    </row>
    <row r="2079" spans="1:5" x14ac:dyDescent="0.25">
      <c r="A2079" s="2" t="s">
        <v>2270</v>
      </c>
      <c r="B2079" s="2" t="s">
        <v>258</v>
      </c>
      <c r="C2079" s="2">
        <v>3</v>
      </c>
      <c r="D2079" t="str">
        <f t="shared" si="32"/>
        <v>CA-2015-120880_OFF-ST-10001496</v>
      </c>
      <c r="E2079" t="str">
        <f>IF(COUNTIF(data2!$D:$D,D2079)=0,"Missing in Data2","Present")</f>
        <v>Present</v>
      </c>
    </row>
    <row r="2080" spans="1:5" x14ac:dyDescent="0.25">
      <c r="A2080" s="2" t="s">
        <v>2271</v>
      </c>
      <c r="B2080" s="2" t="s">
        <v>1358</v>
      </c>
      <c r="C2080" s="2">
        <v>2</v>
      </c>
      <c r="D2080" t="str">
        <f t="shared" si="32"/>
        <v>CA-2015-120901_OFF-FA-10001561</v>
      </c>
      <c r="E2080" t="str">
        <f>IF(COUNTIF(data2!$D:$D,D2080)=0,"Missing in Data2","Present")</f>
        <v>Present</v>
      </c>
    </row>
    <row r="2081" spans="1:5" x14ac:dyDescent="0.25">
      <c r="A2081" s="2" t="s">
        <v>2271</v>
      </c>
      <c r="B2081" s="2" t="s">
        <v>1657</v>
      </c>
      <c r="C2081" s="2">
        <v>2</v>
      </c>
      <c r="D2081" t="str">
        <f t="shared" si="32"/>
        <v>CA-2015-120901_OFF-ST-10000025</v>
      </c>
      <c r="E2081" t="str">
        <f>IF(COUNTIF(data2!$D:$D,D2081)=0,"Missing in Data2","Present")</f>
        <v>Present</v>
      </c>
    </row>
    <row r="2082" spans="1:5" x14ac:dyDescent="0.25">
      <c r="A2082" s="2" t="s">
        <v>2271</v>
      </c>
      <c r="B2082" s="2" t="s">
        <v>219</v>
      </c>
      <c r="C2082" s="2">
        <v>2</v>
      </c>
      <c r="D2082" t="str">
        <f t="shared" si="32"/>
        <v>CA-2015-120901_OFF-SU-10001225</v>
      </c>
      <c r="E2082" t="str">
        <f>IF(COUNTIF(data2!$D:$D,D2082)=0,"Missing in Data2","Present")</f>
        <v>Present</v>
      </c>
    </row>
    <row r="2083" spans="1:5" x14ac:dyDescent="0.25">
      <c r="A2083" s="2" t="s">
        <v>2272</v>
      </c>
      <c r="B2083" s="2" t="s">
        <v>518</v>
      </c>
      <c r="C2083" s="2">
        <v>6</v>
      </c>
      <c r="D2083" t="str">
        <f t="shared" si="32"/>
        <v>CA-2015-120915_OFF-AP-10002578</v>
      </c>
      <c r="E2083" t="str">
        <f>IF(COUNTIF(data2!$D:$D,D2083)=0,"Missing in Data2","Present")</f>
        <v>Present</v>
      </c>
    </row>
    <row r="2084" spans="1:5" x14ac:dyDescent="0.25">
      <c r="A2084" s="2" t="s">
        <v>2272</v>
      </c>
      <c r="B2084" s="2" t="s">
        <v>1980</v>
      </c>
      <c r="C2084" s="2">
        <v>2</v>
      </c>
      <c r="D2084" t="str">
        <f t="shared" si="32"/>
        <v>CA-2015-120915_TEC-PH-10003012</v>
      </c>
      <c r="E2084" t="str">
        <f>IF(COUNTIF(data2!$D:$D,D2084)=0,"Missing in Data2","Present")</f>
        <v>Present</v>
      </c>
    </row>
    <row r="2085" spans="1:5" x14ac:dyDescent="0.25">
      <c r="A2085" s="2" t="s">
        <v>2273</v>
      </c>
      <c r="B2085" s="2" t="s">
        <v>2274</v>
      </c>
      <c r="C2085" s="2">
        <v>2</v>
      </c>
      <c r="D2085" t="str">
        <f t="shared" si="32"/>
        <v>CA-2015-121041_OFF-EN-10001137</v>
      </c>
      <c r="E2085" t="str">
        <f>IF(COUNTIF(data2!$D:$D,D2085)=0,"Missing in Data2","Present")</f>
        <v>Missing in Data2</v>
      </c>
    </row>
    <row r="2086" spans="1:5" x14ac:dyDescent="0.25">
      <c r="A2086" s="2" t="s">
        <v>2275</v>
      </c>
      <c r="B2086" s="2" t="s">
        <v>1785</v>
      </c>
      <c r="C2086" s="2">
        <v>2</v>
      </c>
      <c r="D2086" t="str">
        <f t="shared" si="32"/>
        <v>CA-2015-121097_OFF-PA-10001937</v>
      </c>
      <c r="E2086" t="str">
        <f>IF(COUNTIF(data2!$D:$D,D2086)=0,"Missing in Data2","Present")</f>
        <v>Present</v>
      </c>
    </row>
    <row r="2087" spans="1:5" x14ac:dyDescent="0.25">
      <c r="A2087" s="2" t="s">
        <v>2276</v>
      </c>
      <c r="B2087" s="2" t="s">
        <v>1662</v>
      </c>
      <c r="C2087" s="2">
        <v>4</v>
      </c>
      <c r="D2087" t="str">
        <f t="shared" si="32"/>
        <v>CA-2015-121132_OFF-FA-10004248</v>
      </c>
      <c r="E2087" t="str">
        <f>IF(COUNTIF(data2!$D:$D,D2087)=0,"Missing in Data2","Present")</f>
        <v>Present</v>
      </c>
    </row>
    <row r="2088" spans="1:5" x14ac:dyDescent="0.25">
      <c r="A2088" s="2" t="s">
        <v>2276</v>
      </c>
      <c r="B2088" s="2" t="s">
        <v>1783</v>
      </c>
      <c r="C2088" s="2">
        <v>3</v>
      </c>
      <c r="D2088" t="str">
        <f t="shared" si="32"/>
        <v>CA-2015-121132_OFF-LA-10002368</v>
      </c>
      <c r="E2088" t="str">
        <f>IF(COUNTIF(data2!$D:$D,D2088)=0,"Missing in Data2","Present")</f>
        <v>Present</v>
      </c>
    </row>
    <row r="2089" spans="1:5" x14ac:dyDescent="0.25">
      <c r="A2089" s="2" t="s">
        <v>2277</v>
      </c>
      <c r="B2089" s="2" t="s">
        <v>2278</v>
      </c>
      <c r="C2089" s="2">
        <v>2</v>
      </c>
      <c r="D2089" t="str">
        <f t="shared" si="32"/>
        <v>CA-2015-121188_FUR-BO-10004695</v>
      </c>
      <c r="E2089" t="str">
        <f>IF(COUNTIF(data2!$D:$D,D2089)=0,"Missing in Data2","Present")</f>
        <v>Present</v>
      </c>
    </row>
    <row r="2090" spans="1:5" x14ac:dyDescent="0.25">
      <c r="A2090" s="2" t="s">
        <v>2277</v>
      </c>
      <c r="B2090" s="2" t="s">
        <v>170</v>
      </c>
      <c r="C2090" s="2">
        <v>2</v>
      </c>
      <c r="D2090" t="str">
        <f t="shared" si="32"/>
        <v>CA-2015-121188_FUR-FU-10003981</v>
      </c>
      <c r="E2090" t="str">
        <f>IF(COUNTIF(data2!$D:$D,D2090)=0,"Missing in Data2","Present")</f>
        <v>Present</v>
      </c>
    </row>
    <row r="2091" spans="1:5" x14ac:dyDescent="0.25">
      <c r="A2091" s="2" t="s">
        <v>2277</v>
      </c>
      <c r="B2091" s="2" t="s">
        <v>509</v>
      </c>
      <c r="C2091" s="2">
        <v>5</v>
      </c>
      <c r="D2091" t="str">
        <f t="shared" si="32"/>
        <v>CA-2015-121188_OFF-BI-10001617</v>
      </c>
      <c r="E2091" t="str">
        <f>IF(COUNTIF(data2!$D:$D,D2091)=0,"Missing in Data2","Present")</f>
        <v>Present</v>
      </c>
    </row>
    <row r="2092" spans="1:5" x14ac:dyDescent="0.25">
      <c r="A2092" s="2" t="s">
        <v>2277</v>
      </c>
      <c r="B2092" s="2" t="s">
        <v>299</v>
      </c>
      <c r="C2092" s="2">
        <v>9</v>
      </c>
      <c r="D2092" t="str">
        <f t="shared" si="32"/>
        <v>CA-2015-121188_OFF-ST-10000736</v>
      </c>
      <c r="E2092" t="str">
        <f>IF(COUNTIF(data2!$D:$D,D2092)=0,"Missing in Data2","Present")</f>
        <v>Present</v>
      </c>
    </row>
    <row r="2093" spans="1:5" x14ac:dyDescent="0.25">
      <c r="A2093" s="2" t="s">
        <v>2277</v>
      </c>
      <c r="B2093" s="2" t="s">
        <v>34</v>
      </c>
      <c r="C2093" s="2">
        <v>5</v>
      </c>
      <c r="D2093" t="str">
        <f t="shared" si="32"/>
        <v>CA-2015-121188_OFF-ST-10001490</v>
      </c>
      <c r="E2093" t="str">
        <f>IF(COUNTIF(data2!$D:$D,D2093)=0,"Missing in Data2","Present")</f>
        <v>Present</v>
      </c>
    </row>
    <row r="2094" spans="1:5" x14ac:dyDescent="0.25">
      <c r="A2094" s="2" t="s">
        <v>2277</v>
      </c>
      <c r="B2094" s="2" t="s">
        <v>716</v>
      </c>
      <c r="C2094" s="2">
        <v>3</v>
      </c>
      <c r="D2094" t="str">
        <f t="shared" si="32"/>
        <v>CA-2015-121188_TEC-PH-10003589</v>
      </c>
      <c r="E2094" t="str">
        <f>IF(COUNTIF(data2!$D:$D,D2094)=0,"Missing in Data2","Present")</f>
        <v>Present</v>
      </c>
    </row>
    <row r="2095" spans="1:5" x14ac:dyDescent="0.25">
      <c r="A2095" s="2" t="s">
        <v>2279</v>
      </c>
      <c r="B2095" s="2" t="s">
        <v>2280</v>
      </c>
      <c r="C2095" s="2">
        <v>4</v>
      </c>
      <c r="D2095" t="str">
        <f t="shared" si="32"/>
        <v>CA-2015-121272_OFF-AP-10001947</v>
      </c>
      <c r="E2095" t="str">
        <f>IF(COUNTIF(data2!$D:$D,D2095)=0,"Missing in Data2","Present")</f>
        <v>Present</v>
      </c>
    </row>
    <row r="2096" spans="1:5" x14ac:dyDescent="0.25">
      <c r="A2096" s="2" t="s">
        <v>2281</v>
      </c>
      <c r="B2096" s="2" t="s">
        <v>2282</v>
      </c>
      <c r="C2096" s="2">
        <v>2</v>
      </c>
      <c r="D2096" t="str">
        <f t="shared" si="32"/>
        <v>CA-2015-121391_OFF-ST-10001590</v>
      </c>
      <c r="E2096" t="str">
        <f>IF(COUNTIF(data2!$D:$D,D2096)=0,"Missing in Data2","Present")</f>
        <v>Present</v>
      </c>
    </row>
    <row r="2097" spans="1:5" x14ac:dyDescent="0.25">
      <c r="A2097" s="2" t="s">
        <v>2283</v>
      </c>
      <c r="B2097" s="2" t="s">
        <v>309</v>
      </c>
      <c r="C2097" s="2">
        <v>5</v>
      </c>
      <c r="D2097" t="str">
        <f t="shared" si="32"/>
        <v>CA-2015-121405_OFF-PA-10001838</v>
      </c>
      <c r="E2097" t="str">
        <f>IF(COUNTIF(data2!$D:$D,D2097)=0,"Missing in Data2","Present")</f>
        <v>Present</v>
      </c>
    </row>
    <row r="2098" spans="1:5" x14ac:dyDescent="0.25">
      <c r="A2098" s="2" t="s">
        <v>2283</v>
      </c>
      <c r="B2098" s="2" t="s">
        <v>737</v>
      </c>
      <c r="C2098" s="2">
        <v>5</v>
      </c>
      <c r="D2098" t="str">
        <f t="shared" si="32"/>
        <v>CA-2015-121405_TEC-PH-10002890</v>
      </c>
      <c r="E2098" t="str">
        <f>IF(COUNTIF(data2!$D:$D,D2098)=0,"Missing in Data2","Present")</f>
        <v>Present</v>
      </c>
    </row>
    <row r="2099" spans="1:5" x14ac:dyDescent="0.25">
      <c r="A2099" s="2" t="s">
        <v>2284</v>
      </c>
      <c r="B2099" s="2" t="s">
        <v>2285</v>
      </c>
      <c r="C2099" s="2">
        <v>4</v>
      </c>
      <c r="D2099" t="str">
        <f t="shared" si="32"/>
        <v>CA-2015-121552_OFF-AR-10003217</v>
      </c>
      <c r="E2099" t="str">
        <f>IF(COUNTIF(data2!$D:$D,D2099)=0,"Missing in Data2","Present")</f>
        <v>Present</v>
      </c>
    </row>
    <row r="2100" spans="1:5" x14ac:dyDescent="0.25">
      <c r="A2100" s="2" t="s">
        <v>2286</v>
      </c>
      <c r="B2100" s="2" t="s">
        <v>1787</v>
      </c>
      <c r="C2100" s="2">
        <v>2</v>
      </c>
      <c r="D2100" t="str">
        <f t="shared" si="32"/>
        <v>CA-2015-121608_OFF-AP-10002311</v>
      </c>
      <c r="E2100" t="str">
        <f>IF(COUNTIF(data2!$D:$D,D2100)=0,"Missing in Data2","Present")</f>
        <v>Present</v>
      </c>
    </row>
    <row r="2101" spans="1:5" x14ac:dyDescent="0.25">
      <c r="A2101" s="2" t="s">
        <v>2286</v>
      </c>
      <c r="B2101" s="2" t="s">
        <v>1722</v>
      </c>
      <c r="C2101" s="2">
        <v>1</v>
      </c>
      <c r="D2101" t="str">
        <f t="shared" si="32"/>
        <v>CA-2015-121608_TEC-PH-10004959</v>
      </c>
      <c r="E2101" t="str">
        <f>IF(COUNTIF(data2!$D:$D,D2101)=0,"Missing in Data2","Present")</f>
        <v>Present</v>
      </c>
    </row>
    <row r="2102" spans="1:5" x14ac:dyDescent="0.25">
      <c r="A2102" s="2" t="s">
        <v>2287</v>
      </c>
      <c r="B2102" s="2" t="s">
        <v>1333</v>
      </c>
      <c r="C2102" s="2">
        <v>2</v>
      </c>
      <c r="D2102" t="str">
        <f t="shared" si="32"/>
        <v>CA-2015-121650_FUR-CH-10004289</v>
      </c>
      <c r="E2102" t="str">
        <f>IF(COUNTIF(data2!$D:$D,D2102)=0,"Missing in Data2","Present")</f>
        <v>Present</v>
      </c>
    </row>
    <row r="2103" spans="1:5" x14ac:dyDescent="0.25">
      <c r="A2103" s="2" t="s">
        <v>2287</v>
      </c>
      <c r="B2103" s="2" t="s">
        <v>766</v>
      </c>
      <c r="C2103" s="2">
        <v>2</v>
      </c>
      <c r="D2103" t="str">
        <f t="shared" si="32"/>
        <v>CA-2015-121650_FUR-TA-10003569</v>
      </c>
      <c r="E2103" t="str">
        <f>IF(COUNTIF(data2!$D:$D,D2103)=0,"Missing in Data2","Present")</f>
        <v>Present</v>
      </c>
    </row>
    <row r="2104" spans="1:5" x14ac:dyDescent="0.25">
      <c r="A2104" s="2" t="s">
        <v>2287</v>
      </c>
      <c r="B2104" s="2" t="s">
        <v>681</v>
      </c>
      <c r="C2104" s="2">
        <v>2</v>
      </c>
      <c r="D2104" t="str">
        <f t="shared" si="32"/>
        <v>CA-2015-121650_OFF-AR-10001149</v>
      </c>
      <c r="E2104" t="str">
        <f>IF(COUNTIF(data2!$D:$D,D2104)=0,"Missing in Data2","Present")</f>
        <v>Present</v>
      </c>
    </row>
    <row r="2105" spans="1:5" x14ac:dyDescent="0.25">
      <c r="A2105" s="2" t="s">
        <v>2288</v>
      </c>
      <c r="B2105" s="2" t="s">
        <v>820</v>
      </c>
      <c r="C2105" s="2">
        <v>5</v>
      </c>
      <c r="D2105" t="str">
        <f t="shared" si="32"/>
        <v>CA-2015-121699_OFF-BI-10004632</v>
      </c>
      <c r="E2105" t="str">
        <f>IF(COUNTIF(data2!$D:$D,D2105)=0,"Missing in Data2","Present")</f>
        <v>Present</v>
      </c>
    </row>
    <row r="2106" spans="1:5" x14ac:dyDescent="0.25">
      <c r="A2106" s="2" t="s">
        <v>2289</v>
      </c>
      <c r="B2106" s="2" t="s">
        <v>2290</v>
      </c>
      <c r="C2106" s="2">
        <v>5</v>
      </c>
      <c r="D2106" t="str">
        <f t="shared" si="32"/>
        <v>CA-2015-121720_FUR-CH-10003312</v>
      </c>
      <c r="E2106" t="str">
        <f>IF(COUNTIF(data2!$D:$D,D2106)=0,"Missing in Data2","Present")</f>
        <v>Missing in Data2</v>
      </c>
    </row>
    <row r="2107" spans="1:5" x14ac:dyDescent="0.25">
      <c r="A2107" s="2" t="s">
        <v>2289</v>
      </c>
      <c r="B2107" s="2" t="s">
        <v>2291</v>
      </c>
      <c r="C2107" s="2">
        <v>3</v>
      </c>
      <c r="D2107" t="str">
        <f t="shared" si="32"/>
        <v>CA-2015-121720_FUR-FU-10003464</v>
      </c>
      <c r="E2107" t="str">
        <f>IF(COUNTIF(data2!$D:$D,D2107)=0,"Missing in Data2","Present")</f>
        <v>Present</v>
      </c>
    </row>
    <row r="2108" spans="1:5" x14ac:dyDescent="0.25">
      <c r="A2108" s="2" t="s">
        <v>2289</v>
      </c>
      <c r="B2108" s="2" t="s">
        <v>23</v>
      </c>
      <c r="C2108" s="2">
        <v>2</v>
      </c>
      <c r="D2108" t="str">
        <f t="shared" si="32"/>
        <v>CA-2015-121720_OFF-AR-10000380</v>
      </c>
      <c r="E2108" t="str">
        <f>IF(COUNTIF(data2!$D:$D,D2108)=0,"Missing in Data2","Present")</f>
        <v>Present</v>
      </c>
    </row>
    <row r="2109" spans="1:5" x14ac:dyDescent="0.25">
      <c r="A2109" s="2" t="s">
        <v>2289</v>
      </c>
      <c r="B2109" s="2" t="s">
        <v>2292</v>
      </c>
      <c r="C2109" s="2">
        <v>2</v>
      </c>
      <c r="D2109" t="str">
        <f t="shared" si="32"/>
        <v>CA-2015-121720_OFF-BI-10001308</v>
      </c>
      <c r="E2109" t="str">
        <f>IF(COUNTIF(data2!$D:$D,D2109)=0,"Missing in Data2","Present")</f>
        <v>Present</v>
      </c>
    </row>
    <row r="2110" spans="1:5" x14ac:dyDescent="0.25">
      <c r="A2110" s="2" t="s">
        <v>2289</v>
      </c>
      <c r="B2110" s="2" t="s">
        <v>404</v>
      </c>
      <c r="C2110" s="2">
        <v>5</v>
      </c>
      <c r="D2110" t="str">
        <f t="shared" si="32"/>
        <v>CA-2015-121720_OFF-BI-10004593</v>
      </c>
      <c r="E2110" t="str">
        <f>IF(COUNTIF(data2!$D:$D,D2110)=0,"Missing in Data2","Present")</f>
        <v>Present</v>
      </c>
    </row>
    <row r="2111" spans="1:5" x14ac:dyDescent="0.25">
      <c r="A2111" s="2" t="s">
        <v>2289</v>
      </c>
      <c r="B2111" s="2" t="s">
        <v>2293</v>
      </c>
      <c r="C2111" s="2">
        <v>2</v>
      </c>
      <c r="D2111" t="str">
        <f t="shared" si="32"/>
        <v>CA-2015-121720_OFF-ST-10001780</v>
      </c>
      <c r="E2111" t="str">
        <f>IF(COUNTIF(data2!$D:$D,D2111)=0,"Missing in Data2","Present")</f>
        <v>Present</v>
      </c>
    </row>
    <row r="2112" spans="1:5" x14ac:dyDescent="0.25">
      <c r="A2112" s="2" t="s">
        <v>2289</v>
      </c>
      <c r="B2112" s="2" t="s">
        <v>2294</v>
      </c>
      <c r="C2112" s="2">
        <v>4</v>
      </c>
      <c r="D2112" t="str">
        <f t="shared" si="32"/>
        <v>CA-2015-121720_OFF-ST-10003816</v>
      </c>
      <c r="E2112" t="str">
        <f>IF(COUNTIF(data2!$D:$D,D2112)=0,"Missing in Data2","Present")</f>
        <v>Present</v>
      </c>
    </row>
    <row r="2113" spans="1:5" x14ac:dyDescent="0.25">
      <c r="A2113" s="2" t="s">
        <v>2289</v>
      </c>
      <c r="B2113" s="2" t="s">
        <v>2176</v>
      </c>
      <c r="C2113" s="2">
        <v>2</v>
      </c>
      <c r="D2113" t="str">
        <f t="shared" si="32"/>
        <v>CA-2015-121720_TEC-PH-10002496</v>
      </c>
      <c r="E2113" t="str">
        <f>IF(COUNTIF(data2!$D:$D,D2113)=0,"Missing in Data2","Present")</f>
        <v>Present</v>
      </c>
    </row>
    <row r="2114" spans="1:5" x14ac:dyDescent="0.25">
      <c r="A2114" s="2" t="s">
        <v>2295</v>
      </c>
      <c r="B2114" s="2" t="s">
        <v>557</v>
      </c>
      <c r="C2114" s="2">
        <v>7</v>
      </c>
      <c r="D2114" t="str">
        <f t="shared" si="32"/>
        <v>CA-2015-121776_OFF-LA-10002762</v>
      </c>
      <c r="E2114" t="str">
        <f>IF(COUNTIF(data2!$D:$D,D2114)=0,"Missing in Data2","Present")</f>
        <v>Present</v>
      </c>
    </row>
    <row r="2115" spans="1:5" x14ac:dyDescent="0.25">
      <c r="A2115" s="2" t="s">
        <v>2295</v>
      </c>
      <c r="B2115" s="2" t="s">
        <v>1039</v>
      </c>
      <c r="C2115" s="2">
        <v>3</v>
      </c>
      <c r="D2115" t="str">
        <f t="shared" ref="D2115:D2178" si="33">A2115&amp;"_"&amp;B2115</f>
        <v>CA-2015-121776_OFF-PA-10001970</v>
      </c>
      <c r="E2115" t="str">
        <f>IF(COUNTIF(data2!$D:$D,D2115)=0,"Missing in Data2","Present")</f>
        <v>Present</v>
      </c>
    </row>
    <row r="2116" spans="1:5" x14ac:dyDescent="0.25">
      <c r="A2116" s="2" t="s">
        <v>2296</v>
      </c>
      <c r="B2116" s="2" t="s">
        <v>1293</v>
      </c>
      <c r="C2116" s="2">
        <v>3</v>
      </c>
      <c r="D2116" t="str">
        <f t="shared" si="33"/>
        <v>CA-2015-121783_FUR-FU-10004351</v>
      </c>
      <c r="E2116" t="str">
        <f>IF(COUNTIF(data2!$D:$D,D2116)=0,"Missing in Data2","Present")</f>
        <v>Present</v>
      </c>
    </row>
    <row r="2117" spans="1:5" x14ac:dyDescent="0.25">
      <c r="A2117" s="2" t="s">
        <v>2296</v>
      </c>
      <c r="B2117" s="2" t="s">
        <v>2130</v>
      </c>
      <c r="C2117" s="2">
        <v>2</v>
      </c>
      <c r="D2117" t="str">
        <f t="shared" si="33"/>
        <v>CA-2015-121783_OFF-AP-10003849</v>
      </c>
      <c r="E2117" t="str">
        <f>IF(COUNTIF(data2!$D:$D,D2117)=0,"Missing in Data2","Present")</f>
        <v>Present</v>
      </c>
    </row>
    <row r="2118" spans="1:5" x14ac:dyDescent="0.25">
      <c r="A2118" s="2" t="s">
        <v>2296</v>
      </c>
      <c r="B2118" s="2" t="s">
        <v>190</v>
      </c>
      <c r="C2118" s="2">
        <v>3</v>
      </c>
      <c r="D2118" t="str">
        <f t="shared" si="33"/>
        <v>CA-2015-121783_OFF-BI-10001658</v>
      </c>
      <c r="E2118" t="str">
        <f>IF(COUNTIF(data2!$D:$D,D2118)=0,"Missing in Data2","Present")</f>
        <v>Present</v>
      </c>
    </row>
    <row r="2119" spans="1:5" x14ac:dyDescent="0.25">
      <c r="A2119" s="2" t="s">
        <v>2296</v>
      </c>
      <c r="B2119" s="2" t="s">
        <v>835</v>
      </c>
      <c r="C2119" s="2">
        <v>3</v>
      </c>
      <c r="D2119" t="str">
        <f t="shared" si="33"/>
        <v>CA-2015-121783_OFF-ST-10000078</v>
      </c>
      <c r="E2119" t="str">
        <f>IF(COUNTIF(data2!$D:$D,D2119)=0,"Missing in Data2","Present")</f>
        <v>Present</v>
      </c>
    </row>
    <row r="2120" spans="1:5" x14ac:dyDescent="0.25">
      <c r="A2120" s="2" t="s">
        <v>2296</v>
      </c>
      <c r="B2120" s="2" t="s">
        <v>759</v>
      </c>
      <c r="C2120" s="2">
        <v>1</v>
      </c>
      <c r="D2120" t="str">
        <f t="shared" si="33"/>
        <v>CA-2015-121783_TEC-CO-10001571</v>
      </c>
      <c r="E2120" t="str">
        <f>IF(COUNTIF(data2!$D:$D,D2120)=0,"Missing in Data2","Present")</f>
        <v>Present</v>
      </c>
    </row>
    <row r="2121" spans="1:5" x14ac:dyDescent="0.25">
      <c r="A2121" s="2" t="s">
        <v>2297</v>
      </c>
      <c r="B2121" s="2" t="s">
        <v>1163</v>
      </c>
      <c r="C2121" s="2">
        <v>7</v>
      </c>
      <c r="D2121" t="str">
        <f t="shared" si="33"/>
        <v>CA-2015-121797_FUR-FU-10001876</v>
      </c>
      <c r="E2121" t="str">
        <f>IF(COUNTIF(data2!$D:$D,D2121)=0,"Missing in Data2","Present")</f>
        <v>Present</v>
      </c>
    </row>
    <row r="2122" spans="1:5" x14ac:dyDescent="0.25">
      <c r="A2122" s="2" t="s">
        <v>2297</v>
      </c>
      <c r="B2122" s="2" t="s">
        <v>2298</v>
      </c>
      <c r="C2122" s="2">
        <v>3</v>
      </c>
      <c r="D2122" t="str">
        <f t="shared" si="33"/>
        <v>CA-2015-121797_TEC-MA-10000488</v>
      </c>
      <c r="E2122" t="str">
        <f>IF(COUNTIF(data2!$D:$D,D2122)=0,"Missing in Data2","Present")</f>
        <v>Present</v>
      </c>
    </row>
    <row r="2123" spans="1:5" x14ac:dyDescent="0.25">
      <c r="A2123" s="2" t="s">
        <v>2299</v>
      </c>
      <c r="B2123" s="2" t="s">
        <v>2300</v>
      </c>
      <c r="C2123" s="2">
        <v>2</v>
      </c>
      <c r="D2123" t="str">
        <f t="shared" si="33"/>
        <v>CA-2015-121965_FUR-FU-10000732</v>
      </c>
      <c r="E2123" t="str">
        <f>IF(COUNTIF(data2!$D:$D,D2123)=0,"Missing in Data2","Present")</f>
        <v>Present</v>
      </c>
    </row>
    <row r="2124" spans="1:5" x14ac:dyDescent="0.25">
      <c r="A2124" s="2" t="s">
        <v>2299</v>
      </c>
      <c r="B2124" s="2" t="s">
        <v>18</v>
      </c>
      <c r="C2124" s="2">
        <v>3</v>
      </c>
      <c r="D2124" t="str">
        <f t="shared" si="33"/>
        <v>CA-2015-121965_OFF-EN-10000056</v>
      </c>
      <c r="E2124" t="str">
        <f>IF(COUNTIF(data2!$D:$D,D2124)=0,"Missing in Data2","Present")</f>
        <v>Present</v>
      </c>
    </row>
    <row r="2125" spans="1:5" x14ac:dyDescent="0.25">
      <c r="A2125" s="2" t="s">
        <v>2299</v>
      </c>
      <c r="B2125" s="2" t="s">
        <v>2301</v>
      </c>
      <c r="C2125" s="2">
        <v>1</v>
      </c>
      <c r="D2125" t="str">
        <f t="shared" si="33"/>
        <v>CA-2015-121965_OFF-PA-10004355</v>
      </c>
      <c r="E2125" t="str">
        <f>IF(COUNTIF(data2!$D:$D,D2125)=0,"Missing in Data2","Present")</f>
        <v>Present</v>
      </c>
    </row>
    <row r="2126" spans="1:5" x14ac:dyDescent="0.25">
      <c r="A2126" s="2" t="s">
        <v>2302</v>
      </c>
      <c r="B2126" s="2" t="s">
        <v>882</v>
      </c>
      <c r="C2126" s="2">
        <v>12</v>
      </c>
      <c r="D2126" t="str">
        <f t="shared" si="33"/>
        <v>CA-2015-122168_OFF-AR-10002053</v>
      </c>
      <c r="E2126" t="str">
        <f>IF(COUNTIF(data2!$D:$D,D2126)=0,"Missing in Data2","Present")</f>
        <v>Present</v>
      </c>
    </row>
    <row r="2127" spans="1:5" x14ac:dyDescent="0.25">
      <c r="A2127" s="2" t="s">
        <v>2302</v>
      </c>
      <c r="B2127" s="2" t="s">
        <v>2303</v>
      </c>
      <c r="C2127" s="2">
        <v>3</v>
      </c>
      <c r="D2127" t="str">
        <f t="shared" si="33"/>
        <v>CA-2015-122168_OFF-AR-10003602</v>
      </c>
      <c r="E2127" t="str">
        <f>IF(COUNTIF(data2!$D:$D,D2127)=0,"Missing in Data2","Present")</f>
        <v>Present</v>
      </c>
    </row>
    <row r="2128" spans="1:5" x14ac:dyDescent="0.25">
      <c r="A2128" s="2" t="s">
        <v>2304</v>
      </c>
      <c r="B2128" s="2" t="s">
        <v>702</v>
      </c>
      <c r="C2128" s="2">
        <v>3</v>
      </c>
      <c r="D2128" t="str">
        <f t="shared" si="33"/>
        <v>CA-2015-122210_OFF-BI-10003656</v>
      </c>
      <c r="E2128" t="str">
        <f>IF(COUNTIF(data2!$D:$D,D2128)=0,"Missing in Data2","Present")</f>
        <v>Present</v>
      </c>
    </row>
    <row r="2129" spans="1:5" x14ac:dyDescent="0.25">
      <c r="A2129" s="2" t="s">
        <v>2304</v>
      </c>
      <c r="B2129" s="2" t="s">
        <v>2305</v>
      </c>
      <c r="C2129" s="2">
        <v>7</v>
      </c>
      <c r="D2129" t="str">
        <f t="shared" si="33"/>
        <v>CA-2015-122210_OFF-FA-10000053</v>
      </c>
      <c r="E2129" t="str">
        <f>IF(COUNTIF(data2!$D:$D,D2129)=0,"Missing in Data2","Present")</f>
        <v>Present</v>
      </c>
    </row>
    <row r="2130" spans="1:5" x14ac:dyDescent="0.25">
      <c r="A2130" s="2" t="s">
        <v>2304</v>
      </c>
      <c r="B2130" s="2" t="s">
        <v>2306</v>
      </c>
      <c r="C2130" s="2">
        <v>4</v>
      </c>
      <c r="D2130" t="str">
        <f t="shared" si="33"/>
        <v>CA-2015-122210_TEC-PH-10002807</v>
      </c>
      <c r="E2130" t="str">
        <f>IF(COUNTIF(data2!$D:$D,D2130)=0,"Missing in Data2","Present")</f>
        <v>Present</v>
      </c>
    </row>
    <row r="2131" spans="1:5" x14ac:dyDescent="0.25">
      <c r="A2131" s="2" t="s">
        <v>2307</v>
      </c>
      <c r="B2131" s="2" t="s">
        <v>1948</v>
      </c>
      <c r="C2131" s="2">
        <v>4</v>
      </c>
      <c r="D2131" t="str">
        <f t="shared" si="33"/>
        <v>CA-2015-122259_OFF-SU-10002573</v>
      </c>
      <c r="E2131" t="str">
        <f>IF(COUNTIF(data2!$D:$D,D2131)=0,"Missing in Data2","Present")</f>
        <v>Present</v>
      </c>
    </row>
    <row r="2132" spans="1:5" x14ac:dyDescent="0.25">
      <c r="A2132" s="2" t="s">
        <v>2308</v>
      </c>
      <c r="B2132" s="2" t="s">
        <v>869</v>
      </c>
      <c r="C2132" s="2">
        <v>1</v>
      </c>
      <c r="D2132" t="str">
        <f t="shared" si="33"/>
        <v>CA-2015-122266_FUR-TA-10000577</v>
      </c>
      <c r="E2132" t="str">
        <f>IF(COUNTIF(data2!$D:$D,D2132)=0,"Missing in Data2","Present")</f>
        <v>Present</v>
      </c>
    </row>
    <row r="2133" spans="1:5" x14ac:dyDescent="0.25">
      <c r="A2133" s="2" t="s">
        <v>2308</v>
      </c>
      <c r="B2133" s="2" t="s">
        <v>58</v>
      </c>
      <c r="C2133" s="2">
        <v>1</v>
      </c>
      <c r="D2133" t="str">
        <f t="shared" si="33"/>
        <v>CA-2015-122266_OFF-AR-10004757</v>
      </c>
      <c r="E2133" t="str">
        <f>IF(COUNTIF(data2!$D:$D,D2133)=0,"Missing in Data2","Present")</f>
        <v>Present</v>
      </c>
    </row>
    <row r="2134" spans="1:5" x14ac:dyDescent="0.25">
      <c r="A2134" s="2" t="s">
        <v>2309</v>
      </c>
      <c r="B2134" s="2" t="s">
        <v>2310</v>
      </c>
      <c r="C2134" s="2">
        <v>5</v>
      </c>
      <c r="D2134" t="str">
        <f t="shared" si="33"/>
        <v>CA-2015-122287_FUR-FU-10004973</v>
      </c>
      <c r="E2134" t="str">
        <f>IF(COUNTIF(data2!$D:$D,D2134)=0,"Missing in Data2","Present")</f>
        <v>Present</v>
      </c>
    </row>
    <row r="2135" spans="1:5" x14ac:dyDescent="0.25">
      <c r="A2135" s="2" t="s">
        <v>2309</v>
      </c>
      <c r="B2135" s="2" t="s">
        <v>2040</v>
      </c>
      <c r="C2135" s="2">
        <v>2</v>
      </c>
      <c r="D2135" t="str">
        <f t="shared" si="33"/>
        <v>CA-2015-122287_OFF-BI-10003707</v>
      </c>
      <c r="E2135" t="str">
        <f>IF(COUNTIF(data2!$D:$D,D2135)=0,"Missing in Data2","Present")</f>
        <v>Present</v>
      </c>
    </row>
    <row r="2136" spans="1:5" x14ac:dyDescent="0.25">
      <c r="A2136" s="2" t="s">
        <v>2309</v>
      </c>
      <c r="B2136" s="2" t="s">
        <v>853</v>
      </c>
      <c r="C2136" s="2">
        <v>7</v>
      </c>
      <c r="D2136" t="str">
        <f t="shared" si="33"/>
        <v>CA-2015-122287_OFF-BI-10004656</v>
      </c>
      <c r="E2136" t="str">
        <f>IF(COUNTIF(data2!$D:$D,D2136)=0,"Missing in Data2","Present")</f>
        <v>Present</v>
      </c>
    </row>
    <row r="2137" spans="1:5" x14ac:dyDescent="0.25">
      <c r="A2137" s="2" t="s">
        <v>2309</v>
      </c>
      <c r="B2137" s="2" t="s">
        <v>2311</v>
      </c>
      <c r="C2137" s="2">
        <v>3</v>
      </c>
      <c r="D2137" t="str">
        <f t="shared" si="33"/>
        <v>CA-2015-122287_OFF-PA-10001661</v>
      </c>
      <c r="E2137" t="str">
        <f>IF(COUNTIF(data2!$D:$D,D2137)=0,"Missing in Data2","Present")</f>
        <v>Present</v>
      </c>
    </row>
    <row r="2138" spans="1:5" x14ac:dyDescent="0.25">
      <c r="A2138" s="2" t="s">
        <v>2312</v>
      </c>
      <c r="B2138" s="2" t="s">
        <v>18</v>
      </c>
      <c r="C2138" s="2">
        <v>2</v>
      </c>
      <c r="D2138" t="str">
        <f t="shared" si="33"/>
        <v>CA-2015-122371_OFF-EN-10000056</v>
      </c>
      <c r="E2138" t="str">
        <f>IF(COUNTIF(data2!$D:$D,D2138)=0,"Missing in Data2","Present")</f>
        <v>Present</v>
      </c>
    </row>
    <row r="2139" spans="1:5" x14ac:dyDescent="0.25">
      <c r="A2139" s="2" t="s">
        <v>2312</v>
      </c>
      <c r="B2139" s="2" t="s">
        <v>1178</v>
      </c>
      <c r="C2139" s="2">
        <v>3</v>
      </c>
      <c r="D2139" t="str">
        <f t="shared" si="33"/>
        <v>CA-2015-122371_OFF-ST-10002370</v>
      </c>
      <c r="E2139" t="str">
        <f>IF(COUNTIF(data2!$D:$D,D2139)=0,"Missing in Data2","Present")</f>
        <v>Present</v>
      </c>
    </row>
    <row r="2140" spans="1:5" x14ac:dyDescent="0.25">
      <c r="A2140" s="2" t="s">
        <v>2313</v>
      </c>
      <c r="B2140" s="2" t="s">
        <v>2314</v>
      </c>
      <c r="C2140" s="2">
        <v>1</v>
      </c>
      <c r="D2140" t="str">
        <f t="shared" si="33"/>
        <v>CA-2015-122406_FUR-CH-10001973</v>
      </c>
      <c r="E2140" t="str">
        <f>IF(COUNTIF(data2!$D:$D,D2140)=0,"Missing in Data2","Present")</f>
        <v>Present</v>
      </c>
    </row>
    <row r="2141" spans="1:5" x14ac:dyDescent="0.25">
      <c r="A2141" s="2" t="s">
        <v>2313</v>
      </c>
      <c r="B2141" s="2" t="s">
        <v>2108</v>
      </c>
      <c r="C2141" s="2">
        <v>2</v>
      </c>
      <c r="D2141" t="str">
        <f t="shared" si="33"/>
        <v>CA-2015-122406_OFF-PA-10001307</v>
      </c>
      <c r="E2141" t="str">
        <f>IF(COUNTIF(data2!$D:$D,D2141)=0,"Missing in Data2","Present")</f>
        <v>Present</v>
      </c>
    </row>
    <row r="2142" spans="1:5" x14ac:dyDescent="0.25">
      <c r="A2142" s="2" t="s">
        <v>2313</v>
      </c>
      <c r="B2142" s="2" t="s">
        <v>1133</v>
      </c>
      <c r="C2142" s="2">
        <v>2</v>
      </c>
      <c r="D2142" t="str">
        <f t="shared" si="33"/>
        <v>CA-2015-122406_TEC-AC-10004571</v>
      </c>
      <c r="E2142" t="str">
        <f>IF(COUNTIF(data2!$D:$D,D2142)=0,"Missing in Data2","Present")</f>
        <v>Present</v>
      </c>
    </row>
    <row r="2143" spans="1:5" x14ac:dyDescent="0.25">
      <c r="A2143" s="2" t="s">
        <v>2313</v>
      </c>
      <c r="B2143" s="2" t="s">
        <v>1914</v>
      </c>
      <c r="C2143" s="2">
        <v>3</v>
      </c>
      <c r="D2143" t="str">
        <f t="shared" si="33"/>
        <v>CA-2015-122406_TEC-PH-10001527</v>
      </c>
      <c r="E2143" t="str">
        <f>IF(COUNTIF(data2!$D:$D,D2143)=0,"Missing in Data2","Present")</f>
        <v>Present</v>
      </c>
    </row>
    <row r="2144" spans="1:5" x14ac:dyDescent="0.25">
      <c r="A2144" s="2" t="s">
        <v>2315</v>
      </c>
      <c r="B2144" s="2" t="s">
        <v>555</v>
      </c>
      <c r="C2144" s="2">
        <v>2</v>
      </c>
      <c r="D2144" t="str">
        <f t="shared" si="33"/>
        <v>CA-2015-122623_FUR-CH-10000553</v>
      </c>
      <c r="E2144" t="str">
        <f>IF(COUNTIF(data2!$D:$D,D2144)=0,"Missing in Data2","Present")</f>
        <v>Present</v>
      </c>
    </row>
    <row r="2145" spans="1:5" x14ac:dyDescent="0.25">
      <c r="A2145" s="2" t="s">
        <v>2316</v>
      </c>
      <c r="B2145" s="2" t="s">
        <v>2317</v>
      </c>
      <c r="C2145" s="2">
        <v>1</v>
      </c>
      <c r="D2145" t="str">
        <f t="shared" si="33"/>
        <v>CA-2015-122756_FUR-FU-10001935</v>
      </c>
      <c r="E2145" t="str">
        <f>IF(COUNTIF(data2!$D:$D,D2145)=0,"Missing in Data2","Present")</f>
        <v>Present</v>
      </c>
    </row>
    <row r="2146" spans="1:5" x14ac:dyDescent="0.25">
      <c r="A2146" s="2" t="s">
        <v>2316</v>
      </c>
      <c r="B2146" s="2" t="s">
        <v>2318</v>
      </c>
      <c r="C2146" s="2">
        <v>4</v>
      </c>
      <c r="D2146" t="str">
        <f t="shared" si="33"/>
        <v>CA-2015-122756_TEC-MA-10001681</v>
      </c>
      <c r="E2146" t="str">
        <f>IF(COUNTIF(data2!$D:$D,D2146)=0,"Missing in Data2","Present")</f>
        <v>Present</v>
      </c>
    </row>
    <row r="2147" spans="1:5" x14ac:dyDescent="0.25">
      <c r="A2147" s="2" t="s">
        <v>2319</v>
      </c>
      <c r="B2147" s="2" t="s">
        <v>2320</v>
      </c>
      <c r="C2147" s="2">
        <v>4</v>
      </c>
      <c r="D2147" t="str">
        <f t="shared" si="33"/>
        <v>CA-2015-122826_TEC-PH-10004830</v>
      </c>
      <c r="E2147" t="str">
        <f>IF(COUNTIF(data2!$D:$D,D2147)=0,"Missing in Data2","Present")</f>
        <v>Missing in Data2</v>
      </c>
    </row>
    <row r="2148" spans="1:5" x14ac:dyDescent="0.25">
      <c r="A2148" s="2" t="s">
        <v>2321</v>
      </c>
      <c r="B2148" s="2" t="s">
        <v>1325</v>
      </c>
      <c r="C2148" s="2">
        <v>1</v>
      </c>
      <c r="D2148" t="str">
        <f t="shared" si="33"/>
        <v>CA-2015-122973_FUR-FU-10002364</v>
      </c>
      <c r="E2148" t="str">
        <f>IF(COUNTIF(data2!$D:$D,D2148)=0,"Missing in Data2","Present")</f>
        <v>Present</v>
      </c>
    </row>
    <row r="2149" spans="1:5" x14ac:dyDescent="0.25">
      <c r="A2149" s="2" t="s">
        <v>2321</v>
      </c>
      <c r="B2149" s="2" t="s">
        <v>2322</v>
      </c>
      <c r="C2149" s="2">
        <v>2</v>
      </c>
      <c r="D2149" t="str">
        <f t="shared" si="33"/>
        <v>CA-2015-122973_OFF-BI-10004182</v>
      </c>
      <c r="E2149" t="str">
        <f>IF(COUNTIF(data2!$D:$D,D2149)=0,"Missing in Data2","Present")</f>
        <v>Present</v>
      </c>
    </row>
    <row r="2150" spans="1:5" x14ac:dyDescent="0.25">
      <c r="A2150" s="2" t="s">
        <v>2321</v>
      </c>
      <c r="B2150" s="2" t="s">
        <v>200</v>
      </c>
      <c r="C2150" s="2">
        <v>1</v>
      </c>
      <c r="D2150" t="str">
        <f t="shared" si="33"/>
        <v>CA-2015-122973_TEC-PH-10002468</v>
      </c>
      <c r="E2150" t="str">
        <f>IF(COUNTIF(data2!$D:$D,D2150)=0,"Missing in Data2","Present")</f>
        <v>Present</v>
      </c>
    </row>
    <row r="2151" spans="1:5" x14ac:dyDescent="0.25">
      <c r="A2151" s="2" t="s">
        <v>2323</v>
      </c>
      <c r="B2151" s="2" t="s">
        <v>594</v>
      </c>
      <c r="C2151" s="2">
        <v>3</v>
      </c>
      <c r="D2151" t="str">
        <f t="shared" si="33"/>
        <v>CA-2015-123092_FUR-FU-10000222</v>
      </c>
      <c r="E2151" t="str">
        <f>IF(COUNTIF(data2!$D:$D,D2151)=0,"Missing in Data2","Present")</f>
        <v>Present</v>
      </c>
    </row>
    <row r="2152" spans="1:5" x14ac:dyDescent="0.25">
      <c r="A2152" s="2" t="s">
        <v>2323</v>
      </c>
      <c r="B2152" s="2" t="s">
        <v>1096</v>
      </c>
      <c r="C2152" s="2">
        <v>2</v>
      </c>
      <c r="D2152" t="str">
        <f t="shared" si="33"/>
        <v>CA-2015-123092_OFF-AR-10004078</v>
      </c>
      <c r="E2152" t="str">
        <f>IF(COUNTIF(data2!$D:$D,D2152)=0,"Missing in Data2","Present")</f>
        <v>Present</v>
      </c>
    </row>
    <row r="2153" spans="1:5" x14ac:dyDescent="0.25">
      <c r="A2153" s="2" t="s">
        <v>2323</v>
      </c>
      <c r="B2153" s="2" t="s">
        <v>2324</v>
      </c>
      <c r="C2153" s="2">
        <v>5</v>
      </c>
      <c r="D2153" t="str">
        <f t="shared" si="33"/>
        <v>CA-2015-123092_OFF-BI-10001718</v>
      </c>
      <c r="E2153" t="str">
        <f>IF(COUNTIF(data2!$D:$D,D2153)=0,"Missing in Data2","Present")</f>
        <v>Missing in Data2</v>
      </c>
    </row>
    <row r="2154" spans="1:5" x14ac:dyDescent="0.25">
      <c r="A2154" s="2" t="s">
        <v>2323</v>
      </c>
      <c r="B2154" s="2" t="s">
        <v>2325</v>
      </c>
      <c r="C2154" s="2">
        <v>2</v>
      </c>
      <c r="D2154" t="str">
        <f t="shared" si="33"/>
        <v>CA-2015-123092_TEC-PH-10001700</v>
      </c>
      <c r="E2154" t="str">
        <f>IF(COUNTIF(data2!$D:$D,D2154)=0,"Missing in Data2","Present")</f>
        <v>Present</v>
      </c>
    </row>
    <row r="2155" spans="1:5" x14ac:dyDescent="0.25">
      <c r="A2155" s="2" t="s">
        <v>2326</v>
      </c>
      <c r="B2155" s="2" t="s">
        <v>2327</v>
      </c>
      <c r="C2155" s="2">
        <v>8</v>
      </c>
      <c r="D2155" t="str">
        <f t="shared" si="33"/>
        <v>CA-2015-123113_OFF-AP-10000275</v>
      </c>
      <c r="E2155" t="str">
        <f>IF(COUNTIF(data2!$D:$D,D2155)=0,"Missing in Data2","Present")</f>
        <v>Present</v>
      </c>
    </row>
    <row r="2156" spans="1:5" x14ac:dyDescent="0.25">
      <c r="A2156" s="2" t="s">
        <v>2326</v>
      </c>
      <c r="B2156" s="2" t="s">
        <v>352</v>
      </c>
      <c r="C2156" s="2">
        <v>3</v>
      </c>
      <c r="D2156" t="str">
        <f t="shared" si="33"/>
        <v>CA-2015-123113_OFF-AR-10004999</v>
      </c>
      <c r="E2156" t="str">
        <f>IF(COUNTIF(data2!$D:$D,D2156)=0,"Missing in Data2","Present")</f>
        <v>Missing in Data2</v>
      </c>
    </row>
    <row r="2157" spans="1:5" x14ac:dyDescent="0.25">
      <c r="A2157" s="2" t="s">
        <v>2328</v>
      </c>
      <c r="B2157" s="2" t="s">
        <v>415</v>
      </c>
      <c r="C2157" s="2">
        <v>3</v>
      </c>
      <c r="D2157" t="str">
        <f t="shared" si="33"/>
        <v>CA-2015-123141_FUR-CH-10001891</v>
      </c>
      <c r="E2157" t="str">
        <f>IF(COUNTIF(data2!$D:$D,D2157)=0,"Missing in Data2","Present")</f>
        <v>Present</v>
      </c>
    </row>
    <row r="2158" spans="1:5" x14ac:dyDescent="0.25">
      <c r="A2158" s="2" t="s">
        <v>2328</v>
      </c>
      <c r="B2158" s="2" t="s">
        <v>1083</v>
      </c>
      <c r="C2158" s="2">
        <v>4</v>
      </c>
      <c r="D2158" t="str">
        <f t="shared" si="33"/>
        <v>CA-2015-123141_FUR-CH-10004287</v>
      </c>
      <c r="E2158" t="str">
        <f>IF(COUNTIF(data2!$D:$D,D2158)=0,"Missing in Data2","Present")</f>
        <v>Present</v>
      </c>
    </row>
    <row r="2159" spans="1:5" x14ac:dyDescent="0.25">
      <c r="A2159" s="2" t="s">
        <v>2329</v>
      </c>
      <c r="B2159" s="2" t="s">
        <v>1076</v>
      </c>
      <c r="C2159" s="2">
        <v>5</v>
      </c>
      <c r="D2159" t="str">
        <f t="shared" si="33"/>
        <v>CA-2015-123155_TEC-AC-10002473</v>
      </c>
      <c r="E2159" t="str">
        <f>IF(COUNTIF(data2!$D:$D,D2159)=0,"Missing in Data2","Present")</f>
        <v>Present</v>
      </c>
    </row>
    <row r="2160" spans="1:5" x14ac:dyDescent="0.25">
      <c r="A2160" s="2" t="s">
        <v>2329</v>
      </c>
      <c r="B2160" s="2" t="s">
        <v>1436</v>
      </c>
      <c r="C2160" s="2">
        <v>3</v>
      </c>
      <c r="D2160" t="str">
        <f t="shared" si="33"/>
        <v>CA-2015-123155_TEC-PH-10001809</v>
      </c>
      <c r="E2160" t="str">
        <f>IF(COUNTIF(data2!$D:$D,D2160)=0,"Missing in Data2","Present")</f>
        <v>Present</v>
      </c>
    </row>
    <row r="2161" spans="1:5" x14ac:dyDescent="0.25">
      <c r="A2161" s="2" t="s">
        <v>2330</v>
      </c>
      <c r="B2161" s="2" t="s">
        <v>87</v>
      </c>
      <c r="C2161" s="2">
        <v>4</v>
      </c>
      <c r="D2161" t="str">
        <f t="shared" si="33"/>
        <v>CA-2015-123232_TEC-PH-10001051</v>
      </c>
      <c r="E2161" t="str">
        <f>IF(COUNTIF(data2!$D:$D,D2161)=0,"Missing in Data2","Present")</f>
        <v>Present</v>
      </c>
    </row>
    <row r="2162" spans="1:5" x14ac:dyDescent="0.25">
      <c r="A2162" s="2" t="s">
        <v>2331</v>
      </c>
      <c r="B2162" s="2" t="s">
        <v>1647</v>
      </c>
      <c r="C2162" s="2">
        <v>3</v>
      </c>
      <c r="D2162" t="str">
        <f t="shared" si="33"/>
        <v>CA-2015-123330_TEC-PH-10001819</v>
      </c>
      <c r="E2162" t="str">
        <f>IF(COUNTIF(data2!$D:$D,D2162)=0,"Missing in Data2","Present")</f>
        <v>Present</v>
      </c>
    </row>
    <row r="2163" spans="1:5" x14ac:dyDescent="0.25">
      <c r="A2163" s="2" t="s">
        <v>2332</v>
      </c>
      <c r="B2163" s="2" t="s">
        <v>2333</v>
      </c>
      <c r="C2163" s="2">
        <v>2</v>
      </c>
      <c r="D2163" t="str">
        <f t="shared" si="33"/>
        <v>CA-2015-123456_OFF-AP-10002684</v>
      </c>
      <c r="E2163" t="str">
        <f>IF(COUNTIF(data2!$D:$D,D2163)=0,"Missing in Data2","Present")</f>
        <v>Present</v>
      </c>
    </row>
    <row r="2164" spans="1:5" x14ac:dyDescent="0.25">
      <c r="A2164" s="2" t="s">
        <v>2334</v>
      </c>
      <c r="B2164" s="2" t="s">
        <v>1051</v>
      </c>
      <c r="C2164" s="2">
        <v>3</v>
      </c>
      <c r="D2164" t="str">
        <f t="shared" si="33"/>
        <v>CA-2015-123505_OFF-PA-10002586</v>
      </c>
      <c r="E2164" t="str">
        <f>IF(COUNTIF(data2!$D:$D,D2164)=0,"Missing in Data2","Present")</f>
        <v>Present</v>
      </c>
    </row>
    <row r="2165" spans="1:5" x14ac:dyDescent="0.25">
      <c r="A2165" s="2" t="s">
        <v>2335</v>
      </c>
      <c r="B2165" s="2" t="s">
        <v>1954</v>
      </c>
      <c r="C2165" s="2">
        <v>5</v>
      </c>
      <c r="D2165" t="str">
        <f t="shared" si="33"/>
        <v>CA-2015-123568_OFF-BI-10001510</v>
      </c>
      <c r="E2165" t="str">
        <f>IF(COUNTIF(data2!$D:$D,D2165)=0,"Missing in Data2","Present")</f>
        <v>Missing in Data2</v>
      </c>
    </row>
    <row r="2166" spans="1:5" x14ac:dyDescent="0.25">
      <c r="A2166" s="2" t="s">
        <v>2335</v>
      </c>
      <c r="B2166" s="2" t="s">
        <v>2336</v>
      </c>
      <c r="C2166" s="2">
        <v>3</v>
      </c>
      <c r="D2166" t="str">
        <f t="shared" si="33"/>
        <v>CA-2015-123568_OFF-FA-10002701</v>
      </c>
      <c r="E2166" t="str">
        <f>IF(COUNTIF(data2!$D:$D,D2166)=0,"Missing in Data2","Present")</f>
        <v>Present</v>
      </c>
    </row>
    <row r="2167" spans="1:5" x14ac:dyDescent="0.25">
      <c r="A2167" s="2" t="s">
        <v>2335</v>
      </c>
      <c r="B2167" s="2" t="s">
        <v>781</v>
      </c>
      <c r="C2167" s="2">
        <v>3</v>
      </c>
      <c r="D2167" t="str">
        <f t="shared" si="33"/>
        <v>CA-2015-123568_OFF-PA-10001125</v>
      </c>
      <c r="E2167" t="str">
        <f>IF(COUNTIF(data2!$D:$D,D2167)=0,"Missing in Data2","Present")</f>
        <v>Present</v>
      </c>
    </row>
    <row r="2168" spans="1:5" x14ac:dyDescent="0.25">
      <c r="A2168" s="2" t="s">
        <v>2337</v>
      </c>
      <c r="B2168" s="2" t="s">
        <v>1436</v>
      </c>
      <c r="C2168" s="2">
        <v>2</v>
      </c>
      <c r="D2168" t="str">
        <f t="shared" si="33"/>
        <v>CA-2015-123673_TEC-PH-10001809</v>
      </c>
      <c r="E2168" t="str">
        <f>IF(COUNTIF(data2!$D:$D,D2168)=0,"Missing in Data2","Present")</f>
        <v>Present</v>
      </c>
    </row>
    <row r="2169" spans="1:5" x14ac:dyDescent="0.25">
      <c r="A2169" s="2" t="s">
        <v>2338</v>
      </c>
      <c r="B2169" s="2" t="s">
        <v>2339</v>
      </c>
      <c r="C2169" s="2">
        <v>3</v>
      </c>
      <c r="D2169" t="str">
        <f t="shared" si="33"/>
        <v>CA-2015-123939_OFF-LA-10003190</v>
      </c>
      <c r="E2169" t="str">
        <f>IF(COUNTIF(data2!$D:$D,D2169)=0,"Missing in Data2","Present")</f>
        <v>Present</v>
      </c>
    </row>
    <row r="2170" spans="1:5" x14ac:dyDescent="0.25">
      <c r="A2170" s="2" t="s">
        <v>2338</v>
      </c>
      <c r="B2170" s="2" t="s">
        <v>550</v>
      </c>
      <c r="C2170" s="2">
        <v>3</v>
      </c>
      <c r="D2170" t="str">
        <f t="shared" si="33"/>
        <v>CA-2015-123939_OFF-ST-10003208</v>
      </c>
      <c r="E2170" t="str">
        <f>IF(COUNTIF(data2!$D:$D,D2170)=0,"Missing in Data2","Present")</f>
        <v>Present</v>
      </c>
    </row>
    <row r="2171" spans="1:5" x14ac:dyDescent="0.25">
      <c r="A2171" s="2" t="s">
        <v>2338</v>
      </c>
      <c r="B2171" s="2" t="s">
        <v>2340</v>
      </c>
      <c r="C2171" s="2">
        <v>3</v>
      </c>
      <c r="D2171" t="str">
        <f t="shared" si="33"/>
        <v>CA-2015-123939_TEC-PH-10000923</v>
      </c>
      <c r="E2171" t="str">
        <f>IF(COUNTIF(data2!$D:$D,D2171)=0,"Missing in Data2","Present")</f>
        <v>Present</v>
      </c>
    </row>
    <row r="2172" spans="1:5" x14ac:dyDescent="0.25">
      <c r="A2172" s="2" t="s">
        <v>2341</v>
      </c>
      <c r="B2172" s="2" t="s">
        <v>2342</v>
      </c>
      <c r="C2172" s="2">
        <v>3</v>
      </c>
      <c r="D2172" t="str">
        <f t="shared" si="33"/>
        <v>CA-2015-124044_OFF-BI-10003460</v>
      </c>
      <c r="E2172" t="str">
        <f>IF(COUNTIF(data2!$D:$D,D2172)=0,"Missing in Data2","Present")</f>
        <v>Present</v>
      </c>
    </row>
    <row r="2173" spans="1:5" x14ac:dyDescent="0.25">
      <c r="A2173" s="2" t="s">
        <v>2343</v>
      </c>
      <c r="B2173" s="2" t="s">
        <v>1520</v>
      </c>
      <c r="C2173" s="2">
        <v>3</v>
      </c>
      <c r="D2173" t="str">
        <f t="shared" si="33"/>
        <v>CA-2015-124058_FUR-CH-10000595</v>
      </c>
      <c r="E2173" t="str">
        <f>IF(COUNTIF(data2!$D:$D,D2173)=0,"Missing in Data2","Present")</f>
        <v>Present</v>
      </c>
    </row>
    <row r="2174" spans="1:5" x14ac:dyDescent="0.25">
      <c r="A2174" s="2" t="s">
        <v>2343</v>
      </c>
      <c r="B2174" s="2" t="s">
        <v>2344</v>
      </c>
      <c r="C2174" s="2">
        <v>7</v>
      </c>
      <c r="D2174" t="str">
        <f t="shared" si="33"/>
        <v>CA-2015-124058_TEC-PH-10004774</v>
      </c>
      <c r="E2174" t="str">
        <f>IF(COUNTIF(data2!$D:$D,D2174)=0,"Missing in Data2","Present")</f>
        <v>Present</v>
      </c>
    </row>
    <row r="2175" spans="1:5" x14ac:dyDescent="0.25">
      <c r="A2175" s="2" t="s">
        <v>2345</v>
      </c>
      <c r="B2175" s="2" t="s">
        <v>2346</v>
      </c>
      <c r="C2175" s="2">
        <v>3</v>
      </c>
      <c r="D2175" t="str">
        <f t="shared" si="33"/>
        <v>CA-2015-124107_OFF-AP-10003971</v>
      </c>
      <c r="E2175" t="str">
        <f>IF(COUNTIF(data2!$D:$D,D2175)=0,"Missing in Data2","Present")</f>
        <v>Present</v>
      </c>
    </row>
    <row r="2176" spans="1:5" x14ac:dyDescent="0.25">
      <c r="A2176" s="2" t="s">
        <v>2345</v>
      </c>
      <c r="B2176" s="2" t="s">
        <v>481</v>
      </c>
      <c r="C2176" s="2">
        <v>7</v>
      </c>
      <c r="D2176" t="str">
        <f t="shared" si="33"/>
        <v>CA-2015-124107_OFF-EN-10003286</v>
      </c>
      <c r="E2176" t="str">
        <f>IF(COUNTIF(data2!$D:$D,D2176)=0,"Missing in Data2","Present")</f>
        <v>Present</v>
      </c>
    </row>
    <row r="2177" spans="1:5" x14ac:dyDescent="0.25">
      <c r="A2177" s="2" t="s">
        <v>2345</v>
      </c>
      <c r="B2177" s="2" t="s">
        <v>2347</v>
      </c>
      <c r="C2177" s="2">
        <v>3</v>
      </c>
      <c r="D2177" t="str">
        <f t="shared" si="33"/>
        <v>CA-2015-124107_TEC-PH-10003875</v>
      </c>
      <c r="E2177" t="str">
        <f>IF(COUNTIF(data2!$D:$D,D2177)=0,"Missing in Data2","Present")</f>
        <v>Present</v>
      </c>
    </row>
    <row r="2178" spans="1:5" x14ac:dyDescent="0.25">
      <c r="A2178" s="2" t="s">
        <v>2348</v>
      </c>
      <c r="B2178" s="2" t="s">
        <v>2349</v>
      </c>
      <c r="C2178" s="2">
        <v>3</v>
      </c>
      <c r="D2178" t="str">
        <f t="shared" si="33"/>
        <v>CA-2015-124268_OFF-AR-10004817</v>
      </c>
      <c r="E2178" t="str">
        <f>IF(COUNTIF(data2!$D:$D,D2178)=0,"Missing in Data2","Present")</f>
        <v>Present</v>
      </c>
    </row>
    <row r="2179" spans="1:5" x14ac:dyDescent="0.25">
      <c r="A2179" s="2" t="s">
        <v>2350</v>
      </c>
      <c r="B2179" s="2" t="s">
        <v>2351</v>
      </c>
      <c r="C2179" s="2">
        <v>3</v>
      </c>
      <c r="D2179" t="str">
        <f t="shared" ref="D2179:D2242" si="34">A2179&amp;"_"&amp;B2179</f>
        <v>CA-2015-124450_FUR-CH-10000309</v>
      </c>
      <c r="E2179" t="str">
        <f>IF(COUNTIF(data2!$D:$D,D2179)=0,"Missing in Data2","Present")</f>
        <v>Present</v>
      </c>
    </row>
    <row r="2180" spans="1:5" x14ac:dyDescent="0.25">
      <c r="A2180" s="2" t="s">
        <v>2350</v>
      </c>
      <c r="B2180" s="2" t="s">
        <v>2352</v>
      </c>
      <c r="C2180" s="2">
        <v>3</v>
      </c>
      <c r="D2180" t="str">
        <f t="shared" si="34"/>
        <v>CA-2015-124450_OFF-AR-10001166</v>
      </c>
      <c r="E2180" t="str">
        <f>IF(COUNTIF(data2!$D:$D,D2180)=0,"Missing in Data2","Present")</f>
        <v>Present</v>
      </c>
    </row>
    <row r="2181" spans="1:5" x14ac:dyDescent="0.25">
      <c r="A2181" s="2" t="s">
        <v>2350</v>
      </c>
      <c r="B2181" s="2" t="s">
        <v>2353</v>
      </c>
      <c r="C2181" s="2">
        <v>8</v>
      </c>
      <c r="D2181" t="str">
        <f t="shared" si="34"/>
        <v>CA-2015-124450_TEC-MA-10004212</v>
      </c>
      <c r="E2181" t="str">
        <f>IF(COUNTIF(data2!$D:$D,D2181)=0,"Missing in Data2","Present")</f>
        <v>Present</v>
      </c>
    </row>
    <row r="2182" spans="1:5" x14ac:dyDescent="0.25">
      <c r="A2182" s="2" t="s">
        <v>2354</v>
      </c>
      <c r="B2182" s="2" t="s">
        <v>665</v>
      </c>
      <c r="C2182" s="2">
        <v>3</v>
      </c>
      <c r="D2182" t="str">
        <f t="shared" si="34"/>
        <v>CA-2015-124499_FUR-CH-10000513</v>
      </c>
      <c r="E2182" t="str">
        <f>IF(COUNTIF(data2!$D:$D,D2182)=0,"Missing in Data2","Present")</f>
        <v>Present</v>
      </c>
    </row>
    <row r="2183" spans="1:5" x14ac:dyDescent="0.25">
      <c r="A2183" s="2" t="s">
        <v>2354</v>
      </c>
      <c r="B2183" s="2" t="s">
        <v>1704</v>
      </c>
      <c r="C2183" s="2">
        <v>5</v>
      </c>
      <c r="D2183" t="str">
        <f t="shared" si="34"/>
        <v>CA-2015-124499_OFF-AP-10002191</v>
      </c>
      <c r="E2183" t="str">
        <f>IF(COUNTIF(data2!$D:$D,D2183)=0,"Missing in Data2","Present")</f>
        <v>Present</v>
      </c>
    </row>
    <row r="2184" spans="1:5" x14ac:dyDescent="0.25">
      <c r="A2184" s="2" t="s">
        <v>2355</v>
      </c>
      <c r="B2184" s="2" t="s">
        <v>1096</v>
      </c>
      <c r="C2184" s="2">
        <v>9</v>
      </c>
      <c r="D2184" t="str">
        <f t="shared" si="34"/>
        <v>CA-2015-124541_OFF-AR-10004078</v>
      </c>
      <c r="E2184" t="str">
        <f>IF(COUNTIF(data2!$D:$D,D2184)=0,"Missing in Data2","Present")</f>
        <v>Present</v>
      </c>
    </row>
    <row r="2185" spans="1:5" x14ac:dyDescent="0.25">
      <c r="A2185" s="2" t="s">
        <v>2355</v>
      </c>
      <c r="B2185" s="2" t="s">
        <v>248</v>
      </c>
      <c r="C2185" s="2">
        <v>6</v>
      </c>
      <c r="D2185" t="str">
        <f t="shared" si="34"/>
        <v>CA-2015-124541_OFF-BI-10004209</v>
      </c>
      <c r="E2185" t="str">
        <f>IF(COUNTIF(data2!$D:$D,D2185)=0,"Missing in Data2","Present")</f>
        <v>Present</v>
      </c>
    </row>
    <row r="2186" spans="1:5" x14ac:dyDescent="0.25">
      <c r="A2186" s="2" t="s">
        <v>2355</v>
      </c>
      <c r="B2186" s="2" t="s">
        <v>1686</v>
      </c>
      <c r="C2186" s="2">
        <v>3</v>
      </c>
      <c r="D2186" t="str">
        <f t="shared" si="34"/>
        <v>CA-2015-124541_OFF-BI-10004965</v>
      </c>
      <c r="E2186" t="str">
        <f>IF(COUNTIF(data2!$D:$D,D2186)=0,"Missing in Data2","Present")</f>
        <v>Present</v>
      </c>
    </row>
    <row r="2187" spans="1:5" x14ac:dyDescent="0.25">
      <c r="A2187" s="2" t="s">
        <v>2355</v>
      </c>
      <c r="B2187" s="2" t="s">
        <v>785</v>
      </c>
      <c r="C2187" s="2">
        <v>2</v>
      </c>
      <c r="D2187" t="str">
        <f t="shared" si="34"/>
        <v>CA-2015-124541_OFF-PA-10001526</v>
      </c>
      <c r="E2187" t="str">
        <f>IF(COUNTIF(data2!$D:$D,D2187)=0,"Missing in Data2","Present")</f>
        <v>Present</v>
      </c>
    </row>
    <row r="2188" spans="1:5" x14ac:dyDescent="0.25">
      <c r="A2188" s="2" t="s">
        <v>2355</v>
      </c>
      <c r="B2188" s="2" t="s">
        <v>1055</v>
      </c>
      <c r="C2188" s="2">
        <v>2</v>
      </c>
      <c r="D2188" t="str">
        <f t="shared" si="34"/>
        <v>CA-2015-124541_TEC-AC-10002550</v>
      </c>
      <c r="E2188" t="str">
        <f>IF(COUNTIF(data2!$D:$D,D2188)=0,"Missing in Data2","Present")</f>
        <v>Missing in Data2</v>
      </c>
    </row>
    <row r="2189" spans="1:5" x14ac:dyDescent="0.25">
      <c r="A2189" s="2" t="s">
        <v>2356</v>
      </c>
      <c r="B2189" s="2" t="s">
        <v>671</v>
      </c>
      <c r="C2189" s="2">
        <v>7</v>
      </c>
      <c r="D2189" t="str">
        <f t="shared" si="34"/>
        <v>CA-2015-124653_OFF-LA-10002271</v>
      </c>
      <c r="E2189" t="str">
        <f>IF(COUNTIF(data2!$D:$D,D2189)=0,"Missing in Data2","Present")</f>
        <v>Present</v>
      </c>
    </row>
    <row r="2190" spans="1:5" x14ac:dyDescent="0.25">
      <c r="A2190" s="2" t="s">
        <v>2356</v>
      </c>
      <c r="B2190" s="2" t="s">
        <v>7</v>
      </c>
      <c r="C2190" s="2">
        <v>7</v>
      </c>
      <c r="D2190" t="str">
        <f t="shared" si="34"/>
        <v>CA-2015-124653_OFF-PA-10000176</v>
      </c>
      <c r="E2190" t="str">
        <f>IF(COUNTIF(data2!$D:$D,D2190)=0,"Missing in Data2","Present")</f>
        <v>Present</v>
      </c>
    </row>
    <row r="2191" spans="1:5" x14ac:dyDescent="0.25">
      <c r="A2191" s="2" t="s">
        <v>2357</v>
      </c>
      <c r="B2191" s="2" t="s">
        <v>1992</v>
      </c>
      <c r="C2191" s="2">
        <v>2</v>
      </c>
      <c r="D2191" t="str">
        <f t="shared" si="34"/>
        <v>CA-2015-124800_OFF-AP-10004980</v>
      </c>
      <c r="E2191" t="str">
        <f>IF(COUNTIF(data2!$D:$D,D2191)=0,"Missing in Data2","Present")</f>
        <v>Missing in Data2</v>
      </c>
    </row>
    <row r="2192" spans="1:5" x14ac:dyDescent="0.25">
      <c r="A2192" s="2" t="s">
        <v>2357</v>
      </c>
      <c r="B2192" s="2" t="s">
        <v>2358</v>
      </c>
      <c r="C2192" s="2">
        <v>2</v>
      </c>
      <c r="D2192" t="str">
        <f t="shared" si="34"/>
        <v>CA-2015-124800_OFF-BI-10000778</v>
      </c>
      <c r="E2192" t="str">
        <f>IF(COUNTIF(data2!$D:$D,D2192)=0,"Missing in Data2","Present")</f>
        <v>Present</v>
      </c>
    </row>
    <row r="2193" spans="1:5" x14ac:dyDescent="0.25">
      <c r="A2193" s="2" t="s">
        <v>2357</v>
      </c>
      <c r="B2193" s="2" t="s">
        <v>49</v>
      </c>
      <c r="C2193" s="2">
        <v>9</v>
      </c>
      <c r="D2193" t="str">
        <f t="shared" si="34"/>
        <v>CA-2015-124800_OFF-BI-10003984</v>
      </c>
      <c r="E2193" t="str">
        <f>IF(COUNTIF(data2!$D:$D,D2193)=0,"Missing in Data2","Present")</f>
        <v>Present</v>
      </c>
    </row>
    <row r="2194" spans="1:5" x14ac:dyDescent="0.25">
      <c r="A2194" s="2" t="s">
        <v>2357</v>
      </c>
      <c r="B2194" s="2" t="s">
        <v>2359</v>
      </c>
      <c r="C2194" s="2">
        <v>4</v>
      </c>
      <c r="D2194" t="str">
        <f t="shared" si="34"/>
        <v>CA-2015-124800_OFF-PA-10000501</v>
      </c>
      <c r="E2194" t="str">
        <f>IF(COUNTIF(data2!$D:$D,D2194)=0,"Missing in Data2","Present")</f>
        <v>Present</v>
      </c>
    </row>
    <row r="2195" spans="1:5" x14ac:dyDescent="0.25">
      <c r="A2195" s="2" t="s">
        <v>2357</v>
      </c>
      <c r="B2195" s="2" t="s">
        <v>295</v>
      </c>
      <c r="C2195" s="2">
        <v>6</v>
      </c>
      <c r="D2195" t="str">
        <f t="shared" si="34"/>
        <v>CA-2015-124800_OFF-ST-10000798</v>
      </c>
      <c r="E2195" t="str">
        <f>IF(COUNTIF(data2!$D:$D,D2195)=0,"Missing in Data2","Present")</f>
        <v>Present</v>
      </c>
    </row>
    <row r="2196" spans="1:5" x14ac:dyDescent="0.25">
      <c r="A2196" s="2" t="s">
        <v>2357</v>
      </c>
      <c r="B2196" s="2" t="s">
        <v>444</v>
      </c>
      <c r="C2196" s="2">
        <v>4</v>
      </c>
      <c r="D2196" t="str">
        <f t="shared" si="34"/>
        <v>CA-2015-124800_OFF-ST-10002743</v>
      </c>
      <c r="E2196" t="str">
        <f>IF(COUNTIF(data2!$D:$D,D2196)=0,"Missing in Data2","Present")</f>
        <v>Present</v>
      </c>
    </row>
    <row r="2197" spans="1:5" x14ac:dyDescent="0.25">
      <c r="A2197" s="2" t="s">
        <v>2357</v>
      </c>
      <c r="B2197" s="2" t="s">
        <v>1092</v>
      </c>
      <c r="C2197" s="2">
        <v>5</v>
      </c>
      <c r="D2197" t="str">
        <f t="shared" si="34"/>
        <v>CA-2015-124800_TEC-PH-10001750</v>
      </c>
      <c r="E2197" t="str">
        <f>IF(COUNTIF(data2!$D:$D,D2197)=0,"Missing in Data2","Present")</f>
        <v>Present</v>
      </c>
    </row>
    <row r="2198" spans="1:5" x14ac:dyDescent="0.25">
      <c r="A2198" s="2" t="s">
        <v>2360</v>
      </c>
      <c r="B2198" s="2" t="s">
        <v>1456</v>
      </c>
      <c r="C2198" s="2">
        <v>7</v>
      </c>
      <c r="D2198" t="str">
        <f t="shared" si="34"/>
        <v>CA-2015-124891_FUR-TA-10002903</v>
      </c>
      <c r="E2198" t="str">
        <f>IF(COUNTIF(data2!$D:$D,D2198)=0,"Missing in Data2","Present")</f>
        <v>Present</v>
      </c>
    </row>
    <row r="2199" spans="1:5" x14ac:dyDescent="0.25">
      <c r="A2199" s="2" t="s">
        <v>2360</v>
      </c>
      <c r="B2199" s="2" t="s">
        <v>2081</v>
      </c>
      <c r="C2199" s="2">
        <v>3</v>
      </c>
      <c r="D2199" t="str">
        <f t="shared" si="34"/>
        <v>CA-2015-124891_OFF-PA-10004621</v>
      </c>
      <c r="E2199" t="str">
        <f>IF(COUNTIF(data2!$D:$D,D2199)=0,"Missing in Data2","Present")</f>
        <v>Present</v>
      </c>
    </row>
    <row r="2200" spans="1:5" x14ac:dyDescent="0.25">
      <c r="A2200" s="2" t="s">
        <v>2360</v>
      </c>
      <c r="B2200" s="2" t="s">
        <v>2361</v>
      </c>
      <c r="C2200" s="2">
        <v>7</v>
      </c>
      <c r="D2200" t="str">
        <f t="shared" si="34"/>
        <v>CA-2015-124891_TEC-AC-10003033</v>
      </c>
      <c r="E2200" t="str">
        <f>IF(COUNTIF(data2!$D:$D,D2200)=0,"Missing in Data2","Present")</f>
        <v>Present</v>
      </c>
    </row>
    <row r="2201" spans="1:5" x14ac:dyDescent="0.25">
      <c r="A2201" s="2" t="s">
        <v>2362</v>
      </c>
      <c r="B2201" s="2" t="s">
        <v>2363</v>
      </c>
      <c r="C2201" s="2">
        <v>7</v>
      </c>
      <c r="D2201" t="str">
        <f t="shared" si="34"/>
        <v>CA-2015-124919_OFF-PA-10001950</v>
      </c>
      <c r="E2201" t="str">
        <f>IF(COUNTIF(data2!$D:$D,D2201)=0,"Missing in Data2","Present")</f>
        <v>Missing in Data2</v>
      </c>
    </row>
    <row r="2202" spans="1:5" x14ac:dyDescent="0.25">
      <c r="A2202" s="2" t="s">
        <v>2362</v>
      </c>
      <c r="B2202" s="2" t="s">
        <v>2264</v>
      </c>
      <c r="C2202" s="2">
        <v>4</v>
      </c>
      <c r="D2202" t="str">
        <f t="shared" si="34"/>
        <v>CA-2015-124919_OFF-PA-10002254</v>
      </c>
      <c r="E2202" t="str">
        <f>IF(COUNTIF(data2!$D:$D,D2202)=0,"Missing in Data2","Present")</f>
        <v>Present</v>
      </c>
    </row>
    <row r="2203" spans="1:5" x14ac:dyDescent="0.25">
      <c r="A2203" s="2" t="s">
        <v>2362</v>
      </c>
      <c r="B2203" s="2" t="s">
        <v>2282</v>
      </c>
      <c r="C2203" s="2">
        <v>6</v>
      </c>
      <c r="D2203" t="str">
        <f t="shared" si="34"/>
        <v>CA-2015-124919_OFF-ST-10001590</v>
      </c>
      <c r="E2203" t="str">
        <f>IF(COUNTIF(data2!$D:$D,D2203)=0,"Missing in Data2","Present")</f>
        <v>Present</v>
      </c>
    </row>
    <row r="2204" spans="1:5" x14ac:dyDescent="0.25">
      <c r="A2204" s="2" t="s">
        <v>2364</v>
      </c>
      <c r="B2204" s="2" t="s">
        <v>1234</v>
      </c>
      <c r="C2204" s="2">
        <v>6</v>
      </c>
      <c r="D2204" t="str">
        <f t="shared" si="34"/>
        <v>CA-2015-124933_OFF-PA-10003302</v>
      </c>
      <c r="E2204" t="str">
        <f>IF(COUNTIF(data2!$D:$D,D2204)=0,"Missing in Data2","Present")</f>
        <v>Present</v>
      </c>
    </row>
    <row r="2205" spans="1:5" x14ac:dyDescent="0.25">
      <c r="A2205" s="2" t="s">
        <v>2365</v>
      </c>
      <c r="B2205" s="2" t="s">
        <v>2366</v>
      </c>
      <c r="C2205" s="2">
        <v>7</v>
      </c>
      <c r="D2205" t="str">
        <f t="shared" si="34"/>
        <v>CA-2015-124975_FUR-TA-10002645</v>
      </c>
      <c r="E2205" t="str">
        <f>IF(COUNTIF(data2!$D:$D,D2205)=0,"Missing in Data2","Present")</f>
        <v>Present</v>
      </c>
    </row>
    <row r="2206" spans="1:5" x14ac:dyDescent="0.25">
      <c r="A2206" s="2" t="s">
        <v>2367</v>
      </c>
      <c r="B2206" s="2" t="s">
        <v>569</v>
      </c>
      <c r="C2206" s="2">
        <v>2</v>
      </c>
      <c r="D2206" t="str">
        <f t="shared" si="34"/>
        <v>CA-2015-125066_FUR-FU-10003829</v>
      </c>
      <c r="E2206" t="str">
        <f>IF(COUNTIF(data2!$D:$D,D2206)=0,"Missing in Data2","Present")</f>
        <v>Present</v>
      </c>
    </row>
    <row r="2207" spans="1:5" x14ac:dyDescent="0.25">
      <c r="A2207" s="2" t="s">
        <v>2367</v>
      </c>
      <c r="B2207" s="2" t="s">
        <v>2183</v>
      </c>
      <c r="C2207" s="2">
        <v>2</v>
      </c>
      <c r="D2207" t="str">
        <f t="shared" si="34"/>
        <v>CA-2015-125066_OFF-AR-10003582</v>
      </c>
      <c r="E2207" t="str">
        <f>IF(COUNTIF(data2!$D:$D,D2207)=0,"Missing in Data2","Present")</f>
        <v>Present</v>
      </c>
    </row>
    <row r="2208" spans="1:5" x14ac:dyDescent="0.25">
      <c r="A2208" s="2" t="s">
        <v>2368</v>
      </c>
      <c r="B2208" s="2" t="s">
        <v>1419</v>
      </c>
      <c r="C2208" s="2">
        <v>2</v>
      </c>
      <c r="D2208" t="str">
        <f t="shared" si="34"/>
        <v>CA-2015-125185_FUR-CH-10002647</v>
      </c>
      <c r="E2208" t="str">
        <f>IF(COUNTIF(data2!$D:$D,D2208)=0,"Missing in Data2","Present")</f>
        <v>Present</v>
      </c>
    </row>
    <row r="2209" spans="1:5" x14ac:dyDescent="0.25">
      <c r="A2209" s="2" t="s">
        <v>2368</v>
      </c>
      <c r="B2209" s="2" t="s">
        <v>2369</v>
      </c>
      <c r="C2209" s="2">
        <v>2</v>
      </c>
      <c r="D2209" t="str">
        <f t="shared" si="34"/>
        <v>CA-2015-125185_FUR-FU-10003247</v>
      </c>
      <c r="E2209" t="str">
        <f>IF(COUNTIF(data2!$D:$D,D2209)=0,"Missing in Data2","Present")</f>
        <v>Present</v>
      </c>
    </row>
    <row r="2210" spans="1:5" x14ac:dyDescent="0.25">
      <c r="A2210" s="2" t="s">
        <v>2370</v>
      </c>
      <c r="B2210" s="2" t="s">
        <v>1335</v>
      </c>
      <c r="C2210" s="2">
        <v>3</v>
      </c>
      <c r="D2210" t="str">
        <f t="shared" si="34"/>
        <v>CA-2015-125234_OFF-PA-10000482</v>
      </c>
      <c r="E2210" t="str">
        <f>IF(COUNTIF(data2!$D:$D,D2210)=0,"Missing in Data2","Present")</f>
        <v>Present</v>
      </c>
    </row>
    <row r="2211" spans="1:5" x14ac:dyDescent="0.25">
      <c r="A2211" s="2" t="s">
        <v>2370</v>
      </c>
      <c r="B2211" s="2" t="s">
        <v>2371</v>
      </c>
      <c r="C2211" s="2">
        <v>3</v>
      </c>
      <c r="D2211" t="str">
        <f t="shared" si="34"/>
        <v>CA-2015-125234_TEC-AC-10000158</v>
      </c>
      <c r="E2211" t="str">
        <f>IF(COUNTIF(data2!$D:$D,D2211)=0,"Missing in Data2","Present")</f>
        <v>Present</v>
      </c>
    </row>
    <row r="2212" spans="1:5" x14ac:dyDescent="0.25">
      <c r="A2212" s="2" t="s">
        <v>2372</v>
      </c>
      <c r="B2212" s="2" t="s">
        <v>2373</v>
      </c>
      <c r="C2212" s="2">
        <v>2</v>
      </c>
      <c r="D2212" t="str">
        <f t="shared" si="34"/>
        <v>CA-2015-125395_TEC-AC-10004708</v>
      </c>
      <c r="E2212" t="str">
        <f>IF(COUNTIF(data2!$D:$D,D2212)=0,"Missing in Data2","Present")</f>
        <v>Present</v>
      </c>
    </row>
    <row r="2213" spans="1:5" x14ac:dyDescent="0.25">
      <c r="A2213" s="2" t="s">
        <v>2374</v>
      </c>
      <c r="B2213" s="2" t="s">
        <v>2375</v>
      </c>
      <c r="C2213" s="2">
        <v>9</v>
      </c>
      <c r="D2213" t="str">
        <f t="shared" si="34"/>
        <v>CA-2015-125416_TEC-AC-10001552</v>
      </c>
      <c r="E2213" t="str">
        <f>IF(COUNTIF(data2!$D:$D,D2213)=0,"Missing in Data2","Present")</f>
        <v>Present</v>
      </c>
    </row>
    <row r="2214" spans="1:5" x14ac:dyDescent="0.25">
      <c r="A2214" s="2" t="s">
        <v>2376</v>
      </c>
      <c r="B2214" s="2" t="s">
        <v>97</v>
      </c>
      <c r="C2214" s="2">
        <v>2</v>
      </c>
      <c r="D2214" t="str">
        <f t="shared" si="34"/>
        <v>CA-2015-125423_OFF-LA-10001771</v>
      </c>
      <c r="E2214" t="str">
        <f>IF(COUNTIF(data2!$D:$D,D2214)=0,"Missing in Data2","Present")</f>
        <v>Present</v>
      </c>
    </row>
    <row r="2215" spans="1:5" x14ac:dyDescent="0.25">
      <c r="A2215" s="2" t="s">
        <v>2377</v>
      </c>
      <c r="B2215" s="2" t="s">
        <v>1899</v>
      </c>
      <c r="C2215" s="2">
        <v>3</v>
      </c>
      <c r="D2215" t="str">
        <f t="shared" si="34"/>
        <v>CA-2015-125563_FUR-FU-10000087</v>
      </c>
      <c r="E2215" t="str">
        <f>IF(COUNTIF(data2!$D:$D,D2215)=0,"Missing in Data2","Present")</f>
        <v>Present</v>
      </c>
    </row>
    <row r="2216" spans="1:5" x14ac:dyDescent="0.25">
      <c r="A2216" s="2" t="s">
        <v>2377</v>
      </c>
      <c r="B2216" s="2" t="s">
        <v>2378</v>
      </c>
      <c r="C2216" s="2">
        <v>2</v>
      </c>
      <c r="D2216" t="str">
        <f t="shared" si="34"/>
        <v>CA-2015-125563_FUR-FU-10001290</v>
      </c>
      <c r="E2216" t="str">
        <f>IF(COUNTIF(data2!$D:$D,D2216)=0,"Missing in Data2","Present")</f>
        <v>Present</v>
      </c>
    </row>
    <row r="2217" spans="1:5" x14ac:dyDescent="0.25">
      <c r="A2217" s="2" t="s">
        <v>2379</v>
      </c>
      <c r="B2217" s="2" t="s">
        <v>1065</v>
      </c>
      <c r="C2217" s="2">
        <v>5</v>
      </c>
      <c r="D2217" t="str">
        <f t="shared" si="34"/>
        <v>CA-2015-125696_OFF-BI-10001757</v>
      </c>
      <c r="E2217" t="str">
        <f>IF(COUNTIF(data2!$D:$D,D2217)=0,"Missing in Data2","Present")</f>
        <v>Present</v>
      </c>
    </row>
    <row r="2218" spans="1:5" x14ac:dyDescent="0.25">
      <c r="A2218" s="2" t="s">
        <v>2380</v>
      </c>
      <c r="B2218" s="2" t="s">
        <v>395</v>
      </c>
      <c r="C2218" s="2">
        <v>2</v>
      </c>
      <c r="D2218" t="str">
        <f t="shared" si="34"/>
        <v>CA-2015-125710_OFF-AR-10000657</v>
      </c>
      <c r="E2218" t="str">
        <f>IF(COUNTIF(data2!$D:$D,D2218)=0,"Missing in Data2","Present")</f>
        <v>Present</v>
      </c>
    </row>
    <row r="2219" spans="1:5" x14ac:dyDescent="0.25">
      <c r="A2219" s="2" t="s">
        <v>2381</v>
      </c>
      <c r="B2219" s="2" t="s">
        <v>499</v>
      </c>
      <c r="C2219" s="2">
        <v>4</v>
      </c>
      <c r="D2219" t="str">
        <f t="shared" si="34"/>
        <v>CA-2015-125934_FUR-FU-10002107</v>
      </c>
      <c r="E2219" t="str">
        <f>IF(COUNTIF(data2!$D:$D,D2219)=0,"Missing in Data2","Present")</f>
        <v>Present</v>
      </c>
    </row>
    <row r="2220" spans="1:5" x14ac:dyDescent="0.25">
      <c r="A2220" s="2" t="s">
        <v>2381</v>
      </c>
      <c r="B2220" s="2" t="s">
        <v>1148</v>
      </c>
      <c r="C2220" s="2">
        <v>4</v>
      </c>
      <c r="D2220" t="str">
        <f t="shared" si="34"/>
        <v>CA-2015-125934_OFF-AP-10003860</v>
      </c>
      <c r="E2220" t="str">
        <f>IF(COUNTIF(data2!$D:$D,D2220)=0,"Missing in Data2","Present")</f>
        <v>Present</v>
      </c>
    </row>
    <row r="2221" spans="1:5" x14ac:dyDescent="0.25">
      <c r="A2221" s="2" t="s">
        <v>2381</v>
      </c>
      <c r="B2221" s="2" t="s">
        <v>404</v>
      </c>
      <c r="C2221" s="2">
        <v>4</v>
      </c>
      <c r="D2221" t="str">
        <f t="shared" si="34"/>
        <v>CA-2015-125934_OFF-BI-10004593</v>
      </c>
      <c r="E2221" t="str">
        <f>IF(COUNTIF(data2!$D:$D,D2221)=0,"Missing in Data2","Present")</f>
        <v>Present</v>
      </c>
    </row>
    <row r="2222" spans="1:5" x14ac:dyDescent="0.25">
      <c r="A2222" s="2" t="s">
        <v>2381</v>
      </c>
      <c r="B2222" s="2" t="s">
        <v>2382</v>
      </c>
      <c r="C2222" s="2">
        <v>3</v>
      </c>
      <c r="D2222" t="str">
        <f t="shared" si="34"/>
        <v>CA-2015-125934_OFF-LA-10000414</v>
      </c>
      <c r="E2222" t="str">
        <f>IF(COUNTIF(data2!$D:$D,D2222)=0,"Missing in Data2","Present")</f>
        <v>Present</v>
      </c>
    </row>
    <row r="2223" spans="1:5" x14ac:dyDescent="0.25">
      <c r="A2223" s="2" t="s">
        <v>2381</v>
      </c>
      <c r="B2223" s="2" t="s">
        <v>2383</v>
      </c>
      <c r="C2223" s="2">
        <v>6</v>
      </c>
      <c r="D2223" t="str">
        <f t="shared" si="34"/>
        <v>CA-2015-125934_OFF-PA-10000556</v>
      </c>
      <c r="E2223" t="str">
        <f>IF(COUNTIF(data2!$D:$D,D2223)=0,"Missing in Data2","Present")</f>
        <v>Present</v>
      </c>
    </row>
    <row r="2224" spans="1:5" x14ac:dyDescent="0.25">
      <c r="A2224" s="2" t="s">
        <v>2384</v>
      </c>
      <c r="B2224" s="2" t="s">
        <v>781</v>
      </c>
      <c r="C2224" s="2">
        <v>5</v>
      </c>
      <c r="D2224" t="str">
        <f t="shared" si="34"/>
        <v>CA-2015-125976_OFF-PA-10001125</v>
      </c>
      <c r="E2224" t="str">
        <f>IF(COUNTIF(data2!$D:$D,D2224)=0,"Missing in Data2","Present")</f>
        <v>Present</v>
      </c>
    </row>
    <row r="2225" spans="1:5" x14ac:dyDescent="0.25">
      <c r="A2225" s="2" t="s">
        <v>2384</v>
      </c>
      <c r="B2225" s="2" t="s">
        <v>2176</v>
      </c>
      <c r="C2225" s="2">
        <v>12</v>
      </c>
      <c r="D2225" t="str">
        <f t="shared" si="34"/>
        <v>CA-2015-125976_TEC-PH-10002496</v>
      </c>
      <c r="E2225" t="str">
        <f>IF(COUNTIF(data2!$D:$D,D2225)=0,"Missing in Data2","Present")</f>
        <v>Present</v>
      </c>
    </row>
    <row r="2226" spans="1:5" x14ac:dyDescent="0.25">
      <c r="A2226" s="2" t="s">
        <v>2385</v>
      </c>
      <c r="B2226" s="2" t="s">
        <v>1792</v>
      </c>
      <c r="C2226" s="2">
        <v>2</v>
      </c>
      <c r="D2226" t="str">
        <f t="shared" si="34"/>
        <v>CA-2015-126137_FUR-BO-10004409</v>
      </c>
      <c r="E2226" t="str">
        <f>IF(COUNTIF(data2!$D:$D,D2226)=0,"Missing in Data2","Present")</f>
        <v>Present</v>
      </c>
    </row>
    <row r="2227" spans="1:5" x14ac:dyDescent="0.25">
      <c r="A2227" s="2" t="s">
        <v>2386</v>
      </c>
      <c r="B2227" s="2" t="s">
        <v>2387</v>
      </c>
      <c r="C2227" s="2">
        <v>4</v>
      </c>
      <c r="D2227" t="str">
        <f t="shared" si="34"/>
        <v>CA-2015-126186_FUR-FU-10000073</v>
      </c>
      <c r="E2227" t="str">
        <f>IF(COUNTIF(data2!$D:$D,D2227)=0,"Missing in Data2","Present")</f>
        <v>Present</v>
      </c>
    </row>
    <row r="2228" spans="1:5" x14ac:dyDescent="0.25">
      <c r="A2228" s="2" t="s">
        <v>2388</v>
      </c>
      <c r="B2228" s="2" t="s">
        <v>2389</v>
      </c>
      <c r="C2228" s="2">
        <v>2</v>
      </c>
      <c r="D2228" t="str">
        <f t="shared" si="34"/>
        <v>CA-2015-126347_TEC-AC-10003063</v>
      </c>
      <c r="E2228" t="str">
        <f>IF(COUNTIF(data2!$D:$D,D2228)=0,"Missing in Data2","Present")</f>
        <v>Present</v>
      </c>
    </row>
    <row r="2229" spans="1:5" x14ac:dyDescent="0.25">
      <c r="A2229" s="2" t="s">
        <v>2390</v>
      </c>
      <c r="B2229" s="2" t="s">
        <v>435</v>
      </c>
      <c r="C2229" s="2">
        <v>3</v>
      </c>
      <c r="D2229" t="str">
        <f t="shared" si="34"/>
        <v>CA-2015-126445_OFF-ST-10000046</v>
      </c>
      <c r="E2229" t="str">
        <f>IF(COUNTIF(data2!$D:$D,D2229)=0,"Missing in Data2","Present")</f>
        <v>Present</v>
      </c>
    </row>
    <row r="2230" spans="1:5" x14ac:dyDescent="0.25">
      <c r="A2230" s="2" t="s">
        <v>2391</v>
      </c>
      <c r="B2230" s="2" t="s">
        <v>1488</v>
      </c>
      <c r="C2230" s="2">
        <v>2</v>
      </c>
      <c r="D2230" t="str">
        <f t="shared" si="34"/>
        <v>CA-2015-126466_OFF-FA-10000490</v>
      </c>
      <c r="E2230" t="str">
        <f>IF(COUNTIF(data2!$D:$D,D2230)=0,"Missing in Data2","Present")</f>
        <v>Present</v>
      </c>
    </row>
    <row r="2231" spans="1:5" x14ac:dyDescent="0.25">
      <c r="A2231" s="2" t="s">
        <v>2392</v>
      </c>
      <c r="B2231" s="2" t="s">
        <v>1554</v>
      </c>
      <c r="C2231" s="2">
        <v>9</v>
      </c>
      <c r="D2231" t="str">
        <f t="shared" si="34"/>
        <v>CA-2015-126557_FUR-CH-10004477</v>
      </c>
      <c r="E2231" t="str">
        <f>IF(COUNTIF(data2!$D:$D,D2231)=0,"Missing in Data2","Present")</f>
        <v>Present</v>
      </c>
    </row>
    <row r="2232" spans="1:5" x14ac:dyDescent="0.25">
      <c r="A2232" s="2" t="s">
        <v>2392</v>
      </c>
      <c r="B2232" s="2" t="s">
        <v>979</v>
      </c>
      <c r="C2232" s="2">
        <v>1</v>
      </c>
      <c r="D2232" t="str">
        <f t="shared" si="34"/>
        <v>CA-2015-126557_FUR-FU-10001861</v>
      </c>
      <c r="E2232" t="str">
        <f>IF(COUNTIF(data2!$D:$D,D2232)=0,"Missing in Data2","Present")</f>
        <v>Present</v>
      </c>
    </row>
    <row r="2233" spans="1:5" x14ac:dyDescent="0.25">
      <c r="A2233" s="2" t="s">
        <v>2392</v>
      </c>
      <c r="B2233" s="2" t="s">
        <v>598</v>
      </c>
      <c r="C2233" s="2">
        <v>3</v>
      </c>
      <c r="D2233" t="str">
        <f t="shared" si="34"/>
        <v>CA-2015-126557_OFF-AR-10003190</v>
      </c>
      <c r="E2233" t="str">
        <f>IF(COUNTIF(data2!$D:$D,D2233)=0,"Missing in Data2","Present")</f>
        <v>Missing in Data2</v>
      </c>
    </row>
    <row r="2234" spans="1:5" x14ac:dyDescent="0.25">
      <c r="A2234" s="2" t="s">
        <v>2392</v>
      </c>
      <c r="B2234" s="2" t="s">
        <v>940</v>
      </c>
      <c r="C2234" s="2">
        <v>2</v>
      </c>
      <c r="D2234" t="str">
        <f t="shared" si="34"/>
        <v>CA-2015-126557_OFF-BI-10003314</v>
      </c>
      <c r="E2234" t="str">
        <f>IF(COUNTIF(data2!$D:$D,D2234)=0,"Missing in Data2","Present")</f>
        <v>Present</v>
      </c>
    </row>
    <row r="2235" spans="1:5" x14ac:dyDescent="0.25">
      <c r="A2235" s="2" t="s">
        <v>2392</v>
      </c>
      <c r="B2235" s="2" t="s">
        <v>958</v>
      </c>
      <c r="C2235" s="2">
        <v>4</v>
      </c>
      <c r="D2235" t="str">
        <f t="shared" si="34"/>
        <v>CA-2015-126557_TEC-PH-10003963</v>
      </c>
      <c r="E2235" t="str">
        <f>IF(COUNTIF(data2!$D:$D,D2235)=0,"Missing in Data2","Present")</f>
        <v>Present</v>
      </c>
    </row>
    <row r="2236" spans="1:5" x14ac:dyDescent="0.25">
      <c r="A2236" s="2" t="s">
        <v>2393</v>
      </c>
      <c r="B2236" s="2" t="s">
        <v>2394</v>
      </c>
      <c r="C2236" s="2">
        <v>2</v>
      </c>
      <c r="D2236" t="str">
        <f t="shared" si="34"/>
        <v>CA-2015-126669_OFF-PA-10001357</v>
      </c>
      <c r="E2236" t="str">
        <f>IF(COUNTIF(data2!$D:$D,D2236)=0,"Missing in Data2","Present")</f>
        <v>Present</v>
      </c>
    </row>
    <row r="2237" spans="1:5" x14ac:dyDescent="0.25">
      <c r="A2237" s="2" t="s">
        <v>2395</v>
      </c>
      <c r="B2237" s="2" t="s">
        <v>456</v>
      </c>
      <c r="C2237" s="2">
        <v>4</v>
      </c>
      <c r="D2237" t="str">
        <f t="shared" si="34"/>
        <v>CA-2015-126697_FUR-FU-10001706</v>
      </c>
      <c r="E2237" t="str">
        <f>IF(COUNTIF(data2!$D:$D,D2237)=0,"Missing in Data2","Present")</f>
        <v>Missing in Data2</v>
      </c>
    </row>
    <row r="2238" spans="1:5" x14ac:dyDescent="0.25">
      <c r="A2238" s="2" t="s">
        <v>2395</v>
      </c>
      <c r="B2238" s="2" t="s">
        <v>409</v>
      </c>
      <c r="C2238" s="2">
        <v>3</v>
      </c>
      <c r="D2238" t="str">
        <f t="shared" si="34"/>
        <v>CA-2015-126697_TEC-AC-10004353</v>
      </c>
      <c r="E2238" t="str">
        <f>IF(COUNTIF(data2!$D:$D,D2238)=0,"Missing in Data2","Present")</f>
        <v>Present</v>
      </c>
    </row>
    <row r="2239" spans="1:5" x14ac:dyDescent="0.25">
      <c r="A2239" s="2" t="s">
        <v>2395</v>
      </c>
      <c r="B2239" s="2" t="s">
        <v>2066</v>
      </c>
      <c r="C2239" s="2">
        <v>7</v>
      </c>
      <c r="D2239" t="str">
        <f t="shared" si="34"/>
        <v>CA-2015-126697_TEC-PH-10002922</v>
      </c>
      <c r="E2239" t="str">
        <f>IF(COUNTIF(data2!$D:$D,D2239)=0,"Missing in Data2","Present")</f>
        <v>Present</v>
      </c>
    </row>
    <row r="2240" spans="1:5" x14ac:dyDescent="0.25">
      <c r="A2240" s="2" t="s">
        <v>2396</v>
      </c>
      <c r="B2240" s="2" t="s">
        <v>2229</v>
      </c>
      <c r="C2240" s="2">
        <v>2</v>
      </c>
      <c r="D2240" t="str">
        <f t="shared" si="34"/>
        <v>CA-2015-126725_FUR-CH-10001708</v>
      </c>
      <c r="E2240" t="str">
        <f>IF(COUNTIF(data2!$D:$D,D2240)=0,"Missing in Data2","Present")</f>
        <v>Present</v>
      </c>
    </row>
    <row r="2241" spans="1:5" x14ac:dyDescent="0.25">
      <c r="A2241" s="2" t="s">
        <v>2396</v>
      </c>
      <c r="B2241" s="2" t="s">
        <v>124</v>
      </c>
      <c r="C2241" s="2">
        <v>3</v>
      </c>
      <c r="D2241" t="str">
        <f t="shared" si="34"/>
        <v>CA-2015-126725_FUR-FU-10001591</v>
      </c>
      <c r="E2241" t="str">
        <f>IF(COUNTIF(data2!$D:$D,D2241)=0,"Missing in Data2","Present")</f>
        <v>Present</v>
      </c>
    </row>
    <row r="2242" spans="1:5" x14ac:dyDescent="0.25">
      <c r="A2242" s="2" t="s">
        <v>2396</v>
      </c>
      <c r="B2242" s="2" t="s">
        <v>1286</v>
      </c>
      <c r="C2242" s="2">
        <v>4</v>
      </c>
      <c r="D2242" t="str">
        <f t="shared" si="34"/>
        <v>CA-2015-126725_FUR-FU-10002813</v>
      </c>
      <c r="E2242" t="str">
        <f>IF(COUNTIF(data2!$D:$D,D2242)=0,"Missing in Data2","Present")</f>
        <v>Present</v>
      </c>
    </row>
    <row r="2243" spans="1:5" x14ac:dyDescent="0.25">
      <c r="A2243" s="2" t="s">
        <v>2396</v>
      </c>
      <c r="B2243" s="2" t="s">
        <v>926</v>
      </c>
      <c r="C2243" s="2">
        <v>5</v>
      </c>
      <c r="D2243" t="str">
        <f t="shared" ref="D2243:D2306" si="35">A2243&amp;"_"&amp;B2243</f>
        <v>CA-2015-126725_OFF-PA-10001639</v>
      </c>
      <c r="E2243" t="str">
        <f>IF(COUNTIF(data2!$D:$D,D2243)=0,"Missing in Data2","Present")</f>
        <v>Present</v>
      </c>
    </row>
    <row r="2244" spans="1:5" x14ac:dyDescent="0.25">
      <c r="A2244" s="2" t="s">
        <v>2396</v>
      </c>
      <c r="B2244" s="2" t="s">
        <v>2397</v>
      </c>
      <c r="C2244" s="2">
        <v>7</v>
      </c>
      <c r="D2244" t="str">
        <f t="shared" si="35"/>
        <v>CA-2015-126725_OFF-ST-10000129</v>
      </c>
      <c r="E2244" t="str">
        <f>IF(COUNTIF(data2!$D:$D,D2244)=0,"Missing in Data2","Present")</f>
        <v>Present</v>
      </c>
    </row>
    <row r="2245" spans="1:5" x14ac:dyDescent="0.25">
      <c r="A2245" s="2" t="s">
        <v>2396</v>
      </c>
      <c r="B2245" s="2" t="s">
        <v>2398</v>
      </c>
      <c r="C2245" s="2">
        <v>5</v>
      </c>
      <c r="D2245" t="str">
        <f t="shared" si="35"/>
        <v>CA-2015-126725_OFF-ST-10001418</v>
      </c>
      <c r="E2245" t="str">
        <f>IF(COUNTIF(data2!$D:$D,D2245)=0,"Missing in Data2","Present")</f>
        <v>Present</v>
      </c>
    </row>
    <row r="2246" spans="1:5" x14ac:dyDescent="0.25">
      <c r="A2246" s="2" t="s">
        <v>2396</v>
      </c>
      <c r="B2246" s="2" t="s">
        <v>2399</v>
      </c>
      <c r="C2246" s="2">
        <v>4</v>
      </c>
      <c r="D2246" t="str">
        <f t="shared" si="35"/>
        <v>CA-2015-126725_TEC-PH-10003174</v>
      </c>
      <c r="E2246" t="str">
        <f>IF(COUNTIF(data2!$D:$D,D2246)=0,"Missing in Data2","Present")</f>
        <v>Present</v>
      </c>
    </row>
    <row r="2247" spans="1:5" x14ac:dyDescent="0.25">
      <c r="A2247" s="2" t="s">
        <v>2400</v>
      </c>
      <c r="B2247" s="2" t="s">
        <v>1490</v>
      </c>
      <c r="C2247" s="2">
        <v>3</v>
      </c>
      <c r="D2247" t="str">
        <f t="shared" si="35"/>
        <v>CA-2015-126970_OFF-BI-10000138</v>
      </c>
      <c r="E2247" t="str">
        <f>IF(COUNTIF(data2!$D:$D,D2247)=0,"Missing in Data2","Present")</f>
        <v>Present</v>
      </c>
    </row>
    <row r="2248" spans="1:5" x14ac:dyDescent="0.25">
      <c r="A2248" s="2" t="s">
        <v>2401</v>
      </c>
      <c r="B2248" s="2" t="s">
        <v>2346</v>
      </c>
      <c r="C2248" s="2">
        <v>7</v>
      </c>
      <c r="D2248" t="str">
        <f t="shared" si="35"/>
        <v>CA-2015-127019_OFF-AP-10003971</v>
      </c>
      <c r="E2248" t="str">
        <f>IF(COUNTIF(data2!$D:$D,D2248)=0,"Missing in Data2","Present")</f>
        <v>Missing in Data2</v>
      </c>
    </row>
    <row r="2249" spans="1:5" x14ac:dyDescent="0.25">
      <c r="A2249" s="2" t="s">
        <v>2402</v>
      </c>
      <c r="B2249" s="2" t="s">
        <v>93</v>
      </c>
      <c r="C2249" s="2">
        <v>6</v>
      </c>
      <c r="D2249" t="str">
        <f t="shared" si="35"/>
        <v>CA-2015-127110_OFF-PA-10003309</v>
      </c>
      <c r="E2249" t="str">
        <f>IF(COUNTIF(data2!$D:$D,D2249)=0,"Missing in Data2","Present")</f>
        <v>Present</v>
      </c>
    </row>
    <row r="2250" spans="1:5" x14ac:dyDescent="0.25">
      <c r="A2250" s="2" t="s">
        <v>2402</v>
      </c>
      <c r="B2250" s="2" t="s">
        <v>1756</v>
      </c>
      <c r="C2250" s="2">
        <v>2</v>
      </c>
      <c r="D2250" t="str">
        <f t="shared" si="35"/>
        <v>CA-2015-127110_OFF-ST-10002554</v>
      </c>
      <c r="E2250" t="str">
        <f>IF(COUNTIF(data2!$D:$D,D2250)=0,"Missing in Data2","Present")</f>
        <v>Present</v>
      </c>
    </row>
    <row r="2251" spans="1:5" x14ac:dyDescent="0.25">
      <c r="A2251" s="2" t="s">
        <v>2403</v>
      </c>
      <c r="B2251" s="2" t="s">
        <v>2140</v>
      </c>
      <c r="C2251" s="2">
        <v>9</v>
      </c>
      <c r="D2251" t="str">
        <f t="shared" si="35"/>
        <v>CA-2015-127173_OFF-BI-10000088</v>
      </c>
      <c r="E2251" t="str">
        <f>IF(COUNTIF(data2!$D:$D,D2251)=0,"Missing in Data2","Present")</f>
        <v>Missing in Data2</v>
      </c>
    </row>
    <row r="2252" spans="1:5" x14ac:dyDescent="0.25">
      <c r="A2252" s="2" t="s">
        <v>2403</v>
      </c>
      <c r="B2252" s="2" t="s">
        <v>417</v>
      </c>
      <c r="C2252" s="2">
        <v>3</v>
      </c>
      <c r="D2252" t="str">
        <f t="shared" si="35"/>
        <v>CA-2015-127173_OFF-FA-10004854</v>
      </c>
      <c r="E2252" t="str">
        <f>IF(COUNTIF(data2!$D:$D,D2252)=0,"Missing in Data2","Present")</f>
        <v>Present</v>
      </c>
    </row>
    <row r="2253" spans="1:5" x14ac:dyDescent="0.25">
      <c r="A2253" s="2" t="s">
        <v>2403</v>
      </c>
      <c r="B2253" s="2" t="s">
        <v>398</v>
      </c>
      <c r="C2253" s="2">
        <v>7</v>
      </c>
      <c r="D2253" t="str">
        <f t="shared" si="35"/>
        <v>CA-2015-127173_TEC-MA-10002859</v>
      </c>
      <c r="E2253" t="str">
        <f>IF(COUNTIF(data2!$D:$D,D2253)=0,"Missing in Data2","Present")</f>
        <v>Present</v>
      </c>
    </row>
    <row r="2254" spans="1:5" x14ac:dyDescent="0.25">
      <c r="A2254" s="2" t="s">
        <v>2404</v>
      </c>
      <c r="B2254" s="2" t="s">
        <v>1050</v>
      </c>
      <c r="C2254" s="2">
        <v>1</v>
      </c>
      <c r="D2254" t="str">
        <f t="shared" si="35"/>
        <v>CA-2015-127327_FUR-CH-10004218</v>
      </c>
      <c r="E2254" t="str">
        <f>IF(COUNTIF(data2!$D:$D,D2254)=0,"Missing in Data2","Present")</f>
        <v>Present</v>
      </c>
    </row>
    <row r="2255" spans="1:5" x14ac:dyDescent="0.25">
      <c r="A2255" s="2" t="s">
        <v>2405</v>
      </c>
      <c r="B2255" s="2" t="s">
        <v>2040</v>
      </c>
      <c r="C2255" s="2">
        <v>3</v>
      </c>
      <c r="D2255" t="str">
        <f t="shared" si="35"/>
        <v>CA-2015-127418_OFF-BI-10003707</v>
      </c>
      <c r="E2255" t="str">
        <f>IF(COUNTIF(data2!$D:$D,D2255)=0,"Missing in Data2","Present")</f>
        <v>Present</v>
      </c>
    </row>
    <row r="2256" spans="1:5" x14ac:dyDescent="0.25">
      <c r="A2256" s="2" t="s">
        <v>2406</v>
      </c>
      <c r="B2256" s="2" t="s">
        <v>2407</v>
      </c>
      <c r="C2256" s="2">
        <v>3</v>
      </c>
      <c r="D2256" t="str">
        <f t="shared" si="35"/>
        <v>CA-2015-127453_OFF-AP-10000828</v>
      </c>
      <c r="E2256" t="str">
        <f>IF(COUNTIF(data2!$D:$D,D2256)=0,"Missing in Data2","Present")</f>
        <v>Present</v>
      </c>
    </row>
    <row r="2257" spans="1:5" x14ac:dyDescent="0.25">
      <c r="A2257" s="2" t="s">
        <v>2406</v>
      </c>
      <c r="B2257" s="2" t="s">
        <v>2408</v>
      </c>
      <c r="C2257" s="2">
        <v>2</v>
      </c>
      <c r="D2257" t="str">
        <f t="shared" si="35"/>
        <v>CA-2015-127453_OFF-AP-10002906</v>
      </c>
      <c r="E2257" t="str">
        <f>IF(COUNTIF(data2!$D:$D,D2257)=0,"Missing in Data2","Present")</f>
        <v>Present</v>
      </c>
    </row>
    <row r="2258" spans="1:5" x14ac:dyDescent="0.25">
      <c r="A2258" s="2" t="s">
        <v>2406</v>
      </c>
      <c r="B2258" s="2" t="s">
        <v>1148</v>
      </c>
      <c r="C2258" s="2">
        <v>4</v>
      </c>
      <c r="D2258" t="str">
        <f t="shared" si="35"/>
        <v>CA-2015-127453_OFF-AP-10003860</v>
      </c>
      <c r="E2258" t="str">
        <f>IF(COUNTIF(data2!$D:$D,D2258)=0,"Missing in Data2","Present")</f>
        <v>Present</v>
      </c>
    </row>
    <row r="2259" spans="1:5" x14ac:dyDescent="0.25">
      <c r="A2259" s="2" t="s">
        <v>2409</v>
      </c>
      <c r="B2259" s="2" t="s">
        <v>2410</v>
      </c>
      <c r="C2259" s="2">
        <v>5</v>
      </c>
      <c r="D2259" t="str">
        <f t="shared" si="35"/>
        <v>CA-2015-127481_OFF-PA-10002036</v>
      </c>
      <c r="E2259" t="str">
        <f>IF(COUNTIF(data2!$D:$D,D2259)=0,"Missing in Data2","Present")</f>
        <v>Present</v>
      </c>
    </row>
    <row r="2260" spans="1:5" x14ac:dyDescent="0.25">
      <c r="A2260" s="2" t="s">
        <v>2409</v>
      </c>
      <c r="B2260" s="2" t="s">
        <v>592</v>
      </c>
      <c r="C2260" s="2">
        <v>2</v>
      </c>
      <c r="D2260" t="str">
        <f t="shared" si="35"/>
        <v>CA-2015-127481_OFF-PA-10002377</v>
      </c>
      <c r="E2260" t="str">
        <f>IF(COUNTIF(data2!$D:$D,D2260)=0,"Missing in Data2","Present")</f>
        <v>Present</v>
      </c>
    </row>
    <row r="2261" spans="1:5" x14ac:dyDescent="0.25">
      <c r="A2261" s="2" t="s">
        <v>2411</v>
      </c>
      <c r="B2261" s="2" t="s">
        <v>776</v>
      </c>
      <c r="C2261" s="2">
        <v>2</v>
      </c>
      <c r="D2261" t="str">
        <f t="shared" si="35"/>
        <v>CA-2015-127502_OFF-LA-10001613</v>
      </c>
      <c r="E2261" t="str">
        <f>IF(COUNTIF(data2!$D:$D,D2261)=0,"Missing in Data2","Present")</f>
        <v>Present</v>
      </c>
    </row>
    <row r="2262" spans="1:5" x14ac:dyDescent="0.25">
      <c r="A2262" s="2" t="s">
        <v>2412</v>
      </c>
      <c r="B2262" s="2" t="s">
        <v>2413</v>
      </c>
      <c r="C2262" s="2">
        <v>7</v>
      </c>
      <c r="D2262" t="str">
        <f t="shared" si="35"/>
        <v>CA-2015-127509_FUR-TA-10002855</v>
      </c>
      <c r="E2262" t="str">
        <f>IF(COUNTIF(data2!$D:$D,D2262)=0,"Missing in Data2","Present")</f>
        <v>Present</v>
      </c>
    </row>
    <row r="2263" spans="1:5" x14ac:dyDescent="0.25">
      <c r="A2263" s="2" t="s">
        <v>2412</v>
      </c>
      <c r="B2263" s="2" t="s">
        <v>2414</v>
      </c>
      <c r="C2263" s="2">
        <v>3</v>
      </c>
      <c r="D2263" t="str">
        <f t="shared" si="35"/>
        <v>CA-2015-127509_OFF-BI-10002393</v>
      </c>
      <c r="E2263" t="str">
        <f>IF(COUNTIF(data2!$D:$D,D2263)=0,"Missing in Data2","Present")</f>
        <v>Present</v>
      </c>
    </row>
    <row r="2264" spans="1:5" x14ac:dyDescent="0.25">
      <c r="A2264" s="2" t="s">
        <v>2412</v>
      </c>
      <c r="B2264" s="2" t="s">
        <v>992</v>
      </c>
      <c r="C2264" s="2">
        <v>3</v>
      </c>
      <c r="D2264" t="str">
        <f t="shared" si="35"/>
        <v>CA-2015-127509_OFF-EN-10000781</v>
      </c>
      <c r="E2264" t="str">
        <f>IF(COUNTIF(data2!$D:$D,D2264)=0,"Missing in Data2","Present")</f>
        <v>Present</v>
      </c>
    </row>
    <row r="2265" spans="1:5" x14ac:dyDescent="0.25">
      <c r="A2265" s="2" t="s">
        <v>2412</v>
      </c>
      <c r="B2265" s="2" t="s">
        <v>2415</v>
      </c>
      <c r="C2265" s="2">
        <v>3</v>
      </c>
      <c r="D2265" t="str">
        <f t="shared" si="35"/>
        <v>CA-2015-127509_OFF-PA-10002160</v>
      </c>
      <c r="E2265" t="str">
        <f>IF(COUNTIF(data2!$D:$D,D2265)=0,"Missing in Data2","Present")</f>
        <v>Present</v>
      </c>
    </row>
    <row r="2266" spans="1:5" x14ac:dyDescent="0.25">
      <c r="A2266" s="2" t="s">
        <v>2416</v>
      </c>
      <c r="B2266" s="2" t="s">
        <v>440</v>
      </c>
      <c r="C2266" s="2">
        <v>1</v>
      </c>
      <c r="D2266" t="str">
        <f t="shared" si="35"/>
        <v>CA-2015-127544_TEC-AC-10000736</v>
      </c>
      <c r="E2266" t="str">
        <f>IF(COUNTIF(data2!$D:$D,D2266)=0,"Missing in Data2","Present")</f>
        <v>Present</v>
      </c>
    </row>
    <row r="2267" spans="1:5" x14ac:dyDescent="0.25">
      <c r="A2267" s="2" t="s">
        <v>2417</v>
      </c>
      <c r="B2267" s="2" t="s">
        <v>450</v>
      </c>
      <c r="C2267" s="2">
        <v>2</v>
      </c>
      <c r="D2267" t="str">
        <f t="shared" si="35"/>
        <v>CA-2015-127593_FUR-FU-10004006</v>
      </c>
      <c r="E2267" t="str">
        <f>IF(COUNTIF(data2!$D:$D,D2267)=0,"Missing in Data2","Present")</f>
        <v>Present</v>
      </c>
    </row>
    <row r="2268" spans="1:5" x14ac:dyDescent="0.25">
      <c r="A2268" s="2" t="s">
        <v>2418</v>
      </c>
      <c r="B2268" s="2" t="s">
        <v>2292</v>
      </c>
      <c r="C2268" s="2">
        <v>2</v>
      </c>
      <c r="D2268" t="str">
        <f t="shared" si="35"/>
        <v>CA-2015-127607_OFF-BI-10001308</v>
      </c>
      <c r="E2268" t="str">
        <f>IF(COUNTIF(data2!$D:$D,D2268)=0,"Missing in Data2","Present")</f>
        <v>Present</v>
      </c>
    </row>
    <row r="2269" spans="1:5" x14ac:dyDescent="0.25">
      <c r="A2269" s="2" t="s">
        <v>2418</v>
      </c>
      <c r="B2269" s="2" t="s">
        <v>1771</v>
      </c>
      <c r="C2269" s="2">
        <v>9</v>
      </c>
      <c r="D2269" t="str">
        <f t="shared" si="35"/>
        <v>CA-2015-127607_OFF-FA-10003485</v>
      </c>
      <c r="E2269" t="str">
        <f>IF(COUNTIF(data2!$D:$D,D2269)=0,"Missing in Data2","Present")</f>
        <v>Present</v>
      </c>
    </row>
    <row r="2270" spans="1:5" x14ac:dyDescent="0.25">
      <c r="A2270" s="2" t="s">
        <v>2419</v>
      </c>
      <c r="B2270" s="2" t="s">
        <v>2190</v>
      </c>
      <c r="C2270" s="2">
        <v>3</v>
      </c>
      <c r="D2270" t="str">
        <f t="shared" si="35"/>
        <v>CA-2015-127754_FUR-CH-10003199</v>
      </c>
      <c r="E2270" t="str">
        <f>IF(COUNTIF(data2!$D:$D,D2270)=0,"Missing in Data2","Present")</f>
        <v>Present</v>
      </c>
    </row>
    <row r="2271" spans="1:5" x14ac:dyDescent="0.25">
      <c r="A2271" s="2" t="s">
        <v>2420</v>
      </c>
      <c r="B2271" s="2" t="s">
        <v>876</v>
      </c>
      <c r="C2271" s="2">
        <v>3</v>
      </c>
      <c r="D2271" t="str">
        <f t="shared" si="35"/>
        <v>CA-2015-127824_FUR-FU-10002505</v>
      </c>
      <c r="E2271" t="str">
        <f>IF(COUNTIF(data2!$D:$D,D2271)=0,"Missing in Data2","Present")</f>
        <v>Present</v>
      </c>
    </row>
    <row r="2272" spans="1:5" x14ac:dyDescent="0.25">
      <c r="A2272" s="2" t="s">
        <v>2420</v>
      </c>
      <c r="B2272" s="2" t="s">
        <v>2421</v>
      </c>
      <c r="C2272" s="2">
        <v>2</v>
      </c>
      <c r="D2272" t="str">
        <f t="shared" si="35"/>
        <v>CA-2015-127824_TEC-PH-10004094</v>
      </c>
      <c r="E2272" t="str">
        <f>IF(COUNTIF(data2!$D:$D,D2272)=0,"Missing in Data2","Present")</f>
        <v>Present</v>
      </c>
    </row>
    <row r="2273" spans="1:5" x14ac:dyDescent="0.25">
      <c r="A2273" s="2" t="s">
        <v>2422</v>
      </c>
      <c r="B2273" s="2" t="s">
        <v>331</v>
      </c>
      <c r="C2273" s="2">
        <v>3</v>
      </c>
      <c r="D2273" t="str">
        <f t="shared" si="35"/>
        <v>CA-2015-128013_FUR-FU-10000320</v>
      </c>
      <c r="E2273" t="str">
        <f>IF(COUNTIF(data2!$D:$D,D2273)=0,"Missing in Data2","Present")</f>
        <v>Missing in Data2</v>
      </c>
    </row>
    <row r="2274" spans="1:5" x14ac:dyDescent="0.25">
      <c r="A2274" s="2" t="s">
        <v>2422</v>
      </c>
      <c r="B2274" s="2" t="s">
        <v>2423</v>
      </c>
      <c r="C2274" s="2">
        <v>3</v>
      </c>
      <c r="D2274" t="str">
        <f t="shared" si="35"/>
        <v>CA-2015-128013_OFF-PA-10001815</v>
      </c>
      <c r="E2274" t="str">
        <f>IF(COUNTIF(data2!$D:$D,D2274)=0,"Missing in Data2","Present")</f>
        <v>Present</v>
      </c>
    </row>
    <row r="2275" spans="1:5" x14ac:dyDescent="0.25">
      <c r="A2275" s="2" t="s">
        <v>2424</v>
      </c>
      <c r="B2275" s="2" t="s">
        <v>465</v>
      </c>
      <c r="C2275" s="2">
        <v>3</v>
      </c>
      <c r="D2275" t="str">
        <f t="shared" si="35"/>
        <v>CA-2015-128027_OFF-ST-10001809</v>
      </c>
      <c r="E2275" t="str">
        <f>IF(COUNTIF(data2!$D:$D,D2275)=0,"Missing in Data2","Present")</f>
        <v>Present</v>
      </c>
    </row>
    <row r="2276" spans="1:5" x14ac:dyDescent="0.25">
      <c r="A2276" s="2" t="s">
        <v>2425</v>
      </c>
      <c r="B2276" s="2" t="s">
        <v>128</v>
      </c>
      <c r="C2276" s="2">
        <v>3</v>
      </c>
      <c r="D2276" t="str">
        <f t="shared" si="35"/>
        <v>CA-2015-128083_FUR-FU-10001731</v>
      </c>
      <c r="E2276" t="str">
        <f>IF(COUNTIF(data2!$D:$D,D2276)=0,"Missing in Data2","Present")</f>
        <v>Present</v>
      </c>
    </row>
    <row r="2277" spans="1:5" x14ac:dyDescent="0.25">
      <c r="A2277" s="2" t="s">
        <v>2425</v>
      </c>
      <c r="B2277" s="2" t="s">
        <v>1390</v>
      </c>
      <c r="C2277" s="2">
        <v>4</v>
      </c>
      <c r="D2277" t="str">
        <f t="shared" si="35"/>
        <v>CA-2015-128083_FUR-FU-10003194</v>
      </c>
      <c r="E2277" t="str">
        <f>IF(COUNTIF(data2!$D:$D,D2277)=0,"Missing in Data2","Present")</f>
        <v>Present</v>
      </c>
    </row>
    <row r="2278" spans="1:5" x14ac:dyDescent="0.25">
      <c r="A2278" s="2" t="s">
        <v>2425</v>
      </c>
      <c r="B2278" s="2" t="s">
        <v>323</v>
      </c>
      <c r="C2278" s="2">
        <v>3</v>
      </c>
      <c r="D2278" t="str">
        <f t="shared" si="35"/>
        <v>CA-2015-128083_OFF-EN-10004030</v>
      </c>
      <c r="E2278" t="str">
        <f>IF(COUNTIF(data2!$D:$D,D2278)=0,"Missing in Data2","Present")</f>
        <v>Present</v>
      </c>
    </row>
    <row r="2279" spans="1:5" x14ac:dyDescent="0.25">
      <c r="A2279" s="2" t="s">
        <v>2426</v>
      </c>
      <c r="B2279" s="2" t="s">
        <v>2427</v>
      </c>
      <c r="C2279" s="2">
        <v>3</v>
      </c>
      <c r="D2279" t="str">
        <f t="shared" si="35"/>
        <v>CA-2015-128125_FUR-FU-10001085</v>
      </c>
      <c r="E2279" t="str">
        <f>IF(COUNTIF(data2!$D:$D,D2279)=0,"Missing in Data2","Present")</f>
        <v>Missing in Data2</v>
      </c>
    </row>
    <row r="2280" spans="1:5" x14ac:dyDescent="0.25">
      <c r="A2280" s="2" t="s">
        <v>2426</v>
      </c>
      <c r="B2280" s="2" t="s">
        <v>41</v>
      </c>
      <c r="C2280" s="2">
        <v>3</v>
      </c>
      <c r="D2280" t="str">
        <f t="shared" si="35"/>
        <v>CA-2015-128125_OFF-PA-10000357</v>
      </c>
      <c r="E2280" t="str">
        <f>IF(COUNTIF(data2!$D:$D,D2280)=0,"Missing in Data2","Present")</f>
        <v>Present</v>
      </c>
    </row>
    <row r="2281" spans="1:5" x14ac:dyDescent="0.25">
      <c r="A2281" s="2" t="s">
        <v>2428</v>
      </c>
      <c r="B2281" s="2" t="s">
        <v>2429</v>
      </c>
      <c r="C2281" s="2">
        <v>1</v>
      </c>
      <c r="D2281" t="str">
        <f t="shared" si="35"/>
        <v>CA-2015-128139_FUR-CH-10003956</v>
      </c>
      <c r="E2281" t="str">
        <f>IF(COUNTIF(data2!$D:$D,D2281)=0,"Missing in Data2","Present")</f>
        <v>Present</v>
      </c>
    </row>
    <row r="2282" spans="1:5" x14ac:dyDescent="0.25">
      <c r="A2282" s="2" t="s">
        <v>2428</v>
      </c>
      <c r="B2282" s="2" t="s">
        <v>24</v>
      </c>
      <c r="C2282" s="2">
        <v>3</v>
      </c>
      <c r="D2282" t="str">
        <f t="shared" si="35"/>
        <v>CA-2015-128139_OFF-LA-10003930</v>
      </c>
      <c r="E2282" t="str">
        <f>IF(COUNTIF(data2!$D:$D,D2282)=0,"Missing in Data2","Present")</f>
        <v>Present</v>
      </c>
    </row>
    <row r="2283" spans="1:5" x14ac:dyDescent="0.25">
      <c r="A2283" s="2" t="s">
        <v>2430</v>
      </c>
      <c r="B2283" s="2" t="s">
        <v>1488</v>
      </c>
      <c r="C2283" s="2">
        <v>4</v>
      </c>
      <c r="D2283" t="str">
        <f t="shared" si="35"/>
        <v>CA-2015-128167_OFF-FA-10000490</v>
      </c>
      <c r="E2283" t="str">
        <f>IF(COUNTIF(data2!$D:$D,D2283)=0,"Missing in Data2","Present")</f>
        <v>Present</v>
      </c>
    </row>
    <row r="2284" spans="1:5" x14ac:dyDescent="0.25">
      <c r="A2284" s="2" t="s">
        <v>2431</v>
      </c>
      <c r="B2284" s="2" t="s">
        <v>355</v>
      </c>
      <c r="C2284" s="2">
        <v>2</v>
      </c>
      <c r="D2284" t="str">
        <f t="shared" si="35"/>
        <v>CA-2015-128356_OFF-SU-10004290</v>
      </c>
      <c r="E2284" t="str">
        <f>IF(COUNTIF(data2!$D:$D,D2284)=0,"Missing in Data2","Present")</f>
        <v>Missing in Data2</v>
      </c>
    </row>
    <row r="2285" spans="1:5" x14ac:dyDescent="0.25">
      <c r="A2285" s="2" t="s">
        <v>2432</v>
      </c>
      <c r="B2285" s="2" t="s">
        <v>333</v>
      </c>
      <c r="C2285" s="2">
        <v>2</v>
      </c>
      <c r="D2285" t="str">
        <f t="shared" si="35"/>
        <v>CA-2015-128608_OFF-AR-10001374</v>
      </c>
      <c r="E2285" t="str">
        <f>IF(COUNTIF(data2!$D:$D,D2285)=0,"Missing in Data2","Present")</f>
        <v>Present</v>
      </c>
    </row>
    <row r="2286" spans="1:5" x14ac:dyDescent="0.25">
      <c r="A2286" s="2" t="s">
        <v>2432</v>
      </c>
      <c r="B2286" s="2" t="s">
        <v>2433</v>
      </c>
      <c r="C2286" s="2">
        <v>2</v>
      </c>
      <c r="D2286" t="str">
        <f t="shared" si="35"/>
        <v>CA-2015-128608_TEC-AC-10000487</v>
      </c>
      <c r="E2286" t="str">
        <f>IF(COUNTIF(data2!$D:$D,D2286)=0,"Missing in Data2","Present")</f>
        <v>Present</v>
      </c>
    </row>
    <row r="2287" spans="1:5" x14ac:dyDescent="0.25">
      <c r="A2287" s="2" t="s">
        <v>2432</v>
      </c>
      <c r="B2287" s="2" t="s">
        <v>2434</v>
      </c>
      <c r="C2287" s="2">
        <v>4</v>
      </c>
      <c r="D2287" t="str">
        <f t="shared" si="35"/>
        <v>CA-2015-128608_TEC-PH-10000912</v>
      </c>
      <c r="E2287" t="str">
        <f>IF(COUNTIF(data2!$D:$D,D2287)=0,"Missing in Data2","Present")</f>
        <v>Present</v>
      </c>
    </row>
    <row r="2288" spans="1:5" x14ac:dyDescent="0.25">
      <c r="A2288" s="2" t="s">
        <v>2432</v>
      </c>
      <c r="B2288" s="2" t="s">
        <v>2435</v>
      </c>
      <c r="C2288" s="2">
        <v>3</v>
      </c>
      <c r="D2288" t="str">
        <f t="shared" si="35"/>
        <v>CA-2015-128608_TEC-PH-10002262</v>
      </c>
      <c r="E2288" t="str">
        <f>IF(COUNTIF(data2!$D:$D,D2288)=0,"Missing in Data2","Present")</f>
        <v>Present</v>
      </c>
    </row>
    <row r="2289" spans="1:5" x14ac:dyDescent="0.25">
      <c r="A2289" s="2" t="s">
        <v>2436</v>
      </c>
      <c r="B2289" s="2" t="s">
        <v>1529</v>
      </c>
      <c r="C2289" s="2">
        <v>1</v>
      </c>
      <c r="D2289" t="str">
        <f t="shared" si="35"/>
        <v>CA-2015-128860_FUR-FU-10001473</v>
      </c>
      <c r="E2289" t="str">
        <f>IF(COUNTIF(data2!$D:$D,D2289)=0,"Missing in Data2","Present")</f>
        <v>Present</v>
      </c>
    </row>
    <row r="2290" spans="1:5" x14ac:dyDescent="0.25">
      <c r="A2290" s="2" t="s">
        <v>2437</v>
      </c>
      <c r="B2290" s="2" t="s">
        <v>58</v>
      </c>
      <c r="C2290" s="2">
        <v>5</v>
      </c>
      <c r="D2290" t="str">
        <f t="shared" si="35"/>
        <v>CA-2015-128958_OFF-AR-10004757</v>
      </c>
      <c r="E2290" t="str">
        <f>IF(COUNTIF(data2!$D:$D,D2290)=0,"Missing in Data2","Present")</f>
        <v>Missing in Data2</v>
      </c>
    </row>
    <row r="2291" spans="1:5" x14ac:dyDescent="0.25">
      <c r="A2291" s="2" t="s">
        <v>2438</v>
      </c>
      <c r="B2291" s="2" t="s">
        <v>1594</v>
      </c>
      <c r="C2291" s="2">
        <v>2</v>
      </c>
      <c r="D2291" t="str">
        <f t="shared" si="35"/>
        <v>CA-2015-128993_TEC-AC-10004209</v>
      </c>
      <c r="E2291" t="str">
        <f>IF(COUNTIF(data2!$D:$D,D2291)=0,"Missing in Data2","Present")</f>
        <v>Present</v>
      </c>
    </row>
    <row r="2292" spans="1:5" x14ac:dyDescent="0.25">
      <c r="A2292" s="2" t="s">
        <v>2439</v>
      </c>
      <c r="B2292" s="2" t="s">
        <v>269</v>
      </c>
      <c r="C2292" s="2">
        <v>2</v>
      </c>
      <c r="D2292" t="str">
        <f t="shared" si="35"/>
        <v>CA-2015-129098_OFF-ST-10001321</v>
      </c>
      <c r="E2292" t="str">
        <f>IF(COUNTIF(data2!$D:$D,D2292)=0,"Missing in Data2","Present")</f>
        <v>Present</v>
      </c>
    </row>
    <row r="2293" spans="1:5" x14ac:dyDescent="0.25">
      <c r="A2293" s="2" t="s">
        <v>2440</v>
      </c>
      <c r="B2293" s="2" t="s">
        <v>2140</v>
      </c>
      <c r="C2293" s="2">
        <v>4</v>
      </c>
      <c r="D2293" t="str">
        <f t="shared" si="35"/>
        <v>CA-2015-129112_OFF-BI-10000088</v>
      </c>
      <c r="E2293" t="str">
        <f>IF(COUNTIF(data2!$D:$D,D2293)=0,"Missing in Data2","Present")</f>
        <v>Missing in Data2</v>
      </c>
    </row>
    <row r="2294" spans="1:5" x14ac:dyDescent="0.25">
      <c r="A2294" s="2" t="s">
        <v>2440</v>
      </c>
      <c r="B2294" s="2" t="s">
        <v>311</v>
      </c>
      <c r="C2294" s="2">
        <v>3</v>
      </c>
      <c r="D2294" t="str">
        <f t="shared" si="35"/>
        <v>CA-2015-129112_TEC-AC-10003038</v>
      </c>
      <c r="E2294" t="str">
        <f>IF(COUNTIF(data2!$D:$D,D2294)=0,"Missing in Data2","Present")</f>
        <v>Present</v>
      </c>
    </row>
    <row r="2295" spans="1:5" x14ac:dyDescent="0.25">
      <c r="A2295" s="2" t="s">
        <v>2441</v>
      </c>
      <c r="B2295" s="2" t="s">
        <v>2442</v>
      </c>
      <c r="C2295" s="2">
        <v>5</v>
      </c>
      <c r="D2295" t="str">
        <f t="shared" si="35"/>
        <v>CA-2015-129217_OFF-AP-10002439</v>
      </c>
      <c r="E2295" t="str">
        <f>IF(COUNTIF(data2!$D:$D,D2295)=0,"Missing in Data2","Present")</f>
        <v>Present</v>
      </c>
    </row>
    <row r="2296" spans="1:5" x14ac:dyDescent="0.25">
      <c r="A2296" s="2" t="s">
        <v>2441</v>
      </c>
      <c r="B2296" s="2" t="s">
        <v>1422</v>
      </c>
      <c r="C2296" s="2">
        <v>2</v>
      </c>
      <c r="D2296" t="str">
        <f t="shared" si="35"/>
        <v>CA-2015-129217_OFF-AR-10004602</v>
      </c>
      <c r="E2296" t="str">
        <f>IF(COUNTIF(data2!$D:$D,D2296)=0,"Missing in Data2","Present")</f>
        <v>Present</v>
      </c>
    </row>
    <row r="2297" spans="1:5" x14ac:dyDescent="0.25">
      <c r="A2297" s="2" t="s">
        <v>2443</v>
      </c>
      <c r="B2297" s="2" t="s">
        <v>662</v>
      </c>
      <c r="C2297" s="2">
        <v>2</v>
      </c>
      <c r="D2297" t="str">
        <f t="shared" si="35"/>
        <v>CA-2015-129322_OFF-AP-10004336</v>
      </c>
      <c r="E2297" t="str">
        <f>IF(COUNTIF(data2!$D:$D,D2297)=0,"Missing in Data2","Present")</f>
        <v>Present</v>
      </c>
    </row>
    <row r="2298" spans="1:5" x14ac:dyDescent="0.25">
      <c r="A2298" s="2" t="s">
        <v>2443</v>
      </c>
      <c r="B2298" s="2" t="s">
        <v>2444</v>
      </c>
      <c r="C2298" s="2">
        <v>2</v>
      </c>
      <c r="D2298" t="str">
        <f t="shared" si="35"/>
        <v>CA-2015-129322_OFF-AR-10004587</v>
      </c>
      <c r="E2298" t="str">
        <f>IF(COUNTIF(data2!$D:$D,D2298)=0,"Missing in Data2","Present")</f>
        <v>Present</v>
      </c>
    </row>
    <row r="2299" spans="1:5" x14ac:dyDescent="0.25">
      <c r="A2299" s="2" t="s">
        <v>2443</v>
      </c>
      <c r="B2299" s="2" t="s">
        <v>2324</v>
      </c>
      <c r="C2299" s="2">
        <v>7</v>
      </c>
      <c r="D2299" t="str">
        <f t="shared" si="35"/>
        <v>CA-2015-129322_OFF-BI-10001718</v>
      </c>
      <c r="E2299" t="str">
        <f>IF(COUNTIF(data2!$D:$D,D2299)=0,"Missing in Data2","Present")</f>
        <v>Present</v>
      </c>
    </row>
    <row r="2300" spans="1:5" x14ac:dyDescent="0.25">
      <c r="A2300" s="2" t="s">
        <v>2445</v>
      </c>
      <c r="B2300" s="2" t="s">
        <v>1702</v>
      </c>
      <c r="C2300" s="2">
        <v>5</v>
      </c>
      <c r="D2300" t="str">
        <f t="shared" si="35"/>
        <v>CA-2015-129392_OFF-PA-10004248</v>
      </c>
      <c r="E2300" t="str">
        <f>IF(COUNTIF(data2!$D:$D,D2300)=0,"Missing in Data2","Present")</f>
        <v>Present</v>
      </c>
    </row>
    <row r="2301" spans="1:5" x14ac:dyDescent="0.25">
      <c r="A2301" s="2" t="s">
        <v>2446</v>
      </c>
      <c r="B2301" s="2" t="s">
        <v>265</v>
      </c>
      <c r="C2301" s="2">
        <v>5</v>
      </c>
      <c r="D2301" t="str">
        <f t="shared" si="35"/>
        <v>CA-2015-129476_TEC-AC-10000844</v>
      </c>
      <c r="E2301" t="str">
        <f>IF(COUNTIF(data2!$D:$D,D2301)=0,"Missing in Data2","Present")</f>
        <v>Present</v>
      </c>
    </row>
    <row r="2302" spans="1:5" x14ac:dyDescent="0.25">
      <c r="A2302" s="2" t="s">
        <v>2447</v>
      </c>
      <c r="B2302" s="2" t="s">
        <v>823</v>
      </c>
      <c r="C2302" s="2">
        <v>13</v>
      </c>
      <c r="D2302" t="str">
        <f t="shared" si="35"/>
        <v>CA-2015-129525_OFF-BI-10002133</v>
      </c>
      <c r="E2302" t="str">
        <f>IF(COUNTIF(data2!$D:$D,D2302)=0,"Missing in Data2","Present")</f>
        <v>Present</v>
      </c>
    </row>
    <row r="2303" spans="1:5" x14ac:dyDescent="0.25">
      <c r="A2303" s="2" t="s">
        <v>2448</v>
      </c>
      <c r="B2303" s="2" t="s">
        <v>231</v>
      </c>
      <c r="C2303" s="2">
        <v>2</v>
      </c>
      <c r="D2303" t="str">
        <f t="shared" si="35"/>
        <v>CA-2015-129532_OFF-ST-10004186</v>
      </c>
      <c r="E2303" t="str">
        <f>IF(COUNTIF(data2!$D:$D,D2303)=0,"Missing in Data2","Present")</f>
        <v>Present</v>
      </c>
    </row>
    <row r="2304" spans="1:5" x14ac:dyDescent="0.25">
      <c r="A2304" s="2" t="s">
        <v>2448</v>
      </c>
      <c r="B2304" s="2" t="s">
        <v>1263</v>
      </c>
      <c r="C2304" s="2">
        <v>4</v>
      </c>
      <c r="D2304" t="str">
        <f t="shared" si="35"/>
        <v>CA-2015-129532_TEC-AC-10000865</v>
      </c>
      <c r="E2304" t="str">
        <f>IF(COUNTIF(data2!$D:$D,D2304)=0,"Missing in Data2","Present")</f>
        <v>Present</v>
      </c>
    </row>
    <row r="2305" spans="1:5" x14ac:dyDescent="0.25">
      <c r="A2305" s="2" t="s">
        <v>2449</v>
      </c>
      <c r="B2305" s="2" t="s">
        <v>757</v>
      </c>
      <c r="C2305" s="2">
        <v>3</v>
      </c>
      <c r="D2305" t="str">
        <f t="shared" si="35"/>
        <v>CA-2015-129546_OFF-AP-10002495</v>
      </c>
      <c r="E2305" t="str">
        <f>IF(COUNTIF(data2!$D:$D,D2305)=0,"Missing in Data2","Present")</f>
        <v>Present</v>
      </c>
    </row>
    <row r="2306" spans="1:5" x14ac:dyDescent="0.25">
      <c r="A2306" s="2" t="s">
        <v>2449</v>
      </c>
      <c r="B2306" s="2" t="s">
        <v>2450</v>
      </c>
      <c r="C2306" s="2">
        <v>6</v>
      </c>
      <c r="D2306" t="str">
        <f t="shared" si="35"/>
        <v>CA-2015-129546_OFF-BI-10004001</v>
      </c>
      <c r="E2306" t="str">
        <f>IF(COUNTIF(data2!$D:$D,D2306)=0,"Missing in Data2","Present")</f>
        <v>Present</v>
      </c>
    </row>
    <row r="2307" spans="1:5" x14ac:dyDescent="0.25">
      <c r="A2307" s="2" t="s">
        <v>2449</v>
      </c>
      <c r="B2307" s="2" t="s">
        <v>2451</v>
      </c>
      <c r="C2307" s="2">
        <v>3</v>
      </c>
      <c r="D2307" t="str">
        <f t="shared" ref="D2307:D2370" si="36">A2307&amp;"_"&amp;B2307</f>
        <v>CA-2015-129546_OFF-SU-10004884</v>
      </c>
      <c r="E2307" t="str">
        <f>IF(COUNTIF(data2!$D:$D,D2307)=0,"Missing in Data2","Present")</f>
        <v>Present</v>
      </c>
    </row>
    <row r="2308" spans="1:5" x14ac:dyDescent="0.25">
      <c r="A2308" s="2" t="s">
        <v>2449</v>
      </c>
      <c r="B2308" s="2" t="s">
        <v>2452</v>
      </c>
      <c r="C2308" s="2">
        <v>2</v>
      </c>
      <c r="D2308" t="str">
        <f t="shared" si="36"/>
        <v>CA-2015-129546_TEC-PH-10003555</v>
      </c>
      <c r="E2308" t="str">
        <f>IF(COUNTIF(data2!$D:$D,D2308)=0,"Missing in Data2","Present")</f>
        <v>Present</v>
      </c>
    </row>
    <row r="2309" spans="1:5" x14ac:dyDescent="0.25">
      <c r="A2309" s="2" t="s">
        <v>2453</v>
      </c>
      <c r="B2309" s="2" t="s">
        <v>661</v>
      </c>
      <c r="C2309" s="2">
        <v>7</v>
      </c>
      <c r="D2309" t="str">
        <f t="shared" si="36"/>
        <v>CA-2015-129700_FUR-FU-10001940</v>
      </c>
      <c r="E2309" t="str">
        <f>IF(COUNTIF(data2!$D:$D,D2309)=0,"Missing in Data2","Present")</f>
        <v>Present</v>
      </c>
    </row>
    <row r="2310" spans="1:5" x14ac:dyDescent="0.25">
      <c r="A2310" s="2" t="s">
        <v>2454</v>
      </c>
      <c r="B2310" s="2" t="s">
        <v>2455</v>
      </c>
      <c r="C2310" s="2">
        <v>4</v>
      </c>
      <c r="D2310" t="str">
        <f t="shared" si="36"/>
        <v>CA-2015-129770_OFF-PA-10000249</v>
      </c>
      <c r="E2310" t="str">
        <f>IF(COUNTIF(data2!$D:$D,D2310)=0,"Missing in Data2","Present")</f>
        <v>Present</v>
      </c>
    </row>
    <row r="2311" spans="1:5" x14ac:dyDescent="0.25">
      <c r="A2311" s="2" t="s">
        <v>2456</v>
      </c>
      <c r="B2311" s="2" t="s">
        <v>194</v>
      </c>
      <c r="C2311" s="2">
        <v>4</v>
      </c>
      <c r="D2311" t="str">
        <f t="shared" si="36"/>
        <v>CA-2015-129854_OFF-AR-10000390</v>
      </c>
      <c r="E2311" t="str">
        <f>IF(COUNTIF(data2!$D:$D,D2311)=0,"Missing in Data2","Present")</f>
        <v>Present</v>
      </c>
    </row>
    <row r="2312" spans="1:5" x14ac:dyDescent="0.25">
      <c r="A2312" s="2" t="s">
        <v>2457</v>
      </c>
      <c r="B2312" s="2" t="s">
        <v>2458</v>
      </c>
      <c r="C2312" s="2">
        <v>4</v>
      </c>
      <c r="D2312" t="str">
        <f t="shared" si="36"/>
        <v>CA-2015-129896_FUR-FU-10002396</v>
      </c>
      <c r="E2312" t="str">
        <f>IF(COUNTIF(data2!$D:$D,D2312)=0,"Missing in Data2","Present")</f>
        <v>Present</v>
      </c>
    </row>
    <row r="2313" spans="1:5" x14ac:dyDescent="0.25">
      <c r="A2313" s="2" t="s">
        <v>2457</v>
      </c>
      <c r="B2313" s="2" t="s">
        <v>2459</v>
      </c>
      <c r="C2313" s="2">
        <v>6</v>
      </c>
      <c r="D2313" t="str">
        <f t="shared" si="36"/>
        <v>CA-2015-129896_FUR-FU-10004904</v>
      </c>
      <c r="E2313" t="str">
        <f>IF(COUNTIF(data2!$D:$D,D2313)=0,"Missing in Data2","Present")</f>
        <v>Present</v>
      </c>
    </row>
    <row r="2314" spans="1:5" x14ac:dyDescent="0.25">
      <c r="A2314" s="2" t="s">
        <v>2457</v>
      </c>
      <c r="B2314" s="2" t="s">
        <v>1094</v>
      </c>
      <c r="C2314" s="2">
        <v>2</v>
      </c>
      <c r="D2314" t="str">
        <f t="shared" si="36"/>
        <v>CA-2015-129896_OFF-PA-10002245</v>
      </c>
      <c r="E2314" t="str">
        <f>IF(COUNTIF(data2!$D:$D,D2314)=0,"Missing in Data2","Present")</f>
        <v>Present</v>
      </c>
    </row>
    <row r="2315" spans="1:5" x14ac:dyDescent="0.25">
      <c r="A2315" s="2" t="s">
        <v>2457</v>
      </c>
      <c r="B2315" s="2" t="s">
        <v>2460</v>
      </c>
      <c r="C2315" s="2">
        <v>2</v>
      </c>
      <c r="D2315" t="str">
        <f t="shared" si="36"/>
        <v>CA-2015-129896_OFF-ST-10004804</v>
      </c>
      <c r="E2315" t="str">
        <f>IF(COUNTIF(data2!$D:$D,D2315)=0,"Missing in Data2","Present")</f>
        <v>Present</v>
      </c>
    </row>
    <row r="2316" spans="1:5" x14ac:dyDescent="0.25">
      <c r="A2316" s="2" t="s">
        <v>2461</v>
      </c>
      <c r="B2316" s="2" t="s">
        <v>1065</v>
      </c>
      <c r="C2316" s="2">
        <v>3</v>
      </c>
      <c r="D2316" t="str">
        <f t="shared" si="36"/>
        <v>CA-2015-129917_OFF-BI-10001757</v>
      </c>
      <c r="E2316" t="str">
        <f>IF(COUNTIF(data2!$D:$D,D2316)=0,"Missing in Data2","Present")</f>
        <v>Present</v>
      </c>
    </row>
    <row r="2317" spans="1:5" x14ac:dyDescent="0.25">
      <c r="A2317" s="2" t="s">
        <v>2461</v>
      </c>
      <c r="B2317" s="2" t="s">
        <v>1763</v>
      </c>
      <c r="C2317" s="2">
        <v>5</v>
      </c>
      <c r="D2317" t="str">
        <f t="shared" si="36"/>
        <v>CA-2015-129917_TEC-PH-10000369</v>
      </c>
      <c r="E2317" t="str">
        <f>IF(COUNTIF(data2!$D:$D,D2317)=0,"Missing in Data2","Present")</f>
        <v>Present</v>
      </c>
    </row>
    <row r="2318" spans="1:5" x14ac:dyDescent="0.25">
      <c r="A2318" s="2" t="s">
        <v>2462</v>
      </c>
      <c r="B2318" s="2" t="s">
        <v>1819</v>
      </c>
      <c r="C2318" s="2">
        <v>3</v>
      </c>
      <c r="D2318" t="str">
        <f t="shared" si="36"/>
        <v>CA-2015-130022_OFF-AR-10001915</v>
      </c>
      <c r="E2318" t="str">
        <f>IF(COUNTIF(data2!$D:$D,D2318)=0,"Missing in Data2","Present")</f>
        <v>Present</v>
      </c>
    </row>
    <row r="2319" spans="1:5" x14ac:dyDescent="0.25">
      <c r="A2319" s="2" t="s">
        <v>2462</v>
      </c>
      <c r="B2319" s="2" t="s">
        <v>218</v>
      </c>
      <c r="C2319" s="2">
        <v>4</v>
      </c>
      <c r="D2319" t="str">
        <f t="shared" si="36"/>
        <v>CA-2015-130022_OFF-LA-10002043</v>
      </c>
      <c r="E2319" t="str">
        <f>IF(COUNTIF(data2!$D:$D,D2319)=0,"Missing in Data2","Present")</f>
        <v>Missing in Data2</v>
      </c>
    </row>
    <row r="2320" spans="1:5" x14ac:dyDescent="0.25">
      <c r="A2320" s="2" t="s">
        <v>2462</v>
      </c>
      <c r="B2320" s="2" t="s">
        <v>997</v>
      </c>
      <c r="C2320" s="2">
        <v>1</v>
      </c>
      <c r="D2320" t="str">
        <f t="shared" si="36"/>
        <v>CA-2015-130022_OFF-LA-10002787</v>
      </c>
      <c r="E2320" t="str">
        <f>IF(COUNTIF(data2!$D:$D,D2320)=0,"Missing in Data2","Present")</f>
        <v>Present</v>
      </c>
    </row>
    <row r="2321" spans="1:5" x14ac:dyDescent="0.25">
      <c r="A2321" s="2" t="s">
        <v>2463</v>
      </c>
      <c r="B2321" s="2" t="s">
        <v>435</v>
      </c>
      <c r="C2321" s="2">
        <v>2</v>
      </c>
      <c r="D2321" t="str">
        <f t="shared" si="36"/>
        <v>CA-2015-130113_OFF-ST-10000046</v>
      </c>
      <c r="E2321" t="str">
        <f>IF(COUNTIF(data2!$D:$D,D2321)=0,"Missing in Data2","Present")</f>
        <v>Present</v>
      </c>
    </row>
    <row r="2322" spans="1:5" x14ac:dyDescent="0.25">
      <c r="A2322" s="2" t="s">
        <v>2463</v>
      </c>
      <c r="B2322" s="2" t="s">
        <v>139</v>
      </c>
      <c r="C2322" s="2">
        <v>9</v>
      </c>
      <c r="D2322" t="str">
        <f t="shared" si="36"/>
        <v>CA-2015-130113_TEC-PH-10003505</v>
      </c>
      <c r="E2322" t="str">
        <f>IF(COUNTIF(data2!$D:$D,D2322)=0,"Missing in Data2","Present")</f>
        <v>Present</v>
      </c>
    </row>
    <row r="2323" spans="1:5" x14ac:dyDescent="0.25">
      <c r="A2323" s="2" t="s">
        <v>2464</v>
      </c>
      <c r="B2323" s="2" t="s">
        <v>2465</v>
      </c>
      <c r="C2323" s="2">
        <v>3</v>
      </c>
      <c r="D2323" t="str">
        <f t="shared" si="36"/>
        <v>CA-2015-130183_FUR-BO-10001811</v>
      </c>
      <c r="E2323" t="str">
        <f>IF(COUNTIF(data2!$D:$D,D2323)=0,"Missing in Data2","Present")</f>
        <v>Present</v>
      </c>
    </row>
    <row r="2324" spans="1:5" x14ac:dyDescent="0.25">
      <c r="A2324" s="2" t="s">
        <v>2466</v>
      </c>
      <c r="B2324" s="2" t="s">
        <v>2467</v>
      </c>
      <c r="C2324" s="2">
        <v>3</v>
      </c>
      <c r="D2324" t="str">
        <f t="shared" si="36"/>
        <v>CA-2015-130204_OFF-ST-10001325</v>
      </c>
      <c r="E2324" t="str">
        <f>IF(COUNTIF(data2!$D:$D,D2324)=0,"Missing in Data2","Present")</f>
        <v>Present</v>
      </c>
    </row>
    <row r="2325" spans="1:5" x14ac:dyDescent="0.25">
      <c r="A2325" s="2" t="s">
        <v>2466</v>
      </c>
      <c r="B2325" s="2" t="s">
        <v>311</v>
      </c>
      <c r="C2325" s="2">
        <v>2</v>
      </c>
      <c r="D2325" t="str">
        <f t="shared" si="36"/>
        <v>CA-2015-130204_TEC-AC-10003038</v>
      </c>
      <c r="E2325" t="str">
        <f>IF(COUNTIF(data2!$D:$D,D2325)=0,"Missing in Data2","Present")</f>
        <v>Present</v>
      </c>
    </row>
    <row r="2326" spans="1:5" x14ac:dyDescent="0.25">
      <c r="A2326" s="2" t="s">
        <v>2466</v>
      </c>
      <c r="B2326" s="2" t="s">
        <v>2468</v>
      </c>
      <c r="C2326" s="2">
        <v>5</v>
      </c>
      <c r="D2326" t="str">
        <f t="shared" si="36"/>
        <v>CA-2015-130204_TEC-AC-10003590</v>
      </c>
      <c r="E2326" t="str">
        <f>IF(COUNTIF(data2!$D:$D,D2326)=0,"Missing in Data2","Present")</f>
        <v>Present</v>
      </c>
    </row>
    <row r="2327" spans="1:5" x14ac:dyDescent="0.25">
      <c r="A2327" s="2" t="s">
        <v>2469</v>
      </c>
      <c r="B2327" s="2" t="s">
        <v>1320</v>
      </c>
      <c r="C2327" s="2">
        <v>4</v>
      </c>
      <c r="D2327" t="str">
        <f t="shared" si="36"/>
        <v>CA-2015-130218_OFF-FA-10003112</v>
      </c>
      <c r="E2327" t="str">
        <f>IF(COUNTIF(data2!$D:$D,D2327)=0,"Missing in Data2","Present")</f>
        <v>Present</v>
      </c>
    </row>
    <row r="2328" spans="1:5" x14ac:dyDescent="0.25">
      <c r="A2328" s="2" t="s">
        <v>2469</v>
      </c>
      <c r="B2328" s="2" t="s">
        <v>2470</v>
      </c>
      <c r="C2328" s="2">
        <v>4</v>
      </c>
      <c r="D2328" t="str">
        <f t="shared" si="36"/>
        <v>CA-2015-130218_OFF-ST-10002486</v>
      </c>
      <c r="E2328" t="str">
        <f>IF(COUNTIF(data2!$D:$D,D2328)=0,"Missing in Data2","Present")</f>
        <v>Missing in Data2</v>
      </c>
    </row>
    <row r="2329" spans="1:5" x14ac:dyDescent="0.25">
      <c r="A2329" s="2" t="s">
        <v>2471</v>
      </c>
      <c r="B2329" s="2" t="s">
        <v>2472</v>
      </c>
      <c r="C2329" s="2">
        <v>3</v>
      </c>
      <c r="D2329" t="str">
        <f t="shared" si="36"/>
        <v>CA-2015-130253_FUR-FU-10002963</v>
      </c>
      <c r="E2329" t="str">
        <f>IF(COUNTIF(data2!$D:$D,D2329)=0,"Missing in Data2","Present")</f>
        <v>Present</v>
      </c>
    </row>
    <row r="2330" spans="1:5" x14ac:dyDescent="0.25">
      <c r="A2330" s="2" t="s">
        <v>2473</v>
      </c>
      <c r="B2330" s="2" t="s">
        <v>1857</v>
      </c>
      <c r="C2330" s="2">
        <v>3</v>
      </c>
      <c r="D2330" t="str">
        <f t="shared" si="36"/>
        <v>CA-2015-130365_FUR-CH-10003535</v>
      </c>
      <c r="E2330" t="str">
        <f>IF(COUNTIF(data2!$D:$D,D2330)=0,"Missing in Data2","Present")</f>
        <v>Present</v>
      </c>
    </row>
    <row r="2331" spans="1:5" x14ac:dyDescent="0.25">
      <c r="A2331" s="2" t="s">
        <v>2473</v>
      </c>
      <c r="B2331" s="2" t="s">
        <v>116</v>
      </c>
      <c r="C2331" s="2">
        <v>2</v>
      </c>
      <c r="D2331" t="str">
        <f t="shared" si="36"/>
        <v>CA-2015-130365_OFF-ST-10002574</v>
      </c>
      <c r="E2331" t="str">
        <f>IF(COUNTIF(data2!$D:$D,D2331)=0,"Missing in Data2","Present")</f>
        <v>Present</v>
      </c>
    </row>
    <row r="2332" spans="1:5" x14ac:dyDescent="0.25">
      <c r="A2332" s="2" t="s">
        <v>2474</v>
      </c>
      <c r="B2332" s="2" t="s">
        <v>2475</v>
      </c>
      <c r="C2332" s="2">
        <v>6</v>
      </c>
      <c r="D2332" t="str">
        <f t="shared" si="36"/>
        <v>CA-2015-130456_FUR-BO-10003893</v>
      </c>
      <c r="E2332" t="str">
        <f>IF(COUNTIF(data2!$D:$D,D2332)=0,"Missing in Data2","Present")</f>
        <v>Present</v>
      </c>
    </row>
    <row r="2333" spans="1:5" x14ac:dyDescent="0.25">
      <c r="A2333" s="2" t="s">
        <v>2474</v>
      </c>
      <c r="B2333" s="2" t="s">
        <v>299</v>
      </c>
      <c r="C2333" s="2">
        <v>1</v>
      </c>
      <c r="D2333" t="str">
        <f t="shared" si="36"/>
        <v>CA-2015-130456_OFF-ST-10000736</v>
      </c>
      <c r="E2333" t="str">
        <f>IF(COUNTIF(data2!$D:$D,D2333)=0,"Missing in Data2","Present")</f>
        <v>Present</v>
      </c>
    </row>
    <row r="2334" spans="1:5" x14ac:dyDescent="0.25">
      <c r="A2334" s="2" t="s">
        <v>2476</v>
      </c>
      <c r="B2334" s="2" t="s">
        <v>1666</v>
      </c>
      <c r="C2334" s="2">
        <v>3</v>
      </c>
      <c r="D2334" t="str">
        <f t="shared" si="36"/>
        <v>CA-2015-130554_OFF-AR-10001954</v>
      </c>
      <c r="E2334" t="str">
        <f>IF(COUNTIF(data2!$D:$D,D2334)=0,"Missing in Data2","Present")</f>
        <v>Present</v>
      </c>
    </row>
    <row r="2335" spans="1:5" x14ac:dyDescent="0.25">
      <c r="A2335" s="2" t="s">
        <v>2477</v>
      </c>
      <c r="B2335" s="2" t="s">
        <v>2478</v>
      </c>
      <c r="C2335" s="2">
        <v>5</v>
      </c>
      <c r="D2335" t="str">
        <f t="shared" si="36"/>
        <v>CA-2015-130610_OFF-BI-10003655</v>
      </c>
      <c r="E2335" t="str">
        <f>IF(COUNTIF(data2!$D:$D,D2335)=0,"Missing in Data2","Present")</f>
        <v>Present</v>
      </c>
    </row>
    <row r="2336" spans="1:5" x14ac:dyDescent="0.25">
      <c r="A2336" s="2" t="s">
        <v>2479</v>
      </c>
      <c r="B2336" s="2" t="s">
        <v>1857</v>
      </c>
      <c r="C2336" s="2">
        <v>7</v>
      </c>
      <c r="D2336" t="str">
        <f t="shared" si="36"/>
        <v>CA-2015-130659_FUR-CH-10003535</v>
      </c>
      <c r="E2336" t="str">
        <f>IF(COUNTIF(data2!$D:$D,D2336)=0,"Missing in Data2","Present")</f>
        <v>Present</v>
      </c>
    </row>
    <row r="2337" spans="1:5" x14ac:dyDescent="0.25">
      <c r="A2337" s="2" t="s">
        <v>2479</v>
      </c>
      <c r="B2337" s="2" t="s">
        <v>2480</v>
      </c>
      <c r="C2337" s="2">
        <v>3</v>
      </c>
      <c r="D2337" t="str">
        <f t="shared" si="36"/>
        <v>CA-2015-130659_OFF-EN-10004147</v>
      </c>
      <c r="E2337" t="str">
        <f>IF(COUNTIF(data2!$D:$D,D2337)=0,"Missing in Data2","Present")</f>
        <v>Present</v>
      </c>
    </row>
    <row r="2338" spans="1:5" x14ac:dyDescent="0.25">
      <c r="A2338" s="2" t="s">
        <v>2479</v>
      </c>
      <c r="B2338" s="2" t="s">
        <v>1500</v>
      </c>
      <c r="C2338" s="2">
        <v>5</v>
      </c>
      <c r="D2338" t="str">
        <f t="shared" si="36"/>
        <v>CA-2015-130659_TEC-PH-10004586</v>
      </c>
      <c r="E2338" t="str">
        <f>IF(COUNTIF(data2!$D:$D,D2338)=0,"Missing in Data2","Present")</f>
        <v>Present</v>
      </c>
    </row>
    <row r="2339" spans="1:5" x14ac:dyDescent="0.25">
      <c r="A2339" s="2" t="s">
        <v>2481</v>
      </c>
      <c r="B2339" s="2" t="s">
        <v>1364</v>
      </c>
      <c r="C2339" s="2">
        <v>2</v>
      </c>
      <c r="D2339" t="str">
        <f t="shared" si="36"/>
        <v>CA-2015-130736_OFF-FA-10003467</v>
      </c>
      <c r="E2339" t="str">
        <f>IF(COUNTIF(data2!$D:$D,D2339)=0,"Missing in Data2","Present")</f>
        <v>Present</v>
      </c>
    </row>
    <row r="2340" spans="1:5" x14ac:dyDescent="0.25">
      <c r="A2340" s="2" t="s">
        <v>2481</v>
      </c>
      <c r="B2340" s="2" t="s">
        <v>1504</v>
      </c>
      <c r="C2340" s="2">
        <v>1</v>
      </c>
      <c r="D2340" t="str">
        <f t="shared" si="36"/>
        <v>CA-2015-130736_OFF-LA-10000634</v>
      </c>
      <c r="E2340" t="str">
        <f>IF(COUNTIF(data2!$D:$D,D2340)=0,"Missing in Data2","Present")</f>
        <v>Present</v>
      </c>
    </row>
    <row r="2341" spans="1:5" x14ac:dyDescent="0.25">
      <c r="A2341" s="2" t="s">
        <v>2482</v>
      </c>
      <c r="B2341" s="2" t="s">
        <v>635</v>
      </c>
      <c r="C2341" s="2">
        <v>3</v>
      </c>
      <c r="D2341" t="str">
        <f t="shared" si="36"/>
        <v>CA-2015-130785_FUR-BO-10003159</v>
      </c>
      <c r="E2341" t="str">
        <f>IF(COUNTIF(data2!$D:$D,D2341)=0,"Missing in Data2","Present")</f>
        <v>Present</v>
      </c>
    </row>
    <row r="2342" spans="1:5" x14ac:dyDescent="0.25">
      <c r="A2342" s="2" t="s">
        <v>2482</v>
      </c>
      <c r="B2342" s="2" t="s">
        <v>2483</v>
      </c>
      <c r="C2342" s="2">
        <v>6</v>
      </c>
      <c r="D2342" t="str">
        <f t="shared" si="36"/>
        <v>CA-2015-130785_OFF-BI-10001900</v>
      </c>
      <c r="E2342" t="str">
        <f>IF(COUNTIF(data2!$D:$D,D2342)=0,"Missing in Data2","Present")</f>
        <v>Present</v>
      </c>
    </row>
    <row r="2343" spans="1:5" x14ac:dyDescent="0.25">
      <c r="A2343" s="2" t="s">
        <v>2484</v>
      </c>
      <c r="B2343" s="2" t="s">
        <v>1221</v>
      </c>
      <c r="C2343" s="2">
        <v>3</v>
      </c>
      <c r="D2343" t="str">
        <f t="shared" si="36"/>
        <v>CA-2015-130792_OFF-AP-10000696</v>
      </c>
      <c r="E2343" t="str">
        <f>IF(COUNTIF(data2!$D:$D,D2343)=0,"Missing in Data2","Present")</f>
        <v>Present</v>
      </c>
    </row>
    <row r="2344" spans="1:5" x14ac:dyDescent="0.25">
      <c r="A2344" s="2" t="s">
        <v>2484</v>
      </c>
      <c r="B2344" s="2" t="s">
        <v>59</v>
      </c>
      <c r="C2344" s="2">
        <v>4</v>
      </c>
      <c r="D2344" t="str">
        <f t="shared" si="36"/>
        <v>CA-2015-130792_OFF-BI-10000309</v>
      </c>
      <c r="E2344" t="str">
        <f>IF(COUNTIF(data2!$D:$D,D2344)=0,"Missing in Data2","Present")</f>
        <v>Present</v>
      </c>
    </row>
    <row r="2345" spans="1:5" x14ac:dyDescent="0.25">
      <c r="A2345" s="2" t="s">
        <v>2484</v>
      </c>
      <c r="B2345" s="2" t="s">
        <v>607</v>
      </c>
      <c r="C2345" s="2">
        <v>3</v>
      </c>
      <c r="D2345" t="str">
        <f t="shared" si="36"/>
        <v>CA-2015-130792_OFF-ST-10003327</v>
      </c>
      <c r="E2345" t="str">
        <f>IF(COUNTIF(data2!$D:$D,D2345)=0,"Missing in Data2","Present")</f>
        <v>Present</v>
      </c>
    </row>
    <row r="2346" spans="1:5" x14ac:dyDescent="0.25">
      <c r="A2346" s="2" t="s">
        <v>2485</v>
      </c>
      <c r="B2346" s="2" t="s">
        <v>335</v>
      </c>
      <c r="C2346" s="2">
        <v>8</v>
      </c>
      <c r="D2346" t="str">
        <f t="shared" si="36"/>
        <v>CA-2015-130848_FUR-CH-10000422</v>
      </c>
      <c r="E2346" t="str">
        <f>IF(COUNTIF(data2!$D:$D,D2346)=0,"Missing in Data2","Present")</f>
        <v>Present</v>
      </c>
    </row>
    <row r="2347" spans="1:5" x14ac:dyDescent="0.25">
      <c r="A2347" s="2" t="s">
        <v>2486</v>
      </c>
      <c r="B2347" s="2" t="s">
        <v>969</v>
      </c>
      <c r="C2347" s="2">
        <v>2</v>
      </c>
      <c r="D2347" t="str">
        <f t="shared" si="36"/>
        <v>CA-2015-130855_OFF-SU-10003936</v>
      </c>
      <c r="E2347" t="str">
        <f>IF(COUNTIF(data2!$D:$D,D2347)=0,"Missing in Data2","Present")</f>
        <v>Missing in Data2</v>
      </c>
    </row>
    <row r="2348" spans="1:5" x14ac:dyDescent="0.25">
      <c r="A2348" s="2" t="s">
        <v>2487</v>
      </c>
      <c r="B2348" s="2" t="s">
        <v>178</v>
      </c>
      <c r="C2348" s="2">
        <v>3</v>
      </c>
      <c r="D2348" t="str">
        <f t="shared" si="36"/>
        <v>CA-2015-130876_OFF-ST-10004258</v>
      </c>
      <c r="E2348" t="str">
        <f>IF(COUNTIF(data2!$D:$D,D2348)=0,"Missing in Data2","Present")</f>
        <v>Present</v>
      </c>
    </row>
    <row r="2349" spans="1:5" x14ac:dyDescent="0.25">
      <c r="A2349" s="2" t="s">
        <v>2488</v>
      </c>
      <c r="B2349" s="2" t="s">
        <v>433</v>
      </c>
      <c r="C2349" s="2">
        <v>5</v>
      </c>
      <c r="D2349" t="str">
        <f t="shared" si="36"/>
        <v>CA-2015-130883_OFF-PA-10000474</v>
      </c>
      <c r="E2349" t="str">
        <f>IF(COUNTIF(data2!$D:$D,D2349)=0,"Missing in Data2","Present")</f>
        <v>Present</v>
      </c>
    </row>
    <row r="2350" spans="1:5" x14ac:dyDescent="0.25">
      <c r="A2350" s="2" t="s">
        <v>2488</v>
      </c>
      <c r="B2350" s="2" t="s">
        <v>1728</v>
      </c>
      <c r="C2350" s="2">
        <v>6</v>
      </c>
      <c r="D2350" t="str">
        <f t="shared" si="36"/>
        <v>CA-2015-130883_OFF-PA-10004100</v>
      </c>
      <c r="E2350" t="str">
        <f>IF(COUNTIF(data2!$D:$D,D2350)=0,"Missing in Data2","Present")</f>
        <v>Present</v>
      </c>
    </row>
    <row r="2351" spans="1:5" x14ac:dyDescent="0.25">
      <c r="A2351" s="2" t="s">
        <v>2488</v>
      </c>
      <c r="B2351" s="2" t="s">
        <v>2489</v>
      </c>
      <c r="C2351" s="2">
        <v>5</v>
      </c>
      <c r="D2351" t="str">
        <f t="shared" si="36"/>
        <v>CA-2015-130883_TEC-AC-10001956</v>
      </c>
      <c r="E2351" t="str">
        <f>IF(COUNTIF(data2!$D:$D,D2351)=0,"Missing in Data2","Present")</f>
        <v>Present</v>
      </c>
    </row>
    <row r="2352" spans="1:5" x14ac:dyDescent="0.25">
      <c r="A2352" s="2" t="s">
        <v>2490</v>
      </c>
      <c r="B2352" s="2" t="s">
        <v>1456</v>
      </c>
      <c r="C2352" s="2">
        <v>5</v>
      </c>
      <c r="D2352" t="str">
        <f t="shared" si="36"/>
        <v>CA-2015-130890_FUR-TA-10002903</v>
      </c>
      <c r="E2352" t="str">
        <f>IF(COUNTIF(data2!$D:$D,D2352)=0,"Missing in Data2","Present")</f>
        <v>Present</v>
      </c>
    </row>
    <row r="2353" spans="1:5" x14ac:dyDescent="0.25">
      <c r="A2353" s="2" t="s">
        <v>2491</v>
      </c>
      <c r="B2353" s="2" t="s">
        <v>411</v>
      </c>
      <c r="C2353" s="2">
        <v>1</v>
      </c>
      <c r="D2353" t="str">
        <f t="shared" si="36"/>
        <v>CA-2015-130974_FUR-BO-10002916</v>
      </c>
      <c r="E2353" t="str">
        <f>IF(COUNTIF(data2!$D:$D,D2353)=0,"Missing in Data2","Present")</f>
        <v>Present</v>
      </c>
    </row>
    <row r="2354" spans="1:5" x14ac:dyDescent="0.25">
      <c r="A2354" s="2" t="s">
        <v>2491</v>
      </c>
      <c r="B2354" s="2" t="s">
        <v>2098</v>
      </c>
      <c r="C2354" s="2">
        <v>3</v>
      </c>
      <c r="D2354" t="str">
        <f t="shared" si="36"/>
        <v>CA-2015-130974_FUR-FU-10002506</v>
      </c>
      <c r="E2354" t="str">
        <f>IF(COUNTIF(data2!$D:$D,D2354)=0,"Missing in Data2","Present")</f>
        <v>Present</v>
      </c>
    </row>
    <row r="2355" spans="1:5" x14ac:dyDescent="0.25">
      <c r="A2355" s="2" t="s">
        <v>2491</v>
      </c>
      <c r="B2355" s="2" t="s">
        <v>2492</v>
      </c>
      <c r="C2355" s="2">
        <v>4</v>
      </c>
      <c r="D2355" t="str">
        <f t="shared" si="36"/>
        <v>CA-2015-130974_FUR-TA-10004619</v>
      </c>
      <c r="E2355" t="str">
        <f>IF(COUNTIF(data2!$D:$D,D2355)=0,"Missing in Data2","Present")</f>
        <v>Present</v>
      </c>
    </row>
    <row r="2356" spans="1:5" x14ac:dyDescent="0.25">
      <c r="A2356" s="2" t="s">
        <v>2491</v>
      </c>
      <c r="B2356" s="2" t="s">
        <v>2493</v>
      </c>
      <c r="C2356" s="2">
        <v>6</v>
      </c>
      <c r="D2356" t="str">
        <f t="shared" si="36"/>
        <v>CA-2015-130974_OFF-PA-10000743</v>
      </c>
      <c r="E2356" t="str">
        <f>IF(COUNTIF(data2!$D:$D,D2356)=0,"Missing in Data2","Present")</f>
        <v>Present</v>
      </c>
    </row>
    <row r="2357" spans="1:5" x14ac:dyDescent="0.25">
      <c r="A2357" s="2" t="s">
        <v>2491</v>
      </c>
      <c r="B2357" s="2" t="s">
        <v>645</v>
      </c>
      <c r="C2357" s="2">
        <v>5</v>
      </c>
      <c r="D2357" t="str">
        <f t="shared" si="36"/>
        <v>CA-2015-130974_OFF-PA-10003823</v>
      </c>
      <c r="E2357" t="str">
        <f>IF(COUNTIF(data2!$D:$D,D2357)=0,"Missing in Data2","Present")</f>
        <v>Present</v>
      </c>
    </row>
    <row r="2358" spans="1:5" x14ac:dyDescent="0.25">
      <c r="A2358" s="2" t="s">
        <v>2491</v>
      </c>
      <c r="B2358" s="2" t="s">
        <v>2092</v>
      </c>
      <c r="C2358" s="2">
        <v>2</v>
      </c>
      <c r="D2358" t="str">
        <f t="shared" si="36"/>
        <v>CA-2015-130974_TEC-AC-10003095</v>
      </c>
      <c r="E2358" t="str">
        <f>IF(COUNTIF(data2!$D:$D,D2358)=0,"Missing in Data2","Present")</f>
        <v>Present</v>
      </c>
    </row>
    <row r="2359" spans="1:5" x14ac:dyDescent="0.25">
      <c r="A2359" s="2" t="s">
        <v>2494</v>
      </c>
      <c r="B2359" s="2" t="s">
        <v>1918</v>
      </c>
      <c r="C2359" s="2">
        <v>1</v>
      </c>
      <c r="D2359" t="str">
        <f t="shared" si="36"/>
        <v>CA-2015-130995_TEC-PH-10000347</v>
      </c>
      <c r="E2359" t="str">
        <f>IF(COUNTIF(data2!$D:$D,D2359)=0,"Missing in Data2","Present")</f>
        <v>Present</v>
      </c>
    </row>
    <row r="2360" spans="1:5" x14ac:dyDescent="0.25">
      <c r="A2360" s="2" t="s">
        <v>2495</v>
      </c>
      <c r="B2360" s="2" t="s">
        <v>1483</v>
      </c>
      <c r="C2360" s="2">
        <v>3</v>
      </c>
      <c r="D2360" t="str">
        <f t="shared" si="36"/>
        <v>CA-2015-131072_OFF-BI-10002794</v>
      </c>
      <c r="E2360" t="str">
        <f>IF(COUNTIF(data2!$D:$D,D2360)=0,"Missing in Data2","Present")</f>
        <v>Present</v>
      </c>
    </row>
    <row r="2361" spans="1:5" x14ac:dyDescent="0.25">
      <c r="A2361" s="2" t="s">
        <v>2496</v>
      </c>
      <c r="B2361" s="2" t="s">
        <v>67</v>
      </c>
      <c r="C2361" s="2">
        <v>3</v>
      </c>
      <c r="D2361" t="str">
        <f t="shared" si="36"/>
        <v>CA-2015-131128_OFF-PA-10003591</v>
      </c>
      <c r="E2361" t="str">
        <f>IF(COUNTIF(data2!$D:$D,D2361)=0,"Missing in Data2","Present")</f>
        <v>Present</v>
      </c>
    </row>
    <row r="2362" spans="1:5" x14ac:dyDescent="0.25">
      <c r="A2362" s="2" t="s">
        <v>2497</v>
      </c>
      <c r="B2362" s="2" t="s">
        <v>456</v>
      </c>
      <c r="C2362" s="2">
        <v>2</v>
      </c>
      <c r="D2362" t="str">
        <f t="shared" si="36"/>
        <v>CA-2015-131338_FUR-FU-10001706</v>
      </c>
      <c r="E2362" t="str">
        <f>IF(COUNTIF(data2!$D:$D,D2362)=0,"Missing in Data2","Present")</f>
        <v>Present</v>
      </c>
    </row>
    <row r="2363" spans="1:5" x14ac:dyDescent="0.25">
      <c r="A2363" s="2" t="s">
        <v>2497</v>
      </c>
      <c r="B2363" s="2" t="s">
        <v>2498</v>
      </c>
      <c r="C2363" s="2">
        <v>3</v>
      </c>
      <c r="D2363" t="str">
        <f t="shared" si="36"/>
        <v>CA-2015-131338_FUR-FU-10002157</v>
      </c>
      <c r="E2363" t="str">
        <f>IF(COUNTIF(data2!$D:$D,D2363)=0,"Missing in Data2","Present")</f>
        <v>Present</v>
      </c>
    </row>
    <row r="2364" spans="1:5" x14ac:dyDescent="0.25">
      <c r="A2364" s="2" t="s">
        <v>2497</v>
      </c>
      <c r="B2364" s="2" t="s">
        <v>752</v>
      </c>
      <c r="C2364" s="2">
        <v>9</v>
      </c>
      <c r="D2364" t="str">
        <f t="shared" si="36"/>
        <v>CA-2015-131338_FUR-TA-10002607</v>
      </c>
      <c r="E2364" t="str">
        <f>IF(COUNTIF(data2!$D:$D,D2364)=0,"Missing in Data2","Present")</f>
        <v>Present</v>
      </c>
    </row>
    <row r="2365" spans="1:5" x14ac:dyDescent="0.25">
      <c r="A2365" s="2" t="s">
        <v>2497</v>
      </c>
      <c r="B2365" s="2" t="s">
        <v>2499</v>
      </c>
      <c r="C2365" s="2">
        <v>2</v>
      </c>
      <c r="D2365" t="str">
        <f t="shared" si="36"/>
        <v>CA-2015-131338_OFF-BI-10000545</v>
      </c>
      <c r="E2365" t="str">
        <f>IF(COUNTIF(data2!$D:$D,D2365)=0,"Missing in Data2","Present")</f>
        <v>Present</v>
      </c>
    </row>
    <row r="2366" spans="1:5" x14ac:dyDescent="0.25">
      <c r="A2366" s="2" t="s">
        <v>2497</v>
      </c>
      <c r="B2366" s="2" t="s">
        <v>1653</v>
      </c>
      <c r="C2366" s="2">
        <v>3</v>
      </c>
      <c r="D2366" t="str">
        <f t="shared" si="36"/>
        <v>CA-2015-131338_OFF-FA-10000992</v>
      </c>
      <c r="E2366" t="str">
        <f>IF(COUNTIF(data2!$D:$D,D2366)=0,"Missing in Data2","Present")</f>
        <v>Present</v>
      </c>
    </row>
    <row r="2367" spans="1:5" x14ac:dyDescent="0.25">
      <c r="A2367" s="2" t="s">
        <v>2497</v>
      </c>
      <c r="B2367" s="2" t="s">
        <v>2394</v>
      </c>
      <c r="C2367" s="2">
        <v>3</v>
      </c>
      <c r="D2367" t="str">
        <f t="shared" si="36"/>
        <v>CA-2015-131338_OFF-PA-10001357</v>
      </c>
      <c r="E2367" t="str">
        <f>IF(COUNTIF(data2!$D:$D,D2367)=0,"Missing in Data2","Present")</f>
        <v>Present</v>
      </c>
    </row>
    <row r="2368" spans="1:5" x14ac:dyDescent="0.25">
      <c r="A2368" s="2" t="s">
        <v>2497</v>
      </c>
      <c r="B2368" s="2" t="s">
        <v>2500</v>
      </c>
      <c r="C2368" s="2">
        <v>2</v>
      </c>
      <c r="D2368" t="str">
        <f t="shared" si="36"/>
        <v>CA-2015-131338_OFF-ST-10000642</v>
      </c>
      <c r="E2368" t="str">
        <f>IF(COUNTIF(data2!$D:$D,D2368)=0,"Missing in Data2","Present")</f>
        <v>Present</v>
      </c>
    </row>
    <row r="2369" spans="1:5" x14ac:dyDescent="0.25">
      <c r="A2369" s="2" t="s">
        <v>2497</v>
      </c>
      <c r="B2369" s="2" t="s">
        <v>2501</v>
      </c>
      <c r="C2369" s="2">
        <v>4</v>
      </c>
      <c r="D2369" t="str">
        <f t="shared" si="36"/>
        <v>CA-2015-131338_TEC-AC-10002600</v>
      </c>
      <c r="E2369" t="str">
        <f>IF(COUNTIF(data2!$D:$D,D2369)=0,"Missing in Data2","Present")</f>
        <v>Missing in Data2</v>
      </c>
    </row>
    <row r="2370" spans="1:5" x14ac:dyDescent="0.25">
      <c r="A2370" s="2" t="s">
        <v>2497</v>
      </c>
      <c r="B2370" s="2" t="s">
        <v>520</v>
      </c>
      <c r="C2370" s="2">
        <v>5</v>
      </c>
      <c r="D2370" t="str">
        <f t="shared" si="36"/>
        <v>CA-2015-131338_TEC-PH-10000984</v>
      </c>
      <c r="E2370" t="str">
        <f>IF(COUNTIF(data2!$D:$D,D2370)=0,"Missing in Data2","Present")</f>
        <v>Present</v>
      </c>
    </row>
    <row r="2371" spans="1:5" x14ac:dyDescent="0.25">
      <c r="A2371" s="2" t="s">
        <v>2497</v>
      </c>
      <c r="B2371" s="2" t="s">
        <v>1980</v>
      </c>
      <c r="C2371" s="2">
        <v>2</v>
      </c>
      <c r="D2371" t="str">
        <f t="shared" ref="D2371:D2434" si="37">A2371&amp;"_"&amp;B2371</f>
        <v>CA-2015-131338_TEC-PH-10003012</v>
      </c>
      <c r="E2371" t="str">
        <f>IF(COUNTIF(data2!$D:$D,D2371)=0,"Missing in Data2","Present")</f>
        <v>Present</v>
      </c>
    </row>
    <row r="2372" spans="1:5" x14ac:dyDescent="0.25">
      <c r="A2372" s="2" t="s">
        <v>2502</v>
      </c>
      <c r="B2372" s="2" t="s">
        <v>1768</v>
      </c>
      <c r="C2372" s="2">
        <v>3</v>
      </c>
      <c r="D2372" t="str">
        <f t="shared" si="37"/>
        <v>CA-2015-131352_FUR-FU-10003708</v>
      </c>
      <c r="E2372" t="str">
        <f>IF(COUNTIF(data2!$D:$D,D2372)=0,"Missing in Data2","Present")</f>
        <v>Present</v>
      </c>
    </row>
    <row r="2373" spans="1:5" x14ac:dyDescent="0.25">
      <c r="A2373" s="2" t="s">
        <v>2503</v>
      </c>
      <c r="B2373" s="2" t="s">
        <v>976</v>
      </c>
      <c r="C2373" s="2">
        <v>3</v>
      </c>
      <c r="D2373" t="str">
        <f t="shared" si="37"/>
        <v>CA-2015-131422_FUR-CH-10001270</v>
      </c>
      <c r="E2373" t="str">
        <f>IF(COUNTIF(data2!$D:$D,D2373)=0,"Missing in Data2","Present")</f>
        <v>Present</v>
      </c>
    </row>
    <row r="2374" spans="1:5" x14ac:dyDescent="0.25">
      <c r="A2374" s="2" t="s">
        <v>2504</v>
      </c>
      <c r="B2374" s="2" t="s">
        <v>2505</v>
      </c>
      <c r="C2374" s="2">
        <v>7</v>
      </c>
      <c r="D2374" t="str">
        <f t="shared" si="37"/>
        <v>CA-2015-131457_OFF-EN-10001509</v>
      </c>
      <c r="E2374" t="str">
        <f>IF(COUNTIF(data2!$D:$D,D2374)=0,"Missing in Data2","Present")</f>
        <v>Present</v>
      </c>
    </row>
    <row r="2375" spans="1:5" x14ac:dyDescent="0.25">
      <c r="A2375" s="2" t="s">
        <v>2506</v>
      </c>
      <c r="B2375" s="2" t="s">
        <v>2507</v>
      </c>
      <c r="C2375" s="2">
        <v>1</v>
      </c>
      <c r="D2375" t="str">
        <f t="shared" si="37"/>
        <v>CA-2015-131534_TEC-AC-10002253</v>
      </c>
      <c r="E2375" t="str">
        <f>IF(COUNTIF(data2!$D:$D,D2375)=0,"Missing in Data2","Present")</f>
        <v>Present</v>
      </c>
    </row>
    <row r="2376" spans="1:5" x14ac:dyDescent="0.25">
      <c r="A2376" s="2" t="s">
        <v>2508</v>
      </c>
      <c r="B2376" s="2" t="s">
        <v>752</v>
      </c>
      <c r="C2376" s="2">
        <v>3</v>
      </c>
      <c r="D2376" t="str">
        <f t="shared" si="37"/>
        <v>CA-2015-131597_FUR-TA-10002607</v>
      </c>
      <c r="E2376" t="str">
        <f>IF(COUNTIF(data2!$D:$D,D2376)=0,"Missing in Data2","Present")</f>
        <v>Present</v>
      </c>
    </row>
    <row r="2377" spans="1:5" x14ac:dyDescent="0.25">
      <c r="A2377" s="2" t="s">
        <v>2509</v>
      </c>
      <c r="B2377" s="2" t="s">
        <v>1004</v>
      </c>
      <c r="C2377" s="2">
        <v>3</v>
      </c>
      <c r="D2377" t="str">
        <f t="shared" si="37"/>
        <v>CA-2015-131758_OFF-AR-10000411</v>
      </c>
      <c r="E2377" t="str">
        <f>IF(COUNTIF(data2!$D:$D,D2377)=0,"Missing in Data2","Present")</f>
        <v>Present</v>
      </c>
    </row>
    <row r="2378" spans="1:5" x14ac:dyDescent="0.25">
      <c r="A2378" s="2" t="s">
        <v>2509</v>
      </c>
      <c r="B2378" s="2" t="s">
        <v>379</v>
      </c>
      <c r="C2378" s="2">
        <v>5</v>
      </c>
      <c r="D2378" t="str">
        <f t="shared" si="37"/>
        <v>CA-2015-131758_OFF-LA-10000262</v>
      </c>
      <c r="E2378" t="str">
        <f>IF(COUNTIF(data2!$D:$D,D2378)=0,"Missing in Data2","Present")</f>
        <v>Present</v>
      </c>
    </row>
    <row r="2379" spans="1:5" x14ac:dyDescent="0.25">
      <c r="A2379" s="2" t="s">
        <v>2510</v>
      </c>
      <c r="B2379" s="2" t="s">
        <v>487</v>
      </c>
      <c r="C2379" s="2">
        <v>5</v>
      </c>
      <c r="D2379" t="str">
        <f t="shared" si="37"/>
        <v>CA-2015-131779_OFF-ST-10001505</v>
      </c>
      <c r="E2379" t="str">
        <f>IF(COUNTIF(data2!$D:$D,D2379)=0,"Missing in Data2","Present")</f>
        <v>Present</v>
      </c>
    </row>
    <row r="2380" spans="1:5" x14ac:dyDescent="0.25">
      <c r="A2380" s="2" t="s">
        <v>2511</v>
      </c>
      <c r="B2380" s="2" t="s">
        <v>2512</v>
      </c>
      <c r="C2380" s="2">
        <v>7</v>
      </c>
      <c r="D2380" t="str">
        <f t="shared" si="37"/>
        <v>CA-2015-131856_OFF-PA-10001954</v>
      </c>
      <c r="E2380" t="str">
        <f>IF(COUNTIF(data2!$D:$D,D2380)=0,"Missing in Data2","Present")</f>
        <v>Present</v>
      </c>
    </row>
    <row r="2381" spans="1:5" x14ac:dyDescent="0.25">
      <c r="A2381" s="2" t="s">
        <v>2511</v>
      </c>
      <c r="B2381" s="2" t="s">
        <v>292</v>
      </c>
      <c r="C2381" s="2">
        <v>6</v>
      </c>
      <c r="D2381" t="str">
        <f t="shared" si="37"/>
        <v>CA-2015-131856_TEC-PH-10001336</v>
      </c>
      <c r="E2381" t="str">
        <f>IF(COUNTIF(data2!$D:$D,D2381)=0,"Missing in Data2","Present")</f>
        <v>Present</v>
      </c>
    </row>
    <row r="2382" spans="1:5" x14ac:dyDescent="0.25">
      <c r="A2382" s="2" t="s">
        <v>2513</v>
      </c>
      <c r="B2382" s="2" t="s">
        <v>1162</v>
      </c>
      <c r="C2382" s="2">
        <v>1</v>
      </c>
      <c r="D2382" t="str">
        <f t="shared" si="37"/>
        <v>CA-2015-131884_FUR-CH-10004860</v>
      </c>
      <c r="E2382" t="str">
        <f>IF(COUNTIF(data2!$D:$D,D2382)=0,"Missing in Data2","Present")</f>
        <v>Present</v>
      </c>
    </row>
    <row r="2383" spans="1:5" x14ac:dyDescent="0.25">
      <c r="A2383" s="2" t="s">
        <v>2513</v>
      </c>
      <c r="B2383" s="2" t="s">
        <v>1096</v>
      </c>
      <c r="C2383" s="2">
        <v>8</v>
      </c>
      <c r="D2383" t="str">
        <f t="shared" si="37"/>
        <v>CA-2015-131884_OFF-AR-10004078</v>
      </c>
      <c r="E2383" t="str">
        <f>IF(COUNTIF(data2!$D:$D,D2383)=0,"Missing in Data2","Present")</f>
        <v>Present</v>
      </c>
    </row>
    <row r="2384" spans="1:5" x14ac:dyDescent="0.25">
      <c r="A2384" s="2" t="s">
        <v>2513</v>
      </c>
      <c r="B2384" s="2" t="s">
        <v>2514</v>
      </c>
      <c r="C2384" s="2">
        <v>2</v>
      </c>
      <c r="D2384" t="str">
        <f t="shared" si="37"/>
        <v>CA-2015-131884_TEC-PH-10001578</v>
      </c>
      <c r="E2384" t="str">
        <f>IF(COUNTIF(data2!$D:$D,D2384)=0,"Missing in Data2","Present")</f>
        <v>Present</v>
      </c>
    </row>
    <row r="2385" spans="1:5" x14ac:dyDescent="0.25">
      <c r="A2385" s="2" t="s">
        <v>2515</v>
      </c>
      <c r="B2385" s="2" t="s">
        <v>2516</v>
      </c>
      <c r="C2385" s="2">
        <v>6</v>
      </c>
      <c r="D2385" t="str">
        <f t="shared" si="37"/>
        <v>CA-2015-132080_OFF-BI-10003694</v>
      </c>
      <c r="E2385" t="str">
        <f>IF(COUNTIF(data2!$D:$D,D2385)=0,"Missing in Data2","Present")</f>
        <v>Present</v>
      </c>
    </row>
    <row r="2386" spans="1:5" x14ac:dyDescent="0.25">
      <c r="A2386" s="2" t="s">
        <v>2517</v>
      </c>
      <c r="B2386" s="2" t="s">
        <v>900</v>
      </c>
      <c r="C2386" s="2">
        <v>3</v>
      </c>
      <c r="D2386" t="str">
        <f t="shared" si="37"/>
        <v>CA-2015-132101_TEC-PH-10004539</v>
      </c>
      <c r="E2386" t="str">
        <f>IF(COUNTIF(data2!$D:$D,D2386)=0,"Missing in Data2","Present")</f>
        <v>Present</v>
      </c>
    </row>
    <row r="2387" spans="1:5" x14ac:dyDescent="0.25">
      <c r="A2387" s="2" t="s">
        <v>2518</v>
      </c>
      <c r="B2387" s="2" t="s">
        <v>965</v>
      </c>
      <c r="C2387" s="2">
        <v>3</v>
      </c>
      <c r="D2387" t="str">
        <f t="shared" si="37"/>
        <v>CA-2015-132136_OFF-BI-10002706</v>
      </c>
      <c r="E2387" t="str">
        <f>IF(COUNTIF(data2!$D:$D,D2387)=0,"Missing in Data2","Present")</f>
        <v>Present</v>
      </c>
    </row>
    <row r="2388" spans="1:5" x14ac:dyDescent="0.25">
      <c r="A2388" s="2" t="s">
        <v>2519</v>
      </c>
      <c r="B2388" s="2" t="s">
        <v>2520</v>
      </c>
      <c r="C2388" s="2">
        <v>6</v>
      </c>
      <c r="D2388" t="str">
        <f t="shared" si="37"/>
        <v>CA-2015-132276_OFF-AP-10000804</v>
      </c>
      <c r="E2388" t="str">
        <f>IF(COUNTIF(data2!$D:$D,D2388)=0,"Missing in Data2","Present")</f>
        <v>Present</v>
      </c>
    </row>
    <row r="2389" spans="1:5" x14ac:dyDescent="0.25">
      <c r="A2389" s="2" t="s">
        <v>2519</v>
      </c>
      <c r="B2389" s="2" t="s">
        <v>1734</v>
      </c>
      <c r="C2389" s="2">
        <v>2</v>
      </c>
      <c r="D2389" t="str">
        <f t="shared" si="37"/>
        <v>CA-2015-132276_OFF-BI-10002982</v>
      </c>
      <c r="E2389" t="str">
        <f>IF(COUNTIF(data2!$D:$D,D2389)=0,"Missing in Data2","Present")</f>
        <v>Present</v>
      </c>
    </row>
    <row r="2390" spans="1:5" x14ac:dyDescent="0.25">
      <c r="A2390" s="2" t="s">
        <v>2521</v>
      </c>
      <c r="B2390" s="2" t="s">
        <v>1975</v>
      </c>
      <c r="C2390" s="2">
        <v>3</v>
      </c>
      <c r="D2390" t="str">
        <f t="shared" si="37"/>
        <v>CA-2015-132318_OFF-AP-10000026</v>
      </c>
      <c r="E2390" t="str">
        <f>IF(COUNTIF(data2!$D:$D,D2390)=0,"Missing in Data2","Present")</f>
        <v>Present</v>
      </c>
    </row>
    <row r="2391" spans="1:5" x14ac:dyDescent="0.25">
      <c r="A2391" s="2" t="s">
        <v>2522</v>
      </c>
      <c r="B2391" s="2" t="s">
        <v>1492</v>
      </c>
      <c r="C2391" s="2">
        <v>4</v>
      </c>
      <c r="D2391" t="str">
        <f t="shared" si="37"/>
        <v>CA-2015-132374_OFF-AR-10001615</v>
      </c>
      <c r="E2391" t="str">
        <f>IF(COUNTIF(data2!$D:$D,D2391)=0,"Missing in Data2","Present")</f>
        <v>Present</v>
      </c>
    </row>
    <row r="2392" spans="1:5" x14ac:dyDescent="0.25">
      <c r="A2392" s="2" t="s">
        <v>2523</v>
      </c>
      <c r="B2392" s="2" t="s">
        <v>84</v>
      </c>
      <c r="C2392" s="2">
        <v>3</v>
      </c>
      <c r="D2392" t="str">
        <f t="shared" si="37"/>
        <v>CA-2015-132388_FUR-CH-10001714</v>
      </c>
      <c r="E2392" t="str">
        <f>IF(COUNTIF(data2!$D:$D,D2392)=0,"Missing in Data2","Present")</f>
        <v>Present</v>
      </c>
    </row>
    <row r="2393" spans="1:5" x14ac:dyDescent="0.25">
      <c r="A2393" s="2" t="s">
        <v>2523</v>
      </c>
      <c r="B2393" s="2" t="s">
        <v>2382</v>
      </c>
      <c r="C2393" s="2">
        <v>3</v>
      </c>
      <c r="D2393" t="str">
        <f t="shared" si="37"/>
        <v>CA-2015-132388_OFF-LA-10000414</v>
      </c>
      <c r="E2393" t="str">
        <f>IF(COUNTIF(data2!$D:$D,D2393)=0,"Missing in Data2","Present")</f>
        <v>Present</v>
      </c>
    </row>
    <row r="2394" spans="1:5" x14ac:dyDescent="0.25">
      <c r="A2394" s="2" t="s">
        <v>2524</v>
      </c>
      <c r="B2394" s="2" t="s">
        <v>505</v>
      </c>
      <c r="C2394" s="2">
        <v>2</v>
      </c>
      <c r="D2394" t="str">
        <f t="shared" si="37"/>
        <v>CA-2015-132465_FUR-FU-10000277</v>
      </c>
      <c r="E2394" t="str">
        <f>IF(COUNTIF(data2!$D:$D,D2394)=0,"Missing in Data2","Present")</f>
        <v>Present</v>
      </c>
    </row>
    <row r="2395" spans="1:5" x14ac:dyDescent="0.25">
      <c r="A2395" s="2" t="s">
        <v>2524</v>
      </c>
      <c r="B2395" s="2" t="s">
        <v>342</v>
      </c>
      <c r="C2395" s="2">
        <v>4</v>
      </c>
      <c r="D2395" t="str">
        <f t="shared" si="37"/>
        <v>CA-2015-132465_OFF-ST-10001932</v>
      </c>
      <c r="E2395" t="str">
        <f>IF(COUNTIF(data2!$D:$D,D2395)=0,"Missing in Data2","Present")</f>
        <v>Present</v>
      </c>
    </row>
    <row r="2396" spans="1:5" x14ac:dyDescent="0.25">
      <c r="A2396" s="2" t="s">
        <v>2524</v>
      </c>
      <c r="B2396" s="2" t="s">
        <v>1011</v>
      </c>
      <c r="C2396" s="2">
        <v>1</v>
      </c>
      <c r="D2396" t="str">
        <f t="shared" si="37"/>
        <v>CA-2015-132465_OFF-ST-10003641</v>
      </c>
      <c r="E2396" t="str">
        <f>IF(COUNTIF(data2!$D:$D,D2396)=0,"Missing in Data2","Present")</f>
        <v>Present</v>
      </c>
    </row>
    <row r="2397" spans="1:5" x14ac:dyDescent="0.25">
      <c r="A2397" s="2" t="s">
        <v>2524</v>
      </c>
      <c r="B2397" s="2" t="s">
        <v>2525</v>
      </c>
      <c r="C2397" s="2">
        <v>1</v>
      </c>
      <c r="D2397" t="str">
        <f t="shared" si="37"/>
        <v>CA-2015-132465_TEC-AC-10001998</v>
      </c>
      <c r="E2397" t="str">
        <f>IF(COUNTIF(data2!$D:$D,D2397)=0,"Missing in Data2","Present")</f>
        <v>Present</v>
      </c>
    </row>
    <row r="2398" spans="1:5" x14ac:dyDescent="0.25">
      <c r="A2398" s="2" t="s">
        <v>2526</v>
      </c>
      <c r="B2398" s="2" t="s">
        <v>658</v>
      </c>
      <c r="C2398" s="2">
        <v>3</v>
      </c>
      <c r="D2398" t="str">
        <f t="shared" si="37"/>
        <v>CA-2015-132486_FUR-CH-10001854</v>
      </c>
      <c r="E2398" t="str">
        <f>IF(COUNTIF(data2!$D:$D,D2398)=0,"Missing in Data2","Present")</f>
        <v>Present</v>
      </c>
    </row>
    <row r="2399" spans="1:5" x14ac:dyDescent="0.25">
      <c r="A2399" s="2" t="s">
        <v>2526</v>
      </c>
      <c r="B2399" s="2" t="s">
        <v>193</v>
      </c>
      <c r="C2399" s="2">
        <v>1</v>
      </c>
      <c r="D2399" t="str">
        <f t="shared" si="37"/>
        <v>CA-2015-132486_FUR-CH-10004495</v>
      </c>
      <c r="E2399" t="str">
        <f>IF(COUNTIF(data2!$D:$D,D2399)=0,"Missing in Data2","Present")</f>
        <v>Present</v>
      </c>
    </row>
    <row r="2400" spans="1:5" x14ac:dyDescent="0.25">
      <c r="A2400" s="2" t="s">
        <v>2526</v>
      </c>
      <c r="B2400" s="2" t="s">
        <v>2527</v>
      </c>
      <c r="C2400" s="2">
        <v>7</v>
      </c>
      <c r="D2400" t="str">
        <f t="shared" si="37"/>
        <v>CA-2015-132486_FUR-CH-10004540</v>
      </c>
      <c r="E2400" t="str">
        <f>IF(COUNTIF(data2!$D:$D,D2400)=0,"Missing in Data2","Present")</f>
        <v>Present</v>
      </c>
    </row>
    <row r="2401" spans="1:5" x14ac:dyDescent="0.25">
      <c r="A2401" s="2" t="s">
        <v>2526</v>
      </c>
      <c r="B2401" s="2" t="s">
        <v>532</v>
      </c>
      <c r="C2401" s="2">
        <v>4</v>
      </c>
      <c r="D2401" t="str">
        <f t="shared" si="37"/>
        <v>CA-2015-132486_OFF-EN-10002600</v>
      </c>
      <c r="E2401" t="str">
        <f>IF(COUNTIF(data2!$D:$D,D2401)=0,"Missing in Data2","Present")</f>
        <v>Present</v>
      </c>
    </row>
    <row r="2402" spans="1:5" x14ac:dyDescent="0.25">
      <c r="A2402" s="2" t="s">
        <v>2526</v>
      </c>
      <c r="B2402" s="2" t="s">
        <v>2528</v>
      </c>
      <c r="C2402" s="2">
        <v>2</v>
      </c>
      <c r="D2402" t="str">
        <f t="shared" si="37"/>
        <v>CA-2015-132486_OFF-PA-10004971</v>
      </c>
      <c r="E2402" t="str">
        <f>IF(COUNTIF(data2!$D:$D,D2402)=0,"Missing in Data2","Present")</f>
        <v>Present</v>
      </c>
    </row>
    <row r="2403" spans="1:5" x14ac:dyDescent="0.25">
      <c r="A2403" s="2" t="s">
        <v>2526</v>
      </c>
      <c r="B2403" s="2" t="s">
        <v>290</v>
      </c>
      <c r="C2403" s="2">
        <v>9</v>
      </c>
      <c r="D2403" t="str">
        <f t="shared" si="37"/>
        <v>CA-2015-132486_TEC-AC-10000710</v>
      </c>
      <c r="E2403" t="str">
        <f>IF(COUNTIF(data2!$D:$D,D2403)=0,"Missing in Data2","Present")</f>
        <v>Present</v>
      </c>
    </row>
    <row r="2404" spans="1:5" x14ac:dyDescent="0.25">
      <c r="A2404" s="2" t="s">
        <v>2529</v>
      </c>
      <c r="B2404" s="2" t="s">
        <v>166</v>
      </c>
      <c r="C2404" s="2">
        <v>4</v>
      </c>
      <c r="D2404" t="str">
        <f t="shared" si="37"/>
        <v>CA-2015-132507_OFF-ST-10000943</v>
      </c>
      <c r="E2404" t="str">
        <f>IF(COUNTIF(data2!$D:$D,D2404)=0,"Missing in Data2","Present")</f>
        <v>Present</v>
      </c>
    </row>
    <row r="2405" spans="1:5" x14ac:dyDescent="0.25">
      <c r="A2405" s="2" t="s">
        <v>2530</v>
      </c>
      <c r="B2405" s="2" t="s">
        <v>2531</v>
      </c>
      <c r="C2405" s="2">
        <v>2</v>
      </c>
      <c r="D2405" t="str">
        <f t="shared" si="37"/>
        <v>CA-2015-132570_OFF-AR-10000369</v>
      </c>
      <c r="E2405" t="str">
        <f>IF(COUNTIF(data2!$D:$D,D2405)=0,"Missing in Data2","Present")</f>
        <v>Present</v>
      </c>
    </row>
    <row r="2406" spans="1:5" x14ac:dyDescent="0.25">
      <c r="A2406" s="2" t="s">
        <v>2530</v>
      </c>
      <c r="B2406" s="2" t="s">
        <v>1970</v>
      </c>
      <c r="C2406" s="2">
        <v>2</v>
      </c>
      <c r="D2406" t="str">
        <f t="shared" si="37"/>
        <v>CA-2015-132570_OFF-EN-10003055</v>
      </c>
      <c r="E2406" t="str">
        <f>IF(COUNTIF(data2!$D:$D,D2406)=0,"Missing in Data2","Present")</f>
        <v>Present</v>
      </c>
    </row>
    <row r="2407" spans="1:5" x14ac:dyDescent="0.25">
      <c r="A2407" s="2" t="s">
        <v>2532</v>
      </c>
      <c r="B2407" s="2" t="s">
        <v>416</v>
      </c>
      <c r="C2407" s="2">
        <v>2</v>
      </c>
      <c r="D2407" t="str">
        <f t="shared" si="37"/>
        <v>CA-2015-132626_FUR-FU-10002918</v>
      </c>
      <c r="E2407" t="str">
        <f>IF(COUNTIF(data2!$D:$D,D2407)=0,"Missing in Data2","Present")</f>
        <v>Missing in Data2</v>
      </c>
    </row>
    <row r="2408" spans="1:5" x14ac:dyDescent="0.25">
      <c r="A2408" s="2" t="s">
        <v>2532</v>
      </c>
      <c r="B2408" s="2" t="s">
        <v>1270</v>
      </c>
      <c r="C2408" s="2">
        <v>4</v>
      </c>
      <c r="D2408" t="str">
        <f t="shared" si="37"/>
        <v>CA-2015-132626_OFF-AR-10002987</v>
      </c>
      <c r="E2408" t="str">
        <f>IF(COUNTIF(data2!$D:$D,D2408)=0,"Missing in Data2","Present")</f>
        <v>Present</v>
      </c>
    </row>
    <row r="2409" spans="1:5" x14ac:dyDescent="0.25">
      <c r="A2409" s="2" t="s">
        <v>2532</v>
      </c>
      <c r="B2409" s="2" t="s">
        <v>337</v>
      </c>
      <c r="C2409" s="2">
        <v>3</v>
      </c>
      <c r="D2409" t="str">
        <f t="shared" si="37"/>
        <v>CA-2015-132626_OFF-BI-10002854</v>
      </c>
      <c r="E2409" t="str">
        <f>IF(COUNTIF(data2!$D:$D,D2409)=0,"Missing in Data2","Present")</f>
        <v>Present</v>
      </c>
    </row>
    <row r="2410" spans="1:5" x14ac:dyDescent="0.25">
      <c r="A2410" s="2" t="s">
        <v>2532</v>
      </c>
      <c r="B2410" s="2" t="s">
        <v>2450</v>
      </c>
      <c r="C2410" s="2">
        <v>9</v>
      </c>
      <c r="D2410" t="str">
        <f t="shared" si="37"/>
        <v>CA-2015-132626_OFF-BI-10004001</v>
      </c>
      <c r="E2410" t="str">
        <f>IF(COUNTIF(data2!$D:$D,D2410)=0,"Missing in Data2","Present")</f>
        <v>Present</v>
      </c>
    </row>
    <row r="2411" spans="1:5" x14ac:dyDescent="0.25">
      <c r="A2411" s="2" t="s">
        <v>2532</v>
      </c>
      <c r="B2411" s="2" t="s">
        <v>454</v>
      </c>
      <c r="C2411" s="2">
        <v>4</v>
      </c>
      <c r="D2411" t="str">
        <f t="shared" si="37"/>
        <v>CA-2015-132626_OFF-FA-10002763</v>
      </c>
      <c r="E2411" t="str">
        <f>IF(COUNTIF(data2!$D:$D,D2411)=0,"Missing in Data2","Present")</f>
        <v>Present</v>
      </c>
    </row>
    <row r="2412" spans="1:5" x14ac:dyDescent="0.25">
      <c r="A2412" s="2" t="s">
        <v>2532</v>
      </c>
      <c r="B2412" s="2" t="s">
        <v>2533</v>
      </c>
      <c r="C2412" s="2">
        <v>3</v>
      </c>
      <c r="D2412" t="str">
        <f t="shared" si="37"/>
        <v>CA-2015-132626_OFF-LA-10000476</v>
      </c>
      <c r="E2412" t="str">
        <f>IF(COUNTIF(data2!$D:$D,D2412)=0,"Missing in Data2","Present")</f>
        <v>Present</v>
      </c>
    </row>
    <row r="2413" spans="1:5" x14ac:dyDescent="0.25">
      <c r="A2413" s="2" t="s">
        <v>2532</v>
      </c>
      <c r="B2413" s="2" t="s">
        <v>865</v>
      </c>
      <c r="C2413" s="2">
        <v>7</v>
      </c>
      <c r="D2413" t="str">
        <f t="shared" si="37"/>
        <v>CA-2015-132626_OFF-ST-10003722</v>
      </c>
      <c r="E2413" t="str">
        <f>IF(COUNTIF(data2!$D:$D,D2413)=0,"Missing in Data2","Present")</f>
        <v>Present</v>
      </c>
    </row>
    <row r="2414" spans="1:5" x14ac:dyDescent="0.25">
      <c r="A2414" s="2" t="s">
        <v>2534</v>
      </c>
      <c r="B2414" s="2" t="s">
        <v>1338</v>
      </c>
      <c r="C2414" s="2">
        <v>3</v>
      </c>
      <c r="D2414" t="str">
        <f t="shared" si="37"/>
        <v>CA-2015-132633_OFF-BI-10002432</v>
      </c>
      <c r="E2414" t="str">
        <f>IF(COUNTIF(data2!$D:$D,D2414)=0,"Missing in Data2","Present")</f>
        <v>Present</v>
      </c>
    </row>
    <row r="2415" spans="1:5" x14ac:dyDescent="0.25">
      <c r="A2415" s="2" t="s">
        <v>2535</v>
      </c>
      <c r="B2415" s="2" t="s">
        <v>386</v>
      </c>
      <c r="C2415" s="2">
        <v>2</v>
      </c>
      <c r="D2415" t="str">
        <f t="shared" si="37"/>
        <v>CA-2015-132815_OFF-PA-10004530</v>
      </c>
      <c r="E2415" t="str">
        <f>IF(COUNTIF(data2!$D:$D,D2415)=0,"Missing in Data2","Present")</f>
        <v>Present</v>
      </c>
    </row>
    <row r="2416" spans="1:5" x14ac:dyDescent="0.25">
      <c r="A2416" s="2" t="s">
        <v>2536</v>
      </c>
      <c r="B2416" s="2" t="s">
        <v>2537</v>
      </c>
      <c r="C2416" s="2">
        <v>4</v>
      </c>
      <c r="D2416" t="str">
        <f t="shared" si="37"/>
        <v>CA-2015-132906_OFF-SU-10004498</v>
      </c>
      <c r="E2416" t="str">
        <f>IF(COUNTIF(data2!$D:$D,D2416)=0,"Missing in Data2","Present")</f>
        <v>Present</v>
      </c>
    </row>
    <row r="2417" spans="1:5" x14ac:dyDescent="0.25">
      <c r="A2417" s="2" t="s">
        <v>2538</v>
      </c>
      <c r="B2417" s="2" t="s">
        <v>2415</v>
      </c>
      <c r="C2417" s="2">
        <v>7</v>
      </c>
      <c r="D2417" t="str">
        <f t="shared" si="37"/>
        <v>CA-2015-132941_OFF-PA-10002160</v>
      </c>
      <c r="E2417" t="str">
        <f>IF(COUNTIF(data2!$D:$D,D2417)=0,"Missing in Data2","Present")</f>
        <v>Present</v>
      </c>
    </row>
    <row r="2418" spans="1:5" x14ac:dyDescent="0.25">
      <c r="A2418" s="2" t="s">
        <v>2538</v>
      </c>
      <c r="B2418" s="2" t="s">
        <v>2539</v>
      </c>
      <c r="C2418" s="2">
        <v>2</v>
      </c>
      <c r="D2418" t="str">
        <f t="shared" si="37"/>
        <v>CA-2015-132941_OFF-SU-10002557</v>
      </c>
      <c r="E2418" t="str">
        <f>IF(COUNTIF(data2!$D:$D,D2418)=0,"Missing in Data2","Present")</f>
        <v>Present</v>
      </c>
    </row>
    <row r="2419" spans="1:5" x14ac:dyDescent="0.25">
      <c r="A2419" s="2" t="s">
        <v>2538</v>
      </c>
      <c r="B2419" s="2" t="s">
        <v>2092</v>
      </c>
      <c r="C2419" s="2">
        <v>2</v>
      </c>
      <c r="D2419" t="str">
        <f t="shared" si="37"/>
        <v>CA-2015-132941_TEC-AC-10003095</v>
      </c>
      <c r="E2419" t="str">
        <f>IF(COUNTIF(data2!$D:$D,D2419)=0,"Missing in Data2","Present")</f>
        <v>Present</v>
      </c>
    </row>
    <row r="2420" spans="1:5" x14ac:dyDescent="0.25">
      <c r="A2420" s="2" t="s">
        <v>2540</v>
      </c>
      <c r="B2420" s="2" t="s">
        <v>962</v>
      </c>
      <c r="C2420" s="2">
        <v>5</v>
      </c>
      <c r="D2420" t="str">
        <f t="shared" si="37"/>
        <v>CA-2015-132948_OFF-ST-10000636</v>
      </c>
      <c r="E2420" t="str">
        <f>IF(COUNTIF(data2!$D:$D,D2420)=0,"Missing in Data2","Present")</f>
        <v>Present</v>
      </c>
    </row>
    <row r="2421" spans="1:5" x14ac:dyDescent="0.25">
      <c r="A2421" s="2" t="s">
        <v>2541</v>
      </c>
      <c r="B2421" s="2" t="s">
        <v>1728</v>
      </c>
      <c r="C2421" s="2">
        <v>5</v>
      </c>
      <c r="D2421" t="str">
        <f t="shared" si="37"/>
        <v>CA-2015-133025_OFF-PA-10004100</v>
      </c>
      <c r="E2421" t="str">
        <f>IF(COUNTIF(data2!$D:$D,D2421)=0,"Missing in Data2","Present")</f>
        <v>Present</v>
      </c>
    </row>
    <row r="2422" spans="1:5" x14ac:dyDescent="0.25">
      <c r="A2422" s="2" t="s">
        <v>2542</v>
      </c>
      <c r="B2422" s="2" t="s">
        <v>2291</v>
      </c>
      <c r="C2422" s="2">
        <v>3</v>
      </c>
      <c r="D2422" t="str">
        <f t="shared" si="37"/>
        <v>CA-2015-133242_FUR-FU-10003464</v>
      </c>
      <c r="E2422" t="str">
        <f>IF(COUNTIF(data2!$D:$D,D2422)=0,"Missing in Data2","Present")</f>
        <v>Present</v>
      </c>
    </row>
    <row r="2423" spans="1:5" x14ac:dyDescent="0.25">
      <c r="A2423" s="2" t="s">
        <v>2542</v>
      </c>
      <c r="B2423" s="2" t="s">
        <v>2543</v>
      </c>
      <c r="C2423" s="2">
        <v>2</v>
      </c>
      <c r="D2423" t="str">
        <f t="shared" si="37"/>
        <v>CA-2015-133242_OFF-BI-10004002</v>
      </c>
      <c r="E2423" t="str">
        <f>IF(COUNTIF(data2!$D:$D,D2423)=0,"Missing in Data2","Present")</f>
        <v>Present</v>
      </c>
    </row>
    <row r="2424" spans="1:5" x14ac:dyDescent="0.25">
      <c r="A2424" s="2" t="s">
        <v>2542</v>
      </c>
      <c r="B2424" s="2" t="s">
        <v>2544</v>
      </c>
      <c r="C2424" s="2">
        <v>2</v>
      </c>
      <c r="D2424" t="str">
        <f t="shared" si="37"/>
        <v>CA-2015-133242_OFF-BI-10004826</v>
      </c>
      <c r="E2424" t="str">
        <f>IF(COUNTIF(data2!$D:$D,D2424)=0,"Missing in Data2","Present")</f>
        <v>Present</v>
      </c>
    </row>
    <row r="2425" spans="1:5" x14ac:dyDescent="0.25">
      <c r="A2425" s="2" t="s">
        <v>2542</v>
      </c>
      <c r="B2425" s="2" t="s">
        <v>495</v>
      </c>
      <c r="C2425" s="2">
        <v>2</v>
      </c>
      <c r="D2425" t="str">
        <f t="shared" si="37"/>
        <v>CA-2015-133242_OFF-ST-10003716</v>
      </c>
      <c r="E2425" t="str">
        <f>IF(COUNTIF(data2!$D:$D,D2425)=0,"Missing in Data2","Present")</f>
        <v>Present</v>
      </c>
    </row>
    <row r="2426" spans="1:5" x14ac:dyDescent="0.25">
      <c r="A2426" s="2" t="s">
        <v>2542</v>
      </c>
      <c r="B2426" s="2" t="s">
        <v>2176</v>
      </c>
      <c r="C2426" s="2">
        <v>3</v>
      </c>
      <c r="D2426" t="str">
        <f t="shared" si="37"/>
        <v>CA-2015-133242_TEC-PH-10002496</v>
      </c>
      <c r="E2426" t="str">
        <f>IF(COUNTIF(data2!$D:$D,D2426)=0,"Missing in Data2","Present")</f>
        <v>Present</v>
      </c>
    </row>
    <row r="2427" spans="1:5" x14ac:dyDescent="0.25">
      <c r="A2427" s="2" t="s">
        <v>2545</v>
      </c>
      <c r="B2427" s="2" t="s">
        <v>2546</v>
      </c>
      <c r="C2427" s="2">
        <v>7</v>
      </c>
      <c r="D2427" t="str">
        <f t="shared" si="37"/>
        <v>CA-2015-133396_OFF-AR-10001446</v>
      </c>
      <c r="E2427" t="str">
        <f>IF(COUNTIF(data2!$D:$D,D2427)=0,"Missing in Data2","Present")</f>
        <v>Present</v>
      </c>
    </row>
    <row r="2428" spans="1:5" x14ac:dyDescent="0.25">
      <c r="A2428" s="2" t="s">
        <v>2547</v>
      </c>
      <c r="B2428" s="2" t="s">
        <v>2548</v>
      </c>
      <c r="C2428" s="2">
        <v>1</v>
      </c>
      <c r="D2428" t="str">
        <f t="shared" si="37"/>
        <v>CA-2015-133445_FUR-BO-10003660</v>
      </c>
      <c r="E2428" t="str">
        <f>IF(COUNTIF(data2!$D:$D,D2428)=0,"Missing in Data2","Present")</f>
        <v>Present</v>
      </c>
    </row>
    <row r="2429" spans="1:5" x14ac:dyDescent="0.25">
      <c r="A2429" s="2" t="s">
        <v>2547</v>
      </c>
      <c r="B2429" s="2" t="s">
        <v>335</v>
      </c>
      <c r="C2429" s="2">
        <v>4</v>
      </c>
      <c r="D2429" t="str">
        <f t="shared" si="37"/>
        <v>CA-2015-133445_FUR-CH-10000422</v>
      </c>
      <c r="E2429" t="str">
        <f>IF(COUNTIF(data2!$D:$D,D2429)=0,"Missing in Data2","Present")</f>
        <v>Present</v>
      </c>
    </row>
    <row r="2430" spans="1:5" x14ac:dyDescent="0.25">
      <c r="A2430" s="2" t="s">
        <v>2549</v>
      </c>
      <c r="B2430" s="2" t="s">
        <v>318</v>
      </c>
      <c r="C2430" s="2">
        <v>3</v>
      </c>
      <c r="D2430" t="str">
        <f t="shared" si="37"/>
        <v>CA-2015-133452_FUR-TA-10003954</v>
      </c>
      <c r="E2430" t="str">
        <f>IF(COUNTIF(data2!$D:$D,D2430)=0,"Missing in Data2","Present")</f>
        <v>Present</v>
      </c>
    </row>
    <row r="2431" spans="1:5" x14ac:dyDescent="0.25">
      <c r="A2431" s="2" t="s">
        <v>2549</v>
      </c>
      <c r="B2431" s="2" t="s">
        <v>507</v>
      </c>
      <c r="C2431" s="2">
        <v>4</v>
      </c>
      <c r="D2431" t="str">
        <f t="shared" si="37"/>
        <v>CA-2015-133452_TEC-AC-10002800</v>
      </c>
      <c r="E2431" t="str">
        <f>IF(COUNTIF(data2!$D:$D,D2431)=0,"Missing in Data2","Present")</f>
        <v>Present</v>
      </c>
    </row>
    <row r="2432" spans="1:5" x14ac:dyDescent="0.25">
      <c r="A2432" s="2" t="s">
        <v>2550</v>
      </c>
      <c r="B2432" s="2" t="s">
        <v>2408</v>
      </c>
      <c r="C2432" s="2">
        <v>2</v>
      </c>
      <c r="D2432" t="str">
        <f t="shared" si="37"/>
        <v>CA-2015-133494_OFF-AP-10002906</v>
      </c>
      <c r="E2432" t="str">
        <f>IF(COUNTIF(data2!$D:$D,D2432)=0,"Missing in Data2","Present")</f>
        <v>Present</v>
      </c>
    </row>
    <row r="2433" spans="1:5" x14ac:dyDescent="0.25">
      <c r="A2433" s="2" t="s">
        <v>2551</v>
      </c>
      <c r="B2433" s="2" t="s">
        <v>1231</v>
      </c>
      <c r="C2433" s="2">
        <v>3</v>
      </c>
      <c r="D2433" t="str">
        <f t="shared" si="37"/>
        <v>CA-2015-133536_OFF-EN-10004459</v>
      </c>
      <c r="E2433" t="str">
        <f>IF(COUNTIF(data2!$D:$D,D2433)=0,"Missing in Data2","Present")</f>
        <v>Present</v>
      </c>
    </row>
    <row r="2434" spans="1:5" x14ac:dyDescent="0.25">
      <c r="A2434" s="2" t="s">
        <v>2552</v>
      </c>
      <c r="B2434" s="2" t="s">
        <v>2465</v>
      </c>
      <c r="C2434" s="2">
        <v>6</v>
      </c>
      <c r="D2434" t="str">
        <f t="shared" si="37"/>
        <v>CA-2015-133585_FUR-BO-10001811</v>
      </c>
      <c r="E2434" t="str">
        <f>IF(COUNTIF(data2!$D:$D,D2434)=0,"Missing in Data2","Present")</f>
        <v>Missing in Data2</v>
      </c>
    </row>
    <row r="2435" spans="1:5" x14ac:dyDescent="0.25">
      <c r="A2435" s="2" t="s">
        <v>2552</v>
      </c>
      <c r="B2435" s="2" t="s">
        <v>2553</v>
      </c>
      <c r="C2435" s="2">
        <v>2</v>
      </c>
      <c r="D2435" t="str">
        <f t="shared" ref="D2435:D2498" si="38">A2435&amp;"_"&amp;B2435</f>
        <v>CA-2015-133585_OFF-AR-10003696</v>
      </c>
      <c r="E2435" t="str">
        <f>IF(COUNTIF(data2!$D:$D,D2435)=0,"Missing in Data2","Present")</f>
        <v>Present</v>
      </c>
    </row>
    <row r="2436" spans="1:5" x14ac:dyDescent="0.25">
      <c r="A2436" s="2" t="s">
        <v>2554</v>
      </c>
      <c r="B2436" s="2" t="s">
        <v>2317</v>
      </c>
      <c r="C2436" s="2">
        <v>6</v>
      </c>
      <c r="D2436" t="str">
        <f t="shared" si="38"/>
        <v>CA-2015-133627_FUR-FU-10001935</v>
      </c>
      <c r="E2436" t="str">
        <f>IF(COUNTIF(data2!$D:$D,D2436)=0,"Missing in Data2","Present")</f>
        <v>Present</v>
      </c>
    </row>
    <row r="2437" spans="1:5" x14ac:dyDescent="0.25">
      <c r="A2437" s="2" t="s">
        <v>2555</v>
      </c>
      <c r="B2437" s="2" t="s">
        <v>2556</v>
      </c>
      <c r="C2437" s="2">
        <v>1</v>
      </c>
      <c r="D2437" t="str">
        <f t="shared" si="38"/>
        <v>CA-2015-133837_OFF-ST-10000344</v>
      </c>
      <c r="E2437" t="str">
        <f>IF(COUNTIF(data2!$D:$D,D2437)=0,"Missing in Data2","Present")</f>
        <v>Present</v>
      </c>
    </row>
    <row r="2438" spans="1:5" x14ac:dyDescent="0.25">
      <c r="A2438" s="2" t="s">
        <v>2557</v>
      </c>
      <c r="B2438" s="2" t="s">
        <v>2000</v>
      </c>
      <c r="C2438" s="2">
        <v>1</v>
      </c>
      <c r="D2438" t="str">
        <f t="shared" si="38"/>
        <v>CA-2015-133977_OFF-BI-10003166</v>
      </c>
      <c r="E2438" t="str">
        <f>IF(COUNTIF(data2!$D:$D,D2438)=0,"Missing in Data2","Present")</f>
        <v>Present</v>
      </c>
    </row>
    <row r="2439" spans="1:5" x14ac:dyDescent="0.25">
      <c r="A2439" s="2" t="s">
        <v>2558</v>
      </c>
      <c r="B2439" s="2" t="s">
        <v>2559</v>
      </c>
      <c r="C2439" s="2">
        <v>3</v>
      </c>
      <c r="D2439" t="str">
        <f t="shared" si="38"/>
        <v>CA-2015-134075_FUR-FU-10004597</v>
      </c>
      <c r="E2439" t="str">
        <f>IF(COUNTIF(data2!$D:$D,D2439)=0,"Missing in Data2","Present")</f>
        <v>Present</v>
      </c>
    </row>
    <row r="2440" spans="1:5" x14ac:dyDescent="0.25">
      <c r="A2440" s="2" t="s">
        <v>2558</v>
      </c>
      <c r="B2440" s="2" t="s">
        <v>258</v>
      </c>
      <c r="C2440" s="2">
        <v>2</v>
      </c>
      <c r="D2440" t="str">
        <f t="shared" si="38"/>
        <v>CA-2015-134075_OFF-ST-10001496</v>
      </c>
      <c r="E2440" t="str">
        <f>IF(COUNTIF(data2!$D:$D,D2440)=0,"Missing in Data2","Present")</f>
        <v>Present</v>
      </c>
    </row>
    <row r="2441" spans="1:5" x14ac:dyDescent="0.25">
      <c r="A2441" s="2" t="s">
        <v>2560</v>
      </c>
      <c r="B2441" s="2" t="s">
        <v>271</v>
      </c>
      <c r="C2441" s="2">
        <v>4</v>
      </c>
      <c r="D2441" t="str">
        <f t="shared" si="38"/>
        <v>CA-2015-134082_OFF-BI-10004230</v>
      </c>
      <c r="E2441" t="str">
        <f>IF(COUNTIF(data2!$D:$D,D2441)=0,"Missing in Data2","Present")</f>
        <v>Present</v>
      </c>
    </row>
    <row r="2442" spans="1:5" x14ac:dyDescent="0.25">
      <c r="A2442" s="2" t="s">
        <v>2561</v>
      </c>
      <c r="B2442" s="2" t="s">
        <v>2562</v>
      </c>
      <c r="C2442" s="2">
        <v>5</v>
      </c>
      <c r="D2442" t="str">
        <f t="shared" si="38"/>
        <v>CA-2015-134117_OFF-AR-10001940</v>
      </c>
      <c r="E2442" t="str">
        <f>IF(COUNTIF(data2!$D:$D,D2442)=0,"Missing in Data2","Present")</f>
        <v>Present</v>
      </c>
    </row>
    <row r="2443" spans="1:5" x14ac:dyDescent="0.25">
      <c r="A2443" s="2" t="s">
        <v>2561</v>
      </c>
      <c r="B2443" s="2" t="s">
        <v>637</v>
      </c>
      <c r="C2443" s="2">
        <v>2</v>
      </c>
      <c r="D2443" t="str">
        <f t="shared" si="38"/>
        <v>CA-2015-134117_OFF-BI-10002026</v>
      </c>
      <c r="E2443" t="str">
        <f>IF(COUNTIF(data2!$D:$D,D2443)=0,"Missing in Data2","Present")</f>
        <v>Present</v>
      </c>
    </row>
    <row r="2444" spans="1:5" x14ac:dyDescent="0.25">
      <c r="A2444" s="2" t="s">
        <v>2561</v>
      </c>
      <c r="B2444" s="2" t="s">
        <v>2563</v>
      </c>
      <c r="C2444" s="2">
        <v>2</v>
      </c>
      <c r="D2444" t="str">
        <f t="shared" si="38"/>
        <v>CA-2015-134117_TEC-PH-10004908</v>
      </c>
      <c r="E2444" t="str">
        <f>IF(COUNTIF(data2!$D:$D,D2444)=0,"Missing in Data2","Present")</f>
        <v>Missing in Data2</v>
      </c>
    </row>
    <row r="2445" spans="1:5" x14ac:dyDescent="0.25">
      <c r="A2445" s="2" t="s">
        <v>2564</v>
      </c>
      <c r="B2445" s="2" t="s">
        <v>729</v>
      </c>
      <c r="C2445" s="2">
        <v>3</v>
      </c>
      <c r="D2445" t="str">
        <f t="shared" si="38"/>
        <v>CA-2015-134201_OFF-AR-10002804</v>
      </c>
      <c r="E2445" t="str">
        <f>IF(COUNTIF(data2!$D:$D,D2445)=0,"Missing in Data2","Present")</f>
        <v>Present</v>
      </c>
    </row>
    <row r="2446" spans="1:5" x14ac:dyDescent="0.25">
      <c r="A2446" s="2" t="s">
        <v>2564</v>
      </c>
      <c r="B2446" s="2" t="s">
        <v>2565</v>
      </c>
      <c r="C2446" s="2">
        <v>4</v>
      </c>
      <c r="D2446" t="str">
        <f t="shared" si="38"/>
        <v>CA-2015-134201_OFF-ST-10001476</v>
      </c>
      <c r="E2446" t="str">
        <f>IF(COUNTIF(data2!$D:$D,D2446)=0,"Missing in Data2","Present")</f>
        <v>Present</v>
      </c>
    </row>
    <row r="2447" spans="1:5" x14ac:dyDescent="0.25">
      <c r="A2447" s="2" t="s">
        <v>2566</v>
      </c>
      <c r="B2447" s="2" t="s">
        <v>464</v>
      </c>
      <c r="C2447" s="2">
        <v>2</v>
      </c>
      <c r="D2447" t="str">
        <f t="shared" si="38"/>
        <v>CA-2015-134257_OFF-EN-10003845</v>
      </c>
      <c r="E2447" t="str">
        <f>IF(COUNTIF(data2!$D:$D,D2447)=0,"Missing in Data2","Present")</f>
        <v>Present</v>
      </c>
    </row>
    <row r="2448" spans="1:5" x14ac:dyDescent="0.25">
      <c r="A2448" s="2" t="s">
        <v>2566</v>
      </c>
      <c r="B2448" s="2" t="s">
        <v>24</v>
      </c>
      <c r="C2448" s="2">
        <v>5</v>
      </c>
      <c r="D2448" t="str">
        <f t="shared" si="38"/>
        <v>CA-2015-134257_OFF-LA-10003930</v>
      </c>
      <c r="E2448" t="str">
        <f>IF(COUNTIF(data2!$D:$D,D2448)=0,"Missing in Data2","Present")</f>
        <v>Present</v>
      </c>
    </row>
    <row r="2449" spans="1:5" x14ac:dyDescent="0.25">
      <c r="A2449" s="2" t="s">
        <v>2567</v>
      </c>
      <c r="B2449" s="2" t="s">
        <v>1514</v>
      </c>
      <c r="C2449" s="2">
        <v>6</v>
      </c>
      <c r="D2449" t="str">
        <f t="shared" si="38"/>
        <v>CA-2015-134719_OFF-ST-10004459</v>
      </c>
      <c r="E2449" t="str">
        <f>IF(COUNTIF(data2!$D:$D,D2449)=0,"Missing in Data2","Present")</f>
        <v>Present</v>
      </c>
    </row>
    <row r="2450" spans="1:5" x14ac:dyDescent="0.25">
      <c r="A2450" s="2" t="s">
        <v>2568</v>
      </c>
      <c r="B2450" s="2" t="s">
        <v>2292</v>
      </c>
      <c r="C2450" s="2">
        <v>2</v>
      </c>
      <c r="D2450" t="str">
        <f t="shared" si="38"/>
        <v>CA-2015-134747_OFF-BI-10001308</v>
      </c>
      <c r="E2450" t="str">
        <f>IF(COUNTIF(data2!$D:$D,D2450)=0,"Missing in Data2","Present")</f>
        <v>Present</v>
      </c>
    </row>
    <row r="2451" spans="1:5" x14ac:dyDescent="0.25">
      <c r="A2451" s="2" t="s">
        <v>2568</v>
      </c>
      <c r="B2451" s="2" t="s">
        <v>1092</v>
      </c>
      <c r="C2451" s="2">
        <v>4</v>
      </c>
      <c r="D2451" t="str">
        <f t="shared" si="38"/>
        <v>CA-2015-134747_TEC-PH-10001750</v>
      </c>
      <c r="E2451" t="str">
        <f>IF(COUNTIF(data2!$D:$D,D2451)=0,"Missing in Data2","Present")</f>
        <v>Present</v>
      </c>
    </row>
    <row r="2452" spans="1:5" x14ac:dyDescent="0.25">
      <c r="A2452" s="2" t="s">
        <v>2568</v>
      </c>
      <c r="B2452" s="2" t="s">
        <v>737</v>
      </c>
      <c r="C2452" s="2">
        <v>3</v>
      </c>
      <c r="D2452" t="str">
        <f t="shared" si="38"/>
        <v>CA-2015-134747_TEC-PH-10002890</v>
      </c>
      <c r="E2452" t="str">
        <f>IF(COUNTIF(data2!$D:$D,D2452)=0,"Missing in Data2","Present")</f>
        <v>Present</v>
      </c>
    </row>
    <row r="2453" spans="1:5" x14ac:dyDescent="0.25">
      <c r="A2453" s="2" t="s">
        <v>2569</v>
      </c>
      <c r="B2453" s="2" t="s">
        <v>1615</v>
      </c>
      <c r="C2453" s="2">
        <v>2</v>
      </c>
      <c r="D2453" t="str">
        <f t="shared" si="38"/>
        <v>CA-2015-134782_OFF-EN-10001434</v>
      </c>
      <c r="E2453" t="str">
        <f>IF(COUNTIF(data2!$D:$D,D2453)=0,"Missing in Data2","Present")</f>
        <v>Present</v>
      </c>
    </row>
    <row r="2454" spans="1:5" x14ac:dyDescent="0.25">
      <c r="A2454" s="2" t="s">
        <v>2570</v>
      </c>
      <c r="B2454" s="2" t="s">
        <v>991</v>
      </c>
      <c r="C2454" s="2">
        <v>3</v>
      </c>
      <c r="D2454" t="str">
        <f t="shared" si="38"/>
        <v>CA-2015-134859_FUR-FU-10003623</v>
      </c>
      <c r="E2454" t="str">
        <f>IF(COUNTIF(data2!$D:$D,D2454)=0,"Missing in Data2","Present")</f>
        <v>Present</v>
      </c>
    </row>
    <row r="2455" spans="1:5" x14ac:dyDescent="0.25">
      <c r="A2455" s="2" t="s">
        <v>2570</v>
      </c>
      <c r="B2455" s="2" t="s">
        <v>2571</v>
      </c>
      <c r="C2455" s="2">
        <v>4</v>
      </c>
      <c r="D2455" t="str">
        <f t="shared" si="38"/>
        <v>CA-2015-134859_OFF-PA-10001293</v>
      </c>
      <c r="E2455" t="str">
        <f>IF(COUNTIF(data2!$D:$D,D2455)=0,"Missing in Data2","Present")</f>
        <v>Present</v>
      </c>
    </row>
    <row r="2456" spans="1:5" x14ac:dyDescent="0.25">
      <c r="A2456" s="2" t="s">
        <v>2572</v>
      </c>
      <c r="B2456" s="2" t="s">
        <v>1419</v>
      </c>
      <c r="C2456" s="2">
        <v>4</v>
      </c>
      <c r="D2456" t="str">
        <f t="shared" si="38"/>
        <v>CA-2015-134894_FUR-CH-10002647</v>
      </c>
      <c r="E2456" t="str">
        <f>IF(COUNTIF(data2!$D:$D,D2456)=0,"Missing in Data2","Present")</f>
        <v>Present</v>
      </c>
    </row>
    <row r="2457" spans="1:5" x14ac:dyDescent="0.25">
      <c r="A2457" s="2" t="s">
        <v>2572</v>
      </c>
      <c r="B2457" s="2" t="s">
        <v>1075</v>
      </c>
      <c r="C2457" s="2">
        <v>3</v>
      </c>
      <c r="D2457" t="str">
        <f t="shared" si="38"/>
        <v>CA-2015-134894_OFF-AP-10001271</v>
      </c>
      <c r="E2457" t="str">
        <f>IF(COUNTIF(data2!$D:$D,D2457)=0,"Missing in Data2","Present")</f>
        <v>Present</v>
      </c>
    </row>
    <row r="2458" spans="1:5" x14ac:dyDescent="0.25">
      <c r="A2458" s="2" t="s">
        <v>2573</v>
      </c>
      <c r="B2458" s="2" t="s">
        <v>2574</v>
      </c>
      <c r="C2458" s="2">
        <v>2</v>
      </c>
      <c r="D2458" t="str">
        <f t="shared" si="38"/>
        <v>CA-2015-134922_OFF-EN-10000483</v>
      </c>
      <c r="E2458" t="str">
        <f>IF(COUNTIF(data2!$D:$D,D2458)=0,"Missing in Data2","Present")</f>
        <v>Present</v>
      </c>
    </row>
    <row r="2459" spans="1:5" x14ac:dyDescent="0.25">
      <c r="A2459" s="2" t="s">
        <v>2575</v>
      </c>
      <c r="B2459" s="2" t="s">
        <v>687</v>
      </c>
      <c r="C2459" s="2">
        <v>5</v>
      </c>
      <c r="D2459" t="str">
        <f t="shared" si="38"/>
        <v>CA-2015-134943_OFF-BI-10000666</v>
      </c>
      <c r="E2459" t="str">
        <f>IF(COUNTIF(data2!$D:$D,D2459)=0,"Missing in Data2","Present")</f>
        <v>Present</v>
      </c>
    </row>
    <row r="2460" spans="1:5" x14ac:dyDescent="0.25">
      <c r="A2460" s="2" t="s">
        <v>2576</v>
      </c>
      <c r="B2460" s="2" t="s">
        <v>2577</v>
      </c>
      <c r="C2460" s="2">
        <v>2</v>
      </c>
      <c r="D2460" t="str">
        <f t="shared" si="38"/>
        <v>CA-2015-134992_FUR-FU-10002554</v>
      </c>
      <c r="E2460" t="str">
        <f>IF(COUNTIF(data2!$D:$D,D2460)=0,"Missing in Data2","Present")</f>
        <v>Present</v>
      </c>
    </row>
    <row r="2461" spans="1:5" x14ac:dyDescent="0.25">
      <c r="A2461" s="2" t="s">
        <v>2576</v>
      </c>
      <c r="B2461" s="2" t="s">
        <v>1431</v>
      </c>
      <c r="C2461" s="2">
        <v>5</v>
      </c>
      <c r="D2461" t="str">
        <f t="shared" si="38"/>
        <v>CA-2015-134992_OFF-PA-10001972</v>
      </c>
      <c r="E2461" t="str">
        <f>IF(COUNTIF(data2!$D:$D,D2461)=0,"Missing in Data2","Present")</f>
        <v>Present</v>
      </c>
    </row>
    <row r="2462" spans="1:5" x14ac:dyDescent="0.25">
      <c r="A2462" s="2" t="s">
        <v>2578</v>
      </c>
      <c r="B2462" s="2" t="s">
        <v>1789</v>
      </c>
      <c r="C2462" s="2">
        <v>2</v>
      </c>
      <c r="D2462" t="str">
        <f t="shared" si="38"/>
        <v>CA-2015-135020_OFF-BI-10000605</v>
      </c>
      <c r="E2462" t="str">
        <f>IF(COUNTIF(data2!$D:$D,D2462)=0,"Missing in Data2","Present")</f>
        <v>Present</v>
      </c>
    </row>
    <row r="2463" spans="1:5" x14ac:dyDescent="0.25">
      <c r="A2463" s="2" t="s">
        <v>2578</v>
      </c>
      <c r="B2463" s="2" t="s">
        <v>2579</v>
      </c>
      <c r="C2463" s="2">
        <v>7</v>
      </c>
      <c r="D2463" t="str">
        <f t="shared" si="38"/>
        <v>CA-2015-135020_OFF-PA-10004255</v>
      </c>
      <c r="E2463" t="str">
        <f>IF(COUNTIF(data2!$D:$D,D2463)=0,"Missing in Data2","Present")</f>
        <v>Missing in Data2</v>
      </c>
    </row>
    <row r="2464" spans="1:5" x14ac:dyDescent="0.25">
      <c r="A2464" s="2" t="s">
        <v>2578</v>
      </c>
      <c r="B2464" s="2" t="s">
        <v>34</v>
      </c>
      <c r="C2464" s="2">
        <v>3</v>
      </c>
      <c r="D2464" t="str">
        <f t="shared" si="38"/>
        <v>CA-2015-135020_OFF-ST-10001490</v>
      </c>
      <c r="E2464" t="str">
        <f>IF(COUNTIF(data2!$D:$D,D2464)=0,"Missing in Data2","Present")</f>
        <v>Present</v>
      </c>
    </row>
    <row r="2465" spans="1:5" x14ac:dyDescent="0.25">
      <c r="A2465" s="2" t="s">
        <v>2578</v>
      </c>
      <c r="B2465" s="2" t="s">
        <v>1522</v>
      </c>
      <c r="C2465" s="2">
        <v>1</v>
      </c>
      <c r="D2465" t="str">
        <f t="shared" si="38"/>
        <v>CA-2015-135020_TEC-PH-10004093</v>
      </c>
      <c r="E2465" t="str">
        <f>IF(COUNTIF(data2!$D:$D,D2465)=0,"Missing in Data2","Present")</f>
        <v>Present</v>
      </c>
    </row>
    <row r="2466" spans="1:5" x14ac:dyDescent="0.25">
      <c r="A2466" s="2" t="s">
        <v>2580</v>
      </c>
      <c r="B2466" s="2" t="s">
        <v>602</v>
      </c>
      <c r="C2466" s="2">
        <v>5</v>
      </c>
      <c r="D2466" t="str">
        <f t="shared" si="38"/>
        <v>CA-2015-135174_TEC-PH-10001530</v>
      </c>
      <c r="E2466" t="str">
        <f>IF(COUNTIF(data2!$D:$D,D2466)=0,"Missing in Data2","Present")</f>
        <v>Present</v>
      </c>
    </row>
    <row r="2467" spans="1:5" x14ac:dyDescent="0.25">
      <c r="A2467" s="2" t="s">
        <v>2581</v>
      </c>
      <c r="B2467" s="2" t="s">
        <v>1983</v>
      </c>
      <c r="C2467" s="2">
        <v>3</v>
      </c>
      <c r="D2467" t="str">
        <f t="shared" si="38"/>
        <v>CA-2015-135251_FUR-BO-10003965</v>
      </c>
      <c r="E2467" t="str">
        <f>IF(COUNTIF(data2!$D:$D,D2467)=0,"Missing in Data2","Present")</f>
        <v>Present</v>
      </c>
    </row>
    <row r="2468" spans="1:5" x14ac:dyDescent="0.25">
      <c r="A2468" s="2" t="s">
        <v>2581</v>
      </c>
      <c r="B2468" s="2" t="s">
        <v>65</v>
      </c>
      <c r="C2468" s="2">
        <v>5</v>
      </c>
      <c r="D2468" t="str">
        <f t="shared" si="38"/>
        <v>CA-2015-135251_OFF-BI-10001097</v>
      </c>
      <c r="E2468" t="str">
        <f>IF(COUNTIF(data2!$D:$D,D2468)=0,"Missing in Data2","Present")</f>
        <v>Present</v>
      </c>
    </row>
    <row r="2469" spans="1:5" x14ac:dyDescent="0.25">
      <c r="A2469" s="2" t="s">
        <v>2581</v>
      </c>
      <c r="B2469" s="2" t="s">
        <v>2582</v>
      </c>
      <c r="C2469" s="2">
        <v>3</v>
      </c>
      <c r="D2469" t="str">
        <f t="shared" si="38"/>
        <v>CA-2015-135251_OFF-LA-10004544</v>
      </c>
      <c r="E2469" t="str">
        <f>IF(COUNTIF(data2!$D:$D,D2469)=0,"Missing in Data2","Present")</f>
        <v>Present</v>
      </c>
    </row>
    <row r="2470" spans="1:5" x14ac:dyDescent="0.25">
      <c r="A2470" s="2" t="s">
        <v>2581</v>
      </c>
      <c r="B2470" s="2" t="s">
        <v>1234</v>
      </c>
      <c r="C2470" s="2">
        <v>2</v>
      </c>
      <c r="D2470" t="str">
        <f t="shared" si="38"/>
        <v>CA-2015-135251_OFF-PA-10003302</v>
      </c>
      <c r="E2470" t="str">
        <f>IF(COUNTIF(data2!$D:$D,D2470)=0,"Missing in Data2","Present")</f>
        <v>Present</v>
      </c>
    </row>
    <row r="2471" spans="1:5" x14ac:dyDescent="0.25">
      <c r="A2471" s="2" t="s">
        <v>2583</v>
      </c>
      <c r="B2471" s="2" t="s">
        <v>359</v>
      </c>
      <c r="C2471" s="2">
        <v>4</v>
      </c>
      <c r="D2471" t="str">
        <f t="shared" si="38"/>
        <v>CA-2015-135272_FUR-FU-10002759</v>
      </c>
      <c r="E2471" t="str">
        <f>IF(COUNTIF(data2!$D:$D,D2471)=0,"Missing in Data2","Present")</f>
        <v>Present</v>
      </c>
    </row>
    <row r="2472" spans="1:5" x14ac:dyDescent="0.25">
      <c r="A2472" s="2" t="s">
        <v>2584</v>
      </c>
      <c r="B2472" s="2" t="s">
        <v>817</v>
      </c>
      <c r="C2472" s="2">
        <v>3</v>
      </c>
      <c r="D2472" t="str">
        <f t="shared" si="38"/>
        <v>CA-2015-135314_TEC-PH-10003072</v>
      </c>
      <c r="E2472" t="str">
        <f>IF(COUNTIF(data2!$D:$D,D2472)=0,"Missing in Data2","Present")</f>
        <v>Present</v>
      </c>
    </row>
    <row r="2473" spans="1:5" x14ac:dyDescent="0.25">
      <c r="A2473" s="2" t="s">
        <v>2585</v>
      </c>
      <c r="B2473" s="2" t="s">
        <v>721</v>
      </c>
      <c r="C2473" s="2">
        <v>1</v>
      </c>
      <c r="D2473" t="str">
        <f t="shared" si="38"/>
        <v>CA-2015-135363_OFF-PA-10000533</v>
      </c>
      <c r="E2473" t="str">
        <f>IF(COUNTIF(data2!$D:$D,D2473)=0,"Missing in Data2","Present")</f>
        <v>Present</v>
      </c>
    </row>
    <row r="2474" spans="1:5" x14ac:dyDescent="0.25">
      <c r="A2474" s="2" t="s">
        <v>2586</v>
      </c>
      <c r="B2474" s="2" t="s">
        <v>540</v>
      </c>
      <c r="C2474" s="2">
        <v>4</v>
      </c>
      <c r="D2474" t="str">
        <f t="shared" si="38"/>
        <v>CA-2015-135391_OFF-LA-10001074</v>
      </c>
      <c r="E2474" t="str">
        <f>IF(COUNTIF(data2!$D:$D,D2474)=0,"Missing in Data2","Present")</f>
        <v>Missing in Data2</v>
      </c>
    </row>
    <row r="2475" spans="1:5" x14ac:dyDescent="0.25">
      <c r="A2475" s="2" t="s">
        <v>2587</v>
      </c>
      <c r="B2475" s="2" t="s">
        <v>2588</v>
      </c>
      <c r="C2475" s="2">
        <v>14</v>
      </c>
      <c r="D2475" t="str">
        <f t="shared" si="38"/>
        <v>CA-2015-135489_TEC-PH-10000011</v>
      </c>
      <c r="E2475" t="str">
        <f>IF(COUNTIF(data2!$D:$D,D2475)=0,"Missing in Data2","Present")</f>
        <v>Missing in Data2</v>
      </c>
    </row>
    <row r="2476" spans="1:5" x14ac:dyDescent="0.25">
      <c r="A2476" s="2" t="s">
        <v>2589</v>
      </c>
      <c r="B2476" s="2" t="s">
        <v>2590</v>
      </c>
      <c r="C2476" s="2">
        <v>4</v>
      </c>
      <c r="D2476" t="str">
        <f t="shared" si="38"/>
        <v>CA-2015-135510_FUR-FU-10000820</v>
      </c>
      <c r="E2476" t="str">
        <f>IF(COUNTIF(data2!$D:$D,D2476)=0,"Missing in Data2","Present")</f>
        <v>Present</v>
      </c>
    </row>
    <row r="2477" spans="1:5" x14ac:dyDescent="0.25">
      <c r="A2477" s="2" t="s">
        <v>2591</v>
      </c>
      <c r="B2477" s="2" t="s">
        <v>1083</v>
      </c>
      <c r="C2477" s="2">
        <v>4</v>
      </c>
      <c r="D2477" t="str">
        <f t="shared" si="38"/>
        <v>CA-2015-135538_FUR-CH-10004287</v>
      </c>
      <c r="E2477" t="str">
        <f>IF(COUNTIF(data2!$D:$D,D2477)=0,"Missing in Data2","Present")</f>
        <v>Present</v>
      </c>
    </row>
    <row r="2478" spans="1:5" x14ac:dyDescent="0.25">
      <c r="A2478" s="2" t="s">
        <v>2592</v>
      </c>
      <c r="B2478" s="2" t="s">
        <v>1299</v>
      </c>
      <c r="C2478" s="2">
        <v>4</v>
      </c>
      <c r="D2478" t="str">
        <f t="shared" si="38"/>
        <v>CA-2015-135545_FUR-FU-10000397</v>
      </c>
      <c r="E2478" t="str">
        <f>IF(COUNTIF(data2!$D:$D,D2478)=0,"Missing in Data2","Present")</f>
        <v>Present</v>
      </c>
    </row>
    <row r="2479" spans="1:5" x14ac:dyDescent="0.25">
      <c r="A2479" s="2" t="s">
        <v>2592</v>
      </c>
      <c r="B2479" s="2" t="s">
        <v>774</v>
      </c>
      <c r="C2479" s="2">
        <v>6</v>
      </c>
      <c r="D2479" t="str">
        <f t="shared" si="38"/>
        <v>CA-2015-135545_OFF-BI-10001078</v>
      </c>
      <c r="E2479" t="str">
        <f>IF(COUNTIF(data2!$D:$D,D2479)=0,"Missing in Data2","Present")</f>
        <v>Present</v>
      </c>
    </row>
    <row r="2480" spans="1:5" x14ac:dyDescent="0.25">
      <c r="A2480" s="2" t="s">
        <v>2592</v>
      </c>
      <c r="B2480" s="2" t="s">
        <v>2593</v>
      </c>
      <c r="C2480" s="2">
        <v>3</v>
      </c>
      <c r="D2480" t="str">
        <f t="shared" si="38"/>
        <v>CA-2015-135545_OFF-PA-10003892</v>
      </c>
      <c r="E2480" t="str">
        <f>IF(COUNTIF(data2!$D:$D,D2480)=0,"Missing in Data2","Present")</f>
        <v>Present</v>
      </c>
    </row>
    <row r="2481" spans="1:5" x14ac:dyDescent="0.25">
      <c r="A2481" s="2" t="s">
        <v>2592</v>
      </c>
      <c r="B2481" s="2" t="s">
        <v>1007</v>
      </c>
      <c r="C2481" s="2">
        <v>2</v>
      </c>
      <c r="D2481" t="str">
        <f t="shared" si="38"/>
        <v>CA-2015-135545_TEC-AC-10004633</v>
      </c>
      <c r="E2481" t="str">
        <f>IF(COUNTIF(data2!$D:$D,D2481)=0,"Missing in Data2","Present")</f>
        <v>Present</v>
      </c>
    </row>
    <row r="2482" spans="1:5" x14ac:dyDescent="0.25">
      <c r="A2482" s="2" t="s">
        <v>2594</v>
      </c>
      <c r="B2482" s="2" t="s">
        <v>2027</v>
      </c>
      <c r="C2482" s="2">
        <v>3</v>
      </c>
      <c r="D2482" t="str">
        <f t="shared" si="38"/>
        <v>CA-2015-135580_OFF-EN-10003296</v>
      </c>
      <c r="E2482" t="str">
        <f>IF(COUNTIF(data2!$D:$D,D2482)=0,"Missing in Data2","Present")</f>
        <v>Present</v>
      </c>
    </row>
    <row r="2483" spans="1:5" x14ac:dyDescent="0.25">
      <c r="A2483" s="2" t="s">
        <v>2594</v>
      </c>
      <c r="B2483" s="2" t="s">
        <v>421</v>
      </c>
      <c r="C2483" s="2">
        <v>3</v>
      </c>
      <c r="D2483" t="str">
        <f t="shared" si="38"/>
        <v>CA-2015-135580_OFF-PA-10000595</v>
      </c>
      <c r="E2483" t="str">
        <f>IF(COUNTIF(data2!$D:$D,D2483)=0,"Missing in Data2","Present")</f>
        <v>Present</v>
      </c>
    </row>
    <row r="2484" spans="1:5" x14ac:dyDescent="0.25">
      <c r="A2484" s="2" t="s">
        <v>2594</v>
      </c>
      <c r="B2484" s="2" t="s">
        <v>295</v>
      </c>
      <c r="C2484" s="2">
        <v>3</v>
      </c>
      <c r="D2484" t="str">
        <f t="shared" si="38"/>
        <v>CA-2015-135580_OFF-ST-10000798</v>
      </c>
      <c r="E2484" t="str">
        <f>IF(COUNTIF(data2!$D:$D,D2484)=0,"Missing in Data2","Present")</f>
        <v>Present</v>
      </c>
    </row>
    <row r="2485" spans="1:5" x14ac:dyDescent="0.25">
      <c r="A2485" s="2" t="s">
        <v>2594</v>
      </c>
      <c r="B2485" s="2" t="s">
        <v>2595</v>
      </c>
      <c r="C2485" s="2">
        <v>6</v>
      </c>
      <c r="D2485" t="str">
        <f t="shared" si="38"/>
        <v>CA-2015-135580_TEC-MA-10004002</v>
      </c>
      <c r="E2485" t="str">
        <f>IF(COUNTIF(data2!$D:$D,D2485)=0,"Missing in Data2","Present")</f>
        <v>Present</v>
      </c>
    </row>
    <row r="2486" spans="1:5" x14ac:dyDescent="0.25">
      <c r="A2486" s="2" t="s">
        <v>2594</v>
      </c>
      <c r="B2486" s="2" t="s">
        <v>2596</v>
      </c>
      <c r="C2486" s="2">
        <v>3</v>
      </c>
      <c r="D2486" t="str">
        <f t="shared" si="38"/>
        <v>CA-2015-135580_TEC-PH-10004345</v>
      </c>
      <c r="E2486" t="str">
        <f>IF(COUNTIF(data2!$D:$D,D2486)=0,"Missing in Data2","Present")</f>
        <v>Present</v>
      </c>
    </row>
    <row r="2487" spans="1:5" x14ac:dyDescent="0.25">
      <c r="A2487" s="2" t="s">
        <v>2597</v>
      </c>
      <c r="B2487" s="2" t="s">
        <v>915</v>
      </c>
      <c r="C2487" s="2">
        <v>11</v>
      </c>
      <c r="D2487" t="str">
        <f t="shared" si="38"/>
        <v>CA-2015-135622_OFF-PA-10000100</v>
      </c>
      <c r="E2487" t="str">
        <f>IF(COUNTIF(data2!$D:$D,D2487)=0,"Missing in Data2","Present")</f>
        <v>Present</v>
      </c>
    </row>
    <row r="2488" spans="1:5" x14ac:dyDescent="0.25">
      <c r="A2488" s="2" t="s">
        <v>2597</v>
      </c>
      <c r="B2488" s="2" t="s">
        <v>2598</v>
      </c>
      <c r="C2488" s="2">
        <v>6</v>
      </c>
      <c r="D2488" t="str">
        <f t="shared" si="38"/>
        <v>CA-2015-135622_TEC-PH-10001817</v>
      </c>
      <c r="E2488" t="str">
        <f>IF(COUNTIF(data2!$D:$D,D2488)=0,"Missing in Data2","Present")</f>
        <v>Present</v>
      </c>
    </row>
    <row r="2489" spans="1:5" x14ac:dyDescent="0.25">
      <c r="A2489" s="2" t="s">
        <v>2599</v>
      </c>
      <c r="B2489" s="2" t="s">
        <v>2600</v>
      </c>
      <c r="C2489" s="2">
        <v>6</v>
      </c>
      <c r="D2489" t="str">
        <f t="shared" si="38"/>
        <v>CA-2015-135685_FUR-FU-10001185</v>
      </c>
      <c r="E2489" t="str">
        <f>IF(COUNTIF(data2!$D:$D,D2489)=0,"Missing in Data2","Present")</f>
        <v>Present</v>
      </c>
    </row>
    <row r="2490" spans="1:5" x14ac:dyDescent="0.25">
      <c r="A2490" s="2" t="s">
        <v>2599</v>
      </c>
      <c r="B2490" s="2" t="s">
        <v>1840</v>
      </c>
      <c r="C2490" s="2">
        <v>3</v>
      </c>
      <c r="D2490" t="str">
        <f t="shared" si="38"/>
        <v>CA-2015-135685_FUR-TA-10000688</v>
      </c>
      <c r="E2490" t="str">
        <f>IF(COUNTIF(data2!$D:$D,D2490)=0,"Missing in Data2","Present")</f>
        <v>Present</v>
      </c>
    </row>
    <row r="2491" spans="1:5" x14ac:dyDescent="0.25">
      <c r="A2491" s="2" t="s">
        <v>2599</v>
      </c>
      <c r="B2491" s="2" t="s">
        <v>2601</v>
      </c>
      <c r="C2491" s="2">
        <v>3</v>
      </c>
      <c r="D2491" t="str">
        <f t="shared" si="38"/>
        <v>CA-2015-135685_FUR-TA-10001520</v>
      </c>
      <c r="E2491" t="str">
        <f>IF(COUNTIF(data2!$D:$D,D2491)=0,"Missing in Data2","Present")</f>
        <v>Present</v>
      </c>
    </row>
    <row r="2492" spans="1:5" x14ac:dyDescent="0.25">
      <c r="A2492" s="2" t="s">
        <v>2599</v>
      </c>
      <c r="B2492" s="2" t="s">
        <v>2602</v>
      </c>
      <c r="C2492" s="2">
        <v>9</v>
      </c>
      <c r="D2492" t="str">
        <f t="shared" si="38"/>
        <v>CA-2015-135685_OFF-PA-10000157</v>
      </c>
      <c r="E2492" t="str">
        <f>IF(COUNTIF(data2!$D:$D,D2492)=0,"Missing in Data2","Present")</f>
        <v>Present</v>
      </c>
    </row>
    <row r="2493" spans="1:5" x14ac:dyDescent="0.25">
      <c r="A2493" s="2" t="s">
        <v>2599</v>
      </c>
      <c r="B2493" s="2" t="s">
        <v>2603</v>
      </c>
      <c r="C2493" s="2">
        <v>4</v>
      </c>
      <c r="D2493" t="str">
        <f t="shared" si="38"/>
        <v>CA-2015-135685_TEC-AC-10004145</v>
      </c>
      <c r="E2493" t="str">
        <f>IF(COUNTIF(data2!$D:$D,D2493)=0,"Missing in Data2","Present")</f>
        <v>Present</v>
      </c>
    </row>
    <row r="2494" spans="1:5" x14ac:dyDescent="0.25">
      <c r="A2494" s="2" t="s">
        <v>2604</v>
      </c>
      <c r="B2494" s="2" t="s">
        <v>2527</v>
      </c>
      <c r="C2494" s="2">
        <v>7</v>
      </c>
      <c r="D2494" t="str">
        <f t="shared" si="38"/>
        <v>CA-2015-135727_FUR-CH-10004540</v>
      </c>
      <c r="E2494" t="str">
        <f>IF(COUNTIF(data2!$D:$D,D2494)=0,"Missing in Data2","Present")</f>
        <v>Present</v>
      </c>
    </row>
    <row r="2495" spans="1:5" x14ac:dyDescent="0.25">
      <c r="A2495" s="2" t="s">
        <v>2605</v>
      </c>
      <c r="B2495" s="2" t="s">
        <v>1686</v>
      </c>
      <c r="C2495" s="2">
        <v>2</v>
      </c>
      <c r="D2495" t="str">
        <f t="shared" si="38"/>
        <v>CA-2015-135853_OFF-BI-10004965</v>
      </c>
      <c r="E2495" t="str">
        <f>IF(COUNTIF(data2!$D:$D,D2495)=0,"Missing in Data2","Present")</f>
        <v>Present</v>
      </c>
    </row>
    <row r="2496" spans="1:5" x14ac:dyDescent="0.25">
      <c r="A2496" s="2" t="s">
        <v>2605</v>
      </c>
      <c r="B2496" s="2" t="s">
        <v>2025</v>
      </c>
      <c r="C2496" s="2">
        <v>11</v>
      </c>
      <c r="D2496" t="str">
        <f t="shared" si="38"/>
        <v>CA-2015-135853_TEC-AC-10004761</v>
      </c>
      <c r="E2496" t="str">
        <f>IF(COUNTIF(data2!$D:$D,D2496)=0,"Missing in Data2","Present")</f>
        <v>Present</v>
      </c>
    </row>
    <row r="2497" spans="1:5" x14ac:dyDescent="0.25">
      <c r="A2497" s="2" t="s">
        <v>2605</v>
      </c>
      <c r="B2497" s="2" t="s">
        <v>350</v>
      </c>
      <c r="C2497" s="2">
        <v>1</v>
      </c>
      <c r="D2497" t="str">
        <f t="shared" si="38"/>
        <v>CA-2015-135853_TEC-PH-10003691</v>
      </c>
      <c r="E2497" t="str">
        <f>IF(COUNTIF(data2!$D:$D,D2497)=0,"Missing in Data2","Present")</f>
        <v>Present</v>
      </c>
    </row>
    <row r="2498" spans="1:5" x14ac:dyDescent="0.25">
      <c r="A2498" s="2" t="s">
        <v>2606</v>
      </c>
      <c r="B2498" s="2" t="s">
        <v>260</v>
      </c>
      <c r="C2498" s="2">
        <v>2</v>
      </c>
      <c r="D2498" t="str">
        <f t="shared" si="38"/>
        <v>CA-2015-136105_OFF-ST-10002444</v>
      </c>
      <c r="E2498" t="str">
        <f>IF(COUNTIF(data2!$D:$D,D2498)=0,"Missing in Data2","Present")</f>
        <v>Present</v>
      </c>
    </row>
    <row r="2499" spans="1:5" x14ac:dyDescent="0.25">
      <c r="A2499" s="2" t="s">
        <v>2607</v>
      </c>
      <c r="B2499" s="2" t="s">
        <v>2608</v>
      </c>
      <c r="C2499" s="2">
        <v>6</v>
      </c>
      <c r="D2499" t="str">
        <f t="shared" ref="D2499:D2562" si="39">A2499&amp;"_"&amp;B2499</f>
        <v>CA-2015-136147_OFF-BI-10004224</v>
      </c>
      <c r="E2499" t="str">
        <f>IF(COUNTIF(data2!$D:$D,D2499)=0,"Missing in Data2","Present")</f>
        <v>Present</v>
      </c>
    </row>
    <row r="2500" spans="1:5" x14ac:dyDescent="0.25">
      <c r="A2500" s="2" t="s">
        <v>2607</v>
      </c>
      <c r="B2500" s="2" t="s">
        <v>2609</v>
      </c>
      <c r="C2500" s="2">
        <v>5</v>
      </c>
      <c r="D2500" t="str">
        <f t="shared" si="39"/>
        <v>CA-2015-136147_TEC-AC-10004568</v>
      </c>
      <c r="E2500" t="str">
        <f>IF(COUNTIF(data2!$D:$D,D2500)=0,"Missing in Data2","Present")</f>
        <v>Present</v>
      </c>
    </row>
    <row r="2501" spans="1:5" x14ac:dyDescent="0.25">
      <c r="A2501" s="2" t="s">
        <v>2610</v>
      </c>
      <c r="B2501" s="2" t="s">
        <v>1830</v>
      </c>
      <c r="C2501" s="2">
        <v>3</v>
      </c>
      <c r="D2501" t="str">
        <f t="shared" si="39"/>
        <v>CA-2015-136196_FUR-FU-10004017</v>
      </c>
      <c r="E2501" t="str">
        <f>IF(COUNTIF(data2!$D:$D,D2501)=0,"Missing in Data2","Present")</f>
        <v>Present</v>
      </c>
    </row>
    <row r="2502" spans="1:5" x14ac:dyDescent="0.25">
      <c r="A2502" s="2" t="s">
        <v>2611</v>
      </c>
      <c r="B2502" s="2" t="s">
        <v>574</v>
      </c>
      <c r="C2502" s="2">
        <v>3</v>
      </c>
      <c r="D2502" t="str">
        <f t="shared" si="39"/>
        <v>CA-2015-136224_OFF-AR-10003504</v>
      </c>
      <c r="E2502" t="str">
        <f>IF(COUNTIF(data2!$D:$D,D2502)=0,"Missing in Data2","Present")</f>
        <v>Present</v>
      </c>
    </row>
    <row r="2503" spans="1:5" x14ac:dyDescent="0.25">
      <c r="A2503" s="2" t="s">
        <v>2612</v>
      </c>
      <c r="B2503" s="2" t="s">
        <v>2040</v>
      </c>
      <c r="C2503" s="2">
        <v>3</v>
      </c>
      <c r="D2503" t="str">
        <f t="shared" si="39"/>
        <v>CA-2015-136378_OFF-BI-10003707</v>
      </c>
      <c r="E2503" t="str">
        <f>IF(COUNTIF(data2!$D:$D,D2503)=0,"Missing in Data2","Present")</f>
        <v>Present</v>
      </c>
    </row>
    <row r="2504" spans="1:5" x14ac:dyDescent="0.25">
      <c r="A2504" s="2" t="s">
        <v>2613</v>
      </c>
      <c r="B2504" s="2" t="s">
        <v>337</v>
      </c>
      <c r="C2504" s="2">
        <v>4</v>
      </c>
      <c r="D2504" t="str">
        <f t="shared" si="39"/>
        <v>CA-2015-136420_OFF-BI-10002854</v>
      </c>
      <c r="E2504" t="str">
        <f>IF(COUNTIF(data2!$D:$D,D2504)=0,"Missing in Data2","Present")</f>
        <v>Present</v>
      </c>
    </row>
    <row r="2505" spans="1:5" x14ac:dyDescent="0.25">
      <c r="A2505" s="2" t="s">
        <v>2613</v>
      </c>
      <c r="B2505" s="2" t="s">
        <v>557</v>
      </c>
      <c r="C2505" s="2">
        <v>4</v>
      </c>
      <c r="D2505" t="str">
        <f t="shared" si="39"/>
        <v>CA-2015-136420_OFF-LA-10002762</v>
      </c>
      <c r="E2505" t="str">
        <f>IF(COUNTIF(data2!$D:$D,D2505)=0,"Missing in Data2","Present")</f>
        <v>Present</v>
      </c>
    </row>
    <row r="2506" spans="1:5" x14ac:dyDescent="0.25">
      <c r="A2506" s="2" t="s">
        <v>2614</v>
      </c>
      <c r="B2506" s="2" t="s">
        <v>2601</v>
      </c>
      <c r="C2506" s="2">
        <v>4</v>
      </c>
      <c r="D2506" t="str">
        <f t="shared" si="39"/>
        <v>CA-2015-136469_FUR-TA-10001520</v>
      </c>
      <c r="E2506" t="str">
        <f>IF(COUNTIF(data2!$D:$D,D2506)=0,"Missing in Data2","Present")</f>
        <v>Present</v>
      </c>
    </row>
    <row r="2507" spans="1:5" x14ac:dyDescent="0.25">
      <c r="A2507" s="2" t="s">
        <v>2614</v>
      </c>
      <c r="B2507" s="2" t="s">
        <v>2041</v>
      </c>
      <c r="C2507" s="2">
        <v>7</v>
      </c>
      <c r="D2507" t="str">
        <f t="shared" si="39"/>
        <v>CA-2015-136469_OFF-BI-10004492</v>
      </c>
      <c r="E2507" t="str">
        <f>IF(COUNTIF(data2!$D:$D,D2507)=0,"Missing in Data2","Present")</f>
        <v>Present</v>
      </c>
    </row>
    <row r="2508" spans="1:5" x14ac:dyDescent="0.25">
      <c r="A2508" s="2" t="s">
        <v>2614</v>
      </c>
      <c r="B2508" s="2" t="s">
        <v>2598</v>
      </c>
      <c r="C2508" s="2">
        <v>2</v>
      </c>
      <c r="D2508" t="str">
        <f t="shared" si="39"/>
        <v>CA-2015-136469_TEC-PH-10001817</v>
      </c>
      <c r="E2508" t="str">
        <f>IF(COUNTIF(data2!$D:$D,D2508)=0,"Missing in Data2","Present")</f>
        <v>Present</v>
      </c>
    </row>
    <row r="2509" spans="1:5" x14ac:dyDescent="0.25">
      <c r="A2509" s="2" t="s">
        <v>2615</v>
      </c>
      <c r="B2509" s="2" t="s">
        <v>2616</v>
      </c>
      <c r="C2509" s="2">
        <v>2</v>
      </c>
      <c r="D2509" t="str">
        <f t="shared" si="39"/>
        <v>CA-2015-136658_OFF-AR-10000817</v>
      </c>
      <c r="E2509" t="str">
        <f>IF(COUNTIF(data2!$D:$D,D2509)=0,"Missing in Data2","Present")</f>
        <v>Present</v>
      </c>
    </row>
    <row r="2510" spans="1:5" x14ac:dyDescent="0.25">
      <c r="A2510" s="2" t="s">
        <v>2617</v>
      </c>
      <c r="B2510" s="2" t="s">
        <v>588</v>
      </c>
      <c r="C2510" s="2">
        <v>2</v>
      </c>
      <c r="D2510" t="str">
        <f t="shared" si="39"/>
        <v>CA-2015-136700_OFF-PA-10004519</v>
      </c>
      <c r="E2510" t="str">
        <f>IF(COUNTIF(data2!$D:$D,D2510)=0,"Missing in Data2","Present")</f>
        <v>Present</v>
      </c>
    </row>
    <row r="2511" spans="1:5" x14ac:dyDescent="0.25">
      <c r="A2511" s="2" t="s">
        <v>2618</v>
      </c>
      <c r="B2511" s="2" t="s">
        <v>621</v>
      </c>
      <c r="C2511" s="2">
        <v>4</v>
      </c>
      <c r="D2511" t="str">
        <f t="shared" si="39"/>
        <v>CA-2015-136728_FUR-CH-10003817</v>
      </c>
      <c r="E2511" t="str">
        <f>IF(COUNTIF(data2!$D:$D,D2511)=0,"Missing in Data2","Present")</f>
        <v>Present</v>
      </c>
    </row>
    <row r="2512" spans="1:5" x14ac:dyDescent="0.25">
      <c r="A2512" s="2" t="s">
        <v>2618</v>
      </c>
      <c r="B2512" s="2" t="s">
        <v>1612</v>
      </c>
      <c r="C2512" s="2">
        <v>1</v>
      </c>
      <c r="D2512" t="str">
        <f t="shared" si="39"/>
        <v>CA-2015-136728_OFF-EN-10002621</v>
      </c>
      <c r="E2512" t="str">
        <f>IF(COUNTIF(data2!$D:$D,D2512)=0,"Missing in Data2","Present")</f>
        <v>Present</v>
      </c>
    </row>
    <row r="2513" spans="1:5" x14ac:dyDescent="0.25">
      <c r="A2513" s="2" t="s">
        <v>2619</v>
      </c>
      <c r="B2513" s="2" t="s">
        <v>1646</v>
      </c>
      <c r="C2513" s="2">
        <v>2</v>
      </c>
      <c r="D2513" t="str">
        <f t="shared" si="39"/>
        <v>CA-2015-136735_OFF-EN-10002230</v>
      </c>
      <c r="E2513" t="str">
        <f>IF(COUNTIF(data2!$D:$D,D2513)=0,"Missing in Data2","Present")</f>
        <v>Present</v>
      </c>
    </row>
    <row r="2514" spans="1:5" x14ac:dyDescent="0.25">
      <c r="A2514" s="2" t="s">
        <v>2620</v>
      </c>
      <c r="B2514" s="2" t="s">
        <v>160</v>
      </c>
      <c r="C2514" s="2">
        <v>3</v>
      </c>
      <c r="D2514" t="str">
        <f t="shared" si="39"/>
        <v>CA-2015-136798_FUR-FU-10000723</v>
      </c>
      <c r="E2514" t="str">
        <f>IF(COUNTIF(data2!$D:$D,D2514)=0,"Missing in Data2","Present")</f>
        <v>Present</v>
      </c>
    </row>
    <row r="2515" spans="1:5" x14ac:dyDescent="0.25">
      <c r="A2515" s="2" t="s">
        <v>2620</v>
      </c>
      <c r="B2515" s="2" t="s">
        <v>229</v>
      </c>
      <c r="C2515" s="2">
        <v>2</v>
      </c>
      <c r="D2515" t="str">
        <f t="shared" si="39"/>
        <v>CA-2015-136798_OFF-BI-10003684</v>
      </c>
      <c r="E2515" t="str">
        <f>IF(COUNTIF(data2!$D:$D,D2515)=0,"Missing in Data2","Present")</f>
        <v>Present</v>
      </c>
    </row>
    <row r="2516" spans="1:5" x14ac:dyDescent="0.25">
      <c r="A2516" s="2" t="s">
        <v>2620</v>
      </c>
      <c r="B2516" s="2" t="s">
        <v>1316</v>
      </c>
      <c r="C2516" s="2">
        <v>3</v>
      </c>
      <c r="D2516" t="str">
        <f t="shared" si="39"/>
        <v>CA-2015-136798_TEC-PH-10000441</v>
      </c>
      <c r="E2516" t="str">
        <f>IF(COUNTIF(data2!$D:$D,D2516)=0,"Missing in Data2","Present")</f>
        <v>Present</v>
      </c>
    </row>
    <row r="2517" spans="1:5" x14ac:dyDescent="0.25">
      <c r="A2517" s="2" t="s">
        <v>2621</v>
      </c>
      <c r="B2517" s="2" t="s">
        <v>1290</v>
      </c>
      <c r="C2517" s="2">
        <v>9</v>
      </c>
      <c r="D2517" t="str">
        <f t="shared" si="39"/>
        <v>CA-2015-136805_FUR-FU-10003724</v>
      </c>
      <c r="E2517" t="str">
        <f>IF(COUNTIF(data2!$D:$D,D2517)=0,"Missing in Data2","Present")</f>
        <v>Present</v>
      </c>
    </row>
    <row r="2518" spans="1:5" x14ac:dyDescent="0.25">
      <c r="A2518" s="2" t="s">
        <v>2621</v>
      </c>
      <c r="B2518" s="2" t="s">
        <v>2622</v>
      </c>
      <c r="C2518" s="2">
        <v>5</v>
      </c>
      <c r="D2518" t="str">
        <f t="shared" si="39"/>
        <v>CA-2015-136805_OFF-AP-10001394</v>
      </c>
      <c r="E2518" t="str">
        <f>IF(COUNTIF(data2!$D:$D,D2518)=0,"Missing in Data2","Present")</f>
        <v>Present</v>
      </c>
    </row>
    <row r="2519" spans="1:5" x14ac:dyDescent="0.25">
      <c r="A2519" s="2" t="s">
        <v>2623</v>
      </c>
      <c r="B2519" s="2" t="s">
        <v>1175</v>
      </c>
      <c r="C2519" s="2">
        <v>3</v>
      </c>
      <c r="D2519" t="str">
        <f t="shared" si="39"/>
        <v>CA-2015-137064_OFF-BI-10002049</v>
      </c>
      <c r="E2519" t="str">
        <f>IF(COUNTIF(data2!$D:$D,D2519)=0,"Missing in Data2","Present")</f>
        <v>Present</v>
      </c>
    </row>
    <row r="2520" spans="1:5" x14ac:dyDescent="0.25">
      <c r="A2520" s="2" t="s">
        <v>2623</v>
      </c>
      <c r="B2520" s="2" t="s">
        <v>304</v>
      </c>
      <c r="C2520" s="2">
        <v>3</v>
      </c>
      <c r="D2520" t="str">
        <f t="shared" si="39"/>
        <v>CA-2015-137064_OFF-ST-10003470</v>
      </c>
      <c r="E2520" t="str">
        <f>IF(COUNTIF(data2!$D:$D,D2520)=0,"Missing in Data2","Present")</f>
        <v>Present</v>
      </c>
    </row>
    <row r="2521" spans="1:5" x14ac:dyDescent="0.25">
      <c r="A2521" s="2" t="s">
        <v>2624</v>
      </c>
      <c r="B2521" s="2" t="s">
        <v>409</v>
      </c>
      <c r="C2521" s="2">
        <v>2</v>
      </c>
      <c r="D2521" t="str">
        <f t="shared" si="39"/>
        <v>CA-2015-137071_TEC-AC-10004353</v>
      </c>
      <c r="E2521" t="str">
        <f>IF(COUNTIF(data2!$D:$D,D2521)=0,"Missing in Data2","Present")</f>
        <v>Missing in Data2</v>
      </c>
    </row>
    <row r="2522" spans="1:5" x14ac:dyDescent="0.25">
      <c r="A2522" s="2" t="s">
        <v>2625</v>
      </c>
      <c r="B2522" s="2" t="s">
        <v>2588</v>
      </c>
      <c r="C2522" s="2">
        <v>5</v>
      </c>
      <c r="D2522" t="str">
        <f t="shared" si="39"/>
        <v>CA-2015-137106_TEC-PH-10000011</v>
      </c>
      <c r="E2522" t="str">
        <f>IF(COUNTIF(data2!$D:$D,D2522)=0,"Missing in Data2","Present")</f>
        <v>Missing in Data2</v>
      </c>
    </row>
    <row r="2523" spans="1:5" x14ac:dyDescent="0.25">
      <c r="A2523" s="2" t="s">
        <v>2626</v>
      </c>
      <c r="B2523" s="2" t="s">
        <v>583</v>
      </c>
      <c r="C2523" s="2">
        <v>5</v>
      </c>
      <c r="D2523" t="str">
        <f t="shared" si="39"/>
        <v>CA-2015-137113_FUR-CH-10001215</v>
      </c>
      <c r="E2523" t="str">
        <f>IF(COUNTIF(data2!$D:$D,D2523)=0,"Missing in Data2","Present")</f>
        <v>Present</v>
      </c>
    </row>
    <row r="2524" spans="1:5" x14ac:dyDescent="0.25">
      <c r="A2524" s="2" t="s">
        <v>2626</v>
      </c>
      <c r="B2524" s="2" t="s">
        <v>2627</v>
      </c>
      <c r="C2524" s="2">
        <v>9</v>
      </c>
      <c r="D2524" t="str">
        <f t="shared" si="39"/>
        <v>CA-2015-137113_FUR-TA-10001705</v>
      </c>
      <c r="E2524" t="str">
        <f>IF(COUNTIF(data2!$D:$D,D2524)=0,"Missing in Data2","Present")</f>
        <v>Present</v>
      </c>
    </row>
    <row r="2525" spans="1:5" x14ac:dyDescent="0.25">
      <c r="A2525" s="2" t="s">
        <v>2626</v>
      </c>
      <c r="B2525" s="2" t="s">
        <v>2628</v>
      </c>
      <c r="C2525" s="2">
        <v>5</v>
      </c>
      <c r="D2525" t="str">
        <f t="shared" si="39"/>
        <v>CA-2015-137113_OFF-PA-10002222</v>
      </c>
      <c r="E2525" t="str">
        <f>IF(COUNTIF(data2!$D:$D,D2525)=0,"Missing in Data2","Present")</f>
        <v>Present</v>
      </c>
    </row>
    <row r="2526" spans="1:5" x14ac:dyDescent="0.25">
      <c r="A2526" s="2" t="s">
        <v>2626</v>
      </c>
      <c r="B2526" s="2" t="s">
        <v>2579</v>
      </c>
      <c r="C2526" s="2">
        <v>5</v>
      </c>
      <c r="D2526" t="str">
        <f t="shared" si="39"/>
        <v>CA-2015-137113_OFF-PA-10004255</v>
      </c>
      <c r="E2526" t="str">
        <f>IF(COUNTIF(data2!$D:$D,D2526)=0,"Missing in Data2","Present")</f>
        <v>Present</v>
      </c>
    </row>
    <row r="2527" spans="1:5" x14ac:dyDescent="0.25">
      <c r="A2527" s="2" t="s">
        <v>2626</v>
      </c>
      <c r="B2527" s="2" t="s">
        <v>1756</v>
      </c>
      <c r="C2527" s="2">
        <v>3</v>
      </c>
      <c r="D2527" t="str">
        <f t="shared" si="39"/>
        <v>CA-2015-137113_OFF-ST-10002554</v>
      </c>
      <c r="E2527" t="str">
        <f>IF(COUNTIF(data2!$D:$D,D2527)=0,"Missing in Data2","Present")</f>
        <v>Present</v>
      </c>
    </row>
    <row r="2528" spans="1:5" x14ac:dyDescent="0.25">
      <c r="A2528" s="2" t="s">
        <v>2629</v>
      </c>
      <c r="B2528" s="2" t="s">
        <v>2562</v>
      </c>
      <c r="C2528" s="2">
        <v>1</v>
      </c>
      <c r="D2528" t="str">
        <f t="shared" si="39"/>
        <v>CA-2015-137225_OFF-AR-10001940</v>
      </c>
      <c r="E2528" t="str">
        <f>IF(COUNTIF(data2!$D:$D,D2528)=0,"Missing in Data2","Present")</f>
        <v>Present</v>
      </c>
    </row>
    <row r="2529" spans="1:5" x14ac:dyDescent="0.25">
      <c r="A2529" s="2" t="s">
        <v>2630</v>
      </c>
      <c r="B2529" s="2" t="s">
        <v>2631</v>
      </c>
      <c r="C2529" s="2">
        <v>1</v>
      </c>
      <c r="D2529" t="str">
        <f t="shared" si="39"/>
        <v>CA-2015-137281_OFF-PA-10001870</v>
      </c>
      <c r="E2529" t="str">
        <f>IF(COUNTIF(data2!$D:$D,D2529)=0,"Missing in Data2","Present")</f>
        <v>Present</v>
      </c>
    </row>
    <row r="2530" spans="1:5" x14ac:dyDescent="0.25">
      <c r="A2530" s="2" t="s">
        <v>2632</v>
      </c>
      <c r="B2530" s="2" t="s">
        <v>2633</v>
      </c>
      <c r="C2530" s="2">
        <v>3</v>
      </c>
      <c r="D2530" t="str">
        <f t="shared" si="39"/>
        <v>CA-2015-137302_FUR-CH-10002017</v>
      </c>
      <c r="E2530" t="str">
        <f>IF(COUNTIF(data2!$D:$D,D2530)=0,"Missing in Data2","Present")</f>
        <v>Present</v>
      </c>
    </row>
    <row r="2531" spans="1:5" x14ac:dyDescent="0.25">
      <c r="A2531" s="2" t="s">
        <v>2632</v>
      </c>
      <c r="B2531" s="2" t="s">
        <v>1821</v>
      </c>
      <c r="C2531" s="2">
        <v>3</v>
      </c>
      <c r="D2531" t="str">
        <f t="shared" si="39"/>
        <v>CA-2015-137302_OFF-AR-10000588</v>
      </c>
      <c r="E2531" t="str">
        <f>IF(COUNTIF(data2!$D:$D,D2531)=0,"Missing in Data2","Present")</f>
        <v>Present</v>
      </c>
    </row>
    <row r="2532" spans="1:5" x14ac:dyDescent="0.25">
      <c r="A2532" s="2" t="s">
        <v>2632</v>
      </c>
      <c r="B2532" s="2" t="s">
        <v>1815</v>
      </c>
      <c r="C2532" s="2">
        <v>3</v>
      </c>
      <c r="D2532" t="str">
        <f t="shared" si="39"/>
        <v>CA-2015-137302_OFF-BI-10001524</v>
      </c>
      <c r="E2532" t="str">
        <f>IF(COUNTIF(data2!$D:$D,D2532)=0,"Missing in Data2","Present")</f>
        <v>Present</v>
      </c>
    </row>
    <row r="2533" spans="1:5" x14ac:dyDescent="0.25">
      <c r="A2533" s="2" t="s">
        <v>2634</v>
      </c>
      <c r="B2533" s="2" t="s">
        <v>2635</v>
      </c>
      <c r="C2533" s="2">
        <v>2</v>
      </c>
      <c r="D2533" t="str">
        <f t="shared" si="39"/>
        <v>CA-2015-137512_FUR-TA-10001095</v>
      </c>
      <c r="E2533" t="str">
        <f>IF(COUNTIF(data2!$D:$D,D2533)=0,"Missing in Data2","Present")</f>
        <v>Present</v>
      </c>
    </row>
    <row r="2534" spans="1:5" x14ac:dyDescent="0.25">
      <c r="A2534" s="2" t="s">
        <v>2634</v>
      </c>
      <c r="B2534" s="2" t="s">
        <v>519</v>
      </c>
      <c r="C2534" s="2">
        <v>4</v>
      </c>
      <c r="D2534" t="str">
        <f t="shared" si="39"/>
        <v>CA-2015-137512_OFF-PA-10000213</v>
      </c>
      <c r="E2534" t="str">
        <f>IF(COUNTIF(data2!$D:$D,D2534)=0,"Missing in Data2","Present")</f>
        <v>Present</v>
      </c>
    </row>
    <row r="2535" spans="1:5" x14ac:dyDescent="0.25">
      <c r="A2535" s="2" t="s">
        <v>2636</v>
      </c>
      <c r="B2535" s="2" t="s">
        <v>979</v>
      </c>
      <c r="C2535" s="2">
        <v>4</v>
      </c>
      <c r="D2535" t="str">
        <f t="shared" si="39"/>
        <v>CA-2015-137526_FUR-FU-10001861</v>
      </c>
      <c r="E2535" t="str">
        <f>IF(COUNTIF(data2!$D:$D,D2535)=0,"Missing in Data2","Present")</f>
        <v>Present</v>
      </c>
    </row>
    <row r="2536" spans="1:5" x14ac:dyDescent="0.25">
      <c r="A2536" s="2" t="s">
        <v>2636</v>
      </c>
      <c r="B2536" s="2" t="s">
        <v>2637</v>
      </c>
      <c r="C2536" s="2">
        <v>9</v>
      </c>
      <c r="D2536" t="str">
        <f t="shared" si="39"/>
        <v>CA-2015-137526_FUR-FU-10004845</v>
      </c>
      <c r="E2536" t="str">
        <f>IF(COUNTIF(data2!$D:$D,D2536)=0,"Missing in Data2","Present")</f>
        <v>Present</v>
      </c>
    </row>
    <row r="2537" spans="1:5" x14ac:dyDescent="0.25">
      <c r="A2537" s="2" t="s">
        <v>2636</v>
      </c>
      <c r="B2537" s="2" t="s">
        <v>2638</v>
      </c>
      <c r="C2537" s="2">
        <v>3</v>
      </c>
      <c r="D2537" t="str">
        <f t="shared" si="39"/>
        <v>CA-2015-137526_OFF-BI-10003364</v>
      </c>
      <c r="E2537" t="str">
        <f>IF(COUNTIF(data2!$D:$D,D2537)=0,"Missing in Data2","Present")</f>
        <v>Present</v>
      </c>
    </row>
    <row r="2538" spans="1:5" x14ac:dyDescent="0.25">
      <c r="A2538" s="2" t="s">
        <v>2639</v>
      </c>
      <c r="B2538" s="2" t="s">
        <v>2640</v>
      </c>
      <c r="C2538" s="2">
        <v>5</v>
      </c>
      <c r="D2538" t="str">
        <f t="shared" si="39"/>
        <v>CA-2015-137603_OFF-AR-10001972</v>
      </c>
      <c r="E2538" t="str">
        <f>IF(COUNTIF(data2!$D:$D,D2538)=0,"Missing in Data2","Present")</f>
        <v>Present</v>
      </c>
    </row>
    <row r="2539" spans="1:5" x14ac:dyDescent="0.25">
      <c r="A2539" s="2" t="s">
        <v>2641</v>
      </c>
      <c r="B2539" s="2" t="s">
        <v>7</v>
      </c>
      <c r="C2539" s="2">
        <v>2</v>
      </c>
      <c r="D2539" t="str">
        <f t="shared" si="39"/>
        <v>CA-2015-137708_OFF-PA-10000176</v>
      </c>
      <c r="E2539" t="str">
        <f>IF(COUNTIF(data2!$D:$D,D2539)=0,"Missing in Data2","Present")</f>
        <v>Present</v>
      </c>
    </row>
    <row r="2540" spans="1:5" x14ac:dyDescent="0.25">
      <c r="A2540" s="2" t="s">
        <v>2641</v>
      </c>
      <c r="B2540" s="2" t="s">
        <v>408</v>
      </c>
      <c r="C2540" s="2">
        <v>10</v>
      </c>
      <c r="D2540" t="str">
        <f t="shared" si="39"/>
        <v>CA-2015-137708_OFF-PA-10000327</v>
      </c>
      <c r="E2540" t="str">
        <f>IF(COUNTIF(data2!$D:$D,D2540)=0,"Missing in Data2","Present")</f>
        <v>Present</v>
      </c>
    </row>
    <row r="2541" spans="1:5" x14ac:dyDescent="0.25">
      <c r="A2541" s="2" t="s">
        <v>2641</v>
      </c>
      <c r="B2541" s="2" t="s">
        <v>1087</v>
      </c>
      <c r="C2541" s="2">
        <v>3</v>
      </c>
      <c r="D2541" t="str">
        <f t="shared" si="39"/>
        <v>CA-2015-137708_OFF-ST-10004634</v>
      </c>
      <c r="E2541" t="str">
        <f>IF(COUNTIF(data2!$D:$D,D2541)=0,"Missing in Data2","Present")</f>
        <v>Present</v>
      </c>
    </row>
    <row r="2542" spans="1:5" x14ac:dyDescent="0.25">
      <c r="A2542" s="2" t="s">
        <v>2642</v>
      </c>
      <c r="B2542" s="2" t="s">
        <v>1845</v>
      </c>
      <c r="C2542" s="2">
        <v>5</v>
      </c>
      <c r="D2542" t="str">
        <f t="shared" si="39"/>
        <v>CA-2015-137750_FUR-FU-10001979</v>
      </c>
      <c r="E2542" t="str">
        <f>IF(COUNTIF(data2!$D:$D,D2542)=0,"Missing in Data2","Present")</f>
        <v>Present</v>
      </c>
    </row>
    <row r="2543" spans="1:5" x14ac:dyDescent="0.25">
      <c r="A2543" s="2" t="s">
        <v>2643</v>
      </c>
      <c r="B2543" s="2" t="s">
        <v>2644</v>
      </c>
      <c r="C2543" s="2">
        <v>5</v>
      </c>
      <c r="D2543" t="str">
        <f t="shared" si="39"/>
        <v>CA-2015-137897_OFF-PA-10004041</v>
      </c>
      <c r="E2543" t="str">
        <f>IF(COUNTIF(data2!$D:$D,D2543)=0,"Missing in Data2","Present")</f>
        <v>Present</v>
      </c>
    </row>
    <row r="2544" spans="1:5" x14ac:dyDescent="0.25">
      <c r="A2544" s="2" t="s">
        <v>2643</v>
      </c>
      <c r="B2544" s="2" t="s">
        <v>261</v>
      </c>
      <c r="C2544" s="2">
        <v>2</v>
      </c>
      <c r="D2544" t="str">
        <f t="shared" si="39"/>
        <v>CA-2015-137897_TEC-AC-10001267</v>
      </c>
      <c r="E2544" t="str">
        <f>IF(COUNTIF(data2!$D:$D,D2544)=0,"Missing in Data2","Present")</f>
        <v>Present</v>
      </c>
    </row>
    <row r="2545" spans="1:5" x14ac:dyDescent="0.25">
      <c r="A2545" s="2" t="s">
        <v>2643</v>
      </c>
      <c r="B2545" s="2" t="s">
        <v>2645</v>
      </c>
      <c r="C2545" s="2">
        <v>2</v>
      </c>
      <c r="D2545" t="str">
        <f t="shared" si="39"/>
        <v>CA-2015-137897_TEC-AC-10002217</v>
      </c>
      <c r="E2545" t="str">
        <f>IF(COUNTIF(data2!$D:$D,D2545)=0,"Missing in Data2","Present")</f>
        <v>Missing in Data2</v>
      </c>
    </row>
    <row r="2546" spans="1:5" x14ac:dyDescent="0.25">
      <c r="A2546" s="2" t="s">
        <v>2646</v>
      </c>
      <c r="B2546" s="2" t="s">
        <v>1760</v>
      </c>
      <c r="C2546" s="2">
        <v>12</v>
      </c>
      <c r="D2546" t="str">
        <f t="shared" si="39"/>
        <v>CA-2015-137925_FUR-BO-10001608</v>
      </c>
      <c r="E2546" t="str">
        <f>IF(COUNTIF(data2!$D:$D,D2546)=0,"Missing in Data2","Present")</f>
        <v>Present</v>
      </c>
    </row>
    <row r="2547" spans="1:5" x14ac:dyDescent="0.25">
      <c r="A2547" s="2" t="s">
        <v>2647</v>
      </c>
      <c r="B2547" s="2" t="s">
        <v>2648</v>
      </c>
      <c r="C2547" s="2">
        <v>1</v>
      </c>
      <c r="D2547" t="str">
        <f t="shared" si="39"/>
        <v>CA-2015-137946_OFF-BI-10001922</v>
      </c>
      <c r="E2547" t="str">
        <f>IF(COUNTIF(data2!$D:$D,D2547)=0,"Missing in Data2","Present")</f>
        <v>Present</v>
      </c>
    </row>
    <row r="2548" spans="1:5" x14ac:dyDescent="0.25">
      <c r="A2548" s="2" t="s">
        <v>2647</v>
      </c>
      <c r="B2548" s="2" t="s">
        <v>70</v>
      </c>
      <c r="C2548" s="2">
        <v>4</v>
      </c>
      <c r="D2548" t="str">
        <f t="shared" si="39"/>
        <v>CA-2015-137946_OFF-BI-10004140</v>
      </c>
      <c r="E2548" t="str">
        <f>IF(COUNTIF(data2!$D:$D,D2548)=0,"Missing in Data2","Present")</f>
        <v>Present</v>
      </c>
    </row>
    <row r="2549" spans="1:5" x14ac:dyDescent="0.25">
      <c r="A2549" s="2" t="s">
        <v>2647</v>
      </c>
      <c r="B2549" s="2" t="s">
        <v>567</v>
      </c>
      <c r="C2549" s="2">
        <v>2</v>
      </c>
      <c r="D2549" t="str">
        <f t="shared" si="39"/>
        <v>CA-2015-137946_TEC-CO-10001449</v>
      </c>
      <c r="E2549" t="str">
        <f>IF(COUNTIF(data2!$D:$D,D2549)=0,"Missing in Data2","Present")</f>
        <v>Present</v>
      </c>
    </row>
    <row r="2550" spans="1:5" x14ac:dyDescent="0.25">
      <c r="A2550" s="2" t="s">
        <v>2649</v>
      </c>
      <c r="B2550" s="2" t="s">
        <v>1852</v>
      </c>
      <c r="C2550" s="2">
        <v>9</v>
      </c>
      <c r="D2550" t="str">
        <f t="shared" si="39"/>
        <v>CA-2015-137974_FUR-BO-10001519</v>
      </c>
      <c r="E2550" t="str">
        <f>IF(COUNTIF(data2!$D:$D,D2550)=0,"Missing in Data2","Present")</f>
        <v>Present</v>
      </c>
    </row>
    <row r="2551" spans="1:5" x14ac:dyDescent="0.25">
      <c r="A2551" s="2" t="s">
        <v>2649</v>
      </c>
      <c r="B2551" s="2" t="s">
        <v>494</v>
      </c>
      <c r="C2551" s="2">
        <v>7</v>
      </c>
      <c r="D2551" t="str">
        <f t="shared" si="39"/>
        <v>CA-2015-137974_FUR-FU-10001468</v>
      </c>
      <c r="E2551" t="str">
        <f>IF(COUNTIF(data2!$D:$D,D2551)=0,"Missing in Data2","Present")</f>
        <v>Present</v>
      </c>
    </row>
    <row r="2552" spans="1:5" x14ac:dyDescent="0.25">
      <c r="A2552" s="2" t="s">
        <v>2649</v>
      </c>
      <c r="B2552" s="2" t="s">
        <v>811</v>
      </c>
      <c r="C2552" s="2">
        <v>1</v>
      </c>
      <c r="D2552" t="str">
        <f t="shared" si="39"/>
        <v>CA-2015-137974_OFF-BI-10001036</v>
      </c>
      <c r="E2552" t="str">
        <f>IF(COUNTIF(data2!$D:$D,D2552)=0,"Missing in Data2","Present")</f>
        <v>Present</v>
      </c>
    </row>
    <row r="2553" spans="1:5" x14ac:dyDescent="0.25">
      <c r="A2553" s="2" t="s">
        <v>2649</v>
      </c>
      <c r="B2553" s="2" t="s">
        <v>547</v>
      </c>
      <c r="C2553" s="2">
        <v>2</v>
      </c>
      <c r="D2553" t="str">
        <f t="shared" si="39"/>
        <v>CA-2015-137974_TEC-PH-10002033</v>
      </c>
      <c r="E2553" t="str">
        <f>IF(COUNTIF(data2!$D:$D,D2553)=0,"Missing in Data2","Present")</f>
        <v>Present</v>
      </c>
    </row>
    <row r="2554" spans="1:5" x14ac:dyDescent="0.25">
      <c r="A2554" s="2" t="s">
        <v>2650</v>
      </c>
      <c r="B2554" s="2" t="s">
        <v>2651</v>
      </c>
      <c r="C2554" s="2">
        <v>3</v>
      </c>
      <c r="D2554" t="str">
        <f t="shared" si="39"/>
        <v>CA-2015-138002_FUR-FU-10004748</v>
      </c>
      <c r="E2554" t="str">
        <f>IF(COUNTIF(data2!$D:$D,D2554)=0,"Missing in Data2","Present")</f>
        <v>Present</v>
      </c>
    </row>
    <row r="2555" spans="1:5" x14ac:dyDescent="0.25">
      <c r="A2555" s="2" t="s">
        <v>2650</v>
      </c>
      <c r="B2555" s="2" t="s">
        <v>197</v>
      </c>
      <c r="C2555" s="2">
        <v>2</v>
      </c>
      <c r="D2555" t="str">
        <f t="shared" si="39"/>
        <v>CA-2015-138002_OFF-BI-10002160</v>
      </c>
      <c r="E2555" t="str">
        <f>IF(COUNTIF(data2!$D:$D,D2555)=0,"Missing in Data2","Present")</f>
        <v>Present</v>
      </c>
    </row>
    <row r="2556" spans="1:5" x14ac:dyDescent="0.25">
      <c r="A2556" s="2" t="s">
        <v>2652</v>
      </c>
      <c r="B2556" s="2" t="s">
        <v>1894</v>
      </c>
      <c r="C2556" s="2">
        <v>2</v>
      </c>
      <c r="D2556" t="str">
        <f t="shared" si="39"/>
        <v>CA-2015-138009_FUR-CH-10004853</v>
      </c>
      <c r="E2556" t="str">
        <f>IF(COUNTIF(data2!$D:$D,D2556)=0,"Missing in Data2","Present")</f>
        <v>Present</v>
      </c>
    </row>
    <row r="2557" spans="1:5" x14ac:dyDescent="0.25">
      <c r="A2557" s="2" t="s">
        <v>2652</v>
      </c>
      <c r="B2557" s="2" t="s">
        <v>1867</v>
      </c>
      <c r="C2557" s="2">
        <v>5</v>
      </c>
      <c r="D2557" t="str">
        <f t="shared" si="39"/>
        <v>CA-2015-138009_OFF-AP-10000179</v>
      </c>
      <c r="E2557" t="str">
        <f>IF(COUNTIF(data2!$D:$D,D2557)=0,"Missing in Data2","Present")</f>
        <v>Present</v>
      </c>
    </row>
    <row r="2558" spans="1:5" x14ac:dyDescent="0.25">
      <c r="A2558" s="2" t="s">
        <v>2652</v>
      </c>
      <c r="B2558" s="2" t="s">
        <v>839</v>
      </c>
      <c r="C2558" s="2">
        <v>9</v>
      </c>
      <c r="D2558" t="str">
        <f t="shared" si="39"/>
        <v>CA-2015-138009_OFF-AR-10004042</v>
      </c>
      <c r="E2558" t="str">
        <f>IF(COUNTIF(data2!$D:$D,D2558)=0,"Missing in Data2","Present")</f>
        <v>Present</v>
      </c>
    </row>
    <row r="2559" spans="1:5" x14ac:dyDescent="0.25">
      <c r="A2559" s="2" t="s">
        <v>2652</v>
      </c>
      <c r="B2559" s="2" t="s">
        <v>2653</v>
      </c>
      <c r="C2559" s="2">
        <v>4</v>
      </c>
      <c r="D2559" t="str">
        <f t="shared" si="39"/>
        <v>CA-2015-138009_OFF-ST-10001272</v>
      </c>
      <c r="E2559" t="str">
        <f>IF(COUNTIF(data2!$D:$D,D2559)=0,"Missing in Data2","Present")</f>
        <v>Present</v>
      </c>
    </row>
    <row r="2560" spans="1:5" x14ac:dyDescent="0.25">
      <c r="A2560" s="2" t="s">
        <v>2654</v>
      </c>
      <c r="B2560" s="2" t="s">
        <v>2655</v>
      </c>
      <c r="C2560" s="2">
        <v>4</v>
      </c>
      <c r="D2560" t="str">
        <f t="shared" si="39"/>
        <v>CA-2015-138219_OFF-PA-10000380</v>
      </c>
      <c r="E2560" t="str">
        <f>IF(COUNTIF(data2!$D:$D,D2560)=0,"Missing in Data2","Present")</f>
        <v>Present</v>
      </c>
    </row>
    <row r="2561" spans="1:5" x14ac:dyDescent="0.25">
      <c r="A2561" s="2" t="s">
        <v>2656</v>
      </c>
      <c r="B2561" s="2" t="s">
        <v>744</v>
      </c>
      <c r="C2561" s="2">
        <v>10</v>
      </c>
      <c r="D2561" t="str">
        <f t="shared" si="39"/>
        <v>CA-2015-138331_OFF-AR-10002952</v>
      </c>
      <c r="E2561" t="str">
        <f>IF(COUNTIF(data2!$D:$D,D2561)=0,"Missing in Data2","Present")</f>
        <v>Present</v>
      </c>
    </row>
    <row r="2562" spans="1:5" x14ac:dyDescent="0.25">
      <c r="A2562" s="2" t="s">
        <v>2657</v>
      </c>
      <c r="B2562" s="2" t="s">
        <v>2658</v>
      </c>
      <c r="C2562" s="2">
        <v>4</v>
      </c>
      <c r="D2562" t="str">
        <f t="shared" si="39"/>
        <v>CA-2015-138457_OFF-BI-10000014</v>
      </c>
      <c r="E2562" t="str">
        <f>IF(COUNTIF(data2!$D:$D,D2562)=0,"Missing in Data2","Present")</f>
        <v>Present</v>
      </c>
    </row>
    <row r="2563" spans="1:5" x14ac:dyDescent="0.25">
      <c r="A2563" s="2" t="s">
        <v>2659</v>
      </c>
      <c r="B2563" s="2" t="s">
        <v>1817</v>
      </c>
      <c r="C2563" s="2">
        <v>9</v>
      </c>
      <c r="D2563" t="str">
        <f t="shared" ref="D2563:D2626" si="40">A2563&amp;"_"&amp;B2563</f>
        <v>CA-2015-138485_TEC-AC-10002076</v>
      </c>
      <c r="E2563" t="str">
        <f>IF(COUNTIF(data2!$D:$D,D2563)=0,"Missing in Data2","Present")</f>
        <v>Present</v>
      </c>
    </row>
    <row r="2564" spans="1:5" x14ac:dyDescent="0.25">
      <c r="A2564" s="2" t="s">
        <v>2660</v>
      </c>
      <c r="B2564" s="2" t="s">
        <v>1268</v>
      </c>
      <c r="C2564" s="2">
        <v>2</v>
      </c>
      <c r="D2564" t="str">
        <f t="shared" si="40"/>
        <v>CA-2015-138492_OFF-ST-10002583</v>
      </c>
      <c r="E2564" t="str">
        <f>IF(COUNTIF(data2!$D:$D,D2564)=0,"Missing in Data2","Present")</f>
        <v>Present</v>
      </c>
    </row>
    <row r="2565" spans="1:5" x14ac:dyDescent="0.25">
      <c r="A2565" s="2" t="s">
        <v>2661</v>
      </c>
      <c r="B2565" s="2" t="s">
        <v>635</v>
      </c>
      <c r="C2565" s="2">
        <v>2</v>
      </c>
      <c r="D2565" t="str">
        <f t="shared" si="40"/>
        <v>CA-2015-138534_FUR-BO-10003159</v>
      </c>
      <c r="E2565" t="str">
        <f>IF(COUNTIF(data2!$D:$D,D2565)=0,"Missing in Data2","Present")</f>
        <v>Present</v>
      </c>
    </row>
    <row r="2566" spans="1:5" x14ac:dyDescent="0.25">
      <c r="A2566" s="2" t="s">
        <v>2662</v>
      </c>
      <c r="B2566" s="2" t="s">
        <v>2663</v>
      </c>
      <c r="C2566" s="2">
        <v>4</v>
      </c>
      <c r="D2566" t="str">
        <f t="shared" si="40"/>
        <v>CA-2015-138625_OFF-AP-10003099</v>
      </c>
      <c r="E2566" t="str">
        <f>IF(COUNTIF(data2!$D:$D,D2566)=0,"Missing in Data2","Present")</f>
        <v>Present</v>
      </c>
    </row>
    <row r="2567" spans="1:5" x14ac:dyDescent="0.25">
      <c r="A2567" s="2" t="s">
        <v>2664</v>
      </c>
      <c r="B2567" s="2" t="s">
        <v>552</v>
      </c>
      <c r="C2567" s="2">
        <v>5</v>
      </c>
      <c r="D2567" t="str">
        <f t="shared" si="40"/>
        <v>CA-2015-138674_OFF-FA-10000304</v>
      </c>
      <c r="E2567" t="str">
        <f>IF(COUNTIF(data2!$D:$D,D2567)=0,"Missing in Data2","Present")</f>
        <v>Present</v>
      </c>
    </row>
    <row r="2568" spans="1:5" x14ac:dyDescent="0.25">
      <c r="A2568" s="2" t="s">
        <v>2664</v>
      </c>
      <c r="B2568" s="2" t="s">
        <v>2665</v>
      </c>
      <c r="C2568" s="2">
        <v>3</v>
      </c>
      <c r="D2568" t="str">
        <f t="shared" si="40"/>
        <v>CA-2015-138674_TEC-AC-10000358</v>
      </c>
      <c r="E2568" t="str">
        <f>IF(COUNTIF(data2!$D:$D,D2568)=0,"Missing in Data2","Present")</f>
        <v>Present</v>
      </c>
    </row>
    <row r="2569" spans="1:5" x14ac:dyDescent="0.25">
      <c r="A2569" s="2" t="s">
        <v>2664</v>
      </c>
      <c r="B2569" s="2" t="s">
        <v>507</v>
      </c>
      <c r="C2569" s="2">
        <v>4</v>
      </c>
      <c r="D2569" t="str">
        <f t="shared" si="40"/>
        <v>CA-2015-138674_TEC-AC-10002800</v>
      </c>
      <c r="E2569" t="str">
        <f>IF(COUNTIF(data2!$D:$D,D2569)=0,"Missing in Data2","Present")</f>
        <v>Present</v>
      </c>
    </row>
    <row r="2570" spans="1:5" x14ac:dyDescent="0.25">
      <c r="A2570" s="2" t="s">
        <v>2666</v>
      </c>
      <c r="B2570" s="2" t="s">
        <v>2088</v>
      </c>
      <c r="C2570" s="2">
        <v>13</v>
      </c>
      <c r="D2570" t="str">
        <f t="shared" si="40"/>
        <v>CA-2015-138898_OFF-AP-10004487</v>
      </c>
      <c r="E2570" t="str">
        <f>IF(COUNTIF(data2!$D:$D,D2570)=0,"Missing in Data2","Present")</f>
        <v>Present</v>
      </c>
    </row>
    <row r="2571" spans="1:5" x14ac:dyDescent="0.25">
      <c r="A2571" s="2" t="s">
        <v>2667</v>
      </c>
      <c r="B2571" s="2" t="s">
        <v>1034</v>
      </c>
      <c r="C2571" s="2">
        <v>6</v>
      </c>
      <c r="D2571" t="str">
        <f t="shared" si="40"/>
        <v>CA-2015-138954_OFF-AR-10001955</v>
      </c>
      <c r="E2571" t="str">
        <f>IF(COUNTIF(data2!$D:$D,D2571)=0,"Missing in Data2","Present")</f>
        <v>Present</v>
      </c>
    </row>
    <row r="2572" spans="1:5" x14ac:dyDescent="0.25">
      <c r="A2572" s="2" t="s">
        <v>2667</v>
      </c>
      <c r="B2572" s="2" t="s">
        <v>2668</v>
      </c>
      <c r="C2572" s="2">
        <v>6</v>
      </c>
      <c r="D2572" t="str">
        <f t="shared" si="40"/>
        <v>CA-2015-138954_OFF-BI-10003963</v>
      </c>
      <c r="E2572" t="str">
        <f>IF(COUNTIF(data2!$D:$D,D2572)=0,"Missing in Data2","Present")</f>
        <v>Missing in Data2</v>
      </c>
    </row>
    <row r="2573" spans="1:5" x14ac:dyDescent="0.25">
      <c r="A2573" s="2" t="s">
        <v>2667</v>
      </c>
      <c r="B2573" s="2" t="s">
        <v>599</v>
      </c>
      <c r="C2573" s="2">
        <v>3</v>
      </c>
      <c r="D2573" t="str">
        <f t="shared" si="40"/>
        <v>CA-2015-138954_OFF-ST-10003058</v>
      </c>
      <c r="E2573" t="str">
        <f>IF(COUNTIF(data2!$D:$D,D2573)=0,"Missing in Data2","Present")</f>
        <v>Present</v>
      </c>
    </row>
    <row r="2574" spans="1:5" x14ac:dyDescent="0.25">
      <c r="A2574" s="2" t="s">
        <v>2669</v>
      </c>
      <c r="B2574" s="2" t="s">
        <v>37</v>
      </c>
      <c r="C2574" s="2">
        <v>2</v>
      </c>
      <c r="D2574" t="str">
        <f t="shared" si="40"/>
        <v>CA-2015-139094_FUR-TA-10004607</v>
      </c>
      <c r="E2574" t="str">
        <f>IF(COUNTIF(data2!$D:$D,D2574)=0,"Missing in Data2","Present")</f>
        <v>Present</v>
      </c>
    </row>
    <row r="2575" spans="1:5" x14ac:dyDescent="0.25">
      <c r="A2575" s="2" t="s">
        <v>2670</v>
      </c>
      <c r="B2575" s="2" t="s">
        <v>1395</v>
      </c>
      <c r="C2575" s="2">
        <v>3</v>
      </c>
      <c r="D2575" t="str">
        <f t="shared" si="40"/>
        <v>CA-2015-139164_OFF-FA-10003059</v>
      </c>
      <c r="E2575" t="str">
        <f>IF(COUNTIF(data2!$D:$D,D2575)=0,"Missing in Data2","Present")</f>
        <v>Present</v>
      </c>
    </row>
    <row r="2576" spans="1:5" x14ac:dyDescent="0.25">
      <c r="A2576" s="2" t="s">
        <v>2670</v>
      </c>
      <c r="B2576" s="2" t="s">
        <v>200</v>
      </c>
      <c r="C2576" s="2">
        <v>2</v>
      </c>
      <c r="D2576" t="str">
        <f t="shared" si="40"/>
        <v>CA-2015-139164_TEC-PH-10002468</v>
      </c>
      <c r="E2576" t="str">
        <f>IF(COUNTIF(data2!$D:$D,D2576)=0,"Missing in Data2","Present")</f>
        <v>Present</v>
      </c>
    </row>
    <row r="2577" spans="1:5" x14ac:dyDescent="0.25">
      <c r="A2577" s="2" t="s">
        <v>2670</v>
      </c>
      <c r="B2577" s="2" t="s">
        <v>1192</v>
      </c>
      <c r="C2577" s="2">
        <v>3</v>
      </c>
      <c r="D2577" t="str">
        <f t="shared" si="40"/>
        <v>CA-2015-139164_TEC-PH-10003931</v>
      </c>
      <c r="E2577" t="str">
        <f>IF(COUNTIF(data2!$D:$D,D2577)=0,"Missing in Data2","Present")</f>
        <v>Missing in Data2</v>
      </c>
    </row>
    <row r="2578" spans="1:5" x14ac:dyDescent="0.25">
      <c r="A2578" s="2" t="s">
        <v>2671</v>
      </c>
      <c r="B2578" s="2" t="s">
        <v>2421</v>
      </c>
      <c r="C2578" s="2">
        <v>5</v>
      </c>
      <c r="D2578" t="str">
        <f t="shared" si="40"/>
        <v>CA-2015-139248_TEC-PH-10004094</v>
      </c>
      <c r="E2578" t="str">
        <f>IF(COUNTIF(data2!$D:$D,D2578)=0,"Missing in Data2","Present")</f>
        <v>Present</v>
      </c>
    </row>
    <row r="2579" spans="1:5" x14ac:dyDescent="0.25">
      <c r="A2579" s="2" t="s">
        <v>2672</v>
      </c>
      <c r="B2579" s="2" t="s">
        <v>2673</v>
      </c>
      <c r="C2579" s="2">
        <v>2</v>
      </c>
      <c r="D2579" t="str">
        <f t="shared" si="40"/>
        <v>CA-2015-139290_OFF-LA-10004008</v>
      </c>
      <c r="E2579" t="str">
        <f>IF(COUNTIF(data2!$D:$D,D2579)=0,"Missing in Data2","Present")</f>
        <v>Missing in Data2</v>
      </c>
    </row>
    <row r="2580" spans="1:5" x14ac:dyDescent="0.25">
      <c r="A2580" s="2" t="s">
        <v>2674</v>
      </c>
      <c r="B2580" s="2" t="s">
        <v>1296</v>
      </c>
      <c r="C2580" s="2">
        <v>1</v>
      </c>
      <c r="D2580" t="str">
        <f t="shared" si="40"/>
        <v>CA-2015-139374_FUR-CH-10003981</v>
      </c>
      <c r="E2580" t="str">
        <f>IF(COUNTIF(data2!$D:$D,D2580)=0,"Missing in Data2","Present")</f>
        <v>Present</v>
      </c>
    </row>
    <row r="2581" spans="1:5" x14ac:dyDescent="0.25">
      <c r="A2581" s="2" t="s">
        <v>2675</v>
      </c>
      <c r="B2581" s="2" t="s">
        <v>544</v>
      </c>
      <c r="C2581" s="2">
        <v>2</v>
      </c>
      <c r="D2581" t="str">
        <f t="shared" si="40"/>
        <v>CA-2015-139584_FUR-TA-10001539</v>
      </c>
      <c r="E2581" t="str">
        <f>IF(COUNTIF(data2!$D:$D,D2581)=0,"Missing in Data2","Present")</f>
        <v>Present</v>
      </c>
    </row>
    <row r="2582" spans="1:5" x14ac:dyDescent="0.25">
      <c r="A2582" s="2" t="s">
        <v>2675</v>
      </c>
      <c r="B2582" s="2" t="s">
        <v>1097</v>
      </c>
      <c r="C2582" s="2">
        <v>2</v>
      </c>
      <c r="D2582" t="str">
        <f t="shared" si="40"/>
        <v>CA-2015-139584_TEC-AC-10001266</v>
      </c>
      <c r="E2582" t="str">
        <f>IF(COUNTIF(data2!$D:$D,D2582)=0,"Missing in Data2","Present")</f>
        <v>Present</v>
      </c>
    </row>
    <row r="2583" spans="1:5" x14ac:dyDescent="0.25">
      <c r="A2583" s="2" t="s">
        <v>2676</v>
      </c>
      <c r="B2583" s="2" t="s">
        <v>561</v>
      </c>
      <c r="C2583" s="2">
        <v>5</v>
      </c>
      <c r="D2583" t="str">
        <f t="shared" si="40"/>
        <v>CA-2015-139731_FUR-CH-10002024</v>
      </c>
      <c r="E2583" t="str">
        <f>IF(COUNTIF(data2!$D:$D,D2583)=0,"Missing in Data2","Present")</f>
        <v>Present</v>
      </c>
    </row>
    <row r="2584" spans="1:5" x14ac:dyDescent="0.25">
      <c r="A2584" s="2" t="s">
        <v>2676</v>
      </c>
      <c r="B2584" s="2" t="s">
        <v>2677</v>
      </c>
      <c r="C2584" s="2">
        <v>3</v>
      </c>
      <c r="D2584" t="str">
        <f t="shared" si="40"/>
        <v>CA-2015-139731_TEC-AC-10004975</v>
      </c>
      <c r="E2584" t="str">
        <f>IF(COUNTIF(data2!$D:$D,D2584)=0,"Missing in Data2","Present")</f>
        <v>Present</v>
      </c>
    </row>
    <row r="2585" spans="1:5" x14ac:dyDescent="0.25">
      <c r="A2585" s="2" t="s">
        <v>2678</v>
      </c>
      <c r="B2585" s="2" t="s">
        <v>1422</v>
      </c>
      <c r="C2585" s="2">
        <v>7</v>
      </c>
      <c r="D2585" t="str">
        <f t="shared" si="40"/>
        <v>CA-2015-139738_OFF-AR-10004602</v>
      </c>
      <c r="E2585" t="str">
        <f>IF(COUNTIF(data2!$D:$D,D2585)=0,"Missing in Data2","Present")</f>
        <v>Present</v>
      </c>
    </row>
    <row r="2586" spans="1:5" x14ac:dyDescent="0.25">
      <c r="A2586" s="2" t="s">
        <v>2679</v>
      </c>
      <c r="B2586" s="2" t="s">
        <v>2680</v>
      </c>
      <c r="C2586" s="2">
        <v>8</v>
      </c>
      <c r="D2586" t="str">
        <f t="shared" si="40"/>
        <v>CA-2015-139780_OFF-BI-10004139</v>
      </c>
      <c r="E2586" t="str">
        <f>IF(COUNTIF(data2!$D:$D,D2586)=0,"Missing in Data2","Present")</f>
        <v>Present</v>
      </c>
    </row>
    <row r="2587" spans="1:5" x14ac:dyDescent="0.25">
      <c r="A2587" s="2" t="s">
        <v>2681</v>
      </c>
      <c r="B2587" s="2" t="s">
        <v>991</v>
      </c>
      <c r="C2587" s="2">
        <v>2</v>
      </c>
      <c r="D2587" t="str">
        <f t="shared" si="40"/>
        <v>CA-2015-139850_FUR-FU-10003623</v>
      </c>
      <c r="E2587" t="str">
        <f>IF(COUNTIF(data2!$D:$D,D2587)=0,"Missing in Data2","Present")</f>
        <v>Present</v>
      </c>
    </row>
    <row r="2588" spans="1:5" x14ac:dyDescent="0.25">
      <c r="A2588" s="2" t="s">
        <v>2681</v>
      </c>
      <c r="B2588" s="2" t="s">
        <v>2011</v>
      </c>
      <c r="C2588" s="2">
        <v>4</v>
      </c>
      <c r="D2588" t="str">
        <f t="shared" si="40"/>
        <v>CA-2015-139850_OFF-PA-10003848</v>
      </c>
      <c r="E2588" t="str">
        <f>IF(COUNTIF(data2!$D:$D,D2588)=0,"Missing in Data2","Present")</f>
        <v>Present</v>
      </c>
    </row>
    <row r="2589" spans="1:5" x14ac:dyDescent="0.25">
      <c r="A2589" s="2" t="s">
        <v>2682</v>
      </c>
      <c r="B2589" s="2" t="s">
        <v>1709</v>
      </c>
      <c r="C2589" s="2">
        <v>2</v>
      </c>
      <c r="D2589" t="str">
        <f t="shared" si="40"/>
        <v>CA-2015-139962_OFF-BI-10004738</v>
      </c>
      <c r="E2589" t="str">
        <f>IF(COUNTIF(data2!$D:$D,D2589)=0,"Missing in Data2","Present")</f>
        <v>Present</v>
      </c>
    </row>
    <row r="2590" spans="1:5" x14ac:dyDescent="0.25">
      <c r="A2590" s="2" t="s">
        <v>2682</v>
      </c>
      <c r="B2590" s="2" t="s">
        <v>2683</v>
      </c>
      <c r="C2590" s="2">
        <v>3</v>
      </c>
      <c r="D2590" t="str">
        <f t="shared" si="40"/>
        <v>CA-2015-139962_OFF-PA-10004451</v>
      </c>
      <c r="E2590" t="str">
        <f>IF(COUNTIF(data2!$D:$D,D2590)=0,"Missing in Data2","Present")</f>
        <v>Present</v>
      </c>
    </row>
    <row r="2591" spans="1:5" x14ac:dyDescent="0.25">
      <c r="A2591" s="2" t="s">
        <v>2684</v>
      </c>
      <c r="B2591" s="2" t="s">
        <v>1233</v>
      </c>
      <c r="C2591" s="2">
        <v>8</v>
      </c>
      <c r="D2591" t="str">
        <f t="shared" si="40"/>
        <v>CA-2015-140025_OFF-AP-10002651</v>
      </c>
      <c r="E2591" t="str">
        <f>IF(COUNTIF(data2!$D:$D,D2591)=0,"Missing in Data2","Present")</f>
        <v>Present</v>
      </c>
    </row>
    <row r="2592" spans="1:5" x14ac:dyDescent="0.25">
      <c r="A2592" s="2" t="s">
        <v>2684</v>
      </c>
      <c r="B2592" s="2" t="s">
        <v>1862</v>
      </c>
      <c r="C2592" s="2">
        <v>6</v>
      </c>
      <c r="D2592" t="str">
        <f t="shared" si="40"/>
        <v>CA-2015-140025_TEC-AC-10002402</v>
      </c>
      <c r="E2592" t="str">
        <f>IF(COUNTIF(data2!$D:$D,D2592)=0,"Missing in Data2","Present")</f>
        <v>Present</v>
      </c>
    </row>
    <row r="2593" spans="1:5" x14ac:dyDescent="0.25">
      <c r="A2593" s="2" t="s">
        <v>2685</v>
      </c>
      <c r="B2593" s="2" t="s">
        <v>491</v>
      </c>
      <c r="C2593" s="2">
        <v>6</v>
      </c>
      <c r="D2593" t="str">
        <f t="shared" si="40"/>
        <v>CA-2015-140144_FUR-FU-10002253</v>
      </c>
      <c r="E2593" t="str">
        <f>IF(COUNTIF(data2!$D:$D,D2593)=0,"Missing in Data2","Present")</f>
        <v>Present</v>
      </c>
    </row>
    <row r="2594" spans="1:5" x14ac:dyDescent="0.25">
      <c r="A2594" s="2" t="s">
        <v>2685</v>
      </c>
      <c r="B2594" s="2" t="s">
        <v>244</v>
      </c>
      <c r="C2594" s="2">
        <v>3</v>
      </c>
      <c r="D2594" t="str">
        <f t="shared" si="40"/>
        <v>CA-2015-140144_TEC-PH-10002726</v>
      </c>
      <c r="E2594" t="str">
        <f>IF(COUNTIF(data2!$D:$D,D2594)=0,"Missing in Data2","Present")</f>
        <v>Present</v>
      </c>
    </row>
    <row r="2595" spans="1:5" x14ac:dyDescent="0.25">
      <c r="A2595" s="2" t="s">
        <v>2686</v>
      </c>
      <c r="B2595" s="2" t="s">
        <v>2407</v>
      </c>
      <c r="C2595" s="2">
        <v>5</v>
      </c>
      <c r="D2595" t="str">
        <f t="shared" si="40"/>
        <v>CA-2015-140221_OFF-AP-10000828</v>
      </c>
      <c r="E2595" t="str">
        <f>IF(COUNTIF(data2!$D:$D,D2595)=0,"Missing in Data2","Present")</f>
        <v>Missing in Data2</v>
      </c>
    </row>
    <row r="2596" spans="1:5" x14ac:dyDescent="0.25">
      <c r="A2596" s="2" t="s">
        <v>2686</v>
      </c>
      <c r="B2596" s="2" t="s">
        <v>337</v>
      </c>
      <c r="C2596" s="2">
        <v>2</v>
      </c>
      <c r="D2596" t="str">
        <f t="shared" si="40"/>
        <v>CA-2015-140221_OFF-BI-10002854</v>
      </c>
      <c r="E2596" t="str">
        <f>IF(COUNTIF(data2!$D:$D,D2596)=0,"Missing in Data2","Present")</f>
        <v>Present</v>
      </c>
    </row>
    <row r="2597" spans="1:5" x14ac:dyDescent="0.25">
      <c r="A2597" s="2" t="s">
        <v>2687</v>
      </c>
      <c r="B2597" s="2" t="s">
        <v>152</v>
      </c>
      <c r="C2597" s="2">
        <v>1</v>
      </c>
      <c r="D2597" t="str">
        <f t="shared" si="40"/>
        <v>CA-2015-140375_OFF-BI-10000320</v>
      </c>
      <c r="E2597" t="str">
        <f>IF(COUNTIF(data2!$D:$D,D2597)=0,"Missing in Data2","Present")</f>
        <v>Present</v>
      </c>
    </row>
    <row r="2598" spans="1:5" x14ac:dyDescent="0.25">
      <c r="A2598" s="2" t="s">
        <v>2687</v>
      </c>
      <c r="B2598" s="2" t="s">
        <v>2631</v>
      </c>
      <c r="C2598" s="2">
        <v>3</v>
      </c>
      <c r="D2598" t="str">
        <f t="shared" si="40"/>
        <v>CA-2015-140375_OFF-PA-10001870</v>
      </c>
      <c r="E2598" t="str">
        <f>IF(COUNTIF(data2!$D:$D,D2598)=0,"Missing in Data2","Present")</f>
        <v>Present</v>
      </c>
    </row>
    <row r="2599" spans="1:5" x14ac:dyDescent="0.25">
      <c r="A2599" s="2" t="s">
        <v>2688</v>
      </c>
      <c r="B2599" s="2" t="s">
        <v>2689</v>
      </c>
      <c r="C2599" s="2">
        <v>3</v>
      </c>
      <c r="D2599" t="str">
        <f t="shared" si="40"/>
        <v>CA-2015-140410_FUR-FU-10003347</v>
      </c>
      <c r="E2599" t="str">
        <f>IF(COUNTIF(data2!$D:$D,D2599)=0,"Missing in Data2","Present")</f>
        <v>Present</v>
      </c>
    </row>
    <row r="2600" spans="1:5" x14ac:dyDescent="0.25">
      <c r="A2600" s="2" t="s">
        <v>2688</v>
      </c>
      <c r="B2600" s="2" t="s">
        <v>2690</v>
      </c>
      <c r="C2600" s="2">
        <v>3</v>
      </c>
      <c r="D2600" t="str">
        <f t="shared" si="40"/>
        <v>CA-2015-140410_TEC-AC-10001109</v>
      </c>
      <c r="E2600" t="str">
        <f>IF(COUNTIF(data2!$D:$D,D2600)=0,"Missing in Data2","Present")</f>
        <v>Missing in Data2</v>
      </c>
    </row>
    <row r="2601" spans="1:5" x14ac:dyDescent="0.25">
      <c r="A2601" s="2" t="s">
        <v>2688</v>
      </c>
      <c r="B2601" s="2" t="s">
        <v>2691</v>
      </c>
      <c r="C2601" s="2">
        <v>7</v>
      </c>
      <c r="D2601" t="str">
        <f t="shared" si="40"/>
        <v>CA-2015-140410_TEC-PH-10003580</v>
      </c>
      <c r="E2601" t="str">
        <f>IF(COUNTIF(data2!$D:$D,D2601)=0,"Missing in Data2","Present")</f>
        <v>Present</v>
      </c>
    </row>
    <row r="2602" spans="1:5" x14ac:dyDescent="0.25">
      <c r="A2602" s="2" t="s">
        <v>2692</v>
      </c>
      <c r="B2602" s="2" t="s">
        <v>1862</v>
      </c>
      <c r="C2602" s="2">
        <v>7</v>
      </c>
      <c r="D2602" t="str">
        <f t="shared" si="40"/>
        <v>CA-2015-140557_TEC-AC-10002402</v>
      </c>
      <c r="E2602" t="str">
        <f>IF(COUNTIF(data2!$D:$D,D2602)=0,"Missing in Data2","Present")</f>
        <v>Present</v>
      </c>
    </row>
    <row r="2603" spans="1:5" x14ac:dyDescent="0.25">
      <c r="A2603" s="2" t="s">
        <v>2693</v>
      </c>
      <c r="B2603" s="2" t="s">
        <v>1680</v>
      </c>
      <c r="C2603" s="2">
        <v>2</v>
      </c>
      <c r="D2603" t="str">
        <f t="shared" si="40"/>
        <v>CA-2015-140718_OFF-BI-10004728</v>
      </c>
      <c r="E2603" t="str">
        <f>IF(COUNTIF(data2!$D:$D,D2603)=0,"Missing in Data2","Present")</f>
        <v>Present</v>
      </c>
    </row>
    <row r="2604" spans="1:5" x14ac:dyDescent="0.25">
      <c r="A2604" s="2" t="s">
        <v>2693</v>
      </c>
      <c r="B2604" s="2" t="s">
        <v>2694</v>
      </c>
      <c r="C2604" s="2">
        <v>2</v>
      </c>
      <c r="D2604" t="str">
        <f t="shared" si="40"/>
        <v>CA-2015-140718_OFF-PA-10002250</v>
      </c>
      <c r="E2604" t="str">
        <f>IF(COUNTIF(data2!$D:$D,D2604)=0,"Missing in Data2","Present")</f>
        <v>Present</v>
      </c>
    </row>
    <row r="2605" spans="1:5" x14ac:dyDescent="0.25">
      <c r="A2605" s="2" t="s">
        <v>2693</v>
      </c>
      <c r="B2605" s="2" t="s">
        <v>139</v>
      </c>
      <c r="C2605" s="2">
        <v>1</v>
      </c>
      <c r="D2605" t="str">
        <f t="shared" si="40"/>
        <v>CA-2015-140718_TEC-PH-10003505</v>
      </c>
      <c r="E2605" t="str">
        <f>IF(COUNTIF(data2!$D:$D,D2605)=0,"Missing in Data2","Present")</f>
        <v>Present</v>
      </c>
    </row>
    <row r="2606" spans="1:5" x14ac:dyDescent="0.25">
      <c r="A2606" s="2" t="s">
        <v>2695</v>
      </c>
      <c r="B2606" s="2" t="s">
        <v>1855</v>
      </c>
      <c r="C2606" s="2">
        <v>2</v>
      </c>
      <c r="D2606" t="str">
        <f t="shared" si="40"/>
        <v>CA-2015-140830_OFF-EN-10000461</v>
      </c>
      <c r="E2606" t="str">
        <f>IF(COUNTIF(data2!$D:$D,D2606)=0,"Missing in Data2","Present")</f>
        <v>Present</v>
      </c>
    </row>
    <row r="2607" spans="1:5" x14ac:dyDescent="0.25">
      <c r="A2607" s="2" t="s">
        <v>2696</v>
      </c>
      <c r="B2607" s="2" t="s">
        <v>1225</v>
      </c>
      <c r="C2607" s="2">
        <v>9</v>
      </c>
      <c r="D2607" t="str">
        <f t="shared" si="40"/>
        <v>CA-2015-140984_OFF-BI-10002012</v>
      </c>
      <c r="E2607" t="str">
        <f>IF(COUNTIF(data2!$D:$D,D2607)=0,"Missing in Data2","Present")</f>
        <v>Present</v>
      </c>
    </row>
    <row r="2608" spans="1:5" x14ac:dyDescent="0.25">
      <c r="A2608" s="2" t="s">
        <v>2696</v>
      </c>
      <c r="B2608" s="2" t="s">
        <v>254</v>
      </c>
      <c r="C2608" s="2">
        <v>6</v>
      </c>
      <c r="D2608" t="str">
        <f t="shared" si="40"/>
        <v>CA-2015-140984_OFF-ST-10000585</v>
      </c>
      <c r="E2608" t="str">
        <f>IF(COUNTIF(data2!$D:$D,D2608)=0,"Missing in Data2","Present")</f>
        <v>Present</v>
      </c>
    </row>
    <row r="2609" spans="1:5" x14ac:dyDescent="0.25">
      <c r="A2609" s="2" t="s">
        <v>2696</v>
      </c>
      <c r="B2609" s="2" t="s">
        <v>759</v>
      </c>
      <c r="C2609" s="2">
        <v>2</v>
      </c>
      <c r="D2609" t="str">
        <f t="shared" si="40"/>
        <v>CA-2015-140984_TEC-CO-10001571</v>
      </c>
      <c r="E2609" t="str">
        <f>IF(COUNTIF(data2!$D:$D,D2609)=0,"Missing in Data2","Present")</f>
        <v>Present</v>
      </c>
    </row>
    <row r="2610" spans="1:5" x14ac:dyDescent="0.25">
      <c r="A2610" s="2" t="s">
        <v>2697</v>
      </c>
      <c r="B2610" s="2" t="s">
        <v>125</v>
      </c>
      <c r="C2610" s="2">
        <v>4</v>
      </c>
      <c r="D2610" t="str">
        <f t="shared" si="40"/>
        <v>CA-2015-141012_FUR-FU-10003192</v>
      </c>
      <c r="E2610" t="str">
        <f>IF(COUNTIF(data2!$D:$D,D2610)=0,"Missing in Data2","Present")</f>
        <v>Present</v>
      </c>
    </row>
    <row r="2611" spans="1:5" x14ac:dyDescent="0.25">
      <c r="A2611" s="2" t="s">
        <v>2697</v>
      </c>
      <c r="B2611" s="2" t="s">
        <v>2698</v>
      </c>
      <c r="C2611" s="2">
        <v>3</v>
      </c>
      <c r="D2611" t="str">
        <f t="shared" si="40"/>
        <v>CA-2015-141012_TEC-PH-10004522</v>
      </c>
      <c r="E2611" t="str">
        <f>IF(COUNTIF(data2!$D:$D,D2611)=0,"Missing in Data2","Present")</f>
        <v>Present</v>
      </c>
    </row>
    <row r="2612" spans="1:5" x14ac:dyDescent="0.25">
      <c r="A2612" s="2" t="s">
        <v>2699</v>
      </c>
      <c r="B2612" s="2" t="s">
        <v>1094</v>
      </c>
      <c r="C2612" s="2">
        <v>4</v>
      </c>
      <c r="D2612" t="str">
        <f t="shared" si="40"/>
        <v>CA-2015-141040_OFF-PA-10002245</v>
      </c>
      <c r="E2612" t="str">
        <f>IF(COUNTIF(data2!$D:$D,D2612)=0,"Missing in Data2","Present")</f>
        <v>Present</v>
      </c>
    </row>
    <row r="2613" spans="1:5" x14ac:dyDescent="0.25">
      <c r="A2613" s="2" t="s">
        <v>2699</v>
      </c>
      <c r="B2613" s="2" t="s">
        <v>1169</v>
      </c>
      <c r="C2613" s="2">
        <v>4</v>
      </c>
      <c r="D2613" t="str">
        <f t="shared" si="40"/>
        <v>CA-2015-141040_TEC-PH-10001835</v>
      </c>
      <c r="E2613" t="str">
        <f>IF(COUNTIF(data2!$D:$D,D2613)=0,"Missing in Data2","Present")</f>
        <v>Present</v>
      </c>
    </row>
    <row r="2614" spans="1:5" x14ac:dyDescent="0.25">
      <c r="A2614" s="2" t="s">
        <v>2700</v>
      </c>
      <c r="B2614" s="2" t="s">
        <v>161</v>
      </c>
      <c r="C2614" s="2">
        <v>3</v>
      </c>
      <c r="D2614" t="str">
        <f t="shared" si="40"/>
        <v>CA-2015-141145_TEC-AC-10001465</v>
      </c>
      <c r="E2614" t="str">
        <f>IF(COUNTIF(data2!$D:$D,D2614)=0,"Missing in Data2","Present")</f>
        <v>Present</v>
      </c>
    </row>
    <row r="2615" spans="1:5" x14ac:dyDescent="0.25">
      <c r="A2615" s="2" t="s">
        <v>2701</v>
      </c>
      <c r="B2615" s="2" t="s">
        <v>437</v>
      </c>
      <c r="C2615" s="2">
        <v>9</v>
      </c>
      <c r="D2615" t="str">
        <f t="shared" si="40"/>
        <v>CA-2015-141243_FUR-BO-10003272</v>
      </c>
      <c r="E2615" t="str">
        <f>IF(COUNTIF(data2!$D:$D,D2615)=0,"Missing in Data2","Present")</f>
        <v>Present</v>
      </c>
    </row>
    <row r="2616" spans="1:5" x14ac:dyDescent="0.25">
      <c r="A2616" s="2" t="s">
        <v>2701</v>
      </c>
      <c r="B2616" s="2" t="s">
        <v>2156</v>
      </c>
      <c r="C2616" s="2">
        <v>3</v>
      </c>
      <c r="D2616" t="str">
        <f t="shared" si="40"/>
        <v>CA-2015-141243_OFF-AR-10001246</v>
      </c>
      <c r="E2616" t="str">
        <f>IF(COUNTIF(data2!$D:$D,D2616)=0,"Missing in Data2","Present")</f>
        <v>Present</v>
      </c>
    </row>
    <row r="2617" spans="1:5" x14ac:dyDescent="0.25">
      <c r="A2617" s="2" t="s">
        <v>2701</v>
      </c>
      <c r="B2617" s="2" t="s">
        <v>1476</v>
      </c>
      <c r="C2617" s="2">
        <v>5</v>
      </c>
      <c r="D2617" t="str">
        <f t="shared" si="40"/>
        <v>CA-2015-141243_TEC-AC-10003198</v>
      </c>
      <c r="E2617" t="str">
        <f>IF(COUNTIF(data2!$D:$D,D2617)=0,"Missing in Data2","Present")</f>
        <v>Present</v>
      </c>
    </row>
    <row r="2618" spans="1:5" x14ac:dyDescent="0.25">
      <c r="A2618" s="2" t="s">
        <v>2702</v>
      </c>
      <c r="B2618" s="2" t="s">
        <v>1674</v>
      </c>
      <c r="C2618" s="2">
        <v>4</v>
      </c>
      <c r="D2618" t="str">
        <f t="shared" si="40"/>
        <v>CA-2015-141250_FUR-CH-10004875</v>
      </c>
      <c r="E2618" t="str">
        <f>IF(COUNTIF(data2!$D:$D,D2618)=0,"Missing in Data2","Present")</f>
        <v>Present</v>
      </c>
    </row>
    <row r="2619" spans="1:5" x14ac:dyDescent="0.25">
      <c r="A2619" s="2" t="s">
        <v>2702</v>
      </c>
      <c r="B2619" s="2" t="s">
        <v>2413</v>
      </c>
      <c r="C2619" s="2">
        <v>1</v>
      </c>
      <c r="D2619" t="str">
        <f t="shared" si="40"/>
        <v>CA-2015-141250_FUR-TA-10002855</v>
      </c>
      <c r="E2619" t="str">
        <f>IF(COUNTIF(data2!$D:$D,D2619)=0,"Missing in Data2","Present")</f>
        <v>Present</v>
      </c>
    </row>
    <row r="2620" spans="1:5" x14ac:dyDescent="0.25">
      <c r="A2620" s="2" t="s">
        <v>2703</v>
      </c>
      <c r="B2620" s="2" t="s">
        <v>2704</v>
      </c>
      <c r="C2620" s="2">
        <v>2</v>
      </c>
      <c r="D2620" t="str">
        <f t="shared" si="40"/>
        <v>CA-2015-141327_FUR-FU-10000576</v>
      </c>
      <c r="E2620" t="str">
        <f>IF(COUNTIF(data2!$D:$D,D2620)=0,"Missing in Data2","Present")</f>
        <v>Present</v>
      </c>
    </row>
    <row r="2621" spans="1:5" x14ac:dyDescent="0.25">
      <c r="A2621" s="2" t="s">
        <v>2703</v>
      </c>
      <c r="B2621" s="2" t="s">
        <v>650</v>
      </c>
      <c r="C2621" s="2">
        <v>3</v>
      </c>
      <c r="D2621" t="str">
        <f t="shared" si="40"/>
        <v>CA-2015-141327_OFF-AP-10001293</v>
      </c>
      <c r="E2621" t="str">
        <f>IF(COUNTIF(data2!$D:$D,D2621)=0,"Missing in Data2","Present")</f>
        <v>Missing in Data2</v>
      </c>
    </row>
    <row r="2622" spans="1:5" x14ac:dyDescent="0.25">
      <c r="A2622" s="2" t="s">
        <v>2703</v>
      </c>
      <c r="B2622" s="2" t="s">
        <v>1636</v>
      </c>
      <c r="C2622" s="2">
        <v>7</v>
      </c>
      <c r="D2622" t="str">
        <f t="shared" si="40"/>
        <v>CA-2015-141327_OFF-BI-10000546</v>
      </c>
      <c r="E2622" t="str">
        <f>IF(COUNTIF(data2!$D:$D,D2622)=0,"Missing in Data2","Present")</f>
        <v>Present</v>
      </c>
    </row>
    <row r="2623" spans="1:5" x14ac:dyDescent="0.25">
      <c r="A2623" s="2" t="s">
        <v>2705</v>
      </c>
      <c r="B2623" s="2" t="s">
        <v>2499</v>
      </c>
      <c r="C2623" s="2">
        <v>6</v>
      </c>
      <c r="D2623" t="str">
        <f t="shared" si="40"/>
        <v>CA-2015-141565_OFF-BI-10000545</v>
      </c>
      <c r="E2623" t="str">
        <f>IF(COUNTIF(data2!$D:$D,D2623)=0,"Missing in Data2","Present")</f>
        <v>Present</v>
      </c>
    </row>
    <row r="2624" spans="1:5" x14ac:dyDescent="0.25">
      <c r="A2624" s="2" t="s">
        <v>2705</v>
      </c>
      <c r="B2624" s="2" t="s">
        <v>374</v>
      </c>
      <c r="C2624" s="2">
        <v>4</v>
      </c>
      <c r="D2624" t="str">
        <f t="shared" si="40"/>
        <v>CA-2015-141565_OFF-ST-10001522</v>
      </c>
      <c r="E2624" t="str">
        <f>IF(COUNTIF(data2!$D:$D,D2624)=0,"Missing in Data2","Present")</f>
        <v>Present</v>
      </c>
    </row>
    <row r="2625" spans="1:5" x14ac:dyDescent="0.25">
      <c r="A2625" s="2" t="s">
        <v>2706</v>
      </c>
      <c r="B2625" s="2" t="s">
        <v>2707</v>
      </c>
      <c r="C2625" s="2">
        <v>2</v>
      </c>
      <c r="D2625" t="str">
        <f t="shared" si="40"/>
        <v>CA-2015-141593_FUR-TA-10002622</v>
      </c>
      <c r="E2625" t="str">
        <f>IF(COUNTIF(data2!$D:$D,D2625)=0,"Missing in Data2","Present")</f>
        <v>Present</v>
      </c>
    </row>
    <row r="2626" spans="1:5" x14ac:dyDescent="0.25">
      <c r="A2626" s="2" t="s">
        <v>2706</v>
      </c>
      <c r="B2626" s="2" t="s">
        <v>974</v>
      </c>
      <c r="C2626" s="2">
        <v>3</v>
      </c>
      <c r="D2626" t="str">
        <f t="shared" si="40"/>
        <v>CA-2015-141593_OFF-BI-10000948</v>
      </c>
      <c r="E2626" t="str">
        <f>IF(COUNTIF(data2!$D:$D,D2626)=0,"Missing in Data2","Present")</f>
        <v>Present</v>
      </c>
    </row>
    <row r="2627" spans="1:5" x14ac:dyDescent="0.25">
      <c r="A2627" s="2" t="s">
        <v>2706</v>
      </c>
      <c r="B2627" s="2" t="s">
        <v>2708</v>
      </c>
      <c r="C2627" s="2">
        <v>2</v>
      </c>
      <c r="D2627" t="str">
        <f t="shared" ref="D2627:D2690" si="41">A2627&amp;"_"&amp;B2627</f>
        <v>CA-2015-141593_OFF-BI-10001153</v>
      </c>
      <c r="E2627" t="str">
        <f>IF(COUNTIF(data2!$D:$D,D2627)=0,"Missing in Data2","Present")</f>
        <v>Present</v>
      </c>
    </row>
    <row r="2628" spans="1:5" x14ac:dyDescent="0.25">
      <c r="A2628" s="2" t="s">
        <v>2709</v>
      </c>
      <c r="B2628" s="2" t="s">
        <v>2710</v>
      </c>
      <c r="C2628" s="2">
        <v>2</v>
      </c>
      <c r="D2628" t="str">
        <f t="shared" si="41"/>
        <v>CA-2015-141740_FUR-CH-10001545</v>
      </c>
      <c r="E2628" t="str">
        <f>IF(COUNTIF(data2!$D:$D,D2628)=0,"Missing in Data2","Present")</f>
        <v>Present</v>
      </c>
    </row>
    <row r="2629" spans="1:5" x14ac:dyDescent="0.25">
      <c r="A2629" s="2" t="s">
        <v>2711</v>
      </c>
      <c r="B2629" s="2" t="s">
        <v>2712</v>
      </c>
      <c r="C2629" s="2">
        <v>2</v>
      </c>
      <c r="D2629" t="str">
        <f t="shared" si="41"/>
        <v>CA-2015-141754_OFF-LA-10004093</v>
      </c>
      <c r="E2629" t="str">
        <f>IF(COUNTIF(data2!$D:$D,D2629)=0,"Missing in Data2","Present")</f>
        <v>Present</v>
      </c>
    </row>
    <row r="2630" spans="1:5" x14ac:dyDescent="0.25">
      <c r="A2630" s="2" t="s">
        <v>2713</v>
      </c>
      <c r="B2630" s="2" t="s">
        <v>21</v>
      </c>
      <c r="C2630" s="2">
        <v>3</v>
      </c>
      <c r="D2630" t="str">
        <f t="shared" si="41"/>
        <v>CA-2015-141768_FUR-FU-10002268</v>
      </c>
      <c r="E2630" t="str">
        <f>IF(COUNTIF(data2!$D:$D,D2630)=0,"Missing in Data2","Present")</f>
        <v>Present</v>
      </c>
    </row>
    <row r="2631" spans="1:5" x14ac:dyDescent="0.25">
      <c r="A2631" s="2" t="s">
        <v>2714</v>
      </c>
      <c r="B2631" s="2" t="s">
        <v>1815</v>
      </c>
      <c r="C2631" s="2">
        <v>7</v>
      </c>
      <c r="D2631" t="str">
        <f t="shared" si="41"/>
        <v>CA-2015-141810_OFF-BI-10001524</v>
      </c>
      <c r="E2631" t="str">
        <f>IF(COUNTIF(data2!$D:$D,D2631)=0,"Missing in Data2","Present")</f>
        <v>Present</v>
      </c>
    </row>
    <row r="2632" spans="1:5" x14ac:dyDescent="0.25">
      <c r="A2632" s="2" t="s">
        <v>2714</v>
      </c>
      <c r="B2632" s="2" t="s">
        <v>2715</v>
      </c>
      <c r="C2632" s="2">
        <v>2</v>
      </c>
      <c r="D2632" t="str">
        <f t="shared" si="41"/>
        <v>CA-2015-141810_TEC-PH-10002200</v>
      </c>
      <c r="E2632" t="str">
        <f>IF(COUNTIF(data2!$D:$D,D2632)=0,"Missing in Data2","Present")</f>
        <v>Present</v>
      </c>
    </row>
    <row r="2633" spans="1:5" x14ac:dyDescent="0.25">
      <c r="A2633" s="2" t="s">
        <v>2716</v>
      </c>
      <c r="B2633" s="2" t="s">
        <v>2006</v>
      </c>
      <c r="C2633" s="2">
        <v>3</v>
      </c>
      <c r="D2633" t="str">
        <f t="shared" si="41"/>
        <v>CA-2015-141936_OFF-BI-10002194</v>
      </c>
      <c r="E2633" t="str">
        <f>IF(COUNTIF(data2!$D:$D,D2633)=0,"Missing in Data2","Present")</f>
        <v>Present</v>
      </c>
    </row>
    <row r="2634" spans="1:5" x14ac:dyDescent="0.25">
      <c r="A2634" s="2" t="s">
        <v>2717</v>
      </c>
      <c r="B2634" s="2" t="s">
        <v>2718</v>
      </c>
      <c r="C2634" s="2">
        <v>3</v>
      </c>
      <c r="D2634" t="str">
        <f t="shared" si="41"/>
        <v>CA-2015-142027_FUR-TA-10002774</v>
      </c>
      <c r="E2634" t="str">
        <f>IF(COUNTIF(data2!$D:$D,D2634)=0,"Missing in Data2","Present")</f>
        <v>Present</v>
      </c>
    </row>
    <row r="2635" spans="1:5" x14ac:dyDescent="0.25">
      <c r="A2635" s="2" t="s">
        <v>2719</v>
      </c>
      <c r="B2635" s="2" t="s">
        <v>1655</v>
      </c>
      <c r="C2635" s="2">
        <v>5</v>
      </c>
      <c r="D2635" t="str">
        <f t="shared" si="41"/>
        <v>CA-2015-142041_OFF-BI-10004187</v>
      </c>
      <c r="E2635" t="str">
        <f>IF(COUNTIF(data2!$D:$D,D2635)=0,"Missing in Data2","Present")</f>
        <v>Present</v>
      </c>
    </row>
    <row r="2636" spans="1:5" x14ac:dyDescent="0.25">
      <c r="A2636" s="2" t="s">
        <v>2720</v>
      </c>
      <c r="B2636" s="2" t="s">
        <v>1308</v>
      </c>
      <c r="C2636" s="2">
        <v>2</v>
      </c>
      <c r="D2636" t="str">
        <f t="shared" si="41"/>
        <v>CA-2015-142055_OFF-PA-10003465</v>
      </c>
      <c r="E2636" t="str">
        <f>IF(COUNTIF(data2!$D:$D,D2636)=0,"Missing in Data2","Present")</f>
        <v>Missing in Data2</v>
      </c>
    </row>
    <row r="2637" spans="1:5" x14ac:dyDescent="0.25">
      <c r="A2637" s="2" t="s">
        <v>2721</v>
      </c>
      <c r="B2637" s="2" t="s">
        <v>957</v>
      </c>
      <c r="C2637" s="2">
        <v>4</v>
      </c>
      <c r="D2637" t="str">
        <f t="shared" si="41"/>
        <v>CA-2015-142139_OFF-PA-10003883</v>
      </c>
      <c r="E2637" t="str">
        <f>IF(COUNTIF(data2!$D:$D,D2637)=0,"Missing in Data2","Present")</f>
        <v>Present</v>
      </c>
    </row>
    <row r="2638" spans="1:5" x14ac:dyDescent="0.25">
      <c r="A2638" s="2" t="s">
        <v>2722</v>
      </c>
      <c r="B2638" s="2" t="s">
        <v>1476</v>
      </c>
      <c r="C2638" s="2">
        <v>9</v>
      </c>
      <c r="D2638" t="str">
        <f t="shared" si="41"/>
        <v>CA-2015-142202_TEC-AC-10003198</v>
      </c>
      <c r="E2638" t="str">
        <f>IF(COUNTIF(data2!$D:$D,D2638)=0,"Missing in Data2","Present")</f>
        <v>Present</v>
      </c>
    </row>
    <row r="2639" spans="1:5" x14ac:dyDescent="0.25">
      <c r="A2639" s="2" t="s">
        <v>2723</v>
      </c>
      <c r="B2639" s="2" t="s">
        <v>246</v>
      </c>
      <c r="C2639" s="2">
        <v>8</v>
      </c>
      <c r="D2639" t="str">
        <f t="shared" si="41"/>
        <v>CA-2015-142237_FUR-CH-10003833</v>
      </c>
      <c r="E2639" t="str">
        <f>IF(COUNTIF(data2!$D:$D,D2639)=0,"Missing in Data2","Present")</f>
        <v>Present</v>
      </c>
    </row>
    <row r="2640" spans="1:5" x14ac:dyDescent="0.25">
      <c r="A2640" s="2" t="s">
        <v>2723</v>
      </c>
      <c r="B2640" s="2" t="s">
        <v>2724</v>
      </c>
      <c r="C2640" s="2">
        <v>6</v>
      </c>
      <c r="D2640" t="str">
        <f t="shared" si="41"/>
        <v>CA-2015-142237_FUR-FU-10003142</v>
      </c>
      <c r="E2640" t="str">
        <f>IF(COUNTIF(data2!$D:$D,D2640)=0,"Missing in Data2","Present")</f>
        <v>Present</v>
      </c>
    </row>
    <row r="2641" spans="1:5" x14ac:dyDescent="0.25">
      <c r="A2641" s="2" t="s">
        <v>2723</v>
      </c>
      <c r="B2641" s="2" t="s">
        <v>2725</v>
      </c>
      <c r="C2641" s="2">
        <v>7</v>
      </c>
      <c r="D2641" t="str">
        <f t="shared" si="41"/>
        <v>CA-2015-142237_FUR-FU-10004848</v>
      </c>
      <c r="E2641" t="str">
        <f>IF(COUNTIF(data2!$D:$D,D2641)=0,"Missing in Data2","Present")</f>
        <v>Present</v>
      </c>
    </row>
    <row r="2642" spans="1:5" x14ac:dyDescent="0.25">
      <c r="A2642" s="2" t="s">
        <v>2723</v>
      </c>
      <c r="B2642" s="2" t="s">
        <v>1596</v>
      </c>
      <c r="C2642" s="2">
        <v>5</v>
      </c>
      <c r="D2642" t="str">
        <f t="shared" si="41"/>
        <v>CA-2015-142237_OFF-AR-10003732</v>
      </c>
      <c r="E2642" t="str">
        <f>IF(COUNTIF(data2!$D:$D,D2642)=0,"Missing in Data2","Present")</f>
        <v>Present</v>
      </c>
    </row>
    <row r="2643" spans="1:5" x14ac:dyDescent="0.25">
      <c r="A2643" s="2" t="s">
        <v>2723</v>
      </c>
      <c r="B2643" s="2" t="s">
        <v>1203</v>
      </c>
      <c r="C2643" s="2">
        <v>4</v>
      </c>
      <c r="D2643" t="str">
        <f t="shared" si="41"/>
        <v>CA-2015-142237_OFF-BI-10003669</v>
      </c>
      <c r="E2643" t="str">
        <f>IF(COUNTIF(data2!$D:$D,D2643)=0,"Missing in Data2","Present")</f>
        <v>Present</v>
      </c>
    </row>
    <row r="2644" spans="1:5" x14ac:dyDescent="0.25">
      <c r="A2644" s="2" t="s">
        <v>2723</v>
      </c>
      <c r="B2644" s="2" t="s">
        <v>2726</v>
      </c>
      <c r="C2644" s="2">
        <v>3</v>
      </c>
      <c r="D2644" t="str">
        <f t="shared" si="41"/>
        <v>CA-2015-142237_OFF-BI-10004022</v>
      </c>
      <c r="E2644" t="str">
        <f>IF(COUNTIF(data2!$D:$D,D2644)=0,"Missing in Data2","Present")</f>
        <v>Present</v>
      </c>
    </row>
    <row r="2645" spans="1:5" x14ac:dyDescent="0.25">
      <c r="A2645" s="2" t="s">
        <v>2727</v>
      </c>
      <c r="B2645" s="2" t="s">
        <v>1039</v>
      </c>
      <c r="C2645" s="2">
        <v>7</v>
      </c>
      <c r="D2645" t="str">
        <f t="shared" si="41"/>
        <v>CA-2015-142377_OFF-PA-10001970</v>
      </c>
      <c r="E2645" t="str">
        <f>IF(COUNTIF(data2!$D:$D,D2645)=0,"Missing in Data2","Present")</f>
        <v>Present</v>
      </c>
    </row>
    <row r="2646" spans="1:5" x14ac:dyDescent="0.25">
      <c r="A2646" s="2" t="s">
        <v>2728</v>
      </c>
      <c r="B2646" s="2" t="s">
        <v>5</v>
      </c>
      <c r="C2646" s="2">
        <v>3</v>
      </c>
      <c r="D2646" t="str">
        <f t="shared" si="41"/>
        <v>CA-2015-142419_OFF-BI-10001597</v>
      </c>
      <c r="E2646" t="str">
        <f>IF(COUNTIF(data2!$D:$D,D2646)=0,"Missing in Data2","Present")</f>
        <v>Missing in Data2</v>
      </c>
    </row>
    <row r="2647" spans="1:5" x14ac:dyDescent="0.25">
      <c r="A2647" s="2" t="s">
        <v>2728</v>
      </c>
      <c r="B2647" s="2" t="s">
        <v>2729</v>
      </c>
      <c r="C2647" s="2">
        <v>3</v>
      </c>
      <c r="D2647" t="str">
        <f t="shared" si="41"/>
        <v>CA-2015-142419_OFF-PA-10001763</v>
      </c>
      <c r="E2647" t="str">
        <f>IF(COUNTIF(data2!$D:$D,D2647)=0,"Missing in Data2","Present")</f>
        <v>Present</v>
      </c>
    </row>
    <row r="2648" spans="1:5" x14ac:dyDescent="0.25">
      <c r="A2648" s="2" t="s">
        <v>2730</v>
      </c>
      <c r="B2648" s="2" t="s">
        <v>592</v>
      </c>
      <c r="C2648" s="2">
        <v>3</v>
      </c>
      <c r="D2648" t="str">
        <f t="shared" si="41"/>
        <v>CA-2015-142433_OFF-PA-10002377</v>
      </c>
      <c r="E2648" t="str">
        <f>IF(COUNTIF(data2!$D:$D,D2648)=0,"Missing in Data2","Present")</f>
        <v>Present</v>
      </c>
    </row>
    <row r="2649" spans="1:5" x14ac:dyDescent="0.25">
      <c r="A2649" s="2" t="s">
        <v>2731</v>
      </c>
      <c r="B2649" s="2" t="s">
        <v>278</v>
      </c>
      <c r="C2649" s="2">
        <v>7</v>
      </c>
      <c r="D2649" t="str">
        <f t="shared" si="41"/>
        <v>CA-2015-142454_FUR-FU-10004018</v>
      </c>
      <c r="E2649" t="str">
        <f>IF(COUNTIF(data2!$D:$D,D2649)=0,"Missing in Data2","Present")</f>
        <v>Present</v>
      </c>
    </row>
    <row r="2650" spans="1:5" x14ac:dyDescent="0.25">
      <c r="A2650" s="2" t="s">
        <v>2731</v>
      </c>
      <c r="B2650" s="2" t="s">
        <v>2732</v>
      </c>
      <c r="C2650" s="2">
        <v>3</v>
      </c>
      <c r="D2650" t="str">
        <f t="shared" si="41"/>
        <v>CA-2015-142454_OFF-ST-10003638</v>
      </c>
      <c r="E2650" t="str">
        <f>IF(COUNTIF(data2!$D:$D,D2650)=0,"Missing in Data2","Present")</f>
        <v>Present</v>
      </c>
    </row>
    <row r="2651" spans="1:5" x14ac:dyDescent="0.25">
      <c r="A2651" s="2" t="s">
        <v>2733</v>
      </c>
      <c r="B2651" s="2" t="s">
        <v>2734</v>
      </c>
      <c r="C2651" s="2">
        <v>6</v>
      </c>
      <c r="D2651" t="str">
        <f t="shared" si="41"/>
        <v>CA-2015-142475_OFF-BI-10003718</v>
      </c>
      <c r="E2651" t="str">
        <f>IF(COUNTIF(data2!$D:$D,D2651)=0,"Missing in Data2","Present")</f>
        <v>Present</v>
      </c>
    </row>
    <row r="2652" spans="1:5" x14ac:dyDescent="0.25">
      <c r="A2652" s="2" t="s">
        <v>2735</v>
      </c>
      <c r="B2652" s="2" t="s">
        <v>2078</v>
      </c>
      <c r="C2652" s="2">
        <v>7</v>
      </c>
      <c r="D2652" t="str">
        <f t="shared" si="41"/>
        <v>CA-2015-142601_OFF-ST-10002756</v>
      </c>
      <c r="E2652" t="str">
        <f>IF(COUNTIF(data2!$D:$D,D2652)=0,"Missing in Data2","Present")</f>
        <v>Present</v>
      </c>
    </row>
    <row r="2653" spans="1:5" x14ac:dyDescent="0.25">
      <c r="A2653" s="2" t="s">
        <v>2736</v>
      </c>
      <c r="B2653" s="2" t="s">
        <v>70</v>
      </c>
      <c r="C2653" s="2">
        <v>1</v>
      </c>
      <c r="D2653" t="str">
        <f t="shared" si="41"/>
        <v>CA-2015-142692_OFF-BI-10004140</v>
      </c>
      <c r="E2653" t="str">
        <f>IF(COUNTIF(data2!$D:$D,D2653)=0,"Missing in Data2","Present")</f>
        <v>Present</v>
      </c>
    </row>
    <row r="2654" spans="1:5" x14ac:dyDescent="0.25">
      <c r="A2654" s="2" t="s">
        <v>2737</v>
      </c>
      <c r="B2654" s="2" t="s">
        <v>2738</v>
      </c>
      <c r="C2654" s="2">
        <v>2</v>
      </c>
      <c r="D2654" t="str">
        <f t="shared" si="41"/>
        <v>CA-2015-142734_FUR-CH-10003968</v>
      </c>
      <c r="E2654" t="str">
        <f>IF(COUNTIF(data2!$D:$D,D2654)=0,"Missing in Data2","Present")</f>
        <v>Present</v>
      </c>
    </row>
    <row r="2655" spans="1:5" x14ac:dyDescent="0.25">
      <c r="A2655" s="2" t="s">
        <v>2739</v>
      </c>
      <c r="B2655" s="2" t="s">
        <v>1231</v>
      </c>
      <c r="C2655" s="2">
        <v>2</v>
      </c>
      <c r="D2655" t="str">
        <f t="shared" si="41"/>
        <v>CA-2015-142755_OFF-EN-10004459</v>
      </c>
      <c r="E2655" t="str">
        <f>IF(COUNTIF(data2!$D:$D,D2655)=0,"Missing in Data2","Present")</f>
        <v>Present</v>
      </c>
    </row>
    <row r="2656" spans="1:5" x14ac:dyDescent="0.25">
      <c r="A2656" s="2" t="s">
        <v>2739</v>
      </c>
      <c r="B2656" s="2" t="s">
        <v>1349</v>
      </c>
      <c r="C2656" s="2">
        <v>2</v>
      </c>
      <c r="D2656" t="str">
        <f t="shared" si="41"/>
        <v>CA-2015-142755_OFF-PA-10000141</v>
      </c>
      <c r="E2656" t="str">
        <f>IF(COUNTIF(data2!$D:$D,D2656)=0,"Missing in Data2","Present")</f>
        <v>Present</v>
      </c>
    </row>
    <row r="2657" spans="1:5" x14ac:dyDescent="0.25">
      <c r="A2657" s="2" t="s">
        <v>2739</v>
      </c>
      <c r="B2657" s="2" t="s">
        <v>1039</v>
      </c>
      <c r="C2657" s="2">
        <v>5</v>
      </c>
      <c r="D2657" t="str">
        <f t="shared" si="41"/>
        <v>CA-2015-142755_OFF-PA-10001970</v>
      </c>
      <c r="E2657" t="str">
        <f>IF(COUNTIF(data2!$D:$D,D2657)=0,"Missing in Data2","Present")</f>
        <v>Present</v>
      </c>
    </row>
    <row r="2658" spans="1:5" x14ac:dyDescent="0.25">
      <c r="A2658" s="2" t="s">
        <v>2739</v>
      </c>
      <c r="B2658" s="2" t="s">
        <v>1053</v>
      </c>
      <c r="C2658" s="2">
        <v>5</v>
      </c>
      <c r="D2658" t="str">
        <f t="shared" si="41"/>
        <v>CA-2015-142755_TEC-AC-10002049</v>
      </c>
      <c r="E2658" t="str">
        <f>IF(COUNTIF(data2!$D:$D,D2658)=0,"Missing in Data2","Present")</f>
        <v>Present</v>
      </c>
    </row>
    <row r="2659" spans="1:5" x14ac:dyDescent="0.25">
      <c r="A2659" s="2" t="s">
        <v>2740</v>
      </c>
      <c r="B2659" s="2" t="s">
        <v>1212</v>
      </c>
      <c r="C2659" s="2">
        <v>4</v>
      </c>
      <c r="D2659" t="str">
        <f t="shared" si="41"/>
        <v>CA-2015-142930_OFF-PA-10003395</v>
      </c>
      <c r="E2659" t="str">
        <f>IF(COUNTIF(data2!$D:$D,D2659)=0,"Missing in Data2","Present")</f>
        <v>Present</v>
      </c>
    </row>
    <row r="2660" spans="1:5" x14ac:dyDescent="0.25">
      <c r="A2660" s="2" t="s">
        <v>2741</v>
      </c>
      <c r="B2660" s="2" t="s">
        <v>2183</v>
      </c>
      <c r="C2660" s="2">
        <v>2</v>
      </c>
      <c r="D2660" t="str">
        <f t="shared" si="41"/>
        <v>CA-2015-142937_OFF-AR-10003582</v>
      </c>
      <c r="E2660" t="str">
        <f>IF(COUNTIF(data2!$D:$D,D2660)=0,"Missing in Data2","Present")</f>
        <v>Present</v>
      </c>
    </row>
    <row r="2661" spans="1:5" x14ac:dyDescent="0.25">
      <c r="A2661" s="2" t="s">
        <v>2742</v>
      </c>
      <c r="B2661" s="2" t="s">
        <v>1698</v>
      </c>
      <c r="C2661" s="2">
        <v>7</v>
      </c>
      <c r="D2661" t="str">
        <f t="shared" si="41"/>
        <v>CA-2015-142944_FUR-FU-10000308</v>
      </c>
      <c r="E2661" t="str">
        <f>IF(COUNTIF(data2!$D:$D,D2661)=0,"Missing in Data2","Present")</f>
        <v>Present</v>
      </c>
    </row>
    <row r="2662" spans="1:5" x14ac:dyDescent="0.25">
      <c r="A2662" s="2" t="s">
        <v>2742</v>
      </c>
      <c r="B2662" s="2" t="s">
        <v>2743</v>
      </c>
      <c r="C2662" s="2">
        <v>2</v>
      </c>
      <c r="D2662" t="str">
        <f t="shared" si="41"/>
        <v>CA-2015-142944_TEC-CO-10003763</v>
      </c>
      <c r="E2662" t="str">
        <f>IF(COUNTIF(data2!$D:$D,D2662)=0,"Missing in Data2","Present")</f>
        <v>Present</v>
      </c>
    </row>
    <row r="2663" spans="1:5" x14ac:dyDescent="0.25">
      <c r="A2663" s="2" t="s">
        <v>2744</v>
      </c>
      <c r="B2663" s="2" t="s">
        <v>195</v>
      </c>
      <c r="C2663" s="2">
        <v>2</v>
      </c>
      <c r="D2663" t="str">
        <f t="shared" si="41"/>
        <v>CA-2015-142993_OFF-ST-10000934</v>
      </c>
      <c r="E2663" t="str">
        <f>IF(COUNTIF(data2!$D:$D,D2663)=0,"Missing in Data2","Present")</f>
        <v>Present</v>
      </c>
    </row>
    <row r="2664" spans="1:5" x14ac:dyDescent="0.25">
      <c r="A2664" s="2" t="s">
        <v>2744</v>
      </c>
      <c r="B2664" s="2" t="s">
        <v>311</v>
      </c>
      <c r="C2664" s="2">
        <v>2</v>
      </c>
      <c r="D2664" t="str">
        <f t="shared" si="41"/>
        <v>CA-2015-142993_TEC-AC-10003038</v>
      </c>
      <c r="E2664" t="str">
        <f>IF(COUNTIF(data2!$D:$D,D2664)=0,"Missing in Data2","Present")</f>
        <v>Present</v>
      </c>
    </row>
    <row r="2665" spans="1:5" x14ac:dyDescent="0.25">
      <c r="A2665" s="2" t="s">
        <v>2745</v>
      </c>
      <c r="B2665" s="2" t="s">
        <v>2746</v>
      </c>
      <c r="C2665" s="2">
        <v>2</v>
      </c>
      <c r="D2665" t="str">
        <f t="shared" si="41"/>
        <v>CA-2015-143077_FUR-FU-10003535</v>
      </c>
      <c r="E2665" t="str">
        <f>IF(COUNTIF(data2!$D:$D,D2665)=0,"Missing in Data2","Present")</f>
        <v>Present</v>
      </c>
    </row>
    <row r="2666" spans="1:5" x14ac:dyDescent="0.25">
      <c r="A2666" s="2" t="s">
        <v>2745</v>
      </c>
      <c r="B2666" s="2" t="s">
        <v>2140</v>
      </c>
      <c r="C2666" s="2">
        <v>3</v>
      </c>
      <c r="D2666" t="str">
        <f t="shared" si="41"/>
        <v>CA-2015-143077_OFF-BI-10000088</v>
      </c>
      <c r="E2666" t="str">
        <f>IF(COUNTIF(data2!$D:$D,D2666)=0,"Missing in Data2","Present")</f>
        <v>Present</v>
      </c>
    </row>
    <row r="2667" spans="1:5" x14ac:dyDescent="0.25">
      <c r="A2667" s="2" t="s">
        <v>2747</v>
      </c>
      <c r="B2667" s="2" t="s">
        <v>2712</v>
      </c>
      <c r="C2667" s="2">
        <v>1</v>
      </c>
      <c r="D2667" t="str">
        <f t="shared" si="41"/>
        <v>CA-2015-143105_OFF-LA-10004093</v>
      </c>
      <c r="E2667" t="str">
        <f>IF(COUNTIF(data2!$D:$D,D2667)=0,"Missing in Data2","Present")</f>
        <v>Present</v>
      </c>
    </row>
    <row r="2668" spans="1:5" x14ac:dyDescent="0.25">
      <c r="A2668" s="2" t="s">
        <v>2747</v>
      </c>
      <c r="B2668" s="2" t="s">
        <v>2264</v>
      </c>
      <c r="C2668" s="2">
        <v>7</v>
      </c>
      <c r="D2668" t="str">
        <f t="shared" si="41"/>
        <v>CA-2015-143105_OFF-PA-10002254</v>
      </c>
      <c r="E2668" t="str">
        <f>IF(COUNTIF(data2!$D:$D,D2668)=0,"Missing in Data2","Present")</f>
        <v>Present</v>
      </c>
    </row>
    <row r="2669" spans="1:5" x14ac:dyDescent="0.25">
      <c r="A2669" s="2" t="s">
        <v>2747</v>
      </c>
      <c r="B2669" s="2" t="s">
        <v>2748</v>
      </c>
      <c r="C2669" s="2">
        <v>6</v>
      </c>
      <c r="D2669" t="str">
        <f t="shared" si="41"/>
        <v>CA-2015-143105_OFF-PA-10002713</v>
      </c>
      <c r="E2669" t="str">
        <f>IF(COUNTIF(data2!$D:$D,D2669)=0,"Missing in Data2","Present")</f>
        <v>Present</v>
      </c>
    </row>
    <row r="2670" spans="1:5" x14ac:dyDescent="0.25">
      <c r="A2670" s="2" t="s">
        <v>2747</v>
      </c>
      <c r="B2670" s="2" t="s">
        <v>1688</v>
      </c>
      <c r="C2670" s="2">
        <v>2</v>
      </c>
      <c r="D2670" t="str">
        <f t="shared" si="41"/>
        <v>CA-2015-143105_TEC-CO-10002095</v>
      </c>
      <c r="E2670" t="str">
        <f>IF(COUNTIF(data2!$D:$D,D2670)=0,"Missing in Data2","Present")</f>
        <v>Present</v>
      </c>
    </row>
    <row r="2671" spans="1:5" x14ac:dyDescent="0.25">
      <c r="A2671" s="2" t="s">
        <v>2749</v>
      </c>
      <c r="B2671" s="2" t="s">
        <v>976</v>
      </c>
      <c r="C2671" s="2">
        <v>6</v>
      </c>
      <c r="D2671" t="str">
        <f t="shared" si="41"/>
        <v>CA-2015-143119_FUR-CH-10001270</v>
      </c>
      <c r="E2671" t="str">
        <f>IF(COUNTIF(data2!$D:$D,D2671)=0,"Missing in Data2","Present")</f>
        <v>Present</v>
      </c>
    </row>
    <row r="2672" spans="1:5" x14ac:dyDescent="0.25">
      <c r="A2672" s="2" t="s">
        <v>2750</v>
      </c>
      <c r="B2672" s="2" t="s">
        <v>474</v>
      </c>
      <c r="C2672" s="2">
        <v>1</v>
      </c>
      <c r="D2672" t="str">
        <f t="shared" si="41"/>
        <v>CA-2015-143147_FUR-CH-10000863</v>
      </c>
      <c r="E2672" t="str">
        <f>IF(COUNTIF(data2!$D:$D,D2672)=0,"Missing in Data2","Present")</f>
        <v>Present</v>
      </c>
    </row>
    <row r="2673" spans="1:5" x14ac:dyDescent="0.25">
      <c r="A2673" s="2" t="s">
        <v>2750</v>
      </c>
      <c r="B2673" s="2" t="s">
        <v>1502</v>
      </c>
      <c r="C2673" s="2">
        <v>5</v>
      </c>
      <c r="D2673" t="str">
        <f t="shared" si="41"/>
        <v>CA-2015-143147_FUR-CH-10004754</v>
      </c>
      <c r="E2673" t="str">
        <f>IF(COUNTIF(data2!$D:$D,D2673)=0,"Missing in Data2","Present")</f>
        <v>Present</v>
      </c>
    </row>
    <row r="2674" spans="1:5" x14ac:dyDescent="0.25">
      <c r="A2674" s="2" t="s">
        <v>2750</v>
      </c>
      <c r="B2674" s="2" t="s">
        <v>690</v>
      </c>
      <c r="C2674" s="2">
        <v>2</v>
      </c>
      <c r="D2674" t="str">
        <f t="shared" si="41"/>
        <v>CA-2015-143147_TEC-MA-10004679</v>
      </c>
      <c r="E2674" t="str">
        <f>IF(COUNTIF(data2!$D:$D,D2674)=0,"Missing in Data2","Present")</f>
        <v>Present</v>
      </c>
    </row>
    <row r="2675" spans="1:5" x14ac:dyDescent="0.25">
      <c r="A2675" s="2" t="s">
        <v>2751</v>
      </c>
      <c r="B2675" s="2" t="s">
        <v>1760</v>
      </c>
      <c r="C2675" s="2">
        <v>6</v>
      </c>
      <c r="D2675" t="str">
        <f t="shared" si="41"/>
        <v>CA-2015-143364_FUR-BO-10001608</v>
      </c>
      <c r="E2675" t="str">
        <f>IF(COUNTIF(data2!$D:$D,D2675)=0,"Missing in Data2","Present")</f>
        <v>Present</v>
      </c>
    </row>
    <row r="2676" spans="1:5" x14ac:dyDescent="0.25">
      <c r="A2676" s="2" t="s">
        <v>2751</v>
      </c>
      <c r="B2676" s="2" t="s">
        <v>1083</v>
      </c>
      <c r="C2676" s="2">
        <v>2</v>
      </c>
      <c r="D2676" t="str">
        <f t="shared" si="41"/>
        <v>CA-2015-143364_FUR-CH-10004287</v>
      </c>
      <c r="E2676" t="str">
        <f>IF(COUNTIF(data2!$D:$D,D2676)=0,"Missing in Data2","Present")</f>
        <v>Missing in Data2</v>
      </c>
    </row>
    <row r="2677" spans="1:5" x14ac:dyDescent="0.25">
      <c r="A2677" s="2" t="s">
        <v>2751</v>
      </c>
      <c r="B2677" s="2" t="s">
        <v>2752</v>
      </c>
      <c r="C2677" s="2">
        <v>4</v>
      </c>
      <c r="D2677" t="str">
        <f t="shared" si="41"/>
        <v>CA-2015-143364_OFF-PA-10001846</v>
      </c>
      <c r="E2677" t="str">
        <f>IF(COUNTIF(data2!$D:$D,D2677)=0,"Missing in Data2","Present")</f>
        <v>Present</v>
      </c>
    </row>
    <row r="2678" spans="1:5" x14ac:dyDescent="0.25">
      <c r="A2678" s="2" t="s">
        <v>2751</v>
      </c>
      <c r="B2678" s="2" t="s">
        <v>444</v>
      </c>
      <c r="C2678" s="2">
        <v>3</v>
      </c>
      <c r="D2678" t="str">
        <f t="shared" si="41"/>
        <v>CA-2015-143364_OFF-ST-10002743</v>
      </c>
      <c r="E2678" t="str">
        <f>IF(COUNTIF(data2!$D:$D,D2678)=0,"Missing in Data2","Present")</f>
        <v>Present</v>
      </c>
    </row>
    <row r="2679" spans="1:5" x14ac:dyDescent="0.25">
      <c r="A2679" s="2" t="s">
        <v>2753</v>
      </c>
      <c r="B2679" s="2" t="s">
        <v>744</v>
      </c>
      <c r="C2679" s="2">
        <v>9</v>
      </c>
      <c r="D2679" t="str">
        <f t="shared" si="41"/>
        <v>CA-2015-143490_OFF-AR-10002952</v>
      </c>
      <c r="E2679" t="str">
        <f>IF(COUNTIF(data2!$D:$D,D2679)=0,"Missing in Data2","Present")</f>
        <v>Present</v>
      </c>
    </row>
    <row r="2680" spans="1:5" x14ac:dyDescent="0.25">
      <c r="A2680" s="2" t="s">
        <v>2753</v>
      </c>
      <c r="B2680" s="2" t="s">
        <v>199</v>
      </c>
      <c r="C2680" s="2">
        <v>2</v>
      </c>
      <c r="D2680" t="str">
        <f t="shared" si="41"/>
        <v>CA-2015-143490_TEC-PH-10000576</v>
      </c>
      <c r="E2680" t="str">
        <f>IF(COUNTIF(data2!$D:$D,D2680)=0,"Missing in Data2","Present")</f>
        <v>Present</v>
      </c>
    </row>
    <row r="2681" spans="1:5" x14ac:dyDescent="0.25">
      <c r="A2681" s="2" t="s">
        <v>2754</v>
      </c>
      <c r="B2681" s="2" t="s">
        <v>861</v>
      </c>
      <c r="C2681" s="2">
        <v>3</v>
      </c>
      <c r="D2681" t="str">
        <f t="shared" si="41"/>
        <v>CA-2015-143532_OFF-PA-10001560</v>
      </c>
      <c r="E2681" t="str">
        <f>IF(COUNTIF(data2!$D:$D,D2681)=0,"Missing in Data2","Present")</f>
        <v>Present</v>
      </c>
    </row>
    <row r="2682" spans="1:5" x14ac:dyDescent="0.25">
      <c r="A2682" s="2" t="s">
        <v>2755</v>
      </c>
      <c r="B2682" s="2" t="s">
        <v>2262</v>
      </c>
      <c r="C2682" s="2">
        <v>3</v>
      </c>
      <c r="D2682" t="str">
        <f t="shared" si="41"/>
        <v>CA-2015-143602_OFF-BI-10002071</v>
      </c>
      <c r="E2682" t="str">
        <f>IF(COUNTIF(data2!$D:$D,D2682)=0,"Missing in Data2","Present")</f>
        <v>Present</v>
      </c>
    </row>
    <row r="2683" spans="1:5" x14ac:dyDescent="0.25">
      <c r="A2683" s="2" t="s">
        <v>2756</v>
      </c>
      <c r="B2683" s="2" t="s">
        <v>585</v>
      </c>
      <c r="C2683" s="2">
        <v>5</v>
      </c>
      <c r="D2683" t="str">
        <f t="shared" si="41"/>
        <v>CA-2015-143616_OFF-AR-10002067</v>
      </c>
      <c r="E2683" t="str">
        <f>IF(COUNTIF(data2!$D:$D,D2683)=0,"Missing in Data2","Present")</f>
        <v>Present</v>
      </c>
    </row>
    <row r="2684" spans="1:5" x14ac:dyDescent="0.25">
      <c r="A2684" s="2" t="s">
        <v>2757</v>
      </c>
      <c r="B2684" s="2" t="s">
        <v>1724</v>
      </c>
      <c r="C2684" s="2">
        <v>2</v>
      </c>
      <c r="D2684" t="str">
        <f t="shared" si="41"/>
        <v>CA-2015-143700_OFF-PA-10003072</v>
      </c>
      <c r="E2684" t="str">
        <f>IF(COUNTIF(data2!$D:$D,D2684)=0,"Missing in Data2","Present")</f>
        <v>Present</v>
      </c>
    </row>
    <row r="2685" spans="1:5" x14ac:dyDescent="0.25">
      <c r="A2685" s="2" t="s">
        <v>2758</v>
      </c>
      <c r="B2685" s="2" t="s">
        <v>2759</v>
      </c>
      <c r="C2685" s="2">
        <v>9</v>
      </c>
      <c r="D2685" t="str">
        <f t="shared" si="41"/>
        <v>CA-2015-143882_OFF-PA-10004040</v>
      </c>
      <c r="E2685" t="str">
        <f>IF(COUNTIF(data2!$D:$D,D2685)=0,"Missing in Data2","Present")</f>
        <v>Present</v>
      </c>
    </row>
    <row r="2686" spans="1:5" x14ac:dyDescent="0.25">
      <c r="A2686" s="2" t="s">
        <v>2760</v>
      </c>
      <c r="B2686" s="2" t="s">
        <v>2267</v>
      </c>
      <c r="C2686" s="2">
        <v>2</v>
      </c>
      <c r="D2686" t="str">
        <f t="shared" si="41"/>
        <v>CA-2015-143980_OFF-AP-10003779</v>
      </c>
      <c r="E2686" t="str">
        <f>IF(COUNTIF(data2!$D:$D,D2686)=0,"Missing in Data2","Present")</f>
        <v>Present</v>
      </c>
    </row>
    <row r="2687" spans="1:5" x14ac:dyDescent="0.25">
      <c r="A2687" s="2" t="s">
        <v>2761</v>
      </c>
      <c r="B2687" s="2" t="s">
        <v>212</v>
      </c>
      <c r="C2687" s="2">
        <v>4</v>
      </c>
      <c r="D2687" t="str">
        <f t="shared" si="41"/>
        <v>CA-2015-144043_TEC-AC-10002718</v>
      </c>
      <c r="E2687" t="str">
        <f>IF(COUNTIF(data2!$D:$D,D2687)=0,"Missing in Data2","Present")</f>
        <v>Missing in Data2</v>
      </c>
    </row>
    <row r="2688" spans="1:5" x14ac:dyDescent="0.25">
      <c r="A2688" s="2" t="s">
        <v>2762</v>
      </c>
      <c r="B2688" s="2" t="s">
        <v>774</v>
      </c>
      <c r="C2688" s="2">
        <v>1</v>
      </c>
      <c r="D2688" t="str">
        <f t="shared" si="41"/>
        <v>CA-2015-144099_OFF-BI-10001078</v>
      </c>
      <c r="E2688" t="str">
        <f>IF(COUNTIF(data2!$D:$D,D2688)=0,"Missing in Data2","Present")</f>
        <v>Present</v>
      </c>
    </row>
    <row r="2689" spans="1:5" x14ac:dyDescent="0.25">
      <c r="A2689" s="2" t="s">
        <v>2763</v>
      </c>
      <c r="B2689" s="2" t="s">
        <v>1219</v>
      </c>
      <c r="C2689" s="2">
        <v>2</v>
      </c>
      <c r="D2689" t="str">
        <f t="shared" si="41"/>
        <v>CA-2015-144190_OFF-PA-10000304</v>
      </c>
      <c r="E2689" t="str">
        <f>IF(COUNTIF(data2!$D:$D,D2689)=0,"Missing in Data2","Present")</f>
        <v>Present</v>
      </c>
    </row>
    <row r="2690" spans="1:5" x14ac:dyDescent="0.25">
      <c r="A2690" s="2" t="s">
        <v>2764</v>
      </c>
      <c r="B2690" s="2" t="s">
        <v>2765</v>
      </c>
      <c r="C2690" s="2">
        <v>2</v>
      </c>
      <c r="D2690" t="str">
        <f t="shared" si="41"/>
        <v>CA-2015-144253_FUR-FU-10002671</v>
      </c>
      <c r="E2690" t="str">
        <f>IF(COUNTIF(data2!$D:$D,D2690)=0,"Missing in Data2","Present")</f>
        <v>Present</v>
      </c>
    </row>
    <row r="2691" spans="1:5" x14ac:dyDescent="0.25">
      <c r="A2691" s="2" t="s">
        <v>2766</v>
      </c>
      <c r="B2691" s="2" t="s">
        <v>2767</v>
      </c>
      <c r="C2691" s="2">
        <v>3</v>
      </c>
      <c r="D2691" t="str">
        <f t="shared" ref="D2691:D2754" si="42">A2691&amp;"_"&amp;B2691</f>
        <v>CA-2015-144267_FUR-CH-10002335</v>
      </c>
      <c r="E2691" t="str">
        <f>IF(COUNTIF(data2!$D:$D,D2691)=0,"Missing in Data2","Present")</f>
        <v>Present</v>
      </c>
    </row>
    <row r="2692" spans="1:5" x14ac:dyDescent="0.25">
      <c r="A2692" s="2" t="s">
        <v>2766</v>
      </c>
      <c r="B2692" s="2" t="s">
        <v>2602</v>
      </c>
      <c r="C2692" s="2">
        <v>3</v>
      </c>
      <c r="D2692" t="str">
        <f t="shared" si="42"/>
        <v>CA-2015-144267_OFF-PA-10000157</v>
      </c>
      <c r="E2692" t="str">
        <f>IF(COUNTIF(data2!$D:$D,D2692)=0,"Missing in Data2","Present")</f>
        <v>Present</v>
      </c>
    </row>
    <row r="2693" spans="1:5" x14ac:dyDescent="0.25">
      <c r="A2693" s="2" t="s">
        <v>2766</v>
      </c>
      <c r="B2693" s="2" t="s">
        <v>1440</v>
      </c>
      <c r="C2693" s="2">
        <v>4</v>
      </c>
      <c r="D2693" t="str">
        <f t="shared" si="42"/>
        <v>CA-2015-144267_OFF-PA-10001947</v>
      </c>
      <c r="E2693" t="str">
        <f>IF(COUNTIF(data2!$D:$D,D2693)=0,"Missing in Data2","Present")</f>
        <v>Present</v>
      </c>
    </row>
    <row r="2694" spans="1:5" x14ac:dyDescent="0.25">
      <c r="A2694" s="2" t="s">
        <v>2766</v>
      </c>
      <c r="B2694" s="2" t="s">
        <v>2768</v>
      </c>
      <c r="C2694" s="2">
        <v>1</v>
      </c>
      <c r="D2694" t="str">
        <f t="shared" si="42"/>
        <v>CA-2015-144267_OFF-PA-10003657</v>
      </c>
      <c r="E2694" t="str">
        <f>IF(COUNTIF(data2!$D:$D,D2694)=0,"Missing in Data2","Present")</f>
        <v>Present</v>
      </c>
    </row>
    <row r="2695" spans="1:5" x14ac:dyDescent="0.25">
      <c r="A2695" s="2" t="s">
        <v>2769</v>
      </c>
      <c r="B2695" s="2" t="s">
        <v>2562</v>
      </c>
      <c r="C2695" s="2">
        <v>4</v>
      </c>
      <c r="D2695" t="str">
        <f t="shared" si="42"/>
        <v>CA-2015-144274_OFF-AR-10001940</v>
      </c>
      <c r="E2695" t="str">
        <f>IF(COUNTIF(data2!$D:$D,D2695)=0,"Missing in Data2","Present")</f>
        <v>Present</v>
      </c>
    </row>
    <row r="2696" spans="1:5" x14ac:dyDescent="0.25">
      <c r="A2696" s="2" t="s">
        <v>2769</v>
      </c>
      <c r="B2696" s="2" t="s">
        <v>481</v>
      </c>
      <c r="C2696" s="2">
        <v>2</v>
      </c>
      <c r="D2696" t="str">
        <f t="shared" si="42"/>
        <v>CA-2015-144274_OFF-EN-10003286</v>
      </c>
      <c r="E2696" t="str">
        <f>IF(COUNTIF(data2!$D:$D,D2696)=0,"Missing in Data2","Present")</f>
        <v>Present</v>
      </c>
    </row>
    <row r="2697" spans="1:5" x14ac:dyDescent="0.25">
      <c r="A2697" s="2" t="s">
        <v>2769</v>
      </c>
      <c r="B2697" s="2" t="s">
        <v>897</v>
      </c>
      <c r="C2697" s="2">
        <v>6</v>
      </c>
      <c r="D2697" t="str">
        <f t="shared" si="42"/>
        <v>CA-2015-144274_OFF-PA-10001583</v>
      </c>
      <c r="E2697" t="str">
        <f>IF(COUNTIF(data2!$D:$D,D2697)=0,"Missing in Data2","Present")</f>
        <v>Present</v>
      </c>
    </row>
    <row r="2698" spans="1:5" x14ac:dyDescent="0.25">
      <c r="A2698" s="2" t="s">
        <v>2769</v>
      </c>
      <c r="B2698" s="2" t="s">
        <v>1737</v>
      </c>
      <c r="C2698" s="2">
        <v>6</v>
      </c>
      <c r="D2698" t="str">
        <f t="shared" si="42"/>
        <v>CA-2015-144274_OFF-PA-10003441</v>
      </c>
      <c r="E2698" t="str">
        <f>IF(COUNTIF(data2!$D:$D,D2698)=0,"Missing in Data2","Present")</f>
        <v>Present</v>
      </c>
    </row>
    <row r="2699" spans="1:5" x14ac:dyDescent="0.25">
      <c r="A2699" s="2" t="s">
        <v>2769</v>
      </c>
      <c r="B2699" s="2" t="s">
        <v>1980</v>
      </c>
      <c r="C2699" s="2">
        <v>2</v>
      </c>
      <c r="D2699" t="str">
        <f t="shared" si="42"/>
        <v>CA-2015-144274_TEC-PH-10003012</v>
      </c>
      <c r="E2699" t="str">
        <f>IF(COUNTIF(data2!$D:$D,D2699)=0,"Missing in Data2","Present")</f>
        <v>Missing in Data2</v>
      </c>
    </row>
    <row r="2700" spans="1:5" x14ac:dyDescent="0.25">
      <c r="A2700" s="2" t="s">
        <v>2770</v>
      </c>
      <c r="B2700" s="2" t="s">
        <v>2339</v>
      </c>
      <c r="C2700" s="2">
        <v>4</v>
      </c>
      <c r="D2700" t="str">
        <f t="shared" si="42"/>
        <v>CA-2015-144288_OFF-LA-10003190</v>
      </c>
      <c r="E2700" t="str">
        <f>IF(COUNTIF(data2!$D:$D,D2700)=0,"Missing in Data2","Present")</f>
        <v>Present</v>
      </c>
    </row>
    <row r="2701" spans="1:5" x14ac:dyDescent="0.25">
      <c r="A2701" s="2" t="s">
        <v>2770</v>
      </c>
      <c r="B2701" s="2" t="s">
        <v>2771</v>
      </c>
      <c r="C2701" s="2">
        <v>2</v>
      </c>
      <c r="D2701" t="str">
        <f t="shared" si="42"/>
        <v>CA-2015-144288_OFF-PA-10002787</v>
      </c>
      <c r="E2701" t="str">
        <f>IF(COUNTIF(data2!$D:$D,D2701)=0,"Missing in Data2","Present")</f>
        <v>Present</v>
      </c>
    </row>
    <row r="2702" spans="1:5" x14ac:dyDescent="0.25">
      <c r="A2702" s="2" t="s">
        <v>2772</v>
      </c>
      <c r="B2702" s="2" t="s">
        <v>534</v>
      </c>
      <c r="C2702" s="2">
        <v>2</v>
      </c>
      <c r="D2702" t="str">
        <f t="shared" si="42"/>
        <v>CA-2015-144302_OFF-BI-10001107</v>
      </c>
      <c r="E2702" t="str">
        <f>IF(COUNTIF(data2!$D:$D,D2702)=0,"Missing in Data2","Present")</f>
        <v>Present</v>
      </c>
    </row>
    <row r="2703" spans="1:5" x14ac:dyDescent="0.25">
      <c r="A2703" s="2" t="s">
        <v>2773</v>
      </c>
      <c r="B2703" s="2" t="s">
        <v>1988</v>
      </c>
      <c r="C2703" s="2">
        <v>7</v>
      </c>
      <c r="D2703" t="str">
        <f t="shared" si="42"/>
        <v>CA-2015-144519_FUR-FU-10000794</v>
      </c>
      <c r="E2703" t="str">
        <f>IF(COUNTIF(data2!$D:$D,D2703)=0,"Missing in Data2","Present")</f>
        <v>Present</v>
      </c>
    </row>
    <row r="2704" spans="1:5" x14ac:dyDescent="0.25">
      <c r="A2704" s="2" t="s">
        <v>2773</v>
      </c>
      <c r="B2704" s="2" t="s">
        <v>2563</v>
      </c>
      <c r="C2704" s="2">
        <v>5</v>
      </c>
      <c r="D2704" t="str">
        <f t="shared" si="42"/>
        <v>CA-2015-144519_TEC-PH-10004908</v>
      </c>
      <c r="E2704" t="str">
        <f>IF(COUNTIF(data2!$D:$D,D2704)=0,"Missing in Data2","Present")</f>
        <v>Present</v>
      </c>
    </row>
    <row r="2705" spans="1:5" x14ac:dyDescent="0.25">
      <c r="A2705" s="2" t="s">
        <v>2774</v>
      </c>
      <c r="B2705" s="2" t="s">
        <v>1596</v>
      </c>
      <c r="C2705" s="2">
        <v>7</v>
      </c>
      <c r="D2705" t="str">
        <f t="shared" si="42"/>
        <v>CA-2015-144652_OFF-AR-10003732</v>
      </c>
      <c r="E2705" t="str">
        <f>IF(COUNTIF(data2!$D:$D,D2705)=0,"Missing in Data2","Present")</f>
        <v>Present</v>
      </c>
    </row>
    <row r="2706" spans="1:5" x14ac:dyDescent="0.25">
      <c r="A2706" s="2" t="s">
        <v>2775</v>
      </c>
      <c r="B2706" s="2" t="s">
        <v>2776</v>
      </c>
      <c r="C2706" s="2">
        <v>1</v>
      </c>
      <c r="D2706" t="str">
        <f t="shared" si="42"/>
        <v>CA-2015-144722_FUR-FU-10001215</v>
      </c>
      <c r="E2706" t="str">
        <f>IF(COUNTIF(data2!$D:$D,D2706)=0,"Missing in Data2","Present")</f>
        <v>Present</v>
      </c>
    </row>
    <row r="2707" spans="1:5" x14ac:dyDescent="0.25">
      <c r="A2707" s="2" t="s">
        <v>2777</v>
      </c>
      <c r="B2707" s="2" t="s">
        <v>491</v>
      </c>
      <c r="C2707" s="2">
        <v>6</v>
      </c>
      <c r="D2707" t="str">
        <f t="shared" si="42"/>
        <v>CA-2015-144806_FUR-FU-10002253</v>
      </c>
      <c r="E2707" t="str">
        <f>IF(COUNTIF(data2!$D:$D,D2707)=0,"Missing in Data2","Present")</f>
        <v>Present</v>
      </c>
    </row>
    <row r="2708" spans="1:5" x14ac:dyDescent="0.25">
      <c r="A2708" s="2" t="s">
        <v>2777</v>
      </c>
      <c r="B2708" s="2" t="s">
        <v>839</v>
      </c>
      <c r="C2708" s="2">
        <v>6</v>
      </c>
      <c r="D2708" t="str">
        <f t="shared" si="42"/>
        <v>CA-2015-144806_OFF-AR-10004042</v>
      </c>
      <c r="E2708" t="str">
        <f>IF(COUNTIF(data2!$D:$D,D2708)=0,"Missing in Data2","Present")</f>
        <v>Present</v>
      </c>
    </row>
    <row r="2709" spans="1:5" x14ac:dyDescent="0.25">
      <c r="A2709" s="2" t="s">
        <v>2777</v>
      </c>
      <c r="B2709" s="2" t="s">
        <v>1051</v>
      </c>
      <c r="C2709" s="2">
        <v>5</v>
      </c>
      <c r="D2709" t="str">
        <f t="shared" si="42"/>
        <v>CA-2015-144806_OFF-PA-10002586</v>
      </c>
      <c r="E2709" t="str">
        <f>IF(COUNTIF(data2!$D:$D,D2709)=0,"Missing in Data2","Present")</f>
        <v>Present</v>
      </c>
    </row>
    <row r="2710" spans="1:5" x14ac:dyDescent="0.25">
      <c r="A2710" s="2" t="s">
        <v>2777</v>
      </c>
      <c r="B2710" s="2" t="s">
        <v>1006</v>
      </c>
      <c r="C2710" s="2">
        <v>8</v>
      </c>
      <c r="D2710" t="str">
        <f t="shared" si="42"/>
        <v>CA-2015-144806_OFF-PA-10003039</v>
      </c>
      <c r="E2710" t="str">
        <f>IF(COUNTIF(data2!$D:$D,D2710)=0,"Missing in Data2","Present")</f>
        <v>Present</v>
      </c>
    </row>
    <row r="2711" spans="1:5" x14ac:dyDescent="0.25">
      <c r="A2711" s="2" t="s">
        <v>2777</v>
      </c>
      <c r="B2711" s="2" t="s">
        <v>2460</v>
      </c>
      <c r="C2711" s="2">
        <v>6</v>
      </c>
      <c r="D2711" t="str">
        <f t="shared" si="42"/>
        <v>CA-2015-144806_OFF-ST-10004804</v>
      </c>
      <c r="E2711" t="str">
        <f>IF(COUNTIF(data2!$D:$D,D2711)=0,"Missing in Data2","Present")</f>
        <v>Present</v>
      </c>
    </row>
    <row r="2712" spans="1:5" x14ac:dyDescent="0.25">
      <c r="A2712" s="2" t="s">
        <v>2778</v>
      </c>
      <c r="B2712" s="2" t="s">
        <v>2779</v>
      </c>
      <c r="C2712" s="2">
        <v>2</v>
      </c>
      <c r="D2712" t="str">
        <f t="shared" si="42"/>
        <v>CA-2015-145065_OFF-BI-10002437</v>
      </c>
      <c r="E2712" t="str">
        <f>IF(COUNTIF(data2!$D:$D,D2712)=0,"Missing in Data2","Present")</f>
        <v>Present</v>
      </c>
    </row>
    <row r="2713" spans="1:5" x14ac:dyDescent="0.25">
      <c r="A2713" s="2" t="s">
        <v>2778</v>
      </c>
      <c r="B2713" s="2" t="s">
        <v>1994</v>
      </c>
      <c r="C2713" s="2">
        <v>2</v>
      </c>
      <c r="D2713" t="str">
        <f t="shared" si="42"/>
        <v>CA-2015-145065_OFF-FA-10001229</v>
      </c>
      <c r="E2713" t="str">
        <f>IF(COUNTIF(data2!$D:$D,D2713)=0,"Missing in Data2","Present")</f>
        <v>Present</v>
      </c>
    </row>
    <row r="2714" spans="1:5" x14ac:dyDescent="0.25">
      <c r="A2714" s="2" t="s">
        <v>2780</v>
      </c>
      <c r="B2714" s="2" t="s">
        <v>2781</v>
      </c>
      <c r="C2714" s="2">
        <v>3</v>
      </c>
      <c r="D2714" t="str">
        <f t="shared" si="42"/>
        <v>CA-2015-145184_TEC-AC-10000397</v>
      </c>
      <c r="E2714" t="str">
        <f>IF(COUNTIF(data2!$D:$D,D2714)=0,"Missing in Data2","Present")</f>
        <v>Present</v>
      </c>
    </row>
    <row r="2715" spans="1:5" x14ac:dyDescent="0.25">
      <c r="A2715" s="2" t="s">
        <v>2780</v>
      </c>
      <c r="B2715" s="2" t="s">
        <v>2782</v>
      </c>
      <c r="C2715" s="2">
        <v>3</v>
      </c>
      <c r="D2715" t="str">
        <f t="shared" si="42"/>
        <v>CA-2015-145184_TEC-PH-10002350</v>
      </c>
      <c r="E2715" t="str">
        <f>IF(COUNTIF(data2!$D:$D,D2715)=0,"Missing in Data2","Present")</f>
        <v>Present</v>
      </c>
    </row>
    <row r="2716" spans="1:5" x14ac:dyDescent="0.25">
      <c r="A2716" s="2" t="s">
        <v>2783</v>
      </c>
      <c r="B2716" s="2" t="s">
        <v>359</v>
      </c>
      <c r="C2716" s="2">
        <v>2</v>
      </c>
      <c r="D2716" t="str">
        <f t="shared" si="42"/>
        <v>CA-2015-145324_FUR-FU-10002759</v>
      </c>
      <c r="E2716" t="str">
        <f>IF(COUNTIF(data2!$D:$D,D2716)=0,"Missing in Data2","Present")</f>
        <v>Present</v>
      </c>
    </row>
    <row r="2717" spans="1:5" x14ac:dyDescent="0.25">
      <c r="A2717" s="2" t="s">
        <v>2784</v>
      </c>
      <c r="B2717" s="2" t="s">
        <v>1776</v>
      </c>
      <c r="C2717" s="2">
        <v>1</v>
      </c>
      <c r="D2717" t="str">
        <f t="shared" si="42"/>
        <v>CA-2015-145352_OFF-AR-10001662</v>
      </c>
      <c r="E2717" t="str">
        <f>IF(COUNTIF(data2!$D:$D,D2717)=0,"Missing in Data2","Present")</f>
        <v>Present</v>
      </c>
    </row>
    <row r="2718" spans="1:5" x14ac:dyDescent="0.25">
      <c r="A2718" s="2" t="s">
        <v>2784</v>
      </c>
      <c r="B2718" s="2" t="s">
        <v>2785</v>
      </c>
      <c r="C2718" s="2">
        <v>3</v>
      </c>
      <c r="D2718" t="str">
        <f t="shared" si="42"/>
        <v>CA-2015-145352_OFF-AR-10003856</v>
      </c>
      <c r="E2718" t="str">
        <f>IF(COUNTIF(data2!$D:$D,D2718)=0,"Missing in Data2","Present")</f>
        <v>Present</v>
      </c>
    </row>
    <row r="2719" spans="1:5" x14ac:dyDescent="0.25">
      <c r="A2719" s="2" t="s">
        <v>2784</v>
      </c>
      <c r="B2719" s="2" t="s">
        <v>907</v>
      </c>
      <c r="C2719" s="2">
        <v>5</v>
      </c>
      <c r="D2719" t="str">
        <f t="shared" si="42"/>
        <v>CA-2015-145352_OFF-BI-10003527</v>
      </c>
      <c r="E2719" t="str">
        <f>IF(COUNTIF(data2!$D:$D,D2719)=0,"Missing in Data2","Present")</f>
        <v>Present</v>
      </c>
    </row>
    <row r="2720" spans="1:5" x14ac:dyDescent="0.25">
      <c r="A2720" s="2" t="s">
        <v>2784</v>
      </c>
      <c r="B2720" s="2" t="s">
        <v>1024</v>
      </c>
      <c r="C2720" s="2">
        <v>3</v>
      </c>
      <c r="D2720" t="str">
        <f t="shared" si="42"/>
        <v>CA-2015-145352_OFF-ST-10001228</v>
      </c>
      <c r="E2720" t="str">
        <f>IF(COUNTIF(data2!$D:$D,D2720)=0,"Missing in Data2","Present")</f>
        <v>Present</v>
      </c>
    </row>
    <row r="2721" spans="1:5" x14ac:dyDescent="0.25">
      <c r="A2721" s="2" t="s">
        <v>2786</v>
      </c>
      <c r="B2721" s="2" t="s">
        <v>2556</v>
      </c>
      <c r="C2721" s="2">
        <v>2</v>
      </c>
      <c r="D2721" t="str">
        <f t="shared" si="42"/>
        <v>CA-2015-145394_OFF-ST-10000344</v>
      </c>
      <c r="E2721" t="str">
        <f>IF(COUNTIF(data2!$D:$D,D2721)=0,"Missing in Data2","Present")</f>
        <v>Present</v>
      </c>
    </row>
    <row r="2722" spans="1:5" x14ac:dyDescent="0.25">
      <c r="A2722" s="2" t="s">
        <v>2786</v>
      </c>
      <c r="B2722" s="2" t="s">
        <v>87</v>
      </c>
      <c r="C2722" s="2">
        <v>3</v>
      </c>
      <c r="D2722" t="str">
        <f t="shared" si="42"/>
        <v>CA-2015-145394_TEC-PH-10001051</v>
      </c>
      <c r="E2722" t="str">
        <f>IF(COUNTIF(data2!$D:$D,D2722)=0,"Missing in Data2","Present")</f>
        <v>Present</v>
      </c>
    </row>
    <row r="2723" spans="1:5" x14ac:dyDescent="0.25">
      <c r="A2723" s="2" t="s">
        <v>2787</v>
      </c>
      <c r="B2723" s="2" t="s">
        <v>1827</v>
      </c>
      <c r="C2723" s="2">
        <v>3</v>
      </c>
      <c r="D2723" t="str">
        <f t="shared" si="42"/>
        <v>CA-2015-145415_OFF-ST-10000419</v>
      </c>
      <c r="E2723" t="str">
        <f>IF(COUNTIF(data2!$D:$D,D2723)=0,"Missing in Data2","Present")</f>
        <v>Present</v>
      </c>
    </row>
    <row r="2724" spans="1:5" x14ac:dyDescent="0.25">
      <c r="A2724" s="2" t="s">
        <v>2788</v>
      </c>
      <c r="B2724" s="2" t="s">
        <v>2789</v>
      </c>
      <c r="C2724" s="2">
        <v>5</v>
      </c>
      <c r="D2724" t="str">
        <f t="shared" si="42"/>
        <v>CA-2015-145457_FUR-FU-10003832</v>
      </c>
      <c r="E2724" t="str">
        <f>IF(COUNTIF(data2!$D:$D,D2724)=0,"Missing in Data2","Present")</f>
        <v>Present</v>
      </c>
    </row>
    <row r="2725" spans="1:5" x14ac:dyDescent="0.25">
      <c r="A2725" s="2" t="s">
        <v>2790</v>
      </c>
      <c r="B2725" s="2" t="s">
        <v>2791</v>
      </c>
      <c r="C2725" s="2">
        <v>4</v>
      </c>
      <c r="D2725" t="str">
        <f t="shared" si="42"/>
        <v>CA-2015-145485_OFF-ST-10000649</v>
      </c>
      <c r="E2725" t="str">
        <f>IF(COUNTIF(data2!$D:$D,D2725)=0,"Missing in Data2","Present")</f>
        <v>Present</v>
      </c>
    </row>
    <row r="2726" spans="1:5" x14ac:dyDescent="0.25">
      <c r="A2726" s="2" t="s">
        <v>2792</v>
      </c>
      <c r="B2726" s="2" t="s">
        <v>1525</v>
      </c>
      <c r="C2726" s="2">
        <v>2</v>
      </c>
      <c r="D2726" t="str">
        <f t="shared" si="42"/>
        <v>CA-2015-145814_OFF-BI-10003196</v>
      </c>
      <c r="E2726" t="str">
        <f>IF(COUNTIF(data2!$D:$D,D2726)=0,"Missing in Data2","Present")</f>
        <v>Present</v>
      </c>
    </row>
    <row r="2727" spans="1:5" x14ac:dyDescent="0.25">
      <c r="A2727" s="2" t="s">
        <v>2792</v>
      </c>
      <c r="B2727" s="2" t="s">
        <v>2715</v>
      </c>
      <c r="C2727" s="2">
        <v>4</v>
      </c>
      <c r="D2727" t="str">
        <f t="shared" si="42"/>
        <v>CA-2015-145814_TEC-PH-10002200</v>
      </c>
      <c r="E2727" t="str">
        <f>IF(COUNTIF(data2!$D:$D,D2727)=0,"Missing in Data2","Present")</f>
        <v>Present</v>
      </c>
    </row>
    <row r="2728" spans="1:5" x14ac:dyDescent="0.25">
      <c r="A2728" s="2" t="s">
        <v>2793</v>
      </c>
      <c r="B2728" s="2" t="s">
        <v>2794</v>
      </c>
      <c r="C2728" s="2">
        <v>3</v>
      </c>
      <c r="D2728" t="str">
        <f t="shared" si="42"/>
        <v>CA-2015-145821_TEC-PH-10004348</v>
      </c>
      <c r="E2728" t="str">
        <f>IF(COUNTIF(data2!$D:$D,D2728)=0,"Missing in Data2","Present")</f>
        <v>Present</v>
      </c>
    </row>
    <row r="2729" spans="1:5" x14ac:dyDescent="0.25">
      <c r="A2729" s="2" t="s">
        <v>2795</v>
      </c>
      <c r="B2729" s="2" t="s">
        <v>731</v>
      </c>
      <c r="C2729" s="2">
        <v>3</v>
      </c>
      <c r="D2729" t="str">
        <f t="shared" si="42"/>
        <v>CA-2015-145828_TEC-AC-10002323</v>
      </c>
      <c r="E2729" t="str">
        <f>IF(COUNTIF(data2!$D:$D,D2729)=0,"Missing in Data2","Present")</f>
        <v>Present</v>
      </c>
    </row>
    <row r="2730" spans="1:5" x14ac:dyDescent="0.25">
      <c r="A2730" s="2" t="s">
        <v>2796</v>
      </c>
      <c r="B2730" s="2" t="s">
        <v>913</v>
      </c>
      <c r="C2730" s="2">
        <v>4</v>
      </c>
      <c r="D2730" t="str">
        <f t="shared" si="42"/>
        <v>CA-2015-145835_OFF-FA-10002280</v>
      </c>
      <c r="E2730" t="str">
        <f>IF(COUNTIF(data2!$D:$D,D2730)=0,"Missing in Data2","Present")</f>
        <v>Present</v>
      </c>
    </row>
    <row r="2731" spans="1:5" x14ac:dyDescent="0.25">
      <c r="A2731" s="2" t="s">
        <v>2796</v>
      </c>
      <c r="B2731" s="2" t="s">
        <v>1205</v>
      </c>
      <c r="C2731" s="2">
        <v>2</v>
      </c>
      <c r="D2731" t="str">
        <f t="shared" si="42"/>
        <v>CA-2015-145835_TEC-PH-10004447</v>
      </c>
      <c r="E2731" t="str">
        <f>IF(COUNTIF(data2!$D:$D,D2731)=0,"Missing in Data2","Present")</f>
        <v>Present</v>
      </c>
    </row>
    <row r="2732" spans="1:5" x14ac:dyDescent="0.25">
      <c r="A2732" s="2" t="s">
        <v>2797</v>
      </c>
      <c r="B2732" s="2" t="s">
        <v>2616</v>
      </c>
      <c r="C2732" s="2">
        <v>8</v>
      </c>
      <c r="D2732" t="str">
        <f t="shared" si="42"/>
        <v>CA-2015-145849_OFF-AR-10000817</v>
      </c>
      <c r="E2732" t="str">
        <f>IF(COUNTIF(data2!$D:$D,D2732)=0,"Missing in Data2","Present")</f>
        <v>Present</v>
      </c>
    </row>
    <row r="2733" spans="1:5" x14ac:dyDescent="0.25">
      <c r="A2733" s="2" t="s">
        <v>2797</v>
      </c>
      <c r="B2733" s="2" t="s">
        <v>1657</v>
      </c>
      <c r="C2733" s="2">
        <v>2</v>
      </c>
      <c r="D2733" t="str">
        <f t="shared" si="42"/>
        <v>CA-2015-145849_OFF-ST-10000025</v>
      </c>
      <c r="E2733" t="str">
        <f>IF(COUNTIF(data2!$D:$D,D2733)=0,"Missing in Data2","Present")</f>
        <v>Missing in Data2</v>
      </c>
    </row>
    <row r="2734" spans="1:5" x14ac:dyDescent="0.25">
      <c r="A2734" s="2" t="s">
        <v>2798</v>
      </c>
      <c r="B2734" s="2" t="s">
        <v>1207</v>
      </c>
      <c r="C2734" s="2">
        <v>5</v>
      </c>
      <c r="D2734" t="str">
        <f t="shared" si="42"/>
        <v>CA-2015-146038_FUR-CH-10002774</v>
      </c>
      <c r="E2734" t="str">
        <f>IF(COUNTIF(data2!$D:$D,D2734)=0,"Missing in Data2","Present")</f>
        <v>Present</v>
      </c>
    </row>
    <row r="2735" spans="1:5" x14ac:dyDescent="0.25">
      <c r="A2735" s="2" t="s">
        <v>2799</v>
      </c>
      <c r="B2735" s="2" t="s">
        <v>2800</v>
      </c>
      <c r="C2735" s="2">
        <v>2</v>
      </c>
      <c r="D2735" t="str">
        <f t="shared" si="42"/>
        <v>CA-2015-146087_FUR-BO-10002824</v>
      </c>
      <c r="E2735" t="str">
        <f>IF(COUNTIF(data2!$D:$D,D2735)=0,"Missing in Data2","Present")</f>
        <v>Present</v>
      </c>
    </row>
    <row r="2736" spans="1:5" x14ac:dyDescent="0.25">
      <c r="A2736" s="2" t="s">
        <v>2801</v>
      </c>
      <c r="B2736" s="2" t="s">
        <v>59</v>
      </c>
      <c r="C2736" s="2">
        <v>2</v>
      </c>
      <c r="D2736" t="str">
        <f t="shared" si="42"/>
        <v>CA-2015-146255_OFF-BI-10000309</v>
      </c>
      <c r="E2736" t="str">
        <f>IF(COUNTIF(data2!$D:$D,D2736)=0,"Missing in Data2","Present")</f>
        <v>Present</v>
      </c>
    </row>
    <row r="2737" spans="1:5" x14ac:dyDescent="0.25">
      <c r="A2737" s="2" t="s">
        <v>2801</v>
      </c>
      <c r="B2737" s="2" t="s">
        <v>224</v>
      </c>
      <c r="C2737" s="2">
        <v>2</v>
      </c>
      <c r="D2737" t="str">
        <f t="shared" si="42"/>
        <v>CA-2015-146255_OFF-BI-10001765</v>
      </c>
      <c r="E2737" t="str">
        <f>IF(COUNTIF(data2!$D:$D,D2737)=0,"Missing in Data2","Present")</f>
        <v>Present</v>
      </c>
    </row>
    <row r="2738" spans="1:5" x14ac:dyDescent="0.25">
      <c r="A2738" s="2" t="s">
        <v>2801</v>
      </c>
      <c r="B2738" s="2" t="s">
        <v>2802</v>
      </c>
      <c r="C2738" s="2">
        <v>3</v>
      </c>
      <c r="D2738" t="str">
        <f t="shared" si="42"/>
        <v>CA-2015-146255_TEC-AC-10004469</v>
      </c>
      <c r="E2738" t="str">
        <f>IF(COUNTIF(data2!$D:$D,D2738)=0,"Missing in Data2","Present")</f>
        <v>Present</v>
      </c>
    </row>
    <row r="2739" spans="1:5" x14ac:dyDescent="0.25">
      <c r="A2739" s="2" t="s">
        <v>2801</v>
      </c>
      <c r="B2739" s="2" t="s">
        <v>1892</v>
      </c>
      <c r="C2739" s="2">
        <v>3</v>
      </c>
      <c r="D2739" t="str">
        <f t="shared" si="42"/>
        <v>CA-2015-146255_TEC-PH-10001619</v>
      </c>
      <c r="E2739" t="str">
        <f>IF(COUNTIF(data2!$D:$D,D2739)=0,"Missing in Data2","Present")</f>
        <v>Present</v>
      </c>
    </row>
    <row r="2740" spans="1:5" x14ac:dyDescent="0.25">
      <c r="A2740" s="2" t="s">
        <v>2803</v>
      </c>
      <c r="B2740" s="2" t="s">
        <v>2278</v>
      </c>
      <c r="C2740" s="2">
        <v>5</v>
      </c>
      <c r="D2740" t="str">
        <f t="shared" si="42"/>
        <v>CA-2015-146262_FUR-BO-10004695</v>
      </c>
      <c r="E2740" t="str">
        <f>IF(COUNTIF(data2!$D:$D,D2740)=0,"Missing in Data2","Present")</f>
        <v>Present</v>
      </c>
    </row>
    <row r="2741" spans="1:5" x14ac:dyDescent="0.25">
      <c r="A2741" s="2" t="s">
        <v>2803</v>
      </c>
      <c r="B2741" s="2" t="s">
        <v>2582</v>
      </c>
      <c r="C2741" s="2">
        <v>2</v>
      </c>
      <c r="D2741" t="str">
        <f t="shared" si="42"/>
        <v>CA-2015-146262_OFF-LA-10004544</v>
      </c>
      <c r="E2741" t="str">
        <f>IF(COUNTIF(data2!$D:$D,D2741)=0,"Missing in Data2","Present")</f>
        <v>Present</v>
      </c>
    </row>
    <row r="2742" spans="1:5" x14ac:dyDescent="0.25">
      <c r="A2742" s="2" t="s">
        <v>2803</v>
      </c>
      <c r="B2742" s="2" t="s">
        <v>185</v>
      </c>
      <c r="C2742" s="2">
        <v>2</v>
      </c>
      <c r="D2742" t="str">
        <f t="shared" si="42"/>
        <v>CA-2015-146262_TEC-AC-10000109</v>
      </c>
      <c r="E2742" t="str">
        <f>IF(COUNTIF(data2!$D:$D,D2742)=0,"Missing in Data2","Present")</f>
        <v>Present</v>
      </c>
    </row>
    <row r="2743" spans="1:5" x14ac:dyDescent="0.25">
      <c r="A2743" s="2" t="s">
        <v>2803</v>
      </c>
      <c r="B2743" s="2" t="s">
        <v>1891</v>
      </c>
      <c r="C2743" s="2">
        <v>9</v>
      </c>
      <c r="D2743" t="str">
        <f t="shared" si="42"/>
        <v>CA-2015-146262_TEC-MA-10000864</v>
      </c>
      <c r="E2743" t="str">
        <f>IF(COUNTIF(data2!$D:$D,D2743)=0,"Missing in Data2","Present")</f>
        <v>Present</v>
      </c>
    </row>
    <row r="2744" spans="1:5" x14ac:dyDescent="0.25">
      <c r="A2744" s="2" t="s">
        <v>2803</v>
      </c>
      <c r="B2744" s="2" t="s">
        <v>1937</v>
      </c>
      <c r="C2744" s="2">
        <v>3</v>
      </c>
      <c r="D2744" t="str">
        <f t="shared" si="42"/>
        <v>CA-2015-146262_TEC-PH-10002844</v>
      </c>
      <c r="E2744" t="str">
        <f>IF(COUNTIF(data2!$D:$D,D2744)=0,"Missing in Data2","Present")</f>
        <v>Present</v>
      </c>
    </row>
    <row r="2745" spans="1:5" x14ac:dyDescent="0.25">
      <c r="A2745" s="2" t="s">
        <v>2804</v>
      </c>
      <c r="B2745" s="2" t="s">
        <v>1080</v>
      </c>
      <c r="C2745" s="2">
        <v>7</v>
      </c>
      <c r="D2745" t="str">
        <f t="shared" si="42"/>
        <v>CA-2015-146290_OFF-AR-10001897</v>
      </c>
      <c r="E2745" t="str">
        <f>IF(COUNTIF(data2!$D:$D,D2745)=0,"Missing in Data2","Present")</f>
        <v>Present</v>
      </c>
    </row>
    <row r="2746" spans="1:5" x14ac:dyDescent="0.25">
      <c r="A2746" s="2" t="s">
        <v>2805</v>
      </c>
      <c r="B2746" s="2" t="s">
        <v>2806</v>
      </c>
      <c r="C2746" s="2">
        <v>9</v>
      </c>
      <c r="D2746" t="str">
        <f t="shared" si="42"/>
        <v>CA-2015-146465_OFF-BI-10004528</v>
      </c>
      <c r="E2746" t="str">
        <f>IF(COUNTIF(data2!$D:$D,D2746)=0,"Missing in Data2","Present")</f>
        <v>Present</v>
      </c>
    </row>
    <row r="2747" spans="1:5" x14ac:dyDescent="0.25">
      <c r="A2747" s="2" t="s">
        <v>2807</v>
      </c>
      <c r="B2747" s="2" t="s">
        <v>2505</v>
      </c>
      <c r="C2747" s="2">
        <v>6</v>
      </c>
      <c r="D2747" t="str">
        <f t="shared" si="42"/>
        <v>CA-2015-146486_OFF-EN-10001509</v>
      </c>
      <c r="E2747" t="str">
        <f>IF(COUNTIF(data2!$D:$D,D2747)=0,"Missing in Data2","Present")</f>
        <v>Present</v>
      </c>
    </row>
    <row r="2748" spans="1:5" x14ac:dyDescent="0.25">
      <c r="A2748" s="2" t="s">
        <v>2807</v>
      </c>
      <c r="B2748" s="2" t="s">
        <v>1756</v>
      </c>
      <c r="C2748" s="2">
        <v>5</v>
      </c>
      <c r="D2748" t="str">
        <f t="shared" si="42"/>
        <v>CA-2015-146486_OFF-ST-10002554</v>
      </c>
      <c r="E2748" t="str">
        <f>IF(COUNTIF(data2!$D:$D,D2748)=0,"Missing in Data2","Present")</f>
        <v>Present</v>
      </c>
    </row>
    <row r="2749" spans="1:5" x14ac:dyDescent="0.25">
      <c r="A2749" s="2" t="s">
        <v>2807</v>
      </c>
      <c r="B2749" s="2" t="s">
        <v>2124</v>
      </c>
      <c r="C2749" s="2">
        <v>2</v>
      </c>
      <c r="D2749" t="str">
        <f t="shared" si="42"/>
        <v>CA-2015-146486_TEC-AC-10002018</v>
      </c>
      <c r="E2749" t="str">
        <f>IF(COUNTIF(data2!$D:$D,D2749)=0,"Missing in Data2","Present")</f>
        <v>Present</v>
      </c>
    </row>
    <row r="2750" spans="1:5" x14ac:dyDescent="0.25">
      <c r="A2750" s="2" t="s">
        <v>2807</v>
      </c>
      <c r="B2750" s="2" t="s">
        <v>2808</v>
      </c>
      <c r="C2750" s="2">
        <v>5</v>
      </c>
      <c r="D2750" t="str">
        <f t="shared" si="42"/>
        <v>CA-2015-146486_TEC-AC-10002637</v>
      </c>
      <c r="E2750" t="str">
        <f>IF(COUNTIF(data2!$D:$D,D2750)=0,"Missing in Data2","Present")</f>
        <v>Present</v>
      </c>
    </row>
    <row r="2751" spans="1:5" x14ac:dyDescent="0.25">
      <c r="A2751" s="2" t="s">
        <v>2809</v>
      </c>
      <c r="B2751" s="2" t="s">
        <v>1105</v>
      </c>
      <c r="C2751" s="2">
        <v>3</v>
      </c>
      <c r="D2751" t="str">
        <f t="shared" si="42"/>
        <v>CA-2015-146563_OFF-BI-10003981</v>
      </c>
      <c r="E2751" t="str">
        <f>IF(COUNTIF(data2!$D:$D,D2751)=0,"Missing in Data2","Present")</f>
        <v>Present</v>
      </c>
    </row>
    <row r="2752" spans="1:5" x14ac:dyDescent="0.25">
      <c r="A2752" s="2" t="s">
        <v>2809</v>
      </c>
      <c r="B2752" s="2" t="s">
        <v>34</v>
      </c>
      <c r="C2752" s="2">
        <v>7</v>
      </c>
      <c r="D2752" t="str">
        <f t="shared" si="42"/>
        <v>CA-2015-146563_OFF-ST-10001490</v>
      </c>
      <c r="E2752" t="str">
        <f>IF(COUNTIF(data2!$D:$D,D2752)=0,"Missing in Data2","Present")</f>
        <v>Present</v>
      </c>
    </row>
    <row r="2753" spans="1:5" x14ac:dyDescent="0.25">
      <c r="A2753" s="2" t="s">
        <v>2809</v>
      </c>
      <c r="B2753" s="2" t="s">
        <v>81</v>
      </c>
      <c r="C2753" s="2">
        <v>14</v>
      </c>
      <c r="D2753" t="str">
        <f t="shared" si="42"/>
        <v>CA-2015-146563_OFF-ST-10001511</v>
      </c>
      <c r="E2753" t="str">
        <f>IF(COUNTIF(data2!$D:$D,D2753)=0,"Missing in Data2","Present")</f>
        <v>Present</v>
      </c>
    </row>
    <row r="2754" spans="1:5" x14ac:dyDescent="0.25">
      <c r="A2754" s="2" t="s">
        <v>2810</v>
      </c>
      <c r="B2754" s="2" t="s">
        <v>1877</v>
      </c>
      <c r="C2754" s="2">
        <v>3</v>
      </c>
      <c r="D2754" t="str">
        <f t="shared" si="42"/>
        <v>CA-2015-146675_TEC-AC-10004396</v>
      </c>
      <c r="E2754" t="str">
        <f>IF(COUNTIF(data2!$D:$D,D2754)=0,"Missing in Data2","Present")</f>
        <v>Present</v>
      </c>
    </row>
    <row r="2755" spans="1:5" x14ac:dyDescent="0.25">
      <c r="A2755" s="2" t="s">
        <v>2810</v>
      </c>
      <c r="B2755" s="2" t="s">
        <v>1142</v>
      </c>
      <c r="C2755" s="2">
        <v>4</v>
      </c>
      <c r="D2755" t="str">
        <f t="shared" ref="D2755:D2818" si="43">A2755&amp;"_"&amp;B2755</f>
        <v>CA-2015-146675_TEC-CO-10001766</v>
      </c>
      <c r="E2755" t="str">
        <f>IF(COUNTIF(data2!$D:$D,D2755)=0,"Missing in Data2","Present")</f>
        <v>Present</v>
      </c>
    </row>
    <row r="2756" spans="1:5" x14ac:dyDescent="0.25">
      <c r="A2756" s="2" t="s">
        <v>2811</v>
      </c>
      <c r="B2756" s="2" t="s">
        <v>1338</v>
      </c>
      <c r="C2756" s="2">
        <v>2</v>
      </c>
      <c r="D2756" t="str">
        <f t="shared" si="43"/>
        <v>CA-2015-146696_OFF-BI-10002432</v>
      </c>
      <c r="E2756" t="str">
        <f>IF(COUNTIF(data2!$D:$D,D2756)=0,"Missing in Data2","Present")</f>
        <v>Present</v>
      </c>
    </row>
    <row r="2757" spans="1:5" x14ac:dyDescent="0.25">
      <c r="A2757" s="2" t="s">
        <v>2812</v>
      </c>
      <c r="B2757" s="2" t="s">
        <v>2726</v>
      </c>
      <c r="C2757" s="2">
        <v>2</v>
      </c>
      <c r="D2757" t="str">
        <f t="shared" si="43"/>
        <v>CA-2015-146829_OFF-BI-10004022</v>
      </c>
      <c r="E2757" t="str">
        <f>IF(COUNTIF(data2!$D:$D,D2757)=0,"Missing in Data2","Present")</f>
        <v>Missing in Data2</v>
      </c>
    </row>
    <row r="2758" spans="1:5" x14ac:dyDescent="0.25">
      <c r="A2758" s="2" t="s">
        <v>2813</v>
      </c>
      <c r="B2758" s="2" t="s">
        <v>1894</v>
      </c>
      <c r="C2758" s="2">
        <v>1</v>
      </c>
      <c r="D2758" t="str">
        <f t="shared" si="43"/>
        <v>CA-2015-146948_FUR-CH-10004853</v>
      </c>
      <c r="E2758" t="str">
        <f>IF(COUNTIF(data2!$D:$D,D2758)=0,"Missing in Data2","Present")</f>
        <v>Present</v>
      </c>
    </row>
    <row r="2759" spans="1:5" x14ac:dyDescent="0.25">
      <c r="A2759" s="2" t="s">
        <v>2813</v>
      </c>
      <c r="B2759" s="2" t="s">
        <v>2574</v>
      </c>
      <c r="C2759" s="2">
        <v>9</v>
      </c>
      <c r="D2759" t="str">
        <f t="shared" si="43"/>
        <v>CA-2015-146948_OFF-EN-10000483</v>
      </c>
      <c r="E2759" t="str">
        <f>IF(COUNTIF(data2!$D:$D,D2759)=0,"Missing in Data2","Present")</f>
        <v>Present</v>
      </c>
    </row>
    <row r="2760" spans="1:5" x14ac:dyDescent="0.25">
      <c r="A2760" s="2" t="s">
        <v>2813</v>
      </c>
      <c r="B2760" s="2" t="s">
        <v>2814</v>
      </c>
      <c r="C2760" s="2">
        <v>4</v>
      </c>
      <c r="D2760" t="str">
        <f t="shared" si="43"/>
        <v>CA-2015-146948_OFF-FA-10001332</v>
      </c>
      <c r="E2760" t="str">
        <f>IF(COUNTIF(data2!$D:$D,D2760)=0,"Missing in Data2","Present")</f>
        <v>Present</v>
      </c>
    </row>
    <row r="2761" spans="1:5" x14ac:dyDescent="0.25">
      <c r="A2761" s="2" t="s">
        <v>2815</v>
      </c>
      <c r="B2761" s="2" t="s">
        <v>236</v>
      </c>
      <c r="C2761" s="2">
        <v>4</v>
      </c>
      <c r="D2761" t="str">
        <f t="shared" si="43"/>
        <v>CA-2015-147011_OFF-AR-10002399</v>
      </c>
      <c r="E2761" t="str">
        <f>IF(COUNTIF(data2!$D:$D,D2761)=0,"Missing in Data2","Present")</f>
        <v>Present</v>
      </c>
    </row>
    <row r="2762" spans="1:5" x14ac:dyDescent="0.25">
      <c r="A2762" s="2" t="s">
        <v>2816</v>
      </c>
      <c r="B2762" s="2" t="s">
        <v>2817</v>
      </c>
      <c r="C2762" s="2">
        <v>4</v>
      </c>
      <c r="D2762" t="str">
        <f t="shared" si="43"/>
        <v>CA-2015-147102_TEC-AC-10000682</v>
      </c>
      <c r="E2762" t="str">
        <f>IF(COUNTIF(data2!$D:$D,D2762)=0,"Missing in Data2","Present")</f>
        <v>Present</v>
      </c>
    </row>
    <row r="2763" spans="1:5" x14ac:dyDescent="0.25">
      <c r="A2763" s="2" t="s">
        <v>2818</v>
      </c>
      <c r="B2763" s="2" t="s">
        <v>2819</v>
      </c>
      <c r="C2763" s="2">
        <v>2</v>
      </c>
      <c r="D2763" t="str">
        <f t="shared" si="43"/>
        <v>CA-2015-147501_OFF-BI-10002003</v>
      </c>
      <c r="E2763" t="str">
        <f>IF(COUNTIF(data2!$D:$D,D2763)=0,"Missing in Data2","Present")</f>
        <v>Present</v>
      </c>
    </row>
    <row r="2764" spans="1:5" x14ac:dyDescent="0.25">
      <c r="A2764" s="2" t="s">
        <v>2818</v>
      </c>
      <c r="B2764" s="2" t="s">
        <v>1762</v>
      </c>
      <c r="C2764" s="2">
        <v>2</v>
      </c>
      <c r="D2764" t="str">
        <f t="shared" si="43"/>
        <v>CA-2015-147501_TEC-MA-10001972</v>
      </c>
      <c r="E2764" t="str">
        <f>IF(COUNTIF(data2!$D:$D,D2764)=0,"Missing in Data2","Present")</f>
        <v>Present</v>
      </c>
    </row>
    <row r="2765" spans="1:5" x14ac:dyDescent="0.25">
      <c r="A2765" s="2" t="s">
        <v>2820</v>
      </c>
      <c r="B2765" s="2" t="s">
        <v>18</v>
      </c>
      <c r="C2765" s="2">
        <v>5</v>
      </c>
      <c r="D2765" t="str">
        <f t="shared" si="43"/>
        <v>CA-2015-147529_OFF-EN-10000056</v>
      </c>
      <c r="E2765" t="str">
        <f>IF(COUNTIF(data2!$D:$D,D2765)=0,"Missing in Data2","Present")</f>
        <v>Present</v>
      </c>
    </row>
    <row r="2766" spans="1:5" x14ac:dyDescent="0.25">
      <c r="A2766" s="2" t="s">
        <v>2820</v>
      </c>
      <c r="B2766" s="2" t="s">
        <v>105</v>
      </c>
      <c r="C2766" s="2">
        <v>2</v>
      </c>
      <c r="D2766" t="str">
        <f t="shared" si="43"/>
        <v>CA-2015-147529_OFF-PA-10003349</v>
      </c>
      <c r="E2766" t="str">
        <f>IF(COUNTIF(data2!$D:$D,D2766)=0,"Missing in Data2","Present")</f>
        <v>Present</v>
      </c>
    </row>
    <row r="2767" spans="1:5" x14ac:dyDescent="0.25">
      <c r="A2767" s="2" t="s">
        <v>2821</v>
      </c>
      <c r="B2767" s="2" t="s">
        <v>2019</v>
      </c>
      <c r="C2767" s="2">
        <v>6</v>
      </c>
      <c r="D2767" t="str">
        <f t="shared" si="43"/>
        <v>CA-2015-147690_OFF-ST-10001526</v>
      </c>
      <c r="E2767" t="str">
        <f>IF(COUNTIF(data2!$D:$D,D2767)=0,"Missing in Data2","Present")</f>
        <v>Present</v>
      </c>
    </row>
    <row r="2768" spans="1:5" x14ac:dyDescent="0.25">
      <c r="A2768" s="2" t="s">
        <v>2822</v>
      </c>
      <c r="B2768" s="2" t="s">
        <v>1958</v>
      </c>
      <c r="C2768" s="2">
        <v>7</v>
      </c>
      <c r="D2768" t="str">
        <f t="shared" si="43"/>
        <v>CA-2015-147788_FUR-BO-10004357</v>
      </c>
      <c r="E2768" t="str">
        <f>IF(COUNTIF(data2!$D:$D,D2768)=0,"Missing in Data2","Present")</f>
        <v>Present</v>
      </c>
    </row>
    <row r="2769" spans="1:5" x14ac:dyDescent="0.25">
      <c r="A2769" s="2" t="s">
        <v>2822</v>
      </c>
      <c r="B2769" s="2" t="s">
        <v>1849</v>
      </c>
      <c r="C2769" s="2">
        <v>5</v>
      </c>
      <c r="D2769" t="str">
        <f t="shared" si="43"/>
        <v>CA-2015-147788_OFF-LA-10003766</v>
      </c>
      <c r="E2769" t="str">
        <f>IF(COUNTIF(data2!$D:$D,D2769)=0,"Missing in Data2","Present")</f>
        <v>Present</v>
      </c>
    </row>
    <row r="2770" spans="1:5" x14ac:dyDescent="0.25">
      <c r="A2770" s="2" t="s">
        <v>2822</v>
      </c>
      <c r="B2770" s="2" t="s">
        <v>435</v>
      </c>
      <c r="C2770" s="2">
        <v>2</v>
      </c>
      <c r="D2770" t="str">
        <f t="shared" si="43"/>
        <v>CA-2015-147788_OFF-ST-10000046</v>
      </c>
      <c r="E2770" t="str">
        <f>IF(COUNTIF(data2!$D:$D,D2770)=0,"Missing in Data2","Present")</f>
        <v>Present</v>
      </c>
    </row>
    <row r="2771" spans="1:5" x14ac:dyDescent="0.25">
      <c r="A2771" s="2" t="s">
        <v>2823</v>
      </c>
      <c r="B2771" s="2" t="s">
        <v>934</v>
      </c>
      <c r="C2771" s="2">
        <v>2</v>
      </c>
      <c r="D2771" t="str">
        <f t="shared" si="43"/>
        <v>CA-2015-147816_TEC-PH-10003095</v>
      </c>
      <c r="E2771" t="str">
        <f>IF(COUNTIF(data2!$D:$D,D2771)=0,"Missing in Data2","Present")</f>
        <v>Present</v>
      </c>
    </row>
    <row r="2772" spans="1:5" x14ac:dyDescent="0.25">
      <c r="A2772" s="2" t="s">
        <v>2824</v>
      </c>
      <c r="B2772" s="2" t="s">
        <v>118</v>
      </c>
      <c r="C2772" s="2">
        <v>7</v>
      </c>
      <c r="D2772" t="str">
        <f t="shared" si="43"/>
        <v>CA-2015-147830_FUR-FU-10004091</v>
      </c>
      <c r="E2772" t="str">
        <f>IF(COUNTIF(data2!$D:$D,D2772)=0,"Missing in Data2","Present")</f>
        <v>Present</v>
      </c>
    </row>
    <row r="2773" spans="1:5" x14ac:dyDescent="0.25">
      <c r="A2773" s="2" t="s">
        <v>2824</v>
      </c>
      <c r="B2773" s="2" t="s">
        <v>1053</v>
      </c>
      <c r="C2773" s="2">
        <v>6</v>
      </c>
      <c r="D2773" t="str">
        <f t="shared" si="43"/>
        <v>CA-2015-147830_TEC-AC-10002049</v>
      </c>
      <c r="E2773" t="str">
        <f>IF(COUNTIF(data2!$D:$D,D2773)=0,"Missing in Data2","Present")</f>
        <v>Present</v>
      </c>
    </row>
    <row r="2774" spans="1:5" x14ac:dyDescent="0.25">
      <c r="A2774" s="2" t="s">
        <v>2824</v>
      </c>
      <c r="B2774" s="2" t="s">
        <v>2825</v>
      </c>
      <c r="C2774" s="2">
        <v>2</v>
      </c>
      <c r="D2774" t="str">
        <f t="shared" si="43"/>
        <v>CA-2015-147830_TEC-MA-10000418</v>
      </c>
      <c r="E2774" t="str">
        <f>IF(COUNTIF(data2!$D:$D,D2774)=0,"Missing in Data2","Present")</f>
        <v>Present</v>
      </c>
    </row>
    <row r="2775" spans="1:5" x14ac:dyDescent="0.25">
      <c r="A2775" s="2" t="s">
        <v>2824</v>
      </c>
      <c r="B2775" s="2" t="s">
        <v>2563</v>
      </c>
      <c r="C2775" s="2">
        <v>2</v>
      </c>
      <c r="D2775" t="str">
        <f t="shared" si="43"/>
        <v>CA-2015-147830_TEC-PH-10004908</v>
      </c>
      <c r="E2775" t="str">
        <f>IF(COUNTIF(data2!$D:$D,D2775)=0,"Missing in Data2","Present")</f>
        <v>Present</v>
      </c>
    </row>
    <row r="2776" spans="1:5" x14ac:dyDescent="0.25">
      <c r="A2776" s="2" t="s">
        <v>2826</v>
      </c>
      <c r="B2776" s="2" t="s">
        <v>2806</v>
      </c>
      <c r="C2776" s="2">
        <v>4</v>
      </c>
      <c r="D2776" t="str">
        <f t="shared" si="43"/>
        <v>CA-2015-147851_OFF-BI-10004528</v>
      </c>
      <c r="E2776" t="str">
        <f>IF(COUNTIF(data2!$D:$D,D2776)=0,"Missing in Data2","Present")</f>
        <v>Present</v>
      </c>
    </row>
    <row r="2777" spans="1:5" x14ac:dyDescent="0.25">
      <c r="A2777" s="2" t="s">
        <v>2827</v>
      </c>
      <c r="B2777" s="2" t="s">
        <v>849</v>
      </c>
      <c r="C2777" s="2">
        <v>2</v>
      </c>
      <c r="D2777" t="str">
        <f t="shared" si="43"/>
        <v>CA-2015-147879_OFF-PA-10001952</v>
      </c>
      <c r="E2777" t="str">
        <f>IF(COUNTIF(data2!$D:$D,D2777)=0,"Missing in Data2","Present")</f>
        <v>Present</v>
      </c>
    </row>
    <row r="2778" spans="1:5" x14ac:dyDescent="0.25">
      <c r="A2778" s="2" t="s">
        <v>2828</v>
      </c>
      <c r="B2778" s="2" t="s">
        <v>585</v>
      </c>
      <c r="C2778" s="2">
        <v>5</v>
      </c>
      <c r="D2778" t="str">
        <f t="shared" si="43"/>
        <v>CA-2015-148180_OFF-AR-10002067</v>
      </c>
      <c r="E2778" t="str">
        <f>IF(COUNTIF(data2!$D:$D,D2778)=0,"Missing in Data2","Present")</f>
        <v>Present</v>
      </c>
    </row>
    <row r="2779" spans="1:5" x14ac:dyDescent="0.25">
      <c r="A2779" s="2" t="s">
        <v>2828</v>
      </c>
      <c r="B2779" s="2" t="s">
        <v>1789</v>
      </c>
      <c r="C2779" s="2">
        <v>3</v>
      </c>
      <c r="D2779" t="str">
        <f t="shared" si="43"/>
        <v>CA-2015-148180_OFF-BI-10000605</v>
      </c>
      <c r="E2779" t="str">
        <f>IF(COUNTIF(data2!$D:$D,D2779)=0,"Missing in Data2","Present")</f>
        <v>Present</v>
      </c>
    </row>
    <row r="2780" spans="1:5" x14ac:dyDescent="0.25">
      <c r="A2780" s="2" t="s">
        <v>2828</v>
      </c>
      <c r="B2780" s="2" t="s">
        <v>940</v>
      </c>
      <c r="C2780" s="2">
        <v>6</v>
      </c>
      <c r="D2780" t="str">
        <f t="shared" si="43"/>
        <v>CA-2015-148180_OFF-BI-10003314</v>
      </c>
      <c r="E2780" t="str">
        <f>IF(COUNTIF(data2!$D:$D,D2780)=0,"Missing in Data2","Present")</f>
        <v>Present</v>
      </c>
    </row>
    <row r="2781" spans="1:5" x14ac:dyDescent="0.25">
      <c r="A2781" s="2" t="s">
        <v>2829</v>
      </c>
      <c r="B2781" s="2" t="s">
        <v>2830</v>
      </c>
      <c r="C2781" s="2">
        <v>4</v>
      </c>
      <c r="D2781" t="str">
        <f t="shared" si="43"/>
        <v>CA-2015-148250_OFF-AP-10003040</v>
      </c>
      <c r="E2781" t="str">
        <f>IF(COUNTIF(data2!$D:$D,D2781)=0,"Missing in Data2","Present")</f>
        <v>Present</v>
      </c>
    </row>
    <row r="2782" spans="1:5" x14ac:dyDescent="0.25">
      <c r="A2782" s="2" t="s">
        <v>2829</v>
      </c>
      <c r="B2782" s="2" t="s">
        <v>961</v>
      </c>
      <c r="C2782" s="2">
        <v>2</v>
      </c>
      <c r="D2782" t="str">
        <f t="shared" si="43"/>
        <v>CA-2015-148250_OFF-PA-10000289</v>
      </c>
      <c r="E2782" t="str">
        <f>IF(COUNTIF(data2!$D:$D,D2782)=0,"Missing in Data2","Present")</f>
        <v>Present</v>
      </c>
    </row>
    <row r="2783" spans="1:5" x14ac:dyDescent="0.25">
      <c r="A2783" s="2" t="s">
        <v>2831</v>
      </c>
      <c r="B2783" s="2" t="s">
        <v>2832</v>
      </c>
      <c r="C2783" s="2">
        <v>7</v>
      </c>
      <c r="D2783" t="str">
        <f t="shared" si="43"/>
        <v>CA-2015-148376_OFF-LA-10002381</v>
      </c>
      <c r="E2783" t="str">
        <f>IF(COUNTIF(data2!$D:$D,D2783)=0,"Missing in Data2","Present")</f>
        <v>Present</v>
      </c>
    </row>
    <row r="2784" spans="1:5" x14ac:dyDescent="0.25">
      <c r="A2784" s="2" t="s">
        <v>2833</v>
      </c>
      <c r="B2784" s="2" t="s">
        <v>2834</v>
      </c>
      <c r="C2784" s="2">
        <v>7</v>
      </c>
      <c r="D2784" t="str">
        <f t="shared" si="43"/>
        <v>CA-2015-148432_OFF-FA-10004968</v>
      </c>
      <c r="E2784" t="str">
        <f>IF(COUNTIF(data2!$D:$D,D2784)=0,"Missing in Data2","Present")</f>
        <v>Present</v>
      </c>
    </row>
    <row r="2785" spans="1:5" x14ac:dyDescent="0.25">
      <c r="A2785" s="2" t="s">
        <v>2833</v>
      </c>
      <c r="B2785" s="2" t="s">
        <v>2218</v>
      </c>
      <c r="C2785" s="2">
        <v>2</v>
      </c>
      <c r="D2785" t="str">
        <f t="shared" si="43"/>
        <v>CA-2015-148432_OFF-PA-10001274</v>
      </c>
      <c r="E2785" t="str">
        <f>IF(COUNTIF(data2!$D:$D,D2785)=0,"Missing in Data2","Present")</f>
        <v>Present</v>
      </c>
    </row>
    <row r="2786" spans="1:5" x14ac:dyDescent="0.25">
      <c r="A2786" s="2" t="s">
        <v>2835</v>
      </c>
      <c r="B2786" s="2" t="s">
        <v>377</v>
      </c>
      <c r="C2786" s="2">
        <v>3</v>
      </c>
      <c r="D2786" t="str">
        <f t="shared" si="43"/>
        <v>CA-2015-148495_FUR-FU-10001889</v>
      </c>
      <c r="E2786" t="str">
        <f>IF(COUNTIF(data2!$D:$D,D2786)=0,"Missing in Data2","Present")</f>
        <v>Present</v>
      </c>
    </row>
    <row r="2787" spans="1:5" x14ac:dyDescent="0.25">
      <c r="A2787" s="2" t="s">
        <v>2836</v>
      </c>
      <c r="B2787" s="2" t="s">
        <v>957</v>
      </c>
      <c r="C2787" s="2">
        <v>5</v>
      </c>
      <c r="D2787" t="str">
        <f t="shared" si="43"/>
        <v>CA-2015-148628_OFF-PA-10003883</v>
      </c>
      <c r="E2787" t="str">
        <f>IF(COUNTIF(data2!$D:$D,D2787)=0,"Missing in Data2","Present")</f>
        <v>Present</v>
      </c>
    </row>
    <row r="2788" spans="1:5" x14ac:dyDescent="0.25">
      <c r="A2788" s="2" t="s">
        <v>2837</v>
      </c>
      <c r="B2788" s="2" t="s">
        <v>815</v>
      </c>
      <c r="C2788" s="2">
        <v>5</v>
      </c>
      <c r="D2788" t="str">
        <f t="shared" si="43"/>
        <v>CA-2015-148635_FUR-BO-10002213</v>
      </c>
      <c r="E2788" t="str">
        <f>IF(COUNTIF(data2!$D:$D,D2788)=0,"Missing in Data2","Present")</f>
        <v>Present</v>
      </c>
    </row>
    <row r="2789" spans="1:5" x14ac:dyDescent="0.25">
      <c r="A2789" s="2" t="s">
        <v>2837</v>
      </c>
      <c r="B2789" s="2" t="s">
        <v>658</v>
      </c>
      <c r="C2789" s="2">
        <v>2</v>
      </c>
      <c r="D2789" t="str">
        <f t="shared" si="43"/>
        <v>CA-2015-148635_FUR-CH-10001854</v>
      </c>
      <c r="E2789" t="str">
        <f>IF(COUNTIF(data2!$D:$D,D2789)=0,"Missing in Data2","Present")</f>
        <v>Present</v>
      </c>
    </row>
    <row r="2790" spans="1:5" x14ac:dyDescent="0.25">
      <c r="A2790" s="2" t="s">
        <v>2837</v>
      </c>
      <c r="B2790" s="2" t="s">
        <v>977</v>
      </c>
      <c r="C2790" s="2">
        <v>2</v>
      </c>
      <c r="D2790" t="str">
        <f t="shared" si="43"/>
        <v>CA-2015-148635_OFF-FA-10004395</v>
      </c>
      <c r="E2790" t="str">
        <f>IF(COUNTIF(data2!$D:$D,D2790)=0,"Missing in Data2","Present")</f>
        <v>Present</v>
      </c>
    </row>
    <row r="2791" spans="1:5" x14ac:dyDescent="0.25">
      <c r="A2791" s="2" t="s">
        <v>2837</v>
      </c>
      <c r="B2791" s="2" t="s">
        <v>2838</v>
      </c>
      <c r="C2791" s="2">
        <v>2</v>
      </c>
      <c r="D2791" t="str">
        <f t="shared" si="43"/>
        <v>CA-2015-148635_OFF-PA-10004782</v>
      </c>
      <c r="E2791" t="str">
        <f>IF(COUNTIF(data2!$D:$D,D2791)=0,"Missing in Data2","Present")</f>
        <v>Present</v>
      </c>
    </row>
    <row r="2792" spans="1:5" x14ac:dyDescent="0.25">
      <c r="A2792" s="2" t="s">
        <v>2839</v>
      </c>
      <c r="B2792" s="2" t="s">
        <v>215</v>
      </c>
      <c r="C2792" s="2">
        <v>2</v>
      </c>
      <c r="D2792" t="str">
        <f t="shared" si="43"/>
        <v>CA-2015-148705_OFF-LA-10001641</v>
      </c>
      <c r="E2792" t="str">
        <f>IF(COUNTIF(data2!$D:$D,D2792)=0,"Missing in Data2","Present")</f>
        <v>Present</v>
      </c>
    </row>
    <row r="2793" spans="1:5" x14ac:dyDescent="0.25">
      <c r="A2793" s="2" t="s">
        <v>2840</v>
      </c>
      <c r="B2793" s="2" t="s">
        <v>2841</v>
      </c>
      <c r="C2793" s="2">
        <v>3</v>
      </c>
      <c r="D2793" t="str">
        <f t="shared" si="43"/>
        <v>CA-2015-148712_OFF-AR-10000614</v>
      </c>
      <c r="E2793" t="str">
        <f>IF(COUNTIF(data2!$D:$D,D2793)=0,"Missing in Data2","Present")</f>
        <v>Present</v>
      </c>
    </row>
    <row r="2794" spans="1:5" x14ac:dyDescent="0.25">
      <c r="A2794" s="2" t="s">
        <v>2840</v>
      </c>
      <c r="B2794" s="2" t="s">
        <v>1476</v>
      </c>
      <c r="C2794" s="2">
        <v>1</v>
      </c>
      <c r="D2794" t="str">
        <f t="shared" si="43"/>
        <v>CA-2015-148712_TEC-AC-10003198</v>
      </c>
      <c r="E2794" t="str">
        <f>IF(COUNTIF(data2!$D:$D,D2794)=0,"Missing in Data2","Present")</f>
        <v>Present</v>
      </c>
    </row>
    <row r="2795" spans="1:5" x14ac:dyDescent="0.25">
      <c r="A2795" s="2" t="s">
        <v>2842</v>
      </c>
      <c r="B2795" s="2" t="s">
        <v>45</v>
      </c>
      <c r="C2795" s="2">
        <v>2</v>
      </c>
      <c r="D2795" t="str">
        <f t="shared" si="43"/>
        <v>CA-2015-148859_OFF-ST-10004950</v>
      </c>
      <c r="E2795" t="str">
        <f>IF(COUNTIF(data2!$D:$D,D2795)=0,"Missing in Data2","Present")</f>
        <v>Present</v>
      </c>
    </row>
    <row r="2796" spans="1:5" x14ac:dyDescent="0.25">
      <c r="A2796" s="2" t="s">
        <v>2843</v>
      </c>
      <c r="B2796" s="2" t="s">
        <v>1525</v>
      </c>
      <c r="C2796" s="2">
        <v>4</v>
      </c>
      <c r="D2796" t="str">
        <f t="shared" si="43"/>
        <v>CA-2015-148873_OFF-BI-10003196</v>
      </c>
      <c r="E2796" t="str">
        <f>IF(COUNTIF(data2!$D:$D,D2796)=0,"Missing in Data2","Present")</f>
        <v>Present</v>
      </c>
    </row>
    <row r="2797" spans="1:5" x14ac:dyDescent="0.25">
      <c r="A2797" s="2" t="s">
        <v>2843</v>
      </c>
      <c r="B2797" s="2" t="s">
        <v>2249</v>
      </c>
      <c r="C2797" s="2">
        <v>4</v>
      </c>
      <c r="D2797" t="str">
        <f t="shared" si="43"/>
        <v>CA-2015-148873_TEC-AC-10003657</v>
      </c>
      <c r="E2797" t="str">
        <f>IF(COUNTIF(data2!$D:$D,D2797)=0,"Missing in Data2","Present")</f>
        <v>Present</v>
      </c>
    </row>
    <row r="2798" spans="1:5" x14ac:dyDescent="0.25">
      <c r="A2798" s="2" t="s">
        <v>2844</v>
      </c>
      <c r="B2798" s="2" t="s">
        <v>1503</v>
      </c>
      <c r="C2798" s="2">
        <v>1</v>
      </c>
      <c r="D2798" t="str">
        <f t="shared" si="43"/>
        <v>CA-2015-148964_FUR-FU-10003849</v>
      </c>
      <c r="E2798" t="str">
        <f>IF(COUNTIF(data2!$D:$D,D2798)=0,"Missing in Data2","Present")</f>
        <v>Present</v>
      </c>
    </row>
    <row r="2799" spans="1:5" x14ac:dyDescent="0.25">
      <c r="A2799" s="2" t="s">
        <v>2845</v>
      </c>
      <c r="B2799" s="2" t="s">
        <v>1333</v>
      </c>
      <c r="C2799" s="2">
        <v>4</v>
      </c>
      <c r="D2799" t="str">
        <f t="shared" si="43"/>
        <v>CA-2015-149083_FUR-CH-10004289</v>
      </c>
      <c r="E2799" t="str">
        <f>IF(COUNTIF(data2!$D:$D,D2799)=0,"Missing in Data2","Present")</f>
        <v>Present</v>
      </c>
    </row>
    <row r="2800" spans="1:5" x14ac:dyDescent="0.25">
      <c r="A2800" s="2" t="s">
        <v>2845</v>
      </c>
      <c r="B2800" s="2" t="s">
        <v>720</v>
      </c>
      <c r="C2800" s="2">
        <v>2</v>
      </c>
      <c r="D2800" t="str">
        <f t="shared" si="43"/>
        <v>CA-2015-149083_OFF-LA-10002945</v>
      </c>
      <c r="E2800" t="str">
        <f>IF(COUNTIF(data2!$D:$D,D2800)=0,"Missing in Data2","Present")</f>
        <v>Present</v>
      </c>
    </row>
    <row r="2801" spans="1:5" x14ac:dyDescent="0.25">
      <c r="A2801" s="2" t="s">
        <v>2845</v>
      </c>
      <c r="B2801" s="2" t="s">
        <v>710</v>
      </c>
      <c r="C2801" s="2">
        <v>2</v>
      </c>
      <c r="D2801" t="str">
        <f t="shared" si="43"/>
        <v>CA-2015-149083_TEC-AC-10002567</v>
      </c>
      <c r="E2801" t="str">
        <f>IF(COUNTIF(data2!$D:$D,D2801)=0,"Missing in Data2","Present")</f>
        <v>Present</v>
      </c>
    </row>
    <row r="2802" spans="1:5" x14ac:dyDescent="0.25">
      <c r="A2802" s="2" t="s">
        <v>2846</v>
      </c>
      <c r="B2802" s="2" t="s">
        <v>2847</v>
      </c>
      <c r="C2802" s="2">
        <v>7</v>
      </c>
      <c r="D2802" t="str">
        <f t="shared" si="43"/>
        <v>CA-2015-149097_FUR-FU-10003424</v>
      </c>
      <c r="E2802" t="str">
        <f>IF(COUNTIF(data2!$D:$D,D2802)=0,"Missing in Data2","Present")</f>
        <v>Present</v>
      </c>
    </row>
    <row r="2803" spans="1:5" x14ac:dyDescent="0.25">
      <c r="A2803" s="2" t="s">
        <v>2846</v>
      </c>
      <c r="B2803" s="2" t="s">
        <v>2848</v>
      </c>
      <c r="C2803" s="2">
        <v>3</v>
      </c>
      <c r="D2803" t="str">
        <f t="shared" si="43"/>
        <v>CA-2015-149097_FUR-TA-10001086</v>
      </c>
      <c r="E2803" t="str">
        <f>IF(COUNTIF(data2!$D:$D,D2803)=0,"Missing in Data2","Present")</f>
        <v>Present</v>
      </c>
    </row>
    <row r="2804" spans="1:5" x14ac:dyDescent="0.25">
      <c r="A2804" s="2" t="s">
        <v>2849</v>
      </c>
      <c r="B2804" s="2" t="s">
        <v>2850</v>
      </c>
      <c r="C2804" s="2">
        <v>6</v>
      </c>
      <c r="D2804" t="str">
        <f t="shared" si="43"/>
        <v>CA-2015-149342_FUR-FU-10002937</v>
      </c>
      <c r="E2804" t="str">
        <f>IF(COUNTIF(data2!$D:$D,D2804)=0,"Missing in Data2","Present")</f>
        <v>Present</v>
      </c>
    </row>
    <row r="2805" spans="1:5" x14ac:dyDescent="0.25">
      <c r="A2805" s="2" t="s">
        <v>2849</v>
      </c>
      <c r="B2805" s="2" t="s">
        <v>1378</v>
      </c>
      <c r="C2805" s="2">
        <v>2</v>
      </c>
      <c r="D2805" t="str">
        <f t="shared" si="43"/>
        <v>CA-2015-149342_OFF-PA-10001166</v>
      </c>
      <c r="E2805" t="str">
        <f>IF(COUNTIF(data2!$D:$D,D2805)=0,"Missing in Data2","Present")</f>
        <v>Present</v>
      </c>
    </row>
    <row r="2806" spans="1:5" x14ac:dyDescent="0.25">
      <c r="A2806" s="2" t="s">
        <v>2849</v>
      </c>
      <c r="B2806" s="2" t="s">
        <v>312</v>
      </c>
      <c r="C2806" s="2">
        <v>3</v>
      </c>
      <c r="D2806" t="str">
        <f t="shared" si="43"/>
        <v>CA-2015-149342_TEC-PH-10001557</v>
      </c>
      <c r="E2806" t="str">
        <f>IF(COUNTIF(data2!$D:$D,D2806)=0,"Missing in Data2","Present")</f>
        <v>Present</v>
      </c>
    </row>
    <row r="2807" spans="1:5" x14ac:dyDescent="0.25">
      <c r="A2807" s="2" t="s">
        <v>2851</v>
      </c>
      <c r="B2807" s="2" t="s">
        <v>1525</v>
      </c>
      <c r="C2807" s="2">
        <v>3</v>
      </c>
      <c r="D2807" t="str">
        <f t="shared" si="43"/>
        <v>CA-2015-149384_OFF-BI-10003196</v>
      </c>
      <c r="E2807" t="str">
        <f>IF(COUNTIF(data2!$D:$D,D2807)=0,"Missing in Data2","Present")</f>
        <v>Present</v>
      </c>
    </row>
    <row r="2808" spans="1:5" x14ac:dyDescent="0.25">
      <c r="A2808" s="2" t="s">
        <v>2852</v>
      </c>
      <c r="B2808" s="2" t="s">
        <v>2291</v>
      </c>
      <c r="C2808" s="2">
        <v>3</v>
      </c>
      <c r="D2808" t="str">
        <f t="shared" si="43"/>
        <v>CA-2015-149517_FUR-FU-10003464</v>
      </c>
      <c r="E2808" t="str">
        <f>IF(COUNTIF(data2!$D:$D,D2808)=0,"Missing in Data2","Present")</f>
        <v>Present</v>
      </c>
    </row>
    <row r="2809" spans="1:5" x14ac:dyDescent="0.25">
      <c r="A2809" s="2" t="s">
        <v>2853</v>
      </c>
      <c r="B2809" s="2" t="s">
        <v>627</v>
      </c>
      <c r="C2809" s="2">
        <v>4</v>
      </c>
      <c r="D2809" t="str">
        <f t="shared" si="43"/>
        <v>CA-2015-149566_OFF-LA-10000452</v>
      </c>
      <c r="E2809" t="str">
        <f>IF(COUNTIF(data2!$D:$D,D2809)=0,"Missing in Data2","Present")</f>
        <v>Present</v>
      </c>
    </row>
    <row r="2810" spans="1:5" x14ac:dyDescent="0.25">
      <c r="A2810" s="2" t="s">
        <v>2853</v>
      </c>
      <c r="B2810" s="2" t="s">
        <v>1097</v>
      </c>
      <c r="C2810" s="2">
        <v>3</v>
      </c>
      <c r="D2810" t="str">
        <f t="shared" si="43"/>
        <v>CA-2015-149566_TEC-AC-10001266</v>
      </c>
      <c r="E2810" t="str">
        <f>IF(COUNTIF(data2!$D:$D,D2810)=0,"Missing in Data2","Present")</f>
        <v>Present</v>
      </c>
    </row>
    <row r="2811" spans="1:5" x14ac:dyDescent="0.25">
      <c r="A2811" s="2" t="s">
        <v>2854</v>
      </c>
      <c r="B2811" s="2" t="s">
        <v>2021</v>
      </c>
      <c r="C2811" s="2">
        <v>3</v>
      </c>
      <c r="D2811" t="str">
        <f t="shared" si="43"/>
        <v>CA-2015-149587_FUR-FU-10003799</v>
      </c>
      <c r="E2811" t="str">
        <f>IF(COUNTIF(data2!$D:$D,D2811)=0,"Missing in Data2","Present")</f>
        <v>Present</v>
      </c>
    </row>
    <row r="2812" spans="1:5" x14ac:dyDescent="0.25">
      <c r="A2812" s="2" t="s">
        <v>2854</v>
      </c>
      <c r="B2812" s="2" t="s">
        <v>480</v>
      </c>
      <c r="C2812" s="2">
        <v>2</v>
      </c>
      <c r="D2812" t="str">
        <f t="shared" si="43"/>
        <v>CA-2015-149587_OFF-BI-10002852</v>
      </c>
      <c r="E2812" t="str">
        <f>IF(COUNTIF(data2!$D:$D,D2812)=0,"Missing in Data2","Present")</f>
        <v>Present</v>
      </c>
    </row>
    <row r="2813" spans="1:5" x14ac:dyDescent="0.25">
      <c r="A2813" s="2" t="s">
        <v>2854</v>
      </c>
      <c r="B2813" s="2" t="s">
        <v>1158</v>
      </c>
      <c r="C2813" s="2">
        <v>2</v>
      </c>
      <c r="D2813" t="str">
        <f t="shared" si="43"/>
        <v>CA-2015-149587_OFF-PA-10003177</v>
      </c>
      <c r="E2813" t="str">
        <f>IF(COUNTIF(data2!$D:$D,D2813)=0,"Missing in Data2","Present")</f>
        <v>Present</v>
      </c>
    </row>
    <row r="2814" spans="1:5" x14ac:dyDescent="0.25">
      <c r="A2814" s="2" t="s">
        <v>2855</v>
      </c>
      <c r="B2814" s="2" t="s">
        <v>2856</v>
      </c>
      <c r="C2814" s="2">
        <v>5</v>
      </c>
      <c r="D2814" t="str">
        <f t="shared" si="43"/>
        <v>CA-2015-149601_OFF-ST-10001328</v>
      </c>
      <c r="E2814" t="str">
        <f>IF(COUNTIF(data2!$D:$D,D2814)=0,"Missing in Data2","Present")</f>
        <v>Present</v>
      </c>
    </row>
    <row r="2815" spans="1:5" x14ac:dyDescent="0.25">
      <c r="A2815" s="2" t="s">
        <v>2855</v>
      </c>
      <c r="B2815" s="2" t="s">
        <v>1735</v>
      </c>
      <c r="C2815" s="2">
        <v>1</v>
      </c>
      <c r="D2815" t="str">
        <f t="shared" si="43"/>
        <v>CA-2015-149601_OFF-ST-10001558</v>
      </c>
      <c r="E2815" t="str">
        <f>IF(COUNTIF(data2!$D:$D,D2815)=0,"Missing in Data2","Present")</f>
        <v>Present</v>
      </c>
    </row>
    <row r="2816" spans="1:5" x14ac:dyDescent="0.25">
      <c r="A2816" s="2" t="s">
        <v>2857</v>
      </c>
      <c r="B2816" s="2" t="s">
        <v>735</v>
      </c>
      <c r="C2816" s="2">
        <v>2</v>
      </c>
      <c r="D2816" t="str">
        <f t="shared" si="43"/>
        <v>CA-2015-149636_OFF-BI-10002764</v>
      </c>
      <c r="E2816" t="str">
        <f>IF(COUNTIF(data2!$D:$D,D2816)=0,"Missing in Data2","Present")</f>
        <v>Present</v>
      </c>
    </row>
    <row r="2817" spans="1:5" x14ac:dyDescent="0.25">
      <c r="A2817" s="2" t="s">
        <v>2857</v>
      </c>
      <c r="B2817" s="2" t="s">
        <v>2644</v>
      </c>
      <c r="C2817" s="2">
        <v>5</v>
      </c>
      <c r="D2817" t="str">
        <f t="shared" si="43"/>
        <v>CA-2015-149636_OFF-PA-10004041</v>
      </c>
      <c r="E2817" t="str">
        <f>IF(COUNTIF(data2!$D:$D,D2817)=0,"Missing in Data2","Present")</f>
        <v>Present</v>
      </c>
    </row>
    <row r="2818" spans="1:5" x14ac:dyDescent="0.25">
      <c r="A2818" s="2" t="s">
        <v>2858</v>
      </c>
      <c r="B2818" s="2" t="s">
        <v>2429</v>
      </c>
      <c r="C2818" s="2">
        <v>8</v>
      </c>
      <c r="D2818" t="str">
        <f t="shared" si="43"/>
        <v>CA-2015-149650_FUR-CH-10003956</v>
      </c>
      <c r="E2818" t="str">
        <f>IF(COUNTIF(data2!$D:$D,D2818)=0,"Missing in Data2","Present")</f>
        <v>Missing in Data2</v>
      </c>
    </row>
    <row r="2819" spans="1:5" x14ac:dyDescent="0.25">
      <c r="A2819" s="2" t="s">
        <v>2859</v>
      </c>
      <c r="B2819" s="2" t="s">
        <v>2537</v>
      </c>
      <c r="C2819" s="2">
        <v>1</v>
      </c>
      <c r="D2819" t="str">
        <f t="shared" ref="D2819:D2882" si="44">A2819&amp;"_"&amp;B2819</f>
        <v>CA-2015-149678_OFF-SU-10004498</v>
      </c>
      <c r="E2819" t="str">
        <f>IF(COUNTIF(data2!$D:$D,D2819)=0,"Missing in Data2","Present")</f>
        <v>Present</v>
      </c>
    </row>
    <row r="2820" spans="1:5" x14ac:dyDescent="0.25">
      <c r="A2820" s="2" t="s">
        <v>2860</v>
      </c>
      <c r="B2820" s="2" t="s">
        <v>2861</v>
      </c>
      <c r="C2820" s="2">
        <v>4</v>
      </c>
      <c r="D2820" t="str">
        <f t="shared" si="44"/>
        <v>CA-2015-149713_OFF-PA-10001450</v>
      </c>
      <c r="E2820" t="str">
        <f>IF(COUNTIF(data2!$D:$D,D2820)=0,"Missing in Data2","Present")</f>
        <v>Present</v>
      </c>
    </row>
    <row r="2821" spans="1:5" x14ac:dyDescent="0.25">
      <c r="A2821" s="2" t="s">
        <v>2860</v>
      </c>
      <c r="B2821" s="2" t="s">
        <v>911</v>
      </c>
      <c r="C2821" s="2">
        <v>2</v>
      </c>
      <c r="D2821" t="str">
        <f t="shared" si="44"/>
        <v>CA-2015-149713_OFF-SU-10001574</v>
      </c>
      <c r="E2821" t="str">
        <f>IF(COUNTIF(data2!$D:$D,D2821)=0,"Missing in Data2","Present")</f>
        <v>Present</v>
      </c>
    </row>
    <row r="2822" spans="1:5" x14ac:dyDescent="0.25">
      <c r="A2822" s="2" t="s">
        <v>2862</v>
      </c>
      <c r="B2822" s="2" t="s">
        <v>2236</v>
      </c>
      <c r="C2822" s="2">
        <v>7</v>
      </c>
      <c r="D2822" t="str">
        <f t="shared" si="44"/>
        <v>CA-2015-149734_OFF-EN-10000927</v>
      </c>
      <c r="E2822" t="str">
        <f>IF(COUNTIF(data2!$D:$D,D2822)=0,"Missing in Data2","Present")</f>
        <v>Present</v>
      </c>
    </row>
    <row r="2823" spans="1:5" x14ac:dyDescent="0.25">
      <c r="A2823" s="2" t="s">
        <v>2863</v>
      </c>
      <c r="B2823" s="2" t="s">
        <v>2864</v>
      </c>
      <c r="C2823" s="2">
        <v>2</v>
      </c>
      <c r="D2823" t="str">
        <f t="shared" si="44"/>
        <v>CA-2015-149748_FUR-FU-10001847</v>
      </c>
      <c r="E2823" t="str">
        <f>IF(COUNTIF(data2!$D:$D,D2823)=0,"Missing in Data2","Present")</f>
        <v>Present</v>
      </c>
    </row>
    <row r="2824" spans="1:5" x14ac:dyDescent="0.25">
      <c r="A2824" s="2" t="s">
        <v>2863</v>
      </c>
      <c r="B2824" s="2" t="s">
        <v>1414</v>
      </c>
      <c r="C2824" s="2">
        <v>5</v>
      </c>
      <c r="D2824" t="str">
        <f t="shared" si="44"/>
        <v>CA-2015-149748_OFF-PA-10002120</v>
      </c>
      <c r="E2824" t="str">
        <f>IF(COUNTIF(data2!$D:$D,D2824)=0,"Missing in Data2","Present")</f>
        <v>Present</v>
      </c>
    </row>
    <row r="2825" spans="1:5" x14ac:dyDescent="0.25">
      <c r="A2825" s="2" t="s">
        <v>2863</v>
      </c>
      <c r="B2825" s="2" t="s">
        <v>1360</v>
      </c>
      <c r="C2825" s="2">
        <v>1</v>
      </c>
      <c r="D2825" t="str">
        <f t="shared" si="44"/>
        <v>CA-2015-149748_OFF-ST-10004340</v>
      </c>
      <c r="E2825" t="str">
        <f>IF(COUNTIF(data2!$D:$D,D2825)=0,"Missing in Data2","Present")</f>
        <v>Present</v>
      </c>
    </row>
    <row r="2826" spans="1:5" x14ac:dyDescent="0.25">
      <c r="A2826" s="2" t="s">
        <v>2865</v>
      </c>
      <c r="B2826" s="2" t="s">
        <v>206</v>
      </c>
      <c r="C2826" s="2">
        <v>3</v>
      </c>
      <c r="D2826" t="str">
        <f t="shared" si="44"/>
        <v>CA-2015-149811_OFF-BI-10003676</v>
      </c>
      <c r="E2826" t="str">
        <f>IF(COUNTIF(data2!$D:$D,D2826)=0,"Missing in Data2","Present")</f>
        <v>Present</v>
      </c>
    </row>
    <row r="2827" spans="1:5" x14ac:dyDescent="0.25">
      <c r="A2827" s="2" t="s">
        <v>2865</v>
      </c>
      <c r="B2827" s="2" t="s">
        <v>25</v>
      </c>
      <c r="C2827" s="2">
        <v>5</v>
      </c>
      <c r="D2827" t="str">
        <f t="shared" si="44"/>
        <v>CA-2015-149811_OFF-PA-10004082</v>
      </c>
      <c r="E2827" t="str">
        <f>IF(COUNTIF(data2!$D:$D,D2827)=0,"Missing in Data2","Present")</f>
        <v>Present</v>
      </c>
    </row>
    <row r="2828" spans="1:5" x14ac:dyDescent="0.25">
      <c r="A2828" s="2" t="s">
        <v>2866</v>
      </c>
      <c r="B2828" s="2" t="s">
        <v>1711</v>
      </c>
      <c r="C2828" s="2">
        <v>2</v>
      </c>
      <c r="D2828" t="str">
        <f t="shared" si="44"/>
        <v>CA-2015-149846_OFF-LA-10004484</v>
      </c>
      <c r="E2828" t="str">
        <f>IF(COUNTIF(data2!$D:$D,D2828)=0,"Missing in Data2","Present")</f>
        <v>Present</v>
      </c>
    </row>
    <row r="2829" spans="1:5" x14ac:dyDescent="0.25">
      <c r="A2829" s="2" t="s">
        <v>2866</v>
      </c>
      <c r="B2829" s="2" t="s">
        <v>1809</v>
      </c>
      <c r="C2829" s="2">
        <v>7</v>
      </c>
      <c r="D2829" t="str">
        <f t="shared" si="44"/>
        <v>CA-2015-149846_OFF-ST-10002406</v>
      </c>
      <c r="E2829" t="str">
        <f>IF(COUNTIF(data2!$D:$D,D2829)=0,"Missing in Data2","Present")</f>
        <v>Present</v>
      </c>
    </row>
    <row r="2830" spans="1:5" x14ac:dyDescent="0.25">
      <c r="A2830" s="2" t="s">
        <v>2866</v>
      </c>
      <c r="B2830" s="2" t="s">
        <v>2595</v>
      </c>
      <c r="C2830" s="2">
        <v>7</v>
      </c>
      <c r="D2830" t="str">
        <f t="shared" si="44"/>
        <v>CA-2015-149846_TEC-MA-10004002</v>
      </c>
      <c r="E2830" t="str">
        <f>IF(COUNTIF(data2!$D:$D,D2830)=0,"Missing in Data2","Present")</f>
        <v>Present</v>
      </c>
    </row>
    <row r="2831" spans="1:5" x14ac:dyDescent="0.25">
      <c r="A2831" s="2" t="s">
        <v>2866</v>
      </c>
      <c r="B2831" s="2" t="s">
        <v>998</v>
      </c>
      <c r="C2831" s="2">
        <v>6</v>
      </c>
      <c r="D2831" t="str">
        <f t="shared" si="44"/>
        <v>CA-2015-149846_TEC-PH-10003645</v>
      </c>
      <c r="E2831" t="str">
        <f>IF(COUNTIF(data2!$D:$D,D2831)=0,"Missing in Data2","Present")</f>
        <v>Present</v>
      </c>
    </row>
    <row r="2832" spans="1:5" x14ac:dyDescent="0.25">
      <c r="A2832" s="2" t="s">
        <v>2867</v>
      </c>
      <c r="B2832" s="2" t="s">
        <v>2868</v>
      </c>
      <c r="C2832" s="2">
        <v>7</v>
      </c>
      <c r="D2832" t="str">
        <f t="shared" si="44"/>
        <v>CA-2015-149909_OFF-PA-10000726</v>
      </c>
      <c r="E2832" t="str">
        <f>IF(COUNTIF(data2!$D:$D,D2832)=0,"Missing in Data2","Present")</f>
        <v>Present</v>
      </c>
    </row>
    <row r="2833" spans="1:5" x14ac:dyDescent="0.25">
      <c r="A2833" s="2" t="s">
        <v>2867</v>
      </c>
      <c r="B2833" s="2" t="s">
        <v>2090</v>
      </c>
      <c r="C2833" s="2">
        <v>2</v>
      </c>
      <c r="D2833" t="str">
        <f t="shared" si="44"/>
        <v>CA-2015-149909_OFF-PA-10001790</v>
      </c>
      <c r="E2833" t="str">
        <f>IF(COUNTIF(data2!$D:$D,D2833)=0,"Missing in Data2","Present")</f>
        <v>Present</v>
      </c>
    </row>
    <row r="2834" spans="1:5" x14ac:dyDescent="0.25">
      <c r="A2834" s="2" t="s">
        <v>2867</v>
      </c>
      <c r="B2834" s="2" t="s">
        <v>1634</v>
      </c>
      <c r="C2834" s="2">
        <v>3</v>
      </c>
      <c r="D2834" t="str">
        <f t="shared" si="44"/>
        <v>CA-2015-149909_TEC-PH-10001536</v>
      </c>
      <c r="E2834" t="str">
        <f>IF(COUNTIF(data2!$D:$D,D2834)=0,"Missing in Data2","Present")</f>
        <v>Present</v>
      </c>
    </row>
    <row r="2835" spans="1:5" x14ac:dyDescent="0.25">
      <c r="A2835" s="2" t="s">
        <v>2869</v>
      </c>
      <c r="B2835" s="2" t="s">
        <v>680</v>
      </c>
      <c r="C2835" s="2">
        <v>4</v>
      </c>
      <c r="D2835" t="str">
        <f t="shared" si="44"/>
        <v>CA-2015-149972_FUR-CH-10004997</v>
      </c>
      <c r="E2835" t="str">
        <f>IF(COUNTIF(data2!$D:$D,D2835)=0,"Missing in Data2","Present")</f>
        <v>Present</v>
      </c>
    </row>
    <row r="2836" spans="1:5" x14ac:dyDescent="0.25">
      <c r="A2836" s="2" t="s">
        <v>2869</v>
      </c>
      <c r="B2836" s="2" t="s">
        <v>454</v>
      </c>
      <c r="C2836" s="2">
        <v>2</v>
      </c>
      <c r="D2836" t="str">
        <f t="shared" si="44"/>
        <v>CA-2015-149972_OFF-FA-10002763</v>
      </c>
      <c r="E2836" t="str">
        <f>IF(COUNTIF(data2!$D:$D,D2836)=0,"Missing in Data2","Present")</f>
        <v>Present</v>
      </c>
    </row>
    <row r="2837" spans="1:5" x14ac:dyDescent="0.25">
      <c r="A2837" s="2" t="s">
        <v>2870</v>
      </c>
      <c r="B2837" s="2" t="s">
        <v>1358</v>
      </c>
      <c r="C2837" s="2">
        <v>5</v>
      </c>
      <c r="D2837" t="str">
        <f t="shared" si="44"/>
        <v>CA-2015-149993_OFF-FA-10001561</v>
      </c>
      <c r="E2837" t="str">
        <f>IF(COUNTIF(data2!$D:$D,D2837)=0,"Missing in Data2","Present")</f>
        <v>Present</v>
      </c>
    </row>
    <row r="2838" spans="1:5" x14ac:dyDescent="0.25">
      <c r="A2838" s="2" t="s">
        <v>2871</v>
      </c>
      <c r="B2838" s="2" t="s">
        <v>1405</v>
      </c>
      <c r="C2838" s="2">
        <v>3</v>
      </c>
      <c r="D2838" t="str">
        <f t="shared" si="44"/>
        <v>CA-2015-150196_OFF-PA-10003797</v>
      </c>
      <c r="E2838" t="str">
        <f>IF(COUNTIF(data2!$D:$D,D2838)=0,"Missing in Data2","Present")</f>
        <v>Present</v>
      </c>
    </row>
    <row r="2839" spans="1:5" x14ac:dyDescent="0.25">
      <c r="A2839" s="2" t="s">
        <v>2872</v>
      </c>
      <c r="B2839" s="2" t="s">
        <v>2873</v>
      </c>
      <c r="C2839" s="2">
        <v>3</v>
      </c>
      <c r="D2839" t="str">
        <f t="shared" si="44"/>
        <v>CA-2015-150308_TEC-PH-10001433</v>
      </c>
      <c r="E2839" t="str">
        <f>IF(COUNTIF(data2!$D:$D,D2839)=0,"Missing in Data2","Present")</f>
        <v>Present</v>
      </c>
    </row>
    <row r="2840" spans="1:5" x14ac:dyDescent="0.25">
      <c r="A2840" s="2" t="s">
        <v>2874</v>
      </c>
      <c r="B2840" s="2" t="s">
        <v>2875</v>
      </c>
      <c r="C2840" s="2">
        <v>1</v>
      </c>
      <c r="D2840" t="str">
        <f t="shared" si="44"/>
        <v>CA-2015-150413_OFF-BI-10000404</v>
      </c>
      <c r="E2840" t="str">
        <f>IF(COUNTIF(data2!$D:$D,D2840)=0,"Missing in Data2","Present")</f>
        <v>Present</v>
      </c>
    </row>
    <row r="2841" spans="1:5" x14ac:dyDescent="0.25">
      <c r="A2841" s="2" t="s">
        <v>2876</v>
      </c>
      <c r="B2841" s="2" t="s">
        <v>446</v>
      </c>
      <c r="C2841" s="2">
        <v>4</v>
      </c>
      <c r="D2841" t="str">
        <f t="shared" si="44"/>
        <v>CA-2015-150441_OFF-BI-10003529</v>
      </c>
      <c r="E2841" t="str">
        <f>IF(COUNTIF(data2!$D:$D,D2841)=0,"Missing in Data2","Present")</f>
        <v>Present</v>
      </c>
    </row>
    <row r="2842" spans="1:5" x14ac:dyDescent="0.25">
      <c r="A2842" s="2" t="s">
        <v>2877</v>
      </c>
      <c r="B2842" s="2" t="s">
        <v>2062</v>
      </c>
      <c r="C2842" s="2">
        <v>2</v>
      </c>
      <c r="D2842" t="str">
        <f t="shared" si="44"/>
        <v>CA-2015-150511_OFF-PA-10001776</v>
      </c>
      <c r="E2842" t="str">
        <f>IF(COUNTIF(data2!$D:$D,D2842)=0,"Missing in Data2","Present")</f>
        <v>Present</v>
      </c>
    </row>
    <row r="2843" spans="1:5" x14ac:dyDescent="0.25">
      <c r="A2843" s="2" t="s">
        <v>2878</v>
      </c>
      <c r="B2843" s="2" t="s">
        <v>24</v>
      </c>
      <c r="C2843" s="2">
        <v>2</v>
      </c>
      <c r="D2843" t="str">
        <f t="shared" si="44"/>
        <v>CA-2015-150560_OFF-LA-10003930</v>
      </c>
      <c r="E2843" t="str">
        <f>IF(COUNTIF(data2!$D:$D,D2843)=0,"Missing in Data2","Present")</f>
        <v>Present</v>
      </c>
    </row>
    <row r="2844" spans="1:5" x14ac:dyDescent="0.25">
      <c r="A2844" s="2" t="s">
        <v>2879</v>
      </c>
      <c r="B2844" s="2" t="s">
        <v>1183</v>
      </c>
      <c r="C2844" s="2">
        <v>5</v>
      </c>
      <c r="D2844" t="str">
        <f t="shared" si="44"/>
        <v>CA-2015-150714_OFF-AP-10003287</v>
      </c>
      <c r="E2844" t="str">
        <f>IF(COUNTIF(data2!$D:$D,D2844)=0,"Missing in Data2","Present")</f>
        <v>Present</v>
      </c>
    </row>
    <row r="2845" spans="1:5" x14ac:dyDescent="0.25">
      <c r="A2845" s="2" t="s">
        <v>2879</v>
      </c>
      <c r="B2845" s="2" t="s">
        <v>1734</v>
      </c>
      <c r="C2845" s="2">
        <v>7</v>
      </c>
      <c r="D2845" t="str">
        <f t="shared" si="44"/>
        <v>CA-2015-150714_OFF-BI-10002982</v>
      </c>
      <c r="E2845" t="str">
        <f>IF(COUNTIF(data2!$D:$D,D2845)=0,"Missing in Data2","Present")</f>
        <v>Present</v>
      </c>
    </row>
    <row r="2846" spans="1:5" x14ac:dyDescent="0.25">
      <c r="A2846" s="2" t="s">
        <v>2879</v>
      </c>
      <c r="B2846" s="2" t="s">
        <v>391</v>
      </c>
      <c r="C2846" s="2">
        <v>6</v>
      </c>
      <c r="D2846" t="str">
        <f t="shared" si="44"/>
        <v>CA-2015-150714_OFF-LA-10001474</v>
      </c>
      <c r="E2846" t="str">
        <f>IF(COUNTIF(data2!$D:$D,D2846)=0,"Missing in Data2","Present")</f>
        <v>Present</v>
      </c>
    </row>
    <row r="2847" spans="1:5" x14ac:dyDescent="0.25">
      <c r="A2847" s="2" t="s">
        <v>2879</v>
      </c>
      <c r="B2847" s="2" t="s">
        <v>2880</v>
      </c>
      <c r="C2847" s="2">
        <v>3</v>
      </c>
      <c r="D2847" t="str">
        <f t="shared" si="44"/>
        <v>CA-2015-150714_OFF-PA-10001497</v>
      </c>
      <c r="E2847" t="str">
        <f>IF(COUNTIF(data2!$D:$D,D2847)=0,"Missing in Data2","Present")</f>
        <v>Present</v>
      </c>
    </row>
    <row r="2848" spans="1:5" x14ac:dyDescent="0.25">
      <c r="A2848" s="2" t="s">
        <v>2879</v>
      </c>
      <c r="B2848" s="2" t="s">
        <v>465</v>
      </c>
      <c r="C2848" s="2">
        <v>10</v>
      </c>
      <c r="D2848" t="str">
        <f t="shared" si="44"/>
        <v>CA-2015-150714_OFF-ST-10001809</v>
      </c>
      <c r="E2848" t="str">
        <f>IF(COUNTIF(data2!$D:$D,D2848)=0,"Missing in Data2","Present")</f>
        <v>Present</v>
      </c>
    </row>
    <row r="2849" spans="1:5" x14ac:dyDescent="0.25">
      <c r="A2849" s="2" t="s">
        <v>2881</v>
      </c>
      <c r="B2849" s="2" t="s">
        <v>1596</v>
      </c>
      <c r="C2849" s="2">
        <v>2</v>
      </c>
      <c r="D2849" t="str">
        <f t="shared" si="44"/>
        <v>CA-2015-150749_OFF-AR-10003732</v>
      </c>
      <c r="E2849" t="str">
        <f>IF(COUNTIF(data2!$D:$D,D2849)=0,"Missing in Data2","Present")</f>
        <v>Present</v>
      </c>
    </row>
    <row r="2850" spans="1:5" x14ac:dyDescent="0.25">
      <c r="A2850" s="2" t="s">
        <v>2882</v>
      </c>
      <c r="B2850" s="2" t="s">
        <v>2156</v>
      </c>
      <c r="C2850" s="2">
        <v>3</v>
      </c>
      <c r="D2850" t="str">
        <f t="shared" si="44"/>
        <v>CA-2015-150770_OFF-AR-10001246</v>
      </c>
      <c r="E2850" t="str">
        <f>IF(COUNTIF(data2!$D:$D,D2850)=0,"Missing in Data2","Present")</f>
        <v>Present</v>
      </c>
    </row>
    <row r="2851" spans="1:5" x14ac:dyDescent="0.25">
      <c r="A2851" s="2" t="s">
        <v>2882</v>
      </c>
      <c r="B2851" s="2" t="s">
        <v>539</v>
      </c>
      <c r="C2851" s="2">
        <v>2</v>
      </c>
      <c r="D2851" t="str">
        <f t="shared" si="44"/>
        <v>CA-2015-150770_OFF-BI-10001575</v>
      </c>
      <c r="E2851" t="str">
        <f>IF(COUNTIF(data2!$D:$D,D2851)=0,"Missing in Data2","Present")</f>
        <v>Present</v>
      </c>
    </row>
    <row r="2852" spans="1:5" x14ac:dyDescent="0.25">
      <c r="A2852" s="2" t="s">
        <v>2882</v>
      </c>
      <c r="B2852" s="2" t="s">
        <v>637</v>
      </c>
      <c r="C2852" s="2">
        <v>2</v>
      </c>
      <c r="D2852" t="str">
        <f t="shared" si="44"/>
        <v>CA-2015-150770_OFF-BI-10002026</v>
      </c>
      <c r="E2852" t="str">
        <f>IF(COUNTIF(data2!$D:$D,D2852)=0,"Missing in Data2","Present")</f>
        <v>Present</v>
      </c>
    </row>
    <row r="2853" spans="1:5" x14ac:dyDescent="0.25">
      <c r="A2853" s="2" t="s">
        <v>2883</v>
      </c>
      <c r="B2853" s="2" t="s">
        <v>2884</v>
      </c>
      <c r="C2853" s="2">
        <v>2</v>
      </c>
      <c r="D2853" t="str">
        <f t="shared" si="44"/>
        <v>CA-2015-150791_FUR-CH-10000665</v>
      </c>
      <c r="E2853" t="str">
        <f>IF(COUNTIF(data2!$D:$D,D2853)=0,"Missing in Data2","Present")</f>
        <v>Present</v>
      </c>
    </row>
    <row r="2854" spans="1:5" x14ac:dyDescent="0.25">
      <c r="A2854" s="2" t="s">
        <v>2885</v>
      </c>
      <c r="B2854" s="2" t="s">
        <v>869</v>
      </c>
      <c r="C2854" s="2">
        <v>2</v>
      </c>
      <c r="D2854" t="str">
        <f t="shared" si="44"/>
        <v>CA-2015-150875_FUR-TA-10000577</v>
      </c>
      <c r="E2854" t="str">
        <f>IF(COUNTIF(data2!$D:$D,D2854)=0,"Missing in Data2","Present")</f>
        <v>Present</v>
      </c>
    </row>
    <row r="2855" spans="1:5" x14ac:dyDescent="0.25">
      <c r="A2855" s="2" t="s">
        <v>2885</v>
      </c>
      <c r="B2855" s="2" t="s">
        <v>2886</v>
      </c>
      <c r="C2855" s="2">
        <v>3</v>
      </c>
      <c r="D2855" t="str">
        <f t="shared" si="44"/>
        <v>CA-2015-150875_TEC-PH-10001254</v>
      </c>
      <c r="E2855" t="str">
        <f>IF(COUNTIF(data2!$D:$D,D2855)=0,"Missing in Data2","Present")</f>
        <v>Present</v>
      </c>
    </row>
    <row r="2856" spans="1:5" x14ac:dyDescent="0.25">
      <c r="A2856" s="2" t="s">
        <v>2887</v>
      </c>
      <c r="B2856" s="2" t="s">
        <v>2888</v>
      </c>
      <c r="C2856" s="2">
        <v>2</v>
      </c>
      <c r="D2856" t="str">
        <f t="shared" si="44"/>
        <v>CA-2015-151043_TEC-AC-10001090</v>
      </c>
      <c r="E2856" t="str">
        <f>IF(COUNTIF(data2!$D:$D,D2856)=0,"Missing in Data2","Present")</f>
        <v>Present</v>
      </c>
    </row>
    <row r="2857" spans="1:5" x14ac:dyDescent="0.25">
      <c r="A2857" s="2" t="s">
        <v>2889</v>
      </c>
      <c r="B2857" s="2" t="s">
        <v>2239</v>
      </c>
      <c r="C2857" s="2">
        <v>3</v>
      </c>
      <c r="D2857" t="str">
        <f t="shared" si="44"/>
        <v>CA-2015-151253_OFF-AR-10004691</v>
      </c>
      <c r="E2857" t="str">
        <f>IF(COUNTIF(data2!$D:$D,D2857)=0,"Missing in Data2","Present")</f>
        <v>Present</v>
      </c>
    </row>
    <row r="2858" spans="1:5" x14ac:dyDescent="0.25">
      <c r="A2858" s="2" t="s">
        <v>2889</v>
      </c>
      <c r="B2858" s="2" t="s">
        <v>82</v>
      </c>
      <c r="C2858" s="2">
        <v>3</v>
      </c>
      <c r="D2858" t="str">
        <f t="shared" si="44"/>
        <v>CA-2015-151253_TEC-PH-10002923</v>
      </c>
      <c r="E2858" t="str">
        <f>IF(COUNTIF(data2!$D:$D,D2858)=0,"Missing in Data2","Present")</f>
        <v>Missing in Data2</v>
      </c>
    </row>
    <row r="2859" spans="1:5" x14ac:dyDescent="0.25">
      <c r="A2859" s="2" t="s">
        <v>2890</v>
      </c>
      <c r="B2859" s="2" t="s">
        <v>2891</v>
      </c>
      <c r="C2859" s="2">
        <v>11</v>
      </c>
      <c r="D2859" t="str">
        <f t="shared" si="44"/>
        <v>CA-2015-151470_OFF-BI-10004040</v>
      </c>
      <c r="E2859" t="str">
        <f>IF(COUNTIF(data2!$D:$D,D2859)=0,"Missing in Data2","Present")</f>
        <v>Present</v>
      </c>
    </row>
    <row r="2860" spans="1:5" x14ac:dyDescent="0.25">
      <c r="A2860" s="2" t="s">
        <v>2892</v>
      </c>
      <c r="B2860" s="2" t="s">
        <v>1850</v>
      </c>
      <c r="C2860" s="2">
        <v>8</v>
      </c>
      <c r="D2860" t="str">
        <f t="shared" si="44"/>
        <v>CA-2015-151547_OFF-SU-10000898</v>
      </c>
      <c r="E2860" t="str">
        <f>IF(COUNTIF(data2!$D:$D,D2860)=0,"Missing in Data2","Present")</f>
        <v>Present</v>
      </c>
    </row>
    <row r="2861" spans="1:5" x14ac:dyDescent="0.25">
      <c r="A2861" s="2" t="s">
        <v>2893</v>
      </c>
      <c r="B2861" s="2" t="s">
        <v>1052</v>
      </c>
      <c r="C2861" s="2">
        <v>4</v>
      </c>
      <c r="D2861" t="str">
        <f t="shared" si="44"/>
        <v>CA-2015-151589_OFF-PA-10003228</v>
      </c>
      <c r="E2861" t="str">
        <f>IF(COUNTIF(data2!$D:$D,D2861)=0,"Missing in Data2","Present")</f>
        <v>Present</v>
      </c>
    </row>
    <row r="2862" spans="1:5" x14ac:dyDescent="0.25">
      <c r="A2862" s="2" t="s">
        <v>2894</v>
      </c>
      <c r="B2862" s="2" t="s">
        <v>128</v>
      </c>
      <c r="C2862" s="2">
        <v>8</v>
      </c>
      <c r="D2862" t="str">
        <f t="shared" si="44"/>
        <v>CA-2015-151624_FUR-FU-10001731</v>
      </c>
      <c r="E2862" t="str">
        <f>IF(COUNTIF(data2!$D:$D,D2862)=0,"Missing in Data2","Present")</f>
        <v>Present</v>
      </c>
    </row>
    <row r="2863" spans="1:5" x14ac:dyDescent="0.25">
      <c r="A2863" s="2" t="s">
        <v>2895</v>
      </c>
      <c r="B2863" s="2" t="s">
        <v>2896</v>
      </c>
      <c r="C2863" s="2">
        <v>2</v>
      </c>
      <c r="D2863" t="str">
        <f t="shared" si="44"/>
        <v>CA-2015-151680_FUR-FU-10000305</v>
      </c>
      <c r="E2863" t="str">
        <f>IF(COUNTIF(data2!$D:$D,D2863)=0,"Missing in Data2","Present")</f>
        <v>Present</v>
      </c>
    </row>
    <row r="2864" spans="1:5" x14ac:dyDescent="0.25">
      <c r="A2864" s="2" t="s">
        <v>2897</v>
      </c>
      <c r="B2864" s="2" t="s">
        <v>1718</v>
      </c>
      <c r="C2864" s="2">
        <v>4</v>
      </c>
      <c r="D2864" t="str">
        <f t="shared" si="44"/>
        <v>CA-2015-151722_TEC-AC-10000892</v>
      </c>
      <c r="E2864" t="str">
        <f>IF(COUNTIF(data2!$D:$D,D2864)=0,"Missing in Data2","Present")</f>
        <v>Present</v>
      </c>
    </row>
    <row r="2865" spans="1:5" x14ac:dyDescent="0.25">
      <c r="A2865" s="2" t="s">
        <v>2898</v>
      </c>
      <c r="B2865" s="2" t="s">
        <v>11</v>
      </c>
      <c r="C2865" s="2">
        <v>6</v>
      </c>
      <c r="D2865" t="str">
        <f t="shared" si="44"/>
        <v>CA-2015-151785_OFF-FA-10000611</v>
      </c>
      <c r="E2865" t="str">
        <f>IF(COUNTIF(data2!$D:$D,D2865)=0,"Missing in Data2","Present")</f>
        <v>Present</v>
      </c>
    </row>
    <row r="2866" spans="1:5" x14ac:dyDescent="0.25">
      <c r="A2866" s="2" t="s">
        <v>2899</v>
      </c>
      <c r="B2866" s="2" t="s">
        <v>2346</v>
      </c>
      <c r="C2866" s="2">
        <v>5</v>
      </c>
      <c r="D2866" t="str">
        <f t="shared" si="44"/>
        <v>CA-2015-151841_OFF-AP-10003971</v>
      </c>
      <c r="E2866" t="str">
        <f>IF(COUNTIF(data2!$D:$D,D2866)=0,"Missing in Data2","Present")</f>
        <v>Present</v>
      </c>
    </row>
    <row r="2867" spans="1:5" x14ac:dyDescent="0.25">
      <c r="A2867" s="2" t="s">
        <v>2899</v>
      </c>
      <c r="B2867" s="2" t="s">
        <v>911</v>
      </c>
      <c r="C2867" s="2">
        <v>2</v>
      </c>
      <c r="D2867" t="str">
        <f t="shared" si="44"/>
        <v>CA-2015-151841_OFF-SU-10001574</v>
      </c>
      <c r="E2867" t="str">
        <f>IF(COUNTIF(data2!$D:$D,D2867)=0,"Missing in Data2","Present")</f>
        <v>Present</v>
      </c>
    </row>
    <row r="2868" spans="1:5" x14ac:dyDescent="0.25">
      <c r="A2868" s="2" t="s">
        <v>2900</v>
      </c>
      <c r="B2868" s="2" t="s">
        <v>2710</v>
      </c>
      <c r="C2868" s="2">
        <v>1</v>
      </c>
      <c r="D2868" t="str">
        <f t="shared" si="44"/>
        <v>CA-2015-151869_FUR-CH-10001545</v>
      </c>
      <c r="E2868" t="str">
        <f>IF(COUNTIF(data2!$D:$D,D2868)=0,"Missing in Data2","Present")</f>
        <v>Present</v>
      </c>
    </row>
    <row r="2869" spans="1:5" x14ac:dyDescent="0.25">
      <c r="A2869" s="2" t="s">
        <v>2900</v>
      </c>
      <c r="B2869" s="2" t="s">
        <v>610</v>
      </c>
      <c r="C2869" s="2">
        <v>3</v>
      </c>
      <c r="D2869" t="str">
        <f t="shared" si="44"/>
        <v>CA-2015-151869_OFF-PA-10002947</v>
      </c>
      <c r="E2869" t="str">
        <f>IF(COUNTIF(data2!$D:$D,D2869)=0,"Missing in Data2","Present")</f>
        <v>Present</v>
      </c>
    </row>
    <row r="2870" spans="1:5" x14ac:dyDescent="0.25">
      <c r="A2870" s="2" t="s">
        <v>2901</v>
      </c>
      <c r="B2870" s="2" t="s">
        <v>965</v>
      </c>
      <c r="C2870" s="2">
        <v>2</v>
      </c>
      <c r="D2870" t="str">
        <f t="shared" si="44"/>
        <v>CA-2015-152513_OFF-BI-10002706</v>
      </c>
      <c r="E2870" t="str">
        <f>IF(COUNTIF(data2!$D:$D,D2870)=0,"Missing in Data2","Present")</f>
        <v>Present</v>
      </c>
    </row>
    <row r="2871" spans="1:5" x14ac:dyDescent="0.25">
      <c r="A2871" s="2" t="s">
        <v>2902</v>
      </c>
      <c r="B2871" s="2" t="s">
        <v>2903</v>
      </c>
      <c r="C2871" s="2">
        <v>7</v>
      </c>
      <c r="D2871" t="str">
        <f t="shared" si="44"/>
        <v>CA-2015-152611_OFF-AR-10003903</v>
      </c>
      <c r="E2871" t="str">
        <f>IF(COUNTIF(data2!$D:$D,D2871)=0,"Missing in Data2","Present")</f>
        <v>Present</v>
      </c>
    </row>
    <row r="2872" spans="1:5" x14ac:dyDescent="0.25">
      <c r="A2872" s="2" t="s">
        <v>2904</v>
      </c>
      <c r="B2872" s="2" t="s">
        <v>1319</v>
      </c>
      <c r="C2872" s="2">
        <v>2</v>
      </c>
      <c r="D2872" t="str">
        <f t="shared" si="44"/>
        <v>CA-2015-152681_OFF-AR-10003183</v>
      </c>
      <c r="E2872" t="str">
        <f>IF(COUNTIF(data2!$D:$D,D2872)=0,"Missing in Data2","Present")</f>
        <v>Present</v>
      </c>
    </row>
    <row r="2873" spans="1:5" x14ac:dyDescent="0.25">
      <c r="A2873" s="2" t="s">
        <v>2905</v>
      </c>
      <c r="B2873" s="2" t="s">
        <v>1837</v>
      </c>
      <c r="C2873" s="2">
        <v>3</v>
      </c>
      <c r="D2873" t="str">
        <f t="shared" si="44"/>
        <v>CA-2015-152891_FUR-TA-10001857</v>
      </c>
      <c r="E2873" t="str">
        <f>IF(COUNTIF(data2!$D:$D,D2873)=0,"Missing in Data2","Present")</f>
        <v>Present</v>
      </c>
    </row>
    <row r="2874" spans="1:5" x14ac:dyDescent="0.25">
      <c r="A2874" s="2" t="s">
        <v>2905</v>
      </c>
      <c r="B2874" s="2" t="s">
        <v>1853</v>
      </c>
      <c r="C2874" s="2">
        <v>3</v>
      </c>
      <c r="D2874" t="str">
        <f t="shared" si="44"/>
        <v>CA-2015-152891_OFF-AR-10004648</v>
      </c>
      <c r="E2874" t="str">
        <f>IF(COUNTIF(data2!$D:$D,D2874)=0,"Missing in Data2","Present")</f>
        <v>Present</v>
      </c>
    </row>
    <row r="2875" spans="1:5" x14ac:dyDescent="0.25">
      <c r="A2875" s="2" t="s">
        <v>2906</v>
      </c>
      <c r="B2875" s="2" t="s">
        <v>339</v>
      </c>
      <c r="C2875" s="2">
        <v>5</v>
      </c>
      <c r="D2875" t="str">
        <f t="shared" si="44"/>
        <v>CA-2015-153038_FUR-FU-10000221</v>
      </c>
      <c r="E2875" t="str">
        <f>IF(COUNTIF(data2!$D:$D,D2875)=0,"Missing in Data2","Present")</f>
        <v>Present</v>
      </c>
    </row>
    <row r="2876" spans="1:5" x14ac:dyDescent="0.25">
      <c r="A2876" s="2" t="s">
        <v>2906</v>
      </c>
      <c r="B2876" s="2" t="s">
        <v>1855</v>
      </c>
      <c r="C2876" s="2">
        <v>8</v>
      </c>
      <c r="D2876" t="str">
        <f t="shared" si="44"/>
        <v>CA-2015-153038_OFF-EN-10000461</v>
      </c>
      <c r="E2876" t="str">
        <f>IF(COUNTIF(data2!$D:$D,D2876)=0,"Missing in Data2","Present")</f>
        <v>Missing in Data2</v>
      </c>
    </row>
    <row r="2877" spans="1:5" x14ac:dyDescent="0.25">
      <c r="A2877" s="2" t="s">
        <v>2906</v>
      </c>
      <c r="B2877" s="2" t="s">
        <v>2673</v>
      </c>
      <c r="C2877" s="2">
        <v>8</v>
      </c>
      <c r="D2877" t="str">
        <f t="shared" si="44"/>
        <v>CA-2015-153038_OFF-LA-10004008</v>
      </c>
      <c r="E2877" t="str">
        <f>IF(COUNTIF(data2!$D:$D,D2877)=0,"Missing in Data2","Present")</f>
        <v>Present</v>
      </c>
    </row>
    <row r="2878" spans="1:5" x14ac:dyDescent="0.25">
      <c r="A2878" s="2" t="s">
        <v>2907</v>
      </c>
      <c r="B2878" s="2" t="s">
        <v>2908</v>
      </c>
      <c r="C2878" s="2">
        <v>9</v>
      </c>
      <c r="D2878" t="str">
        <f t="shared" si="44"/>
        <v>CA-2015-153073_FUR-FU-10001025</v>
      </c>
      <c r="E2878" t="str">
        <f>IF(COUNTIF(data2!$D:$D,D2878)=0,"Missing in Data2","Present")</f>
        <v>Present</v>
      </c>
    </row>
    <row r="2879" spans="1:5" x14ac:dyDescent="0.25">
      <c r="A2879" s="2" t="s">
        <v>2909</v>
      </c>
      <c r="B2879" s="2" t="s">
        <v>2910</v>
      </c>
      <c r="C2879" s="2">
        <v>7</v>
      </c>
      <c r="D2879" t="str">
        <f t="shared" si="44"/>
        <v>CA-2015-153108_OFF-AP-10002222</v>
      </c>
      <c r="E2879" t="str">
        <f>IF(COUNTIF(data2!$D:$D,D2879)=0,"Missing in Data2","Present")</f>
        <v>Present</v>
      </c>
    </row>
    <row r="2880" spans="1:5" x14ac:dyDescent="0.25">
      <c r="A2880" s="2" t="s">
        <v>2909</v>
      </c>
      <c r="B2880" s="2" t="s">
        <v>924</v>
      </c>
      <c r="C2880" s="2">
        <v>2</v>
      </c>
      <c r="D2880" t="str">
        <f t="shared" si="44"/>
        <v>CA-2015-153108_TEC-PH-10001552</v>
      </c>
      <c r="E2880" t="str">
        <f>IF(COUNTIF(data2!$D:$D,D2880)=0,"Missing in Data2","Present")</f>
        <v>Missing in Data2</v>
      </c>
    </row>
    <row r="2881" spans="1:5" x14ac:dyDescent="0.25">
      <c r="A2881" s="2" t="s">
        <v>2911</v>
      </c>
      <c r="B2881" s="2" t="s">
        <v>1156</v>
      </c>
      <c r="C2881" s="2">
        <v>5</v>
      </c>
      <c r="D2881" t="str">
        <f t="shared" si="44"/>
        <v>CA-2015-153220_OFF-PA-10003016</v>
      </c>
      <c r="E2881" t="str">
        <f>IF(COUNTIF(data2!$D:$D,D2881)=0,"Missing in Data2","Present")</f>
        <v>Present</v>
      </c>
    </row>
    <row r="2882" spans="1:5" x14ac:dyDescent="0.25">
      <c r="A2882" s="2" t="s">
        <v>2912</v>
      </c>
      <c r="B2882" s="2" t="s">
        <v>2913</v>
      </c>
      <c r="C2882" s="2">
        <v>4</v>
      </c>
      <c r="D2882" t="str">
        <f t="shared" si="44"/>
        <v>CA-2015-153325_OFF-BI-10004236</v>
      </c>
      <c r="E2882" t="str">
        <f>IF(COUNTIF(data2!$D:$D,D2882)=0,"Missing in Data2","Present")</f>
        <v>Present</v>
      </c>
    </row>
    <row r="2883" spans="1:5" x14ac:dyDescent="0.25">
      <c r="A2883" s="2" t="s">
        <v>2914</v>
      </c>
      <c r="B2883" s="2" t="s">
        <v>221</v>
      </c>
      <c r="C2883" s="2">
        <v>10</v>
      </c>
      <c r="D2883" t="str">
        <f t="shared" ref="D2883:D2946" si="45">A2883&amp;"_"&amp;B2883</f>
        <v>CA-2015-153381_FUR-CH-10000988</v>
      </c>
      <c r="E2883" t="str">
        <f>IF(COUNTIF(data2!$D:$D,D2883)=0,"Missing in Data2","Present")</f>
        <v>Present</v>
      </c>
    </row>
    <row r="2884" spans="1:5" x14ac:dyDescent="0.25">
      <c r="A2884" s="2" t="s">
        <v>2914</v>
      </c>
      <c r="B2884" s="2" t="s">
        <v>1369</v>
      </c>
      <c r="C2884" s="2">
        <v>4</v>
      </c>
      <c r="D2884" t="str">
        <f t="shared" si="45"/>
        <v>CA-2015-153381_OFF-BI-10001525</v>
      </c>
      <c r="E2884" t="str">
        <f>IF(COUNTIF(data2!$D:$D,D2884)=0,"Missing in Data2","Present")</f>
        <v>Present</v>
      </c>
    </row>
    <row r="2885" spans="1:5" x14ac:dyDescent="0.25">
      <c r="A2885" s="2" t="s">
        <v>2915</v>
      </c>
      <c r="B2885" s="2" t="s">
        <v>4</v>
      </c>
      <c r="C2885" s="2">
        <v>6</v>
      </c>
      <c r="D2885" t="str">
        <f t="shared" si="45"/>
        <v>CA-2015-153388_FUR-TA-10003715</v>
      </c>
      <c r="E2885" t="str">
        <f>IF(COUNTIF(data2!$D:$D,D2885)=0,"Missing in Data2","Present")</f>
        <v>Present</v>
      </c>
    </row>
    <row r="2886" spans="1:5" x14ac:dyDescent="0.25">
      <c r="A2886" s="2" t="s">
        <v>2916</v>
      </c>
      <c r="B2886" s="2" t="s">
        <v>965</v>
      </c>
      <c r="C2886" s="2">
        <v>8</v>
      </c>
      <c r="D2886" t="str">
        <f t="shared" si="45"/>
        <v>CA-2015-153416_OFF-BI-10002706</v>
      </c>
      <c r="E2886" t="str">
        <f>IF(COUNTIF(data2!$D:$D,D2886)=0,"Missing in Data2","Present")</f>
        <v>Present</v>
      </c>
    </row>
    <row r="2887" spans="1:5" x14ac:dyDescent="0.25">
      <c r="A2887" s="2" t="s">
        <v>2916</v>
      </c>
      <c r="B2887" s="2" t="s">
        <v>2917</v>
      </c>
      <c r="C2887" s="2">
        <v>2</v>
      </c>
      <c r="D2887" t="str">
        <f t="shared" si="45"/>
        <v>CA-2015-153416_OFF-BI-10002813</v>
      </c>
      <c r="E2887" t="str">
        <f>IF(COUNTIF(data2!$D:$D,D2887)=0,"Missing in Data2","Present")</f>
        <v>Present</v>
      </c>
    </row>
    <row r="2888" spans="1:5" x14ac:dyDescent="0.25">
      <c r="A2888" s="2" t="s">
        <v>2916</v>
      </c>
      <c r="B2888" s="2" t="s">
        <v>572</v>
      </c>
      <c r="C2888" s="2">
        <v>3</v>
      </c>
      <c r="D2888" t="str">
        <f t="shared" si="45"/>
        <v>CA-2015-153416_OFF-PA-10002005</v>
      </c>
      <c r="E2888" t="str">
        <f>IF(COUNTIF(data2!$D:$D,D2888)=0,"Missing in Data2","Present")</f>
        <v>Missing in Data2</v>
      </c>
    </row>
    <row r="2889" spans="1:5" x14ac:dyDescent="0.25">
      <c r="A2889" s="2" t="s">
        <v>2916</v>
      </c>
      <c r="B2889" s="2" t="s">
        <v>2918</v>
      </c>
      <c r="C2889" s="2">
        <v>7</v>
      </c>
      <c r="D2889" t="str">
        <f t="shared" si="45"/>
        <v>CA-2015-153416_OFF-ST-10000060</v>
      </c>
      <c r="E2889" t="str">
        <f>IF(COUNTIF(data2!$D:$D,D2889)=0,"Missing in Data2","Present")</f>
        <v>Present</v>
      </c>
    </row>
    <row r="2890" spans="1:5" x14ac:dyDescent="0.25">
      <c r="A2890" s="2" t="s">
        <v>2919</v>
      </c>
      <c r="B2890" s="2" t="s">
        <v>2499</v>
      </c>
      <c r="C2890" s="2">
        <v>2</v>
      </c>
      <c r="D2890" t="str">
        <f t="shared" si="45"/>
        <v>CA-2015-153423_OFF-BI-10000545</v>
      </c>
      <c r="E2890" t="str">
        <f>IF(COUNTIF(data2!$D:$D,D2890)=0,"Missing in Data2","Present")</f>
        <v>Present</v>
      </c>
    </row>
    <row r="2891" spans="1:5" x14ac:dyDescent="0.25">
      <c r="A2891" s="2" t="s">
        <v>2920</v>
      </c>
      <c r="B2891" s="2" t="s">
        <v>1318</v>
      </c>
      <c r="C2891" s="2">
        <v>4</v>
      </c>
      <c r="D2891" t="str">
        <f t="shared" si="45"/>
        <v>CA-2015-153535_FUR-FU-10001986</v>
      </c>
      <c r="E2891" t="str">
        <f>IF(COUNTIF(data2!$D:$D,D2891)=0,"Missing in Data2","Present")</f>
        <v>Present</v>
      </c>
    </row>
    <row r="2892" spans="1:5" x14ac:dyDescent="0.25">
      <c r="A2892" s="2" t="s">
        <v>2920</v>
      </c>
      <c r="B2892" s="2" t="s">
        <v>773</v>
      </c>
      <c r="C2892" s="2">
        <v>4</v>
      </c>
      <c r="D2892" t="str">
        <f t="shared" si="45"/>
        <v>CA-2015-153535_OFF-BI-10001031</v>
      </c>
      <c r="E2892" t="str">
        <f>IF(COUNTIF(data2!$D:$D,D2892)=0,"Missing in Data2","Present")</f>
        <v>Present</v>
      </c>
    </row>
    <row r="2893" spans="1:5" x14ac:dyDescent="0.25">
      <c r="A2893" s="2" t="s">
        <v>2921</v>
      </c>
      <c r="B2893" s="2" t="s">
        <v>2153</v>
      </c>
      <c r="C2893" s="2">
        <v>5</v>
      </c>
      <c r="D2893" t="str">
        <f t="shared" si="45"/>
        <v>CA-2015-153549_FUR-CH-10004086</v>
      </c>
      <c r="E2893" t="str">
        <f>IF(COUNTIF(data2!$D:$D,D2893)=0,"Missing in Data2","Present")</f>
        <v>Present</v>
      </c>
    </row>
    <row r="2894" spans="1:5" x14ac:dyDescent="0.25">
      <c r="A2894" s="2" t="s">
        <v>2922</v>
      </c>
      <c r="B2894" s="2" t="s">
        <v>395</v>
      </c>
      <c r="C2894" s="2">
        <v>3</v>
      </c>
      <c r="D2894" t="str">
        <f t="shared" si="45"/>
        <v>CA-2015-153626_OFF-AR-10000657</v>
      </c>
      <c r="E2894" t="str">
        <f>IF(COUNTIF(data2!$D:$D,D2894)=0,"Missing in Data2","Present")</f>
        <v>Present</v>
      </c>
    </row>
    <row r="2895" spans="1:5" x14ac:dyDescent="0.25">
      <c r="A2895" s="2" t="s">
        <v>2923</v>
      </c>
      <c r="B2895" s="2" t="s">
        <v>2924</v>
      </c>
      <c r="C2895" s="2">
        <v>1</v>
      </c>
      <c r="D2895" t="str">
        <f t="shared" si="45"/>
        <v>CA-2015-153717_FUR-BO-10004360</v>
      </c>
      <c r="E2895" t="str">
        <f>IF(COUNTIF(data2!$D:$D,D2895)=0,"Missing in Data2","Present")</f>
        <v>Present</v>
      </c>
    </row>
    <row r="2896" spans="1:5" x14ac:dyDescent="0.25">
      <c r="A2896" s="2" t="s">
        <v>2923</v>
      </c>
      <c r="B2896" s="2" t="s">
        <v>396</v>
      </c>
      <c r="C2896" s="2">
        <v>1</v>
      </c>
      <c r="D2896" t="str">
        <f t="shared" si="45"/>
        <v>CA-2015-153717_OFF-AR-10002375</v>
      </c>
      <c r="E2896" t="str">
        <f>IF(COUNTIF(data2!$D:$D,D2896)=0,"Missing in Data2","Present")</f>
        <v>Present</v>
      </c>
    </row>
    <row r="2897" spans="1:5" x14ac:dyDescent="0.25">
      <c r="A2897" s="2" t="s">
        <v>2923</v>
      </c>
      <c r="B2897" s="2" t="s">
        <v>2415</v>
      </c>
      <c r="C2897" s="2">
        <v>3</v>
      </c>
      <c r="D2897" t="str">
        <f t="shared" si="45"/>
        <v>CA-2015-153717_OFF-PA-10002160</v>
      </c>
      <c r="E2897" t="str">
        <f>IF(COUNTIF(data2!$D:$D,D2897)=0,"Missing in Data2","Present")</f>
        <v>Present</v>
      </c>
    </row>
    <row r="2898" spans="1:5" x14ac:dyDescent="0.25">
      <c r="A2898" s="2" t="s">
        <v>2923</v>
      </c>
      <c r="B2898" s="2" t="s">
        <v>82</v>
      </c>
      <c r="C2898" s="2">
        <v>2</v>
      </c>
      <c r="D2898" t="str">
        <f t="shared" si="45"/>
        <v>CA-2015-153717_TEC-PH-10002923</v>
      </c>
      <c r="E2898" t="str">
        <f>IF(COUNTIF(data2!$D:$D,D2898)=0,"Missing in Data2","Present")</f>
        <v>Present</v>
      </c>
    </row>
    <row r="2899" spans="1:5" x14ac:dyDescent="0.25">
      <c r="A2899" s="2" t="s">
        <v>2925</v>
      </c>
      <c r="B2899" s="2" t="s">
        <v>2292</v>
      </c>
      <c r="C2899" s="2">
        <v>6</v>
      </c>
      <c r="D2899" t="str">
        <f t="shared" si="45"/>
        <v>CA-2015-153738_OFF-BI-10001308</v>
      </c>
      <c r="E2899" t="str">
        <f>IF(COUNTIF(data2!$D:$D,D2899)=0,"Missing in Data2","Present")</f>
        <v>Present</v>
      </c>
    </row>
    <row r="2900" spans="1:5" x14ac:dyDescent="0.25">
      <c r="A2900" s="2" t="s">
        <v>2926</v>
      </c>
      <c r="B2900" s="2" t="s">
        <v>107</v>
      </c>
      <c r="C2900" s="2">
        <v>6</v>
      </c>
      <c r="D2900" t="str">
        <f t="shared" si="45"/>
        <v>CA-2015-153752_TEC-PH-10001615</v>
      </c>
      <c r="E2900" t="str">
        <f>IF(COUNTIF(data2!$D:$D,D2900)=0,"Missing in Data2","Present")</f>
        <v>Present</v>
      </c>
    </row>
    <row r="2901" spans="1:5" x14ac:dyDescent="0.25">
      <c r="A2901" s="2" t="s">
        <v>2927</v>
      </c>
      <c r="B2901" s="2" t="s">
        <v>23</v>
      </c>
      <c r="C2901" s="2">
        <v>7</v>
      </c>
      <c r="D2901" t="str">
        <f t="shared" si="45"/>
        <v>CA-2015-153794_OFF-AR-10000380</v>
      </c>
      <c r="E2901" t="str">
        <f>IF(COUNTIF(data2!$D:$D,D2901)=0,"Missing in Data2","Present")</f>
        <v>Present</v>
      </c>
    </row>
    <row r="2902" spans="1:5" x14ac:dyDescent="0.25">
      <c r="A2902" s="2" t="s">
        <v>2928</v>
      </c>
      <c r="B2902" s="2" t="s">
        <v>2238</v>
      </c>
      <c r="C2902" s="2">
        <v>5</v>
      </c>
      <c r="D2902" t="str">
        <f t="shared" si="45"/>
        <v>CA-2015-153878_OFF-AP-10001205</v>
      </c>
      <c r="E2902" t="str">
        <f>IF(COUNTIF(data2!$D:$D,D2902)=0,"Missing in Data2","Present")</f>
        <v>Present</v>
      </c>
    </row>
    <row r="2903" spans="1:5" x14ac:dyDescent="0.25">
      <c r="A2903" s="2" t="s">
        <v>2928</v>
      </c>
      <c r="B2903" s="2" t="s">
        <v>1917</v>
      </c>
      <c r="C2903" s="2">
        <v>5</v>
      </c>
      <c r="D2903" t="str">
        <f t="shared" si="45"/>
        <v>CA-2015-153878_OFF-AR-10000658</v>
      </c>
      <c r="E2903" t="str">
        <f>IF(COUNTIF(data2!$D:$D,D2903)=0,"Missing in Data2","Present")</f>
        <v>Present</v>
      </c>
    </row>
    <row r="2904" spans="1:5" x14ac:dyDescent="0.25">
      <c r="A2904" s="2" t="s">
        <v>2929</v>
      </c>
      <c r="B2904" s="2" t="s">
        <v>1914</v>
      </c>
      <c r="C2904" s="2">
        <v>2</v>
      </c>
      <c r="D2904" t="str">
        <f t="shared" si="45"/>
        <v>CA-2015-153906_TEC-PH-10001527</v>
      </c>
      <c r="E2904" t="str">
        <f>IF(COUNTIF(data2!$D:$D,D2904)=0,"Missing in Data2","Present")</f>
        <v>Present</v>
      </c>
    </row>
    <row r="2905" spans="1:5" x14ac:dyDescent="0.25">
      <c r="A2905" s="2" t="s">
        <v>2930</v>
      </c>
      <c r="B2905" s="2" t="s">
        <v>477</v>
      </c>
      <c r="C2905" s="2">
        <v>1</v>
      </c>
      <c r="D2905" t="str">
        <f t="shared" si="45"/>
        <v>CA-2015-154144_OFF-PA-10004071</v>
      </c>
      <c r="E2905" t="str">
        <f>IF(COUNTIF(data2!$D:$D,D2905)=0,"Missing in Data2","Present")</f>
        <v>Present</v>
      </c>
    </row>
    <row r="2906" spans="1:5" x14ac:dyDescent="0.25">
      <c r="A2906" s="2" t="s">
        <v>2931</v>
      </c>
      <c r="B2906" s="2" t="s">
        <v>1693</v>
      </c>
      <c r="C2906" s="2">
        <v>2</v>
      </c>
      <c r="D2906" t="str">
        <f t="shared" si="45"/>
        <v>CA-2015-154200_OFF-AR-10001044</v>
      </c>
      <c r="E2906" t="str">
        <f>IF(COUNTIF(data2!$D:$D,D2906)=0,"Missing in Data2","Present")</f>
        <v>Present</v>
      </c>
    </row>
    <row r="2907" spans="1:5" x14ac:dyDescent="0.25">
      <c r="A2907" s="2" t="s">
        <v>2932</v>
      </c>
      <c r="B2907" s="2" t="s">
        <v>2933</v>
      </c>
      <c r="C2907" s="2">
        <v>3</v>
      </c>
      <c r="D2907" t="str">
        <f t="shared" si="45"/>
        <v>CA-2015-154284_FUR-FU-10003039</v>
      </c>
      <c r="E2907" t="str">
        <f>IF(COUNTIF(data2!$D:$D,D2907)=0,"Missing in Data2","Present")</f>
        <v>Present</v>
      </c>
    </row>
    <row r="2908" spans="1:5" x14ac:dyDescent="0.25">
      <c r="A2908" s="2" t="s">
        <v>2932</v>
      </c>
      <c r="B2908" s="2" t="s">
        <v>2120</v>
      </c>
      <c r="C2908" s="2">
        <v>2</v>
      </c>
      <c r="D2908" t="str">
        <f t="shared" si="45"/>
        <v>CA-2015-154284_OFF-AR-10001468</v>
      </c>
      <c r="E2908" t="str">
        <f>IF(COUNTIF(data2!$D:$D,D2908)=0,"Missing in Data2","Present")</f>
        <v>Present</v>
      </c>
    </row>
    <row r="2909" spans="1:5" x14ac:dyDescent="0.25">
      <c r="A2909" s="2" t="s">
        <v>2932</v>
      </c>
      <c r="B2909" s="2" t="s">
        <v>1476</v>
      </c>
      <c r="C2909" s="2">
        <v>8</v>
      </c>
      <c r="D2909" t="str">
        <f t="shared" si="45"/>
        <v>CA-2015-154284_TEC-AC-10003198</v>
      </c>
      <c r="E2909" t="str">
        <f>IF(COUNTIF(data2!$D:$D,D2909)=0,"Missing in Data2","Present")</f>
        <v>Present</v>
      </c>
    </row>
    <row r="2910" spans="1:5" x14ac:dyDescent="0.25">
      <c r="A2910" s="2" t="s">
        <v>2932</v>
      </c>
      <c r="B2910" s="2" t="s">
        <v>1361</v>
      </c>
      <c r="C2910" s="2">
        <v>2</v>
      </c>
      <c r="D2910" t="str">
        <f t="shared" si="45"/>
        <v>CA-2015-154284_TEC-MA-10004241</v>
      </c>
      <c r="E2910" t="str">
        <f>IF(COUNTIF(data2!$D:$D,D2910)=0,"Missing in Data2","Present")</f>
        <v>Present</v>
      </c>
    </row>
    <row r="2911" spans="1:5" x14ac:dyDescent="0.25">
      <c r="A2911" s="2" t="s">
        <v>2934</v>
      </c>
      <c r="B2911" s="2" t="s">
        <v>238</v>
      </c>
      <c r="C2911" s="2">
        <v>2</v>
      </c>
      <c r="D2911" t="str">
        <f t="shared" si="45"/>
        <v>CA-2015-154291_FUR-TA-10002041</v>
      </c>
      <c r="E2911" t="str">
        <f>IF(COUNTIF(data2!$D:$D,D2911)=0,"Missing in Data2","Present")</f>
        <v>Present</v>
      </c>
    </row>
    <row r="2912" spans="1:5" x14ac:dyDescent="0.25">
      <c r="A2912" s="2" t="s">
        <v>2934</v>
      </c>
      <c r="B2912" s="2" t="s">
        <v>1155</v>
      </c>
      <c r="C2912" s="2">
        <v>9</v>
      </c>
      <c r="D2912" t="str">
        <f t="shared" si="45"/>
        <v>CA-2015-154291_OFF-EN-10001335</v>
      </c>
      <c r="E2912" t="str">
        <f>IF(COUNTIF(data2!$D:$D,D2912)=0,"Missing in Data2","Present")</f>
        <v>Present</v>
      </c>
    </row>
    <row r="2913" spans="1:5" x14ac:dyDescent="0.25">
      <c r="A2913" s="2" t="s">
        <v>2935</v>
      </c>
      <c r="B2913" s="2" t="s">
        <v>2609</v>
      </c>
      <c r="C2913" s="2">
        <v>5</v>
      </c>
      <c r="D2913" t="str">
        <f t="shared" si="45"/>
        <v>CA-2015-154326_TEC-AC-10004568</v>
      </c>
      <c r="E2913" t="str">
        <f>IF(COUNTIF(data2!$D:$D,D2913)=0,"Missing in Data2","Present")</f>
        <v>Present</v>
      </c>
    </row>
    <row r="2914" spans="1:5" x14ac:dyDescent="0.25">
      <c r="A2914" s="2" t="s">
        <v>2935</v>
      </c>
      <c r="B2914" s="2" t="s">
        <v>234</v>
      </c>
      <c r="C2914" s="2">
        <v>2</v>
      </c>
      <c r="D2914" t="str">
        <f t="shared" si="45"/>
        <v>CA-2015-154326_TEC-PH-10000560</v>
      </c>
      <c r="E2914" t="str">
        <f>IF(COUNTIF(data2!$D:$D,D2914)=0,"Missing in Data2","Present")</f>
        <v>Present</v>
      </c>
    </row>
    <row r="2915" spans="1:5" x14ac:dyDescent="0.25">
      <c r="A2915" s="2" t="s">
        <v>2935</v>
      </c>
      <c r="B2915" s="2" t="s">
        <v>1647</v>
      </c>
      <c r="C2915" s="2">
        <v>3</v>
      </c>
      <c r="D2915" t="str">
        <f t="shared" si="45"/>
        <v>CA-2015-154326_TEC-PH-10001819</v>
      </c>
      <c r="E2915" t="str">
        <f>IF(COUNTIF(data2!$D:$D,D2915)=0,"Missing in Data2","Present")</f>
        <v>Present</v>
      </c>
    </row>
    <row r="2916" spans="1:5" x14ac:dyDescent="0.25">
      <c r="A2916" s="2" t="s">
        <v>2936</v>
      </c>
      <c r="B2916" s="2" t="s">
        <v>2183</v>
      </c>
      <c r="C2916" s="2">
        <v>2</v>
      </c>
      <c r="D2916" t="str">
        <f t="shared" si="45"/>
        <v>CA-2015-154340_OFF-AR-10003582</v>
      </c>
      <c r="E2916" t="str">
        <f>IF(COUNTIF(data2!$D:$D,D2916)=0,"Missing in Data2","Present")</f>
        <v>Present</v>
      </c>
    </row>
    <row r="2917" spans="1:5" x14ac:dyDescent="0.25">
      <c r="A2917" s="2" t="s">
        <v>2937</v>
      </c>
      <c r="B2917" s="2" t="s">
        <v>62</v>
      </c>
      <c r="C2917" s="2">
        <v>2</v>
      </c>
      <c r="D2917" t="str">
        <f t="shared" si="45"/>
        <v>CA-2015-154620_FUR-CH-10004675</v>
      </c>
      <c r="E2917" t="str">
        <f>IF(COUNTIF(data2!$D:$D,D2917)=0,"Missing in Data2","Present")</f>
        <v>Present</v>
      </c>
    </row>
    <row r="2918" spans="1:5" x14ac:dyDescent="0.25">
      <c r="A2918" s="2" t="s">
        <v>2938</v>
      </c>
      <c r="B2918" s="2" t="s">
        <v>2939</v>
      </c>
      <c r="C2918" s="2">
        <v>3</v>
      </c>
      <c r="D2918" t="str">
        <f t="shared" si="45"/>
        <v>CA-2015-154746_OFF-AP-10003057</v>
      </c>
      <c r="E2918" t="str">
        <f>IF(COUNTIF(data2!$D:$D,D2918)=0,"Missing in Data2","Present")</f>
        <v>Present</v>
      </c>
    </row>
    <row r="2919" spans="1:5" x14ac:dyDescent="0.25">
      <c r="A2919" s="2" t="s">
        <v>2938</v>
      </c>
      <c r="B2919" s="2" t="s">
        <v>1656</v>
      </c>
      <c r="C2919" s="2">
        <v>2</v>
      </c>
      <c r="D2919" t="str">
        <f t="shared" si="45"/>
        <v>CA-2015-154746_OFF-EN-10001532</v>
      </c>
      <c r="E2919" t="str">
        <f>IF(COUNTIF(data2!$D:$D,D2919)=0,"Missing in Data2","Present")</f>
        <v>Present</v>
      </c>
    </row>
    <row r="2920" spans="1:5" x14ac:dyDescent="0.25">
      <c r="A2920" s="2" t="s">
        <v>2940</v>
      </c>
      <c r="B2920" s="2" t="s">
        <v>756</v>
      </c>
      <c r="C2920" s="2">
        <v>2</v>
      </c>
      <c r="D2920" t="str">
        <f t="shared" si="45"/>
        <v>CA-2015-154795_FUR-FU-10002088</v>
      </c>
      <c r="E2920" t="str">
        <f>IF(COUNTIF(data2!$D:$D,D2920)=0,"Missing in Data2","Present")</f>
        <v>Present</v>
      </c>
    </row>
    <row r="2921" spans="1:5" x14ac:dyDescent="0.25">
      <c r="A2921" s="2" t="s">
        <v>2940</v>
      </c>
      <c r="B2921" s="2" t="s">
        <v>2143</v>
      </c>
      <c r="C2921" s="2">
        <v>1</v>
      </c>
      <c r="D2921" t="str">
        <f t="shared" si="45"/>
        <v>CA-2015-154795_OFF-EN-10003068</v>
      </c>
      <c r="E2921" t="str">
        <f>IF(COUNTIF(data2!$D:$D,D2921)=0,"Missing in Data2","Present")</f>
        <v>Present</v>
      </c>
    </row>
    <row r="2922" spans="1:5" x14ac:dyDescent="0.25">
      <c r="A2922" s="2" t="s">
        <v>2941</v>
      </c>
      <c r="B2922" s="2" t="s">
        <v>1682</v>
      </c>
      <c r="C2922" s="2">
        <v>3</v>
      </c>
      <c r="D2922" t="str">
        <f t="shared" si="45"/>
        <v>CA-2015-154823_FUR-CH-10003379</v>
      </c>
      <c r="E2922" t="str">
        <f>IF(COUNTIF(data2!$D:$D,D2922)=0,"Missing in Data2","Present")</f>
        <v>Present</v>
      </c>
    </row>
    <row r="2923" spans="1:5" x14ac:dyDescent="0.25">
      <c r="A2923" s="2" t="s">
        <v>2941</v>
      </c>
      <c r="B2923" s="2" t="s">
        <v>846</v>
      </c>
      <c r="C2923" s="2">
        <v>1</v>
      </c>
      <c r="D2923" t="str">
        <f t="shared" si="45"/>
        <v>CA-2015-154823_FUR-FU-10000193</v>
      </c>
      <c r="E2923" t="str">
        <f>IF(COUNTIF(data2!$D:$D,D2923)=0,"Missing in Data2","Present")</f>
        <v>Present</v>
      </c>
    </row>
    <row r="2924" spans="1:5" x14ac:dyDescent="0.25">
      <c r="A2924" s="2" t="s">
        <v>2941</v>
      </c>
      <c r="B2924" s="2" t="s">
        <v>2048</v>
      </c>
      <c r="C2924" s="2">
        <v>2</v>
      </c>
      <c r="D2924" t="str">
        <f t="shared" si="45"/>
        <v>CA-2015-154823_OFF-BI-10001098</v>
      </c>
      <c r="E2924" t="str">
        <f>IF(COUNTIF(data2!$D:$D,D2924)=0,"Missing in Data2","Present")</f>
        <v>Present</v>
      </c>
    </row>
    <row r="2925" spans="1:5" x14ac:dyDescent="0.25">
      <c r="A2925" s="2" t="s">
        <v>2942</v>
      </c>
      <c r="B2925" s="2" t="s">
        <v>2489</v>
      </c>
      <c r="C2925" s="2">
        <v>2</v>
      </c>
      <c r="D2925" t="str">
        <f t="shared" si="45"/>
        <v>CA-2015-154886_TEC-AC-10001956</v>
      </c>
      <c r="E2925" t="str">
        <f>IF(COUNTIF(data2!$D:$D,D2925)=0,"Missing in Data2","Present")</f>
        <v>Present</v>
      </c>
    </row>
    <row r="2926" spans="1:5" x14ac:dyDescent="0.25">
      <c r="A2926" s="2" t="s">
        <v>2943</v>
      </c>
      <c r="B2926" s="2" t="s">
        <v>215</v>
      </c>
      <c r="C2926" s="2">
        <v>1</v>
      </c>
      <c r="D2926" t="str">
        <f t="shared" si="45"/>
        <v>CA-2015-154900_OFF-LA-10001641</v>
      </c>
      <c r="E2926" t="str">
        <f>IF(COUNTIF(data2!$D:$D,D2926)=0,"Missing in Data2","Present")</f>
        <v>Present</v>
      </c>
    </row>
    <row r="2927" spans="1:5" x14ac:dyDescent="0.25">
      <c r="A2927" s="2" t="s">
        <v>2943</v>
      </c>
      <c r="B2927" s="2" t="s">
        <v>592</v>
      </c>
      <c r="C2927" s="2">
        <v>4</v>
      </c>
      <c r="D2927" t="str">
        <f t="shared" si="45"/>
        <v>CA-2015-154900_OFF-PA-10002377</v>
      </c>
      <c r="E2927" t="str">
        <f>IF(COUNTIF(data2!$D:$D,D2927)=0,"Missing in Data2","Present")</f>
        <v>Present</v>
      </c>
    </row>
    <row r="2928" spans="1:5" x14ac:dyDescent="0.25">
      <c r="A2928" s="2" t="s">
        <v>2944</v>
      </c>
      <c r="B2928" s="2" t="s">
        <v>18</v>
      </c>
      <c r="C2928" s="2">
        <v>3</v>
      </c>
      <c r="D2928" t="str">
        <f t="shared" si="45"/>
        <v>CA-2015-154921_OFF-EN-10000056</v>
      </c>
      <c r="E2928" t="str">
        <f>IF(COUNTIF(data2!$D:$D,D2928)=0,"Missing in Data2","Present")</f>
        <v>Present</v>
      </c>
    </row>
    <row r="2929" spans="1:5" x14ac:dyDescent="0.25">
      <c r="A2929" s="2" t="s">
        <v>2945</v>
      </c>
      <c r="B2929" s="2" t="s">
        <v>2074</v>
      </c>
      <c r="C2929" s="2">
        <v>4</v>
      </c>
      <c r="D2929" t="str">
        <f t="shared" si="45"/>
        <v>CA-2015-154956_TEC-PH-10004165</v>
      </c>
      <c r="E2929" t="str">
        <f>IF(COUNTIF(data2!$D:$D,D2929)=0,"Missing in Data2","Present")</f>
        <v>Present</v>
      </c>
    </row>
    <row r="2930" spans="1:5" x14ac:dyDescent="0.25">
      <c r="A2930" s="2" t="s">
        <v>2946</v>
      </c>
      <c r="B2930" s="2" t="s">
        <v>858</v>
      </c>
      <c r="C2930" s="2">
        <v>1</v>
      </c>
      <c r="D2930" t="str">
        <f t="shared" si="45"/>
        <v>CA-2015-154970_FUR-CH-10003396</v>
      </c>
      <c r="E2930" t="str">
        <f>IF(COUNTIF(data2!$D:$D,D2930)=0,"Missing in Data2","Present")</f>
        <v>Present</v>
      </c>
    </row>
    <row r="2931" spans="1:5" x14ac:dyDescent="0.25">
      <c r="A2931" s="2" t="s">
        <v>2947</v>
      </c>
      <c r="B2931" s="2" t="s">
        <v>2802</v>
      </c>
      <c r="C2931" s="2">
        <v>2</v>
      </c>
      <c r="D2931" t="str">
        <f t="shared" si="45"/>
        <v>CA-2015-155040_TEC-AC-10004469</v>
      </c>
      <c r="E2931" t="str">
        <f>IF(COUNTIF(data2!$D:$D,D2931)=0,"Missing in Data2","Present")</f>
        <v>Missing in Data2</v>
      </c>
    </row>
    <row r="2932" spans="1:5" x14ac:dyDescent="0.25">
      <c r="A2932" s="2" t="s">
        <v>2948</v>
      </c>
      <c r="B2932" s="2" t="s">
        <v>1255</v>
      </c>
      <c r="C2932" s="2">
        <v>2</v>
      </c>
      <c r="D2932" t="str">
        <f t="shared" si="45"/>
        <v>CA-2015-155054_OFF-BI-10002824</v>
      </c>
      <c r="E2932" t="str">
        <f>IF(COUNTIF(data2!$D:$D,D2932)=0,"Missing in Data2","Present")</f>
        <v>Present</v>
      </c>
    </row>
    <row r="2933" spans="1:5" x14ac:dyDescent="0.25">
      <c r="A2933" s="2" t="s">
        <v>2948</v>
      </c>
      <c r="B2933" s="2" t="s">
        <v>651</v>
      </c>
      <c r="C2933" s="2">
        <v>2</v>
      </c>
      <c r="D2933" t="str">
        <f t="shared" si="45"/>
        <v>CA-2015-155054_OFF-BI-10004970</v>
      </c>
      <c r="E2933" t="str">
        <f>IF(COUNTIF(data2!$D:$D,D2933)=0,"Missing in Data2","Present")</f>
        <v>Present</v>
      </c>
    </row>
    <row r="2934" spans="1:5" x14ac:dyDescent="0.25">
      <c r="A2934" s="2" t="s">
        <v>2948</v>
      </c>
      <c r="B2934" s="2" t="s">
        <v>2249</v>
      </c>
      <c r="C2934" s="2">
        <v>2</v>
      </c>
      <c r="D2934" t="str">
        <f t="shared" si="45"/>
        <v>CA-2015-155054_TEC-AC-10003657</v>
      </c>
      <c r="E2934" t="str">
        <f>IF(COUNTIF(data2!$D:$D,D2934)=0,"Missing in Data2","Present")</f>
        <v>Present</v>
      </c>
    </row>
    <row r="2935" spans="1:5" x14ac:dyDescent="0.25">
      <c r="A2935" s="2" t="s">
        <v>2949</v>
      </c>
      <c r="B2935" s="2" t="s">
        <v>1036</v>
      </c>
      <c r="C2935" s="2">
        <v>2</v>
      </c>
      <c r="D2935" t="str">
        <f t="shared" si="45"/>
        <v>CA-2015-155068_OFF-AR-10002656</v>
      </c>
      <c r="E2935" t="str">
        <f>IF(COUNTIF(data2!$D:$D,D2935)=0,"Missing in Data2","Present")</f>
        <v>Present</v>
      </c>
    </row>
    <row r="2936" spans="1:5" x14ac:dyDescent="0.25">
      <c r="A2936" s="2" t="s">
        <v>2949</v>
      </c>
      <c r="B2936" s="2" t="s">
        <v>1466</v>
      </c>
      <c r="C2936" s="2">
        <v>7</v>
      </c>
      <c r="D2936" t="str">
        <f t="shared" si="45"/>
        <v>CA-2015-155068_TEC-PH-10004897</v>
      </c>
      <c r="E2936" t="str">
        <f>IF(COUNTIF(data2!$D:$D,D2936)=0,"Missing in Data2","Present")</f>
        <v>Present</v>
      </c>
    </row>
    <row r="2937" spans="1:5" x14ac:dyDescent="0.25">
      <c r="A2937" s="2" t="s">
        <v>2949</v>
      </c>
      <c r="B2937" s="2" t="s">
        <v>2950</v>
      </c>
      <c r="C2937" s="2">
        <v>2</v>
      </c>
      <c r="D2937" t="str">
        <f t="shared" si="45"/>
        <v>CA-2015-155068_TEC-PH-10004924</v>
      </c>
      <c r="E2937" t="str">
        <f>IF(COUNTIF(data2!$D:$D,D2937)=0,"Missing in Data2","Present")</f>
        <v>Present</v>
      </c>
    </row>
    <row r="2938" spans="1:5" x14ac:dyDescent="0.25">
      <c r="A2938" s="2" t="s">
        <v>2951</v>
      </c>
      <c r="B2938" s="2" t="s">
        <v>2952</v>
      </c>
      <c r="C2938" s="2">
        <v>3</v>
      </c>
      <c r="D2938" t="str">
        <f t="shared" si="45"/>
        <v>CA-2015-155124_TEC-PH-10003356</v>
      </c>
      <c r="E2938" t="str">
        <f>IF(COUNTIF(data2!$D:$D,D2938)=0,"Missing in Data2","Present")</f>
        <v>Present</v>
      </c>
    </row>
    <row r="2939" spans="1:5" x14ac:dyDescent="0.25">
      <c r="A2939" s="2" t="s">
        <v>2953</v>
      </c>
      <c r="B2939" s="2" t="s">
        <v>553</v>
      </c>
      <c r="C2939" s="2">
        <v>8</v>
      </c>
      <c r="D2939" t="str">
        <f t="shared" si="45"/>
        <v>CA-2015-155145_TEC-AC-10003709</v>
      </c>
      <c r="E2939" t="str">
        <f>IF(COUNTIF(data2!$D:$D,D2939)=0,"Missing in Data2","Present")</f>
        <v>Present</v>
      </c>
    </row>
    <row r="2940" spans="1:5" x14ac:dyDescent="0.25">
      <c r="A2940" s="2" t="s">
        <v>2954</v>
      </c>
      <c r="B2940" s="2" t="s">
        <v>1233</v>
      </c>
      <c r="C2940" s="2">
        <v>5</v>
      </c>
      <c r="D2940" t="str">
        <f t="shared" si="45"/>
        <v>CA-2015-155306_OFF-AP-10002651</v>
      </c>
      <c r="E2940" t="str">
        <f>IF(COUNTIF(data2!$D:$D,D2940)=0,"Missing in Data2","Present")</f>
        <v>Present</v>
      </c>
    </row>
    <row r="2941" spans="1:5" x14ac:dyDescent="0.25">
      <c r="A2941" s="2" t="s">
        <v>2954</v>
      </c>
      <c r="B2941" s="2" t="s">
        <v>1920</v>
      </c>
      <c r="C2941" s="2">
        <v>2</v>
      </c>
      <c r="D2941" t="str">
        <f t="shared" si="45"/>
        <v>CA-2015-155306_OFF-AR-10003251</v>
      </c>
      <c r="E2941" t="str">
        <f>IF(COUNTIF(data2!$D:$D,D2941)=0,"Missing in Data2","Present")</f>
        <v>Present</v>
      </c>
    </row>
    <row r="2942" spans="1:5" x14ac:dyDescent="0.25">
      <c r="A2942" s="2" t="s">
        <v>2954</v>
      </c>
      <c r="B2942" s="2" t="s">
        <v>2955</v>
      </c>
      <c r="C2942" s="2">
        <v>2</v>
      </c>
      <c r="D2942" t="str">
        <f t="shared" si="45"/>
        <v>CA-2015-155306_OFF-PA-10001184</v>
      </c>
      <c r="E2942" t="str">
        <f>IF(COUNTIF(data2!$D:$D,D2942)=0,"Missing in Data2","Present")</f>
        <v>Present</v>
      </c>
    </row>
    <row r="2943" spans="1:5" x14ac:dyDescent="0.25">
      <c r="A2943" s="2" t="s">
        <v>2954</v>
      </c>
      <c r="B2943" s="2" t="s">
        <v>1658</v>
      </c>
      <c r="C2943" s="2">
        <v>3</v>
      </c>
      <c r="D2943" t="str">
        <f t="shared" si="45"/>
        <v>CA-2015-155306_TEC-AC-10003174</v>
      </c>
      <c r="E2943" t="str">
        <f>IF(COUNTIF(data2!$D:$D,D2943)=0,"Missing in Data2","Present")</f>
        <v>Present</v>
      </c>
    </row>
    <row r="2944" spans="1:5" x14ac:dyDescent="0.25">
      <c r="A2944" s="2" t="s">
        <v>2954</v>
      </c>
      <c r="B2944" s="2" t="s">
        <v>831</v>
      </c>
      <c r="C2944" s="2">
        <v>5</v>
      </c>
      <c r="D2944" t="str">
        <f t="shared" si="45"/>
        <v>CA-2015-155306_TEC-PH-10002310</v>
      </c>
      <c r="E2944" t="str">
        <f>IF(COUNTIF(data2!$D:$D,D2944)=0,"Missing in Data2","Present")</f>
        <v>Present</v>
      </c>
    </row>
    <row r="2945" spans="1:5" x14ac:dyDescent="0.25">
      <c r="A2945" s="2" t="s">
        <v>2956</v>
      </c>
      <c r="B2945" s="2" t="s">
        <v>779</v>
      </c>
      <c r="C2945" s="2">
        <v>3</v>
      </c>
      <c r="D2945" t="str">
        <f t="shared" si="45"/>
        <v>CA-2015-155334_FUR-FU-10003274</v>
      </c>
      <c r="E2945" t="str">
        <f>IF(COUNTIF(data2!$D:$D,D2945)=0,"Missing in Data2","Present")</f>
        <v>Present</v>
      </c>
    </row>
    <row r="2946" spans="1:5" x14ac:dyDescent="0.25">
      <c r="A2946" s="2" t="s">
        <v>2956</v>
      </c>
      <c r="B2946" s="2" t="s">
        <v>1825</v>
      </c>
      <c r="C2946" s="2">
        <v>3</v>
      </c>
      <c r="D2946" t="str">
        <f t="shared" si="45"/>
        <v>CA-2015-155334_OFF-BI-10002557</v>
      </c>
      <c r="E2946" t="str">
        <f>IF(COUNTIF(data2!$D:$D,D2946)=0,"Missing in Data2","Present")</f>
        <v>Present</v>
      </c>
    </row>
    <row r="2947" spans="1:5" x14ac:dyDescent="0.25">
      <c r="A2947" s="2" t="s">
        <v>2956</v>
      </c>
      <c r="B2947" s="2" t="s">
        <v>131</v>
      </c>
      <c r="C2947" s="2">
        <v>7</v>
      </c>
      <c r="D2947" t="str">
        <f t="shared" ref="D2947:D3010" si="46">A2947&amp;"_"&amp;B2947</f>
        <v>CA-2015-155334_TEC-AC-10003628</v>
      </c>
      <c r="E2947" t="str">
        <f>IF(COUNTIF(data2!$D:$D,D2947)=0,"Missing in Data2","Present")</f>
        <v>Present</v>
      </c>
    </row>
    <row r="2948" spans="1:5" x14ac:dyDescent="0.25">
      <c r="A2948" s="2" t="s">
        <v>2957</v>
      </c>
      <c r="B2948" s="2" t="s">
        <v>776</v>
      </c>
      <c r="C2948" s="2">
        <v>2</v>
      </c>
      <c r="D2948" t="str">
        <f t="shared" si="46"/>
        <v>CA-2015-155453_OFF-LA-10001613</v>
      </c>
      <c r="E2948" t="str">
        <f>IF(COUNTIF(data2!$D:$D,D2948)=0,"Missing in Data2","Present")</f>
        <v>Present</v>
      </c>
    </row>
    <row r="2949" spans="1:5" x14ac:dyDescent="0.25">
      <c r="A2949" s="2" t="s">
        <v>2958</v>
      </c>
      <c r="B2949" s="2" t="s">
        <v>808</v>
      </c>
      <c r="C2949" s="2">
        <v>4</v>
      </c>
      <c r="D2949" t="str">
        <f t="shared" si="46"/>
        <v>CA-2015-155586_OFF-EN-10003072</v>
      </c>
      <c r="E2949" t="str">
        <f>IF(COUNTIF(data2!$D:$D,D2949)=0,"Missing in Data2","Present")</f>
        <v>Present</v>
      </c>
    </row>
    <row r="2950" spans="1:5" x14ac:dyDescent="0.25">
      <c r="A2950" s="2" t="s">
        <v>2958</v>
      </c>
      <c r="B2950" s="2" t="s">
        <v>2868</v>
      </c>
      <c r="C2950" s="2">
        <v>4</v>
      </c>
      <c r="D2950" t="str">
        <f t="shared" si="46"/>
        <v>CA-2015-155586_OFF-PA-10000726</v>
      </c>
      <c r="E2950" t="str">
        <f>IF(COUNTIF(data2!$D:$D,D2950)=0,"Missing in Data2","Present")</f>
        <v>Present</v>
      </c>
    </row>
    <row r="2951" spans="1:5" x14ac:dyDescent="0.25">
      <c r="A2951" s="2" t="s">
        <v>2959</v>
      </c>
      <c r="B2951" s="2" t="s">
        <v>640</v>
      </c>
      <c r="C2951" s="2">
        <v>4</v>
      </c>
      <c r="D2951" t="str">
        <f t="shared" si="46"/>
        <v>CA-2015-155600_OFF-AR-10003752</v>
      </c>
      <c r="E2951" t="str">
        <f>IF(COUNTIF(data2!$D:$D,D2951)=0,"Missing in Data2","Present")</f>
        <v>Present</v>
      </c>
    </row>
    <row r="2952" spans="1:5" x14ac:dyDescent="0.25">
      <c r="A2952" s="2" t="s">
        <v>2959</v>
      </c>
      <c r="B2952" s="2" t="s">
        <v>2499</v>
      </c>
      <c r="C2952" s="2">
        <v>7</v>
      </c>
      <c r="D2952" t="str">
        <f t="shared" si="46"/>
        <v>CA-2015-155600_OFF-BI-10000545</v>
      </c>
      <c r="E2952" t="str">
        <f>IF(COUNTIF(data2!$D:$D,D2952)=0,"Missing in Data2","Present")</f>
        <v>Present</v>
      </c>
    </row>
    <row r="2953" spans="1:5" x14ac:dyDescent="0.25">
      <c r="A2953" s="2" t="s">
        <v>2960</v>
      </c>
      <c r="B2953" s="2" t="s">
        <v>1014</v>
      </c>
      <c r="C2953" s="2">
        <v>3</v>
      </c>
      <c r="D2953" t="str">
        <f t="shared" si="46"/>
        <v>CA-2015-155635_OFF-BI-10000962</v>
      </c>
      <c r="E2953" t="str">
        <f>IF(COUNTIF(data2!$D:$D,D2953)=0,"Missing in Data2","Present")</f>
        <v>Present</v>
      </c>
    </row>
    <row r="2954" spans="1:5" x14ac:dyDescent="0.25">
      <c r="A2954" s="2" t="s">
        <v>2961</v>
      </c>
      <c r="B2954" s="2" t="s">
        <v>166</v>
      </c>
      <c r="C2954" s="2">
        <v>3</v>
      </c>
      <c r="D2954" t="str">
        <f t="shared" si="46"/>
        <v>CA-2015-155761_OFF-ST-10000943</v>
      </c>
      <c r="E2954" t="str">
        <f>IF(COUNTIF(data2!$D:$D,D2954)=0,"Missing in Data2","Present")</f>
        <v>Present</v>
      </c>
    </row>
    <row r="2955" spans="1:5" x14ac:dyDescent="0.25">
      <c r="A2955" s="2" t="s">
        <v>2961</v>
      </c>
      <c r="B2955" s="2" t="s">
        <v>1128</v>
      </c>
      <c r="C2955" s="2">
        <v>2</v>
      </c>
      <c r="D2955" t="str">
        <f t="shared" si="46"/>
        <v>CA-2015-155761_TEC-AC-10001606</v>
      </c>
      <c r="E2955" t="str">
        <f>IF(COUNTIF(data2!$D:$D,D2955)=0,"Missing in Data2","Present")</f>
        <v>Present</v>
      </c>
    </row>
    <row r="2956" spans="1:5" x14ac:dyDescent="0.25">
      <c r="A2956" s="2" t="s">
        <v>2962</v>
      </c>
      <c r="B2956" s="2" t="s">
        <v>2779</v>
      </c>
      <c r="C2956" s="2">
        <v>2</v>
      </c>
      <c r="D2956" t="str">
        <f t="shared" si="46"/>
        <v>CA-2015-156013_OFF-BI-10002437</v>
      </c>
      <c r="E2956" t="str">
        <f>IF(COUNTIF(data2!$D:$D,D2956)=0,"Missing in Data2","Present")</f>
        <v>Present</v>
      </c>
    </row>
    <row r="2957" spans="1:5" x14ac:dyDescent="0.25">
      <c r="A2957" s="2" t="s">
        <v>2962</v>
      </c>
      <c r="B2957" s="2" t="s">
        <v>1039</v>
      </c>
      <c r="C2957" s="2">
        <v>5</v>
      </c>
      <c r="D2957" t="str">
        <f t="shared" si="46"/>
        <v>CA-2015-156013_OFF-PA-10001970</v>
      </c>
      <c r="E2957" t="str">
        <f>IF(COUNTIF(data2!$D:$D,D2957)=0,"Missing in Data2","Present")</f>
        <v>Missing in Data2</v>
      </c>
    </row>
    <row r="2958" spans="1:5" x14ac:dyDescent="0.25">
      <c r="A2958" s="2" t="s">
        <v>2963</v>
      </c>
      <c r="B2958" s="2" t="s">
        <v>1688</v>
      </c>
      <c r="C2958" s="2">
        <v>2</v>
      </c>
      <c r="D2958" t="str">
        <f t="shared" si="46"/>
        <v>CA-2015-156104_TEC-CO-10002095</v>
      </c>
      <c r="E2958" t="str">
        <f>IF(COUNTIF(data2!$D:$D,D2958)=0,"Missing in Data2","Present")</f>
        <v>Present</v>
      </c>
    </row>
    <row r="2959" spans="1:5" x14ac:dyDescent="0.25">
      <c r="A2959" s="2" t="s">
        <v>2964</v>
      </c>
      <c r="B2959" s="2" t="s">
        <v>721</v>
      </c>
      <c r="C2959" s="2">
        <v>3</v>
      </c>
      <c r="D2959" t="str">
        <f t="shared" si="46"/>
        <v>CA-2015-156118_OFF-PA-10000533</v>
      </c>
      <c r="E2959" t="str">
        <f>IF(COUNTIF(data2!$D:$D,D2959)=0,"Missing in Data2","Present")</f>
        <v>Present</v>
      </c>
    </row>
    <row r="2960" spans="1:5" x14ac:dyDescent="0.25">
      <c r="A2960" s="2" t="s">
        <v>2965</v>
      </c>
      <c r="B2960" s="2" t="s">
        <v>1914</v>
      </c>
      <c r="C2960" s="2">
        <v>2</v>
      </c>
      <c r="D2960" t="str">
        <f t="shared" si="46"/>
        <v>CA-2015-156146_TEC-PH-10001527</v>
      </c>
      <c r="E2960" t="str">
        <f>IF(COUNTIF(data2!$D:$D,D2960)=0,"Missing in Data2","Present")</f>
        <v>Present</v>
      </c>
    </row>
    <row r="2961" spans="1:5" x14ac:dyDescent="0.25">
      <c r="A2961" s="2" t="s">
        <v>2966</v>
      </c>
      <c r="B2961" s="2" t="s">
        <v>1859</v>
      </c>
      <c r="C2961" s="2">
        <v>6</v>
      </c>
      <c r="D2961" t="str">
        <f t="shared" si="46"/>
        <v>CA-2015-156153_OFF-FA-10003472</v>
      </c>
      <c r="E2961" t="str">
        <f>IF(COUNTIF(data2!$D:$D,D2961)=0,"Missing in Data2","Present")</f>
        <v>Present</v>
      </c>
    </row>
    <row r="2962" spans="1:5" x14ac:dyDescent="0.25">
      <c r="A2962" s="2" t="s">
        <v>2967</v>
      </c>
      <c r="B2962" s="2" t="s">
        <v>2968</v>
      </c>
      <c r="C2962" s="2">
        <v>3</v>
      </c>
      <c r="D2962" t="str">
        <f t="shared" si="46"/>
        <v>CA-2015-156328_TEC-PH-10001198</v>
      </c>
      <c r="E2962" t="str">
        <f>IF(COUNTIF(data2!$D:$D,D2962)=0,"Missing in Data2","Present")</f>
        <v>Present</v>
      </c>
    </row>
    <row r="2963" spans="1:5" x14ac:dyDescent="0.25">
      <c r="A2963" s="2" t="s">
        <v>2969</v>
      </c>
      <c r="B2963" s="2" t="s">
        <v>940</v>
      </c>
      <c r="C2963" s="2">
        <v>3</v>
      </c>
      <c r="D2963" t="str">
        <f t="shared" si="46"/>
        <v>CA-2015-156335_OFF-BI-10003314</v>
      </c>
      <c r="E2963" t="str">
        <f>IF(COUNTIF(data2!$D:$D,D2963)=0,"Missing in Data2","Present")</f>
        <v>Present</v>
      </c>
    </row>
    <row r="2964" spans="1:5" x14ac:dyDescent="0.25">
      <c r="A2964" s="2" t="s">
        <v>2969</v>
      </c>
      <c r="B2964" s="2" t="s">
        <v>1603</v>
      </c>
      <c r="C2964" s="2">
        <v>4</v>
      </c>
      <c r="D2964" t="str">
        <f t="shared" si="46"/>
        <v>CA-2015-156335_TEC-AC-10002006</v>
      </c>
      <c r="E2964" t="str">
        <f>IF(COUNTIF(data2!$D:$D,D2964)=0,"Missing in Data2","Present")</f>
        <v>Present</v>
      </c>
    </row>
    <row r="2965" spans="1:5" x14ac:dyDescent="0.25">
      <c r="A2965" s="2" t="s">
        <v>2969</v>
      </c>
      <c r="B2965" s="2" t="s">
        <v>244</v>
      </c>
      <c r="C2965" s="2">
        <v>2</v>
      </c>
      <c r="D2965" t="str">
        <f t="shared" si="46"/>
        <v>CA-2015-156335_TEC-PH-10002726</v>
      </c>
      <c r="E2965" t="str">
        <f>IF(COUNTIF(data2!$D:$D,D2965)=0,"Missing in Data2","Present")</f>
        <v>Present</v>
      </c>
    </row>
    <row r="2966" spans="1:5" x14ac:dyDescent="0.25">
      <c r="A2966" s="2" t="s">
        <v>2970</v>
      </c>
      <c r="B2966" s="2" t="s">
        <v>1325</v>
      </c>
      <c r="C2966" s="2">
        <v>5</v>
      </c>
      <c r="D2966" t="str">
        <f t="shared" si="46"/>
        <v>CA-2015-156377_FUR-FU-10002364</v>
      </c>
      <c r="E2966" t="str">
        <f>IF(COUNTIF(data2!$D:$D,D2966)=0,"Missing in Data2","Present")</f>
        <v>Present</v>
      </c>
    </row>
    <row r="2967" spans="1:5" x14ac:dyDescent="0.25">
      <c r="A2967" s="2" t="s">
        <v>2970</v>
      </c>
      <c r="B2967" s="2" t="s">
        <v>1038</v>
      </c>
      <c r="C2967" s="2">
        <v>4</v>
      </c>
      <c r="D2967" t="str">
        <f t="shared" si="46"/>
        <v>CA-2015-156377_OFF-BI-10002954</v>
      </c>
      <c r="E2967" t="str">
        <f>IF(COUNTIF(data2!$D:$D,D2967)=0,"Missing in Data2","Present")</f>
        <v>Missing in Data2</v>
      </c>
    </row>
    <row r="2968" spans="1:5" x14ac:dyDescent="0.25">
      <c r="A2968" s="2" t="s">
        <v>2971</v>
      </c>
      <c r="B2968" s="2" t="s">
        <v>1111</v>
      </c>
      <c r="C2968" s="2">
        <v>2</v>
      </c>
      <c r="D2968" t="str">
        <f t="shared" si="46"/>
        <v>CA-2015-156440_FUR-FU-10004090</v>
      </c>
      <c r="E2968" t="str">
        <f>IF(COUNTIF(data2!$D:$D,D2968)=0,"Missing in Data2","Present")</f>
        <v>Present</v>
      </c>
    </row>
    <row r="2969" spans="1:5" x14ac:dyDescent="0.25">
      <c r="A2969" s="2" t="s">
        <v>2972</v>
      </c>
      <c r="B2969" s="2" t="s">
        <v>2180</v>
      </c>
      <c r="C2969" s="2">
        <v>4</v>
      </c>
      <c r="D2969" t="str">
        <f t="shared" si="46"/>
        <v>CA-2015-156482_FUR-BO-10002598</v>
      </c>
      <c r="E2969" t="str">
        <f>IF(COUNTIF(data2!$D:$D,D2969)=0,"Missing in Data2","Present")</f>
        <v>Present</v>
      </c>
    </row>
    <row r="2970" spans="1:5" x14ac:dyDescent="0.25">
      <c r="A2970" s="2" t="s">
        <v>2972</v>
      </c>
      <c r="B2970" s="2" t="s">
        <v>2229</v>
      </c>
      <c r="C2970" s="2">
        <v>9</v>
      </c>
      <c r="D2970" t="str">
        <f t="shared" si="46"/>
        <v>CA-2015-156482_FUR-CH-10001708</v>
      </c>
      <c r="E2970" t="str">
        <f>IF(COUNTIF(data2!$D:$D,D2970)=0,"Missing in Data2","Present")</f>
        <v>Present</v>
      </c>
    </row>
    <row r="2971" spans="1:5" x14ac:dyDescent="0.25">
      <c r="A2971" s="2" t="s">
        <v>2972</v>
      </c>
      <c r="B2971" s="2" t="s">
        <v>38</v>
      </c>
      <c r="C2971" s="2">
        <v>2</v>
      </c>
      <c r="D2971" t="str">
        <f t="shared" si="46"/>
        <v>CA-2015-156482_OFF-AR-10001022</v>
      </c>
      <c r="E2971" t="str">
        <f>IF(COUNTIF(data2!$D:$D,D2971)=0,"Missing in Data2","Present")</f>
        <v>Present</v>
      </c>
    </row>
    <row r="2972" spans="1:5" x14ac:dyDescent="0.25">
      <c r="A2972" s="2" t="s">
        <v>2973</v>
      </c>
      <c r="B2972" s="2" t="s">
        <v>693</v>
      </c>
      <c r="C2972" s="2">
        <v>1</v>
      </c>
      <c r="D2972" t="str">
        <f t="shared" si="46"/>
        <v>CA-2015-156510_OFF-AR-10004930</v>
      </c>
      <c r="E2972" t="str">
        <f>IF(COUNTIF(data2!$D:$D,D2972)=0,"Missing in Data2","Present")</f>
        <v>Present</v>
      </c>
    </row>
    <row r="2973" spans="1:5" x14ac:dyDescent="0.25">
      <c r="A2973" s="2" t="s">
        <v>2973</v>
      </c>
      <c r="B2973" s="2" t="s">
        <v>1196</v>
      </c>
      <c r="C2973" s="2">
        <v>2</v>
      </c>
      <c r="D2973" t="str">
        <f t="shared" si="46"/>
        <v>CA-2015-156510_OFF-BI-10000822</v>
      </c>
      <c r="E2973" t="str">
        <f>IF(COUNTIF(data2!$D:$D,D2973)=0,"Missing in Data2","Present")</f>
        <v>Present</v>
      </c>
    </row>
    <row r="2974" spans="1:5" x14ac:dyDescent="0.25">
      <c r="A2974" s="2" t="s">
        <v>2973</v>
      </c>
      <c r="B2974" s="2" t="s">
        <v>2628</v>
      </c>
      <c r="C2974" s="2">
        <v>2</v>
      </c>
      <c r="D2974" t="str">
        <f t="shared" si="46"/>
        <v>CA-2015-156510_OFF-PA-10002222</v>
      </c>
      <c r="E2974" t="str">
        <f>IF(COUNTIF(data2!$D:$D,D2974)=0,"Missing in Data2","Present")</f>
        <v>Present</v>
      </c>
    </row>
    <row r="2975" spans="1:5" x14ac:dyDescent="0.25">
      <c r="A2975" s="2" t="s">
        <v>2974</v>
      </c>
      <c r="B2975" s="2" t="s">
        <v>957</v>
      </c>
      <c r="C2975" s="2">
        <v>3</v>
      </c>
      <c r="D2975" t="str">
        <f t="shared" si="46"/>
        <v>CA-2015-156524_OFF-PA-10003883</v>
      </c>
      <c r="E2975" t="str">
        <f>IF(COUNTIF(data2!$D:$D,D2975)=0,"Missing in Data2","Present")</f>
        <v>Present</v>
      </c>
    </row>
    <row r="2976" spans="1:5" x14ac:dyDescent="0.25">
      <c r="A2976" s="2" t="s">
        <v>2975</v>
      </c>
      <c r="B2976" s="2" t="s">
        <v>2598</v>
      </c>
      <c r="C2976" s="2">
        <v>2</v>
      </c>
      <c r="D2976" t="str">
        <f t="shared" si="46"/>
        <v>CA-2015-156566_TEC-PH-10001817</v>
      </c>
      <c r="E2976" t="str">
        <f>IF(COUNTIF(data2!$D:$D,D2976)=0,"Missing in Data2","Present")</f>
        <v>Present</v>
      </c>
    </row>
    <row r="2977" spans="1:5" x14ac:dyDescent="0.25">
      <c r="A2977" s="2" t="s">
        <v>2976</v>
      </c>
      <c r="B2977" s="2" t="s">
        <v>70</v>
      </c>
      <c r="C2977" s="2">
        <v>4</v>
      </c>
      <c r="D2977" t="str">
        <f t="shared" si="46"/>
        <v>CA-2015-156608_OFF-BI-10004140</v>
      </c>
      <c r="E2977" t="str">
        <f>IF(COUNTIF(data2!$D:$D,D2977)=0,"Missing in Data2","Present")</f>
        <v>Present</v>
      </c>
    </row>
    <row r="2978" spans="1:5" x14ac:dyDescent="0.25">
      <c r="A2978" s="2" t="s">
        <v>2977</v>
      </c>
      <c r="B2978" s="2" t="s">
        <v>949</v>
      </c>
      <c r="C2978" s="2">
        <v>4</v>
      </c>
      <c r="D2978" t="str">
        <f t="shared" si="46"/>
        <v>CA-2015-156734_FUR-CH-10002965</v>
      </c>
      <c r="E2978" t="str">
        <f>IF(COUNTIF(data2!$D:$D,D2978)=0,"Missing in Data2","Present")</f>
        <v>Missing in Data2</v>
      </c>
    </row>
    <row r="2979" spans="1:5" x14ac:dyDescent="0.25">
      <c r="A2979" s="2" t="s">
        <v>2977</v>
      </c>
      <c r="B2979" s="2" t="s">
        <v>1734</v>
      </c>
      <c r="C2979" s="2">
        <v>3</v>
      </c>
      <c r="D2979" t="str">
        <f t="shared" si="46"/>
        <v>CA-2015-156734_OFF-BI-10002982</v>
      </c>
      <c r="E2979" t="str">
        <f>IF(COUNTIF(data2!$D:$D,D2979)=0,"Missing in Data2","Present")</f>
        <v>Present</v>
      </c>
    </row>
    <row r="2980" spans="1:5" x14ac:dyDescent="0.25">
      <c r="A2980" s="2" t="s">
        <v>2977</v>
      </c>
      <c r="B2980" s="2" t="s">
        <v>1785</v>
      </c>
      <c r="C2980" s="2">
        <v>4</v>
      </c>
      <c r="D2980" t="str">
        <f t="shared" si="46"/>
        <v>CA-2015-156734_OFF-PA-10001937</v>
      </c>
      <c r="E2980" t="str">
        <f>IF(COUNTIF(data2!$D:$D,D2980)=0,"Missing in Data2","Present")</f>
        <v>Present</v>
      </c>
    </row>
    <row r="2981" spans="1:5" x14ac:dyDescent="0.25">
      <c r="A2981" s="2" t="s">
        <v>2978</v>
      </c>
      <c r="B2981" s="2" t="s">
        <v>790</v>
      </c>
      <c r="C2981" s="2">
        <v>3</v>
      </c>
      <c r="D2981" t="str">
        <f t="shared" si="46"/>
        <v>CA-2015-156755_OFF-ST-10002615</v>
      </c>
      <c r="E2981" t="str">
        <f>IF(COUNTIF(data2!$D:$D,D2981)=0,"Missing in Data2","Present")</f>
        <v>Present</v>
      </c>
    </row>
    <row r="2982" spans="1:5" x14ac:dyDescent="0.25">
      <c r="A2982" s="2" t="s">
        <v>2979</v>
      </c>
      <c r="B2982" s="2" t="s">
        <v>2980</v>
      </c>
      <c r="C2982" s="2">
        <v>7</v>
      </c>
      <c r="D2982" t="str">
        <f t="shared" si="46"/>
        <v>CA-2015-156853_OFF-PA-10003656</v>
      </c>
      <c r="E2982" t="str">
        <f>IF(COUNTIF(data2!$D:$D,D2982)=0,"Missing in Data2","Present")</f>
        <v>Present</v>
      </c>
    </row>
    <row r="2983" spans="1:5" x14ac:dyDescent="0.25">
      <c r="A2983" s="2" t="s">
        <v>2981</v>
      </c>
      <c r="B2983" s="2" t="s">
        <v>1932</v>
      </c>
      <c r="C2983" s="2">
        <v>6</v>
      </c>
      <c r="D2983" t="str">
        <f t="shared" si="46"/>
        <v>CA-2015-156923_OFF-PA-10002751</v>
      </c>
      <c r="E2983" t="str">
        <f>IF(COUNTIF(data2!$D:$D,D2983)=0,"Missing in Data2","Present")</f>
        <v>Present</v>
      </c>
    </row>
    <row r="2984" spans="1:5" x14ac:dyDescent="0.25">
      <c r="A2984" s="2" t="s">
        <v>2982</v>
      </c>
      <c r="B2984" s="2" t="s">
        <v>1190</v>
      </c>
      <c r="C2984" s="2">
        <v>2</v>
      </c>
      <c r="D2984" t="str">
        <f t="shared" si="46"/>
        <v>CA-2015-157028_OFF-AR-10004441</v>
      </c>
      <c r="E2984" t="str">
        <f>IF(COUNTIF(data2!$D:$D,D2984)=0,"Missing in Data2","Present")</f>
        <v>Present</v>
      </c>
    </row>
    <row r="2985" spans="1:5" x14ac:dyDescent="0.25">
      <c r="A2985" s="2" t="s">
        <v>2983</v>
      </c>
      <c r="B2985" s="2" t="s">
        <v>2984</v>
      </c>
      <c r="C2985" s="2">
        <v>3</v>
      </c>
      <c r="D2985" t="str">
        <f t="shared" si="46"/>
        <v>CA-2015-157035_OFF-PA-10004156</v>
      </c>
      <c r="E2985" t="str">
        <f>IF(COUNTIF(data2!$D:$D,D2985)=0,"Missing in Data2","Present")</f>
        <v>Present</v>
      </c>
    </row>
    <row r="2986" spans="1:5" x14ac:dyDescent="0.25">
      <c r="A2986" s="2" t="s">
        <v>2985</v>
      </c>
      <c r="B2986" s="2" t="s">
        <v>1053</v>
      </c>
      <c r="C2986" s="2">
        <v>3</v>
      </c>
      <c r="D2986" t="str">
        <f t="shared" si="46"/>
        <v>CA-2015-157084_TEC-AC-10002049</v>
      </c>
      <c r="E2986" t="str">
        <f>IF(COUNTIF(data2!$D:$D,D2986)=0,"Missing in Data2","Present")</f>
        <v>Present</v>
      </c>
    </row>
    <row r="2987" spans="1:5" x14ac:dyDescent="0.25">
      <c r="A2987" s="2" t="s">
        <v>2985</v>
      </c>
      <c r="B2987" s="2" t="s">
        <v>2066</v>
      </c>
      <c r="C2987" s="2">
        <v>5</v>
      </c>
      <c r="D2987" t="str">
        <f t="shared" si="46"/>
        <v>CA-2015-157084_TEC-PH-10002922</v>
      </c>
      <c r="E2987" t="str">
        <f>IF(COUNTIF(data2!$D:$D,D2987)=0,"Missing in Data2","Present")</f>
        <v>Present</v>
      </c>
    </row>
    <row r="2988" spans="1:5" x14ac:dyDescent="0.25">
      <c r="A2988" s="2" t="s">
        <v>2986</v>
      </c>
      <c r="B2988" s="2" t="s">
        <v>2459</v>
      </c>
      <c r="C2988" s="2">
        <v>5</v>
      </c>
      <c r="D2988" t="str">
        <f t="shared" si="46"/>
        <v>CA-2015-157133_FUR-FU-10004904</v>
      </c>
      <c r="E2988" t="str">
        <f>IF(COUNTIF(data2!$D:$D,D2988)=0,"Missing in Data2","Present")</f>
        <v>Present</v>
      </c>
    </row>
    <row r="2989" spans="1:5" x14ac:dyDescent="0.25">
      <c r="A2989" s="2" t="s">
        <v>2987</v>
      </c>
      <c r="B2989" s="2" t="s">
        <v>976</v>
      </c>
      <c r="C2989" s="2">
        <v>7</v>
      </c>
      <c r="D2989" t="str">
        <f t="shared" si="46"/>
        <v>CA-2015-157287_FUR-CH-10001270</v>
      </c>
      <c r="E2989" t="str">
        <f>IF(COUNTIF(data2!$D:$D,D2989)=0,"Missing in Data2","Present")</f>
        <v>Present</v>
      </c>
    </row>
    <row r="2990" spans="1:5" x14ac:dyDescent="0.25">
      <c r="A2990" s="2" t="s">
        <v>2987</v>
      </c>
      <c r="B2990" s="2" t="s">
        <v>2144</v>
      </c>
      <c r="C2990" s="2">
        <v>2</v>
      </c>
      <c r="D2990" t="str">
        <f t="shared" si="46"/>
        <v>CA-2015-157287_OFF-ST-10001172</v>
      </c>
      <c r="E2990" t="str">
        <f>IF(COUNTIF(data2!$D:$D,D2990)=0,"Missing in Data2","Present")</f>
        <v>Present</v>
      </c>
    </row>
    <row r="2991" spans="1:5" x14ac:dyDescent="0.25">
      <c r="A2991" s="2" t="s">
        <v>2988</v>
      </c>
      <c r="B2991" s="2" t="s">
        <v>373</v>
      </c>
      <c r="C2991" s="2">
        <v>6</v>
      </c>
      <c r="D2991" t="str">
        <f t="shared" si="46"/>
        <v>CA-2015-157322_FUR-CH-10003774</v>
      </c>
      <c r="E2991" t="str">
        <f>IF(COUNTIF(data2!$D:$D,D2991)=0,"Missing in Data2","Present")</f>
        <v>Present</v>
      </c>
    </row>
    <row r="2992" spans="1:5" x14ac:dyDescent="0.25">
      <c r="A2992" s="2" t="s">
        <v>2988</v>
      </c>
      <c r="B2992" s="2" t="s">
        <v>2153</v>
      </c>
      <c r="C2992" s="2">
        <v>2</v>
      </c>
      <c r="D2992" t="str">
        <f t="shared" si="46"/>
        <v>CA-2015-157322_FUR-CH-10004086</v>
      </c>
      <c r="E2992" t="str">
        <f>IF(COUNTIF(data2!$D:$D,D2992)=0,"Missing in Data2","Present")</f>
        <v>Present</v>
      </c>
    </row>
    <row r="2993" spans="1:5" x14ac:dyDescent="0.25">
      <c r="A2993" s="2" t="s">
        <v>2988</v>
      </c>
      <c r="B2993" s="2" t="s">
        <v>622</v>
      </c>
      <c r="C2993" s="2">
        <v>2</v>
      </c>
      <c r="D2993" t="str">
        <f t="shared" si="46"/>
        <v>CA-2015-157322_OFF-PA-10000659</v>
      </c>
      <c r="E2993" t="str">
        <f>IF(COUNTIF(data2!$D:$D,D2993)=0,"Missing in Data2","Present")</f>
        <v>Present</v>
      </c>
    </row>
    <row r="2994" spans="1:5" x14ac:dyDescent="0.25">
      <c r="A2994" s="2" t="s">
        <v>2988</v>
      </c>
      <c r="B2994" s="2" t="s">
        <v>550</v>
      </c>
      <c r="C2994" s="2">
        <v>3</v>
      </c>
      <c r="D2994" t="str">
        <f t="shared" si="46"/>
        <v>CA-2015-157322_OFF-ST-10003208</v>
      </c>
      <c r="E2994" t="str">
        <f>IF(COUNTIF(data2!$D:$D,D2994)=0,"Missing in Data2","Present")</f>
        <v>Present</v>
      </c>
    </row>
    <row r="2995" spans="1:5" x14ac:dyDescent="0.25">
      <c r="A2995" s="2" t="s">
        <v>2988</v>
      </c>
      <c r="B2995" s="2" t="s">
        <v>1772</v>
      </c>
      <c r="C2995" s="2">
        <v>5</v>
      </c>
      <c r="D2995" t="str">
        <f t="shared" si="46"/>
        <v>CA-2015-157322_OFF-ST-10004507</v>
      </c>
      <c r="E2995" t="str">
        <f>IF(COUNTIF(data2!$D:$D,D2995)=0,"Missing in Data2","Present")</f>
        <v>Present</v>
      </c>
    </row>
    <row r="2996" spans="1:5" x14ac:dyDescent="0.25">
      <c r="A2996" s="2" t="s">
        <v>2989</v>
      </c>
      <c r="B2996" s="2" t="s">
        <v>1319</v>
      </c>
      <c r="C2996" s="2">
        <v>3</v>
      </c>
      <c r="D2996" t="str">
        <f t="shared" si="46"/>
        <v>CA-2015-157343_OFF-AR-10003183</v>
      </c>
      <c r="E2996" t="str">
        <f>IF(COUNTIF(data2!$D:$D,D2996)=0,"Missing in Data2","Present")</f>
        <v>Present</v>
      </c>
    </row>
    <row r="2997" spans="1:5" x14ac:dyDescent="0.25">
      <c r="A2997" s="2" t="s">
        <v>2989</v>
      </c>
      <c r="B2997" s="2" t="s">
        <v>2040</v>
      </c>
      <c r="C2997" s="2">
        <v>4</v>
      </c>
      <c r="D2997" t="str">
        <f t="shared" si="46"/>
        <v>CA-2015-157343_OFF-BI-10003707</v>
      </c>
      <c r="E2997" t="str">
        <f>IF(COUNTIF(data2!$D:$D,D2997)=0,"Missing in Data2","Present")</f>
        <v>Present</v>
      </c>
    </row>
    <row r="2998" spans="1:5" x14ac:dyDescent="0.25">
      <c r="A2998" s="2" t="s">
        <v>2989</v>
      </c>
      <c r="B2998" s="2" t="s">
        <v>727</v>
      </c>
      <c r="C2998" s="2">
        <v>5</v>
      </c>
      <c r="D2998" t="str">
        <f t="shared" si="46"/>
        <v>CA-2015-157343_OFF-PA-10000552</v>
      </c>
      <c r="E2998" t="str">
        <f>IF(COUNTIF(data2!$D:$D,D2998)=0,"Missing in Data2","Present")</f>
        <v>Present</v>
      </c>
    </row>
    <row r="2999" spans="1:5" x14ac:dyDescent="0.25">
      <c r="A2999" s="2" t="s">
        <v>2990</v>
      </c>
      <c r="B2999" s="2" t="s">
        <v>785</v>
      </c>
      <c r="C2999" s="2">
        <v>2</v>
      </c>
      <c r="D2999" t="str">
        <f t="shared" si="46"/>
        <v>CA-2015-157434_OFF-PA-10001526</v>
      </c>
      <c r="E2999" t="str">
        <f>IF(COUNTIF(data2!$D:$D,D2999)=0,"Missing in Data2","Present")</f>
        <v>Present</v>
      </c>
    </row>
    <row r="3000" spans="1:5" x14ac:dyDescent="0.25">
      <c r="A3000" s="2" t="s">
        <v>2991</v>
      </c>
      <c r="B3000" s="2" t="s">
        <v>2375</v>
      </c>
      <c r="C3000" s="2">
        <v>5</v>
      </c>
      <c r="D3000" t="str">
        <f t="shared" si="46"/>
        <v>CA-2015-157770_TEC-AC-10001552</v>
      </c>
      <c r="E3000" t="str">
        <f>IF(COUNTIF(data2!$D:$D,D3000)=0,"Missing in Data2","Present")</f>
        <v>Present</v>
      </c>
    </row>
    <row r="3001" spans="1:5" x14ac:dyDescent="0.25">
      <c r="A3001" s="2" t="s">
        <v>2991</v>
      </c>
      <c r="B3001" s="2" t="s">
        <v>382</v>
      </c>
      <c r="C3001" s="2">
        <v>1</v>
      </c>
      <c r="D3001" t="str">
        <f t="shared" si="46"/>
        <v>CA-2015-157770_TEC-AC-10003399</v>
      </c>
      <c r="E3001" t="str">
        <f>IF(COUNTIF(data2!$D:$D,D3001)=0,"Missing in Data2","Present")</f>
        <v>Present</v>
      </c>
    </row>
    <row r="3002" spans="1:5" x14ac:dyDescent="0.25">
      <c r="A3002" s="2" t="s">
        <v>2991</v>
      </c>
      <c r="B3002" s="2" t="s">
        <v>602</v>
      </c>
      <c r="C3002" s="2">
        <v>3</v>
      </c>
      <c r="D3002" t="str">
        <f t="shared" si="46"/>
        <v>CA-2015-157770_TEC-PH-10001530</v>
      </c>
      <c r="E3002" t="str">
        <f>IF(COUNTIF(data2!$D:$D,D3002)=0,"Missing in Data2","Present")</f>
        <v>Present</v>
      </c>
    </row>
    <row r="3003" spans="1:5" x14ac:dyDescent="0.25">
      <c r="A3003" s="2" t="s">
        <v>2992</v>
      </c>
      <c r="B3003" s="2" t="s">
        <v>1205</v>
      </c>
      <c r="C3003" s="2">
        <v>5</v>
      </c>
      <c r="D3003" t="str">
        <f t="shared" si="46"/>
        <v>CA-2015-157805_TEC-PH-10004447</v>
      </c>
      <c r="E3003" t="str">
        <f>IF(COUNTIF(data2!$D:$D,D3003)=0,"Missing in Data2","Present")</f>
        <v>Present</v>
      </c>
    </row>
    <row r="3004" spans="1:5" x14ac:dyDescent="0.25">
      <c r="A3004" s="2" t="s">
        <v>2993</v>
      </c>
      <c r="B3004" s="2" t="s">
        <v>2994</v>
      </c>
      <c r="C3004" s="2">
        <v>9</v>
      </c>
      <c r="D3004" t="str">
        <f t="shared" si="46"/>
        <v>CA-2015-157812_OFF-BI-10000285</v>
      </c>
      <c r="E3004" t="str">
        <f>IF(COUNTIF(data2!$D:$D,D3004)=0,"Missing in Data2","Present")</f>
        <v>Present</v>
      </c>
    </row>
    <row r="3005" spans="1:5" x14ac:dyDescent="0.25">
      <c r="A3005" s="2" t="s">
        <v>2993</v>
      </c>
      <c r="B3005" s="2" t="s">
        <v>299</v>
      </c>
      <c r="C3005" s="2">
        <v>2</v>
      </c>
      <c r="D3005" t="str">
        <f t="shared" si="46"/>
        <v>CA-2015-157812_OFF-ST-10000736</v>
      </c>
      <c r="E3005" t="str">
        <f>IF(COUNTIF(data2!$D:$D,D3005)=0,"Missing in Data2","Present")</f>
        <v>Present</v>
      </c>
    </row>
    <row r="3006" spans="1:5" x14ac:dyDescent="0.25">
      <c r="A3006" s="2" t="s">
        <v>2993</v>
      </c>
      <c r="B3006" s="2" t="s">
        <v>2057</v>
      </c>
      <c r="C3006" s="2">
        <v>1</v>
      </c>
      <c r="D3006" t="str">
        <f t="shared" si="46"/>
        <v>CA-2015-157812_TEC-AC-10000171</v>
      </c>
      <c r="E3006" t="str">
        <f>IF(COUNTIF(data2!$D:$D,D3006)=0,"Missing in Data2","Present")</f>
        <v>Present</v>
      </c>
    </row>
    <row r="3007" spans="1:5" x14ac:dyDescent="0.25">
      <c r="A3007" s="2" t="s">
        <v>2995</v>
      </c>
      <c r="B3007" s="2" t="s">
        <v>2996</v>
      </c>
      <c r="C3007" s="2">
        <v>4</v>
      </c>
      <c r="D3007" t="str">
        <f t="shared" si="46"/>
        <v>CA-2015-157959_FUR-FU-10004093</v>
      </c>
      <c r="E3007" t="str">
        <f>IF(COUNTIF(data2!$D:$D,D3007)=0,"Missing in Data2","Present")</f>
        <v>Present</v>
      </c>
    </row>
    <row r="3008" spans="1:5" x14ac:dyDescent="0.25">
      <c r="A3008" s="2" t="s">
        <v>2997</v>
      </c>
      <c r="B3008" s="2" t="s">
        <v>797</v>
      </c>
      <c r="C3008" s="2">
        <v>3</v>
      </c>
      <c r="D3008" t="str">
        <f t="shared" si="46"/>
        <v>CA-2015-158148_OFF-AP-10003281</v>
      </c>
      <c r="E3008" t="str">
        <f>IF(COUNTIF(data2!$D:$D,D3008)=0,"Missing in Data2","Present")</f>
        <v>Present</v>
      </c>
    </row>
    <row r="3009" spans="1:5" x14ac:dyDescent="0.25">
      <c r="A3009" s="2" t="s">
        <v>2998</v>
      </c>
      <c r="B3009" s="2" t="s">
        <v>643</v>
      </c>
      <c r="C3009" s="2">
        <v>2</v>
      </c>
      <c r="D3009" t="str">
        <f t="shared" si="46"/>
        <v>CA-2015-158323_FUR-FU-10001546</v>
      </c>
      <c r="E3009" t="str">
        <f>IF(COUNTIF(data2!$D:$D,D3009)=0,"Missing in Data2","Present")</f>
        <v>Present</v>
      </c>
    </row>
    <row r="3010" spans="1:5" x14ac:dyDescent="0.25">
      <c r="A3010" s="2" t="s">
        <v>2999</v>
      </c>
      <c r="B3010" s="2" t="s">
        <v>2146</v>
      </c>
      <c r="C3010" s="2">
        <v>2</v>
      </c>
      <c r="D3010" t="str">
        <f t="shared" si="46"/>
        <v>CA-2015-158351_TEC-AC-10001838</v>
      </c>
      <c r="E3010" t="str">
        <f>IF(COUNTIF(data2!$D:$D,D3010)=0,"Missing in Data2","Present")</f>
        <v>Present</v>
      </c>
    </row>
    <row r="3011" spans="1:5" x14ac:dyDescent="0.25">
      <c r="A3011" s="2" t="s">
        <v>3000</v>
      </c>
      <c r="B3011" s="2" t="s">
        <v>2351</v>
      </c>
      <c r="C3011" s="2">
        <v>4</v>
      </c>
      <c r="D3011" t="str">
        <f t="shared" ref="D3011:D3074" si="47">A3011&amp;"_"&amp;B3011</f>
        <v>CA-2015-158421_FUR-CH-10000309</v>
      </c>
      <c r="E3011" t="str">
        <f>IF(COUNTIF(data2!$D:$D,D3011)=0,"Missing in Data2","Present")</f>
        <v>Present</v>
      </c>
    </row>
    <row r="3012" spans="1:5" x14ac:dyDescent="0.25">
      <c r="A3012" s="2" t="s">
        <v>3000</v>
      </c>
      <c r="B3012" s="2" t="s">
        <v>452</v>
      </c>
      <c r="C3012" s="2">
        <v>2</v>
      </c>
      <c r="D3012" t="str">
        <f t="shared" si="47"/>
        <v>CA-2015-158421_OFF-EN-10001453</v>
      </c>
      <c r="E3012" t="str">
        <f>IF(COUNTIF(data2!$D:$D,D3012)=0,"Missing in Data2","Present")</f>
        <v>Present</v>
      </c>
    </row>
    <row r="3013" spans="1:5" x14ac:dyDescent="0.25">
      <c r="A3013" s="2" t="s">
        <v>3000</v>
      </c>
      <c r="B3013" s="2" t="s">
        <v>3001</v>
      </c>
      <c r="C3013" s="2">
        <v>4</v>
      </c>
      <c r="D3013" t="str">
        <f t="shared" si="47"/>
        <v>CA-2015-158421_OFF-PA-10001801</v>
      </c>
      <c r="E3013" t="str">
        <f>IF(COUNTIF(data2!$D:$D,D3013)=0,"Missing in Data2","Present")</f>
        <v>Present</v>
      </c>
    </row>
    <row r="3014" spans="1:5" x14ac:dyDescent="0.25">
      <c r="A3014" s="2" t="s">
        <v>3000</v>
      </c>
      <c r="B3014" s="2" t="s">
        <v>1339</v>
      </c>
      <c r="C3014" s="2">
        <v>2</v>
      </c>
      <c r="D3014" t="str">
        <f t="shared" si="47"/>
        <v>CA-2015-158421_OFF-ST-10000563</v>
      </c>
      <c r="E3014" t="str">
        <f>IF(COUNTIF(data2!$D:$D,D3014)=0,"Missing in Data2","Present")</f>
        <v>Present</v>
      </c>
    </row>
    <row r="3015" spans="1:5" x14ac:dyDescent="0.25">
      <c r="A3015" s="2" t="s">
        <v>3000</v>
      </c>
      <c r="B3015" s="2" t="s">
        <v>260</v>
      </c>
      <c r="C3015" s="2">
        <v>7</v>
      </c>
      <c r="D3015" t="str">
        <f t="shared" si="47"/>
        <v>CA-2015-158421_OFF-ST-10002444</v>
      </c>
      <c r="E3015" t="str">
        <f>IF(COUNTIF(data2!$D:$D,D3015)=0,"Missing in Data2","Present")</f>
        <v>Present</v>
      </c>
    </row>
    <row r="3016" spans="1:5" x14ac:dyDescent="0.25">
      <c r="A3016" s="2" t="s">
        <v>3000</v>
      </c>
      <c r="B3016" s="2" t="s">
        <v>231</v>
      </c>
      <c r="C3016" s="2">
        <v>8</v>
      </c>
      <c r="D3016" t="str">
        <f t="shared" si="47"/>
        <v>CA-2015-158421_OFF-ST-10004186</v>
      </c>
      <c r="E3016" t="str">
        <f>IF(COUNTIF(data2!$D:$D,D3016)=0,"Missing in Data2","Present")</f>
        <v>Present</v>
      </c>
    </row>
    <row r="3017" spans="1:5" x14ac:dyDescent="0.25">
      <c r="A3017" s="2" t="s">
        <v>3000</v>
      </c>
      <c r="B3017" s="2" t="s">
        <v>1763</v>
      </c>
      <c r="C3017" s="2">
        <v>5</v>
      </c>
      <c r="D3017" t="str">
        <f t="shared" si="47"/>
        <v>CA-2015-158421_TEC-PH-10000369</v>
      </c>
      <c r="E3017" t="str">
        <f>IF(COUNTIF(data2!$D:$D,D3017)=0,"Missing in Data2","Present")</f>
        <v>Present</v>
      </c>
    </row>
    <row r="3018" spans="1:5" x14ac:dyDescent="0.25">
      <c r="A3018" s="2" t="s">
        <v>3000</v>
      </c>
      <c r="B3018" s="2" t="s">
        <v>1741</v>
      </c>
      <c r="C3018" s="2">
        <v>3</v>
      </c>
      <c r="D3018" t="str">
        <f t="shared" si="47"/>
        <v>CA-2015-158421_TEC-PH-10002538</v>
      </c>
      <c r="E3018" t="str">
        <f>IF(COUNTIF(data2!$D:$D,D3018)=0,"Missing in Data2","Present")</f>
        <v>Present</v>
      </c>
    </row>
    <row r="3019" spans="1:5" x14ac:dyDescent="0.25">
      <c r="A3019" s="2" t="s">
        <v>3002</v>
      </c>
      <c r="B3019" s="2" t="s">
        <v>417</v>
      </c>
      <c r="C3019" s="2">
        <v>4</v>
      </c>
      <c r="D3019" t="str">
        <f t="shared" si="47"/>
        <v>CA-2015-158456_OFF-FA-10004854</v>
      </c>
      <c r="E3019" t="str">
        <f>IF(COUNTIF(data2!$D:$D,D3019)=0,"Missing in Data2","Present")</f>
        <v>Present</v>
      </c>
    </row>
    <row r="3020" spans="1:5" x14ac:dyDescent="0.25">
      <c r="A3020" s="2" t="s">
        <v>3003</v>
      </c>
      <c r="B3020" s="2" t="s">
        <v>3004</v>
      </c>
      <c r="C3020" s="2">
        <v>2</v>
      </c>
      <c r="D3020" t="str">
        <f t="shared" si="47"/>
        <v>CA-2015-158491_TEC-AC-10001874</v>
      </c>
      <c r="E3020" t="str">
        <f>IF(COUNTIF(data2!$D:$D,D3020)=0,"Missing in Data2","Present")</f>
        <v>Missing in Data2</v>
      </c>
    </row>
    <row r="3021" spans="1:5" x14ac:dyDescent="0.25">
      <c r="A3021" s="2" t="s">
        <v>3003</v>
      </c>
      <c r="B3021" s="2" t="s">
        <v>3005</v>
      </c>
      <c r="C3021" s="2">
        <v>3</v>
      </c>
      <c r="D3021" t="str">
        <f t="shared" si="47"/>
        <v>CA-2015-158491_TEC-AC-10003870</v>
      </c>
      <c r="E3021" t="str">
        <f>IF(COUNTIF(data2!$D:$D,D3021)=0,"Missing in Data2","Present")</f>
        <v>Missing in Data2</v>
      </c>
    </row>
    <row r="3022" spans="1:5" x14ac:dyDescent="0.25">
      <c r="A3022" s="2" t="s">
        <v>3006</v>
      </c>
      <c r="B3022" s="2" t="s">
        <v>1291</v>
      </c>
      <c r="C3022" s="2">
        <v>5</v>
      </c>
      <c r="D3022" t="str">
        <f t="shared" si="47"/>
        <v>CA-2015-158659_OFF-ST-10003306</v>
      </c>
      <c r="E3022" t="str">
        <f>IF(COUNTIF(data2!$D:$D,D3022)=0,"Missing in Data2","Present")</f>
        <v>Present</v>
      </c>
    </row>
    <row r="3023" spans="1:5" x14ac:dyDescent="0.25">
      <c r="A3023" s="2" t="s">
        <v>3007</v>
      </c>
      <c r="B3023" s="2" t="s">
        <v>1618</v>
      </c>
      <c r="C3023" s="2">
        <v>6</v>
      </c>
      <c r="D3023" t="str">
        <f t="shared" si="47"/>
        <v>CA-2015-158701_OFF-AP-10004859</v>
      </c>
      <c r="E3023" t="str">
        <f>IF(COUNTIF(data2!$D:$D,D3023)=0,"Missing in Data2","Present")</f>
        <v>Present</v>
      </c>
    </row>
    <row r="3024" spans="1:5" x14ac:dyDescent="0.25">
      <c r="A3024" s="2" t="s">
        <v>3007</v>
      </c>
      <c r="B3024" s="2" t="s">
        <v>604</v>
      </c>
      <c r="C3024" s="2">
        <v>6</v>
      </c>
      <c r="D3024" t="str">
        <f t="shared" si="47"/>
        <v>CA-2015-158701_OFF-BI-10001294</v>
      </c>
      <c r="E3024" t="str">
        <f>IF(COUNTIF(data2!$D:$D,D3024)=0,"Missing in Data2","Present")</f>
        <v>Present</v>
      </c>
    </row>
    <row r="3025" spans="1:5" x14ac:dyDescent="0.25">
      <c r="A3025" s="2" t="s">
        <v>3008</v>
      </c>
      <c r="B3025" s="2" t="s">
        <v>571</v>
      </c>
      <c r="C3025" s="2">
        <v>5</v>
      </c>
      <c r="D3025" t="str">
        <f t="shared" si="47"/>
        <v>CA-2015-158792_OFF-FA-10002815</v>
      </c>
      <c r="E3025" t="str">
        <f>IF(COUNTIF(data2!$D:$D,D3025)=0,"Missing in Data2","Present")</f>
        <v>Present</v>
      </c>
    </row>
    <row r="3026" spans="1:5" x14ac:dyDescent="0.25">
      <c r="A3026" s="2" t="s">
        <v>3009</v>
      </c>
      <c r="B3026" s="2" t="s">
        <v>1798</v>
      </c>
      <c r="C3026" s="2">
        <v>4</v>
      </c>
      <c r="D3026" t="str">
        <f t="shared" si="47"/>
        <v>CA-2015-158918_OFF-PA-10004947</v>
      </c>
      <c r="E3026" t="str">
        <f>IF(COUNTIF(data2!$D:$D,D3026)=0,"Missing in Data2","Present")</f>
        <v>Present</v>
      </c>
    </row>
    <row r="3027" spans="1:5" x14ac:dyDescent="0.25">
      <c r="A3027" s="2" t="s">
        <v>3010</v>
      </c>
      <c r="B3027" s="2" t="s">
        <v>3011</v>
      </c>
      <c r="C3027" s="2">
        <v>1</v>
      </c>
      <c r="D3027" t="str">
        <f t="shared" si="47"/>
        <v>CA-2015-158939_TEC-CO-10002313</v>
      </c>
      <c r="E3027" t="str">
        <f>IF(COUNTIF(data2!$D:$D,D3027)=0,"Missing in Data2","Present")</f>
        <v>Present</v>
      </c>
    </row>
    <row r="3028" spans="1:5" x14ac:dyDescent="0.25">
      <c r="A3028" s="2" t="s">
        <v>3012</v>
      </c>
      <c r="B3028" s="2" t="s">
        <v>3013</v>
      </c>
      <c r="C3028" s="2">
        <v>3</v>
      </c>
      <c r="D3028" t="str">
        <f t="shared" si="47"/>
        <v>CA-2015-159380_OFF-PA-10003893</v>
      </c>
      <c r="E3028" t="str">
        <f>IF(COUNTIF(data2!$D:$D,D3028)=0,"Missing in Data2","Present")</f>
        <v>Present</v>
      </c>
    </row>
    <row r="3029" spans="1:5" x14ac:dyDescent="0.25">
      <c r="A3029" s="2" t="s">
        <v>3012</v>
      </c>
      <c r="B3029" s="2" t="s">
        <v>3014</v>
      </c>
      <c r="C3029" s="2">
        <v>6</v>
      </c>
      <c r="D3029" t="str">
        <f t="shared" si="47"/>
        <v>CA-2015-159380_OFF-PA-10004239</v>
      </c>
      <c r="E3029" t="str">
        <f>IF(COUNTIF(data2!$D:$D,D3029)=0,"Missing in Data2","Present")</f>
        <v>Present</v>
      </c>
    </row>
    <row r="3030" spans="1:5" x14ac:dyDescent="0.25">
      <c r="A3030" s="2" t="s">
        <v>3015</v>
      </c>
      <c r="B3030" s="2" t="s">
        <v>702</v>
      </c>
      <c r="C3030" s="2">
        <v>8</v>
      </c>
      <c r="D3030" t="str">
        <f t="shared" si="47"/>
        <v>CA-2015-159534_OFF-BI-10003656</v>
      </c>
      <c r="E3030" t="str">
        <f>IF(COUNTIF(data2!$D:$D,D3030)=0,"Missing in Data2","Present")</f>
        <v>Present</v>
      </c>
    </row>
    <row r="3031" spans="1:5" x14ac:dyDescent="0.25">
      <c r="A3031" s="2" t="s">
        <v>3015</v>
      </c>
      <c r="B3031" s="2" t="s">
        <v>1117</v>
      </c>
      <c r="C3031" s="2">
        <v>3</v>
      </c>
      <c r="D3031" t="str">
        <f t="shared" si="47"/>
        <v>CA-2015-159534_OFF-BI-10003982</v>
      </c>
      <c r="E3031" t="str">
        <f>IF(COUNTIF(data2!$D:$D,D3031)=0,"Missing in Data2","Present")</f>
        <v>Present</v>
      </c>
    </row>
    <row r="3032" spans="1:5" x14ac:dyDescent="0.25">
      <c r="A3032" s="2" t="s">
        <v>3015</v>
      </c>
      <c r="B3032" s="2" t="s">
        <v>3016</v>
      </c>
      <c r="C3032" s="2">
        <v>1</v>
      </c>
      <c r="D3032" t="str">
        <f t="shared" si="47"/>
        <v>CA-2015-159534_OFF-EN-10004386</v>
      </c>
      <c r="E3032" t="str">
        <f>IF(COUNTIF(data2!$D:$D,D3032)=0,"Missing in Data2","Present")</f>
        <v>Present</v>
      </c>
    </row>
    <row r="3033" spans="1:5" x14ac:dyDescent="0.25">
      <c r="A3033" s="2" t="s">
        <v>3015</v>
      </c>
      <c r="B3033" s="2" t="s">
        <v>2144</v>
      </c>
      <c r="C3033" s="2">
        <v>4</v>
      </c>
      <c r="D3033" t="str">
        <f t="shared" si="47"/>
        <v>CA-2015-159534_OFF-ST-10001172</v>
      </c>
      <c r="E3033" t="str">
        <f>IF(COUNTIF(data2!$D:$D,D3033)=0,"Missing in Data2","Present")</f>
        <v>Present</v>
      </c>
    </row>
    <row r="3034" spans="1:5" x14ac:dyDescent="0.25">
      <c r="A3034" s="2" t="s">
        <v>3015</v>
      </c>
      <c r="B3034" s="2" t="s">
        <v>831</v>
      </c>
      <c r="C3034" s="2">
        <v>2</v>
      </c>
      <c r="D3034" t="str">
        <f t="shared" si="47"/>
        <v>CA-2015-159534_TEC-PH-10002310</v>
      </c>
      <c r="E3034" t="str">
        <f>IF(COUNTIF(data2!$D:$D,D3034)=0,"Missing in Data2","Present")</f>
        <v>Present</v>
      </c>
    </row>
    <row r="3035" spans="1:5" x14ac:dyDescent="0.25">
      <c r="A3035" s="2" t="s">
        <v>3017</v>
      </c>
      <c r="B3035" s="2" t="s">
        <v>598</v>
      </c>
      <c r="C3035" s="2">
        <v>2</v>
      </c>
      <c r="D3035" t="str">
        <f t="shared" si="47"/>
        <v>CA-2015-159590_OFF-AR-10003190</v>
      </c>
      <c r="E3035" t="str">
        <f>IF(COUNTIF(data2!$D:$D,D3035)=0,"Missing in Data2","Present")</f>
        <v>Present</v>
      </c>
    </row>
    <row r="3036" spans="1:5" x14ac:dyDescent="0.25">
      <c r="A3036" s="2" t="s">
        <v>3018</v>
      </c>
      <c r="B3036" s="2" t="s">
        <v>165</v>
      </c>
      <c r="C3036" s="2">
        <v>2</v>
      </c>
      <c r="D3036" t="str">
        <f t="shared" si="47"/>
        <v>CA-2015-159779_OFF-BI-10002735</v>
      </c>
      <c r="E3036" t="str">
        <f>IF(COUNTIF(data2!$D:$D,D3036)=0,"Missing in Data2","Present")</f>
        <v>Present</v>
      </c>
    </row>
    <row r="3037" spans="1:5" x14ac:dyDescent="0.25">
      <c r="A3037" s="2" t="s">
        <v>3019</v>
      </c>
      <c r="B3037" s="2" t="s">
        <v>3020</v>
      </c>
      <c r="C3037" s="2">
        <v>1</v>
      </c>
      <c r="D3037" t="str">
        <f t="shared" si="47"/>
        <v>CA-2015-159786_FUR-TA-10001307</v>
      </c>
      <c r="E3037" t="str">
        <f>IF(COUNTIF(data2!$D:$D,D3037)=0,"Missing in Data2","Present")</f>
        <v>Present</v>
      </c>
    </row>
    <row r="3038" spans="1:5" x14ac:dyDescent="0.25">
      <c r="A3038" s="2" t="s">
        <v>3021</v>
      </c>
      <c r="B3038" s="2" t="s">
        <v>185</v>
      </c>
      <c r="C3038" s="2">
        <v>3</v>
      </c>
      <c r="D3038" t="str">
        <f t="shared" si="47"/>
        <v>CA-2015-159863_TEC-AC-10000109</v>
      </c>
      <c r="E3038" t="str">
        <f>IF(COUNTIF(data2!$D:$D,D3038)=0,"Missing in Data2","Present")</f>
        <v>Present</v>
      </c>
    </row>
    <row r="3039" spans="1:5" x14ac:dyDescent="0.25">
      <c r="A3039" s="2" t="s">
        <v>3022</v>
      </c>
      <c r="B3039" s="2" t="s">
        <v>1152</v>
      </c>
      <c r="C3039" s="2">
        <v>2</v>
      </c>
      <c r="D3039" t="str">
        <f t="shared" si="47"/>
        <v>CA-2015-160059_OFF-BI-10000145</v>
      </c>
      <c r="E3039" t="str">
        <f>IF(COUNTIF(data2!$D:$D,D3039)=0,"Missing in Data2","Present")</f>
        <v>Present</v>
      </c>
    </row>
    <row r="3040" spans="1:5" x14ac:dyDescent="0.25">
      <c r="A3040" s="2" t="s">
        <v>3023</v>
      </c>
      <c r="B3040" s="2" t="s">
        <v>2327</v>
      </c>
      <c r="C3040" s="2">
        <v>5</v>
      </c>
      <c r="D3040" t="str">
        <f t="shared" si="47"/>
        <v>CA-2015-160171_OFF-AP-10000275</v>
      </c>
      <c r="E3040" t="str">
        <f>IF(COUNTIF(data2!$D:$D,D3040)=0,"Missing in Data2","Present")</f>
        <v>Present</v>
      </c>
    </row>
    <row r="3041" spans="1:5" x14ac:dyDescent="0.25">
      <c r="A3041" s="2" t="s">
        <v>3023</v>
      </c>
      <c r="B3041" s="2" t="s">
        <v>1718</v>
      </c>
      <c r="C3041" s="2">
        <v>3</v>
      </c>
      <c r="D3041" t="str">
        <f t="shared" si="47"/>
        <v>CA-2015-160171_TEC-AC-10000892</v>
      </c>
      <c r="E3041" t="str">
        <f>IF(COUNTIF(data2!$D:$D,D3041)=0,"Missing in Data2","Present")</f>
        <v>Present</v>
      </c>
    </row>
    <row r="3042" spans="1:5" x14ac:dyDescent="0.25">
      <c r="A3042" s="2" t="s">
        <v>3024</v>
      </c>
      <c r="B3042" s="2" t="s">
        <v>2011</v>
      </c>
      <c r="C3042" s="2">
        <v>3</v>
      </c>
      <c r="D3042" t="str">
        <f t="shared" si="47"/>
        <v>CA-2015-160213_OFF-PA-10003848</v>
      </c>
      <c r="E3042" t="str">
        <f>IF(COUNTIF(data2!$D:$D,D3042)=0,"Missing in Data2","Present")</f>
        <v>Present</v>
      </c>
    </row>
    <row r="3043" spans="1:5" x14ac:dyDescent="0.25">
      <c r="A3043" s="2" t="s">
        <v>3025</v>
      </c>
      <c r="B3043" s="2" t="s">
        <v>2077</v>
      </c>
      <c r="C3043" s="2">
        <v>11</v>
      </c>
      <c r="D3043" t="str">
        <f t="shared" si="47"/>
        <v>CA-2015-160227_FUR-CH-10002073</v>
      </c>
      <c r="E3043" t="str">
        <f>IF(COUNTIF(data2!$D:$D,D3043)=0,"Missing in Data2","Present")</f>
        <v>Present</v>
      </c>
    </row>
    <row r="3044" spans="1:5" x14ac:dyDescent="0.25">
      <c r="A3044" s="2" t="s">
        <v>3026</v>
      </c>
      <c r="B3044" s="2" t="s">
        <v>2574</v>
      </c>
      <c r="C3044" s="2">
        <v>7</v>
      </c>
      <c r="D3044" t="str">
        <f t="shared" si="47"/>
        <v>CA-2015-160472_OFF-EN-10000483</v>
      </c>
      <c r="E3044" t="str">
        <f>IF(COUNTIF(data2!$D:$D,D3044)=0,"Missing in Data2","Present")</f>
        <v>Present</v>
      </c>
    </row>
    <row r="3045" spans="1:5" x14ac:dyDescent="0.25">
      <c r="A3045" s="2" t="s">
        <v>3026</v>
      </c>
      <c r="B3045" s="2" t="s">
        <v>392</v>
      </c>
      <c r="C3045" s="2">
        <v>5</v>
      </c>
      <c r="D3045" t="str">
        <f t="shared" si="47"/>
        <v>CA-2015-160472_OFF-PA-10000528</v>
      </c>
      <c r="E3045" t="str">
        <f>IF(COUNTIF(data2!$D:$D,D3045)=0,"Missing in Data2","Present")</f>
        <v>Present</v>
      </c>
    </row>
    <row r="3046" spans="1:5" x14ac:dyDescent="0.25">
      <c r="A3046" s="2" t="s">
        <v>3026</v>
      </c>
      <c r="B3046" s="2" t="s">
        <v>3027</v>
      </c>
      <c r="C3046" s="2">
        <v>2</v>
      </c>
      <c r="D3046" t="str">
        <f t="shared" si="47"/>
        <v>CA-2015-160472_OFF-PA-10003129</v>
      </c>
      <c r="E3046" t="str">
        <f>IF(COUNTIF(data2!$D:$D,D3046)=0,"Missing in Data2","Present")</f>
        <v>Present</v>
      </c>
    </row>
    <row r="3047" spans="1:5" x14ac:dyDescent="0.25">
      <c r="A3047" s="2" t="s">
        <v>3026</v>
      </c>
      <c r="B3047" s="2" t="s">
        <v>1471</v>
      </c>
      <c r="C3047" s="2">
        <v>1</v>
      </c>
      <c r="D3047" t="str">
        <f t="shared" si="47"/>
        <v>CA-2015-160472_OFF-ST-10000464</v>
      </c>
      <c r="E3047" t="str">
        <f>IF(COUNTIF(data2!$D:$D,D3047)=0,"Missing in Data2","Present")</f>
        <v>Present</v>
      </c>
    </row>
    <row r="3048" spans="1:5" x14ac:dyDescent="0.25">
      <c r="A3048" s="2" t="s">
        <v>3026</v>
      </c>
      <c r="B3048" s="2" t="s">
        <v>71</v>
      </c>
      <c r="C3048" s="2">
        <v>5</v>
      </c>
      <c r="D3048" t="str">
        <f t="shared" si="47"/>
        <v>CA-2015-160472_OFF-ST-10003442</v>
      </c>
      <c r="E3048" t="str">
        <f>IF(COUNTIF(data2!$D:$D,D3048)=0,"Missing in Data2","Present")</f>
        <v>Present</v>
      </c>
    </row>
    <row r="3049" spans="1:5" x14ac:dyDescent="0.25">
      <c r="A3049" s="2" t="s">
        <v>3026</v>
      </c>
      <c r="B3049" s="2" t="s">
        <v>2507</v>
      </c>
      <c r="C3049" s="2">
        <v>5</v>
      </c>
      <c r="D3049" t="str">
        <f t="shared" si="47"/>
        <v>CA-2015-160472_TEC-AC-10002253</v>
      </c>
      <c r="E3049" t="str">
        <f>IF(COUNTIF(data2!$D:$D,D3049)=0,"Missing in Data2","Present")</f>
        <v>Present</v>
      </c>
    </row>
    <row r="3050" spans="1:5" x14ac:dyDescent="0.25">
      <c r="A3050" s="2" t="s">
        <v>3028</v>
      </c>
      <c r="B3050" s="2" t="s">
        <v>1395</v>
      </c>
      <c r="C3050" s="2">
        <v>5</v>
      </c>
      <c r="D3050" t="str">
        <f t="shared" si="47"/>
        <v>CA-2015-160696_OFF-FA-10003059</v>
      </c>
      <c r="E3050" t="str">
        <f>IF(COUNTIF(data2!$D:$D,D3050)=0,"Missing in Data2","Present")</f>
        <v>Present</v>
      </c>
    </row>
    <row r="3051" spans="1:5" x14ac:dyDescent="0.25">
      <c r="A3051" s="2" t="s">
        <v>3029</v>
      </c>
      <c r="B3051" s="2" t="s">
        <v>688</v>
      </c>
      <c r="C3051" s="2">
        <v>2</v>
      </c>
      <c r="D3051" t="str">
        <f t="shared" si="47"/>
        <v>CA-2015-160787_OFF-BI-10003712</v>
      </c>
      <c r="E3051" t="str">
        <f>IF(COUNTIF(data2!$D:$D,D3051)=0,"Missing in Data2","Present")</f>
        <v>Present</v>
      </c>
    </row>
    <row r="3052" spans="1:5" x14ac:dyDescent="0.25">
      <c r="A3052" s="2" t="s">
        <v>3030</v>
      </c>
      <c r="B3052" s="2" t="s">
        <v>2984</v>
      </c>
      <c r="C3052" s="2">
        <v>3</v>
      </c>
      <c r="D3052" t="str">
        <f t="shared" si="47"/>
        <v>CA-2015-160794_OFF-PA-10004156</v>
      </c>
      <c r="E3052" t="str">
        <f>IF(COUNTIF(data2!$D:$D,D3052)=0,"Missing in Data2","Present")</f>
        <v>Present</v>
      </c>
    </row>
    <row r="3053" spans="1:5" x14ac:dyDescent="0.25">
      <c r="A3053" s="2" t="s">
        <v>3031</v>
      </c>
      <c r="B3053" s="2" t="s">
        <v>483</v>
      </c>
      <c r="C3053" s="2">
        <v>3</v>
      </c>
      <c r="D3053" t="str">
        <f t="shared" si="47"/>
        <v>CA-2015-160864_OFF-BI-10004654</v>
      </c>
      <c r="E3053" t="str">
        <f>IF(COUNTIF(data2!$D:$D,D3053)=0,"Missing in Data2","Present")</f>
        <v>Present</v>
      </c>
    </row>
    <row r="3054" spans="1:5" x14ac:dyDescent="0.25">
      <c r="A3054" s="2" t="s">
        <v>3032</v>
      </c>
      <c r="B3054" s="2" t="s">
        <v>2856</v>
      </c>
      <c r="C3054" s="2">
        <v>5</v>
      </c>
      <c r="D3054" t="str">
        <f t="shared" si="47"/>
        <v>CA-2015-161214_OFF-ST-10001328</v>
      </c>
      <c r="E3054" t="str">
        <f>IF(COUNTIF(data2!$D:$D,D3054)=0,"Missing in Data2","Present")</f>
        <v>Present</v>
      </c>
    </row>
    <row r="3055" spans="1:5" x14ac:dyDescent="0.25">
      <c r="A3055" s="2" t="s">
        <v>3033</v>
      </c>
      <c r="B3055" s="2" t="s">
        <v>309</v>
      </c>
      <c r="C3055" s="2">
        <v>2</v>
      </c>
      <c r="D3055" t="str">
        <f t="shared" si="47"/>
        <v>CA-2015-161242_OFF-PA-10001838</v>
      </c>
      <c r="E3055" t="str">
        <f>IF(COUNTIF(data2!$D:$D,D3055)=0,"Missing in Data2","Present")</f>
        <v>Present</v>
      </c>
    </row>
    <row r="3056" spans="1:5" x14ac:dyDescent="0.25">
      <c r="A3056" s="2" t="s">
        <v>3034</v>
      </c>
      <c r="B3056" s="2" t="s">
        <v>514</v>
      </c>
      <c r="C3056" s="2">
        <v>3</v>
      </c>
      <c r="D3056" t="str">
        <f t="shared" si="47"/>
        <v>CA-2015-161263_OFF-AP-10002350</v>
      </c>
      <c r="E3056" t="str">
        <f>IF(COUNTIF(data2!$D:$D,D3056)=0,"Missing in Data2","Present")</f>
        <v>Present</v>
      </c>
    </row>
    <row r="3057" spans="1:5" x14ac:dyDescent="0.25">
      <c r="A3057" s="2" t="s">
        <v>3034</v>
      </c>
      <c r="B3057" s="2" t="s">
        <v>58</v>
      </c>
      <c r="C3057" s="2">
        <v>3</v>
      </c>
      <c r="D3057" t="str">
        <f t="shared" si="47"/>
        <v>CA-2015-161263_OFF-AR-10004757</v>
      </c>
      <c r="E3057" t="str">
        <f>IF(COUNTIF(data2!$D:$D,D3057)=0,"Missing in Data2","Present")</f>
        <v>Present</v>
      </c>
    </row>
    <row r="3058" spans="1:5" x14ac:dyDescent="0.25">
      <c r="A3058" s="2" t="s">
        <v>3034</v>
      </c>
      <c r="B3058" s="2" t="s">
        <v>2193</v>
      </c>
      <c r="C3058" s="2">
        <v>5</v>
      </c>
      <c r="D3058" t="str">
        <f t="shared" si="47"/>
        <v>CA-2015-161263_OFF-BI-10004330</v>
      </c>
      <c r="E3058" t="str">
        <f>IF(COUNTIF(data2!$D:$D,D3058)=0,"Missing in Data2","Present")</f>
        <v>Present</v>
      </c>
    </row>
    <row r="3059" spans="1:5" x14ac:dyDescent="0.25">
      <c r="A3059" s="2" t="s">
        <v>3034</v>
      </c>
      <c r="B3059" s="2" t="s">
        <v>1395</v>
      </c>
      <c r="C3059" s="2">
        <v>1</v>
      </c>
      <c r="D3059" t="str">
        <f t="shared" si="47"/>
        <v>CA-2015-161263_OFF-FA-10003059</v>
      </c>
      <c r="E3059" t="str">
        <f>IF(COUNTIF(data2!$D:$D,D3059)=0,"Missing in Data2","Present")</f>
        <v>Present</v>
      </c>
    </row>
    <row r="3060" spans="1:5" x14ac:dyDescent="0.25">
      <c r="A3060" s="2" t="s">
        <v>3034</v>
      </c>
      <c r="B3060" s="2" t="s">
        <v>1639</v>
      </c>
      <c r="C3060" s="2">
        <v>7</v>
      </c>
      <c r="D3060" t="str">
        <f t="shared" si="47"/>
        <v>CA-2015-161263_OFF-FA-10004838</v>
      </c>
      <c r="E3060" t="str">
        <f>IF(COUNTIF(data2!$D:$D,D3060)=0,"Missing in Data2","Present")</f>
        <v>Present</v>
      </c>
    </row>
    <row r="3061" spans="1:5" x14ac:dyDescent="0.25">
      <c r="A3061" s="2" t="s">
        <v>3034</v>
      </c>
      <c r="B3061" s="2" t="s">
        <v>3035</v>
      </c>
      <c r="C3061" s="2">
        <v>3</v>
      </c>
      <c r="D3061" t="str">
        <f t="shared" si="47"/>
        <v>CA-2015-161263_TEC-PH-10002115</v>
      </c>
      <c r="E3061" t="str">
        <f>IF(COUNTIF(data2!$D:$D,D3061)=0,"Missing in Data2","Present")</f>
        <v>Present</v>
      </c>
    </row>
    <row r="3062" spans="1:5" x14ac:dyDescent="0.25">
      <c r="A3062" s="2" t="s">
        <v>3036</v>
      </c>
      <c r="B3062" s="2" t="s">
        <v>1062</v>
      </c>
      <c r="C3062" s="2">
        <v>4</v>
      </c>
      <c r="D3062" t="str">
        <f t="shared" si="47"/>
        <v>CA-2015-161445_OFF-AR-10001953</v>
      </c>
      <c r="E3062" t="str">
        <f>IF(COUNTIF(data2!$D:$D,D3062)=0,"Missing in Data2","Present")</f>
        <v>Present</v>
      </c>
    </row>
    <row r="3063" spans="1:5" x14ac:dyDescent="0.25">
      <c r="A3063" s="2" t="s">
        <v>3037</v>
      </c>
      <c r="B3063" s="2" t="s">
        <v>807</v>
      </c>
      <c r="C3063" s="2">
        <v>3</v>
      </c>
      <c r="D3063" t="str">
        <f t="shared" si="47"/>
        <v>CA-2015-161452_FUR-CH-10003973</v>
      </c>
      <c r="E3063" t="str">
        <f>IF(COUNTIF(data2!$D:$D,D3063)=0,"Missing in Data2","Present")</f>
        <v>Present</v>
      </c>
    </row>
    <row r="3064" spans="1:5" x14ac:dyDescent="0.25">
      <c r="A3064" s="2" t="s">
        <v>3038</v>
      </c>
      <c r="B3064" s="2" t="s">
        <v>2738</v>
      </c>
      <c r="C3064" s="2">
        <v>3</v>
      </c>
      <c r="D3064" t="str">
        <f t="shared" si="47"/>
        <v>CA-2015-161627_FUR-CH-10003968</v>
      </c>
      <c r="E3064" t="str">
        <f>IF(COUNTIF(data2!$D:$D,D3064)=0,"Missing in Data2","Present")</f>
        <v>Present</v>
      </c>
    </row>
    <row r="3065" spans="1:5" x14ac:dyDescent="0.25">
      <c r="A3065" s="2" t="s">
        <v>3039</v>
      </c>
      <c r="B3065" s="2" t="s">
        <v>1899</v>
      </c>
      <c r="C3065" s="2">
        <v>3</v>
      </c>
      <c r="D3065" t="str">
        <f t="shared" si="47"/>
        <v>CA-2015-161711_FUR-FU-10000087</v>
      </c>
      <c r="E3065" t="str">
        <f>IF(COUNTIF(data2!$D:$D,D3065)=0,"Missing in Data2","Present")</f>
        <v>Present</v>
      </c>
    </row>
    <row r="3066" spans="1:5" x14ac:dyDescent="0.25">
      <c r="A3066" s="2" t="s">
        <v>3040</v>
      </c>
      <c r="B3066" s="2" t="s">
        <v>733</v>
      </c>
      <c r="C3066" s="2">
        <v>5</v>
      </c>
      <c r="D3066" t="str">
        <f t="shared" si="47"/>
        <v>CA-2015-161718_FUR-CH-10002372</v>
      </c>
      <c r="E3066" t="str">
        <f>IF(COUNTIF(data2!$D:$D,D3066)=0,"Missing in Data2","Present")</f>
        <v>Present</v>
      </c>
    </row>
    <row r="3067" spans="1:5" x14ac:dyDescent="0.25">
      <c r="A3067" s="2" t="s">
        <v>3040</v>
      </c>
      <c r="B3067" s="2" t="s">
        <v>3041</v>
      </c>
      <c r="C3067" s="2">
        <v>3</v>
      </c>
      <c r="D3067" t="str">
        <f t="shared" si="47"/>
        <v>CA-2015-161718_FUR-FU-10002445</v>
      </c>
      <c r="E3067" t="str">
        <f>IF(COUNTIF(data2!$D:$D,D3067)=0,"Missing in Data2","Present")</f>
        <v>Present</v>
      </c>
    </row>
    <row r="3068" spans="1:5" x14ac:dyDescent="0.25">
      <c r="A3068" s="2" t="s">
        <v>3040</v>
      </c>
      <c r="B3068" s="2" t="s">
        <v>614</v>
      </c>
      <c r="C3068" s="2">
        <v>4</v>
      </c>
      <c r="D3068" t="str">
        <f t="shared" si="47"/>
        <v>CA-2015-161718_TEC-PH-10000376</v>
      </c>
      <c r="E3068" t="str">
        <f>IF(COUNTIF(data2!$D:$D,D3068)=0,"Missing in Data2","Present")</f>
        <v>Present</v>
      </c>
    </row>
    <row r="3069" spans="1:5" x14ac:dyDescent="0.25">
      <c r="A3069" s="2" t="s">
        <v>3042</v>
      </c>
      <c r="B3069" s="2" t="s">
        <v>3043</v>
      </c>
      <c r="C3069" s="2">
        <v>2</v>
      </c>
      <c r="D3069" t="str">
        <f t="shared" si="47"/>
        <v>CA-2015-161767_TEC-MA-10002790</v>
      </c>
      <c r="E3069" t="str">
        <f>IF(COUNTIF(data2!$D:$D,D3069)=0,"Missing in Data2","Present")</f>
        <v>Present</v>
      </c>
    </row>
    <row r="3070" spans="1:5" x14ac:dyDescent="0.25">
      <c r="A3070" s="2" t="s">
        <v>3044</v>
      </c>
      <c r="B3070" s="2" t="s">
        <v>899</v>
      </c>
      <c r="C3070" s="2">
        <v>2</v>
      </c>
      <c r="D3070" t="str">
        <f t="shared" si="47"/>
        <v>CA-2015-161795_OFF-AR-10001919</v>
      </c>
      <c r="E3070" t="str">
        <f>IF(COUNTIF(data2!$D:$D,D3070)=0,"Missing in Data2","Present")</f>
        <v>Present</v>
      </c>
    </row>
    <row r="3071" spans="1:5" x14ac:dyDescent="0.25">
      <c r="A3071" s="2" t="s">
        <v>3045</v>
      </c>
      <c r="B3071" s="2" t="s">
        <v>839</v>
      </c>
      <c r="C3071" s="2">
        <v>2</v>
      </c>
      <c r="D3071" t="str">
        <f t="shared" si="47"/>
        <v>CA-2015-161830_OFF-AR-10004042</v>
      </c>
      <c r="E3071" t="str">
        <f>IF(COUNTIF(data2!$D:$D,D3071)=0,"Missing in Data2","Present")</f>
        <v>Present</v>
      </c>
    </row>
    <row r="3072" spans="1:5" x14ac:dyDescent="0.25">
      <c r="A3072" s="2" t="s">
        <v>3045</v>
      </c>
      <c r="B3072" s="2" t="s">
        <v>65</v>
      </c>
      <c r="C3072" s="2">
        <v>3</v>
      </c>
      <c r="D3072" t="str">
        <f t="shared" si="47"/>
        <v>CA-2015-161830_OFF-BI-10001097</v>
      </c>
      <c r="E3072" t="str">
        <f>IF(COUNTIF(data2!$D:$D,D3072)=0,"Missing in Data2","Present")</f>
        <v>Present</v>
      </c>
    </row>
    <row r="3073" spans="1:5" x14ac:dyDescent="0.25">
      <c r="A3073" s="2" t="s">
        <v>3046</v>
      </c>
      <c r="B3073" s="2" t="s">
        <v>538</v>
      </c>
      <c r="C3073" s="2">
        <v>3</v>
      </c>
      <c r="D3073" t="str">
        <f t="shared" si="47"/>
        <v>CA-2015-161998_FUR-FU-10001095</v>
      </c>
      <c r="E3073" t="str">
        <f>IF(COUNTIF(data2!$D:$D,D3073)=0,"Missing in Data2","Present")</f>
        <v>Present</v>
      </c>
    </row>
    <row r="3074" spans="1:5" x14ac:dyDescent="0.25">
      <c r="A3074" s="2" t="s">
        <v>3046</v>
      </c>
      <c r="B3074" s="2" t="s">
        <v>3047</v>
      </c>
      <c r="C3074" s="2">
        <v>6</v>
      </c>
      <c r="D3074" t="str">
        <f t="shared" si="47"/>
        <v>CA-2015-161998_OFF-AR-10004022</v>
      </c>
      <c r="E3074" t="str">
        <f>IF(COUNTIF(data2!$D:$D,D3074)=0,"Missing in Data2","Present")</f>
        <v>Present</v>
      </c>
    </row>
    <row r="3075" spans="1:5" x14ac:dyDescent="0.25">
      <c r="A3075" s="2" t="s">
        <v>3046</v>
      </c>
      <c r="B3075" s="2" t="s">
        <v>3048</v>
      </c>
      <c r="C3075" s="2">
        <v>3</v>
      </c>
      <c r="D3075" t="str">
        <f t="shared" ref="D3075:D3138" si="48">A3075&amp;"_"&amp;B3075</f>
        <v>CA-2015-161998_OFF-SU-10004261</v>
      </c>
      <c r="E3075" t="str">
        <f>IF(COUNTIF(data2!$D:$D,D3075)=0,"Missing in Data2","Present")</f>
        <v>Present</v>
      </c>
    </row>
    <row r="3076" spans="1:5" x14ac:dyDescent="0.25">
      <c r="A3076" s="2" t="s">
        <v>3049</v>
      </c>
      <c r="B3076" s="2" t="s">
        <v>1540</v>
      </c>
      <c r="C3076" s="2">
        <v>10</v>
      </c>
      <c r="D3076" t="str">
        <f t="shared" si="48"/>
        <v>CA-2015-162047_FUR-CH-10004983</v>
      </c>
      <c r="E3076" t="str">
        <f>IF(COUNTIF(data2!$D:$D,D3076)=0,"Missing in Data2","Present")</f>
        <v>Present</v>
      </c>
    </row>
    <row r="3077" spans="1:5" x14ac:dyDescent="0.25">
      <c r="A3077" s="2" t="s">
        <v>3050</v>
      </c>
      <c r="B3077" s="2" t="s">
        <v>3051</v>
      </c>
      <c r="C3077" s="2">
        <v>5</v>
      </c>
      <c r="D3077" t="str">
        <f t="shared" si="48"/>
        <v>CA-2015-162166_OFF-PA-10002606</v>
      </c>
      <c r="E3077" t="str">
        <f>IF(COUNTIF(data2!$D:$D,D3077)=0,"Missing in Data2","Present")</f>
        <v>Present</v>
      </c>
    </row>
    <row r="3078" spans="1:5" x14ac:dyDescent="0.25">
      <c r="A3078" s="2" t="s">
        <v>3050</v>
      </c>
      <c r="B3078" s="2" t="s">
        <v>2470</v>
      </c>
      <c r="C3078" s="2">
        <v>6</v>
      </c>
      <c r="D3078" t="str">
        <f t="shared" si="48"/>
        <v>CA-2015-162166_OFF-ST-10002486</v>
      </c>
      <c r="E3078" t="str">
        <f>IF(COUNTIF(data2!$D:$D,D3078)=0,"Missing in Data2","Present")</f>
        <v>Missing in Data2</v>
      </c>
    </row>
    <row r="3079" spans="1:5" x14ac:dyDescent="0.25">
      <c r="A3079" s="2" t="s">
        <v>3052</v>
      </c>
      <c r="B3079" s="2" t="s">
        <v>2600</v>
      </c>
      <c r="C3079" s="2">
        <v>7</v>
      </c>
      <c r="D3079" t="str">
        <f t="shared" si="48"/>
        <v>CA-2015-162201_FUR-FU-10001185</v>
      </c>
      <c r="E3079" t="str">
        <f>IF(COUNTIF(data2!$D:$D,D3079)=0,"Missing in Data2","Present")</f>
        <v>Present</v>
      </c>
    </row>
    <row r="3080" spans="1:5" x14ac:dyDescent="0.25">
      <c r="A3080" s="2" t="s">
        <v>3052</v>
      </c>
      <c r="B3080" s="2" t="s">
        <v>2785</v>
      </c>
      <c r="C3080" s="2">
        <v>2</v>
      </c>
      <c r="D3080" t="str">
        <f t="shared" si="48"/>
        <v>CA-2015-162201_OFF-AR-10003856</v>
      </c>
      <c r="E3080" t="str">
        <f>IF(COUNTIF(data2!$D:$D,D3080)=0,"Missing in Data2","Present")</f>
        <v>Present</v>
      </c>
    </row>
    <row r="3081" spans="1:5" x14ac:dyDescent="0.25">
      <c r="A3081" s="2" t="s">
        <v>3052</v>
      </c>
      <c r="B3081" s="2" t="s">
        <v>150</v>
      </c>
      <c r="C3081" s="2">
        <v>2</v>
      </c>
      <c r="D3081" t="str">
        <f t="shared" si="48"/>
        <v>CA-2015-162201_OFF-BI-10002429</v>
      </c>
      <c r="E3081" t="str">
        <f>IF(COUNTIF(data2!$D:$D,D3081)=0,"Missing in Data2","Present")</f>
        <v>Present</v>
      </c>
    </row>
    <row r="3082" spans="1:5" x14ac:dyDescent="0.25">
      <c r="A3082" s="2" t="s">
        <v>3052</v>
      </c>
      <c r="B3082" s="2" t="s">
        <v>27</v>
      </c>
      <c r="C3082" s="2">
        <v>3</v>
      </c>
      <c r="D3082" t="str">
        <f t="shared" si="48"/>
        <v>CA-2015-162201_OFF-LA-10001982</v>
      </c>
      <c r="E3082" t="str">
        <f>IF(COUNTIF(data2!$D:$D,D3082)=0,"Missing in Data2","Present")</f>
        <v>Present</v>
      </c>
    </row>
    <row r="3083" spans="1:5" x14ac:dyDescent="0.25">
      <c r="A3083" s="2" t="s">
        <v>3052</v>
      </c>
      <c r="B3083" s="2" t="s">
        <v>3053</v>
      </c>
      <c r="C3083" s="2">
        <v>10</v>
      </c>
      <c r="D3083" t="str">
        <f t="shared" si="48"/>
        <v>CA-2015-162201_OFF-PA-10001215</v>
      </c>
      <c r="E3083" t="str">
        <f>IF(COUNTIF(data2!$D:$D,D3083)=0,"Missing in Data2","Present")</f>
        <v>Present</v>
      </c>
    </row>
    <row r="3084" spans="1:5" x14ac:dyDescent="0.25">
      <c r="A3084" s="2" t="s">
        <v>3052</v>
      </c>
      <c r="B3084" s="2" t="s">
        <v>1376</v>
      </c>
      <c r="C3084" s="2">
        <v>7</v>
      </c>
      <c r="D3084" t="str">
        <f t="shared" si="48"/>
        <v>CA-2015-162201_OFF-PA-10002581</v>
      </c>
      <c r="E3084" t="str">
        <f>IF(COUNTIF(data2!$D:$D,D3084)=0,"Missing in Data2","Present")</f>
        <v>Present</v>
      </c>
    </row>
    <row r="3085" spans="1:5" x14ac:dyDescent="0.25">
      <c r="A3085" s="2" t="s">
        <v>3054</v>
      </c>
      <c r="B3085" s="2" t="s">
        <v>435</v>
      </c>
      <c r="C3085" s="2">
        <v>2</v>
      </c>
      <c r="D3085" t="str">
        <f t="shared" si="48"/>
        <v>CA-2015-162369_OFF-ST-10000046</v>
      </c>
      <c r="E3085" t="str">
        <f>IF(COUNTIF(data2!$D:$D,D3085)=0,"Missing in Data2","Present")</f>
        <v>Present</v>
      </c>
    </row>
    <row r="3086" spans="1:5" x14ac:dyDescent="0.25">
      <c r="A3086" s="2" t="s">
        <v>3055</v>
      </c>
      <c r="B3086" s="2" t="s">
        <v>1278</v>
      </c>
      <c r="C3086" s="2">
        <v>4</v>
      </c>
      <c r="D3086" t="str">
        <f t="shared" si="48"/>
        <v>CA-2015-162376_OFF-AR-10003056</v>
      </c>
      <c r="E3086" t="str">
        <f>IF(COUNTIF(data2!$D:$D,D3086)=0,"Missing in Data2","Present")</f>
        <v>Present</v>
      </c>
    </row>
    <row r="3087" spans="1:5" x14ac:dyDescent="0.25">
      <c r="A3087" s="2" t="s">
        <v>3055</v>
      </c>
      <c r="B3087" s="2" t="s">
        <v>3056</v>
      </c>
      <c r="C3087" s="2">
        <v>3</v>
      </c>
      <c r="D3087" t="str">
        <f t="shared" si="48"/>
        <v>CA-2015-162376_OFF-PA-10000300</v>
      </c>
      <c r="E3087" t="str">
        <f>IF(COUNTIF(data2!$D:$D,D3087)=0,"Missing in Data2","Present")</f>
        <v>Missing in Data2</v>
      </c>
    </row>
    <row r="3088" spans="1:5" x14ac:dyDescent="0.25">
      <c r="A3088" s="2" t="s">
        <v>3057</v>
      </c>
      <c r="B3088" s="2" t="s">
        <v>1260</v>
      </c>
      <c r="C3088" s="2">
        <v>7</v>
      </c>
      <c r="D3088" t="str">
        <f t="shared" si="48"/>
        <v>CA-2015-162537_FUR-FU-10001918</v>
      </c>
      <c r="E3088" t="str">
        <f>IF(COUNTIF(data2!$D:$D,D3088)=0,"Missing in Data2","Present")</f>
        <v>Present</v>
      </c>
    </row>
    <row r="3089" spans="1:5" x14ac:dyDescent="0.25">
      <c r="A3089" s="2" t="s">
        <v>3057</v>
      </c>
      <c r="B3089" s="2" t="s">
        <v>2254</v>
      </c>
      <c r="C3089" s="2">
        <v>5</v>
      </c>
      <c r="D3089" t="str">
        <f t="shared" si="48"/>
        <v>CA-2015-162537_FUR-FU-10002885</v>
      </c>
      <c r="E3089" t="str">
        <f>IF(COUNTIF(data2!$D:$D,D3089)=0,"Missing in Data2","Present")</f>
        <v>Present</v>
      </c>
    </row>
    <row r="3090" spans="1:5" x14ac:dyDescent="0.25">
      <c r="A3090" s="2" t="s">
        <v>3057</v>
      </c>
      <c r="B3090" s="2" t="s">
        <v>2178</v>
      </c>
      <c r="C3090" s="2">
        <v>1</v>
      </c>
      <c r="D3090" t="str">
        <f t="shared" si="48"/>
        <v>CA-2015-162537_OFF-EN-10003862</v>
      </c>
      <c r="E3090" t="str">
        <f>IF(COUNTIF(data2!$D:$D,D3090)=0,"Missing in Data2","Present")</f>
        <v>Present</v>
      </c>
    </row>
    <row r="3091" spans="1:5" x14ac:dyDescent="0.25">
      <c r="A3091" s="2" t="s">
        <v>3057</v>
      </c>
      <c r="B3091" s="2" t="s">
        <v>178</v>
      </c>
      <c r="C3091" s="2">
        <v>3</v>
      </c>
      <c r="D3091" t="str">
        <f t="shared" si="48"/>
        <v>CA-2015-162537_OFF-ST-10004258</v>
      </c>
      <c r="E3091" t="str">
        <f>IF(COUNTIF(data2!$D:$D,D3091)=0,"Missing in Data2","Present")</f>
        <v>Present</v>
      </c>
    </row>
    <row r="3092" spans="1:5" x14ac:dyDescent="0.25">
      <c r="A3092" s="2" t="s">
        <v>3058</v>
      </c>
      <c r="B3092" s="2" t="s">
        <v>1366</v>
      </c>
      <c r="C3092" s="2">
        <v>1</v>
      </c>
      <c r="D3092" t="str">
        <f t="shared" si="48"/>
        <v>CA-2015-162544_OFF-PA-10004948</v>
      </c>
      <c r="E3092" t="str">
        <f>IF(COUNTIF(data2!$D:$D,D3092)=0,"Missing in Data2","Present")</f>
        <v>Present</v>
      </c>
    </row>
    <row r="3093" spans="1:5" x14ac:dyDescent="0.25">
      <c r="A3093" s="2" t="s">
        <v>3059</v>
      </c>
      <c r="B3093" s="2" t="s">
        <v>1727</v>
      </c>
      <c r="C3093" s="2">
        <v>3</v>
      </c>
      <c r="D3093" t="str">
        <f t="shared" si="48"/>
        <v>CA-2015-162607_OFF-BI-10002949</v>
      </c>
      <c r="E3093" t="str">
        <f>IF(COUNTIF(data2!$D:$D,D3093)=0,"Missing in Data2","Present")</f>
        <v>Present</v>
      </c>
    </row>
    <row r="3094" spans="1:5" x14ac:dyDescent="0.25">
      <c r="A3094" s="2" t="s">
        <v>3060</v>
      </c>
      <c r="B3094" s="2" t="s">
        <v>1014</v>
      </c>
      <c r="C3094" s="2">
        <v>5</v>
      </c>
      <c r="D3094" t="str">
        <f t="shared" si="48"/>
        <v>CA-2015-162621_OFF-BI-10000962</v>
      </c>
      <c r="E3094" t="str">
        <f>IF(COUNTIF(data2!$D:$D,D3094)=0,"Missing in Data2","Present")</f>
        <v>Present</v>
      </c>
    </row>
    <row r="3095" spans="1:5" x14ac:dyDescent="0.25">
      <c r="A3095" s="2" t="s">
        <v>3060</v>
      </c>
      <c r="B3095" s="2" t="s">
        <v>227</v>
      </c>
      <c r="C3095" s="2">
        <v>3</v>
      </c>
      <c r="D3095" t="str">
        <f t="shared" si="48"/>
        <v>CA-2015-162621_OFF-BI-10003708</v>
      </c>
      <c r="E3095" t="str">
        <f>IF(COUNTIF(data2!$D:$D,D3095)=0,"Missing in Data2","Present")</f>
        <v>Missing in Data2</v>
      </c>
    </row>
    <row r="3096" spans="1:5" x14ac:dyDescent="0.25">
      <c r="A3096" s="2" t="s">
        <v>3060</v>
      </c>
      <c r="B3096" s="2" t="s">
        <v>310</v>
      </c>
      <c r="C3096" s="2">
        <v>9</v>
      </c>
      <c r="D3096" t="str">
        <f t="shared" si="48"/>
        <v>CA-2015-162621_OFF-SU-10003567</v>
      </c>
      <c r="E3096" t="str">
        <f>IF(COUNTIF(data2!$D:$D,D3096)=0,"Missing in Data2","Present")</f>
        <v>Present</v>
      </c>
    </row>
    <row r="3097" spans="1:5" x14ac:dyDescent="0.25">
      <c r="A3097" s="2" t="s">
        <v>3061</v>
      </c>
      <c r="B3097" s="2" t="s">
        <v>3062</v>
      </c>
      <c r="C3097" s="2">
        <v>8</v>
      </c>
      <c r="D3097" t="str">
        <f t="shared" si="48"/>
        <v>CA-2015-162761_OFF-AR-10001761</v>
      </c>
      <c r="E3097" t="str">
        <f>IF(COUNTIF(data2!$D:$D,D3097)=0,"Missing in Data2","Present")</f>
        <v>Present</v>
      </c>
    </row>
    <row r="3098" spans="1:5" x14ac:dyDescent="0.25">
      <c r="A3098" s="2" t="s">
        <v>3061</v>
      </c>
      <c r="B3098" s="2" t="s">
        <v>1152</v>
      </c>
      <c r="C3098" s="2">
        <v>2</v>
      </c>
      <c r="D3098" t="str">
        <f t="shared" si="48"/>
        <v>CA-2015-162761_OFF-BI-10000145</v>
      </c>
      <c r="E3098" t="str">
        <f>IF(COUNTIF(data2!$D:$D,D3098)=0,"Missing in Data2","Present")</f>
        <v>Present</v>
      </c>
    </row>
    <row r="3099" spans="1:5" x14ac:dyDescent="0.25">
      <c r="A3099" s="2" t="s">
        <v>3061</v>
      </c>
      <c r="B3099" s="2" t="s">
        <v>1564</v>
      </c>
      <c r="C3099" s="2">
        <v>2</v>
      </c>
      <c r="D3099" t="str">
        <f t="shared" si="48"/>
        <v>CA-2015-162761_OFF-BI-10002498</v>
      </c>
      <c r="E3099" t="str">
        <f>IF(COUNTIF(data2!$D:$D,D3099)=0,"Missing in Data2","Present")</f>
        <v>Present</v>
      </c>
    </row>
    <row r="3100" spans="1:5" x14ac:dyDescent="0.25">
      <c r="A3100" s="2" t="s">
        <v>3063</v>
      </c>
      <c r="B3100" s="2" t="s">
        <v>907</v>
      </c>
      <c r="C3100" s="2">
        <v>2</v>
      </c>
      <c r="D3100" t="str">
        <f t="shared" si="48"/>
        <v>CA-2015-162782_OFF-BI-10003527</v>
      </c>
      <c r="E3100" t="str">
        <f>IF(COUNTIF(data2!$D:$D,D3100)=0,"Missing in Data2","Present")</f>
        <v>Present</v>
      </c>
    </row>
    <row r="3101" spans="1:5" x14ac:dyDescent="0.25">
      <c r="A3101" s="2" t="s">
        <v>3064</v>
      </c>
      <c r="B3101" s="2" t="s">
        <v>1520</v>
      </c>
      <c r="C3101" s="2">
        <v>3</v>
      </c>
      <c r="D3101" t="str">
        <f t="shared" si="48"/>
        <v>CA-2015-162887_FUR-CH-10000595</v>
      </c>
      <c r="E3101" t="str">
        <f>IF(COUNTIF(data2!$D:$D,D3101)=0,"Missing in Data2","Present")</f>
        <v>Present</v>
      </c>
    </row>
    <row r="3102" spans="1:5" x14ac:dyDescent="0.25">
      <c r="A3102" s="2" t="s">
        <v>3065</v>
      </c>
      <c r="B3102" s="2" t="s">
        <v>3066</v>
      </c>
      <c r="C3102" s="2">
        <v>6</v>
      </c>
      <c r="D3102" t="str">
        <f t="shared" si="48"/>
        <v>CA-2015-162950_FUR-BO-10001918</v>
      </c>
      <c r="E3102" t="str">
        <f>IF(COUNTIF(data2!$D:$D,D3102)=0,"Missing in Data2","Present")</f>
        <v>Present</v>
      </c>
    </row>
    <row r="3103" spans="1:5" x14ac:dyDescent="0.25">
      <c r="A3103" s="2" t="s">
        <v>3065</v>
      </c>
      <c r="B3103" s="2" t="s">
        <v>1158</v>
      </c>
      <c r="C3103" s="2">
        <v>3</v>
      </c>
      <c r="D3103" t="str">
        <f t="shared" si="48"/>
        <v>CA-2015-162950_OFF-PA-10003177</v>
      </c>
      <c r="E3103" t="str">
        <f>IF(COUNTIF(data2!$D:$D,D3103)=0,"Missing in Data2","Present")</f>
        <v>Present</v>
      </c>
    </row>
    <row r="3104" spans="1:5" x14ac:dyDescent="0.25">
      <c r="A3104" s="2" t="s">
        <v>3067</v>
      </c>
      <c r="B3104" s="2" t="s">
        <v>1970</v>
      </c>
      <c r="C3104" s="2">
        <v>7</v>
      </c>
      <c r="D3104" t="str">
        <f t="shared" si="48"/>
        <v>CA-2015-162964_OFF-EN-10003055</v>
      </c>
      <c r="E3104" t="str">
        <f>IF(COUNTIF(data2!$D:$D,D3104)=0,"Missing in Data2","Present")</f>
        <v>Present</v>
      </c>
    </row>
    <row r="3105" spans="1:5" x14ac:dyDescent="0.25">
      <c r="A3105" s="2" t="s">
        <v>3067</v>
      </c>
      <c r="B3105" s="2" t="s">
        <v>105</v>
      </c>
      <c r="C3105" s="2">
        <v>3</v>
      </c>
      <c r="D3105" t="str">
        <f t="shared" si="48"/>
        <v>CA-2015-162964_OFF-PA-10003349</v>
      </c>
      <c r="E3105" t="str">
        <f>IF(COUNTIF(data2!$D:$D,D3105)=0,"Missing in Data2","Present")</f>
        <v>Present</v>
      </c>
    </row>
    <row r="3106" spans="1:5" x14ac:dyDescent="0.25">
      <c r="A3106" s="2" t="s">
        <v>3067</v>
      </c>
      <c r="B3106" s="2" t="s">
        <v>715</v>
      </c>
      <c r="C3106" s="2">
        <v>1</v>
      </c>
      <c r="D3106" t="str">
        <f t="shared" si="48"/>
        <v>CA-2015-162964_OFF-ST-10002344</v>
      </c>
      <c r="E3106" t="str">
        <f>IF(COUNTIF(data2!$D:$D,D3106)=0,"Missing in Data2","Present")</f>
        <v>Present</v>
      </c>
    </row>
    <row r="3107" spans="1:5" x14ac:dyDescent="0.25">
      <c r="A3107" s="2" t="s">
        <v>3068</v>
      </c>
      <c r="B3107" s="2" t="s">
        <v>1427</v>
      </c>
      <c r="C3107" s="2">
        <v>5</v>
      </c>
      <c r="D3107" t="str">
        <f t="shared" si="48"/>
        <v>CA-2015-163055_FUR-TA-10003748</v>
      </c>
      <c r="E3107" t="str">
        <f>IF(COUNTIF(data2!$D:$D,D3107)=0,"Missing in Data2","Present")</f>
        <v>Present</v>
      </c>
    </row>
    <row r="3108" spans="1:5" x14ac:dyDescent="0.25">
      <c r="A3108" s="2" t="s">
        <v>3068</v>
      </c>
      <c r="B3108" s="2" t="s">
        <v>3069</v>
      </c>
      <c r="C3108" s="2">
        <v>1</v>
      </c>
      <c r="D3108" t="str">
        <f t="shared" si="48"/>
        <v>CA-2015-163055_OFF-AR-10001026</v>
      </c>
      <c r="E3108" t="str">
        <f>IF(COUNTIF(data2!$D:$D,D3108)=0,"Missing in Data2","Present")</f>
        <v>Present</v>
      </c>
    </row>
    <row r="3109" spans="1:5" x14ac:dyDescent="0.25">
      <c r="A3109" s="2" t="s">
        <v>3068</v>
      </c>
      <c r="B3109" s="2" t="s">
        <v>3070</v>
      </c>
      <c r="C3109" s="2">
        <v>1</v>
      </c>
      <c r="D3109" t="str">
        <f t="shared" si="48"/>
        <v>CA-2015-163055_OFF-ST-10002485</v>
      </c>
      <c r="E3109" t="str">
        <f>IF(COUNTIF(data2!$D:$D,D3109)=0,"Missing in Data2","Present")</f>
        <v>Present</v>
      </c>
    </row>
    <row r="3110" spans="1:5" x14ac:dyDescent="0.25">
      <c r="A3110" s="2" t="s">
        <v>3071</v>
      </c>
      <c r="B3110" s="2" t="s">
        <v>803</v>
      </c>
      <c r="C3110" s="2">
        <v>5</v>
      </c>
      <c r="D3110" t="str">
        <f t="shared" si="48"/>
        <v>CA-2015-163090_OFF-SU-10002537</v>
      </c>
      <c r="E3110" t="str">
        <f>IF(COUNTIF(data2!$D:$D,D3110)=0,"Missing in Data2","Present")</f>
        <v>Present</v>
      </c>
    </row>
    <row r="3111" spans="1:5" x14ac:dyDescent="0.25">
      <c r="A3111" s="2" t="s">
        <v>3072</v>
      </c>
      <c r="B3111" s="2" t="s">
        <v>1440</v>
      </c>
      <c r="C3111" s="2">
        <v>2</v>
      </c>
      <c r="D3111" t="str">
        <f t="shared" si="48"/>
        <v>CA-2015-163104_OFF-PA-10001947</v>
      </c>
      <c r="E3111" t="str">
        <f>IF(COUNTIF(data2!$D:$D,D3111)=0,"Missing in Data2","Present")</f>
        <v>Present</v>
      </c>
    </row>
    <row r="3112" spans="1:5" x14ac:dyDescent="0.25">
      <c r="A3112" s="2" t="s">
        <v>3073</v>
      </c>
      <c r="B3112" s="2" t="s">
        <v>846</v>
      </c>
      <c r="C3112" s="2">
        <v>5</v>
      </c>
      <c r="D3112" t="str">
        <f t="shared" si="48"/>
        <v>CA-2015-163181_FUR-FU-10000193</v>
      </c>
      <c r="E3112" t="str">
        <f>IF(COUNTIF(data2!$D:$D,D3112)=0,"Missing in Data2","Present")</f>
        <v>Present</v>
      </c>
    </row>
    <row r="3113" spans="1:5" x14ac:dyDescent="0.25">
      <c r="A3113" s="2" t="s">
        <v>3073</v>
      </c>
      <c r="B3113" s="2" t="s">
        <v>1327</v>
      </c>
      <c r="C3113" s="2">
        <v>3</v>
      </c>
      <c r="D3113" t="str">
        <f t="shared" si="48"/>
        <v>CA-2015-163181_OFF-AR-10001683</v>
      </c>
      <c r="E3113" t="str">
        <f>IF(COUNTIF(data2!$D:$D,D3113)=0,"Missing in Data2","Present")</f>
        <v>Present</v>
      </c>
    </row>
    <row r="3114" spans="1:5" x14ac:dyDescent="0.25">
      <c r="A3114" s="2" t="s">
        <v>3073</v>
      </c>
      <c r="B3114" s="2" t="s">
        <v>606</v>
      </c>
      <c r="C3114" s="2">
        <v>10</v>
      </c>
      <c r="D3114" t="str">
        <f t="shared" si="48"/>
        <v>CA-2015-163181_OFF-BI-10000474</v>
      </c>
      <c r="E3114" t="str">
        <f>IF(COUNTIF(data2!$D:$D,D3114)=0,"Missing in Data2","Present")</f>
        <v>Present</v>
      </c>
    </row>
    <row r="3115" spans="1:5" x14ac:dyDescent="0.25">
      <c r="A3115" s="2" t="s">
        <v>3073</v>
      </c>
      <c r="B3115" s="2" t="s">
        <v>2397</v>
      </c>
      <c r="C3115" s="2">
        <v>2</v>
      </c>
      <c r="D3115" t="str">
        <f t="shared" si="48"/>
        <v>CA-2015-163181_OFF-ST-10000129</v>
      </c>
      <c r="E3115" t="str">
        <f>IF(COUNTIF(data2!$D:$D,D3115)=0,"Missing in Data2","Present")</f>
        <v>Present</v>
      </c>
    </row>
    <row r="3116" spans="1:5" x14ac:dyDescent="0.25">
      <c r="A3116" s="2" t="s">
        <v>3073</v>
      </c>
      <c r="B3116" s="2" t="s">
        <v>1347</v>
      </c>
      <c r="C3116" s="2">
        <v>2</v>
      </c>
      <c r="D3116" t="str">
        <f t="shared" si="48"/>
        <v>CA-2015-163181_OFF-ST-10001713</v>
      </c>
      <c r="E3116" t="str">
        <f>IF(COUNTIF(data2!$D:$D,D3116)=0,"Missing in Data2","Present")</f>
        <v>Present</v>
      </c>
    </row>
    <row r="3117" spans="1:5" x14ac:dyDescent="0.25">
      <c r="A3117" s="2" t="s">
        <v>3073</v>
      </c>
      <c r="B3117" s="2" t="s">
        <v>3074</v>
      </c>
      <c r="C3117" s="2">
        <v>3</v>
      </c>
      <c r="D3117" t="str">
        <f t="shared" si="48"/>
        <v>CA-2015-163181_TEC-MA-10001016</v>
      </c>
      <c r="E3117" t="str">
        <f>IF(COUNTIF(data2!$D:$D,D3117)=0,"Missing in Data2","Present")</f>
        <v>Present</v>
      </c>
    </row>
    <row r="3118" spans="1:5" x14ac:dyDescent="0.25">
      <c r="A3118" s="2" t="s">
        <v>3075</v>
      </c>
      <c r="B3118" s="2" t="s">
        <v>3076</v>
      </c>
      <c r="C3118" s="2">
        <v>2</v>
      </c>
      <c r="D3118" t="str">
        <f t="shared" si="48"/>
        <v>CA-2015-163237_OFF-LA-10004545</v>
      </c>
      <c r="E3118" t="str">
        <f>IF(COUNTIF(data2!$D:$D,D3118)=0,"Missing in Data2","Present")</f>
        <v>Present</v>
      </c>
    </row>
    <row r="3119" spans="1:5" x14ac:dyDescent="0.25">
      <c r="A3119" s="2" t="s">
        <v>3075</v>
      </c>
      <c r="B3119" s="2" t="s">
        <v>3077</v>
      </c>
      <c r="C3119" s="2">
        <v>3</v>
      </c>
      <c r="D3119" t="str">
        <f t="shared" si="48"/>
        <v>CA-2015-163237_TEC-PH-10003601</v>
      </c>
      <c r="E3119" t="str">
        <f>IF(COUNTIF(data2!$D:$D,D3119)=0,"Missing in Data2","Present")</f>
        <v>Present</v>
      </c>
    </row>
    <row r="3120" spans="1:5" x14ac:dyDescent="0.25">
      <c r="A3120" s="2" t="s">
        <v>3078</v>
      </c>
      <c r="B3120" s="2" t="s">
        <v>614</v>
      </c>
      <c r="C3120" s="2">
        <v>2</v>
      </c>
      <c r="D3120" t="str">
        <f t="shared" si="48"/>
        <v>CA-2015-163440_TEC-PH-10000376</v>
      </c>
      <c r="E3120" t="str">
        <f>IF(COUNTIF(data2!$D:$D,D3120)=0,"Missing in Data2","Present")</f>
        <v>Present</v>
      </c>
    </row>
    <row r="3121" spans="1:5" x14ac:dyDescent="0.25">
      <c r="A3121" s="2" t="s">
        <v>3079</v>
      </c>
      <c r="B3121" s="2" t="s">
        <v>1711</v>
      </c>
      <c r="C3121" s="2">
        <v>4</v>
      </c>
      <c r="D3121" t="str">
        <f t="shared" si="48"/>
        <v>CA-2015-163587_OFF-LA-10004484</v>
      </c>
      <c r="E3121" t="str">
        <f>IF(COUNTIF(data2!$D:$D,D3121)=0,"Missing in Data2","Present")</f>
        <v>Present</v>
      </c>
    </row>
    <row r="3122" spans="1:5" x14ac:dyDescent="0.25">
      <c r="A3122" s="2" t="s">
        <v>3080</v>
      </c>
      <c r="B3122" s="2" t="s">
        <v>1800</v>
      </c>
      <c r="C3122" s="2">
        <v>5</v>
      </c>
      <c r="D3122" t="str">
        <f t="shared" si="48"/>
        <v>CA-2015-163734_OFF-ST-10003692</v>
      </c>
      <c r="E3122" t="str">
        <f>IF(COUNTIF(data2!$D:$D,D3122)=0,"Missing in Data2","Present")</f>
        <v>Present</v>
      </c>
    </row>
    <row r="3123" spans="1:5" x14ac:dyDescent="0.25">
      <c r="A3123" s="2" t="s">
        <v>3081</v>
      </c>
      <c r="B3123" s="2" t="s">
        <v>1819</v>
      </c>
      <c r="C3123" s="2">
        <v>3</v>
      </c>
      <c r="D3123" t="str">
        <f t="shared" si="48"/>
        <v>CA-2015-163762_OFF-AR-10001915</v>
      </c>
      <c r="E3123" t="str">
        <f>IF(COUNTIF(data2!$D:$D,D3123)=0,"Missing in Data2","Present")</f>
        <v>Present</v>
      </c>
    </row>
    <row r="3124" spans="1:5" x14ac:dyDescent="0.25">
      <c r="A3124" s="2" t="s">
        <v>3082</v>
      </c>
      <c r="B3124" s="2" t="s">
        <v>651</v>
      </c>
      <c r="C3124" s="2">
        <v>1</v>
      </c>
      <c r="D3124" t="str">
        <f t="shared" si="48"/>
        <v>CA-2015-163895_OFF-BI-10004970</v>
      </c>
      <c r="E3124" t="str">
        <f>IF(COUNTIF(data2!$D:$D,D3124)=0,"Missing in Data2","Present")</f>
        <v>Present</v>
      </c>
    </row>
    <row r="3125" spans="1:5" x14ac:dyDescent="0.25">
      <c r="A3125" s="2" t="s">
        <v>3083</v>
      </c>
      <c r="B3125" s="2" t="s">
        <v>2665</v>
      </c>
      <c r="C3125" s="2">
        <v>4</v>
      </c>
      <c r="D3125" t="str">
        <f t="shared" si="48"/>
        <v>CA-2015-163923_TEC-AC-10000358</v>
      </c>
      <c r="E3125" t="str">
        <f>IF(COUNTIF(data2!$D:$D,D3125)=0,"Missing in Data2","Present")</f>
        <v>Present</v>
      </c>
    </row>
    <row r="3126" spans="1:5" x14ac:dyDescent="0.25">
      <c r="A3126" s="2" t="s">
        <v>3084</v>
      </c>
      <c r="B3126" s="2" t="s">
        <v>69</v>
      </c>
      <c r="C3126" s="2">
        <v>3</v>
      </c>
      <c r="D3126" t="str">
        <f t="shared" si="48"/>
        <v>CA-2015-163965_FUR-BO-10001337</v>
      </c>
      <c r="E3126" t="str">
        <f>IF(COUNTIF(data2!$D:$D,D3126)=0,"Missing in Data2","Present")</f>
        <v>Present</v>
      </c>
    </row>
    <row r="3127" spans="1:5" x14ac:dyDescent="0.25">
      <c r="A3127" s="2" t="s">
        <v>3084</v>
      </c>
      <c r="B3127" s="2" t="s">
        <v>404</v>
      </c>
      <c r="C3127" s="2">
        <v>4</v>
      </c>
      <c r="D3127" t="str">
        <f t="shared" si="48"/>
        <v>CA-2015-163965_OFF-BI-10004593</v>
      </c>
      <c r="E3127" t="str">
        <f>IF(COUNTIF(data2!$D:$D,D3127)=0,"Missing in Data2","Present")</f>
        <v>Present</v>
      </c>
    </row>
    <row r="3128" spans="1:5" x14ac:dyDescent="0.25">
      <c r="A3128" s="2" t="s">
        <v>3084</v>
      </c>
      <c r="B3128" s="2" t="s">
        <v>1680</v>
      </c>
      <c r="C3128" s="2">
        <v>5</v>
      </c>
      <c r="D3128" t="str">
        <f t="shared" si="48"/>
        <v>CA-2015-163965_OFF-BI-10004728</v>
      </c>
      <c r="E3128" t="str">
        <f>IF(COUNTIF(data2!$D:$D,D3128)=0,"Missing in Data2","Present")</f>
        <v>Present</v>
      </c>
    </row>
    <row r="3129" spans="1:5" x14ac:dyDescent="0.25">
      <c r="A3129" s="2" t="s">
        <v>3085</v>
      </c>
      <c r="B3129" s="2" t="s">
        <v>2130</v>
      </c>
      <c r="C3129" s="2">
        <v>2</v>
      </c>
      <c r="D3129" t="str">
        <f t="shared" si="48"/>
        <v>CA-2015-164007_OFF-AP-10003849</v>
      </c>
      <c r="E3129" t="str">
        <f>IF(COUNTIF(data2!$D:$D,D3129)=0,"Missing in Data2","Present")</f>
        <v>Present</v>
      </c>
    </row>
    <row r="3130" spans="1:5" x14ac:dyDescent="0.25">
      <c r="A3130" s="2" t="s">
        <v>3085</v>
      </c>
      <c r="B3130" s="2" t="s">
        <v>1753</v>
      </c>
      <c r="C3130" s="2">
        <v>3</v>
      </c>
      <c r="D3130" t="str">
        <f t="shared" si="48"/>
        <v>CA-2015-164007_TEC-AC-10003433</v>
      </c>
      <c r="E3130" t="str">
        <f>IF(COUNTIF(data2!$D:$D,D3130)=0,"Missing in Data2","Present")</f>
        <v>Present</v>
      </c>
    </row>
    <row r="3131" spans="1:5" x14ac:dyDescent="0.25">
      <c r="A3131" s="2" t="s">
        <v>3086</v>
      </c>
      <c r="B3131" s="2" t="s">
        <v>766</v>
      </c>
      <c r="C3131" s="2">
        <v>2</v>
      </c>
      <c r="D3131" t="str">
        <f t="shared" si="48"/>
        <v>CA-2015-164084_FUR-TA-10003569</v>
      </c>
      <c r="E3131" t="str">
        <f>IF(COUNTIF(data2!$D:$D,D3131)=0,"Missing in Data2","Present")</f>
        <v>Present</v>
      </c>
    </row>
    <row r="3132" spans="1:5" x14ac:dyDescent="0.25">
      <c r="A3132" s="2" t="s">
        <v>3086</v>
      </c>
      <c r="B3132" s="2" t="s">
        <v>1789</v>
      </c>
      <c r="C3132" s="2">
        <v>2</v>
      </c>
      <c r="D3132" t="str">
        <f t="shared" si="48"/>
        <v>CA-2015-164084_OFF-BI-10000605</v>
      </c>
      <c r="E3132" t="str">
        <f>IF(COUNTIF(data2!$D:$D,D3132)=0,"Missing in Data2","Present")</f>
        <v>Present</v>
      </c>
    </row>
    <row r="3133" spans="1:5" x14ac:dyDescent="0.25">
      <c r="A3133" s="2" t="s">
        <v>3086</v>
      </c>
      <c r="B3133" s="2" t="s">
        <v>1395</v>
      </c>
      <c r="C3133" s="2">
        <v>4</v>
      </c>
      <c r="D3133" t="str">
        <f t="shared" si="48"/>
        <v>CA-2015-164084_OFF-FA-10003059</v>
      </c>
      <c r="E3133" t="str">
        <f>IF(COUNTIF(data2!$D:$D,D3133)=0,"Missing in Data2","Present")</f>
        <v>Missing in Data2</v>
      </c>
    </row>
    <row r="3134" spans="1:5" x14ac:dyDescent="0.25">
      <c r="A3134" s="2" t="s">
        <v>3086</v>
      </c>
      <c r="B3134" s="2" t="s">
        <v>2732</v>
      </c>
      <c r="C3134" s="2">
        <v>3</v>
      </c>
      <c r="D3134" t="str">
        <f t="shared" si="48"/>
        <v>CA-2015-164084_OFF-ST-10003638</v>
      </c>
      <c r="E3134" t="str">
        <f>IF(COUNTIF(data2!$D:$D,D3134)=0,"Missing in Data2","Present")</f>
        <v>Present</v>
      </c>
    </row>
    <row r="3135" spans="1:5" x14ac:dyDescent="0.25">
      <c r="A3135" s="2" t="s">
        <v>3086</v>
      </c>
      <c r="B3135" s="2" t="s">
        <v>3087</v>
      </c>
      <c r="C3135" s="2">
        <v>5</v>
      </c>
      <c r="D3135" t="str">
        <f t="shared" si="48"/>
        <v>CA-2015-164084_TEC-AC-10002305</v>
      </c>
      <c r="E3135" t="str">
        <f>IF(COUNTIF(data2!$D:$D,D3135)=0,"Missing in Data2","Present")</f>
        <v>Present</v>
      </c>
    </row>
    <row r="3136" spans="1:5" x14ac:dyDescent="0.25">
      <c r="A3136" s="2" t="s">
        <v>3088</v>
      </c>
      <c r="B3136" s="2" t="s">
        <v>1130</v>
      </c>
      <c r="C3136" s="2">
        <v>8</v>
      </c>
      <c r="D3136" t="str">
        <f t="shared" si="48"/>
        <v>CA-2015-164301_FUR-TA-10001889</v>
      </c>
      <c r="E3136" t="str">
        <f>IF(COUNTIF(data2!$D:$D,D3136)=0,"Missing in Data2","Present")</f>
        <v>Present</v>
      </c>
    </row>
    <row r="3137" spans="1:5" x14ac:dyDescent="0.25">
      <c r="A3137" s="2" t="s">
        <v>3089</v>
      </c>
      <c r="B3137" s="2" t="s">
        <v>1735</v>
      </c>
      <c r="C3137" s="2">
        <v>3</v>
      </c>
      <c r="D3137" t="str">
        <f t="shared" si="48"/>
        <v>CA-2015-164336_OFF-ST-10001558</v>
      </c>
      <c r="E3137" t="str">
        <f>IF(COUNTIF(data2!$D:$D,D3137)=0,"Missing in Data2","Present")</f>
        <v>Present</v>
      </c>
    </row>
    <row r="3138" spans="1:5" x14ac:dyDescent="0.25">
      <c r="A3138" s="2" t="s">
        <v>3089</v>
      </c>
      <c r="B3138" s="2" t="s">
        <v>1587</v>
      </c>
      <c r="C3138" s="2">
        <v>3</v>
      </c>
      <c r="D3138" t="str">
        <f t="shared" si="48"/>
        <v>CA-2015-164336_TEC-AC-10002345</v>
      </c>
      <c r="E3138" t="str">
        <f>IF(COUNTIF(data2!$D:$D,D3138)=0,"Missing in Data2","Present")</f>
        <v>Present</v>
      </c>
    </row>
    <row r="3139" spans="1:5" x14ac:dyDescent="0.25">
      <c r="A3139" s="2" t="s">
        <v>3090</v>
      </c>
      <c r="B3139" s="2" t="s">
        <v>2802</v>
      </c>
      <c r="C3139" s="2">
        <v>6</v>
      </c>
      <c r="D3139" t="str">
        <f t="shared" ref="D3139:D3202" si="49">A3139&amp;"_"&amp;B3139</f>
        <v>CA-2015-164427_TEC-AC-10004469</v>
      </c>
      <c r="E3139" t="str">
        <f>IF(COUNTIF(data2!$D:$D,D3139)=0,"Missing in Data2","Present")</f>
        <v>Present</v>
      </c>
    </row>
    <row r="3140" spans="1:5" x14ac:dyDescent="0.25">
      <c r="A3140" s="2" t="s">
        <v>3091</v>
      </c>
      <c r="B3140" s="2" t="s">
        <v>1250</v>
      </c>
      <c r="C3140" s="2">
        <v>3</v>
      </c>
      <c r="D3140" t="str">
        <f t="shared" si="49"/>
        <v>CA-2015-164441_OFF-PA-10001667</v>
      </c>
      <c r="E3140" t="str">
        <f>IF(COUNTIF(data2!$D:$D,D3140)=0,"Missing in Data2","Present")</f>
        <v>Present</v>
      </c>
    </row>
    <row r="3141" spans="1:5" x14ac:dyDescent="0.25">
      <c r="A3141" s="2" t="s">
        <v>3092</v>
      </c>
      <c r="B3141" s="2" t="s">
        <v>3093</v>
      </c>
      <c r="C3141" s="2">
        <v>4</v>
      </c>
      <c r="D3141" t="str">
        <f t="shared" si="49"/>
        <v>CA-2015-164497_OFF-AP-10004655</v>
      </c>
      <c r="E3141" t="str">
        <f>IF(COUNTIF(data2!$D:$D,D3141)=0,"Missing in Data2","Present")</f>
        <v>Present</v>
      </c>
    </row>
    <row r="3142" spans="1:5" x14ac:dyDescent="0.25">
      <c r="A3142" s="2" t="s">
        <v>3094</v>
      </c>
      <c r="B3142" s="2" t="s">
        <v>3095</v>
      </c>
      <c r="C3142" s="2">
        <v>5</v>
      </c>
      <c r="D3142" t="str">
        <f t="shared" si="49"/>
        <v>CA-2015-164539_OFF-AP-10002457</v>
      </c>
      <c r="E3142" t="str">
        <f>IF(COUNTIF(data2!$D:$D,D3142)=0,"Missing in Data2","Present")</f>
        <v>Present</v>
      </c>
    </row>
    <row r="3143" spans="1:5" x14ac:dyDescent="0.25">
      <c r="A3143" s="2" t="s">
        <v>3096</v>
      </c>
      <c r="B3143" s="2" t="s">
        <v>2455</v>
      </c>
      <c r="C3143" s="2">
        <v>2</v>
      </c>
      <c r="D3143" t="str">
        <f t="shared" si="49"/>
        <v>CA-2015-164623_OFF-PA-10000249</v>
      </c>
      <c r="E3143" t="str">
        <f>IF(COUNTIF(data2!$D:$D,D3143)=0,"Missing in Data2","Present")</f>
        <v>Present</v>
      </c>
    </row>
    <row r="3144" spans="1:5" x14ac:dyDescent="0.25">
      <c r="A3144" s="2" t="s">
        <v>3097</v>
      </c>
      <c r="B3144" s="2" t="s">
        <v>561</v>
      </c>
      <c r="C3144" s="2">
        <v>5</v>
      </c>
      <c r="D3144" t="str">
        <f t="shared" si="49"/>
        <v>CA-2015-164777_FUR-CH-10002024</v>
      </c>
      <c r="E3144" t="str">
        <f>IF(COUNTIF(data2!$D:$D,D3144)=0,"Missing in Data2","Present")</f>
        <v>Present</v>
      </c>
    </row>
    <row r="3145" spans="1:5" x14ac:dyDescent="0.25">
      <c r="A3145" s="2" t="s">
        <v>3098</v>
      </c>
      <c r="B3145" s="2" t="s">
        <v>1194</v>
      </c>
      <c r="C3145" s="2">
        <v>2</v>
      </c>
      <c r="D3145" t="str">
        <f t="shared" si="49"/>
        <v>CA-2015-164833_OFF-AR-10004685</v>
      </c>
      <c r="E3145" t="str">
        <f>IF(COUNTIF(data2!$D:$D,D3145)=0,"Missing in Data2","Present")</f>
        <v>Present</v>
      </c>
    </row>
    <row r="3146" spans="1:5" x14ac:dyDescent="0.25">
      <c r="A3146" s="2" t="s">
        <v>3098</v>
      </c>
      <c r="B3146" s="2" t="s">
        <v>172</v>
      </c>
      <c r="C3146" s="2">
        <v>2</v>
      </c>
      <c r="D3146" t="str">
        <f t="shared" si="49"/>
        <v>CA-2015-164833_OFF-LA-10000443</v>
      </c>
      <c r="E3146" t="str">
        <f>IF(COUNTIF(data2!$D:$D,D3146)=0,"Missing in Data2","Present")</f>
        <v>Missing in Data2</v>
      </c>
    </row>
    <row r="3147" spans="1:5" x14ac:dyDescent="0.25">
      <c r="A3147" s="2" t="s">
        <v>3099</v>
      </c>
      <c r="B3147" s="2" t="s">
        <v>815</v>
      </c>
      <c r="C3147" s="2">
        <v>1</v>
      </c>
      <c r="D3147" t="str">
        <f t="shared" si="49"/>
        <v>CA-2015-164882_FUR-BO-10002213</v>
      </c>
      <c r="E3147" t="str">
        <f>IF(COUNTIF(data2!$D:$D,D3147)=0,"Missing in Data2","Present")</f>
        <v>Present</v>
      </c>
    </row>
    <row r="3148" spans="1:5" x14ac:dyDescent="0.25">
      <c r="A3148" s="2" t="s">
        <v>3099</v>
      </c>
      <c r="B3148" s="2" t="s">
        <v>1050</v>
      </c>
      <c r="C3148" s="2">
        <v>4</v>
      </c>
      <c r="D3148" t="str">
        <f t="shared" si="49"/>
        <v>CA-2015-164882_FUR-CH-10004218</v>
      </c>
      <c r="E3148" t="str">
        <f>IF(COUNTIF(data2!$D:$D,D3148)=0,"Missing in Data2","Present")</f>
        <v>Present</v>
      </c>
    </row>
    <row r="3149" spans="1:5" x14ac:dyDescent="0.25">
      <c r="A3149" s="2" t="s">
        <v>3099</v>
      </c>
      <c r="B3149" s="2" t="s">
        <v>1248</v>
      </c>
      <c r="C3149" s="2">
        <v>3</v>
      </c>
      <c r="D3149" t="str">
        <f t="shared" si="49"/>
        <v>CA-2015-164882_OFF-AR-10004272</v>
      </c>
      <c r="E3149" t="str">
        <f>IF(COUNTIF(data2!$D:$D,D3149)=0,"Missing in Data2","Present")</f>
        <v>Present</v>
      </c>
    </row>
    <row r="3150" spans="1:5" x14ac:dyDescent="0.25">
      <c r="A3150" s="2" t="s">
        <v>3099</v>
      </c>
      <c r="B3150" s="2" t="s">
        <v>1989</v>
      </c>
      <c r="C3150" s="2">
        <v>3</v>
      </c>
      <c r="D3150" t="str">
        <f t="shared" si="49"/>
        <v>CA-2015-164882_OFF-BI-10004519</v>
      </c>
      <c r="E3150" t="str">
        <f>IF(COUNTIF(data2!$D:$D,D3150)=0,"Missing in Data2","Present")</f>
        <v>Present</v>
      </c>
    </row>
    <row r="3151" spans="1:5" x14ac:dyDescent="0.25">
      <c r="A3151" s="2" t="s">
        <v>3099</v>
      </c>
      <c r="B3151" s="2" t="s">
        <v>685</v>
      </c>
      <c r="C3151" s="2">
        <v>5</v>
      </c>
      <c r="D3151" t="str">
        <f t="shared" si="49"/>
        <v>CA-2015-164882_OFF-FA-10000585</v>
      </c>
      <c r="E3151" t="str">
        <f>IF(COUNTIF(data2!$D:$D,D3151)=0,"Missing in Data2","Present")</f>
        <v>Present</v>
      </c>
    </row>
    <row r="3152" spans="1:5" x14ac:dyDescent="0.25">
      <c r="A3152" s="2" t="s">
        <v>3099</v>
      </c>
      <c r="B3152" s="2" t="s">
        <v>2602</v>
      </c>
      <c r="C3152" s="2">
        <v>1</v>
      </c>
      <c r="D3152" t="str">
        <f t="shared" si="49"/>
        <v>CA-2015-164882_OFF-PA-10000157</v>
      </c>
      <c r="E3152" t="str">
        <f>IF(COUNTIF(data2!$D:$D,D3152)=0,"Missing in Data2","Present")</f>
        <v>Present</v>
      </c>
    </row>
    <row r="3153" spans="1:5" x14ac:dyDescent="0.25">
      <c r="A3153" s="2" t="s">
        <v>3099</v>
      </c>
      <c r="B3153" s="2" t="s">
        <v>2732</v>
      </c>
      <c r="C3153" s="2">
        <v>2</v>
      </c>
      <c r="D3153" t="str">
        <f t="shared" si="49"/>
        <v>CA-2015-164882_OFF-ST-10003638</v>
      </c>
      <c r="E3153" t="str">
        <f>IF(COUNTIF(data2!$D:$D,D3153)=0,"Missing in Data2","Present")</f>
        <v>Present</v>
      </c>
    </row>
    <row r="3154" spans="1:5" x14ac:dyDescent="0.25">
      <c r="A3154" s="2" t="s">
        <v>3099</v>
      </c>
      <c r="B3154" s="2" t="s">
        <v>2166</v>
      </c>
      <c r="C3154" s="2">
        <v>3</v>
      </c>
      <c r="D3154" t="str">
        <f t="shared" si="49"/>
        <v>CA-2015-164882_OFF-SU-10004231</v>
      </c>
      <c r="E3154" t="str">
        <f>IF(COUNTIF(data2!$D:$D,D3154)=0,"Missing in Data2","Present")</f>
        <v>Present</v>
      </c>
    </row>
    <row r="3155" spans="1:5" x14ac:dyDescent="0.25">
      <c r="A3155" s="2" t="s">
        <v>3099</v>
      </c>
      <c r="B3155" s="2" t="s">
        <v>2514</v>
      </c>
      <c r="C3155" s="2">
        <v>4</v>
      </c>
      <c r="D3155" t="str">
        <f t="shared" si="49"/>
        <v>CA-2015-164882_TEC-PH-10001578</v>
      </c>
      <c r="E3155" t="str">
        <f>IF(COUNTIF(data2!$D:$D,D3155)=0,"Missing in Data2","Present")</f>
        <v>Present</v>
      </c>
    </row>
    <row r="3156" spans="1:5" x14ac:dyDescent="0.25">
      <c r="A3156" s="2" t="s">
        <v>3100</v>
      </c>
      <c r="B3156" s="2" t="s">
        <v>773</v>
      </c>
      <c r="C3156" s="2">
        <v>5</v>
      </c>
      <c r="D3156" t="str">
        <f t="shared" si="49"/>
        <v>CA-2015-165050_OFF-BI-10001031</v>
      </c>
      <c r="E3156" t="str">
        <f>IF(COUNTIF(data2!$D:$D,D3156)=0,"Missing in Data2","Present")</f>
        <v>Present</v>
      </c>
    </row>
    <row r="3157" spans="1:5" x14ac:dyDescent="0.25">
      <c r="A3157" s="2" t="s">
        <v>3100</v>
      </c>
      <c r="B3157" s="2" t="s">
        <v>1526</v>
      </c>
      <c r="C3157" s="2">
        <v>2</v>
      </c>
      <c r="D3157" t="str">
        <f t="shared" si="49"/>
        <v>CA-2015-165050_OFF-BI-10003727</v>
      </c>
      <c r="E3157" t="str">
        <f>IF(COUNTIF(data2!$D:$D,D3157)=0,"Missing in Data2","Present")</f>
        <v>Present</v>
      </c>
    </row>
    <row r="3158" spans="1:5" x14ac:dyDescent="0.25">
      <c r="A3158" s="2" t="s">
        <v>3100</v>
      </c>
      <c r="B3158" s="2" t="s">
        <v>292</v>
      </c>
      <c r="C3158" s="2">
        <v>6</v>
      </c>
      <c r="D3158" t="str">
        <f t="shared" si="49"/>
        <v>CA-2015-165050_TEC-PH-10001336</v>
      </c>
      <c r="E3158" t="str">
        <f>IF(COUNTIF(data2!$D:$D,D3158)=0,"Missing in Data2","Present")</f>
        <v>Present</v>
      </c>
    </row>
    <row r="3159" spans="1:5" x14ac:dyDescent="0.25">
      <c r="A3159" s="2" t="s">
        <v>3101</v>
      </c>
      <c r="B3159" s="2" t="s">
        <v>1853</v>
      </c>
      <c r="C3159" s="2">
        <v>9</v>
      </c>
      <c r="D3159" t="str">
        <f t="shared" si="49"/>
        <v>CA-2015-165057_OFF-AR-10004648</v>
      </c>
      <c r="E3159" t="str">
        <f>IF(COUNTIF(data2!$D:$D,D3159)=0,"Missing in Data2","Present")</f>
        <v>Present</v>
      </c>
    </row>
    <row r="3160" spans="1:5" x14ac:dyDescent="0.25">
      <c r="A3160" s="2" t="s">
        <v>3101</v>
      </c>
      <c r="B3160" s="2" t="s">
        <v>2339</v>
      </c>
      <c r="C3160" s="2">
        <v>3</v>
      </c>
      <c r="D3160" t="str">
        <f t="shared" si="49"/>
        <v>CA-2015-165057_OFF-LA-10003190</v>
      </c>
      <c r="E3160" t="str">
        <f>IF(COUNTIF(data2!$D:$D,D3160)=0,"Missing in Data2","Present")</f>
        <v>Present</v>
      </c>
    </row>
    <row r="3161" spans="1:5" x14ac:dyDescent="0.25">
      <c r="A3161" s="2" t="s">
        <v>3102</v>
      </c>
      <c r="B3161" s="2" t="s">
        <v>1189</v>
      </c>
      <c r="C3161" s="2">
        <v>2</v>
      </c>
      <c r="D3161" t="str">
        <f t="shared" si="49"/>
        <v>CA-2015-165085_OFF-AP-10002518</v>
      </c>
      <c r="E3161" t="str">
        <f>IF(COUNTIF(data2!$D:$D,D3161)=0,"Missing in Data2","Present")</f>
        <v>Present</v>
      </c>
    </row>
    <row r="3162" spans="1:5" x14ac:dyDescent="0.25">
      <c r="A3162" s="2" t="s">
        <v>3102</v>
      </c>
      <c r="B3162" s="2" t="s">
        <v>3103</v>
      </c>
      <c r="C3162" s="2">
        <v>5</v>
      </c>
      <c r="D3162" t="str">
        <f t="shared" si="49"/>
        <v>CA-2015-165085_OFF-PA-10000605</v>
      </c>
      <c r="E3162" t="str">
        <f>IF(COUNTIF(data2!$D:$D,D3162)=0,"Missing in Data2","Present")</f>
        <v>Present</v>
      </c>
    </row>
    <row r="3163" spans="1:5" x14ac:dyDescent="0.25">
      <c r="A3163" s="2" t="s">
        <v>3104</v>
      </c>
      <c r="B3163" s="2" t="s">
        <v>304</v>
      </c>
      <c r="C3163" s="2">
        <v>4</v>
      </c>
      <c r="D3163" t="str">
        <f t="shared" si="49"/>
        <v>CA-2015-165162_OFF-ST-10003470</v>
      </c>
      <c r="E3163" t="str">
        <f>IF(COUNTIF(data2!$D:$D,D3163)=0,"Missing in Data2","Present")</f>
        <v>Present</v>
      </c>
    </row>
    <row r="3164" spans="1:5" x14ac:dyDescent="0.25">
      <c r="A3164" s="2" t="s">
        <v>3105</v>
      </c>
      <c r="B3164" s="2" t="s">
        <v>3106</v>
      </c>
      <c r="C3164" s="2">
        <v>3</v>
      </c>
      <c r="D3164" t="str">
        <f t="shared" si="49"/>
        <v>CA-2015-165414_TEC-PH-10002293</v>
      </c>
      <c r="E3164" t="str">
        <f>IF(COUNTIF(data2!$D:$D,D3164)=0,"Missing in Data2","Present")</f>
        <v>Present</v>
      </c>
    </row>
    <row r="3165" spans="1:5" x14ac:dyDescent="0.25">
      <c r="A3165" s="2" t="s">
        <v>3107</v>
      </c>
      <c r="B3165" s="2" t="s">
        <v>1552</v>
      </c>
      <c r="C3165" s="2">
        <v>2</v>
      </c>
      <c r="D3165" t="str">
        <f t="shared" si="49"/>
        <v>CA-2015-165554_OFF-PA-10003724</v>
      </c>
      <c r="E3165" t="str">
        <f>IF(COUNTIF(data2!$D:$D,D3165)=0,"Missing in Data2","Present")</f>
        <v>Present</v>
      </c>
    </row>
    <row r="3166" spans="1:5" x14ac:dyDescent="0.25">
      <c r="A3166" s="2" t="s">
        <v>3108</v>
      </c>
      <c r="B3166" s="2" t="s">
        <v>2407</v>
      </c>
      <c r="C3166" s="2">
        <v>3</v>
      </c>
      <c r="D3166" t="str">
        <f t="shared" si="49"/>
        <v>CA-2015-165624_OFF-AP-10000828</v>
      </c>
      <c r="E3166" t="str">
        <f>IF(COUNTIF(data2!$D:$D,D3166)=0,"Missing in Data2","Present")</f>
        <v>Present</v>
      </c>
    </row>
    <row r="3167" spans="1:5" x14ac:dyDescent="0.25">
      <c r="A3167" s="2" t="s">
        <v>3108</v>
      </c>
      <c r="B3167" s="2" t="s">
        <v>1310</v>
      </c>
      <c r="C3167" s="2">
        <v>3</v>
      </c>
      <c r="D3167" t="str">
        <f t="shared" si="49"/>
        <v>CA-2015-165624_OFF-AP-10001492</v>
      </c>
      <c r="E3167" t="str">
        <f>IF(COUNTIF(data2!$D:$D,D3167)=0,"Missing in Data2","Present")</f>
        <v>Present</v>
      </c>
    </row>
    <row r="3168" spans="1:5" x14ac:dyDescent="0.25">
      <c r="A3168" s="2" t="s">
        <v>3108</v>
      </c>
      <c r="B3168" s="2" t="s">
        <v>2339</v>
      </c>
      <c r="C3168" s="2">
        <v>3</v>
      </c>
      <c r="D3168" t="str">
        <f t="shared" si="49"/>
        <v>CA-2015-165624_OFF-LA-10003190</v>
      </c>
      <c r="E3168" t="str">
        <f>IF(COUNTIF(data2!$D:$D,D3168)=0,"Missing in Data2","Present")</f>
        <v>Missing in Data2</v>
      </c>
    </row>
    <row r="3169" spans="1:5" x14ac:dyDescent="0.25">
      <c r="A3169" s="2" t="s">
        <v>3108</v>
      </c>
      <c r="B3169" s="2" t="s">
        <v>1284</v>
      </c>
      <c r="C3169" s="2">
        <v>5</v>
      </c>
      <c r="D3169" t="str">
        <f t="shared" si="49"/>
        <v>CA-2015-165624_OFF-PA-10002319</v>
      </c>
      <c r="E3169" t="str">
        <f>IF(COUNTIF(data2!$D:$D,D3169)=0,"Missing in Data2","Present")</f>
        <v>Present</v>
      </c>
    </row>
    <row r="3170" spans="1:5" x14ac:dyDescent="0.25">
      <c r="A3170" s="2" t="s">
        <v>3108</v>
      </c>
      <c r="B3170" s="2" t="s">
        <v>3109</v>
      </c>
      <c r="C3170" s="2">
        <v>2</v>
      </c>
      <c r="D3170" t="str">
        <f t="shared" si="49"/>
        <v>CA-2015-165624_OFF-PA-10002499</v>
      </c>
      <c r="E3170" t="str">
        <f>IF(COUNTIF(data2!$D:$D,D3170)=0,"Missing in Data2","Present")</f>
        <v>Present</v>
      </c>
    </row>
    <row r="3171" spans="1:5" x14ac:dyDescent="0.25">
      <c r="A3171" s="2" t="s">
        <v>3108</v>
      </c>
      <c r="B3171" s="2" t="s">
        <v>3013</v>
      </c>
      <c r="C3171" s="2">
        <v>5</v>
      </c>
      <c r="D3171" t="str">
        <f t="shared" si="49"/>
        <v>CA-2015-165624_OFF-PA-10003893</v>
      </c>
      <c r="E3171" t="str">
        <f>IF(COUNTIF(data2!$D:$D,D3171)=0,"Missing in Data2","Present")</f>
        <v>Present</v>
      </c>
    </row>
    <row r="3172" spans="1:5" x14ac:dyDescent="0.25">
      <c r="A3172" s="2" t="s">
        <v>3108</v>
      </c>
      <c r="B3172" s="2" t="s">
        <v>2609</v>
      </c>
      <c r="C3172" s="2">
        <v>9</v>
      </c>
      <c r="D3172" t="str">
        <f t="shared" si="49"/>
        <v>CA-2015-165624_TEC-AC-10004568</v>
      </c>
      <c r="E3172" t="str">
        <f>IF(COUNTIF(data2!$D:$D,D3172)=0,"Missing in Data2","Present")</f>
        <v>Present</v>
      </c>
    </row>
    <row r="3173" spans="1:5" x14ac:dyDescent="0.25">
      <c r="A3173" s="2" t="s">
        <v>3110</v>
      </c>
      <c r="B3173" s="2" t="s">
        <v>1375</v>
      </c>
      <c r="C3173" s="2">
        <v>1</v>
      </c>
      <c r="D3173" t="str">
        <f t="shared" si="49"/>
        <v>CA-2015-165799_FUR-CH-10001482</v>
      </c>
      <c r="E3173" t="str">
        <f>IF(COUNTIF(data2!$D:$D,D3173)=0,"Missing in Data2","Present")</f>
        <v>Present</v>
      </c>
    </row>
    <row r="3174" spans="1:5" x14ac:dyDescent="0.25">
      <c r="A3174" s="2" t="s">
        <v>3111</v>
      </c>
      <c r="B3174" s="2" t="s">
        <v>178</v>
      </c>
      <c r="C3174" s="2">
        <v>3</v>
      </c>
      <c r="D3174" t="str">
        <f t="shared" si="49"/>
        <v>CA-2015-165813_OFF-ST-10004258</v>
      </c>
      <c r="E3174" t="str">
        <f>IF(COUNTIF(data2!$D:$D,D3174)=0,"Missing in Data2","Present")</f>
        <v>Present</v>
      </c>
    </row>
    <row r="3175" spans="1:5" x14ac:dyDescent="0.25">
      <c r="A3175" s="2" t="s">
        <v>3112</v>
      </c>
      <c r="B3175" s="2" t="s">
        <v>1717</v>
      </c>
      <c r="C3175" s="2">
        <v>4</v>
      </c>
      <c r="D3175" t="str">
        <f t="shared" si="49"/>
        <v>CA-2015-166135_OFF-ST-10002974</v>
      </c>
      <c r="E3175" t="str">
        <f>IF(COUNTIF(data2!$D:$D,D3175)=0,"Missing in Data2","Present")</f>
        <v>Present</v>
      </c>
    </row>
    <row r="3176" spans="1:5" x14ac:dyDescent="0.25">
      <c r="A3176" s="2" t="s">
        <v>3113</v>
      </c>
      <c r="B3176" s="2" t="s">
        <v>37</v>
      </c>
      <c r="C3176" s="2">
        <v>1</v>
      </c>
      <c r="D3176" t="str">
        <f t="shared" si="49"/>
        <v>CA-2015-166219_FUR-TA-10004607</v>
      </c>
      <c r="E3176" t="str">
        <f>IF(COUNTIF(data2!$D:$D,D3176)=0,"Missing in Data2","Present")</f>
        <v>Present</v>
      </c>
    </row>
    <row r="3177" spans="1:5" x14ac:dyDescent="0.25">
      <c r="A3177" s="2" t="s">
        <v>3113</v>
      </c>
      <c r="B3177" s="2" t="s">
        <v>2074</v>
      </c>
      <c r="C3177" s="2">
        <v>5</v>
      </c>
      <c r="D3177" t="str">
        <f t="shared" si="49"/>
        <v>CA-2015-166219_TEC-PH-10004165</v>
      </c>
      <c r="E3177" t="str">
        <f>IF(COUNTIF(data2!$D:$D,D3177)=0,"Missing in Data2","Present")</f>
        <v>Present</v>
      </c>
    </row>
    <row r="3178" spans="1:5" x14ac:dyDescent="0.25">
      <c r="A3178" s="2" t="s">
        <v>3114</v>
      </c>
      <c r="B3178" s="2" t="s">
        <v>480</v>
      </c>
      <c r="C3178" s="2">
        <v>3</v>
      </c>
      <c r="D3178" t="str">
        <f t="shared" si="49"/>
        <v>CA-2015-166338_OFF-BI-10002852</v>
      </c>
      <c r="E3178" t="str">
        <f>IF(COUNTIF(data2!$D:$D,D3178)=0,"Missing in Data2","Present")</f>
        <v>Missing in Data2</v>
      </c>
    </row>
    <row r="3179" spans="1:5" x14ac:dyDescent="0.25">
      <c r="A3179" s="2" t="s">
        <v>3115</v>
      </c>
      <c r="B3179" s="2" t="s">
        <v>3116</v>
      </c>
      <c r="C3179" s="2">
        <v>4</v>
      </c>
      <c r="D3179" t="str">
        <f t="shared" si="49"/>
        <v>CA-2015-166464_OFF-LA-10001317</v>
      </c>
      <c r="E3179" t="str">
        <f>IF(COUNTIF(data2!$D:$D,D3179)=0,"Missing in Data2","Present")</f>
        <v>Present</v>
      </c>
    </row>
    <row r="3180" spans="1:5" x14ac:dyDescent="0.25">
      <c r="A3180" s="2" t="s">
        <v>3117</v>
      </c>
      <c r="B3180" s="2" t="s">
        <v>1644</v>
      </c>
      <c r="C3180" s="2">
        <v>4</v>
      </c>
      <c r="D3180" t="str">
        <f t="shared" si="49"/>
        <v>CA-2015-166492_OFF-PA-10002262</v>
      </c>
      <c r="E3180" t="str">
        <f>IF(COUNTIF(data2!$D:$D,D3180)=0,"Missing in Data2","Present")</f>
        <v>Present</v>
      </c>
    </row>
    <row r="3181" spans="1:5" x14ac:dyDescent="0.25">
      <c r="A3181" s="2" t="s">
        <v>3117</v>
      </c>
      <c r="B3181" s="2" t="s">
        <v>652</v>
      </c>
      <c r="C3181" s="2">
        <v>2</v>
      </c>
      <c r="D3181" t="str">
        <f t="shared" si="49"/>
        <v>CA-2015-166492_OFF-ST-10002214</v>
      </c>
      <c r="E3181" t="str">
        <f>IF(COUNTIF(data2!$D:$D,D3181)=0,"Missing in Data2","Present")</f>
        <v>Present</v>
      </c>
    </row>
    <row r="3182" spans="1:5" x14ac:dyDescent="0.25">
      <c r="A3182" s="2" t="s">
        <v>3118</v>
      </c>
      <c r="B3182" s="2" t="s">
        <v>2514</v>
      </c>
      <c r="C3182" s="2">
        <v>3</v>
      </c>
      <c r="D3182" t="str">
        <f t="shared" si="49"/>
        <v>CA-2015-166583_TEC-PH-10001578</v>
      </c>
      <c r="E3182" t="str">
        <f>IF(COUNTIF(data2!$D:$D,D3182)=0,"Missing in Data2","Present")</f>
        <v>Present</v>
      </c>
    </row>
    <row r="3183" spans="1:5" x14ac:dyDescent="0.25">
      <c r="A3183" s="2" t="s">
        <v>3119</v>
      </c>
      <c r="B3183" s="2" t="s">
        <v>2480</v>
      </c>
      <c r="C3183" s="2">
        <v>3</v>
      </c>
      <c r="D3183" t="str">
        <f t="shared" si="49"/>
        <v>CA-2015-166604_OFF-EN-10004147</v>
      </c>
      <c r="E3183" t="str">
        <f>IF(COUNTIF(data2!$D:$D,D3183)=0,"Missing in Data2","Present")</f>
        <v>Present</v>
      </c>
    </row>
    <row r="3184" spans="1:5" x14ac:dyDescent="0.25">
      <c r="A3184" s="2" t="s">
        <v>3120</v>
      </c>
      <c r="B3184" s="2" t="s">
        <v>1084</v>
      </c>
      <c r="C3184" s="2">
        <v>4</v>
      </c>
      <c r="D3184" t="str">
        <f t="shared" si="49"/>
        <v>CA-2015-166800_OFF-AP-10004868</v>
      </c>
      <c r="E3184" t="str">
        <f>IF(COUNTIF(data2!$D:$D,D3184)=0,"Missing in Data2","Present")</f>
        <v>Present</v>
      </c>
    </row>
    <row r="3185" spans="1:5" x14ac:dyDescent="0.25">
      <c r="A3185" s="2" t="s">
        <v>3121</v>
      </c>
      <c r="B3185" s="2" t="s">
        <v>680</v>
      </c>
      <c r="C3185" s="2">
        <v>9</v>
      </c>
      <c r="D3185" t="str">
        <f t="shared" si="49"/>
        <v>CA-2015-166947_FUR-CH-10004997</v>
      </c>
      <c r="E3185" t="str">
        <f>IF(COUNTIF(data2!$D:$D,D3185)=0,"Missing in Data2","Present")</f>
        <v>Present</v>
      </c>
    </row>
    <row r="3186" spans="1:5" x14ac:dyDescent="0.25">
      <c r="A3186" s="2" t="s">
        <v>3122</v>
      </c>
      <c r="B3186" s="2" t="s">
        <v>3123</v>
      </c>
      <c r="C3186" s="2">
        <v>11</v>
      </c>
      <c r="D3186" t="str">
        <f t="shared" si="49"/>
        <v>CA-2015-166975_FUR-FU-10003930</v>
      </c>
      <c r="E3186" t="str">
        <f>IF(COUNTIF(data2!$D:$D,D3186)=0,"Missing in Data2","Present")</f>
        <v>Present</v>
      </c>
    </row>
    <row r="3187" spans="1:5" x14ac:dyDescent="0.25">
      <c r="A3187" s="2" t="s">
        <v>3124</v>
      </c>
      <c r="B3187" s="2" t="s">
        <v>427</v>
      </c>
      <c r="C3187" s="2">
        <v>5</v>
      </c>
      <c r="D3187" t="str">
        <f t="shared" si="49"/>
        <v>CA-2015-167010_FUR-BO-10004218</v>
      </c>
      <c r="E3187" t="str">
        <f>IF(COUNTIF(data2!$D:$D,D3187)=0,"Missing in Data2","Present")</f>
        <v>Present</v>
      </c>
    </row>
    <row r="3188" spans="1:5" x14ac:dyDescent="0.25">
      <c r="A3188" s="2" t="s">
        <v>3124</v>
      </c>
      <c r="B3188" s="2" t="s">
        <v>3125</v>
      </c>
      <c r="C3188" s="2">
        <v>1</v>
      </c>
      <c r="D3188" t="str">
        <f t="shared" si="49"/>
        <v>CA-2015-167010_FUR-FU-10001037</v>
      </c>
      <c r="E3188" t="str">
        <f>IF(COUNTIF(data2!$D:$D,D3188)=0,"Missing in Data2","Present")</f>
        <v>Present</v>
      </c>
    </row>
    <row r="3189" spans="1:5" x14ac:dyDescent="0.25">
      <c r="A3189" s="2" t="s">
        <v>3124</v>
      </c>
      <c r="B3189" s="2" t="s">
        <v>494</v>
      </c>
      <c r="C3189" s="2">
        <v>4</v>
      </c>
      <c r="D3189" t="str">
        <f t="shared" si="49"/>
        <v>CA-2015-167010_FUR-FU-10001468</v>
      </c>
      <c r="E3189" t="str">
        <f>IF(COUNTIF(data2!$D:$D,D3189)=0,"Missing in Data2","Present")</f>
        <v>Present</v>
      </c>
    </row>
    <row r="3190" spans="1:5" x14ac:dyDescent="0.25">
      <c r="A3190" s="2" t="s">
        <v>3124</v>
      </c>
      <c r="B3190" s="2" t="s">
        <v>3126</v>
      </c>
      <c r="C3190" s="2">
        <v>4</v>
      </c>
      <c r="D3190" t="str">
        <f t="shared" si="49"/>
        <v>CA-2015-167010_OFF-BI-10002072</v>
      </c>
      <c r="E3190" t="str">
        <f>IF(COUNTIF(data2!$D:$D,D3190)=0,"Missing in Data2","Present")</f>
        <v>Present</v>
      </c>
    </row>
    <row r="3191" spans="1:5" x14ac:dyDescent="0.25">
      <c r="A3191" s="2" t="s">
        <v>3124</v>
      </c>
      <c r="B3191" s="2" t="s">
        <v>2294</v>
      </c>
      <c r="C3191" s="2">
        <v>4</v>
      </c>
      <c r="D3191" t="str">
        <f t="shared" si="49"/>
        <v>CA-2015-167010_OFF-ST-10003816</v>
      </c>
      <c r="E3191" t="str">
        <f>IF(COUNTIF(data2!$D:$D,D3191)=0,"Missing in Data2","Present")</f>
        <v>Present</v>
      </c>
    </row>
    <row r="3192" spans="1:5" x14ac:dyDescent="0.25">
      <c r="A3192" s="2" t="s">
        <v>3124</v>
      </c>
      <c r="B3192" s="2" t="s">
        <v>1918</v>
      </c>
      <c r="C3192" s="2">
        <v>5</v>
      </c>
      <c r="D3192" t="str">
        <f t="shared" si="49"/>
        <v>CA-2015-167010_TEC-PH-10000347</v>
      </c>
      <c r="E3192" t="str">
        <f>IF(COUNTIF(data2!$D:$D,D3192)=0,"Missing in Data2","Present")</f>
        <v>Present</v>
      </c>
    </row>
    <row r="3193" spans="1:5" x14ac:dyDescent="0.25">
      <c r="A3193" s="2" t="s">
        <v>3124</v>
      </c>
      <c r="B3193" s="2" t="s">
        <v>1937</v>
      </c>
      <c r="C3193" s="2">
        <v>2</v>
      </c>
      <c r="D3193" t="str">
        <f t="shared" si="49"/>
        <v>CA-2015-167010_TEC-PH-10002844</v>
      </c>
      <c r="E3193" t="str">
        <f>IF(COUNTIF(data2!$D:$D,D3193)=0,"Missing in Data2","Present")</f>
        <v>Present</v>
      </c>
    </row>
    <row r="3194" spans="1:5" x14ac:dyDescent="0.25">
      <c r="A3194" s="2" t="s">
        <v>3127</v>
      </c>
      <c r="B3194" s="2" t="s">
        <v>592</v>
      </c>
      <c r="C3194" s="2">
        <v>3</v>
      </c>
      <c r="D3194" t="str">
        <f t="shared" si="49"/>
        <v>CA-2015-167255_OFF-PA-10002377</v>
      </c>
      <c r="E3194" t="str">
        <f>IF(COUNTIF(data2!$D:$D,D3194)=0,"Missing in Data2","Present")</f>
        <v>Present</v>
      </c>
    </row>
    <row r="3195" spans="1:5" x14ac:dyDescent="0.25">
      <c r="A3195" s="2" t="s">
        <v>3127</v>
      </c>
      <c r="B3195" s="2" t="s">
        <v>1737</v>
      </c>
      <c r="C3195" s="2">
        <v>2</v>
      </c>
      <c r="D3195" t="str">
        <f t="shared" si="49"/>
        <v>CA-2015-167255_OFF-PA-10003441</v>
      </c>
      <c r="E3195" t="str">
        <f>IF(COUNTIF(data2!$D:$D,D3195)=0,"Missing in Data2","Present")</f>
        <v>Present</v>
      </c>
    </row>
    <row r="3196" spans="1:5" x14ac:dyDescent="0.25">
      <c r="A3196" s="2" t="s">
        <v>3127</v>
      </c>
      <c r="B3196" s="2" t="s">
        <v>2856</v>
      </c>
      <c r="C3196" s="2">
        <v>1</v>
      </c>
      <c r="D3196" t="str">
        <f t="shared" si="49"/>
        <v>CA-2015-167255_OFF-ST-10001328</v>
      </c>
      <c r="E3196" t="str">
        <f>IF(COUNTIF(data2!$D:$D,D3196)=0,"Missing in Data2","Present")</f>
        <v>Present</v>
      </c>
    </row>
    <row r="3197" spans="1:5" x14ac:dyDescent="0.25">
      <c r="A3197" s="2" t="s">
        <v>3128</v>
      </c>
      <c r="B3197" s="2" t="s">
        <v>808</v>
      </c>
      <c r="C3197" s="2">
        <v>2</v>
      </c>
      <c r="D3197" t="str">
        <f t="shared" si="49"/>
        <v>CA-2015-167269_OFF-EN-10003072</v>
      </c>
      <c r="E3197" t="str">
        <f>IF(COUNTIF(data2!$D:$D,D3197)=0,"Missing in Data2","Present")</f>
        <v>Present</v>
      </c>
    </row>
    <row r="3198" spans="1:5" x14ac:dyDescent="0.25">
      <c r="A3198" s="2" t="s">
        <v>3129</v>
      </c>
      <c r="B3198" s="2" t="s">
        <v>2363</v>
      </c>
      <c r="C3198" s="2">
        <v>6</v>
      </c>
      <c r="D3198" t="str">
        <f t="shared" si="49"/>
        <v>CA-2015-167374_OFF-PA-10001950</v>
      </c>
      <c r="E3198" t="str">
        <f>IF(COUNTIF(data2!$D:$D,D3198)=0,"Missing in Data2","Present")</f>
        <v>Present</v>
      </c>
    </row>
    <row r="3199" spans="1:5" x14ac:dyDescent="0.25">
      <c r="A3199" s="2" t="s">
        <v>3129</v>
      </c>
      <c r="B3199" s="2" t="s">
        <v>1007</v>
      </c>
      <c r="C3199" s="2">
        <v>3</v>
      </c>
      <c r="D3199" t="str">
        <f t="shared" si="49"/>
        <v>CA-2015-167374_TEC-AC-10004633</v>
      </c>
      <c r="E3199" t="str">
        <f>IF(COUNTIF(data2!$D:$D,D3199)=0,"Missing in Data2","Present")</f>
        <v>Missing in Data2</v>
      </c>
    </row>
    <row r="3200" spans="1:5" x14ac:dyDescent="0.25">
      <c r="A3200" s="2" t="s">
        <v>3130</v>
      </c>
      <c r="B3200" s="2" t="s">
        <v>1359</v>
      </c>
      <c r="C3200" s="2">
        <v>3</v>
      </c>
      <c r="D3200" t="str">
        <f t="shared" si="49"/>
        <v>CA-2015-167479_OFF-PA-10002105</v>
      </c>
      <c r="E3200" t="str">
        <f>IF(COUNTIF(data2!$D:$D,D3200)=0,"Missing in Data2","Present")</f>
        <v>Present</v>
      </c>
    </row>
    <row r="3201" spans="1:5" x14ac:dyDescent="0.25">
      <c r="A3201" s="2" t="s">
        <v>3131</v>
      </c>
      <c r="B3201" s="2" t="s">
        <v>1493</v>
      </c>
      <c r="C3201" s="2">
        <v>4</v>
      </c>
      <c r="D3201" t="str">
        <f t="shared" si="49"/>
        <v>CA-2015-167696_OFF-EN-10001539</v>
      </c>
      <c r="E3201" t="str">
        <f>IF(COUNTIF(data2!$D:$D,D3201)=0,"Missing in Data2","Present")</f>
        <v>Present</v>
      </c>
    </row>
    <row r="3202" spans="1:5" x14ac:dyDescent="0.25">
      <c r="A3202" s="2" t="s">
        <v>3132</v>
      </c>
      <c r="B3202" s="2" t="s">
        <v>124</v>
      </c>
      <c r="C3202" s="2">
        <v>2</v>
      </c>
      <c r="D3202" t="str">
        <f t="shared" si="49"/>
        <v>CA-2015-167745_FUR-FU-10001591</v>
      </c>
      <c r="E3202" t="str">
        <f>IF(COUNTIF(data2!$D:$D,D3202)=0,"Missing in Data2","Present")</f>
        <v>Present</v>
      </c>
    </row>
    <row r="3203" spans="1:5" x14ac:dyDescent="0.25">
      <c r="A3203" s="2" t="s">
        <v>3132</v>
      </c>
      <c r="B3203" s="2" t="s">
        <v>2303</v>
      </c>
      <c r="C3203" s="2">
        <v>2</v>
      </c>
      <c r="D3203" t="str">
        <f t="shared" ref="D3203:D3266" si="50">A3203&amp;"_"&amp;B3203</f>
        <v>CA-2015-167745_OFF-AR-10003602</v>
      </c>
      <c r="E3203" t="str">
        <f>IF(COUNTIF(data2!$D:$D,D3203)=0,"Missing in Data2","Present")</f>
        <v>Present</v>
      </c>
    </row>
    <row r="3204" spans="1:5" x14ac:dyDescent="0.25">
      <c r="A3204" s="2" t="s">
        <v>3132</v>
      </c>
      <c r="B3204" s="2" t="s">
        <v>3133</v>
      </c>
      <c r="C3204" s="2">
        <v>2</v>
      </c>
      <c r="D3204" t="str">
        <f t="shared" si="50"/>
        <v>CA-2015-167745_OFF-SU-10004782</v>
      </c>
      <c r="E3204" t="str">
        <f>IF(COUNTIF(data2!$D:$D,D3204)=0,"Missing in Data2","Present")</f>
        <v>Present</v>
      </c>
    </row>
    <row r="3205" spans="1:5" x14ac:dyDescent="0.25">
      <c r="A3205" s="2" t="s">
        <v>3134</v>
      </c>
      <c r="B3205" s="2" t="s">
        <v>1375</v>
      </c>
      <c r="C3205" s="2">
        <v>3</v>
      </c>
      <c r="D3205" t="str">
        <f t="shared" si="50"/>
        <v>CA-2015-168004_FUR-CH-10001482</v>
      </c>
      <c r="E3205" t="str">
        <f>IF(COUNTIF(data2!$D:$D,D3205)=0,"Missing in Data2","Present")</f>
        <v>Present</v>
      </c>
    </row>
    <row r="3206" spans="1:5" x14ac:dyDescent="0.25">
      <c r="A3206" s="2" t="s">
        <v>3135</v>
      </c>
      <c r="B3206" s="2" t="s">
        <v>427</v>
      </c>
      <c r="C3206" s="2">
        <v>4</v>
      </c>
      <c r="D3206" t="str">
        <f t="shared" si="50"/>
        <v>CA-2015-168088_FUR-BO-10004218</v>
      </c>
      <c r="E3206" t="str">
        <f>IF(COUNTIF(data2!$D:$D,D3206)=0,"Missing in Data2","Present")</f>
        <v>Present</v>
      </c>
    </row>
    <row r="3207" spans="1:5" x14ac:dyDescent="0.25">
      <c r="A3207" s="2" t="s">
        <v>3135</v>
      </c>
      <c r="B3207" s="2" t="s">
        <v>1670</v>
      </c>
      <c r="C3207" s="2">
        <v>2</v>
      </c>
      <c r="D3207" t="str">
        <f t="shared" si="50"/>
        <v>CA-2015-168088_OFF-PA-10000675</v>
      </c>
      <c r="E3207" t="str">
        <f>IF(COUNTIF(data2!$D:$D,D3207)=0,"Missing in Data2","Present")</f>
        <v>Present</v>
      </c>
    </row>
    <row r="3208" spans="1:5" x14ac:dyDescent="0.25">
      <c r="A3208" s="2" t="s">
        <v>3136</v>
      </c>
      <c r="B3208" s="2" t="s">
        <v>250</v>
      </c>
      <c r="C3208" s="2">
        <v>3</v>
      </c>
      <c r="D3208" t="str">
        <f t="shared" si="50"/>
        <v>CA-2015-168186_OFF-PA-10000477</v>
      </c>
      <c r="E3208" t="str">
        <f>IF(COUNTIF(data2!$D:$D,D3208)=0,"Missing in Data2","Present")</f>
        <v>Present</v>
      </c>
    </row>
    <row r="3209" spans="1:5" x14ac:dyDescent="0.25">
      <c r="A3209" s="2" t="s">
        <v>3137</v>
      </c>
      <c r="B3209" s="2" t="s">
        <v>1958</v>
      </c>
      <c r="C3209" s="2">
        <v>3</v>
      </c>
      <c r="D3209" t="str">
        <f t="shared" si="50"/>
        <v>CA-2015-168207_FUR-BO-10004357</v>
      </c>
      <c r="E3209" t="str">
        <f>IF(COUNTIF(data2!$D:$D,D3209)=0,"Missing in Data2","Present")</f>
        <v>Present</v>
      </c>
    </row>
    <row r="3210" spans="1:5" x14ac:dyDescent="0.25">
      <c r="A3210" s="2" t="s">
        <v>3137</v>
      </c>
      <c r="B3210" s="2" t="s">
        <v>3138</v>
      </c>
      <c r="C3210" s="2">
        <v>6</v>
      </c>
      <c r="D3210" t="str">
        <f t="shared" si="50"/>
        <v>CA-2015-168207_FUR-FU-10004909</v>
      </c>
      <c r="E3210" t="str">
        <f>IF(COUNTIF(data2!$D:$D,D3210)=0,"Missing in Data2","Present")</f>
        <v>Present</v>
      </c>
    </row>
    <row r="3211" spans="1:5" x14ac:dyDescent="0.25">
      <c r="A3211" s="2" t="s">
        <v>3137</v>
      </c>
      <c r="B3211" s="2" t="s">
        <v>1815</v>
      </c>
      <c r="C3211" s="2">
        <v>7</v>
      </c>
      <c r="D3211" t="str">
        <f t="shared" si="50"/>
        <v>CA-2015-168207_OFF-BI-10001524</v>
      </c>
      <c r="E3211" t="str">
        <f>IF(COUNTIF(data2!$D:$D,D3211)=0,"Missing in Data2","Present")</f>
        <v>Present</v>
      </c>
    </row>
    <row r="3212" spans="1:5" x14ac:dyDescent="0.25">
      <c r="A3212" s="2" t="s">
        <v>3137</v>
      </c>
      <c r="B3212" s="2" t="s">
        <v>1478</v>
      </c>
      <c r="C3212" s="2">
        <v>3</v>
      </c>
      <c r="D3212" t="str">
        <f t="shared" si="50"/>
        <v>CA-2015-168207_OFF-BI-10003355</v>
      </c>
      <c r="E3212" t="str">
        <f>IF(COUNTIF(data2!$D:$D,D3212)=0,"Missing in Data2","Present")</f>
        <v>Present</v>
      </c>
    </row>
    <row r="3213" spans="1:5" x14ac:dyDescent="0.25">
      <c r="A3213" s="2" t="s">
        <v>3139</v>
      </c>
      <c r="B3213" s="2" t="s">
        <v>1711</v>
      </c>
      <c r="C3213" s="2">
        <v>3</v>
      </c>
      <c r="D3213" t="str">
        <f t="shared" si="50"/>
        <v>CA-2015-168277_OFF-LA-10004484</v>
      </c>
      <c r="E3213" t="str">
        <f>IF(COUNTIF(data2!$D:$D,D3213)=0,"Missing in Data2","Present")</f>
        <v>Present</v>
      </c>
    </row>
    <row r="3214" spans="1:5" x14ac:dyDescent="0.25">
      <c r="A3214" s="2" t="s">
        <v>3140</v>
      </c>
      <c r="B3214" s="2" t="s">
        <v>688</v>
      </c>
      <c r="C3214" s="2">
        <v>2</v>
      </c>
      <c r="D3214" t="str">
        <f t="shared" si="50"/>
        <v>CA-2015-168459_OFF-BI-10003712</v>
      </c>
      <c r="E3214" t="str">
        <f>IF(COUNTIF(data2!$D:$D,D3214)=0,"Missing in Data2","Present")</f>
        <v>Present</v>
      </c>
    </row>
    <row r="3215" spans="1:5" x14ac:dyDescent="0.25">
      <c r="A3215" s="2" t="s">
        <v>3140</v>
      </c>
      <c r="B3215" s="2" t="s">
        <v>417</v>
      </c>
      <c r="C3215" s="2">
        <v>6</v>
      </c>
      <c r="D3215" t="str">
        <f t="shared" si="50"/>
        <v>CA-2015-168459_OFF-FA-10004854</v>
      </c>
      <c r="E3215" t="str">
        <f>IF(COUNTIF(data2!$D:$D,D3215)=0,"Missing in Data2","Present")</f>
        <v>Present</v>
      </c>
    </row>
    <row r="3216" spans="1:5" x14ac:dyDescent="0.25">
      <c r="A3216" s="2" t="s">
        <v>3141</v>
      </c>
      <c r="B3216" s="2" t="s">
        <v>1559</v>
      </c>
      <c r="C3216" s="2">
        <v>4</v>
      </c>
      <c r="D3216" t="str">
        <f t="shared" si="50"/>
        <v>CA-2015-168480_FUR-BO-10000468</v>
      </c>
      <c r="E3216" t="str">
        <f>IF(COUNTIF(data2!$D:$D,D3216)=0,"Missing in Data2","Present")</f>
        <v>Present</v>
      </c>
    </row>
    <row r="3217" spans="1:5" x14ac:dyDescent="0.25">
      <c r="A3217" s="2" t="s">
        <v>3141</v>
      </c>
      <c r="B3217" s="2" t="s">
        <v>1693</v>
      </c>
      <c r="C3217" s="2">
        <v>1</v>
      </c>
      <c r="D3217" t="str">
        <f t="shared" si="50"/>
        <v>CA-2015-168480_OFF-AR-10001044</v>
      </c>
      <c r="E3217" t="str">
        <f>IF(COUNTIF(data2!$D:$D,D3217)=0,"Missing in Data2","Present")</f>
        <v>Present</v>
      </c>
    </row>
    <row r="3218" spans="1:5" x14ac:dyDescent="0.25">
      <c r="A3218" s="2" t="s">
        <v>3142</v>
      </c>
      <c r="B3218" s="2" t="s">
        <v>678</v>
      </c>
      <c r="C3218" s="2">
        <v>5</v>
      </c>
      <c r="D3218" t="str">
        <f t="shared" si="50"/>
        <v>CA-2015-168529_FUR-FU-10001588</v>
      </c>
      <c r="E3218" t="str">
        <f>IF(COUNTIF(data2!$D:$D,D3218)=0,"Missing in Data2","Present")</f>
        <v>Present</v>
      </c>
    </row>
    <row r="3219" spans="1:5" x14ac:dyDescent="0.25">
      <c r="A3219" s="2" t="s">
        <v>3143</v>
      </c>
      <c r="B3219" s="2" t="s">
        <v>2213</v>
      </c>
      <c r="C3219" s="2">
        <v>1</v>
      </c>
      <c r="D3219" t="str">
        <f t="shared" si="50"/>
        <v>CA-2015-168564_FUR-CH-10000785</v>
      </c>
      <c r="E3219" t="str">
        <f>IF(COUNTIF(data2!$D:$D,D3219)=0,"Missing in Data2","Present")</f>
        <v>Present</v>
      </c>
    </row>
    <row r="3220" spans="1:5" x14ac:dyDescent="0.25">
      <c r="A3220" s="2" t="s">
        <v>3143</v>
      </c>
      <c r="B3220" s="2" t="s">
        <v>1825</v>
      </c>
      <c r="C3220" s="2">
        <v>2</v>
      </c>
      <c r="D3220" t="str">
        <f t="shared" si="50"/>
        <v>CA-2015-168564_OFF-BI-10002557</v>
      </c>
      <c r="E3220" t="str">
        <f>IF(COUNTIF(data2!$D:$D,D3220)=0,"Missing in Data2","Present")</f>
        <v>Present</v>
      </c>
    </row>
    <row r="3221" spans="1:5" x14ac:dyDescent="0.25">
      <c r="A3221" s="2" t="s">
        <v>3143</v>
      </c>
      <c r="B3221" s="2" t="s">
        <v>651</v>
      </c>
      <c r="C3221" s="2">
        <v>2</v>
      </c>
      <c r="D3221" t="str">
        <f t="shared" si="50"/>
        <v>CA-2015-168564_OFF-BI-10004970</v>
      </c>
      <c r="E3221" t="str">
        <f>IF(COUNTIF(data2!$D:$D,D3221)=0,"Missing in Data2","Present")</f>
        <v>Present</v>
      </c>
    </row>
    <row r="3222" spans="1:5" x14ac:dyDescent="0.25">
      <c r="A3222" s="2" t="s">
        <v>3144</v>
      </c>
      <c r="B3222" s="2" t="s">
        <v>1453</v>
      </c>
      <c r="C3222" s="2">
        <v>2</v>
      </c>
      <c r="D3222" t="str">
        <f t="shared" si="50"/>
        <v>CA-2015-168634_OFF-AP-10001626</v>
      </c>
      <c r="E3222" t="str">
        <f>IF(COUNTIF(data2!$D:$D,D3222)=0,"Missing in Data2","Present")</f>
        <v>Present</v>
      </c>
    </row>
    <row r="3223" spans="1:5" x14ac:dyDescent="0.25">
      <c r="A3223" s="2" t="s">
        <v>3145</v>
      </c>
      <c r="B3223" s="2" t="s">
        <v>665</v>
      </c>
      <c r="C3223" s="2">
        <v>2</v>
      </c>
      <c r="D3223" t="str">
        <f t="shared" si="50"/>
        <v>CA-2015-168746_FUR-CH-10000513</v>
      </c>
      <c r="E3223" t="str">
        <f>IF(COUNTIF(data2!$D:$D,D3223)=0,"Missing in Data2","Present")</f>
        <v>Present</v>
      </c>
    </row>
    <row r="3224" spans="1:5" x14ac:dyDescent="0.25">
      <c r="A3224" s="2" t="s">
        <v>3145</v>
      </c>
      <c r="B3224" s="2" t="s">
        <v>148</v>
      </c>
      <c r="C3224" s="2">
        <v>4</v>
      </c>
      <c r="D3224" t="str">
        <f t="shared" si="50"/>
        <v>CA-2015-168746_TEC-PH-10000895</v>
      </c>
      <c r="E3224" t="str">
        <f>IF(COUNTIF(data2!$D:$D,D3224)=0,"Missing in Data2","Present")</f>
        <v>Present</v>
      </c>
    </row>
    <row r="3225" spans="1:5" x14ac:dyDescent="0.25">
      <c r="A3225" s="2" t="s">
        <v>3145</v>
      </c>
      <c r="B3225" s="2" t="s">
        <v>3146</v>
      </c>
      <c r="C3225" s="2">
        <v>1</v>
      </c>
      <c r="D3225" t="str">
        <f t="shared" si="50"/>
        <v>CA-2015-168746_TEC-PH-10002555</v>
      </c>
      <c r="E3225" t="str">
        <f>IF(COUNTIF(data2!$D:$D,D3225)=0,"Missing in Data2","Present")</f>
        <v>Present</v>
      </c>
    </row>
    <row r="3226" spans="1:5" x14ac:dyDescent="0.25">
      <c r="A3226" s="2" t="s">
        <v>3147</v>
      </c>
      <c r="B3226" s="2" t="s">
        <v>3148</v>
      </c>
      <c r="C3226" s="2">
        <v>3</v>
      </c>
      <c r="D3226" t="str">
        <f t="shared" si="50"/>
        <v>CA-2015-168760_OFF-AP-10004532</v>
      </c>
      <c r="E3226" t="str">
        <f>IF(COUNTIF(data2!$D:$D,D3226)=0,"Missing in Data2","Present")</f>
        <v>Present</v>
      </c>
    </row>
    <row r="3227" spans="1:5" x14ac:dyDescent="0.25">
      <c r="A3227" s="2" t="s">
        <v>3149</v>
      </c>
      <c r="B3227" s="2" t="s">
        <v>1412</v>
      </c>
      <c r="C3227" s="2">
        <v>2</v>
      </c>
      <c r="D3227" t="str">
        <f t="shared" si="50"/>
        <v>CA-2015-168767_OFF-BI-10000773</v>
      </c>
      <c r="E3227" t="str">
        <f>IF(COUNTIF(data2!$D:$D,D3227)=0,"Missing in Data2","Present")</f>
        <v>Present</v>
      </c>
    </row>
    <row r="3228" spans="1:5" x14ac:dyDescent="0.25">
      <c r="A3228" s="2" t="s">
        <v>3150</v>
      </c>
      <c r="B3228" s="2" t="s">
        <v>1529</v>
      </c>
      <c r="C3228" s="2">
        <v>2</v>
      </c>
      <c r="D3228" t="str">
        <f t="shared" si="50"/>
        <v>CA-2015-168809_FUR-FU-10001473</v>
      </c>
      <c r="E3228" t="str">
        <f>IF(COUNTIF(data2!$D:$D,D3228)=0,"Missing in Data2","Present")</f>
        <v>Present</v>
      </c>
    </row>
    <row r="3229" spans="1:5" x14ac:dyDescent="0.25">
      <c r="A3229" s="2" t="s">
        <v>3150</v>
      </c>
      <c r="B3229" s="2" t="s">
        <v>2171</v>
      </c>
      <c r="C3229" s="2">
        <v>5</v>
      </c>
      <c r="D3229" t="str">
        <f t="shared" si="50"/>
        <v>CA-2015-168809_FUR-FU-10002240</v>
      </c>
      <c r="E3229" t="str">
        <f>IF(COUNTIF(data2!$D:$D,D3229)=0,"Missing in Data2","Present")</f>
        <v>Present</v>
      </c>
    </row>
    <row r="3230" spans="1:5" x14ac:dyDescent="0.25">
      <c r="A3230" s="2" t="s">
        <v>3150</v>
      </c>
      <c r="B3230" s="2" t="s">
        <v>1386</v>
      </c>
      <c r="C3230" s="2">
        <v>1</v>
      </c>
      <c r="D3230" t="str">
        <f t="shared" si="50"/>
        <v>CA-2015-168809_OFF-BI-10000315</v>
      </c>
      <c r="E3230" t="str">
        <f>IF(COUNTIF(data2!$D:$D,D3230)=0,"Missing in Data2","Present")</f>
        <v>Present</v>
      </c>
    </row>
    <row r="3231" spans="1:5" x14ac:dyDescent="0.25">
      <c r="A3231" s="2" t="s">
        <v>3151</v>
      </c>
      <c r="B3231" s="2" t="s">
        <v>1221</v>
      </c>
      <c r="C3231" s="2">
        <v>3</v>
      </c>
      <c r="D3231" t="str">
        <f t="shared" si="50"/>
        <v>CA-2015-169201_OFF-AP-10000696</v>
      </c>
      <c r="E3231" t="str">
        <f>IF(COUNTIF(data2!$D:$D,D3231)=0,"Missing in Data2","Present")</f>
        <v>Present</v>
      </c>
    </row>
    <row r="3232" spans="1:5" x14ac:dyDescent="0.25">
      <c r="A3232" s="2" t="s">
        <v>3151</v>
      </c>
      <c r="B3232" s="2" t="s">
        <v>3152</v>
      </c>
      <c r="C3232" s="2">
        <v>2</v>
      </c>
      <c r="D3232" t="str">
        <f t="shared" si="50"/>
        <v>CA-2015-169201_OFF-AP-10002082</v>
      </c>
      <c r="E3232" t="str">
        <f>IF(COUNTIF(data2!$D:$D,D3232)=0,"Missing in Data2","Present")</f>
        <v>Present</v>
      </c>
    </row>
    <row r="3233" spans="1:5" x14ac:dyDescent="0.25">
      <c r="A3233" s="2" t="s">
        <v>3153</v>
      </c>
      <c r="B3233" s="2" t="s">
        <v>951</v>
      </c>
      <c r="C3233" s="2">
        <v>4</v>
      </c>
      <c r="D3233" t="str">
        <f t="shared" si="50"/>
        <v>CA-2015-169278_OFF-BI-10001636</v>
      </c>
      <c r="E3233" t="str">
        <f>IF(COUNTIF(data2!$D:$D,D3233)=0,"Missing in Data2","Present")</f>
        <v>Present</v>
      </c>
    </row>
    <row r="3234" spans="1:5" x14ac:dyDescent="0.25">
      <c r="A3234" s="2" t="s">
        <v>3154</v>
      </c>
      <c r="B3234" s="2" t="s">
        <v>882</v>
      </c>
      <c r="C3234" s="2">
        <v>3</v>
      </c>
      <c r="D3234" t="str">
        <f t="shared" si="50"/>
        <v>CA-2015-169299_OFF-AR-10002053</v>
      </c>
      <c r="E3234" t="str">
        <f>IF(COUNTIF(data2!$D:$D,D3234)=0,"Missing in Data2","Present")</f>
        <v>Present</v>
      </c>
    </row>
    <row r="3235" spans="1:5" x14ac:dyDescent="0.25">
      <c r="A3235" s="2" t="s">
        <v>3155</v>
      </c>
      <c r="B3235" s="2" t="s">
        <v>1899</v>
      </c>
      <c r="C3235" s="2">
        <v>4</v>
      </c>
      <c r="D3235" t="str">
        <f t="shared" si="50"/>
        <v>CA-2015-169397_FUR-FU-10000087</v>
      </c>
      <c r="E3235" t="str">
        <f>IF(COUNTIF(data2!$D:$D,D3235)=0,"Missing in Data2","Present")</f>
        <v>Present</v>
      </c>
    </row>
    <row r="3236" spans="1:5" x14ac:dyDescent="0.25">
      <c r="A3236" s="2" t="s">
        <v>3155</v>
      </c>
      <c r="B3236" s="2" t="s">
        <v>3156</v>
      </c>
      <c r="C3236" s="2">
        <v>2</v>
      </c>
      <c r="D3236" t="str">
        <f t="shared" si="50"/>
        <v>CA-2015-169397_OFF-AR-10001958</v>
      </c>
      <c r="E3236" t="str">
        <f>IF(COUNTIF(data2!$D:$D,D3236)=0,"Missing in Data2","Present")</f>
        <v>Present</v>
      </c>
    </row>
    <row r="3237" spans="1:5" x14ac:dyDescent="0.25">
      <c r="A3237" s="2" t="s">
        <v>3155</v>
      </c>
      <c r="B3237" s="2" t="s">
        <v>480</v>
      </c>
      <c r="C3237" s="2">
        <v>4</v>
      </c>
      <c r="D3237" t="str">
        <f t="shared" si="50"/>
        <v>CA-2015-169397_OFF-BI-10002852</v>
      </c>
      <c r="E3237" t="str">
        <f>IF(COUNTIF(data2!$D:$D,D3237)=0,"Missing in Data2","Present")</f>
        <v>Missing in Data2</v>
      </c>
    </row>
    <row r="3238" spans="1:5" x14ac:dyDescent="0.25">
      <c r="A3238" s="2" t="s">
        <v>3155</v>
      </c>
      <c r="B3238" s="2" t="s">
        <v>685</v>
      </c>
      <c r="C3238" s="2">
        <v>2</v>
      </c>
      <c r="D3238" t="str">
        <f t="shared" si="50"/>
        <v>CA-2015-169397_OFF-FA-10000585</v>
      </c>
      <c r="E3238" t="str">
        <f>IF(COUNTIF(data2!$D:$D,D3238)=0,"Missing in Data2","Present")</f>
        <v>Present</v>
      </c>
    </row>
    <row r="3239" spans="1:5" x14ac:dyDescent="0.25">
      <c r="A3239" s="2" t="s">
        <v>3155</v>
      </c>
      <c r="B3239" s="2" t="s">
        <v>1811</v>
      </c>
      <c r="C3239" s="2">
        <v>6</v>
      </c>
      <c r="D3239" t="str">
        <f t="shared" si="50"/>
        <v>CA-2015-169397_OFF-PA-10004000</v>
      </c>
      <c r="E3239" t="str">
        <f>IF(COUNTIF(data2!$D:$D,D3239)=0,"Missing in Data2","Present")</f>
        <v>Present</v>
      </c>
    </row>
    <row r="3240" spans="1:5" x14ac:dyDescent="0.25">
      <c r="A3240" s="2" t="s">
        <v>3155</v>
      </c>
      <c r="B3240" s="2" t="s">
        <v>3157</v>
      </c>
      <c r="C3240" s="2">
        <v>4</v>
      </c>
      <c r="D3240" t="str">
        <f t="shared" si="50"/>
        <v>CA-2015-169397_TEC-MA-10001148</v>
      </c>
      <c r="E3240" t="str">
        <f>IF(COUNTIF(data2!$D:$D,D3240)=0,"Missing in Data2","Present")</f>
        <v>Present</v>
      </c>
    </row>
    <row r="3241" spans="1:5" x14ac:dyDescent="0.25">
      <c r="A3241" s="2" t="s">
        <v>3158</v>
      </c>
      <c r="B3241" s="2" t="s">
        <v>27</v>
      </c>
      <c r="C3241" s="2">
        <v>2</v>
      </c>
      <c r="D3241" t="str">
        <f t="shared" si="50"/>
        <v>CA-2015-169537_OFF-LA-10001982</v>
      </c>
      <c r="E3241" t="str">
        <f>IF(COUNTIF(data2!$D:$D,D3241)=0,"Missing in Data2","Present")</f>
        <v>Present</v>
      </c>
    </row>
    <row r="3242" spans="1:5" x14ac:dyDescent="0.25">
      <c r="A3242" s="2" t="s">
        <v>3159</v>
      </c>
      <c r="B3242" s="2" t="s">
        <v>256</v>
      </c>
      <c r="C3242" s="2">
        <v>9</v>
      </c>
      <c r="D3242" t="str">
        <f t="shared" si="50"/>
        <v>CA-2015-169572_OFF-BI-10002799</v>
      </c>
      <c r="E3242" t="str">
        <f>IF(COUNTIF(data2!$D:$D,D3242)=0,"Missing in Data2","Present")</f>
        <v>Present</v>
      </c>
    </row>
    <row r="3243" spans="1:5" x14ac:dyDescent="0.25">
      <c r="A3243" s="2" t="s">
        <v>3160</v>
      </c>
      <c r="B3243" s="2" t="s">
        <v>2294</v>
      </c>
      <c r="C3243" s="2">
        <v>3</v>
      </c>
      <c r="D3243" t="str">
        <f t="shared" si="50"/>
        <v>CA-2015-169656_OFF-ST-10003816</v>
      </c>
      <c r="E3243" t="str">
        <f>IF(COUNTIF(data2!$D:$D,D3243)=0,"Missing in Data2","Present")</f>
        <v>Present</v>
      </c>
    </row>
    <row r="3244" spans="1:5" x14ac:dyDescent="0.25">
      <c r="A3244" s="2" t="s">
        <v>3161</v>
      </c>
      <c r="B3244" s="2" t="s">
        <v>443</v>
      </c>
      <c r="C3244" s="2">
        <v>2</v>
      </c>
      <c r="D3244" t="str">
        <f t="shared" si="50"/>
        <v>CA-2015-169677_OFF-LA-10003223</v>
      </c>
      <c r="E3244" t="str">
        <f>IF(COUNTIF(data2!$D:$D,D3244)=0,"Missing in Data2","Present")</f>
        <v>Present</v>
      </c>
    </row>
    <row r="3245" spans="1:5" x14ac:dyDescent="0.25">
      <c r="A3245" s="2" t="s">
        <v>3162</v>
      </c>
      <c r="B3245" s="2" t="s">
        <v>381</v>
      </c>
      <c r="C3245" s="2">
        <v>1</v>
      </c>
      <c r="D3245" t="str">
        <f t="shared" si="50"/>
        <v>CA-2015-169733_OFF-ST-10000876</v>
      </c>
      <c r="E3245" t="str">
        <f>IF(COUNTIF(data2!$D:$D,D3245)=0,"Missing in Data2","Present")</f>
        <v>Present</v>
      </c>
    </row>
    <row r="3246" spans="1:5" x14ac:dyDescent="0.25">
      <c r="A3246" s="2" t="s">
        <v>3163</v>
      </c>
      <c r="B3246" s="2" t="s">
        <v>3164</v>
      </c>
      <c r="C3246" s="2">
        <v>1</v>
      </c>
      <c r="D3246" t="str">
        <f t="shared" si="50"/>
        <v>CA-2015-169740_TEC-AC-10000927</v>
      </c>
      <c r="E3246" t="str">
        <f>IF(COUNTIF(data2!$D:$D,D3246)=0,"Missing in Data2","Present")</f>
        <v>Present</v>
      </c>
    </row>
    <row r="3247" spans="1:5" x14ac:dyDescent="0.25">
      <c r="A3247" s="2" t="s">
        <v>3165</v>
      </c>
      <c r="B3247" s="2" t="s">
        <v>487</v>
      </c>
      <c r="C3247" s="2">
        <v>3</v>
      </c>
      <c r="D3247" t="str">
        <f t="shared" si="50"/>
        <v>CA-2015-169796_OFF-ST-10001505</v>
      </c>
      <c r="E3247" t="str">
        <f>IF(COUNTIF(data2!$D:$D,D3247)=0,"Missing in Data2","Present")</f>
        <v>Missing in Data2</v>
      </c>
    </row>
    <row r="3248" spans="1:5" x14ac:dyDescent="0.25">
      <c r="A3248" s="2" t="s">
        <v>3166</v>
      </c>
      <c r="B3248" s="2" t="s">
        <v>9</v>
      </c>
      <c r="C3248" s="2">
        <v>1</v>
      </c>
      <c r="D3248" t="str">
        <f t="shared" si="50"/>
        <v>CA-2016-100041_OFF-BI-10000343</v>
      </c>
      <c r="E3248" t="str">
        <f>IF(COUNTIF(data2!$D:$D,D3248)=0,"Missing in Data2","Present")</f>
        <v>Present</v>
      </c>
    </row>
    <row r="3249" spans="1:5" x14ac:dyDescent="0.25">
      <c r="A3249" s="2" t="s">
        <v>3166</v>
      </c>
      <c r="B3249" s="2" t="s">
        <v>1243</v>
      </c>
      <c r="C3249" s="2">
        <v>3</v>
      </c>
      <c r="D3249" t="str">
        <f t="shared" si="50"/>
        <v>CA-2016-100041_OFF-PA-10000418</v>
      </c>
      <c r="E3249" t="str">
        <f>IF(COUNTIF(data2!$D:$D,D3249)=0,"Missing in Data2","Present")</f>
        <v>Present</v>
      </c>
    </row>
    <row r="3250" spans="1:5" x14ac:dyDescent="0.25">
      <c r="A3250" s="2" t="s">
        <v>3166</v>
      </c>
      <c r="B3250" s="2" t="s">
        <v>144</v>
      </c>
      <c r="C3250" s="2">
        <v>2</v>
      </c>
      <c r="D3250" t="str">
        <f t="shared" si="50"/>
        <v>CA-2016-100041_OFF-PA-10001622</v>
      </c>
      <c r="E3250" t="str">
        <f>IF(COUNTIF(data2!$D:$D,D3250)=0,"Missing in Data2","Present")</f>
        <v>Present</v>
      </c>
    </row>
    <row r="3251" spans="1:5" x14ac:dyDescent="0.25">
      <c r="A3251" s="2" t="s">
        <v>3167</v>
      </c>
      <c r="B3251" s="2" t="s">
        <v>3168</v>
      </c>
      <c r="C3251" s="2">
        <v>1</v>
      </c>
      <c r="D3251" t="str">
        <f t="shared" si="50"/>
        <v>CA-2016-100083_OFF-PA-10000241</v>
      </c>
      <c r="E3251" t="str">
        <f>IF(COUNTIF(data2!$D:$D,D3251)=0,"Missing in Data2","Present")</f>
        <v>Present</v>
      </c>
    </row>
    <row r="3252" spans="1:5" x14ac:dyDescent="0.25">
      <c r="A3252" s="2" t="s">
        <v>3169</v>
      </c>
      <c r="B3252" s="2" t="s">
        <v>1779</v>
      </c>
      <c r="C3252" s="2">
        <v>4</v>
      </c>
      <c r="D3252" t="str">
        <f t="shared" si="50"/>
        <v>CA-2016-100153_TEC-AC-10001772</v>
      </c>
      <c r="E3252" t="str">
        <f>IF(COUNTIF(data2!$D:$D,D3252)=0,"Missing in Data2","Present")</f>
        <v>Present</v>
      </c>
    </row>
    <row r="3253" spans="1:5" x14ac:dyDescent="0.25">
      <c r="A3253" s="2" t="s">
        <v>3170</v>
      </c>
      <c r="B3253" s="2" t="s">
        <v>3171</v>
      </c>
      <c r="C3253" s="2">
        <v>4</v>
      </c>
      <c r="D3253" t="str">
        <f t="shared" si="50"/>
        <v>CA-2016-100244_OFF-AR-10000940</v>
      </c>
      <c r="E3253" t="str">
        <f>IF(COUNTIF(data2!$D:$D,D3253)=0,"Missing in Data2","Present")</f>
        <v>Present</v>
      </c>
    </row>
    <row r="3254" spans="1:5" x14ac:dyDescent="0.25">
      <c r="A3254" s="2" t="s">
        <v>3170</v>
      </c>
      <c r="B3254" s="2" t="s">
        <v>859</v>
      </c>
      <c r="C3254" s="2">
        <v>2</v>
      </c>
      <c r="D3254" t="str">
        <f t="shared" si="50"/>
        <v>CA-2016-100244_OFF-BI-10000977</v>
      </c>
      <c r="E3254" t="str">
        <f>IF(COUNTIF(data2!$D:$D,D3254)=0,"Missing in Data2","Present")</f>
        <v>Present</v>
      </c>
    </row>
    <row r="3255" spans="1:5" x14ac:dyDescent="0.25">
      <c r="A3255" s="2" t="s">
        <v>3170</v>
      </c>
      <c r="B3255" s="2" t="s">
        <v>702</v>
      </c>
      <c r="C3255" s="2">
        <v>2</v>
      </c>
      <c r="D3255" t="str">
        <f t="shared" si="50"/>
        <v>CA-2016-100244_OFF-BI-10003656</v>
      </c>
      <c r="E3255" t="str">
        <f>IF(COUNTIF(data2!$D:$D,D3255)=0,"Missing in Data2","Present")</f>
        <v>Present</v>
      </c>
    </row>
    <row r="3256" spans="1:5" x14ac:dyDescent="0.25">
      <c r="A3256" s="2" t="s">
        <v>3170</v>
      </c>
      <c r="B3256" s="2" t="s">
        <v>14</v>
      </c>
      <c r="C3256" s="2">
        <v>9</v>
      </c>
      <c r="D3256" t="str">
        <f t="shared" si="50"/>
        <v>CA-2016-100244_OFF-PA-10001471</v>
      </c>
      <c r="E3256" t="str">
        <f>IF(COUNTIF(data2!$D:$D,D3256)=0,"Missing in Data2","Present")</f>
        <v>Present</v>
      </c>
    </row>
    <row r="3257" spans="1:5" x14ac:dyDescent="0.25">
      <c r="A3257" s="2" t="s">
        <v>3170</v>
      </c>
      <c r="B3257" s="2" t="s">
        <v>1284</v>
      </c>
      <c r="C3257" s="2">
        <v>2</v>
      </c>
      <c r="D3257" t="str">
        <f t="shared" si="50"/>
        <v>CA-2016-100244_OFF-PA-10002319</v>
      </c>
      <c r="E3257" t="str">
        <f>IF(COUNTIF(data2!$D:$D,D3257)=0,"Missing in Data2","Present")</f>
        <v>Present</v>
      </c>
    </row>
    <row r="3258" spans="1:5" x14ac:dyDescent="0.25">
      <c r="A3258" s="2" t="s">
        <v>3172</v>
      </c>
      <c r="B3258" s="2" t="s">
        <v>3173</v>
      </c>
      <c r="C3258" s="2">
        <v>3</v>
      </c>
      <c r="D3258" t="str">
        <f t="shared" si="50"/>
        <v>CA-2016-100300_OFF-AP-10001242</v>
      </c>
      <c r="E3258" t="str">
        <f>IF(COUNTIF(data2!$D:$D,D3258)=0,"Missing in Data2","Present")</f>
        <v>Missing in Data2</v>
      </c>
    </row>
    <row r="3259" spans="1:5" x14ac:dyDescent="0.25">
      <c r="A3259" s="2" t="s">
        <v>3172</v>
      </c>
      <c r="B3259" s="2" t="s">
        <v>3174</v>
      </c>
      <c r="C3259" s="2">
        <v>4</v>
      </c>
      <c r="D3259" t="str">
        <f t="shared" si="50"/>
        <v>CA-2016-100300_TEC-MA-10000984</v>
      </c>
      <c r="E3259" t="str">
        <f>IF(COUNTIF(data2!$D:$D,D3259)=0,"Missing in Data2","Present")</f>
        <v>Present</v>
      </c>
    </row>
    <row r="3260" spans="1:5" x14ac:dyDescent="0.25">
      <c r="A3260" s="2" t="s">
        <v>3175</v>
      </c>
      <c r="B3260" s="2" t="s">
        <v>3176</v>
      </c>
      <c r="C3260" s="2">
        <v>3</v>
      </c>
      <c r="D3260" t="str">
        <f t="shared" si="50"/>
        <v>CA-2016-100307_OFF-PA-10002552</v>
      </c>
      <c r="E3260" t="str">
        <f>IF(COUNTIF(data2!$D:$D,D3260)=0,"Missing in Data2","Present")</f>
        <v>Present</v>
      </c>
    </row>
    <row r="3261" spans="1:5" x14ac:dyDescent="0.25">
      <c r="A3261" s="2" t="s">
        <v>3177</v>
      </c>
      <c r="B3261" s="2" t="s">
        <v>856</v>
      </c>
      <c r="C3261" s="2">
        <v>2</v>
      </c>
      <c r="D3261" t="str">
        <f t="shared" si="50"/>
        <v>CA-2016-100468_FUR-FU-10000010</v>
      </c>
      <c r="E3261" t="str">
        <f>IF(COUNTIF(data2!$D:$D,D3261)=0,"Missing in Data2","Present")</f>
        <v>Present</v>
      </c>
    </row>
    <row r="3262" spans="1:5" x14ac:dyDescent="0.25">
      <c r="A3262" s="2" t="s">
        <v>3177</v>
      </c>
      <c r="B3262" s="2" t="s">
        <v>3178</v>
      </c>
      <c r="C3262" s="2">
        <v>2</v>
      </c>
      <c r="D3262" t="str">
        <f t="shared" si="50"/>
        <v>CA-2016-100468_TEC-PH-10001300</v>
      </c>
      <c r="E3262" t="str">
        <f>IF(COUNTIF(data2!$D:$D,D3262)=0,"Missing in Data2","Present")</f>
        <v>Present</v>
      </c>
    </row>
    <row r="3263" spans="1:5" x14ac:dyDescent="0.25">
      <c r="A3263" s="2" t="s">
        <v>3179</v>
      </c>
      <c r="B3263" s="2" t="s">
        <v>331</v>
      </c>
      <c r="C3263" s="2">
        <v>3</v>
      </c>
      <c r="D3263" t="str">
        <f t="shared" si="50"/>
        <v>CA-2016-100510_FUR-FU-10000320</v>
      </c>
      <c r="E3263" t="str">
        <f>IF(COUNTIF(data2!$D:$D,D3263)=0,"Missing in Data2","Present")</f>
        <v>Present</v>
      </c>
    </row>
    <row r="3264" spans="1:5" x14ac:dyDescent="0.25">
      <c r="A3264" s="2" t="s">
        <v>3179</v>
      </c>
      <c r="B3264" s="2" t="s">
        <v>1169</v>
      </c>
      <c r="C3264" s="2">
        <v>4</v>
      </c>
      <c r="D3264" t="str">
        <f t="shared" si="50"/>
        <v>CA-2016-100510_TEC-PH-10001835</v>
      </c>
      <c r="E3264" t="str">
        <f>IF(COUNTIF(data2!$D:$D,D3264)=0,"Missing in Data2","Present")</f>
        <v>Present</v>
      </c>
    </row>
    <row r="3265" spans="1:5" x14ac:dyDescent="0.25">
      <c r="A3265" s="2" t="s">
        <v>3180</v>
      </c>
      <c r="B3265" s="2" t="s">
        <v>1446</v>
      </c>
      <c r="C3265" s="2">
        <v>1</v>
      </c>
      <c r="D3265" t="str">
        <f t="shared" si="50"/>
        <v>CA-2016-100587_OFF-PA-10004609</v>
      </c>
      <c r="E3265" t="str">
        <f>IF(COUNTIF(data2!$D:$D,D3265)=0,"Missing in Data2","Present")</f>
        <v>Present</v>
      </c>
    </row>
    <row r="3266" spans="1:5" x14ac:dyDescent="0.25">
      <c r="A3266" s="2" t="s">
        <v>3181</v>
      </c>
      <c r="B3266" s="2" t="s">
        <v>45</v>
      </c>
      <c r="C3266" s="2">
        <v>9</v>
      </c>
      <c r="D3266" t="str">
        <f t="shared" si="50"/>
        <v>CA-2016-100671_OFF-ST-10004950</v>
      </c>
      <c r="E3266" t="str">
        <f>IF(COUNTIF(data2!$D:$D,D3266)=0,"Missing in Data2","Present")</f>
        <v>Missing in Data2</v>
      </c>
    </row>
    <row r="3267" spans="1:5" x14ac:dyDescent="0.25">
      <c r="A3267" s="2" t="s">
        <v>3182</v>
      </c>
      <c r="B3267" s="2" t="s">
        <v>298</v>
      </c>
      <c r="C3267" s="2">
        <v>5</v>
      </c>
      <c r="D3267" t="str">
        <f t="shared" ref="D3267:D3330" si="51">A3267&amp;"_"&amp;B3267</f>
        <v>CA-2016-100790_OFF-AR-10003045</v>
      </c>
      <c r="E3267" t="str">
        <f>IF(COUNTIF(data2!$D:$D,D3267)=0,"Missing in Data2","Present")</f>
        <v>Present</v>
      </c>
    </row>
    <row r="3268" spans="1:5" x14ac:dyDescent="0.25">
      <c r="A3268" s="2" t="s">
        <v>3182</v>
      </c>
      <c r="B3268" s="2" t="s">
        <v>1235</v>
      </c>
      <c r="C3268" s="2">
        <v>5</v>
      </c>
      <c r="D3268" t="str">
        <f t="shared" si="51"/>
        <v>CA-2016-100790_OFF-ST-10000689</v>
      </c>
      <c r="E3268" t="str">
        <f>IF(COUNTIF(data2!$D:$D,D3268)=0,"Missing in Data2","Present")</f>
        <v>Present</v>
      </c>
    </row>
    <row r="3269" spans="1:5" x14ac:dyDescent="0.25">
      <c r="A3269" s="2" t="s">
        <v>3183</v>
      </c>
      <c r="B3269" s="2" t="s">
        <v>221</v>
      </c>
      <c r="C3269" s="2">
        <v>5</v>
      </c>
      <c r="D3269" t="str">
        <f t="shared" si="51"/>
        <v>CA-2016-100944_FUR-CH-10000988</v>
      </c>
      <c r="E3269" t="str">
        <f>IF(COUNTIF(data2!$D:$D,D3269)=0,"Missing in Data2","Present")</f>
        <v>Present</v>
      </c>
    </row>
    <row r="3270" spans="1:5" x14ac:dyDescent="0.25">
      <c r="A3270" s="2" t="s">
        <v>3183</v>
      </c>
      <c r="B3270" s="2" t="s">
        <v>452</v>
      </c>
      <c r="C3270" s="2">
        <v>5</v>
      </c>
      <c r="D3270" t="str">
        <f t="shared" si="51"/>
        <v>CA-2016-100944_OFF-EN-10001453</v>
      </c>
      <c r="E3270" t="str">
        <f>IF(COUNTIF(data2!$D:$D,D3270)=0,"Missing in Data2","Present")</f>
        <v>Present</v>
      </c>
    </row>
    <row r="3271" spans="1:5" x14ac:dyDescent="0.25">
      <c r="A3271" s="2" t="s">
        <v>3184</v>
      </c>
      <c r="B3271" s="2" t="s">
        <v>2933</v>
      </c>
      <c r="C3271" s="2">
        <v>5</v>
      </c>
      <c r="D3271" t="str">
        <f t="shared" si="51"/>
        <v>CA-2016-100965_FUR-FU-10003039</v>
      </c>
      <c r="E3271" t="str">
        <f>IF(COUNTIF(data2!$D:$D,D3271)=0,"Missing in Data2","Present")</f>
        <v>Present</v>
      </c>
    </row>
    <row r="3272" spans="1:5" x14ac:dyDescent="0.25">
      <c r="A3272" s="2" t="s">
        <v>3185</v>
      </c>
      <c r="B3272" s="2" t="s">
        <v>2635</v>
      </c>
      <c r="C3272" s="2">
        <v>4</v>
      </c>
      <c r="D3272" t="str">
        <f t="shared" si="51"/>
        <v>CA-2016-100993_FUR-TA-10001095</v>
      </c>
      <c r="E3272" t="str">
        <f>IF(COUNTIF(data2!$D:$D,D3272)=0,"Missing in Data2","Present")</f>
        <v>Present</v>
      </c>
    </row>
    <row r="3273" spans="1:5" x14ac:dyDescent="0.25">
      <c r="A3273" s="2" t="s">
        <v>3185</v>
      </c>
      <c r="B3273" s="2" t="s">
        <v>443</v>
      </c>
      <c r="C3273" s="2">
        <v>3</v>
      </c>
      <c r="D3273" t="str">
        <f t="shared" si="51"/>
        <v>CA-2016-100993_OFF-LA-10003223</v>
      </c>
      <c r="E3273" t="str">
        <f>IF(COUNTIF(data2!$D:$D,D3273)=0,"Missing in Data2","Present")</f>
        <v>Present</v>
      </c>
    </row>
    <row r="3274" spans="1:5" x14ac:dyDescent="0.25">
      <c r="A3274" s="2" t="s">
        <v>3185</v>
      </c>
      <c r="B3274" s="2" t="s">
        <v>1360</v>
      </c>
      <c r="C3274" s="2">
        <v>3</v>
      </c>
      <c r="D3274" t="str">
        <f t="shared" si="51"/>
        <v>CA-2016-100993_OFF-ST-10004340</v>
      </c>
      <c r="E3274" t="str">
        <f>IF(COUNTIF(data2!$D:$D,D3274)=0,"Missing in Data2","Present")</f>
        <v>Present</v>
      </c>
    </row>
    <row r="3275" spans="1:5" x14ac:dyDescent="0.25">
      <c r="A3275" s="2" t="s">
        <v>3185</v>
      </c>
      <c r="B3275" s="2" t="s">
        <v>3186</v>
      </c>
      <c r="C3275" s="2">
        <v>4</v>
      </c>
      <c r="D3275" t="str">
        <f t="shared" si="51"/>
        <v>CA-2016-100993_TEC-PH-10001448</v>
      </c>
      <c r="E3275" t="str">
        <f>IF(COUNTIF(data2!$D:$D,D3275)=0,"Missing in Data2","Present")</f>
        <v>Present</v>
      </c>
    </row>
    <row r="3276" spans="1:5" x14ac:dyDescent="0.25">
      <c r="A3276" s="2" t="s">
        <v>3187</v>
      </c>
      <c r="B3276" s="2" t="s">
        <v>2746</v>
      </c>
      <c r="C3276" s="2">
        <v>3</v>
      </c>
      <c r="D3276" t="str">
        <f t="shared" si="51"/>
        <v>CA-2016-101161_FUR-FU-10003535</v>
      </c>
      <c r="E3276" t="str">
        <f>IF(COUNTIF(data2!$D:$D,D3276)=0,"Missing in Data2","Present")</f>
        <v>Present</v>
      </c>
    </row>
    <row r="3277" spans="1:5" x14ac:dyDescent="0.25">
      <c r="A3277" s="2" t="s">
        <v>3187</v>
      </c>
      <c r="B3277" s="2" t="s">
        <v>3188</v>
      </c>
      <c r="C3277" s="2">
        <v>5</v>
      </c>
      <c r="D3277" t="str">
        <f t="shared" si="51"/>
        <v>CA-2016-101161_OFF-AR-10001860</v>
      </c>
      <c r="E3277" t="str">
        <f>IF(COUNTIF(data2!$D:$D,D3277)=0,"Missing in Data2","Present")</f>
        <v>Present</v>
      </c>
    </row>
    <row r="3278" spans="1:5" x14ac:dyDescent="0.25">
      <c r="A3278" s="2" t="s">
        <v>3187</v>
      </c>
      <c r="B3278" s="2" t="s">
        <v>1593</v>
      </c>
      <c r="C3278" s="2">
        <v>5</v>
      </c>
      <c r="D3278" t="str">
        <f t="shared" si="51"/>
        <v>CA-2016-101161_OFF-LA-10000407</v>
      </c>
      <c r="E3278" t="str">
        <f>IF(COUNTIF(data2!$D:$D,D3278)=0,"Missing in Data2","Present")</f>
        <v>Present</v>
      </c>
    </row>
    <row r="3279" spans="1:5" x14ac:dyDescent="0.25">
      <c r="A3279" s="2" t="s">
        <v>3187</v>
      </c>
      <c r="B3279" s="2" t="s">
        <v>1506</v>
      </c>
      <c r="C3279" s="2">
        <v>2</v>
      </c>
      <c r="D3279" t="str">
        <f t="shared" si="51"/>
        <v>CA-2016-101161_OFF-PA-10001295</v>
      </c>
      <c r="E3279" t="str">
        <f>IF(COUNTIF(data2!$D:$D,D3279)=0,"Missing in Data2","Present")</f>
        <v>Present</v>
      </c>
    </row>
    <row r="3280" spans="1:5" x14ac:dyDescent="0.25">
      <c r="A3280" s="2" t="s">
        <v>3187</v>
      </c>
      <c r="B3280" s="2" t="s">
        <v>1465</v>
      </c>
      <c r="C3280" s="2">
        <v>3</v>
      </c>
      <c r="D3280" t="str">
        <f t="shared" si="51"/>
        <v>CA-2016-101161_OFF-ST-10003123</v>
      </c>
      <c r="E3280" t="str">
        <f>IF(COUNTIF(data2!$D:$D,D3280)=0,"Missing in Data2","Present")</f>
        <v>Present</v>
      </c>
    </row>
    <row r="3281" spans="1:5" x14ac:dyDescent="0.25">
      <c r="A3281" s="2" t="s">
        <v>3189</v>
      </c>
      <c r="B3281" s="2" t="s">
        <v>2724</v>
      </c>
      <c r="C3281" s="2">
        <v>4</v>
      </c>
      <c r="D3281" t="str">
        <f t="shared" si="51"/>
        <v>CA-2016-101168_FUR-FU-10003142</v>
      </c>
      <c r="E3281" t="str">
        <f>IF(COUNTIF(data2!$D:$D,D3281)=0,"Missing in Data2","Present")</f>
        <v>Present</v>
      </c>
    </row>
    <row r="3282" spans="1:5" x14ac:dyDescent="0.25">
      <c r="A3282" s="2" t="s">
        <v>3190</v>
      </c>
      <c r="B3282" s="2" t="s">
        <v>3191</v>
      </c>
      <c r="C3282" s="2">
        <v>2</v>
      </c>
      <c r="D3282" t="str">
        <f t="shared" si="51"/>
        <v>CA-2016-101189_OFF-ST-10004180</v>
      </c>
      <c r="E3282" t="str">
        <f>IF(COUNTIF(data2!$D:$D,D3282)=0,"Missing in Data2","Present")</f>
        <v>Present</v>
      </c>
    </row>
    <row r="3283" spans="1:5" x14ac:dyDescent="0.25">
      <c r="A3283" s="2" t="s">
        <v>3192</v>
      </c>
      <c r="B3283" s="2" t="s">
        <v>2841</v>
      </c>
      <c r="C3283" s="2">
        <v>9</v>
      </c>
      <c r="D3283" t="str">
        <f t="shared" si="51"/>
        <v>CA-2016-101329_OFF-AR-10000614</v>
      </c>
      <c r="E3283" t="str">
        <f>IF(COUNTIF(data2!$D:$D,D3283)=0,"Missing in Data2","Present")</f>
        <v>Missing in Data2</v>
      </c>
    </row>
    <row r="3284" spans="1:5" x14ac:dyDescent="0.25">
      <c r="A3284" s="2" t="s">
        <v>3192</v>
      </c>
      <c r="B3284" s="2" t="s">
        <v>598</v>
      </c>
      <c r="C3284" s="2">
        <v>1</v>
      </c>
      <c r="D3284" t="str">
        <f t="shared" si="51"/>
        <v>CA-2016-101329_OFF-AR-10003190</v>
      </c>
      <c r="E3284" t="str">
        <f>IF(COUNTIF(data2!$D:$D,D3284)=0,"Missing in Data2","Present")</f>
        <v>Present</v>
      </c>
    </row>
    <row r="3285" spans="1:5" x14ac:dyDescent="0.25">
      <c r="A3285" s="2" t="s">
        <v>3193</v>
      </c>
      <c r="B3285" s="2" t="s">
        <v>2183</v>
      </c>
      <c r="C3285" s="2">
        <v>5</v>
      </c>
      <c r="D3285" t="str">
        <f t="shared" si="51"/>
        <v>CA-2016-101336_OFF-AR-10003582</v>
      </c>
      <c r="E3285" t="str">
        <f>IF(COUNTIF(data2!$D:$D,D3285)=0,"Missing in Data2","Present")</f>
        <v>Present</v>
      </c>
    </row>
    <row r="3286" spans="1:5" x14ac:dyDescent="0.25">
      <c r="A3286" s="2" t="s">
        <v>3193</v>
      </c>
      <c r="B3286" s="2" t="s">
        <v>381</v>
      </c>
      <c r="C3286" s="2">
        <v>2</v>
      </c>
      <c r="D3286" t="str">
        <f t="shared" si="51"/>
        <v>CA-2016-101336_OFF-ST-10000876</v>
      </c>
      <c r="E3286" t="str">
        <f>IF(COUNTIF(data2!$D:$D,D3286)=0,"Missing in Data2","Present")</f>
        <v>Present</v>
      </c>
    </row>
    <row r="3287" spans="1:5" x14ac:dyDescent="0.25">
      <c r="A3287" s="2" t="s">
        <v>3193</v>
      </c>
      <c r="B3287" s="2" t="s">
        <v>1433</v>
      </c>
      <c r="C3287" s="2">
        <v>5</v>
      </c>
      <c r="D3287" t="str">
        <f t="shared" si="51"/>
        <v>CA-2016-101336_OFF-ST-10003455</v>
      </c>
      <c r="E3287" t="str">
        <f>IF(COUNTIF(data2!$D:$D,D3287)=0,"Missing in Data2","Present")</f>
        <v>Present</v>
      </c>
    </row>
    <row r="3288" spans="1:5" x14ac:dyDescent="0.25">
      <c r="A3288" s="2" t="s">
        <v>3193</v>
      </c>
      <c r="B3288" s="2" t="s">
        <v>178</v>
      </c>
      <c r="C3288" s="2">
        <v>3</v>
      </c>
      <c r="D3288" t="str">
        <f t="shared" si="51"/>
        <v>CA-2016-101336_OFF-ST-10004258</v>
      </c>
      <c r="E3288" t="str">
        <f>IF(COUNTIF(data2!$D:$D,D3288)=0,"Missing in Data2","Present")</f>
        <v>Present</v>
      </c>
    </row>
    <row r="3289" spans="1:5" x14ac:dyDescent="0.25">
      <c r="A3289" s="2" t="s">
        <v>3194</v>
      </c>
      <c r="B3289" s="2" t="s">
        <v>39</v>
      </c>
      <c r="C3289" s="2">
        <v>2</v>
      </c>
      <c r="D3289" t="str">
        <f t="shared" si="51"/>
        <v>CA-2016-101343_OFF-ST-10003479</v>
      </c>
      <c r="E3289" t="str">
        <f>IF(COUNTIF(data2!$D:$D,D3289)=0,"Missing in Data2","Present")</f>
        <v>Present</v>
      </c>
    </row>
    <row r="3290" spans="1:5" x14ac:dyDescent="0.25">
      <c r="A3290" s="2" t="s">
        <v>3195</v>
      </c>
      <c r="B3290" s="2" t="s">
        <v>1587</v>
      </c>
      <c r="C3290" s="2">
        <v>2</v>
      </c>
      <c r="D3290" t="str">
        <f t="shared" si="51"/>
        <v>CA-2016-101378_TEC-AC-10002345</v>
      </c>
      <c r="E3290" t="str">
        <f>IF(COUNTIF(data2!$D:$D,D3290)=0,"Missing in Data2","Present")</f>
        <v>Present</v>
      </c>
    </row>
    <row r="3291" spans="1:5" x14ac:dyDescent="0.25">
      <c r="A3291" s="2" t="s">
        <v>3196</v>
      </c>
      <c r="B3291" s="2" t="s">
        <v>1190</v>
      </c>
      <c r="C3291" s="2">
        <v>4</v>
      </c>
      <c r="D3291" t="str">
        <f t="shared" si="51"/>
        <v>CA-2016-101385_OFF-AR-10004441</v>
      </c>
      <c r="E3291" t="str">
        <f>IF(COUNTIF(data2!$D:$D,D3291)=0,"Missing in Data2","Present")</f>
        <v>Present</v>
      </c>
    </row>
    <row r="3292" spans="1:5" x14ac:dyDescent="0.25">
      <c r="A3292" s="2" t="s">
        <v>3197</v>
      </c>
      <c r="B3292" s="2" t="s">
        <v>1709</v>
      </c>
      <c r="C3292" s="2">
        <v>3</v>
      </c>
      <c r="D3292" t="str">
        <f t="shared" si="51"/>
        <v>CA-2016-101448_OFF-BI-10004738</v>
      </c>
      <c r="E3292" t="str">
        <f>IF(COUNTIF(data2!$D:$D,D3292)=0,"Missing in Data2","Present")</f>
        <v>Present</v>
      </c>
    </row>
    <row r="3293" spans="1:5" x14ac:dyDescent="0.25">
      <c r="A3293" s="2" t="s">
        <v>3198</v>
      </c>
      <c r="B3293" s="2" t="s">
        <v>3199</v>
      </c>
      <c r="C3293" s="2">
        <v>2</v>
      </c>
      <c r="D3293" t="str">
        <f t="shared" si="51"/>
        <v>CA-2016-101469_OFF-AR-10003986</v>
      </c>
      <c r="E3293" t="str">
        <f>IF(COUNTIF(data2!$D:$D,D3293)=0,"Missing in Data2","Present")</f>
        <v>Present</v>
      </c>
    </row>
    <row r="3294" spans="1:5" x14ac:dyDescent="0.25">
      <c r="A3294" s="2" t="s">
        <v>3200</v>
      </c>
      <c r="B3294" s="2" t="s">
        <v>286</v>
      </c>
      <c r="C3294" s="2">
        <v>2</v>
      </c>
      <c r="D3294" t="str">
        <f t="shared" si="51"/>
        <v>CA-2016-101525_OFF-AR-10000716</v>
      </c>
      <c r="E3294" t="str">
        <f>IF(COUNTIF(data2!$D:$D,D3294)=0,"Missing in Data2","Present")</f>
        <v>Present</v>
      </c>
    </row>
    <row r="3295" spans="1:5" x14ac:dyDescent="0.25">
      <c r="A3295" s="2" t="s">
        <v>3200</v>
      </c>
      <c r="B3295" s="2" t="s">
        <v>2880</v>
      </c>
      <c r="C3295" s="2">
        <v>2</v>
      </c>
      <c r="D3295" t="str">
        <f t="shared" si="51"/>
        <v>CA-2016-101525_OFF-PA-10001497</v>
      </c>
      <c r="E3295" t="str">
        <f>IF(COUNTIF(data2!$D:$D,D3295)=0,"Missing in Data2","Present")</f>
        <v>Present</v>
      </c>
    </row>
    <row r="3296" spans="1:5" x14ac:dyDescent="0.25">
      <c r="A3296" s="2" t="s">
        <v>3200</v>
      </c>
      <c r="B3296" s="2" t="s">
        <v>385</v>
      </c>
      <c r="C3296" s="2">
        <v>3</v>
      </c>
      <c r="D3296" t="str">
        <f t="shared" si="51"/>
        <v>CA-2016-101525_OFF-PA-10003936</v>
      </c>
      <c r="E3296" t="str">
        <f>IF(COUNTIF(data2!$D:$D,D3296)=0,"Missing in Data2","Present")</f>
        <v>Present</v>
      </c>
    </row>
    <row r="3297" spans="1:5" x14ac:dyDescent="0.25">
      <c r="A3297" s="2" t="s">
        <v>3201</v>
      </c>
      <c r="B3297" s="2" t="s">
        <v>502</v>
      </c>
      <c r="C3297" s="2">
        <v>2</v>
      </c>
      <c r="D3297" t="str">
        <f t="shared" si="51"/>
        <v>CA-2016-101546_OFF-BI-10001359</v>
      </c>
      <c r="E3297" t="str">
        <f>IF(COUNTIF(data2!$D:$D,D3297)=0,"Missing in Data2","Present")</f>
        <v>Present</v>
      </c>
    </row>
    <row r="3298" spans="1:5" x14ac:dyDescent="0.25">
      <c r="A3298" s="2" t="s">
        <v>3202</v>
      </c>
      <c r="B3298" s="2" t="s">
        <v>1499</v>
      </c>
      <c r="C3298" s="2">
        <v>6</v>
      </c>
      <c r="D3298" t="str">
        <f t="shared" si="51"/>
        <v>CA-2016-101623_OFF-FA-10003495</v>
      </c>
      <c r="E3298" t="str">
        <f>IF(COUNTIF(data2!$D:$D,D3298)=0,"Missing in Data2","Present")</f>
        <v>Present</v>
      </c>
    </row>
    <row r="3299" spans="1:5" x14ac:dyDescent="0.25">
      <c r="A3299" s="2" t="s">
        <v>3203</v>
      </c>
      <c r="B3299" s="2" t="s">
        <v>1352</v>
      </c>
      <c r="C3299" s="2">
        <v>3</v>
      </c>
      <c r="D3299" t="str">
        <f t="shared" si="51"/>
        <v>CA-2016-101630_OFF-SU-10001664</v>
      </c>
      <c r="E3299" t="str">
        <f>IF(COUNTIF(data2!$D:$D,D3299)=0,"Missing in Data2","Present")</f>
        <v>Present</v>
      </c>
    </row>
    <row r="3300" spans="1:5" x14ac:dyDescent="0.25">
      <c r="A3300" s="2" t="s">
        <v>3204</v>
      </c>
      <c r="B3300" s="2" t="s">
        <v>176</v>
      </c>
      <c r="C3300" s="2">
        <v>7</v>
      </c>
      <c r="D3300" t="str">
        <f t="shared" si="51"/>
        <v>CA-2016-101651_FUR-FU-10000771</v>
      </c>
      <c r="E3300" t="str">
        <f>IF(COUNTIF(data2!$D:$D,D3300)=0,"Missing in Data2","Present")</f>
        <v>Present</v>
      </c>
    </row>
    <row r="3301" spans="1:5" x14ac:dyDescent="0.25">
      <c r="A3301" s="2" t="s">
        <v>3204</v>
      </c>
      <c r="B3301" s="2" t="s">
        <v>281</v>
      </c>
      <c r="C3301" s="2">
        <v>7</v>
      </c>
      <c r="D3301" t="str">
        <f t="shared" si="51"/>
        <v>CA-2016-101651_OFF-EN-10001990</v>
      </c>
      <c r="E3301" t="str">
        <f>IF(COUNTIF(data2!$D:$D,D3301)=0,"Missing in Data2","Present")</f>
        <v>Present</v>
      </c>
    </row>
    <row r="3302" spans="1:5" x14ac:dyDescent="0.25">
      <c r="A3302" s="2" t="s">
        <v>3205</v>
      </c>
      <c r="B3302" s="2" t="s">
        <v>181</v>
      </c>
      <c r="C3302" s="2">
        <v>4</v>
      </c>
      <c r="D3302" t="str">
        <f t="shared" si="51"/>
        <v>CA-2016-101672_FUR-CH-10004063</v>
      </c>
      <c r="E3302" t="str">
        <f>IF(COUNTIF(data2!$D:$D,D3302)=0,"Missing in Data2","Present")</f>
        <v>Present</v>
      </c>
    </row>
    <row r="3303" spans="1:5" x14ac:dyDescent="0.25">
      <c r="A3303" s="2" t="s">
        <v>3205</v>
      </c>
      <c r="B3303" s="2" t="s">
        <v>671</v>
      </c>
      <c r="C3303" s="2">
        <v>2</v>
      </c>
      <c r="D3303" t="str">
        <f t="shared" si="51"/>
        <v>CA-2016-101672_OFF-LA-10002271</v>
      </c>
      <c r="E3303" t="str">
        <f>IF(COUNTIF(data2!$D:$D,D3303)=0,"Missing in Data2","Present")</f>
        <v>Present</v>
      </c>
    </row>
    <row r="3304" spans="1:5" x14ac:dyDescent="0.25">
      <c r="A3304" s="2" t="s">
        <v>3205</v>
      </c>
      <c r="B3304" s="2" t="s">
        <v>425</v>
      </c>
      <c r="C3304" s="2">
        <v>2</v>
      </c>
      <c r="D3304" t="str">
        <f t="shared" si="51"/>
        <v>CA-2016-101672_OFF-PA-10001878</v>
      </c>
      <c r="E3304" t="str">
        <f>IF(COUNTIF(data2!$D:$D,D3304)=0,"Missing in Data2","Present")</f>
        <v>Present</v>
      </c>
    </row>
    <row r="3305" spans="1:5" x14ac:dyDescent="0.25">
      <c r="A3305" s="2" t="s">
        <v>3205</v>
      </c>
      <c r="B3305" s="2" t="s">
        <v>837</v>
      </c>
      <c r="C3305" s="2">
        <v>2</v>
      </c>
      <c r="D3305" t="str">
        <f t="shared" si="51"/>
        <v>CA-2016-101672_OFF-PA-10004610</v>
      </c>
      <c r="E3305" t="str">
        <f>IF(COUNTIF(data2!$D:$D,D3305)=0,"Missing in Data2","Present")</f>
        <v>Present</v>
      </c>
    </row>
    <row r="3306" spans="1:5" x14ac:dyDescent="0.25">
      <c r="A3306" s="2" t="s">
        <v>3206</v>
      </c>
      <c r="B3306" s="2" t="s">
        <v>370</v>
      </c>
      <c r="C3306" s="2">
        <v>2</v>
      </c>
      <c r="D3306" t="str">
        <f t="shared" si="51"/>
        <v>CA-2016-101693_FUR-CH-10001146</v>
      </c>
      <c r="E3306" t="str">
        <f>IF(COUNTIF(data2!$D:$D,D3306)=0,"Missing in Data2","Present")</f>
        <v>Present</v>
      </c>
    </row>
    <row r="3307" spans="1:5" x14ac:dyDescent="0.25">
      <c r="A3307" s="2" t="s">
        <v>3206</v>
      </c>
      <c r="B3307" s="2" t="s">
        <v>3207</v>
      </c>
      <c r="C3307" s="2">
        <v>2</v>
      </c>
      <c r="D3307" t="str">
        <f t="shared" si="51"/>
        <v>CA-2016-101693_FUR-FU-10003919</v>
      </c>
      <c r="E3307" t="str">
        <f>IF(COUNTIF(data2!$D:$D,D3307)=0,"Missing in Data2","Present")</f>
        <v>Present</v>
      </c>
    </row>
    <row r="3308" spans="1:5" x14ac:dyDescent="0.25">
      <c r="A3308" s="2" t="s">
        <v>3208</v>
      </c>
      <c r="B3308" s="2" t="s">
        <v>1655</v>
      </c>
      <c r="C3308" s="2">
        <v>7</v>
      </c>
      <c r="D3308" t="str">
        <f t="shared" si="51"/>
        <v>CA-2016-101742_OFF-BI-10004187</v>
      </c>
      <c r="E3308" t="str">
        <f>IF(COUNTIF(data2!$D:$D,D3308)=0,"Missing in Data2","Present")</f>
        <v>Present</v>
      </c>
    </row>
    <row r="3309" spans="1:5" x14ac:dyDescent="0.25">
      <c r="A3309" s="2" t="s">
        <v>3209</v>
      </c>
      <c r="B3309" s="2" t="s">
        <v>1452</v>
      </c>
      <c r="C3309" s="2">
        <v>2</v>
      </c>
      <c r="D3309" t="str">
        <f t="shared" si="51"/>
        <v>CA-2016-101791_FUR-FU-10002191</v>
      </c>
      <c r="E3309" t="str">
        <f>IF(COUNTIF(data2!$D:$D,D3309)=0,"Missing in Data2","Present")</f>
        <v>Present</v>
      </c>
    </row>
    <row r="3310" spans="1:5" x14ac:dyDescent="0.25">
      <c r="A3310" s="2" t="s">
        <v>3209</v>
      </c>
      <c r="B3310" s="2" t="s">
        <v>2369</v>
      </c>
      <c r="C3310" s="2">
        <v>3</v>
      </c>
      <c r="D3310" t="str">
        <f t="shared" si="51"/>
        <v>CA-2016-101791_FUR-FU-10003247</v>
      </c>
      <c r="E3310" t="str">
        <f>IF(COUNTIF(data2!$D:$D,D3310)=0,"Missing in Data2","Present")</f>
        <v>Missing in Data2</v>
      </c>
    </row>
    <row r="3311" spans="1:5" x14ac:dyDescent="0.25">
      <c r="A3311" s="2" t="s">
        <v>3209</v>
      </c>
      <c r="B3311" s="2" t="s">
        <v>258</v>
      </c>
      <c r="C3311" s="2">
        <v>9</v>
      </c>
      <c r="D3311" t="str">
        <f t="shared" si="51"/>
        <v>CA-2016-101791_OFF-ST-10001496</v>
      </c>
      <c r="E3311" t="str">
        <f>IF(COUNTIF(data2!$D:$D,D3311)=0,"Missing in Data2","Present")</f>
        <v>Present</v>
      </c>
    </row>
    <row r="3312" spans="1:5" x14ac:dyDescent="0.25">
      <c r="A3312" s="2" t="s">
        <v>3210</v>
      </c>
      <c r="B3312" s="2" t="s">
        <v>2553</v>
      </c>
      <c r="C3312" s="2">
        <v>1</v>
      </c>
      <c r="D3312" t="str">
        <f t="shared" si="51"/>
        <v>CA-2016-101938_OFF-AR-10003696</v>
      </c>
      <c r="E3312" t="str">
        <f>IF(COUNTIF(data2!$D:$D,D3312)=0,"Missing in Data2","Present")</f>
        <v>Present</v>
      </c>
    </row>
    <row r="3313" spans="1:5" x14ac:dyDescent="0.25">
      <c r="A3313" s="2" t="s">
        <v>3211</v>
      </c>
      <c r="B3313" s="2" t="s">
        <v>3212</v>
      </c>
      <c r="C3313" s="2">
        <v>7</v>
      </c>
      <c r="D3313" t="str">
        <f t="shared" si="51"/>
        <v>CA-2016-101966_TEC-PH-10003437</v>
      </c>
      <c r="E3313" t="str">
        <f>IF(COUNTIF(data2!$D:$D,D3313)=0,"Missing in Data2","Present")</f>
        <v>Present</v>
      </c>
    </row>
    <row r="3314" spans="1:5" x14ac:dyDescent="0.25">
      <c r="A3314" s="2" t="s">
        <v>3213</v>
      </c>
      <c r="B3314" s="2" t="s">
        <v>687</v>
      </c>
      <c r="C3314" s="2">
        <v>6</v>
      </c>
      <c r="D3314" t="str">
        <f t="shared" si="51"/>
        <v>CA-2016-101980_OFF-BI-10000666</v>
      </c>
      <c r="E3314" t="str">
        <f>IF(COUNTIF(data2!$D:$D,D3314)=0,"Missing in Data2","Present")</f>
        <v>Present</v>
      </c>
    </row>
    <row r="3315" spans="1:5" x14ac:dyDescent="0.25">
      <c r="A3315" s="2" t="s">
        <v>3213</v>
      </c>
      <c r="B3315" s="2" t="s">
        <v>891</v>
      </c>
      <c r="C3315" s="2">
        <v>5</v>
      </c>
      <c r="D3315" t="str">
        <f t="shared" si="51"/>
        <v>CA-2016-101980_OFF-BI-10003429</v>
      </c>
      <c r="E3315" t="str">
        <f>IF(COUNTIF(data2!$D:$D,D3315)=0,"Missing in Data2","Present")</f>
        <v>Present</v>
      </c>
    </row>
    <row r="3316" spans="1:5" x14ac:dyDescent="0.25">
      <c r="A3316" s="2" t="s">
        <v>3213</v>
      </c>
      <c r="B3316" s="2" t="s">
        <v>3214</v>
      </c>
      <c r="C3316" s="2">
        <v>2</v>
      </c>
      <c r="D3316" t="str">
        <f t="shared" si="51"/>
        <v>CA-2016-101980_OFF-BI-10004318</v>
      </c>
      <c r="E3316" t="str">
        <f>IF(COUNTIF(data2!$D:$D,D3316)=0,"Missing in Data2","Present")</f>
        <v>Present</v>
      </c>
    </row>
    <row r="3317" spans="1:5" x14ac:dyDescent="0.25">
      <c r="A3317" s="2" t="s">
        <v>3215</v>
      </c>
      <c r="B3317" s="2" t="s">
        <v>1527</v>
      </c>
      <c r="C3317" s="2">
        <v>9</v>
      </c>
      <c r="D3317" t="str">
        <f t="shared" si="51"/>
        <v>CA-2016-101987_TEC-PH-10001305</v>
      </c>
      <c r="E3317" t="str">
        <f>IF(COUNTIF(data2!$D:$D,D3317)=0,"Missing in Data2","Present")</f>
        <v>Present</v>
      </c>
    </row>
    <row r="3318" spans="1:5" x14ac:dyDescent="0.25">
      <c r="A3318" s="2" t="s">
        <v>3216</v>
      </c>
      <c r="B3318" s="2" t="s">
        <v>1996</v>
      </c>
      <c r="C3318" s="2">
        <v>7</v>
      </c>
      <c r="D3318" t="str">
        <f t="shared" si="51"/>
        <v>CA-2016-102092_FUR-TA-10002530</v>
      </c>
      <c r="E3318" t="str">
        <f>IF(COUNTIF(data2!$D:$D,D3318)=0,"Missing in Data2","Present")</f>
        <v>Present</v>
      </c>
    </row>
    <row r="3319" spans="1:5" x14ac:dyDescent="0.25">
      <c r="A3319" s="2" t="s">
        <v>3217</v>
      </c>
      <c r="B3319" s="2" t="s">
        <v>3218</v>
      </c>
      <c r="C3319" s="2">
        <v>3</v>
      </c>
      <c r="D3319" t="str">
        <f t="shared" si="51"/>
        <v>CA-2016-102127_FUR-FU-10003976</v>
      </c>
      <c r="E3319" t="str">
        <f>IF(COUNTIF(data2!$D:$D,D3319)=0,"Missing in Data2","Present")</f>
        <v>Present</v>
      </c>
    </row>
    <row r="3320" spans="1:5" x14ac:dyDescent="0.25">
      <c r="A3320" s="2" t="s">
        <v>3217</v>
      </c>
      <c r="B3320" s="2" t="s">
        <v>2781</v>
      </c>
      <c r="C3320" s="2">
        <v>4</v>
      </c>
      <c r="D3320" t="str">
        <f t="shared" si="51"/>
        <v>CA-2016-102127_TEC-AC-10000397</v>
      </c>
      <c r="E3320" t="str">
        <f>IF(COUNTIF(data2!$D:$D,D3320)=0,"Missing in Data2","Present")</f>
        <v>Present</v>
      </c>
    </row>
    <row r="3321" spans="1:5" x14ac:dyDescent="0.25">
      <c r="A3321" s="2" t="s">
        <v>3217</v>
      </c>
      <c r="B3321" s="2" t="s">
        <v>2124</v>
      </c>
      <c r="C3321" s="2">
        <v>3</v>
      </c>
      <c r="D3321" t="str">
        <f t="shared" si="51"/>
        <v>CA-2016-102127_TEC-AC-10002018</v>
      </c>
      <c r="E3321" t="str">
        <f>IF(COUNTIF(data2!$D:$D,D3321)=0,"Missing in Data2","Present")</f>
        <v>Present</v>
      </c>
    </row>
    <row r="3322" spans="1:5" x14ac:dyDescent="0.25">
      <c r="A3322" s="2" t="s">
        <v>3219</v>
      </c>
      <c r="B3322" s="2" t="s">
        <v>1290</v>
      </c>
      <c r="C3322" s="2">
        <v>2</v>
      </c>
      <c r="D3322" t="str">
        <f t="shared" si="51"/>
        <v>CA-2016-102134_FUR-FU-10003724</v>
      </c>
      <c r="E3322" t="str">
        <f>IF(COUNTIF(data2!$D:$D,D3322)=0,"Missing in Data2","Present")</f>
        <v>Present</v>
      </c>
    </row>
    <row r="3323" spans="1:5" x14ac:dyDescent="0.25">
      <c r="A3323" s="2" t="s">
        <v>3220</v>
      </c>
      <c r="B3323" s="2" t="s">
        <v>3221</v>
      </c>
      <c r="C3323" s="2">
        <v>1</v>
      </c>
      <c r="D3323" t="str">
        <f t="shared" si="51"/>
        <v>CA-2016-102162_OFF-EN-10002312</v>
      </c>
      <c r="E3323" t="str">
        <f>IF(COUNTIF(data2!$D:$D,D3323)=0,"Missing in Data2","Present")</f>
        <v>Present</v>
      </c>
    </row>
    <row r="3324" spans="1:5" x14ac:dyDescent="0.25">
      <c r="A3324" s="2" t="s">
        <v>3220</v>
      </c>
      <c r="B3324" s="2" t="s">
        <v>2030</v>
      </c>
      <c r="C3324" s="2">
        <v>8</v>
      </c>
      <c r="D3324" t="str">
        <f t="shared" si="51"/>
        <v>CA-2016-102162_TEC-CO-10001943</v>
      </c>
      <c r="E3324" t="str">
        <f>IF(COUNTIF(data2!$D:$D,D3324)=0,"Missing in Data2","Present")</f>
        <v>Present</v>
      </c>
    </row>
    <row r="3325" spans="1:5" x14ac:dyDescent="0.25">
      <c r="A3325" s="2" t="s">
        <v>3222</v>
      </c>
      <c r="B3325" s="2" t="s">
        <v>662</v>
      </c>
      <c r="C3325" s="2">
        <v>3</v>
      </c>
      <c r="D3325" t="str">
        <f t="shared" si="51"/>
        <v>CA-2016-102456_OFF-AP-10004336</v>
      </c>
      <c r="E3325" t="str">
        <f>IF(COUNTIF(data2!$D:$D,D3325)=0,"Missing in Data2","Present")</f>
        <v>Present</v>
      </c>
    </row>
    <row r="3326" spans="1:5" x14ac:dyDescent="0.25">
      <c r="A3326" s="2" t="s">
        <v>3223</v>
      </c>
      <c r="B3326" s="2" t="s">
        <v>1788</v>
      </c>
      <c r="C3326" s="2">
        <v>5</v>
      </c>
      <c r="D3326" t="str">
        <f t="shared" si="51"/>
        <v>CA-2016-102498_OFF-AR-10004456</v>
      </c>
      <c r="E3326" t="str">
        <f>IF(COUNTIF(data2!$D:$D,D3326)=0,"Missing in Data2","Present")</f>
        <v>Present</v>
      </c>
    </row>
    <row r="3327" spans="1:5" x14ac:dyDescent="0.25">
      <c r="A3327" s="2" t="s">
        <v>3224</v>
      </c>
      <c r="B3327" s="2" t="s">
        <v>1945</v>
      </c>
      <c r="C3327" s="2">
        <v>8</v>
      </c>
      <c r="D3327" t="str">
        <f t="shared" si="51"/>
        <v>CA-2016-102561_OFF-AR-10001545</v>
      </c>
      <c r="E3327" t="str">
        <f>IF(COUNTIF(data2!$D:$D,D3327)=0,"Missing in Data2","Present")</f>
        <v>Present</v>
      </c>
    </row>
    <row r="3328" spans="1:5" x14ac:dyDescent="0.25">
      <c r="A3328" s="2" t="s">
        <v>3224</v>
      </c>
      <c r="B3328" s="2" t="s">
        <v>2528</v>
      </c>
      <c r="C3328" s="2">
        <v>4</v>
      </c>
      <c r="D3328" t="str">
        <f t="shared" si="51"/>
        <v>CA-2016-102561_OFF-PA-10004971</v>
      </c>
      <c r="E3328" t="str">
        <f>IF(COUNTIF(data2!$D:$D,D3328)=0,"Missing in Data2","Present")</f>
        <v>Present</v>
      </c>
    </row>
    <row r="3329" spans="1:5" x14ac:dyDescent="0.25">
      <c r="A3329" s="2" t="s">
        <v>3224</v>
      </c>
      <c r="B3329" s="2" t="s">
        <v>2565</v>
      </c>
      <c r="C3329" s="2">
        <v>10</v>
      </c>
      <c r="D3329" t="str">
        <f t="shared" si="51"/>
        <v>CA-2016-102561_OFF-ST-10001476</v>
      </c>
      <c r="E3329" t="str">
        <f>IF(COUNTIF(data2!$D:$D,D3329)=0,"Missing in Data2","Present")</f>
        <v>Present</v>
      </c>
    </row>
    <row r="3330" spans="1:5" x14ac:dyDescent="0.25">
      <c r="A3330" s="2" t="s">
        <v>3225</v>
      </c>
      <c r="B3330" s="2" t="s">
        <v>993</v>
      </c>
      <c r="C3330" s="2">
        <v>6</v>
      </c>
      <c r="D3330" t="str">
        <f t="shared" si="51"/>
        <v>CA-2016-102596_OFF-FA-10000621</v>
      </c>
      <c r="E3330" t="str">
        <f>IF(COUNTIF(data2!$D:$D,D3330)=0,"Missing in Data2","Present")</f>
        <v>Present</v>
      </c>
    </row>
    <row r="3331" spans="1:5" x14ac:dyDescent="0.25">
      <c r="A3331" s="2" t="s">
        <v>3226</v>
      </c>
      <c r="B3331" s="2" t="s">
        <v>58</v>
      </c>
      <c r="C3331" s="2">
        <v>3</v>
      </c>
      <c r="D3331" t="str">
        <f t="shared" ref="D3331:D3394" si="52">A3331&amp;"_"&amp;B3331</f>
        <v>CA-2016-102792_OFF-AR-10004757</v>
      </c>
      <c r="E3331" t="str">
        <f>IF(COUNTIF(data2!$D:$D,D3331)=0,"Missing in Data2","Present")</f>
        <v>Present</v>
      </c>
    </row>
    <row r="3332" spans="1:5" x14ac:dyDescent="0.25">
      <c r="A3332" s="2" t="s">
        <v>3227</v>
      </c>
      <c r="B3332" s="2" t="s">
        <v>2884</v>
      </c>
      <c r="C3332" s="2">
        <v>5</v>
      </c>
      <c r="D3332" t="str">
        <f t="shared" si="52"/>
        <v>CA-2016-102813_FUR-CH-10000665</v>
      </c>
      <c r="E3332" t="str">
        <f>IF(COUNTIF(data2!$D:$D,D3332)=0,"Missing in Data2","Present")</f>
        <v>Present</v>
      </c>
    </row>
    <row r="3333" spans="1:5" x14ac:dyDescent="0.25">
      <c r="A3333" s="2" t="s">
        <v>3227</v>
      </c>
      <c r="B3333" s="2" t="s">
        <v>3228</v>
      </c>
      <c r="C3333" s="2">
        <v>8</v>
      </c>
      <c r="D3333" t="str">
        <f t="shared" si="52"/>
        <v>CA-2016-102813_OFF-PA-10000520</v>
      </c>
      <c r="E3333" t="str">
        <f>IF(COUNTIF(data2!$D:$D,D3333)=0,"Missing in Data2","Present")</f>
        <v>Present</v>
      </c>
    </row>
    <row r="3334" spans="1:5" x14ac:dyDescent="0.25">
      <c r="A3334" s="2" t="s">
        <v>3229</v>
      </c>
      <c r="B3334" s="2" t="s">
        <v>1651</v>
      </c>
      <c r="C3334" s="2">
        <v>6</v>
      </c>
      <c r="D3334" t="str">
        <f t="shared" si="52"/>
        <v>CA-2016-102932_OFF-BI-10000756</v>
      </c>
      <c r="E3334" t="str">
        <f>IF(COUNTIF(data2!$D:$D,D3334)=0,"Missing in Data2","Present")</f>
        <v>Present</v>
      </c>
    </row>
    <row r="3335" spans="1:5" x14ac:dyDescent="0.25">
      <c r="A3335" s="2" t="s">
        <v>3229</v>
      </c>
      <c r="B3335" s="2" t="s">
        <v>1822</v>
      </c>
      <c r="C3335" s="2">
        <v>3</v>
      </c>
      <c r="D3335" t="str">
        <f t="shared" si="52"/>
        <v>CA-2016-102932_OFF-SU-10000381</v>
      </c>
      <c r="E3335" t="str">
        <f>IF(COUNTIF(data2!$D:$D,D3335)=0,"Missing in Data2","Present")</f>
        <v>Present</v>
      </c>
    </row>
    <row r="3336" spans="1:5" x14ac:dyDescent="0.25">
      <c r="A3336" s="2" t="s">
        <v>3230</v>
      </c>
      <c r="B3336" s="2" t="s">
        <v>2465</v>
      </c>
      <c r="C3336" s="2">
        <v>3</v>
      </c>
      <c r="D3336" t="str">
        <f t="shared" si="52"/>
        <v>CA-2016-102981_FUR-BO-10001811</v>
      </c>
      <c r="E3336" t="str">
        <f>IF(COUNTIF(data2!$D:$D,D3336)=0,"Missing in Data2","Present")</f>
        <v>Present</v>
      </c>
    </row>
    <row r="3337" spans="1:5" x14ac:dyDescent="0.25">
      <c r="A3337" s="2" t="s">
        <v>3230</v>
      </c>
      <c r="B3337" s="2" t="s">
        <v>2025</v>
      </c>
      <c r="C3337" s="2">
        <v>2</v>
      </c>
      <c r="D3337" t="str">
        <f t="shared" si="52"/>
        <v>CA-2016-102981_TEC-AC-10004761</v>
      </c>
      <c r="E3337" t="str">
        <f>IF(COUNTIF(data2!$D:$D,D3337)=0,"Missing in Data2","Present")</f>
        <v>Missing in Data2</v>
      </c>
    </row>
    <row r="3338" spans="1:5" x14ac:dyDescent="0.25">
      <c r="A3338" s="2" t="s">
        <v>3231</v>
      </c>
      <c r="B3338" s="2" t="s">
        <v>3232</v>
      </c>
      <c r="C3338" s="2">
        <v>4</v>
      </c>
      <c r="D3338" t="str">
        <f t="shared" si="52"/>
        <v>CA-2016-103037_OFF-LA-10004345</v>
      </c>
      <c r="E3338" t="str">
        <f>IF(COUNTIF(data2!$D:$D,D3338)=0,"Missing in Data2","Present")</f>
        <v>Present</v>
      </c>
    </row>
    <row r="3339" spans="1:5" x14ac:dyDescent="0.25">
      <c r="A3339" s="2" t="s">
        <v>3233</v>
      </c>
      <c r="B3339" s="2" t="s">
        <v>339</v>
      </c>
      <c r="C3339" s="2">
        <v>5</v>
      </c>
      <c r="D3339" t="str">
        <f t="shared" si="52"/>
        <v>CA-2016-103107_FUR-FU-10000221</v>
      </c>
      <c r="E3339" t="str">
        <f>IF(COUNTIF(data2!$D:$D,D3339)=0,"Missing in Data2","Present")</f>
        <v>Present</v>
      </c>
    </row>
    <row r="3340" spans="1:5" x14ac:dyDescent="0.25">
      <c r="A3340" s="2" t="s">
        <v>3233</v>
      </c>
      <c r="B3340" s="2" t="s">
        <v>2968</v>
      </c>
      <c r="C3340" s="2">
        <v>3</v>
      </c>
      <c r="D3340" t="str">
        <f t="shared" si="52"/>
        <v>CA-2016-103107_TEC-PH-10001198</v>
      </c>
      <c r="E3340" t="str">
        <f>IF(COUNTIF(data2!$D:$D,D3340)=0,"Missing in Data2","Present")</f>
        <v>Present</v>
      </c>
    </row>
    <row r="3341" spans="1:5" x14ac:dyDescent="0.25">
      <c r="A3341" s="2" t="s">
        <v>3233</v>
      </c>
      <c r="B3341" s="2" t="s">
        <v>2159</v>
      </c>
      <c r="C3341" s="2">
        <v>3</v>
      </c>
      <c r="D3341" t="str">
        <f t="shared" si="52"/>
        <v>CA-2016-103107_TEC-PH-10002564</v>
      </c>
      <c r="E3341" t="str">
        <f>IF(COUNTIF(data2!$D:$D,D3341)=0,"Missing in Data2","Present")</f>
        <v>Present</v>
      </c>
    </row>
    <row r="3342" spans="1:5" x14ac:dyDescent="0.25">
      <c r="A3342" s="2" t="s">
        <v>3234</v>
      </c>
      <c r="B3342" s="2" t="s">
        <v>1047</v>
      </c>
      <c r="C3342" s="2">
        <v>6</v>
      </c>
      <c r="D3342" t="str">
        <f t="shared" si="52"/>
        <v>CA-2016-103128_OFF-AR-10003394</v>
      </c>
      <c r="E3342" t="str">
        <f>IF(COUNTIF(data2!$D:$D,D3342)=0,"Missing in Data2","Present")</f>
        <v>Present</v>
      </c>
    </row>
    <row r="3343" spans="1:5" x14ac:dyDescent="0.25">
      <c r="A3343" s="2" t="s">
        <v>3235</v>
      </c>
      <c r="B3343" s="2" t="s">
        <v>390</v>
      </c>
      <c r="C3343" s="2">
        <v>1</v>
      </c>
      <c r="D3343" t="str">
        <f t="shared" si="52"/>
        <v>CA-2016-103163_OFF-BI-10003305</v>
      </c>
      <c r="E3343" t="str">
        <f>IF(COUNTIF(data2!$D:$D,D3343)=0,"Missing in Data2","Present")</f>
        <v>Present</v>
      </c>
    </row>
    <row r="3344" spans="1:5" x14ac:dyDescent="0.25">
      <c r="A3344" s="2" t="s">
        <v>3235</v>
      </c>
      <c r="B3344" s="2" t="s">
        <v>1811</v>
      </c>
      <c r="C3344" s="2">
        <v>1</v>
      </c>
      <c r="D3344" t="str">
        <f t="shared" si="52"/>
        <v>CA-2016-103163_OFF-PA-10004000</v>
      </c>
      <c r="E3344" t="str">
        <f>IF(COUNTIF(data2!$D:$D,D3344)=0,"Missing in Data2","Present")</f>
        <v>Present</v>
      </c>
    </row>
    <row r="3345" spans="1:5" x14ac:dyDescent="0.25">
      <c r="A3345" s="2" t="s">
        <v>3236</v>
      </c>
      <c r="B3345" s="2" t="s">
        <v>137</v>
      </c>
      <c r="C3345" s="2">
        <v>2</v>
      </c>
      <c r="D3345" t="str">
        <f t="shared" si="52"/>
        <v>CA-2016-103359_OFF-BI-10004233</v>
      </c>
      <c r="E3345" t="str">
        <f>IF(COUNTIF(data2!$D:$D,D3345)=0,"Missing in Data2","Present")</f>
        <v>Present</v>
      </c>
    </row>
    <row r="3346" spans="1:5" x14ac:dyDescent="0.25">
      <c r="A3346" s="2" t="s">
        <v>3237</v>
      </c>
      <c r="B3346" s="2" t="s">
        <v>345</v>
      </c>
      <c r="C3346" s="2">
        <v>5</v>
      </c>
      <c r="D3346" t="str">
        <f t="shared" si="52"/>
        <v>CA-2016-103464_TEC-AC-10002842</v>
      </c>
      <c r="E3346" t="str">
        <f>IF(COUNTIF(data2!$D:$D,D3346)=0,"Missing in Data2","Present")</f>
        <v>Present</v>
      </c>
    </row>
    <row r="3347" spans="1:5" x14ac:dyDescent="0.25">
      <c r="A3347" s="2" t="s">
        <v>3238</v>
      </c>
      <c r="B3347" s="2" t="s">
        <v>904</v>
      </c>
      <c r="C3347" s="2">
        <v>2</v>
      </c>
      <c r="D3347" t="str">
        <f t="shared" si="52"/>
        <v>CA-2016-103709_OFF-AR-10003338</v>
      </c>
      <c r="E3347" t="str">
        <f>IF(COUNTIF(data2!$D:$D,D3347)=0,"Missing in Data2","Present")</f>
        <v>Present</v>
      </c>
    </row>
    <row r="3348" spans="1:5" x14ac:dyDescent="0.25">
      <c r="A3348" s="2" t="s">
        <v>3238</v>
      </c>
      <c r="B3348" s="2" t="s">
        <v>837</v>
      </c>
      <c r="C3348" s="2">
        <v>8</v>
      </c>
      <c r="D3348" t="str">
        <f t="shared" si="52"/>
        <v>CA-2016-103709_OFF-PA-10004610</v>
      </c>
      <c r="E3348" t="str">
        <f>IF(COUNTIF(data2!$D:$D,D3348)=0,"Missing in Data2","Present")</f>
        <v>Present</v>
      </c>
    </row>
    <row r="3349" spans="1:5" x14ac:dyDescent="0.25">
      <c r="A3349" s="2" t="s">
        <v>3238</v>
      </c>
      <c r="B3349" s="2" t="s">
        <v>2653</v>
      </c>
      <c r="C3349" s="2">
        <v>2</v>
      </c>
      <c r="D3349" t="str">
        <f t="shared" si="52"/>
        <v>CA-2016-103709_OFF-ST-10001272</v>
      </c>
      <c r="E3349" t="str">
        <f>IF(COUNTIF(data2!$D:$D,D3349)=0,"Missing in Data2","Present")</f>
        <v>Present</v>
      </c>
    </row>
    <row r="3350" spans="1:5" x14ac:dyDescent="0.25">
      <c r="A3350" s="2" t="s">
        <v>3239</v>
      </c>
      <c r="B3350" s="2" t="s">
        <v>2498</v>
      </c>
      <c r="C3350" s="2">
        <v>3</v>
      </c>
      <c r="D3350" t="str">
        <f t="shared" si="52"/>
        <v>CA-2016-103730_FUR-FU-10002157</v>
      </c>
      <c r="E3350" t="str">
        <f>IF(COUNTIF(data2!$D:$D,D3350)=0,"Missing in Data2","Present")</f>
        <v>Present</v>
      </c>
    </row>
    <row r="3351" spans="1:5" x14ac:dyDescent="0.25">
      <c r="A3351" s="2" t="s">
        <v>3239</v>
      </c>
      <c r="B3351" s="2" t="s">
        <v>546</v>
      </c>
      <c r="C3351" s="2">
        <v>4</v>
      </c>
      <c r="D3351" t="str">
        <f t="shared" si="52"/>
        <v>CA-2016-103730_OFF-BI-10003910</v>
      </c>
      <c r="E3351" t="str">
        <f>IF(COUNTIF(data2!$D:$D,D3351)=0,"Missing in Data2","Present")</f>
        <v>Present</v>
      </c>
    </row>
    <row r="3352" spans="1:5" x14ac:dyDescent="0.25">
      <c r="A3352" s="2" t="s">
        <v>3239</v>
      </c>
      <c r="B3352" s="2" t="s">
        <v>758</v>
      </c>
      <c r="C3352" s="2">
        <v>9</v>
      </c>
      <c r="D3352" t="str">
        <f t="shared" si="52"/>
        <v>CA-2016-103730_OFF-EN-10002500</v>
      </c>
      <c r="E3352" t="str">
        <f>IF(COUNTIF(data2!$D:$D,D3352)=0,"Missing in Data2","Present")</f>
        <v>Present</v>
      </c>
    </row>
    <row r="3353" spans="1:5" x14ac:dyDescent="0.25">
      <c r="A3353" s="2" t="s">
        <v>3239</v>
      </c>
      <c r="B3353" s="2" t="s">
        <v>202</v>
      </c>
      <c r="C3353" s="2">
        <v>6</v>
      </c>
      <c r="D3353" t="str">
        <f t="shared" si="52"/>
        <v>CA-2016-103730_OFF-ST-10000777</v>
      </c>
      <c r="E3353" t="str">
        <f>IF(COUNTIF(data2!$D:$D,D3353)=0,"Missing in Data2","Present")</f>
        <v>Present</v>
      </c>
    </row>
    <row r="3354" spans="1:5" x14ac:dyDescent="0.25">
      <c r="A3354" s="2" t="s">
        <v>3239</v>
      </c>
      <c r="B3354" s="2" t="s">
        <v>2347</v>
      </c>
      <c r="C3354" s="2">
        <v>7</v>
      </c>
      <c r="D3354" t="str">
        <f t="shared" si="52"/>
        <v>CA-2016-103730_TEC-PH-10003875</v>
      </c>
      <c r="E3354" t="str">
        <f>IF(COUNTIF(data2!$D:$D,D3354)=0,"Missing in Data2","Present")</f>
        <v>Present</v>
      </c>
    </row>
    <row r="3355" spans="1:5" x14ac:dyDescent="0.25">
      <c r="A3355" s="2" t="s">
        <v>3240</v>
      </c>
      <c r="B3355" s="2" t="s">
        <v>783</v>
      </c>
      <c r="C3355" s="2">
        <v>6</v>
      </c>
      <c r="D3355" t="str">
        <f t="shared" si="52"/>
        <v>CA-2016-103891_TEC-PH-10000149</v>
      </c>
      <c r="E3355" t="str">
        <f>IF(COUNTIF(data2!$D:$D,D3355)=0,"Missing in Data2","Present")</f>
        <v>Present</v>
      </c>
    </row>
    <row r="3356" spans="1:5" x14ac:dyDescent="0.25">
      <c r="A3356" s="2" t="s">
        <v>3241</v>
      </c>
      <c r="B3356" s="2" t="s">
        <v>1411</v>
      </c>
      <c r="C3356" s="2">
        <v>5</v>
      </c>
      <c r="D3356" t="str">
        <f t="shared" si="52"/>
        <v>CA-2016-103919_FUR-FU-10001756</v>
      </c>
      <c r="E3356" t="str">
        <f>IF(COUNTIF(data2!$D:$D,D3356)=0,"Missing in Data2","Present")</f>
        <v>Present</v>
      </c>
    </row>
    <row r="3357" spans="1:5" x14ac:dyDescent="0.25">
      <c r="A3357" s="2" t="s">
        <v>3242</v>
      </c>
      <c r="B3357" s="2" t="s">
        <v>514</v>
      </c>
      <c r="C3357" s="2">
        <v>2</v>
      </c>
      <c r="D3357" t="str">
        <f t="shared" si="52"/>
        <v>CA-2016-103947_OFF-AP-10002350</v>
      </c>
      <c r="E3357" t="str">
        <f>IF(COUNTIF(data2!$D:$D,D3357)=0,"Missing in Data2","Present")</f>
        <v>Present</v>
      </c>
    </row>
    <row r="3358" spans="1:5" x14ac:dyDescent="0.25">
      <c r="A3358" s="2" t="s">
        <v>3242</v>
      </c>
      <c r="B3358" s="2" t="s">
        <v>1320</v>
      </c>
      <c r="C3358" s="2">
        <v>5</v>
      </c>
      <c r="D3358" t="str">
        <f t="shared" si="52"/>
        <v>CA-2016-103947_OFF-FA-10003112</v>
      </c>
      <c r="E3358" t="str">
        <f>IF(COUNTIF(data2!$D:$D,D3358)=0,"Missing in Data2","Present")</f>
        <v>Present</v>
      </c>
    </row>
    <row r="3359" spans="1:5" x14ac:dyDescent="0.25">
      <c r="A3359" s="2" t="s">
        <v>3243</v>
      </c>
      <c r="B3359" s="2" t="s">
        <v>2814</v>
      </c>
      <c r="C3359" s="2">
        <v>1</v>
      </c>
      <c r="D3359" t="str">
        <f t="shared" si="52"/>
        <v>CA-2016-103982_OFF-FA-10001332</v>
      </c>
      <c r="E3359" t="str">
        <f>IF(COUNTIF(data2!$D:$D,D3359)=0,"Missing in Data2","Present")</f>
        <v>Present</v>
      </c>
    </row>
    <row r="3360" spans="1:5" x14ac:dyDescent="0.25">
      <c r="A3360" s="2" t="s">
        <v>3243</v>
      </c>
      <c r="B3360" s="2" t="s">
        <v>1294</v>
      </c>
      <c r="C3360" s="2">
        <v>3</v>
      </c>
      <c r="D3360" t="str">
        <f t="shared" si="52"/>
        <v>CA-2016-103982_OFF-SU-10000151</v>
      </c>
      <c r="E3360" t="str">
        <f>IF(COUNTIF(data2!$D:$D,D3360)=0,"Missing in Data2","Present")</f>
        <v>Present</v>
      </c>
    </row>
    <row r="3361" spans="1:5" x14ac:dyDescent="0.25">
      <c r="A3361" s="2" t="s">
        <v>3243</v>
      </c>
      <c r="B3361" s="2" t="s">
        <v>786</v>
      </c>
      <c r="C3361" s="2">
        <v>7</v>
      </c>
      <c r="D3361" t="str">
        <f t="shared" si="52"/>
        <v>CA-2016-103982_TEC-AC-10002857</v>
      </c>
      <c r="E3361" t="str">
        <f>IF(COUNTIF(data2!$D:$D,D3361)=0,"Missing in Data2","Present")</f>
        <v>Present</v>
      </c>
    </row>
    <row r="3362" spans="1:5" x14ac:dyDescent="0.25">
      <c r="A3362" s="2" t="s">
        <v>3243</v>
      </c>
      <c r="B3362" s="2" t="s">
        <v>148</v>
      </c>
      <c r="C3362" s="2">
        <v>3</v>
      </c>
      <c r="D3362" t="str">
        <f t="shared" si="52"/>
        <v>CA-2016-103982_TEC-PH-10000895</v>
      </c>
      <c r="E3362" t="str">
        <f>IF(COUNTIF(data2!$D:$D,D3362)=0,"Missing in Data2","Present")</f>
        <v>Missing in Data2</v>
      </c>
    </row>
    <row r="3363" spans="1:5" x14ac:dyDescent="0.25">
      <c r="A3363" s="2" t="s">
        <v>3244</v>
      </c>
      <c r="B3363" s="2" t="s">
        <v>531</v>
      </c>
      <c r="C3363" s="2">
        <v>3</v>
      </c>
      <c r="D3363" t="str">
        <f t="shared" si="52"/>
        <v>CA-2016-104150_OFF-EN-10002504</v>
      </c>
      <c r="E3363" t="str">
        <f>IF(COUNTIF(data2!$D:$D,D3363)=0,"Missing in Data2","Present")</f>
        <v>Present</v>
      </c>
    </row>
    <row r="3364" spans="1:5" x14ac:dyDescent="0.25">
      <c r="A3364" s="2" t="s">
        <v>3245</v>
      </c>
      <c r="B3364" s="2" t="s">
        <v>3246</v>
      </c>
      <c r="C3364" s="2">
        <v>8</v>
      </c>
      <c r="D3364" t="str">
        <f t="shared" si="52"/>
        <v>CA-2016-104157_FUR-TA-10004915</v>
      </c>
      <c r="E3364" t="str">
        <f>IF(COUNTIF(data2!$D:$D,D3364)=0,"Missing in Data2","Present")</f>
        <v>Present</v>
      </c>
    </row>
    <row r="3365" spans="1:5" x14ac:dyDescent="0.25">
      <c r="A3365" s="2" t="s">
        <v>3245</v>
      </c>
      <c r="B3365" s="2" t="s">
        <v>834</v>
      </c>
      <c r="C3365" s="2">
        <v>5</v>
      </c>
      <c r="D3365" t="str">
        <f t="shared" si="52"/>
        <v>CA-2016-104157_OFF-PA-10004665</v>
      </c>
      <c r="E3365" t="str">
        <f>IF(COUNTIF(data2!$D:$D,D3365)=0,"Missing in Data2","Present")</f>
        <v>Present</v>
      </c>
    </row>
    <row r="3366" spans="1:5" x14ac:dyDescent="0.25">
      <c r="A3366" s="2" t="s">
        <v>3245</v>
      </c>
      <c r="B3366" s="2" t="s">
        <v>1423</v>
      </c>
      <c r="C3366" s="2">
        <v>1</v>
      </c>
      <c r="D3366" t="str">
        <f t="shared" si="52"/>
        <v>CA-2016-104157_OFF-ST-10000321</v>
      </c>
      <c r="E3366" t="str">
        <f>IF(COUNTIF(data2!$D:$D,D3366)=0,"Missing in Data2","Present")</f>
        <v>Present</v>
      </c>
    </row>
    <row r="3367" spans="1:5" x14ac:dyDescent="0.25">
      <c r="A3367" s="2" t="s">
        <v>3247</v>
      </c>
      <c r="B3367" s="2" t="s">
        <v>1663</v>
      </c>
      <c r="C3367" s="2">
        <v>1</v>
      </c>
      <c r="D3367" t="str">
        <f t="shared" si="52"/>
        <v>CA-2016-104276_TEC-PH-10001944</v>
      </c>
      <c r="E3367" t="str">
        <f>IF(COUNTIF(data2!$D:$D,D3367)=0,"Missing in Data2","Present")</f>
        <v>Present</v>
      </c>
    </row>
    <row r="3368" spans="1:5" x14ac:dyDescent="0.25">
      <c r="A3368" s="2" t="s">
        <v>3248</v>
      </c>
      <c r="B3368" s="2" t="s">
        <v>3249</v>
      </c>
      <c r="C3368" s="2">
        <v>2</v>
      </c>
      <c r="D3368" t="str">
        <f t="shared" si="52"/>
        <v>CA-2016-104311_OFF-LA-10000973</v>
      </c>
      <c r="E3368" t="str">
        <f>IF(COUNTIF(data2!$D:$D,D3368)=0,"Missing in Data2","Present")</f>
        <v>Present</v>
      </c>
    </row>
    <row r="3369" spans="1:5" x14ac:dyDescent="0.25">
      <c r="A3369" s="2" t="s">
        <v>3248</v>
      </c>
      <c r="B3369" s="2" t="s">
        <v>1423</v>
      </c>
      <c r="C3369" s="2">
        <v>3</v>
      </c>
      <c r="D3369" t="str">
        <f t="shared" si="52"/>
        <v>CA-2016-104311_OFF-ST-10000321</v>
      </c>
      <c r="E3369" t="str">
        <f>IF(COUNTIF(data2!$D:$D,D3369)=0,"Missing in Data2","Present")</f>
        <v>Present</v>
      </c>
    </row>
    <row r="3370" spans="1:5" x14ac:dyDescent="0.25">
      <c r="A3370" s="2" t="s">
        <v>3248</v>
      </c>
      <c r="B3370" s="2" t="s">
        <v>1045</v>
      </c>
      <c r="C3370" s="2">
        <v>3</v>
      </c>
      <c r="D3370" t="str">
        <f t="shared" si="52"/>
        <v>CA-2016-104311_OFF-ST-10002957</v>
      </c>
      <c r="E3370" t="str">
        <f>IF(COUNTIF(data2!$D:$D,D3370)=0,"Missing in Data2","Present")</f>
        <v>Present</v>
      </c>
    </row>
    <row r="3371" spans="1:5" x14ac:dyDescent="0.25">
      <c r="A3371" s="2" t="s">
        <v>3250</v>
      </c>
      <c r="B3371" s="2" t="s">
        <v>3168</v>
      </c>
      <c r="C3371" s="2">
        <v>6</v>
      </c>
      <c r="D3371" t="str">
        <f t="shared" si="52"/>
        <v>CA-2016-104633_OFF-PA-10000241</v>
      </c>
      <c r="E3371" t="str">
        <f>IF(COUNTIF(data2!$D:$D,D3371)=0,"Missing in Data2","Present")</f>
        <v>Present</v>
      </c>
    </row>
    <row r="3372" spans="1:5" x14ac:dyDescent="0.25">
      <c r="A3372" s="2" t="s">
        <v>3250</v>
      </c>
      <c r="B3372" s="2" t="s">
        <v>2838</v>
      </c>
      <c r="C3372" s="2">
        <v>2</v>
      </c>
      <c r="D3372" t="str">
        <f t="shared" si="52"/>
        <v>CA-2016-104633_OFF-PA-10004782</v>
      </c>
      <c r="E3372" t="str">
        <f>IF(COUNTIF(data2!$D:$D,D3372)=0,"Missing in Data2","Present")</f>
        <v>Present</v>
      </c>
    </row>
    <row r="3373" spans="1:5" x14ac:dyDescent="0.25">
      <c r="A3373" s="2" t="s">
        <v>3251</v>
      </c>
      <c r="B3373" s="2" t="s">
        <v>681</v>
      </c>
      <c r="C3373" s="2">
        <v>8</v>
      </c>
      <c r="D3373" t="str">
        <f t="shared" si="52"/>
        <v>CA-2016-104689_OFF-AR-10001149</v>
      </c>
      <c r="E3373" t="str">
        <f>IF(COUNTIF(data2!$D:$D,D3373)=0,"Missing in Data2","Present")</f>
        <v>Present</v>
      </c>
    </row>
    <row r="3374" spans="1:5" x14ac:dyDescent="0.25">
      <c r="A3374" s="2" t="s">
        <v>3252</v>
      </c>
      <c r="B3374" s="2" t="s">
        <v>2608</v>
      </c>
      <c r="C3374" s="2">
        <v>6</v>
      </c>
      <c r="D3374" t="str">
        <f t="shared" si="52"/>
        <v>CA-2016-104969_OFF-BI-10004224</v>
      </c>
      <c r="E3374" t="str">
        <f>IF(COUNTIF(data2!$D:$D,D3374)=0,"Missing in Data2","Present")</f>
        <v>Present</v>
      </c>
    </row>
    <row r="3375" spans="1:5" x14ac:dyDescent="0.25">
      <c r="A3375" s="2" t="s">
        <v>3252</v>
      </c>
      <c r="B3375" s="2" t="s">
        <v>3221</v>
      </c>
      <c r="C3375" s="2">
        <v>1</v>
      </c>
      <c r="D3375" t="str">
        <f t="shared" si="52"/>
        <v>CA-2016-104969_OFF-EN-10002312</v>
      </c>
      <c r="E3375" t="str">
        <f>IF(COUNTIF(data2!$D:$D,D3375)=0,"Missing in Data2","Present")</f>
        <v>Present</v>
      </c>
    </row>
    <row r="3376" spans="1:5" x14ac:dyDescent="0.25">
      <c r="A3376" s="2" t="s">
        <v>3253</v>
      </c>
      <c r="B3376" s="2" t="s">
        <v>1273</v>
      </c>
      <c r="C3376" s="2">
        <v>5</v>
      </c>
      <c r="D3376" t="str">
        <f t="shared" si="52"/>
        <v>CA-2016-104983_OFF-PA-10000167</v>
      </c>
      <c r="E3376" t="str">
        <f>IF(COUNTIF(data2!$D:$D,D3376)=0,"Missing in Data2","Present")</f>
        <v>Present</v>
      </c>
    </row>
    <row r="3377" spans="1:5" x14ac:dyDescent="0.25">
      <c r="A3377" s="2" t="s">
        <v>3254</v>
      </c>
      <c r="B3377" s="2" t="s">
        <v>1605</v>
      </c>
      <c r="C3377" s="2">
        <v>2</v>
      </c>
      <c r="D3377" t="str">
        <f t="shared" si="52"/>
        <v>CA-2016-105018_OFF-BI-10001890</v>
      </c>
      <c r="E3377" t="str">
        <f>IF(COUNTIF(data2!$D:$D,D3377)=0,"Missing in Data2","Present")</f>
        <v>Present</v>
      </c>
    </row>
    <row r="3378" spans="1:5" x14ac:dyDescent="0.25">
      <c r="A3378" s="2" t="s">
        <v>3255</v>
      </c>
      <c r="B3378" s="2" t="s">
        <v>233</v>
      </c>
      <c r="C3378" s="2">
        <v>3</v>
      </c>
      <c r="D3378" t="str">
        <f t="shared" si="52"/>
        <v>CA-2016-105081_FUR-CH-10000847</v>
      </c>
      <c r="E3378" t="str">
        <f>IF(COUNTIF(data2!$D:$D,D3378)=0,"Missing in Data2","Present")</f>
        <v>Present</v>
      </c>
    </row>
    <row r="3379" spans="1:5" x14ac:dyDescent="0.25">
      <c r="A3379" s="2" t="s">
        <v>3255</v>
      </c>
      <c r="B3379" s="2" t="s">
        <v>3020</v>
      </c>
      <c r="C3379" s="2">
        <v>5</v>
      </c>
      <c r="D3379" t="str">
        <f t="shared" si="52"/>
        <v>CA-2016-105081_FUR-TA-10001307</v>
      </c>
      <c r="E3379" t="str">
        <f>IF(COUNTIF(data2!$D:$D,D3379)=0,"Missing in Data2","Present")</f>
        <v>Present</v>
      </c>
    </row>
    <row r="3380" spans="1:5" x14ac:dyDescent="0.25">
      <c r="A3380" s="2" t="s">
        <v>3256</v>
      </c>
      <c r="B3380" s="2" t="s">
        <v>432</v>
      </c>
      <c r="C3380" s="2">
        <v>2</v>
      </c>
      <c r="D3380" t="str">
        <f t="shared" si="52"/>
        <v>CA-2016-105207_OFF-BI-10004364</v>
      </c>
      <c r="E3380" t="str">
        <f>IF(COUNTIF(data2!$D:$D,D3380)=0,"Missing in Data2","Present")</f>
        <v>Present</v>
      </c>
    </row>
    <row r="3381" spans="1:5" x14ac:dyDescent="0.25">
      <c r="A3381" s="2" t="s">
        <v>3257</v>
      </c>
      <c r="B3381" s="2" t="s">
        <v>602</v>
      </c>
      <c r="C3381" s="2">
        <v>5</v>
      </c>
      <c r="D3381" t="str">
        <f t="shared" si="52"/>
        <v>CA-2016-105256_TEC-PH-10001530</v>
      </c>
      <c r="E3381" t="str">
        <f>IF(COUNTIF(data2!$D:$D,D3381)=0,"Missing in Data2","Present")</f>
        <v>Present</v>
      </c>
    </row>
    <row r="3382" spans="1:5" x14ac:dyDescent="0.25">
      <c r="A3382" s="2" t="s">
        <v>3258</v>
      </c>
      <c r="B3382" s="2" t="s">
        <v>236</v>
      </c>
      <c r="C3382" s="2">
        <v>9</v>
      </c>
      <c r="D3382" t="str">
        <f t="shared" si="52"/>
        <v>CA-2016-105263_OFF-AR-10002399</v>
      </c>
      <c r="E3382" t="str">
        <f>IF(COUNTIF(data2!$D:$D,D3382)=0,"Missing in Data2","Present")</f>
        <v>Present</v>
      </c>
    </row>
    <row r="3383" spans="1:5" x14ac:dyDescent="0.25">
      <c r="A3383" s="2" t="s">
        <v>3259</v>
      </c>
      <c r="B3383" s="2" t="s">
        <v>3260</v>
      </c>
      <c r="C3383" s="2">
        <v>3</v>
      </c>
      <c r="D3383" t="str">
        <f t="shared" si="52"/>
        <v>CA-2016-105277_OFF-BI-10000301</v>
      </c>
      <c r="E3383" t="str">
        <f>IF(COUNTIF(data2!$D:$D,D3383)=0,"Missing in Data2","Present")</f>
        <v>Present</v>
      </c>
    </row>
    <row r="3384" spans="1:5" x14ac:dyDescent="0.25">
      <c r="A3384" s="2" t="s">
        <v>3261</v>
      </c>
      <c r="B3384" s="2" t="s">
        <v>1395</v>
      </c>
      <c r="C3384" s="2">
        <v>2</v>
      </c>
      <c r="D3384" t="str">
        <f t="shared" si="52"/>
        <v>CA-2016-105291_OFF-FA-10003059</v>
      </c>
      <c r="E3384" t="str">
        <f>IF(COUNTIF(data2!$D:$D,D3384)=0,"Missing in Data2","Present")</f>
        <v>Missing in Data2</v>
      </c>
    </row>
    <row r="3385" spans="1:5" x14ac:dyDescent="0.25">
      <c r="A3385" s="2" t="s">
        <v>3262</v>
      </c>
      <c r="B3385" s="2" t="s">
        <v>534</v>
      </c>
      <c r="C3385" s="2">
        <v>8</v>
      </c>
      <c r="D3385" t="str">
        <f t="shared" si="52"/>
        <v>CA-2016-105354_OFF-BI-10001107</v>
      </c>
      <c r="E3385" t="str">
        <f>IF(COUNTIF(data2!$D:$D,D3385)=0,"Missing in Data2","Present")</f>
        <v>Present</v>
      </c>
    </row>
    <row r="3386" spans="1:5" x14ac:dyDescent="0.25">
      <c r="A3386" s="2" t="s">
        <v>3263</v>
      </c>
      <c r="B3386" s="2" t="s">
        <v>2635</v>
      </c>
      <c r="C3386" s="2">
        <v>2</v>
      </c>
      <c r="D3386" t="str">
        <f t="shared" si="52"/>
        <v>CA-2016-105459_FUR-TA-10001095</v>
      </c>
      <c r="E3386" t="str">
        <f>IF(COUNTIF(data2!$D:$D,D3386)=0,"Missing in Data2","Present")</f>
        <v>Present</v>
      </c>
    </row>
    <row r="3387" spans="1:5" x14ac:dyDescent="0.25">
      <c r="A3387" s="2" t="s">
        <v>3263</v>
      </c>
      <c r="B3387" s="2" t="s">
        <v>835</v>
      </c>
      <c r="C3387" s="2">
        <v>6</v>
      </c>
      <c r="D3387" t="str">
        <f t="shared" si="52"/>
        <v>CA-2016-105459_OFF-ST-10000078</v>
      </c>
      <c r="E3387" t="str">
        <f>IF(COUNTIF(data2!$D:$D,D3387)=0,"Missing in Data2","Present")</f>
        <v>Present</v>
      </c>
    </row>
    <row r="3388" spans="1:5" x14ac:dyDescent="0.25">
      <c r="A3388" s="2" t="s">
        <v>3264</v>
      </c>
      <c r="B3388" s="2" t="s">
        <v>310</v>
      </c>
      <c r="C3388" s="2">
        <v>3</v>
      </c>
      <c r="D3388" t="str">
        <f t="shared" si="52"/>
        <v>CA-2016-105473_OFF-SU-10003567</v>
      </c>
      <c r="E3388" t="str">
        <f>IF(COUNTIF(data2!$D:$D,D3388)=0,"Missing in Data2","Present")</f>
        <v>Present</v>
      </c>
    </row>
    <row r="3389" spans="1:5" x14ac:dyDescent="0.25">
      <c r="A3389" s="2" t="s">
        <v>3265</v>
      </c>
      <c r="B3389" s="2" t="s">
        <v>2638</v>
      </c>
      <c r="C3389" s="2">
        <v>3</v>
      </c>
      <c r="D3389" t="str">
        <f t="shared" si="52"/>
        <v>CA-2016-105494_OFF-BI-10003364</v>
      </c>
      <c r="E3389" t="str">
        <f>IF(COUNTIF(data2!$D:$D,D3389)=0,"Missing in Data2","Present")</f>
        <v>Present</v>
      </c>
    </row>
    <row r="3390" spans="1:5" x14ac:dyDescent="0.25">
      <c r="A3390" s="2" t="s">
        <v>3265</v>
      </c>
      <c r="B3390" s="2" t="s">
        <v>3266</v>
      </c>
      <c r="C3390" s="2">
        <v>7</v>
      </c>
      <c r="D3390" t="str">
        <f t="shared" si="52"/>
        <v>CA-2016-105494_OFF-ST-10002205</v>
      </c>
      <c r="E3390" t="str">
        <f>IF(COUNTIF(data2!$D:$D,D3390)=0,"Missing in Data2","Present")</f>
        <v>Present</v>
      </c>
    </row>
    <row r="3391" spans="1:5" x14ac:dyDescent="0.25">
      <c r="A3391" s="2" t="s">
        <v>3267</v>
      </c>
      <c r="B3391" s="2" t="s">
        <v>3268</v>
      </c>
      <c r="C3391" s="2">
        <v>3</v>
      </c>
      <c r="D3391" t="str">
        <f t="shared" si="52"/>
        <v>CA-2016-105585_OFF-FA-10002983</v>
      </c>
      <c r="E3391" t="str">
        <f>IF(COUNTIF(data2!$D:$D,D3391)=0,"Missing in Data2","Present")</f>
        <v>Present</v>
      </c>
    </row>
    <row r="3392" spans="1:5" x14ac:dyDescent="0.25">
      <c r="A3392" s="2" t="s">
        <v>3267</v>
      </c>
      <c r="B3392" s="2" t="s">
        <v>1214</v>
      </c>
      <c r="C3392" s="2">
        <v>5</v>
      </c>
      <c r="D3392" t="str">
        <f t="shared" si="52"/>
        <v>CA-2016-105585_OFF-PA-10003625</v>
      </c>
      <c r="E3392" t="str">
        <f>IF(COUNTIF(data2!$D:$D,D3392)=0,"Missing in Data2","Present")</f>
        <v>Present</v>
      </c>
    </row>
    <row r="3393" spans="1:5" x14ac:dyDescent="0.25">
      <c r="A3393" s="2" t="s">
        <v>3269</v>
      </c>
      <c r="B3393" s="2" t="s">
        <v>3270</v>
      </c>
      <c r="C3393" s="2">
        <v>4</v>
      </c>
      <c r="D3393" t="str">
        <f t="shared" si="52"/>
        <v>CA-2016-105662_OFF-PA-10001001</v>
      </c>
      <c r="E3393" t="str">
        <f>IF(COUNTIF(data2!$D:$D,D3393)=0,"Missing in Data2","Present")</f>
        <v>Present</v>
      </c>
    </row>
    <row r="3394" spans="1:5" x14ac:dyDescent="0.25">
      <c r="A3394" s="2" t="s">
        <v>3269</v>
      </c>
      <c r="B3394" s="2" t="s">
        <v>2968</v>
      </c>
      <c r="C3394" s="2">
        <v>3</v>
      </c>
      <c r="D3394" t="str">
        <f t="shared" si="52"/>
        <v>CA-2016-105662_TEC-PH-10001198</v>
      </c>
      <c r="E3394" t="str">
        <f>IF(COUNTIF(data2!$D:$D,D3394)=0,"Missing in Data2","Present")</f>
        <v>Present</v>
      </c>
    </row>
    <row r="3395" spans="1:5" x14ac:dyDescent="0.25">
      <c r="A3395" s="2" t="s">
        <v>3271</v>
      </c>
      <c r="B3395" s="2" t="s">
        <v>3272</v>
      </c>
      <c r="C3395" s="2">
        <v>14</v>
      </c>
      <c r="D3395" t="str">
        <f t="shared" ref="D3395:D3458" si="53">A3395&amp;"_"&amp;B3395</f>
        <v>CA-2016-105732_FUR-FU-10003664</v>
      </c>
      <c r="E3395" t="str">
        <f>IF(COUNTIF(data2!$D:$D,D3395)=0,"Missing in Data2","Present")</f>
        <v>Present</v>
      </c>
    </row>
    <row r="3396" spans="1:5" x14ac:dyDescent="0.25">
      <c r="A3396" s="2" t="s">
        <v>3271</v>
      </c>
      <c r="B3396" s="2" t="s">
        <v>2622</v>
      </c>
      <c r="C3396" s="2">
        <v>2</v>
      </c>
      <c r="D3396" t="str">
        <f t="shared" si="53"/>
        <v>CA-2016-105732_OFF-AP-10001394</v>
      </c>
      <c r="E3396" t="str">
        <f>IF(COUNTIF(data2!$D:$D,D3396)=0,"Missing in Data2","Present")</f>
        <v>Present</v>
      </c>
    </row>
    <row r="3397" spans="1:5" x14ac:dyDescent="0.25">
      <c r="A3397" s="2" t="s">
        <v>3271</v>
      </c>
      <c r="B3397" s="2" t="s">
        <v>486</v>
      </c>
      <c r="C3397" s="2">
        <v>5</v>
      </c>
      <c r="D3397" t="str">
        <f t="shared" si="53"/>
        <v>CA-2016-105732_OFF-LA-10004559</v>
      </c>
      <c r="E3397" t="str">
        <f>IF(COUNTIF(data2!$D:$D,D3397)=0,"Missing in Data2","Present")</f>
        <v>Present</v>
      </c>
    </row>
    <row r="3398" spans="1:5" x14ac:dyDescent="0.25">
      <c r="A3398" s="2" t="s">
        <v>3271</v>
      </c>
      <c r="B3398" s="2" t="s">
        <v>309</v>
      </c>
      <c r="C3398" s="2">
        <v>3</v>
      </c>
      <c r="D3398" t="str">
        <f t="shared" si="53"/>
        <v>CA-2016-105732_OFF-PA-10001838</v>
      </c>
      <c r="E3398" t="str">
        <f>IF(COUNTIF(data2!$D:$D,D3398)=0,"Missing in Data2","Present")</f>
        <v>Present</v>
      </c>
    </row>
    <row r="3399" spans="1:5" x14ac:dyDescent="0.25">
      <c r="A3399" s="2" t="s">
        <v>3271</v>
      </c>
      <c r="B3399" s="2" t="s">
        <v>2694</v>
      </c>
      <c r="C3399" s="2">
        <v>3</v>
      </c>
      <c r="D3399" t="str">
        <f t="shared" si="53"/>
        <v>CA-2016-105732_OFF-PA-10002250</v>
      </c>
      <c r="E3399" t="str">
        <f>IF(COUNTIF(data2!$D:$D,D3399)=0,"Missing in Data2","Present")</f>
        <v>Present</v>
      </c>
    </row>
    <row r="3400" spans="1:5" x14ac:dyDescent="0.25">
      <c r="A3400" s="2" t="s">
        <v>3271</v>
      </c>
      <c r="B3400" s="2" t="s">
        <v>1360</v>
      </c>
      <c r="C3400" s="2">
        <v>6</v>
      </c>
      <c r="D3400" t="str">
        <f t="shared" si="53"/>
        <v>CA-2016-105732_OFF-ST-10004340</v>
      </c>
      <c r="E3400" t="str">
        <f>IF(COUNTIF(data2!$D:$D,D3400)=0,"Missing in Data2","Present")</f>
        <v>Present</v>
      </c>
    </row>
    <row r="3401" spans="1:5" x14ac:dyDescent="0.25">
      <c r="A3401" s="2" t="s">
        <v>3271</v>
      </c>
      <c r="B3401" s="2" t="s">
        <v>3133</v>
      </c>
      <c r="C3401" s="2">
        <v>2</v>
      </c>
      <c r="D3401" t="str">
        <f t="shared" si="53"/>
        <v>CA-2016-105732_OFF-SU-10004782</v>
      </c>
      <c r="E3401" t="str">
        <f>IF(COUNTIF(data2!$D:$D,D3401)=0,"Missing in Data2","Present")</f>
        <v>Present</v>
      </c>
    </row>
    <row r="3402" spans="1:5" x14ac:dyDescent="0.25">
      <c r="A3402" s="2" t="s">
        <v>3271</v>
      </c>
      <c r="B3402" s="2" t="s">
        <v>989</v>
      </c>
      <c r="C3402" s="2">
        <v>5</v>
      </c>
      <c r="D3402" t="str">
        <f t="shared" si="53"/>
        <v>CA-2016-105732_TEC-PH-10001644</v>
      </c>
      <c r="E3402" t="str">
        <f>IF(COUNTIF(data2!$D:$D,D3402)=0,"Missing in Data2","Present")</f>
        <v>Present</v>
      </c>
    </row>
    <row r="3403" spans="1:5" x14ac:dyDescent="0.25">
      <c r="A3403" s="2" t="s">
        <v>3271</v>
      </c>
      <c r="B3403" s="2" t="s">
        <v>1466</v>
      </c>
      <c r="C3403" s="2">
        <v>3</v>
      </c>
      <c r="D3403" t="str">
        <f t="shared" si="53"/>
        <v>CA-2016-105732_TEC-PH-10004897</v>
      </c>
      <c r="E3403" t="str">
        <f>IF(COUNTIF(data2!$D:$D,D3403)=0,"Missing in Data2","Present")</f>
        <v>Present</v>
      </c>
    </row>
    <row r="3404" spans="1:5" x14ac:dyDescent="0.25">
      <c r="A3404" s="2" t="s">
        <v>3273</v>
      </c>
      <c r="B3404" s="2" t="s">
        <v>297</v>
      </c>
      <c r="C3404" s="2">
        <v>1</v>
      </c>
      <c r="D3404" t="str">
        <f t="shared" si="53"/>
        <v>CA-2016-105746_FUR-CH-10000454</v>
      </c>
      <c r="E3404" t="str">
        <f>IF(COUNTIF(data2!$D:$D,D3404)=0,"Missing in Data2","Present")</f>
        <v>Present</v>
      </c>
    </row>
    <row r="3405" spans="1:5" x14ac:dyDescent="0.25">
      <c r="A3405" s="2" t="s">
        <v>3274</v>
      </c>
      <c r="B3405" s="2" t="s">
        <v>189</v>
      </c>
      <c r="C3405" s="2">
        <v>5</v>
      </c>
      <c r="D3405" t="str">
        <f t="shared" si="53"/>
        <v>CA-2016-105753_FUR-FU-10000246</v>
      </c>
      <c r="E3405" t="str">
        <f>IF(COUNTIF(data2!$D:$D,D3405)=0,"Missing in Data2","Present")</f>
        <v>Present</v>
      </c>
    </row>
    <row r="3406" spans="1:5" x14ac:dyDescent="0.25">
      <c r="A3406" s="2" t="s">
        <v>3275</v>
      </c>
      <c r="B3406" s="2" t="s">
        <v>272</v>
      </c>
      <c r="C3406" s="2">
        <v>2</v>
      </c>
      <c r="D3406" t="str">
        <f t="shared" si="53"/>
        <v>CA-2016-105760_OFF-PA-10000350</v>
      </c>
      <c r="E3406" t="str">
        <f>IF(COUNTIF(data2!$D:$D,D3406)=0,"Missing in Data2","Present")</f>
        <v>Present</v>
      </c>
    </row>
    <row r="3407" spans="1:5" x14ac:dyDescent="0.25">
      <c r="A3407" s="2" t="s">
        <v>3276</v>
      </c>
      <c r="B3407" s="2" t="s">
        <v>3277</v>
      </c>
      <c r="C3407" s="2">
        <v>3</v>
      </c>
      <c r="D3407" t="str">
        <f t="shared" si="53"/>
        <v>CA-2016-105781_FUR-CH-10001802</v>
      </c>
      <c r="E3407" t="str">
        <f>IF(COUNTIF(data2!$D:$D,D3407)=0,"Missing in Data2","Present")</f>
        <v>Present</v>
      </c>
    </row>
    <row r="3408" spans="1:5" x14ac:dyDescent="0.25">
      <c r="A3408" s="2" t="s">
        <v>3276</v>
      </c>
      <c r="B3408" s="2" t="s">
        <v>131</v>
      </c>
      <c r="C3408" s="2">
        <v>3</v>
      </c>
      <c r="D3408" t="str">
        <f t="shared" si="53"/>
        <v>CA-2016-105781_TEC-AC-10003628</v>
      </c>
      <c r="E3408" t="str">
        <f>IF(COUNTIF(data2!$D:$D,D3408)=0,"Missing in Data2","Present")</f>
        <v>Present</v>
      </c>
    </row>
    <row r="3409" spans="1:5" x14ac:dyDescent="0.25">
      <c r="A3409" s="2" t="s">
        <v>3278</v>
      </c>
      <c r="B3409" s="2" t="s">
        <v>552</v>
      </c>
      <c r="C3409" s="2">
        <v>7</v>
      </c>
      <c r="D3409" t="str">
        <f t="shared" si="53"/>
        <v>CA-2016-105816_OFF-FA-10000304</v>
      </c>
      <c r="E3409" t="str">
        <f>IF(COUNTIF(data2!$D:$D,D3409)=0,"Missing in Data2","Present")</f>
        <v>Present</v>
      </c>
    </row>
    <row r="3410" spans="1:5" x14ac:dyDescent="0.25">
      <c r="A3410" s="2" t="s">
        <v>3278</v>
      </c>
      <c r="B3410" s="2" t="s">
        <v>3279</v>
      </c>
      <c r="C3410" s="2">
        <v>5</v>
      </c>
      <c r="D3410" t="str">
        <f t="shared" si="53"/>
        <v>CA-2016-105816_TEC-PH-10002447</v>
      </c>
      <c r="E3410" t="str">
        <f>IF(COUNTIF(data2!$D:$D,D3410)=0,"Missing in Data2","Present")</f>
        <v>Present</v>
      </c>
    </row>
    <row r="3411" spans="1:5" x14ac:dyDescent="0.25">
      <c r="A3411" s="2" t="s">
        <v>3280</v>
      </c>
      <c r="B3411" s="2" t="s">
        <v>1036</v>
      </c>
      <c r="C3411" s="2">
        <v>5</v>
      </c>
      <c r="D3411" t="str">
        <f t="shared" si="53"/>
        <v>CA-2016-105900_OFF-AR-10002656</v>
      </c>
      <c r="E3411" t="str">
        <f>IF(COUNTIF(data2!$D:$D,D3411)=0,"Missing in Data2","Present")</f>
        <v>Present</v>
      </c>
    </row>
    <row r="3412" spans="1:5" x14ac:dyDescent="0.25">
      <c r="A3412" s="2" t="s">
        <v>3281</v>
      </c>
      <c r="B3412" s="2" t="s">
        <v>877</v>
      </c>
      <c r="C3412" s="2">
        <v>3</v>
      </c>
      <c r="D3412" t="str">
        <f t="shared" si="53"/>
        <v>CA-2016-105963_TEC-AC-10003832</v>
      </c>
      <c r="E3412" t="str">
        <f>IF(COUNTIF(data2!$D:$D,D3412)=0,"Missing in Data2","Present")</f>
        <v>Missing in Data2</v>
      </c>
    </row>
    <row r="3413" spans="1:5" x14ac:dyDescent="0.25">
      <c r="A3413" s="2" t="s">
        <v>3282</v>
      </c>
      <c r="B3413" s="2" t="s">
        <v>483</v>
      </c>
      <c r="C3413" s="2">
        <v>1</v>
      </c>
      <c r="D3413" t="str">
        <f t="shared" si="53"/>
        <v>CA-2016-106075_OFF-BI-10004654</v>
      </c>
      <c r="E3413" t="str">
        <f>IF(COUNTIF(data2!$D:$D,D3413)=0,"Missing in Data2","Present")</f>
        <v>Present</v>
      </c>
    </row>
    <row r="3414" spans="1:5" x14ac:dyDescent="0.25">
      <c r="A3414" s="2" t="s">
        <v>3283</v>
      </c>
      <c r="B3414" s="2" t="s">
        <v>1562</v>
      </c>
      <c r="C3414" s="2">
        <v>5</v>
      </c>
      <c r="D3414" t="str">
        <f t="shared" si="53"/>
        <v>CA-2016-106243_FUR-BO-10003034</v>
      </c>
      <c r="E3414" t="str">
        <f>IF(COUNTIF(data2!$D:$D,D3414)=0,"Missing in Data2","Present")</f>
        <v>Present</v>
      </c>
    </row>
    <row r="3415" spans="1:5" x14ac:dyDescent="0.25">
      <c r="A3415" s="2" t="s">
        <v>3284</v>
      </c>
      <c r="B3415" s="2" t="s">
        <v>2185</v>
      </c>
      <c r="C3415" s="2">
        <v>3</v>
      </c>
      <c r="D3415" t="str">
        <f t="shared" si="53"/>
        <v>CA-2016-106278_FUR-CH-10003061</v>
      </c>
      <c r="E3415" t="str">
        <f>IF(COUNTIF(data2!$D:$D,D3415)=0,"Missing in Data2","Present")</f>
        <v>Present</v>
      </c>
    </row>
    <row r="3416" spans="1:5" x14ac:dyDescent="0.25">
      <c r="A3416" s="2" t="s">
        <v>3284</v>
      </c>
      <c r="B3416" s="2" t="s">
        <v>928</v>
      </c>
      <c r="C3416" s="2">
        <v>3</v>
      </c>
      <c r="D3416" t="str">
        <f t="shared" si="53"/>
        <v>CA-2016-106278_OFF-EN-10003567</v>
      </c>
      <c r="E3416" t="str">
        <f>IF(COUNTIF(data2!$D:$D,D3416)=0,"Missing in Data2","Present")</f>
        <v>Present</v>
      </c>
    </row>
    <row r="3417" spans="1:5" x14ac:dyDescent="0.25">
      <c r="A3417" s="2" t="s">
        <v>3285</v>
      </c>
      <c r="B3417" s="2" t="s">
        <v>206</v>
      </c>
      <c r="C3417" s="2">
        <v>3</v>
      </c>
      <c r="D3417" t="str">
        <f t="shared" si="53"/>
        <v>CA-2016-106306_OFF-BI-10003676</v>
      </c>
      <c r="E3417" t="str">
        <f>IF(COUNTIF(data2!$D:$D,D3417)=0,"Missing in Data2","Present")</f>
        <v>Present</v>
      </c>
    </row>
    <row r="3418" spans="1:5" x14ac:dyDescent="0.25">
      <c r="A3418" s="2" t="s">
        <v>3286</v>
      </c>
      <c r="B3418" s="2" t="s">
        <v>882</v>
      </c>
      <c r="C3418" s="2">
        <v>3</v>
      </c>
      <c r="D3418" t="str">
        <f t="shared" si="53"/>
        <v>CA-2016-106341_OFF-AR-10002053</v>
      </c>
      <c r="E3418" t="str">
        <f>IF(COUNTIF(data2!$D:$D,D3418)=0,"Missing in Data2","Present")</f>
        <v>Present</v>
      </c>
    </row>
    <row r="3419" spans="1:5" x14ac:dyDescent="0.25">
      <c r="A3419" s="2" t="s">
        <v>3287</v>
      </c>
      <c r="B3419" s="2" t="s">
        <v>3288</v>
      </c>
      <c r="C3419" s="2">
        <v>1</v>
      </c>
      <c r="D3419" t="str">
        <f t="shared" si="53"/>
        <v>CA-2016-106383_FUR-BO-10002202</v>
      </c>
      <c r="E3419" t="str">
        <f>IF(COUNTIF(data2!$D:$D,D3419)=0,"Missing in Data2","Present")</f>
        <v>Present</v>
      </c>
    </row>
    <row r="3420" spans="1:5" x14ac:dyDescent="0.25">
      <c r="A3420" s="2" t="s">
        <v>3289</v>
      </c>
      <c r="B3420" s="2" t="s">
        <v>1422</v>
      </c>
      <c r="C3420" s="2">
        <v>2</v>
      </c>
      <c r="D3420" t="str">
        <f t="shared" si="53"/>
        <v>CA-2016-106397_OFF-AR-10004602</v>
      </c>
      <c r="E3420" t="str">
        <f>IF(COUNTIF(data2!$D:$D,D3420)=0,"Missing in Data2","Present")</f>
        <v>Present</v>
      </c>
    </row>
    <row r="3421" spans="1:5" x14ac:dyDescent="0.25">
      <c r="A3421" s="2" t="s">
        <v>3289</v>
      </c>
      <c r="B3421" s="2" t="s">
        <v>1737</v>
      </c>
      <c r="C3421" s="2">
        <v>2</v>
      </c>
      <c r="D3421" t="str">
        <f t="shared" si="53"/>
        <v>CA-2016-106397_OFF-PA-10003441</v>
      </c>
      <c r="E3421" t="str">
        <f>IF(COUNTIF(data2!$D:$D,D3421)=0,"Missing in Data2","Present")</f>
        <v>Present</v>
      </c>
    </row>
    <row r="3422" spans="1:5" x14ac:dyDescent="0.25">
      <c r="A3422" s="2" t="s">
        <v>3290</v>
      </c>
      <c r="B3422" s="2" t="s">
        <v>3291</v>
      </c>
      <c r="C3422" s="2">
        <v>2</v>
      </c>
      <c r="D3422" t="str">
        <f t="shared" si="53"/>
        <v>CA-2016-106460_OFF-PA-10001736</v>
      </c>
      <c r="E3422" t="str">
        <f>IF(COUNTIF(data2!$D:$D,D3422)=0,"Missing in Data2","Present")</f>
        <v>Present</v>
      </c>
    </row>
    <row r="3423" spans="1:5" x14ac:dyDescent="0.25">
      <c r="A3423" s="2" t="s">
        <v>3292</v>
      </c>
      <c r="B3423" s="2" t="s">
        <v>47</v>
      </c>
      <c r="C3423" s="2">
        <v>2</v>
      </c>
      <c r="D3423" t="str">
        <f t="shared" si="53"/>
        <v>CA-2016-106530_OFF-PA-10002986</v>
      </c>
      <c r="E3423" t="str">
        <f>IF(COUNTIF(data2!$D:$D,D3423)=0,"Missing in Data2","Present")</f>
        <v>Missing in Data2</v>
      </c>
    </row>
    <row r="3424" spans="1:5" x14ac:dyDescent="0.25">
      <c r="A3424" s="2" t="s">
        <v>3292</v>
      </c>
      <c r="B3424" s="2" t="s">
        <v>2683</v>
      </c>
      <c r="C3424" s="2">
        <v>2</v>
      </c>
      <c r="D3424" t="str">
        <f t="shared" si="53"/>
        <v>CA-2016-106530_OFF-PA-10004451</v>
      </c>
      <c r="E3424" t="str">
        <f>IF(COUNTIF(data2!$D:$D,D3424)=0,"Missing in Data2","Present")</f>
        <v>Present</v>
      </c>
    </row>
    <row r="3425" spans="1:5" x14ac:dyDescent="0.25">
      <c r="A3425" s="2" t="s">
        <v>3292</v>
      </c>
      <c r="B3425" s="2" t="s">
        <v>2791</v>
      </c>
      <c r="C3425" s="2">
        <v>2</v>
      </c>
      <c r="D3425" t="str">
        <f t="shared" si="53"/>
        <v>CA-2016-106530_OFF-ST-10000649</v>
      </c>
      <c r="E3425" t="str">
        <f>IF(COUNTIF(data2!$D:$D,D3425)=0,"Missing in Data2","Present")</f>
        <v>Present</v>
      </c>
    </row>
    <row r="3426" spans="1:5" x14ac:dyDescent="0.25">
      <c r="A3426" s="2" t="s">
        <v>3292</v>
      </c>
      <c r="B3426" s="2" t="s">
        <v>641</v>
      </c>
      <c r="C3426" s="2">
        <v>3</v>
      </c>
      <c r="D3426" t="str">
        <f t="shared" si="53"/>
        <v>CA-2016-106530_OFF-ST-10002011</v>
      </c>
      <c r="E3426" t="str">
        <f>IF(COUNTIF(data2!$D:$D,D3426)=0,"Missing in Data2","Present")</f>
        <v>Present</v>
      </c>
    </row>
    <row r="3427" spans="1:5" x14ac:dyDescent="0.25">
      <c r="A3427" s="2" t="s">
        <v>3292</v>
      </c>
      <c r="B3427" s="2" t="s">
        <v>161</v>
      </c>
      <c r="C3427" s="2">
        <v>2</v>
      </c>
      <c r="D3427" t="str">
        <f t="shared" si="53"/>
        <v>CA-2016-106530_TEC-AC-10001465</v>
      </c>
      <c r="E3427" t="str">
        <f>IF(COUNTIF(data2!$D:$D,D3427)=0,"Missing in Data2","Present")</f>
        <v>Present</v>
      </c>
    </row>
    <row r="3428" spans="1:5" x14ac:dyDescent="0.25">
      <c r="A3428" s="2" t="s">
        <v>3293</v>
      </c>
      <c r="B3428" s="2" t="s">
        <v>1112</v>
      </c>
      <c r="C3428" s="2">
        <v>4</v>
      </c>
      <c r="D3428" t="str">
        <f t="shared" si="53"/>
        <v>CA-2016-106558_TEC-AC-10001142</v>
      </c>
      <c r="E3428" t="str">
        <f>IF(COUNTIF(data2!$D:$D,D3428)=0,"Missing in Data2","Present")</f>
        <v>Present</v>
      </c>
    </row>
    <row r="3429" spans="1:5" x14ac:dyDescent="0.25">
      <c r="A3429" s="2" t="s">
        <v>3294</v>
      </c>
      <c r="B3429" s="2" t="s">
        <v>396</v>
      </c>
      <c r="C3429" s="2">
        <v>4</v>
      </c>
      <c r="D3429" t="str">
        <f t="shared" si="53"/>
        <v>CA-2016-106621_OFF-AR-10002375</v>
      </c>
      <c r="E3429" t="str">
        <f>IF(COUNTIF(data2!$D:$D,D3429)=0,"Missing in Data2","Present")</f>
        <v>Present</v>
      </c>
    </row>
    <row r="3430" spans="1:5" x14ac:dyDescent="0.25">
      <c r="A3430" s="2" t="s">
        <v>3295</v>
      </c>
      <c r="B3430" s="2" t="s">
        <v>2505</v>
      </c>
      <c r="C3430" s="2">
        <v>2</v>
      </c>
      <c r="D3430" t="str">
        <f t="shared" si="53"/>
        <v>CA-2016-106656_OFF-EN-10001509</v>
      </c>
      <c r="E3430" t="str">
        <f>IF(COUNTIF(data2!$D:$D,D3430)=0,"Missing in Data2","Present")</f>
        <v>Present</v>
      </c>
    </row>
    <row r="3431" spans="1:5" x14ac:dyDescent="0.25">
      <c r="A3431" s="2" t="s">
        <v>3295</v>
      </c>
      <c r="B3431" s="2" t="s">
        <v>1570</v>
      </c>
      <c r="C3431" s="2">
        <v>3</v>
      </c>
      <c r="D3431" t="str">
        <f t="shared" si="53"/>
        <v>CA-2016-106656_OFF-LA-10003148</v>
      </c>
      <c r="E3431" t="str">
        <f>IF(COUNTIF(data2!$D:$D,D3431)=0,"Missing in Data2","Present")</f>
        <v>Present</v>
      </c>
    </row>
    <row r="3432" spans="1:5" x14ac:dyDescent="0.25">
      <c r="A3432" s="2" t="s">
        <v>3296</v>
      </c>
      <c r="B3432" s="2" t="s">
        <v>1623</v>
      </c>
      <c r="C3432" s="2">
        <v>3</v>
      </c>
      <c r="D3432" t="str">
        <f t="shared" si="53"/>
        <v>CA-2016-106894_OFF-LA-10001045</v>
      </c>
      <c r="E3432" t="str">
        <f>IF(COUNTIF(data2!$D:$D,D3432)=0,"Missing in Data2","Present")</f>
        <v>Present</v>
      </c>
    </row>
    <row r="3433" spans="1:5" x14ac:dyDescent="0.25">
      <c r="A3433" s="2" t="s">
        <v>3296</v>
      </c>
      <c r="B3433" s="2" t="s">
        <v>2389</v>
      </c>
      <c r="C3433" s="2">
        <v>4</v>
      </c>
      <c r="D3433" t="str">
        <f t="shared" si="53"/>
        <v>CA-2016-106894_TEC-AC-10003063</v>
      </c>
      <c r="E3433" t="str">
        <f>IF(COUNTIF(data2!$D:$D,D3433)=0,"Missing in Data2","Present")</f>
        <v>Present</v>
      </c>
    </row>
    <row r="3434" spans="1:5" x14ac:dyDescent="0.25">
      <c r="A3434" s="2" t="s">
        <v>3297</v>
      </c>
      <c r="B3434" s="2" t="s">
        <v>286</v>
      </c>
      <c r="C3434" s="2">
        <v>4</v>
      </c>
      <c r="D3434" t="str">
        <f t="shared" si="53"/>
        <v>CA-2016-106915_OFF-AR-10000716</v>
      </c>
      <c r="E3434" t="str">
        <f>IF(COUNTIF(data2!$D:$D,D3434)=0,"Missing in Data2","Present")</f>
        <v>Present</v>
      </c>
    </row>
    <row r="3435" spans="1:5" x14ac:dyDescent="0.25">
      <c r="A3435" s="2" t="s">
        <v>3298</v>
      </c>
      <c r="B3435" s="2" t="s">
        <v>1733</v>
      </c>
      <c r="C3435" s="2">
        <v>3</v>
      </c>
      <c r="D3435" t="str">
        <f t="shared" si="53"/>
        <v>CA-2016-106950_FUR-TA-10001768</v>
      </c>
      <c r="E3435" t="str">
        <f>IF(COUNTIF(data2!$D:$D,D3435)=0,"Missing in Data2","Present")</f>
        <v>Present</v>
      </c>
    </row>
    <row r="3436" spans="1:5" x14ac:dyDescent="0.25">
      <c r="A3436" s="2" t="s">
        <v>3298</v>
      </c>
      <c r="B3436" s="2" t="s">
        <v>3299</v>
      </c>
      <c r="C3436" s="2">
        <v>9</v>
      </c>
      <c r="D3436" t="str">
        <f t="shared" si="53"/>
        <v>CA-2016-106950_OFF-AP-10000159</v>
      </c>
      <c r="E3436" t="str">
        <f>IF(COUNTIF(data2!$D:$D,D3436)=0,"Missing in Data2","Present")</f>
        <v>Present</v>
      </c>
    </row>
    <row r="3437" spans="1:5" x14ac:dyDescent="0.25">
      <c r="A3437" s="2" t="s">
        <v>3298</v>
      </c>
      <c r="B3437" s="2" t="s">
        <v>1535</v>
      </c>
      <c r="C3437" s="2">
        <v>4</v>
      </c>
      <c r="D3437" t="str">
        <f t="shared" si="53"/>
        <v>CA-2016-106950_OFF-AR-10003560</v>
      </c>
      <c r="E3437" t="str">
        <f>IF(COUNTIF(data2!$D:$D,D3437)=0,"Missing in Data2","Present")</f>
        <v>Present</v>
      </c>
    </row>
    <row r="3438" spans="1:5" x14ac:dyDescent="0.25">
      <c r="A3438" s="2" t="s">
        <v>3298</v>
      </c>
      <c r="B3438" s="2" t="s">
        <v>2658</v>
      </c>
      <c r="C3438" s="2">
        <v>7</v>
      </c>
      <c r="D3438" t="str">
        <f t="shared" si="53"/>
        <v>CA-2016-106950_OFF-BI-10000014</v>
      </c>
      <c r="E3438" t="str">
        <f>IF(COUNTIF(data2!$D:$D,D3438)=0,"Missing in Data2","Present")</f>
        <v>Present</v>
      </c>
    </row>
    <row r="3439" spans="1:5" x14ac:dyDescent="0.25">
      <c r="A3439" s="2" t="s">
        <v>3298</v>
      </c>
      <c r="B3439" s="2" t="s">
        <v>2000</v>
      </c>
      <c r="C3439" s="2">
        <v>5</v>
      </c>
      <c r="D3439" t="str">
        <f t="shared" si="53"/>
        <v>CA-2016-106950_OFF-BI-10003166</v>
      </c>
      <c r="E3439" t="str">
        <f>IF(COUNTIF(data2!$D:$D,D3439)=0,"Missing in Data2","Present")</f>
        <v>Present</v>
      </c>
    </row>
    <row r="3440" spans="1:5" x14ac:dyDescent="0.25">
      <c r="A3440" s="2" t="s">
        <v>3298</v>
      </c>
      <c r="B3440" s="2" t="s">
        <v>1053</v>
      </c>
      <c r="C3440" s="2">
        <v>3</v>
      </c>
      <c r="D3440" t="str">
        <f t="shared" si="53"/>
        <v>CA-2016-106950_TEC-AC-10002049</v>
      </c>
      <c r="E3440" t="str">
        <f>IF(COUNTIF(data2!$D:$D,D3440)=0,"Missing in Data2","Present")</f>
        <v>Present</v>
      </c>
    </row>
    <row r="3441" spans="1:5" x14ac:dyDescent="0.25">
      <c r="A3441" s="2" t="s">
        <v>3300</v>
      </c>
      <c r="B3441" s="2" t="s">
        <v>815</v>
      </c>
      <c r="C3441" s="2">
        <v>8</v>
      </c>
      <c r="D3441" t="str">
        <f t="shared" si="53"/>
        <v>CA-2016-107104_FUR-BO-10002213</v>
      </c>
      <c r="E3441" t="str">
        <f>IF(COUNTIF(data2!$D:$D,D3441)=0,"Missing in Data2","Present")</f>
        <v>Missing in Data2</v>
      </c>
    </row>
    <row r="3442" spans="1:5" x14ac:dyDescent="0.25">
      <c r="A3442" s="2" t="s">
        <v>3300</v>
      </c>
      <c r="B3442" s="2" t="s">
        <v>2850</v>
      </c>
      <c r="C3442" s="2">
        <v>6</v>
      </c>
      <c r="D3442" t="str">
        <f t="shared" si="53"/>
        <v>CA-2016-107104_FUR-FU-10002937</v>
      </c>
      <c r="E3442" t="str">
        <f>IF(COUNTIF(data2!$D:$D,D3442)=0,"Missing in Data2","Present")</f>
        <v>Present</v>
      </c>
    </row>
    <row r="3443" spans="1:5" x14ac:dyDescent="0.25">
      <c r="A3443" s="2" t="s">
        <v>3300</v>
      </c>
      <c r="B3443" s="2" t="s">
        <v>3301</v>
      </c>
      <c r="C3443" s="2">
        <v>2</v>
      </c>
      <c r="D3443" t="str">
        <f t="shared" si="53"/>
        <v>CA-2016-107104_OFF-AP-10000055</v>
      </c>
      <c r="E3443" t="str">
        <f>IF(COUNTIF(data2!$D:$D,D3443)=0,"Missing in Data2","Present")</f>
        <v>Present</v>
      </c>
    </row>
    <row r="3444" spans="1:5" x14ac:dyDescent="0.25">
      <c r="A3444" s="2" t="s">
        <v>3300</v>
      </c>
      <c r="B3444" s="2" t="s">
        <v>1557</v>
      </c>
      <c r="C3444" s="2">
        <v>9</v>
      </c>
      <c r="D3444" t="str">
        <f t="shared" si="53"/>
        <v>CA-2016-107104_OFF-AR-10004269</v>
      </c>
      <c r="E3444" t="str">
        <f>IF(COUNTIF(data2!$D:$D,D3444)=0,"Missing in Data2","Present")</f>
        <v>Present</v>
      </c>
    </row>
    <row r="3445" spans="1:5" x14ac:dyDescent="0.25">
      <c r="A3445" s="2" t="s">
        <v>3302</v>
      </c>
      <c r="B3445" s="2" t="s">
        <v>1894</v>
      </c>
      <c r="C3445" s="2">
        <v>4</v>
      </c>
      <c r="D3445" t="str">
        <f t="shared" si="53"/>
        <v>CA-2016-107146_FUR-CH-10004853</v>
      </c>
      <c r="E3445" t="str">
        <f>IF(COUNTIF(data2!$D:$D,D3445)=0,"Missing in Data2","Present")</f>
        <v>Present</v>
      </c>
    </row>
    <row r="3446" spans="1:5" x14ac:dyDescent="0.25">
      <c r="A3446" s="2" t="s">
        <v>3302</v>
      </c>
      <c r="B3446" s="2" t="s">
        <v>1802</v>
      </c>
      <c r="C3446" s="2">
        <v>3</v>
      </c>
      <c r="D3446" t="str">
        <f t="shared" si="53"/>
        <v>CA-2016-107146_FUR-FU-10002298</v>
      </c>
      <c r="E3446" t="str">
        <f>IF(COUNTIF(data2!$D:$D,D3446)=0,"Missing in Data2","Present")</f>
        <v>Present</v>
      </c>
    </row>
    <row r="3447" spans="1:5" x14ac:dyDescent="0.25">
      <c r="A3447" s="2" t="s">
        <v>3303</v>
      </c>
      <c r="B3447" s="2" t="s">
        <v>3304</v>
      </c>
      <c r="C3447" s="2">
        <v>10</v>
      </c>
      <c r="D3447" t="str">
        <f t="shared" si="53"/>
        <v>CA-2016-107202_TEC-MA-10000112</v>
      </c>
      <c r="E3447" t="str">
        <f>IF(COUNTIF(data2!$D:$D,D3447)=0,"Missing in Data2","Present")</f>
        <v>Missing in Data2</v>
      </c>
    </row>
    <row r="3448" spans="1:5" x14ac:dyDescent="0.25">
      <c r="A3448" s="2" t="s">
        <v>3305</v>
      </c>
      <c r="B3448" s="2" t="s">
        <v>3306</v>
      </c>
      <c r="C3448" s="2">
        <v>3</v>
      </c>
      <c r="D3448" t="str">
        <f t="shared" si="53"/>
        <v>CA-2016-107216_FUR-FU-10000206</v>
      </c>
      <c r="E3448" t="str">
        <f>IF(COUNTIF(data2!$D:$D,D3448)=0,"Missing in Data2","Present")</f>
        <v>Present</v>
      </c>
    </row>
    <row r="3449" spans="1:5" x14ac:dyDescent="0.25">
      <c r="A3449" s="2" t="s">
        <v>3305</v>
      </c>
      <c r="B3449" s="2" t="s">
        <v>1945</v>
      </c>
      <c r="C3449" s="2">
        <v>4</v>
      </c>
      <c r="D3449" t="str">
        <f t="shared" si="53"/>
        <v>CA-2016-107216_OFF-AR-10001545</v>
      </c>
      <c r="E3449" t="str">
        <f>IF(COUNTIF(data2!$D:$D,D3449)=0,"Missing in Data2","Present")</f>
        <v>Present</v>
      </c>
    </row>
    <row r="3450" spans="1:5" x14ac:dyDescent="0.25">
      <c r="A3450" s="2" t="s">
        <v>3305</v>
      </c>
      <c r="B3450" s="2" t="s">
        <v>3307</v>
      </c>
      <c r="C3450" s="2">
        <v>3</v>
      </c>
      <c r="D3450" t="str">
        <f t="shared" si="53"/>
        <v>CA-2016-107216_OFF-AR-10002255</v>
      </c>
      <c r="E3450" t="str">
        <f>IF(COUNTIF(data2!$D:$D,D3450)=0,"Missing in Data2","Present")</f>
        <v>Present</v>
      </c>
    </row>
    <row r="3451" spans="1:5" x14ac:dyDescent="0.25">
      <c r="A3451" s="2" t="s">
        <v>3305</v>
      </c>
      <c r="B3451" s="2" t="s">
        <v>1171</v>
      </c>
      <c r="C3451" s="2">
        <v>1</v>
      </c>
      <c r="D3451" t="str">
        <f t="shared" si="53"/>
        <v>CA-2016-107216_TEC-AC-10001013</v>
      </c>
      <c r="E3451" t="str">
        <f>IF(COUNTIF(data2!$D:$D,D3451)=0,"Missing in Data2","Present")</f>
        <v>Present</v>
      </c>
    </row>
    <row r="3452" spans="1:5" x14ac:dyDescent="0.25">
      <c r="A3452" s="2" t="s">
        <v>3308</v>
      </c>
      <c r="B3452" s="2" t="s">
        <v>1116</v>
      </c>
      <c r="C3452" s="2">
        <v>2</v>
      </c>
      <c r="D3452" t="str">
        <f t="shared" si="53"/>
        <v>CA-2016-107328_FUR-TA-10001932</v>
      </c>
      <c r="E3452" t="str">
        <f>IF(COUNTIF(data2!$D:$D,D3452)=0,"Missing in Data2","Present")</f>
        <v>Missing in Data2</v>
      </c>
    </row>
    <row r="3453" spans="1:5" x14ac:dyDescent="0.25">
      <c r="A3453" s="2" t="s">
        <v>3308</v>
      </c>
      <c r="B3453" s="2" t="s">
        <v>2088</v>
      </c>
      <c r="C3453" s="2">
        <v>6</v>
      </c>
      <c r="D3453" t="str">
        <f t="shared" si="53"/>
        <v>CA-2016-107328_OFF-AP-10004487</v>
      </c>
      <c r="E3453" t="str">
        <f>IF(COUNTIF(data2!$D:$D,D3453)=0,"Missing in Data2","Present")</f>
        <v>Present</v>
      </c>
    </row>
    <row r="3454" spans="1:5" x14ac:dyDescent="0.25">
      <c r="A3454" s="2" t="s">
        <v>3308</v>
      </c>
      <c r="B3454" s="2" t="s">
        <v>197</v>
      </c>
      <c r="C3454" s="2">
        <v>5</v>
      </c>
      <c r="D3454" t="str">
        <f t="shared" si="53"/>
        <v>CA-2016-107328_OFF-BI-10002160</v>
      </c>
      <c r="E3454" t="str">
        <f>IF(COUNTIF(data2!$D:$D,D3454)=0,"Missing in Data2","Present")</f>
        <v>Present</v>
      </c>
    </row>
    <row r="3455" spans="1:5" x14ac:dyDescent="0.25">
      <c r="A3455" s="2" t="s">
        <v>3309</v>
      </c>
      <c r="B3455" s="2" t="s">
        <v>1808</v>
      </c>
      <c r="C3455" s="2">
        <v>6</v>
      </c>
      <c r="D3455" t="str">
        <f t="shared" si="53"/>
        <v>CA-2016-107475_OFF-FA-10002988</v>
      </c>
      <c r="E3455" t="str">
        <f>IF(COUNTIF(data2!$D:$D,D3455)=0,"Missing in Data2","Present")</f>
        <v>Present</v>
      </c>
    </row>
    <row r="3456" spans="1:5" x14ac:dyDescent="0.25">
      <c r="A3456" s="2" t="s">
        <v>3310</v>
      </c>
      <c r="B3456" s="2" t="s">
        <v>1171</v>
      </c>
      <c r="C3456" s="2">
        <v>2</v>
      </c>
      <c r="D3456" t="str">
        <f t="shared" si="53"/>
        <v>CA-2016-107615_TEC-AC-10001013</v>
      </c>
      <c r="E3456" t="str">
        <f>IF(COUNTIF(data2!$D:$D,D3456)=0,"Missing in Data2","Present")</f>
        <v>Present</v>
      </c>
    </row>
    <row r="3457" spans="1:5" x14ac:dyDescent="0.25">
      <c r="A3457" s="2" t="s">
        <v>3311</v>
      </c>
      <c r="B3457" s="2" t="s">
        <v>1792</v>
      </c>
      <c r="C3457" s="2">
        <v>5</v>
      </c>
      <c r="D3457" t="str">
        <f t="shared" si="53"/>
        <v>CA-2016-107783_FUR-BO-10004409</v>
      </c>
      <c r="E3457" t="str">
        <f>IF(COUNTIF(data2!$D:$D,D3457)=0,"Missing in Data2","Present")</f>
        <v>Present</v>
      </c>
    </row>
    <row r="3458" spans="1:5" x14ac:dyDescent="0.25">
      <c r="A3458" s="2" t="s">
        <v>3311</v>
      </c>
      <c r="B3458" s="2" t="s">
        <v>2033</v>
      </c>
      <c r="C3458" s="2">
        <v>3</v>
      </c>
      <c r="D3458" t="str">
        <f t="shared" si="53"/>
        <v>CA-2016-107783_OFF-AP-10004052</v>
      </c>
      <c r="E3458" t="str">
        <f>IF(COUNTIF(data2!$D:$D,D3458)=0,"Missing in Data2","Present")</f>
        <v>Present</v>
      </c>
    </row>
    <row r="3459" spans="1:5" x14ac:dyDescent="0.25">
      <c r="A3459" s="2" t="s">
        <v>3311</v>
      </c>
      <c r="B3459" s="2" t="s">
        <v>2499</v>
      </c>
      <c r="C3459" s="2">
        <v>6</v>
      </c>
      <c r="D3459" t="str">
        <f t="shared" ref="D3459:D3522" si="54">A3459&amp;"_"&amp;B3459</f>
        <v>CA-2016-107783_OFF-BI-10000545</v>
      </c>
      <c r="E3459" t="str">
        <f>IF(COUNTIF(data2!$D:$D,D3459)=0,"Missing in Data2","Present")</f>
        <v>Missing in Data2</v>
      </c>
    </row>
    <row r="3460" spans="1:5" x14ac:dyDescent="0.25">
      <c r="A3460" s="2" t="s">
        <v>3312</v>
      </c>
      <c r="B3460" s="2" t="s">
        <v>900</v>
      </c>
      <c r="C3460" s="2">
        <v>1</v>
      </c>
      <c r="D3460" t="str">
        <f t="shared" si="54"/>
        <v>CA-2016-107790_TEC-PH-10004539</v>
      </c>
      <c r="E3460" t="str">
        <f>IF(COUNTIF(data2!$D:$D,D3460)=0,"Missing in Data2","Present")</f>
        <v>Present</v>
      </c>
    </row>
    <row r="3461" spans="1:5" x14ac:dyDescent="0.25">
      <c r="A3461" s="2" t="s">
        <v>3313</v>
      </c>
      <c r="B3461" s="2" t="s">
        <v>2598</v>
      </c>
      <c r="C3461" s="2">
        <v>3</v>
      </c>
      <c r="D3461" t="str">
        <f t="shared" si="54"/>
        <v>CA-2016-108056_TEC-PH-10001817</v>
      </c>
      <c r="E3461" t="str">
        <f>IF(COUNTIF(data2!$D:$D,D3461)=0,"Missing in Data2","Present")</f>
        <v>Present</v>
      </c>
    </row>
    <row r="3462" spans="1:5" x14ac:dyDescent="0.25">
      <c r="A3462" s="2" t="s">
        <v>3314</v>
      </c>
      <c r="B3462" s="2" t="s">
        <v>57</v>
      </c>
      <c r="C3462" s="2">
        <v>4</v>
      </c>
      <c r="D3462" t="str">
        <f t="shared" si="54"/>
        <v>CA-2016-108105_FUR-FU-10003773</v>
      </c>
      <c r="E3462" t="str">
        <f>IF(COUNTIF(data2!$D:$D,D3462)=0,"Missing in Data2","Present")</f>
        <v>Present</v>
      </c>
    </row>
    <row r="3463" spans="1:5" x14ac:dyDescent="0.25">
      <c r="A3463" s="2" t="s">
        <v>3314</v>
      </c>
      <c r="B3463" s="2" t="s">
        <v>2095</v>
      </c>
      <c r="C3463" s="2">
        <v>1</v>
      </c>
      <c r="D3463" t="str">
        <f t="shared" si="54"/>
        <v>CA-2016-108105_OFF-BI-10002412</v>
      </c>
      <c r="E3463" t="str">
        <f>IF(COUNTIF(data2!$D:$D,D3463)=0,"Missing in Data2","Present")</f>
        <v>Missing in Data2</v>
      </c>
    </row>
    <row r="3464" spans="1:5" x14ac:dyDescent="0.25">
      <c r="A3464" s="2" t="s">
        <v>3315</v>
      </c>
      <c r="B3464" s="2" t="s">
        <v>2499</v>
      </c>
      <c r="C3464" s="2">
        <v>2</v>
      </c>
      <c r="D3464" t="str">
        <f t="shared" si="54"/>
        <v>CA-2016-108196_OFF-BI-10000545</v>
      </c>
      <c r="E3464" t="str">
        <f>IF(COUNTIF(data2!$D:$D,D3464)=0,"Missing in Data2","Present")</f>
        <v>Present</v>
      </c>
    </row>
    <row r="3465" spans="1:5" x14ac:dyDescent="0.25">
      <c r="A3465" s="2" t="s">
        <v>3315</v>
      </c>
      <c r="B3465" s="2" t="s">
        <v>3316</v>
      </c>
      <c r="C3465" s="2">
        <v>3</v>
      </c>
      <c r="D3465" t="str">
        <f t="shared" si="54"/>
        <v>CA-2016-108196_TEC-AC-10000926</v>
      </c>
      <c r="E3465" t="str">
        <f>IF(COUNTIF(data2!$D:$D,D3465)=0,"Missing in Data2","Present")</f>
        <v>Present</v>
      </c>
    </row>
    <row r="3466" spans="1:5" x14ac:dyDescent="0.25">
      <c r="A3466" s="2" t="s">
        <v>3315</v>
      </c>
      <c r="B3466" s="2" t="s">
        <v>2825</v>
      </c>
      <c r="C3466" s="2">
        <v>5</v>
      </c>
      <c r="D3466" t="str">
        <f t="shared" si="54"/>
        <v>CA-2016-108196_TEC-MA-10000418</v>
      </c>
      <c r="E3466" t="str">
        <f>IF(COUNTIF(data2!$D:$D,D3466)=0,"Missing in Data2","Present")</f>
        <v>Present</v>
      </c>
    </row>
    <row r="3467" spans="1:5" x14ac:dyDescent="0.25">
      <c r="A3467" s="2" t="s">
        <v>3317</v>
      </c>
      <c r="B3467" s="2" t="s">
        <v>185</v>
      </c>
      <c r="C3467" s="2">
        <v>5</v>
      </c>
      <c r="D3467" t="str">
        <f t="shared" si="54"/>
        <v>CA-2016-108210_TEC-AC-10000109</v>
      </c>
      <c r="E3467" t="str">
        <f>IF(COUNTIF(data2!$D:$D,D3467)=0,"Missing in Data2","Present")</f>
        <v>Present</v>
      </c>
    </row>
    <row r="3468" spans="1:5" x14ac:dyDescent="0.25">
      <c r="A3468" s="2" t="s">
        <v>3317</v>
      </c>
      <c r="B3468" s="2" t="s">
        <v>3106</v>
      </c>
      <c r="C3468" s="2">
        <v>5</v>
      </c>
      <c r="D3468" t="str">
        <f t="shared" si="54"/>
        <v>CA-2016-108210_TEC-PH-10002293</v>
      </c>
      <c r="E3468" t="str">
        <f>IF(COUNTIF(data2!$D:$D,D3468)=0,"Missing in Data2","Present")</f>
        <v>Present</v>
      </c>
    </row>
    <row r="3469" spans="1:5" x14ac:dyDescent="0.25">
      <c r="A3469" s="2" t="s">
        <v>3318</v>
      </c>
      <c r="B3469" s="2" t="s">
        <v>877</v>
      </c>
      <c r="C3469" s="2">
        <v>7</v>
      </c>
      <c r="D3469" t="str">
        <f t="shared" si="54"/>
        <v>CA-2016-108224_TEC-AC-10003832</v>
      </c>
      <c r="E3469" t="str">
        <f>IF(COUNTIF(data2!$D:$D,D3469)=0,"Missing in Data2","Present")</f>
        <v>Present</v>
      </c>
    </row>
    <row r="3470" spans="1:5" x14ac:dyDescent="0.25">
      <c r="A3470" s="2" t="s">
        <v>3319</v>
      </c>
      <c r="B3470" s="2" t="s">
        <v>2980</v>
      </c>
      <c r="C3470" s="2">
        <v>4</v>
      </c>
      <c r="D3470" t="str">
        <f t="shared" si="54"/>
        <v>CA-2016-108350_OFF-PA-10003656</v>
      </c>
      <c r="E3470" t="str">
        <f>IF(COUNTIF(data2!$D:$D,D3470)=0,"Missing in Data2","Present")</f>
        <v>Present</v>
      </c>
    </row>
    <row r="3471" spans="1:5" x14ac:dyDescent="0.25">
      <c r="A3471" s="2" t="s">
        <v>3320</v>
      </c>
      <c r="B3471" s="2" t="s">
        <v>1225</v>
      </c>
      <c r="C3471" s="2">
        <v>5</v>
      </c>
      <c r="D3471" t="str">
        <f t="shared" si="54"/>
        <v>CA-2016-108364_OFF-BI-10002012</v>
      </c>
      <c r="E3471" t="str">
        <f>IF(COUNTIF(data2!$D:$D,D3471)=0,"Missing in Data2","Present")</f>
        <v>Present</v>
      </c>
    </row>
    <row r="3472" spans="1:5" x14ac:dyDescent="0.25">
      <c r="A3472" s="2" t="s">
        <v>3321</v>
      </c>
      <c r="B3472" s="2" t="s">
        <v>790</v>
      </c>
      <c r="C3472" s="2">
        <v>3</v>
      </c>
      <c r="D3472" t="str">
        <f t="shared" si="54"/>
        <v>CA-2016-108434_OFF-ST-10002615</v>
      </c>
      <c r="E3472" t="str">
        <f>IF(COUNTIF(data2!$D:$D,D3472)=0,"Missing in Data2","Present")</f>
        <v>Present</v>
      </c>
    </row>
    <row r="3473" spans="1:5" x14ac:dyDescent="0.25">
      <c r="A3473" s="2" t="s">
        <v>3322</v>
      </c>
      <c r="B3473" s="2" t="s">
        <v>70</v>
      </c>
      <c r="C3473" s="2">
        <v>2</v>
      </c>
      <c r="D3473" t="str">
        <f t="shared" si="54"/>
        <v>CA-2016-108567_OFF-BI-10004140</v>
      </c>
      <c r="E3473" t="str">
        <f>IF(COUNTIF(data2!$D:$D,D3473)=0,"Missing in Data2","Present")</f>
        <v>Present</v>
      </c>
    </row>
    <row r="3474" spans="1:5" x14ac:dyDescent="0.25">
      <c r="A3474" s="2" t="s">
        <v>3323</v>
      </c>
      <c r="B3474" s="2" t="s">
        <v>2165</v>
      </c>
      <c r="C3474" s="2">
        <v>2</v>
      </c>
      <c r="D3474" t="str">
        <f t="shared" si="54"/>
        <v>CA-2016-108581_OFF-PA-10000809</v>
      </c>
      <c r="E3474" t="str">
        <f>IF(COUNTIF(data2!$D:$D,D3474)=0,"Missing in Data2","Present")</f>
        <v>Present</v>
      </c>
    </row>
    <row r="3475" spans="1:5" x14ac:dyDescent="0.25">
      <c r="A3475" s="2" t="s">
        <v>3323</v>
      </c>
      <c r="B3475" s="2" t="s">
        <v>2690</v>
      </c>
      <c r="C3475" s="2">
        <v>4</v>
      </c>
      <c r="D3475" t="str">
        <f t="shared" si="54"/>
        <v>CA-2016-108581_TEC-AC-10001109</v>
      </c>
      <c r="E3475" t="str">
        <f>IF(COUNTIF(data2!$D:$D,D3475)=0,"Missing in Data2","Present")</f>
        <v>Present</v>
      </c>
    </row>
    <row r="3476" spans="1:5" x14ac:dyDescent="0.25">
      <c r="A3476" s="2" t="s">
        <v>3324</v>
      </c>
      <c r="B3476" s="2" t="s">
        <v>681</v>
      </c>
      <c r="C3476" s="2">
        <v>9</v>
      </c>
      <c r="D3476" t="str">
        <f t="shared" si="54"/>
        <v>CA-2016-108616_OFF-AR-10001149</v>
      </c>
      <c r="E3476" t="str">
        <f>IF(COUNTIF(data2!$D:$D,D3476)=0,"Missing in Data2","Present")</f>
        <v>Present</v>
      </c>
    </row>
    <row r="3477" spans="1:5" x14ac:dyDescent="0.25">
      <c r="A3477" s="2" t="s">
        <v>3324</v>
      </c>
      <c r="B3477" s="2" t="s">
        <v>1223</v>
      </c>
      <c r="C3477" s="2">
        <v>3</v>
      </c>
      <c r="D3477" t="str">
        <f t="shared" si="54"/>
        <v>CA-2016-108616_OFF-BI-10001989</v>
      </c>
      <c r="E3477" t="str">
        <f>IF(COUNTIF(data2!$D:$D,D3477)=0,"Missing in Data2","Present")</f>
        <v>Present</v>
      </c>
    </row>
    <row r="3478" spans="1:5" x14ac:dyDescent="0.25">
      <c r="A3478" s="2" t="s">
        <v>3324</v>
      </c>
      <c r="B3478" s="2" t="s">
        <v>3325</v>
      </c>
      <c r="C3478" s="2">
        <v>3</v>
      </c>
      <c r="D3478" t="str">
        <f t="shared" si="54"/>
        <v>CA-2016-108616_TEC-AC-10000420</v>
      </c>
      <c r="E3478" t="str">
        <f>IF(COUNTIF(data2!$D:$D,D3478)=0,"Missing in Data2","Present")</f>
        <v>Present</v>
      </c>
    </row>
    <row r="3479" spans="1:5" x14ac:dyDescent="0.25">
      <c r="A3479" s="2" t="s">
        <v>3326</v>
      </c>
      <c r="B3479" s="2" t="s">
        <v>2779</v>
      </c>
      <c r="C3479" s="2">
        <v>5</v>
      </c>
      <c r="D3479" t="str">
        <f t="shared" si="54"/>
        <v>CA-2016-108630_OFF-BI-10002437</v>
      </c>
      <c r="E3479" t="str">
        <f>IF(COUNTIF(data2!$D:$D,D3479)=0,"Missing in Data2","Present")</f>
        <v>Present</v>
      </c>
    </row>
    <row r="3480" spans="1:5" x14ac:dyDescent="0.25">
      <c r="A3480" s="2" t="s">
        <v>3327</v>
      </c>
      <c r="B3480" s="2" t="s">
        <v>9</v>
      </c>
      <c r="C3480" s="2">
        <v>2</v>
      </c>
      <c r="D3480" t="str">
        <f t="shared" si="54"/>
        <v>CA-2016-108644_OFF-BI-10000343</v>
      </c>
      <c r="E3480" t="str">
        <f>IF(COUNTIF(data2!$D:$D,D3480)=0,"Missing in Data2","Present")</f>
        <v>Present</v>
      </c>
    </row>
    <row r="3481" spans="1:5" x14ac:dyDescent="0.25">
      <c r="A3481" s="2" t="s">
        <v>3328</v>
      </c>
      <c r="B3481" s="2" t="s">
        <v>3329</v>
      </c>
      <c r="C3481" s="2">
        <v>3</v>
      </c>
      <c r="D3481" t="str">
        <f t="shared" si="54"/>
        <v>CA-2016-108735_FUR-BO-10003441</v>
      </c>
      <c r="E3481" t="str">
        <f>IF(COUNTIF(data2!$D:$D,D3481)=0,"Missing in Data2","Present")</f>
        <v>Present</v>
      </c>
    </row>
    <row r="3482" spans="1:5" x14ac:dyDescent="0.25">
      <c r="A3482" s="2" t="s">
        <v>3330</v>
      </c>
      <c r="B3482" s="2" t="s">
        <v>1062</v>
      </c>
      <c r="C3482" s="2">
        <v>2</v>
      </c>
      <c r="D3482" t="str">
        <f t="shared" si="54"/>
        <v>CA-2016-108868_OFF-AR-10001953</v>
      </c>
      <c r="E3482" t="str">
        <f>IF(COUNTIF(data2!$D:$D,D3482)=0,"Missing in Data2","Present")</f>
        <v>Present</v>
      </c>
    </row>
    <row r="3483" spans="1:5" x14ac:dyDescent="0.25">
      <c r="A3483" s="2" t="s">
        <v>3330</v>
      </c>
      <c r="B3483" s="2" t="s">
        <v>2340</v>
      </c>
      <c r="C3483" s="2">
        <v>5</v>
      </c>
      <c r="D3483" t="str">
        <f t="shared" si="54"/>
        <v>CA-2016-108868_TEC-PH-10000923</v>
      </c>
      <c r="E3483" t="str">
        <f>IF(COUNTIF(data2!$D:$D,D3483)=0,"Missing in Data2","Present")</f>
        <v>Present</v>
      </c>
    </row>
    <row r="3484" spans="1:5" x14ac:dyDescent="0.25">
      <c r="A3484" s="2" t="s">
        <v>3331</v>
      </c>
      <c r="B3484" s="2" t="s">
        <v>2765</v>
      </c>
      <c r="C3484" s="2">
        <v>2</v>
      </c>
      <c r="D3484" t="str">
        <f t="shared" si="54"/>
        <v>CA-2016-108875_FUR-FU-10002671</v>
      </c>
      <c r="E3484" t="str">
        <f>IF(COUNTIF(data2!$D:$D,D3484)=0,"Missing in Data2","Present")</f>
        <v>Present</v>
      </c>
    </row>
    <row r="3485" spans="1:5" x14ac:dyDescent="0.25">
      <c r="A3485" s="2" t="s">
        <v>3332</v>
      </c>
      <c r="B3485" s="2" t="s">
        <v>3325</v>
      </c>
      <c r="C3485" s="2">
        <v>5</v>
      </c>
      <c r="D3485" t="str">
        <f t="shared" si="54"/>
        <v>CA-2016-108882_TEC-AC-10000420</v>
      </c>
      <c r="E3485" t="str">
        <f>IF(COUNTIF(data2!$D:$D,D3485)=0,"Missing in Data2","Present")</f>
        <v>Present</v>
      </c>
    </row>
    <row r="3486" spans="1:5" x14ac:dyDescent="0.25">
      <c r="A3486" s="2" t="s">
        <v>3332</v>
      </c>
      <c r="B3486" s="2" t="s">
        <v>244</v>
      </c>
      <c r="C3486" s="2">
        <v>9</v>
      </c>
      <c r="D3486" t="str">
        <f t="shared" si="54"/>
        <v>CA-2016-108882_TEC-PH-10002726</v>
      </c>
      <c r="E3486" t="str">
        <f>IF(COUNTIF(data2!$D:$D,D3486)=0,"Missing in Data2","Present")</f>
        <v>Present</v>
      </c>
    </row>
    <row r="3487" spans="1:5" x14ac:dyDescent="0.25">
      <c r="A3487" s="2" t="s">
        <v>3333</v>
      </c>
      <c r="B3487" s="2" t="s">
        <v>2653</v>
      </c>
      <c r="C3487" s="2">
        <v>1</v>
      </c>
      <c r="D3487" t="str">
        <f t="shared" si="54"/>
        <v>CA-2016-108959_OFF-ST-10001272</v>
      </c>
      <c r="E3487" t="str">
        <f>IF(COUNTIF(data2!$D:$D,D3487)=0,"Missing in Data2","Present")</f>
        <v>Present</v>
      </c>
    </row>
    <row r="3488" spans="1:5" x14ac:dyDescent="0.25">
      <c r="A3488" s="2" t="s">
        <v>3334</v>
      </c>
      <c r="B3488" s="2" t="s">
        <v>2206</v>
      </c>
      <c r="C3488" s="2">
        <v>4</v>
      </c>
      <c r="D3488" t="str">
        <f t="shared" si="54"/>
        <v>CA-2016-108987_FUR-BO-10004834</v>
      </c>
      <c r="E3488" t="str">
        <f>IF(COUNTIF(data2!$D:$D,D3488)=0,"Missing in Data2","Present")</f>
        <v>Present</v>
      </c>
    </row>
    <row r="3489" spans="1:5" x14ac:dyDescent="0.25">
      <c r="A3489" s="2" t="s">
        <v>3334</v>
      </c>
      <c r="B3489" s="2" t="s">
        <v>195</v>
      </c>
      <c r="C3489" s="2">
        <v>4</v>
      </c>
      <c r="D3489" t="str">
        <f t="shared" si="54"/>
        <v>CA-2016-108987_OFF-ST-10000934</v>
      </c>
      <c r="E3489" t="str">
        <f>IF(COUNTIF(data2!$D:$D,D3489)=0,"Missing in Data2","Present")</f>
        <v>Present</v>
      </c>
    </row>
    <row r="3490" spans="1:5" x14ac:dyDescent="0.25">
      <c r="A3490" s="2" t="s">
        <v>3334</v>
      </c>
      <c r="B3490" s="2" t="s">
        <v>3335</v>
      </c>
      <c r="C3490" s="2">
        <v>3</v>
      </c>
      <c r="D3490" t="str">
        <f t="shared" si="54"/>
        <v>CA-2016-108987_OFF-ST-10001580</v>
      </c>
      <c r="E3490" t="str">
        <f>IF(COUNTIF(data2!$D:$D,D3490)=0,"Missing in Data2","Present")</f>
        <v>Present</v>
      </c>
    </row>
    <row r="3491" spans="1:5" x14ac:dyDescent="0.25">
      <c r="A3491" s="2" t="s">
        <v>3334</v>
      </c>
      <c r="B3491" s="2" t="s">
        <v>2371</v>
      </c>
      <c r="C3491" s="2">
        <v>2</v>
      </c>
      <c r="D3491" t="str">
        <f t="shared" si="54"/>
        <v>CA-2016-108987_TEC-AC-10000158</v>
      </c>
      <c r="E3491" t="str">
        <f>IF(COUNTIF(data2!$D:$D,D3491)=0,"Missing in Data2","Present")</f>
        <v>Present</v>
      </c>
    </row>
    <row r="3492" spans="1:5" x14ac:dyDescent="0.25">
      <c r="A3492" s="2" t="s">
        <v>3336</v>
      </c>
      <c r="B3492" s="2" t="s">
        <v>1809</v>
      </c>
      <c r="C3492" s="2">
        <v>2</v>
      </c>
      <c r="D3492" t="str">
        <f t="shared" si="54"/>
        <v>CA-2016-109057_OFF-ST-10002406</v>
      </c>
      <c r="E3492" t="str">
        <f>IF(COUNTIF(data2!$D:$D,D3492)=0,"Missing in Data2","Present")</f>
        <v>Present</v>
      </c>
    </row>
    <row r="3493" spans="1:5" x14ac:dyDescent="0.25">
      <c r="A3493" s="2" t="s">
        <v>3337</v>
      </c>
      <c r="B3493" s="2" t="s">
        <v>1034</v>
      </c>
      <c r="C3493" s="2">
        <v>5</v>
      </c>
      <c r="D3493" t="str">
        <f t="shared" si="54"/>
        <v>CA-2016-109176_OFF-AR-10001955</v>
      </c>
      <c r="E3493" t="str">
        <f>IF(COUNTIF(data2!$D:$D,D3493)=0,"Missing in Data2","Present")</f>
        <v>Present</v>
      </c>
    </row>
    <row r="3494" spans="1:5" x14ac:dyDescent="0.25">
      <c r="A3494" s="2" t="s">
        <v>3337</v>
      </c>
      <c r="B3494" s="2" t="s">
        <v>860</v>
      </c>
      <c r="C3494" s="2">
        <v>1</v>
      </c>
      <c r="D3494" t="str">
        <f t="shared" si="54"/>
        <v>CA-2016-109176_OFF-EN-10003134</v>
      </c>
      <c r="E3494" t="str">
        <f>IF(COUNTIF(data2!$D:$D,D3494)=0,"Missing in Data2","Present")</f>
        <v>Present</v>
      </c>
    </row>
    <row r="3495" spans="1:5" x14ac:dyDescent="0.25">
      <c r="A3495" s="2" t="s">
        <v>3338</v>
      </c>
      <c r="B3495" s="2" t="s">
        <v>3339</v>
      </c>
      <c r="C3495" s="2">
        <v>3</v>
      </c>
      <c r="D3495" t="str">
        <f t="shared" si="54"/>
        <v>CA-2016-109344_TEC-PH-10002624</v>
      </c>
      <c r="E3495" t="str">
        <f>IF(COUNTIF(data2!$D:$D,D3495)=0,"Missing in Data2","Present")</f>
        <v>Present</v>
      </c>
    </row>
    <row r="3496" spans="1:5" x14ac:dyDescent="0.25">
      <c r="A3496" s="2" t="s">
        <v>3340</v>
      </c>
      <c r="B3496" s="2" t="s">
        <v>1182</v>
      </c>
      <c r="C3496" s="2">
        <v>2</v>
      </c>
      <c r="D3496" t="str">
        <f t="shared" si="54"/>
        <v>CA-2016-109365_OFF-AP-10002998</v>
      </c>
      <c r="E3496" t="str">
        <f>IF(COUNTIF(data2!$D:$D,D3496)=0,"Missing in Data2","Present")</f>
        <v>Present</v>
      </c>
    </row>
    <row r="3497" spans="1:5" x14ac:dyDescent="0.25">
      <c r="A3497" s="2" t="s">
        <v>3340</v>
      </c>
      <c r="B3497" s="2" t="s">
        <v>2262</v>
      </c>
      <c r="C3497" s="2">
        <v>2</v>
      </c>
      <c r="D3497" t="str">
        <f t="shared" si="54"/>
        <v>CA-2016-109365_OFF-BI-10002071</v>
      </c>
      <c r="E3497" t="str">
        <f>IF(COUNTIF(data2!$D:$D,D3497)=0,"Missing in Data2","Present")</f>
        <v>Present</v>
      </c>
    </row>
    <row r="3498" spans="1:5" x14ac:dyDescent="0.25">
      <c r="A3498" s="2" t="s">
        <v>3340</v>
      </c>
      <c r="B3498" s="2" t="s">
        <v>1105</v>
      </c>
      <c r="C3498" s="2">
        <v>12</v>
      </c>
      <c r="D3498" t="str">
        <f t="shared" si="54"/>
        <v>CA-2016-109365_OFF-BI-10003981</v>
      </c>
      <c r="E3498" t="str">
        <f>IF(COUNTIF(data2!$D:$D,D3498)=0,"Missing in Data2","Present")</f>
        <v>Present</v>
      </c>
    </row>
    <row r="3499" spans="1:5" x14ac:dyDescent="0.25">
      <c r="A3499" s="2" t="s">
        <v>3340</v>
      </c>
      <c r="B3499" s="2" t="s">
        <v>1358</v>
      </c>
      <c r="C3499" s="2">
        <v>7</v>
      </c>
      <c r="D3499" t="str">
        <f t="shared" si="54"/>
        <v>CA-2016-109365_OFF-FA-10001561</v>
      </c>
      <c r="E3499" t="str">
        <f>IF(COUNTIF(data2!$D:$D,D3499)=0,"Missing in Data2","Present")</f>
        <v>Missing in Data2</v>
      </c>
    </row>
    <row r="3500" spans="1:5" x14ac:dyDescent="0.25">
      <c r="A3500" s="2" t="s">
        <v>3340</v>
      </c>
      <c r="B3500" s="2" t="s">
        <v>250</v>
      </c>
      <c r="C3500" s="2">
        <v>3</v>
      </c>
      <c r="D3500" t="str">
        <f t="shared" si="54"/>
        <v>CA-2016-109365_OFF-PA-10000477</v>
      </c>
      <c r="E3500" t="str">
        <f>IF(COUNTIF(data2!$D:$D,D3500)=0,"Missing in Data2","Present")</f>
        <v>Present</v>
      </c>
    </row>
    <row r="3501" spans="1:5" x14ac:dyDescent="0.25">
      <c r="A3501" s="2" t="s">
        <v>3340</v>
      </c>
      <c r="B3501" s="2" t="s">
        <v>80</v>
      </c>
      <c r="C3501" s="2">
        <v>3</v>
      </c>
      <c r="D3501" t="str">
        <f t="shared" si="54"/>
        <v>CA-2016-109365_OFF-PA-10004359</v>
      </c>
      <c r="E3501" t="str">
        <f>IF(COUNTIF(data2!$D:$D,D3501)=0,"Missing in Data2","Present")</f>
        <v>Present</v>
      </c>
    </row>
    <row r="3502" spans="1:5" x14ac:dyDescent="0.25">
      <c r="A3502" s="2" t="s">
        <v>3341</v>
      </c>
      <c r="B3502" s="2" t="s">
        <v>1766</v>
      </c>
      <c r="C3502" s="2">
        <v>4</v>
      </c>
      <c r="D3502" t="str">
        <f t="shared" si="54"/>
        <v>CA-2016-109400_FUR-CH-10003298</v>
      </c>
      <c r="E3502" t="str">
        <f>IF(COUNTIF(data2!$D:$D,D3502)=0,"Missing in Data2","Present")</f>
        <v>Present</v>
      </c>
    </row>
    <row r="3503" spans="1:5" x14ac:dyDescent="0.25">
      <c r="A3503" s="2" t="s">
        <v>3342</v>
      </c>
      <c r="B3503" s="2" t="s">
        <v>2994</v>
      </c>
      <c r="C3503" s="2">
        <v>4</v>
      </c>
      <c r="D3503" t="str">
        <f t="shared" si="54"/>
        <v>CA-2016-109407_OFF-BI-10000285</v>
      </c>
      <c r="E3503" t="str">
        <f>IF(COUNTIF(data2!$D:$D,D3503)=0,"Missing in Data2","Present")</f>
        <v>Present</v>
      </c>
    </row>
    <row r="3504" spans="1:5" x14ac:dyDescent="0.25">
      <c r="A3504" s="2" t="s">
        <v>3343</v>
      </c>
      <c r="B3504" s="2" t="s">
        <v>903</v>
      </c>
      <c r="C3504" s="2">
        <v>4</v>
      </c>
      <c r="D3504" t="str">
        <f t="shared" si="54"/>
        <v>CA-2016-109652_OFF-AR-10000034</v>
      </c>
      <c r="E3504" t="str">
        <f>IF(COUNTIF(data2!$D:$D,D3504)=0,"Missing in Data2","Present")</f>
        <v>Present</v>
      </c>
    </row>
    <row r="3505" spans="1:5" x14ac:dyDescent="0.25">
      <c r="A3505" s="2" t="s">
        <v>3344</v>
      </c>
      <c r="B3505" s="2" t="s">
        <v>3047</v>
      </c>
      <c r="C3505" s="2">
        <v>2</v>
      </c>
      <c r="D3505" t="str">
        <f t="shared" si="54"/>
        <v>CA-2016-109666_OFF-AR-10004022</v>
      </c>
      <c r="E3505" t="str">
        <f>IF(COUNTIF(data2!$D:$D,D3505)=0,"Missing in Data2","Present")</f>
        <v>Present</v>
      </c>
    </row>
    <row r="3506" spans="1:5" x14ac:dyDescent="0.25">
      <c r="A3506" s="2" t="s">
        <v>3344</v>
      </c>
      <c r="B3506" s="2" t="s">
        <v>723</v>
      </c>
      <c r="C3506" s="2">
        <v>2</v>
      </c>
      <c r="D3506" t="str">
        <f t="shared" si="54"/>
        <v>CA-2016-109666_OFF-AR-10004582</v>
      </c>
      <c r="E3506" t="str">
        <f>IF(COUNTIF(data2!$D:$D,D3506)=0,"Missing in Data2","Present")</f>
        <v>Present</v>
      </c>
    </row>
    <row r="3507" spans="1:5" x14ac:dyDescent="0.25">
      <c r="A3507" s="2" t="s">
        <v>3344</v>
      </c>
      <c r="B3507" s="2" t="s">
        <v>423</v>
      </c>
      <c r="C3507" s="2">
        <v>2</v>
      </c>
      <c r="D3507" t="str">
        <f t="shared" si="54"/>
        <v>CA-2016-109666_OFF-BI-10000174</v>
      </c>
      <c r="E3507" t="str">
        <f>IF(COUNTIF(data2!$D:$D,D3507)=0,"Missing in Data2","Present")</f>
        <v>Present</v>
      </c>
    </row>
    <row r="3508" spans="1:5" x14ac:dyDescent="0.25">
      <c r="A3508" s="2" t="s">
        <v>3344</v>
      </c>
      <c r="B3508" s="2" t="s">
        <v>632</v>
      </c>
      <c r="C3508" s="2">
        <v>4</v>
      </c>
      <c r="D3508" t="str">
        <f t="shared" si="54"/>
        <v>CA-2016-109666_OFF-ST-10000991</v>
      </c>
      <c r="E3508" t="str">
        <f>IF(COUNTIF(data2!$D:$D,D3508)=0,"Missing in Data2","Present")</f>
        <v>Missing in Data2</v>
      </c>
    </row>
    <row r="3509" spans="1:5" x14ac:dyDescent="0.25">
      <c r="A3509" s="2" t="s">
        <v>3344</v>
      </c>
      <c r="B3509" s="2" t="s">
        <v>1875</v>
      </c>
      <c r="C3509" s="2">
        <v>5</v>
      </c>
      <c r="D3509" t="str">
        <f t="shared" si="54"/>
        <v>CA-2016-109666_OFF-SU-10001218</v>
      </c>
      <c r="E3509" t="str">
        <f>IF(COUNTIF(data2!$D:$D,D3509)=0,"Missing in Data2","Present")</f>
        <v>Present</v>
      </c>
    </row>
    <row r="3510" spans="1:5" x14ac:dyDescent="0.25">
      <c r="A3510" s="2" t="s">
        <v>3344</v>
      </c>
      <c r="B3510" s="2" t="s">
        <v>1341</v>
      </c>
      <c r="C3510" s="2">
        <v>2</v>
      </c>
      <c r="D3510" t="str">
        <f t="shared" si="54"/>
        <v>CA-2016-109666_OFF-SU-10002522</v>
      </c>
      <c r="E3510" t="str">
        <f>IF(COUNTIF(data2!$D:$D,D3510)=0,"Missing in Data2","Present")</f>
        <v>Present</v>
      </c>
    </row>
    <row r="3511" spans="1:5" x14ac:dyDescent="0.25">
      <c r="A3511" s="2" t="s">
        <v>3344</v>
      </c>
      <c r="B3511" s="2" t="s">
        <v>2344</v>
      </c>
      <c r="C3511" s="2">
        <v>2</v>
      </c>
      <c r="D3511" t="str">
        <f t="shared" si="54"/>
        <v>CA-2016-109666_TEC-PH-10004774</v>
      </c>
      <c r="E3511" t="str">
        <f>IF(COUNTIF(data2!$D:$D,D3511)=0,"Missing in Data2","Present")</f>
        <v>Present</v>
      </c>
    </row>
    <row r="3512" spans="1:5" x14ac:dyDescent="0.25">
      <c r="A3512" s="2" t="s">
        <v>3345</v>
      </c>
      <c r="B3512" s="2" t="s">
        <v>2918</v>
      </c>
      <c r="C3512" s="2">
        <v>9</v>
      </c>
      <c r="D3512" t="str">
        <f t="shared" si="54"/>
        <v>CA-2016-109722_OFF-ST-10000060</v>
      </c>
      <c r="E3512" t="str">
        <f>IF(COUNTIF(data2!$D:$D,D3512)=0,"Missing in Data2","Present")</f>
        <v>Present</v>
      </c>
    </row>
    <row r="3513" spans="1:5" x14ac:dyDescent="0.25">
      <c r="A3513" s="2" t="s">
        <v>3345</v>
      </c>
      <c r="B3513" s="2" t="s">
        <v>234</v>
      </c>
      <c r="C3513" s="2">
        <v>2</v>
      </c>
      <c r="D3513" t="str">
        <f t="shared" si="54"/>
        <v>CA-2016-109722_TEC-PH-10000560</v>
      </c>
      <c r="E3513" t="str">
        <f>IF(COUNTIF(data2!$D:$D,D3513)=0,"Missing in Data2","Present")</f>
        <v>Present</v>
      </c>
    </row>
    <row r="3514" spans="1:5" x14ac:dyDescent="0.25">
      <c r="A3514" s="2" t="s">
        <v>3346</v>
      </c>
      <c r="B3514" s="2" t="s">
        <v>3347</v>
      </c>
      <c r="C3514" s="2">
        <v>3</v>
      </c>
      <c r="D3514" t="str">
        <f t="shared" si="54"/>
        <v>CA-2016-109743_OFF-AR-10003727</v>
      </c>
      <c r="E3514" t="str">
        <f>IF(COUNTIF(data2!$D:$D,D3514)=0,"Missing in Data2","Present")</f>
        <v>Present</v>
      </c>
    </row>
    <row r="3515" spans="1:5" x14ac:dyDescent="0.25">
      <c r="A3515" s="2" t="s">
        <v>3346</v>
      </c>
      <c r="B3515" s="2" t="s">
        <v>3348</v>
      </c>
      <c r="C3515" s="2">
        <v>8</v>
      </c>
      <c r="D3515" t="str">
        <f t="shared" si="54"/>
        <v>CA-2016-109743_TEC-PH-10004071</v>
      </c>
      <c r="E3515" t="str">
        <f>IF(COUNTIF(data2!$D:$D,D3515)=0,"Missing in Data2","Present")</f>
        <v>Present</v>
      </c>
    </row>
    <row r="3516" spans="1:5" x14ac:dyDescent="0.25">
      <c r="A3516" s="2" t="s">
        <v>3349</v>
      </c>
      <c r="B3516" s="2" t="s">
        <v>693</v>
      </c>
      <c r="C3516" s="2">
        <v>3</v>
      </c>
      <c r="D3516" t="str">
        <f t="shared" si="54"/>
        <v>CA-2016-109806_OFF-AR-10004930</v>
      </c>
      <c r="E3516" t="str">
        <f>IF(COUNTIF(data2!$D:$D,D3516)=0,"Missing in Data2","Present")</f>
        <v>Present</v>
      </c>
    </row>
    <row r="3517" spans="1:5" x14ac:dyDescent="0.25">
      <c r="A3517" s="2" t="s">
        <v>3349</v>
      </c>
      <c r="B3517" s="2" t="s">
        <v>1219</v>
      </c>
      <c r="C3517" s="2">
        <v>1</v>
      </c>
      <c r="D3517" t="str">
        <f t="shared" si="54"/>
        <v>CA-2016-109806_OFF-PA-10000304</v>
      </c>
      <c r="E3517" t="str">
        <f>IF(COUNTIF(data2!$D:$D,D3517)=0,"Missing in Data2","Present")</f>
        <v>Present</v>
      </c>
    </row>
    <row r="3518" spans="1:5" x14ac:dyDescent="0.25">
      <c r="A3518" s="2" t="s">
        <v>3349</v>
      </c>
      <c r="B3518" s="2" t="s">
        <v>1522</v>
      </c>
      <c r="C3518" s="2">
        <v>2</v>
      </c>
      <c r="D3518" t="str">
        <f t="shared" si="54"/>
        <v>CA-2016-109806_TEC-PH-10004093</v>
      </c>
      <c r="E3518" t="str">
        <f>IF(COUNTIF(data2!$D:$D,D3518)=0,"Missing in Data2","Present")</f>
        <v>Present</v>
      </c>
    </row>
    <row r="3519" spans="1:5" x14ac:dyDescent="0.25">
      <c r="A3519" s="2" t="s">
        <v>3350</v>
      </c>
      <c r="B3519" s="2" t="s">
        <v>606</v>
      </c>
      <c r="C3519" s="2">
        <v>3</v>
      </c>
      <c r="D3519" t="str">
        <f t="shared" si="54"/>
        <v>CA-2016-109820_OFF-BI-10000474</v>
      </c>
      <c r="E3519" t="str">
        <f>IF(COUNTIF(data2!$D:$D,D3519)=0,"Missing in Data2","Present")</f>
        <v>Present</v>
      </c>
    </row>
    <row r="3520" spans="1:5" x14ac:dyDescent="0.25">
      <c r="A3520" s="2" t="s">
        <v>3350</v>
      </c>
      <c r="B3520" s="2" t="s">
        <v>2342</v>
      </c>
      <c r="C3520" s="2">
        <v>2</v>
      </c>
      <c r="D3520" t="str">
        <f t="shared" si="54"/>
        <v>CA-2016-109820_OFF-BI-10003460</v>
      </c>
      <c r="E3520" t="str">
        <f>IF(COUNTIF(data2!$D:$D,D3520)=0,"Missing in Data2","Present")</f>
        <v>Present</v>
      </c>
    </row>
    <row r="3521" spans="1:5" x14ac:dyDescent="0.25">
      <c r="A3521" s="2" t="s">
        <v>3350</v>
      </c>
      <c r="B3521" s="2" t="s">
        <v>871</v>
      </c>
      <c r="C3521" s="2">
        <v>3</v>
      </c>
      <c r="D3521" t="str">
        <f t="shared" si="54"/>
        <v>CA-2016-109820_OFF-PA-10000955</v>
      </c>
      <c r="E3521" t="str">
        <f>IF(COUNTIF(data2!$D:$D,D3521)=0,"Missing in Data2","Present")</f>
        <v>Present</v>
      </c>
    </row>
    <row r="3522" spans="1:5" x14ac:dyDescent="0.25">
      <c r="A3522" s="2" t="s">
        <v>3351</v>
      </c>
      <c r="B3522" s="2" t="s">
        <v>1502</v>
      </c>
      <c r="C3522" s="2">
        <v>2</v>
      </c>
      <c r="D3522" t="str">
        <f t="shared" si="54"/>
        <v>CA-2016-109827_FUR-CH-10004754</v>
      </c>
      <c r="E3522" t="str">
        <f>IF(COUNTIF(data2!$D:$D,D3522)=0,"Missing in Data2","Present")</f>
        <v>Present</v>
      </c>
    </row>
    <row r="3523" spans="1:5" x14ac:dyDescent="0.25">
      <c r="A3523" s="2" t="s">
        <v>3351</v>
      </c>
      <c r="B3523" s="2" t="s">
        <v>2645</v>
      </c>
      <c r="C3523" s="2">
        <v>3</v>
      </c>
      <c r="D3523" t="str">
        <f t="shared" ref="D3523:D3586" si="55">A3523&amp;"_"&amp;B3523</f>
        <v>CA-2016-109827_TEC-AC-10002217</v>
      </c>
      <c r="E3523" t="str">
        <f>IF(COUNTIF(data2!$D:$D,D3523)=0,"Missing in Data2","Present")</f>
        <v>Present</v>
      </c>
    </row>
    <row r="3524" spans="1:5" x14ac:dyDescent="0.25">
      <c r="A3524" s="2" t="s">
        <v>3351</v>
      </c>
      <c r="B3524" s="2" t="s">
        <v>409</v>
      </c>
      <c r="C3524" s="2">
        <v>2</v>
      </c>
      <c r="D3524" t="str">
        <f t="shared" si="55"/>
        <v>CA-2016-109827_TEC-AC-10004353</v>
      </c>
      <c r="E3524" t="str">
        <f>IF(COUNTIF(data2!$D:$D,D3524)=0,"Missing in Data2","Present")</f>
        <v>Present</v>
      </c>
    </row>
    <row r="3525" spans="1:5" x14ac:dyDescent="0.25">
      <c r="A3525" s="2" t="s">
        <v>3351</v>
      </c>
      <c r="B3525" s="2" t="s">
        <v>3352</v>
      </c>
      <c r="C3525" s="2">
        <v>2</v>
      </c>
      <c r="D3525" t="str">
        <f t="shared" si="55"/>
        <v>CA-2016-109827_TEC-MA-10003356</v>
      </c>
      <c r="E3525" t="str">
        <f>IF(COUNTIF(data2!$D:$D,D3525)=0,"Missing in Data2","Present")</f>
        <v>Present</v>
      </c>
    </row>
    <row r="3526" spans="1:5" x14ac:dyDescent="0.25">
      <c r="A3526" s="2" t="s">
        <v>3353</v>
      </c>
      <c r="B3526" s="2" t="s">
        <v>1324</v>
      </c>
      <c r="C3526" s="2">
        <v>5</v>
      </c>
      <c r="D3526" t="str">
        <f t="shared" si="55"/>
        <v>CA-2016-109869_FUR-FU-10000023</v>
      </c>
      <c r="E3526" t="str">
        <f>IF(COUNTIF(data2!$D:$D,D3526)=0,"Missing in Data2","Present")</f>
        <v>Present</v>
      </c>
    </row>
    <row r="3527" spans="1:5" x14ac:dyDescent="0.25">
      <c r="A3527" s="2" t="s">
        <v>3353</v>
      </c>
      <c r="B3527" s="2" t="s">
        <v>1130</v>
      </c>
      <c r="C3527" s="2">
        <v>6</v>
      </c>
      <c r="D3527" t="str">
        <f t="shared" si="55"/>
        <v>CA-2016-109869_FUR-TA-10001889</v>
      </c>
      <c r="E3527" t="str">
        <f>IF(COUNTIF(data2!$D:$D,D3527)=0,"Missing in Data2","Present")</f>
        <v>Present</v>
      </c>
    </row>
    <row r="3528" spans="1:5" x14ac:dyDescent="0.25">
      <c r="A3528" s="2" t="s">
        <v>3353</v>
      </c>
      <c r="B3528" s="2" t="s">
        <v>1386</v>
      </c>
      <c r="C3528" s="2">
        <v>5</v>
      </c>
      <c r="D3528" t="str">
        <f t="shared" si="55"/>
        <v>CA-2016-109869_OFF-BI-10000315</v>
      </c>
      <c r="E3528" t="str">
        <f>IF(COUNTIF(data2!$D:$D,D3528)=0,"Missing in Data2","Present")</f>
        <v>Missing in Data2</v>
      </c>
    </row>
    <row r="3529" spans="1:5" x14ac:dyDescent="0.25">
      <c r="A3529" s="2" t="s">
        <v>3353</v>
      </c>
      <c r="B3529" s="2" t="s">
        <v>3354</v>
      </c>
      <c r="C3529" s="2">
        <v>2</v>
      </c>
      <c r="D3529" t="str">
        <f t="shared" si="55"/>
        <v>CA-2016-109869_OFF-SU-10003505</v>
      </c>
      <c r="E3529" t="str">
        <f>IF(COUNTIF(data2!$D:$D,D3529)=0,"Missing in Data2","Present")</f>
        <v>Present</v>
      </c>
    </row>
    <row r="3530" spans="1:5" x14ac:dyDescent="0.25">
      <c r="A3530" s="2" t="s">
        <v>3355</v>
      </c>
      <c r="B3530" s="2" t="s">
        <v>1776</v>
      </c>
      <c r="C3530" s="2">
        <v>4</v>
      </c>
      <c r="D3530" t="str">
        <f t="shared" si="55"/>
        <v>CA-2016-109911_OFF-AR-10001662</v>
      </c>
      <c r="E3530" t="str">
        <f>IF(COUNTIF(data2!$D:$D,D3530)=0,"Missing in Data2","Present")</f>
        <v>Present</v>
      </c>
    </row>
    <row r="3531" spans="1:5" x14ac:dyDescent="0.25">
      <c r="A3531" s="2" t="s">
        <v>3356</v>
      </c>
      <c r="B3531" s="2" t="s">
        <v>71</v>
      </c>
      <c r="C3531" s="2">
        <v>3</v>
      </c>
      <c r="D3531" t="str">
        <f t="shared" si="55"/>
        <v>CA-2016-109925_OFF-ST-10003442</v>
      </c>
      <c r="E3531" t="str">
        <f>IF(COUNTIF(data2!$D:$D,D3531)=0,"Missing in Data2","Present")</f>
        <v>Present</v>
      </c>
    </row>
    <row r="3532" spans="1:5" x14ac:dyDescent="0.25">
      <c r="A3532" s="2" t="s">
        <v>3357</v>
      </c>
      <c r="B3532" s="2" t="s">
        <v>2387</v>
      </c>
      <c r="C3532" s="2">
        <v>4</v>
      </c>
      <c r="D3532" t="str">
        <f t="shared" si="55"/>
        <v>CA-2016-109953_FUR-FU-10000073</v>
      </c>
      <c r="E3532" t="str">
        <f>IF(COUNTIF(data2!$D:$D,D3532)=0,"Missing in Data2","Present")</f>
        <v>Present</v>
      </c>
    </row>
    <row r="3533" spans="1:5" x14ac:dyDescent="0.25">
      <c r="A3533" s="2" t="s">
        <v>3357</v>
      </c>
      <c r="B3533" s="2" t="s">
        <v>1182</v>
      </c>
      <c r="C3533" s="2">
        <v>7</v>
      </c>
      <c r="D3533" t="str">
        <f t="shared" si="55"/>
        <v>CA-2016-109953_OFF-AP-10002998</v>
      </c>
      <c r="E3533" t="str">
        <f>IF(COUNTIF(data2!$D:$D,D3533)=0,"Missing in Data2","Present")</f>
        <v>Present</v>
      </c>
    </row>
    <row r="3534" spans="1:5" x14ac:dyDescent="0.25">
      <c r="A3534" s="2" t="s">
        <v>3357</v>
      </c>
      <c r="B3534" s="2" t="s">
        <v>1522</v>
      </c>
      <c r="C3534" s="2">
        <v>3</v>
      </c>
      <c r="D3534" t="str">
        <f t="shared" si="55"/>
        <v>CA-2016-109953_TEC-PH-10004093</v>
      </c>
      <c r="E3534" t="str">
        <f>IF(COUNTIF(data2!$D:$D,D3534)=0,"Missing in Data2","Present")</f>
        <v>Present</v>
      </c>
    </row>
    <row r="3535" spans="1:5" x14ac:dyDescent="0.25">
      <c r="A3535" s="2" t="s">
        <v>3358</v>
      </c>
      <c r="B3535" s="2" t="s">
        <v>2933</v>
      </c>
      <c r="C3535" s="2">
        <v>1</v>
      </c>
      <c r="D3535" t="str">
        <f t="shared" si="55"/>
        <v>CA-2016-110009_FUR-FU-10003039</v>
      </c>
      <c r="E3535" t="str">
        <f>IF(COUNTIF(data2!$D:$D,D3535)=0,"Missing in Data2","Present")</f>
        <v>Present</v>
      </c>
    </row>
    <row r="3536" spans="1:5" x14ac:dyDescent="0.25">
      <c r="A3536" s="2" t="s">
        <v>3358</v>
      </c>
      <c r="B3536" s="2" t="s">
        <v>1968</v>
      </c>
      <c r="C3536" s="2">
        <v>7</v>
      </c>
      <c r="D3536" t="str">
        <f t="shared" si="55"/>
        <v>CA-2016-110009_OFF-PA-10002615</v>
      </c>
      <c r="E3536" t="str">
        <f>IF(COUNTIF(data2!$D:$D,D3536)=0,"Missing in Data2","Present")</f>
        <v>Present</v>
      </c>
    </row>
    <row r="3537" spans="1:5" x14ac:dyDescent="0.25">
      <c r="A3537" s="2" t="s">
        <v>3359</v>
      </c>
      <c r="B3537" s="2" t="s">
        <v>811</v>
      </c>
      <c r="C3537" s="2">
        <v>2</v>
      </c>
      <c r="D3537" t="str">
        <f t="shared" si="55"/>
        <v>CA-2016-110023_OFF-BI-10001036</v>
      </c>
      <c r="E3537" t="str">
        <f>IF(COUNTIF(data2!$D:$D,D3537)=0,"Missing in Data2","Present")</f>
        <v>Present</v>
      </c>
    </row>
    <row r="3538" spans="1:5" x14ac:dyDescent="0.25">
      <c r="A3538" s="2" t="s">
        <v>3360</v>
      </c>
      <c r="B3538" s="2" t="s">
        <v>923</v>
      </c>
      <c r="C3538" s="2">
        <v>3</v>
      </c>
      <c r="D3538" t="str">
        <f t="shared" si="55"/>
        <v>CA-2016-110044_TEC-PH-10001299</v>
      </c>
      <c r="E3538" t="str">
        <f>IF(COUNTIF(data2!$D:$D,D3538)=0,"Missing in Data2","Present")</f>
        <v>Present</v>
      </c>
    </row>
    <row r="3539" spans="1:5" x14ac:dyDescent="0.25">
      <c r="A3539" s="2" t="s">
        <v>3361</v>
      </c>
      <c r="B3539" s="2" t="s">
        <v>923</v>
      </c>
      <c r="C3539" s="2">
        <v>2</v>
      </c>
      <c r="D3539" t="str">
        <f t="shared" si="55"/>
        <v>CA-2016-110086_TEC-PH-10001299</v>
      </c>
      <c r="E3539" t="str">
        <f>IF(COUNTIF(data2!$D:$D,D3539)=0,"Missing in Data2","Present")</f>
        <v>Present</v>
      </c>
    </row>
    <row r="3540" spans="1:5" x14ac:dyDescent="0.25">
      <c r="A3540" s="2" t="s">
        <v>3362</v>
      </c>
      <c r="B3540" s="2" t="s">
        <v>124</v>
      </c>
      <c r="C3540" s="2">
        <v>9</v>
      </c>
      <c r="D3540" t="str">
        <f t="shared" si="55"/>
        <v>CA-2016-110254_FUR-FU-10001591</v>
      </c>
      <c r="E3540" t="str">
        <f>IF(COUNTIF(data2!$D:$D,D3540)=0,"Missing in Data2","Present")</f>
        <v>Present</v>
      </c>
    </row>
    <row r="3541" spans="1:5" x14ac:dyDescent="0.25">
      <c r="A3541" s="2" t="s">
        <v>3362</v>
      </c>
      <c r="B3541" s="2" t="s">
        <v>3363</v>
      </c>
      <c r="C3541" s="2">
        <v>2</v>
      </c>
      <c r="D3541" t="str">
        <f t="shared" si="55"/>
        <v>CA-2016-110254_OFF-LA-10002034</v>
      </c>
      <c r="E3541" t="str">
        <f>IF(COUNTIF(data2!$D:$D,D3541)=0,"Missing in Data2","Present")</f>
        <v>Present</v>
      </c>
    </row>
    <row r="3542" spans="1:5" x14ac:dyDescent="0.25">
      <c r="A3542" s="2" t="s">
        <v>3362</v>
      </c>
      <c r="B3542" s="2" t="s">
        <v>1711</v>
      </c>
      <c r="C3542" s="2">
        <v>1</v>
      </c>
      <c r="D3542" t="str">
        <f t="shared" si="55"/>
        <v>CA-2016-110254_OFF-LA-10004484</v>
      </c>
      <c r="E3542" t="str">
        <f>IF(COUNTIF(data2!$D:$D,D3542)=0,"Missing in Data2","Present")</f>
        <v>Present</v>
      </c>
    </row>
    <row r="3543" spans="1:5" x14ac:dyDescent="0.25">
      <c r="A3543" s="2" t="s">
        <v>3362</v>
      </c>
      <c r="B3543" s="2" t="s">
        <v>1948</v>
      </c>
      <c r="C3543" s="2">
        <v>2</v>
      </c>
      <c r="D3543" t="str">
        <f t="shared" si="55"/>
        <v>CA-2016-110254_OFF-SU-10002573</v>
      </c>
      <c r="E3543" t="str">
        <f>IF(COUNTIF(data2!$D:$D,D3543)=0,"Missing in Data2","Present")</f>
        <v>Present</v>
      </c>
    </row>
    <row r="3544" spans="1:5" x14ac:dyDescent="0.25">
      <c r="A3544" s="2" t="s">
        <v>3364</v>
      </c>
      <c r="B3544" s="2" t="s">
        <v>2725</v>
      </c>
      <c r="C3544" s="2">
        <v>2</v>
      </c>
      <c r="D3544" t="str">
        <f t="shared" si="55"/>
        <v>CA-2016-110366_FUR-FU-10004848</v>
      </c>
      <c r="E3544" t="str">
        <f>IF(COUNTIF(data2!$D:$D,D3544)=0,"Missing in Data2","Present")</f>
        <v>Present</v>
      </c>
    </row>
    <row r="3545" spans="1:5" x14ac:dyDescent="0.25">
      <c r="A3545" s="2" t="s">
        <v>3365</v>
      </c>
      <c r="B3545" s="2" t="s">
        <v>1311</v>
      </c>
      <c r="C3545" s="2">
        <v>4</v>
      </c>
      <c r="D3545" t="str">
        <f t="shared" si="55"/>
        <v>CA-2016-110492_OFF-BI-10003274</v>
      </c>
      <c r="E3545" t="str">
        <f>IF(COUNTIF(data2!$D:$D,D3545)=0,"Missing in Data2","Present")</f>
        <v>Present</v>
      </c>
    </row>
    <row r="3546" spans="1:5" x14ac:dyDescent="0.25">
      <c r="A3546" s="2" t="s">
        <v>3365</v>
      </c>
      <c r="B3546" s="2" t="s">
        <v>495</v>
      </c>
      <c r="C3546" s="2">
        <v>6</v>
      </c>
      <c r="D3546" t="str">
        <f t="shared" si="55"/>
        <v>CA-2016-110492_OFF-ST-10003716</v>
      </c>
      <c r="E3546" t="str">
        <f>IF(COUNTIF(data2!$D:$D,D3546)=0,"Missing in Data2","Present")</f>
        <v>Present</v>
      </c>
    </row>
    <row r="3547" spans="1:5" x14ac:dyDescent="0.25">
      <c r="A3547" s="2" t="s">
        <v>3366</v>
      </c>
      <c r="B3547" s="2" t="s">
        <v>1688</v>
      </c>
      <c r="C3547" s="2">
        <v>3</v>
      </c>
      <c r="D3547" t="str">
        <f t="shared" si="55"/>
        <v>CA-2016-110499_TEC-CO-10002095</v>
      </c>
      <c r="E3547" t="str">
        <f>IF(COUNTIF(data2!$D:$D,D3547)=0,"Missing in Data2","Present")</f>
        <v>Present</v>
      </c>
    </row>
    <row r="3548" spans="1:5" x14ac:dyDescent="0.25">
      <c r="A3548" s="2" t="s">
        <v>3367</v>
      </c>
      <c r="B3548" s="2" t="s">
        <v>122</v>
      </c>
      <c r="C3548" s="2">
        <v>2</v>
      </c>
      <c r="D3548" t="str">
        <f t="shared" si="55"/>
        <v>CA-2016-110730_OFF-SU-10004737</v>
      </c>
      <c r="E3548" t="str">
        <f>IF(COUNTIF(data2!$D:$D,D3548)=0,"Missing in Data2","Present")</f>
        <v>Present</v>
      </c>
    </row>
    <row r="3549" spans="1:5" x14ac:dyDescent="0.25">
      <c r="A3549" s="2" t="s">
        <v>3368</v>
      </c>
      <c r="B3549" s="2" t="s">
        <v>1960</v>
      </c>
      <c r="C3549" s="2">
        <v>3</v>
      </c>
      <c r="D3549" t="str">
        <f t="shared" si="55"/>
        <v>CA-2016-110772_FUR-BO-10004709</v>
      </c>
      <c r="E3549" t="str">
        <f>IF(COUNTIF(data2!$D:$D,D3549)=0,"Missing in Data2","Present")</f>
        <v>Present</v>
      </c>
    </row>
    <row r="3550" spans="1:5" x14ac:dyDescent="0.25">
      <c r="A3550" s="2" t="s">
        <v>3368</v>
      </c>
      <c r="B3550" s="2" t="s">
        <v>3268</v>
      </c>
      <c r="C3550" s="2">
        <v>7</v>
      </c>
      <c r="D3550" t="str">
        <f t="shared" si="55"/>
        <v>CA-2016-110772_OFF-FA-10002983</v>
      </c>
      <c r="E3550" t="str">
        <f>IF(COUNTIF(data2!$D:$D,D3550)=0,"Missing in Data2","Present")</f>
        <v>Present</v>
      </c>
    </row>
    <row r="3551" spans="1:5" x14ac:dyDescent="0.25">
      <c r="A3551" s="2" t="s">
        <v>3368</v>
      </c>
      <c r="B3551" s="2" t="s">
        <v>1480</v>
      </c>
      <c r="C3551" s="2">
        <v>8</v>
      </c>
      <c r="D3551" t="str">
        <f t="shared" si="55"/>
        <v>CA-2016-110772_OFF-LA-10004689</v>
      </c>
      <c r="E3551" t="str">
        <f>IF(COUNTIF(data2!$D:$D,D3551)=0,"Missing in Data2","Present")</f>
        <v>Present</v>
      </c>
    </row>
    <row r="3552" spans="1:5" x14ac:dyDescent="0.25">
      <c r="A3552" s="2" t="s">
        <v>3369</v>
      </c>
      <c r="B3552" s="2" t="s">
        <v>57</v>
      </c>
      <c r="C3552" s="2">
        <v>5</v>
      </c>
      <c r="D3552" t="str">
        <f t="shared" si="55"/>
        <v>CA-2016-110898_FUR-FU-10003773</v>
      </c>
      <c r="E3552" t="str">
        <f>IF(COUNTIF(data2!$D:$D,D3552)=0,"Missing in Data2","Present")</f>
        <v>Present</v>
      </c>
    </row>
    <row r="3553" spans="1:5" x14ac:dyDescent="0.25">
      <c r="A3553" s="2" t="s">
        <v>3369</v>
      </c>
      <c r="B3553" s="2" t="s">
        <v>1696</v>
      </c>
      <c r="C3553" s="2">
        <v>2</v>
      </c>
      <c r="D3553" t="str">
        <f t="shared" si="55"/>
        <v>CA-2016-110898_FUR-TA-10000849</v>
      </c>
      <c r="E3553" t="str">
        <f>IF(COUNTIF(data2!$D:$D,D3553)=0,"Missing in Data2","Present")</f>
        <v>Present</v>
      </c>
    </row>
    <row r="3554" spans="1:5" x14ac:dyDescent="0.25">
      <c r="A3554" s="2" t="s">
        <v>3369</v>
      </c>
      <c r="B3554" s="2" t="s">
        <v>1453</v>
      </c>
      <c r="C3554" s="2">
        <v>3</v>
      </c>
      <c r="D3554" t="str">
        <f t="shared" si="55"/>
        <v>CA-2016-110898_OFF-AP-10001626</v>
      </c>
      <c r="E3554" t="str">
        <f>IF(COUNTIF(data2!$D:$D,D3554)=0,"Missing in Data2","Present")</f>
        <v>Present</v>
      </c>
    </row>
    <row r="3555" spans="1:5" x14ac:dyDescent="0.25">
      <c r="A3555" s="2" t="s">
        <v>3369</v>
      </c>
      <c r="B3555" s="2" t="s">
        <v>853</v>
      </c>
      <c r="C3555" s="2">
        <v>4</v>
      </c>
      <c r="D3555" t="str">
        <f t="shared" si="55"/>
        <v>CA-2016-110898_OFF-BI-10004656</v>
      </c>
      <c r="E3555" t="str">
        <f>IF(COUNTIF(data2!$D:$D,D3555)=0,"Missing in Data2","Present")</f>
        <v>Present</v>
      </c>
    </row>
    <row r="3556" spans="1:5" x14ac:dyDescent="0.25">
      <c r="A3556" s="2" t="s">
        <v>3370</v>
      </c>
      <c r="B3556" s="2" t="s">
        <v>2170</v>
      </c>
      <c r="C3556" s="2">
        <v>3</v>
      </c>
      <c r="D3556" t="str">
        <f t="shared" si="55"/>
        <v>CA-2016-110975_FUR-CH-10003746</v>
      </c>
      <c r="E3556" t="str">
        <f>IF(COUNTIF(data2!$D:$D,D3556)=0,"Missing in Data2","Present")</f>
        <v>Present</v>
      </c>
    </row>
    <row r="3557" spans="1:5" x14ac:dyDescent="0.25">
      <c r="A3557" s="2" t="s">
        <v>3371</v>
      </c>
      <c r="B3557" s="2" t="s">
        <v>1618</v>
      </c>
      <c r="C3557" s="2">
        <v>4</v>
      </c>
      <c r="D3557" t="str">
        <f t="shared" si="55"/>
        <v>CA-2016-110982_OFF-AP-10004859</v>
      </c>
      <c r="E3557" t="str">
        <f>IF(COUNTIF(data2!$D:$D,D3557)=0,"Missing in Data2","Present")</f>
        <v>Present</v>
      </c>
    </row>
    <row r="3558" spans="1:5" x14ac:dyDescent="0.25">
      <c r="A3558" s="2" t="s">
        <v>3371</v>
      </c>
      <c r="B3558" s="2" t="s">
        <v>419</v>
      </c>
      <c r="C3558" s="2">
        <v>6</v>
      </c>
      <c r="D3558" t="str">
        <f t="shared" si="55"/>
        <v>CA-2016-110982_OFF-BI-10000829</v>
      </c>
      <c r="E3558" t="str">
        <f>IF(COUNTIF(data2!$D:$D,D3558)=0,"Missing in Data2","Present")</f>
        <v>Present</v>
      </c>
    </row>
    <row r="3559" spans="1:5" x14ac:dyDescent="0.25">
      <c r="A3559" s="2" t="s">
        <v>3372</v>
      </c>
      <c r="B3559" s="2" t="s">
        <v>1859</v>
      </c>
      <c r="C3559" s="2">
        <v>6</v>
      </c>
      <c r="D3559" t="str">
        <f t="shared" si="55"/>
        <v>CA-2016-111010_OFF-FA-10003472</v>
      </c>
      <c r="E3559" t="str">
        <f>IF(COUNTIF(data2!$D:$D,D3559)=0,"Missing in Data2","Present")</f>
        <v>Missing in Data2</v>
      </c>
    </row>
    <row r="3560" spans="1:5" x14ac:dyDescent="0.25">
      <c r="A3560" s="2" t="s">
        <v>3373</v>
      </c>
      <c r="B3560" s="2" t="s">
        <v>1303</v>
      </c>
      <c r="C3560" s="2">
        <v>6</v>
      </c>
      <c r="D3560" t="str">
        <f t="shared" si="55"/>
        <v>CA-2016-111115_OFF-FA-10000624</v>
      </c>
      <c r="E3560" t="str">
        <f>IF(COUNTIF(data2!$D:$D,D3560)=0,"Missing in Data2","Present")</f>
        <v>Present</v>
      </c>
    </row>
    <row r="3561" spans="1:5" x14ac:dyDescent="0.25">
      <c r="A3561" s="2" t="s">
        <v>3374</v>
      </c>
      <c r="B3561" s="2" t="s">
        <v>2280</v>
      </c>
      <c r="C3561" s="2">
        <v>3</v>
      </c>
      <c r="D3561" t="str">
        <f t="shared" si="55"/>
        <v>CA-2016-111143_OFF-AP-10001947</v>
      </c>
      <c r="E3561" t="str">
        <f>IF(COUNTIF(data2!$D:$D,D3561)=0,"Missing in Data2","Present")</f>
        <v>Present</v>
      </c>
    </row>
    <row r="3562" spans="1:5" x14ac:dyDescent="0.25">
      <c r="A3562" s="2" t="s">
        <v>3375</v>
      </c>
      <c r="B3562" s="2" t="s">
        <v>297</v>
      </c>
      <c r="C3562" s="2">
        <v>6</v>
      </c>
      <c r="D3562" t="str">
        <f t="shared" si="55"/>
        <v>CA-2016-111213_FUR-CH-10000454</v>
      </c>
      <c r="E3562" t="str">
        <f>IF(COUNTIF(data2!$D:$D,D3562)=0,"Missing in Data2","Present")</f>
        <v>Present</v>
      </c>
    </row>
    <row r="3563" spans="1:5" x14ac:dyDescent="0.25">
      <c r="A3563" s="2" t="s">
        <v>3375</v>
      </c>
      <c r="B3563" s="2" t="s">
        <v>70</v>
      </c>
      <c r="C3563" s="2">
        <v>1</v>
      </c>
      <c r="D3563" t="str">
        <f t="shared" si="55"/>
        <v>CA-2016-111213_OFF-BI-10004140</v>
      </c>
      <c r="E3563" t="str">
        <f>IF(COUNTIF(data2!$D:$D,D3563)=0,"Missing in Data2","Present")</f>
        <v>Present</v>
      </c>
    </row>
    <row r="3564" spans="1:5" x14ac:dyDescent="0.25">
      <c r="A3564" s="2" t="s">
        <v>3375</v>
      </c>
      <c r="B3564" s="2" t="s">
        <v>3376</v>
      </c>
      <c r="C3564" s="2">
        <v>8</v>
      </c>
      <c r="D3564" t="str">
        <f t="shared" si="55"/>
        <v>CA-2016-111213_OFF-SU-10000946</v>
      </c>
      <c r="E3564" t="str">
        <f>IF(COUNTIF(data2!$D:$D,D3564)=0,"Missing in Data2","Present")</f>
        <v>Present</v>
      </c>
    </row>
    <row r="3565" spans="1:5" x14ac:dyDescent="0.25">
      <c r="A3565" s="2" t="s">
        <v>3377</v>
      </c>
      <c r="B3565" s="2" t="s">
        <v>1492</v>
      </c>
      <c r="C3565" s="2">
        <v>7</v>
      </c>
      <c r="D3565" t="str">
        <f t="shared" si="55"/>
        <v>CA-2016-111283_OFF-AR-10001615</v>
      </c>
      <c r="E3565" t="str">
        <f>IF(COUNTIF(data2!$D:$D,D3565)=0,"Missing in Data2","Present")</f>
        <v>Present</v>
      </c>
    </row>
    <row r="3566" spans="1:5" x14ac:dyDescent="0.25">
      <c r="A3566" s="2" t="s">
        <v>3378</v>
      </c>
      <c r="B3566" s="2" t="s">
        <v>347</v>
      </c>
      <c r="C3566" s="2">
        <v>8</v>
      </c>
      <c r="D3566" t="str">
        <f t="shared" si="55"/>
        <v>CA-2016-111318_TEC-PH-10004100</v>
      </c>
      <c r="E3566" t="str">
        <f>IF(COUNTIF(data2!$D:$D,D3566)=0,"Missing in Data2","Present")</f>
        <v>Present</v>
      </c>
    </row>
    <row r="3567" spans="1:5" x14ac:dyDescent="0.25">
      <c r="A3567" s="2" t="s">
        <v>3379</v>
      </c>
      <c r="B3567" s="2" t="s">
        <v>997</v>
      </c>
      <c r="C3567" s="2">
        <v>1</v>
      </c>
      <c r="D3567" t="str">
        <f t="shared" si="55"/>
        <v>CA-2016-111409_OFF-LA-10002787</v>
      </c>
      <c r="E3567" t="str">
        <f>IF(COUNTIF(data2!$D:$D,D3567)=0,"Missing in Data2","Present")</f>
        <v>Present</v>
      </c>
    </row>
    <row r="3568" spans="1:5" x14ac:dyDescent="0.25">
      <c r="A3568" s="2" t="s">
        <v>3380</v>
      </c>
      <c r="B3568" s="2" t="s">
        <v>637</v>
      </c>
      <c r="C3568" s="2">
        <v>5</v>
      </c>
      <c r="D3568" t="str">
        <f t="shared" si="55"/>
        <v>CA-2016-111416_OFF-BI-10002026</v>
      </c>
      <c r="E3568" t="str">
        <f>IF(COUNTIF(data2!$D:$D,D3568)=0,"Missing in Data2","Present")</f>
        <v>Present</v>
      </c>
    </row>
    <row r="3569" spans="1:5" x14ac:dyDescent="0.25">
      <c r="A3569" s="2" t="s">
        <v>3381</v>
      </c>
      <c r="B3569" s="2" t="s">
        <v>676</v>
      </c>
      <c r="C3569" s="2">
        <v>6</v>
      </c>
      <c r="D3569" t="str">
        <f t="shared" si="55"/>
        <v>CA-2016-111493_TEC-AC-10004510</v>
      </c>
      <c r="E3569" t="str">
        <f>IF(COUNTIF(data2!$D:$D,D3569)=0,"Missing in Data2","Present")</f>
        <v>Present</v>
      </c>
    </row>
    <row r="3570" spans="1:5" x14ac:dyDescent="0.25">
      <c r="A3570" s="2" t="s">
        <v>3382</v>
      </c>
      <c r="B3570" s="2" t="s">
        <v>1783</v>
      </c>
      <c r="C3570" s="2">
        <v>1</v>
      </c>
      <c r="D3570" t="str">
        <f t="shared" si="55"/>
        <v>CA-2016-111605_OFF-LA-10002368</v>
      </c>
      <c r="E3570" t="str">
        <f>IF(COUNTIF(data2!$D:$D,D3570)=0,"Missing in Data2","Present")</f>
        <v>Present</v>
      </c>
    </row>
    <row r="3571" spans="1:5" x14ac:dyDescent="0.25">
      <c r="A3571" s="2" t="s">
        <v>3383</v>
      </c>
      <c r="B3571" s="2" t="s">
        <v>2738</v>
      </c>
      <c r="C3571" s="2">
        <v>5</v>
      </c>
      <c r="D3571" t="str">
        <f t="shared" si="55"/>
        <v>CA-2016-111682_FUR-CH-10003968</v>
      </c>
      <c r="E3571" t="str">
        <f>IF(COUNTIF(data2!$D:$D,D3571)=0,"Missing in Data2","Present")</f>
        <v>Present</v>
      </c>
    </row>
    <row r="3572" spans="1:5" x14ac:dyDescent="0.25">
      <c r="A3572" s="2" t="s">
        <v>3383</v>
      </c>
      <c r="B3572" s="2" t="s">
        <v>17</v>
      </c>
      <c r="C3572" s="2">
        <v>1</v>
      </c>
      <c r="D3572" t="str">
        <f t="shared" si="55"/>
        <v>CA-2016-111682_OFF-AR-10001868</v>
      </c>
      <c r="E3572" t="str">
        <f>IF(COUNTIF(data2!$D:$D,D3572)=0,"Missing in Data2","Present")</f>
        <v>Present</v>
      </c>
    </row>
    <row r="3573" spans="1:5" x14ac:dyDescent="0.25">
      <c r="A3573" s="2" t="s">
        <v>3383</v>
      </c>
      <c r="B3573" s="2" t="s">
        <v>1843</v>
      </c>
      <c r="C3573" s="2">
        <v>4</v>
      </c>
      <c r="D3573" t="str">
        <f t="shared" si="55"/>
        <v>CA-2016-111682_OFF-BI-10001460</v>
      </c>
      <c r="E3573" t="str">
        <f>IF(COUNTIF(data2!$D:$D,D3573)=0,"Missing in Data2","Present")</f>
        <v>Present</v>
      </c>
    </row>
    <row r="3574" spans="1:5" x14ac:dyDescent="0.25">
      <c r="A3574" s="2" t="s">
        <v>3383</v>
      </c>
      <c r="B3574" s="2" t="s">
        <v>282</v>
      </c>
      <c r="C3574" s="2">
        <v>2</v>
      </c>
      <c r="D3574" t="str">
        <f t="shared" si="55"/>
        <v>CA-2016-111682_OFF-PA-10000587</v>
      </c>
      <c r="E3574" t="str">
        <f>IF(COUNTIF(data2!$D:$D,D3574)=0,"Missing in Data2","Present")</f>
        <v>Present</v>
      </c>
    </row>
    <row r="3575" spans="1:5" x14ac:dyDescent="0.25">
      <c r="A3575" s="2" t="s">
        <v>3383</v>
      </c>
      <c r="B3575" s="2" t="s">
        <v>931</v>
      </c>
      <c r="C3575" s="2">
        <v>5</v>
      </c>
      <c r="D3575" t="str">
        <f t="shared" si="55"/>
        <v>CA-2016-111682_OFF-PA-10001569</v>
      </c>
      <c r="E3575" t="str">
        <f>IF(COUNTIF(data2!$D:$D,D3575)=0,"Missing in Data2","Present")</f>
        <v>Present</v>
      </c>
    </row>
    <row r="3576" spans="1:5" x14ac:dyDescent="0.25">
      <c r="A3576" s="2" t="s">
        <v>3383</v>
      </c>
      <c r="B3576" s="2" t="s">
        <v>2149</v>
      </c>
      <c r="C3576" s="2">
        <v>6</v>
      </c>
      <c r="D3576" t="str">
        <f t="shared" si="55"/>
        <v>CA-2016-111682_OFF-ST-10000604</v>
      </c>
      <c r="E3576" t="str">
        <f>IF(COUNTIF(data2!$D:$D,D3576)=0,"Missing in Data2","Present")</f>
        <v>Present</v>
      </c>
    </row>
    <row r="3577" spans="1:5" x14ac:dyDescent="0.25">
      <c r="A3577" s="2" t="s">
        <v>3383</v>
      </c>
      <c r="B3577" s="2" t="s">
        <v>1315</v>
      </c>
      <c r="C3577" s="2">
        <v>2</v>
      </c>
      <c r="D3577" t="str">
        <f t="shared" si="55"/>
        <v>CA-2016-111682_TEC-AC-10002167</v>
      </c>
      <c r="E3577" t="str">
        <f>IF(COUNTIF(data2!$D:$D,D3577)=0,"Missing in Data2","Present")</f>
        <v>Present</v>
      </c>
    </row>
    <row r="3578" spans="1:5" x14ac:dyDescent="0.25">
      <c r="A3578" s="2" t="s">
        <v>3384</v>
      </c>
      <c r="B3578" s="2" t="s">
        <v>1932</v>
      </c>
      <c r="C3578" s="2">
        <v>3</v>
      </c>
      <c r="D3578" t="str">
        <f t="shared" si="55"/>
        <v>CA-2016-111696_OFF-PA-10002751</v>
      </c>
      <c r="E3578" t="str">
        <f>IF(COUNTIF(data2!$D:$D,D3578)=0,"Missing in Data2","Present")</f>
        <v>Present</v>
      </c>
    </row>
    <row r="3579" spans="1:5" x14ac:dyDescent="0.25">
      <c r="A3579" s="2" t="s">
        <v>3385</v>
      </c>
      <c r="B3579" s="2" t="s">
        <v>433</v>
      </c>
      <c r="C3579" s="2">
        <v>1</v>
      </c>
      <c r="D3579" t="str">
        <f t="shared" si="55"/>
        <v>CA-2016-111794_OFF-PA-10000474</v>
      </c>
      <c r="E3579" t="str">
        <f>IF(COUNTIF(data2!$D:$D,D3579)=0,"Missing in Data2","Present")</f>
        <v>Present</v>
      </c>
    </row>
    <row r="3580" spans="1:5" x14ac:dyDescent="0.25">
      <c r="A3580" s="2" t="s">
        <v>3385</v>
      </c>
      <c r="B3580" s="2" t="s">
        <v>877</v>
      </c>
      <c r="C3580" s="2">
        <v>3</v>
      </c>
      <c r="D3580" t="str">
        <f t="shared" si="55"/>
        <v>CA-2016-111794_TEC-AC-10003832</v>
      </c>
      <c r="E3580" t="str">
        <f>IF(COUNTIF(data2!$D:$D,D3580)=0,"Missing in Data2","Present")</f>
        <v>Present</v>
      </c>
    </row>
    <row r="3581" spans="1:5" x14ac:dyDescent="0.25">
      <c r="A3581" s="2" t="s">
        <v>3386</v>
      </c>
      <c r="B3581" s="2" t="s">
        <v>9</v>
      </c>
      <c r="C3581" s="2">
        <v>3</v>
      </c>
      <c r="D3581" t="str">
        <f t="shared" si="55"/>
        <v>CA-2016-111913_OFF-BI-10000343</v>
      </c>
      <c r="E3581" t="str">
        <f>IF(COUNTIF(data2!$D:$D,D3581)=0,"Missing in Data2","Present")</f>
        <v>Present</v>
      </c>
    </row>
    <row r="3582" spans="1:5" x14ac:dyDescent="0.25">
      <c r="A3582" s="2" t="s">
        <v>3386</v>
      </c>
      <c r="B3582" s="2" t="s">
        <v>485</v>
      </c>
      <c r="C3582" s="2">
        <v>3</v>
      </c>
      <c r="D3582" t="str">
        <f t="shared" si="55"/>
        <v>CA-2016-111913_OFF-BI-10003291</v>
      </c>
      <c r="E3582" t="str">
        <f>IF(COUNTIF(data2!$D:$D,D3582)=0,"Missing in Data2","Present")</f>
        <v>Missing in Data2</v>
      </c>
    </row>
    <row r="3583" spans="1:5" x14ac:dyDescent="0.25">
      <c r="A3583" s="2" t="s">
        <v>3386</v>
      </c>
      <c r="B3583" s="2" t="s">
        <v>548</v>
      </c>
      <c r="C3583" s="2">
        <v>2</v>
      </c>
      <c r="D3583" t="str">
        <f t="shared" si="55"/>
        <v>CA-2016-111913_TEC-PH-10002275</v>
      </c>
      <c r="E3583" t="str">
        <f>IF(COUNTIF(data2!$D:$D,D3583)=0,"Missing in Data2","Present")</f>
        <v>Present</v>
      </c>
    </row>
    <row r="3584" spans="1:5" x14ac:dyDescent="0.25">
      <c r="A3584" s="2" t="s">
        <v>3387</v>
      </c>
      <c r="B3584" s="2" t="s">
        <v>1815</v>
      </c>
      <c r="C3584" s="2">
        <v>2</v>
      </c>
      <c r="D3584" t="str">
        <f t="shared" si="55"/>
        <v>CA-2016-111941_OFF-BI-10001524</v>
      </c>
      <c r="E3584" t="str">
        <f>IF(COUNTIF(data2!$D:$D,D3584)=0,"Missing in Data2","Present")</f>
        <v>Present</v>
      </c>
    </row>
    <row r="3585" spans="1:5" x14ac:dyDescent="0.25">
      <c r="A3585" s="2" t="s">
        <v>3388</v>
      </c>
      <c r="B3585" s="2" t="s">
        <v>2834</v>
      </c>
      <c r="C3585" s="2">
        <v>2</v>
      </c>
      <c r="D3585" t="str">
        <f t="shared" si="55"/>
        <v>CA-2016-111976_OFF-FA-10004968</v>
      </c>
      <c r="E3585" t="str">
        <f>IF(COUNTIF(data2!$D:$D,D3585)=0,"Missing in Data2","Present")</f>
        <v>Present</v>
      </c>
    </row>
    <row r="3586" spans="1:5" x14ac:dyDescent="0.25">
      <c r="A3586" s="2" t="s">
        <v>3388</v>
      </c>
      <c r="B3586" s="2" t="s">
        <v>737</v>
      </c>
      <c r="C3586" s="2">
        <v>4</v>
      </c>
      <c r="D3586" t="str">
        <f t="shared" si="55"/>
        <v>CA-2016-111976_TEC-PH-10002890</v>
      </c>
      <c r="E3586" t="str">
        <f>IF(COUNTIF(data2!$D:$D,D3586)=0,"Missing in Data2","Present")</f>
        <v>Present</v>
      </c>
    </row>
    <row r="3587" spans="1:5" x14ac:dyDescent="0.25">
      <c r="A3587" s="2" t="s">
        <v>3389</v>
      </c>
      <c r="B3587" s="2" t="s">
        <v>955</v>
      </c>
      <c r="C3587" s="2">
        <v>3</v>
      </c>
      <c r="D3587" t="str">
        <f t="shared" ref="D3587:D3650" si="56">A3587&amp;"_"&amp;B3587</f>
        <v>CA-2016-112025_OFF-BI-10002353</v>
      </c>
      <c r="E3587" t="str">
        <f>IF(COUNTIF(data2!$D:$D,D3587)=0,"Missing in Data2","Present")</f>
        <v>Present</v>
      </c>
    </row>
    <row r="3588" spans="1:5" x14ac:dyDescent="0.25">
      <c r="A3588" s="2" t="s">
        <v>3390</v>
      </c>
      <c r="B3588" s="2" t="s">
        <v>2100</v>
      </c>
      <c r="C3588" s="2">
        <v>1</v>
      </c>
      <c r="D3588" t="str">
        <f t="shared" si="56"/>
        <v>CA-2016-112060_OFF-PA-10000994</v>
      </c>
      <c r="E3588" t="str">
        <f>IF(COUNTIF(data2!$D:$D,D3588)=0,"Missing in Data2","Present")</f>
        <v>Present</v>
      </c>
    </row>
    <row r="3589" spans="1:5" x14ac:dyDescent="0.25">
      <c r="A3589" s="2" t="s">
        <v>3391</v>
      </c>
      <c r="B3589" s="2" t="s">
        <v>1100</v>
      </c>
      <c r="C3589" s="2">
        <v>4</v>
      </c>
      <c r="D3589" t="str">
        <f t="shared" si="56"/>
        <v>CA-2016-112102_FUR-TA-10004086</v>
      </c>
      <c r="E3589" t="str">
        <f>IF(COUNTIF(data2!$D:$D,D3589)=0,"Missing in Data2","Present")</f>
        <v>Present</v>
      </c>
    </row>
    <row r="3590" spans="1:5" x14ac:dyDescent="0.25">
      <c r="A3590" s="2" t="s">
        <v>3391</v>
      </c>
      <c r="B3590" s="2" t="s">
        <v>915</v>
      </c>
      <c r="C3590" s="2">
        <v>1</v>
      </c>
      <c r="D3590" t="str">
        <f t="shared" si="56"/>
        <v>CA-2016-112102_OFF-PA-10000100</v>
      </c>
      <c r="E3590" t="str">
        <f>IF(COUNTIF(data2!$D:$D,D3590)=0,"Missing in Data2","Present")</f>
        <v>Present</v>
      </c>
    </row>
    <row r="3591" spans="1:5" x14ac:dyDescent="0.25">
      <c r="A3591" s="2" t="s">
        <v>3392</v>
      </c>
      <c r="B3591" s="2" t="s">
        <v>1083</v>
      </c>
      <c r="C3591" s="2">
        <v>3</v>
      </c>
      <c r="D3591" t="str">
        <f t="shared" si="56"/>
        <v>CA-2016-112109_FUR-CH-10004287</v>
      </c>
      <c r="E3591" t="str">
        <f>IF(COUNTIF(data2!$D:$D,D3591)=0,"Missing in Data2","Present")</f>
        <v>Present</v>
      </c>
    </row>
    <row r="3592" spans="1:5" x14ac:dyDescent="0.25">
      <c r="A3592" s="2" t="s">
        <v>3392</v>
      </c>
      <c r="B3592" s="2" t="s">
        <v>3393</v>
      </c>
      <c r="C3592" s="2">
        <v>4</v>
      </c>
      <c r="D3592" t="str">
        <f t="shared" si="56"/>
        <v>CA-2016-112109_OFF-BI-10001634</v>
      </c>
      <c r="E3592" t="str">
        <f>IF(COUNTIF(data2!$D:$D,D3592)=0,"Missing in Data2","Present")</f>
        <v>Present</v>
      </c>
    </row>
    <row r="3593" spans="1:5" x14ac:dyDescent="0.25">
      <c r="A3593" s="2" t="s">
        <v>3392</v>
      </c>
      <c r="B3593" s="2" t="s">
        <v>1961</v>
      </c>
      <c r="C3593" s="2">
        <v>2</v>
      </c>
      <c r="D3593" t="str">
        <f t="shared" si="56"/>
        <v>CA-2016-112109_OFF-BI-10002082</v>
      </c>
      <c r="E3593" t="str">
        <f>IF(COUNTIF(data2!$D:$D,D3593)=0,"Missing in Data2","Present")</f>
        <v>Present</v>
      </c>
    </row>
    <row r="3594" spans="1:5" x14ac:dyDescent="0.25">
      <c r="A3594" s="2" t="s">
        <v>3392</v>
      </c>
      <c r="B3594" s="2" t="s">
        <v>487</v>
      </c>
      <c r="C3594" s="2">
        <v>7</v>
      </c>
      <c r="D3594" t="str">
        <f t="shared" si="56"/>
        <v>CA-2016-112109_OFF-ST-10001505</v>
      </c>
      <c r="E3594" t="str">
        <f>IF(COUNTIF(data2!$D:$D,D3594)=0,"Missing in Data2","Present")</f>
        <v>Present</v>
      </c>
    </row>
    <row r="3595" spans="1:5" x14ac:dyDescent="0.25">
      <c r="A3595" s="2" t="s">
        <v>3394</v>
      </c>
      <c r="B3595" s="2" t="s">
        <v>921</v>
      </c>
      <c r="C3595" s="2">
        <v>7</v>
      </c>
      <c r="D3595" t="str">
        <f t="shared" si="56"/>
        <v>CA-2016-112123_OFF-BI-10001071</v>
      </c>
      <c r="E3595" t="str">
        <f>IF(COUNTIF(data2!$D:$D,D3595)=0,"Missing in Data2","Present")</f>
        <v>Present</v>
      </c>
    </row>
    <row r="3596" spans="1:5" x14ac:dyDescent="0.25">
      <c r="A3596" s="2" t="s">
        <v>3394</v>
      </c>
      <c r="B3596" s="2" t="s">
        <v>92</v>
      </c>
      <c r="C3596" s="2">
        <v>3</v>
      </c>
      <c r="D3596" t="str">
        <f t="shared" si="56"/>
        <v>CA-2016-112123_OFF-PA-10001977</v>
      </c>
      <c r="E3596" t="str">
        <f>IF(COUNTIF(data2!$D:$D,D3596)=0,"Missing in Data2","Present")</f>
        <v>Present</v>
      </c>
    </row>
    <row r="3597" spans="1:5" x14ac:dyDescent="0.25">
      <c r="A3597" s="2" t="s">
        <v>3394</v>
      </c>
      <c r="B3597" s="2" t="s">
        <v>312</v>
      </c>
      <c r="C3597" s="2">
        <v>5</v>
      </c>
      <c r="D3597" t="str">
        <f t="shared" si="56"/>
        <v>CA-2016-112123_TEC-PH-10001557</v>
      </c>
      <c r="E3597" t="str">
        <f>IF(COUNTIF(data2!$D:$D,D3597)=0,"Missing in Data2","Present")</f>
        <v>Present</v>
      </c>
    </row>
    <row r="3598" spans="1:5" x14ac:dyDescent="0.25">
      <c r="A3598" s="2" t="s">
        <v>3395</v>
      </c>
      <c r="B3598" s="2" t="s">
        <v>3396</v>
      </c>
      <c r="C3598" s="2">
        <v>2</v>
      </c>
      <c r="D3598" t="str">
        <f t="shared" si="56"/>
        <v>CA-2016-112256_OFF-AR-10001216</v>
      </c>
      <c r="E3598" t="str">
        <f>IF(COUNTIF(data2!$D:$D,D3598)=0,"Missing in Data2","Present")</f>
        <v>Present</v>
      </c>
    </row>
    <row r="3599" spans="1:5" x14ac:dyDescent="0.25">
      <c r="A3599" s="2" t="s">
        <v>3395</v>
      </c>
      <c r="B3599" s="2" t="s">
        <v>1062</v>
      </c>
      <c r="C3599" s="2">
        <v>5</v>
      </c>
      <c r="D3599" t="str">
        <f t="shared" si="56"/>
        <v>CA-2016-112256_OFF-AR-10001953</v>
      </c>
      <c r="E3599" t="str">
        <f>IF(COUNTIF(data2!$D:$D,D3599)=0,"Missing in Data2","Present")</f>
        <v>Present</v>
      </c>
    </row>
    <row r="3600" spans="1:5" x14ac:dyDescent="0.25">
      <c r="A3600" s="2" t="s">
        <v>3395</v>
      </c>
      <c r="B3600" s="2" t="s">
        <v>432</v>
      </c>
      <c r="C3600" s="2">
        <v>4</v>
      </c>
      <c r="D3600" t="str">
        <f t="shared" si="56"/>
        <v>CA-2016-112256_OFF-BI-10004364</v>
      </c>
      <c r="E3600" t="str">
        <f>IF(COUNTIF(data2!$D:$D,D3600)=0,"Missing in Data2","Present")</f>
        <v>Present</v>
      </c>
    </row>
    <row r="3601" spans="1:5" x14ac:dyDescent="0.25">
      <c r="A3601" s="2" t="s">
        <v>3395</v>
      </c>
      <c r="B3601" s="2" t="s">
        <v>2301</v>
      </c>
      <c r="C3601" s="2">
        <v>1</v>
      </c>
      <c r="D3601" t="str">
        <f t="shared" si="56"/>
        <v>CA-2016-112256_OFF-PA-10004355</v>
      </c>
      <c r="E3601" t="str">
        <f>IF(COUNTIF(data2!$D:$D,D3601)=0,"Missing in Data2","Present")</f>
        <v>Present</v>
      </c>
    </row>
    <row r="3602" spans="1:5" x14ac:dyDescent="0.25">
      <c r="A3602" s="2" t="s">
        <v>3395</v>
      </c>
      <c r="B3602" s="2" t="s">
        <v>2141</v>
      </c>
      <c r="C3602" s="2">
        <v>2</v>
      </c>
      <c r="D3602" t="str">
        <f t="shared" si="56"/>
        <v>CA-2016-112256_OFF-SU-10001165</v>
      </c>
      <c r="E3602" t="str">
        <f>IF(COUNTIF(data2!$D:$D,D3602)=0,"Missing in Data2","Present")</f>
        <v>Present</v>
      </c>
    </row>
    <row r="3603" spans="1:5" x14ac:dyDescent="0.25">
      <c r="A3603" s="2" t="s">
        <v>3397</v>
      </c>
      <c r="B3603" s="2" t="s">
        <v>139</v>
      </c>
      <c r="C3603" s="2">
        <v>7</v>
      </c>
      <c r="D3603" t="str">
        <f t="shared" si="56"/>
        <v>CA-2016-112277_TEC-PH-10003505</v>
      </c>
      <c r="E3603" t="str">
        <f>IF(COUNTIF(data2!$D:$D,D3603)=0,"Missing in Data2","Present")</f>
        <v>Present</v>
      </c>
    </row>
    <row r="3604" spans="1:5" x14ac:dyDescent="0.25">
      <c r="A3604" s="2" t="s">
        <v>3398</v>
      </c>
      <c r="B3604" s="2" t="s">
        <v>3399</v>
      </c>
      <c r="C3604" s="2">
        <v>3</v>
      </c>
      <c r="D3604" t="str">
        <f t="shared" si="56"/>
        <v>CA-2016-112340_OFF-PA-10001892</v>
      </c>
      <c r="E3604" t="str">
        <f>IF(COUNTIF(data2!$D:$D,D3604)=0,"Missing in Data2","Present")</f>
        <v>Present</v>
      </c>
    </row>
    <row r="3605" spans="1:5" x14ac:dyDescent="0.25">
      <c r="A3605" s="2" t="s">
        <v>3400</v>
      </c>
      <c r="B3605" s="2" t="s">
        <v>924</v>
      </c>
      <c r="C3605" s="2">
        <v>2</v>
      </c>
      <c r="D3605" t="str">
        <f t="shared" si="56"/>
        <v>CA-2016-112382_TEC-PH-10001552</v>
      </c>
      <c r="E3605" t="str">
        <f>IF(COUNTIF(data2!$D:$D,D3605)=0,"Missing in Data2","Present")</f>
        <v>Present</v>
      </c>
    </row>
    <row r="3606" spans="1:5" x14ac:dyDescent="0.25">
      <c r="A3606" s="2" t="s">
        <v>3401</v>
      </c>
      <c r="B3606" s="2" t="s">
        <v>1453</v>
      </c>
      <c r="C3606" s="2">
        <v>3</v>
      </c>
      <c r="D3606" t="str">
        <f t="shared" si="56"/>
        <v>CA-2016-112389_OFF-AP-10001626</v>
      </c>
      <c r="E3606" t="str">
        <f>IF(COUNTIF(data2!$D:$D,D3606)=0,"Missing in Data2","Present")</f>
        <v>Present</v>
      </c>
    </row>
    <row r="3607" spans="1:5" x14ac:dyDescent="0.25">
      <c r="A3607" s="2" t="s">
        <v>3401</v>
      </c>
      <c r="B3607" s="2" t="s">
        <v>1827</v>
      </c>
      <c r="C3607" s="2">
        <v>3</v>
      </c>
      <c r="D3607" t="str">
        <f t="shared" si="56"/>
        <v>CA-2016-112389_OFF-ST-10000419</v>
      </c>
      <c r="E3607" t="str">
        <f>IF(COUNTIF(data2!$D:$D,D3607)=0,"Missing in Data2","Present")</f>
        <v>Present</v>
      </c>
    </row>
    <row r="3608" spans="1:5" x14ac:dyDescent="0.25">
      <c r="A3608" s="2" t="s">
        <v>3402</v>
      </c>
      <c r="B3608" s="2" t="s">
        <v>865</v>
      </c>
      <c r="C3608" s="2">
        <v>1</v>
      </c>
      <c r="D3608" t="str">
        <f t="shared" si="56"/>
        <v>CA-2016-112578_OFF-ST-10003722</v>
      </c>
      <c r="E3608" t="str">
        <f>IF(COUNTIF(data2!$D:$D,D3608)=0,"Missing in Data2","Present")</f>
        <v>Present</v>
      </c>
    </row>
    <row r="3609" spans="1:5" x14ac:dyDescent="0.25">
      <c r="A3609" s="2" t="s">
        <v>3402</v>
      </c>
      <c r="B3609" s="2" t="s">
        <v>2539</v>
      </c>
      <c r="C3609" s="2">
        <v>2</v>
      </c>
      <c r="D3609" t="str">
        <f t="shared" si="56"/>
        <v>CA-2016-112578_OFF-SU-10002557</v>
      </c>
      <c r="E3609" t="str">
        <f>IF(COUNTIF(data2!$D:$D,D3609)=0,"Missing in Data2","Present")</f>
        <v>Present</v>
      </c>
    </row>
    <row r="3610" spans="1:5" x14ac:dyDescent="0.25">
      <c r="A3610" s="2" t="s">
        <v>3403</v>
      </c>
      <c r="B3610" s="2" t="s">
        <v>2130</v>
      </c>
      <c r="C3610" s="2">
        <v>2</v>
      </c>
      <c r="D3610" t="str">
        <f t="shared" si="56"/>
        <v>CA-2016-112585_OFF-AP-10003849</v>
      </c>
      <c r="E3610" t="str">
        <f>IF(COUNTIF(data2!$D:$D,D3610)=0,"Missing in Data2","Present")</f>
        <v>Present</v>
      </c>
    </row>
    <row r="3611" spans="1:5" x14ac:dyDescent="0.25">
      <c r="A3611" s="2" t="s">
        <v>3404</v>
      </c>
      <c r="B3611" s="2" t="s">
        <v>2153</v>
      </c>
      <c r="C3611" s="2">
        <v>4</v>
      </c>
      <c r="D3611" t="str">
        <f t="shared" si="56"/>
        <v>CA-2016-112669_FUR-CH-10004086</v>
      </c>
      <c r="E3611" t="str">
        <f>IF(COUNTIF(data2!$D:$D,D3611)=0,"Missing in Data2","Present")</f>
        <v>Present</v>
      </c>
    </row>
    <row r="3612" spans="1:5" x14ac:dyDescent="0.25">
      <c r="A3612" s="2" t="s">
        <v>3404</v>
      </c>
      <c r="B3612" s="2" t="s">
        <v>1024</v>
      </c>
      <c r="C3612" s="2">
        <v>4</v>
      </c>
      <c r="D3612" t="str">
        <f t="shared" si="56"/>
        <v>CA-2016-112669_OFF-ST-10001228</v>
      </c>
      <c r="E3612" t="str">
        <f>IF(COUNTIF(data2!$D:$D,D3612)=0,"Missing in Data2","Present")</f>
        <v>Present</v>
      </c>
    </row>
    <row r="3613" spans="1:5" x14ac:dyDescent="0.25">
      <c r="A3613" s="2" t="s">
        <v>3405</v>
      </c>
      <c r="B3613" s="2" t="s">
        <v>887</v>
      </c>
      <c r="C3613" s="2">
        <v>3</v>
      </c>
      <c r="D3613" t="str">
        <f t="shared" si="56"/>
        <v>CA-2016-112676_OFF-PA-10003971</v>
      </c>
      <c r="E3613" t="str">
        <f>IF(COUNTIF(data2!$D:$D,D3613)=0,"Missing in Data2","Present")</f>
        <v>Present</v>
      </c>
    </row>
    <row r="3614" spans="1:5" x14ac:dyDescent="0.25">
      <c r="A3614" s="2" t="s">
        <v>3406</v>
      </c>
      <c r="B3614" s="2" t="s">
        <v>2333</v>
      </c>
      <c r="C3614" s="2">
        <v>2</v>
      </c>
      <c r="D3614" t="str">
        <f t="shared" si="56"/>
        <v>CA-2016-112697_OFF-AP-10002684</v>
      </c>
      <c r="E3614" t="str">
        <f>IF(COUNTIF(data2!$D:$D,D3614)=0,"Missing in Data2","Present")</f>
        <v>Present</v>
      </c>
    </row>
    <row r="3615" spans="1:5" x14ac:dyDescent="0.25">
      <c r="A3615" s="2" t="s">
        <v>3406</v>
      </c>
      <c r="B3615" s="2" t="s">
        <v>2358</v>
      </c>
      <c r="C3615" s="2">
        <v>7</v>
      </c>
      <c r="D3615" t="str">
        <f t="shared" si="56"/>
        <v>CA-2016-112697_OFF-BI-10000778</v>
      </c>
      <c r="E3615" t="str">
        <f>IF(COUNTIF(data2!$D:$D,D3615)=0,"Missing in Data2","Present")</f>
        <v>Present</v>
      </c>
    </row>
    <row r="3616" spans="1:5" x14ac:dyDescent="0.25">
      <c r="A3616" s="2" t="s">
        <v>3406</v>
      </c>
      <c r="B3616" s="2" t="s">
        <v>72</v>
      </c>
      <c r="C3616" s="2">
        <v>5</v>
      </c>
      <c r="D3616" t="str">
        <f t="shared" si="56"/>
        <v>CA-2016-112697_OFF-SU-10000646</v>
      </c>
      <c r="E3616" t="str">
        <f>IF(COUNTIF(data2!$D:$D,D3616)=0,"Missing in Data2","Present")</f>
        <v>Present</v>
      </c>
    </row>
    <row r="3617" spans="1:5" x14ac:dyDescent="0.25">
      <c r="A3617" s="2" t="s">
        <v>3407</v>
      </c>
      <c r="B3617" s="2" t="s">
        <v>930</v>
      </c>
      <c r="C3617" s="2">
        <v>8</v>
      </c>
      <c r="D3617" t="str">
        <f t="shared" si="56"/>
        <v>CA-2016-112739_OFF-BI-10001132</v>
      </c>
      <c r="E3617" t="str">
        <f>IF(COUNTIF(data2!$D:$D,D3617)=0,"Missing in Data2","Present")</f>
        <v>Present</v>
      </c>
    </row>
    <row r="3618" spans="1:5" x14ac:dyDescent="0.25">
      <c r="A3618" s="2" t="s">
        <v>3407</v>
      </c>
      <c r="B3618" s="2" t="s">
        <v>3408</v>
      </c>
      <c r="C3618" s="2">
        <v>5</v>
      </c>
      <c r="D3618" t="str">
        <f t="shared" si="56"/>
        <v>CA-2016-112739_TEC-AC-10001714</v>
      </c>
      <c r="E3618" t="str">
        <f>IF(COUNTIF(data2!$D:$D,D3618)=0,"Missing in Data2","Present")</f>
        <v>Present</v>
      </c>
    </row>
    <row r="3619" spans="1:5" x14ac:dyDescent="0.25">
      <c r="A3619" s="2" t="s">
        <v>3409</v>
      </c>
      <c r="B3619" s="2" t="s">
        <v>263</v>
      </c>
      <c r="C3619" s="2">
        <v>3</v>
      </c>
      <c r="D3619" t="str">
        <f t="shared" si="56"/>
        <v>CA-2016-112830_FUR-FU-10004306</v>
      </c>
      <c r="E3619" t="str">
        <f>IF(COUNTIF(data2!$D:$D,D3619)=0,"Missing in Data2","Present")</f>
        <v>Present</v>
      </c>
    </row>
    <row r="3620" spans="1:5" x14ac:dyDescent="0.25">
      <c r="A3620" s="2" t="s">
        <v>3409</v>
      </c>
      <c r="B3620" s="2" t="s">
        <v>2637</v>
      </c>
      <c r="C3620" s="2">
        <v>2</v>
      </c>
      <c r="D3620" t="str">
        <f t="shared" si="56"/>
        <v>CA-2016-112830_FUR-FU-10004845</v>
      </c>
      <c r="E3620" t="str">
        <f>IF(COUNTIF(data2!$D:$D,D3620)=0,"Missing in Data2","Present")</f>
        <v>Present</v>
      </c>
    </row>
    <row r="3621" spans="1:5" x14ac:dyDescent="0.25">
      <c r="A3621" s="2" t="s">
        <v>3410</v>
      </c>
      <c r="B3621" s="2" t="s">
        <v>75</v>
      </c>
      <c r="C3621" s="2">
        <v>3</v>
      </c>
      <c r="D3621" t="str">
        <f t="shared" si="56"/>
        <v>CA-2016-112942_OFF-PA-10004092</v>
      </c>
      <c r="E3621" t="str">
        <f>IF(COUNTIF(data2!$D:$D,D3621)=0,"Missing in Data2","Present")</f>
        <v>Present</v>
      </c>
    </row>
    <row r="3622" spans="1:5" x14ac:dyDescent="0.25">
      <c r="A3622" s="2" t="s">
        <v>3411</v>
      </c>
      <c r="B3622" s="2" t="s">
        <v>1238</v>
      </c>
      <c r="C3622" s="2">
        <v>2</v>
      </c>
      <c r="D3622" t="str">
        <f t="shared" si="56"/>
        <v>CA-2016-113061_FUR-FU-10003975</v>
      </c>
      <c r="E3622" t="str">
        <f>IF(COUNTIF(data2!$D:$D,D3622)=0,"Missing in Data2","Present")</f>
        <v>Present</v>
      </c>
    </row>
    <row r="3623" spans="1:5" x14ac:dyDescent="0.25">
      <c r="A3623" s="2" t="s">
        <v>3412</v>
      </c>
      <c r="B3623" s="2" t="s">
        <v>1286</v>
      </c>
      <c r="C3623" s="2">
        <v>2</v>
      </c>
      <c r="D3623" t="str">
        <f t="shared" si="56"/>
        <v>CA-2016-113082_FUR-FU-10002813</v>
      </c>
      <c r="E3623" t="str">
        <f>IF(COUNTIF(data2!$D:$D,D3623)=0,"Missing in Data2","Present")</f>
        <v>Present</v>
      </c>
    </row>
    <row r="3624" spans="1:5" x14ac:dyDescent="0.25">
      <c r="A3624" s="2" t="s">
        <v>3413</v>
      </c>
      <c r="B3624" s="2" t="s">
        <v>1433</v>
      </c>
      <c r="C3624" s="2">
        <v>3</v>
      </c>
      <c r="D3624" t="str">
        <f t="shared" si="56"/>
        <v>CA-2016-113096_OFF-ST-10003455</v>
      </c>
      <c r="E3624" t="str">
        <f>IF(COUNTIF(data2!$D:$D,D3624)=0,"Missing in Data2","Present")</f>
        <v>Present</v>
      </c>
    </row>
    <row r="3625" spans="1:5" x14ac:dyDescent="0.25">
      <c r="A3625" s="2" t="s">
        <v>3414</v>
      </c>
      <c r="B3625" s="2" t="s">
        <v>780</v>
      </c>
      <c r="C3625" s="2">
        <v>5</v>
      </c>
      <c r="D3625" t="str">
        <f t="shared" si="56"/>
        <v>CA-2016-113117_OFF-PA-10000019</v>
      </c>
      <c r="E3625" t="str">
        <f>IF(COUNTIF(data2!$D:$D,D3625)=0,"Missing in Data2","Present")</f>
        <v>Present</v>
      </c>
    </row>
    <row r="3626" spans="1:5" x14ac:dyDescent="0.25">
      <c r="A3626" s="2" t="s">
        <v>3415</v>
      </c>
      <c r="B3626" s="2" t="s">
        <v>3416</v>
      </c>
      <c r="C3626" s="2">
        <v>6</v>
      </c>
      <c r="D3626" t="str">
        <f t="shared" si="56"/>
        <v>CA-2016-113138_OFF-AR-10003770</v>
      </c>
      <c r="E3626" t="str">
        <f>IF(COUNTIF(data2!$D:$D,D3626)=0,"Missing in Data2","Present")</f>
        <v>Present</v>
      </c>
    </row>
    <row r="3627" spans="1:5" x14ac:dyDescent="0.25">
      <c r="A3627" s="2" t="s">
        <v>3415</v>
      </c>
      <c r="B3627" s="2" t="s">
        <v>152</v>
      </c>
      <c r="C3627" s="2">
        <v>3</v>
      </c>
      <c r="D3627" t="str">
        <f t="shared" si="56"/>
        <v>CA-2016-113138_OFF-BI-10000320</v>
      </c>
      <c r="E3627" t="str">
        <f>IF(COUNTIF(data2!$D:$D,D3627)=0,"Missing in Data2","Present")</f>
        <v>Present</v>
      </c>
    </row>
    <row r="3628" spans="1:5" x14ac:dyDescent="0.25">
      <c r="A3628" s="2" t="s">
        <v>3417</v>
      </c>
      <c r="B3628" s="2" t="s">
        <v>51</v>
      </c>
      <c r="C3628" s="2">
        <v>6</v>
      </c>
      <c r="D3628" t="str">
        <f t="shared" si="56"/>
        <v>CA-2016-113236_OFF-ST-10000532</v>
      </c>
      <c r="E3628" t="str">
        <f>IF(COUNTIF(data2!$D:$D,D3628)=0,"Missing in Data2","Present")</f>
        <v>Present</v>
      </c>
    </row>
    <row r="3629" spans="1:5" x14ac:dyDescent="0.25">
      <c r="A3629" s="2" t="s">
        <v>3417</v>
      </c>
      <c r="B3629" s="2" t="s">
        <v>261</v>
      </c>
      <c r="C3629" s="2">
        <v>2</v>
      </c>
      <c r="D3629" t="str">
        <f t="shared" si="56"/>
        <v>CA-2016-113236_TEC-AC-10001267</v>
      </c>
      <c r="E3629" t="str">
        <f>IF(COUNTIF(data2!$D:$D,D3629)=0,"Missing in Data2","Present")</f>
        <v>Present</v>
      </c>
    </row>
    <row r="3630" spans="1:5" x14ac:dyDescent="0.25">
      <c r="A3630" s="2" t="s">
        <v>3418</v>
      </c>
      <c r="B3630" s="2" t="s">
        <v>3419</v>
      </c>
      <c r="C3630" s="2">
        <v>4</v>
      </c>
      <c r="D3630" t="str">
        <f t="shared" si="56"/>
        <v>CA-2016-113243_FUR-TA-10004256</v>
      </c>
      <c r="E3630" t="str">
        <f>IF(COUNTIF(data2!$D:$D,D3630)=0,"Missing in Data2","Present")</f>
        <v>Missing in Data2</v>
      </c>
    </row>
    <row r="3631" spans="1:5" x14ac:dyDescent="0.25">
      <c r="A3631" s="2" t="s">
        <v>3418</v>
      </c>
      <c r="B3631" s="2" t="s">
        <v>3420</v>
      </c>
      <c r="C3631" s="2">
        <v>2</v>
      </c>
      <c r="D3631" t="str">
        <f t="shared" si="56"/>
        <v>CA-2016-113243_OFF-LA-10001297</v>
      </c>
      <c r="E3631" t="str">
        <f>IF(COUNTIF(data2!$D:$D,D3631)=0,"Missing in Data2","Present")</f>
        <v>Present</v>
      </c>
    </row>
    <row r="3632" spans="1:5" x14ac:dyDescent="0.25">
      <c r="A3632" s="2" t="s">
        <v>3418</v>
      </c>
      <c r="B3632" s="2" t="s">
        <v>1737</v>
      </c>
      <c r="C3632" s="2">
        <v>5</v>
      </c>
      <c r="D3632" t="str">
        <f t="shared" si="56"/>
        <v>CA-2016-113243_OFF-PA-10003441</v>
      </c>
      <c r="E3632" t="str">
        <f>IF(COUNTIF(data2!$D:$D,D3632)=0,"Missing in Data2","Present")</f>
        <v>Present</v>
      </c>
    </row>
    <row r="3633" spans="1:5" x14ac:dyDescent="0.25">
      <c r="A3633" s="2" t="s">
        <v>3421</v>
      </c>
      <c r="B3633" s="2" t="s">
        <v>827</v>
      </c>
      <c r="C3633" s="2">
        <v>3</v>
      </c>
      <c r="D3633" t="str">
        <f t="shared" si="56"/>
        <v>CA-2016-113292_OFF-AP-10003590</v>
      </c>
      <c r="E3633" t="str">
        <f>IF(COUNTIF(data2!$D:$D,D3633)=0,"Missing in Data2","Present")</f>
        <v>Present</v>
      </c>
    </row>
    <row r="3634" spans="1:5" x14ac:dyDescent="0.25">
      <c r="A3634" s="2" t="s">
        <v>3422</v>
      </c>
      <c r="B3634" s="2" t="s">
        <v>472</v>
      </c>
      <c r="C3634" s="2">
        <v>3</v>
      </c>
      <c r="D3634" t="str">
        <f t="shared" si="56"/>
        <v>CA-2016-113341_FUR-CH-10004698</v>
      </c>
      <c r="E3634" t="str">
        <f>IF(COUNTIF(data2!$D:$D,D3634)=0,"Missing in Data2","Present")</f>
        <v>Missing in Data2</v>
      </c>
    </row>
    <row r="3635" spans="1:5" x14ac:dyDescent="0.25">
      <c r="A3635" s="2" t="s">
        <v>3423</v>
      </c>
      <c r="B3635" s="2" t="s">
        <v>1319</v>
      </c>
      <c r="C3635" s="2">
        <v>2</v>
      </c>
      <c r="D3635" t="str">
        <f t="shared" si="56"/>
        <v>CA-2016-113390_OFF-AR-10003183</v>
      </c>
      <c r="E3635" t="str">
        <f>IF(COUNTIF(data2!$D:$D,D3635)=0,"Missing in Data2","Present")</f>
        <v>Present</v>
      </c>
    </row>
    <row r="3636" spans="1:5" x14ac:dyDescent="0.25">
      <c r="A3636" s="2" t="s">
        <v>3424</v>
      </c>
      <c r="B3636" s="2" t="s">
        <v>2180</v>
      </c>
      <c r="C3636" s="2">
        <v>2</v>
      </c>
      <c r="D3636" t="str">
        <f t="shared" si="56"/>
        <v>CA-2016-113425_FUR-BO-10002598</v>
      </c>
      <c r="E3636" t="str">
        <f>IF(COUNTIF(data2!$D:$D,D3636)=0,"Missing in Data2","Present")</f>
        <v>Present</v>
      </c>
    </row>
    <row r="3637" spans="1:5" x14ac:dyDescent="0.25">
      <c r="A3637" s="2" t="s">
        <v>3425</v>
      </c>
      <c r="B3637" s="2" t="s">
        <v>1223</v>
      </c>
      <c r="C3637" s="2">
        <v>4</v>
      </c>
      <c r="D3637" t="str">
        <f t="shared" si="56"/>
        <v>CA-2016-113516_OFF-BI-10001989</v>
      </c>
      <c r="E3637" t="str">
        <f>IF(COUNTIF(data2!$D:$D,D3637)=0,"Missing in Data2","Present")</f>
        <v>Present</v>
      </c>
    </row>
    <row r="3638" spans="1:5" x14ac:dyDescent="0.25">
      <c r="A3638" s="2" t="s">
        <v>3425</v>
      </c>
      <c r="B3638" s="2" t="s">
        <v>824</v>
      </c>
      <c r="C3638" s="2">
        <v>2</v>
      </c>
      <c r="D3638" t="str">
        <f t="shared" si="56"/>
        <v>CA-2016-113516_OFF-BI-10002225</v>
      </c>
      <c r="E3638" t="str">
        <f>IF(COUNTIF(data2!$D:$D,D3638)=0,"Missing in Data2","Present")</f>
        <v>Present</v>
      </c>
    </row>
    <row r="3639" spans="1:5" x14ac:dyDescent="0.25">
      <c r="A3639" s="2" t="s">
        <v>3426</v>
      </c>
      <c r="B3639" s="2" t="s">
        <v>509</v>
      </c>
      <c r="C3639" s="2">
        <v>1</v>
      </c>
      <c r="D3639" t="str">
        <f t="shared" si="56"/>
        <v>CA-2016-113551_OFF-BI-10001617</v>
      </c>
      <c r="E3639" t="str">
        <f>IF(COUNTIF(data2!$D:$D,D3639)=0,"Missing in Data2","Present")</f>
        <v>Present</v>
      </c>
    </row>
    <row r="3640" spans="1:5" x14ac:dyDescent="0.25">
      <c r="A3640" s="2" t="s">
        <v>3426</v>
      </c>
      <c r="B3640" s="2" t="s">
        <v>834</v>
      </c>
      <c r="C3640" s="2">
        <v>8</v>
      </c>
      <c r="D3640" t="str">
        <f t="shared" si="56"/>
        <v>CA-2016-113551_OFF-PA-10004665</v>
      </c>
      <c r="E3640" t="str">
        <f>IF(COUNTIF(data2!$D:$D,D3640)=0,"Missing in Data2","Present")</f>
        <v>Present</v>
      </c>
    </row>
    <row r="3641" spans="1:5" x14ac:dyDescent="0.25">
      <c r="A3641" s="2" t="s">
        <v>3427</v>
      </c>
      <c r="B3641" s="2" t="s">
        <v>1384</v>
      </c>
      <c r="C3641" s="2">
        <v>3</v>
      </c>
      <c r="D3641" t="str">
        <f t="shared" si="56"/>
        <v>CA-2016-113600_OFF-BI-10000201</v>
      </c>
      <c r="E3641" t="str">
        <f>IF(COUNTIF(data2!$D:$D,D3641)=0,"Missing in Data2","Present")</f>
        <v>Present</v>
      </c>
    </row>
    <row r="3642" spans="1:5" x14ac:dyDescent="0.25">
      <c r="A3642" s="2" t="s">
        <v>3428</v>
      </c>
      <c r="B3642" s="2" t="s">
        <v>1039</v>
      </c>
      <c r="C3642" s="2">
        <v>2</v>
      </c>
      <c r="D3642" t="str">
        <f t="shared" si="56"/>
        <v>CA-2016-113607_OFF-PA-10001970</v>
      </c>
      <c r="E3642" t="str">
        <f>IF(COUNTIF(data2!$D:$D,D3642)=0,"Missing in Data2","Present")</f>
        <v>Present</v>
      </c>
    </row>
    <row r="3643" spans="1:5" x14ac:dyDescent="0.25">
      <c r="A3643" s="2" t="s">
        <v>3428</v>
      </c>
      <c r="B3643" s="2" t="s">
        <v>2421</v>
      </c>
      <c r="C3643" s="2">
        <v>7</v>
      </c>
      <c r="D3643" t="str">
        <f t="shared" si="56"/>
        <v>CA-2016-113607_TEC-PH-10004094</v>
      </c>
      <c r="E3643" t="str">
        <f>IF(COUNTIF(data2!$D:$D,D3643)=0,"Missing in Data2","Present")</f>
        <v>Present</v>
      </c>
    </row>
    <row r="3644" spans="1:5" x14ac:dyDescent="0.25">
      <c r="A3644" s="2" t="s">
        <v>3429</v>
      </c>
      <c r="B3644" s="2" t="s">
        <v>976</v>
      </c>
      <c r="C3644" s="2">
        <v>2</v>
      </c>
      <c r="D3644" t="str">
        <f t="shared" si="56"/>
        <v>CA-2016-113621_FUR-CH-10001270</v>
      </c>
      <c r="E3644" t="str">
        <f>IF(COUNTIF(data2!$D:$D,D3644)=0,"Missing in Data2","Present")</f>
        <v>Present</v>
      </c>
    </row>
    <row r="3645" spans="1:5" x14ac:dyDescent="0.25">
      <c r="A3645" s="2" t="s">
        <v>3429</v>
      </c>
      <c r="B3645" s="2" t="s">
        <v>1192</v>
      </c>
      <c r="C3645" s="2">
        <v>3</v>
      </c>
      <c r="D3645" t="str">
        <f t="shared" si="56"/>
        <v>CA-2016-113621_TEC-PH-10003931</v>
      </c>
      <c r="E3645" t="str">
        <f>IF(COUNTIF(data2!$D:$D,D3645)=0,"Missing in Data2","Present")</f>
        <v>Present</v>
      </c>
    </row>
    <row r="3646" spans="1:5" x14ac:dyDescent="0.25">
      <c r="A3646" s="2" t="s">
        <v>3430</v>
      </c>
      <c r="B3646" s="2" t="s">
        <v>556</v>
      </c>
      <c r="C3646" s="2">
        <v>7</v>
      </c>
      <c r="D3646" t="str">
        <f t="shared" si="56"/>
        <v>CA-2016-113656_FUR-FU-10000719</v>
      </c>
      <c r="E3646" t="str">
        <f>IF(COUNTIF(data2!$D:$D,D3646)=0,"Missing in Data2","Present")</f>
        <v>Present</v>
      </c>
    </row>
    <row r="3647" spans="1:5" x14ac:dyDescent="0.25">
      <c r="A3647" s="2" t="s">
        <v>3431</v>
      </c>
      <c r="B3647" s="2" t="s">
        <v>2746</v>
      </c>
      <c r="C3647" s="2">
        <v>3</v>
      </c>
      <c r="D3647" t="str">
        <f t="shared" si="56"/>
        <v>CA-2016-113726_FUR-FU-10003535</v>
      </c>
      <c r="E3647" t="str">
        <f>IF(COUNTIF(data2!$D:$D,D3647)=0,"Missing in Data2","Present")</f>
        <v>Present</v>
      </c>
    </row>
    <row r="3648" spans="1:5" x14ac:dyDescent="0.25">
      <c r="A3648" s="2" t="s">
        <v>3432</v>
      </c>
      <c r="B3648" s="2" t="s">
        <v>511</v>
      </c>
      <c r="C3648" s="2">
        <v>3</v>
      </c>
      <c r="D3648" t="str">
        <f t="shared" si="56"/>
        <v>CA-2016-113733_TEC-AC-10004877</v>
      </c>
      <c r="E3648" t="str">
        <f>IF(COUNTIF(data2!$D:$D,D3648)=0,"Missing in Data2","Present")</f>
        <v>Present</v>
      </c>
    </row>
    <row r="3649" spans="1:5" x14ac:dyDescent="0.25">
      <c r="A3649" s="2" t="s">
        <v>3432</v>
      </c>
      <c r="B3649" s="2" t="s">
        <v>2176</v>
      </c>
      <c r="C3649" s="2">
        <v>2</v>
      </c>
      <c r="D3649" t="str">
        <f t="shared" si="56"/>
        <v>CA-2016-113733_TEC-PH-10002496</v>
      </c>
      <c r="E3649" t="str">
        <f>IF(COUNTIF(data2!$D:$D,D3649)=0,"Missing in Data2","Present")</f>
        <v>Present</v>
      </c>
    </row>
    <row r="3650" spans="1:5" x14ac:dyDescent="0.25">
      <c r="A3650" s="2" t="s">
        <v>3433</v>
      </c>
      <c r="B3650" s="2" t="s">
        <v>1700</v>
      </c>
      <c r="C3650" s="2">
        <v>6</v>
      </c>
      <c r="D3650" t="str">
        <f t="shared" si="56"/>
        <v>CA-2016-113747_OFF-AR-10003373</v>
      </c>
      <c r="E3650" t="str">
        <f>IF(COUNTIF(data2!$D:$D,D3650)=0,"Missing in Data2","Present")</f>
        <v>Present</v>
      </c>
    </row>
    <row r="3651" spans="1:5" x14ac:dyDescent="0.25">
      <c r="A3651" s="2" t="s">
        <v>3434</v>
      </c>
      <c r="B3651" s="2" t="s">
        <v>3435</v>
      </c>
      <c r="C3651" s="2">
        <v>1</v>
      </c>
      <c r="D3651" t="str">
        <f t="shared" ref="D3651:D3714" si="57">A3651&amp;"_"&amp;B3651</f>
        <v>CA-2016-113803_OFF-PA-10001994</v>
      </c>
      <c r="E3651" t="str">
        <f>IF(COUNTIF(data2!$D:$D,D3651)=0,"Missing in Data2","Present")</f>
        <v>Present</v>
      </c>
    </row>
    <row r="3652" spans="1:5" x14ac:dyDescent="0.25">
      <c r="A3652" s="2" t="s">
        <v>3436</v>
      </c>
      <c r="B3652" s="2" t="s">
        <v>2366</v>
      </c>
      <c r="C3652" s="2">
        <v>10</v>
      </c>
      <c r="D3652" t="str">
        <f t="shared" si="57"/>
        <v>CA-2016-113831_FUR-TA-10002645</v>
      </c>
      <c r="E3652" t="str">
        <f>IF(COUNTIF(data2!$D:$D,D3652)=0,"Missing in Data2","Present")</f>
        <v>Present</v>
      </c>
    </row>
    <row r="3653" spans="1:5" x14ac:dyDescent="0.25">
      <c r="A3653" s="2" t="s">
        <v>3436</v>
      </c>
      <c r="B3653" s="2" t="s">
        <v>3420</v>
      </c>
      <c r="C3653" s="2">
        <v>6</v>
      </c>
      <c r="D3653" t="str">
        <f t="shared" si="57"/>
        <v>CA-2016-113831_OFF-LA-10001297</v>
      </c>
      <c r="E3653" t="str">
        <f>IF(COUNTIF(data2!$D:$D,D3653)=0,"Missing in Data2","Present")</f>
        <v>Present</v>
      </c>
    </row>
    <row r="3654" spans="1:5" x14ac:dyDescent="0.25">
      <c r="A3654" s="2" t="s">
        <v>3436</v>
      </c>
      <c r="B3654" s="2" t="s">
        <v>2361</v>
      </c>
      <c r="C3654" s="2">
        <v>6</v>
      </c>
      <c r="D3654" t="str">
        <f t="shared" si="57"/>
        <v>CA-2016-113831_TEC-AC-10003033</v>
      </c>
      <c r="E3654" t="str">
        <f>IF(COUNTIF(data2!$D:$D,D3654)=0,"Missing in Data2","Present")</f>
        <v>Present</v>
      </c>
    </row>
    <row r="3655" spans="1:5" x14ac:dyDescent="0.25">
      <c r="A3655" s="2" t="s">
        <v>3437</v>
      </c>
      <c r="B3655" s="2" t="s">
        <v>2278</v>
      </c>
      <c r="C3655" s="2">
        <v>2</v>
      </c>
      <c r="D3655" t="str">
        <f t="shared" si="57"/>
        <v>CA-2016-113845_FUR-BO-10004695</v>
      </c>
      <c r="E3655" t="str">
        <f>IF(COUNTIF(data2!$D:$D,D3655)=0,"Missing in Data2","Present")</f>
        <v>Present</v>
      </c>
    </row>
    <row r="3656" spans="1:5" x14ac:dyDescent="0.25">
      <c r="A3656" s="2" t="s">
        <v>3437</v>
      </c>
      <c r="B3656" s="2" t="s">
        <v>2256</v>
      </c>
      <c r="C3656" s="2">
        <v>4</v>
      </c>
      <c r="D3656" t="str">
        <f t="shared" si="57"/>
        <v>CA-2016-113845_TEC-PH-10003357</v>
      </c>
      <c r="E3656" t="str">
        <f>IF(COUNTIF(data2!$D:$D,D3656)=0,"Missing in Data2","Present")</f>
        <v>Present</v>
      </c>
    </row>
    <row r="3657" spans="1:5" x14ac:dyDescent="0.25">
      <c r="A3657" s="2" t="s">
        <v>3438</v>
      </c>
      <c r="B3657" s="2" t="s">
        <v>2130</v>
      </c>
      <c r="C3657" s="2">
        <v>1</v>
      </c>
      <c r="D3657" t="str">
        <f t="shared" si="57"/>
        <v>CA-2016-113978_OFF-AP-10003849</v>
      </c>
      <c r="E3657" t="str">
        <f>IF(COUNTIF(data2!$D:$D,D3657)=0,"Missing in Data2","Present")</f>
        <v>Present</v>
      </c>
    </row>
    <row r="3658" spans="1:5" x14ac:dyDescent="0.25">
      <c r="A3658" s="2" t="s">
        <v>3438</v>
      </c>
      <c r="B3658" s="2" t="s">
        <v>116</v>
      </c>
      <c r="C3658" s="2">
        <v>3</v>
      </c>
      <c r="D3658" t="str">
        <f t="shared" si="57"/>
        <v>CA-2016-113978_OFF-ST-10002574</v>
      </c>
      <c r="E3658" t="str">
        <f>IF(COUNTIF(data2!$D:$D,D3658)=0,"Missing in Data2","Present")</f>
        <v>Present</v>
      </c>
    </row>
    <row r="3659" spans="1:5" x14ac:dyDescent="0.25">
      <c r="A3659" s="2" t="s">
        <v>3438</v>
      </c>
      <c r="B3659" s="2" t="s">
        <v>167</v>
      </c>
      <c r="C3659" s="2">
        <v>2</v>
      </c>
      <c r="D3659" t="str">
        <f t="shared" si="57"/>
        <v>CA-2016-113978_OFF-ST-10004963</v>
      </c>
      <c r="E3659" t="str">
        <f>IF(COUNTIF(data2!$D:$D,D3659)=0,"Missing in Data2","Present")</f>
        <v>Present</v>
      </c>
    </row>
    <row r="3660" spans="1:5" x14ac:dyDescent="0.25">
      <c r="A3660" s="2" t="s">
        <v>3439</v>
      </c>
      <c r="B3660" s="2" t="s">
        <v>77</v>
      </c>
      <c r="C3660" s="2">
        <v>2</v>
      </c>
      <c r="D3660" t="str">
        <f t="shared" si="57"/>
        <v>CA-2016-114104_OFF-LA-10002475</v>
      </c>
      <c r="E3660" t="str">
        <f>IF(COUNTIF(data2!$D:$D,D3660)=0,"Missing in Data2","Present")</f>
        <v>Missing in Data2</v>
      </c>
    </row>
    <row r="3661" spans="1:5" x14ac:dyDescent="0.25">
      <c r="A3661" s="2" t="s">
        <v>3439</v>
      </c>
      <c r="B3661" s="2" t="s">
        <v>3440</v>
      </c>
      <c r="C3661" s="2">
        <v>7</v>
      </c>
      <c r="D3661" t="str">
        <f t="shared" si="57"/>
        <v>CA-2016-114104_TEC-PH-10004536</v>
      </c>
      <c r="E3661" t="str">
        <f>IF(COUNTIF(data2!$D:$D,D3661)=0,"Missing in Data2","Present")</f>
        <v>Present</v>
      </c>
    </row>
    <row r="3662" spans="1:5" x14ac:dyDescent="0.25">
      <c r="A3662" s="2" t="s">
        <v>3441</v>
      </c>
      <c r="B3662" s="2" t="s">
        <v>9</v>
      </c>
      <c r="C3662" s="2">
        <v>2</v>
      </c>
      <c r="D3662" t="str">
        <f t="shared" si="57"/>
        <v>CA-2016-114209_OFF-BI-10000343</v>
      </c>
      <c r="E3662" t="str">
        <f>IF(COUNTIF(data2!$D:$D,D3662)=0,"Missing in Data2","Present")</f>
        <v>Present</v>
      </c>
    </row>
    <row r="3663" spans="1:5" x14ac:dyDescent="0.25">
      <c r="A3663" s="2" t="s">
        <v>3441</v>
      </c>
      <c r="B3663" s="2" t="s">
        <v>67</v>
      </c>
      <c r="C3663" s="2">
        <v>9</v>
      </c>
      <c r="D3663" t="str">
        <f t="shared" si="57"/>
        <v>CA-2016-114209_OFF-PA-10003591</v>
      </c>
      <c r="E3663" t="str">
        <f>IF(COUNTIF(data2!$D:$D,D3663)=0,"Missing in Data2","Present")</f>
        <v>Present</v>
      </c>
    </row>
    <row r="3664" spans="1:5" x14ac:dyDescent="0.25">
      <c r="A3664" s="2" t="s">
        <v>3442</v>
      </c>
      <c r="B3664" s="2" t="s">
        <v>1988</v>
      </c>
      <c r="C3664" s="2">
        <v>3</v>
      </c>
      <c r="D3664" t="str">
        <f t="shared" si="57"/>
        <v>CA-2016-114307_FUR-FU-10000794</v>
      </c>
      <c r="E3664" t="str">
        <f>IF(COUNTIF(data2!$D:$D,D3664)=0,"Missing in Data2","Present")</f>
        <v>Present</v>
      </c>
    </row>
    <row r="3665" spans="1:5" x14ac:dyDescent="0.25">
      <c r="A3665" s="2" t="s">
        <v>3442</v>
      </c>
      <c r="B3665" s="2" t="s">
        <v>514</v>
      </c>
      <c r="C3665" s="2">
        <v>2</v>
      </c>
      <c r="D3665" t="str">
        <f t="shared" si="57"/>
        <v>CA-2016-114307_OFF-AP-10002350</v>
      </c>
      <c r="E3665" t="str">
        <f>IF(COUNTIF(data2!$D:$D,D3665)=0,"Missing in Data2","Present")</f>
        <v>Present</v>
      </c>
    </row>
    <row r="3666" spans="1:5" x14ac:dyDescent="0.25">
      <c r="A3666" s="2" t="s">
        <v>3442</v>
      </c>
      <c r="B3666" s="2" t="s">
        <v>1225</v>
      </c>
      <c r="C3666" s="2">
        <v>3</v>
      </c>
      <c r="D3666" t="str">
        <f t="shared" si="57"/>
        <v>CA-2016-114307_OFF-BI-10002012</v>
      </c>
      <c r="E3666" t="str">
        <f>IF(COUNTIF(data2!$D:$D,D3666)=0,"Missing in Data2","Present")</f>
        <v>Missing in Data2</v>
      </c>
    </row>
    <row r="3667" spans="1:5" x14ac:dyDescent="0.25">
      <c r="A3667" s="2" t="s">
        <v>3442</v>
      </c>
      <c r="B3667" s="2" t="s">
        <v>1728</v>
      </c>
      <c r="C3667" s="2">
        <v>8</v>
      </c>
      <c r="D3667" t="str">
        <f t="shared" si="57"/>
        <v>CA-2016-114307_OFF-PA-10004100</v>
      </c>
      <c r="E3667" t="str">
        <f>IF(COUNTIF(data2!$D:$D,D3667)=0,"Missing in Data2","Present")</f>
        <v>Present</v>
      </c>
    </row>
    <row r="3668" spans="1:5" x14ac:dyDescent="0.25">
      <c r="A3668" s="2" t="s">
        <v>3443</v>
      </c>
      <c r="B3668" s="2" t="s">
        <v>1027</v>
      </c>
      <c r="C3668" s="2">
        <v>3</v>
      </c>
      <c r="D3668" t="str">
        <f t="shared" si="57"/>
        <v>CA-2016-114405_OFF-AP-10003278</v>
      </c>
      <c r="E3668" t="str">
        <f>IF(COUNTIF(data2!$D:$D,D3668)=0,"Missing in Data2","Present")</f>
        <v>Present</v>
      </c>
    </row>
    <row r="3669" spans="1:5" x14ac:dyDescent="0.25">
      <c r="A3669" s="2" t="s">
        <v>3443</v>
      </c>
      <c r="B3669" s="2" t="s">
        <v>3444</v>
      </c>
      <c r="C3669" s="2">
        <v>3</v>
      </c>
      <c r="D3669" t="str">
        <f t="shared" si="57"/>
        <v>CA-2016-114405_OFF-ST-10001627</v>
      </c>
      <c r="E3669" t="str">
        <f>IF(COUNTIF(data2!$D:$D,D3669)=0,"Missing in Data2","Present")</f>
        <v>Present</v>
      </c>
    </row>
    <row r="3670" spans="1:5" x14ac:dyDescent="0.25">
      <c r="A3670" s="2" t="s">
        <v>3445</v>
      </c>
      <c r="B3670" s="2" t="s">
        <v>208</v>
      </c>
      <c r="C3670" s="2">
        <v>7</v>
      </c>
      <c r="D3670" t="str">
        <f t="shared" si="57"/>
        <v>CA-2016-114482_OFF-PA-10003845</v>
      </c>
      <c r="E3670" t="str">
        <f>IF(COUNTIF(data2!$D:$D,D3670)=0,"Missing in Data2","Present")</f>
        <v>Missing in Data2</v>
      </c>
    </row>
    <row r="3671" spans="1:5" x14ac:dyDescent="0.25">
      <c r="A3671" s="2" t="s">
        <v>3445</v>
      </c>
      <c r="B3671" s="2" t="s">
        <v>3446</v>
      </c>
      <c r="C3671" s="2">
        <v>3</v>
      </c>
      <c r="D3671" t="str">
        <f t="shared" si="57"/>
        <v>CA-2016-114482_TEC-PH-10001580</v>
      </c>
      <c r="E3671" t="str">
        <f>IF(COUNTIF(data2!$D:$D,D3671)=0,"Missing in Data2","Present")</f>
        <v>Present</v>
      </c>
    </row>
    <row r="3672" spans="1:5" x14ac:dyDescent="0.25">
      <c r="A3672" s="2" t="s">
        <v>3447</v>
      </c>
      <c r="B3672" s="2" t="s">
        <v>297</v>
      </c>
      <c r="C3672" s="2">
        <v>8</v>
      </c>
      <c r="D3672" t="str">
        <f t="shared" si="57"/>
        <v>CA-2016-114489_FUR-CH-10000454</v>
      </c>
      <c r="E3672" t="str">
        <f>IF(COUNTIF(data2!$D:$D,D3672)=0,"Missing in Data2","Present")</f>
        <v>Present</v>
      </c>
    </row>
    <row r="3673" spans="1:5" x14ac:dyDescent="0.25">
      <c r="A3673" s="2" t="s">
        <v>3447</v>
      </c>
      <c r="B3673" s="2" t="s">
        <v>165</v>
      </c>
      <c r="C3673" s="2">
        <v>5</v>
      </c>
      <c r="D3673" t="str">
        <f t="shared" si="57"/>
        <v>CA-2016-114489_OFF-BI-10002735</v>
      </c>
      <c r="E3673" t="str">
        <f>IF(COUNTIF(data2!$D:$D,D3673)=0,"Missing in Data2","Present")</f>
        <v>Present</v>
      </c>
    </row>
    <row r="3674" spans="1:5" x14ac:dyDescent="0.25">
      <c r="A3674" s="2" t="s">
        <v>3447</v>
      </c>
      <c r="B3674" s="2" t="s">
        <v>742</v>
      </c>
      <c r="C3674" s="2">
        <v>11</v>
      </c>
      <c r="D3674" t="str">
        <f t="shared" si="57"/>
        <v>CA-2016-114489_TEC-PH-10000215</v>
      </c>
      <c r="E3674" t="str">
        <f>IF(COUNTIF(data2!$D:$D,D3674)=0,"Missing in Data2","Present")</f>
        <v>Present</v>
      </c>
    </row>
    <row r="3675" spans="1:5" x14ac:dyDescent="0.25">
      <c r="A3675" s="2" t="s">
        <v>3447</v>
      </c>
      <c r="B3675" s="2" t="s">
        <v>3186</v>
      </c>
      <c r="C3675" s="2">
        <v>3</v>
      </c>
      <c r="D3675" t="str">
        <f t="shared" si="57"/>
        <v>CA-2016-114489_TEC-PH-10001448</v>
      </c>
      <c r="E3675" t="str">
        <f>IF(COUNTIF(data2!$D:$D,D3675)=0,"Missing in Data2","Present")</f>
        <v>Present</v>
      </c>
    </row>
    <row r="3676" spans="1:5" x14ac:dyDescent="0.25">
      <c r="A3676" s="2" t="s">
        <v>3448</v>
      </c>
      <c r="B3676" s="2" t="s">
        <v>889</v>
      </c>
      <c r="C3676" s="2">
        <v>2</v>
      </c>
      <c r="D3676" t="str">
        <f t="shared" si="57"/>
        <v>CA-2016-114538_OFF-AR-10002445</v>
      </c>
      <c r="E3676" t="str">
        <f>IF(COUNTIF(data2!$D:$D,D3676)=0,"Missing in Data2","Present")</f>
        <v>Present</v>
      </c>
    </row>
    <row r="3677" spans="1:5" x14ac:dyDescent="0.25">
      <c r="A3677" s="2" t="s">
        <v>3449</v>
      </c>
      <c r="B3677" s="2" t="s">
        <v>718</v>
      </c>
      <c r="C3677" s="2">
        <v>4</v>
      </c>
      <c r="D3677" t="str">
        <f t="shared" si="57"/>
        <v>CA-2016-114601_FUR-TA-10004147</v>
      </c>
      <c r="E3677" t="str">
        <f>IF(COUNTIF(data2!$D:$D,D3677)=0,"Missing in Data2","Present")</f>
        <v>Present</v>
      </c>
    </row>
    <row r="3678" spans="1:5" x14ac:dyDescent="0.25">
      <c r="A3678" s="2" t="s">
        <v>3449</v>
      </c>
      <c r="B3678" s="2" t="s">
        <v>1745</v>
      </c>
      <c r="C3678" s="2">
        <v>3</v>
      </c>
      <c r="D3678" t="str">
        <f t="shared" si="57"/>
        <v>CA-2016-114601_OFF-AR-10002578</v>
      </c>
      <c r="E3678" t="str">
        <f>IF(COUNTIF(data2!$D:$D,D3678)=0,"Missing in Data2","Present")</f>
        <v>Present</v>
      </c>
    </row>
    <row r="3679" spans="1:5" x14ac:dyDescent="0.25">
      <c r="A3679" s="2" t="s">
        <v>3449</v>
      </c>
      <c r="B3679" s="2" t="s">
        <v>3103</v>
      </c>
      <c r="C3679" s="2">
        <v>2</v>
      </c>
      <c r="D3679" t="str">
        <f t="shared" si="57"/>
        <v>CA-2016-114601_OFF-PA-10000605</v>
      </c>
      <c r="E3679" t="str">
        <f>IF(COUNTIF(data2!$D:$D,D3679)=0,"Missing in Data2","Present")</f>
        <v>Present</v>
      </c>
    </row>
    <row r="3680" spans="1:5" x14ac:dyDescent="0.25">
      <c r="A3680" s="2" t="s">
        <v>3449</v>
      </c>
      <c r="B3680" s="2" t="s">
        <v>1574</v>
      </c>
      <c r="C3680" s="2">
        <v>3</v>
      </c>
      <c r="D3680" t="str">
        <f t="shared" si="57"/>
        <v>CA-2016-114601_TEC-AC-10003911</v>
      </c>
      <c r="E3680" t="str">
        <f>IF(COUNTIF(data2!$D:$D,D3680)=0,"Missing in Data2","Present")</f>
        <v>Present</v>
      </c>
    </row>
    <row r="3681" spans="1:5" x14ac:dyDescent="0.25">
      <c r="A3681" s="2" t="s">
        <v>3449</v>
      </c>
      <c r="B3681" s="2" t="s">
        <v>777</v>
      </c>
      <c r="C3681" s="2">
        <v>3</v>
      </c>
      <c r="D3681" t="str">
        <f t="shared" si="57"/>
        <v>CA-2016-114601_TEC-PH-10002170</v>
      </c>
      <c r="E3681" t="str">
        <f>IF(COUNTIF(data2!$D:$D,D3681)=0,"Missing in Data2","Present")</f>
        <v>Missing in Data2</v>
      </c>
    </row>
    <row r="3682" spans="1:5" x14ac:dyDescent="0.25">
      <c r="A3682" s="2" t="s">
        <v>3450</v>
      </c>
      <c r="B3682" s="2" t="s">
        <v>3451</v>
      </c>
      <c r="C3682" s="2">
        <v>3</v>
      </c>
      <c r="D3682" t="str">
        <f t="shared" si="57"/>
        <v>CA-2016-114727_FUR-CH-10002331</v>
      </c>
      <c r="E3682" t="str">
        <f>IF(COUNTIF(data2!$D:$D,D3682)=0,"Missing in Data2","Present")</f>
        <v>Present</v>
      </c>
    </row>
    <row r="3683" spans="1:5" x14ac:dyDescent="0.25">
      <c r="A3683" s="2" t="s">
        <v>3450</v>
      </c>
      <c r="B3683" s="2" t="s">
        <v>2767</v>
      </c>
      <c r="C3683" s="2">
        <v>3</v>
      </c>
      <c r="D3683" t="str">
        <f t="shared" si="57"/>
        <v>CA-2016-114727_FUR-CH-10002335</v>
      </c>
      <c r="E3683" t="str">
        <f>IF(COUNTIF(data2!$D:$D,D3683)=0,"Missing in Data2","Present")</f>
        <v>Present</v>
      </c>
    </row>
    <row r="3684" spans="1:5" x14ac:dyDescent="0.25">
      <c r="A3684" s="2" t="s">
        <v>3450</v>
      </c>
      <c r="B3684" s="2" t="s">
        <v>3452</v>
      </c>
      <c r="C3684" s="2">
        <v>3</v>
      </c>
      <c r="D3684" t="str">
        <f t="shared" si="57"/>
        <v>CA-2016-114727_OFF-BI-10004967</v>
      </c>
      <c r="E3684" t="str">
        <f>IF(COUNTIF(data2!$D:$D,D3684)=0,"Missing in Data2","Present")</f>
        <v>Present</v>
      </c>
    </row>
    <row r="3685" spans="1:5" x14ac:dyDescent="0.25">
      <c r="A3685" s="2" t="s">
        <v>3450</v>
      </c>
      <c r="B3685" s="2" t="s">
        <v>1235</v>
      </c>
      <c r="C3685" s="2">
        <v>3</v>
      </c>
      <c r="D3685" t="str">
        <f t="shared" si="57"/>
        <v>CA-2016-114727_OFF-ST-10000689</v>
      </c>
      <c r="E3685" t="str">
        <f>IF(COUNTIF(data2!$D:$D,D3685)=0,"Missing in Data2","Present")</f>
        <v>Present</v>
      </c>
    </row>
    <row r="3686" spans="1:5" x14ac:dyDescent="0.25">
      <c r="A3686" s="2" t="s">
        <v>3450</v>
      </c>
      <c r="B3686" s="2" t="s">
        <v>3453</v>
      </c>
      <c r="C3686" s="2">
        <v>2</v>
      </c>
      <c r="D3686" t="str">
        <f t="shared" si="57"/>
        <v>CA-2016-114727_OFF-ST-10002292</v>
      </c>
      <c r="E3686" t="str">
        <f>IF(COUNTIF(data2!$D:$D,D3686)=0,"Missing in Data2","Present")</f>
        <v>Present</v>
      </c>
    </row>
    <row r="3687" spans="1:5" x14ac:dyDescent="0.25">
      <c r="A3687" s="2" t="s">
        <v>3454</v>
      </c>
      <c r="B3687" s="2" t="s">
        <v>3455</v>
      </c>
      <c r="C3687" s="2">
        <v>2</v>
      </c>
      <c r="D3687" t="str">
        <f t="shared" si="57"/>
        <v>CA-2016-114748_FUR-FU-10001488</v>
      </c>
      <c r="E3687" t="str">
        <f>IF(COUNTIF(data2!$D:$D,D3687)=0,"Missing in Data2","Present")</f>
        <v>Present</v>
      </c>
    </row>
    <row r="3688" spans="1:5" x14ac:dyDescent="0.25">
      <c r="A3688" s="2" t="s">
        <v>3454</v>
      </c>
      <c r="B3688" s="2" t="s">
        <v>564</v>
      </c>
      <c r="C3688" s="2">
        <v>1</v>
      </c>
      <c r="D3688" t="str">
        <f t="shared" si="57"/>
        <v>CA-2016-114748_OFF-AR-10001315</v>
      </c>
      <c r="E3688" t="str">
        <f>IF(COUNTIF(data2!$D:$D,D3688)=0,"Missing in Data2","Present")</f>
        <v>Present</v>
      </c>
    </row>
    <row r="3689" spans="1:5" x14ac:dyDescent="0.25">
      <c r="A3689" s="2" t="s">
        <v>3456</v>
      </c>
      <c r="B3689" s="2" t="s">
        <v>505</v>
      </c>
      <c r="C3689" s="2">
        <v>8</v>
      </c>
      <c r="D3689" t="str">
        <f t="shared" si="57"/>
        <v>CA-2016-114860_FUR-FU-10000277</v>
      </c>
      <c r="E3689" t="str">
        <f>IF(COUNTIF(data2!$D:$D,D3689)=0,"Missing in Data2","Present")</f>
        <v>Present</v>
      </c>
    </row>
    <row r="3690" spans="1:5" x14ac:dyDescent="0.25">
      <c r="A3690" s="2" t="s">
        <v>3456</v>
      </c>
      <c r="B3690" s="2" t="s">
        <v>3457</v>
      </c>
      <c r="C3690" s="2">
        <v>2</v>
      </c>
      <c r="D3690" t="str">
        <f t="shared" si="57"/>
        <v>CA-2016-114860_FUR-FU-10001934</v>
      </c>
      <c r="E3690" t="str">
        <f>IF(COUNTIF(data2!$D:$D,D3690)=0,"Missing in Data2","Present")</f>
        <v>Present</v>
      </c>
    </row>
    <row r="3691" spans="1:5" x14ac:dyDescent="0.25">
      <c r="A3691" s="2" t="s">
        <v>3458</v>
      </c>
      <c r="B3691" s="2" t="s">
        <v>250</v>
      </c>
      <c r="C3691" s="2">
        <v>2</v>
      </c>
      <c r="D3691" t="str">
        <f t="shared" si="57"/>
        <v>CA-2016-114867_OFF-PA-10000477</v>
      </c>
      <c r="E3691" t="str">
        <f>IF(COUNTIF(data2!$D:$D,D3691)=0,"Missing in Data2","Present")</f>
        <v>Present</v>
      </c>
    </row>
    <row r="3692" spans="1:5" x14ac:dyDescent="0.25">
      <c r="A3692" s="2" t="s">
        <v>3458</v>
      </c>
      <c r="B3692" s="2" t="s">
        <v>3459</v>
      </c>
      <c r="C3692" s="2">
        <v>5</v>
      </c>
      <c r="D3692" t="str">
        <f t="shared" si="57"/>
        <v>CA-2016-114867_TEC-PH-10002645</v>
      </c>
      <c r="E3692" t="str">
        <f>IF(COUNTIF(data2!$D:$D,D3692)=0,"Missing in Data2","Present")</f>
        <v>Present</v>
      </c>
    </row>
    <row r="3693" spans="1:5" x14ac:dyDescent="0.25">
      <c r="A3693" s="2" t="s">
        <v>3460</v>
      </c>
      <c r="B3693" s="2" t="s">
        <v>3461</v>
      </c>
      <c r="C3693" s="2">
        <v>2</v>
      </c>
      <c r="D3693" t="str">
        <f t="shared" si="57"/>
        <v>CA-2016-114895_OFF-PA-10000232</v>
      </c>
      <c r="E3693" t="str">
        <f>IF(COUNTIF(data2!$D:$D,D3693)=0,"Missing in Data2","Present")</f>
        <v>Present</v>
      </c>
    </row>
    <row r="3694" spans="1:5" x14ac:dyDescent="0.25">
      <c r="A3694" s="2" t="s">
        <v>3462</v>
      </c>
      <c r="B3694" s="2" t="s">
        <v>2593</v>
      </c>
      <c r="C3694" s="2">
        <v>4</v>
      </c>
      <c r="D3694" t="str">
        <f t="shared" si="57"/>
        <v>CA-2016-114944_OFF-PA-10003892</v>
      </c>
      <c r="E3694" t="str">
        <f>IF(COUNTIF(data2!$D:$D,D3694)=0,"Missing in Data2","Present")</f>
        <v>Present</v>
      </c>
    </row>
    <row r="3695" spans="1:5" x14ac:dyDescent="0.25">
      <c r="A3695" s="2" t="s">
        <v>3463</v>
      </c>
      <c r="B3695" s="2" t="s">
        <v>1325</v>
      </c>
      <c r="C3695" s="2">
        <v>3</v>
      </c>
      <c r="D3695" t="str">
        <f t="shared" si="57"/>
        <v>CA-2016-114951_FUR-FU-10002364</v>
      </c>
      <c r="E3695" t="str">
        <f>IF(COUNTIF(data2!$D:$D,D3695)=0,"Missing in Data2","Present")</f>
        <v>Present</v>
      </c>
    </row>
    <row r="3696" spans="1:5" x14ac:dyDescent="0.25">
      <c r="A3696" s="2" t="s">
        <v>3464</v>
      </c>
      <c r="B3696" s="2" t="s">
        <v>3465</v>
      </c>
      <c r="C3696" s="2">
        <v>2</v>
      </c>
      <c r="D3696" t="str">
        <f t="shared" si="57"/>
        <v>CA-2016-114972_FUR-CH-10001190</v>
      </c>
      <c r="E3696" t="str">
        <f>IF(COUNTIF(data2!$D:$D,D3696)=0,"Missing in Data2","Present")</f>
        <v>Present</v>
      </c>
    </row>
    <row r="3697" spans="1:5" x14ac:dyDescent="0.25">
      <c r="A3697" s="2" t="s">
        <v>3464</v>
      </c>
      <c r="B3697" s="2" t="s">
        <v>2939</v>
      </c>
      <c r="C3697" s="2">
        <v>4</v>
      </c>
      <c r="D3697" t="str">
        <f t="shared" si="57"/>
        <v>CA-2016-114972_OFF-AP-10003057</v>
      </c>
      <c r="E3697" t="str">
        <f>IF(COUNTIF(data2!$D:$D,D3697)=0,"Missing in Data2","Present")</f>
        <v>Present</v>
      </c>
    </row>
    <row r="3698" spans="1:5" x14ac:dyDescent="0.25">
      <c r="A3698" s="2" t="s">
        <v>3464</v>
      </c>
      <c r="B3698" s="2" t="s">
        <v>2817</v>
      </c>
      <c r="C3698" s="2">
        <v>5</v>
      </c>
      <c r="D3698" t="str">
        <f t="shared" si="57"/>
        <v>CA-2016-114972_TEC-AC-10000682</v>
      </c>
      <c r="E3698" t="str">
        <f>IF(COUNTIF(data2!$D:$D,D3698)=0,"Missing in Data2","Present")</f>
        <v>Present</v>
      </c>
    </row>
    <row r="3699" spans="1:5" x14ac:dyDescent="0.25">
      <c r="A3699" s="2" t="s">
        <v>3466</v>
      </c>
      <c r="B3699" s="2" t="s">
        <v>1443</v>
      </c>
      <c r="C3699" s="2">
        <v>3</v>
      </c>
      <c r="D3699" t="str">
        <f t="shared" si="57"/>
        <v>CA-2016-115224_OFF-ST-10000615</v>
      </c>
      <c r="E3699" t="str">
        <f>IF(COUNTIF(data2!$D:$D,D3699)=0,"Missing in Data2","Present")</f>
        <v>Present</v>
      </c>
    </row>
    <row r="3700" spans="1:5" x14ac:dyDescent="0.25">
      <c r="A3700" s="2" t="s">
        <v>3467</v>
      </c>
      <c r="B3700" s="2" t="s">
        <v>474</v>
      </c>
      <c r="C3700" s="2">
        <v>2</v>
      </c>
      <c r="D3700" t="str">
        <f t="shared" si="57"/>
        <v>CA-2016-115378_FUR-CH-10000863</v>
      </c>
      <c r="E3700" t="str">
        <f>IF(COUNTIF(data2!$D:$D,D3700)=0,"Missing in Data2","Present")</f>
        <v>Present</v>
      </c>
    </row>
    <row r="3701" spans="1:5" x14ac:dyDescent="0.25">
      <c r="A3701" s="2" t="s">
        <v>3468</v>
      </c>
      <c r="B3701" s="2" t="s">
        <v>1014</v>
      </c>
      <c r="C3701" s="2">
        <v>2</v>
      </c>
      <c r="D3701" t="str">
        <f t="shared" si="57"/>
        <v>CA-2016-115476_OFF-BI-10000962</v>
      </c>
      <c r="E3701" t="str">
        <f>IF(COUNTIF(data2!$D:$D,D3701)=0,"Missing in Data2","Present")</f>
        <v>Present</v>
      </c>
    </row>
    <row r="3702" spans="1:5" x14ac:dyDescent="0.25">
      <c r="A3702" s="2" t="s">
        <v>3468</v>
      </c>
      <c r="B3702" s="2" t="s">
        <v>863</v>
      </c>
      <c r="C3702" s="2">
        <v>2</v>
      </c>
      <c r="D3702" t="str">
        <f t="shared" si="57"/>
        <v>CA-2016-115476_TEC-PH-10000673</v>
      </c>
      <c r="E3702" t="str">
        <f>IF(COUNTIF(data2!$D:$D,D3702)=0,"Missing in Data2","Present")</f>
        <v>Present</v>
      </c>
    </row>
    <row r="3703" spans="1:5" x14ac:dyDescent="0.25">
      <c r="A3703" s="2" t="s">
        <v>3469</v>
      </c>
      <c r="B3703" s="2" t="s">
        <v>2880</v>
      </c>
      <c r="C3703" s="2">
        <v>5</v>
      </c>
      <c r="D3703" t="str">
        <f t="shared" si="57"/>
        <v>CA-2016-115483_OFF-PA-10001497</v>
      </c>
      <c r="E3703" t="str">
        <f>IF(COUNTIF(data2!$D:$D,D3703)=0,"Missing in Data2","Present")</f>
        <v>Present</v>
      </c>
    </row>
    <row r="3704" spans="1:5" x14ac:dyDescent="0.25">
      <c r="A3704" s="2" t="s">
        <v>3470</v>
      </c>
      <c r="B3704" s="2" t="s">
        <v>3471</v>
      </c>
      <c r="C3704" s="2">
        <v>2</v>
      </c>
      <c r="D3704" t="str">
        <f t="shared" si="57"/>
        <v>CA-2016-115504_OFF-PA-10003953</v>
      </c>
      <c r="E3704" t="str">
        <f>IF(COUNTIF(data2!$D:$D,D3704)=0,"Missing in Data2","Present")</f>
        <v>Present</v>
      </c>
    </row>
    <row r="3705" spans="1:5" x14ac:dyDescent="0.25">
      <c r="A3705" s="2" t="s">
        <v>3472</v>
      </c>
      <c r="B3705" s="2" t="s">
        <v>1975</v>
      </c>
      <c r="C3705" s="2">
        <v>5</v>
      </c>
      <c r="D3705" t="str">
        <f t="shared" si="57"/>
        <v>CA-2016-115525_OFF-AP-10000026</v>
      </c>
      <c r="E3705" t="str">
        <f>IF(COUNTIF(data2!$D:$D,D3705)=0,"Missing in Data2","Present")</f>
        <v>Present</v>
      </c>
    </row>
    <row r="3706" spans="1:5" x14ac:dyDescent="0.25">
      <c r="A3706" s="2" t="s">
        <v>3473</v>
      </c>
      <c r="B3706" s="2" t="s">
        <v>3329</v>
      </c>
      <c r="C3706" s="2">
        <v>2</v>
      </c>
      <c r="D3706" t="str">
        <f t="shared" si="57"/>
        <v>CA-2016-115574_FUR-BO-10003441</v>
      </c>
      <c r="E3706" t="str">
        <f>IF(COUNTIF(data2!$D:$D,D3706)=0,"Missing in Data2","Present")</f>
        <v>Present</v>
      </c>
    </row>
    <row r="3707" spans="1:5" x14ac:dyDescent="0.25">
      <c r="A3707" s="2" t="s">
        <v>3474</v>
      </c>
      <c r="B3707" s="2" t="s">
        <v>1735</v>
      </c>
      <c r="C3707" s="2">
        <v>3</v>
      </c>
      <c r="D3707" t="str">
        <f t="shared" si="57"/>
        <v>CA-2016-115588_OFF-ST-10001558</v>
      </c>
      <c r="E3707" t="str">
        <f>IF(COUNTIF(data2!$D:$D,D3707)=0,"Missing in Data2","Present")</f>
        <v>Present</v>
      </c>
    </row>
    <row r="3708" spans="1:5" x14ac:dyDescent="0.25">
      <c r="A3708" s="2" t="s">
        <v>3474</v>
      </c>
      <c r="B3708" s="2" t="s">
        <v>219</v>
      </c>
      <c r="C3708" s="2">
        <v>5</v>
      </c>
      <c r="D3708" t="str">
        <f t="shared" si="57"/>
        <v>CA-2016-115588_OFF-SU-10001225</v>
      </c>
      <c r="E3708" t="str">
        <f>IF(COUNTIF(data2!$D:$D,D3708)=0,"Missing in Data2","Present")</f>
        <v>Present</v>
      </c>
    </row>
    <row r="3709" spans="1:5" x14ac:dyDescent="0.25">
      <c r="A3709" s="2" t="s">
        <v>3475</v>
      </c>
      <c r="B3709" s="2" t="s">
        <v>733</v>
      </c>
      <c r="C3709" s="2">
        <v>3</v>
      </c>
      <c r="D3709" t="str">
        <f t="shared" si="57"/>
        <v>CA-2016-115756_FUR-CH-10002372</v>
      </c>
      <c r="E3709" t="str">
        <f>IF(COUNTIF(data2!$D:$D,D3709)=0,"Missing in Data2","Present")</f>
        <v>Present</v>
      </c>
    </row>
    <row r="3710" spans="1:5" x14ac:dyDescent="0.25">
      <c r="A3710" s="2" t="s">
        <v>3475</v>
      </c>
      <c r="B3710" s="2" t="s">
        <v>189</v>
      </c>
      <c r="C3710" s="2">
        <v>1</v>
      </c>
      <c r="D3710" t="str">
        <f t="shared" si="57"/>
        <v>CA-2016-115756_FUR-FU-10000246</v>
      </c>
      <c r="E3710" t="str">
        <f>IF(COUNTIF(data2!$D:$D,D3710)=0,"Missing in Data2","Present")</f>
        <v>Present</v>
      </c>
    </row>
    <row r="3711" spans="1:5" x14ac:dyDescent="0.25">
      <c r="A3711" s="2" t="s">
        <v>3475</v>
      </c>
      <c r="B3711" s="2" t="s">
        <v>3116</v>
      </c>
      <c r="C3711" s="2">
        <v>7</v>
      </c>
      <c r="D3711" t="str">
        <f t="shared" si="57"/>
        <v>CA-2016-115756_OFF-LA-10001317</v>
      </c>
      <c r="E3711" t="str">
        <f>IF(COUNTIF(data2!$D:$D,D3711)=0,"Missing in Data2","Present")</f>
        <v>Present</v>
      </c>
    </row>
    <row r="3712" spans="1:5" x14ac:dyDescent="0.25">
      <c r="A3712" s="2" t="s">
        <v>3475</v>
      </c>
      <c r="B3712" s="2" t="s">
        <v>2628</v>
      </c>
      <c r="C3712" s="2">
        <v>4</v>
      </c>
      <c r="D3712" t="str">
        <f t="shared" si="57"/>
        <v>CA-2016-115756_OFF-PA-10002222</v>
      </c>
      <c r="E3712" t="str">
        <f>IF(COUNTIF(data2!$D:$D,D3712)=0,"Missing in Data2","Present")</f>
        <v>Present</v>
      </c>
    </row>
    <row r="3713" spans="1:5" x14ac:dyDescent="0.25">
      <c r="A3713" s="2" t="s">
        <v>3475</v>
      </c>
      <c r="B3713" s="2" t="s">
        <v>2918</v>
      </c>
      <c r="C3713" s="2">
        <v>3</v>
      </c>
      <c r="D3713" t="str">
        <f t="shared" si="57"/>
        <v>CA-2016-115756_OFF-ST-10000060</v>
      </c>
      <c r="E3713" t="str">
        <f>IF(COUNTIF(data2!$D:$D,D3713)=0,"Missing in Data2","Present")</f>
        <v>Present</v>
      </c>
    </row>
    <row r="3714" spans="1:5" x14ac:dyDescent="0.25">
      <c r="A3714" s="2" t="s">
        <v>3475</v>
      </c>
      <c r="B3714" s="2" t="s">
        <v>599</v>
      </c>
      <c r="C3714" s="2">
        <v>3</v>
      </c>
      <c r="D3714" t="str">
        <f t="shared" si="57"/>
        <v>CA-2016-115756_OFF-ST-10003058</v>
      </c>
      <c r="E3714" t="str">
        <f>IF(COUNTIF(data2!$D:$D,D3714)=0,"Missing in Data2","Present")</f>
        <v>Present</v>
      </c>
    </row>
    <row r="3715" spans="1:5" x14ac:dyDescent="0.25">
      <c r="A3715" s="2" t="s">
        <v>3476</v>
      </c>
      <c r="B3715" s="2" t="s">
        <v>2704</v>
      </c>
      <c r="C3715" s="2">
        <v>5</v>
      </c>
      <c r="D3715" t="str">
        <f t="shared" ref="D3715:D3778" si="58">A3715&amp;"_"&amp;B3715</f>
        <v>CA-2016-115917_FUR-FU-10000576</v>
      </c>
      <c r="E3715" t="str">
        <f>IF(COUNTIF(data2!$D:$D,D3715)=0,"Missing in Data2","Present")</f>
        <v>Present</v>
      </c>
    </row>
    <row r="3716" spans="1:5" x14ac:dyDescent="0.25">
      <c r="A3716" s="2" t="s">
        <v>3476</v>
      </c>
      <c r="B3716" s="2" t="s">
        <v>1680</v>
      </c>
      <c r="C3716" s="2">
        <v>4</v>
      </c>
      <c r="D3716" t="str">
        <f t="shared" si="58"/>
        <v>CA-2016-115917_OFF-BI-10004728</v>
      </c>
      <c r="E3716" t="str">
        <f>IF(COUNTIF(data2!$D:$D,D3716)=0,"Missing in Data2","Present")</f>
        <v>Present</v>
      </c>
    </row>
    <row r="3717" spans="1:5" x14ac:dyDescent="0.25">
      <c r="A3717" s="2" t="s">
        <v>3477</v>
      </c>
      <c r="B3717" s="2" t="s">
        <v>2726</v>
      </c>
      <c r="C3717" s="2">
        <v>9</v>
      </c>
      <c r="D3717" t="str">
        <f t="shared" si="58"/>
        <v>CA-2016-116232_OFF-BI-10004022</v>
      </c>
      <c r="E3717" t="str">
        <f>IF(COUNTIF(data2!$D:$D,D3717)=0,"Missing in Data2","Present")</f>
        <v>Present</v>
      </c>
    </row>
    <row r="3718" spans="1:5" x14ac:dyDescent="0.25">
      <c r="A3718" s="2" t="s">
        <v>3477</v>
      </c>
      <c r="B3718" s="2" t="s">
        <v>775</v>
      </c>
      <c r="C3718" s="2">
        <v>2</v>
      </c>
      <c r="D3718" t="str">
        <f t="shared" si="58"/>
        <v>CA-2016-116232_OFF-LA-10001158</v>
      </c>
      <c r="E3718" t="str">
        <f>IF(COUNTIF(data2!$D:$D,D3718)=0,"Missing in Data2","Present")</f>
        <v>Present</v>
      </c>
    </row>
    <row r="3719" spans="1:5" x14ac:dyDescent="0.25">
      <c r="A3719" s="2" t="s">
        <v>3478</v>
      </c>
      <c r="B3719" s="2" t="s">
        <v>3479</v>
      </c>
      <c r="C3719" s="2">
        <v>5</v>
      </c>
      <c r="D3719" t="str">
        <f t="shared" si="58"/>
        <v>CA-2016-116337_FUR-FU-10002030</v>
      </c>
      <c r="E3719" t="str">
        <f>IF(COUNTIF(data2!$D:$D,D3719)=0,"Missing in Data2","Present")</f>
        <v>Present</v>
      </c>
    </row>
    <row r="3720" spans="1:5" x14ac:dyDescent="0.25">
      <c r="A3720" s="2" t="s">
        <v>3478</v>
      </c>
      <c r="B3720" s="2" t="s">
        <v>2653</v>
      </c>
      <c r="C3720" s="2">
        <v>3</v>
      </c>
      <c r="D3720" t="str">
        <f t="shared" si="58"/>
        <v>CA-2016-116337_OFF-ST-10001272</v>
      </c>
      <c r="E3720" t="str">
        <f>IF(COUNTIF(data2!$D:$D,D3720)=0,"Missing in Data2","Present")</f>
        <v>Present</v>
      </c>
    </row>
    <row r="3721" spans="1:5" x14ac:dyDescent="0.25">
      <c r="A3721" s="2" t="s">
        <v>3480</v>
      </c>
      <c r="B3721" s="2" t="s">
        <v>1347</v>
      </c>
      <c r="C3721" s="2">
        <v>2</v>
      </c>
      <c r="D3721" t="str">
        <f t="shared" si="58"/>
        <v>CA-2016-116344_OFF-ST-10001713</v>
      </c>
      <c r="E3721" t="str">
        <f>IF(COUNTIF(data2!$D:$D,D3721)=0,"Missing in Data2","Present")</f>
        <v>Present</v>
      </c>
    </row>
    <row r="3722" spans="1:5" x14ac:dyDescent="0.25">
      <c r="A3722" s="2" t="s">
        <v>3481</v>
      </c>
      <c r="B3722" s="2" t="s">
        <v>1413</v>
      </c>
      <c r="C3722" s="2">
        <v>2</v>
      </c>
      <c r="D3722" t="str">
        <f t="shared" si="58"/>
        <v>CA-2016-116379_OFF-BI-10001543</v>
      </c>
      <c r="E3722" t="str">
        <f>IF(COUNTIF(data2!$D:$D,D3722)=0,"Missing in Data2","Present")</f>
        <v>Present</v>
      </c>
    </row>
    <row r="3723" spans="1:5" x14ac:dyDescent="0.25">
      <c r="A3723" s="2" t="s">
        <v>3482</v>
      </c>
      <c r="B3723" s="2" t="s">
        <v>3095</v>
      </c>
      <c r="C3723" s="2">
        <v>4</v>
      </c>
      <c r="D3723" t="str">
        <f t="shared" si="58"/>
        <v>CA-2016-116526_OFF-AP-10002457</v>
      </c>
      <c r="E3723" t="str">
        <f>IF(COUNTIF(data2!$D:$D,D3723)=0,"Missing in Data2","Present")</f>
        <v>Present</v>
      </c>
    </row>
    <row r="3724" spans="1:5" x14ac:dyDescent="0.25">
      <c r="A3724" s="2" t="s">
        <v>3482</v>
      </c>
      <c r="B3724" s="2" t="s">
        <v>352</v>
      </c>
      <c r="C3724" s="2">
        <v>2</v>
      </c>
      <c r="D3724" t="str">
        <f t="shared" si="58"/>
        <v>CA-2016-116526_OFF-AR-10004999</v>
      </c>
      <c r="E3724" t="str">
        <f>IF(COUNTIF(data2!$D:$D,D3724)=0,"Missing in Data2","Present")</f>
        <v>Present</v>
      </c>
    </row>
    <row r="3725" spans="1:5" x14ac:dyDescent="0.25">
      <c r="A3725" s="2" t="s">
        <v>3482</v>
      </c>
      <c r="B3725" s="2" t="s">
        <v>152</v>
      </c>
      <c r="C3725" s="2">
        <v>4</v>
      </c>
      <c r="D3725" t="str">
        <f t="shared" si="58"/>
        <v>CA-2016-116526_OFF-BI-10000320</v>
      </c>
      <c r="E3725" t="str">
        <f>IF(COUNTIF(data2!$D:$D,D3725)=0,"Missing in Data2","Present")</f>
        <v>Present</v>
      </c>
    </row>
    <row r="3726" spans="1:5" x14ac:dyDescent="0.25">
      <c r="A3726" s="2" t="s">
        <v>3482</v>
      </c>
      <c r="B3726" s="2" t="s">
        <v>301</v>
      </c>
      <c r="C3726" s="2">
        <v>5</v>
      </c>
      <c r="D3726" t="str">
        <f t="shared" si="58"/>
        <v>CA-2016-116526_OFF-BI-10001116</v>
      </c>
      <c r="E3726" t="str">
        <f>IF(COUNTIF(data2!$D:$D,D3726)=0,"Missing in Data2","Present")</f>
        <v>Present</v>
      </c>
    </row>
    <row r="3727" spans="1:5" x14ac:dyDescent="0.25">
      <c r="A3727" s="2" t="s">
        <v>3482</v>
      </c>
      <c r="B3727" s="2" t="s">
        <v>1680</v>
      </c>
      <c r="C3727" s="2">
        <v>5</v>
      </c>
      <c r="D3727" t="str">
        <f t="shared" si="58"/>
        <v>CA-2016-116526_OFF-BI-10004728</v>
      </c>
      <c r="E3727" t="str">
        <f>IF(COUNTIF(data2!$D:$D,D3727)=0,"Missing in Data2","Present")</f>
        <v>Missing in Data2</v>
      </c>
    </row>
    <row r="3728" spans="1:5" x14ac:dyDescent="0.25">
      <c r="A3728" s="2" t="s">
        <v>3482</v>
      </c>
      <c r="B3728" s="2" t="s">
        <v>3483</v>
      </c>
      <c r="C3728" s="2">
        <v>1</v>
      </c>
      <c r="D3728" t="str">
        <f t="shared" si="58"/>
        <v>CA-2016-116526_TEC-PH-10002365</v>
      </c>
      <c r="E3728" t="str">
        <f>IF(COUNTIF(data2!$D:$D,D3728)=0,"Missing in Data2","Present")</f>
        <v>Present</v>
      </c>
    </row>
    <row r="3729" spans="1:5" x14ac:dyDescent="0.25">
      <c r="A3729" s="2" t="s">
        <v>3484</v>
      </c>
      <c r="B3729" s="2" t="s">
        <v>651</v>
      </c>
      <c r="C3729" s="2">
        <v>2</v>
      </c>
      <c r="D3729" t="str">
        <f t="shared" si="58"/>
        <v>CA-2016-116540_OFF-BI-10004970</v>
      </c>
      <c r="E3729" t="str">
        <f>IF(COUNTIF(data2!$D:$D,D3729)=0,"Missing in Data2","Present")</f>
        <v>Present</v>
      </c>
    </row>
    <row r="3730" spans="1:5" x14ac:dyDescent="0.25">
      <c r="A3730" s="2" t="s">
        <v>3485</v>
      </c>
      <c r="B3730" s="2" t="s">
        <v>3486</v>
      </c>
      <c r="C3730" s="2">
        <v>4</v>
      </c>
      <c r="D3730" t="str">
        <f t="shared" si="58"/>
        <v>CA-2016-116547_FUR-FU-10000076</v>
      </c>
      <c r="E3730" t="str">
        <f>IF(COUNTIF(data2!$D:$D,D3730)=0,"Missing in Data2","Present")</f>
        <v>Present</v>
      </c>
    </row>
    <row r="3731" spans="1:5" x14ac:dyDescent="0.25">
      <c r="A3731" s="2" t="s">
        <v>3485</v>
      </c>
      <c r="B3731" s="2" t="s">
        <v>3487</v>
      </c>
      <c r="C3731" s="2">
        <v>2</v>
      </c>
      <c r="D3731" t="str">
        <f t="shared" si="58"/>
        <v>CA-2016-116547_TEC-AC-10002335</v>
      </c>
      <c r="E3731" t="str">
        <f>IF(COUNTIF(data2!$D:$D,D3731)=0,"Missing in Data2","Present")</f>
        <v>Missing in Data2</v>
      </c>
    </row>
    <row r="3732" spans="1:5" x14ac:dyDescent="0.25">
      <c r="A3732" s="2" t="s">
        <v>3488</v>
      </c>
      <c r="B3732" s="2" t="s">
        <v>231</v>
      </c>
      <c r="C3732" s="2">
        <v>3</v>
      </c>
      <c r="D3732" t="str">
        <f t="shared" si="58"/>
        <v>CA-2016-116561_OFF-ST-10004186</v>
      </c>
      <c r="E3732" t="str">
        <f>IF(COUNTIF(data2!$D:$D,D3732)=0,"Missing in Data2","Present")</f>
        <v>Present</v>
      </c>
    </row>
    <row r="3733" spans="1:5" x14ac:dyDescent="0.25">
      <c r="A3733" s="2" t="s">
        <v>3489</v>
      </c>
      <c r="B3733" s="2" t="s">
        <v>555</v>
      </c>
      <c r="C3733" s="2">
        <v>14</v>
      </c>
      <c r="D3733" t="str">
        <f t="shared" si="58"/>
        <v>CA-2016-116596_FUR-CH-10000553</v>
      </c>
      <c r="E3733" t="str">
        <f>IF(COUNTIF(data2!$D:$D,D3733)=0,"Missing in Data2","Present")</f>
        <v>Present</v>
      </c>
    </row>
    <row r="3734" spans="1:5" x14ac:dyDescent="0.25">
      <c r="A3734" s="2" t="s">
        <v>3489</v>
      </c>
      <c r="B3734" s="2" t="s">
        <v>1727</v>
      </c>
      <c r="C3734" s="2">
        <v>2</v>
      </c>
      <c r="D3734" t="str">
        <f t="shared" si="58"/>
        <v>CA-2016-116596_OFF-BI-10002949</v>
      </c>
      <c r="E3734" t="str">
        <f>IF(COUNTIF(data2!$D:$D,D3734)=0,"Missing in Data2","Present")</f>
        <v>Present</v>
      </c>
    </row>
    <row r="3735" spans="1:5" x14ac:dyDescent="0.25">
      <c r="A3735" s="2" t="s">
        <v>3489</v>
      </c>
      <c r="B3735" s="2" t="s">
        <v>397</v>
      </c>
      <c r="C3735" s="2">
        <v>7</v>
      </c>
      <c r="D3735" t="str">
        <f t="shared" si="58"/>
        <v>CA-2016-116596_OFF-FA-10000134</v>
      </c>
      <c r="E3735" t="str">
        <f>IF(COUNTIF(data2!$D:$D,D3735)=0,"Missing in Data2","Present")</f>
        <v>Present</v>
      </c>
    </row>
    <row r="3736" spans="1:5" x14ac:dyDescent="0.25">
      <c r="A3736" s="2" t="s">
        <v>3489</v>
      </c>
      <c r="B3736" s="2" t="s">
        <v>962</v>
      </c>
      <c r="C3736" s="2">
        <v>2</v>
      </c>
      <c r="D3736" t="str">
        <f t="shared" si="58"/>
        <v>CA-2016-116596_OFF-ST-10000636</v>
      </c>
      <c r="E3736" t="str">
        <f>IF(COUNTIF(data2!$D:$D,D3736)=0,"Missing in Data2","Present")</f>
        <v>Present</v>
      </c>
    </row>
    <row r="3737" spans="1:5" x14ac:dyDescent="0.25">
      <c r="A3737" s="2" t="s">
        <v>3490</v>
      </c>
      <c r="B3737" s="2" t="s">
        <v>545</v>
      </c>
      <c r="C3737" s="2">
        <v>2</v>
      </c>
      <c r="D3737" t="str">
        <f t="shared" si="58"/>
        <v>CA-2016-116603_OFF-AP-10002892</v>
      </c>
      <c r="E3737" t="str">
        <f>IF(COUNTIF(data2!$D:$D,D3737)=0,"Missing in Data2","Present")</f>
        <v>Present</v>
      </c>
    </row>
    <row r="3738" spans="1:5" x14ac:dyDescent="0.25">
      <c r="A3738" s="2" t="s">
        <v>3491</v>
      </c>
      <c r="B3738" s="2" t="s">
        <v>680</v>
      </c>
      <c r="C3738" s="2">
        <v>3</v>
      </c>
      <c r="D3738" t="str">
        <f t="shared" si="58"/>
        <v>CA-2016-116722_FUR-CH-10004997</v>
      </c>
      <c r="E3738" t="str">
        <f>IF(COUNTIF(data2!$D:$D,D3738)=0,"Missing in Data2","Present")</f>
        <v>Present</v>
      </c>
    </row>
    <row r="3739" spans="1:5" x14ac:dyDescent="0.25">
      <c r="A3739" s="2" t="s">
        <v>3491</v>
      </c>
      <c r="B3739" s="2" t="s">
        <v>3457</v>
      </c>
      <c r="C3739" s="2">
        <v>2</v>
      </c>
      <c r="D3739" t="str">
        <f t="shared" si="58"/>
        <v>CA-2016-116722_FUR-FU-10001934</v>
      </c>
      <c r="E3739" t="str">
        <f>IF(COUNTIF(data2!$D:$D,D3739)=0,"Missing in Data2","Present")</f>
        <v>Present</v>
      </c>
    </row>
    <row r="3740" spans="1:5" x14ac:dyDescent="0.25">
      <c r="A3740" s="2" t="s">
        <v>3491</v>
      </c>
      <c r="B3740" s="2" t="s">
        <v>1605</v>
      </c>
      <c r="C3740" s="2">
        <v>11</v>
      </c>
      <c r="D3740" t="str">
        <f t="shared" si="58"/>
        <v>CA-2016-116722_OFF-BI-10001890</v>
      </c>
      <c r="E3740" t="str">
        <f>IF(COUNTIF(data2!$D:$D,D3740)=0,"Missing in Data2","Present")</f>
        <v>Present</v>
      </c>
    </row>
    <row r="3741" spans="1:5" x14ac:dyDescent="0.25">
      <c r="A3741" s="2" t="s">
        <v>3492</v>
      </c>
      <c r="B3741" s="2" t="s">
        <v>1830</v>
      </c>
      <c r="C3741" s="2">
        <v>3</v>
      </c>
      <c r="D3741" t="str">
        <f t="shared" si="58"/>
        <v>CA-2016-116736_FUR-FU-10004017</v>
      </c>
      <c r="E3741" t="str">
        <f>IF(COUNTIF(data2!$D:$D,D3741)=0,"Missing in Data2","Present")</f>
        <v>Present</v>
      </c>
    </row>
    <row r="3742" spans="1:5" x14ac:dyDescent="0.25">
      <c r="A3742" s="2" t="s">
        <v>3492</v>
      </c>
      <c r="B3742" s="2" t="s">
        <v>1053</v>
      </c>
      <c r="C3742" s="2">
        <v>3</v>
      </c>
      <c r="D3742" t="str">
        <f t="shared" si="58"/>
        <v>CA-2016-116736_TEC-AC-10002049</v>
      </c>
      <c r="E3742" t="str">
        <f>IF(COUNTIF(data2!$D:$D,D3742)=0,"Missing in Data2","Present")</f>
        <v>Present</v>
      </c>
    </row>
    <row r="3743" spans="1:5" x14ac:dyDescent="0.25">
      <c r="A3743" s="2" t="s">
        <v>3493</v>
      </c>
      <c r="B3743" s="2" t="s">
        <v>1540</v>
      </c>
      <c r="C3743" s="2">
        <v>5</v>
      </c>
      <c r="D3743" t="str">
        <f t="shared" si="58"/>
        <v>CA-2016-116799_FUR-CH-10004983</v>
      </c>
      <c r="E3743" t="str">
        <f>IF(COUNTIF(data2!$D:$D,D3743)=0,"Missing in Data2","Present")</f>
        <v>Present</v>
      </c>
    </row>
    <row r="3744" spans="1:5" x14ac:dyDescent="0.25">
      <c r="A3744" s="2" t="s">
        <v>3493</v>
      </c>
      <c r="B3744" s="2" t="s">
        <v>3399</v>
      </c>
      <c r="C3744" s="2">
        <v>7</v>
      </c>
      <c r="D3744" t="str">
        <f t="shared" si="58"/>
        <v>CA-2016-116799_OFF-PA-10001892</v>
      </c>
      <c r="E3744" t="str">
        <f>IF(COUNTIF(data2!$D:$D,D3744)=0,"Missing in Data2","Present")</f>
        <v>Present</v>
      </c>
    </row>
    <row r="3745" spans="1:5" x14ac:dyDescent="0.25">
      <c r="A3745" s="2" t="s">
        <v>3494</v>
      </c>
      <c r="B3745" s="2" t="s">
        <v>1806</v>
      </c>
      <c r="C3745" s="2">
        <v>3</v>
      </c>
      <c r="D3745" t="str">
        <f t="shared" si="58"/>
        <v>CA-2016-116911_FUR-TA-10003473</v>
      </c>
      <c r="E3745" t="str">
        <f>IF(COUNTIF(data2!$D:$D,D3745)=0,"Missing in Data2","Present")</f>
        <v>Present</v>
      </c>
    </row>
    <row r="3746" spans="1:5" x14ac:dyDescent="0.25">
      <c r="A3746" s="2" t="s">
        <v>3494</v>
      </c>
      <c r="B3746" s="2" t="s">
        <v>819</v>
      </c>
      <c r="C3746" s="2">
        <v>4</v>
      </c>
      <c r="D3746" t="str">
        <f t="shared" si="58"/>
        <v>CA-2016-116911_OFF-BI-10001249</v>
      </c>
      <c r="E3746" t="str">
        <f>IF(COUNTIF(data2!$D:$D,D3746)=0,"Missing in Data2","Present")</f>
        <v>Present</v>
      </c>
    </row>
    <row r="3747" spans="1:5" x14ac:dyDescent="0.25">
      <c r="A3747" s="2" t="s">
        <v>3495</v>
      </c>
      <c r="B3747" s="2" t="s">
        <v>70</v>
      </c>
      <c r="C3747" s="2">
        <v>4</v>
      </c>
      <c r="D3747" t="str">
        <f t="shared" si="58"/>
        <v>CA-2016-116918_OFF-BI-10004140</v>
      </c>
      <c r="E3747" t="str">
        <f>IF(COUNTIF(data2!$D:$D,D3747)=0,"Missing in Data2","Present")</f>
        <v>Present</v>
      </c>
    </row>
    <row r="3748" spans="1:5" x14ac:dyDescent="0.25">
      <c r="A3748" s="2" t="s">
        <v>3496</v>
      </c>
      <c r="B3748" s="2" t="s">
        <v>1466</v>
      </c>
      <c r="C3748" s="2">
        <v>4</v>
      </c>
      <c r="D3748" t="str">
        <f t="shared" si="58"/>
        <v>CA-2016-116974_TEC-PH-10004897</v>
      </c>
      <c r="E3748" t="str">
        <f>IF(COUNTIF(data2!$D:$D,D3748)=0,"Missing in Data2","Present")</f>
        <v>Present</v>
      </c>
    </row>
    <row r="3749" spans="1:5" x14ac:dyDescent="0.25">
      <c r="A3749" s="2" t="s">
        <v>3497</v>
      </c>
      <c r="B3749" s="2" t="s">
        <v>2499</v>
      </c>
      <c r="C3749" s="2">
        <v>13</v>
      </c>
      <c r="D3749" t="str">
        <f t="shared" si="58"/>
        <v>CA-2016-117121_OFF-BI-10000545</v>
      </c>
      <c r="E3749" t="str">
        <f>IF(COUNTIF(data2!$D:$D,D3749)=0,"Missing in Data2","Present")</f>
        <v>Present</v>
      </c>
    </row>
    <row r="3750" spans="1:5" x14ac:dyDescent="0.25">
      <c r="A3750" s="2" t="s">
        <v>3498</v>
      </c>
      <c r="B3750" s="2" t="s">
        <v>483</v>
      </c>
      <c r="C3750" s="2">
        <v>6</v>
      </c>
      <c r="D3750" t="str">
        <f t="shared" si="58"/>
        <v>CA-2016-117226_OFF-BI-10004654</v>
      </c>
      <c r="E3750" t="str">
        <f>IF(COUNTIF(data2!$D:$D,D3750)=0,"Missing in Data2","Present")</f>
        <v>Present</v>
      </c>
    </row>
    <row r="3751" spans="1:5" x14ac:dyDescent="0.25">
      <c r="A3751" s="2" t="s">
        <v>3499</v>
      </c>
      <c r="B3751" s="2" t="s">
        <v>442</v>
      </c>
      <c r="C3751" s="2">
        <v>2</v>
      </c>
      <c r="D3751" t="str">
        <f t="shared" si="58"/>
        <v>CA-2016-117282_OFF-BI-10004094</v>
      </c>
      <c r="E3751" t="str">
        <f>IF(COUNTIF(data2!$D:$D,D3751)=0,"Missing in Data2","Present")</f>
        <v>Present</v>
      </c>
    </row>
    <row r="3752" spans="1:5" x14ac:dyDescent="0.25">
      <c r="A3752" s="2" t="s">
        <v>3500</v>
      </c>
      <c r="B3752" s="2" t="s">
        <v>3335</v>
      </c>
      <c r="C3752" s="2">
        <v>2</v>
      </c>
      <c r="D3752" t="str">
        <f t="shared" si="58"/>
        <v>CA-2016-117408_OFF-ST-10001580</v>
      </c>
      <c r="E3752" t="str">
        <f>IF(COUNTIF(data2!$D:$D,D3752)=0,"Missing in Data2","Present")</f>
        <v>Present</v>
      </c>
    </row>
    <row r="3753" spans="1:5" x14ac:dyDescent="0.25">
      <c r="A3753" s="2" t="s">
        <v>3501</v>
      </c>
      <c r="B3753" s="2" t="s">
        <v>1917</v>
      </c>
      <c r="C3753" s="2">
        <v>3</v>
      </c>
      <c r="D3753" t="str">
        <f t="shared" si="58"/>
        <v>CA-2016-117583_OFF-AR-10000658</v>
      </c>
      <c r="E3753" t="str">
        <f>IF(COUNTIF(data2!$D:$D,D3753)=0,"Missing in Data2","Present")</f>
        <v>Present</v>
      </c>
    </row>
    <row r="3754" spans="1:5" x14ac:dyDescent="0.25">
      <c r="A3754" s="2" t="s">
        <v>3501</v>
      </c>
      <c r="B3754" s="2" t="s">
        <v>137</v>
      </c>
      <c r="C3754" s="2">
        <v>5</v>
      </c>
      <c r="D3754" t="str">
        <f t="shared" si="58"/>
        <v>CA-2016-117583_OFF-BI-10004233</v>
      </c>
      <c r="E3754" t="str">
        <f>IF(COUNTIF(data2!$D:$D,D3754)=0,"Missing in Data2","Present")</f>
        <v>Present</v>
      </c>
    </row>
    <row r="3755" spans="1:5" x14ac:dyDescent="0.25">
      <c r="A3755" s="2" t="s">
        <v>3501</v>
      </c>
      <c r="B3755" s="2" t="s">
        <v>915</v>
      </c>
      <c r="C3755" s="2">
        <v>5</v>
      </c>
      <c r="D3755" t="str">
        <f t="shared" si="58"/>
        <v>CA-2016-117583_OFF-PA-10000100</v>
      </c>
      <c r="E3755" t="str">
        <f>IF(COUNTIF(data2!$D:$D,D3755)=0,"Missing in Data2","Present")</f>
        <v>Present</v>
      </c>
    </row>
    <row r="3756" spans="1:5" x14ac:dyDescent="0.25">
      <c r="A3756" s="2" t="s">
        <v>3501</v>
      </c>
      <c r="B3756" s="2" t="s">
        <v>3502</v>
      </c>
      <c r="C3756" s="2">
        <v>4</v>
      </c>
      <c r="D3756" t="str">
        <f t="shared" si="58"/>
        <v>CA-2016-117583_OFF-PA-10001246</v>
      </c>
      <c r="E3756" t="str">
        <f>IF(COUNTIF(data2!$D:$D,D3756)=0,"Missing in Data2","Present")</f>
        <v>Present</v>
      </c>
    </row>
    <row r="3757" spans="1:5" x14ac:dyDescent="0.25">
      <c r="A3757" s="2" t="s">
        <v>3503</v>
      </c>
      <c r="B3757" s="2" t="s">
        <v>3272</v>
      </c>
      <c r="C3757" s="2">
        <v>5</v>
      </c>
      <c r="D3757" t="str">
        <f t="shared" si="58"/>
        <v>CA-2016-117590_FUR-FU-10003664</v>
      </c>
      <c r="E3757" t="str">
        <f>IF(COUNTIF(data2!$D:$D,D3757)=0,"Missing in Data2","Present")</f>
        <v>Present</v>
      </c>
    </row>
    <row r="3758" spans="1:5" x14ac:dyDescent="0.25">
      <c r="A3758" s="2" t="s">
        <v>3503</v>
      </c>
      <c r="B3758" s="2" t="s">
        <v>1113</v>
      </c>
      <c r="C3758" s="2">
        <v>7</v>
      </c>
      <c r="D3758" t="str">
        <f t="shared" si="58"/>
        <v>CA-2016-117590_TEC-PH-10004977</v>
      </c>
      <c r="E3758" t="str">
        <f>IF(COUNTIF(data2!$D:$D,D3758)=0,"Missing in Data2","Present")</f>
        <v>Present</v>
      </c>
    </row>
    <row r="3759" spans="1:5" x14ac:dyDescent="0.25">
      <c r="A3759" s="2" t="s">
        <v>3504</v>
      </c>
      <c r="B3759" s="2" t="s">
        <v>2394</v>
      </c>
      <c r="C3759" s="2">
        <v>5</v>
      </c>
      <c r="D3759" t="str">
        <f t="shared" si="58"/>
        <v>CA-2016-117604_OFF-PA-10001357</v>
      </c>
      <c r="E3759" t="str">
        <f>IF(COUNTIF(data2!$D:$D,D3759)=0,"Missing in Data2","Present")</f>
        <v>Present</v>
      </c>
    </row>
    <row r="3760" spans="1:5" x14ac:dyDescent="0.25">
      <c r="A3760" s="2" t="s">
        <v>3505</v>
      </c>
      <c r="B3760" s="2" t="s">
        <v>3506</v>
      </c>
      <c r="C3760" s="2">
        <v>2</v>
      </c>
      <c r="D3760" t="str">
        <f t="shared" si="58"/>
        <v>CA-2016-117625_OFF-EN-10001535</v>
      </c>
      <c r="E3760" t="str">
        <f>IF(COUNTIF(data2!$D:$D,D3760)=0,"Missing in Data2","Present")</f>
        <v>Present</v>
      </c>
    </row>
    <row r="3761" spans="1:5" x14ac:dyDescent="0.25">
      <c r="A3761" s="2" t="s">
        <v>3507</v>
      </c>
      <c r="B3761" s="2" t="s">
        <v>114</v>
      </c>
      <c r="C3761" s="2">
        <v>2</v>
      </c>
      <c r="D3761" t="str">
        <f t="shared" si="58"/>
        <v>CA-2016-117660_OFF-LA-10003720</v>
      </c>
      <c r="E3761" t="str">
        <f>IF(COUNTIF(data2!$D:$D,D3761)=0,"Missing in Data2","Present")</f>
        <v>Present</v>
      </c>
    </row>
    <row r="3762" spans="1:5" x14ac:dyDescent="0.25">
      <c r="A3762" s="2" t="s">
        <v>3507</v>
      </c>
      <c r="B3762" s="2" t="s">
        <v>1352</v>
      </c>
      <c r="C3762" s="2">
        <v>2</v>
      </c>
      <c r="D3762" t="str">
        <f t="shared" si="58"/>
        <v>CA-2016-117660_OFF-SU-10001664</v>
      </c>
      <c r="E3762" t="str">
        <f>IF(COUNTIF(data2!$D:$D,D3762)=0,"Missing in Data2","Present")</f>
        <v>Present</v>
      </c>
    </row>
    <row r="3763" spans="1:5" x14ac:dyDescent="0.25">
      <c r="A3763" s="2" t="s">
        <v>3508</v>
      </c>
      <c r="B3763" s="2" t="s">
        <v>3509</v>
      </c>
      <c r="C3763" s="2">
        <v>5</v>
      </c>
      <c r="D3763" t="str">
        <f t="shared" si="58"/>
        <v>CA-2016-117681_FUR-BO-10001798</v>
      </c>
      <c r="E3763" t="str">
        <f>IF(COUNTIF(data2!$D:$D,D3763)=0,"Missing in Data2","Present")</f>
        <v>Present</v>
      </c>
    </row>
    <row r="3764" spans="1:5" x14ac:dyDescent="0.25">
      <c r="A3764" s="2" t="s">
        <v>3510</v>
      </c>
      <c r="B3764" s="2" t="s">
        <v>3511</v>
      </c>
      <c r="C3764" s="2">
        <v>3</v>
      </c>
      <c r="D3764" t="str">
        <f t="shared" si="58"/>
        <v>CA-2016-117849_OFF-PA-10004327</v>
      </c>
      <c r="E3764" t="str">
        <f>IF(COUNTIF(data2!$D:$D,D3764)=0,"Missing in Data2","Present")</f>
        <v>Present</v>
      </c>
    </row>
    <row r="3765" spans="1:5" x14ac:dyDescent="0.25">
      <c r="A3765" s="2" t="s">
        <v>3512</v>
      </c>
      <c r="B3765" s="2" t="s">
        <v>756</v>
      </c>
      <c r="C3765" s="2">
        <v>2</v>
      </c>
      <c r="D3765" t="str">
        <f t="shared" si="58"/>
        <v>CA-2016-117912_FUR-FU-10002088</v>
      </c>
      <c r="E3765" t="str">
        <f>IF(COUNTIF(data2!$D:$D,D3765)=0,"Missing in Data2","Present")</f>
        <v>Present</v>
      </c>
    </row>
    <row r="3766" spans="1:5" x14ac:dyDescent="0.25">
      <c r="A3766" s="2" t="s">
        <v>3513</v>
      </c>
      <c r="B3766" s="2" t="s">
        <v>121</v>
      </c>
      <c r="C3766" s="2">
        <v>5</v>
      </c>
      <c r="D3766" t="str">
        <f t="shared" si="58"/>
        <v>CA-2016-117919_OFF-PA-10004353</v>
      </c>
      <c r="E3766" t="str">
        <f>IF(COUNTIF(data2!$D:$D,D3766)=0,"Missing in Data2","Present")</f>
        <v>Missing in Data2</v>
      </c>
    </row>
    <row r="3767" spans="1:5" x14ac:dyDescent="0.25">
      <c r="A3767" s="2" t="s">
        <v>3513</v>
      </c>
      <c r="B3767" s="2" t="s">
        <v>2168</v>
      </c>
      <c r="C3767" s="2">
        <v>1</v>
      </c>
      <c r="D3767" t="str">
        <f t="shared" si="58"/>
        <v>CA-2016-117919_OFF-ST-10003572</v>
      </c>
      <c r="E3767" t="str">
        <f>IF(COUNTIF(data2!$D:$D,D3767)=0,"Missing in Data2","Present")</f>
        <v>Present</v>
      </c>
    </row>
    <row r="3768" spans="1:5" x14ac:dyDescent="0.25">
      <c r="A3768" s="2" t="s">
        <v>3514</v>
      </c>
      <c r="B3768" s="2" t="s">
        <v>2725</v>
      </c>
      <c r="C3768" s="2">
        <v>7</v>
      </c>
      <c r="D3768" t="str">
        <f t="shared" si="58"/>
        <v>CA-2016-118052_FUR-FU-10004848</v>
      </c>
      <c r="E3768" t="str">
        <f>IF(COUNTIF(data2!$D:$D,D3768)=0,"Missing in Data2","Present")</f>
        <v>Present</v>
      </c>
    </row>
    <row r="3769" spans="1:5" x14ac:dyDescent="0.25">
      <c r="A3769" s="2" t="s">
        <v>3514</v>
      </c>
      <c r="B3769" s="2" t="s">
        <v>1662</v>
      </c>
      <c r="C3769" s="2">
        <v>2</v>
      </c>
      <c r="D3769" t="str">
        <f t="shared" si="58"/>
        <v>CA-2016-118052_OFF-FA-10004248</v>
      </c>
      <c r="E3769" t="str">
        <f>IF(COUNTIF(data2!$D:$D,D3769)=0,"Missing in Data2","Present")</f>
        <v>Present</v>
      </c>
    </row>
    <row r="3770" spans="1:5" x14ac:dyDescent="0.25">
      <c r="A3770" s="2" t="s">
        <v>3514</v>
      </c>
      <c r="B3770" s="2" t="s">
        <v>1376</v>
      </c>
      <c r="C3770" s="2">
        <v>2</v>
      </c>
      <c r="D3770" t="str">
        <f t="shared" si="58"/>
        <v>CA-2016-118052_OFF-PA-10002581</v>
      </c>
      <c r="E3770" t="str">
        <f>IF(COUNTIF(data2!$D:$D,D3770)=0,"Missing in Data2","Present")</f>
        <v>Present</v>
      </c>
    </row>
    <row r="3771" spans="1:5" x14ac:dyDescent="0.25">
      <c r="A3771" s="2" t="s">
        <v>3515</v>
      </c>
      <c r="B3771" s="2" t="s">
        <v>1679</v>
      </c>
      <c r="C3771" s="2">
        <v>7</v>
      </c>
      <c r="D3771" t="str">
        <f t="shared" si="58"/>
        <v>CA-2016-118073_FUR-TA-10002533</v>
      </c>
      <c r="E3771" t="str">
        <f>IF(COUNTIF(data2!$D:$D,D3771)=0,"Missing in Data2","Present")</f>
        <v>Present</v>
      </c>
    </row>
    <row r="3772" spans="1:5" x14ac:dyDescent="0.25">
      <c r="A3772" s="2" t="s">
        <v>3516</v>
      </c>
      <c r="B3772" s="2" t="s">
        <v>1412</v>
      </c>
      <c r="C3772" s="2">
        <v>1</v>
      </c>
      <c r="D3772" t="str">
        <f t="shared" si="58"/>
        <v>CA-2016-118101_OFF-BI-10000773</v>
      </c>
      <c r="E3772" t="str">
        <f>IF(COUNTIF(data2!$D:$D,D3772)=0,"Missing in Data2","Present")</f>
        <v>Present</v>
      </c>
    </row>
    <row r="3773" spans="1:5" x14ac:dyDescent="0.25">
      <c r="A3773" s="2" t="s">
        <v>3516</v>
      </c>
      <c r="B3773" s="2" t="s">
        <v>41</v>
      </c>
      <c r="C3773" s="2">
        <v>9</v>
      </c>
      <c r="D3773" t="str">
        <f t="shared" si="58"/>
        <v>CA-2016-118101_OFF-PA-10000357</v>
      </c>
      <c r="E3773" t="str">
        <f>IF(COUNTIF(data2!$D:$D,D3773)=0,"Missing in Data2","Present")</f>
        <v>Present</v>
      </c>
    </row>
    <row r="3774" spans="1:5" x14ac:dyDescent="0.25">
      <c r="A3774" s="2" t="s">
        <v>3516</v>
      </c>
      <c r="B3774" s="2" t="s">
        <v>1297</v>
      </c>
      <c r="C3774" s="2">
        <v>4</v>
      </c>
      <c r="D3774" t="str">
        <f t="shared" si="58"/>
        <v>CA-2016-118101_OFF-ST-10001837</v>
      </c>
      <c r="E3774" t="str">
        <f>IF(COUNTIF(data2!$D:$D,D3774)=0,"Missing in Data2","Present")</f>
        <v>Present</v>
      </c>
    </row>
    <row r="3775" spans="1:5" x14ac:dyDescent="0.25">
      <c r="A3775" s="2" t="s">
        <v>3517</v>
      </c>
      <c r="B3775" s="2" t="s">
        <v>2459</v>
      </c>
      <c r="C3775" s="2">
        <v>5</v>
      </c>
      <c r="D3775" t="str">
        <f t="shared" si="58"/>
        <v>CA-2016-118129_FUR-FU-10004904</v>
      </c>
      <c r="E3775" t="str">
        <f>IF(COUNTIF(data2!$D:$D,D3775)=0,"Missing in Data2","Present")</f>
        <v>Present</v>
      </c>
    </row>
    <row r="3776" spans="1:5" x14ac:dyDescent="0.25">
      <c r="A3776" s="2" t="s">
        <v>3518</v>
      </c>
      <c r="B3776" s="2" t="s">
        <v>2708</v>
      </c>
      <c r="C3776" s="2">
        <v>3</v>
      </c>
      <c r="D3776" t="str">
        <f t="shared" si="58"/>
        <v>CA-2016-118178_OFF-BI-10001153</v>
      </c>
      <c r="E3776" t="str">
        <f>IF(COUNTIF(data2!$D:$D,D3776)=0,"Missing in Data2","Present")</f>
        <v>Present</v>
      </c>
    </row>
    <row r="3777" spans="1:5" x14ac:dyDescent="0.25">
      <c r="A3777" s="2" t="s">
        <v>3519</v>
      </c>
      <c r="B3777" s="2" t="s">
        <v>485</v>
      </c>
      <c r="C3777" s="2">
        <v>2</v>
      </c>
      <c r="D3777" t="str">
        <f t="shared" si="58"/>
        <v>CA-2016-118255_OFF-BI-10003291</v>
      </c>
      <c r="E3777" t="str">
        <f>IF(COUNTIF(data2!$D:$D,D3777)=0,"Missing in Data2","Present")</f>
        <v>Present</v>
      </c>
    </row>
    <row r="3778" spans="1:5" x14ac:dyDescent="0.25">
      <c r="A3778" s="2" t="s">
        <v>3519</v>
      </c>
      <c r="B3778" s="2" t="s">
        <v>2057</v>
      </c>
      <c r="C3778" s="2">
        <v>2</v>
      </c>
      <c r="D3778" t="str">
        <f t="shared" si="58"/>
        <v>CA-2016-118255_TEC-AC-10000171</v>
      </c>
      <c r="E3778" t="str">
        <f>IF(COUNTIF(data2!$D:$D,D3778)=0,"Missing in Data2","Present")</f>
        <v>Present</v>
      </c>
    </row>
    <row r="3779" spans="1:5" x14ac:dyDescent="0.25">
      <c r="A3779" s="2" t="s">
        <v>3520</v>
      </c>
      <c r="B3779" s="2" t="s">
        <v>1718</v>
      </c>
      <c r="C3779" s="2">
        <v>5</v>
      </c>
      <c r="D3779" t="str">
        <f t="shared" ref="D3779:D3842" si="59">A3779&amp;"_"&amp;B3779</f>
        <v>CA-2016-118311_TEC-AC-10000892</v>
      </c>
      <c r="E3779" t="str">
        <f>IF(COUNTIF(data2!$D:$D,D3779)=0,"Missing in Data2","Present")</f>
        <v>Present</v>
      </c>
    </row>
    <row r="3780" spans="1:5" x14ac:dyDescent="0.25">
      <c r="A3780" s="2" t="s">
        <v>3521</v>
      </c>
      <c r="B3780" s="2" t="s">
        <v>2229</v>
      </c>
      <c r="C3780" s="2">
        <v>5</v>
      </c>
      <c r="D3780" t="str">
        <f t="shared" si="59"/>
        <v>CA-2016-118332_FUR-CH-10001708</v>
      </c>
      <c r="E3780" t="str">
        <f>IF(COUNTIF(data2!$D:$D,D3780)=0,"Missing in Data2","Present")</f>
        <v>Present</v>
      </c>
    </row>
    <row r="3781" spans="1:5" x14ac:dyDescent="0.25">
      <c r="A3781" s="2" t="s">
        <v>3522</v>
      </c>
      <c r="B3781" s="2" t="s">
        <v>2166</v>
      </c>
      <c r="C3781" s="2">
        <v>5</v>
      </c>
      <c r="D3781" t="str">
        <f t="shared" si="59"/>
        <v>CA-2016-118500_OFF-SU-10004231</v>
      </c>
      <c r="E3781" t="str">
        <f>IF(COUNTIF(data2!$D:$D,D3781)=0,"Missing in Data2","Present")</f>
        <v>Present</v>
      </c>
    </row>
    <row r="3782" spans="1:5" x14ac:dyDescent="0.25">
      <c r="A3782" s="2" t="s">
        <v>3523</v>
      </c>
      <c r="B3782" s="2" t="s">
        <v>1430</v>
      </c>
      <c r="C3782" s="2">
        <v>4</v>
      </c>
      <c r="D3782" t="str">
        <f t="shared" si="59"/>
        <v>CA-2016-118514_FUR-CH-10000015</v>
      </c>
      <c r="E3782" t="str">
        <f>IF(COUNTIF(data2!$D:$D,D3782)=0,"Missing in Data2","Present")</f>
        <v>Present</v>
      </c>
    </row>
    <row r="3783" spans="1:5" x14ac:dyDescent="0.25">
      <c r="A3783" s="2" t="s">
        <v>3524</v>
      </c>
      <c r="B3783" s="2" t="s">
        <v>789</v>
      </c>
      <c r="C3783" s="2">
        <v>7</v>
      </c>
      <c r="D3783" t="str">
        <f t="shared" si="59"/>
        <v>CA-2016-118570_OFF-PA-10001289</v>
      </c>
      <c r="E3783" t="str">
        <f>IF(COUNTIF(data2!$D:$D,D3783)=0,"Missing in Data2","Present")</f>
        <v>Present</v>
      </c>
    </row>
    <row r="3784" spans="1:5" x14ac:dyDescent="0.25">
      <c r="A3784" s="2" t="s">
        <v>3525</v>
      </c>
      <c r="B3784" s="2" t="s">
        <v>1763</v>
      </c>
      <c r="C3784" s="2">
        <v>7</v>
      </c>
      <c r="D3784" t="str">
        <f t="shared" si="59"/>
        <v>CA-2016-118626_TEC-PH-10000369</v>
      </c>
      <c r="E3784" t="str">
        <f>IF(COUNTIF(data2!$D:$D,D3784)=0,"Missing in Data2","Present")</f>
        <v>Present</v>
      </c>
    </row>
    <row r="3785" spans="1:5" x14ac:dyDescent="0.25">
      <c r="A3785" s="2" t="s">
        <v>3526</v>
      </c>
      <c r="B3785" s="2" t="s">
        <v>3156</v>
      </c>
      <c r="C3785" s="2">
        <v>2</v>
      </c>
      <c r="D3785" t="str">
        <f t="shared" si="59"/>
        <v>CA-2016-118689_OFF-AR-10001958</v>
      </c>
      <c r="E3785" t="str">
        <f>IF(COUNTIF(data2!$D:$D,D3785)=0,"Missing in Data2","Present")</f>
        <v>Present</v>
      </c>
    </row>
    <row r="3786" spans="1:5" x14ac:dyDescent="0.25">
      <c r="A3786" s="2" t="s">
        <v>3526</v>
      </c>
      <c r="B3786" s="2" t="s">
        <v>688</v>
      </c>
      <c r="C3786" s="2">
        <v>7</v>
      </c>
      <c r="D3786" t="str">
        <f t="shared" si="59"/>
        <v>CA-2016-118689_OFF-BI-10003712</v>
      </c>
      <c r="E3786" t="str">
        <f>IF(COUNTIF(data2!$D:$D,D3786)=0,"Missing in Data2","Present")</f>
        <v>Present</v>
      </c>
    </row>
    <row r="3787" spans="1:5" x14ac:dyDescent="0.25">
      <c r="A3787" s="2" t="s">
        <v>3526</v>
      </c>
      <c r="B3787" s="2" t="s">
        <v>113</v>
      </c>
      <c r="C3787" s="2">
        <v>2</v>
      </c>
      <c r="D3787" t="str">
        <f t="shared" si="59"/>
        <v>CA-2016-118689_OFF-BI-10004600</v>
      </c>
      <c r="E3787" t="str">
        <f>IF(COUNTIF(data2!$D:$D,D3787)=0,"Missing in Data2","Present")</f>
        <v>Present</v>
      </c>
    </row>
    <row r="3788" spans="1:5" x14ac:dyDescent="0.25">
      <c r="A3788" s="2" t="s">
        <v>3526</v>
      </c>
      <c r="B3788" s="2" t="s">
        <v>1735</v>
      </c>
      <c r="C3788" s="2">
        <v>2</v>
      </c>
      <c r="D3788" t="str">
        <f t="shared" si="59"/>
        <v>CA-2016-118689_OFF-ST-10001558</v>
      </c>
      <c r="E3788" t="str">
        <f>IF(COUNTIF(data2!$D:$D,D3788)=0,"Missing in Data2","Present")</f>
        <v>Present</v>
      </c>
    </row>
    <row r="3789" spans="1:5" x14ac:dyDescent="0.25">
      <c r="A3789" s="2" t="s">
        <v>3526</v>
      </c>
      <c r="B3789" s="2" t="s">
        <v>3527</v>
      </c>
      <c r="C3789" s="2">
        <v>5</v>
      </c>
      <c r="D3789" t="str">
        <f t="shared" si="59"/>
        <v>CA-2016-118689_TEC-CO-10004722</v>
      </c>
      <c r="E3789" t="str">
        <f>IF(COUNTIF(data2!$D:$D,D3789)=0,"Missing in Data2","Present")</f>
        <v>Present</v>
      </c>
    </row>
    <row r="3790" spans="1:5" x14ac:dyDescent="0.25">
      <c r="A3790" s="2" t="s">
        <v>3528</v>
      </c>
      <c r="B3790" s="2" t="s">
        <v>1806</v>
      </c>
      <c r="C3790" s="2">
        <v>3</v>
      </c>
      <c r="D3790" t="str">
        <f t="shared" si="59"/>
        <v>CA-2016-118745_FUR-TA-10003473</v>
      </c>
      <c r="E3790" t="str">
        <f>IF(COUNTIF(data2!$D:$D,D3790)=0,"Missing in Data2","Present")</f>
        <v>Present</v>
      </c>
    </row>
    <row r="3791" spans="1:5" x14ac:dyDescent="0.25">
      <c r="A3791" s="2" t="s">
        <v>3529</v>
      </c>
      <c r="B3791" s="2" t="s">
        <v>2767</v>
      </c>
      <c r="C3791" s="2">
        <v>2</v>
      </c>
      <c r="D3791" t="str">
        <f t="shared" si="59"/>
        <v>CA-2016-118759_FUR-CH-10002335</v>
      </c>
      <c r="E3791" t="str">
        <f>IF(COUNTIF(data2!$D:$D,D3791)=0,"Missing in Data2","Present")</f>
        <v>Present</v>
      </c>
    </row>
    <row r="3792" spans="1:5" x14ac:dyDescent="0.25">
      <c r="A3792" s="2" t="s">
        <v>3529</v>
      </c>
      <c r="B3792" s="2" t="s">
        <v>2282</v>
      </c>
      <c r="C3792" s="2">
        <v>3</v>
      </c>
      <c r="D3792" t="str">
        <f t="shared" si="59"/>
        <v>CA-2016-118759_OFF-ST-10001590</v>
      </c>
      <c r="E3792" t="str">
        <f>IF(COUNTIF(data2!$D:$D,D3792)=0,"Missing in Data2","Present")</f>
        <v>Present</v>
      </c>
    </row>
    <row r="3793" spans="1:5" x14ac:dyDescent="0.25">
      <c r="A3793" s="2" t="s">
        <v>3530</v>
      </c>
      <c r="B3793" s="2" t="s">
        <v>1502</v>
      </c>
      <c r="C3793" s="2">
        <v>7</v>
      </c>
      <c r="D3793" t="str">
        <f t="shared" si="59"/>
        <v>CA-2016-118899_FUR-CH-10004754</v>
      </c>
      <c r="E3793" t="str">
        <f>IF(COUNTIF(data2!$D:$D,D3793)=0,"Missing in Data2","Present")</f>
        <v>Present</v>
      </c>
    </row>
    <row r="3794" spans="1:5" x14ac:dyDescent="0.25">
      <c r="A3794" s="2" t="s">
        <v>3531</v>
      </c>
      <c r="B3794" s="2" t="s">
        <v>647</v>
      </c>
      <c r="C3794" s="2">
        <v>3</v>
      </c>
      <c r="D3794" t="str">
        <f t="shared" si="59"/>
        <v>CA-2016-118913_OFF-AP-10000692</v>
      </c>
      <c r="E3794" t="str">
        <f>IF(COUNTIF(data2!$D:$D,D3794)=0,"Missing in Data2","Present")</f>
        <v>Present</v>
      </c>
    </row>
    <row r="3795" spans="1:5" x14ac:dyDescent="0.25">
      <c r="A3795" s="2" t="s">
        <v>3532</v>
      </c>
      <c r="B3795" s="2" t="s">
        <v>940</v>
      </c>
      <c r="C3795" s="2">
        <v>3</v>
      </c>
      <c r="D3795" t="str">
        <f t="shared" si="59"/>
        <v>CA-2016-118934_OFF-BI-10003314</v>
      </c>
      <c r="E3795" t="str">
        <f>IF(COUNTIF(data2!$D:$D,D3795)=0,"Missing in Data2","Present")</f>
        <v>Present</v>
      </c>
    </row>
    <row r="3796" spans="1:5" x14ac:dyDescent="0.25">
      <c r="A3796" s="2" t="s">
        <v>3532</v>
      </c>
      <c r="B3796" s="2" t="s">
        <v>3533</v>
      </c>
      <c r="C3796" s="2">
        <v>5</v>
      </c>
      <c r="D3796" t="str">
        <f t="shared" si="59"/>
        <v>CA-2016-118934_OFF-BI-10004465</v>
      </c>
      <c r="E3796" t="str">
        <f>IF(COUNTIF(data2!$D:$D,D3796)=0,"Missing in Data2","Present")</f>
        <v>Present</v>
      </c>
    </row>
    <row r="3797" spans="1:5" x14ac:dyDescent="0.25">
      <c r="A3797" s="2" t="s">
        <v>3534</v>
      </c>
      <c r="B3797" s="2" t="s">
        <v>150</v>
      </c>
      <c r="C3797" s="2">
        <v>6</v>
      </c>
      <c r="D3797" t="str">
        <f t="shared" si="59"/>
        <v>CA-2016-118969_OFF-BI-10002429</v>
      </c>
      <c r="E3797" t="str">
        <f>IF(COUNTIF(data2!$D:$D,D3797)=0,"Missing in Data2","Present")</f>
        <v>Present</v>
      </c>
    </row>
    <row r="3798" spans="1:5" x14ac:dyDescent="0.25">
      <c r="A3798" s="2" t="s">
        <v>3535</v>
      </c>
      <c r="B3798" s="2" t="s">
        <v>492</v>
      </c>
      <c r="C3798" s="2">
        <v>1</v>
      </c>
      <c r="D3798" t="str">
        <f t="shared" si="59"/>
        <v>CA-2016-119018_OFF-BI-10000494</v>
      </c>
      <c r="E3798" t="str">
        <f>IF(COUNTIF(data2!$D:$D,D3798)=0,"Missing in Data2","Present")</f>
        <v>Present</v>
      </c>
    </row>
    <row r="3799" spans="1:5" x14ac:dyDescent="0.25">
      <c r="A3799" s="2" t="s">
        <v>3535</v>
      </c>
      <c r="B3799" s="2" t="s">
        <v>940</v>
      </c>
      <c r="C3799" s="2">
        <v>2</v>
      </c>
      <c r="D3799" t="str">
        <f t="shared" si="59"/>
        <v>CA-2016-119018_OFF-BI-10003314</v>
      </c>
      <c r="E3799" t="str">
        <f>IF(COUNTIF(data2!$D:$D,D3799)=0,"Missing in Data2","Present")</f>
        <v>Present</v>
      </c>
    </row>
    <row r="3800" spans="1:5" x14ac:dyDescent="0.25">
      <c r="A3800" s="2" t="s">
        <v>3536</v>
      </c>
      <c r="B3800" s="2" t="s">
        <v>2238</v>
      </c>
      <c r="C3800" s="2">
        <v>9</v>
      </c>
      <c r="D3800" t="str">
        <f t="shared" si="59"/>
        <v>CA-2016-119025_OFF-AP-10001205</v>
      </c>
      <c r="E3800" t="str">
        <f>IF(COUNTIF(data2!$D:$D,D3800)=0,"Missing in Data2","Present")</f>
        <v>Present</v>
      </c>
    </row>
    <row r="3801" spans="1:5" x14ac:dyDescent="0.25">
      <c r="A3801" s="2" t="s">
        <v>3537</v>
      </c>
      <c r="B3801" s="2" t="s">
        <v>3538</v>
      </c>
      <c r="C3801" s="2">
        <v>4</v>
      </c>
      <c r="D3801" t="str">
        <f t="shared" si="59"/>
        <v>CA-2016-119074_FUR-FU-10003731</v>
      </c>
      <c r="E3801" t="str">
        <f>IF(COUNTIF(data2!$D:$D,D3801)=0,"Missing in Data2","Present")</f>
        <v>Missing in Data2</v>
      </c>
    </row>
    <row r="3802" spans="1:5" x14ac:dyDescent="0.25">
      <c r="A3802" s="2" t="s">
        <v>3537</v>
      </c>
      <c r="B3802" s="2" t="s">
        <v>3539</v>
      </c>
      <c r="C3802" s="2">
        <v>1</v>
      </c>
      <c r="D3802" t="str">
        <f t="shared" si="59"/>
        <v>CA-2016-119074_FUR-FU-10004053</v>
      </c>
      <c r="E3802" t="str">
        <f>IF(COUNTIF(data2!$D:$D,D3802)=0,"Missing in Data2","Present")</f>
        <v>Present</v>
      </c>
    </row>
    <row r="3803" spans="1:5" x14ac:dyDescent="0.25">
      <c r="A3803" s="2" t="s">
        <v>3537</v>
      </c>
      <c r="B3803" s="2" t="s">
        <v>1014</v>
      </c>
      <c r="C3803" s="2">
        <v>2</v>
      </c>
      <c r="D3803" t="str">
        <f t="shared" si="59"/>
        <v>CA-2016-119074_OFF-BI-10000962</v>
      </c>
      <c r="E3803" t="str">
        <f>IF(COUNTIF(data2!$D:$D,D3803)=0,"Missing in Data2","Present")</f>
        <v>Present</v>
      </c>
    </row>
    <row r="3804" spans="1:5" x14ac:dyDescent="0.25">
      <c r="A3804" s="2" t="s">
        <v>3540</v>
      </c>
      <c r="B3804" s="2" t="s">
        <v>811</v>
      </c>
      <c r="C3804" s="2">
        <v>7</v>
      </c>
      <c r="D3804" t="str">
        <f t="shared" si="59"/>
        <v>CA-2016-119123_OFF-BI-10001036</v>
      </c>
      <c r="E3804" t="str">
        <f>IF(COUNTIF(data2!$D:$D,D3804)=0,"Missing in Data2","Present")</f>
        <v>Present</v>
      </c>
    </row>
    <row r="3805" spans="1:5" x14ac:dyDescent="0.25">
      <c r="A3805" s="2" t="s">
        <v>3541</v>
      </c>
      <c r="B3805" s="2" t="s">
        <v>221</v>
      </c>
      <c r="C3805" s="2">
        <v>5</v>
      </c>
      <c r="D3805" t="str">
        <f t="shared" si="59"/>
        <v>CA-2016-119165_FUR-CH-10000988</v>
      </c>
      <c r="E3805" t="str">
        <f>IF(COUNTIF(data2!$D:$D,D3805)=0,"Missing in Data2","Present")</f>
        <v>Present</v>
      </c>
    </row>
    <row r="3806" spans="1:5" x14ac:dyDescent="0.25">
      <c r="A3806" s="2" t="s">
        <v>3542</v>
      </c>
      <c r="B3806" s="2" t="s">
        <v>2314</v>
      </c>
      <c r="C3806" s="2">
        <v>5</v>
      </c>
      <c r="D3806" t="str">
        <f t="shared" si="59"/>
        <v>CA-2016-119186_FUR-CH-10001973</v>
      </c>
      <c r="E3806" t="str">
        <f>IF(COUNTIF(data2!$D:$D,D3806)=0,"Missing in Data2","Present")</f>
        <v>Missing in Data2</v>
      </c>
    </row>
    <row r="3807" spans="1:5" x14ac:dyDescent="0.25">
      <c r="A3807" s="2" t="s">
        <v>3542</v>
      </c>
      <c r="B3807" s="2" t="s">
        <v>2759</v>
      </c>
      <c r="C3807" s="2">
        <v>3</v>
      </c>
      <c r="D3807" t="str">
        <f t="shared" si="59"/>
        <v>CA-2016-119186_OFF-PA-10004040</v>
      </c>
      <c r="E3807" t="str">
        <f>IF(COUNTIF(data2!$D:$D,D3807)=0,"Missing in Data2","Present")</f>
        <v>Present</v>
      </c>
    </row>
    <row r="3808" spans="1:5" x14ac:dyDescent="0.25">
      <c r="A3808" s="2" t="s">
        <v>3542</v>
      </c>
      <c r="B3808" s="2" t="s">
        <v>2081</v>
      </c>
      <c r="C3808" s="2">
        <v>2</v>
      </c>
      <c r="D3808" t="str">
        <f t="shared" si="59"/>
        <v>CA-2016-119186_OFF-PA-10004621</v>
      </c>
      <c r="E3808" t="str">
        <f>IF(COUNTIF(data2!$D:$D,D3808)=0,"Missing in Data2","Present")</f>
        <v>Present</v>
      </c>
    </row>
    <row r="3809" spans="1:5" x14ac:dyDescent="0.25">
      <c r="A3809" s="2" t="s">
        <v>3542</v>
      </c>
      <c r="B3809" s="2" t="s">
        <v>3543</v>
      </c>
      <c r="C3809" s="2">
        <v>1</v>
      </c>
      <c r="D3809" t="str">
        <f t="shared" si="59"/>
        <v>CA-2016-119186_TEC-AC-10000580</v>
      </c>
      <c r="E3809" t="str">
        <f>IF(COUNTIF(data2!$D:$D,D3809)=0,"Missing in Data2","Present")</f>
        <v>Present</v>
      </c>
    </row>
    <row r="3810" spans="1:5" x14ac:dyDescent="0.25">
      <c r="A3810" s="2" t="s">
        <v>3544</v>
      </c>
      <c r="B3810" s="2" t="s">
        <v>462</v>
      </c>
      <c r="C3810" s="2">
        <v>5</v>
      </c>
      <c r="D3810" t="str">
        <f t="shared" si="59"/>
        <v>CA-2016-119445_OFF-ST-10000617</v>
      </c>
      <c r="E3810" t="str">
        <f>IF(COUNTIF(data2!$D:$D,D3810)=0,"Missing in Data2","Present")</f>
        <v>Present</v>
      </c>
    </row>
    <row r="3811" spans="1:5" x14ac:dyDescent="0.25">
      <c r="A3811" s="2" t="s">
        <v>3545</v>
      </c>
      <c r="B3811" s="2" t="s">
        <v>727</v>
      </c>
      <c r="C3811" s="2">
        <v>3</v>
      </c>
      <c r="D3811" t="str">
        <f t="shared" si="59"/>
        <v>CA-2016-119515_OFF-PA-10000552</v>
      </c>
      <c r="E3811" t="str">
        <f>IF(COUNTIF(data2!$D:$D,D3811)=0,"Missing in Data2","Present")</f>
        <v>Present</v>
      </c>
    </row>
    <row r="3812" spans="1:5" x14ac:dyDescent="0.25">
      <c r="A3812" s="2" t="s">
        <v>3546</v>
      </c>
      <c r="B3812" s="2" t="s">
        <v>3041</v>
      </c>
      <c r="C3812" s="2">
        <v>2</v>
      </c>
      <c r="D3812" t="str">
        <f t="shared" si="59"/>
        <v>CA-2016-119641_FUR-FU-10002445</v>
      </c>
      <c r="E3812" t="str">
        <f>IF(COUNTIF(data2!$D:$D,D3812)=0,"Missing in Data2","Present")</f>
        <v>Present</v>
      </c>
    </row>
    <row r="3813" spans="1:5" x14ac:dyDescent="0.25">
      <c r="A3813" s="2" t="s">
        <v>3547</v>
      </c>
      <c r="B3813" s="2" t="s">
        <v>284</v>
      </c>
      <c r="C3813" s="2">
        <v>3</v>
      </c>
      <c r="D3813" t="str">
        <f t="shared" si="59"/>
        <v>CA-2016-119683_OFF-EN-10001099</v>
      </c>
      <c r="E3813" t="str">
        <f>IF(COUNTIF(data2!$D:$D,D3813)=0,"Missing in Data2","Present")</f>
        <v>Present</v>
      </c>
    </row>
    <row r="3814" spans="1:5" x14ac:dyDescent="0.25">
      <c r="A3814" s="2" t="s">
        <v>3548</v>
      </c>
      <c r="B3814" s="2" t="s">
        <v>1335</v>
      </c>
      <c r="C3814" s="2">
        <v>2</v>
      </c>
      <c r="D3814" t="str">
        <f t="shared" si="59"/>
        <v>CA-2016-119823_OFF-PA-10000482</v>
      </c>
      <c r="E3814" t="str">
        <f>IF(COUNTIF(data2!$D:$D,D3814)=0,"Missing in Data2","Present")</f>
        <v>Present</v>
      </c>
    </row>
    <row r="3815" spans="1:5" x14ac:dyDescent="0.25">
      <c r="A3815" s="2" t="s">
        <v>3549</v>
      </c>
      <c r="B3815" s="2" t="s">
        <v>437</v>
      </c>
      <c r="C3815" s="2">
        <v>2</v>
      </c>
      <c r="D3815" t="str">
        <f t="shared" si="59"/>
        <v>CA-2016-119865_FUR-BO-10003272</v>
      </c>
      <c r="E3815" t="str">
        <f>IF(COUNTIF(data2!$D:$D,D3815)=0,"Missing in Data2","Present")</f>
        <v>Present</v>
      </c>
    </row>
    <row r="3816" spans="1:5" x14ac:dyDescent="0.25">
      <c r="A3816" s="2" t="s">
        <v>3549</v>
      </c>
      <c r="B3816" s="2" t="s">
        <v>1042</v>
      </c>
      <c r="C3816" s="2">
        <v>5</v>
      </c>
      <c r="D3816" t="str">
        <f t="shared" si="59"/>
        <v>CA-2016-119865_OFF-BI-10001553</v>
      </c>
      <c r="E3816" t="str">
        <f>IF(COUNTIF(data2!$D:$D,D3816)=0,"Missing in Data2","Present")</f>
        <v>Present</v>
      </c>
    </row>
    <row r="3817" spans="1:5" x14ac:dyDescent="0.25">
      <c r="A3817" s="2" t="s">
        <v>3550</v>
      </c>
      <c r="B3817" s="2" t="s">
        <v>2427</v>
      </c>
      <c r="C3817" s="2">
        <v>2</v>
      </c>
      <c r="D3817" t="str">
        <f t="shared" si="59"/>
        <v>CA-2016-119935_FUR-FU-10001085</v>
      </c>
      <c r="E3817" t="str">
        <f>IF(COUNTIF(data2!$D:$D,D3817)=0,"Missing in Data2","Present")</f>
        <v>Present</v>
      </c>
    </row>
    <row r="3818" spans="1:5" x14ac:dyDescent="0.25">
      <c r="A3818" s="2" t="s">
        <v>3551</v>
      </c>
      <c r="B3818" s="2" t="s">
        <v>621</v>
      </c>
      <c r="C3818" s="2">
        <v>6</v>
      </c>
      <c r="D3818" t="str">
        <f t="shared" si="59"/>
        <v>CA-2016-119963_FUR-CH-10003817</v>
      </c>
      <c r="E3818" t="str">
        <f>IF(COUNTIF(data2!$D:$D,D3818)=0,"Missing in Data2","Present")</f>
        <v>Present</v>
      </c>
    </row>
    <row r="3819" spans="1:5" x14ac:dyDescent="0.25">
      <c r="A3819" s="2" t="s">
        <v>3551</v>
      </c>
      <c r="B3819" s="2" t="s">
        <v>204</v>
      </c>
      <c r="C3819" s="2">
        <v>2</v>
      </c>
      <c r="D3819" t="str">
        <f t="shared" si="59"/>
        <v>CA-2016-119963_OFF-AR-10003514</v>
      </c>
      <c r="E3819" t="str">
        <f>IF(COUNTIF(data2!$D:$D,D3819)=0,"Missing in Data2","Present")</f>
        <v>Present</v>
      </c>
    </row>
    <row r="3820" spans="1:5" x14ac:dyDescent="0.25">
      <c r="A3820" s="2" t="s">
        <v>3551</v>
      </c>
      <c r="B3820" s="2" t="s">
        <v>1125</v>
      </c>
      <c r="C3820" s="2">
        <v>2</v>
      </c>
      <c r="D3820" t="str">
        <f t="shared" si="59"/>
        <v>CA-2016-119963_OFF-LA-10003510</v>
      </c>
      <c r="E3820" t="str">
        <f>IF(COUNTIF(data2!$D:$D,D3820)=0,"Missing in Data2","Present")</f>
        <v>Present</v>
      </c>
    </row>
    <row r="3821" spans="1:5" x14ac:dyDescent="0.25">
      <c r="A3821" s="2" t="s">
        <v>3551</v>
      </c>
      <c r="B3821" s="2" t="s">
        <v>1039</v>
      </c>
      <c r="C3821" s="2">
        <v>2</v>
      </c>
      <c r="D3821" t="str">
        <f t="shared" si="59"/>
        <v>CA-2016-119963_OFF-PA-10001970</v>
      </c>
      <c r="E3821" t="str">
        <f>IF(COUNTIF(data2!$D:$D,D3821)=0,"Missing in Data2","Present")</f>
        <v>Present</v>
      </c>
    </row>
    <row r="3822" spans="1:5" x14ac:dyDescent="0.25">
      <c r="A3822" s="2" t="s">
        <v>3552</v>
      </c>
      <c r="B3822" s="2" t="s">
        <v>389</v>
      </c>
      <c r="C3822" s="2">
        <v>3</v>
      </c>
      <c r="D3822" t="str">
        <f t="shared" si="59"/>
        <v>CA-2016-120005_FUR-FU-10000672</v>
      </c>
      <c r="E3822" t="str">
        <f>IF(COUNTIF(data2!$D:$D,D3822)=0,"Missing in Data2","Present")</f>
        <v>Present</v>
      </c>
    </row>
    <row r="3823" spans="1:5" x14ac:dyDescent="0.25">
      <c r="A3823" s="2" t="s">
        <v>3552</v>
      </c>
      <c r="B3823" s="2" t="s">
        <v>3133</v>
      </c>
      <c r="C3823" s="2">
        <v>3</v>
      </c>
      <c r="D3823" t="str">
        <f t="shared" si="59"/>
        <v>CA-2016-120005_OFF-SU-10004782</v>
      </c>
      <c r="E3823" t="str">
        <f>IF(COUNTIF(data2!$D:$D,D3823)=0,"Missing in Data2","Present")</f>
        <v>Present</v>
      </c>
    </row>
    <row r="3824" spans="1:5" x14ac:dyDescent="0.25">
      <c r="A3824" s="2" t="s">
        <v>3553</v>
      </c>
      <c r="B3824" s="2" t="s">
        <v>667</v>
      </c>
      <c r="C3824" s="2">
        <v>2</v>
      </c>
      <c r="D3824" t="str">
        <f t="shared" si="59"/>
        <v>CA-2016-120180_OFF-SU-10004115</v>
      </c>
      <c r="E3824" t="str">
        <f>IF(COUNTIF(data2!$D:$D,D3824)=0,"Missing in Data2","Present")</f>
        <v>Present</v>
      </c>
    </row>
    <row r="3825" spans="1:5" x14ac:dyDescent="0.25">
      <c r="A3825" s="2" t="s">
        <v>3554</v>
      </c>
      <c r="B3825" s="2" t="s">
        <v>2847</v>
      </c>
      <c r="C3825" s="2">
        <v>3</v>
      </c>
      <c r="D3825" t="str">
        <f t="shared" si="59"/>
        <v>CA-2016-120250_FUR-FU-10003424</v>
      </c>
      <c r="E3825" t="str">
        <f>IF(COUNTIF(data2!$D:$D,D3825)=0,"Missing in Data2","Present")</f>
        <v>Present</v>
      </c>
    </row>
    <row r="3826" spans="1:5" x14ac:dyDescent="0.25">
      <c r="A3826" s="2" t="s">
        <v>3555</v>
      </c>
      <c r="B3826" s="2" t="s">
        <v>886</v>
      </c>
      <c r="C3826" s="2">
        <v>3</v>
      </c>
      <c r="D3826" t="str">
        <f t="shared" si="59"/>
        <v>CA-2016-120257_OFF-AR-10003481</v>
      </c>
      <c r="E3826" t="str">
        <f>IF(COUNTIF(data2!$D:$D,D3826)=0,"Missing in Data2","Present")</f>
        <v>Missing in Data2</v>
      </c>
    </row>
    <row r="3827" spans="1:5" x14ac:dyDescent="0.25">
      <c r="A3827" s="2" t="s">
        <v>3556</v>
      </c>
      <c r="B3827" s="2" t="s">
        <v>294</v>
      </c>
      <c r="C3827" s="2">
        <v>2</v>
      </c>
      <c r="D3827" t="str">
        <f t="shared" si="59"/>
        <v>CA-2016-120355_FUR-CH-10001394</v>
      </c>
      <c r="E3827" t="str">
        <f>IF(COUNTIF(data2!$D:$D,D3827)=0,"Missing in Data2","Present")</f>
        <v>Present</v>
      </c>
    </row>
    <row r="3828" spans="1:5" x14ac:dyDescent="0.25">
      <c r="A3828" s="2" t="s">
        <v>3556</v>
      </c>
      <c r="B3828" s="2" t="s">
        <v>3539</v>
      </c>
      <c r="C3828" s="2">
        <v>3</v>
      </c>
      <c r="D3828" t="str">
        <f t="shared" si="59"/>
        <v>CA-2016-120355_FUR-FU-10004053</v>
      </c>
      <c r="E3828" t="str">
        <f>IF(COUNTIF(data2!$D:$D,D3828)=0,"Missing in Data2","Present")</f>
        <v>Present</v>
      </c>
    </row>
    <row r="3829" spans="1:5" x14ac:dyDescent="0.25">
      <c r="A3829" s="2" t="s">
        <v>3557</v>
      </c>
      <c r="B3829" s="2" t="s">
        <v>3558</v>
      </c>
      <c r="C3829" s="2">
        <v>5</v>
      </c>
      <c r="D3829" t="str">
        <f t="shared" si="59"/>
        <v>CA-2016-120369_FUR-FU-10003806</v>
      </c>
      <c r="E3829" t="str">
        <f>IF(COUNTIF(data2!$D:$D,D3829)=0,"Missing in Data2","Present")</f>
        <v>Present</v>
      </c>
    </row>
    <row r="3830" spans="1:5" x14ac:dyDescent="0.25">
      <c r="A3830" s="2" t="s">
        <v>3559</v>
      </c>
      <c r="B3830" s="2" t="s">
        <v>297</v>
      </c>
      <c r="C3830" s="2">
        <v>3</v>
      </c>
      <c r="D3830" t="str">
        <f t="shared" si="59"/>
        <v>CA-2016-120530_FUR-CH-10000454</v>
      </c>
      <c r="E3830" t="str">
        <f>IF(COUNTIF(data2!$D:$D,D3830)=0,"Missing in Data2","Present")</f>
        <v>Present</v>
      </c>
    </row>
    <row r="3831" spans="1:5" x14ac:dyDescent="0.25">
      <c r="A3831" s="2" t="s">
        <v>3560</v>
      </c>
      <c r="B3831" s="2" t="s">
        <v>1737</v>
      </c>
      <c r="C3831" s="2">
        <v>5</v>
      </c>
      <c r="D3831" t="str">
        <f t="shared" si="59"/>
        <v>CA-2016-120558_OFF-PA-10003441</v>
      </c>
      <c r="E3831" t="str">
        <f>IF(COUNTIF(data2!$D:$D,D3831)=0,"Missing in Data2","Present")</f>
        <v>Present</v>
      </c>
    </row>
    <row r="3832" spans="1:5" x14ac:dyDescent="0.25">
      <c r="A3832" s="2" t="s">
        <v>3561</v>
      </c>
      <c r="B3832" s="2" t="s">
        <v>2193</v>
      </c>
      <c r="C3832" s="2">
        <v>9</v>
      </c>
      <c r="D3832" t="str">
        <f t="shared" si="59"/>
        <v>CA-2016-120796_OFF-BI-10004330</v>
      </c>
      <c r="E3832" t="str">
        <f>IF(COUNTIF(data2!$D:$D,D3832)=0,"Missing in Data2","Present")</f>
        <v>Present</v>
      </c>
    </row>
    <row r="3833" spans="1:5" x14ac:dyDescent="0.25">
      <c r="A3833" s="2" t="s">
        <v>3562</v>
      </c>
      <c r="B3833" s="2" t="s">
        <v>2802</v>
      </c>
      <c r="C3833" s="2">
        <v>5</v>
      </c>
      <c r="D3833" t="str">
        <f t="shared" si="59"/>
        <v>CA-2016-120803_TEC-AC-10004469</v>
      </c>
      <c r="E3833" t="str">
        <f>IF(COUNTIF(data2!$D:$D,D3833)=0,"Missing in Data2","Present")</f>
        <v>Present</v>
      </c>
    </row>
    <row r="3834" spans="1:5" x14ac:dyDescent="0.25">
      <c r="A3834" s="2" t="s">
        <v>3563</v>
      </c>
      <c r="B3834" s="2" t="s">
        <v>1578</v>
      </c>
      <c r="C3834" s="2">
        <v>2</v>
      </c>
      <c r="D3834" t="str">
        <f t="shared" si="59"/>
        <v>CA-2016-120824_FUR-CH-10000229</v>
      </c>
      <c r="E3834" t="str">
        <f>IF(COUNTIF(data2!$D:$D,D3834)=0,"Missing in Data2","Present")</f>
        <v>Present</v>
      </c>
    </row>
    <row r="3835" spans="1:5" x14ac:dyDescent="0.25">
      <c r="A3835" s="2" t="s">
        <v>3563</v>
      </c>
      <c r="B3835" s="2" t="s">
        <v>1071</v>
      </c>
      <c r="C3835" s="2">
        <v>2</v>
      </c>
      <c r="D3835" t="str">
        <f t="shared" si="59"/>
        <v>CA-2016-120824_FUR-FU-10001424</v>
      </c>
      <c r="E3835" t="str">
        <f>IF(COUNTIF(data2!$D:$D,D3835)=0,"Missing in Data2","Present")</f>
        <v>Present</v>
      </c>
    </row>
    <row r="3836" spans="1:5" x14ac:dyDescent="0.25">
      <c r="A3836" s="2" t="s">
        <v>3563</v>
      </c>
      <c r="B3836" s="2" t="s">
        <v>3173</v>
      </c>
      <c r="C3836" s="2">
        <v>4</v>
      </c>
      <c r="D3836" t="str">
        <f t="shared" si="59"/>
        <v>CA-2016-120824_OFF-AP-10001242</v>
      </c>
      <c r="E3836" t="str">
        <f>IF(COUNTIF(data2!$D:$D,D3836)=0,"Missing in Data2","Present")</f>
        <v>Present</v>
      </c>
    </row>
    <row r="3837" spans="1:5" x14ac:dyDescent="0.25">
      <c r="A3837" s="2" t="s">
        <v>3563</v>
      </c>
      <c r="B3837" s="2" t="s">
        <v>719</v>
      </c>
      <c r="C3837" s="2">
        <v>8</v>
      </c>
      <c r="D3837" t="str">
        <f t="shared" si="59"/>
        <v>CA-2016-120824_OFF-AR-10003469</v>
      </c>
      <c r="E3837" t="str">
        <f>IF(COUNTIF(data2!$D:$D,D3837)=0,"Missing in Data2","Present")</f>
        <v>Present</v>
      </c>
    </row>
    <row r="3838" spans="1:5" x14ac:dyDescent="0.25">
      <c r="A3838" s="2" t="s">
        <v>3563</v>
      </c>
      <c r="B3838" s="2" t="s">
        <v>1369</v>
      </c>
      <c r="C3838" s="2">
        <v>2</v>
      </c>
      <c r="D3838" t="str">
        <f t="shared" si="59"/>
        <v>CA-2016-120824_OFF-BI-10001525</v>
      </c>
      <c r="E3838" t="str">
        <f>IF(COUNTIF(data2!$D:$D,D3838)=0,"Missing in Data2","Present")</f>
        <v>Present</v>
      </c>
    </row>
    <row r="3839" spans="1:5" x14ac:dyDescent="0.25">
      <c r="A3839" s="2" t="s">
        <v>3563</v>
      </c>
      <c r="B3839" s="2" t="s">
        <v>3461</v>
      </c>
      <c r="C3839" s="2">
        <v>3</v>
      </c>
      <c r="D3839" t="str">
        <f t="shared" si="59"/>
        <v>CA-2016-120824_OFF-PA-10000232</v>
      </c>
      <c r="E3839" t="str">
        <f>IF(COUNTIF(data2!$D:$D,D3839)=0,"Missing in Data2","Present")</f>
        <v>Present</v>
      </c>
    </row>
    <row r="3840" spans="1:5" x14ac:dyDescent="0.25">
      <c r="A3840" s="2" t="s">
        <v>3564</v>
      </c>
      <c r="B3840" s="2" t="s">
        <v>1155</v>
      </c>
      <c r="C3840" s="2">
        <v>2</v>
      </c>
      <c r="D3840" t="str">
        <f t="shared" si="59"/>
        <v>CA-2016-120859_OFF-EN-10001335</v>
      </c>
      <c r="E3840" t="str">
        <f>IF(COUNTIF(data2!$D:$D,D3840)=0,"Missing in Data2","Present")</f>
        <v>Present</v>
      </c>
    </row>
    <row r="3841" spans="1:5" x14ac:dyDescent="0.25">
      <c r="A3841" s="2" t="s">
        <v>3565</v>
      </c>
      <c r="B3841" s="2" t="s">
        <v>233</v>
      </c>
      <c r="C3841" s="2">
        <v>1</v>
      </c>
      <c r="D3841" t="str">
        <f t="shared" si="59"/>
        <v>CA-2016-120873_FUR-CH-10000847</v>
      </c>
      <c r="E3841" t="str">
        <f>IF(COUNTIF(data2!$D:$D,D3841)=0,"Missing in Data2","Present")</f>
        <v>Present</v>
      </c>
    </row>
    <row r="3842" spans="1:5" x14ac:dyDescent="0.25">
      <c r="A3842" s="2" t="s">
        <v>3566</v>
      </c>
      <c r="B3842" s="2" t="s">
        <v>3567</v>
      </c>
      <c r="C3842" s="2">
        <v>3</v>
      </c>
      <c r="D3842" t="str">
        <f t="shared" si="59"/>
        <v>CA-2016-121020_TEC-PH-10001061</v>
      </c>
      <c r="E3842" t="str">
        <f>IF(COUNTIF(data2!$D:$D,D3842)=0,"Missing in Data2","Present")</f>
        <v>Present</v>
      </c>
    </row>
    <row r="3843" spans="1:5" x14ac:dyDescent="0.25">
      <c r="A3843" s="2" t="s">
        <v>3568</v>
      </c>
      <c r="B3843" s="2" t="s">
        <v>685</v>
      </c>
      <c r="C3843" s="2">
        <v>4</v>
      </c>
      <c r="D3843" t="str">
        <f t="shared" ref="D3843:D3906" si="60">A3843&amp;"_"&amp;B3843</f>
        <v>CA-2016-121034_OFF-FA-10000585</v>
      </c>
      <c r="E3843" t="str">
        <f>IF(COUNTIF(data2!$D:$D,D3843)=0,"Missing in Data2","Present")</f>
        <v>Present</v>
      </c>
    </row>
    <row r="3844" spans="1:5" x14ac:dyDescent="0.25">
      <c r="A3844" s="2" t="s">
        <v>3568</v>
      </c>
      <c r="B3844" s="2" t="s">
        <v>3435</v>
      </c>
      <c r="C3844" s="2">
        <v>3</v>
      </c>
      <c r="D3844" t="str">
        <f t="shared" si="60"/>
        <v>CA-2016-121034_OFF-PA-10001994</v>
      </c>
      <c r="E3844" t="str">
        <f>IF(COUNTIF(data2!$D:$D,D3844)=0,"Missing in Data2","Present")</f>
        <v>Present</v>
      </c>
    </row>
    <row r="3845" spans="1:5" x14ac:dyDescent="0.25">
      <c r="A3845" s="2" t="s">
        <v>3569</v>
      </c>
      <c r="B3845" s="2" t="s">
        <v>1073</v>
      </c>
      <c r="C3845" s="2">
        <v>2</v>
      </c>
      <c r="D3845" t="str">
        <f t="shared" si="60"/>
        <v>CA-2016-121223_OFF-PA-10001204</v>
      </c>
      <c r="E3845" t="str">
        <f>IF(COUNTIF(data2!$D:$D,D3845)=0,"Missing in Data2","Present")</f>
        <v>Present</v>
      </c>
    </row>
    <row r="3846" spans="1:5" x14ac:dyDescent="0.25">
      <c r="A3846" s="2" t="s">
        <v>3569</v>
      </c>
      <c r="B3846" s="2" t="s">
        <v>142</v>
      </c>
      <c r="C3846" s="2">
        <v>9</v>
      </c>
      <c r="D3846" t="str">
        <f t="shared" si="60"/>
        <v>CA-2016-121223_TEC-PH-10004667</v>
      </c>
      <c r="E3846" t="str">
        <f>IF(COUNTIF(data2!$D:$D,D3846)=0,"Missing in Data2","Present")</f>
        <v>Present</v>
      </c>
    </row>
    <row r="3847" spans="1:5" x14ac:dyDescent="0.25">
      <c r="A3847" s="2" t="s">
        <v>3570</v>
      </c>
      <c r="B3847" s="2" t="s">
        <v>2213</v>
      </c>
      <c r="C3847" s="2">
        <v>3</v>
      </c>
      <c r="D3847" t="str">
        <f t="shared" si="60"/>
        <v>CA-2016-121370_FUR-CH-10000785</v>
      </c>
      <c r="E3847" t="str">
        <f>IF(COUNTIF(data2!$D:$D,D3847)=0,"Missing in Data2","Present")</f>
        <v>Present</v>
      </c>
    </row>
    <row r="3848" spans="1:5" x14ac:dyDescent="0.25">
      <c r="A3848" s="2" t="s">
        <v>3570</v>
      </c>
      <c r="B3848" s="2" t="s">
        <v>1286</v>
      </c>
      <c r="C3848" s="2">
        <v>3</v>
      </c>
      <c r="D3848" t="str">
        <f t="shared" si="60"/>
        <v>CA-2016-121370_FUR-FU-10002813</v>
      </c>
      <c r="E3848" t="str">
        <f>IF(COUNTIF(data2!$D:$D,D3848)=0,"Missing in Data2","Present")</f>
        <v>Present</v>
      </c>
    </row>
    <row r="3849" spans="1:5" x14ac:dyDescent="0.25">
      <c r="A3849" s="2" t="s">
        <v>3570</v>
      </c>
      <c r="B3849" s="2" t="s">
        <v>986</v>
      </c>
      <c r="C3849" s="2">
        <v>4</v>
      </c>
      <c r="D3849" t="str">
        <f t="shared" si="60"/>
        <v>CA-2016-121370_TEC-CO-10004115</v>
      </c>
      <c r="E3849" t="str">
        <f>IF(COUNTIF(data2!$D:$D,D3849)=0,"Missing in Data2","Present")</f>
        <v>Present</v>
      </c>
    </row>
    <row r="3850" spans="1:5" x14ac:dyDescent="0.25">
      <c r="A3850" s="2" t="s">
        <v>3571</v>
      </c>
      <c r="B3850" s="2" t="s">
        <v>2598</v>
      </c>
      <c r="C3850" s="2">
        <v>1</v>
      </c>
      <c r="D3850" t="str">
        <f t="shared" si="60"/>
        <v>CA-2016-121377_TEC-PH-10001817</v>
      </c>
      <c r="E3850" t="str">
        <f>IF(COUNTIF(data2!$D:$D,D3850)=0,"Missing in Data2","Present")</f>
        <v>Present</v>
      </c>
    </row>
    <row r="3851" spans="1:5" x14ac:dyDescent="0.25">
      <c r="A3851" s="2" t="s">
        <v>3572</v>
      </c>
      <c r="B3851" s="2" t="s">
        <v>979</v>
      </c>
      <c r="C3851" s="2">
        <v>7</v>
      </c>
      <c r="D3851" t="str">
        <f t="shared" si="60"/>
        <v>CA-2016-121447_FUR-FU-10001861</v>
      </c>
      <c r="E3851" t="str">
        <f>IF(COUNTIF(data2!$D:$D,D3851)=0,"Missing in Data2","Present")</f>
        <v>Present</v>
      </c>
    </row>
    <row r="3852" spans="1:5" x14ac:dyDescent="0.25">
      <c r="A3852" s="2" t="s">
        <v>3573</v>
      </c>
      <c r="B3852" s="2" t="s">
        <v>2178</v>
      </c>
      <c r="C3852" s="2">
        <v>7</v>
      </c>
      <c r="D3852" t="str">
        <f t="shared" si="60"/>
        <v>CA-2016-121601_OFF-EN-10003862</v>
      </c>
      <c r="E3852" t="str">
        <f>IF(COUNTIF(data2!$D:$D,D3852)=0,"Missing in Data2","Present")</f>
        <v>Present</v>
      </c>
    </row>
    <row r="3853" spans="1:5" x14ac:dyDescent="0.25">
      <c r="A3853" s="2" t="s">
        <v>3574</v>
      </c>
      <c r="B3853" s="2" t="s">
        <v>14</v>
      </c>
      <c r="C3853" s="2">
        <v>3</v>
      </c>
      <c r="D3853" t="str">
        <f t="shared" si="60"/>
        <v>CA-2016-121671_OFF-PA-10001471</v>
      </c>
      <c r="E3853" t="str">
        <f>IF(COUNTIF(data2!$D:$D,D3853)=0,"Missing in Data2","Present")</f>
        <v>Present</v>
      </c>
    </row>
    <row r="3854" spans="1:5" x14ac:dyDescent="0.25">
      <c r="A3854" s="2" t="s">
        <v>3574</v>
      </c>
      <c r="B3854" s="2" t="s">
        <v>3399</v>
      </c>
      <c r="C3854" s="2">
        <v>1</v>
      </c>
      <c r="D3854" t="str">
        <f t="shared" si="60"/>
        <v>CA-2016-121671_OFF-PA-10001892</v>
      </c>
      <c r="E3854" t="str">
        <f>IF(COUNTIF(data2!$D:$D,D3854)=0,"Missing in Data2","Present")</f>
        <v>Present</v>
      </c>
    </row>
    <row r="3855" spans="1:5" x14ac:dyDescent="0.25">
      <c r="A3855" s="2" t="s">
        <v>3574</v>
      </c>
      <c r="B3855" s="2" t="s">
        <v>3575</v>
      </c>
      <c r="C3855" s="2">
        <v>8</v>
      </c>
      <c r="D3855" t="str">
        <f t="shared" si="60"/>
        <v>CA-2016-121671_OFF-PA-10001934</v>
      </c>
      <c r="E3855" t="str">
        <f>IF(COUNTIF(data2!$D:$D,D3855)=0,"Missing in Data2","Present")</f>
        <v>Present</v>
      </c>
    </row>
    <row r="3856" spans="1:5" x14ac:dyDescent="0.25">
      <c r="A3856" s="2" t="s">
        <v>3574</v>
      </c>
      <c r="B3856" s="2" t="s">
        <v>835</v>
      </c>
      <c r="C3856" s="2">
        <v>1</v>
      </c>
      <c r="D3856" t="str">
        <f t="shared" si="60"/>
        <v>CA-2016-121671_OFF-ST-10000078</v>
      </c>
      <c r="E3856" t="str">
        <f>IF(COUNTIF(data2!$D:$D,D3856)=0,"Missing in Data2","Present")</f>
        <v>Present</v>
      </c>
    </row>
    <row r="3857" spans="1:5" x14ac:dyDescent="0.25">
      <c r="A3857" s="2" t="s">
        <v>3574</v>
      </c>
      <c r="B3857" s="2" t="s">
        <v>715</v>
      </c>
      <c r="C3857" s="2">
        <v>3</v>
      </c>
      <c r="D3857" t="str">
        <f t="shared" si="60"/>
        <v>CA-2016-121671_OFF-ST-10002344</v>
      </c>
      <c r="E3857" t="str">
        <f>IF(COUNTIF(data2!$D:$D,D3857)=0,"Missing in Data2","Present")</f>
        <v>Present</v>
      </c>
    </row>
    <row r="3858" spans="1:5" x14ac:dyDescent="0.25">
      <c r="A3858" s="2" t="s">
        <v>3576</v>
      </c>
      <c r="B3858" s="2" t="s">
        <v>2808</v>
      </c>
      <c r="C3858" s="2">
        <v>2</v>
      </c>
      <c r="D3858" t="str">
        <f t="shared" si="60"/>
        <v>CA-2016-121748_TEC-AC-10002637</v>
      </c>
      <c r="E3858" t="str">
        <f>IF(COUNTIF(data2!$D:$D,D3858)=0,"Missing in Data2","Present")</f>
        <v>Present</v>
      </c>
    </row>
    <row r="3859" spans="1:5" x14ac:dyDescent="0.25">
      <c r="A3859" s="2" t="s">
        <v>3576</v>
      </c>
      <c r="B3859" s="2" t="s">
        <v>2389</v>
      </c>
      <c r="C3859" s="2">
        <v>4</v>
      </c>
      <c r="D3859" t="str">
        <f t="shared" si="60"/>
        <v>CA-2016-121748_TEC-AC-10003063</v>
      </c>
      <c r="E3859" t="str">
        <f>IF(COUNTIF(data2!$D:$D,D3859)=0,"Missing in Data2","Present")</f>
        <v>Present</v>
      </c>
    </row>
    <row r="3860" spans="1:5" x14ac:dyDescent="0.25">
      <c r="A3860" s="2" t="s">
        <v>3577</v>
      </c>
      <c r="B3860" s="2" t="s">
        <v>3393</v>
      </c>
      <c r="C3860" s="2">
        <v>2</v>
      </c>
      <c r="D3860" t="str">
        <f t="shared" si="60"/>
        <v>CA-2016-121755_OFF-BI-10001634</v>
      </c>
      <c r="E3860" t="str">
        <f>IF(COUNTIF(data2!$D:$D,D3860)=0,"Missing in Data2","Present")</f>
        <v>Present</v>
      </c>
    </row>
    <row r="3861" spans="1:5" x14ac:dyDescent="0.25">
      <c r="A3861" s="2" t="s">
        <v>3578</v>
      </c>
      <c r="B3861" s="2" t="s">
        <v>1822</v>
      </c>
      <c r="C3861" s="2">
        <v>7</v>
      </c>
      <c r="D3861" t="str">
        <f t="shared" si="60"/>
        <v>CA-2016-121958_OFF-SU-10000381</v>
      </c>
      <c r="E3861" t="str">
        <f>IF(COUNTIF(data2!$D:$D,D3861)=0,"Missing in Data2","Present")</f>
        <v>Present</v>
      </c>
    </row>
    <row r="3862" spans="1:5" x14ac:dyDescent="0.25">
      <c r="A3862" s="2" t="s">
        <v>3579</v>
      </c>
      <c r="B3862" s="2" t="s">
        <v>114</v>
      </c>
      <c r="C3862" s="2">
        <v>8</v>
      </c>
      <c r="D3862" t="str">
        <f t="shared" si="60"/>
        <v>CA-2016-121993_OFF-LA-10003720</v>
      </c>
      <c r="E3862" t="str">
        <f>IF(COUNTIF(data2!$D:$D,D3862)=0,"Missing in Data2","Present")</f>
        <v>Present</v>
      </c>
    </row>
    <row r="3863" spans="1:5" x14ac:dyDescent="0.25">
      <c r="A3863" s="2" t="s">
        <v>3580</v>
      </c>
      <c r="B3863" s="2" t="s">
        <v>389</v>
      </c>
      <c r="C3863" s="2">
        <v>6</v>
      </c>
      <c r="D3863" t="str">
        <f t="shared" si="60"/>
        <v>CA-2016-122017_FUR-FU-10000672</v>
      </c>
      <c r="E3863" t="str">
        <f>IF(COUNTIF(data2!$D:$D,D3863)=0,"Missing in Data2","Present")</f>
        <v>Present</v>
      </c>
    </row>
    <row r="3864" spans="1:5" x14ac:dyDescent="0.25">
      <c r="A3864" s="2" t="s">
        <v>3580</v>
      </c>
      <c r="B3864" s="2" t="s">
        <v>650</v>
      </c>
      <c r="C3864" s="2">
        <v>2</v>
      </c>
      <c r="D3864" t="str">
        <f t="shared" si="60"/>
        <v>CA-2016-122017_OFF-AP-10001293</v>
      </c>
      <c r="E3864" t="str">
        <f>IF(COUNTIF(data2!$D:$D,D3864)=0,"Missing in Data2","Present")</f>
        <v>Present</v>
      </c>
    </row>
    <row r="3865" spans="1:5" x14ac:dyDescent="0.25">
      <c r="A3865" s="2" t="s">
        <v>3581</v>
      </c>
      <c r="B3865" s="2" t="s">
        <v>1502</v>
      </c>
      <c r="C3865" s="2">
        <v>1</v>
      </c>
      <c r="D3865" t="str">
        <f t="shared" si="60"/>
        <v>CA-2016-122063_FUR-CH-10004754</v>
      </c>
      <c r="E3865" t="str">
        <f>IF(COUNTIF(data2!$D:$D,D3865)=0,"Missing in Data2","Present")</f>
        <v>Missing in Data2</v>
      </c>
    </row>
    <row r="3866" spans="1:5" x14ac:dyDescent="0.25">
      <c r="A3866" s="2" t="s">
        <v>3581</v>
      </c>
      <c r="B3866" s="2" t="s">
        <v>939</v>
      </c>
      <c r="C3866" s="2">
        <v>2</v>
      </c>
      <c r="D3866" t="str">
        <f t="shared" si="60"/>
        <v>CA-2016-122063_FUR-TA-10004575</v>
      </c>
      <c r="E3866" t="str">
        <f>IF(COUNTIF(data2!$D:$D,D3866)=0,"Missing in Data2","Present")</f>
        <v>Present</v>
      </c>
    </row>
    <row r="3867" spans="1:5" x14ac:dyDescent="0.25">
      <c r="A3867" s="2" t="s">
        <v>3582</v>
      </c>
      <c r="B3867" s="2" t="s">
        <v>116</v>
      </c>
      <c r="C3867" s="2">
        <v>4</v>
      </c>
      <c r="D3867" t="str">
        <f t="shared" si="60"/>
        <v>CA-2016-122133_OFF-ST-10002574</v>
      </c>
      <c r="E3867" t="str">
        <f>IF(COUNTIF(data2!$D:$D,D3867)=0,"Missing in Data2","Present")</f>
        <v>Present</v>
      </c>
    </row>
    <row r="3868" spans="1:5" x14ac:dyDescent="0.25">
      <c r="A3868" s="2" t="s">
        <v>3583</v>
      </c>
      <c r="B3868" s="2" t="s">
        <v>3584</v>
      </c>
      <c r="C3868" s="2">
        <v>5</v>
      </c>
      <c r="D3868" t="str">
        <f t="shared" si="60"/>
        <v>CA-2016-122322_OFF-SU-10000952</v>
      </c>
      <c r="E3868" t="str">
        <f>IF(COUNTIF(data2!$D:$D,D3868)=0,"Missing in Data2","Present")</f>
        <v>Present</v>
      </c>
    </row>
    <row r="3869" spans="1:5" x14ac:dyDescent="0.25">
      <c r="A3869" s="2" t="s">
        <v>3585</v>
      </c>
      <c r="B3869" s="2" t="s">
        <v>100</v>
      </c>
      <c r="C3869" s="2">
        <v>2</v>
      </c>
      <c r="D3869" t="str">
        <f t="shared" si="60"/>
        <v>CA-2016-122392_FUR-FU-10002456</v>
      </c>
      <c r="E3869" t="str">
        <f>IF(COUNTIF(data2!$D:$D,D3869)=0,"Missing in Data2","Present")</f>
        <v>Present</v>
      </c>
    </row>
    <row r="3870" spans="1:5" x14ac:dyDescent="0.25">
      <c r="A3870" s="2" t="s">
        <v>3585</v>
      </c>
      <c r="B3870" s="2" t="s">
        <v>3586</v>
      </c>
      <c r="C3870" s="2">
        <v>2</v>
      </c>
      <c r="D3870" t="str">
        <f t="shared" si="60"/>
        <v>CA-2016-122392_OFF-AR-10002221</v>
      </c>
      <c r="E3870" t="str">
        <f>IF(COUNTIF(data2!$D:$D,D3870)=0,"Missing in Data2","Present")</f>
        <v>Present</v>
      </c>
    </row>
    <row r="3871" spans="1:5" x14ac:dyDescent="0.25">
      <c r="A3871" s="2" t="s">
        <v>3587</v>
      </c>
      <c r="B3871" s="2" t="s">
        <v>1207</v>
      </c>
      <c r="C3871" s="2">
        <v>3</v>
      </c>
      <c r="D3871" t="str">
        <f t="shared" si="60"/>
        <v>CA-2016-122448_FUR-CH-10002774</v>
      </c>
      <c r="E3871" t="str">
        <f>IF(COUNTIF(data2!$D:$D,D3871)=0,"Missing in Data2","Present")</f>
        <v>Present</v>
      </c>
    </row>
    <row r="3872" spans="1:5" x14ac:dyDescent="0.25">
      <c r="A3872" s="2" t="s">
        <v>3588</v>
      </c>
      <c r="B3872" s="2" t="s">
        <v>3125</v>
      </c>
      <c r="C3872" s="2">
        <v>4</v>
      </c>
      <c r="D3872" t="str">
        <f t="shared" si="60"/>
        <v>CA-2016-122511_FUR-FU-10001037</v>
      </c>
      <c r="E3872" t="str">
        <f>IF(COUNTIF(data2!$D:$D,D3872)=0,"Missing in Data2","Present")</f>
        <v>Missing in Data2</v>
      </c>
    </row>
    <row r="3873" spans="1:5" x14ac:dyDescent="0.25">
      <c r="A3873" s="2" t="s">
        <v>3589</v>
      </c>
      <c r="B3873" s="2" t="s">
        <v>215</v>
      </c>
      <c r="C3873" s="2">
        <v>4</v>
      </c>
      <c r="D3873" t="str">
        <f t="shared" si="60"/>
        <v>CA-2016-122518_OFF-LA-10001641</v>
      </c>
      <c r="E3873" t="str">
        <f>IF(COUNTIF(data2!$D:$D,D3873)=0,"Missing in Data2","Present")</f>
        <v>Missing in Data2</v>
      </c>
    </row>
    <row r="3874" spans="1:5" x14ac:dyDescent="0.25">
      <c r="A3874" s="2" t="s">
        <v>3590</v>
      </c>
      <c r="B3874" s="2" t="s">
        <v>3591</v>
      </c>
      <c r="C3874" s="2">
        <v>7</v>
      </c>
      <c r="D3874" t="str">
        <f t="shared" si="60"/>
        <v>CA-2016-122581_FUR-CH-10002961</v>
      </c>
      <c r="E3874" t="str">
        <f>IF(COUNTIF(data2!$D:$D,D3874)=0,"Missing in Data2","Present")</f>
        <v>Present</v>
      </c>
    </row>
    <row r="3875" spans="1:5" x14ac:dyDescent="0.25">
      <c r="A3875" s="2" t="s">
        <v>3592</v>
      </c>
      <c r="B3875" s="2" t="s">
        <v>2759</v>
      </c>
      <c r="C3875" s="2">
        <v>3</v>
      </c>
      <c r="D3875" t="str">
        <f t="shared" si="60"/>
        <v>CA-2016-122728_OFF-PA-10004040</v>
      </c>
      <c r="E3875" t="str">
        <f>IF(COUNTIF(data2!$D:$D,D3875)=0,"Missing in Data2","Present")</f>
        <v>Present</v>
      </c>
    </row>
    <row r="3876" spans="1:5" x14ac:dyDescent="0.25">
      <c r="A3876" s="2" t="s">
        <v>3592</v>
      </c>
      <c r="B3876" s="2" t="s">
        <v>2149</v>
      </c>
      <c r="C3876" s="2">
        <v>3</v>
      </c>
      <c r="D3876" t="str">
        <f t="shared" si="60"/>
        <v>CA-2016-122728_OFF-ST-10000604</v>
      </c>
      <c r="E3876" t="str">
        <f>IF(COUNTIF(data2!$D:$D,D3876)=0,"Missing in Data2","Present")</f>
        <v>Present</v>
      </c>
    </row>
    <row r="3877" spans="1:5" x14ac:dyDescent="0.25">
      <c r="A3877" s="2" t="s">
        <v>3593</v>
      </c>
      <c r="B3877" s="2" t="s">
        <v>561</v>
      </c>
      <c r="C3877" s="2">
        <v>5</v>
      </c>
      <c r="D3877" t="str">
        <f t="shared" si="60"/>
        <v>CA-2016-122903_FUR-CH-10002024</v>
      </c>
      <c r="E3877" t="str">
        <f>IF(COUNTIF(data2!$D:$D,D3877)=0,"Missing in Data2","Present")</f>
        <v>Present</v>
      </c>
    </row>
    <row r="3878" spans="1:5" x14ac:dyDescent="0.25">
      <c r="A3878" s="2" t="s">
        <v>3593</v>
      </c>
      <c r="B3878" s="2" t="s">
        <v>2100</v>
      </c>
      <c r="C3878" s="2">
        <v>3</v>
      </c>
      <c r="D3878" t="str">
        <f t="shared" si="60"/>
        <v>CA-2016-122903_OFF-PA-10000994</v>
      </c>
      <c r="E3878" t="str">
        <f>IF(COUNTIF(data2!$D:$D,D3878)=0,"Missing in Data2","Present")</f>
        <v>Present</v>
      </c>
    </row>
    <row r="3879" spans="1:5" x14ac:dyDescent="0.25">
      <c r="A3879" s="2" t="s">
        <v>3593</v>
      </c>
      <c r="B3879" s="2" t="s">
        <v>2090</v>
      </c>
      <c r="C3879" s="2">
        <v>3</v>
      </c>
      <c r="D3879" t="str">
        <f t="shared" si="60"/>
        <v>CA-2016-122903_OFF-PA-10001790</v>
      </c>
      <c r="E3879" t="str">
        <f>IF(COUNTIF(data2!$D:$D,D3879)=0,"Missing in Data2","Present")</f>
        <v>Present</v>
      </c>
    </row>
    <row r="3880" spans="1:5" x14ac:dyDescent="0.25">
      <c r="A3880" s="2" t="s">
        <v>3594</v>
      </c>
      <c r="B3880" s="2" t="s">
        <v>3452</v>
      </c>
      <c r="C3880" s="2">
        <v>3</v>
      </c>
      <c r="D3880" t="str">
        <f t="shared" si="60"/>
        <v>CA-2016-123015_OFF-BI-10004967</v>
      </c>
      <c r="E3880" t="str">
        <f>IF(COUNTIF(data2!$D:$D,D3880)=0,"Missing in Data2","Present")</f>
        <v>Present</v>
      </c>
    </row>
    <row r="3881" spans="1:5" x14ac:dyDescent="0.25">
      <c r="A3881" s="2" t="s">
        <v>3595</v>
      </c>
      <c r="B3881" s="2" t="s">
        <v>1433</v>
      </c>
      <c r="C3881" s="2">
        <v>2</v>
      </c>
      <c r="D3881" t="str">
        <f t="shared" si="60"/>
        <v>CA-2016-123050_OFF-ST-10003455</v>
      </c>
      <c r="E3881" t="str">
        <f>IF(COUNTIF(data2!$D:$D,D3881)=0,"Missing in Data2","Present")</f>
        <v>Present</v>
      </c>
    </row>
    <row r="3882" spans="1:5" x14ac:dyDescent="0.25">
      <c r="A3882" s="2" t="s">
        <v>3595</v>
      </c>
      <c r="B3882" s="2" t="s">
        <v>2690</v>
      </c>
      <c r="C3882" s="2">
        <v>3</v>
      </c>
      <c r="D3882" t="str">
        <f t="shared" si="60"/>
        <v>CA-2016-123050_TEC-AC-10001109</v>
      </c>
      <c r="E3882" t="str">
        <f>IF(COUNTIF(data2!$D:$D,D3882)=0,"Missing in Data2","Present")</f>
        <v>Present</v>
      </c>
    </row>
    <row r="3883" spans="1:5" x14ac:dyDescent="0.25">
      <c r="A3883" s="2" t="s">
        <v>3596</v>
      </c>
      <c r="B3883" s="2" t="s">
        <v>2651</v>
      </c>
      <c r="C3883" s="2">
        <v>1</v>
      </c>
      <c r="D3883" t="str">
        <f t="shared" si="60"/>
        <v>CA-2016-123120_FUR-FU-10004748</v>
      </c>
      <c r="E3883" t="str">
        <f>IF(COUNTIF(data2!$D:$D,D3883)=0,"Missing in Data2","Present")</f>
        <v>Present</v>
      </c>
    </row>
    <row r="3884" spans="1:5" x14ac:dyDescent="0.25">
      <c r="A3884" s="2" t="s">
        <v>3596</v>
      </c>
      <c r="B3884" s="2" t="s">
        <v>1843</v>
      </c>
      <c r="C3884" s="2">
        <v>5</v>
      </c>
      <c r="D3884" t="str">
        <f t="shared" si="60"/>
        <v>CA-2016-123120_OFF-BI-10001460</v>
      </c>
      <c r="E3884" t="str">
        <f>IF(COUNTIF(data2!$D:$D,D3884)=0,"Missing in Data2","Present")</f>
        <v>Present</v>
      </c>
    </row>
    <row r="3885" spans="1:5" x14ac:dyDescent="0.25">
      <c r="A3885" s="2" t="s">
        <v>3597</v>
      </c>
      <c r="B3885" s="2" t="s">
        <v>1194</v>
      </c>
      <c r="C3885" s="2">
        <v>3</v>
      </c>
      <c r="D3885" t="str">
        <f t="shared" si="60"/>
        <v>CA-2016-123176_OFF-AR-10004685</v>
      </c>
      <c r="E3885" t="str">
        <f>IF(COUNTIF(data2!$D:$D,D3885)=0,"Missing in Data2","Present")</f>
        <v>Present</v>
      </c>
    </row>
    <row r="3886" spans="1:5" x14ac:dyDescent="0.25">
      <c r="A3886" s="2" t="s">
        <v>3597</v>
      </c>
      <c r="B3886" s="2" t="s">
        <v>887</v>
      </c>
      <c r="C3886" s="2">
        <v>3</v>
      </c>
      <c r="D3886" t="str">
        <f t="shared" si="60"/>
        <v>CA-2016-123176_OFF-PA-10003971</v>
      </c>
      <c r="E3886" t="str">
        <f>IF(COUNTIF(data2!$D:$D,D3886)=0,"Missing in Data2","Present")</f>
        <v>Present</v>
      </c>
    </row>
    <row r="3887" spans="1:5" x14ac:dyDescent="0.25">
      <c r="A3887" s="2" t="s">
        <v>3598</v>
      </c>
      <c r="B3887" s="2" t="s">
        <v>1111</v>
      </c>
      <c r="C3887" s="2">
        <v>2</v>
      </c>
      <c r="D3887" t="str">
        <f t="shared" si="60"/>
        <v>CA-2016-123274_FUR-FU-10004090</v>
      </c>
      <c r="E3887" t="str">
        <f>IF(COUNTIF(data2!$D:$D,D3887)=0,"Missing in Data2","Present")</f>
        <v>Present</v>
      </c>
    </row>
    <row r="3888" spans="1:5" x14ac:dyDescent="0.25">
      <c r="A3888" s="2" t="s">
        <v>3598</v>
      </c>
      <c r="B3888" s="2" t="s">
        <v>299</v>
      </c>
      <c r="C3888" s="2">
        <v>3</v>
      </c>
      <c r="D3888" t="str">
        <f t="shared" si="60"/>
        <v>CA-2016-123274_OFF-ST-10000736</v>
      </c>
      <c r="E3888" t="str">
        <f>IF(COUNTIF(data2!$D:$D,D3888)=0,"Missing in Data2","Present")</f>
        <v>Present</v>
      </c>
    </row>
    <row r="3889" spans="1:5" x14ac:dyDescent="0.25">
      <c r="A3889" s="2" t="s">
        <v>3599</v>
      </c>
      <c r="B3889" s="2" t="s">
        <v>3066</v>
      </c>
      <c r="C3889" s="2">
        <v>2</v>
      </c>
      <c r="D3889" t="str">
        <f t="shared" si="60"/>
        <v>CA-2016-123337_FUR-BO-10001918</v>
      </c>
      <c r="E3889" t="str">
        <f>IF(COUNTIF(data2!$D:$D,D3889)=0,"Missing in Data2","Present")</f>
        <v>Present</v>
      </c>
    </row>
    <row r="3890" spans="1:5" x14ac:dyDescent="0.25">
      <c r="A3890" s="2" t="s">
        <v>3599</v>
      </c>
      <c r="B3890" s="2" t="s">
        <v>3600</v>
      </c>
      <c r="C3890" s="2">
        <v>4</v>
      </c>
      <c r="D3890" t="str">
        <f t="shared" si="60"/>
        <v>CA-2016-123337_OFF-AP-10002287</v>
      </c>
      <c r="E3890" t="str">
        <f>IF(COUNTIF(data2!$D:$D,D3890)=0,"Missing in Data2","Present")</f>
        <v>Present</v>
      </c>
    </row>
    <row r="3891" spans="1:5" x14ac:dyDescent="0.25">
      <c r="A3891" s="2" t="s">
        <v>3601</v>
      </c>
      <c r="B3891" s="2" t="s">
        <v>1992</v>
      </c>
      <c r="C3891" s="2">
        <v>3</v>
      </c>
      <c r="D3891" t="str">
        <f t="shared" si="60"/>
        <v>CA-2016-123358_OFF-AP-10004980</v>
      </c>
      <c r="E3891" t="str">
        <f>IF(COUNTIF(data2!$D:$D,D3891)=0,"Missing in Data2","Present")</f>
        <v>Present</v>
      </c>
    </row>
    <row r="3892" spans="1:5" x14ac:dyDescent="0.25">
      <c r="A3892" s="2" t="s">
        <v>3601</v>
      </c>
      <c r="B3892" s="2" t="s">
        <v>1149</v>
      </c>
      <c r="C3892" s="2">
        <v>4</v>
      </c>
      <c r="D3892" t="str">
        <f t="shared" si="60"/>
        <v>CA-2016-123358_OFF-BI-10000069</v>
      </c>
      <c r="E3892" t="str">
        <f>IF(COUNTIF(data2!$D:$D,D3892)=0,"Missing in Data2","Present")</f>
        <v>Present</v>
      </c>
    </row>
    <row r="3893" spans="1:5" x14ac:dyDescent="0.25">
      <c r="A3893" s="2" t="s">
        <v>3601</v>
      </c>
      <c r="B3893" s="2" t="s">
        <v>962</v>
      </c>
      <c r="C3893" s="2">
        <v>9</v>
      </c>
      <c r="D3893" t="str">
        <f t="shared" si="60"/>
        <v>CA-2016-123358_OFF-ST-10000636</v>
      </c>
      <c r="E3893" t="str">
        <f>IF(COUNTIF(data2!$D:$D,D3893)=0,"Missing in Data2","Present")</f>
        <v>Present</v>
      </c>
    </row>
    <row r="3894" spans="1:5" x14ac:dyDescent="0.25">
      <c r="A3894" s="2" t="s">
        <v>3601</v>
      </c>
      <c r="B3894" s="2" t="s">
        <v>342</v>
      </c>
      <c r="C3894" s="2">
        <v>3</v>
      </c>
      <c r="D3894" t="str">
        <f t="shared" si="60"/>
        <v>CA-2016-123358_OFF-ST-10001932</v>
      </c>
      <c r="E3894" t="str">
        <f>IF(COUNTIF(data2!$D:$D,D3894)=0,"Missing in Data2","Present")</f>
        <v>Present</v>
      </c>
    </row>
    <row r="3895" spans="1:5" x14ac:dyDescent="0.25">
      <c r="A3895" s="2" t="s">
        <v>3602</v>
      </c>
      <c r="B3895" s="2" t="s">
        <v>1948</v>
      </c>
      <c r="C3895" s="2">
        <v>2</v>
      </c>
      <c r="D3895" t="str">
        <f t="shared" si="60"/>
        <v>CA-2016-123414_OFF-SU-10002573</v>
      </c>
      <c r="E3895" t="str">
        <f>IF(COUNTIF(data2!$D:$D,D3895)=0,"Missing in Data2","Present")</f>
        <v>Present</v>
      </c>
    </row>
    <row r="3896" spans="1:5" x14ac:dyDescent="0.25">
      <c r="A3896" s="2" t="s">
        <v>3603</v>
      </c>
      <c r="B3896" s="2" t="s">
        <v>427</v>
      </c>
      <c r="C3896" s="2">
        <v>2</v>
      </c>
      <c r="D3896" t="str">
        <f t="shared" si="60"/>
        <v>CA-2016-123512_FUR-BO-10004218</v>
      </c>
      <c r="E3896" t="str">
        <f>IF(COUNTIF(data2!$D:$D,D3896)=0,"Missing in Data2","Present")</f>
        <v>Present</v>
      </c>
    </row>
    <row r="3897" spans="1:5" x14ac:dyDescent="0.25">
      <c r="A3897" s="2" t="s">
        <v>3603</v>
      </c>
      <c r="B3897" s="2" t="s">
        <v>3604</v>
      </c>
      <c r="C3897" s="2">
        <v>6</v>
      </c>
      <c r="D3897" t="str">
        <f t="shared" si="60"/>
        <v>CA-2016-123512_OFF-LA-10000081</v>
      </c>
      <c r="E3897" t="str">
        <f>IF(COUNTIF(data2!$D:$D,D3897)=0,"Missing in Data2","Present")</f>
        <v>Present</v>
      </c>
    </row>
    <row r="3898" spans="1:5" x14ac:dyDescent="0.25">
      <c r="A3898" s="2" t="s">
        <v>3603</v>
      </c>
      <c r="B3898" s="2" t="s">
        <v>2880</v>
      </c>
      <c r="C3898" s="2">
        <v>4</v>
      </c>
      <c r="D3898" t="str">
        <f t="shared" si="60"/>
        <v>CA-2016-123512_OFF-PA-10001497</v>
      </c>
      <c r="E3898" t="str">
        <f>IF(COUNTIF(data2!$D:$D,D3898)=0,"Missing in Data2","Present")</f>
        <v>Present</v>
      </c>
    </row>
    <row r="3899" spans="1:5" x14ac:dyDescent="0.25">
      <c r="A3899" s="2" t="s">
        <v>3605</v>
      </c>
      <c r="B3899" s="2" t="s">
        <v>47</v>
      </c>
      <c r="C3899" s="2">
        <v>5</v>
      </c>
      <c r="D3899" t="str">
        <f t="shared" si="60"/>
        <v>CA-2016-123526_OFF-PA-10002986</v>
      </c>
      <c r="E3899" t="str">
        <f>IF(COUNTIF(data2!$D:$D,D3899)=0,"Missing in Data2","Present")</f>
        <v>Present</v>
      </c>
    </row>
    <row r="3900" spans="1:5" x14ac:dyDescent="0.25">
      <c r="A3900" s="2" t="s">
        <v>3606</v>
      </c>
      <c r="B3900" s="2" t="s">
        <v>3607</v>
      </c>
      <c r="C3900" s="2">
        <v>5</v>
      </c>
      <c r="D3900" t="str">
        <f t="shared" si="60"/>
        <v>CA-2016-123533_FUR-BO-10001619</v>
      </c>
      <c r="E3900" t="str">
        <f>IF(COUNTIF(data2!$D:$D,D3900)=0,"Missing in Data2","Present")</f>
        <v>Present</v>
      </c>
    </row>
    <row r="3901" spans="1:5" x14ac:dyDescent="0.25">
      <c r="A3901" s="2" t="s">
        <v>3606</v>
      </c>
      <c r="B3901" s="2" t="s">
        <v>894</v>
      </c>
      <c r="C3901" s="2">
        <v>2</v>
      </c>
      <c r="D3901" t="str">
        <f t="shared" si="60"/>
        <v>CA-2016-123533_OFF-AP-10002765</v>
      </c>
      <c r="E3901" t="str">
        <f>IF(COUNTIF(data2!$D:$D,D3901)=0,"Missing in Data2","Present")</f>
        <v>Present</v>
      </c>
    </row>
    <row r="3902" spans="1:5" x14ac:dyDescent="0.25">
      <c r="A3902" s="2" t="s">
        <v>3606</v>
      </c>
      <c r="B3902" s="2" t="s">
        <v>1517</v>
      </c>
      <c r="C3902" s="2">
        <v>4</v>
      </c>
      <c r="D3902" t="str">
        <f t="shared" si="60"/>
        <v>CA-2016-123533_OFF-PA-10001609</v>
      </c>
      <c r="E3902" t="str">
        <f>IF(COUNTIF(data2!$D:$D,D3902)=0,"Missing in Data2","Present")</f>
        <v>Present</v>
      </c>
    </row>
    <row r="3903" spans="1:5" x14ac:dyDescent="0.25">
      <c r="A3903" s="2" t="s">
        <v>3608</v>
      </c>
      <c r="B3903" s="2" t="s">
        <v>233</v>
      </c>
      <c r="C3903" s="2">
        <v>5</v>
      </c>
      <c r="D3903" t="str">
        <f t="shared" si="60"/>
        <v>CA-2016-123540_FUR-CH-10000847</v>
      </c>
      <c r="E3903" t="str">
        <f>IF(COUNTIF(data2!$D:$D,D3903)=0,"Missing in Data2","Present")</f>
        <v>Present</v>
      </c>
    </row>
    <row r="3904" spans="1:5" x14ac:dyDescent="0.25">
      <c r="A3904" s="2" t="s">
        <v>3609</v>
      </c>
      <c r="B3904" s="2" t="s">
        <v>1582</v>
      </c>
      <c r="C3904" s="2">
        <v>6</v>
      </c>
      <c r="D3904" t="str">
        <f t="shared" si="60"/>
        <v>CA-2016-123617_OFF-BI-10002976</v>
      </c>
      <c r="E3904" t="str">
        <f>IF(COUNTIF(data2!$D:$D,D3904)=0,"Missing in Data2","Present")</f>
        <v>Missing in Data2</v>
      </c>
    </row>
    <row r="3905" spans="1:5" x14ac:dyDescent="0.25">
      <c r="A3905" s="2" t="s">
        <v>3610</v>
      </c>
      <c r="B3905" s="2" t="s">
        <v>374</v>
      </c>
      <c r="C3905" s="2">
        <v>5</v>
      </c>
      <c r="D3905" t="str">
        <f t="shared" si="60"/>
        <v>CA-2016-123666_OFF-ST-10001522</v>
      </c>
      <c r="E3905" t="str">
        <f>IF(COUNTIF(data2!$D:$D,D3905)=0,"Missing in Data2","Present")</f>
        <v>Present</v>
      </c>
    </row>
    <row r="3906" spans="1:5" x14ac:dyDescent="0.25">
      <c r="A3906" s="2" t="s">
        <v>3611</v>
      </c>
      <c r="B3906" s="2" t="s">
        <v>279</v>
      </c>
      <c r="C3906" s="2">
        <v>4</v>
      </c>
      <c r="D3906" t="str">
        <f t="shared" si="60"/>
        <v>CA-2016-123722_OFF-LA-10001569</v>
      </c>
      <c r="E3906" t="str">
        <f>IF(COUNTIF(data2!$D:$D,D3906)=0,"Missing in Data2","Present")</f>
        <v>Present</v>
      </c>
    </row>
    <row r="3907" spans="1:5" x14ac:dyDescent="0.25">
      <c r="A3907" s="2" t="s">
        <v>3612</v>
      </c>
      <c r="B3907" s="2" t="s">
        <v>1397</v>
      </c>
      <c r="C3907" s="2">
        <v>4</v>
      </c>
      <c r="D3907" t="str">
        <f t="shared" ref="D3907:D3970" si="61">A3907&amp;"_"&amp;B3907</f>
        <v>CA-2016-123806_FUR-FU-10000965</v>
      </c>
      <c r="E3907" t="str">
        <f>IF(COUNTIF(data2!$D:$D,D3907)=0,"Missing in Data2","Present")</f>
        <v>Present</v>
      </c>
    </row>
    <row r="3908" spans="1:5" x14ac:dyDescent="0.25">
      <c r="A3908" s="2" t="s">
        <v>3613</v>
      </c>
      <c r="B3908" s="2" t="s">
        <v>834</v>
      </c>
      <c r="C3908" s="2">
        <v>4</v>
      </c>
      <c r="D3908" t="str">
        <f t="shared" si="61"/>
        <v>CA-2016-123932_OFF-PA-10004665</v>
      </c>
      <c r="E3908" t="str">
        <f>IF(COUNTIF(data2!$D:$D,D3908)=0,"Missing in Data2","Present")</f>
        <v>Missing in Data2</v>
      </c>
    </row>
    <row r="3909" spans="1:5" x14ac:dyDescent="0.25">
      <c r="A3909" s="2" t="s">
        <v>3614</v>
      </c>
      <c r="B3909" s="2" t="s">
        <v>2077</v>
      </c>
      <c r="C3909" s="2">
        <v>4</v>
      </c>
      <c r="D3909" t="str">
        <f t="shared" si="61"/>
        <v>CA-2016-123946_FUR-CH-10002073</v>
      </c>
      <c r="E3909" t="str">
        <f>IF(COUNTIF(data2!$D:$D,D3909)=0,"Missing in Data2","Present")</f>
        <v>Present</v>
      </c>
    </row>
    <row r="3910" spans="1:5" x14ac:dyDescent="0.25">
      <c r="A3910" s="2" t="s">
        <v>3614</v>
      </c>
      <c r="B3910" s="2" t="s">
        <v>249</v>
      </c>
      <c r="C3910" s="2">
        <v>3</v>
      </c>
      <c r="D3910" t="str">
        <f t="shared" si="61"/>
        <v>CA-2016-123946_OFF-FA-10002975</v>
      </c>
      <c r="E3910" t="str">
        <f>IF(COUNTIF(data2!$D:$D,D3910)=0,"Missing in Data2","Present")</f>
        <v>Present</v>
      </c>
    </row>
    <row r="3911" spans="1:5" x14ac:dyDescent="0.25">
      <c r="A3911" s="2" t="s">
        <v>3614</v>
      </c>
      <c r="B3911" s="2" t="s">
        <v>1827</v>
      </c>
      <c r="C3911" s="2">
        <v>5</v>
      </c>
      <c r="D3911" t="str">
        <f t="shared" si="61"/>
        <v>CA-2016-123946_OFF-ST-10000419</v>
      </c>
      <c r="E3911" t="str">
        <f>IF(COUNTIF(data2!$D:$D,D3911)=0,"Missing in Data2","Present")</f>
        <v>Present</v>
      </c>
    </row>
    <row r="3912" spans="1:5" x14ac:dyDescent="0.25">
      <c r="A3912" s="2" t="s">
        <v>3614</v>
      </c>
      <c r="B3912" s="2" t="s">
        <v>511</v>
      </c>
      <c r="C3912" s="2">
        <v>3</v>
      </c>
      <c r="D3912" t="str">
        <f t="shared" si="61"/>
        <v>CA-2016-123946_TEC-AC-10004877</v>
      </c>
      <c r="E3912" t="str">
        <f>IF(COUNTIF(data2!$D:$D,D3912)=0,"Missing in Data2","Present")</f>
        <v>Present</v>
      </c>
    </row>
    <row r="3913" spans="1:5" x14ac:dyDescent="0.25">
      <c r="A3913" s="2" t="s">
        <v>3615</v>
      </c>
      <c r="B3913" s="2" t="s">
        <v>3616</v>
      </c>
      <c r="C3913" s="2">
        <v>4</v>
      </c>
      <c r="D3913" t="str">
        <f t="shared" si="61"/>
        <v>CA-2016-124016_FUR-FU-10004963</v>
      </c>
      <c r="E3913" t="str">
        <f>IF(COUNTIF(data2!$D:$D,D3913)=0,"Missing in Data2","Present")</f>
        <v>Present</v>
      </c>
    </row>
    <row r="3914" spans="1:5" x14ac:dyDescent="0.25">
      <c r="A3914" s="2" t="s">
        <v>3615</v>
      </c>
      <c r="B3914" s="2" t="s">
        <v>2262</v>
      </c>
      <c r="C3914" s="2">
        <v>7</v>
      </c>
      <c r="D3914" t="str">
        <f t="shared" si="61"/>
        <v>CA-2016-124016_OFF-BI-10002071</v>
      </c>
      <c r="E3914" t="str">
        <f>IF(COUNTIF(data2!$D:$D,D3914)=0,"Missing in Data2","Present")</f>
        <v>Present</v>
      </c>
    </row>
    <row r="3915" spans="1:5" x14ac:dyDescent="0.25">
      <c r="A3915" s="2" t="s">
        <v>3615</v>
      </c>
      <c r="B3915" s="2" t="s">
        <v>1051</v>
      </c>
      <c r="C3915" s="2">
        <v>3</v>
      </c>
      <c r="D3915" t="str">
        <f t="shared" si="61"/>
        <v>CA-2016-124016_OFF-PA-10002586</v>
      </c>
      <c r="E3915" t="str">
        <f>IF(COUNTIF(data2!$D:$D,D3915)=0,"Missing in Data2","Present")</f>
        <v>Present</v>
      </c>
    </row>
    <row r="3916" spans="1:5" x14ac:dyDescent="0.25">
      <c r="A3916" s="2" t="s">
        <v>3617</v>
      </c>
      <c r="B3916" s="2" t="s">
        <v>789</v>
      </c>
      <c r="C3916" s="2">
        <v>6</v>
      </c>
      <c r="D3916" t="str">
        <f t="shared" si="61"/>
        <v>CA-2016-124051_OFF-PA-10001289</v>
      </c>
      <c r="E3916" t="str">
        <f>IF(COUNTIF(data2!$D:$D,D3916)=0,"Missing in Data2","Present")</f>
        <v>Present</v>
      </c>
    </row>
    <row r="3917" spans="1:5" x14ac:dyDescent="0.25">
      <c r="A3917" s="2" t="s">
        <v>3618</v>
      </c>
      <c r="B3917" s="2" t="s">
        <v>621</v>
      </c>
      <c r="C3917" s="2">
        <v>6</v>
      </c>
      <c r="D3917" t="str">
        <f t="shared" si="61"/>
        <v>CA-2016-124100_FUR-CH-10003817</v>
      </c>
      <c r="E3917" t="str">
        <f>IF(COUNTIF(data2!$D:$D,D3917)=0,"Missing in Data2","Present")</f>
        <v>Present</v>
      </c>
    </row>
    <row r="3918" spans="1:5" x14ac:dyDescent="0.25">
      <c r="A3918" s="2" t="s">
        <v>3619</v>
      </c>
      <c r="B3918" s="2" t="s">
        <v>3620</v>
      </c>
      <c r="C3918" s="2">
        <v>6</v>
      </c>
      <c r="D3918" t="str">
        <f t="shared" si="61"/>
        <v>CA-2016-124149_OFF-PA-10002421</v>
      </c>
      <c r="E3918" t="str">
        <f>IF(COUNTIF(data2!$D:$D,D3918)=0,"Missing in Data2","Present")</f>
        <v>Present</v>
      </c>
    </row>
    <row r="3919" spans="1:5" x14ac:dyDescent="0.25">
      <c r="A3919" s="2" t="s">
        <v>3619</v>
      </c>
      <c r="B3919" s="2" t="s">
        <v>1262</v>
      </c>
      <c r="C3919" s="2">
        <v>2</v>
      </c>
      <c r="D3919" t="str">
        <f t="shared" si="61"/>
        <v>CA-2016-124149_OFF-PA-10002923</v>
      </c>
      <c r="E3919" t="str">
        <f>IF(COUNTIF(data2!$D:$D,D3919)=0,"Missing in Data2","Present")</f>
        <v>Present</v>
      </c>
    </row>
    <row r="3920" spans="1:5" x14ac:dyDescent="0.25">
      <c r="A3920" s="2" t="s">
        <v>3619</v>
      </c>
      <c r="B3920" s="2" t="s">
        <v>1790</v>
      </c>
      <c r="C3920" s="2">
        <v>5</v>
      </c>
      <c r="D3920" t="str">
        <f t="shared" si="61"/>
        <v>CA-2016-124149_OFF-ST-10000760</v>
      </c>
      <c r="E3920" t="str">
        <f>IF(COUNTIF(data2!$D:$D,D3920)=0,"Missing in Data2","Present")</f>
        <v>Present</v>
      </c>
    </row>
    <row r="3921" spans="1:5" x14ac:dyDescent="0.25">
      <c r="A3921" s="2" t="s">
        <v>3621</v>
      </c>
      <c r="B3921" s="2" t="s">
        <v>3622</v>
      </c>
      <c r="C3921" s="2">
        <v>5</v>
      </c>
      <c r="D3921" t="str">
        <f t="shared" si="61"/>
        <v>CA-2016-124233_FUR-FU-10002597</v>
      </c>
      <c r="E3921" t="str">
        <f>IF(COUNTIF(data2!$D:$D,D3921)=0,"Missing in Data2","Present")</f>
        <v>Present</v>
      </c>
    </row>
    <row r="3922" spans="1:5" x14ac:dyDescent="0.25">
      <c r="A3922" s="2" t="s">
        <v>3623</v>
      </c>
      <c r="B3922" s="2" t="s">
        <v>3624</v>
      </c>
      <c r="C3922" s="2">
        <v>3</v>
      </c>
      <c r="D3922" t="str">
        <f t="shared" si="61"/>
        <v>CA-2016-124254_OFF-PA-10000807</v>
      </c>
      <c r="E3922" t="str">
        <f>IF(COUNTIF(data2!$D:$D,D3922)=0,"Missing in Data2","Present")</f>
        <v>Present</v>
      </c>
    </row>
    <row r="3923" spans="1:5" x14ac:dyDescent="0.25">
      <c r="A3923" s="2" t="s">
        <v>3623</v>
      </c>
      <c r="B3923" s="2" t="s">
        <v>2918</v>
      </c>
      <c r="C3923" s="2">
        <v>1</v>
      </c>
      <c r="D3923" t="str">
        <f t="shared" si="61"/>
        <v>CA-2016-124254_OFF-ST-10000060</v>
      </c>
      <c r="E3923" t="str">
        <f>IF(COUNTIF(data2!$D:$D,D3923)=0,"Missing in Data2","Present")</f>
        <v>Present</v>
      </c>
    </row>
    <row r="3924" spans="1:5" x14ac:dyDescent="0.25">
      <c r="A3924" s="2" t="s">
        <v>3623</v>
      </c>
      <c r="B3924" s="2" t="s">
        <v>764</v>
      </c>
      <c r="C3924" s="2">
        <v>3</v>
      </c>
      <c r="D3924" t="str">
        <f t="shared" si="61"/>
        <v>CA-2016-124254_OFF-ST-10001469</v>
      </c>
      <c r="E3924" t="str">
        <f>IF(COUNTIF(data2!$D:$D,D3924)=0,"Missing in Data2","Present")</f>
        <v>Present</v>
      </c>
    </row>
    <row r="3925" spans="1:5" x14ac:dyDescent="0.25">
      <c r="A3925" s="2" t="s">
        <v>3625</v>
      </c>
      <c r="B3925" s="2" t="s">
        <v>1233</v>
      </c>
      <c r="C3925" s="2">
        <v>3</v>
      </c>
      <c r="D3925" t="str">
        <f t="shared" si="61"/>
        <v>CA-2016-124352_OFF-AP-10002651</v>
      </c>
      <c r="E3925" t="str">
        <f>IF(COUNTIF(data2!$D:$D,D3925)=0,"Missing in Data2","Present")</f>
        <v>Present</v>
      </c>
    </row>
    <row r="3926" spans="1:5" x14ac:dyDescent="0.25">
      <c r="A3926" s="2" t="s">
        <v>3625</v>
      </c>
      <c r="B3926" s="2" t="s">
        <v>859</v>
      </c>
      <c r="C3926" s="2">
        <v>4</v>
      </c>
      <c r="D3926" t="str">
        <f t="shared" si="61"/>
        <v>CA-2016-124352_OFF-BI-10000977</v>
      </c>
      <c r="E3926" t="str">
        <f>IF(COUNTIF(data2!$D:$D,D3926)=0,"Missing in Data2","Present")</f>
        <v>Present</v>
      </c>
    </row>
    <row r="3927" spans="1:5" x14ac:dyDescent="0.25">
      <c r="A3927" s="2" t="s">
        <v>3625</v>
      </c>
      <c r="B3927" s="2" t="s">
        <v>443</v>
      </c>
      <c r="C3927" s="2">
        <v>6</v>
      </c>
      <c r="D3927" t="str">
        <f t="shared" si="61"/>
        <v>CA-2016-124352_OFF-LA-10003223</v>
      </c>
      <c r="E3927" t="str">
        <f>IF(COUNTIF(data2!$D:$D,D3927)=0,"Missing in Data2","Present")</f>
        <v>Present</v>
      </c>
    </row>
    <row r="3928" spans="1:5" x14ac:dyDescent="0.25">
      <c r="A3928" s="2" t="s">
        <v>3625</v>
      </c>
      <c r="B3928" s="2" t="s">
        <v>1158</v>
      </c>
      <c r="C3928" s="2">
        <v>2</v>
      </c>
      <c r="D3928" t="str">
        <f t="shared" si="61"/>
        <v>CA-2016-124352_OFF-PA-10003177</v>
      </c>
      <c r="E3928" t="str">
        <f>IF(COUNTIF(data2!$D:$D,D3928)=0,"Missing in Data2","Present")</f>
        <v>Present</v>
      </c>
    </row>
    <row r="3929" spans="1:5" x14ac:dyDescent="0.25">
      <c r="A3929" s="2" t="s">
        <v>3625</v>
      </c>
      <c r="B3929" s="2" t="s">
        <v>3626</v>
      </c>
      <c r="C3929" s="2">
        <v>1</v>
      </c>
      <c r="D3929" t="str">
        <f t="shared" si="61"/>
        <v>CA-2016-124352_TEC-PH-10003442</v>
      </c>
      <c r="E3929" t="str">
        <f>IF(COUNTIF(data2!$D:$D,D3929)=0,"Missing in Data2","Present")</f>
        <v>Present</v>
      </c>
    </row>
    <row r="3930" spans="1:5" x14ac:dyDescent="0.25">
      <c r="A3930" s="2" t="s">
        <v>3627</v>
      </c>
      <c r="B3930" s="2" t="s">
        <v>1196</v>
      </c>
      <c r="C3930" s="2">
        <v>4</v>
      </c>
      <c r="D3930" t="str">
        <f t="shared" si="61"/>
        <v>CA-2016-124485_OFF-BI-10000822</v>
      </c>
      <c r="E3930" t="str">
        <f>IF(COUNTIF(data2!$D:$D,D3930)=0,"Missing in Data2","Present")</f>
        <v>Missing in Data2</v>
      </c>
    </row>
    <row r="3931" spans="1:5" x14ac:dyDescent="0.25">
      <c r="A3931" s="2" t="s">
        <v>3627</v>
      </c>
      <c r="B3931" s="2" t="s">
        <v>581</v>
      </c>
      <c r="C3931" s="2">
        <v>1</v>
      </c>
      <c r="D3931" t="str">
        <f t="shared" si="61"/>
        <v>CA-2016-124485_OFF-PA-10004888</v>
      </c>
      <c r="E3931" t="str">
        <f>IF(COUNTIF(data2!$D:$D,D3931)=0,"Missing in Data2","Present")</f>
        <v>Present</v>
      </c>
    </row>
    <row r="3932" spans="1:5" x14ac:dyDescent="0.25">
      <c r="A3932" s="2" t="s">
        <v>3627</v>
      </c>
      <c r="B3932" s="2" t="s">
        <v>2528</v>
      </c>
      <c r="C3932" s="2">
        <v>2</v>
      </c>
      <c r="D3932" t="str">
        <f t="shared" si="61"/>
        <v>CA-2016-124485_OFF-PA-10004971</v>
      </c>
      <c r="E3932" t="str">
        <f>IF(COUNTIF(data2!$D:$D,D3932)=0,"Missing in Data2","Present")</f>
        <v>Present</v>
      </c>
    </row>
    <row r="3933" spans="1:5" x14ac:dyDescent="0.25">
      <c r="A3933" s="2" t="s">
        <v>3627</v>
      </c>
      <c r="B3933" s="2" t="s">
        <v>731</v>
      </c>
      <c r="C3933" s="2">
        <v>4</v>
      </c>
      <c r="D3933" t="str">
        <f t="shared" si="61"/>
        <v>CA-2016-124485_TEC-AC-10002323</v>
      </c>
      <c r="E3933" t="str">
        <f>IF(COUNTIF(data2!$D:$D,D3933)=0,"Missing in Data2","Present")</f>
        <v>Present</v>
      </c>
    </row>
    <row r="3934" spans="1:5" x14ac:dyDescent="0.25">
      <c r="A3934" s="2" t="s">
        <v>3628</v>
      </c>
      <c r="B3934" s="2" t="s">
        <v>2527</v>
      </c>
      <c r="C3934" s="2">
        <v>2</v>
      </c>
      <c r="D3934" t="str">
        <f t="shared" si="61"/>
        <v>CA-2016-124506_FUR-CH-10004540</v>
      </c>
      <c r="E3934" t="str">
        <f>IF(COUNTIF(data2!$D:$D,D3934)=0,"Missing in Data2","Present")</f>
        <v>Present</v>
      </c>
    </row>
    <row r="3935" spans="1:5" x14ac:dyDescent="0.25">
      <c r="A3935" s="2" t="s">
        <v>3628</v>
      </c>
      <c r="B3935" s="2" t="s">
        <v>1870</v>
      </c>
      <c r="C3935" s="2">
        <v>4</v>
      </c>
      <c r="D3935" t="str">
        <f t="shared" si="61"/>
        <v>CA-2016-124506_TEC-AC-10003280</v>
      </c>
      <c r="E3935" t="str">
        <f>IF(COUNTIF(data2!$D:$D,D3935)=0,"Missing in Data2","Present")</f>
        <v>Present</v>
      </c>
    </row>
    <row r="3936" spans="1:5" x14ac:dyDescent="0.25">
      <c r="A3936" s="2" t="s">
        <v>3629</v>
      </c>
      <c r="B3936" s="2" t="s">
        <v>3452</v>
      </c>
      <c r="C3936" s="2">
        <v>5</v>
      </c>
      <c r="D3936" t="str">
        <f t="shared" si="61"/>
        <v>CA-2016-124527_OFF-BI-10004967</v>
      </c>
      <c r="E3936" t="str">
        <f>IF(COUNTIF(data2!$D:$D,D3936)=0,"Missing in Data2","Present")</f>
        <v>Present</v>
      </c>
    </row>
    <row r="3937" spans="1:5" x14ac:dyDescent="0.25">
      <c r="A3937" s="2" t="s">
        <v>3630</v>
      </c>
      <c r="B3937" s="2" t="s">
        <v>1721</v>
      </c>
      <c r="C3937" s="2">
        <v>7</v>
      </c>
      <c r="D3937" t="str">
        <f t="shared" si="61"/>
        <v>CA-2016-124562_OFF-BI-10001267</v>
      </c>
      <c r="E3937" t="str">
        <f>IF(COUNTIF(data2!$D:$D,D3937)=0,"Missing in Data2","Present")</f>
        <v>Present</v>
      </c>
    </row>
    <row r="3938" spans="1:5" x14ac:dyDescent="0.25">
      <c r="A3938" s="2" t="s">
        <v>3631</v>
      </c>
      <c r="B3938" s="2" t="s">
        <v>758</v>
      </c>
      <c r="C3938" s="2">
        <v>1</v>
      </c>
      <c r="D3938" t="str">
        <f t="shared" si="61"/>
        <v>CA-2016-124583_OFF-EN-10002500</v>
      </c>
      <c r="E3938" t="str">
        <f>IF(COUNTIF(data2!$D:$D,D3938)=0,"Missing in Data2","Present")</f>
        <v>Present</v>
      </c>
    </row>
    <row r="3939" spans="1:5" x14ac:dyDescent="0.25">
      <c r="A3939" s="2" t="s">
        <v>3632</v>
      </c>
      <c r="B3939" s="2" t="s">
        <v>297</v>
      </c>
      <c r="C3939" s="2">
        <v>9</v>
      </c>
      <c r="D3939" t="str">
        <f t="shared" si="61"/>
        <v>CA-2016-124590_FUR-CH-10000454</v>
      </c>
      <c r="E3939" t="str">
        <f>IF(COUNTIF(data2!$D:$D,D3939)=0,"Missing in Data2","Present")</f>
        <v>Present</v>
      </c>
    </row>
    <row r="3940" spans="1:5" x14ac:dyDescent="0.25">
      <c r="A3940" s="2" t="s">
        <v>3632</v>
      </c>
      <c r="B3940" s="2" t="s">
        <v>2170</v>
      </c>
      <c r="C3940" s="2">
        <v>2</v>
      </c>
      <c r="D3940" t="str">
        <f t="shared" si="61"/>
        <v>CA-2016-124590_FUR-CH-10003746</v>
      </c>
      <c r="E3940" t="str">
        <f>IF(COUNTIF(data2!$D:$D,D3940)=0,"Missing in Data2","Present")</f>
        <v>Present</v>
      </c>
    </row>
    <row r="3941" spans="1:5" x14ac:dyDescent="0.25">
      <c r="A3941" s="2" t="s">
        <v>3632</v>
      </c>
      <c r="B3941" s="2" t="s">
        <v>193</v>
      </c>
      <c r="C3941" s="2">
        <v>7</v>
      </c>
      <c r="D3941" t="str">
        <f t="shared" si="61"/>
        <v>CA-2016-124590_FUR-CH-10004495</v>
      </c>
      <c r="E3941" t="str">
        <f>IF(COUNTIF(data2!$D:$D,D3941)=0,"Missing in Data2","Present")</f>
        <v>Missing in Data2</v>
      </c>
    </row>
    <row r="3942" spans="1:5" x14ac:dyDescent="0.25">
      <c r="A3942" s="2" t="s">
        <v>3632</v>
      </c>
      <c r="B3942" s="2" t="s">
        <v>1787</v>
      </c>
      <c r="C3942" s="2">
        <v>2</v>
      </c>
      <c r="D3942" t="str">
        <f t="shared" si="61"/>
        <v>CA-2016-124590_OFF-AP-10002311</v>
      </c>
      <c r="E3942" t="str">
        <f>IF(COUNTIF(data2!$D:$D,D3942)=0,"Missing in Data2","Present")</f>
        <v>Present</v>
      </c>
    </row>
    <row r="3943" spans="1:5" x14ac:dyDescent="0.25">
      <c r="A3943" s="2" t="s">
        <v>3632</v>
      </c>
      <c r="B3943" s="2" t="s">
        <v>685</v>
      </c>
      <c r="C3943" s="2">
        <v>6</v>
      </c>
      <c r="D3943" t="str">
        <f t="shared" si="61"/>
        <v>CA-2016-124590_OFF-FA-10000585</v>
      </c>
      <c r="E3943" t="str">
        <f>IF(COUNTIF(data2!$D:$D,D3943)=0,"Missing in Data2","Present")</f>
        <v>Present</v>
      </c>
    </row>
    <row r="3944" spans="1:5" x14ac:dyDescent="0.25">
      <c r="A3944" s="2" t="s">
        <v>3633</v>
      </c>
      <c r="B3944" s="2" t="s">
        <v>1002</v>
      </c>
      <c r="C3944" s="2">
        <v>1</v>
      </c>
      <c r="D3944" t="str">
        <f t="shared" si="61"/>
        <v>CA-2016-124667_OFF-ST-10002276</v>
      </c>
      <c r="E3944" t="str">
        <f>IF(COUNTIF(data2!$D:$D,D3944)=0,"Missing in Data2","Present")</f>
        <v>Present</v>
      </c>
    </row>
    <row r="3945" spans="1:5" x14ac:dyDescent="0.25">
      <c r="A3945" s="2" t="s">
        <v>3633</v>
      </c>
      <c r="B3945" s="2" t="s">
        <v>1619</v>
      </c>
      <c r="C3945" s="2">
        <v>3</v>
      </c>
      <c r="D3945" t="str">
        <f t="shared" si="61"/>
        <v>CA-2016-124667_TEC-AC-10003447</v>
      </c>
      <c r="E3945" t="str">
        <f>IF(COUNTIF(data2!$D:$D,D3945)=0,"Missing in Data2","Present")</f>
        <v>Present</v>
      </c>
    </row>
    <row r="3946" spans="1:5" x14ac:dyDescent="0.25">
      <c r="A3946" s="2" t="s">
        <v>3634</v>
      </c>
      <c r="B3946" s="2" t="s">
        <v>2433</v>
      </c>
      <c r="C3946" s="2">
        <v>3</v>
      </c>
      <c r="D3946" t="str">
        <f t="shared" si="61"/>
        <v>CA-2016-124681_TEC-AC-10000487</v>
      </c>
      <c r="E3946" t="str">
        <f>IF(COUNTIF(data2!$D:$D,D3946)=0,"Missing in Data2","Present")</f>
        <v>Present</v>
      </c>
    </row>
    <row r="3947" spans="1:5" x14ac:dyDescent="0.25">
      <c r="A3947" s="2" t="s">
        <v>3635</v>
      </c>
      <c r="B3947" s="2" t="s">
        <v>2651</v>
      </c>
      <c r="C3947" s="2">
        <v>3</v>
      </c>
      <c r="D3947" t="str">
        <f t="shared" si="61"/>
        <v>CA-2016-124772_FUR-FU-10004748</v>
      </c>
      <c r="E3947" t="str">
        <f>IF(COUNTIF(data2!$D:$D,D3947)=0,"Missing in Data2","Present")</f>
        <v>Present</v>
      </c>
    </row>
    <row r="3948" spans="1:5" x14ac:dyDescent="0.25">
      <c r="A3948" s="2" t="s">
        <v>3636</v>
      </c>
      <c r="B3948" s="2" t="s">
        <v>1497</v>
      </c>
      <c r="C3948" s="2">
        <v>2</v>
      </c>
      <c r="D3948" t="str">
        <f t="shared" si="61"/>
        <v>CA-2016-124793_FUR-CH-10002880</v>
      </c>
      <c r="E3948" t="str">
        <f>IF(COUNTIF(data2!$D:$D,D3948)=0,"Missing in Data2","Present")</f>
        <v>Present</v>
      </c>
    </row>
    <row r="3949" spans="1:5" x14ac:dyDescent="0.25">
      <c r="A3949" s="2" t="s">
        <v>3637</v>
      </c>
      <c r="B3949" s="2" t="s">
        <v>423</v>
      </c>
      <c r="C3949" s="2">
        <v>5</v>
      </c>
      <c r="D3949" t="str">
        <f t="shared" si="61"/>
        <v>CA-2016-124814_OFF-BI-10000174</v>
      </c>
      <c r="E3949" t="str">
        <f>IF(COUNTIF(data2!$D:$D,D3949)=0,"Missing in Data2","Present")</f>
        <v>Present</v>
      </c>
    </row>
    <row r="3950" spans="1:5" x14ac:dyDescent="0.25">
      <c r="A3950" s="2" t="s">
        <v>3637</v>
      </c>
      <c r="B3950" s="2" t="s">
        <v>2771</v>
      </c>
      <c r="C3950" s="2">
        <v>2</v>
      </c>
      <c r="D3950" t="str">
        <f t="shared" si="61"/>
        <v>CA-2016-124814_OFF-PA-10002787</v>
      </c>
      <c r="E3950" t="str">
        <f>IF(COUNTIF(data2!$D:$D,D3950)=0,"Missing in Data2","Present")</f>
        <v>Present</v>
      </c>
    </row>
    <row r="3951" spans="1:5" x14ac:dyDescent="0.25">
      <c r="A3951" s="2" t="s">
        <v>3638</v>
      </c>
      <c r="B3951" s="2" t="s">
        <v>160</v>
      </c>
      <c r="C3951" s="2">
        <v>4</v>
      </c>
      <c r="D3951" t="str">
        <f t="shared" si="61"/>
        <v>CA-2016-125017_FUR-FU-10000723</v>
      </c>
      <c r="E3951" t="str">
        <f>IF(COUNTIF(data2!$D:$D,D3951)=0,"Missing in Data2","Present")</f>
        <v>Present</v>
      </c>
    </row>
    <row r="3952" spans="1:5" x14ac:dyDescent="0.25">
      <c r="A3952" s="2" t="s">
        <v>3639</v>
      </c>
      <c r="B3952" s="2" t="s">
        <v>1326</v>
      </c>
      <c r="C3952" s="2">
        <v>2</v>
      </c>
      <c r="D3952" t="str">
        <f t="shared" si="61"/>
        <v>CA-2016-125080_FUR-TA-10003238</v>
      </c>
      <c r="E3952" t="str">
        <f>IF(COUNTIF(data2!$D:$D,D3952)=0,"Missing in Data2","Present")</f>
        <v>Present</v>
      </c>
    </row>
    <row r="3953" spans="1:5" x14ac:dyDescent="0.25">
      <c r="A3953" s="2" t="s">
        <v>3640</v>
      </c>
      <c r="B3953" s="2" t="s">
        <v>1497</v>
      </c>
      <c r="C3953" s="2">
        <v>4</v>
      </c>
      <c r="D3953" t="str">
        <f t="shared" si="61"/>
        <v>CA-2016-125087_FUR-CH-10002880</v>
      </c>
      <c r="E3953" t="str">
        <f>IF(COUNTIF(data2!$D:$D,D3953)=0,"Missing in Data2","Present")</f>
        <v>Present</v>
      </c>
    </row>
    <row r="3954" spans="1:5" x14ac:dyDescent="0.25">
      <c r="A3954" s="2" t="s">
        <v>3640</v>
      </c>
      <c r="B3954" s="2" t="s">
        <v>2651</v>
      </c>
      <c r="C3954" s="2">
        <v>5</v>
      </c>
      <c r="D3954" t="str">
        <f t="shared" si="61"/>
        <v>CA-2016-125087_FUR-FU-10004748</v>
      </c>
      <c r="E3954" t="str">
        <f>IF(COUNTIF(data2!$D:$D,D3954)=0,"Missing in Data2","Present")</f>
        <v>Present</v>
      </c>
    </row>
    <row r="3955" spans="1:5" x14ac:dyDescent="0.25">
      <c r="A3955" s="2" t="s">
        <v>3640</v>
      </c>
      <c r="B3955" s="2" t="s">
        <v>2293</v>
      </c>
      <c r="C3955" s="2">
        <v>3</v>
      </c>
      <c r="D3955" t="str">
        <f t="shared" si="61"/>
        <v>CA-2016-125087_OFF-ST-10001780</v>
      </c>
      <c r="E3955" t="str">
        <f>IF(COUNTIF(data2!$D:$D,D3955)=0,"Missing in Data2","Present")</f>
        <v>Present</v>
      </c>
    </row>
    <row r="3956" spans="1:5" x14ac:dyDescent="0.25">
      <c r="A3956" s="2" t="s">
        <v>3641</v>
      </c>
      <c r="B3956" s="2" t="s">
        <v>3642</v>
      </c>
      <c r="C3956" s="2">
        <v>4</v>
      </c>
      <c r="D3956" t="str">
        <f t="shared" si="61"/>
        <v>CA-2016-125094_TEC-AC-10004420</v>
      </c>
      <c r="E3956" t="str">
        <f>IF(COUNTIF(data2!$D:$D,D3956)=0,"Missing in Data2","Present")</f>
        <v>Present</v>
      </c>
    </row>
    <row r="3957" spans="1:5" x14ac:dyDescent="0.25">
      <c r="A3957" s="2" t="s">
        <v>3643</v>
      </c>
      <c r="B3957" s="2" t="s">
        <v>666</v>
      </c>
      <c r="C3957" s="2">
        <v>1</v>
      </c>
      <c r="D3957" t="str">
        <f t="shared" si="61"/>
        <v>CA-2016-125164_OFF-BI-10001191</v>
      </c>
      <c r="E3957" t="str">
        <f>IF(COUNTIF(data2!$D:$D,D3957)=0,"Missing in Data2","Present")</f>
        <v>Present</v>
      </c>
    </row>
    <row r="3958" spans="1:5" x14ac:dyDescent="0.25">
      <c r="A3958" s="2" t="s">
        <v>3643</v>
      </c>
      <c r="B3958" s="2" t="s">
        <v>1117</v>
      </c>
      <c r="C3958" s="2">
        <v>3</v>
      </c>
      <c r="D3958" t="str">
        <f t="shared" si="61"/>
        <v>CA-2016-125164_OFF-BI-10003982</v>
      </c>
      <c r="E3958" t="str">
        <f>IF(COUNTIF(data2!$D:$D,D3958)=0,"Missing in Data2","Present")</f>
        <v>Present</v>
      </c>
    </row>
    <row r="3959" spans="1:5" x14ac:dyDescent="0.25">
      <c r="A3959" s="2" t="s">
        <v>3644</v>
      </c>
      <c r="B3959" s="2" t="s">
        <v>1800</v>
      </c>
      <c r="C3959" s="2">
        <v>2</v>
      </c>
      <c r="D3959" t="str">
        <f t="shared" si="61"/>
        <v>CA-2016-125206_OFF-ST-10003692</v>
      </c>
      <c r="E3959" t="str">
        <f>IF(COUNTIF(data2!$D:$D,D3959)=0,"Missing in Data2","Present")</f>
        <v>Present</v>
      </c>
    </row>
    <row r="3960" spans="1:5" x14ac:dyDescent="0.25">
      <c r="A3960" s="2" t="s">
        <v>3645</v>
      </c>
      <c r="B3960" s="2" t="s">
        <v>2361</v>
      </c>
      <c r="C3960" s="2">
        <v>5</v>
      </c>
      <c r="D3960" t="str">
        <f t="shared" si="61"/>
        <v>CA-2016-125220_TEC-AC-10003033</v>
      </c>
      <c r="E3960" t="str">
        <f>IF(COUNTIF(data2!$D:$D,D3960)=0,"Missing in Data2","Present")</f>
        <v>Present</v>
      </c>
    </row>
    <row r="3961" spans="1:5" x14ac:dyDescent="0.25">
      <c r="A3961" s="2" t="s">
        <v>3646</v>
      </c>
      <c r="B3961" s="2" t="s">
        <v>2873</v>
      </c>
      <c r="C3961" s="2">
        <v>4</v>
      </c>
      <c r="D3961" t="str">
        <f t="shared" si="61"/>
        <v>CA-2016-125318_TEC-PH-10001433</v>
      </c>
      <c r="E3961" t="str">
        <f>IF(COUNTIF(data2!$D:$D,D3961)=0,"Missing in Data2","Present")</f>
        <v>Present</v>
      </c>
    </row>
    <row r="3962" spans="1:5" x14ac:dyDescent="0.25">
      <c r="A3962" s="2" t="s">
        <v>3647</v>
      </c>
      <c r="B3962" s="2" t="s">
        <v>1656</v>
      </c>
      <c r="C3962" s="2">
        <v>3</v>
      </c>
      <c r="D3962" t="str">
        <f t="shared" si="61"/>
        <v>CA-2016-125661_OFF-EN-10001532</v>
      </c>
      <c r="E3962" t="str">
        <f>IF(COUNTIF(data2!$D:$D,D3962)=0,"Missing in Data2","Present")</f>
        <v>Present</v>
      </c>
    </row>
    <row r="3963" spans="1:5" x14ac:dyDescent="0.25">
      <c r="A3963" s="2" t="s">
        <v>3647</v>
      </c>
      <c r="B3963" s="2" t="s">
        <v>3648</v>
      </c>
      <c r="C3963" s="2">
        <v>5</v>
      </c>
      <c r="D3963" t="str">
        <f t="shared" si="61"/>
        <v>CA-2016-125661_TEC-AC-10004855</v>
      </c>
      <c r="E3963" t="str">
        <f>IF(COUNTIF(data2!$D:$D,D3963)=0,"Missing in Data2","Present")</f>
        <v>Present</v>
      </c>
    </row>
    <row r="3964" spans="1:5" x14ac:dyDescent="0.25">
      <c r="A3964" s="2" t="s">
        <v>3649</v>
      </c>
      <c r="B3964" s="2" t="s">
        <v>189</v>
      </c>
      <c r="C3964" s="2">
        <v>7</v>
      </c>
      <c r="D3964" t="str">
        <f t="shared" si="61"/>
        <v>CA-2016-125724_FUR-FU-10000246</v>
      </c>
      <c r="E3964" t="str">
        <f>IF(COUNTIF(data2!$D:$D,D3964)=0,"Missing in Data2","Present")</f>
        <v>Present</v>
      </c>
    </row>
    <row r="3965" spans="1:5" x14ac:dyDescent="0.25">
      <c r="A3965" s="2" t="s">
        <v>3650</v>
      </c>
      <c r="B3965" s="2" t="s">
        <v>626</v>
      </c>
      <c r="C3965" s="2">
        <v>5</v>
      </c>
      <c r="D3965" t="str">
        <f t="shared" si="61"/>
        <v>CA-2016-125738_OFF-BI-10001628</v>
      </c>
      <c r="E3965" t="str">
        <f>IF(COUNTIF(data2!$D:$D,D3965)=0,"Missing in Data2","Present")</f>
        <v>Present</v>
      </c>
    </row>
    <row r="3966" spans="1:5" x14ac:dyDescent="0.25">
      <c r="A3966" s="2" t="s">
        <v>3650</v>
      </c>
      <c r="B3966" s="2" t="s">
        <v>3651</v>
      </c>
      <c r="C3966" s="2">
        <v>2</v>
      </c>
      <c r="D3966" t="str">
        <f t="shared" si="61"/>
        <v>CA-2016-125738_OFF-PA-10000740</v>
      </c>
      <c r="E3966" t="str">
        <f>IF(COUNTIF(data2!$D:$D,D3966)=0,"Missing in Data2","Present")</f>
        <v>Present</v>
      </c>
    </row>
    <row r="3967" spans="1:5" x14ac:dyDescent="0.25">
      <c r="A3967" s="2" t="s">
        <v>3650</v>
      </c>
      <c r="B3967" s="2" t="s">
        <v>1307</v>
      </c>
      <c r="C3967" s="2">
        <v>8</v>
      </c>
      <c r="D3967" t="str">
        <f t="shared" si="61"/>
        <v>CA-2016-125738_OFF-PA-10001509</v>
      </c>
      <c r="E3967" t="str">
        <f>IF(COUNTIF(data2!$D:$D,D3967)=0,"Missing in Data2","Present")</f>
        <v>Present</v>
      </c>
    </row>
    <row r="3968" spans="1:5" x14ac:dyDescent="0.25">
      <c r="A3968" s="2" t="s">
        <v>3650</v>
      </c>
      <c r="B3968" s="2" t="s">
        <v>1102</v>
      </c>
      <c r="C3968" s="2">
        <v>9</v>
      </c>
      <c r="D3968" t="str">
        <f t="shared" si="61"/>
        <v>CA-2016-125738_OFF-PA-10003001</v>
      </c>
      <c r="E3968" t="str">
        <f>IF(COUNTIF(data2!$D:$D,D3968)=0,"Missing in Data2","Present")</f>
        <v>Present</v>
      </c>
    </row>
    <row r="3969" spans="1:5" x14ac:dyDescent="0.25">
      <c r="A3969" s="2" t="s">
        <v>3652</v>
      </c>
      <c r="B3969" s="2" t="s">
        <v>382</v>
      </c>
      <c r="C3969" s="2">
        <v>1</v>
      </c>
      <c r="D3969" t="str">
        <f t="shared" si="61"/>
        <v>CA-2016-125794_TEC-AC-10003399</v>
      </c>
      <c r="E3969" t="str">
        <f>IF(COUNTIF(data2!$D:$D,D3969)=0,"Missing in Data2","Present")</f>
        <v>Missing in Data2</v>
      </c>
    </row>
    <row r="3970" spans="1:5" x14ac:dyDescent="0.25">
      <c r="A3970" s="2" t="s">
        <v>3653</v>
      </c>
      <c r="B3970" s="2" t="s">
        <v>1190</v>
      </c>
      <c r="C3970" s="2">
        <v>3</v>
      </c>
      <c r="D3970" t="str">
        <f t="shared" si="61"/>
        <v>CA-2016-125815_OFF-AR-10004441</v>
      </c>
      <c r="E3970" t="str">
        <f>IF(COUNTIF(data2!$D:$D,D3970)=0,"Missing in Data2","Present")</f>
        <v>Present</v>
      </c>
    </row>
    <row r="3971" spans="1:5" x14ac:dyDescent="0.25">
      <c r="A3971" s="2" t="s">
        <v>3654</v>
      </c>
      <c r="B3971" s="2" t="s">
        <v>3655</v>
      </c>
      <c r="C3971" s="2">
        <v>4</v>
      </c>
      <c r="D3971" t="str">
        <f t="shared" ref="D3971:D4034" si="62">A3971&amp;"_"&amp;B3971</f>
        <v>CA-2016-125843_OFF-BI-10002309</v>
      </c>
      <c r="E3971" t="str">
        <f>IF(COUNTIF(data2!$D:$D,D3971)=0,"Missing in Data2","Present")</f>
        <v>Present</v>
      </c>
    </row>
    <row r="3972" spans="1:5" x14ac:dyDescent="0.25">
      <c r="A3972" s="2" t="s">
        <v>3654</v>
      </c>
      <c r="B3972" s="2" t="s">
        <v>86</v>
      </c>
      <c r="C3972" s="2">
        <v>7</v>
      </c>
      <c r="D3972" t="str">
        <f t="shared" si="62"/>
        <v>CA-2016-125843_OFF-LA-10003923</v>
      </c>
      <c r="E3972" t="str">
        <f>IF(COUNTIF(data2!$D:$D,D3972)=0,"Missing in Data2","Present")</f>
        <v>Present</v>
      </c>
    </row>
    <row r="3973" spans="1:5" x14ac:dyDescent="0.25">
      <c r="A3973" s="2" t="s">
        <v>3656</v>
      </c>
      <c r="B3973" s="2" t="s">
        <v>1797</v>
      </c>
      <c r="C3973" s="2">
        <v>3</v>
      </c>
      <c r="D3973" t="str">
        <f t="shared" si="62"/>
        <v>CA-2016-125850_OFF-LA-10003498</v>
      </c>
      <c r="E3973" t="str">
        <f>IF(COUNTIF(data2!$D:$D,D3973)=0,"Missing in Data2","Present")</f>
        <v>Missing in Data2</v>
      </c>
    </row>
    <row r="3974" spans="1:5" x14ac:dyDescent="0.25">
      <c r="A3974" s="2" t="s">
        <v>3656</v>
      </c>
      <c r="B3974" s="2" t="s">
        <v>1711</v>
      </c>
      <c r="C3974" s="2">
        <v>5</v>
      </c>
      <c r="D3974" t="str">
        <f t="shared" si="62"/>
        <v>CA-2016-125850_OFF-LA-10004484</v>
      </c>
      <c r="E3974" t="str">
        <f>IF(COUNTIF(data2!$D:$D,D3974)=0,"Missing in Data2","Present")</f>
        <v>Present</v>
      </c>
    </row>
    <row r="3975" spans="1:5" x14ac:dyDescent="0.25">
      <c r="A3975" s="2" t="s">
        <v>3657</v>
      </c>
      <c r="B3975" s="2" t="s">
        <v>891</v>
      </c>
      <c r="C3975" s="2">
        <v>3</v>
      </c>
      <c r="D3975" t="str">
        <f t="shared" si="62"/>
        <v>CA-2016-125920_OFF-BI-10003429</v>
      </c>
      <c r="E3975" t="str">
        <f>IF(COUNTIF(data2!$D:$D,D3975)=0,"Missing in Data2","Present")</f>
        <v>Present</v>
      </c>
    </row>
    <row r="3976" spans="1:5" x14ac:dyDescent="0.25">
      <c r="A3976" s="2" t="s">
        <v>3658</v>
      </c>
      <c r="B3976" s="2" t="s">
        <v>1373</v>
      </c>
      <c r="C3976" s="2">
        <v>4</v>
      </c>
      <c r="D3976" t="str">
        <f t="shared" si="62"/>
        <v>CA-2016-126004_OFF-PA-10001685</v>
      </c>
      <c r="E3976" t="str">
        <f>IF(COUNTIF(data2!$D:$D,D3976)=0,"Missing in Data2","Present")</f>
        <v>Present</v>
      </c>
    </row>
    <row r="3977" spans="1:5" x14ac:dyDescent="0.25">
      <c r="A3977" s="2" t="s">
        <v>3658</v>
      </c>
      <c r="B3977" s="2" t="s">
        <v>3659</v>
      </c>
      <c r="C3977" s="2">
        <v>2</v>
      </c>
      <c r="D3977" t="str">
        <f t="shared" si="62"/>
        <v>CA-2016-126004_OFF-ST-10000676</v>
      </c>
      <c r="E3977" t="str">
        <f>IF(COUNTIF(data2!$D:$D,D3977)=0,"Missing in Data2","Present")</f>
        <v>Present</v>
      </c>
    </row>
    <row r="3978" spans="1:5" x14ac:dyDescent="0.25">
      <c r="A3978" s="2" t="s">
        <v>3658</v>
      </c>
      <c r="B3978" s="2" t="s">
        <v>880</v>
      </c>
      <c r="C3978" s="2">
        <v>1</v>
      </c>
      <c r="D3978" t="str">
        <f t="shared" si="62"/>
        <v>CA-2016-126004_TEC-AC-10001432</v>
      </c>
      <c r="E3978" t="str">
        <f>IF(COUNTIF(data2!$D:$D,D3978)=0,"Missing in Data2","Present")</f>
        <v>Present</v>
      </c>
    </row>
    <row r="3979" spans="1:5" x14ac:dyDescent="0.25">
      <c r="A3979" s="2" t="s">
        <v>3660</v>
      </c>
      <c r="B3979" s="2" t="s">
        <v>3214</v>
      </c>
      <c r="C3979" s="2">
        <v>2</v>
      </c>
      <c r="D3979" t="str">
        <f t="shared" si="62"/>
        <v>CA-2016-126102_OFF-BI-10004318</v>
      </c>
      <c r="E3979" t="str">
        <f>IF(COUNTIF(data2!$D:$D,D3979)=0,"Missing in Data2","Present")</f>
        <v>Present</v>
      </c>
    </row>
    <row r="3980" spans="1:5" x14ac:dyDescent="0.25">
      <c r="A3980" s="2" t="s">
        <v>3661</v>
      </c>
      <c r="B3980" s="2" t="s">
        <v>16</v>
      </c>
      <c r="C3980" s="2">
        <v>2</v>
      </c>
      <c r="D3980" t="str">
        <f t="shared" si="62"/>
        <v>CA-2016-126158_FUR-CH-10002602</v>
      </c>
      <c r="E3980" t="str">
        <f>IF(COUNTIF(data2!$D:$D,D3980)=0,"Missing in Data2","Present")</f>
        <v>Present</v>
      </c>
    </row>
    <row r="3981" spans="1:5" x14ac:dyDescent="0.25">
      <c r="A3981" s="2" t="s">
        <v>3661</v>
      </c>
      <c r="B3981" s="2" t="s">
        <v>2387</v>
      </c>
      <c r="C3981" s="2">
        <v>9</v>
      </c>
      <c r="D3981" t="str">
        <f t="shared" si="62"/>
        <v>CA-2016-126158_FUR-FU-10000073</v>
      </c>
      <c r="E3981" t="str">
        <f>IF(COUNTIF(data2!$D:$D,D3981)=0,"Missing in Data2","Present")</f>
        <v>Present</v>
      </c>
    </row>
    <row r="3982" spans="1:5" x14ac:dyDescent="0.25">
      <c r="A3982" s="2" t="s">
        <v>3661</v>
      </c>
      <c r="B3982" s="2" t="s">
        <v>226</v>
      </c>
      <c r="C3982" s="2">
        <v>4</v>
      </c>
      <c r="D3982" t="str">
        <f t="shared" si="62"/>
        <v>CA-2016-126158_FUR-FU-10004864</v>
      </c>
      <c r="E3982" t="str">
        <f>IF(COUNTIF(data2!$D:$D,D3982)=0,"Missing in Data2","Present")</f>
        <v>Present</v>
      </c>
    </row>
    <row r="3983" spans="1:5" x14ac:dyDescent="0.25">
      <c r="A3983" s="2" t="s">
        <v>3661</v>
      </c>
      <c r="B3983" s="2" t="s">
        <v>1564</v>
      </c>
      <c r="C3983" s="2">
        <v>8</v>
      </c>
      <c r="D3983" t="str">
        <f t="shared" si="62"/>
        <v>CA-2016-126158_OFF-BI-10002498</v>
      </c>
      <c r="E3983" t="str">
        <f>IF(COUNTIF(data2!$D:$D,D3983)=0,"Missing in Data2","Present")</f>
        <v>Present</v>
      </c>
    </row>
    <row r="3984" spans="1:5" x14ac:dyDescent="0.25">
      <c r="A3984" s="2" t="s">
        <v>3662</v>
      </c>
      <c r="B3984" s="2" t="s">
        <v>513</v>
      </c>
      <c r="C3984" s="2">
        <v>2</v>
      </c>
      <c r="D3984" t="str">
        <f t="shared" si="62"/>
        <v>CA-2016-126165_FUR-TA-10001676</v>
      </c>
      <c r="E3984" t="str">
        <f>IF(COUNTIF(data2!$D:$D,D3984)=0,"Missing in Data2","Present")</f>
        <v>Present</v>
      </c>
    </row>
    <row r="3985" spans="1:5" x14ac:dyDescent="0.25">
      <c r="A3985" s="2" t="s">
        <v>3663</v>
      </c>
      <c r="B3985" s="2" t="s">
        <v>735</v>
      </c>
      <c r="C3985" s="2">
        <v>7</v>
      </c>
      <c r="D3985" t="str">
        <f t="shared" si="62"/>
        <v>CA-2016-126270_OFF-BI-10002764</v>
      </c>
      <c r="E3985" t="str">
        <f>IF(COUNTIF(data2!$D:$D,D3985)=0,"Missing in Data2","Present")</f>
        <v>Present</v>
      </c>
    </row>
    <row r="3986" spans="1:5" x14ac:dyDescent="0.25">
      <c r="A3986" s="2" t="s">
        <v>3663</v>
      </c>
      <c r="B3986" s="2" t="s">
        <v>3016</v>
      </c>
      <c r="C3986" s="2">
        <v>3</v>
      </c>
      <c r="D3986" t="str">
        <f t="shared" si="62"/>
        <v>CA-2016-126270_OFF-EN-10004386</v>
      </c>
      <c r="E3986" t="str">
        <f>IF(COUNTIF(data2!$D:$D,D3986)=0,"Missing in Data2","Present")</f>
        <v>Present</v>
      </c>
    </row>
    <row r="3987" spans="1:5" x14ac:dyDescent="0.25">
      <c r="A3987" s="2" t="s">
        <v>3664</v>
      </c>
      <c r="B3987" s="2" t="s">
        <v>1106</v>
      </c>
      <c r="C3987" s="2">
        <v>5</v>
      </c>
      <c r="D3987" t="str">
        <f t="shared" si="62"/>
        <v>CA-2016-126284_OFF-BI-10004828</v>
      </c>
      <c r="E3987" t="str">
        <f>IF(COUNTIF(data2!$D:$D,D3987)=0,"Missing in Data2","Present")</f>
        <v>Present</v>
      </c>
    </row>
    <row r="3988" spans="1:5" x14ac:dyDescent="0.25">
      <c r="A3988" s="2" t="s">
        <v>3665</v>
      </c>
      <c r="B3988" s="2" t="s">
        <v>1378</v>
      </c>
      <c r="C3988" s="2">
        <v>3</v>
      </c>
      <c r="D3988" t="str">
        <f t="shared" si="62"/>
        <v>CA-2016-126529_OFF-PA-10001166</v>
      </c>
      <c r="E3988" t="str">
        <f>IF(COUNTIF(data2!$D:$D,D3988)=0,"Missing in Data2","Present")</f>
        <v>Present</v>
      </c>
    </row>
    <row r="3989" spans="1:5" x14ac:dyDescent="0.25">
      <c r="A3989" s="2" t="s">
        <v>3665</v>
      </c>
      <c r="B3989" s="2" t="s">
        <v>2980</v>
      </c>
      <c r="C3989" s="2">
        <v>3</v>
      </c>
      <c r="D3989" t="str">
        <f t="shared" si="62"/>
        <v>CA-2016-126529_OFF-PA-10003656</v>
      </c>
      <c r="E3989" t="str">
        <f>IF(COUNTIF(data2!$D:$D,D3989)=0,"Missing in Data2","Present")</f>
        <v>Present</v>
      </c>
    </row>
    <row r="3990" spans="1:5" x14ac:dyDescent="0.25">
      <c r="A3990" s="2" t="s">
        <v>3665</v>
      </c>
      <c r="B3990" s="2" t="s">
        <v>3666</v>
      </c>
      <c r="C3990" s="2">
        <v>2</v>
      </c>
      <c r="D3990" t="str">
        <f t="shared" si="62"/>
        <v>CA-2016-126529_TEC-PH-10000148</v>
      </c>
      <c r="E3990" t="str">
        <f>IF(COUNTIF(data2!$D:$D,D3990)=0,"Missing in Data2","Present")</f>
        <v>Present</v>
      </c>
    </row>
    <row r="3991" spans="1:5" x14ac:dyDescent="0.25">
      <c r="A3991" s="2" t="s">
        <v>3667</v>
      </c>
      <c r="B3991" s="2" t="s">
        <v>3041</v>
      </c>
      <c r="C3991" s="2">
        <v>2</v>
      </c>
      <c r="D3991" t="str">
        <f t="shared" si="62"/>
        <v>CA-2016-126543_FUR-FU-10002445</v>
      </c>
      <c r="E3991" t="str">
        <f>IF(COUNTIF(data2!$D:$D,D3991)=0,"Missing in Data2","Present")</f>
        <v>Present</v>
      </c>
    </row>
    <row r="3992" spans="1:5" x14ac:dyDescent="0.25">
      <c r="A3992" s="2" t="s">
        <v>3668</v>
      </c>
      <c r="B3992" s="2" t="s">
        <v>2467</v>
      </c>
      <c r="C3992" s="2">
        <v>2</v>
      </c>
      <c r="D3992" t="str">
        <f t="shared" si="62"/>
        <v>CA-2016-126613_OFF-ST-10001325</v>
      </c>
      <c r="E3992" t="str">
        <f>IF(COUNTIF(data2!$D:$D,D3992)=0,"Missing in Data2","Present")</f>
        <v>Present</v>
      </c>
    </row>
    <row r="3993" spans="1:5" x14ac:dyDescent="0.25">
      <c r="A3993" s="2" t="s">
        <v>3669</v>
      </c>
      <c r="B3993" s="2" t="s">
        <v>3616</v>
      </c>
      <c r="C3993" s="2">
        <v>4</v>
      </c>
      <c r="D3993" t="str">
        <f t="shared" si="62"/>
        <v>CA-2016-126627_FUR-FU-10004963</v>
      </c>
      <c r="E3993" t="str">
        <f>IF(COUNTIF(data2!$D:$D,D3993)=0,"Missing in Data2","Present")</f>
        <v>Present</v>
      </c>
    </row>
    <row r="3994" spans="1:5" x14ac:dyDescent="0.25">
      <c r="A3994" s="2" t="s">
        <v>3669</v>
      </c>
      <c r="B3994" s="2" t="s">
        <v>5</v>
      </c>
      <c r="C3994" s="2">
        <v>2</v>
      </c>
      <c r="D3994" t="str">
        <f t="shared" si="62"/>
        <v>CA-2016-126627_OFF-BI-10001597</v>
      </c>
      <c r="E3994" t="str">
        <f>IF(COUNTIF(data2!$D:$D,D3994)=0,"Missing in Data2","Present")</f>
        <v>Present</v>
      </c>
    </row>
    <row r="3995" spans="1:5" x14ac:dyDescent="0.25">
      <c r="A3995" s="2" t="s">
        <v>3670</v>
      </c>
      <c r="B3995" s="2" t="s">
        <v>377</v>
      </c>
      <c r="C3995" s="2">
        <v>9</v>
      </c>
      <c r="D3995" t="str">
        <f t="shared" si="62"/>
        <v>CA-2016-126732_FUR-FU-10001889</v>
      </c>
      <c r="E3995" t="str">
        <f>IF(COUNTIF(data2!$D:$D,D3995)=0,"Missing in Data2","Present")</f>
        <v>Present</v>
      </c>
    </row>
    <row r="3996" spans="1:5" x14ac:dyDescent="0.25">
      <c r="A3996" s="2" t="s">
        <v>3670</v>
      </c>
      <c r="B3996" s="2" t="s">
        <v>544</v>
      </c>
      <c r="C3996" s="2">
        <v>3</v>
      </c>
      <c r="D3996" t="str">
        <f t="shared" si="62"/>
        <v>CA-2016-126732_FUR-TA-10001539</v>
      </c>
      <c r="E3996" t="str">
        <f>IF(COUNTIF(data2!$D:$D,D3996)=0,"Missing in Data2","Present")</f>
        <v>Present</v>
      </c>
    </row>
    <row r="3997" spans="1:5" x14ac:dyDescent="0.25">
      <c r="A3997" s="2" t="s">
        <v>3670</v>
      </c>
      <c r="B3997" s="2" t="s">
        <v>1042</v>
      </c>
      <c r="C3997" s="2">
        <v>1</v>
      </c>
      <c r="D3997" t="str">
        <f t="shared" si="62"/>
        <v>CA-2016-126732_OFF-BI-10001553</v>
      </c>
      <c r="E3997" t="str">
        <f>IF(COUNTIF(data2!$D:$D,D3997)=0,"Missing in Data2","Present")</f>
        <v>Present</v>
      </c>
    </row>
    <row r="3998" spans="1:5" x14ac:dyDescent="0.25">
      <c r="A3998" s="2" t="s">
        <v>3670</v>
      </c>
      <c r="B3998" s="2" t="s">
        <v>602</v>
      </c>
      <c r="C3998" s="2">
        <v>4</v>
      </c>
      <c r="D3998" t="str">
        <f t="shared" si="62"/>
        <v>CA-2016-126732_TEC-PH-10001530</v>
      </c>
      <c r="E3998" t="str">
        <f>IF(COUNTIF(data2!$D:$D,D3998)=0,"Missing in Data2","Present")</f>
        <v>Present</v>
      </c>
    </row>
    <row r="3999" spans="1:5" x14ac:dyDescent="0.25">
      <c r="A3999" s="2" t="s">
        <v>3671</v>
      </c>
      <c r="B3999" s="2" t="s">
        <v>1223</v>
      </c>
      <c r="C3999" s="2">
        <v>2</v>
      </c>
      <c r="D3999" t="str">
        <f t="shared" si="62"/>
        <v>CA-2016-126795_OFF-BI-10001989</v>
      </c>
      <c r="E3999" t="str">
        <f>IF(COUNTIF(data2!$D:$D,D3999)=0,"Missing in Data2","Present")</f>
        <v>Present</v>
      </c>
    </row>
    <row r="4000" spans="1:5" x14ac:dyDescent="0.25">
      <c r="A4000" s="2" t="s">
        <v>3672</v>
      </c>
      <c r="B4000" s="2" t="s">
        <v>688</v>
      </c>
      <c r="C4000" s="2">
        <v>9</v>
      </c>
      <c r="D4000" t="str">
        <f t="shared" si="62"/>
        <v>CA-2016-126809_OFF-BI-10003712</v>
      </c>
      <c r="E4000" t="str">
        <f>IF(COUNTIF(data2!$D:$D,D4000)=0,"Missing in Data2","Present")</f>
        <v>Missing in Data2</v>
      </c>
    </row>
    <row r="4001" spans="1:5" x14ac:dyDescent="0.25">
      <c r="A4001" s="2" t="s">
        <v>3673</v>
      </c>
      <c r="B4001" s="2" t="s">
        <v>1649</v>
      </c>
      <c r="C4001" s="2">
        <v>2</v>
      </c>
      <c r="D4001" t="str">
        <f t="shared" si="62"/>
        <v>CA-2016-126858_FUR-FU-10000448</v>
      </c>
      <c r="E4001" t="str">
        <f>IF(COUNTIF(data2!$D:$D,D4001)=0,"Missing in Data2","Present")</f>
        <v>Present</v>
      </c>
    </row>
    <row r="4002" spans="1:5" x14ac:dyDescent="0.25">
      <c r="A4002" s="2" t="s">
        <v>3674</v>
      </c>
      <c r="B4002" s="2" t="s">
        <v>1950</v>
      </c>
      <c r="C4002" s="2">
        <v>1</v>
      </c>
      <c r="D4002" t="str">
        <f t="shared" si="62"/>
        <v>CA-2016-126935_OFF-BI-10004817</v>
      </c>
      <c r="E4002" t="str">
        <f>IF(COUNTIF(data2!$D:$D,D4002)=0,"Missing in Data2","Present")</f>
        <v>Present</v>
      </c>
    </row>
    <row r="4003" spans="1:5" x14ac:dyDescent="0.25">
      <c r="A4003" s="2" t="s">
        <v>3675</v>
      </c>
      <c r="B4003" s="2" t="s">
        <v>2170</v>
      </c>
      <c r="C4003" s="2">
        <v>3</v>
      </c>
      <c r="D4003" t="str">
        <f t="shared" si="62"/>
        <v>CA-2016-127138_FUR-CH-10003746</v>
      </c>
      <c r="E4003" t="str">
        <f>IF(COUNTIF(data2!$D:$D,D4003)=0,"Missing in Data2","Present")</f>
        <v>Present</v>
      </c>
    </row>
    <row r="4004" spans="1:5" x14ac:dyDescent="0.25">
      <c r="A4004" s="2" t="s">
        <v>3675</v>
      </c>
      <c r="B4004" s="2" t="s">
        <v>1231</v>
      </c>
      <c r="C4004" s="2">
        <v>4</v>
      </c>
      <c r="D4004" t="str">
        <f t="shared" si="62"/>
        <v>CA-2016-127138_OFF-EN-10004459</v>
      </c>
      <c r="E4004" t="str">
        <f>IF(COUNTIF(data2!$D:$D,D4004)=0,"Missing in Data2","Present")</f>
        <v>Present</v>
      </c>
    </row>
    <row r="4005" spans="1:5" x14ac:dyDescent="0.25">
      <c r="A4005" s="2" t="s">
        <v>3675</v>
      </c>
      <c r="B4005" s="2" t="s">
        <v>2078</v>
      </c>
      <c r="C4005" s="2">
        <v>5</v>
      </c>
      <c r="D4005" t="str">
        <f t="shared" si="62"/>
        <v>CA-2016-127138_OFF-ST-10002756</v>
      </c>
      <c r="E4005" t="str">
        <f>IF(COUNTIF(data2!$D:$D,D4005)=0,"Missing in Data2","Present")</f>
        <v>Present</v>
      </c>
    </row>
    <row r="4006" spans="1:5" x14ac:dyDescent="0.25">
      <c r="A4006" s="2" t="s">
        <v>3676</v>
      </c>
      <c r="B4006" s="2" t="s">
        <v>622</v>
      </c>
      <c r="C4006" s="2">
        <v>9</v>
      </c>
      <c r="D4006" t="str">
        <f t="shared" si="62"/>
        <v>CA-2016-127194_OFF-PA-10000659</v>
      </c>
      <c r="E4006" t="str">
        <f>IF(COUNTIF(data2!$D:$D,D4006)=0,"Missing in Data2","Present")</f>
        <v>Present</v>
      </c>
    </row>
    <row r="4007" spans="1:5" x14ac:dyDescent="0.25">
      <c r="A4007" s="2" t="s">
        <v>3677</v>
      </c>
      <c r="B4007" s="2" t="s">
        <v>563</v>
      </c>
      <c r="C4007" s="2">
        <v>1</v>
      </c>
      <c r="D4007" t="str">
        <f t="shared" si="62"/>
        <v>CA-2016-127208_OFF-AP-10002118</v>
      </c>
      <c r="E4007" t="str">
        <f>IF(COUNTIF(data2!$D:$D,D4007)=0,"Missing in Data2","Present")</f>
        <v>Present</v>
      </c>
    </row>
    <row r="4008" spans="1:5" x14ac:dyDescent="0.25">
      <c r="A4008" s="2" t="s">
        <v>3677</v>
      </c>
      <c r="B4008" s="2" t="s">
        <v>3655</v>
      </c>
      <c r="C4008" s="2">
        <v>3</v>
      </c>
      <c r="D4008" t="str">
        <f t="shared" si="62"/>
        <v>CA-2016-127208_OFF-BI-10002309</v>
      </c>
      <c r="E4008" t="str">
        <f>IF(COUNTIF(data2!$D:$D,D4008)=0,"Missing in Data2","Present")</f>
        <v>Present</v>
      </c>
    </row>
    <row r="4009" spans="1:5" x14ac:dyDescent="0.25">
      <c r="A4009" s="2" t="s">
        <v>3678</v>
      </c>
      <c r="B4009" s="2" t="s">
        <v>631</v>
      </c>
      <c r="C4009" s="2">
        <v>5</v>
      </c>
      <c r="D4009" t="str">
        <f t="shared" si="62"/>
        <v>CA-2016-127236_FUR-BO-10004015</v>
      </c>
      <c r="E4009" t="str">
        <f>IF(COUNTIF(data2!$D:$D,D4009)=0,"Missing in Data2","Present")</f>
        <v>Present</v>
      </c>
    </row>
    <row r="4010" spans="1:5" x14ac:dyDescent="0.25">
      <c r="A4010" s="2" t="s">
        <v>3678</v>
      </c>
      <c r="B4010" s="2" t="s">
        <v>3679</v>
      </c>
      <c r="C4010" s="2">
        <v>4</v>
      </c>
      <c r="D4010" t="str">
        <f t="shared" si="62"/>
        <v>CA-2016-127236_TEC-PH-10000141</v>
      </c>
      <c r="E4010" t="str">
        <f>IF(COUNTIF(data2!$D:$D,D4010)=0,"Missing in Data2","Present")</f>
        <v>Present</v>
      </c>
    </row>
    <row r="4011" spans="1:5" x14ac:dyDescent="0.25">
      <c r="A4011" s="2" t="s">
        <v>3680</v>
      </c>
      <c r="B4011" s="2" t="s">
        <v>1419</v>
      </c>
      <c r="C4011" s="2">
        <v>7</v>
      </c>
      <c r="D4011" t="str">
        <f t="shared" si="62"/>
        <v>CA-2016-127243_FUR-CH-10002647</v>
      </c>
      <c r="E4011" t="str">
        <f>IF(COUNTIF(data2!$D:$D,D4011)=0,"Missing in Data2","Present")</f>
        <v>Present</v>
      </c>
    </row>
    <row r="4012" spans="1:5" x14ac:dyDescent="0.25">
      <c r="A4012" s="2" t="s">
        <v>3680</v>
      </c>
      <c r="B4012" s="2" t="s">
        <v>2000</v>
      </c>
      <c r="C4012" s="2">
        <v>2</v>
      </c>
      <c r="D4012" t="str">
        <f t="shared" si="62"/>
        <v>CA-2016-127243_OFF-BI-10003166</v>
      </c>
      <c r="E4012" t="str">
        <f>IF(COUNTIF(data2!$D:$D,D4012)=0,"Missing in Data2","Present")</f>
        <v>Present</v>
      </c>
    </row>
    <row r="4013" spans="1:5" x14ac:dyDescent="0.25">
      <c r="A4013" s="2" t="s">
        <v>3680</v>
      </c>
      <c r="B4013" s="2" t="s">
        <v>3681</v>
      </c>
      <c r="C4013" s="2">
        <v>8</v>
      </c>
      <c r="D4013" t="str">
        <f t="shared" si="62"/>
        <v>CA-2016-127243_OFF-FA-10004076</v>
      </c>
      <c r="E4013" t="str">
        <f>IF(COUNTIF(data2!$D:$D,D4013)=0,"Missing in Data2","Present")</f>
        <v>Present</v>
      </c>
    </row>
    <row r="4014" spans="1:5" x14ac:dyDescent="0.25">
      <c r="A4014" s="2" t="s">
        <v>3680</v>
      </c>
      <c r="B4014" s="2" t="s">
        <v>1585</v>
      </c>
      <c r="C4014" s="2">
        <v>2</v>
      </c>
      <c r="D4014" t="str">
        <f t="shared" si="62"/>
        <v>CA-2016-127243_OFF-ST-10002301</v>
      </c>
      <c r="E4014" t="str">
        <f>IF(COUNTIF(data2!$D:$D,D4014)=0,"Missing in Data2","Present")</f>
        <v>Missing in Data2</v>
      </c>
    </row>
    <row r="4015" spans="1:5" x14ac:dyDescent="0.25">
      <c r="A4015" s="2" t="s">
        <v>3680</v>
      </c>
      <c r="B4015" s="2" t="s">
        <v>900</v>
      </c>
      <c r="C4015" s="2">
        <v>3</v>
      </c>
      <c r="D4015" t="str">
        <f t="shared" si="62"/>
        <v>CA-2016-127243_TEC-PH-10004539</v>
      </c>
      <c r="E4015" t="str">
        <f>IF(COUNTIF(data2!$D:$D,D4015)=0,"Missing in Data2","Present")</f>
        <v>Present</v>
      </c>
    </row>
    <row r="4016" spans="1:5" x14ac:dyDescent="0.25">
      <c r="A4016" s="2" t="s">
        <v>3682</v>
      </c>
      <c r="B4016" s="2" t="s">
        <v>1047</v>
      </c>
      <c r="C4016" s="2">
        <v>3</v>
      </c>
      <c r="D4016" t="str">
        <f t="shared" si="62"/>
        <v>CA-2016-127250_OFF-AR-10003394</v>
      </c>
      <c r="E4016" t="str">
        <f>IF(COUNTIF(data2!$D:$D,D4016)=0,"Missing in Data2","Present")</f>
        <v>Present</v>
      </c>
    </row>
    <row r="4017" spans="1:5" x14ac:dyDescent="0.25">
      <c r="A4017" s="2" t="s">
        <v>3683</v>
      </c>
      <c r="B4017" s="2" t="s">
        <v>1291</v>
      </c>
      <c r="C4017" s="2">
        <v>5</v>
      </c>
      <c r="D4017" t="str">
        <f t="shared" si="62"/>
        <v>CA-2016-127369_OFF-ST-10003306</v>
      </c>
      <c r="E4017" t="str">
        <f>IF(COUNTIF(data2!$D:$D,D4017)=0,"Missing in Data2","Present")</f>
        <v>Present</v>
      </c>
    </row>
    <row r="4018" spans="1:5" x14ac:dyDescent="0.25">
      <c r="A4018" s="2" t="s">
        <v>3684</v>
      </c>
      <c r="B4018" s="2" t="s">
        <v>3685</v>
      </c>
      <c r="C4018" s="2">
        <v>2</v>
      </c>
      <c r="D4018" t="str">
        <f t="shared" si="62"/>
        <v>CA-2016-127642_OFF-PA-10000565</v>
      </c>
      <c r="E4018" t="str">
        <f>IF(COUNTIF(data2!$D:$D,D4018)=0,"Missing in Data2","Present")</f>
        <v>Present</v>
      </c>
    </row>
    <row r="4019" spans="1:5" x14ac:dyDescent="0.25">
      <c r="A4019" s="2" t="s">
        <v>3686</v>
      </c>
      <c r="B4019" s="2" t="s">
        <v>1762</v>
      </c>
      <c r="C4019" s="2">
        <v>3</v>
      </c>
      <c r="D4019" t="str">
        <f t="shared" si="62"/>
        <v>CA-2016-127649_TEC-MA-10001972</v>
      </c>
      <c r="E4019" t="str">
        <f>IF(COUNTIF(data2!$D:$D,D4019)=0,"Missing in Data2","Present")</f>
        <v>Present</v>
      </c>
    </row>
    <row r="4020" spans="1:5" x14ac:dyDescent="0.25">
      <c r="A4020" s="2" t="s">
        <v>3687</v>
      </c>
      <c r="B4020" s="2" t="s">
        <v>2635</v>
      </c>
      <c r="C4020" s="2">
        <v>4</v>
      </c>
      <c r="D4020" t="str">
        <f t="shared" si="62"/>
        <v>CA-2016-127670_FUR-TA-10001095</v>
      </c>
      <c r="E4020" t="str">
        <f>IF(COUNTIF(data2!$D:$D,D4020)=0,"Missing in Data2","Present")</f>
        <v>Present</v>
      </c>
    </row>
    <row r="4021" spans="1:5" x14ac:dyDescent="0.25">
      <c r="A4021" s="2" t="s">
        <v>3688</v>
      </c>
      <c r="B4021" s="2" t="s">
        <v>713</v>
      </c>
      <c r="C4021" s="2">
        <v>9</v>
      </c>
      <c r="D4021" t="str">
        <f t="shared" si="62"/>
        <v>CA-2016-127698_TEC-PH-10003811</v>
      </c>
      <c r="E4021" t="str">
        <f>IF(COUNTIF(data2!$D:$D,D4021)=0,"Missing in Data2","Present")</f>
        <v>Present</v>
      </c>
    </row>
    <row r="4022" spans="1:5" x14ac:dyDescent="0.25">
      <c r="A4022" s="2" t="s">
        <v>3689</v>
      </c>
      <c r="B4022" s="2" t="s">
        <v>1825</v>
      </c>
      <c r="C4022" s="2">
        <v>1</v>
      </c>
      <c r="D4022" t="str">
        <f t="shared" si="62"/>
        <v>CA-2016-127761_OFF-BI-10002557</v>
      </c>
      <c r="E4022" t="str">
        <f>IF(COUNTIF(data2!$D:$D,D4022)=0,"Missing in Data2","Present")</f>
        <v>Missing in Data2</v>
      </c>
    </row>
    <row r="4023" spans="1:5" x14ac:dyDescent="0.25">
      <c r="A4023" s="2" t="s">
        <v>3689</v>
      </c>
      <c r="B4023" s="2" t="s">
        <v>350</v>
      </c>
      <c r="C4023" s="2">
        <v>7</v>
      </c>
      <c r="D4023" t="str">
        <f t="shared" si="62"/>
        <v>CA-2016-127761_TEC-PH-10003691</v>
      </c>
      <c r="E4023" t="str">
        <f>IF(COUNTIF(data2!$D:$D,D4023)=0,"Missing in Data2","Present")</f>
        <v>Present</v>
      </c>
    </row>
    <row r="4024" spans="1:5" x14ac:dyDescent="0.25">
      <c r="A4024" s="2" t="s">
        <v>3690</v>
      </c>
      <c r="B4024" s="2" t="s">
        <v>1862</v>
      </c>
      <c r="C4024" s="2">
        <v>3</v>
      </c>
      <c r="D4024" t="str">
        <f t="shared" si="62"/>
        <v>CA-2016-127775_TEC-AC-10002402</v>
      </c>
      <c r="E4024" t="str">
        <f>IF(COUNTIF(data2!$D:$D,D4024)=0,"Missing in Data2","Present")</f>
        <v>Present</v>
      </c>
    </row>
    <row r="4025" spans="1:5" x14ac:dyDescent="0.25">
      <c r="A4025" s="2" t="s">
        <v>3691</v>
      </c>
      <c r="B4025" s="2" t="s">
        <v>779</v>
      </c>
      <c r="C4025" s="2">
        <v>4</v>
      </c>
      <c r="D4025" t="str">
        <f t="shared" si="62"/>
        <v>CA-2016-127985_FUR-FU-10003274</v>
      </c>
      <c r="E4025" t="str">
        <f>IF(COUNTIF(data2!$D:$D,D4025)=0,"Missing in Data2","Present")</f>
        <v>Present</v>
      </c>
    </row>
    <row r="4026" spans="1:5" x14ac:dyDescent="0.25">
      <c r="A4026" s="2" t="s">
        <v>3692</v>
      </c>
      <c r="B4026" s="2" t="s">
        <v>1821</v>
      </c>
      <c r="C4026" s="2">
        <v>2</v>
      </c>
      <c r="D4026" t="str">
        <f t="shared" si="62"/>
        <v>CA-2016-128111_OFF-AR-10000588</v>
      </c>
      <c r="E4026" t="str">
        <f>IF(COUNTIF(data2!$D:$D,D4026)=0,"Missing in Data2","Present")</f>
        <v>Present</v>
      </c>
    </row>
    <row r="4027" spans="1:5" x14ac:dyDescent="0.25">
      <c r="A4027" s="2" t="s">
        <v>3693</v>
      </c>
      <c r="B4027" s="2" t="s">
        <v>3694</v>
      </c>
      <c r="C4027" s="2">
        <v>7</v>
      </c>
      <c r="D4027" t="str">
        <f t="shared" si="62"/>
        <v>CA-2016-128223_FUR-TA-10001771</v>
      </c>
      <c r="E4027" t="str">
        <f>IF(COUNTIF(data2!$D:$D,D4027)=0,"Missing in Data2","Present")</f>
        <v>Present</v>
      </c>
    </row>
    <row r="4028" spans="1:5" x14ac:dyDescent="0.25">
      <c r="A4028" s="2" t="s">
        <v>3695</v>
      </c>
      <c r="B4028" s="2" t="s">
        <v>1399</v>
      </c>
      <c r="C4028" s="2">
        <v>1</v>
      </c>
      <c r="D4028" t="str">
        <f t="shared" si="62"/>
        <v>CA-2016-128307_OFF-EN-10003040</v>
      </c>
      <c r="E4028" t="str">
        <f>IF(COUNTIF(data2!$D:$D,D4028)=0,"Missing in Data2","Present")</f>
        <v>Present</v>
      </c>
    </row>
    <row r="4029" spans="1:5" x14ac:dyDescent="0.25">
      <c r="A4029" s="2" t="s">
        <v>3696</v>
      </c>
      <c r="B4029" s="2" t="s">
        <v>3697</v>
      </c>
      <c r="C4029" s="2">
        <v>3</v>
      </c>
      <c r="D4029" t="str">
        <f t="shared" si="62"/>
        <v>CA-2016-128412_OFF-AP-10000252</v>
      </c>
      <c r="E4029" t="str">
        <f>IF(COUNTIF(data2!$D:$D,D4029)=0,"Missing in Data2","Present")</f>
        <v>Present</v>
      </c>
    </row>
    <row r="4030" spans="1:5" x14ac:dyDescent="0.25">
      <c r="A4030" s="2" t="s">
        <v>3696</v>
      </c>
      <c r="B4030" s="2" t="s">
        <v>2324</v>
      </c>
      <c r="C4030" s="2">
        <v>3</v>
      </c>
      <c r="D4030" t="str">
        <f t="shared" si="62"/>
        <v>CA-2016-128412_OFF-BI-10001718</v>
      </c>
      <c r="E4030" t="str">
        <f>IF(COUNTIF(data2!$D:$D,D4030)=0,"Missing in Data2","Present")</f>
        <v>Present</v>
      </c>
    </row>
    <row r="4031" spans="1:5" x14ac:dyDescent="0.25">
      <c r="A4031" s="2" t="s">
        <v>3696</v>
      </c>
      <c r="B4031" s="2" t="s">
        <v>781</v>
      </c>
      <c r="C4031" s="2">
        <v>4</v>
      </c>
      <c r="D4031" t="str">
        <f t="shared" si="62"/>
        <v>CA-2016-128412_OFF-PA-10001125</v>
      </c>
      <c r="E4031" t="str">
        <f>IF(COUNTIF(data2!$D:$D,D4031)=0,"Missing in Data2","Present")</f>
        <v>Present</v>
      </c>
    </row>
    <row r="4032" spans="1:5" x14ac:dyDescent="0.25">
      <c r="A4032" s="2" t="s">
        <v>3696</v>
      </c>
      <c r="B4032" s="2" t="s">
        <v>311</v>
      </c>
      <c r="C4032" s="2">
        <v>5</v>
      </c>
      <c r="D4032" t="str">
        <f t="shared" si="62"/>
        <v>CA-2016-128412_TEC-AC-10003038</v>
      </c>
      <c r="E4032" t="str">
        <f>IF(COUNTIF(data2!$D:$D,D4032)=0,"Missing in Data2","Present")</f>
        <v>Present</v>
      </c>
    </row>
    <row r="4033" spans="1:5" x14ac:dyDescent="0.25">
      <c r="A4033" s="2" t="s">
        <v>3698</v>
      </c>
      <c r="B4033" s="2" t="s">
        <v>3699</v>
      </c>
      <c r="C4033" s="2">
        <v>2</v>
      </c>
      <c r="D4033" t="str">
        <f t="shared" si="62"/>
        <v>CA-2016-128517_OFF-BI-10000831</v>
      </c>
      <c r="E4033" t="str">
        <f>IF(COUNTIF(data2!$D:$D,D4033)=0,"Missing in Data2","Present")</f>
        <v>Present</v>
      </c>
    </row>
    <row r="4034" spans="1:5" x14ac:dyDescent="0.25">
      <c r="A4034" s="2" t="s">
        <v>3698</v>
      </c>
      <c r="B4034" s="2" t="s">
        <v>3146</v>
      </c>
      <c r="C4034" s="2">
        <v>2</v>
      </c>
      <c r="D4034" t="str">
        <f t="shared" si="62"/>
        <v>CA-2016-128517_TEC-PH-10002555</v>
      </c>
      <c r="E4034" t="str">
        <f>IF(COUNTIF(data2!$D:$D,D4034)=0,"Missing in Data2","Present")</f>
        <v>Present</v>
      </c>
    </row>
    <row r="4035" spans="1:5" x14ac:dyDescent="0.25">
      <c r="A4035" s="2" t="s">
        <v>3700</v>
      </c>
      <c r="B4035" s="2" t="s">
        <v>1739</v>
      </c>
      <c r="C4035" s="2">
        <v>3</v>
      </c>
      <c r="D4035" t="str">
        <f t="shared" ref="D4035:D4098" si="63">A4035&amp;"_"&amp;B4035</f>
        <v>CA-2016-128531_OFF-AR-10003405</v>
      </c>
      <c r="E4035" t="str">
        <f>IF(COUNTIF(data2!$D:$D,D4035)=0,"Missing in Data2","Present")</f>
        <v>Present</v>
      </c>
    </row>
    <row r="4036" spans="1:5" x14ac:dyDescent="0.25">
      <c r="A4036" s="2" t="s">
        <v>3700</v>
      </c>
      <c r="B4036" s="2" t="s">
        <v>1273</v>
      </c>
      <c r="C4036" s="2">
        <v>3</v>
      </c>
      <c r="D4036" t="str">
        <f t="shared" si="63"/>
        <v>CA-2016-128531_OFF-PA-10000167</v>
      </c>
      <c r="E4036" t="str">
        <f>IF(COUNTIF(data2!$D:$D,D4036)=0,"Missing in Data2","Present")</f>
        <v>Present</v>
      </c>
    </row>
    <row r="4037" spans="1:5" x14ac:dyDescent="0.25">
      <c r="A4037" s="2" t="s">
        <v>3700</v>
      </c>
      <c r="B4037" s="2" t="s">
        <v>2467</v>
      </c>
      <c r="C4037" s="2">
        <v>5</v>
      </c>
      <c r="D4037" t="str">
        <f t="shared" si="63"/>
        <v>CA-2016-128531_OFF-ST-10001325</v>
      </c>
      <c r="E4037" t="str">
        <f>IF(COUNTIF(data2!$D:$D,D4037)=0,"Missing in Data2","Present")</f>
        <v>Present</v>
      </c>
    </row>
    <row r="4038" spans="1:5" x14ac:dyDescent="0.25">
      <c r="A4038" s="2" t="s">
        <v>3700</v>
      </c>
      <c r="B4038" s="2" t="s">
        <v>1053</v>
      </c>
      <c r="C4038" s="2">
        <v>3</v>
      </c>
      <c r="D4038" t="str">
        <f t="shared" si="63"/>
        <v>CA-2016-128531_TEC-AC-10002049</v>
      </c>
      <c r="E4038" t="str">
        <f>IF(COUNTIF(data2!$D:$D,D4038)=0,"Missing in Data2","Present")</f>
        <v>Present</v>
      </c>
    </row>
    <row r="4039" spans="1:5" x14ac:dyDescent="0.25">
      <c r="A4039" s="2" t="s">
        <v>3700</v>
      </c>
      <c r="B4039" s="2" t="s">
        <v>324</v>
      </c>
      <c r="C4039" s="2">
        <v>2</v>
      </c>
      <c r="D4039" t="str">
        <f t="shared" si="63"/>
        <v>CA-2016-128531_TEC-AC-10003023</v>
      </c>
      <c r="E4039" t="str">
        <f>IF(COUNTIF(data2!$D:$D,D4039)=0,"Missing in Data2","Present")</f>
        <v>Present</v>
      </c>
    </row>
    <row r="4040" spans="1:5" x14ac:dyDescent="0.25">
      <c r="A4040" s="2" t="s">
        <v>3701</v>
      </c>
      <c r="B4040" s="2" t="s">
        <v>510</v>
      </c>
      <c r="C4040" s="2">
        <v>2</v>
      </c>
      <c r="D4040" t="str">
        <f t="shared" si="63"/>
        <v>CA-2016-128671_OFF-BI-10003007</v>
      </c>
      <c r="E4040" t="str">
        <f>IF(COUNTIF(data2!$D:$D,D4040)=0,"Missing in Data2","Present")</f>
        <v>Present</v>
      </c>
    </row>
    <row r="4041" spans="1:5" x14ac:dyDescent="0.25">
      <c r="A4041" s="2" t="s">
        <v>3701</v>
      </c>
      <c r="B4041" s="2" t="s">
        <v>390</v>
      </c>
      <c r="C4041" s="2">
        <v>7</v>
      </c>
      <c r="D4041" t="str">
        <f t="shared" si="63"/>
        <v>CA-2016-128671_OFF-BI-10003305</v>
      </c>
      <c r="E4041" t="str">
        <f>IF(COUNTIF(data2!$D:$D,D4041)=0,"Missing in Data2","Present")</f>
        <v>Present</v>
      </c>
    </row>
    <row r="4042" spans="1:5" x14ac:dyDescent="0.25">
      <c r="A4042" s="2" t="s">
        <v>3701</v>
      </c>
      <c r="B4042" s="2" t="s">
        <v>2631</v>
      </c>
      <c r="C4042" s="2">
        <v>5</v>
      </c>
      <c r="D4042" t="str">
        <f t="shared" si="63"/>
        <v>CA-2016-128671_OFF-PA-10001870</v>
      </c>
      <c r="E4042" t="str">
        <f>IF(COUNTIF(data2!$D:$D,D4042)=0,"Missing in Data2","Present")</f>
        <v>Present</v>
      </c>
    </row>
    <row r="4043" spans="1:5" x14ac:dyDescent="0.25">
      <c r="A4043" s="2" t="s">
        <v>3702</v>
      </c>
      <c r="B4043" s="2" t="s">
        <v>3539</v>
      </c>
      <c r="C4043" s="2">
        <v>2</v>
      </c>
      <c r="D4043" t="str">
        <f t="shared" si="63"/>
        <v>CA-2016-128706_FUR-FU-10004053</v>
      </c>
      <c r="E4043" t="str">
        <f>IF(COUNTIF(data2!$D:$D,D4043)=0,"Missing in Data2","Present")</f>
        <v>Present</v>
      </c>
    </row>
    <row r="4044" spans="1:5" x14ac:dyDescent="0.25">
      <c r="A4044" s="2" t="s">
        <v>3703</v>
      </c>
      <c r="B4044" s="2" t="s">
        <v>3626</v>
      </c>
      <c r="C4044" s="2">
        <v>4</v>
      </c>
      <c r="D4044" t="str">
        <f t="shared" si="63"/>
        <v>CA-2016-128727_TEC-PH-10003442</v>
      </c>
      <c r="E4044" t="str">
        <f>IF(COUNTIF(data2!$D:$D,D4044)=0,"Missing in Data2","Present")</f>
        <v>Present</v>
      </c>
    </row>
    <row r="4045" spans="1:5" x14ac:dyDescent="0.25">
      <c r="A4045" s="2" t="s">
        <v>3704</v>
      </c>
      <c r="B4045" s="2" t="s">
        <v>3260</v>
      </c>
      <c r="C4045" s="2">
        <v>4</v>
      </c>
      <c r="D4045" t="str">
        <f t="shared" si="63"/>
        <v>CA-2016-128811_OFF-BI-10000301</v>
      </c>
      <c r="E4045" t="str">
        <f>IF(COUNTIF(data2!$D:$D,D4045)=0,"Missing in Data2","Present")</f>
        <v>Present</v>
      </c>
    </row>
    <row r="4046" spans="1:5" x14ac:dyDescent="0.25">
      <c r="A4046" s="2" t="s">
        <v>3704</v>
      </c>
      <c r="B4046" s="2" t="s">
        <v>685</v>
      </c>
      <c r="C4046" s="2">
        <v>3</v>
      </c>
      <c r="D4046" t="str">
        <f t="shared" si="63"/>
        <v>CA-2016-128811_OFF-FA-10000585</v>
      </c>
      <c r="E4046" t="str">
        <f>IF(COUNTIF(data2!$D:$D,D4046)=0,"Missing in Data2","Present")</f>
        <v>Present</v>
      </c>
    </row>
    <row r="4047" spans="1:5" x14ac:dyDescent="0.25">
      <c r="A4047" s="2" t="s">
        <v>3704</v>
      </c>
      <c r="B4047" s="2" t="s">
        <v>114</v>
      </c>
      <c r="C4047" s="2">
        <v>3</v>
      </c>
      <c r="D4047" t="str">
        <f t="shared" si="63"/>
        <v>CA-2016-128811_OFF-LA-10003720</v>
      </c>
      <c r="E4047" t="str">
        <f>IF(COUNTIF(data2!$D:$D,D4047)=0,"Missing in Data2","Present")</f>
        <v>Present</v>
      </c>
    </row>
    <row r="4048" spans="1:5" x14ac:dyDescent="0.25">
      <c r="A4048" s="2" t="s">
        <v>3705</v>
      </c>
      <c r="B4048" s="2" t="s">
        <v>1978</v>
      </c>
      <c r="C4048" s="2">
        <v>4</v>
      </c>
      <c r="D4048" t="str">
        <f t="shared" si="63"/>
        <v>CA-2016-128818_FUR-CH-10002084</v>
      </c>
      <c r="E4048" t="str">
        <f>IF(COUNTIF(data2!$D:$D,D4048)=0,"Missing in Data2","Present")</f>
        <v>Present</v>
      </c>
    </row>
    <row r="4049" spans="1:5" x14ac:dyDescent="0.25">
      <c r="A4049" s="2" t="s">
        <v>3705</v>
      </c>
      <c r="B4049" s="2" t="s">
        <v>661</v>
      </c>
      <c r="C4049" s="2">
        <v>8</v>
      </c>
      <c r="D4049" t="str">
        <f t="shared" si="63"/>
        <v>CA-2016-128818_FUR-FU-10001940</v>
      </c>
      <c r="E4049" t="str">
        <f>IF(COUNTIF(data2!$D:$D,D4049)=0,"Missing in Data2","Present")</f>
        <v>Present</v>
      </c>
    </row>
    <row r="4050" spans="1:5" x14ac:dyDescent="0.25">
      <c r="A4050" s="2" t="s">
        <v>3705</v>
      </c>
      <c r="B4050" s="2" t="s">
        <v>59</v>
      </c>
      <c r="C4050" s="2">
        <v>7</v>
      </c>
      <c r="D4050" t="str">
        <f t="shared" si="63"/>
        <v>CA-2016-128818_OFF-BI-10000309</v>
      </c>
      <c r="E4050" t="str">
        <f>IF(COUNTIF(data2!$D:$D,D4050)=0,"Missing in Data2","Present")</f>
        <v>Present</v>
      </c>
    </row>
    <row r="4051" spans="1:5" x14ac:dyDescent="0.25">
      <c r="A4051" s="2" t="s">
        <v>3705</v>
      </c>
      <c r="B4051" s="2" t="s">
        <v>86</v>
      </c>
      <c r="C4051" s="2">
        <v>3</v>
      </c>
      <c r="D4051" t="str">
        <f t="shared" si="63"/>
        <v>CA-2016-128818_OFF-LA-10003923</v>
      </c>
      <c r="E4051" t="str">
        <f>IF(COUNTIF(data2!$D:$D,D4051)=0,"Missing in Data2","Present")</f>
        <v>Missing in Data2</v>
      </c>
    </row>
    <row r="4052" spans="1:5" x14ac:dyDescent="0.25">
      <c r="A4052" s="2" t="s">
        <v>3705</v>
      </c>
      <c r="B4052" s="2" t="s">
        <v>1904</v>
      </c>
      <c r="C4052" s="2">
        <v>5</v>
      </c>
      <c r="D4052" t="str">
        <f t="shared" si="63"/>
        <v>CA-2016-128818_TEC-AC-10001767</v>
      </c>
      <c r="E4052" t="str">
        <f>IF(COUNTIF(data2!$D:$D,D4052)=0,"Missing in Data2","Present")</f>
        <v>Present</v>
      </c>
    </row>
    <row r="4053" spans="1:5" x14ac:dyDescent="0.25">
      <c r="A4053" s="2" t="s">
        <v>3705</v>
      </c>
      <c r="B4053" s="2" t="s">
        <v>2298</v>
      </c>
      <c r="C4053" s="2">
        <v>5</v>
      </c>
      <c r="D4053" t="str">
        <f t="shared" si="63"/>
        <v>CA-2016-128818_TEC-MA-10000488</v>
      </c>
      <c r="E4053" t="str">
        <f>IF(COUNTIF(data2!$D:$D,D4053)=0,"Missing in Data2","Present")</f>
        <v>Present</v>
      </c>
    </row>
    <row r="4054" spans="1:5" x14ac:dyDescent="0.25">
      <c r="A4054" s="2" t="s">
        <v>3706</v>
      </c>
      <c r="B4054" s="2" t="s">
        <v>23</v>
      </c>
      <c r="C4054" s="2">
        <v>2</v>
      </c>
      <c r="D4054" t="str">
        <f t="shared" si="63"/>
        <v>CA-2016-128867_OFF-AR-10000380</v>
      </c>
      <c r="E4054" t="str">
        <f>IF(COUNTIF(data2!$D:$D,D4054)=0,"Missing in Data2","Present")</f>
        <v>Present</v>
      </c>
    </row>
    <row r="4055" spans="1:5" x14ac:dyDescent="0.25">
      <c r="A4055" s="2" t="s">
        <v>3706</v>
      </c>
      <c r="B4055" s="2" t="s">
        <v>1105</v>
      </c>
      <c r="C4055" s="2">
        <v>6</v>
      </c>
      <c r="D4055" t="str">
        <f t="shared" si="63"/>
        <v>CA-2016-128867_OFF-BI-10003981</v>
      </c>
      <c r="E4055" t="str">
        <f>IF(COUNTIF(data2!$D:$D,D4055)=0,"Missing in Data2","Present")</f>
        <v>Present</v>
      </c>
    </row>
    <row r="4056" spans="1:5" x14ac:dyDescent="0.25">
      <c r="A4056" s="2" t="s">
        <v>3707</v>
      </c>
      <c r="B4056" s="2" t="s">
        <v>331</v>
      </c>
      <c r="C4056" s="2">
        <v>4</v>
      </c>
      <c r="D4056" t="str">
        <f t="shared" si="63"/>
        <v>CA-2016-128916_FUR-FU-10000320</v>
      </c>
      <c r="E4056" t="str">
        <f>IF(COUNTIF(data2!$D:$D,D4056)=0,"Missing in Data2","Present")</f>
        <v>Missing in Data2</v>
      </c>
    </row>
    <row r="4057" spans="1:5" x14ac:dyDescent="0.25">
      <c r="A4057" s="2" t="s">
        <v>3708</v>
      </c>
      <c r="B4057" s="2" t="s">
        <v>659</v>
      </c>
      <c r="C4057" s="2">
        <v>1</v>
      </c>
      <c r="D4057" t="str">
        <f t="shared" si="63"/>
        <v>CA-2016-128923_OFF-AR-10000475</v>
      </c>
      <c r="E4057" t="str">
        <f>IF(COUNTIF(data2!$D:$D,D4057)=0,"Missing in Data2","Present")</f>
        <v>Present</v>
      </c>
    </row>
    <row r="4058" spans="1:5" x14ac:dyDescent="0.25">
      <c r="A4058" s="2" t="s">
        <v>3708</v>
      </c>
      <c r="B4058" s="2" t="s">
        <v>2694</v>
      </c>
      <c r="C4058" s="2">
        <v>2</v>
      </c>
      <c r="D4058" t="str">
        <f t="shared" si="63"/>
        <v>CA-2016-128923_OFF-PA-10002250</v>
      </c>
      <c r="E4058" t="str">
        <f>IF(COUNTIF(data2!$D:$D,D4058)=0,"Missing in Data2","Present")</f>
        <v>Present</v>
      </c>
    </row>
    <row r="4059" spans="1:5" x14ac:dyDescent="0.25">
      <c r="A4059" s="2" t="s">
        <v>3709</v>
      </c>
      <c r="B4059" s="2" t="s">
        <v>1547</v>
      </c>
      <c r="C4059" s="2">
        <v>4</v>
      </c>
      <c r="D4059" t="str">
        <f t="shared" si="63"/>
        <v>CA-2016-128972_FUR-FU-10003096</v>
      </c>
      <c r="E4059" t="str">
        <f>IF(COUNTIF(data2!$D:$D,D4059)=0,"Missing in Data2","Present")</f>
        <v>Present</v>
      </c>
    </row>
    <row r="4060" spans="1:5" x14ac:dyDescent="0.25">
      <c r="A4060" s="2" t="s">
        <v>3710</v>
      </c>
      <c r="B4060" s="2" t="s">
        <v>2850</v>
      </c>
      <c r="C4060" s="2">
        <v>4</v>
      </c>
      <c r="D4060" t="str">
        <f t="shared" si="63"/>
        <v>CA-2016-129126_FUR-FU-10002937</v>
      </c>
      <c r="E4060" t="str">
        <f>IF(COUNTIF(data2!$D:$D,D4060)=0,"Missing in Data2","Present")</f>
        <v>Present</v>
      </c>
    </row>
    <row r="4061" spans="1:5" x14ac:dyDescent="0.25">
      <c r="A4061" s="2" t="s">
        <v>3710</v>
      </c>
      <c r="B4061" s="2" t="s">
        <v>3711</v>
      </c>
      <c r="C4061" s="2">
        <v>2</v>
      </c>
      <c r="D4061" t="str">
        <f t="shared" si="63"/>
        <v>CA-2016-129126_OFF-BI-10000279</v>
      </c>
      <c r="E4061" t="str">
        <f>IF(COUNTIF(data2!$D:$D,D4061)=0,"Missing in Data2","Present")</f>
        <v>Present</v>
      </c>
    </row>
    <row r="4062" spans="1:5" x14ac:dyDescent="0.25">
      <c r="A4062" s="2" t="s">
        <v>3710</v>
      </c>
      <c r="B4062" s="2" t="s">
        <v>993</v>
      </c>
      <c r="C4062" s="2">
        <v>6</v>
      </c>
      <c r="D4062" t="str">
        <f t="shared" si="63"/>
        <v>CA-2016-129126_OFF-FA-10000621</v>
      </c>
      <c r="E4062" t="str">
        <f>IF(COUNTIF(data2!$D:$D,D4062)=0,"Missing in Data2","Present")</f>
        <v>Missing in Data2</v>
      </c>
    </row>
    <row r="4063" spans="1:5" x14ac:dyDescent="0.25">
      <c r="A4063" s="2" t="s">
        <v>3710</v>
      </c>
      <c r="B4063" s="2" t="s">
        <v>2339</v>
      </c>
      <c r="C4063" s="2">
        <v>2</v>
      </c>
      <c r="D4063" t="str">
        <f t="shared" si="63"/>
        <v>CA-2016-129126_OFF-LA-10003190</v>
      </c>
      <c r="E4063" t="str">
        <f>IF(COUNTIF(data2!$D:$D,D4063)=0,"Missing in Data2","Present")</f>
        <v>Present</v>
      </c>
    </row>
    <row r="4064" spans="1:5" x14ac:dyDescent="0.25">
      <c r="A4064" s="2" t="s">
        <v>3710</v>
      </c>
      <c r="B4064" s="2" t="s">
        <v>14</v>
      </c>
      <c r="C4064" s="2">
        <v>2</v>
      </c>
      <c r="D4064" t="str">
        <f t="shared" si="63"/>
        <v>CA-2016-129126_OFF-PA-10001471</v>
      </c>
      <c r="E4064" t="str">
        <f>IF(COUNTIF(data2!$D:$D,D4064)=0,"Missing in Data2","Present")</f>
        <v>Missing in Data2</v>
      </c>
    </row>
    <row r="4065" spans="1:5" x14ac:dyDescent="0.25">
      <c r="A4065" s="2" t="s">
        <v>3710</v>
      </c>
      <c r="B4065" s="2" t="s">
        <v>1772</v>
      </c>
      <c r="C4065" s="2">
        <v>1</v>
      </c>
      <c r="D4065" t="str">
        <f t="shared" si="63"/>
        <v>CA-2016-129126_OFF-ST-10004507</v>
      </c>
      <c r="E4065" t="str">
        <f>IF(COUNTIF(data2!$D:$D,D4065)=0,"Missing in Data2","Present")</f>
        <v>Present</v>
      </c>
    </row>
    <row r="4066" spans="1:5" x14ac:dyDescent="0.25">
      <c r="A4066" s="2" t="s">
        <v>3712</v>
      </c>
      <c r="B4066" s="2" t="s">
        <v>1076</v>
      </c>
      <c r="C4066" s="2">
        <v>3</v>
      </c>
      <c r="D4066" t="str">
        <f t="shared" si="63"/>
        <v>CA-2016-129196_TEC-AC-10002473</v>
      </c>
      <c r="E4066" t="str">
        <f>IF(COUNTIF(data2!$D:$D,D4066)=0,"Missing in Data2","Present")</f>
        <v>Present</v>
      </c>
    </row>
    <row r="4067" spans="1:5" x14ac:dyDescent="0.25">
      <c r="A4067" s="2" t="s">
        <v>3713</v>
      </c>
      <c r="B4067" s="2" t="s">
        <v>3714</v>
      </c>
      <c r="C4067" s="2">
        <v>5</v>
      </c>
      <c r="D4067" t="str">
        <f t="shared" si="63"/>
        <v>CA-2016-129238_OFF-PA-10002764</v>
      </c>
      <c r="E4067" t="str">
        <f>IF(COUNTIF(data2!$D:$D,D4067)=0,"Missing in Data2","Present")</f>
        <v>Present</v>
      </c>
    </row>
    <row r="4068" spans="1:5" x14ac:dyDescent="0.25">
      <c r="A4068" s="2" t="s">
        <v>3713</v>
      </c>
      <c r="B4068" s="2" t="s">
        <v>3715</v>
      </c>
      <c r="C4068" s="2">
        <v>1</v>
      </c>
      <c r="D4068" t="str">
        <f t="shared" si="63"/>
        <v>CA-2016-129238_TEC-PH-10004120</v>
      </c>
      <c r="E4068" t="str">
        <f>IF(COUNTIF(data2!$D:$D,D4068)=0,"Missing in Data2","Present")</f>
        <v>Present</v>
      </c>
    </row>
    <row r="4069" spans="1:5" x14ac:dyDescent="0.25">
      <c r="A4069" s="2" t="s">
        <v>3716</v>
      </c>
      <c r="B4069" s="2" t="s">
        <v>1163</v>
      </c>
      <c r="C4069" s="2">
        <v>2</v>
      </c>
      <c r="D4069" t="str">
        <f t="shared" si="63"/>
        <v>CA-2016-129280_FUR-FU-10001876</v>
      </c>
      <c r="E4069" t="str">
        <f>IF(COUNTIF(data2!$D:$D,D4069)=0,"Missing in Data2","Present")</f>
        <v>Present</v>
      </c>
    </row>
    <row r="4070" spans="1:5" x14ac:dyDescent="0.25">
      <c r="A4070" s="2" t="s">
        <v>3716</v>
      </c>
      <c r="B4070" s="2" t="s">
        <v>3604</v>
      </c>
      <c r="C4070" s="2">
        <v>2</v>
      </c>
      <c r="D4070" t="str">
        <f t="shared" si="63"/>
        <v>CA-2016-129280_OFF-LA-10000081</v>
      </c>
      <c r="E4070" t="str">
        <f>IF(COUNTIF(data2!$D:$D,D4070)=0,"Missing in Data2","Present")</f>
        <v>Present</v>
      </c>
    </row>
    <row r="4071" spans="1:5" x14ac:dyDescent="0.25">
      <c r="A4071" s="2" t="s">
        <v>3716</v>
      </c>
      <c r="B4071" s="2" t="s">
        <v>2808</v>
      </c>
      <c r="C4071" s="2">
        <v>3</v>
      </c>
      <c r="D4071" t="str">
        <f t="shared" si="63"/>
        <v>CA-2016-129280_TEC-AC-10002637</v>
      </c>
      <c r="E4071" t="str">
        <f>IF(COUNTIF(data2!$D:$D,D4071)=0,"Missing in Data2","Present")</f>
        <v>Present</v>
      </c>
    </row>
    <row r="4072" spans="1:5" x14ac:dyDescent="0.25">
      <c r="A4072" s="2" t="s">
        <v>3716</v>
      </c>
      <c r="B4072" s="2" t="s">
        <v>877</v>
      </c>
      <c r="C4072" s="2">
        <v>5</v>
      </c>
      <c r="D4072" t="str">
        <f t="shared" si="63"/>
        <v>CA-2016-129280_TEC-AC-10003832</v>
      </c>
      <c r="E4072" t="str">
        <f>IF(COUNTIF(data2!$D:$D,D4072)=0,"Missing in Data2","Present")</f>
        <v>Present</v>
      </c>
    </row>
    <row r="4073" spans="1:5" x14ac:dyDescent="0.25">
      <c r="A4073" s="2" t="s">
        <v>3716</v>
      </c>
      <c r="B4073" s="2" t="s">
        <v>3717</v>
      </c>
      <c r="C4073" s="2">
        <v>3</v>
      </c>
      <c r="D4073" t="str">
        <f t="shared" si="63"/>
        <v>CA-2016-129280_TEC-MA-10003589</v>
      </c>
      <c r="E4073" t="str">
        <f>IF(COUNTIF(data2!$D:$D,D4073)=0,"Missing in Data2","Present")</f>
        <v>Missing in Data2</v>
      </c>
    </row>
    <row r="4074" spans="1:5" x14ac:dyDescent="0.25">
      <c r="A4074" s="2" t="s">
        <v>3718</v>
      </c>
      <c r="B4074" s="2" t="s">
        <v>2292</v>
      </c>
      <c r="C4074" s="2">
        <v>5</v>
      </c>
      <c r="D4074" t="str">
        <f t="shared" si="63"/>
        <v>CA-2016-129308_OFF-BI-10001308</v>
      </c>
      <c r="E4074" t="str">
        <f>IF(COUNTIF(data2!$D:$D,D4074)=0,"Missing in Data2","Present")</f>
        <v>Present</v>
      </c>
    </row>
    <row r="4075" spans="1:5" x14ac:dyDescent="0.25">
      <c r="A4075" s="2" t="s">
        <v>3718</v>
      </c>
      <c r="B4075" s="2" t="s">
        <v>1369</v>
      </c>
      <c r="C4075" s="2">
        <v>5</v>
      </c>
      <c r="D4075" t="str">
        <f t="shared" si="63"/>
        <v>CA-2016-129308_OFF-BI-10001525</v>
      </c>
      <c r="E4075" t="str">
        <f>IF(COUNTIF(data2!$D:$D,D4075)=0,"Missing in Data2","Present")</f>
        <v>Present</v>
      </c>
    </row>
    <row r="4076" spans="1:5" x14ac:dyDescent="0.25">
      <c r="A4076" s="2" t="s">
        <v>3718</v>
      </c>
      <c r="B4076" s="2" t="s">
        <v>720</v>
      </c>
      <c r="C4076" s="2">
        <v>2</v>
      </c>
      <c r="D4076" t="str">
        <f t="shared" si="63"/>
        <v>CA-2016-129308_OFF-LA-10002945</v>
      </c>
      <c r="E4076" t="str">
        <f>IF(COUNTIF(data2!$D:$D,D4076)=0,"Missing in Data2","Present")</f>
        <v>Missing in Data2</v>
      </c>
    </row>
    <row r="4077" spans="1:5" x14ac:dyDescent="0.25">
      <c r="A4077" s="2" t="s">
        <v>3718</v>
      </c>
      <c r="B4077" s="2" t="s">
        <v>831</v>
      </c>
      <c r="C4077" s="2">
        <v>1</v>
      </c>
      <c r="D4077" t="str">
        <f t="shared" si="63"/>
        <v>CA-2016-129308_TEC-PH-10002310</v>
      </c>
      <c r="E4077" t="str">
        <f>IF(COUNTIF(data2!$D:$D,D4077)=0,"Missing in Data2","Present")</f>
        <v>Present</v>
      </c>
    </row>
    <row r="4078" spans="1:5" x14ac:dyDescent="0.25">
      <c r="A4078" s="2" t="s">
        <v>3719</v>
      </c>
      <c r="B4078" s="2" t="s">
        <v>3720</v>
      </c>
      <c r="C4078" s="2">
        <v>3</v>
      </c>
      <c r="D4078" t="str">
        <f t="shared" si="63"/>
        <v>CA-2016-129630_FUR-FU-10000260</v>
      </c>
      <c r="E4078" t="str">
        <f>IF(COUNTIF(data2!$D:$D,D4078)=0,"Missing in Data2","Present")</f>
        <v>Present</v>
      </c>
    </row>
    <row r="4079" spans="1:5" x14ac:dyDescent="0.25">
      <c r="A4079" s="2" t="s">
        <v>3719</v>
      </c>
      <c r="B4079" s="2" t="s">
        <v>2743</v>
      </c>
      <c r="C4079" s="2">
        <v>5</v>
      </c>
      <c r="D4079" t="str">
        <f t="shared" si="63"/>
        <v>CA-2016-129630_TEC-CO-10003763</v>
      </c>
      <c r="E4079" t="str">
        <f>IF(COUNTIF(data2!$D:$D,D4079)=0,"Missing in Data2","Present")</f>
        <v>Present</v>
      </c>
    </row>
    <row r="4080" spans="1:5" x14ac:dyDescent="0.25">
      <c r="A4080" s="2" t="s">
        <v>3721</v>
      </c>
      <c r="B4080" s="2" t="s">
        <v>184</v>
      </c>
      <c r="C4080" s="2">
        <v>2</v>
      </c>
      <c r="D4080" t="str">
        <f t="shared" si="63"/>
        <v>CA-2016-129686_OFF-ST-10004337</v>
      </c>
      <c r="E4080" t="str">
        <f>IF(COUNTIF(data2!$D:$D,D4080)=0,"Missing in Data2","Present")</f>
        <v>Present</v>
      </c>
    </row>
    <row r="4081" spans="1:5" x14ac:dyDescent="0.25">
      <c r="A4081" s="2" t="s">
        <v>3721</v>
      </c>
      <c r="B4081" s="2" t="s">
        <v>1097</v>
      </c>
      <c r="C4081" s="2">
        <v>6</v>
      </c>
      <c r="D4081" t="str">
        <f t="shared" si="63"/>
        <v>CA-2016-129686_TEC-AC-10001266</v>
      </c>
      <c r="E4081" t="str">
        <f>IF(COUNTIF(data2!$D:$D,D4081)=0,"Missing in Data2","Present")</f>
        <v>Present</v>
      </c>
    </row>
    <row r="4082" spans="1:5" x14ac:dyDescent="0.25">
      <c r="A4082" s="2" t="s">
        <v>3722</v>
      </c>
      <c r="B4082" s="2" t="s">
        <v>1038</v>
      </c>
      <c r="C4082" s="2">
        <v>2</v>
      </c>
      <c r="D4082" t="str">
        <f t="shared" si="63"/>
        <v>CA-2016-129693_OFF-BI-10002954</v>
      </c>
      <c r="E4082" t="str">
        <f>IF(COUNTIF(data2!$D:$D,D4082)=0,"Missing in Data2","Present")</f>
        <v>Present</v>
      </c>
    </row>
    <row r="4083" spans="1:5" x14ac:dyDescent="0.25">
      <c r="A4083" s="2" t="s">
        <v>3723</v>
      </c>
      <c r="B4083" s="2" t="s">
        <v>197</v>
      </c>
      <c r="C4083" s="2">
        <v>1</v>
      </c>
      <c r="D4083" t="str">
        <f t="shared" si="63"/>
        <v>CA-2016-129714_OFF-BI-10002160</v>
      </c>
      <c r="E4083" t="str">
        <f>IF(COUNTIF(data2!$D:$D,D4083)=0,"Missing in Data2","Present")</f>
        <v>Present</v>
      </c>
    </row>
    <row r="4084" spans="1:5" x14ac:dyDescent="0.25">
      <c r="A4084" s="2" t="s">
        <v>3723</v>
      </c>
      <c r="B4084" s="2" t="s">
        <v>1302</v>
      </c>
      <c r="C4084" s="2">
        <v>4</v>
      </c>
      <c r="D4084" t="str">
        <f t="shared" si="63"/>
        <v>CA-2016-129714_OFF-BI-10004995</v>
      </c>
      <c r="E4084" t="str">
        <f>IF(COUNTIF(data2!$D:$D,D4084)=0,"Missing in Data2","Present")</f>
        <v>Present</v>
      </c>
    </row>
    <row r="4085" spans="1:5" x14ac:dyDescent="0.25">
      <c r="A4085" s="2" t="s">
        <v>3723</v>
      </c>
      <c r="B4085" s="2" t="s">
        <v>1039</v>
      </c>
      <c r="C4085" s="2">
        <v>6</v>
      </c>
      <c r="D4085" t="str">
        <f t="shared" si="63"/>
        <v>CA-2016-129714_OFF-PA-10001970</v>
      </c>
      <c r="E4085" t="str">
        <f>IF(COUNTIF(data2!$D:$D,D4085)=0,"Missing in Data2","Present")</f>
        <v>Present</v>
      </c>
    </row>
    <row r="4086" spans="1:5" x14ac:dyDescent="0.25">
      <c r="A4086" s="2" t="s">
        <v>3723</v>
      </c>
      <c r="B4086" s="2" t="s">
        <v>406</v>
      </c>
      <c r="C4086" s="2">
        <v>1</v>
      </c>
      <c r="D4086" t="str">
        <f t="shared" si="63"/>
        <v>CA-2016-129714_TEC-AC-10000290</v>
      </c>
      <c r="E4086" t="str">
        <f>IF(COUNTIF(data2!$D:$D,D4086)=0,"Missing in Data2","Present")</f>
        <v>Present</v>
      </c>
    </row>
    <row r="4087" spans="1:5" x14ac:dyDescent="0.25">
      <c r="A4087" s="2" t="s">
        <v>3724</v>
      </c>
      <c r="B4087" s="2" t="s">
        <v>2369</v>
      </c>
      <c r="C4087" s="2">
        <v>8</v>
      </c>
      <c r="D4087" t="str">
        <f t="shared" si="63"/>
        <v>CA-2016-129728_FUR-FU-10003247</v>
      </c>
      <c r="E4087" t="str">
        <f>IF(COUNTIF(data2!$D:$D,D4087)=0,"Missing in Data2","Present")</f>
        <v>Present</v>
      </c>
    </row>
    <row r="4088" spans="1:5" x14ac:dyDescent="0.25">
      <c r="A4088" s="2" t="s">
        <v>3725</v>
      </c>
      <c r="B4088" s="2" t="s">
        <v>505</v>
      </c>
      <c r="C4088" s="2">
        <v>2</v>
      </c>
      <c r="D4088" t="str">
        <f t="shared" si="63"/>
        <v>CA-2016-129847_FUR-FU-10000277</v>
      </c>
      <c r="E4088" t="str">
        <f>IF(COUNTIF(data2!$D:$D,D4088)=0,"Missing in Data2","Present")</f>
        <v>Present</v>
      </c>
    </row>
    <row r="4089" spans="1:5" x14ac:dyDescent="0.25">
      <c r="A4089" s="2" t="s">
        <v>3726</v>
      </c>
      <c r="B4089" s="2" t="s">
        <v>4</v>
      </c>
      <c r="C4089" s="2">
        <v>3</v>
      </c>
      <c r="D4089" t="str">
        <f t="shared" si="63"/>
        <v>CA-2016-129861_FUR-TA-10003715</v>
      </c>
      <c r="E4089" t="str">
        <f>IF(COUNTIF(data2!$D:$D,D4089)=0,"Missing in Data2","Present")</f>
        <v>Present</v>
      </c>
    </row>
    <row r="4090" spans="1:5" x14ac:dyDescent="0.25">
      <c r="A4090" s="2" t="s">
        <v>3727</v>
      </c>
      <c r="B4090" s="2" t="s">
        <v>1857</v>
      </c>
      <c r="C4090" s="2">
        <v>3</v>
      </c>
      <c r="D4090" t="str">
        <f t="shared" si="63"/>
        <v>CA-2016-129868_FUR-CH-10003535</v>
      </c>
      <c r="E4090" t="str">
        <f>IF(COUNTIF(data2!$D:$D,D4090)=0,"Missing in Data2","Present")</f>
        <v>Present</v>
      </c>
    </row>
    <row r="4091" spans="1:5" x14ac:dyDescent="0.25">
      <c r="A4091" s="2" t="s">
        <v>3727</v>
      </c>
      <c r="B4091" s="2" t="s">
        <v>1806</v>
      </c>
      <c r="C4091" s="2">
        <v>3</v>
      </c>
      <c r="D4091" t="str">
        <f t="shared" si="63"/>
        <v>CA-2016-129868_FUR-TA-10003473</v>
      </c>
      <c r="E4091" t="str">
        <f>IF(COUNTIF(data2!$D:$D,D4091)=0,"Missing in Data2","Present")</f>
        <v>Missing in Data2</v>
      </c>
    </row>
    <row r="4092" spans="1:5" x14ac:dyDescent="0.25">
      <c r="A4092" s="2" t="s">
        <v>3727</v>
      </c>
      <c r="B4092" s="2" t="s">
        <v>2033</v>
      </c>
      <c r="C4092" s="2">
        <v>2</v>
      </c>
      <c r="D4092" t="str">
        <f t="shared" si="63"/>
        <v>CA-2016-129868_OFF-AP-10004052</v>
      </c>
      <c r="E4092" t="str">
        <f>IF(COUNTIF(data2!$D:$D,D4092)=0,"Missing in Data2","Present")</f>
        <v>Missing in Data2</v>
      </c>
    </row>
    <row r="4093" spans="1:5" x14ac:dyDescent="0.25">
      <c r="A4093" s="2" t="s">
        <v>3727</v>
      </c>
      <c r="B4093" s="2" t="s">
        <v>1080</v>
      </c>
      <c r="C4093" s="2">
        <v>3</v>
      </c>
      <c r="D4093" t="str">
        <f t="shared" si="63"/>
        <v>CA-2016-129868_OFF-AR-10001897</v>
      </c>
      <c r="E4093" t="str">
        <f>IF(COUNTIF(data2!$D:$D,D4093)=0,"Missing in Data2","Present")</f>
        <v>Present</v>
      </c>
    </row>
    <row r="4094" spans="1:5" x14ac:dyDescent="0.25">
      <c r="A4094" s="2" t="s">
        <v>3727</v>
      </c>
      <c r="B4094" s="2" t="s">
        <v>3584</v>
      </c>
      <c r="C4094" s="2">
        <v>2</v>
      </c>
      <c r="D4094" t="str">
        <f t="shared" si="63"/>
        <v>CA-2016-129868_OFF-SU-10000952</v>
      </c>
      <c r="E4094" t="str">
        <f>IF(COUNTIF(data2!$D:$D,D4094)=0,"Missing in Data2","Present")</f>
        <v>Present</v>
      </c>
    </row>
    <row r="4095" spans="1:5" x14ac:dyDescent="0.25">
      <c r="A4095" s="2" t="s">
        <v>3727</v>
      </c>
      <c r="B4095" s="2" t="s">
        <v>548</v>
      </c>
      <c r="C4095" s="2">
        <v>2</v>
      </c>
      <c r="D4095" t="str">
        <f t="shared" si="63"/>
        <v>CA-2016-129868_TEC-PH-10002275</v>
      </c>
      <c r="E4095" t="str">
        <f>IF(COUNTIF(data2!$D:$D,D4095)=0,"Missing in Data2","Present")</f>
        <v>Present</v>
      </c>
    </row>
    <row r="4096" spans="1:5" x14ac:dyDescent="0.25">
      <c r="A4096" s="2" t="s">
        <v>3728</v>
      </c>
      <c r="B4096" s="2" t="s">
        <v>2759</v>
      </c>
      <c r="C4096" s="2">
        <v>4</v>
      </c>
      <c r="D4096" t="str">
        <f t="shared" si="63"/>
        <v>CA-2016-129903_OFF-PA-10004040</v>
      </c>
      <c r="E4096" t="str">
        <f>IF(COUNTIF(data2!$D:$D,D4096)=0,"Missing in Data2","Present")</f>
        <v>Present</v>
      </c>
    </row>
    <row r="4097" spans="1:5" x14ac:dyDescent="0.25">
      <c r="A4097" s="2" t="s">
        <v>3729</v>
      </c>
      <c r="B4097" s="2" t="s">
        <v>3730</v>
      </c>
      <c r="C4097" s="2">
        <v>5</v>
      </c>
      <c r="D4097" t="str">
        <f t="shared" si="63"/>
        <v>CA-2016-130001_OFF-PA-10002666</v>
      </c>
      <c r="E4097" t="str">
        <f>IF(COUNTIF(data2!$D:$D,D4097)=0,"Missing in Data2","Present")</f>
        <v>Present</v>
      </c>
    </row>
    <row r="4098" spans="1:5" x14ac:dyDescent="0.25">
      <c r="A4098" s="2" t="s">
        <v>3731</v>
      </c>
      <c r="B4098" s="2" t="s">
        <v>1964</v>
      </c>
      <c r="C4098" s="2">
        <v>2</v>
      </c>
      <c r="D4098" t="str">
        <f t="shared" si="63"/>
        <v>CA-2016-130029_OFF-FA-10001135</v>
      </c>
      <c r="E4098" t="str">
        <f>IF(COUNTIF(data2!$D:$D,D4098)=0,"Missing in Data2","Present")</f>
        <v>Present</v>
      </c>
    </row>
    <row r="4099" spans="1:5" x14ac:dyDescent="0.25">
      <c r="A4099" s="2" t="s">
        <v>3731</v>
      </c>
      <c r="B4099" s="2" t="s">
        <v>727</v>
      </c>
      <c r="C4099" s="2">
        <v>2</v>
      </c>
      <c r="D4099" t="str">
        <f t="shared" ref="D4099:D4162" si="64">A4099&amp;"_"&amp;B4099</f>
        <v>CA-2016-130029_OFF-PA-10000552</v>
      </c>
      <c r="E4099" t="str">
        <f>IF(COUNTIF(data2!$D:$D,D4099)=0,"Missing in Data2","Present")</f>
        <v>Present</v>
      </c>
    </row>
    <row r="4100" spans="1:5" x14ac:dyDescent="0.25">
      <c r="A4100" s="2" t="s">
        <v>3732</v>
      </c>
      <c r="B4100" s="2" t="s">
        <v>661</v>
      </c>
      <c r="C4100" s="2">
        <v>3</v>
      </c>
      <c r="D4100" t="str">
        <f t="shared" si="64"/>
        <v>CA-2016-130050_FUR-FU-10001940</v>
      </c>
      <c r="E4100" t="str">
        <f>IF(COUNTIF(data2!$D:$D,D4100)=0,"Missing in Data2","Present")</f>
        <v>Present</v>
      </c>
    </row>
    <row r="4101" spans="1:5" x14ac:dyDescent="0.25">
      <c r="A4101" s="2" t="s">
        <v>3733</v>
      </c>
      <c r="B4101" s="2" t="s">
        <v>1164</v>
      </c>
      <c r="C4101" s="2">
        <v>2</v>
      </c>
      <c r="D4101" t="str">
        <f t="shared" si="64"/>
        <v>CA-2016-130078_OFF-PA-10003270</v>
      </c>
      <c r="E4101" t="str">
        <f>IF(COUNTIF(data2!$D:$D,D4101)=0,"Missing in Data2","Present")</f>
        <v>Missing in Data2</v>
      </c>
    </row>
    <row r="4102" spans="1:5" x14ac:dyDescent="0.25">
      <c r="A4102" s="2" t="s">
        <v>3734</v>
      </c>
      <c r="B4102" s="2" t="s">
        <v>2856</v>
      </c>
      <c r="C4102" s="2">
        <v>6</v>
      </c>
      <c r="D4102" t="str">
        <f t="shared" si="64"/>
        <v>CA-2016-130162_OFF-ST-10001328</v>
      </c>
      <c r="E4102" t="str">
        <f>IF(COUNTIF(data2!$D:$D,D4102)=0,"Missing in Data2","Present")</f>
        <v>Present</v>
      </c>
    </row>
    <row r="4103" spans="1:5" x14ac:dyDescent="0.25">
      <c r="A4103" s="2" t="s">
        <v>3734</v>
      </c>
      <c r="B4103" s="2" t="s">
        <v>3735</v>
      </c>
      <c r="C4103" s="2">
        <v>3</v>
      </c>
      <c r="D4103" t="str">
        <f t="shared" si="64"/>
        <v>CA-2016-130162_TEC-PH-10002563</v>
      </c>
      <c r="E4103" t="str">
        <f>IF(COUNTIF(data2!$D:$D,D4103)=0,"Missing in Data2","Present")</f>
        <v>Present</v>
      </c>
    </row>
    <row r="4104" spans="1:5" x14ac:dyDescent="0.25">
      <c r="A4104" s="2" t="s">
        <v>3736</v>
      </c>
      <c r="B4104" s="2" t="s">
        <v>18</v>
      </c>
      <c r="C4104" s="2">
        <v>2</v>
      </c>
      <c r="D4104" t="str">
        <f t="shared" si="64"/>
        <v>CA-2016-130225_OFF-EN-10000056</v>
      </c>
      <c r="E4104" t="str">
        <f>IF(COUNTIF(data2!$D:$D,D4104)=0,"Missing in Data2","Present")</f>
        <v>Present</v>
      </c>
    </row>
    <row r="4105" spans="1:5" x14ac:dyDescent="0.25">
      <c r="A4105" s="2" t="s">
        <v>3737</v>
      </c>
      <c r="B4105" s="2" t="s">
        <v>2628</v>
      </c>
      <c r="C4105" s="2">
        <v>7</v>
      </c>
      <c r="D4105" t="str">
        <f t="shared" si="64"/>
        <v>CA-2016-130267_OFF-PA-10002222</v>
      </c>
      <c r="E4105" t="str">
        <f>IF(COUNTIF(data2!$D:$D,D4105)=0,"Missing in Data2","Present")</f>
        <v>Present</v>
      </c>
    </row>
    <row r="4106" spans="1:5" x14ac:dyDescent="0.25">
      <c r="A4106" s="2" t="s">
        <v>3738</v>
      </c>
      <c r="B4106" s="2" t="s">
        <v>841</v>
      </c>
      <c r="C4106" s="2">
        <v>2</v>
      </c>
      <c r="D4106" t="str">
        <f t="shared" si="64"/>
        <v>CA-2016-130288_FUR-TA-10002958</v>
      </c>
      <c r="E4106" t="str">
        <f>IF(COUNTIF(data2!$D:$D,D4106)=0,"Missing in Data2","Present")</f>
        <v>Present</v>
      </c>
    </row>
    <row r="4107" spans="1:5" x14ac:dyDescent="0.25">
      <c r="A4107" s="2" t="s">
        <v>3739</v>
      </c>
      <c r="B4107" s="2" t="s">
        <v>1419</v>
      </c>
      <c r="C4107" s="2">
        <v>5</v>
      </c>
      <c r="D4107" t="str">
        <f t="shared" si="64"/>
        <v>CA-2016-130393_FUR-CH-10002647</v>
      </c>
      <c r="E4107" t="str">
        <f>IF(COUNTIF(data2!$D:$D,D4107)=0,"Missing in Data2","Present")</f>
        <v>Present</v>
      </c>
    </row>
    <row r="4108" spans="1:5" x14ac:dyDescent="0.25">
      <c r="A4108" s="2" t="s">
        <v>3739</v>
      </c>
      <c r="B4108" s="2" t="s">
        <v>1554</v>
      </c>
      <c r="C4108" s="2">
        <v>2</v>
      </c>
      <c r="D4108" t="str">
        <f t="shared" si="64"/>
        <v>CA-2016-130393_FUR-CH-10004477</v>
      </c>
      <c r="E4108" t="str">
        <f>IF(COUNTIF(data2!$D:$D,D4108)=0,"Missing in Data2","Present")</f>
        <v>Present</v>
      </c>
    </row>
    <row r="4109" spans="1:5" x14ac:dyDescent="0.25">
      <c r="A4109" s="2" t="s">
        <v>3739</v>
      </c>
      <c r="B4109" s="2" t="s">
        <v>1618</v>
      </c>
      <c r="C4109" s="2">
        <v>4</v>
      </c>
      <c r="D4109" t="str">
        <f t="shared" si="64"/>
        <v>CA-2016-130393_OFF-AP-10004859</v>
      </c>
      <c r="E4109" t="str">
        <f>IF(COUNTIF(data2!$D:$D,D4109)=0,"Missing in Data2","Present")</f>
        <v>Present</v>
      </c>
    </row>
    <row r="4110" spans="1:5" x14ac:dyDescent="0.25">
      <c r="A4110" s="2" t="s">
        <v>3740</v>
      </c>
      <c r="B4110" s="2" t="s">
        <v>1065</v>
      </c>
      <c r="C4110" s="2">
        <v>9</v>
      </c>
      <c r="D4110" t="str">
        <f t="shared" si="64"/>
        <v>CA-2016-130400_OFF-BI-10001757</v>
      </c>
      <c r="E4110" t="str">
        <f>IF(COUNTIF(data2!$D:$D,D4110)=0,"Missing in Data2","Present")</f>
        <v>Present</v>
      </c>
    </row>
    <row r="4111" spans="1:5" x14ac:dyDescent="0.25">
      <c r="A4111" s="2" t="s">
        <v>3740</v>
      </c>
      <c r="B4111" s="2" t="s">
        <v>452</v>
      </c>
      <c r="C4111" s="2">
        <v>3</v>
      </c>
      <c r="D4111" t="str">
        <f t="shared" si="64"/>
        <v>CA-2016-130400_OFF-EN-10001453</v>
      </c>
      <c r="E4111" t="str">
        <f>IF(COUNTIF(data2!$D:$D,D4111)=0,"Missing in Data2","Present")</f>
        <v>Present</v>
      </c>
    </row>
    <row r="4112" spans="1:5" x14ac:dyDescent="0.25">
      <c r="A4112" s="2" t="s">
        <v>3740</v>
      </c>
      <c r="B4112" s="2" t="s">
        <v>1007</v>
      </c>
      <c r="C4112" s="2">
        <v>5</v>
      </c>
      <c r="D4112" t="str">
        <f t="shared" si="64"/>
        <v>CA-2016-130400_TEC-AC-10004633</v>
      </c>
      <c r="E4112" t="str">
        <f>IF(COUNTIF(data2!$D:$D,D4112)=0,"Missing in Data2","Present")</f>
        <v>Present</v>
      </c>
    </row>
    <row r="4113" spans="1:5" x14ac:dyDescent="0.25">
      <c r="A4113" s="2" t="s">
        <v>3741</v>
      </c>
      <c r="B4113" s="2" t="s">
        <v>1123</v>
      </c>
      <c r="C4113" s="2">
        <v>2</v>
      </c>
      <c r="D4113" t="str">
        <f t="shared" si="64"/>
        <v>CA-2016-130407_FUR-FU-10001967</v>
      </c>
      <c r="E4113" t="str">
        <f>IF(COUNTIF(data2!$D:$D,D4113)=0,"Missing in Data2","Present")</f>
        <v>Missing in Data2</v>
      </c>
    </row>
    <row r="4114" spans="1:5" x14ac:dyDescent="0.25">
      <c r="A4114" s="2" t="s">
        <v>3741</v>
      </c>
      <c r="B4114" s="2" t="s">
        <v>3742</v>
      </c>
      <c r="C4114" s="2">
        <v>2</v>
      </c>
      <c r="D4114" t="str">
        <f t="shared" si="64"/>
        <v>CA-2016-130407_OFF-AR-10002240</v>
      </c>
      <c r="E4114" t="str">
        <f>IF(COUNTIF(data2!$D:$D,D4114)=0,"Missing in Data2","Present")</f>
        <v>Present</v>
      </c>
    </row>
    <row r="4115" spans="1:5" x14ac:dyDescent="0.25">
      <c r="A4115" s="2" t="s">
        <v>3743</v>
      </c>
      <c r="B4115" s="2" t="s">
        <v>1618</v>
      </c>
      <c r="C4115" s="2">
        <v>3</v>
      </c>
      <c r="D4115" t="str">
        <f t="shared" si="64"/>
        <v>CA-2016-130442_OFF-AP-10004859</v>
      </c>
      <c r="E4115" t="str">
        <f>IF(COUNTIF(data2!$D:$D,D4115)=0,"Missing in Data2","Present")</f>
        <v>Present</v>
      </c>
    </row>
    <row r="4116" spans="1:5" x14ac:dyDescent="0.25">
      <c r="A4116" s="2" t="s">
        <v>3744</v>
      </c>
      <c r="B4116" s="2" t="s">
        <v>780</v>
      </c>
      <c r="C4116" s="2">
        <v>2</v>
      </c>
      <c r="D4116" t="str">
        <f t="shared" si="64"/>
        <v>CA-2016-130477_OFF-PA-10000019</v>
      </c>
      <c r="E4116" t="str">
        <f>IF(COUNTIF(data2!$D:$D,D4116)=0,"Missing in Data2","Present")</f>
        <v>Present</v>
      </c>
    </row>
    <row r="4117" spans="1:5" x14ac:dyDescent="0.25">
      <c r="A4117" s="2" t="s">
        <v>3744</v>
      </c>
      <c r="B4117" s="2" t="s">
        <v>610</v>
      </c>
      <c r="C4117" s="2">
        <v>3</v>
      </c>
      <c r="D4117" t="str">
        <f t="shared" si="64"/>
        <v>CA-2016-130477_OFF-PA-10002947</v>
      </c>
      <c r="E4117" t="str">
        <f>IF(COUNTIF(data2!$D:$D,D4117)=0,"Missing in Data2","Present")</f>
        <v>Present</v>
      </c>
    </row>
    <row r="4118" spans="1:5" x14ac:dyDescent="0.25">
      <c r="A4118" s="2" t="s">
        <v>3744</v>
      </c>
      <c r="B4118" s="2" t="s">
        <v>1268</v>
      </c>
      <c r="C4118" s="2">
        <v>2</v>
      </c>
      <c r="D4118" t="str">
        <f t="shared" si="64"/>
        <v>CA-2016-130477_OFF-ST-10002583</v>
      </c>
      <c r="E4118" t="str">
        <f>IF(COUNTIF(data2!$D:$D,D4118)=0,"Missing in Data2","Present")</f>
        <v>Present</v>
      </c>
    </row>
    <row r="4119" spans="1:5" x14ac:dyDescent="0.25">
      <c r="A4119" s="2" t="s">
        <v>3745</v>
      </c>
      <c r="B4119" s="2" t="s">
        <v>2140</v>
      </c>
      <c r="C4119" s="2">
        <v>8</v>
      </c>
      <c r="D4119" t="str">
        <f t="shared" si="64"/>
        <v>CA-2016-130484_OFF-BI-10000088</v>
      </c>
      <c r="E4119" t="str">
        <f>IF(COUNTIF(data2!$D:$D,D4119)=0,"Missing in Data2","Present")</f>
        <v>Present</v>
      </c>
    </row>
    <row r="4120" spans="1:5" x14ac:dyDescent="0.25">
      <c r="A4120" s="2" t="s">
        <v>3746</v>
      </c>
      <c r="B4120" s="2" t="s">
        <v>315</v>
      </c>
      <c r="C4120" s="2">
        <v>4</v>
      </c>
      <c r="D4120" t="str">
        <f t="shared" si="64"/>
        <v>CA-2016-130638_FUR-FU-10002116</v>
      </c>
      <c r="E4120" t="str">
        <f>IF(COUNTIF(data2!$D:$D,D4120)=0,"Missing in Data2","Present")</f>
        <v>Present</v>
      </c>
    </row>
    <row r="4121" spans="1:5" x14ac:dyDescent="0.25">
      <c r="A4121" s="2" t="s">
        <v>3746</v>
      </c>
      <c r="B4121" s="2" t="s">
        <v>945</v>
      </c>
      <c r="C4121" s="2">
        <v>9</v>
      </c>
      <c r="D4121" t="str">
        <f t="shared" si="64"/>
        <v>CA-2016-130638_OFF-LA-10002195</v>
      </c>
      <c r="E4121" t="str">
        <f>IF(COUNTIF(data2!$D:$D,D4121)=0,"Missing in Data2","Present")</f>
        <v>Present</v>
      </c>
    </row>
    <row r="4122" spans="1:5" x14ac:dyDescent="0.25">
      <c r="A4122" s="2" t="s">
        <v>3747</v>
      </c>
      <c r="B4122" s="2" t="s">
        <v>3748</v>
      </c>
      <c r="C4122" s="2">
        <v>4</v>
      </c>
      <c r="D4122" t="str">
        <f t="shared" si="64"/>
        <v>CA-2016-130680_TEC-PH-10004833</v>
      </c>
      <c r="E4122" t="str">
        <f>IF(COUNTIF(data2!$D:$D,D4122)=0,"Missing in Data2","Present")</f>
        <v>Present</v>
      </c>
    </row>
    <row r="4123" spans="1:5" x14ac:dyDescent="0.25">
      <c r="A4123" s="2" t="s">
        <v>3749</v>
      </c>
      <c r="B4123" s="2" t="s">
        <v>3750</v>
      </c>
      <c r="C4123" s="2">
        <v>2</v>
      </c>
      <c r="D4123" t="str">
        <f t="shared" si="64"/>
        <v>CA-2016-130778_OFF-AP-10000595</v>
      </c>
      <c r="E4123" t="str">
        <f>IF(COUNTIF(data2!$D:$D,D4123)=0,"Missing in Data2","Present")</f>
        <v>Present</v>
      </c>
    </row>
    <row r="4124" spans="1:5" x14ac:dyDescent="0.25">
      <c r="A4124" s="2" t="s">
        <v>3749</v>
      </c>
      <c r="B4124" s="2" t="s">
        <v>1307</v>
      </c>
      <c r="C4124" s="2">
        <v>5</v>
      </c>
      <c r="D4124" t="str">
        <f t="shared" si="64"/>
        <v>CA-2016-130778_OFF-PA-10001509</v>
      </c>
      <c r="E4124" t="str">
        <f>IF(COUNTIF(data2!$D:$D,D4124)=0,"Missing in Data2","Present")</f>
        <v>Present</v>
      </c>
    </row>
    <row r="4125" spans="1:5" x14ac:dyDescent="0.25">
      <c r="A4125" s="2" t="s">
        <v>3751</v>
      </c>
      <c r="B4125" s="2" t="s">
        <v>240</v>
      </c>
      <c r="C4125" s="2">
        <v>4</v>
      </c>
      <c r="D4125" t="str">
        <f t="shared" si="64"/>
        <v>CA-2016-130799_FUR-FU-10001852</v>
      </c>
      <c r="E4125" t="str">
        <f>IF(COUNTIF(data2!$D:$D,D4125)=0,"Missing in Data2","Present")</f>
        <v>Present</v>
      </c>
    </row>
    <row r="4126" spans="1:5" x14ac:dyDescent="0.25">
      <c r="A4126" s="2" t="s">
        <v>3752</v>
      </c>
      <c r="B4126" s="2" t="s">
        <v>1733</v>
      </c>
      <c r="C4126" s="2">
        <v>4</v>
      </c>
      <c r="D4126" t="str">
        <f t="shared" si="64"/>
        <v>CA-2016-130820_FUR-TA-10001768</v>
      </c>
      <c r="E4126" t="str">
        <f>IF(COUNTIF(data2!$D:$D,D4126)=0,"Missing in Data2","Present")</f>
        <v>Present</v>
      </c>
    </row>
    <row r="4127" spans="1:5" x14ac:dyDescent="0.25">
      <c r="A4127" s="2" t="s">
        <v>3753</v>
      </c>
      <c r="B4127" s="2" t="s">
        <v>1958</v>
      </c>
      <c r="C4127" s="2">
        <v>3</v>
      </c>
      <c r="D4127" t="str">
        <f t="shared" si="64"/>
        <v>CA-2016-130911_FUR-BO-10004357</v>
      </c>
      <c r="E4127" t="str">
        <f>IF(COUNTIF(data2!$D:$D,D4127)=0,"Missing in Data2","Present")</f>
        <v>Missing in Data2</v>
      </c>
    </row>
    <row r="4128" spans="1:5" x14ac:dyDescent="0.25">
      <c r="A4128" s="2" t="s">
        <v>3753</v>
      </c>
      <c r="B4128" s="2" t="s">
        <v>659</v>
      </c>
      <c r="C4128" s="2">
        <v>2</v>
      </c>
      <c r="D4128" t="str">
        <f t="shared" si="64"/>
        <v>CA-2016-130911_OFF-AR-10000475</v>
      </c>
      <c r="E4128" t="str">
        <f>IF(COUNTIF(data2!$D:$D,D4128)=0,"Missing in Data2","Present")</f>
        <v>Present</v>
      </c>
    </row>
    <row r="4129" spans="1:5" x14ac:dyDescent="0.25">
      <c r="A4129" s="2" t="s">
        <v>3754</v>
      </c>
      <c r="B4129" s="2" t="s">
        <v>2527</v>
      </c>
      <c r="C4129" s="2">
        <v>4</v>
      </c>
      <c r="D4129" t="str">
        <f t="shared" si="64"/>
        <v>CA-2016-130946_FUR-CH-10004540</v>
      </c>
      <c r="E4129" t="str">
        <f>IF(COUNTIF(data2!$D:$D,D4129)=0,"Missing in Data2","Present")</f>
        <v>Present</v>
      </c>
    </row>
    <row r="4130" spans="1:5" x14ac:dyDescent="0.25">
      <c r="A4130" s="2" t="s">
        <v>3754</v>
      </c>
      <c r="B4130" s="2" t="s">
        <v>1302</v>
      </c>
      <c r="C4130" s="2">
        <v>4</v>
      </c>
      <c r="D4130" t="str">
        <f t="shared" si="64"/>
        <v>CA-2016-130946_OFF-BI-10004995</v>
      </c>
      <c r="E4130" t="str">
        <f>IF(COUNTIF(data2!$D:$D,D4130)=0,"Missing in Data2","Present")</f>
        <v>Present</v>
      </c>
    </row>
    <row r="4131" spans="1:5" x14ac:dyDescent="0.25">
      <c r="A4131" s="2" t="s">
        <v>3754</v>
      </c>
      <c r="B4131" s="2" t="s">
        <v>3755</v>
      </c>
      <c r="C4131" s="2">
        <v>9</v>
      </c>
      <c r="D4131" t="str">
        <f t="shared" si="64"/>
        <v>CA-2016-130946_TEC-AC-10001990</v>
      </c>
      <c r="E4131" t="str">
        <f>IF(COUNTIF(data2!$D:$D,D4131)=0,"Missing in Data2","Present")</f>
        <v>Present</v>
      </c>
    </row>
    <row r="4132" spans="1:5" x14ac:dyDescent="0.25">
      <c r="A4132" s="2" t="s">
        <v>3756</v>
      </c>
      <c r="B4132" s="2" t="s">
        <v>651</v>
      </c>
      <c r="C4132" s="2">
        <v>2</v>
      </c>
      <c r="D4132" t="str">
        <f t="shared" si="64"/>
        <v>CA-2016-131065_OFF-BI-10004970</v>
      </c>
      <c r="E4132" t="str">
        <f>IF(COUNTIF(data2!$D:$D,D4132)=0,"Missing in Data2","Present")</f>
        <v>Present</v>
      </c>
    </row>
    <row r="4133" spans="1:5" x14ac:dyDescent="0.25">
      <c r="A4133" s="2" t="s">
        <v>3756</v>
      </c>
      <c r="B4133" s="2" t="s">
        <v>682</v>
      </c>
      <c r="C4133" s="2">
        <v>1</v>
      </c>
      <c r="D4133" t="str">
        <f t="shared" si="64"/>
        <v>CA-2016-131065_OFF-PA-10002479</v>
      </c>
      <c r="E4133" t="str">
        <f>IF(COUNTIF(data2!$D:$D,D4133)=0,"Missing in Data2","Present")</f>
        <v>Present</v>
      </c>
    </row>
    <row r="4134" spans="1:5" x14ac:dyDescent="0.25">
      <c r="A4134" s="2" t="s">
        <v>3756</v>
      </c>
      <c r="B4134" s="2" t="s">
        <v>2603</v>
      </c>
      <c r="C4134" s="2">
        <v>2</v>
      </c>
      <c r="D4134" t="str">
        <f t="shared" si="64"/>
        <v>CA-2016-131065_TEC-AC-10004145</v>
      </c>
      <c r="E4134" t="str">
        <f>IF(COUNTIF(data2!$D:$D,D4134)=0,"Missing in Data2","Present")</f>
        <v>Present</v>
      </c>
    </row>
    <row r="4135" spans="1:5" x14ac:dyDescent="0.25">
      <c r="A4135" s="2" t="s">
        <v>3757</v>
      </c>
      <c r="B4135" s="2" t="s">
        <v>3758</v>
      </c>
      <c r="C4135" s="2">
        <v>5</v>
      </c>
      <c r="D4135" t="str">
        <f t="shared" si="64"/>
        <v>CA-2016-131093_OFF-ST-10002790</v>
      </c>
      <c r="E4135" t="str">
        <f>IF(COUNTIF(data2!$D:$D,D4135)=0,"Missing in Data2","Present")</f>
        <v>Present</v>
      </c>
    </row>
    <row r="4136" spans="1:5" x14ac:dyDescent="0.25">
      <c r="A4136" s="2" t="s">
        <v>3759</v>
      </c>
      <c r="B4136" s="2" t="s">
        <v>2689</v>
      </c>
      <c r="C4136" s="2">
        <v>3</v>
      </c>
      <c r="D4136" t="str">
        <f t="shared" si="64"/>
        <v>CA-2016-131205_FUR-FU-10003347</v>
      </c>
      <c r="E4136" t="str">
        <f>IF(COUNTIF(data2!$D:$D,D4136)=0,"Missing in Data2","Present")</f>
        <v>Present</v>
      </c>
    </row>
    <row r="4137" spans="1:5" x14ac:dyDescent="0.25">
      <c r="A4137" s="2" t="s">
        <v>3759</v>
      </c>
      <c r="B4137" s="2" t="s">
        <v>719</v>
      </c>
      <c r="C4137" s="2">
        <v>3</v>
      </c>
      <c r="D4137" t="str">
        <f t="shared" si="64"/>
        <v>CA-2016-131205_OFF-AR-10003469</v>
      </c>
      <c r="E4137" t="str">
        <f>IF(COUNTIF(data2!$D:$D,D4137)=0,"Missing in Data2","Present")</f>
        <v>Present</v>
      </c>
    </row>
    <row r="4138" spans="1:5" x14ac:dyDescent="0.25">
      <c r="A4138" s="2" t="s">
        <v>3759</v>
      </c>
      <c r="B4138" s="2" t="s">
        <v>1386</v>
      </c>
      <c r="C4138" s="2">
        <v>6</v>
      </c>
      <c r="D4138" t="str">
        <f t="shared" si="64"/>
        <v>CA-2016-131205_OFF-BI-10000315</v>
      </c>
      <c r="E4138" t="str">
        <f>IF(COUNTIF(data2!$D:$D,D4138)=0,"Missing in Data2","Present")</f>
        <v>Present</v>
      </c>
    </row>
    <row r="4139" spans="1:5" x14ac:dyDescent="0.25">
      <c r="A4139" s="2" t="s">
        <v>3759</v>
      </c>
      <c r="B4139" s="2" t="s">
        <v>1268</v>
      </c>
      <c r="C4139" s="2">
        <v>4</v>
      </c>
      <c r="D4139" t="str">
        <f t="shared" si="64"/>
        <v>CA-2016-131205_OFF-ST-10002583</v>
      </c>
      <c r="E4139" t="str">
        <f>IF(COUNTIF(data2!$D:$D,D4139)=0,"Missing in Data2","Present")</f>
        <v>Present</v>
      </c>
    </row>
    <row r="4140" spans="1:5" x14ac:dyDescent="0.25">
      <c r="A4140" s="2" t="s">
        <v>3760</v>
      </c>
      <c r="B4140" s="2" t="s">
        <v>318</v>
      </c>
      <c r="C4140" s="2">
        <v>6</v>
      </c>
      <c r="D4140" t="str">
        <f t="shared" si="64"/>
        <v>CA-2016-131289_FUR-TA-10003954</v>
      </c>
      <c r="E4140" t="str">
        <f>IF(COUNTIF(data2!$D:$D,D4140)=0,"Missing in Data2","Present")</f>
        <v>Present</v>
      </c>
    </row>
    <row r="4141" spans="1:5" x14ac:dyDescent="0.25">
      <c r="A4141" s="2" t="s">
        <v>3760</v>
      </c>
      <c r="B4141" s="2" t="s">
        <v>1278</v>
      </c>
      <c r="C4141" s="2">
        <v>2</v>
      </c>
      <c r="D4141" t="str">
        <f t="shared" si="64"/>
        <v>CA-2016-131289_OFF-AR-10003056</v>
      </c>
      <c r="E4141" t="str">
        <f>IF(COUNTIF(data2!$D:$D,D4141)=0,"Missing in Data2","Present")</f>
        <v>Present</v>
      </c>
    </row>
    <row r="4142" spans="1:5" x14ac:dyDescent="0.25">
      <c r="A4142" s="2" t="s">
        <v>3760</v>
      </c>
      <c r="B4142" s="2" t="s">
        <v>1714</v>
      </c>
      <c r="C4142" s="2">
        <v>7</v>
      </c>
      <c r="D4142" t="str">
        <f t="shared" si="64"/>
        <v>CA-2016-131289_OFF-PA-10003363</v>
      </c>
      <c r="E4142" t="str">
        <f>IF(COUNTIF(data2!$D:$D,D4142)=0,"Missing in Data2","Present")</f>
        <v>Present</v>
      </c>
    </row>
    <row r="4143" spans="1:5" x14ac:dyDescent="0.25">
      <c r="A4143" s="2" t="s">
        <v>3761</v>
      </c>
      <c r="B4143" s="2" t="s">
        <v>2707</v>
      </c>
      <c r="C4143" s="2">
        <v>2</v>
      </c>
      <c r="D4143" t="str">
        <f t="shared" si="64"/>
        <v>CA-2016-131296_FUR-TA-10002622</v>
      </c>
      <c r="E4143" t="str">
        <f>IF(COUNTIF(data2!$D:$D,D4143)=0,"Missing in Data2","Present")</f>
        <v>Present</v>
      </c>
    </row>
    <row r="4144" spans="1:5" x14ac:dyDescent="0.25">
      <c r="A4144" s="2" t="s">
        <v>3762</v>
      </c>
      <c r="B4144" s="2" t="s">
        <v>1475</v>
      </c>
      <c r="C4144" s="2">
        <v>1</v>
      </c>
      <c r="D4144" t="str">
        <f t="shared" si="64"/>
        <v>CA-2016-131380_OFF-PA-10001243</v>
      </c>
      <c r="E4144" t="str">
        <f>IF(COUNTIF(data2!$D:$D,D4144)=0,"Missing in Data2","Present")</f>
        <v>Present</v>
      </c>
    </row>
    <row r="4145" spans="1:5" x14ac:dyDescent="0.25">
      <c r="A4145" s="2" t="s">
        <v>3762</v>
      </c>
      <c r="B4145" s="2" t="s">
        <v>3070</v>
      </c>
      <c r="C4145" s="2">
        <v>4</v>
      </c>
      <c r="D4145" t="str">
        <f t="shared" si="64"/>
        <v>CA-2016-131380_OFF-ST-10002485</v>
      </c>
      <c r="E4145" t="str">
        <f>IF(COUNTIF(data2!$D:$D,D4145)=0,"Missing in Data2","Present")</f>
        <v>Present</v>
      </c>
    </row>
    <row r="4146" spans="1:5" x14ac:dyDescent="0.25">
      <c r="A4146" s="2" t="s">
        <v>3763</v>
      </c>
      <c r="B4146" s="2" t="s">
        <v>2267</v>
      </c>
      <c r="C4146" s="2">
        <v>1</v>
      </c>
      <c r="D4146" t="str">
        <f t="shared" si="64"/>
        <v>CA-2016-131499_OFF-AP-10003779</v>
      </c>
      <c r="E4146" t="str">
        <f>IF(COUNTIF(data2!$D:$D,D4146)=0,"Missing in Data2","Present")</f>
        <v>Present</v>
      </c>
    </row>
    <row r="4147" spans="1:5" x14ac:dyDescent="0.25">
      <c r="A4147" s="2" t="s">
        <v>3764</v>
      </c>
      <c r="B4147" s="2" t="s">
        <v>480</v>
      </c>
      <c r="C4147" s="2">
        <v>3</v>
      </c>
      <c r="D4147" t="str">
        <f t="shared" si="64"/>
        <v>CA-2016-131576_OFF-BI-10002852</v>
      </c>
      <c r="E4147" t="str">
        <f>IF(COUNTIF(data2!$D:$D,D4147)=0,"Missing in Data2","Present")</f>
        <v>Present</v>
      </c>
    </row>
    <row r="4148" spans="1:5" x14ac:dyDescent="0.25">
      <c r="A4148" s="2" t="s">
        <v>3765</v>
      </c>
      <c r="B4148" s="2" t="s">
        <v>951</v>
      </c>
      <c r="C4148" s="2">
        <v>2</v>
      </c>
      <c r="D4148" t="str">
        <f t="shared" si="64"/>
        <v>CA-2016-131639_OFF-BI-10001636</v>
      </c>
      <c r="E4148" t="str">
        <f>IF(COUNTIF(data2!$D:$D,D4148)=0,"Missing in Data2","Present")</f>
        <v>Present</v>
      </c>
    </row>
    <row r="4149" spans="1:5" x14ac:dyDescent="0.25">
      <c r="A4149" s="2" t="s">
        <v>3766</v>
      </c>
      <c r="B4149" s="2" t="s">
        <v>263</v>
      </c>
      <c r="C4149" s="2">
        <v>5</v>
      </c>
      <c r="D4149" t="str">
        <f t="shared" si="64"/>
        <v>CA-2016-131737_FUR-FU-10004306</v>
      </c>
      <c r="E4149" t="str">
        <f>IF(COUNTIF(data2!$D:$D,D4149)=0,"Missing in Data2","Present")</f>
        <v>Present</v>
      </c>
    </row>
    <row r="4150" spans="1:5" x14ac:dyDescent="0.25">
      <c r="A4150" s="2" t="s">
        <v>3766</v>
      </c>
      <c r="B4150" s="2" t="s">
        <v>1000</v>
      </c>
      <c r="C4150" s="2">
        <v>3</v>
      </c>
      <c r="D4150" t="str">
        <f t="shared" si="64"/>
        <v>CA-2016-131737_OFF-AP-10002945</v>
      </c>
      <c r="E4150" t="str">
        <f>IF(COUNTIF(data2!$D:$D,D4150)=0,"Missing in Data2","Present")</f>
        <v>Present</v>
      </c>
    </row>
    <row r="4151" spans="1:5" x14ac:dyDescent="0.25">
      <c r="A4151" s="2" t="s">
        <v>3766</v>
      </c>
      <c r="B4151" s="2" t="s">
        <v>1970</v>
      </c>
      <c r="C4151" s="2">
        <v>5</v>
      </c>
      <c r="D4151" t="str">
        <f t="shared" si="64"/>
        <v>CA-2016-131737_OFF-EN-10003055</v>
      </c>
      <c r="E4151" t="str">
        <f>IF(COUNTIF(data2!$D:$D,D4151)=0,"Missing in Data2","Present")</f>
        <v>Present</v>
      </c>
    </row>
    <row r="4152" spans="1:5" x14ac:dyDescent="0.25">
      <c r="A4152" s="2" t="s">
        <v>3767</v>
      </c>
      <c r="B4152" s="2" t="s">
        <v>2622</v>
      </c>
      <c r="C4152" s="2">
        <v>3</v>
      </c>
      <c r="D4152" t="str">
        <f t="shared" si="64"/>
        <v>CA-2016-131744_OFF-AP-10001394</v>
      </c>
      <c r="E4152" t="str">
        <f>IF(COUNTIF(data2!$D:$D,D4152)=0,"Missing in Data2","Present")</f>
        <v>Present</v>
      </c>
    </row>
    <row r="4153" spans="1:5" x14ac:dyDescent="0.25">
      <c r="A4153" s="2" t="s">
        <v>3767</v>
      </c>
      <c r="B4153" s="2" t="s">
        <v>546</v>
      </c>
      <c r="C4153" s="2">
        <v>2</v>
      </c>
      <c r="D4153" t="str">
        <f t="shared" si="64"/>
        <v>CA-2016-131744_OFF-BI-10003910</v>
      </c>
      <c r="E4153" t="str">
        <f>IF(COUNTIF(data2!$D:$D,D4153)=0,"Missing in Data2","Present")</f>
        <v>Present</v>
      </c>
    </row>
    <row r="4154" spans="1:5" x14ac:dyDescent="0.25">
      <c r="A4154" s="2" t="s">
        <v>3767</v>
      </c>
      <c r="B4154" s="2" t="s">
        <v>837</v>
      </c>
      <c r="C4154" s="2">
        <v>2</v>
      </c>
      <c r="D4154" t="str">
        <f t="shared" si="64"/>
        <v>CA-2016-131744_OFF-PA-10004610</v>
      </c>
      <c r="E4154" t="str">
        <f>IF(COUNTIF(data2!$D:$D,D4154)=0,"Missing in Data2","Present")</f>
        <v>Present</v>
      </c>
    </row>
    <row r="4155" spans="1:5" x14ac:dyDescent="0.25">
      <c r="A4155" s="2" t="s">
        <v>3768</v>
      </c>
      <c r="B4155" s="2" t="s">
        <v>2088</v>
      </c>
      <c r="C4155" s="2">
        <v>2</v>
      </c>
      <c r="D4155" t="str">
        <f t="shared" si="64"/>
        <v>CA-2016-131835_OFF-AP-10004487</v>
      </c>
      <c r="E4155" t="str">
        <f>IF(COUNTIF(data2!$D:$D,D4155)=0,"Missing in Data2","Present")</f>
        <v>Present</v>
      </c>
    </row>
    <row r="4156" spans="1:5" x14ac:dyDescent="0.25">
      <c r="A4156" s="2" t="s">
        <v>3768</v>
      </c>
      <c r="B4156" s="2" t="s">
        <v>477</v>
      </c>
      <c r="C4156" s="2">
        <v>1</v>
      </c>
      <c r="D4156" t="str">
        <f t="shared" si="64"/>
        <v>CA-2016-131835_OFF-PA-10004071</v>
      </c>
      <c r="E4156" t="str">
        <f>IF(COUNTIF(data2!$D:$D,D4156)=0,"Missing in Data2","Present")</f>
        <v>Present</v>
      </c>
    </row>
    <row r="4157" spans="1:5" x14ac:dyDescent="0.25">
      <c r="A4157" s="2" t="s">
        <v>3768</v>
      </c>
      <c r="B4157" s="2" t="s">
        <v>313</v>
      </c>
      <c r="C4157" s="2">
        <v>3</v>
      </c>
      <c r="D4157" t="str">
        <f t="shared" si="64"/>
        <v>CA-2016-131835_TEC-PH-10001760</v>
      </c>
      <c r="E4157" t="str">
        <f>IF(COUNTIF(data2!$D:$D,D4157)=0,"Missing in Data2","Present")</f>
        <v>Present</v>
      </c>
    </row>
    <row r="4158" spans="1:5" x14ac:dyDescent="0.25">
      <c r="A4158" s="2" t="s">
        <v>3769</v>
      </c>
      <c r="B4158" s="2" t="s">
        <v>3770</v>
      </c>
      <c r="C4158" s="2">
        <v>3</v>
      </c>
      <c r="D4158" t="str">
        <f t="shared" si="64"/>
        <v>CA-2016-131968_OFF-AP-10001058</v>
      </c>
      <c r="E4158" t="str">
        <f>IF(COUNTIF(data2!$D:$D,D4158)=0,"Missing in Data2","Present")</f>
        <v>Present</v>
      </c>
    </row>
    <row r="4159" spans="1:5" x14ac:dyDescent="0.25">
      <c r="A4159" s="2" t="s">
        <v>3769</v>
      </c>
      <c r="B4159" s="2" t="s">
        <v>480</v>
      </c>
      <c r="C4159" s="2">
        <v>2</v>
      </c>
      <c r="D4159" t="str">
        <f t="shared" si="64"/>
        <v>CA-2016-131968_OFF-BI-10002852</v>
      </c>
      <c r="E4159" t="str">
        <f>IF(COUNTIF(data2!$D:$D,D4159)=0,"Missing in Data2","Present")</f>
        <v>Present</v>
      </c>
    </row>
    <row r="4160" spans="1:5" x14ac:dyDescent="0.25">
      <c r="A4160" s="2" t="s">
        <v>3771</v>
      </c>
      <c r="B4160" s="2" t="s">
        <v>2450</v>
      </c>
      <c r="C4160" s="2">
        <v>2</v>
      </c>
      <c r="D4160" t="str">
        <f t="shared" si="64"/>
        <v>CA-2016-132017_OFF-BI-10004001</v>
      </c>
      <c r="E4160" t="str">
        <f>IF(COUNTIF(data2!$D:$D,D4160)=0,"Missing in Data2","Present")</f>
        <v>Missing in Data2</v>
      </c>
    </row>
    <row r="4161" spans="1:5" x14ac:dyDescent="0.25">
      <c r="A4161" s="2" t="s">
        <v>3772</v>
      </c>
      <c r="B4161" s="2" t="s">
        <v>544</v>
      </c>
      <c r="C4161" s="2">
        <v>1</v>
      </c>
      <c r="D4161" t="str">
        <f t="shared" si="64"/>
        <v>CA-2016-132066_FUR-TA-10001539</v>
      </c>
      <c r="E4161" t="str">
        <f>IF(COUNTIF(data2!$D:$D,D4161)=0,"Missing in Data2","Present")</f>
        <v>Present</v>
      </c>
    </row>
    <row r="4162" spans="1:5" x14ac:dyDescent="0.25">
      <c r="A4162" s="2" t="s">
        <v>3773</v>
      </c>
      <c r="B4162" s="2" t="s">
        <v>361</v>
      </c>
      <c r="C4162" s="2">
        <v>3</v>
      </c>
      <c r="D4162" t="str">
        <f t="shared" si="64"/>
        <v>CA-2016-132094_OFF-AR-10004165</v>
      </c>
      <c r="E4162" t="str">
        <f>IF(COUNTIF(data2!$D:$D,D4162)=0,"Missing in Data2","Present")</f>
        <v>Present</v>
      </c>
    </row>
    <row r="4163" spans="1:5" x14ac:dyDescent="0.25">
      <c r="A4163" s="2" t="s">
        <v>3773</v>
      </c>
      <c r="B4163" s="2" t="s">
        <v>2690</v>
      </c>
      <c r="C4163" s="2">
        <v>2</v>
      </c>
      <c r="D4163" t="str">
        <f t="shared" ref="D4163:D4226" si="65">A4163&amp;"_"&amp;B4163</f>
        <v>CA-2016-132094_TEC-AC-10001109</v>
      </c>
      <c r="E4163" t="str">
        <f>IF(COUNTIF(data2!$D:$D,D4163)=0,"Missing in Data2","Present")</f>
        <v>Present</v>
      </c>
    </row>
    <row r="4164" spans="1:5" x14ac:dyDescent="0.25">
      <c r="A4164" s="2" t="s">
        <v>3774</v>
      </c>
      <c r="B4164" s="2" t="s">
        <v>2748</v>
      </c>
      <c r="C4164" s="2">
        <v>7</v>
      </c>
      <c r="D4164" t="str">
        <f t="shared" si="65"/>
        <v>CA-2016-132143_OFF-PA-10002713</v>
      </c>
      <c r="E4164" t="str">
        <f>IF(COUNTIF(data2!$D:$D,D4164)=0,"Missing in Data2","Present")</f>
        <v>Present</v>
      </c>
    </row>
    <row r="4165" spans="1:5" x14ac:dyDescent="0.25">
      <c r="A4165" s="2" t="s">
        <v>3775</v>
      </c>
      <c r="B4165" s="2" t="s">
        <v>2492</v>
      </c>
      <c r="C4165" s="2">
        <v>7</v>
      </c>
      <c r="D4165" t="str">
        <f t="shared" si="65"/>
        <v>CA-2016-132304_FUR-TA-10004619</v>
      </c>
      <c r="E4165" t="str">
        <f>IF(COUNTIF(data2!$D:$D,D4165)=0,"Missing in Data2","Present")</f>
        <v>Present</v>
      </c>
    </row>
    <row r="4166" spans="1:5" x14ac:dyDescent="0.25">
      <c r="A4166" s="2" t="s">
        <v>3776</v>
      </c>
      <c r="B4166" s="2" t="s">
        <v>3152</v>
      </c>
      <c r="C4166" s="2">
        <v>2</v>
      </c>
      <c r="D4166" t="str">
        <f t="shared" si="65"/>
        <v>CA-2016-132409_OFF-AP-10002082</v>
      </c>
      <c r="E4166" t="str">
        <f>IF(COUNTIF(data2!$D:$D,D4166)=0,"Missing in Data2","Present")</f>
        <v>Present</v>
      </c>
    </row>
    <row r="4167" spans="1:5" x14ac:dyDescent="0.25">
      <c r="A4167" s="2" t="s">
        <v>3776</v>
      </c>
      <c r="B4167" s="2" t="s">
        <v>899</v>
      </c>
      <c r="C4167" s="2">
        <v>1</v>
      </c>
      <c r="D4167" t="str">
        <f t="shared" si="65"/>
        <v>CA-2016-132409_OFF-AR-10001919</v>
      </c>
      <c r="E4167" t="str">
        <f>IF(COUNTIF(data2!$D:$D,D4167)=0,"Missing in Data2","Present")</f>
        <v>Present</v>
      </c>
    </row>
    <row r="4168" spans="1:5" x14ac:dyDescent="0.25">
      <c r="A4168" s="2" t="s">
        <v>3777</v>
      </c>
      <c r="B4168" s="2" t="s">
        <v>3778</v>
      </c>
      <c r="C4168" s="2">
        <v>7</v>
      </c>
      <c r="D4168" t="str">
        <f t="shared" si="65"/>
        <v>CA-2016-132479_OFF-BI-10004584</v>
      </c>
      <c r="E4168" t="str">
        <f>IF(COUNTIF(data2!$D:$D,D4168)=0,"Missing in Data2","Present")</f>
        <v>Present</v>
      </c>
    </row>
    <row r="4169" spans="1:5" x14ac:dyDescent="0.25">
      <c r="A4169" s="2" t="s">
        <v>3779</v>
      </c>
      <c r="B4169" s="2" t="s">
        <v>2467</v>
      </c>
      <c r="C4169" s="2">
        <v>7</v>
      </c>
      <c r="D4169" t="str">
        <f t="shared" si="65"/>
        <v>CA-2016-132549_OFF-ST-10001325</v>
      </c>
      <c r="E4169" t="str">
        <f>IF(COUNTIF(data2!$D:$D,D4169)=0,"Missing in Data2","Present")</f>
        <v>Present</v>
      </c>
    </row>
    <row r="4170" spans="1:5" x14ac:dyDescent="0.25">
      <c r="A4170" s="2" t="s">
        <v>3780</v>
      </c>
      <c r="B4170" s="2" t="s">
        <v>1335</v>
      </c>
      <c r="C4170" s="2">
        <v>10</v>
      </c>
      <c r="D4170" t="str">
        <f t="shared" si="65"/>
        <v>CA-2016-132661_OFF-PA-10000482</v>
      </c>
      <c r="E4170" t="str">
        <f>IF(COUNTIF(data2!$D:$D,D4170)=0,"Missing in Data2","Present")</f>
        <v>Present</v>
      </c>
    </row>
    <row r="4171" spans="1:5" x14ac:dyDescent="0.25">
      <c r="A4171" s="2" t="s">
        <v>3781</v>
      </c>
      <c r="B4171" s="2" t="s">
        <v>3715</v>
      </c>
      <c r="C4171" s="2">
        <v>6</v>
      </c>
      <c r="D4171" t="str">
        <f t="shared" si="65"/>
        <v>CA-2016-132731_TEC-PH-10004120</v>
      </c>
      <c r="E4171" t="str">
        <f>IF(COUNTIF(data2!$D:$D,D4171)=0,"Missing in Data2","Present")</f>
        <v>Missing in Data2</v>
      </c>
    </row>
    <row r="4172" spans="1:5" x14ac:dyDescent="0.25">
      <c r="A4172" s="2" t="s">
        <v>3782</v>
      </c>
      <c r="B4172" s="2" t="s">
        <v>3306</v>
      </c>
      <c r="C4172" s="2">
        <v>2</v>
      </c>
      <c r="D4172" t="str">
        <f t="shared" si="65"/>
        <v>CA-2016-132829_FUR-FU-10000206</v>
      </c>
      <c r="E4172" t="str">
        <f>IF(COUNTIF(data2!$D:$D,D4172)=0,"Missing in Data2","Present")</f>
        <v>Present</v>
      </c>
    </row>
    <row r="4173" spans="1:5" x14ac:dyDescent="0.25">
      <c r="A4173" s="2" t="s">
        <v>3782</v>
      </c>
      <c r="B4173" s="2" t="s">
        <v>720</v>
      </c>
      <c r="C4173" s="2">
        <v>9</v>
      </c>
      <c r="D4173" t="str">
        <f t="shared" si="65"/>
        <v>CA-2016-132829_OFF-LA-10002945</v>
      </c>
      <c r="E4173" t="str">
        <f>IF(COUNTIF(data2!$D:$D,D4173)=0,"Missing in Data2","Present")</f>
        <v>Present</v>
      </c>
    </row>
    <row r="4174" spans="1:5" x14ac:dyDescent="0.25">
      <c r="A4174" s="2" t="s">
        <v>3782</v>
      </c>
      <c r="B4174" s="2" t="s">
        <v>2596</v>
      </c>
      <c r="C4174" s="2">
        <v>3</v>
      </c>
      <c r="D4174" t="str">
        <f t="shared" si="65"/>
        <v>CA-2016-132829_TEC-PH-10004345</v>
      </c>
      <c r="E4174" t="str">
        <f>IF(COUNTIF(data2!$D:$D,D4174)=0,"Missing in Data2","Present")</f>
        <v>Present</v>
      </c>
    </row>
    <row r="4175" spans="1:5" x14ac:dyDescent="0.25">
      <c r="A4175" s="2" t="s">
        <v>3782</v>
      </c>
      <c r="B4175" s="2" t="s">
        <v>1751</v>
      </c>
      <c r="C4175" s="2">
        <v>3</v>
      </c>
      <c r="D4175" t="str">
        <f t="shared" si="65"/>
        <v>CA-2016-132829_TEC-PH-10004912</v>
      </c>
      <c r="E4175" t="str">
        <f>IF(COUNTIF(data2!$D:$D,D4175)=0,"Missing in Data2","Present")</f>
        <v>Present</v>
      </c>
    </row>
    <row r="4176" spans="1:5" x14ac:dyDescent="0.25">
      <c r="A4176" s="2" t="s">
        <v>3783</v>
      </c>
      <c r="B4176" s="2" t="s">
        <v>79</v>
      </c>
      <c r="C4176" s="2">
        <v>2</v>
      </c>
      <c r="D4176" t="str">
        <f t="shared" si="65"/>
        <v>CA-2016-132899_OFF-AR-10002833</v>
      </c>
      <c r="E4176" t="str">
        <f>IF(COUNTIF(data2!$D:$D,D4176)=0,"Missing in Data2","Present")</f>
        <v>Present</v>
      </c>
    </row>
    <row r="4177" spans="1:5" x14ac:dyDescent="0.25">
      <c r="A4177" s="2" t="s">
        <v>3784</v>
      </c>
      <c r="B4177" s="2" t="s">
        <v>3214</v>
      </c>
      <c r="C4177" s="2">
        <v>2</v>
      </c>
      <c r="D4177" t="str">
        <f t="shared" si="65"/>
        <v>CA-2016-132997_OFF-BI-10004318</v>
      </c>
      <c r="E4177" t="str">
        <f>IF(COUNTIF(data2!$D:$D,D4177)=0,"Missing in Data2","Present")</f>
        <v>Missing in Data2</v>
      </c>
    </row>
    <row r="4178" spans="1:5" x14ac:dyDescent="0.25">
      <c r="A4178" s="2" t="s">
        <v>3784</v>
      </c>
      <c r="B4178" s="2" t="s">
        <v>177</v>
      </c>
      <c r="C4178" s="2">
        <v>2</v>
      </c>
      <c r="D4178" t="str">
        <f t="shared" si="65"/>
        <v>CA-2016-132997_OFF-PA-10004983</v>
      </c>
      <c r="E4178" t="str">
        <f>IF(COUNTIF(data2!$D:$D,D4178)=0,"Missing in Data2","Present")</f>
        <v>Present</v>
      </c>
    </row>
    <row r="4179" spans="1:5" x14ac:dyDescent="0.25">
      <c r="A4179" s="2" t="s">
        <v>3784</v>
      </c>
      <c r="B4179" s="2" t="s">
        <v>39</v>
      </c>
      <c r="C4179" s="2">
        <v>3</v>
      </c>
      <c r="D4179" t="str">
        <f t="shared" si="65"/>
        <v>CA-2016-132997_OFF-ST-10003479</v>
      </c>
      <c r="E4179" t="str">
        <f>IF(COUNTIF(data2!$D:$D,D4179)=0,"Missing in Data2","Present")</f>
        <v>Present</v>
      </c>
    </row>
    <row r="4180" spans="1:5" x14ac:dyDescent="0.25">
      <c r="A4180" s="2" t="s">
        <v>3784</v>
      </c>
      <c r="B4180" s="2" t="s">
        <v>383</v>
      </c>
      <c r="C4180" s="2">
        <v>4</v>
      </c>
      <c r="D4180" t="str">
        <f t="shared" si="65"/>
        <v>CA-2016-132997_TEC-PH-10000586</v>
      </c>
      <c r="E4180" t="str">
        <f>IF(COUNTIF(data2!$D:$D,D4180)=0,"Missing in Data2","Present")</f>
        <v>Present</v>
      </c>
    </row>
    <row r="4181" spans="1:5" x14ac:dyDescent="0.25">
      <c r="A4181" s="2" t="s">
        <v>3784</v>
      </c>
      <c r="B4181" s="2" t="s">
        <v>713</v>
      </c>
      <c r="C4181" s="2">
        <v>3</v>
      </c>
      <c r="D4181" t="str">
        <f t="shared" si="65"/>
        <v>CA-2016-132997_TEC-PH-10003811</v>
      </c>
      <c r="E4181" t="str">
        <f>IF(COUNTIF(data2!$D:$D,D4181)=0,"Missing in Data2","Present")</f>
        <v>Present</v>
      </c>
    </row>
    <row r="4182" spans="1:5" x14ac:dyDescent="0.25">
      <c r="A4182" s="2" t="s">
        <v>3785</v>
      </c>
      <c r="B4182" s="2" t="s">
        <v>773</v>
      </c>
      <c r="C4182" s="2">
        <v>2</v>
      </c>
      <c r="D4182" t="str">
        <f t="shared" si="65"/>
        <v>CA-2016-133123_OFF-BI-10001031</v>
      </c>
      <c r="E4182" t="str">
        <f>IF(COUNTIF(data2!$D:$D,D4182)=0,"Missing in Data2","Present")</f>
        <v>Present</v>
      </c>
    </row>
    <row r="4183" spans="1:5" x14ac:dyDescent="0.25">
      <c r="A4183" s="2" t="s">
        <v>3785</v>
      </c>
      <c r="B4183" s="2" t="s">
        <v>1970</v>
      </c>
      <c r="C4183" s="2">
        <v>3</v>
      </c>
      <c r="D4183" t="str">
        <f t="shared" si="65"/>
        <v>CA-2016-133123_OFF-EN-10003055</v>
      </c>
      <c r="E4183" t="str">
        <f>IF(COUNTIF(data2!$D:$D,D4183)=0,"Missing in Data2","Present")</f>
        <v>Present</v>
      </c>
    </row>
    <row r="4184" spans="1:5" x14ac:dyDescent="0.25">
      <c r="A4184" s="2" t="s">
        <v>3786</v>
      </c>
      <c r="B4184" s="2" t="s">
        <v>2528</v>
      </c>
      <c r="C4184" s="2">
        <v>3</v>
      </c>
      <c r="D4184" t="str">
        <f t="shared" si="65"/>
        <v>CA-2016-133144_OFF-PA-10004971</v>
      </c>
      <c r="E4184" t="str">
        <f>IF(COUNTIF(data2!$D:$D,D4184)=0,"Missing in Data2","Present")</f>
        <v>Present</v>
      </c>
    </row>
    <row r="4185" spans="1:5" x14ac:dyDescent="0.25">
      <c r="A4185" s="2" t="s">
        <v>3787</v>
      </c>
      <c r="B4185" s="2" t="s">
        <v>2423</v>
      </c>
      <c r="C4185" s="2">
        <v>4</v>
      </c>
      <c r="D4185" t="str">
        <f t="shared" si="65"/>
        <v>CA-2016-133319_OFF-PA-10001815</v>
      </c>
      <c r="E4185" t="str">
        <f>IF(COUNTIF(data2!$D:$D,D4185)=0,"Missing in Data2","Present")</f>
        <v>Present</v>
      </c>
    </row>
    <row r="4186" spans="1:5" x14ac:dyDescent="0.25">
      <c r="A4186" s="2" t="s">
        <v>3788</v>
      </c>
      <c r="B4186" s="2" t="s">
        <v>1787</v>
      </c>
      <c r="C4186" s="2">
        <v>1</v>
      </c>
      <c r="D4186" t="str">
        <f t="shared" si="65"/>
        <v>CA-2016-133340_OFF-AP-10002311</v>
      </c>
      <c r="E4186" t="str">
        <f>IF(COUNTIF(data2!$D:$D,D4186)=0,"Missing in Data2","Present")</f>
        <v>Present</v>
      </c>
    </row>
    <row r="4187" spans="1:5" x14ac:dyDescent="0.25">
      <c r="A4187" s="2" t="s">
        <v>3788</v>
      </c>
      <c r="B4187" s="2" t="s">
        <v>2690</v>
      </c>
      <c r="C4187" s="2">
        <v>2</v>
      </c>
      <c r="D4187" t="str">
        <f t="shared" si="65"/>
        <v>CA-2016-133340_TEC-AC-10001109</v>
      </c>
      <c r="E4187" t="str">
        <f>IF(COUNTIF(data2!$D:$D,D4187)=0,"Missing in Data2","Present")</f>
        <v>Present</v>
      </c>
    </row>
    <row r="4188" spans="1:5" x14ac:dyDescent="0.25">
      <c r="A4188" s="2" t="s">
        <v>3788</v>
      </c>
      <c r="B4188" s="2" t="s">
        <v>1616</v>
      </c>
      <c r="C4188" s="2">
        <v>1</v>
      </c>
      <c r="D4188" t="str">
        <f t="shared" si="65"/>
        <v>CA-2016-133340_TEC-PH-10003988</v>
      </c>
      <c r="E4188" t="str">
        <f>IF(COUNTIF(data2!$D:$D,D4188)=0,"Missing in Data2","Present")</f>
        <v>Present</v>
      </c>
    </row>
    <row r="4189" spans="1:5" x14ac:dyDescent="0.25">
      <c r="A4189" s="2" t="s">
        <v>3789</v>
      </c>
      <c r="B4189" s="2" t="s">
        <v>3790</v>
      </c>
      <c r="C4189" s="2">
        <v>8</v>
      </c>
      <c r="D4189" t="str">
        <f t="shared" si="65"/>
        <v>CA-2016-133368_FUR-FU-10003374</v>
      </c>
      <c r="E4189" t="str">
        <f>IF(COUNTIF(data2!$D:$D,D4189)=0,"Missing in Data2","Present")</f>
        <v>Present</v>
      </c>
    </row>
    <row r="4190" spans="1:5" x14ac:dyDescent="0.25">
      <c r="A4190" s="2" t="s">
        <v>3789</v>
      </c>
      <c r="B4190" s="2" t="s">
        <v>3791</v>
      </c>
      <c r="C4190" s="2">
        <v>2</v>
      </c>
      <c r="D4190" t="str">
        <f t="shared" si="65"/>
        <v>CA-2016-133368_OFF-PA-10004039</v>
      </c>
      <c r="E4190" t="str">
        <f>IF(COUNTIF(data2!$D:$D,D4190)=0,"Missing in Data2","Present")</f>
        <v>Present</v>
      </c>
    </row>
    <row r="4191" spans="1:5" x14ac:dyDescent="0.25">
      <c r="A4191" s="2" t="s">
        <v>3792</v>
      </c>
      <c r="B4191" s="2" t="s">
        <v>416</v>
      </c>
      <c r="C4191" s="2">
        <v>3</v>
      </c>
      <c r="D4191" t="str">
        <f t="shared" si="65"/>
        <v>CA-2016-133550_FUR-FU-10002918</v>
      </c>
      <c r="E4191" t="str">
        <f>IF(COUNTIF(data2!$D:$D,D4191)=0,"Missing in Data2","Present")</f>
        <v>Present</v>
      </c>
    </row>
    <row r="4192" spans="1:5" x14ac:dyDescent="0.25">
      <c r="A4192" s="2" t="s">
        <v>3792</v>
      </c>
      <c r="B4192" s="2" t="s">
        <v>800</v>
      </c>
      <c r="C4192" s="2">
        <v>1</v>
      </c>
      <c r="D4192" t="str">
        <f t="shared" si="65"/>
        <v>CA-2016-133550_TEC-PH-10001079</v>
      </c>
      <c r="E4192" t="str">
        <f>IF(COUNTIF(data2!$D:$D,D4192)=0,"Missing in Data2","Present")</f>
        <v>Present</v>
      </c>
    </row>
    <row r="4193" spans="1:5" x14ac:dyDescent="0.25">
      <c r="A4193" s="2" t="s">
        <v>3792</v>
      </c>
      <c r="B4193" s="2" t="s">
        <v>2053</v>
      </c>
      <c r="C4193" s="2">
        <v>4</v>
      </c>
      <c r="D4193" t="str">
        <f t="shared" si="65"/>
        <v>CA-2016-133550_TEC-PH-10004042</v>
      </c>
      <c r="E4193" t="str">
        <f>IF(COUNTIF(data2!$D:$D,D4193)=0,"Missing in Data2","Present")</f>
        <v>Present</v>
      </c>
    </row>
    <row r="4194" spans="1:5" x14ac:dyDescent="0.25">
      <c r="A4194" s="2" t="s">
        <v>3793</v>
      </c>
      <c r="B4194" s="2" t="s">
        <v>617</v>
      </c>
      <c r="C4194" s="2">
        <v>3</v>
      </c>
      <c r="D4194" t="str">
        <f t="shared" si="65"/>
        <v>CA-2016-133613_OFF-AR-10003829</v>
      </c>
      <c r="E4194" t="str">
        <f>IF(COUNTIF(data2!$D:$D,D4194)=0,"Missing in Data2","Present")</f>
        <v>Present</v>
      </c>
    </row>
    <row r="4195" spans="1:5" x14ac:dyDescent="0.25">
      <c r="A4195" s="2" t="s">
        <v>3793</v>
      </c>
      <c r="B4195" s="2" t="s">
        <v>2819</v>
      </c>
      <c r="C4195" s="2">
        <v>2</v>
      </c>
      <c r="D4195" t="str">
        <f t="shared" si="65"/>
        <v>CA-2016-133613_OFF-BI-10002003</v>
      </c>
      <c r="E4195" t="str">
        <f>IF(COUNTIF(data2!$D:$D,D4195)=0,"Missing in Data2","Present")</f>
        <v>Present</v>
      </c>
    </row>
    <row r="4196" spans="1:5" x14ac:dyDescent="0.25">
      <c r="A4196" s="2" t="s">
        <v>3793</v>
      </c>
      <c r="B4196" s="2" t="s">
        <v>900</v>
      </c>
      <c r="C4196" s="2">
        <v>3</v>
      </c>
      <c r="D4196" t="str">
        <f t="shared" si="65"/>
        <v>CA-2016-133613_TEC-PH-10004539</v>
      </c>
      <c r="E4196" t="str">
        <f>IF(COUNTIF(data2!$D:$D,D4196)=0,"Missing in Data2","Present")</f>
        <v>Present</v>
      </c>
    </row>
    <row r="4197" spans="1:5" x14ac:dyDescent="0.25">
      <c r="A4197" s="2" t="s">
        <v>3794</v>
      </c>
      <c r="B4197" s="2" t="s">
        <v>1527</v>
      </c>
      <c r="C4197" s="2">
        <v>8</v>
      </c>
      <c r="D4197" t="str">
        <f t="shared" si="65"/>
        <v>CA-2016-133669_TEC-PH-10001305</v>
      </c>
      <c r="E4197" t="str">
        <f>IF(COUNTIF(data2!$D:$D,D4197)=0,"Missing in Data2","Present")</f>
        <v>Missing in Data2</v>
      </c>
    </row>
    <row r="4198" spans="1:5" x14ac:dyDescent="0.25">
      <c r="A4198" s="2" t="s">
        <v>3795</v>
      </c>
      <c r="B4198" s="2" t="s">
        <v>733</v>
      </c>
      <c r="C4198" s="2">
        <v>1</v>
      </c>
      <c r="D4198" t="str">
        <f t="shared" si="65"/>
        <v>CA-2016-133697_FUR-CH-10002372</v>
      </c>
      <c r="E4198" t="str">
        <f>IF(COUNTIF(data2!$D:$D,D4198)=0,"Missing in Data2","Present")</f>
        <v>Present</v>
      </c>
    </row>
    <row r="4199" spans="1:5" x14ac:dyDescent="0.25">
      <c r="A4199" s="2" t="s">
        <v>3795</v>
      </c>
      <c r="B4199" s="2" t="s">
        <v>1320</v>
      </c>
      <c r="C4199" s="2">
        <v>4</v>
      </c>
      <c r="D4199" t="str">
        <f t="shared" si="65"/>
        <v>CA-2016-133697_OFF-FA-10003112</v>
      </c>
      <c r="E4199" t="str">
        <f>IF(COUNTIF(data2!$D:$D,D4199)=0,"Missing in Data2","Present")</f>
        <v>Present</v>
      </c>
    </row>
    <row r="4200" spans="1:5" x14ac:dyDescent="0.25">
      <c r="A4200" s="2" t="s">
        <v>3795</v>
      </c>
      <c r="B4200" s="2" t="s">
        <v>2868</v>
      </c>
      <c r="C4200" s="2">
        <v>7</v>
      </c>
      <c r="D4200" t="str">
        <f t="shared" si="65"/>
        <v>CA-2016-133697_OFF-PA-10000726</v>
      </c>
      <c r="E4200" t="str">
        <f>IF(COUNTIF(data2!$D:$D,D4200)=0,"Missing in Data2","Present")</f>
        <v>Present</v>
      </c>
    </row>
    <row r="4201" spans="1:5" x14ac:dyDescent="0.25">
      <c r="A4201" s="2" t="s">
        <v>3796</v>
      </c>
      <c r="B4201" s="2" t="s">
        <v>687</v>
      </c>
      <c r="C4201" s="2">
        <v>3</v>
      </c>
      <c r="D4201" t="str">
        <f t="shared" si="65"/>
        <v>CA-2016-133711_OFF-BI-10000666</v>
      </c>
      <c r="E4201" t="str">
        <f>IF(COUNTIF(data2!$D:$D,D4201)=0,"Missing in Data2","Present")</f>
        <v>Present</v>
      </c>
    </row>
    <row r="4202" spans="1:5" x14ac:dyDescent="0.25">
      <c r="A4202" s="2" t="s">
        <v>3796</v>
      </c>
      <c r="B4202" s="2" t="s">
        <v>3797</v>
      </c>
      <c r="C4202" s="2">
        <v>5</v>
      </c>
      <c r="D4202" t="str">
        <f t="shared" si="65"/>
        <v>CA-2016-133711_OFF-BI-10004352</v>
      </c>
      <c r="E4202" t="str">
        <f>IF(COUNTIF(data2!$D:$D,D4202)=0,"Missing in Data2","Present")</f>
        <v>Present</v>
      </c>
    </row>
    <row r="4203" spans="1:5" x14ac:dyDescent="0.25">
      <c r="A4203" s="2" t="s">
        <v>3796</v>
      </c>
      <c r="B4203" s="2" t="s">
        <v>1373</v>
      </c>
      <c r="C4203" s="2">
        <v>7</v>
      </c>
      <c r="D4203" t="str">
        <f t="shared" si="65"/>
        <v>CA-2016-133711_OFF-PA-10001685</v>
      </c>
      <c r="E4203" t="str">
        <f>IF(COUNTIF(data2!$D:$D,D4203)=0,"Missing in Data2","Present")</f>
        <v>Present</v>
      </c>
    </row>
    <row r="4204" spans="1:5" x14ac:dyDescent="0.25">
      <c r="A4204" s="2" t="s">
        <v>3796</v>
      </c>
      <c r="B4204" s="2" t="s">
        <v>3798</v>
      </c>
      <c r="C4204" s="2">
        <v>8</v>
      </c>
      <c r="D4204" t="str">
        <f t="shared" si="65"/>
        <v>CA-2016-133711_TEC-MA-10000010</v>
      </c>
      <c r="E4204" t="str">
        <f>IF(COUNTIF(data2!$D:$D,D4204)=0,"Missing in Data2","Present")</f>
        <v>Present</v>
      </c>
    </row>
    <row r="4205" spans="1:5" x14ac:dyDescent="0.25">
      <c r="A4205" s="2" t="s">
        <v>3799</v>
      </c>
      <c r="B4205" s="2" t="s">
        <v>2074</v>
      </c>
      <c r="C4205" s="2">
        <v>9</v>
      </c>
      <c r="D4205" t="str">
        <f t="shared" si="65"/>
        <v>CA-2016-133725_TEC-PH-10004165</v>
      </c>
      <c r="E4205" t="str">
        <f>IF(COUNTIF(data2!$D:$D,D4205)=0,"Missing in Data2","Present")</f>
        <v>Present</v>
      </c>
    </row>
    <row r="4206" spans="1:5" x14ac:dyDescent="0.25">
      <c r="A4206" s="2" t="s">
        <v>3800</v>
      </c>
      <c r="B4206" s="2" t="s">
        <v>3538</v>
      </c>
      <c r="C4206" s="2">
        <v>4</v>
      </c>
      <c r="D4206" t="str">
        <f t="shared" si="65"/>
        <v>CA-2016-133795_FUR-FU-10003731</v>
      </c>
      <c r="E4206" t="str">
        <f>IF(COUNTIF(data2!$D:$D,D4206)=0,"Missing in Data2","Present")</f>
        <v>Present</v>
      </c>
    </row>
    <row r="4207" spans="1:5" x14ac:dyDescent="0.25">
      <c r="A4207" s="2" t="s">
        <v>3800</v>
      </c>
      <c r="B4207" s="2" t="s">
        <v>161</v>
      </c>
      <c r="C4207" s="2">
        <v>2</v>
      </c>
      <c r="D4207" t="str">
        <f t="shared" si="65"/>
        <v>CA-2016-133795_TEC-AC-10001465</v>
      </c>
      <c r="E4207" t="str">
        <f>IF(COUNTIF(data2!$D:$D,D4207)=0,"Missing in Data2","Present")</f>
        <v>Present</v>
      </c>
    </row>
    <row r="4208" spans="1:5" x14ac:dyDescent="0.25">
      <c r="A4208" s="2" t="s">
        <v>3800</v>
      </c>
      <c r="B4208" s="2" t="s">
        <v>877</v>
      </c>
      <c r="C4208" s="2">
        <v>3</v>
      </c>
      <c r="D4208" t="str">
        <f t="shared" si="65"/>
        <v>CA-2016-133795_TEC-AC-10003832</v>
      </c>
      <c r="E4208" t="str">
        <f>IF(COUNTIF(data2!$D:$D,D4208)=0,"Missing in Data2","Present")</f>
        <v>Present</v>
      </c>
    </row>
    <row r="4209" spans="1:5" x14ac:dyDescent="0.25">
      <c r="A4209" s="2" t="s">
        <v>3801</v>
      </c>
      <c r="B4209" s="2" t="s">
        <v>485</v>
      </c>
      <c r="C4209" s="2">
        <v>6</v>
      </c>
      <c r="D4209" t="str">
        <f t="shared" si="65"/>
        <v>CA-2016-133802_OFF-BI-10003291</v>
      </c>
      <c r="E4209" t="str">
        <f>IF(COUNTIF(data2!$D:$D,D4209)=0,"Missing in Data2","Present")</f>
        <v>Present</v>
      </c>
    </row>
    <row r="4210" spans="1:5" x14ac:dyDescent="0.25">
      <c r="A4210" s="2" t="s">
        <v>3802</v>
      </c>
      <c r="B4210" s="2" t="s">
        <v>1081</v>
      </c>
      <c r="C4210" s="2">
        <v>2</v>
      </c>
      <c r="D4210" t="str">
        <f t="shared" si="65"/>
        <v>CA-2016-133816_TEC-PH-10001795</v>
      </c>
      <c r="E4210" t="str">
        <f>IF(COUNTIF(data2!$D:$D,D4210)=0,"Missing in Data2","Present")</f>
        <v>Missing in Data2</v>
      </c>
    </row>
    <row r="4211" spans="1:5" x14ac:dyDescent="0.25">
      <c r="A4211" s="2" t="s">
        <v>3803</v>
      </c>
      <c r="B4211" s="2" t="s">
        <v>1961</v>
      </c>
      <c r="C4211" s="2">
        <v>4</v>
      </c>
      <c r="D4211" t="str">
        <f t="shared" si="65"/>
        <v>CA-2016-133872_OFF-BI-10002082</v>
      </c>
      <c r="E4211" t="str">
        <f>IF(COUNTIF(data2!$D:$D,D4211)=0,"Missing in Data2","Present")</f>
        <v>Present</v>
      </c>
    </row>
    <row r="4212" spans="1:5" x14ac:dyDescent="0.25">
      <c r="A4212" s="2" t="s">
        <v>3803</v>
      </c>
      <c r="B4212" s="2" t="s">
        <v>1976</v>
      </c>
      <c r="C4212" s="2">
        <v>2</v>
      </c>
      <c r="D4212" t="str">
        <f t="shared" si="65"/>
        <v>CA-2016-133872_TEC-AC-10000521</v>
      </c>
      <c r="E4212" t="str">
        <f>IF(COUNTIF(data2!$D:$D,D4212)=0,"Missing in Data2","Present")</f>
        <v>Present</v>
      </c>
    </row>
    <row r="4213" spans="1:5" x14ac:dyDescent="0.25">
      <c r="A4213" s="2" t="s">
        <v>3804</v>
      </c>
      <c r="B4213" s="2" t="s">
        <v>583</v>
      </c>
      <c r="C4213" s="2">
        <v>2</v>
      </c>
      <c r="D4213" t="str">
        <f t="shared" si="65"/>
        <v>CA-2016-133935_FUR-CH-10001215</v>
      </c>
      <c r="E4213" t="str">
        <f>IF(COUNTIF(data2!$D:$D,D4213)=0,"Missing in Data2","Present")</f>
        <v>Present</v>
      </c>
    </row>
    <row r="4214" spans="1:5" x14ac:dyDescent="0.25">
      <c r="A4214" s="2" t="s">
        <v>3804</v>
      </c>
      <c r="B4214" s="2" t="s">
        <v>1497</v>
      </c>
      <c r="C4214" s="2">
        <v>9</v>
      </c>
      <c r="D4214" t="str">
        <f t="shared" si="65"/>
        <v>CA-2016-133935_FUR-CH-10002880</v>
      </c>
      <c r="E4214" t="str">
        <f>IF(COUNTIF(data2!$D:$D,D4214)=0,"Missing in Data2","Present")</f>
        <v>Present</v>
      </c>
    </row>
    <row r="4215" spans="1:5" x14ac:dyDescent="0.25">
      <c r="A4215" s="2" t="s">
        <v>3805</v>
      </c>
      <c r="B4215" s="2" t="s">
        <v>3806</v>
      </c>
      <c r="C4215" s="2">
        <v>4</v>
      </c>
      <c r="D4215" t="str">
        <f t="shared" si="65"/>
        <v>CA-2016-134110_OFF-PA-10000697</v>
      </c>
      <c r="E4215" t="str">
        <f>IF(COUNTIF(data2!$D:$D,D4215)=0,"Missing in Data2","Present")</f>
        <v>Present</v>
      </c>
    </row>
    <row r="4216" spans="1:5" x14ac:dyDescent="0.25">
      <c r="A4216" s="2" t="s">
        <v>3805</v>
      </c>
      <c r="B4216" s="2" t="s">
        <v>2782</v>
      </c>
      <c r="C4216" s="2">
        <v>3</v>
      </c>
      <c r="D4216" t="str">
        <f t="shared" si="65"/>
        <v>CA-2016-134110_TEC-PH-10002350</v>
      </c>
      <c r="E4216" t="str">
        <f>IF(COUNTIF(data2!$D:$D,D4216)=0,"Missing in Data2","Present")</f>
        <v>Present</v>
      </c>
    </row>
    <row r="4217" spans="1:5" x14ac:dyDescent="0.25">
      <c r="A4217" s="2" t="s">
        <v>3807</v>
      </c>
      <c r="B4217" s="2" t="s">
        <v>2710</v>
      </c>
      <c r="C4217" s="2">
        <v>2</v>
      </c>
      <c r="D4217" t="str">
        <f t="shared" si="65"/>
        <v>CA-2016-134138_FUR-CH-10001545</v>
      </c>
      <c r="E4217" t="str">
        <f>IF(COUNTIF(data2!$D:$D,D4217)=0,"Missing in Data2","Present")</f>
        <v>Present</v>
      </c>
    </row>
    <row r="4218" spans="1:5" x14ac:dyDescent="0.25">
      <c r="A4218" s="2" t="s">
        <v>3808</v>
      </c>
      <c r="B4218" s="2" t="s">
        <v>1368</v>
      </c>
      <c r="C4218" s="2">
        <v>7</v>
      </c>
      <c r="D4218" t="str">
        <f t="shared" si="65"/>
        <v>CA-2016-134180_FUR-CH-10004886</v>
      </c>
      <c r="E4218" t="str">
        <f>IF(COUNTIF(data2!$D:$D,D4218)=0,"Missing in Data2","Present")</f>
        <v>Present</v>
      </c>
    </row>
    <row r="4219" spans="1:5" x14ac:dyDescent="0.25">
      <c r="A4219" s="2" t="s">
        <v>3808</v>
      </c>
      <c r="B4219" s="2" t="s">
        <v>1718</v>
      </c>
      <c r="C4219" s="2">
        <v>1</v>
      </c>
      <c r="D4219" t="str">
        <f t="shared" si="65"/>
        <v>CA-2016-134180_TEC-AC-10000892</v>
      </c>
      <c r="E4219" t="str">
        <f>IF(COUNTIF(data2!$D:$D,D4219)=0,"Missing in Data2","Present")</f>
        <v>Present</v>
      </c>
    </row>
    <row r="4220" spans="1:5" x14ac:dyDescent="0.25">
      <c r="A4220" s="2" t="s">
        <v>3809</v>
      </c>
      <c r="B4220" s="2" t="s">
        <v>3810</v>
      </c>
      <c r="C4220" s="2">
        <v>4</v>
      </c>
      <c r="D4220" t="str">
        <f t="shared" si="65"/>
        <v>CA-2016-134208_TEC-MA-10004458</v>
      </c>
      <c r="E4220" t="str">
        <f>IF(COUNTIF(data2!$D:$D,D4220)=0,"Missing in Data2","Present")</f>
        <v>Present</v>
      </c>
    </row>
    <row r="4221" spans="1:5" x14ac:dyDescent="0.25">
      <c r="A4221" s="2" t="s">
        <v>3811</v>
      </c>
      <c r="B4221" s="2" t="s">
        <v>190</v>
      </c>
      <c r="C4221" s="2">
        <v>6</v>
      </c>
      <c r="D4221" t="str">
        <f t="shared" si="65"/>
        <v>CA-2016-134222_OFF-BI-10001658</v>
      </c>
      <c r="E4221" t="str">
        <f>IF(COUNTIF(data2!$D:$D,D4221)=0,"Missing in Data2","Present")</f>
        <v>Present</v>
      </c>
    </row>
    <row r="4222" spans="1:5" x14ac:dyDescent="0.25">
      <c r="A4222" s="2" t="s">
        <v>3812</v>
      </c>
      <c r="B4222" s="2" t="s">
        <v>779</v>
      </c>
      <c r="C4222" s="2">
        <v>6</v>
      </c>
      <c r="D4222" t="str">
        <f t="shared" si="65"/>
        <v>CA-2016-134334_FUR-FU-10003274</v>
      </c>
      <c r="E4222" t="str">
        <f>IF(COUNTIF(data2!$D:$D,D4222)=0,"Missing in Data2","Present")</f>
        <v>Present</v>
      </c>
    </row>
    <row r="4223" spans="1:5" x14ac:dyDescent="0.25">
      <c r="A4223" s="2" t="s">
        <v>3812</v>
      </c>
      <c r="B4223" s="2" t="s">
        <v>1439</v>
      </c>
      <c r="C4223" s="2">
        <v>3</v>
      </c>
      <c r="D4223" t="str">
        <f t="shared" si="65"/>
        <v>CA-2016-134334_FUR-TA-10002356</v>
      </c>
      <c r="E4223" t="str">
        <f>IF(COUNTIF(data2!$D:$D,D4223)=0,"Missing in Data2","Present")</f>
        <v>Present</v>
      </c>
    </row>
    <row r="4224" spans="1:5" x14ac:dyDescent="0.25">
      <c r="A4224" s="2" t="s">
        <v>3812</v>
      </c>
      <c r="B4224" s="2" t="s">
        <v>3813</v>
      </c>
      <c r="C4224" s="2">
        <v>3</v>
      </c>
      <c r="D4224" t="str">
        <f t="shared" si="65"/>
        <v>CA-2016-134334_OFF-AR-10001770</v>
      </c>
      <c r="E4224" t="str">
        <f>IF(COUNTIF(data2!$D:$D,D4224)=0,"Missing in Data2","Present")</f>
        <v>Present</v>
      </c>
    </row>
    <row r="4225" spans="1:5" x14ac:dyDescent="0.25">
      <c r="A4225" s="2" t="s">
        <v>3812</v>
      </c>
      <c r="B4225" s="2" t="s">
        <v>3814</v>
      </c>
      <c r="C4225" s="2">
        <v>1</v>
      </c>
      <c r="D4225" t="str">
        <f t="shared" si="65"/>
        <v>CA-2016-134334_OFF-PA-10000791</v>
      </c>
      <c r="E4225" t="str">
        <f>IF(COUNTIF(data2!$D:$D,D4225)=0,"Missing in Data2","Present")</f>
        <v>Present</v>
      </c>
    </row>
    <row r="4226" spans="1:5" x14ac:dyDescent="0.25">
      <c r="A4226" s="2" t="s">
        <v>3815</v>
      </c>
      <c r="B4226" s="2" t="s">
        <v>1526</v>
      </c>
      <c r="C4226" s="2">
        <v>5</v>
      </c>
      <c r="D4226" t="str">
        <f t="shared" si="65"/>
        <v>CA-2016-134348_OFF-BI-10003727</v>
      </c>
      <c r="E4226" t="str">
        <f>IF(COUNTIF(data2!$D:$D,D4226)=0,"Missing in Data2","Present")</f>
        <v>Present</v>
      </c>
    </row>
    <row r="4227" spans="1:5" x14ac:dyDescent="0.25">
      <c r="A4227" s="2" t="s">
        <v>3815</v>
      </c>
      <c r="B4227" s="2" t="s">
        <v>3452</v>
      </c>
      <c r="C4227" s="2">
        <v>7</v>
      </c>
      <c r="D4227" t="str">
        <f t="shared" ref="D4227:D4290" si="66">A4227&amp;"_"&amp;B4227</f>
        <v>CA-2016-134348_OFF-BI-10004967</v>
      </c>
      <c r="E4227" t="str">
        <f>IF(COUNTIF(data2!$D:$D,D4227)=0,"Missing in Data2","Present")</f>
        <v>Present</v>
      </c>
    </row>
    <row r="4228" spans="1:5" x14ac:dyDescent="0.25">
      <c r="A4228" s="2" t="s">
        <v>3815</v>
      </c>
      <c r="B4228" s="2" t="s">
        <v>1619</v>
      </c>
      <c r="C4228" s="2">
        <v>2</v>
      </c>
      <c r="D4228" t="str">
        <f t="shared" si="66"/>
        <v>CA-2016-134348_TEC-AC-10003447</v>
      </c>
      <c r="E4228" t="str">
        <f>IF(COUNTIF(data2!$D:$D,D4228)=0,"Missing in Data2","Present")</f>
        <v>Present</v>
      </c>
    </row>
    <row r="4229" spans="1:5" x14ac:dyDescent="0.25">
      <c r="A4229" s="2" t="s">
        <v>3816</v>
      </c>
      <c r="B4229" s="2" t="s">
        <v>1803</v>
      </c>
      <c r="C4229" s="2">
        <v>4</v>
      </c>
      <c r="D4229" t="str">
        <f t="shared" si="66"/>
        <v>CA-2016-134362_OFF-LA-10004853</v>
      </c>
      <c r="E4229" t="str">
        <f>IF(COUNTIF(data2!$D:$D,D4229)=0,"Missing in Data2","Present")</f>
        <v>Present</v>
      </c>
    </row>
    <row r="4230" spans="1:5" x14ac:dyDescent="0.25">
      <c r="A4230" s="2" t="s">
        <v>3817</v>
      </c>
      <c r="B4230" s="2" t="s">
        <v>3148</v>
      </c>
      <c r="C4230" s="2">
        <v>3</v>
      </c>
      <c r="D4230" t="str">
        <f t="shared" si="66"/>
        <v>CA-2016-134376_OFF-AP-10004532</v>
      </c>
      <c r="E4230" t="str">
        <f>IF(COUNTIF(data2!$D:$D,D4230)=0,"Missing in Data2","Present")</f>
        <v>Present</v>
      </c>
    </row>
    <row r="4231" spans="1:5" x14ac:dyDescent="0.25">
      <c r="A4231" s="2" t="s">
        <v>3818</v>
      </c>
      <c r="B4231" s="2" t="s">
        <v>2452</v>
      </c>
      <c r="C4231" s="2">
        <v>5</v>
      </c>
      <c r="D4231" t="str">
        <f t="shared" si="66"/>
        <v>CA-2016-134425_TEC-PH-10003555</v>
      </c>
      <c r="E4231" t="str">
        <f>IF(COUNTIF(data2!$D:$D,D4231)=0,"Missing in Data2","Present")</f>
        <v>Present</v>
      </c>
    </row>
    <row r="4232" spans="1:5" x14ac:dyDescent="0.25">
      <c r="A4232" s="2" t="s">
        <v>3819</v>
      </c>
      <c r="B4232" s="2" t="s">
        <v>3820</v>
      </c>
      <c r="C4232" s="2">
        <v>2</v>
      </c>
      <c r="D4232" t="str">
        <f t="shared" si="66"/>
        <v>CA-2016-134474_OFF-AR-10003958</v>
      </c>
      <c r="E4232" t="str">
        <f>IF(COUNTIF(data2!$D:$D,D4232)=0,"Missing in Data2","Present")</f>
        <v>Present</v>
      </c>
    </row>
    <row r="4233" spans="1:5" x14ac:dyDescent="0.25">
      <c r="A4233" s="2" t="s">
        <v>3819</v>
      </c>
      <c r="B4233" s="2" t="s">
        <v>3408</v>
      </c>
      <c r="C4233" s="2">
        <v>6</v>
      </c>
      <c r="D4233" t="str">
        <f t="shared" si="66"/>
        <v>CA-2016-134474_TEC-AC-10001714</v>
      </c>
      <c r="E4233" t="str">
        <f>IF(COUNTIF(data2!$D:$D,D4233)=0,"Missing in Data2","Present")</f>
        <v>Present</v>
      </c>
    </row>
    <row r="4234" spans="1:5" x14ac:dyDescent="0.25">
      <c r="A4234" s="2" t="s">
        <v>3819</v>
      </c>
      <c r="B4234" s="2" t="s">
        <v>82</v>
      </c>
      <c r="C4234" s="2">
        <v>2</v>
      </c>
      <c r="D4234" t="str">
        <f t="shared" si="66"/>
        <v>CA-2016-134474_TEC-PH-10002923</v>
      </c>
      <c r="E4234" t="str">
        <f>IF(COUNTIF(data2!$D:$D,D4234)=0,"Missing in Data2","Present")</f>
        <v>Present</v>
      </c>
    </row>
    <row r="4235" spans="1:5" x14ac:dyDescent="0.25">
      <c r="A4235" s="2" t="s">
        <v>3821</v>
      </c>
      <c r="B4235" s="2" t="s">
        <v>1497</v>
      </c>
      <c r="C4235" s="2">
        <v>1</v>
      </c>
      <c r="D4235" t="str">
        <f t="shared" si="66"/>
        <v>CA-2016-134516_FUR-CH-10002880</v>
      </c>
      <c r="E4235" t="str">
        <f>IF(COUNTIF(data2!$D:$D,D4235)=0,"Missing in Data2","Present")</f>
        <v>Present</v>
      </c>
    </row>
    <row r="4236" spans="1:5" x14ac:dyDescent="0.25">
      <c r="A4236" s="2" t="s">
        <v>3821</v>
      </c>
      <c r="B4236" s="2" t="s">
        <v>643</v>
      </c>
      <c r="C4236" s="2">
        <v>2</v>
      </c>
      <c r="D4236" t="str">
        <f t="shared" si="66"/>
        <v>CA-2016-134516_FUR-FU-10001546</v>
      </c>
      <c r="E4236" t="str">
        <f>IF(COUNTIF(data2!$D:$D,D4236)=0,"Missing in Data2","Present")</f>
        <v>Present</v>
      </c>
    </row>
    <row r="4237" spans="1:5" x14ac:dyDescent="0.25">
      <c r="A4237" s="2" t="s">
        <v>3822</v>
      </c>
      <c r="B4237" s="2" t="s">
        <v>1940</v>
      </c>
      <c r="C4237" s="2">
        <v>2</v>
      </c>
      <c r="D4237" t="str">
        <f t="shared" si="66"/>
        <v>CA-2016-134544_TEC-PH-10003800</v>
      </c>
      <c r="E4237" t="str">
        <f>IF(COUNTIF(data2!$D:$D,D4237)=0,"Missing in Data2","Present")</f>
        <v>Present</v>
      </c>
    </row>
    <row r="4238" spans="1:5" x14ac:dyDescent="0.25">
      <c r="A4238" s="2" t="s">
        <v>3823</v>
      </c>
      <c r="B4238" s="2" t="s">
        <v>824</v>
      </c>
      <c r="C4238" s="2">
        <v>3</v>
      </c>
      <c r="D4238" t="str">
        <f t="shared" si="66"/>
        <v>CA-2016-134775_OFF-BI-10002225</v>
      </c>
      <c r="E4238" t="str">
        <f>IF(COUNTIF(data2!$D:$D,D4238)=0,"Missing in Data2","Present")</f>
        <v>Present</v>
      </c>
    </row>
    <row r="4239" spans="1:5" x14ac:dyDescent="0.25">
      <c r="A4239" s="2" t="s">
        <v>3823</v>
      </c>
      <c r="B4239" s="2" t="s">
        <v>1166</v>
      </c>
      <c r="C4239" s="2">
        <v>7</v>
      </c>
      <c r="D4239" t="str">
        <f t="shared" si="66"/>
        <v>CA-2016-134775_OFF-PA-10004734</v>
      </c>
      <c r="E4239" t="str">
        <f>IF(COUNTIF(data2!$D:$D,D4239)=0,"Missing in Data2","Present")</f>
        <v>Present</v>
      </c>
    </row>
    <row r="4240" spans="1:5" x14ac:dyDescent="0.25">
      <c r="A4240" s="2" t="s">
        <v>3824</v>
      </c>
      <c r="B4240" s="2" t="s">
        <v>1781</v>
      </c>
      <c r="C4240" s="2">
        <v>4</v>
      </c>
      <c r="D4240" t="str">
        <f t="shared" si="66"/>
        <v>CA-2016-134789_FUR-FU-10003268</v>
      </c>
      <c r="E4240" t="str">
        <f>IF(COUNTIF(data2!$D:$D,D4240)=0,"Missing in Data2","Present")</f>
        <v>Present</v>
      </c>
    </row>
    <row r="4241" spans="1:5" x14ac:dyDescent="0.25">
      <c r="A4241" s="2" t="s">
        <v>3824</v>
      </c>
      <c r="B4241" s="2" t="s">
        <v>913</v>
      </c>
      <c r="C4241" s="2">
        <v>6</v>
      </c>
      <c r="D4241" t="str">
        <f t="shared" si="66"/>
        <v>CA-2016-134789_OFF-FA-10002280</v>
      </c>
      <c r="E4241" t="str">
        <f>IF(COUNTIF(data2!$D:$D,D4241)=0,"Missing in Data2","Present")</f>
        <v>Present</v>
      </c>
    </row>
    <row r="4242" spans="1:5" x14ac:dyDescent="0.25">
      <c r="A4242" s="2" t="s">
        <v>3824</v>
      </c>
      <c r="B4242" s="2" t="s">
        <v>3575</v>
      </c>
      <c r="C4242" s="2">
        <v>4</v>
      </c>
      <c r="D4242" t="str">
        <f t="shared" si="66"/>
        <v>CA-2016-134789_OFF-PA-10001934</v>
      </c>
      <c r="E4242" t="str">
        <f>IF(COUNTIF(data2!$D:$D,D4242)=0,"Missing in Data2","Present")</f>
        <v>Present</v>
      </c>
    </row>
    <row r="4243" spans="1:5" x14ac:dyDescent="0.25">
      <c r="A4243" s="2" t="s">
        <v>3825</v>
      </c>
      <c r="B4243" s="2" t="s">
        <v>3826</v>
      </c>
      <c r="C4243" s="2">
        <v>2</v>
      </c>
      <c r="D4243" t="str">
        <f t="shared" si="66"/>
        <v>CA-2016-134803_OFF-AP-10000891</v>
      </c>
      <c r="E4243" t="str">
        <f>IF(COUNTIF(data2!$D:$D,D4243)=0,"Missing in Data2","Present")</f>
        <v>Present</v>
      </c>
    </row>
    <row r="4244" spans="1:5" x14ac:dyDescent="0.25">
      <c r="A4244" s="2" t="s">
        <v>3825</v>
      </c>
      <c r="B4244" s="2" t="s">
        <v>1279</v>
      </c>
      <c r="C4244" s="2">
        <v>4</v>
      </c>
      <c r="D4244" t="str">
        <f t="shared" si="66"/>
        <v>CA-2016-134803_OFF-BI-10002215</v>
      </c>
      <c r="E4244" t="str">
        <f>IF(COUNTIF(data2!$D:$D,D4244)=0,"Missing in Data2","Present")</f>
        <v>Present</v>
      </c>
    </row>
    <row r="4245" spans="1:5" x14ac:dyDescent="0.25">
      <c r="A4245" s="2" t="s">
        <v>3825</v>
      </c>
      <c r="B4245" s="2" t="s">
        <v>2045</v>
      </c>
      <c r="C4245" s="2">
        <v>8</v>
      </c>
      <c r="D4245" t="str">
        <f t="shared" si="66"/>
        <v>CA-2016-134803_OFF-PA-10003790</v>
      </c>
      <c r="E4245" t="str">
        <f>IF(COUNTIF(data2!$D:$D,D4245)=0,"Missing in Data2","Present")</f>
        <v>Present</v>
      </c>
    </row>
    <row r="4246" spans="1:5" x14ac:dyDescent="0.25">
      <c r="A4246" s="2" t="s">
        <v>3825</v>
      </c>
      <c r="B4246" s="2" t="s">
        <v>2645</v>
      </c>
      <c r="C4246" s="2">
        <v>7</v>
      </c>
      <c r="D4246" t="str">
        <f t="shared" si="66"/>
        <v>CA-2016-134803_TEC-AC-10002217</v>
      </c>
      <c r="E4246" t="str">
        <f>IF(COUNTIF(data2!$D:$D,D4246)=0,"Missing in Data2","Present")</f>
        <v>Present</v>
      </c>
    </row>
    <row r="4247" spans="1:5" x14ac:dyDescent="0.25">
      <c r="A4247" s="2" t="s">
        <v>3825</v>
      </c>
      <c r="B4247" s="2" t="s">
        <v>1762</v>
      </c>
      <c r="C4247" s="2">
        <v>2</v>
      </c>
      <c r="D4247" t="str">
        <f t="shared" si="66"/>
        <v>CA-2016-134803_TEC-MA-10001972</v>
      </c>
      <c r="E4247" t="str">
        <f>IF(COUNTIF(data2!$D:$D,D4247)=0,"Missing in Data2","Present")</f>
        <v>Present</v>
      </c>
    </row>
    <row r="4248" spans="1:5" x14ac:dyDescent="0.25">
      <c r="A4248" s="2" t="s">
        <v>3827</v>
      </c>
      <c r="B4248" s="2" t="s">
        <v>877</v>
      </c>
      <c r="C4248" s="2">
        <v>5</v>
      </c>
      <c r="D4248" t="str">
        <f t="shared" si="66"/>
        <v>CA-2016-134887_TEC-AC-10003832</v>
      </c>
      <c r="E4248" t="str">
        <f>IF(COUNTIF(data2!$D:$D,D4248)=0,"Missing in Data2","Present")</f>
        <v>Present</v>
      </c>
    </row>
    <row r="4249" spans="1:5" x14ac:dyDescent="0.25">
      <c r="A4249" s="2" t="s">
        <v>3828</v>
      </c>
      <c r="B4249" s="2" t="s">
        <v>2848</v>
      </c>
      <c r="C4249" s="2">
        <v>6</v>
      </c>
      <c r="D4249" t="str">
        <f t="shared" si="66"/>
        <v>CA-2016-134936_FUR-TA-10001086</v>
      </c>
      <c r="E4249" t="str">
        <f>IF(COUNTIF(data2!$D:$D,D4249)=0,"Missing in Data2","Present")</f>
        <v>Present</v>
      </c>
    </row>
    <row r="4250" spans="1:5" x14ac:dyDescent="0.25">
      <c r="A4250" s="2" t="s">
        <v>3828</v>
      </c>
      <c r="B4250" s="2" t="s">
        <v>423</v>
      </c>
      <c r="C4250" s="2">
        <v>6</v>
      </c>
      <c r="D4250" t="str">
        <f t="shared" si="66"/>
        <v>CA-2016-134936_OFF-BI-10000174</v>
      </c>
      <c r="E4250" t="str">
        <f>IF(COUNTIF(data2!$D:$D,D4250)=0,"Missing in Data2","Present")</f>
        <v>Present</v>
      </c>
    </row>
    <row r="4251" spans="1:5" x14ac:dyDescent="0.25">
      <c r="A4251" s="2" t="s">
        <v>3828</v>
      </c>
      <c r="B4251" s="2" t="s">
        <v>275</v>
      </c>
      <c r="C4251" s="2">
        <v>2</v>
      </c>
      <c r="D4251" t="str">
        <f t="shared" si="66"/>
        <v>CA-2016-134936_OFF-BI-10002103</v>
      </c>
      <c r="E4251" t="str">
        <f>IF(COUNTIF(data2!$D:$D,D4251)=0,"Missing in Data2","Present")</f>
        <v>Present</v>
      </c>
    </row>
    <row r="4252" spans="1:5" x14ac:dyDescent="0.25">
      <c r="A4252" s="2" t="s">
        <v>3829</v>
      </c>
      <c r="B4252" s="2" t="s">
        <v>2185</v>
      </c>
      <c r="C4252" s="2">
        <v>4</v>
      </c>
      <c r="D4252" t="str">
        <f t="shared" si="66"/>
        <v>CA-2016-135265_FUR-CH-10003061</v>
      </c>
      <c r="E4252" t="str">
        <f>IF(COUNTIF(data2!$D:$D,D4252)=0,"Missing in Data2","Present")</f>
        <v>Present</v>
      </c>
    </row>
    <row r="4253" spans="1:5" x14ac:dyDescent="0.25">
      <c r="A4253" s="2" t="s">
        <v>3829</v>
      </c>
      <c r="B4253" s="2" t="s">
        <v>1262</v>
      </c>
      <c r="C4253" s="2">
        <v>1</v>
      </c>
      <c r="D4253" t="str">
        <f t="shared" si="66"/>
        <v>CA-2016-135265_OFF-PA-10002923</v>
      </c>
      <c r="E4253" t="str">
        <f>IF(COUNTIF(data2!$D:$D,D4253)=0,"Missing in Data2","Present")</f>
        <v>Missing in Data2</v>
      </c>
    </row>
    <row r="4254" spans="1:5" x14ac:dyDescent="0.25">
      <c r="A4254" s="2" t="s">
        <v>3829</v>
      </c>
      <c r="B4254" s="2" t="s">
        <v>2743</v>
      </c>
      <c r="C4254" s="2">
        <v>5</v>
      </c>
      <c r="D4254" t="str">
        <f t="shared" si="66"/>
        <v>CA-2016-135265_TEC-CO-10003763</v>
      </c>
      <c r="E4254" t="str">
        <f>IF(COUNTIF(data2!$D:$D,D4254)=0,"Missing in Data2","Present")</f>
        <v>Present</v>
      </c>
    </row>
    <row r="4255" spans="1:5" x14ac:dyDescent="0.25">
      <c r="A4255" s="2" t="s">
        <v>3830</v>
      </c>
      <c r="B4255" s="2" t="s">
        <v>2421</v>
      </c>
      <c r="C4255" s="2">
        <v>5</v>
      </c>
      <c r="D4255" t="str">
        <f t="shared" si="66"/>
        <v>CA-2016-135461_TEC-PH-10004094</v>
      </c>
      <c r="E4255" t="str">
        <f>IF(COUNTIF(data2!$D:$D,D4255)=0,"Missing in Data2","Present")</f>
        <v>Present</v>
      </c>
    </row>
    <row r="4256" spans="1:5" x14ac:dyDescent="0.25">
      <c r="A4256" s="2" t="s">
        <v>3831</v>
      </c>
      <c r="B4256" s="2" t="s">
        <v>311</v>
      </c>
      <c r="C4256" s="2">
        <v>7</v>
      </c>
      <c r="D4256" t="str">
        <f t="shared" si="66"/>
        <v>CA-2016-135594_TEC-AC-10003038</v>
      </c>
      <c r="E4256" t="str">
        <f>IF(COUNTIF(data2!$D:$D,D4256)=0,"Missing in Data2","Present")</f>
        <v>Present</v>
      </c>
    </row>
    <row r="4257" spans="1:5" x14ac:dyDescent="0.25">
      <c r="A4257" s="2" t="s">
        <v>3832</v>
      </c>
      <c r="B4257" s="2" t="s">
        <v>3659</v>
      </c>
      <c r="C4257" s="2">
        <v>5</v>
      </c>
      <c r="D4257" t="str">
        <f t="shared" si="66"/>
        <v>CA-2016-135636_OFF-ST-10000676</v>
      </c>
      <c r="E4257" t="str">
        <f>IF(COUNTIF(data2!$D:$D,D4257)=0,"Missing in Data2","Present")</f>
        <v>Present</v>
      </c>
    </row>
    <row r="4258" spans="1:5" x14ac:dyDescent="0.25">
      <c r="A4258" s="2" t="s">
        <v>3833</v>
      </c>
      <c r="B4258" s="2" t="s">
        <v>3834</v>
      </c>
      <c r="C4258" s="2">
        <v>2</v>
      </c>
      <c r="D4258" t="str">
        <f t="shared" si="66"/>
        <v>CA-2016-135776_OFF-AR-10001231</v>
      </c>
      <c r="E4258" t="str">
        <f>IF(COUNTIF(data2!$D:$D,D4258)=0,"Missing in Data2","Present")</f>
        <v>Present</v>
      </c>
    </row>
    <row r="4259" spans="1:5" x14ac:dyDescent="0.25">
      <c r="A4259" s="2" t="s">
        <v>3833</v>
      </c>
      <c r="B4259" s="2" t="s">
        <v>2156</v>
      </c>
      <c r="C4259" s="2">
        <v>3</v>
      </c>
      <c r="D4259" t="str">
        <f t="shared" si="66"/>
        <v>CA-2016-135776_OFF-AR-10001246</v>
      </c>
      <c r="E4259" t="str">
        <f>IF(COUNTIF(data2!$D:$D,D4259)=0,"Missing in Data2","Present")</f>
        <v>Present</v>
      </c>
    </row>
    <row r="4260" spans="1:5" x14ac:dyDescent="0.25">
      <c r="A4260" s="2" t="s">
        <v>3833</v>
      </c>
      <c r="B4260" s="2" t="s">
        <v>699</v>
      </c>
      <c r="C4260" s="2">
        <v>2</v>
      </c>
      <c r="D4260" t="str">
        <f t="shared" si="66"/>
        <v>CA-2016-135776_OFF-EN-10004773</v>
      </c>
      <c r="E4260" t="str">
        <f>IF(COUNTIF(data2!$D:$D,D4260)=0,"Missing in Data2","Present")</f>
        <v>Present</v>
      </c>
    </row>
    <row r="4261" spans="1:5" x14ac:dyDescent="0.25">
      <c r="A4261" s="2" t="s">
        <v>3833</v>
      </c>
      <c r="B4261" s="2" t="s">
        <v>1506</v>
      </c>
      <c r="C4261" s="2">
        <v>2</v>
      </c>
      <c r="D4261" t="str">
        <f t="shared" si="66"/>
        <v>CA-2016-135776_OFF-PA-10001295</v>
      </c>
      <c r="E4261" t="str">
        <f>IF(COUNTIF(data2!$D:$D,D4261)=0,"Missing in Data2","Present")</f>
        <v>Present</v>
      </c>
    </row>
    <row r="4262" spans="1:5" x14ac:dyDescent="0.25">
      <c r="A4262" s="2" t="s">
        <v>3833</v>
      </c>
      <c r="B4262" s="2" t="s">
        <v>3511</v>
      </c>
      <c r="C4262" s="2">
        <v>1</v>
      </c>
      <c r="D4262" t="str">
        <f t="shared" si="66"/>
        <v>CA-2016-135776_OFF-PA-10004327</v>
      </c>
      <c r="E4262" t="str">
        <f>IF(COUNTIF(data2!$D:$D,D4262)=0,"Missing in Data2","Present")</f>
        <v>Present</v>
      </c>
    </row>
    <row r="4263" spans="1:5" x14ac:dyDescent="0.25">
      <c r="A4263" s="2" t="s">
        <v>3833</v>
      </c>
      <c r="B4263" s="2" t="s">
        <v>444</v>
      </c>
      <c r="C4263" s="2">
        <v>2</v>
      </c>
      <c r="D4263" t="str">
        <f t="shared" si="66"/>
        <v>CA-2016-135776_OFF-ST-10002743</v>
      </c>
      <c r="E4263" t="str">
        <f>IF(COUNTIF(data2!$D:$D,D4263)=0,"Missing in Data2","Present")</f>
        <v>Present</v>
      </c>
    </row>
    <row r="4264" spans="1:5" x14ac:dyDescent="0.25">
      <c r="A4264" s="2" t="s">
        <v>3833</v>
      </c>
      <c r="B4264" s="2" t="s">
        <v>304</v>
      </c>
      <c r="C4264" s="2">
        <v>4</v>
      </c>
      <c r="D4264" t="str">
        <f t="shared" si="66"/>
        <v>CA-2016-135776_OFF-ST-10003470</v>
      </c>
      <c r="E4264" t="str">
        <f>IF(COUNTIF(data2!$D:$D,D4264)=0,"Missing in Data2","Present")</f>
        <v>Present</v>
      </c>
    </row>
    <row r="4265" spans="1:5" x14ac:dyDescent="0.25">
      <c r="A4265" s="2" t="s">
        <v>3835</v>
      </c>
      <c r="B4265" s="2" t="s">
        <v>1178</v>
      </c>
      <c r="C4265" s="2">
        <v>6</v>
      </c>
      <c r="D4265" t="str">
        <f t="shared" si="66"/>
        <v>CA-2016-135965_OFF-ST-10002370</v>
      </c>
      <c r="E4265" t="str">
        <f>IF(COUNTIF(data2!$D:$D,D4265)=0,"Missing in Data2","Present")</f>
        <v>Present</v>
      </c>
    </row>
    <row r="4266" spans="1:5" x14ac:dyDescent="0.25">
      <c r="A4266" s="2" t="s">
        <v>3836</v>
      </c>
      <c r="B4266" s="2" t="s">
        <v>3837</v>
      </c>
      <c r="C4266" s="2">
        <v>3</v>
      </c>
      <c r="D4266" t="str">
        <f t="shared" si="66"/>
        <v>CA-2016-136021_OFF-PA-10000551</v>
      </c>
      <c r="E4266" t="str">
        <f>IF(COUNTIF(data2!$D:$D,D4266)=0,"Missing in Data2","Present")</f>
        <v>Present</v>
      </c>
    </row>
    <row r="4267" spans="1:5" x14ac:dyDescent="0.25">
      <c r="A4267" s="2" t="s">
        <v>3836</v>
      </c>
      <c r="B4267" s="2" t="s">
        <v>187</v>
      </c>
      <c r="C4267" s="2">
        <v>6</v>
      </c>
      <c r="D4267" t="str">
        <f t="shared" si="66"/>
        <v>CA-2016-136021_TEC-MA-10000423</v>
      </c>
      <c r="E4267" t="str">
        <f>IF(COUNTIF(data2!$D:$D,D4267)=0,"Missing in Data2","Present")</f>
        <v>Present</v>
      </c>
    </row>
    <row r="4268" spans="1:5" x14ac:dyDescent="0.25">
      <c r="A4268" s="2" t="s">
        <v>3838</v>
      </c>
      <c r="B4268" s="2" t="s">
        <v>3511</v>
      </c>
      <c r="C4268" s="2">
        <v>4</v>
      </c>
      <c r="D4268" t="str">
        <f t="shared" si="66"/>
        <v>CA-2016-136126_OFF-PA-10004327</v>
      </c>
      <c r="E4268" t="str">
        <f>IF(COUNTIF(data2!$D:$D,D4268)=0,"Missing in Data2","Present")</f>
        <v>Present</v>
      </c>
    </row>
    <row r="4269" spans="1:5" x14ac:dyDescent="0.25">
      <c r="A4269" s="2" t="s">
        <v>3838</v>
      </c>
      <c r="B4269" s="2" t="s">
        <v>1850</v>
      </c>
      <c r="C4269" s="2">
        <v>5</v>
      </c>
      <c r="D4269" t="str">
        <f t="shared" si="66"/>
        <v>CA-2016-136126_OFF-SU-10000898</v>
      </c>
      <c r="E4269" t="str">
        <f>IF(COUNTIF(data2!$D:$D,D4269)=0,"Missing in Data2","Present")</f>
        <v>Present</v>
      </c>
    </row>
    <row r="4270" spans="1:5" x14ac:dyDescent="0.25">
      <c r="A4270" s="2" t="s">
        <v>3839</v>
      </c>
      <c r="B4270" s="2" t="s">
        <v>754</v>
      </c>
      <c r="C4270" s="2">
        <v>9</v>
      </c>
      <c r="D4270" t="str">
        <f t="shared" si="66"/>
        <v>CA-2016-136133_OFF-AP-10000576</v>
      </c>
      <c r="E4270" t="str">
        <f>IF(COUNTIF(data2!$D:$D,D4270)=0,"Missing in Data2","Present")</f>
        <v>Present</v>
      </c>
    </row>
    <row r="4271" spans="1:5" x14ac:dyDescent="0.25">
      <c r="A4271" s="2" t="s">
        <v>3840</v>
      </c>
      <c r="B4271" s="2" t="s">
        <v>5</v>
      </c>
      <c r="C4271" s="2">
        <v>7</v>
      </c>
      <c r="D4271" t="str">
        <f t="shared" si="66"/>
        <v>CA-2016-136231_OFF-BI-10001597</v>
      </c>
      <c r="E4271" t="str">
        <f>IF(COUNTIF(data2!$D:$D,D4271)=0,"Missing in Data2","Present")</f>
        <v>Present</v>
      </c>
    </row>
    <row r="4272" spans="1:5" x14ac:dyDescent="0.25">
      <c r="A4272" s="2" t="s">
        <v>3840</v>
      </c>
      <c r="B4272" s="2" t="s">
        <v>284</v>
      </c>
      <c r="C4272" s="2">
        <v>3</v>
      </c>
      <c r="D4272" t="str">
        <f t="shared" si="66"/>
        <v>CA-2016-136231_OFF-EN-10001099</v>
      </c>
      <c r="E4272" t="str">
        <f>IF(COUNTIF(data2!$D:$D,D4272)=0,"Missing in Data2","Present")</f>
        <v>Present</v>
      </c>
    </row>
    <row r="4273" spans="1:5" x14ac:dyDescent="0.25">
      <c r="A4273" s="2" t="s">
        <v>3840</v>
      </c>
      <c r="B4273" s="2" t="s">
        <v>408</v>
      </c>
      <c r="C4273" s="2">
        <v>3</v>
      </c>
      <c r="D4273" t="str">
        <f t="shared" si="66"/>
        <v>CA-2016-136231_OFF-PA-10000327</v>
      </c>
      <c r="E4273" t="str">
        <f>IF(COUNTIF(data2!$D:$D,D4273)=0,"Missing in Data2","Present")</f>
        <v>Present</v>
      </c>
    </row>
    <row r="4274" spans="1:5" x14ac:dyDescent="0.25">
      <c r="A4274" s="2" t="s">
        <v>3840</v>
      </c>
      <c r="B4274" s="2" t="s">
        <v>3841</v>
      </c>
      <c r="C4274" s="2">
        <v>2</v>
      </c>
      <c r="D4274" t="str">
        <f t="shared" si="66"/>
        <v>CA-2016-136231_TEC-PH-10002660</v>
      </c>
      <c r="E4274" t="str">
        <f>IF(COUNTIF(data2!$D:$D,D4274)=0,"Missing in Data2","Present")</f>
        <v>Present</v>
      </c>
    </row>
    <row r="4275" spans="1:5" x14ac:dyDescent="0.25">
      <c r="A4275" s="2" t="s">
        <v>3842</v>
      </c>
      <c r="B4275" s="2" t="s">
        <v>1570</v>
      </c>
      <c r="C4275" s="2">
        <v>3</v>
      </c>
      <c r="D4275" t="str">
        <f t="shared" si="66"/>
        <v>CA-2016-136287_OFF-LA-10003148</v>
      </c>
      <c r="E4275" t="str">
        <f>IF(COUNTIF(data2!$D:$D,D4275)=0,"Missing in Data2","Present")</f>
        <v>Present</v>
      </c>
    </row>
    <row r="4276" spans="1:5" x14ac:dyDescent="0.25">
      <c r="A4276" s="2" t="s">
        <v>3843</v>
      </c>
      <c r="B4276" s="2" t="s">
        <v>3844</v>
      </c>
      <c r="C4276" s="2">
        <v>2</v>
      </c>
      <c r="D4276" t="str">
        <f t="shared" si="66"/>
        <v>CA-2016-136301_FUR-FU-10004712</v>
      </c>
      <c r="E4276" t="str">
        <f>IF(COUNTIF(data2!$D:$D,D4276)=0,"Missing in Data2","Present")</f>
        <v>Present</v>
      </c>
    </row>
    <row r="4277" spans="1:5" x14ac:dyDescent="0.25">
      <c r="A4277" s="2" t="s">
        <v>3843</v>
      </c>
      <c r="B4277" s="2" t="s">
        <v>1294</v>
      </c>
      <c r="C4277" s="2">
        <v>3</v>
      </c>
      <c r="D4277" t="str">
        <f t="shared" si="66"/>
        <v>CA-2016-136301_OFF-SU-10000151</v>
      </c>
      <c r="E4277" t="str">
        <f>IF(COUNTIF(data2!$D:$D,D4277)=0,"Missing in Data2","Present")</f>
        <v>Present</v>
      </c>
    </row>
    <row r="4278" spans="1:5" x14ac:dyDescent="0.25">
      <c r="A4278" s="2" t="s">
        <v>3845</v>
      </c>
      <c r="B4278" s="2" t="s">
        <v>349</v>
      </c>
      <c r="C4278" s="2">
        <v>2</v>
      </c>
      <c r="D4278" t="str">
        <f t="shared" si="66"/>
        <v>CA-2016-136322_FUR-FU-10002878</v>
      </c>
      <c r="E4278" t="str">
        <f>IF(COUNTIF(data2!$D:$D,D4278)=0,"Missing in Data2","Present")</f>
        <v>Present</v>
      </c>
    </row>
    <row r="4279" spans="1:5" x14ac:dyDescent="0.25">
      <c r="A4279" s="2" t="s">
        <v>3845</v>
      </c>
      <c r="B4279" s="2" t="s">
        <v>1950</v>
      </c>
      <c r="C4279" s="2">
        <v>8</v>
      </c>
      <c r="D4279" t="str">
        <f t="shared" si="66"/>
        <v>CA-2016-136322_OFF-BI-10004817</v>
      </c>
      <c r="E4279" t="str">
        <f>IF(COUNTIF(data2!$D:$D,D4279)=0,"Missing in Data2","Present")</f>
        <v>Present</v>
      </c>
    </row>
    <row r="4280" spans="1:5" x14ac:dyDescent="0.25">
      <c r="A4280" s="2" t="s">
        <v>3846</v>
      </c>
      <c r="B4280" s="2" t="s">
        <v>2767</v>
      </c>
      <c r="C4280" s="2">
        <v>2</v>
      </c>
      <c r="D4280" t="str">
        <f t="shared" si="66"/>
        <v>CA-2016-136329_FUR-CH-10002335</v>
      </c>
      <c r="E4280" t="str">
        <f>IF(COUNTIF(data2!$D:$D,D4280)=0,"Missing in Data2","Present")</f>
        <v>Present</v>
      </c>
    </row>
    <row r="4281" spans="1:5" x14ac:dyDescent="0.25">
      <c r="A4281" s="2" t="s">
        <v>3846</v>
      </c>
      <c r="B4281" s="2" t="s">
        <v>160</v>
      </c>
      <c r="C4281" s="2">
        <v>4</v>
      </c>
      <c r="D4281" t="str">
        <f t="shared" si="66"/>
        <v>CA-2016-136329_FUR-FU-10000723</v>
      </c>
      <c r="E4281" t="str">
        <f>IF(COUNTIF(data2!$D:$D,D4281)=0,"Missing in Data2","Present")</f>
        <v>Present</v>
      </c>
    </row>
    <row r="4282" spans="1:5" x14ac:dyDescent="0.25">
      <c r="A4282" s="2" t="s">
        <v>3847</v>
      </c>
      <c r="B4282" s="2" t="s">
        <v>339</v>
      </c>
      <c r="C4282" s="2">
        <v>4</v>
      </c>
      <c r="D4282" t="str">
        <f t="shared" si="66"/>
        <v>CA-2016-136371_FUR-FU-10000221</v>
      </c>
      <c r="E4282" t="str">
        <f>IF(COUNTIF(data2!$D:$D,D4282)=0,"Missing in Data2","Present")</f>
        <v>Present</v>
      </c>
    </row>
    <row r="4283" spans="1:5" x14ac:dyDescent="0.25">
      <c r="A4283" s="2" t="s">
        <v>3847</v>
      </c>
      <c r="B4283" s="2" t="s">
        <v>53</v>
      </c>
      <c r="C4283" s="2">
        <v>1</v>
      </c>
      <c r="D4283" t="str">
        <f t="shared" si="66"/>
        <v>CA-2016-136371_FUR-FU-10000409</v>
      </c>
      <c r="E4283" t="str">
        <f>IF(COUNTIF(data2!$D:$D,D4283)=0,"Missing in Data2","Present")</f>
        <v>Present</v>
      </c>
    </row>
    <row r="4284" spans="1:5" x14ac:dyDescent="0.25">
      <c r="A4284" s="2" t="s">
        <v>3848</v>
      </c>
      <c r="B4284" s="2" t="s">
        <v>561</v>
      </c>
      <c r="C4284" s="2">
        <v>2</v>
      </c>
      <c r="D4284" t="str">
        <f t="shared" si="66"/>
        <v>CA-2016-136406_FUR-CH-10002024</v>
      </c>
      <c r="E4284" t="str">
        <f>IF(COUNTIF(data2!$D:$D,D4284)=0,"Missing in Data2","Present")</f>
        <v>Present</v>
      </c>
    </row>
    <row r="4285" spans="1:5" x14ac:dyDescent="0.25">
      <c r="A4285" s="2" t="s">
        <v>3849</v>
      </c>
      <c r="B4285" s="2" t="s">
        <v>577</v>
      </c>
      <c r="C4285" s="2">
        <v>3</v>
      </c>
      <c r="D4285" t="str">
        <f t="shared" si="66"/>
        <v>CA-2016-136434_FUR-FU-10001196</v>
      </c>
      <c r="E4285" t="str">
        <f>IF(COUNTIF(data2!$D:$D,D4285)=0,"Missing in Data2","Present")</f>
        <v>Present</v>
      </c>
    </row>
    <row r="4286" spans="1:5" x14ac:dyDescent="0.25">
      <c r="A4286" s="2" t="s">
        <v>3850</v>
      </c>
      <c r="B4286" s="2" t="s">
        <v>3171</v>
      </c>
      <c r="C4286" s="2">
        <v>2</v>
      </c>
      <c r="D4286" t="str">
        <f t="shared" si="66"/>
        <v>CA-2016-136483_OFF-AR-10000940</v>
      </c>
      <c r="E4286" t="str">
        <f>IF(COUNTIF(data2!$D:$D,D4286)=0,"Missing in Data2","Present")</f>
        <v>Present</v>
      </c>
    </row>
    <row r="4287" spans="1:5" x14ac:dyDescent="0.25">
      <c r="A4287" s="2" t="s">
        <v>3851</v>
      </c>
      <c r="B4287" s="2" t="s">
        <v>164</v>
      </c>
      <c r="C4287" s="2">
        <v>3</v>
      </c>
      <c r="D4287" t="str">
        <f t="shared" si="66"/>
        <v>CA-2016-136595_FUR-FU-10004671</v>
      </c>
      <c r="E4287" t="str">
        <f>IF(COUNTIF(data2!$D:$D,D4287)=0,"Missing in Data2","Present")</f>
        <v>Present</v>
      </c>
    </row>
    <row r="4288" spans="1:5" x14ac:dyDescent="0.25">
      <c r="A4288" s="2" t="s">
        <v>3852</v>
      </c>
      <c r="B4288" s="2" t="s">
        <v>226</v>
      </c>
      <c r="C4288" s="2">
        <v>6</v>
      </c>
      <c r="D4288" t="str">
        <f t="shared" si="66"/>
        <v>CA-2016-136686_FUR-FU-10004864</v>
      </c>
      <c r="E4288" t="str">
        <f>IF(COUNTIF(data2!$D:$D,D4288)=0,"Missing in Data2","Present")</f>
        <v>Present</v>
      </c>
    </row>
    <row r="4289" spans="1:5" x14ac:dyDescent="0.25">
      <c r="A4289" s="2" t="s">
        <v>3852</v>
      </c>
      <c r="B4289" s="2" t="s">
        <v>514</v>
      </c>
      <c r="C4289" s="2">
        <v>3</v>
      </c>
      <c r="D4289" t="str">
        <f t="shared" si="66"/>
        <v>CA-2016-136686_OFF-AP-10002350</v>
      </c>
      <c r="E4289" t="str">
        <f>IF(COUNTIF(data2!$D:$D,D4289)=0,"Missing in Data2","Present")</f>
        <v>Present</v>
      </c>
    </row>
    <row r="4290" spans="1:5" x14ac:dyDescent="0.25">
      <c r="A4290" s="2" t="s">
        <v>3853</v>
      </c>
      <c r="B4290" s="2" t="s">
        <v>3325</v>
      </c>
      <c r="C4290" s="2">
        <v>5</v>
      </c>
      <c r="D4290" t="str">
        <f t="shared" si="66"/>
        <v>CA-2016-136770_TEC-AC-10000420</v>
      </c>
      <c r="E4290" t="str">
        <f>IF(COUNTIF(data2!$D:$D,D4290)=0,"Missing in Data2","Present")</f>
        <v>Missing in Data2</v>
      </c>
    </row>
    <row r="4291" spans="1:5" x14ac:dyDescent="0.25">
      <c r="A4291" s="2" t="s">
        <v>3853</v>
      </c>
      <c r="B4291" s="2" t="s">
        <v>602</v>
      </c>
      <c r="C4291" s="2">
        <v>2</v>
      </c>
      <c r="D4291" t="str">
        <f t="shared" ref="D4291:D4354" si="67">A4291&amp;"_"&amp;B4291</f>
        <v>CA-2016-136770_TEC-PH-10001530</v>
      </c>
      <c r="E4291" t="str">
        <f>IF(COUNTIF(data2!$D:$D,D4291)=0,"Missing in Data2","Present")</f>
        <v>Present</v>
      </c>
    </row>
    <row r="4292" spans="1:5" x14ac:dyDescent="0.25">
      <c r="A4292" s="2" t="s">
        <v>3853</v>
      </c>
      <c r="B4292" s="2" t="s">
        <v>2691</v>
      </c>
      <c r="C4292" s="2">
        <v>2</v>
      </c>
      <c r="D4292" t="str">
        <f t="shared" si="67"/>
        <v>CA-2016-136770_TEC-PH-10003580</v>
      </c>
      <c r="E4292" t="str">
        <f>IF(COUNTIF(data2!$D:$D,D4292)=0,"Missing in Data2","Present")</f>
        <v>Present</v>
      </c>
    </row>
    <row r="4293" spans="1:5" x14ac:dyDescent="0.25">
      <c r="A4293" s="2" t="s">
        <v>3854</v>
      </c>
      <c r="B4293" s="2" t="s">
        <v>304</v>
      </c>
      <c r="C4293" s="2">
        <v>4</v>
      </c>
      <c r="D4293" t="str">
        <f t="shared" si="67"/>
        <v>CA-2016-136812_OFF-ST-10003470</v>
      </c>
      <c r="E4293" t="str">
        <f>IF(COUNTIF(data2!$D:$D,D4293)=0,"Missing in Data2","Present")</f>
        <v>Present</v>
      </c>
    </row>
    <row r="4294" spans="1:5" x14ac:dyDescent="0.25">
      <c r="A4294" s="2" t="s">
        <v>3855</v>
      </c>
      <c r="B4294" s="2" t="s">
        <v>2435</v>
      </c>
      <c r="C4294" s="2">
        <v>8</v>
      </c>
      <c r="D4294" t="str">
        <f t="shared" si="67"/>
        <v>CA-2016-136924_TEC-PH-10002262</v>
      </c>
      <c r="E4294" t="str">
        <f>IF(COUNTIF(data2!$D:$D,D4294)=0,"Missing in Data2","Present")</f>
        <v>Present</v>
      </c>
    </row>
    <row r="4295" spans="1:5" x14ac:dyDescent="0.25">
      <c r="A4295" s="2" t="s">
        <v>3856</v>
      </c>
      <c r="B4295" s="2" t="s">
        <v>1707</v>
      </c>
      <c r="C4295" s="2">
        <v>2</v>
      </c>
      <c r="D4295" t="str">
        <f t="shared" si="67"/>
        <v>CA-2016-136994_OFF-PA-10000575</v>
      </c>
      <c r="E4295" t="str">
        <f>IF(COUNTIF(data2!$D:$D,D4295)=0,"Missing in Data2","Present")</f>
        <v>Present</v>
      </c>
    </row>
    <row r="4296" spans="1:5" x14ac:dyDescent="0.25">
      <c r="A4296" s="2" t="s">
        <v>3857</v>
      </c>
      <c r="B4296" s="2" t="s">
        <v>3272</v>
      </c>
      <c r="C4296" s="2">
        <v>9</v>
      </c>
      <c r="D4296" t="str">
        <f t="shared" si="67"/>
        <v>CA-2016-137043_FUR-FU-10003664</v>
      </c>
      <c r="E4296" t="str">
        <f>IF(COUNTIF(data2!$D:$D,D4296)=0,"Missing in Data2","Present")</f>
        <v>Present</v>
      </c>
    </row>
    <row r="4297" spans="1:5" x14ac:dyDescent="0.25">
      <c r="A4297" s="2" t="s">
        <v>3858</v>
      </c>
      <c r="B4297" s="2" t="s">
        <v>2278</v>
      </c>
      <c r="C4297" s="2">
        <v>4</v>
      </c>
      <c r="D4297" t="str">
        <f t="shared" si="67"/>
        <v>CA-2016-137050_FUR-BO-10004695</v>
      </c>
      <c r="E4297" t="str">
        <f>IF(COUNTIF(data2!$D:$D,D4297)=0,"Missing in Data2","Present")</f>
        <v>Missing in Data2</v>
      </c>
    </row>
    <row r="4298" spans="1:5" x14ac:dyDescent="0.25">
      <c r="A4298" s="2" t="s">
        <v>3858</v>
      </c>
      <c r="B4298" s="2" t="s">
        <v>352</v>
      </c>
      <c r="C4298" s="2">
        <v>7</v>
      </c>
      <c r="D4298" t="str">
        <f t="shared" si="67"/>
        <v>CA-2016-137050_OFF-AR-10004999</v>
      </c>
      <c r="E4298" t="str">
        <f>IF(COUNTIF(data2!$D:$D,D4298)=0,"Missing in Data2","Present")</f>
        <v>Present</v>
      </c>
    </row>
    <row r="4299" spans="1:5" x14ac:dyDescent="0.25">
      <c r="A4299" s="2" t="s">
        <v>3858</v>
      </c>
      <c r="B4299" s="2" t="s">
        <v>773</v>
      </c>
      <c r="C4299" s="2">
        <v>2</v>
      </c>
      <c r="D4299" t="str">
        <f t="shared" si="67"/>
        <v>CA-2016-137050_OFF-BI-10001031</v>
      </c>
      <c r="E4299" t="str">
        <f>IF(COUNTIF(data2!$D:$D,D4299)=0,"Missing in Data2","Present")</f>
        <v>Present</v>
      </c>
    </row>
    <row r="4300" spans="1:5" x14ac:dyDescent="0.25">
      <c r="A4300" s="2" t="s">
        <v>3858</v>
      </c>
      <c r="B4300" s="2" t="s">
        <v>197</v>
      </c>
      <c r="C4300" s="2">
        <v>3</v>
      </c>
      <c r="D4300" t="str">
        <f t="shared" si="67"/>
        <v>CA-2016-137050_OFF-BI-10002160</v>
      </c>
      <c r="E4300" t="str">
        <f>IF(COUNTIF(data2!$D:$D,D4300)=0,"Missing in Data2","Present")</f>
        <v>Present</v>
      </c>
    </row>
    <row r="4301" spans="1:5" x14ac:dyDescent="0.25">
      <c r="A4301" s="2" t="s">
        <v>3858</v>
      </c>
      <c r="B4301" s="2" t="s">
        <v>1808</v>
      </c>
      <c r="C4301" s="2">
        <v>7</v>
      </c>
      <c r="D4301" t="str">
        <f t="shared" si="67"/>
        <v>CA-2016-137050_OFF-FA-10002988</v>
      </c>
      <c r="E4301" t="str">
        <f>IF(COUNTIF(data2!$D:$D,D4301)=0,"Missing in Data2","Present")</f>
        <v>Present</v>
      </c>
    </row>
    <row r="4302" spans="1:5" x14ac:dyDescent="0.25">
      <c r="A4302" s="2" t="s">
        <v>3858</v>
      </c>
      <c r="B4302" s="2" t="s">
        <v>1087</v>
      </c>
      <c r="C4302" s="2">
        <v>1</v>
      </c>
      <c r="D4302" t="str">
        <f t="shared" si="67"/>
        <v>CA-2016-137050_OFF-ST-10004634</v>
      </c>
      <c r="E4302" t="str">
        <f>IF(COUNTIF(data2!$D:$D,D4302)=0,"Missing in Data2","Present")</f>
        <v>Present</v>
      </c>
    </row>
    <row r="4303" spans="1:5" x14ac:dyDescent="0.25">
      <c r="A4303" s="2" t="s">
        <v>3859</v>
      </c>
      <c r="B4303" s="2" t="s">
        <v>215</v>
      </c>
      <c r="C4303" s="2">
        <v>3</v>
      </c>
      <c r="D4303" t="str">
        <f t="shared" si="67"/>
        <v>CA-2016-137127_OFF-LA-10001641</v>
      </c>
      <c r="E4303" t="str">
        <f>IF(COUNTIF(data2!$D:$D,D4303)=0,"Missing in Data2","Present")</f>
        <v>Present</v>
      </c>
    </row>
    <row r="4304" spans="1:5" x14ac:dyDescent="0.25">
      <c r="A4304" s="2" t="s">
        <v>3860</v>
      </c>
      <c r="B4304" s="2" t="s">
        <v>2789</v>
      </c>
      <c r="C4304" s="2">
        <v>4</v>
      </c>
      <c r="D4304" t="str">
        <f t="shared" si="67"/>
        <v>CA-2016-137176_FUR-FU-10003832</v>
      </c>
      <c r="E4304" t="str">
        <f>IF(COUNTIF(data2!$D:$D,D4304)=0,"Missing in Data2","Present")</f>
        <v>Present</v>
      </c>
    </row>
    <row r="4305" spans="1:5" x14ac:dyDescent="0.25">
      <c r="A4305" s="2" t="s">
        <v>3861</v>
      </c>
      <c r="B4305" s="2" t="s">
        <v>1258</v>
      </c>
      <c r="C4305" s="2">
        <v>2</v>
      </c>
      <c r="D4305" t="str">
        <f t="shared" si="67"/>
        <v>CA-2016-137204_FUR-CH-10002304</v>
      </c>
      <c r="E4305" t="str">
        <f>IF(COUNTIF(data2!$D:$D,D4305)=0,"Missing in Data2","Present")</f>
        <v>Present</v>
      </c>
    </row>
    <row r="4306" spans="1:5" x14ac:dyDescent="0.25">
      <c r="A4306" s="2" t="s">
        <v>3862</v>
      </c>
      <c r="B4306" s="2" t="s">
        <v>2442</v>
      </c>
      <c r="C4306" s="2">
        <v>2</v>
      </c>
      <c r="D4306" t="str">
        <f t="shared" si="67"/>
        <v>CA-2016-137239_OFF-AP-10002439</v>
      </c>
      <c r="E4306" t="str">
        <f>IF(COUNTIF(data2!$D:$D,D4306)=0,"Missing in Data2","Present")</f>
        <v>Present</v>
      </c>
    </row>
    <row r="4307" spans="1:5" x14ac:dyDescent="0.25">
      <c r="A4307" s="2" t="s">
        <v>3862</v>
      </c>
      <c r="B4307" s="2" t="s">
        <v>403</v>
      </c>
      <c r="C4307" s="2">
        <v>2</v>
      </c>
      <c r="D4307" t="str">
        <f t="shared" si="67"/>
        <v>CA-2016-137239_OFF-BI-10002827</v>
      </c>
      <c r="E4307" t="str">
        <f>IF(COUNTIF(data2!$D:$D,D4307)=0,"Missing in Data2","Present")</f>
        <v>Present</v>
      </c>
    </row>
    <row r="4308" spans="1:5" x14ac:dyDescent="0.25">
      <c r="A4308" s="2" t="s">
        <v>3862</v>
      </c>
      <c r="B4308" s="2" t="s">
        <v>1646</v>
      </c>
      <c r="C4308" s="2">
        <v>2</v>
      </c>
      <c r="D4308" t="str">
        <f t="shared" si="67"/>
        <v>CA-2016-137239_OFF-EN-10002230</v>
      </c>
      <c r="E4308" t="str">
        <f>IF(COUNTIF(data2!$D:$D,D4308)=0,"Missing in Data2","Present")</f>
        <v>Missing in Data2</v>
      </c>
    </row>
    <row r="4309" spans="1:5" x14ac:dyDescent="0.25">
      <c r="A4309" s="2" t="s">
        <v>3863</v>
      </c>
      <c r="B4309" s="2" t="s">
        <v>1310</v>
      </c>
      <c r="C4309" s="2">
        <v>7</v>
      </c>
      <c r="D4309" t="str">
        <f t="shared" si="67"/>
        <v>CA-2016-137330_OFF-AP-10001492</v>
      </c>
      <c r="E4309" t="str">
        <f>IF(COUNTIF(data2!$D:$D,D4309)=0,"Missing in Data2","Present")</f>
        <v>Present</v>
      </c>
    </row>
    <row r="4310" spans="1:5" x14ac:dyDescent="0.25">
      <c r="A4310" s="2" t="s">
        <v>3863</v>
      </c>
      <c r="B4310" s="2" t="s">
        <v>3864</v>
      </c>
      <c r="C4310" s="2">
        <v>7</v>
      </c>
      <c r="D4310" t="str">
        <f t="shared" si="67"/>
        <v>CA-2016-137330_OFF-AR-10000246</v>
      </c>
      <c r="E4310" t="str">
        <f>IF(COUNTIF(data2!$D:$D,D4310)=0,"Missing in Data2","Present")</f>
        <v>Present</v>
      </c>
    </row>
    <row r="4311" spans="1:5" x14ac:dyDescent="0.25">
      <c r="A4311" s="2" t="s">
        <v>3865</v>
      </c>
      <c r="B4311" s="2" t="s">
        <v>2689</v>
      </c>
      <c r="C4311" s="2">
        <v>8</v>
      </c>
      <c r="D4311" t="str">
        <f t="shared" si="67"/>
        <v>CA-2016-137337_FUR-FU-10003347</v>
      </c>
      <c r="E4311" t="str">
        <f>IF(COUNTIF(data2!$D:$D,D4311)=0,"Missing in Data2","Present")</f>
        <v>Present</v>
      </c>
    </row>
    <row r="4312" spans="1:5" x14ac:dyDescent="0.25">
      <c r="A4312" s="2" t="s">
        <v>3865</v>
      </c>
      <c r="B4312" s="2" t="s">
        <v>740</v>
      </c>
      <c r="C4312" s="2">
        <v>2</v>
      </c>
      <c r="D4312" t="str">
        <f t="shared" si="67"/>
        <v>CA-2016-137337_OFF-BI-10000632</v>
      </c>
      <c r="E4312" t="str">
        <f>IF(COUNTIF(data2!$D:$D,D4312)=0,"Missing in Data2","Present")</f>
        <v>Present</v>
      </c>
    </row>
    <row r="4313" spans="1:5" x14ac:dyDescent="0.25">
      <c r="A4313" s="2" t="s">
        <v>3865</v>
      </c>
      <c r="B4313" s="2" t="s">
        <v>3575</v>
      </c>
      <c r="C4313" s="2">
        <v>2</v>
      </c>
      <c r="D4313" t="str">
        <f t="shared" si="67"/>
        <v>CA-2016-137337_OFF-PA-10001934</v>
      </c>
      <c r="E4313" t="str">
        <f>IF(COUNTIF(data2!$D:$D,D4313)=0,"Missing in Data2","Present")</f>
        <v>Present</v>
      </c>
    </row>
    <row r="4314" spans="1:5" x14ac:dyDescent="0.25">
      <c r="A4314" s="2" t="s">
        <v>3866</v>
      </c>
      <c r="B4314" s="2" t="s">
        <v>3867</v>
      </c>
      <c r="C4314" s="2">
        <v>4</v>
      </c>
      <c r="D4314" t="str">
        <f t="shared" si="67"/>
        <v>CA-2016-137393_FUR-FU-10001617</v>
      </c>
      <c r="E4314" t="str">
        <f>IF(COUNTIF(data2!$D:$D,D4314)=0,"Missing in Data2","Present")</f>
        <v>Missing in Data2</v>
      </c>
    </row>
    <row r="4315" spans="1:5" x14ac:dyDescent="0.25">
      <c r="A4315" s="2" t="s">
        <v>3868</v>
      </c>
      <c r="B4315" s="2" t="s">
        <v>1019</v>
      </c>
      <c r="C4315" s="2">
        <v>8</v>
      </c>
      <c r="D4315" t="str">
        <f t="shared" si="67"/>
        <v>CA-2016-137652_OFF-BI-10004099</v>
      </c>
      <c r="E4315" t="str">
        <f>IF(COUNTIF(data2!$D:$D,D4315)=0,"Missing in Data2","Present")</f>
        <v>Present</v>
      </c>
    </row>
    <row r="4316" spans="1:5" x14ac:dyDescent="0.25">
      <c r="A4316" s="2" t="s">
        <v>3869</v>
      </c>
      <c r="B4316" s="2" t="s">
        <v>1587</v>
      </c>
      <c r="C4316" s="2">
        <v>8</v>
      </c>
      <c r="D4316" t="str">
        <f t="shared" si="67"/>
        <v>CA-2016-137673_TEC-AC-10002345</v>
      </c>
      <c r="E4316" t="str">
        <f>IF(COUNTIF(data2!$D:$D,D4316)=0,"Missing in Data2","Present")</f>
        <v>Present</v>
      </c>
    </row>
    <row r="4317" spans="1:5" x14ac:dyDescent="0.25">
      <c r="A4317" s="2" t="s">
        <v>3870</v>
      </c>
      <c r="B4317" s="2" t="s">
        <v>487</v>
      </c>
      <c r="C4317" s="2">
        <v>1</v>
      </c>
      <c r="D4317" t="str">
        <f t="shared" si="67"/>
        <v>CA-2016-137729_OFF-ST-10001505</v>
      </c>
      <c r="E4317" t="str">
        <f>IF(COUNTIF(data2!$D:$D,D4317)=0,"Missing in Data2","Present")</f>
        <v>Present</v>
      </c>
    </row>
    <row r="4318" spans="1:5" x14ac:dyDescent="0.25">
      <c r="A4318" s="2" t="s">
        <v>3870</v>
      </c>
      <c r="B4318" s="2" t="s">
        <v>2873</v>
      </c>
      <c r="C4318" s="2">
        <v>3</v>
      </c>
      <c r="D4318" t="str">
        <f t="shared" si="67"/>
        <v>CA-2016-137729_TEC-PH-10001433</v>
      </c>
      <c r="E4318" t="str">
        <f>IF(COUNTIF(data2!$D:$D,D4318)=0,"Missing in Data2","Present")</f>
        <v>Present</v>
      </c>
    </row>
    <row r="4319" spans="1:5" x14ac:dyDescent="0.25">
      <c r="A4319" s="2" t="s">
        <v>3871</v>
      </c>
      <c r="B4319" s="2" t="s">
        <v>352</v>
      </c>
      <c r="C4319" s="2">
        <v>7</v>
      </c>
      <c r="D4319" t="str">
        <f t="shared" si="67"/>
        <v>CA-2016-137736_OFF-AR-10004999</v>
      </c>
      <c r="E4319" t="str">
        <f>IF(COUNTIF(data2!$D:$D,D4319)=0,"Missing in Data2","Present")</f>
        <v>Present</v>
      </c>
    </row>
    <row r="4320" spans="1:5" x14ac:dyDescent="0.25">
      <c r="A4320" s="2" t="s">
        <v>3872</v>
      </c>
      <c r="B4320" s="2" t="s">
        <v>3873</v>
      </c>
      <c r="C4320" s="2">
        <v>4</v>
      </c>
      <c r="D4320" t="str">
        <f t="shared" si="67"/>
        <v>CA-2016-137743_OFF-LA-10003663</v>
      </c>
      <c r="E4320" t="str">
        <f>IF(COUNTIF(data2!$D:$D,D4320)=0,"Missing in Data2","Present")</f>
        <v>Present</v>
      </c>
    </row>
    <row r="4321" spans="1:5" x14ac:dyDescent="0.25">
      <c r="A4321" s="2" t="s">
        <v>3872</v>
      </c>
      <c r="B4321" s="2" t="s">
        <v>2293</v>
      </c>
      <c r="C4321" s="2">
        <v>2</v>
      </c>
      <c r="D4321" t="str">
        <f t="shared" si="67"/>
        <v>CA-2016-137743_OFF-ST-10001780</v>
      </c>
      <c r="E4321" t="str">
        <f>IF(COUNTIF(data2!$D:$D,D4321)=0,"Missing in Data2","Present")</f>
        <v>Present</v>
      </c>
    </row>
    <row r="4322" spans="1:5" x14ac:dyDescent="0.25">
      <c r="A4322" s="2" t="s">
        <v>3874</v>
      </c>
      <c r="B4322" s="2" t="s">
        <v>824</v>
      </c>
      <c r="C4322" s="2">
        <v>3</v>
      </c>
      <c r="D4322" t="str">
        <f t="shared" si="67"/>
        <v>CA-2016-137848_OFF-BI-10002225</v>
      </c>
      <c r="E4322" t="str">
        <f>IF(COUNTIF(data2!$D:$D,D4322)=0,"Missing in Data2","Present")</f>
        <v>Present</v>
      </c>
    </row>
    <row r="4323" spans="1:5" x14ac:dyDescent="0.25">
      <c r="A4323" s="2" t="s">
        <v>3874</v>
      </c>
      <c r="B4323" s="2" t="s">
        <v>2274</v>
      </c>
      <c r="C4323" s="2">
        <v>4</v>
      </c>
      <c r="D4323" t="str">
        <f t="shared" si="67"/>
        <v>CA-2016-137848_OFF-EN-10001137</v>
      </c>
      <c r="E4323" t="str">
        <f>IF(COUNTIF(data2!$D:$D,D4323)=0,"Missing in Data2","Present")</f>
        <v>Present</v>
      </c>
    </row>
    <row r="4324" spans="1:5" x14ac:dyDescent="0.25">
      <c r="A4324" s="2" t="s">
        <v>3874</v>
      </c>
      <c r="B4324" s="2" t="s">
        <v>1952</v>
      </c>
      <c r="C4324" s="2">
        <v>9</v>
      </c>
      <c r="D4324" t="str">
        <f t="shared" si="67"/>
        <v>CA-2016-137848_OFF-PA-10004285</v>
      </c>
      <c r="E4324" t="str">
        <f>IF(COUNTIF(data2!$D:$D,D4324)=0,"Missing in Data2","Present")</f>
        <v>Present</v>
      </c>
    </row>
    <row r="4325" spans="1:5" x14ac:dyDescent="0.25">
      <c r="A4325" s="2" t="s">
        <v>3875</v>
      </c>
      <c r="B4325" s="2" t="s">
        <v>716</v>
      </c>
      <c r="C4325" s="2">
        <v>5</v>
      </c>
      <c r="D4325" t="str">
        <f t="shared" si="67"/>
        <v>CA-2016-137939_TEC-PH-10003589</v>
      </c>
      <c r="E4325" t="str">
        <f>IF(COUNTIF(data2!$D:$D,D4325)=0,"Missing in Data2","Present")</f>
        <v>Present</v>
      </c>
    </row>
    <row r="4326" spans="1:5" x14ac:dyDescent="0.25">
      <c r="A4326" s="2" t="s">
        <v>3876</v>
      </c>
      <c r="B4326" s="2" t="s">
        <v>1734</v>
      </c>
      <c r="C4326" s="2">
        <v>5</v>
      </c>
      <c r="D4326" t="str">
        <f t="shared" si="67"/>
        <v>CA-2016-138037_OFF-BI-10002982</v>
      </c>
      <c r="E4326" t="str">
        <f>IF(COUNTIF(data2!$D:$D,D4326)=0,"Missing in Data2","Present")</f>
        <v>Present</v>
      </c>
    </row>
    <row r="4327" spans="1:5" x14ac:dyDescent="0.25">
      <c r="A4327" s="2" t="s">
        <v>3877</v>
      </c>
      <c r="B4327" s="2" t="s">
        <v>1690</v>
      </c>
      <c r="C4327" s="2">
        <v>5</v>
      </c>
      <c r="D4327" t="str">
        <f t="shared" si="67"/>
        <v>CA-2016-138079_FUR-FU-10001475</v>
      </c>
      <c r="E4327" t="str">
        <f>IF(COUNTIF(data2!$D:$D,D4327)=0,"Missing in Data2","Present")</f>
        <v>Present</v>
      </c>
    </row>
    <row r="4328" spans="1:5" x14ac:dyDescent="0.25">
      <c r="A4328" s="2" t="s">
        <v>3878</v>
      </c>
      <c r="B4328" s="2" t="s">
        <v>1823</v>
      </c>
      <c r="C4328" s="2">
        <v>3</v>
      </c>
      <c r="D4328" t="str">
        <f t="shared" si="67"/>
        <v>CA-2016-138233_TEC-AC-10002001</v>
      </c>
      <c r="E4328" t="str">
        <f>IF(COUNTIF(data2!$D:$D,D4328)=0,"Missing in Data2","Present")</f>
        <v>Present</v>
      </c>
    </row>
    <row r="4329" spans="1:5" x14ac:dyDescent="0.25">
      <c r="A4329" s="2" t="s">
        <v>3879</v>
      </c>
      <c r="B4329" s="2" t="s">
        <v>1060</v>
      </c>
      <c r="C4329" s="2">
        <v>8</v>
      </c>
      <c r="D4329" t="str">
        <f t="shared" si="67"/>
        <v>CA-2016-138282_OFF-AP-10001366</v>
      </c>
      <c r="E4329" t="str">
        <f>IF(COUNTIF(data2!$D:$D,D4329)=0,"Missing in Data2","Present")</f>
        <v>Present</v>
      </c>
    </row>
    <row r="4330" spans="1:5" x14ac:dyDescent="0.25">
      <c r="A4330" s="2" t="s">
        <v>3880</v>
      </c>
      <c r="B4330" s="2" t="s">
        <v>580</v>
      </c>
      <c r="C4330" s="2">
        <v>3</v>
      </c>
      <c r="D4330" t="str">
        <f t="shared" si="67"/>
        <v>CA-2016-138478_OFF-BI-10001120</v>
      </c>
      <c r="E4330" t="str">
        <f>IF(COUNTIF(data2!$D:$D,D4330)=0,"Missing in Data2","Present")</f>
        <v>Present</v>
      </c>
    </row>
    <row r="4331" spans="1:5" x14ac:dyDescent="0.25">
      <c r="A4331" s="2" t="s">
        <v>3880</v>
      </c>
      <c r="B4331" s="2" t="s">
        <v>3001</v>
      </c>
      <c r="C4331" s="2">
        <v>6</v>
      </c>
      <c r="D4331" t="str">
        <f t="shared" si="67"/>
        <v>CA-2016-138478_OFF-PA-10001801</v>
      </c>
      <c r="E4331" t="str">
        <f>IF(COUNTIF(data2!$D:$D,D4331)=0,"Missing in Data2","Present")</f>
        <v>Present</v>
      </c>
    </row>
    <row r="4332" spans="1:5" x14ac:dyDescent="0.25">
      <c r="A4332" s="2" t="s">
        <v>3881</v>
      </c>
      <c r="B4332" s="2" t="s">
        <v>3882</v>
      </c>
      <c r="C4332" s="2">
        <v>6</v>
      </c>
      <c r="D4332" t="str">
        <f t="shared" si="67"/>
        <v>CA-2016-138520_FUR-BO-10002268</v>
      </c>
      <c r="E4332" t="str">
        <f>IF(COUNTIF(data2!$D:$D,D4332)=0,"Missing in Data2","Present")</f>
        <v>Present</v>
      </c>
    </row>
    <row r="4333" spans="1:5" x14ac:dyDescent="0.25">
      <c r="A4333" s="2" t="s">
        <v>3881</v>
      </c>
      <c r="B4333" s="2" t="s">
        <v>236</v>
      </c>
      <c r="C4333" s="2">
        <v>4</v>
      </c>
      <c r="D4333" t="str">
        <f t="shared" si="67"/>
        <v>CA-2016-138520_OFF-AR-10002399</v>
      </c>
      <c r="E4333" t="str">
        <f>IF(COUNTIF(data2!$D:$D,D4333)=0,"Missing in Data2","Present")</f>
        <v>Present</v>
      </c>
    </row>
    <row r="4334" spans="1:5" x14ac:dyDescent="0.25">
      <c r="A4334" s="2" t="s">
        <v>3881</v>
      </c>
      <c r="B4334" s="2" t="s">
        <v>2274</v>
      </c>
      <c r="C4334" s="2">
        <v>2</v>
      </c>
      <c r="D4334" t="str">
        <f t="shared" si="67"/>
        <v>CA-2016-138520_OFF-EN-10001137</v>
      </c>
      <c r="E4334" t="str">
        <f>IF(COUNTIF(data2!$D:$D,D4334)=0,"Missing in Data2","Present")</f>
        <v>Present</v>
      </c>
    </row>
    <row r="4335" spans="1:5" x14ac:dyDescent="0.25">
      <c r="A4335" s="2" t="s">
        <v>3881</v>
      </c>
      <c r="B4335" s="2" t="s">
        <v>2748</v>
      </c>
      <c r="C4335" s="2">
        <v>5</v>
      </c>
      <c r="D4335" t="str">
        <f t="shared" si="67"/>
        <v>CA-2016-138520_OFF-PA-10002713</v>
      </c>
      <c r="E4335" t="str">
        <f>IF(COUNTIF(data2!$D:$D,D4335)=0,"Missing in Data2","Present")</f>
        <v>Missing in Data2</v>
      </c>
    </row>
    <row r="4336" spans="1:5" x14ac:dyDescent="0.25">
      <c r="A4336" s="2" t="s">
        <v>3883</v>
      </c>
      <c r="B4336" s="2" t="s">
        <v>3188</v>
      </c>
      <c r="C4336" s="2">
        <v>3</v>
      </c>
      <c r="D4336" t="str">
        <f t="shared" si="67"/>
        <v>CA-2016-138583_OFF-AR-10001860</v>
      </c>
      <c r="E4336" t="str">
        <f>IF(COUNTIF(data2!$D:$D,D4336)=0,"Missing in Data2","Present")</f>
        <v>Present</v>
      </c>
    </row>
    <row r="4337" spans="1:5" x14ac:dyDescent="0.25">
      <c r="A4337" s="2" t="s">
        <v>3884</v>
      </c>
      <c r="B4337" s="2" t="s">
        <v>680</v>
      </c>
      <c r="C4337" s="2">
        <v>3</v>
      </c>
      <c r="D4337" t="str">
        <f t="shared" si="67"/>
        <v>CA-2016-138597_FUR-CH-10004997</v>
      </c>
      <c r="E4337" t="str">
        <f>IF(COUNTIF(data2!$D:$D,D4337)=0,"Missing in Data2","Present")</f>
        <v>Present</v>
      </c>
    </row>
    <row r="4338" spans="1:5" x14ac:dyDescent="0.25">
      <c r="A4338" s="2" t="s">
        <v>3885</v>
      </c>
      <c r="B4338" s="2" t="s">
        <v>2389</v>
      </c>
      <c r="C4338" s="2">
        <v>2</v>
      </c>
      <c r="D4338" t="str">
        <f t="shared" si="67"/>
        <v>CA-2016-138667_TEC-AC-10003063</v>
      </c>
      <c r="E4338" t="str">
        <f>IF(COUNTIF(data2!$D:$D,D4338)=0,"Missing in Data2","Present")</f>
        <v>Present</v>
      </c>
    </row>
    <row r="4339" spans="1:5" x14ac:dyDescent="0.25">
      <c r="A4339" s="2" t="s">
        <v>3886</v>
      </c>
      <c r="B4339" s="2" t="s">
        <v>591</v>
      </c>
      <c r="C4339" s="2">
        <v>2</v>
      </c>
      <c r="D4339" t="str">
        <f t="shared" si="67"/>
        <v>CA-2016-138688_OFF-LA-10000240</v>
      </c>
      <c r="E4339" t="str">
        <f>IF(COUNTIF(data2!$D:$D,D4339)=0,"Missing in Data2","Present")</f>
        <v>Present</v>
      </c>
    </row>
    <row r="4340" spans="1:5" x14ac:dyDescent="0.25">
      <c r="A4340" s="2" t="s">
        <v>3887</v>
      </c>
      <c r="B4340" s="2" t="s">
        <v>246</v>
      </c>
      <c r="C4340" s="2">
        <v>8</v>
      </c>
      <c r="D4340" t="str">
        <f t="shared" si="67"/>
        <v>CA-2016-138695_FUR-CH-10003833</v>
      </c>
      <c r="E4340" t="str">
        <f>IF(COUNTIF(data2!$D:$D,D4340)=0,"Missing in Data2","Present")</f>
        <v>Present</v>
      </c>
    </row>
    <row r="4341" spans="1:5" x14ac:dyDescent="0.25">
      <c r="A4341" s="2" t="s">
        <v>3887</v>
      </c>
      <c r="B4341" s="2" t="s">
        <v>1250</v>
      </c>
      <c r="C4341" s="2">
        <v>13</v>
      </c>
      <c r="D4341" t="str">
        <f t="shared" si="67"/>
        <v>CA-2016-138695_OFF-PA-10001667</v>
      </c>
      <c r="E4341" t="str">
        <f>IF(COUNTIF(data2!$D:$D,D4341)=0,"Missing in Data2","Present")</f>
        <v>Present</v>
      </c>
    </row>
    <row r="4342" spans="1:5" x14ac:dyDescent="0.25">
      <c r="A4342" s="2" t="s">
        <v>3888</v>
      </c>
      <c r="B4342" s="2" t="s">
        <v>1478</v>
      </c>
      <c r="C4342" s="2">
        <v>1</v>
      </c>
      <c r="D4342" t="str">
        <f t="shared" si="67"/>
        <v>CA-2016-138933_OFF-BI-10003355</v>
      </c>
      <c r="E4342" t="str">
        <f>IF(COUNTIF(data2!$D:$D,D4342)=0,"Missing in Data2","Present")</f>
        <v>Present</v>
      </c>
    </row>
    <row r="4343" spans="1:5" x14ac:dyDescent="0.25">
      <c r="A4343" s="2" t="s">
        <v>3889</v>
      </c>
      <c r="B4343" s="2" t="s">
        <v>2351</v>
      </c>
      <c r="C4343" s="2">
        <v>4</v>
      </c>
      <c r="D4343" t="str">
        <f t="shared" si="67"/>
        <v>CA-2016-138968_FUR-CH-10000309</v>
      </c>
      <c r="E4343" t="str">
        <f>IF(COUNTIF(data2!$D:$D,D4343)=0,"Missing in Data2","Present")</f>
        <v>Present</v>
      </c>
    </row>
    <row r="4344" spans="1:5" x14ac:dyDescent="0.25">
      <c r="A4344" s="2" t="s">
        <v>3889</v>
      </c>
      <c r="B4344" s="2" t="s">
        <v>446</v>
      </c>
      <c r="C4344" s="2">
        <v>2</v>
      </c>
      <c r="D4344" t="str">
        <f t="shared" si="67"/>
        <v>CA-2016-138968_OFF-BI-10003529</v>
      </c>
      <c r="E4344" t="str">
        <f>IF(COUNTIF(data2!$D:$D,D4344)=0,"Missing in Data2","Present")</f>
        <v>Present</v>
      </c>
    </row>
    <row r="4345" spans="1:5" x14ac:dyDescent="0.25">
      <c r="A4345" s="2" t="s">
        <v>3890</v>
      </c>
      <c r="B4345" s="2" t="s">
        <v>423</v>
      </c>
      <c r="C4345" s="2">
        <v>4</v>
      </c>
      <c r="D4345" t="str">
        <f t="shared" si="67"/>
        <v>CA-2016-139010_OFF-BI-10000174</v>
      </c>
      <c r="E4345" t="str">
        <f>IF(COUNTIF(data2!$D:$D,D4345)=0,"Missing in Data2","Present")</f>
        <v>Present</v>
      </c>
    </row>
    <row r="4346" spans="1:5" x14ac:dyDescent="0.25">
      <c r="A4346" s="2" t="s">
        <v>3890</v>
      </c>
      <c r="B4346" s="2" t="s">
        <v>3655</v>
      </c>
      <c r="C4346" s="2">
        <v>7</v>
      </c>
      <c r="D4346" t="str">
        <f t="shared" si="67"/>
        <v>CA-2016-139010_OFF-BI-10002309</v>
      </c>
      <c r="E4346" t="str">
        <f>IF(COUNTIF(data2!$D:$D,D4346)=0,"Missing in Data2","Present")</f>
        <v>Present</v>
      </c>
    </row>
    <row r="4347" spans="1:5" x14ac:dyDescent="0.25">
      <c r="A4347" s="2" t="s">
        <v>3890</v>
      </c>
      <c r="B4347" s="2" t="s">
        <v>465</v>
      </c>
      <c r="C4347" s="2">
        <v>5</v>
      </c>
      <c r="D4347" t="str">
        <f t="shared" si="67"/>
        <v>CA-2016-139010_OFF-ST-10001809</v>
      </c>
      <c r="E4347" t="str">
        <f>IF(COUNTIF(data2!$D:$D,D4347)=0,"Missing in Data2","Present")</f>
        <v>Present</v>
      </c>
    </row>
    <row r="4348" spans="1:5" x14ac:dyDescent="0.25">
      <c r="A4348" s="2" t="s">
        <v>3890</v>
      </c>
      <c r="B4348" s="2" t="s">
        <v>963</v>
      </c>
      <c r="C4348" s="2">
        <v>1</v>
      </c>
      <c r="D4348" t="str">
        <f t="shared" si="67"/>
        <v>CA-2016-139010_TEC-AC-10004227</v>
      </c>
      <c r="E4348" t="str">
        <f>IF(COUNTIF(data2!$D:$D,D4348)=0,"Missing in Data2","Present")</f>
        <v>Present</v>
      </c>
    </row>
    <row r="4349" spans="1:5" x14ac:dyDescent="0.25">
      <c r="A4349" s="2" t="s">
        <v>3891</v>
      </c>
      <c r="B4349" s="2" t="s">
        <v>1326</v>
      </c>
      <c r="C4349" s="2">
        <v>1</v>
      </c>
      <c r="D4349" t="str">
        <f t="shared" si="67"/>
        <v>CA-2016-139157_FUR-TA-10003238</v>
      </c>
      <c r="E4349" t="str">
        <f>IF(COUNTIF(data2!$D:$D,D4349)=0,"Missing in Data2","Present")</f>
        <v>Present</v>
      </c>
    </row>
    <row r="4350" spans="1:5" x14ac:dyDescent="0.25">
      <c r="A4350" s="2" t="s">
        <v>3892</v>
      </c>
      <c r="B4350" s="2" t="s">
        <v>1412</v>
      </c>
      <c r="C4350" s="2">
        <v>2</v>
      </c>
      <c r="D4350" t="str">
        <f t="shared" si="67"/>
        <v>CA-2016-139234_OFF-BI-10000773</v>
      </c>
      <c r="E4350" t="str">
        <f>IF(COUNTIF(data2!$D:$D,D4350)=0,"Missing in Data2","Present")</f>
        <v>Present</v>
      </c>
    </row>
    <row r="4351" spans="1:5" x14ac:dyDescent="0.25">
      <c r="A4351" s="2" t="s">
        <v>3892</v>
      </c>
      <c r="B4351" s="2" t="s">
        <v>676</v>
      </c>
      <c r="C4351" s="2">
        <v>2</v>
      </c>
      <c r="D4351" t="str">
        <f t="shared" si="67"/>
        <v>CA-2016-139234_TEC-AC-10004510</v>
      </c>
      <c r="E4351" t="str">
        <f>IF(COUNTIF(data2!$D:$D,D4351)=0,"Missing in Data2","Present")</f>
        <v>Present</v>
      </c>
    </row>
    <row r="4352" spans="1:5" x14ac:dyDescent="0.25">
      <c r="A4352" s="2" t="s">
        <v>3893</v>
      </c>
      <c r="B4352" s="2" t="s">
        <v>3894</v>
      </c>
      <c r="C4352" s="2">
        <v>4</v>
      </c>
      <c r="D4352" t="str">
        <f t="shared" si="67"/>
        <v>CA-2016-139269_FUR-FU-10000755</v>
      </c>
      <c r="E4352" t="str">
        <f>IF(COUNTIF(data2!$D:$D,D4352)=0,"Missing in Data2","Present")</f>
        <v>Present</v>
      </c>
    </row>
    <row r="4353" spans="1:5" x14ac:dyDescent="0.25">
      <c r="A4353" s="2" t="s">
        <v>3893</v>
      </c>
      <c r="B4353" s="2" t="s">
        <v>936</v>
      </c>
      <c r="C4353" s="2">
        <v>2</v>
      </c>
      <c r="D4353" t="str">
        <f t="shared" si="67"/>
        <v>CA-2016-139269_OFF-PA-10002893</v>
      </c>
      <c r="E4353" t="str">
        <f>IF(COUNTIF(data2!$D:$D,D4353)=0,"Missing in Data2","Present")</f>
        <v>Present</v>
      </c>
    </row>
    <row r="4354" spans="1:5" x14ac:dyDescent="0.25">
      <c r="A4354" s="2" t="s">
        <v>3893</v>
      </c>
      <c r="B4354" s="2" t="s">
        <v>1235</v>
      </c>
      <c r="C4354" s="2">
        <v>9</v>
      </c>
      <c r="D4354" t="str">
        <f t="shared" si="67"/>
        <v>CA-2016-139269_OFF-ST-10000689</v>
      </c>
      <c r="E4354" t="str">
        <f>IF(COUNTIF(data2!$D:$D,D4354)=0,"Missing in Data2","Present")</f>
        <v>Present</v>
      </c>
    </row>
    <row r="4355" spans="1:5" x14ac:dyDescent="0.25">
      <c r="A4355" s="2" t="s">
        <v>3895</v>
      </c>
      <c r="B4355" s="2" t="s">
        <v>1075</v>
      </c>
      <c r="C4355" s="2">
        <v>4</v>
      </c>
      <c r="D4355" t="str">
        <f t="shared" ref="D4355:D4418" si="68">A4355&amp;"_"&amp;B4355</f>
        <v>CA-2016-139381_OFF-AP-10001271</v>
      </c>
      <c r="E4355" t="str">
        <f>IF(COUNTIF(data2!$D:$D,D4355)=0,"Missing in Data2","Present")</f>
        <v>Present</v>
      </c>
    </row>
    <row r="4356" spans="1:5" x14ac:dyDescent="0.25">
      <c r="A4356" s="2" t="s">
        <v>3895</v>
      </c>
      <c r="B4356" s="2" t="s">
        <v>2950</v>
      </c>
      <c r="C4356" s="2">
        <v>4</v>
      </c>
      <c r="D4356" t="str">
        <f t="shared" si="68"/>
        <v>CA-2016-139381_TEC-PH-10004924</v>
      </c>
      <c r="E4356" t="str">
        <f>IF(COUNTIF(data2!$D:$D,D4356)=0,"Missing in Data2","Present")</f>
        <v>Present</v>
      </c>
    </row>
    <row r="4357" spans="1:5" x14ac:dyDescent="0.25">
      <c r="A4357" s="2" t="s">
        <v>3896</v>
      </c>
      <c r="B4357" s="2" t="s">
        <v>1596</v>
      </c>
      <c r="C4357" s="2">
        <v>5</v>
      </c>
      <c r="D4357" t="str">
        <f t="shared" si="68"/>
        <v>CA-2016-139395_OFF-AR-10003732</v>
      </c>
      <c r="E4357" t="str">
        <f>IF(COUNTIF(data2!$D:$D,D4357)=0,"Missing in Data2","Present")</f>
        <v>Present</v>
      </c>
    </row>
    <row r="4358" spans="1:5" x14ac:dyDescent="0.25">
      <c r="A4358" s="2" t="s">
        <v>3896</v>
      </c>
      <c r="B4358" s="2" t="s">
        <v>1425</v>
      </c>
      <c r="C4358" s="2">
        <v>7</v>
      </c>
      <c r="D4358" t="str">
        <f t="shared" si="68"/>
        <v>CA-2016-139395_TEC-PH-10002103</v>
      </c>
      <c r="E4358" t="str">
        <f>IF(COUNTIF(data2!$D:$D,D4358)=0,"Missing in Data2","Present")</f>
        <v>Present</v>
      </c>
    </row>
    <row r="4359" spans="1:5" x14ac:dyDescent="0.25">
      <c r="A4359" s="2" t="s">
        <v>3897</v>
      </c>
      <c r="B4359" s="2" t="s">
        <v>3277</v>
      </c>
      <c r="C4359" s="2">
        <v>4</v>
      </c>
      <c r="D4359" t="str">
        <f t="shared" si="68"/>
        <v>CA-2016-139549_FUR-CH-10001802</v>
      </c>
      <c r="E4359" t="str">
        <f>IF(COUNTIF(data2!$D:$D,D4359)=0,"Missing in Data2","Present")</f>
        <v>Present</v>
      </c>
    </row>
    <row r="4360" spans="1:5" x14ac:dyDescent="0.25">
      <c r="A4360" s="2" t="s">
        <v>3898</v>
      </c>
      <c r="B4360" s="2" t="s">
        <v>1540</v>
      </c>
      <c r="C4360" s="2">
        <v>3</v>
      </c>
      <c r="D4360" t="str">
        <f t="shared" si="68"/>
        <v>CA-2016-139556_FUR-CH-10004983</v>
      </c>
      <c r="E4360" t="str">
        <f>IF(COUNTIF(data2!$D:$D,D4360)=0,"Missing in Data2","Present")</f>
        <v>Present</v>
      </c>
    </row>
    <row r="4361" spans="1:5" x14ac:dyDescent="0.25">
      <c r="A4361" s="2" t="s">
        <v>3899</v>
      </c>
      <c r="B4361" s="2" t="s">
        <v>1907</v>
      </c>
      <c r="C4361" s="2">
        <v>4</v>
      </c>
      <c r="D4361" t="str">
        <f t="shared" si="68"/>
        <v>CA-2016-139689_OFF-BI-10004781</v>
      </c>
      <c r="E4361" t="str">
        <f>IF(COUNTIF(data2!$D:$D,D4361)=0,"Missing in Data2","Present")</f>
        <v>Present</v>
      </c>
    </row>
    <row r="4362" spans="1:5" x14ac:dyDescent="0.25">
      <c r="A4362" s="2" t="s">
        <v>3900</v>
      </c>
      <c r="B4362" s="2" t="s">
        <v>1777</v>
      </c>
      <c r="C4362" s="2">
        <v>12</v>
      </c>
      <c r="D4362" t="str">
        <f t="shared" si="68"/>
        <v>CA-2016-139808_OFF-FA-10001883</v>
      </c>
      <c r="E4362" t="str">
        <f>IF(COUNTIF(data2!$D:$D,D4362)=0,"Missing in Data2","Present")</f>
        <v>Present</v>
      </c>
    </row>
    <row r="4363" spans="1:5" x14ac:dyDescent="0.25">
      <c r="A4363" s="2" t="s">
        <v>3901</v>
      </c>
      <c r="B4363" s="2" t="s">
        <v>292</v>
      </c>
      <c r="C4363" s="2">
        <v>2</v>
      </c>
      <c r="D4363" t="str">
        <f t="shared" si="68"/>
        <v>CA-2016-139878_TEC-PH-10001336</v>
      </c>
      <c r="E4363" t="str">
        <f>IF(COUNTIF(data2!$D:$D,D4363)=0,"Missing in Data2","Present")</f>
        <v>Present</v>
      </c>
    </row>
    <row r="4364" spans="1:5" x14ac:dyDescent="0.25">
      <c r="A4364" s="2" t="s">
        <v>3902</v>
      </c>
      <c r="B4364" s="2" t="s">
        <v>3903</v>
      </c>
      <c r="C4364" s="2">
        <v>6</v>
      </c>
      <c r="D4364" t="str">
        <f t="shared" si="68"/>
        <v>CA-2016-139885_OFF-ST-10003324</v>
      </c>
      <c r="E4364" t="str">
        <f>IF(COUNTIF(data2!$D:$D,D4364)=0,"Missing in Data2","Present")</f>
        <v>Present</v>
      </c>
    </row>
    <row r="4365" spans="1:5" x14ac:dyDescent="0.25">
      <c r="A4365" s="2" t="s">
        <v>3904</v>
      </c>
      <c r="B4365" s="2" t="s">
        <v>924</v>
      </c>
      <c r="C4365" s="2">
        <v>7</v>
      </c>
      <c r="D4365" t="str">
        <f t="shared" si="68"/>
        <v>CA-2016-139934_TEC-PH-10001552</v>
      </c>
      <c r="E4365" t="str">
        <f>IF(COUNTIF(data2!$D:$D,D4365)=0,"Missing in Data2","Present")</f>
        <v>Present</v>
      </c>
    </row>
    <row r="4366" spans="1:5" x14ac:dyDescent="0.25">
      <c r="A4366" s="2" t="s">
        <v>3905</v>
      </c>
      <c r="B4366" s="2" t="s">
        <v>3906</v>
      </c>
      <c r="C4366" s="2">
        <v>3</v>
      </c>
      <c r="D4366" t="str">
        <f t="shared" si="68"/>
        <v>CA-2016-139941_OFF-AP-10004036</v>
      </c>
      <c r="E4366" t="str">
        <f>IF(COUNTIF(data2!$D:$D,D4366)=0,"Missing in Data2","Present")</f>
        <v>Present</v>
      </c>
    </row>
    <row r="4367" spans="1:5" x14ac:dyDescent="0.25">
      <c r="A4367" s="2" t="s">
        <v>3905</v>
      </c>
      <c r="B4367" s="2" t="s">
        <v>3168</v>
      </c>
      <c r="C4367" s="2">
        <v>3</v>
      </c>
      <c r="D4367" t="str">
        <f t="shared" si="68"/>
        <v>CA-2016-139941_OFF-PA-10000241</v>
      </c>
      <c r="E4367" t="str">
        <f>IF(COUNTIF(data2!$D:$D,D4367)=0,"Missing in Data2","Present")</f>
        <v>Present</v>
      </c>
    </row>
    <row r="4368" spans="1:5" x14ac:dyDescent="0.25">
      <c r="A4368" s="2" t="s">
        <v>3907</v>
      </c>
      <c r="B4368" s="2" t="s">
        <v>3908</v>
      </c>
      <c r="C4368" s="2">
        <v>5</v>
      </c>
      <c r="D4368" t="str">
        <f t="shared" si="68"/>
        <v>CA-2016-139997_TEC-CO-10000971</v>
      </c>
      <c r="E4368" t="str">
        <f>IF(COUNTIF(data2!$D:$D,D4368)=0,"Missing in Data2","Present")</f>
        <v>Missing in Data2</v>
      </c>
    </row>
    <row r="4369" spans="1:5" x14ac:dyDescent="0.25">
      <c r="A4369" s="2" t="s">
        <v>3909</v>
      </c>
      <c r="B4369" s="2" t="s">
        <v>621</v>
      </c>
      <c r="C4369" s="2">
        <v>3</v>
      </c>
      <c r="D4369" t="str">
        <f t="shared" si="68"/>
        <v>CA-2016-140018_FUR-CH-10003817</v>
      </c>
      <c r="E4369" t="str">
        <f>IF(COUNTIF(data2!$D:$D,D4369)=0,"Missing in Data2","Present")</f>
        <v>Present</v>
      </c>
    </row>
    <row r="4370" spans="1:5" x14ac:dyDescent="0.25">
      <c r="A4370" s="2" t="s">
        <v>3909</v>
      </c>
      <c r="B4370" s="2" t="s">
        <v>1163</v>
      </c>
      <c r="C4370" s="2">
        <v>3</v>
      </c>
      <c r="D4370" t="str">
        <f t="shared" si="68"/>
        <v>CA-2016-140018_FUR-FU-10001876</v>
      </c>
      <c r="E4370" t="str">
        <f>IF(COUNTIF(data2!$D:$D,D4370)=0,"Missing in Data2","Present")</f>
        <v>Present</v>
      </c>
    </row>
    <row r="4371" spans="1:5" x14ac:dyDescent="0.25">
      <c r="A4371" s="2" t="s">
        <v>3909</v>
      </c>
      <c r="B4371" s="2" t="s">
        <v>3910</v>
      </c>
      <c r="C4371" s="2">
        <v>7</v>
      </c>
      <c r="D4371" t="str">
        <f t="shared" si="68"/>
        <v>CA-2016-140018_TEC-MA-10000752</v>
      </c>
      <c r="E4371" t="str">
        <f>IF(COUNTIF(data2!$D:$D,D4371)=0,"Missing in Data2","Present")</f>
        <v>Present</v>
      </c>
    </row>
    <row r="4372" spans="1:5" x14ac:dyDescent="0.25">
      <c r="A4372" s="2" t="s">
        <v>3911</v>
      </c>
      <c r="B4372" s="2" t="s">
        <v>575</v>
      </c>
      <c r="C4372" s="2">
        <v>3</v>
      </c>
      <c r="D4372" t="str">
        <f t="shared" si="68"/>
        <v>CA-2016-140046_OFF-LA-10000305</v>
      </c>
      <c r="E4372" t="str">
        <f>IF(COUNTIF(data2!$D:$D,D4372)=0,"Missing in Data2","Present")</f>
        <v>Present</v>
      </c>
    </row>
    <row r="4373" spans="1:5" x14ac:dyDescent="0.25">
      <c r="A4373" s="2" t="s">
        <v>3912</v>
      </c>
      <c r="B4373" s="2" t="s">
        <v>3770</v>
      </c>
      <c r="C4373" s="2">
        <v>2</v>
      </c>
      <c r="D4373" t="str">
        <f t="shared" si="68"/>
        <v>CA-2016-140081_OFF-AP-10001058</v>
      </c>
      <c r="E4373" t="str">
        <f>IF(COUNTIF(data2!$D:$D,D4373)=0,"Missing in Data2","Present")</f>
        <v>Present</v>
      </c>
    </row>
    <row r="4374" spans="1:5" x14ac:dyDescent="0.25">
      <c r="A4374" s="2" t="s">
        <v>3912</v>
      </c>
      <c r="B4374" s="2" t="s">
        <v>2544</v>
      </c>
      <c r="C4374" s="2">
        <v>6</v>
      </c>
      <c r="D4374" t="str">
        <f t="shared" si="68"/>
        <v>CA-2016-140081_OFF-BI-10004826</v>
      </c>
      <c r="E4374" t="str">
        <f>IF(COUNTIF(data2!$D:$D,D4374)=0,"Missing in Data2","Present")</f>
        <v>Present</v>
      </c>
    </row>
    <row r="4375" spans="1:5" x14ac:dyDescent="0.25">
      <c r="A4375" s="2" t="s">
        <v>3912</v>
      </c>
      <c r="B4375" s="2" t="s">
        <v>3913</v>
      </c>
      <c r="C4375" s="2">
        <v>8</v>
      </c>
      <c r="D4375" t="str">
        <f t="shared" si="68"/>
        <v>CA-2016-140081_OFF-PA-10001745</v>
      </c>
      <c r="E4375" t="str">
        <f>IF(COUNTIF(data2!$D:$D,D4375)=0,"Missing in Data2","Present")</f>
        <v>Present</v>
      </c>
    </row>
    <row r="4376" spans="1:5" x14ac:dyDescent="0.25">
      <c r="A4376" s="2" t="s">
        <v>3912</v>
      </c>
      <c r="B4376" s="2" t="s">
        <v>2631</v>
      </c>
      <c r="C4376" s="2">
        <v>3</v>
      </c>
      <c r="D4376" t="str">
        <f t="shared" si="68"/>
        <v>CA-2016-140081_OFF-PA-10001870</v>
      </c>
      <c r="E4376" t="str">
        <f>IF(COUNTIF(data2!$D:$D,D4376)=0,"Missing in Data2","Present")</f>
        <v>Present</v>
      </c>
    </row>
    <row r="4377" spans="1:5" x14ac:dyDescent="0.25">
      <c r="A4377" s="2" t="s">
        <v>3914</v>
      </c>
      <c r="B4377" s="2" t="s">
        <v>1978</v>
      </c>
      <c r="C4377" s="2">
        <v>3</v>
      </c>
      <c r="D4377" t="str">
        <f t="shared" si="68"/>
        <v>CA-2016-140130_FUR-CH-10002084</v>
      </c>
      <c r="E4377" t="str">
        <f>IF(COUNTIF(data2!$D:$D,D4377)=0,"Missing in Data2","Present")</f>
        <v>Present</v>
      </c>
    </row>
    <row r="4378" spans="1:5" x14ac:dyDescent="0.25">
      <c r="A4378" s="2" t="s">
        <v>3914</v>
      </c>
      <c r="B4378" s="2" t="s">
        <v>1557</v>
      </c>
      <c r="C4378" s="2">
        <v>3</v>
      </c>
      <c r="D4378" t="str">
        <f t="shared" si="68"/>
        <v>CA-2016-140130_OFF-AR-10004269</v>
      </c>
      <c r="E4378" t="str">
        <f>IF(COUNTIF(data2!$D:$D,D4378)=0,"Missing in Data2","Present")</f>
        <v>Present</v>
      </c>
    </row>
    <row r="4379" spans="1:5" x14ac:dyDescent="0.25">
      <c r="A4379" s="2" t="s">
        <v>3914</v>
      </c>
      <c r="B4379" s="2" t="s">
        <v>1201</v>
      </c>
      <c r="C4379" s="2">
        <v>3</v>
      </c>
      <c r="D4379" t="str">
        <f t="shared" si="68"/>
        <v>CA-2016-140130_OFF-ST-10001128</v>
      </c>
      <c r="E4379" t="str">
        <f>IF(COUNTIF(data2!$D:$D,D4379)=0,"Missing in Data2","Present")</f>
        <v>Present</v>
      </c>
    </row>
    <row r="4380" spans="1:5" x14ac:dyDescent="0.25">
      <c r="A4380" s="2" t="s">
        <v>3914</v>
      </c>
      <c r="B4380" s="2" t="s">
        <v>1875</v>
      </c>
      <c r="C4380" s="2">
        <v>2</v>
      </c>
      <c r="D4380" t="str">
        <f t="shared" si="68"/>
        <v>CA-2016-140130_OFF-SU-10001218</v>
      </c>
      <c r="E4380" t="str">
        <f>IF(COUNTIF(data2!$D:$D,D4380)=0,"Missing in Data2","Present")</f>
        <v>Present</v>
      </c>
    </row>
    <row r="4381" spans="1:5" x14ac:dyDescent="0.25">
      <c r="A4381" s="2" t="s">
        <v>3915</v>
      </c>
      <c r="B4381" s="2" t="s">
        <v>2668</v>
      </c>
      <c r="C4381" s="2">
        <v>5</v>
      </c>
      <c r="D4381" t="str">
        <f t="shared" si="68"/>
        <v>CA-2016-140207_OFF-BI-10003963</v>
      </c>
      <c r="E4381" t="str">
        <f>IF(COUNTIF(data2!$D:$D,D4381)=0,"Missing in Data2","Present")</f>
        <v>Present</v>
      </c>
    </row>
    <row r="4382" spans="1:5" x14ac:dyDescent="0.25">
      <c r="A4382" s="2" t="s">
        <v>3916</v>
      </c>
      <c r="B4382" s="2" t="s">
        <v>1486</v>
      </c>
      <c r="C4382" s="2">
        <v>2</v>
      </c>
      <c r="D4382" t="str">
        <f t="shared" si="68"/>
        <v>CA-2016-140249_TEC-PH-10002584</v>
      </c>
      <c r="E4382" t="str">
        <f>IF(COUNTIF(data2!$D:$D,D4382)=0,"Missing in Data2","Present")</f>
        <v>Present</v>
      </c>
    </row>
    <row r="4383" spans="1:5" x14ac:dyDescent="0.25">
      <c r="A4383" s="2" t="s">
        <v>3917</v>
      </c>
      <c r="B4383" s="2" t="s">
        <v>3307</v>
      </c>
      <c r="C4383" s="2">
        <v>2</v>
      </c>
      <c r="D4383" t="str">
        <f t="shared" si="68"/>
        <v>CA-2016-140256_OFF-AR-10002255</v>
      </c>
      <c r="E4383" t="str">
        <f>IF(COUNTIF(data2!$D:$D,D4383)=0,"Missing in Data2","Present")</f>
        <v>Present</v>
      </c>
    </row>
    <row r="4384" spans="1:5" x14ac:dyDescent="0.25">
      <c r="A4384" s="2" t="s">
        <v>3918</v>
      </c>
      <c r="B4384" s="2" t="s">
        <v>953</v>
      </c>
      <c r="C4384" s="2">
        <v>3</v>
      </c>
      <c r="D4384" t="str">
        <f t="shared" si="68"/>
        <v>CA-2016-140382_OFF-LA-10001934</v>
      </c>
      <c r="E4384" t="str">
        <f>IF(COUNTIF(data2!$D:$D,D4384)=0,"Missing in Data2","Present")</f>
        <v>Present</v>
      </c>
    </row>
    <row r="4385" spans="1:5" x14ac:dyDescent="0.25">
      <c r="A4385" s="2" t="s">
        <v>3918</v>
      </c>
      <c r="B4385" s="2" t="s">
        <v>802</v>
      </c>
      <c r="C4385" s="2">
        <v>1</v>
      </c>
      <c r="D4385" t="str">
        <f t="shared" si="68"/>
        <v>CA-2016-140382_OFF-PA-10001019</v>
      </c>
      <c r="E4385" t="str">
        <f>IF(COUNTIF(data2!$D:$D,D4385)=0,"Missing in Data2","Present")</f>
        <v>Present</v>
      </c>
    </row>
    <row r="4386" spans="1:5" x14ac:dyDescent="0.25">
      <c r="A4386" s="2" t="s">
        <v>3918</v>
      </c>
      <c r="B4386" s="2" t="s">
        <v>2732</v>
      </c>
      <c r="C4386" s="2">
        <v>4</v>
      </c>
      <c r="D4386" t="str">
        <f t="shared" si="68"/>
        <v>CA-2016-140382_OFF-ST-10003638</v>
      </c>
      <c r="E4386" t="str">
        <f>IF(COUNTIF(data2!$D:$D,D4386)=0,"Missing in Data2","Present")</f>
        <v>Present</v>
      </c>
    </row>
    <row r="4387" spans="1:5" x14ac:dyDescent="0.25">
      <c r="A4387" s="2" t="s">
        <v>3918</v>
      </c>
      <c r="B4387" s="2" t="s">
        <v>1980</v>
      </c>
      <c r="C4387" s="2">
        <v>7</v>
      </c>
      <c r="D4387" t="str">
        <f t="shared" si="68"/>
        <v>CA-2016-140382_TEC-PH-10003012</v>
      </c>
      <c r="E4387" t="str">
        <f>IF(COUNTIF(data2!$D:$D,D4387)=0,"Missing in Data2","Present")</f>
        <v>Present</v>
      </c>
    </row>
    <row r="4388" spans="1:5" x14ac:dyDescent="0.25">
      <c r="A4388" s="2" t="s">
        <v>3919</v>
      </c>
      <c r="B4388" s="2" t="s">
        <v>1106</v>
      </c>
      <c r="C4388" s="2">
        <v>1</v>
      </c>
      <c r="D4388" t="str">
        <f t="shared" si="68"/>
        <v>CA-2016-140417_OFF-BI-10004828</v>
      </c>
      <c r="E4388" t="str">
        <f>IF(COUNTIF(data2!$D:$D,D4388)=0,"Missing in Data2","Present")</f>
        <v>Present</v>
      </c>
    </row>
    <row r="4389" spans="1:5" x14ac:dyDescent="0.25">
      <c r="A4389" s="2" t="s">
        <v>3919</v>
      </c>
      <c r="B4389" s="2" t="s">
        <v>2655</v>
      </c>
      <c r="C4389" s="2">
        <v>9</v>
      </c>
      <c r="D4389" t="str">
        <f t="shared" si="68"/>
        <v>CA-2016-140417_OFF-PA-10000380</v>
      </c>
      <c r="E4389" t="str">
        <f>IF(COUNTIF(data2!$D:$D,D4389)=0,"Missing in Data2","Present")</f>
        <v>Present</v>
      </c>
    </row>
    <row r="4390" spans="1:5" x14ac:dyDescent="0.25">
      <c r="A4390" s="2" t="s">
        <v>3920</v>
      </c>
      <c r="B4390" s="2" t="s">
        <v>1092</v>
      </c>
      <c r="C4390" s="2">
        <v>3</v>
      </c>
      <c r="D4390" t="str">
        <f t="shared" si="68"/>
        <v>CA-2016-140438_TEC-PH-10001750</v>
      </c>
      <c r="E4390" t="str">
        <f>IF(COUNTIF(data2!$D:$D,D4390)=0,"Missing in Data2","Present")</f>
        <v>Present</v>
      </c>
    </row>
    <row r="4391" spans="1:5" x14ac:dyDescent="0.25">
      <c r="A4391" s="2" t="s">
        <v>3921</v>
      </c>
      <c r="B4391" s="2" t="s">
        <v>3681</v>
      </c>
      <c r="C4391" s="2">
        <v>2</v>
      </c>
      <c r="D4391" t="str">
        <f t="shared" si="68"/>
        <v>CA-2016-140501_OFF-FA-10004076</v>
      </c>
      <c r="E4391" t="str">
        <f>IF(COUNTIF(data2!$D:$D,D4391)=0,"Missing in Data2","Present")</f>
        <v>Present</v>
      </c>
    </row>
    <row r="4392" spans="1:5" x14ac:dyDescent="0.25">
      <c r="A4392" s="2" t="s">
        <v>3921</v>
      </c>
      <c r="B4392" s="2" t="s">
        <v>870</v>
      </c>
      <c r="C4392" s="2">
        <v>5</v>
      </c>
      <c r="D4392" t="str">
        <f t="shared" si="68"/>
        <v>CA-2016-140501_OFF-LA-10000248</v>
      </c>
      <c r="E4392" t="str">
        <f>IF(COUNTIF(data2!$D:$D,D4392)=0,"Missing in Data2","Present")</f>
        <v>Present</v>
      </c>
    </row>
    <row r="4393" spans="1:5" x14ac:dyDescent="0.25">
      <c r="A4393" s="2" t="s">
        <v>3921</v>
      </c>
      <c r="B4393" s="2" t="s">
        <v>1125</v>
      </c>
      <c r="C4393" s="2">
        <v>4</v>
      </c>
      <c r="D4393" t="str">
        <f t="shared" si="68"/>
        <v>CA-2016-140501_OFF-LA-10003510</v>
      </c>
      <c r="E4393" t="str">
        <f>IF(COUNTIF(data2!$D:$D,D4393)=0,"Missing in Data2","Present")</f>
        <v>Present</v>
      </c>
    </row>
    <row r="4394" spans="1:5" x14ac:dyDescent="0.25">
      <c r="A4394" s="2" t="s">
        <v>3921</v>
      </c>
      <c r="B4394" s="2" t="s">
        <v>3027</v>
      </c>
      <c r="C4394" s="2">
        <v>3</v>
      </c>
      <c r="D4394" t="str">
        <f t="shared" si="68"/>
        <v>CA-2016-140501_OFF-PA-10003129</v>
      </c>
      <c r="E4394" t="str">
        <f>IF(COUNTIF(data2!$D:$D,D4394)=0,"Missing in Data2","Present")</f>
        <v>Present</v>
      </c>
    </row>
    <row r="4395" spans="1:5" x14ac:dyDescent="0.25">
      <c r="A4395" s="2" t="s">
        <v>3921</v>
      </c>
      <c r="B4395" s="2" t="s">
        <v>2918</v>
      </c>
      <c r="C4395" s="2">
        <v>5</v>
      </c>
      <c r="D4395" t="str">
        <f t="shared" si="68"/>
        <v>CA-2016-140501_OFF-ST-10000060</v>
      </c>
      <c r="E4395" t="str">
        <f>IF(COUNTIF(data2!$D:$D,D4395)=0,"Missing in Data2","Present")</f>
        <v>Present</v>
      </c>
    </row>
    <row r="4396" spans="1:5" x14ac:dyDescent="0.25">
      <c r="A4396" s="2" t="s">
        <v>3922</v>
      </c>
      <c r="B4396" s="2" t="s">
        <v>1339</v>
      </c>
      <c r="C4396" s="2">
        <v>6</v>
      </c>
      <c r="D4396" t="str">
        <f t="shared" si="68"/>
        <v>CA-2016-140543_OFF-ST-10000563</v>
      </c>
      <c r="E4396" t="str">
        <f>IF(COUNTIF(data2!$D:$D,D4396)=0,"Missing in Data2","Present")</f>
        <v>Present</v>
      </c>
    </row>
    <row r="4397" spans="1:5" x14ac:dyDescent="0.25">
      <c r="A4397" s="2" t="s">
        <v>3923</v>
      </c>
      <c r="B4397" s="2" t="s">
        <v>903</v>
      </c>
      <c r="C4397" s="2">
        <v>8</v>
      </c>
      <c r="D4397" t="str">
        <f t="shared" si="68"/>
        <v>CA-2016-140564_OFF-AR-10000034</v>
      </c>
      <c r="E4397" t="str">
        <f>IF(COUNTIF(data2!$D:$D,D4397)=0,"Missing in Data2","Present")</f>
        <v>Present</v>
      </c>
    </row>
    <row r="4398" spans="1:5" x14ac:dyDescent="0.25">
      <c r="A4398" s="2" t="s">
        <v>3924</v>
      </c>
      <c r="B4398" s="2" t="s">
        <v>2512</v>
      </c>
      <c r="C4398" s="2">
        <v>16</v>
      </c>
      <c r="D4398" t="str">
        <f t="shared" si="68"/>
        <v>CA-2016-140571_OFF-PA-10001954</v>
      </c>
      <c r="E4398" t="str">
        <f>IF(COUNTIF(data2!$D:$D,D4398)=0,"Missing in Data2","Present")</f>
        <v>Present</v>
      </c>
    </row>
    <row r="4399" spans="1:5" x14ac:dyDescent="0.25">
      <c r="A4399" s="2" t="s">
        <v>3925</v>
      </c>
      <c r="B4399" s="2" t="s">
        <v>3048</v>
      </c>
      <c r="C4399" s="2">
        <v>5</v>
      </c>
      <c r="D4399" t="str">
        <f t="shared" si="68"/>
        <v>CA-2016-140613_OFF-SU-10004261</v>
      </c>
      <c r="E4399" t="str">
        <f>IF(COUNTIF(data2!$D:$D,D4399)=0,"Missing in Data2","Present")</f>
        <v>Present</v>
      </c>
    </row>
    <row r="4400" spans="1:5" x14ac:dyDescent="0.25">
      <c r="A4400" s="2" t="s">
        <v>3926</v>
      </c>
      <c r="B4400" s="2" t="s">
        <v>284</v>
      </c>
      <c r="C4400" s="2">
        <v>2</v>
      </c>
      <c r="D4400" t="str">
        <f t="shared" si="68"/>
        <v>CA-2016-140634_OFF-EN-10001099</v>
      </c>
      <c r="E4400" t="str">
        <f>IF(COUNTIF(data2!$D:$D,D4400)=0,"Missing in Data2","Present")</f>
        <v>Present</v>
      </c>
    </row>
    <row r="4401" spans="1:5" x14ac:dyDescent="0.25">
      <c r="A4401" s="2" t="s">
        <v>3927</v>
      </c>
      <c r="B4401" s="2" t="s">
        <v>666</v>
      </c>
      <c r="C4401" s="2">
        <v>5</v>
      </c>
      <c r="D4401" t="str">
        <f t="shared" si="68"/>
        <v>CA-2016-140641_OFF-BI-10001191</v>
      </c>
      <c r="E4401" t="str">
        <f>IF(COUNTIF(data2!$D:$D,D4401)=0,"Missing in Data2","Present")</f>
        <v>Present</v>
      </c>
    </row>
    <row r="4402" spans="1:5" x14ac:dyDescent="0.25">
      <c r="A4402" s="2" t="s">
        <v>3928</v>
      </c>
      <c r="B4402" s="2" t="s">
        <v>1456</v>
      </c>
      <c r="C4402" s="2">
        <v>1</v>
      </c>
      <c r="D4402" t="str">
        <f t="shared" si="68"/>
        <v>CA-2016-140746_FUR-TA-10002903</v>
      </c>
      <c r="E4402" t="str">
        <f>IF(COUNTIF(data2!$D:$D,D4402)=0,"Missing in Data2","Present")</f>
        <v>Present</v>
      </c>
    </row>
    <row r="4403" spans="1:5" x14ac:dyDescent="0.25">
      <c r="A4403" s="2" t="s">
        <v>3929</v>
      </c>
      <c r="B4403" s="2" t="s">
        <v>3047</v>
      </c>
      <c r="C4403" s="2">
        <v>3</v>
      </c>
      <c r="D4403" t="str">
        <f t="shared" si="68"/>
        <v>CA-2016-140774_OFF-AR-10004022</v>
      </c>
      <c r="E4403" t="str">
        <f>IF(COUNTIF(data2!$D:$D,D4403)=0,"Missing in Data2","Present")</f>
        <v>Present</v>
      </c>
    </row>
    <row r="4404" spans="1:5" x14ac:dyDescent="0.25">
      <c r="A4404" s="2" t="s">
        <v>3930</v>
      </c>
      <c r="B4404" s="2" t="s">
        <v>2635</v>
      </c>
      <c r="C4404" s="2">
        <v>4</v>
      </c>
      <c r="D4404" t="str">
        <f t="shared" si="68"/>
        <v>CA-2016-140928_FUR-TA-10001095</v>
      </c>
      <c r="E4404" t="str">
        <f>IF(COUNTIF(data2!$D:$D,D4404)=0,"Missing in Data2","Present")</f>
        <v>Present</v>
      </c>
    </row>
    <row r="4405" spans="1:5" x14ac:dyDescent="0.25">
      <c r="A4405" s="2" t="s">
        <v>3931</v>
      </c>
      <c r="B4405" s="2" t="s">
        <v>529</v>
      </c>
      <c r="C4405" s="2">
        <v>2</v>
      </c>
      <c r="D4405" t="str">
        <f t="shared" si="68"/>
        <v>CA-2016-140935_FUR-BO-10003966</v>
      </c>
      <c r="E4405" t="str">
        <f>IF(COUNTIF(data2!$D:$D,D4405)=0,"Missing in Data2","Present")</f>
        <v>Present</v>
      </c>
    </row>
    <row r="4406" spans="1:5" x14ac:dyDescent="0.25">
      <c r="A4406" s="2" t="s">
        <v>3931</v>
      </c>
      <c r="B4406" s="2" t="s">
        <v>2023</v>
      </c>
      <c r="C4406" s="2">
        <v>2</v>
      </c>
      <c r="D4406" t="str">
        <f t="shared" si="68"/>
        <v>CA-2016-140935_TEC-PH-10000562</v>
      </c>
      <c r="E4406" t="str">
        <f>IF(COUNTIF(data2!$D:$D,D4406)=0,"Missing in Data2","Present")</f>
        <v>Present</v>
      </c>
    </row>
    <row r="4407" spans="1:5" x14ac:dyDescent="0.25">
      <c r="A4407" s="2" t="s">
        <v>3932</v>
      </c>
      <c r="B4407" s="2" t="s">
        <v>3933</v>
      </c>
      <c r="C4407" s="2">
        <v>1</v>
      </c>
      <c r="D4407" t="str">
        <f t="shared" si="68"/>
        <v>CA-2016-140977_TEC-MA-10003493</v>
      </c>
      <c r="E4407" t="str">
        <f>IF(COUNTIF(data2!$D:$D,D4407)=0,"Missing in Data2","Present")</f>
        <v>Present</v>
      </c>
    </row>
    <row r="4408" spans="1:5" x14ac:dyDescent="0.25">
      <c r="A4408" s="2" t="s">
        <v>3934</v>
      </c>
      <c r="B4408" s="2" t="s">
        <v>2850</v>
      </c>
      <c r="C4408" s="2">
        <v>1</v>
      </c>
      <c r="D4408" t="str">
        <f t="shared" si="68"/>
        <v>CA-2016-141019_FUR-FU-10002937</v>
      </c>
      <c r="E4408" t="str">
        <f>IF(COUNTIF(data2!$D:$D,D4408)=0,"Missing in Data2","Present")</f>
        <v>Present</v>
      </c>
    </row>
    <row r="4409" spans="1:5" x14ac:dyDescent="0.25">
      <c r="A4409" s="2" t="s">
        <v>3935</v>
      </c>
      <c r="B4409" s="2" t="s">
        <v>3936</v>
      </c>
      <c r="C4409" s="2">
        <v>1</v>
      </c>
      <c r="D4409" t="str">
        <f t="shared" si="68"/>
        <v>CA-2016-141082_OFF-LA-10001404</v>
      </c>
      <c r="E4409" t="str">
        <f>IF(COUNTIF(data2!$D:$D,D4409)=0,"Missing in Data2","Present")</f>
        <v>Present</v>
      </c>
    </row>
    <row r="4410" spans="1:5" x14ac:dyDescent="0.25">
      <c r="A4410" s="2" t="s">
        <v>3935</v>
      </c>
      <c r="B4410" s="2" t="s">
        <v>391</v>
      </c>
      <c r="C4410" s="2">
        <v>4</v>
      </c>
      <c r="D4410" t="str">
        <f t="shared" si="68"/>
        <v>CA-2016-141082_OFF-LA-10001474</v>
      </c>
      <c r="E4410" t="str">
        <f>IF(COUNTIF(data2!$D:$D,D4410)=0,"Missing in Data2","Present")</f>
        <v>Present</v>
      </c>
    </row>
    <row r="4411" spans="1:5" x14ac:dyDescent="0.25">
      <c r="A4411" s="2" t="s">
        <v>3937</v>
      </c>
      <c r="B4411" s="2" t="s">
        <v>3260</v>
      </c>
      <c r="C4411" s="2">
        <v>4</v>
      </c>
      <c r="D4411" t="str">
        <f t="shared" si="68"/>
        <v>CA-2016-141180_OFF-BI-10000301</v>
      </c>
      <c r="E4411" t="str">
        <f>IF(COUNTIF(data2!$D:$D,D4411)=0,"Missing in Data2","Present")</f>
        <v>Present</v>
      </c>
    </row>
    <row r="4412" spans="1:5" x14ac:dyDescent="0.25">
      <c r="A4412" s="2" t="s">
        <v>3938</v>
      </c>
      <c r="B4412" s="2" t="s">
        <v>3939</v>
      </c>
      <c r="C4412" s="2">
        <v>2</v>
      </c>
      <c r="D4412" t="str">
        <f t="shared" si="68"/>
        <v>CA-2016-141397_FUR-CH-10003846</v>
      </c>
      <c r="E4412" t="str">
        <f>IF(COUNTIF(data2!$D:$D,D4412)=0,"Missing in Data2","Present")</f>
        <v>Present</v>
      </c>
    </row>
    <row r="4413" spans="1:5" x14ac:dyDescent="0.25">
      <c r="A4413" s="2" t="s">
        <v>3938</v>
      </c>
      <c r="B4413" s="2" t="s">
        <v>2346</v>
      </c>
      <c r="C4413" s="2">
        <v>2</v>
      </c>
      <c r="D4413" t="str">
        <f t="shared" si="68"/>
        <v>CA-2016-141397_OFF-AP-10003971</v>
      </c>
      <c r="E4413" t="str">
        <f>IF(COUNTIF(data2!$D:$D,D4413)=0,"Missing in Data2","Present")</f>
        <v>Present</v>
      </c>
    </row>
    <row r="4414" spans="1:5" x14ac:dyDescent="0.25">
      <c r="A4414" s="2" t="s">
        <v>3938</v>
      </c>
      <c r="B4414" s="2" t="s">
        <v>152</v>
      </c>
      <c r="C4414" s="2">
        <v>3</v>
      </c>
      <c r="D4414" t="str">
        <f t="shared" si="68"/>
        <v>CA-2016-141397_OFF-BI-10000320</v>
      </c>
      <c r="E4414" t="str">
        <f>IF(COUNTIF(data2!$D:$D,D4414)=0,"Missing in Data2","Present")</f>
        <v>Present</v>
      </c>
    </row>
    <row r="4415" spans="1:5" x14ac:dyDescent="0.25">
      <c r="A4415" s="2" t="s">
        <v>3938</v>
      </c>
      <c r="B4415" s="2" t="s">
        <v>47</v>
      </c>
      <c r="C4415" s="2">
        <v>7</v>
      </c>
      <c r="D4415" t="str">
        <f t="shared" si="68"/>
        <v>CA-2016-141397_OFF-PA-10002986</v>
      </c>
      <c r="E4415" t="str">
        <f>IF(COUNTIF(data2!$D:$D,D4415)=0,"Missing in Data2","Present")</f>
        <v>Present</v>
      </c>
    </row>
    <row r="4416" spans="1:5" x14ac:dyDescent="0.25">
      <c r="A4416" s="2" t="s">
        <v>3938</v>
      </c>
      <c r="B4416" s="2" t="s">
        <v>764</v>
      </c>
      <c r="C4416" s="2">
        <v>3</v>
      </c>
      <c r="D4416" t="str">
        <f t="shared" si="68"/>
        <v>CA-2016-141397_OFF-ST-10001469</v>
      </c>
      <c r="E4416" t="str">
        <f>IF(COUNTIF(data2!$D:$D,D4416)=0,"Missing in Data2","Present")</f>
        <v>Present</v>
      </c>
    </row>
    <row r="4417" spans="1:5" x14ac:dyDescent="0.25">
      <c r="A4417" s="2" t="s">
        <v>3940</v>
      </c>
      <c r="B4417" s="2" t="s">
        <v>1945</v>
      </c>
      <c r="C4417" s="2">
        <v>2</v>
      </c>
      <c r="D4417" t="str">
        <f t="shared" si="68"/>
        <v>CA-2016-141523_OFF-AR-10001545</v>
      </c>
      <c r="E4417" t="str">
        <f>IF(COUNTIF(data2!$D:$D,D4417)=0,"Missing in Data2","Present")</f>
        <v>Present</v>
      </c>
    </row>
    <row r="4418" spans="1:5" x14ac:dyDescent="0.25">
      <c r="A4418" s="2" t="s">
        <v>3940</v>
      </c>
      <c r="B4418" s="2" t="s">
        <v>974</v>
      </c>
      <c r="C4418" s="2">
        <v>3</v>
      </c>
      <c r="D4418" t="str">
        <f t="shared" si="68"/>
        <v>CA-2016-141523_OFF-BI-10000948</v>
      </c>
      <c r="E4418" t="str">
        <f>IF(COUNTIF(data2!$D:$D,D4418)=0,"Missing in Data2","Present")</f>
        <v>Present</v>
      </c>
    </row>
    <row r="4419" spans="1:5" x14ac:dyDescent="0.25">
      <c r="A4419" s="2" t="s">
        <v>3941</v>
      </c>
      <c r="B4419" s="2" t="s">
        <v>819</v>
      </c>
      <c r="C4419" s="2">
        <v>1</v>
      </c>
      <c r="D4419" t="str">
        <f t="shared" ref="D4419:D4482" si="69">A4419&amp;"_"&amp;B4419</f>
        <v>CA-2016-141551_OFF-BI-10001249</v>
      </c>
      <c r="E4419" t="str">
        <f>IF(COUNTIF(data2!$D:$D,D4419)=0,"Missing in Data2","Present")</f>
        <v>Present</v>
      </c>
    </row>
    <row r="4420" spans="1:5" x14ac:dyDescent="0.25">
      <c r="A4420" s="2" t="s">
        <v>3941</v>
      </c>
      <c r="B4420" s="2" t="s">
        <v>931</v>
      </c>
      <c r="C4420" s="2">
        <v>1</v>
      </c>
      <c r="D4420" t="str">
        <f t="shared" si="69"/>
        <v>CA-2016-141551_OFF-PA-10001569</v>
      </c>
      <c r="E4420" t="str">
        <f>IF(COUNTIF(data2!$D:$D,D4420)=0,"Missing in Data2","Present")</f>
        <v>Present</v>
      </c>
    </row>
    <row r="4421" spans="1:5" x14ac:dyDescent="0.25">
      <c r="A4421" s="2" t="s">
        <v>3942</v>
      </c>
      <c r="B4421" s="2" t="s">
        <v>1105</v>
      </c>
      <c r="C4421" s="2">
        <v>5</v>
      </c>
      <c r="D4421" t="str">
        <f t="shared" si="69"/>
        <v>CA-2016-141586_OFF-BI-10003981</v>
      </c>
      <c r="E4421" t="str">
        <f>IF(COUNTIF(data2!$D:$D,D4421)=0,"Missing in Data2","Present")</f>
        <v>Present</v>
      </c>
    </row>
    <row r="4422" spans="1:5" x14ac:dyDescent="0.25">
      <c r="A4422" s="2" t="s">
        <v>3943</v>
      </c>
      <c r="B4422" s="2" t="s">
        <v>21</v>
      </c>
      <c r="C4422" s="2">
        <v>14</v>
      </c>
      <c r="D4422" t="str">
        <f t="shared" si="69"/>
        <v>CA-2016-141887_FUR-FU-10002268</v>
      </c>
      <c r="E4422" t="str">
        <f>IF(COUNTIF(data2!$D:$D,D4422)=0,"Missing in Data2","Present")</f>
        <v>Present</v>
      </c>
    </row>
    <row r="4423" spans="1:5" x14ac:dyDescent="0.25">
      <c r="A4423" s="2" t="s">
        <v>3944</v>
      </c>
      <c r="B4423" s="2" t="s">
        <v>3945</v>
      </c>
      <c r="C4423" s="2">
        <v>2</v>
      </c>
      <c r="D4423" t="str">
        <f t="shared" si="69"/>
        <v>CA-2016-141957_OFF-AR-10000914</v>
      </c>
      <c r="E4423" t="str">
        <f>IF(COUNTIF(data2!$D:$D,D4423)=0,"Missing in Data2","Present")</f>
        <v>Present</v>
      </c>
    </row>
    <row r="4424" spans="1:5" x14ac:dyDescent="0.25">
      <c r="A4424" s="2" t="s">
        <v>3944</v>
      </c>
      <c r="B4424" s="2" t="s">
        <v>301</v>
      </c>
      <c r="C4424" s="2">
        <v>7</v>
      </c>
      <c r="D4424" t="str">
        <f t="shared" si="69"/>
        <v>CA-2016-141957_OFF-BI-10001116</v>
      </c>
      <c r="E4424" t="str">
        <f>IF(COUNTIF(data2!$D:$D,D4424)=0,"Missing in Data2","Present")</f>
        <v>Present</v>
      </c>
    </row>
    <row r="4425" spans="1:5" x14ac:dyDescent="0.25">
      <c r="A4425" s="2" t="s">
        <v>3944</v>
      </c>
      <c r="B4425" s="2" t="s">
        <v>1002</v>
      </c>
      <c r="C4425" s="2">
        <v>1</v>
      </c>
      <c r="D4425" t="str">
        <f t="shared" si="69"/>
        <v>CA-2016-141957_OFF-ST-10002276</v>
      </c>
      <c r="E4425" t="str">
        <f>IF(COUNTIF(data2!$D:$D,D4425)=0,"Missing in Data2","Present")</f>
        <v>Present</v>
      </c>
    </row>
    <row r="4426" spans="1:5" x14ac:dyDescent="0.25">
      <c r="A4426" s="2" t="s">
        <v>3944</v>
      </c>
      <c r="B4426" s="2" t="s">
        <v>1360</v>
      </c>
      <c r="C4426" s="2">
        <v>2</v>
      </c>
      <c r="D4426" t="str">
        <f t="shared" si="69"/>
        <v>CA-2016-141957_OFF-ST-10004340</v>
      </c>
      <c r="E4426" t="str">
        <f>IF(COUNTIF(data2!$D:$D,D4426)=0,"Missing in Data2","Present")</f>
        <v>Present</v>
      </c>
    </row>
    <row r="4427" spans="1:5" x14ac:dyDescent="0.25">
      <c r="A4427" s="2" t="s">
        <v>3946</v>
      </c>
      <c r="B4427" s="2" t="s">
        <v>1221</v>
      </c>
      <c r="C4427" s="2">
        <v>3</v>
      </c>
      <c r="D4427" t="str">
        <f t="shared" si="69"/>
        <v>CA-2016-142097_OFF-AP-10000696</v>
      </c>
      <c r="E4427" t="str">
        <f>IF(COUNTIF(data2!$D:$D,D4427)=0,"Missing in Data2","Present")</f>
        <v>Present</v>
      </c>
    </row>
    <row r="4428" spans="1:5" x14ac:dyDescent="0.25">
      <c r="A4428" s="2" t="s">
        <v>3946</v>
      </c>
      <c r="B4428" s="2" t="s">
        <v>1961</v>
      </c>
      <c r="C4428" s="2">
        <v>7</v>
      </c>
      <c r="D4428" t="str">
        <f t="shared" si="69"/>
        <v>CA-2016-142097_OFF-BI-10002082</v>
      </c>
      <c r="E4428" t="str">
        <f>IF(COUNTIF(data2!$D:$D,D4428)=0,"Missing in Data2","Present")</f>
        <v>Present</v>
      </c>
    </row>
    <row r="4429" spans="1:5" x14ac:dyDescent="0.25">
      <c r="A4429" s="2" t="s">
        <v>3946</v>
      </c>
      <c r="B4429" s="2" t="s">
        <v>3221</v>
      </c>
      <c r="C4429" s="2">
        <v>6</v>
      </c>
      <c r="D4429" t="str">
        <f t="shared" si="69"/>
        <v>CA-2016-142097_OFF-EN-10002312</v>
      </c>
      <c r="E4429" t="str">
        <f>IF(COUNTIF(data2!$D:$D,D4429)=0,"Missing in Data2","Present")</f>
        <v>Present</v>
      </c>
    </row>
    <row r="4430" spans="1:5" x14ac:dyDescent="0.25">
      <c r="A4430" s="2" t="s">
        <v>3947</v>
      </c>
      <c r="B4430" s="2" t="s">
        <v>2199</v>
      </c>
      <c r="C4430" s="2">
        <v>3</v>
      </c>
      <c r="D4430" t="str">
        <f t="shared" si="69"/>
        <v>CA-2016-142335_FUR-TA-10000198</v>
      </c>
      <c r="E4430" t="str">
        <f>IF(COUNTIF(data2!$D:$D,D4430)=0,"Missing in Data2","Present")</f>
        <v>Present</v>
      </c>
    </row>
    <row r="4431" spans="1:5" x14ac:dyDescent="0.25">
      <c r="A4431" s="2" t="s">
        <v>3947</v>
      </c>
      <c r="B4431" s="2" t="s">
        <v>357</v>
      </c>
      <c r="C4431" s="2">
        <v>3</v>
      </c>
      <c r="D4431" t="str">
        <f t="shared" si="69"/>
        <v>CA-2016-142335_OFF-ST-10000036</v>
      </c>
      <c r="E4431" t="str">
        <f>IF(COUNTIF(data2!$D:$D,D4431)=0,"Missing in Data2","Present")</f>
        <v>Present</v>
      </c>
    </row>
    <row r="4432" spans="1:5" x14ac:dyDescent="0.25">
      <c r="A4432" s="2" t="s">
        <v>3948</v>
      </c>
      <c r="B4432" s="2" t="s">
        <v>3949</v>
      </c>
      <c r="C4432" s="2">
        <v>2</v>
      </c>
      <c r="D4432" t="str">
        <f t="shared" si="69"/>
        <v>CA-2016-142370_OFF-SU-10003002</v>
      </c>
      <c r="E4432" t="str">
        <f>IF(COUNTIF(data2!$D:$D,D4432)=0,"Missing in Data2","Present")</f>
        <v>Present</v>
      </c>
    </row>
    <row r="4433" spans="1:5" x14ac:dyDescent="0.25">
      <c r="A4433" s="2" t="s">
        <v>3948</v>
      </c>
      <c r="B4433" s="2" t="s">
        <v>1406</v>
      </c>
      <c r="C4433" s="2">
        <v>5</v>
      </c>
      <c r="D4433" t="str">
        <f t="shared" si="69"/>
        <v>CA-2016-142370_TEC-AC-10002926</v>
      </c>
      <c r="E4433" t="str">
        <f>IF(COUNTIF(data2!$D:$D,D4433)=0,"Missing in Data2","Present")</f>
        <v>Present</v>
      </c>
    </row>
    <row r="4434" spans="1:5" x14ac:dyDescent="0.25">
      <c r="A4434" s="2" t="s">
        <v>3950</v>
      </c>
      <c r="B4434" s="2" t="s">
        <v>2710</v>
      </c>
      <c r="C4434" s="2">
        <v>7</v>
      </c>
      <c r="D4434" t="str">
        <f t="shared" si="69"/>
        <v>CA-2016-142398_FUR-CH-10001545</v>
      </c>
      <c r="E4434" t="str">
        <f>IF(COUNTIF(data2!$D:$D,D4434)=0,"Missing in Data2","Present")</f>
        <v>Present</v>
      </c>
    </row>
    <row r="4435" spans="1:5" x14ac:dyDescent="0.25">
      <c r="A4435" s="2" t="s">
        <v>3951</v>
      </c>
      <c r="B4435" s="2" t="s">
        <v>1680</v>
      </c>
      <c r="C4435" s="2">
        <v>14</v>
      </c>
      <c r="D4435" t="str">
        <f t="shared" si="69"/>
        <v>CA-2016-142405_OFF-BI-10004728</v>
      </c>
      <c r="E4435" t="str">
        <f>IF(COUNTIF(data2!$D:$D,D4435)=0,"Missing in Data2","Present")</f>
        <v>Present</v>
      </c>
    </row>
    <row r="4436" spans="1:5" x14ac:dyDescent="0.25">
      <c r="A4436" s="2" t="s">
        <v>3951</v>
      </c>
      <c r="B4436" s="2" t="s">
        <v>2712</v>
      </c>
      <c r="C4436" s="2">
        <v>2</v>
      </c>
      <c r="D4436" t="str">
        <f t="shared" si="69"/>
        <v>CA-2016-142405_OFF-LA-10004093</v>
      </c>
      <c r="E4436" t="str">
        <f>IF(COUNTIF(data2!$D:$D,D4436)=0,"Missing in Data2","Present")</f>
        <v>Present</v>
      </c>
    </row>
    <row r="4437" spans="1:5" x14ac:dyDescent="0.25">
      <c r="A4437" s="2" t="s">
        <v>3951</v>
      </c>
      <c r="B4437" s="2" t="s">
        <v>2092</v>
      </c>
      <c r="C4437" s="2">
        <v>3</v>
      </c>
      <c r="D4437" t="str">
        <f t="shared" si="69"/>
        <v>CA-2016-142405_TEC-AC-10003095</v>
      </c>
      <c r="E4437" t="str">
        <f>IF(COUNTIF(data2!$D:$D,D4437)=0,"Missing in Data2","Present")</f>
        <v>Present</v>
      </c>
    </row>
    <row r="4438" spans="1:5" x14ac:dyDescent="0.25">
      <c r="A4438" s="2" t="s">
        <v>3952</v>
      </c>
      <c r="B4438" s="2" t="s">
        <v>481</v>
      </c>
      <c r="C4438" s="2">
        <v>2</v>
      </c>
      <c r="D4438" t="str">
        <f t="shared" si="69"/>
        <v>CA-2016-142524_OFF-EN-10003286</v>
      </c>
      <c r="E4438" t="str">
        <f>IF(COUNTIF(data2!$D:$D,D4438)=0,"Missing in Data2","Present")</f>
        <v>Missing in Data2</v>
      </c>
    </row>
    <row r="4439" spans="1:5" x14ac:dyDescent="0.25">
      <c r="A4439" s="2" t="s">
        <v>3952</v>
      </c>
      <c r="B4439" s="2" t="s">
        <v>185</v>
      </c>
      <c r="C4439" s="2">
        <v>5</v>
      </c>
      <c r="D4439" t="str">
        <f t="shared" si="69"/>
        <v>CA-2016-142524_TEC-AC-10000109</v>
      </c>
      <c r="E4439" t="str">
        <f>IF(COUNTIF(data2!$D:$D,D4439)=0,"Missing in Data2","Present")</f>
        <v>Present</v>
      </c>
    </row>
    <row r="4440" spans="1:5" x14ac:dyDescent="0.25">
      <c r="A4440" s="2" t="s">
        <v>3953</v>
      </c>
      <c r="B4440" s="2" t="s">
        <v>979</v>
      </c>
      <c r="C4440" s="2">
        <v>4</v>
      </c>
      <c r="D4440" t="str">
        <f t="shared" si="69"/>
        <v>CA-2016-142545_FUR-FU-10001861</v>
      </c>
      <c r="E4440" t="str">
        <f>IF(COUNTIF(data2!$D:$D,D4440)=0,"Missing in Data2","Present")</f>
        <v>Present</v>
      </c>
    </row>
    <row r="4441" spans="1:5" x14ac:dyDescent="0.25">
      <c r="A4441" s="2" t="s">
        <v>3953</v>
      </c>
      <c r="B4441" s="2" t="s">
        <v>965</v>
      </c>
      <c r="C4441" s="2">
        <v>1</v>
      </c>
      <c r="D4441" t="str">
        <f t="shared" si="69"/>
        <v>CA-2016-142545_OFF-BI-10002706</v>
      </c>
      <c r="E4441" t="str">
        <f>IF(COUNTIF(data2!$D:$D,D4441)=0,"Missing in Data2","Present")</f>
        <v>Present</v>
      </c>
    </row>
    <row r="4442" spans="1:5" x14ac:dyDescent="0.25">
      <c r="A4442" s="2" t="s">
        <v>3953</v>
      </c>
      <c r="B4442" s="2" t="s">
        <v>1359</v>
      </c>
      <c r="C4442" s="2">
        <v>5</v>
      </c>
      <c r="D4442" t="str">
        <f t="shared" si="69"/>
        <v>CA-2016-142545_OFF-PA-10002105</v>
      </c>
      <c r="E4442" t="str">
        <f>IF(COUNTIF(data2!$D:$D,D4442)=0,"Missing in Data2","Present")</f>
        <v>Present</v>
      </c>
    </row>
    <row r="4443" spans="1:5" x14ac:dyDescent="0.25">
      <c r="A4443" s="2" t="s">
        <v>3953</v>
      </c>
      <c r="B4443" s="2" t="s">
        <v>3954</v>
      </c>
      <c r="C4443" s="2">
        <v>3</v>
      </c>
      <c r="D4443" t="str">
        <f t="shared" si="69"/>
        <v>CA-2016-142545_OFF-PA-10004243</v>
      </c>
      <c r="E4443" t="str">
        <f>IF(COUNTIF(data2!$D:$D,D4443)=0,"Missing in Data2","Present")</f>
        <v>Present</v>
      </c>
    </row>
    <row r="4444" spans="1:5" x14ac:dyDescent="0.25">
      <c r="A4444" s="2" t="s">
        <v>3953</v>
      </c>
      <c r="B4444" s="2" t="s">
        <v>2078</v>
      </c>
      <c r="C4444" s="2">
        <v>8</v>
      </c>
      <c r="D4444" t="str">
        <f t="shared" si="69"/>
        <v>CA-2016-142545_OFF-ST-10002756</v>
      </c>
      <c r="E4444" t="str">
        <f>IF(COUNTIF(data2!$D:$D,D4444)=0,"Missing in Data2","Present")</f>
        <v>Present</v>
      </c>
    </row>
    <row r="4445" spans="1:5" x14ac:dyDescent="0.25">
      <c r="A4445" s="2" t="s">
        <v>3955</v>
      </c>
      <c r="B4445" s="2" t="s">
        <v>3956</v>
      </c>
      <c r="C4445" s="2">
        <v>5</v>
      </c>
      <c r="D4445" t="str">
        <f t="shared" si="69"/>
        <v>CA-2016-142594_FUR-FU-10002045</v>
      </c>
      <c r="E4445" t="str">
        <f>IF(COUNTIF(data2!$D:$D,D4445)=0,"Missing in Data2","Present")</f>
        <v>Present</v>
      </c>
    </row>
    <row r="4446" spans="1:5" x14ac:dyDescent="0.25">
      <c r="A4446" s="2" t="s">
        <v>3955</v>
      </c>
      <c r="B4446" s="2" t="s">
        <v>2635</v>
      </c>
      <c r="C4446" s="2">
        <v>3</v>
      </c>
      <c r="D4446" t="str">
        <f t="shared" si="69"/>
        <v>CA-2016-142594_FUR-TA-10001095</v>
      </c>
      <c r="E4446" t="str">
        <f>IF(COUNTIF(data2!$D:$D,D4446)=0,"Missing in Data2","Present")</f>
        <v>Present</v>
      </c>
    </row>
    <row r="4447" spans="1:5" x14ac:dyDescent="0.25">
      <c r="A4447" s="2" t="s">
        <v>3955</v>
      </c>
      <c r="B4447" s="2" t="s">
        <v>1000</v>
      </c>
      <c r="C4447" s="2">
        <v>3</v>
      </c>
      <c r="D4447" t="str">
        <f t="shared" si="69"/>
        <v>CA-2016-142594_OFF-AP-10002945</v>
      </c>
      <c r="E4447" t="str">
        <f>IF(COUNTIF(data2!$D:$D,D4447)=0,"Missing in Data2","Present")</f>
        <v>Present</v>
      </c>
    </row>
    <row r="4448" spans="1:5" x14ac:dyDescent="0.25">
      <c r="A4448" s="2" t="s">
        <v>3955</v>
      </c>
      <c r="B4448" s="2" t="s">
        <v>2225</v>
      </c>
      <c r="C4448" s="2">
        <v>3</v>
      </c>
      <c r="D4448" t="str">
        <f t="shared" si="69"/>
        <v>CA-2016-142594_TEC-PH-10000193</v>
      </c>
      <c r="E4448" t="str">
        <f>IF(COUNTIF(data2!$D:$D,D4448)=0,"Missing in Data2","Present")</f>
        <v>Present</v>
      </c>
    </row>
    <row r="4449" spans="1:5" x14ac:dyDescent="0.25">
      <c r="A4449" s="2" t="s">
        <v>3957</v>
      </c>
      <c r="B4449" s="2" t="s">
        <v>3958</v>
      </c>
      <c r="C4449" s="2">
        <v>2</v>
      </c>
      <c r="D4449" t="str">
        <f t="shared" si="69"/>
        <v>CA-2016-142615_TEC-AC-10004803</v>
      </c>
      <c r="E4449" t="str">
        <f>IF(COUNTIF(data2!$D:$D,D4449)=0,"Missing in Data2","Present")</f>
        <v>Present</v>
      </c>
    </row>
    <row r="4450" spans="1:5" x14ac:dyDescent="0.25">
      <c r="A4450" s="2" t="s">
        <v>3959</v>
      </c>
      <c r="B4450" s="2" t="s">
        <v>3591</v>
      </c>
      <c r="C4450" s="2">
        <v>5</v>
      </c>
      <c r="D4450" t="str">
        <f t="shared" si="69"/>
        <v>CA-2016-142895_FUR-CH-10002961</v>
      </c>
      <c r="E4450" t="str">
        <f>IF(COUNTIF(data2!$D:$D,D4450)=0,"Missing in Data2","Present")</f>
        <v>Present</v>
      </c>
    </row>
    <row r="4451" spans="1:5" x14ac:dyDescent="0.25">
      <c r="A4451" s="2" t="s">
        <v>3959</v>
      </c>
      <c r="B4451" s="2" t="s">
        <v>379</v>
      </c>
      <c r="C4451" s="2">
        <v>3</v>
      </c>
      <c r="D4451" t="str">
        <f t="shared" si="69"/>
        <v>CA-2016-142895_OFF-LA-10000262</v>
      </c>
      <c r="E4451" t="str">
        <f>IF(COUNTIF(data2!$D:$D,D4451)=0,"Missing in Data2","Present")</f>
        <v>Present</v>
      </c>
    </row>
    <row r="4452" spans="1:5" x14ac:dyDescent="0.25">
      <c r="A4452" s="2" t="s">
        <v>3960</v>
      </c>
      <c r="B4452" s="2" t="s">
        <v>2153</v>
      </c>
      <c r="C4452" s="2">
        <v>2</v>
      </c>
      <c r="D4452" t="str">
        <f t="shared" si="69"/>
        <v>CA-2016-142902_FUR-CH-10004086</v>
      </c>
      <c r="E4452" t="str">
        <f>IF(COUNTIF(data2!$D:$D,D4452)=0,"Missing in Data2","Present")</f>
        <v>Present</v>
      </c>
    </row>
    <row r="4453" spans="1:5" x14ac:dyDescent="0.25">
      <c r="A4453" s="2" t="s">
        <v>3960</v>
      </c>
      <c r="B4453" s="2" t="s">
        <v>1411</v>
      </c>
      <c r="C4453" s="2">
        <v>1</v>
      </c>
      <c r="D4453" t="str">
        <f t="shared" si="69"/>
        <v>CA-2016-142902_FUR-FU-10001756</v>
      </c>
      <c r="E4453" t="str">
        <f>IF(COUNTIF(data2!$D:$D,D4453)=0,"Missing in Data2","Present")</f>
        <v>Present</v>
      </c>
    </row>
    <row r="4454" spans="1:5" x14ac:dyDescent="0.25">
      <c r="A4454" s="2" t="s">
        <v>3960</v>
      </c>
      <c r="B4454" s="2" t="s">
        <v>1260</v>
      </c>
      <c r="C4454" s="2">
        <v>4</v>
      </c>
      <c r="D4454" t="str">
        <f t="shared" si="69"/>
        <v>CA-2016-142902_FUR-FU-10001918</v>
      </c>
      <c r="E4454" t="str">
        <f>IF(COUNTIF(data2!$D:$D,D4454)=0,"Missing in Data2","Present")</f>
        <v>Present</v>
      </c>
    </row>
    <row r="4455" spans="1:5" x14ac:dyDescent="0.25">
      <c r="A4455" s="2" t="s">
        <v>3960</v>
      </c>
      <c r="B4455" s="2" t="s">
        <v>1504</v>
      </c>
      <c r="C4455" s="2">
        <v>3</v>
      </c>
      <c r="D4455" t="str">
        <f t="shared" si="69"/>
        <v>CA-2016-142902_OFF-LA-10000634</v>
      </c>
      <c r="E4455" t="str">
        <f>IF(COUNTIF(data2!$D:$D,D4455)=0,"Missing in Data2","Present")</f>
        <v>Present</v>
      </c>
    </row>
    <row r="4456" spans="1:5" x14ac:dyDescent="0.25">
      <c r="A4456" s="2" t="s">
        <v>3961</v>
      </c>
      <c r="B4456" s="2" t="s">
        <v>869</v>
      </c>
      <c r="C4456" s="2">
        <v>4</v>
      </c>
      <c r="D4456" t="str">
        <f t="shared" si="69"/>
        <v>CA-2016-142958_FUR-TA-10000577</v>
      </c>
      <c r="E4456" t="str">
        <f>IF(COUNTIF(data2!$D:$D,D4456)=0,"Missing in Data2","Present")</f>
        <v>Present</v>
      </c>
    </row>
    <row r="4457" spans="1:5" x14ac:dyDescent="0.25">
      <c r="A4457" s="2" t="s">
        <v>3961</v>
      </c>
      <c r="B4457" s="2" t="s">
        <v>1795</v>
      </c>
      <c r="C4457" s="2">
        <v>2</v>
      </c>
      <c r="D4457" t="str">
        <f t="shared" si="69"/>
        <v>CA-2016-142958_OFF-BI-10001759</v>
      </c>
      <c r="E4457" t="str">
        <f>IF(COUNTIF(data2!$D:$D,D4457)=0,"Missing in Data2","Present")</f>
        <v>Present</v>
      </c>
    </row>
    <row r="4458" spans="1:5" x14ac:dyDescent="0.25">
      <c r="A4458" s="2" t="s">
        <v>3962</v>
      </c>
      <c r="B4458" s="2" t="s">
        <v>578</v>
      </c>
      <c r="C4458" s="2">
        <v>3</v>
      </c>
      <c r="D4458" t="str">
        <f t="shared" si="69"/>
        <v>CA-2016-143154_TEC-AC-10002942</v>
      </c>
      <c r="E4458" t="str">
        <f>IF(COUNTIF(data2!$D:$D,D4458)=0,"Missing in Data2","Present")</f>
        <v>Present</v>
      </c>
    </row>
    <row r="4459" spans="1:5" x14ac:dyDescent="0.25">
      <c r="A4459" s="2" t="s">
        <v>3963</v>
      </c>
      <c r="B4459" s="2" t="s">
        <v>993</v>
      </c>
      <c r="C4459" s="2">
        <v>3</v>
      </c>
      <c r="D4459" t="str">
        <f t="shared" si="69"/>
        <v>CA-2016-143308_OFF-FA-10000621</v>
      </c>
      <c r="E4459" t="str">
        <f>IF(COUNTIF(data2!$D:$D,D4459)=0,"Missing in Data2","Present")</f>
        <v>Present</v>
      </c>
    </row>
    <row r="4460" spans="1:5" x14ac:dyDescent="0.25">
      <c r="A4460" s="2" t="s">
        <v>3964</v>
      </c>
      <c r="B4460" s="2" t="s">
        <v>665</v>
      </c>
      <c r="C4460" s="2">
        <v>5</v>
      </c>
      <c r="D4460" t="str">
        <f t="shared" si="69"/>
        <v>CA-2016-143406_FUR-CH-10000513</v>
      </c>
      <c r="E4460" t="str">
        <f>IF(COUNTIF(data2!$D:$D,D4460)=0,"Missing in Data2","Present")</f>
        <v>Present</v>
      </c>
    </row>
    <row r="4461" spans="1:5" x14ac:dyDescent="0.25">
      <c r="A4461" s="2" t="s">
        <v>3964</v>
      </c>
      <c r="B4461" s="2" t="s">
        <v>3965</v>
      </c>
      <c r="C4461" s="2">
        <v>2</v>
      </c>
      <c r="D4461" t="str">
        <f t="shared" si="69"/>
        <v>CA-2016-143406_OFF-AP-10001564</v>
      </c>
      <c r="E4461" t="str">
        <f>IF(COUNTIF(data2!$D:$D,D4461)=0,"Missing in Data2","Present")</f>
        <v>Present</v>
      </c>
    </row>
    <row r="4462" spans="1:5" x14ac:dyDescent="0.25">
      <c r="A4462" s="2" t="s">
        <v>3966</v>
      </c>
      <c r="B4462" s="2" t="s">
        <v>1044</v>
      </c>
      <c r="C4462" s="2">
        <v>1</v>
      </c>
      <c r="D4462" t="str">
        <f t="shared" si="69"/>
        <v>CA-2016-143441_OFF-LA-10002312</v>
      </c>
      <c r="E4462" t="str">
        <f>IF(COUNTIF(data2!$D:$D,D4462)=0,"Missing in Data2","Present")</f>
        <v>Present</v>
      </c>
    </row>
    <row r="4463" spans="1:5" x14ac:dyDescent="0.25">
      <c r="A4463" s="2" t="s">
        <v>3967</v>
      </c>
      <c r="B4463" s="2" t="s">
        <v>2034</v>
      </c>
      <c r="C4463" s="2">
        <v>2</v>
      </c>
      <c r="D4463" t="str">
        <f t="shared" si="69"/>
        <v>CA-2016-143476_OFF-AR-10003759</v>
      </c>
      <c r="E4463" t="str">
        <f>IF(COUNTIF(data2!$D:$D,D4463)=0,"Missing in Data2","Present")</f>
        <v>Present</v>
      </c>
    </row>
    <row r="4464" spans="1:5" x14ac:dyDescent="0.25">
      <c r="A4464" s="2" t="s">
        <v>3967</v>
      </c>
      <c r="B4464" s="2" t="s">
        <v>1250</v>
      </c>
      <c r="C4464" s="2">
        <v>2</v>
      </c>
      <c r="D4464" t="str">
        <f t="shared" si="69"/>
        <v>CA-2016-143476_OFF-PA-10001667</v>
      </c>
      <c r="E4464" t="str">
        <f>IF(COUNTIF(data2!$D:$D,D4464)=0,"Missing in Data2","Present")</f>
        <v>Present</v>
      </c>
    </row>
    <row r="4465" spans="1:5" x14ac:dyDescent="0.25">
      <c r="A4465" s="2" t="s">
        <v>3967</v>
      </c>
      <c r="B4465" s="2" t="s">
        <v>782</v>
      </c>
      <c r="C4465" s="2">
        <v>4</v>
      </c>
      <c r="D4465" t="str">
        <f t="shared" si="69"/>
        <v>CA-2016-143476_OFF-PA-10001837</v>
      </c>
      <c r="E4465" t="str">
        <f>IF(COUNTIF(data2!$D:$D,D4465)=0,"Missing in Data2","Present")</f>
        <v>Present</v>
      </c>
    </row>
    <row r="4466" spans="1:5" x14ac:dyDescent="0.25">
      <c r="A4466" s="2" t="s">
        <v>3968</v>
      </c>
      <c r="B4466" s="2" t="s">
        <v>1050</v>
      </c>
      <c r="C4466" s="2">
        <v>5</v>
      </c>
      <c r="D4466" t="str">
        <f t="shared" si="69"/>
        <v>CA-2016-143609_FUR-CH-10004218</v>
      </c>
      <c r="E4466" t="str">
        <f>IF(COUNTIF(data2!$D:$D,D4466)=0,"Missing in Data2","Present")</f>
        <v>Present</v>
      </c>
    </row>
    <row r="4467" spans="1:5" x14ac:dyDescent="0.25">
      <c r="A4467" s="2" t="s">
        <v>3969</v>
      </c>
      <c r="B4467" s="2" t="s">
        <v>354</v>
      </c>
      <c r="C4467" s="2">
        <v>1</v>
      </c>
      <c r="D4467" t="str">
        <f t="shared" si="69"/>
        <v>CA-2016-143714_OFF-BI-10004308</v>
      </c>
      <c r="E4467" t="str">
        <f>IF(COUNTIF(data2!$D:$D,D4467)=0,"Missing in Data2","Present")</f>
        <v>Present</v>
      </c>
    </row>
    <row r="4468" spans="1:5" x14ac:dyDescent="0.25">
      <c r="A4468" s="2" t="s">
        <v>3969</v>
      </c>
      <c r="B4468" s="2" t="s">
        <v>316</v>
      </c>
      <c r="C4468" s="2">
        <v>2</v>
      </c>
      <c r="D4468" t="str">
        <f t="shared" si="69"/>
        <v>CA-2016-143714_OFF-PA-10000029</v>
      </c>
      <c r="E4468" t="str">
        <f>IF(COUNTIF(data2!$D:$D,D4468)=0,"Missing in Data2","Present")</f>
        <v>Present</v>
      </c>
    </row>
    <row r="4469" spans="1:5" x14ac:dyDescent="0.25">
      <c r="A4469" s="2" t="s">
        <v>3969</v>
      </c>
      <c r="B4469" s="2" t="s">
        <v>3970</v>
      </c>
      <c r="C4469" s="2">
        <v>3</v>
      </c>
      <c r="D4469" t="str">
        <f t="shared" si="69"/>
        <v>CA-2016-143714_TEC-PH-10004080</v>
      </c>
      <c r="E4469" t="str">
        <f>IF(COUNTIF(data2!$D:$D,D4469)=0,"Missing in Data2","Present")</f>
        <v>Present</v>
      </c>
    </row>
    <row r="4470" spans="1:5" x14ac:dyDescent="0.25">
      <c r="A4470" s="2" t="s">
        <v>3971</v>
      </c>
      <c r="B4470" s="2" t="s">
        <v>1926</v>
      </c>
      <c r="C4470" s="2">
        <v>1</v>
      </c>
      <c r="D4470" t="str">
        <f t="shared" si="69"/>
        <v>CA-2016-143749_FUR-BO-10002853</v>
      </c>
      <c r="E4470" t="str">
        <f>IF(COUNTIF(data2!$D:$D,D4470)=0,"Missing in Data2","Present")</f>
        <v>Present</v>
      </c>
    </row>
    <row r="4471" spans="1:5" x14ac:dyDescent="0.25">
      <c r="A4471" s="2" t="s">
        <v>3972</v>
      </c>
      <c r="B4471" s="2" t="s">
        <v>1000</v>
      </c>
      <c r="C4471" s="2">
        <v>7</v>
      </c>
      <c r="D4471" t="str">
        <f t="shared" si="69"/>
        <v>CA-2016-143805_OFF-AP-10002945</v>
      </c>
      <c r="E4471" t="str">
        <f>IF(COUNTIF(data2!$D:$D,D4471)=0,"Missing in Data2","Present")</f>
        <v>Present</v>
      </c>
    </row>
    <row r="4472" spans="1:5" x14ac:dyDescent="0.25">
      <c r="A4472" s="2" t="s">
        <v>3972</v>
      </c>
      <c r="B4472" s="2" t="s">
        <v>1314</v>
      </c>
      <c r="C4472" s="2">
        <v>5</v>
      </c>
      <c r="D4472" t="str">
        <f t="shared" si="69"/>
        <v>CA-2016-143805_OFF-SU-10004664</v>
      </c>
      <c r="E4472" t="str">
        <f>IF(COUNTIF(data2!$D:$D,D4472)=0,"Missing in Data2","Present")</f>
        <v>Present</v>
      </c>
    </row>
    <row r="4473" spans="1:5" x14ac:dyDescent="0.25">
      <c r="A4473" s="2" t="s">
        <v>3973</v>
      </c>
      <c r="B4473" s="2" t="s">
        <v>1119</v>
      </c>
      <c r="C4473" s="2">
        <v>2</v>
      </c>
      <c r="D4473" t="str">
        <f t="shared" si="69"/>
        <v>CA-2016-143910_FUR-CH-10000225</v>
      </c>
      <c r="E4473" t="str">
        <f>IF(COUNTIF(data2!$D:$D,D4473)=0,"Missing in Data2","Present")</f>
        <v>Present</v>
      </c>
    </row>
    <row r="4474" spans="1:5" x14ac:dyDescent="0.25">
      <c r="A4474" s="2" t="s">
        <v>3974</v>
      </c>
      <c r="B4474" s="2" t="s">
        <v>308</v>
      </c>
      <c r="C4474" s="2">
        <v>7</v>
      </c>
      <c r="D4474" t="str">
        <f t="shared" si="69"/>
        <v>CA-2016-143924_OFF-FA-10000735</v>
      </c>
      <c r="E4474" t="str">
        <f>IF(COUNTIF(data2!$D:$D,D4474)=0,"Missing in Data2","Present")</f>
        <v>Present</v>
      </c>
    </row>
    <row r="4475" spans="1:5" x14ac:dyDescent="0.25">
      <c r="A4475" s="2" t="s">
        <v>3974</v>
      </c>
      <c r="B4475" s="2" t="s">
        <v>1414</v>
      </c>
      <c r="C4475" s="2">
        <v>2</v>
      </c>
      <c r="D4475" t="str">
        <f t="shared" si="69"/>
        <v>CA-2016-143924_OFF-PA-10002120</v>
      </c>
      <c r="E4475" t="str">
        <f>IF(COUNTIF(data2!$D:$D,D4475)=0,"Missing in Data2","Present")</f>
        <v>Present</v>
      </c>
    </row>
    <row r="4476" spans="1:5" x14ac:dyDescent="0.25">
      <c r="A4476" s="2" t="s">
        <v>3975</v>
      </c>
      <c r="B4476" s="2" t="s">
        <v>1303</v>
      </c>
      <c r="C4476" s="2">
        <v>5</v>
      </c>
      <c r="D4476" t="str">
        <f t="shared" si="69"/>
        <v>CA-2016-144015_OFF-FA-10000624</v>
      </c>
      <c r="E4476" t="str">
        <f>IF(COUNTIF(data2!$D:$D,D4476)=0,"Missing in Data2","Present")</f>
        <v>Present</v>
      </c>
    </row>
    <row r="4477" spans="1:5" x14ac:dyDescent="0.25">
      <c r="A4477" s="2" t="s">
        <v>3975</v>
      </c>
      <c r="B4477" s="2" t="s">
        <v>3976</v>
      </c>
      <c r="C4477" s="2">
        <v>2</v>
      </c>
      <c r="D4477" t="str">
        <f t="shared" si="69"/>
        <v>CA-2016-144015_OFF-PA-10002870</v>
      </c>
      <c r="E4477" t="str">
        <f>IF(COUNTIF(data2!$D:$D,D4477)=0,"Missing in Data2","Present")</f>
        <v>Present</v>
      </c>
    </row>
    <row r="4478" spans="1:5" x14ac:dyDescent="0.25">
      <c r="A4478" s="2" t="s">
        <v>3975</v>
      </c>
      <c r="B4478" s="2" t="s">
        <v>3354</v>
      </c>
      <c r="C4478" s="2">
        <v>2</v>
      </c>
      <c r="D4478" t="str">
        <f t="shared" si="69"/>
        <v>CA-2016-144015_OFF-SU-10003505</v>
      </c>
      <c r="E4478" t="str">
        <f>IF(COUNTIF(data2!$D:$D,D4478)=0,"Missing in Data2","Present")</f>
        <v>Present</v>
      </c>
    </row>
    <row r="4479" spans="1:5" x14ac:dyDescent="0.25">
      <c r="A4479" s="2" t="s">
        <v>3977</v>
      </c>
      <c r="B4479" s="2" t="s">
        <v>1674</v>
      </c>
      <c r="C4479" s="2">
        <v>2</v>
      </c>
      <c r="D4479" t="str">
        <f t="shared" si="69"/>
        <v>CA-2016-144092_FUR-CH-10004875</v>
      </c>
      <c r="E4479" t="str">
        <f>IF(COUNTIF(data2!$D:$D,D4479)=0,"Missing in Data2","Present")</f>
        <v>Present</v>
      </c>
    </row>
    <row r="4480" spans="1:5" x14ac:dyDescent="0.25">
      <c r="A4480" s="2" t="s">
        <v>3977</v>
      </c>
      <c r="B4480" s="2" t="s">
        <v>1615</v>
      </c>
      <c r="C4480" s="2">
        <v>3</v>
      </c>
      <c r="D4480" t="str">
        <f t="shared" si="69"/>
        <v>CA-2016-144092_OFF-EN-10001434</v>
      </c>
      <c r="E4480" t="str">
        <f>IF(COUNTIF(data2!$D:$D,D4480)=0,"Missing in Data2","Present")</f>
        <v>Present</v>
      </c>
    </row>
    <row r="4481" spans="1:5" x14ac:dyDescent="0.25">
      <c r="A4481" s="2" t="s">
        <v>3977</v>
      </c>
      <c r="B4481" s="2" t="s">
        <v>3087</v>
      </c>
      <c r="C4481" s="2">
        <v>4</v>
      </c>
      <c r="D4481" t="str">
        <f t="shared" si="69"/>
        <v>CA-2016-144092_TEC-AC-10002305</v>
      </c>
      <c r="E4481" t="str">
        <f>IF(COUNTIF(data2!$D:$D,D4481)=0,"Missing in Data2","Present")</f>
        <v>Present</v>
      </c>
    </row>
    <row r="4482" spans="1:5" x14ac:dyDescent="0.25">
      <c r="A4482" s="2" t="s">
        <v>3978</v>
      </c>
      <c r="B4482" s="2" t="s">
        <v>2718</v>
      </c>
      <c r="C4482" s="2">
        <v>7</v>
      </c>
      <c r="D4482" t="str">
        <f t="shared" si="69"/>
        <v>CA-2016-144148_FUR-TA-10002774</v>
      </c>
      <c r="E4482" t="str">
        <f>IF(COUNTIF(data2!$D:$D,D4482)=0,"Missing in Data2","Present")</f>
        <v>Present</v>
      </c>
    </row>
    <row r="4483" spans="1:5" x14ac:dyDescent="0.25">
      <c r="A4483" s="2" t="s">
        <v>3979</v>
      </c>
      <c r="B4483" s="2" t="s">
        <v>790</v>
      </c>
      <c r="C4483" s="2">
        <v>7</v>
      </c>
      <c r="D4483" t="str">
        <f t="shared" ref="D4483:D4546" si="70">A4483&amp;"_"&amp;B4483</f>
        <v>CA-2016-144218_OFF-ST-10002615</v>
      </c>
      <c r="E4483" t="str">
        <f>IF(COUNTIF(data2!$D:$D,D4483)=0,"Missing in Data2","Present")</f>
        <v>Present</v>
      </c>
    </row>
    <row r="4484" spans="1:5" x14ac:dyDescent="0.25">
      <c r="A4484" s="2" t="s">
        <v>3980</v>
      </c>
      <c r="B4484" s="2" t="s">
        <v>702</v>
      </c>
      <c r="C4484" s="2">
        <v>5</v>
      </c>
      <c r="D4484" t="str">
        <f t="shared" si="70"/>
        <v>CA-2016-144309_OFF-BI-10003656</v>
      </c>
      <c r="E4484" t="str">
        <f>IF(COUNTIF(data2!$D:$D,D4484)=0,"Missing in Data2","Present")</f>
        <v>Present</v>
      </c>
    </row>
    <row r="4485" spans="1:5" x14ac:dyDescent="0.25">
      <c r="A4485" s="2" t="s">
        <v>3980</v>
      </c>
      <c r="B4485" s="2" t="s">
        <v>2062</v>
      </c>
      <c r="C4485" s="2">
        <v>2</v>
      </c>
      <c r="D4485" t="str">
        <f t="shared" si="70"/>
        <v>CA-2016-144309_OFF-PA-10001776</v>
      </c>
      <c r="E4485" t="str">
        <f>IF(COUNTIF(data2!$D:$D,D4485)=0,"Missing in Data2","Present")</f>
        <v>Present</v>
      </c>
    </row>
    <row r="4486" spans="1:5" x14ac:dyDescent="0.25">
      <c r="A4486" s="2" t="s">
        <v>3981</v>
      </c>
      <c r="B4486" s="2" t="s">
        <v>2455</v>
      </c>
      <c r="C4486" s="2">
        <v>2</v>
      </c>
      <c r="D4486" t="str">
        <f t="shared" si="70"/>
        <v>CA-2016-144337_OFF-PA-10000249</v>
      </c>
      <c r="E4486" t="str">
        <f>IF(COUNTIF(data2!$D:$D,D4486)=0,"Missing in Data2","Present")</f>
        <v>Present</v>
      </c>
    </row>
    <row r="4487" spans="1:5" x14ac:dyDescent="0.25">
      <c r="A4487" s="2" t="s">
        <v>3982</v>
      </c>
      <c r="B4487" s="2" t="s">
        <v>3486</v>
      </c>
      <c r="C4487" s="2">
        <v>3</v>
      </c>
      <c r="D4487" t="str">
        <f t="shared" si="70"/>
        <v>CA-2016-144344_FUR-FU-10000076</v>
      </c>
      <c r="E4487" t="str">
        <f>IF(COUNTIF(data2!$D:$D,D4487)=0,"Missing in Data2","Present")</f>
        <v>Present</v>
      </c>
    </row>
    <row r="4488" spans="1:5" x14ac:dyDescent="0.25">
      <c r="A4488" s="2" t="s">
        <v>3982</v>
      </c>
      <c r="B4488" s="2" t="s">
        <v>1781</v>
      </c>
      <c r="C4488" s="2">
        <v>2</v>
      </c>
      <c r="D4488" t="str">
        <f t="shared" si="70"/>
        <v>CA-2016-144344_FUR-FU-10003268</v>
      </c>
      <c r="E4488" t="str">
        <f>IF(COUNTIF(data2!$D:$D,D4488)=0,"Missing in Data2","Present")</f>
        <v>Present</v>
      </c>
    </row>
    <row r="4489" spans="1:5" x14ac:dyDescent="0.25">
      <c r="A4489" s="2" t="s">
        <v>3982</v>
      </c>
      <c r="B4489" s="2" t="s">
        <v>769</v>
      </c>
      <c r="C4489" s="2">
        <v>3</v>
      </c>
      <c r="D4489" t="str">
        <f t="shared" si="70"/>
        <v>CA-2016-144344_FUR-FU-10003553</v>
      </c>
      <c r="E4489" t="str">
        <f>IF(COUNTIF(data2!$D:$D,D4489)=0,"Missing in Data2","Present")</f>
        <v>Present</v>
      </c>
    </row>
    <row r="4490" spans="1:5" x14ac:dyDescent="0.25">
      <c r="A4490" s="2" t="s">
        <v>3982</v>
      </c>
      <c r="B4490" s="2" t="s">
        <v>1121</v>
      </c>
      <c r="C4490" s="2">
        <v>5</v>
      </c>
      <c r="D4490" t="str">
        <f t="shared" si="70"/>
        <v>CA-2016-144344_OFF-BI-10003719</v>
      </c>
      <c r="E4490" t="str">
        <f>IF(COUNTIF(data2!$D:$D,D4490)=0,"Missing in Data2","Present")</f>
        <v>Present</v>
      </c>
    </row>
    <row r="4491" spans="1:5" x14ac:dyDescent="0.25">
      <c r="A4491" s="2" t="s">
        <v>3983</v>
      </c>
      <c r="B4491" s="2" t="s">
        <v>3016</v>
      </c>
      <c r="C4491" s="2">
        <v>3</v>
      </c>
      <c r="D4491" t="str">
        <f t="shared" si="70"/>
        <v>CA-2016-144400_OFF-EN-10004386</v>
      </c>
      <c r="E4491" t="str">
        <f>IF(COUNTIF(data2!$D:$D,D4491)=0,"Missing in Data2","Present")</f>
        <v>Present</v>
      </c>
    </row>
    <row r="4492" spans="1:5" x14ac:dyDescent="0.25">
      <c r="A4492" s="2" t="s">
        <v>3984</v>
      </c>
      <c r="B4492" s="2" t="s">
        <v>3095</v>
      </c>
      <c r="C4492" s="2">
        <v>3</v>
      </c>
      <c r="D4492" t="str">
        <f t="shared" si="70"/>
        <v>CA-2016-144540_OFF-AP-10002457</v>
      </c>
      <c r="E4492" t="str">
        <f>IF(COUNTIF(data2!$D:$D,D4492)=0,"Missing in Data2","Present")</f>
        <v>Present</v>
      </c>
    </row>
    <row r="4493" spans="1:5" x14ac:dyDescent="0.25">
      <c r="A4493" s="2" t="s">
        <v>3984</v>
      </c>
      <c r="B4493" s="2" t="s">
        <v>454</v>
      </c>
      <c r="C4493" s="2">
        <v>9</v>
      </c>
      <c r="D4493" t="str">
        <f t="shared" si="70"/>
        <v>CA-2016-144540_OFF-FA-10002763</v>
      </c>
      <c r="E4493" t="str">
        <f>IF(COUNTIF(data2!$D:$D,D4493)=0,"Missing in Data2","Present")</f>
        <v>Present</v>
      </c>
    </row>
    <row r="4494" spans="1:5" x14ac:dyDescent="0.25">
      <c r="A4494" s="2" t="s">
        <v>3985</v>
      </c>
      <c r="B4494" s="2" t="s">
        <v>507</v>
      </c>
      <c r="C4494" s="2">
        <v>3</v>
      </c>
      <c r="D4494" t="str">
        <f t="shared" si="70"/>
        <v>CA-2016-144554_TEC-AC-10002800</v>
      </c>
      <c r="E4494" t="str">
        <f>IF(COUNTIF(data2!$D:$D,D4494)=0,"Missing in Data2","Present")</f>
        <v>Present</v>
      </c>
    </row>
    <row r="4495" spans="1:5" x14ac:dyDescent="0.25">
      <c r="A4495" s="2" t="s">
        <v>3986</v>
      </c>
      <c r="B4495" s="2" t="s">
        <v>3987</v>
      </c>
      <c r="C4495" s="2">
        <v>2</v>
      </c>
      <c r="D4495" t="str">
        <f t="shared" si="70"/>
        <v>CA-2016-144645_FUR-FU-10003601</v>
      </c>
      <c r="E4495" t="str">
        <f>IF(COUNTIF(data2!$D:$D,D4495)=0,"Missing in Data2","Present")</f>
        <v>Present</v>
      </c>
    </row>
    <row r="4496" spans="1:5" x14ac:dyDescent="0.25">
      <c r="A4496" s="2" t="s">
        <v>3988</v>
      </c>
      <c r="B4496" s="2" t="s">
        <v>2460</v>
      </c>
      <c r="C4496" s="2">
        <v>3</v>
      </c>
      <c r="D4496" t="str">
        <f t="shared" si="70"/>
        <v>CA-2016-144729_OFF-ST-10004804</v>
      </c>
      <c r="E4496" t="str">
        <f>IF(COUNTIF(data2!$D:$D,D4496)=0,"Missing in Data2","Present")</f>
        <v>Present</v>
      </c>
    </row>
    <row r="4497" spans="1:5" x14ac:dyDescent="0.25">
      <c r="A4497" s="2" t="s">
        <v>3989</v>
      </c>
      <c r="B4497" s="2" t="s">
        <v>3070</v>
      </c>
      <c r="C4497" s="2">
        <v>2</v>
      </c>
      <c r="D4497" t="str">
        <f t="shared" si="70"/>
        <v>CA-2016-144764_OFF-ST-10002485</v>
      </c>
      <c r="E4497" t="str">
        <f>IF(COUNTIF(data2!$D:$D,D4497)=0,"Missing in Data2","Present")</f>
        <v>Present</v>
      </c>
    </row>
    <row r="4498" spans="1:5" x14ac:dyDescent="0.25">
      <c r="A4498" s="2" t="s">
        <v>3989</v>
      </c>
      <c r="B4498" s="2" t="s">
        <v>3990</v>
      </c>
      <c r="C4498" s="2">
        <v>3</v>
      </c>
      <c r="D4498" t="str">
        <f t="shared" si="70"/>
        <v>CA-2016-144764_TEC-MA-10003230</v>
      </c>
      <c r="E4498" t="str">
        <f>IF(COUNTIF(data2!$D:$D,D4498)=0,"Missing in Data2","Present")</f>
        <v>Present</v>
      </c>
    </row>
    <row r="4499" spans="1:5" x14ac:dyDescent="0.25">
      <c r="A4499" s="2" t="s">
        <v>3991</v>
      </c>
      <c r="B4499" s="2" t="s">
        <v>1669</v>
      </c>
      <c r="C4499" s="2">
        <v>3</v>
      </c>
      <c r="D4499" t="str">
        <f t="shared" si="70"/>
        <v>CA-2016-144785_OFF-AR-10001573</v>
      </c>
      <c r="E4499" t="str">
        <f>IF(COUNTIF(data2!$D:$D,D4499)=0,"Missing in Data2","Present")</f>
        <v>Present</v>
      </c>
    </row>
    <row r="4500" spans="1:5" x14ac:dyDescent="0.25">
      <c r="A4500" s="2" t="s">
        <v>3991</v>
      </c>
      <c r="B4500" s="2" t="s">
        <v>355</v>
      </c>
      <c r="C4500" s="2">
        <v>1</v>
      </c>
      <c r="D4500" t="str">
        <f t="shared" si="70"/>
        <v>CA-2016-144785_OFF-SU-10004290</v>
      </c>
      <c r="E4500" t="str">
        <f>IF(COUNTIF(data2!$D:$D,D4500)=0,"Missing in Data2","Present")</f>
        <v>Present</v>
      </c>
    </row>
    <row r="4501" spans="1:5" x14ac:dyDescent="0.25">
      <c r="A4501" s="2" t="s">
        <v>3992</v>
      </c>
      <c r="B4501" s="2" t="s">
        <v>359</v>
      </c>
      <c r="C4501" s="2">
        <v>7</v>
      </c>
      <c r="D4501" t="str">
        <f t="shared" si="70"/>
        <v>CA-2016-144792_FUR-FU-10002759</v>
      </c>
      <c r="E4501" t="str">
        <f>IF(COUNTIF(data2!$D:$D,D4501)=0,"Missing in Data2","Present")</f>
        <v>Present</v>
      </c>
    </row>
    <row r="4502" spans="1:5" x14ac:dyDescent="0.25">
      <c r="A4502" s="2" t="s">
        <v>3993</v>
      </c>
      <c r="B4502" s="2" t="s">
        <v>1849</v>
      </c>
      <c r="C4502" s="2">
        <v>2</v>
      </c>
      <c r="D4502" t="str">
        <f t="shared" si="70"/>
        <v>CA-2016-144855_OFF-LA-10003766</v>
      </c>
      <c r="E4502" t="str">
        <f>IF(COUNTIF(data2!$D:$D,D4502)=0,"Missing in Data2","Present")</f>
        <v>Present</v>
      </c>
    </row>
    <row r="4503" spans="1:5" x14ac:dyDescent="0.25">
      <c r="A4503" s="2" t="s">
        <v>3994</v>
      </c>
      <c r="B4503" s="2" t="s">
        <v>859</v>
      </c>
      <c r="C4503" s="2">
        <v>5</v>
      </c>
      <c r="D4503" t="str">
        <f t="shared" si="70"/>
        <v>CA-2016-144911_OFF-BI-10000977</v>
      </c>
      <c r="E4503" t="str">
        <f>IF(COUNTIF(data2!$D:$D,D4503)=0,"Missing in Data2","Present")</f>
        <v>Present</v>
      </c>
    </row>
    <row r="4504" spans="1:5" x14ac:dyDescent="0.25">
      <c r="A4504" s="2" t="s">
        <v>3994</v>
      </c>
      <c r="B4504" s="2" t="s">
        <v>1007</v>
      </c>
      <c r="C4504" s="2">
        <v>5</v>
      </c>
      <c r="D4504" t="str">
        <f t="shared" si="70"/>
        <v>CA-2016-144911_TEC-AC-10004633</v>
      </c>
      <c r="E4504" t="str">
        <f>IF(COUNTIF(data2!$D:$D,D4504)=0,"Missing in Data2","Present")</f>
        <v>Present</v>
      </c>
    </row>
    <row r="4505" spans="1:5" x14ac:dyDescent="0.25">
      <c r="A4505" s="2" t="s">
        <v>3995</v>
      </c>
      <c r="B4505" s="2" t="s">
        <v>2190</v>
      </c>
      <c r="C4505" s="2">
        <v>6</v>
      </c>
      <c r="D4505" t="str">
        <f t="shared" si="70"/>
        <v>CA-2016-144939_FUR-CH-10003199</v>
      </c>
      <c r="E4505" t="str">
        <f>IF(COUNTIF(data2!$D:$D,D4505)=0,"Missing in Data2","Present")</f>
        <v>Present</v>
      </c>
    </row>
    <row r="4506" spans="1:5" x14ac:dyDescent="0.25">
      <c r="A4506" s="2" t="s">
        <v>3996</v>
      </c>
      <c r="B4506" s="2" t="s">
        <v>1803</v>
      </c>
      <c r="C4506" s="2">
        <v>3</v>
      </c>
      <c r="D4506" t="str">
        <f t="shared" si="70"/>
        <v>CA-2016-145009_OFF-LA-10004853</v>
      </c>
      <c r="E4506" t="str">
        <f>IF(COUNTIF(data2!$D:$D,D4506)=0,"Missing in Data2","Present")</f>
        <v>Present</v>
      </c>
    </row>
    <row r="4507" spans="1:5" x14ac:dyDescent="0.25">
      <c r="A4507" s="2" t="s">
        <v>3997</v>
      </c>
      <c r="B4507" s="2" t="s">
        <v>1952</v>
      </c>
      <c r="C4507" s="2">
        <v>2</v>
      </c>
      <c r="D4507" t="str">
        <f t="shared" si="70"/>
        <v>CA-2016-145135_OFF-PA-10004285</v>
      </c>
      <c r="E4507" t="str">
        <f>IF(COUNTIF(data2!$D:$D,D4507)=0,"Missing in Data2","Present")</f>
        <v>Present</v>
      </c>
    </row>
    <row r="4508" spans="1:5" x14ac:dyDescent="0.25">
      <c r="A4508" s="2" t="s">
        <v>3997</v>
      </c>
      <c r="B4508" s="2" t="s">
        <v>1619</v>
      </c>
      <c r="C4508" s="2">
        <v>3</v>
      </c>
      <c r="D4508" t="str">
        <f t="shared" si="70"/>
        <v>CA-2016-145135_TEC-AC-10003447</v>
      </c>
      <c r="E4508" t="str">
        <f>IF(COUNTIF(data2!$D:$D,D4508)=0,"Missing in Data2","Present")</f>
        <v>Present</v>
      </c>
    </row>
    <row r="4509" spans="1:5" x14ac:dyDescent="0.25">
      <c r="A4509" s="2" t="s">
        <v>3998</v>
      </c>
      <c r="B4509" s="2" t="s">
        <v>669</v>
      </c>
      <c r="C4509" s="2">
        <v>7</v>
      </c>
      <c r="D4509" t="str">
        <f t="shared" si="70"/>
        <v>CA-2016-145177_FUR-FU-10000758</v>
      </c>
      <c r="E4509" t="str">
        <f>IF(COUNTIF(data2!$D:$D,D4509)=0,"Missing in Data2","Present")</f>
        <v>Present</v>
      </c>
    </row>
    <row r="4510" spans="1:5" x14ac:dyDescent="0.25">
      <c r="A4510" s="2" t="s">
        <v>3998</v>
      </c>
      <c r="B4510" s="2" t="s">
        <v>3095</v>
      </c>
      <c r="C4510" s="2">
        <v>4</v>
      </c>
      <c r="D4510" t="str">
        <f t="shared" si="70"/>
        <v>CA-2016-145177_OFF-AP-10002457</v>
      </c>
      <c r="E4510" t="str">
        <f>IF(COUNTIF(data2!$D:$D,D4510)=0,"Missing in Data2","Present")</f>
        <v>Present</v>
      </c>
    </row>
    <row r="4511" spans="1:5" x14ac:dyDescent="0.25">
      <c r="A4511" s="2" t="s">
        <v>3998</v>
      </c>
      <c r="B4511" s="2" t="s">
        <v>1961</v>
      </c>
      <c r="C4511" s="2">
        <v>7</v>
      </c>
      <c r="D4511" t="str">
        <f t="shared" si="70"/>
        <v>CA-2016-145177_OFF-BI-10002082</v>
      </c>
      <c r="E4511" t="str">
        <f>IF(COUNTIF(data2!$D:$D,D4511)=0,"Missing in Data2","Present")</f>
        <v>Present</v>
      </c>
    </row>
    <row r="4512" spans="1:5" x14ac:dyDescent="0.25">
      <c r="A4512" s="2" t="s">
        <v>3998</v>
      </c>
      <c r="B4512" s="2" t="s">
        <v>776</v>
      </c>
      <c r="C4512" s="2">
        <v>4</v>
      </c>
      <c r="D4512" t="str">
        <f t="shared" si="70"/>
        <v>CA-2016-145177_OFF-LA-10001613</v>
      </c>
      <c r="E4512" t="str">
        <f>IF(COUNTIF(data2!$D:$D,D4512)=0,"Missing in Data2","Present")</f>
        <v>Present</v>
      </c>
    </row>
    <row r="4513" spans="1:5" x14ac:dyDescent="0.25">
      <c r="A4513" s="2" t="s">
        <v>3998</v>
      </c>
      <c r="B4513" s="2" t="s">
        <v>3999</v>
      </c>
      <c r="C4513" s="2">
        <v>1</v>
      </c>
      <c r="D4513" t="str">
        <f t="shared" si="70"/>
        <v>CA-2016-145177_OFF-PA-10000682</v>
      </c>
      <c r="E4513" t="str">
        <f>IF(COUNTIF(data2!$D:$D,D4513)=0,"Missing in Data2","Present")</f>
        <v>Present</v>
      </c>
    </row>
    <row r="4514" spans="1:5" x14ac:dyDescent="0.25">
      <c r="A4514" s="2" t="s">
        <v>3998</v>
      </c>
      <c r="B4514" s="2" t="s">
        <v>2062</v>
      </c>
      <c r="C4514" s="2">
        <v>3</v>
      </c>
      <c r="D4514" t="str">
        <f t="shared" si="70"/>
        <v>CA-2016-145177_OFF-PA-10001776</v>
      </c>
      <c r="E4514" t="str">
        <f>IF(COUNTIF(data2!$D:$D,D4514)=0,"Missing in Data2","Present")</f>
        <v>Missing in Data2</v>
      </c>
    </row>
    <row r="4515" spans="1:5" x14ac:dyDescent="0.25">
      <c r="A4515" s="2" t="s">
        <v>3998</v>
      </c>
      <c r="B4515" s="2" t="s">
        <v>3791</v>
      </c>
      <c r="C4515" s="2">
        <v>2</v>
      </c>
      <c r="D4515" t="str">
        <f t="shared" si="70"/>
        <v>CA-2016-145177_OFF-PA-10004039</v>
      </c>
      <c r="E4515" t="str">
        <f>IF(COUNTIF(data2!$D:$D,D4515)=0,"Missing in Data2","Present")</f>
        <v>Present</v>
      </c>
    </row>
    <row r="4516" spans="1:5" x14ac:dyDescent="0.25">
      <c r="A4516" s="2" t="s">
        <v>3998</v>
      </c>
      <c r="B4516" s="2" t="s">
        <v>1055</v>
      </c>
      <c r="C4516" s="2">
        <v>7</v>
      </c>
      <c r="D4516" t="str">
        <f t="shared" si="70"/>
        <v>CA-2016-145177_TEC-AC-10002550</v>
      </c>
      <c r="E4516" t="str">
        <f>IF(COUNTIF(data2!$D:$D,D4516)=0,"Missing in Data2","Present")</f>
        <v>Present</v>
      </c>
    </row>
    <row r="4517" spans="1:5" x14ac:dyDescent="0.25">
      <c r="A4517" s="2" t="s">
        <v>3998</v>
      </c>
      <c r="B4517" s="2" t="s">
        <v>614</v>
      </c>
      <c r="C4517" s="2">
        <v>7</v>
      </c>
      <c r="D4517" t="str">
        <f t="shared" si="70"/>
        <v>CA-2016-145177_TEC-PH-10000376</v>
      </c>
      <c r="E4517" t="str">
        <f>IF(COUNTIF(data2!$D:$D,D4517)=0,"Missing in Data2","Present")</f>
        <v>Missing in Data2</v>
      </c>
    </row>
    <row r="4518" spans="1:5" x14ac:dyDescent="0.25">
      <c r="A4518" s="2" t="s">
        <v>4000</v>
      </c>
      <c r="B4518" s="2" t="s">
        <v>2282</v>
      </c>
      <c r="C4518" s="2">
        <v>1</v>
      </c>
      <c r="D4518" t="str">
        <f t="shared" si="70"/>
        <v>CA-2016-145240_OFF-ST-10001590</v>
      </c>
      <c r="E4518" t="str">
        <f>IF(COUNTIF(data2!$D:$D,D4518)=0,"Missing in Data2","Present")</f>
        <v>Present</v>
      </c>
    </row>
    <row r="4519" spans="1:5" x14ac:dyDescent="0.25">
      <c r="A4519" s="2" t="s">
        <v>4001</v>
      </c>
      <c r="B4519" s="2" t="s">
        <v>884</v>
      </c>
      <c r="C4519" s="2">
        <v>3</v>
      </c>
      <c r="D4519" t="str">
        <f t="shared" si="70"/>
        <v>CA-2016-145247_OFF-PA-10003641</v>
      </c>
      <c r="E4519" t="str">
        <f>IF(COUNTIF(data2!$D:$D,D4519)=0,"Missing in Data2","Present")</f>
        <v>Present</v>
      </c>
    </row>
    <row r="4520" spans="1:5" x14ac:dyDescent="0.25">
      <c r="A4520" s="2" t="s">
        <v>4002</v>
      </c>
      <c r="B4520" s="2" t="s">
        <v>1996</v>
      </c>
      <c r="C4520" s="2">
        <v>5</v>
      </c>
      <c r="D4520" t="str">
        <f t="shared" si="70"/>
        <v>CA-2016-145261_FUR-TA-10002530</v>
      </c>
      <c r="E4520" t="str">
        <f>IF(COUNTIF(data2!$D:$D,D4520)=0,"Missing in Data2","Present")</f>
        <v>Present</v>
      </c>
    </row>
    <row r="4521" spans="1:5" x14ac:dyDescent="0.25">
      <c r="A4521" s="2" t="s">
        <v>4002</v>
      </c>
      <c r="B4521" s="2" t="s">
        <v>1096</v>
      </c>
      <c r="C4521" s="2">
        <v>4</v>
      </c>
      <c r="D4521" t="str">
        <f t="shared" si="70"/>
        <v>CA-2016-145261_OFF-AR-10004078</v>
      </c>
      <c r="E4521" t="str">
        <f>IF(COUNTIF(data2!$D:$D,D4521)=0,"Missing in Data2","Present")</f>
        <v>Present</v>
      </c>
    </row>
    <row r="4522" spans="1:5" x14ac:dyDescent="0.25">
      <c r="A4522" s="2" t="s">
        <v>4002</v>
      </c>
      <c r="B4522" s="2" t="s">
        <v>267</v>
      </c>
      <c r="C4522" s="2">
        <v>4</v>
      </c>
      <c r="D4522" t="str">
        <f t="shared" si="70"/>
        <v>CA-2016-145261_OFF-BI-10001670</v>
      </c>
      <c r="E4522" t="str">
        <f>IF(COUNTIF(data2!$D:$D,D4522)=0,"Missing in Data2","Present")</f>
        <v>Present</v>
      </c>
    </row>
    <row r="4523" spans="1:5" x14ac:dyDescent="0.25">
      <c r="A4523" s="2" t="s">
        <v>4002</v>
      </c>
      <c r="B4523" s="2" t="s">
        <v>1593</v>
      </c>
      <c r="C4523" s="2">
        <v>4</v>
      </c>
      <c r="D4523" t="str">
        <f t="shared" si="70"/>
        <v>CA-2016-145261_OFF-LA-10000407</v>
      </c>
      <c r="E4523" t="str">
        <f>IF(COUNTIF(data2!$D:$D,D4523)=0,"Missing in Data2","Present")</f>
        <v>Present</v>
      </c>
    </row>
    <row r="4524" spans="1:5" x14ac:dyDescent="0.25">
      <c r="A4524" s="2" t="s">
        <v>4002</v>
      </c>
      <c r="B4524" s="2" t="s">
        <v>475</v>
      </c>
      <c r="C4524" s="2">
        <v>2</v>
      </c>
      <c r="D4524" t="str">
        <f t="shared" si="70"/>
        <v>CA-2016-145261_OFF-PA-10003036</v>
      </c>
      <c r="E4524" t="str">
        <f>IF(COUNTIF(data2!$D:$D,D4524)=0,"Missing in Data2","Present")</f>
        <v>Present</v>
      </c>
    </row>
    <row r="4525" spans="1:5" x14ac:dyDescent="0.25">
      <c r="A4525" s="2" t="s">
        <v>4002</v>
      </c>
      <c r="B4525" s="2" t="s">
        <v>4003</v>
      </c>
      <c r="C4525" s="2">
        <v>3</v>
      </c>
      <c r="D4525" t="str">
        <f t="shared" si="70"/>
        <v>CA-2016-145261_TEC-AC-10000991</v>
      </c>
      <c r="E4525" t="str">
        <f>IF(COUNTIF(data2!$D:$D,D4525)=0,"Missing in Data2","Present")</f>
        <v>Missing in Data2</v>
      </c>
    </row>
    <row r="4526" spans="1:5" x14ac:dyDescent="0.25">
      <c r="A4526" s="2" t="s">
        <v>4002</v>
      </c>
      <c r="B4526" s="2" t="s">
        <v>3748</v>
      </c>
      <c r="C4526" s="2">
        <v>3</v>
      </c>
      <c r="D4526" t="str">
        <f t="shared" si="70"/>
        <v>CA-2016-145261_TEC-PH-10004833</v>
      </c>
      <c r="E4526" t="str">
        <f>IF(COUNTIF(data2!$D:$D,D4526)=0,"Missing in Data2","Present")</f>
        <v>Present</v>
      </c>
    </row>
    <row r="4527" spans="1:5" x14ac:dyDescent="0.25">
      <c r="A4527" s="2" t="s">
        <v>4004</v>
      </c>
      <c r="B4527" s="2" t="s">
        <v>635</v>
      </c>
      <c r="C4527" s="2">
        <v>2</v>
      </c>
      <c r="D4527" t="str">
        <f t="shared" si="70"/>
        <v>CA-2016-145303_FUR-BO-10003159</v>
      </c>
      <c r="E4527" t="str">
        <f>IF(COUNTIF(data2!$D:$D,D4527)=0,"Missing in Data2","Present")</f>
        <v>Present</v>
      </c>
    </row>
    <row r="4528" spans="1:5" x14ac:dyDescent="0.25">
      <c r="A4528" s="2" t="s">
        <v>4004</v>
      </c>
      <c r="B4528" s="2" t="s">
        <v>211</v>
      </c>
      <c r="C4528" s="2">
        <v>9</v>
      </c>
      <c r="D4528" t="str">
        <f t="shared" si="70"/>
        <v>CA-2016-145303_OFF-BI-10000050</v>
      </c>
      <c r="E4528" t="str">
        <f>IF(COUNTIF(data2!$D:$D,D4528)=0,"Missing in Data2","Present")</f>
        <v>Present</v>
      </c>
    </row>
    <row r="4529" spans="1:5" x14ac:dyDescent="0.25">
      <c r="A4529" s="2" t="s">
        <v>4004</v>
      </c>
      <c r="B4529" s="2" t="s">
        <v>4005</v>
      </c>
      <c r="C4529" s="2">
        <v>4</v>
      </c>
      <c r="D4529" t="str">
        <f t="shared" si="70"/>
        <v>CA-2016-145303_OFF-BI-10002414</v>
      </c>
      <c r="E4529" t="str">
        <f>IF(COUNTIF(data2!$D:$D,D4529)=0,"Missing in Data2","Present")</f>
        <v>Present</v>
      </c>
    </row>
    <row r="4530" spans="1:5" x14ac:dyDescent="0.25">
      <c r="A4530" s="2" t="s">
        <v>4006</v>
      </c>
      <c r="B4530" s="2" t="s">
        <v>1058</v>
      </c>
      <c r="C4530" s="2">
        <v>12</v>
      </c>
      <c r="D4530" t="str">
        <f t="shared" si="70"/>
        <v>CA-2016-145492_OFF-AP-10003622</v>
      </c>
      <c r="E4530" t="str">
        <f>IF(COUNTIF(data2!$D:$D,D4530)=0,"Missing in Data2","Present")</f>
        <v>Present</v>
      </c>
    </row>
    <row r="4531" spans="1:5" x14ac:dyDescent="0.25">
      <c r="A4531" s="2" t="s">
        <v>4007</v>
      </c>
      <c r="B4531" s="2" t="s">
        <v>1906</v>
      </c>
      <c r="C4531" s="2">
        <v>2</v>
      </c>
      <c r="D4531" t="str">
        <f t="shared" si="70"/>
        <v>CA-2016-145499_OFF-BI-10000848</v>
      </c>
      <c r="E4531" t="str">
        <f>IF(COUNTIF(data2!$D:$D,D4531)=0,"Missing in Data2","Present")</f>
        <v>Present</v>
      </c>
    </row>
    <row r="4532" spans="1:5" x14ac:dyDescent="0.25">
      <c r="A4532" s="2" t="s">
        <v>4008</v>
      </c>
      <c r="B4532" s="2" t="s">
        <v>373</v>
      </c>
      <c r="C4532" s="2">
        <v>3</v>
      </c>
      <c r="D4532" t="str">
        <f t="shared" si="70"/>
        <v>CA-2016-145548_FUR-CH-10003774</v>
      </c>
      <c r="E4532" t="str">
        <f>IF(COUNTIF(data2!$D:$D,D4532)=0,"Missing in Data2","Present")</f>
        <v>Present</v>
      </c>
    </row>
    <row r="4533" spans="1:5" x14ac:dyDescent="0.25">
      <c r="A4533" s="2" t="s">
        <v>4008</v>
      </c>
      <c r="B4533" s="2" t="s">
        <v>1700</v>
      </c>
      <c r="C4533" s="2">
        <v>3</v>
      </c>
      <c r="D4533" t="str">
        <f t="shared" si="70"/>
        <v>CA-2016-145548_OFF-AR-10003373</v>
      </c>
      <c r="E4533" t="str">
        <f>IF(COUNTIF(data2!$D:$D,D4533)=0,"Missing in Data2","Present")</f>
        <v>Present</v>
      </c>
    </row>
    <row r="4534" spans="1:5" x14ac:dyDescent="0.25">
      <c r="A4534" s="2" t="s">
        <v>4008</v>
      </c>
      <c r="B4534" s="2" t="s">
        <v>1954</v>
      </c>
      <c r="C4534" s="2">
        <v>3</v>
      </c>
      <c r="D4534" t="str">
        <f t="shared" si="70"/>
        <v>CA-2016-145548_OFF-BI-10001510</v>
      </c>
      <c r="E4534" t="str">
        <f>IF(COUNTIF(data2!$D:$D,D4534)=0,"Missing in Data2","Present")</f>
        <v>Present</v>
      </c>
    </row>
    <row r="4535" spans="1:5" x14ac:dyDescent="0.25">
      <c r="A4535" s="2" t="s">
        <v>4008</v>
      </c>
      <c r="B4535" s="2" t="s">
        <v>2913</v>
      </c>
      <c r="C4535" s="2">
        <v>3</v>
      </c>
      <c r="D4535" t="str">
        <f t="shared" si="70"/>
        <v>CA-2016-145548_OFF-BI-10004236</v>
      </c>
      <c r="E4535" t="str">
        <f>IF(COUNTIF(data2!$D:$D,D4535)=0,"Missing in Data2","Present")</f>
        <v>Present</v>
      </c>
    </row>
    <row r="4536" spans="1:5" x14ac:dyDescent="0.25">
      <c r="A4536" s="2" t="s">
        <v>4008</v>
      </c>
      <c r="B4536" s="2" t="s">
        <v>1660</v>
      </c>
      <c r="C4536" s="2">
        <v>3</v>
      </c>
      <c r="D4536" t="str">
        <f t="shared" si="70"/>
        <v>CA-2016-145548_OFF-ST-10002562</v>
      </c>
      <c r="E4536" t="str">
        <f>IF(COUNTIF(data2!$D:$D,D4536)=0,"Missing in Data2","Present")</f>
        <v>Missing in Data2</v>
      </c>
    </row>
    <row r="4537" spans="1:5" x14ac:dyDescent="0.25">
      <c r="A4537" s="2" t="s">
        <v>4008</v>
      </c>
      <c r="B4537" s="2" t="s">
        <v>3087</v>
      </c>
      <c r="C4537" s="2">
        <v>2</v>
      </c>
      <c r="D4537" t="str">
        <f t="shared" si="70"/>
        <v>CA-2016-145548_TEC-AC-10002305</v>
      </c>
      <c r="E4537" t="str">
        <f>IF(COUNTIF(data2!$D:$D,D4537)=0,"Missing in Data2","Present")</f>
        <v>Present</v>
      </c>
    </row>
    <row r="4538" spans="1:5" x14ac:dyDescent="0.25">
      <c r="A4538" s="2" t="s">
        <v>4009</v>
      </c>
      <c r="B4538" s="2" t="s">
        <v>456</v>
      </c>
      <c r="C4538" s="2">
        <v>14</v>
      </c>
      <c r="D4538" t="str">
        <f t="shared" si="70"/>
        <v>CA-2016-145583_FUR-FU-10001706</v>
      </c>
      <c r="E4538" t="str">
        <f>IF(COUNTIF(data2!$D:$D,D4538)=0,"Missing in Data2","Present")</f>
        <v>Present</v>
      </c>
    </row>
    <row r="4539" spans="1:5" x14ac:dyDescent="0.25">
      <c r="A4539" s="2" t="s">
        <v>4009</v>
      </c>
      <c r="B4539" s="2" t="s">
        <v>681</v>
      </c>
      <c r="C4539" s="2">
        <v>4</v>
      </c>
      <c r="D4539" t="str">
        <f t="shared" si="70"/>
        <v>CA-2016-145583_OFF-AR-10001149</v>
      </c>
      <c r="E4539" t="str">
        <f>IF(COUNTIF(data2!$D:$D,D4539)=0,"Missing in Data2","Present")</f>
        <v>Present</v>
      </c>
    </row>
    <row r="4540" spans="1:5" x14ac:dyDescent="0.25">
      <c r="A4540" s="2" t="s">
        <v>4009</v>
      </c>
      <c r="B4540" s="2" t="s">
        <v>1907</v>
      </c>
      <c r="C4540" s="2">
        <v>3</v>
      </c>
      <c r="D4540" t="str">
        <f t="shared" si="70"/>
        <v>CA-2016-145583_OFF-BI-10004781</v>
      </c>
      <c r="E4540" t="str">
        <f>IF(COUNTIF(data2!$D:$D,D4540)=0,"Missing in Data2","Present")</f>
        <v>Present</v>
      </c>
    </row>
    <row r="4541" spans="1:5" x14ac:dyDescent="0.25">
      <c r="A4541" s="2" t="s">
        <v>4009</v>
      </c>
      <c r="B4541" s="2" t="s">
        <v>1808</v>
      </c>
      <c r="C4541" s="2">
        <v>2</v>
      </c>
      <c r="D4541" t="str">
        <f t="shared" si="70"/>
        <v>CA-2016-145583_OFF-FA-10002988</v>
      </c>
      <c r="E4541" t="str">
        <f>IF(COUNTIF(data2!$D:$D,D4541)=0,"Missing in Data2","Present")</f>
        <v>Present</v>
      </c>
    </row>
    <row r="4542" spans="1:5" x14ac:dyDescent="0.25">
      <c r="A4542" s="2" t="s">
        <v>4009</v>
      </c>
      <c r="B4542" s="2" t="s">
        <v>3291</v>
      </c>
      <c r="C4542" s="2">
        <v>1</v>
      </c>
      <c r="D4542" t="str">
        <f t="shared" si="70"/>
        <v>CA-2016-145583_OFF-PA-10001736</v>
      </c>
      <c r="E4542" t="str">
        <f>IF(COUNTIF(data2!$D:$D,D4542)=0,"Missing in Data2","Present")</f>
        <v>Present</v>
      </c>
    </row>
    <row r="4543" spans="1:5" x14ac:dyDescent="0.25">
      <c r="A4543" s="2" t="s">
        <v>4009</v>
      </c>
      <c r="B4543" s="2" t="s">
        <v>1875</v>
      </c>
      <c r="C4543" s="2">
        <v>6</v>
      </c>
      <c r="D4543" t="str">
        <f t="shared" si="70"/>
        <v>CA-2016-145583_OFF-SU-10001218</v>
      </c>
      <c r="E4543" t="str">
        <f>IF(COUNTIF(data2!$D:$D,D4543)=0,"Missing in Data2","Present")</f>
        <v>Present</v>
      </c>
    </row>
    <row r="4544" spans="1:5" x14ac:dyDescent="0.25">
      <c r="A4544" s="2" t="s">
        <v>4010</v>
      </c>
      <c r="B4544" s="2" t="s">
        <v>136</v>
      </c>
      <c r="C4544" s="2">
        <v>5</v>
      </c>
      <c r="D4544" t="str">
        <f t="shared" si="70"/>
        <v>CA-2016-145611_OFF-AP-10001005</v>
      </c>
      <c r="E4544" t="str">
        <f>IF(COUNTIF(data2!$D:$D,D4544)=0,"Missing in Data2","Present")</f>
        <v>Present</v>
      </c>
    </row>
    <row r="4545" spans="1:5" x14ac:dyDescent="0.25">
      <c r="A4545" s="2" t="s">
        <v>4011</v>
      </c>
      <c r="B4545" s="2" t="s">
        <v>1184</v>
      </c>
      <c r="C4545" s="2">
        <v>1</v>
      </c>
      <c r="D4545" t="str">
        <f t="shared" si="70"/>
        <v>CA-2016-145625_OFF-PA-10004569</v>
      </c>
      <c r="E4545" t="str">
        <f>IF(COUNTIF(data2!$D:$D,D4545)=0,"Missing in Data2","Present")</f>
        <v>Present</v>
      </c>
    </row>
    <row r="4546" spans="1:5" x14ac:dyDescent="0.25">
      <c r="A4546" s="2" t="s">
        <v>4011</v>
      </c>
      <c r="B4546" s="2" t="s">
        <v>877</v>
      </c>
      <c r="C4546" s="2">
        <v>13</v>
      </c>
      <c r="D4546" t="str">
        <f t="shared" si="70"/>
        <v>CA-2016-145625_TEC-AC-10003832</v>
      </c>
      <c r="E4546" t="str">
        <f>IF(COUNTIF(data2!$D:$D,D4546)=0,"Missing in Data2","Present")</f>
        <v>Present</v>
      </c>
    </row>
    <row r="4547" spans="1:5" x14ac:dyDescent="0.25">
      <c r="A4547" s="2" t="s">
        <v>4012</v>
      </c>
      <c r="B4547" s="2" t="s">
        <v>2254</v>
      </c>
      <c r="C4547" s="2">
        <v>3</v>
      </c>
      <c r="D4547" t="str">
        <f t="shared" ref="D4547:D4610" si="71">A4547&amp;"_"&amp;B4547</f>
        <v>CA-2016-145709_FUR-FU-10002885</v>
      </c>
      <c r="E4547" t="str">
        <f>IF(COUNTIF(data2!$D:$D,D4547)=0,"Missing in Data2","Present")</f>
        <v>Present</v>
      </c>
    </row>
    <row r="4548" spans="1:5" x14ac:dyDescent="0.25">
      <c r="A4548" s="2" t="s">
        <v>4012</v>
      </c>
      <c r="B4548" s="2" t="s">
        <v>934</v>
      </c>
      <c r="C4548" s="2">
        <v>3</v>
      </c>
      <c r="D4548" t="str">
        <f t="shared" si="71"/>
        <v>CA-2016-145709_TEC-PH-10003095</v>
      </c>
      <c r="E4548" t="str">
        <f>IF(COUNTIF(data2!$D:$D,D4548)=0,"Missing in Data2","Present")</f>
        <v>Present</v>
      </c>
    </row>
    <row r="4549" spans="1:5" x14ac:dyDescent="0.25">
      <c r="A4549" s="2" t="s">
        <v>4013</v>
      </c>
      <c r="B4549" s="2" t="s">
        <v>3246</v>
      </c>
      <c r="C4549" s="2">
        <v>3</v>
      </c>
      <c r="D4549" t="str">
        <f t="shared" si="71"/>
        <v>CA-2016-145730_FUR-TA-10004915</v>
      </c>
      <c r="E4549" t="str">
        <f>IF(COUNTIF(data2!$D:$D,D4549)=0,"Missing in Data2","Present")</f>
        <v>Present</v>
      </c>
    </row>
    <row r="4550" spans="1:5" x14ac:dyDescent="0.25">
      <c r="A4550" s="2" t="s">
        <v>4013</v>
      </c>
      <c r="B4550" s="2" t="s">
        <v>2574</v>
      </c>
      <c r="C4550" s="2">
        <v>3</v>
      </c>
      <c r="D4550" t="str">
        <f t="shared" si="71"/>
        <v>CA-2016-145730_OFF-EN-10000483</v>
      </c>
      <c r="E4550" t="str">
        <f>IF(COUNTIF(data2!$D:$D,D4550)=0,"Missing in Data2","Present")</f>
        <v>Present</v>
      </c>
    </row>
    <row r="4551" spans="1:5" x14ac:dyDescent="0.25">
      <c r="A4551" s="2" t="s">
        <v>4013</v>
      </c>
      <c r="B4551" s="2" t="s">
        <v>3074</v>
      </c>
      <c r="C4551" s="2">
        <v>3</v>
      </c>
      <c r="D4551" t="str">
        <f t="shared" si="71"/>
        <v>CA-2016-145730_TEC-MA-10001016</v>
      </c>
      <c r="E4551" t="str">
        <f>IF(COUNTIF(data2!$D:$D,D4551)=0,"Missing in Data2","Present")</f>
        <v>Missing in Data2</v>
      </c>
    </row>
    <row r="4552" spans="1:5" x14ac:dyDescent="0.25">
      <c r="A4552" s="2" t="s">
        <v>4014</v>
      </c>
      <c r="B4552" s="2" t="s">
        <v>1827</v>
      </c>
      <c r="C4552" s="2">
        <v>3</v>
      </c>
      <c r="D4552" t="str">
        <f t="shared" si="71"/>
        <v>CA-2016-145842_OFF-ST-10000419</v>
      </c>
      <c r="E4552" t="str">
        <f>IF(COUNTIF(data2!$D:$D,D4552)=0,"Missing in Data2","Present")</f>
        <v>Present</v>
      </c>
    </row>
    <row r="4553" spans="1:5" x14ac:dyDescent="0.25">
      <c r="A4553" s="2" t="s">
        <v>4015</v>
      </c>
      <c r="B4553" s="2" t="s">
        <v>889</v>
      </c>
      <c r="C4553" s="2">
        <v>5</v>
      </c>
      <c r="D4553" t="str">
        <f t="shared" si="71"/>
        <v>CA-2016-145898_OFF-AR-10002445</v>
      </c>
      <c r="E4553" t="str">
        <f>IF(COUNTIF(data2!$D:$D,D4553)=0,"Missing in Data2","Present")</f>
        <v>Present</v>
      </c>
    </row>
    <row r="4554" spans="1:5" x14ac:dyDescent="0.25">
      <c r="A4554" s="2" t="s">
        <v>4015</v>
      </c>
      <c r="B4554" s="2" t="s">
        <v>379</v>
      </c>
      <c r="C4554" s="2">
        <v>3</v>
      </c>
      <c r="D4554" t="str">
        <f t="shared" si="71"/>
        <v>CA-2016-145898_OFF-LA-10000262</v>
      </c>
      <c r="E4554" t="str">
        <f>IF(COUNTIF(data2!$D:$D,D4554)=0,"Missing in Data2","Present")</f>
        <v>Present</v>
      </c>
    </row>
    <row r="4555" spans="1:5" x14ac:dyDescent="0.25">
      <c r="A4555" s="2" t="s">
        <v>4015</v>
      </c>
      <c r="B4555" s="2" t="s">
        <v>1250</v>
      </c>
      <c r="C4555" s="2">
        <v>5</v>
      </c>
      <c r="D4555" t="str">
        <f t="shared" si="71"/>
        <v>CA-2016-145898_OFF-PA-10001667</v>
      </c>
      <c r="E4555" t="str">
        <f>IF(COUNTIF(data2!$D:$D,D4555)=0,"Missing in Data2","Present")</f>
        <v>Present</v>
      </c>
    </row>
    <row r="4556" spans="1:5" x14ac:dyDescent="0.25">
      <c r="A4556" s="2" t="s">
        <v>4015</v>
      </c>
      <c r="B4556" s="2" t="s">
        <v>1772</v>
      </c>
      <c r="C4556" s="2">
        <v>3</v>
      </c>
      <c r="D4556" t="str">
        <f t="shared" si="71"/>
        <v>CA-2016-145898_OFF-ST-10004507</v>
      </c>
      <c r="E4556" t="str">
        <f>IF(COUNTIF(data2!$D:$D,D4556)=0,"Missing in Data2","Present")</f>
        <v>Present</v>
      </c>
    </row>
    <row r="4557" spans="1:5" x14ac:dyDescent="0.25">
      <c r="A4557" s="2" t="s">
        <v>4016</v>
      </c>
      <c r="B4557" s="2" t="s">
        <v>658</v>
      </c>
      <c r="C4557" s="2">
        <v>1</v>
      </c>
      <c r="D4557" t="str">
        <f t="shared" si="71"/>
        <v>CA-2016-145905_FUR-CH-10001854</v>
      </c>
      <c r="E4557" t="str">
        <f>IF(COUNTIF(data2!$D:$D,D4557)=0,"Missing in Data2","Present")</f>
        <v>Present</v>
      </c>
    </row>
    <row r="4558" spans="1:5" x14ac:dyDescent="0.25">
      <c r="A4558" s="2" t="s">
        <v>4016</v>
      </c>
      <c r="B4558" s="2" t="s">
        <v>721</v>
      </c>
      <c r="C4558" s="2">
        <v>2</v>
      </c>
      <c r="D4558" t="str">
        <f t="shared" si="71"/>
        <v>CA-2016-145905_OFF-PA-10000533</v>
      </c>
      <c r="E4558" t="str">
        <f>IF(COUNTIF(data2!$D:$D,D4558)=0,"Missing in Data2","Present")</f>
        <v>Present</v>
      </c>
    </row>
    <row r="4559" spans="1:5" x14ac:dyDescent="0.25">
      <c r="A4559" s="2" t="s">
        <v>4017</v>
      </c>
      <c r="B4559" s="2" t="s">
        <v>4018</v>
      </c>
      <c r="C4559" s="2">
        <v>8</v>
      </c>
      <c r="D4559" t="str">
        <f t="shared" si="71"/>
        <v>CA-2016-145919_FUR-FU-10004960</v>
      </c>
      <c r="E4559" t="str">
        <f>IF(COUNTIF(data2!$D:$D,D4559)=0,"Missing in Data2","Present")</f>
        <v>Present</v>
      </c>
    </row>
    <row r="4560" spans="1:5" x14ac:dyDescent="0.25">
      <c r="A4560" s="2" t="s">
        <v>4017</v>
      </c>
      <c r="B4560" s="2" t="s">
        <v>1724</v>
      </c>
      <c r="C4560" s="2">
        <v>6</v>
      </c>
      <c r="D4560" t="str">
        <f t="shared" si="71"/>
        <v>CA-2016-145919_OFF-PA-10003072</v>
      </c>
      <c r="E4560" t="str">
        <f>IF(COUNTIF(data2!$D:$D,D4560)=0,"Missing in Data2","Present")</f>
        <v>Present</v>
      </c>
    </row>
    <row r="4561" spans="1:5" x14ac:dyDescent="0.25">
      <c r="A4561" s="2" t="s">
        <v>4017</v>
      </c>
      <c r="B4561" s="2" t="s">
        <v>3354</v>
      </c>
      <c r="C4561" s="2">
        <v>5</v>
      </c>
      <c r="D4561" t="str">
        <f t="shared" si="71"/>
        <v>CA-2016-145919_OFF-SU-10003505</v>
      </c>
      <c r="E4561" t="str">
        <f>IF(COUNTIF(data2!$D:$D,D4561)=0,"Missing in Data2","Present")</f>
        <v>Present</v>
      </c>
    </row>
    <row r="4562" spans="1:5" x14ac:dyDescent="0.25">
      <c r="A4562" s="2" t="s">
        <v>4019</v>
      </c>
      <c r="B4562" s="2" t="s">
        <v>3020</v>
      </c>
      <c r="C4562" s="2">
        <v>1</v>
      </c>
      <c r="D4562" t="str">
        <f t="shared" si="71"/>
        <v>CA-2016-145982_FUR-TA-10001307</v>
      </c>
      <c r="E4562" t="str">
        <f>IF(COUNTIF(data2!$D:$D,D4562)=0,"Missing in Data2","Present")</f>
        <v>Present</v>
      </c>
    </row>
    <row r="4563" spans="1:5" x14ac:dyDescent="0.25">
      <c r="A4563" s="2" t="s">
        <v>4019</v>
      </c>
      <c r="B4563" s="2" t="s">
        <v>423</v>
      </c>
      <c r="C4563" s="2">
        <v>5</v>
      </c>
      <c r="D4563" t="str">
        <f t="shared" si="71"/>
        <v>CA-2016-145982_OFF-BI-10000174</v>
      </c>
      <c r="E4563" t="str">
        <f>IF(COUNTIF(data2!$D:$D,D4563)=0,"Missing in Data2","Present")</f>
        <v>Present</v>
      </c>
    </row>
    <row r="4564" spans="1:5" x14ac:dyDescent="0.25">
      <c r="A4564" s="2" t="s">
        <v>4019</v>
      </c>
      <c r="B4564" s="2" t="s">
        <v>308</v>
      </c>
      <c r="C4564" s="2">
        <v>4</v>
      </c>
      <c r="D4564" t="str">
        <f t="shared" si="71"/>
        <v>CA-2016-145982_OFF-FA-10000735</v>
      </c>
      <c r="E4564" t="str">
        <f>IF(COUNTIF(data2!$D:$D,D4564)=0,"Missing in Data2","Present")</f>
        <v>Present</v>
      </c>
    </row>
    <row r="4565" spans="1:5" x14ac:dyDescent="0.25">
      <c r="A4565" s="2" t="s">
        <v>4019</v>
      </c>
      <c r="B4565" s="2" t="s">
        <v>1670</v>
      </c>
      <c r="C4565" s="2">
        <v>3</v>
      </c>
      <c r="D4565" t="str">
        <f t="shared" si="71"/>
        <v>CA-2016-145982_OFF-PA-10000675</v>
      </c>
      <c r="E4565" t="str">
        <f>IF(COUNTIF(data2!$D:$D,D4565)=0,"Missing in Data2","Present")</f>
        <v>Present</v>
      </c>
    </row>
    <row r="4566" spans="1:5" x14ac:dyDescent="0.25">
      <c r="A4566" s="2" t="s">
        <v>4019</v>
      </c>
      <c r="B4566" s="2" t="s">
        <v>3730</v>
      </c>
      <c r="C4566" s="2">
        <v>9</v>
      </c>
      <c r="D4566" t="str">
        <f t="shared" si="71"/>
        <v>CA-2016-145982_OFF-PA-10002666</v>
      </c>
      <c r="E4566" t="str">
        <f>IF(COUNTIF(data2!$D:$D,D4566)=0,"Missing in Data2","Present")</f>
        <v>Present</v>
      </c>
    </row>
    <row r="4567" spans="1:5" x14ac:dyDescent="0.25">
      <c r="A4567" s="2" t="s">
        <v>4019</v>
      </c>
      <c r="B4567" s="2" t="s">
        <v>2588</v>
      </c>
      <c r="C4567" s="2">
        <v>3</v>
      </c>
      <c r="D4567" t="str">
        <f t="shared" si="71"/>
        <v>CA-2016-145982_TEC-PH-10000011</v>
      </c>
      <c r="E4567" t="str">
        <f>IF(COUNTIF(data2!$D:$D,D4567)=0,"Missing in Data2","Present")</f>
        <v>Present</v>
      </c>
    </row>
    <row r="4568" spans="1:5" x14ac:dyDescent="0.25">
      <c r="A4568" s="2" t="s">
        <v>4020</v>
      </c>
      <c r="B4568" s="2" t="s">
        <v>1137</v>
      </c>
      <c r="C4568" s="2">
        <v>7</v>
      </c>
      <c r="D4568" t="str">
        <f t="shared" si="71"/>
        <v>CA-2016-146010_OFF-BI-10003638</v>
      </c>
      <c r="E4568" t="str">
        <f>IF(COUNTIF(data2!$D:$D,D4568)=0,"Missing in Data2","Present")</f>
        <v>Present</v>
      </c>
    </row>
    <row r="4569" spans="1:5" x14ac:dyDescent="0.25">
      <c r="A4569" s="2" t="s">
        <v>4021</v>
      </c>
      <c r="B4569" s="2" t="s">
        <v>3956</v>
      </c>
      <c r="C4569" s="2">
        <v>6</v>
      </c>
      <c r="D4569" t="str">
        <f t="shared" si="71"/>
        <v>CA-2016-146143_FUR-FU-10002045</v>
      </c>
      <c r="E4569" t="str">
        <f>IF(COUNTIF(data2!$D:$D,D4569)=0,"Missing in Data2","Present")</f>
        <v>Present</v>
      </c>
    </row>
    <row r="4570" spans="1:5" x14ac:dyDescent="0.25">
      <c r="A4570" s="2" t="s">
        <v>4022</v>
      </c>
      <c r="B4570" s="2" t="s">
        <v>3742</v>
      </c>
      <c r="C4570" s="2">
        <v>7</v>
      </c>
      <c r="D4570" t="str">
        <f t="shared" si="71"/>
        <v>CA-2016-146150_OFF-AR-10002240</v>
      </c>
      <c r="E4570" t="str">
        <f>IF(COUNTIF(data2!$D:$D,D4570)=0,"Missing in Data2","Present")</f>
        <v>Present</v>
      </c>
    </row>
    <row r="4571" spans="1:5" x14ac:dyDescent="0.25">
      <c r="A4571" s="2" t="s">
        <v>4023</v>
      </c>
      <c r="B4571" s="2" t="s">
        <v>2090</v>
      </c>
      <c r="C4571" s="2">
        <v>1</v>
      </c>
      <c r="D4571" t="str">
        <f t="shared" si="71"/>
        <v>CA-2016-146157_OFF-PA-10001790</v>
      </c>
      <c r="E4571" t="str">
        <f>IF(COUNTIF(data2!$D:$D,D4571)=0,"Missing in Data2","Present")</f>
        <v>Present</v>
      </c>
    </row>
    <row r="4572" spans="1:5" x14ac:dyDescent="0.25">
      <c r="A4572" s="2" t="s">
        <v>4023</v>
      </c>
      <c r="B4572" s="2" t="s">
        <v>2282</v>
      </c>
      <c r="C4572" s="2">
        <v>2</v>
      </c>
      <c r="D4572" t="str">
        <f t="shared" si="71"/>
        <v>CA-2016-146157_OFF-ST-10001590</v>
      </c>
      <c r="E4572" t="str">
        <f>IF(COUNTIF(data2!$D:$D,D4572)=0,"Missing in Data2","Present")</f>
        <v>Present</v>
      </c>
    </row>
    <row r="4573" spans="1:5" x14ac:dyDescent="0.25">
      <c r="A4573" s="2" t="s">
        <v>4023</v>
      </c>
      <c r="B4573" s="2" t="s">
        <v>2249</v>
      </c>
      <c r="C4573" s="2">
        <v>3</v>
      </c>
      <c r="D4573" t="str">
        <f t="shared" si="71"/>
        <v>CA-2016-146157_TEC-AC-10003657</v>
      </c>
      <c r="E4573" t="str">
        <f>IF(COUNTIF(data2!$D:$D,D4573)=0,"Missing in Data2","Present")</f>
        <v>Present</v>
      </c>
    </row>
    <row r="4574" spans="1:5" x14ac:dyDescent="0.25">
      <c r="A4574" s="2" t="s">
        <v>4024</v>
      </c>
      <c r="B4574" s="2" t="s">
        <v>461</v>
      </c>
      <c r="C4574" s="2">
        <v>4</v>
      </c>
      <c r="D4574" t="str">
        <f t="shared" si="71"/>
        <v>CA-2016-146171_FUR-FU-10004270</v>
      </c>
      <c r="E4574" t="str">
        <f>IF(COUNTIF(data2!$D:$D,D4574)=0,"Missing in Data2","Present")</f>
        <v>Present</v>
      </c>
    </row>
    <row r="4575" spans="1:5" x14ac:dyDescent="0.25">
      <c r="A4575" s="2" t="s">
        <v>4024</v>
      </c>
      <c r="B4575" s="2" t="s">
        <v>2019</v>
      </c>
      <c r="C4575" s="2">
        <v>4</v>
      </c>
      <c r="D4575" t="str">
        <f t="shared" si="71"/>
        <v>CA-2016-146171_OFF-ST-10001526</v>
      </c>
      <c r="E4575" t="str">
        <f>IF(COUNTIF(data2!$D:$D,D4575)=0,"Missing in Data2","Present")</f>
        <v>Present</v>
      </c>
    </row>
    <row r="4576" spans="1:5" x14ac:dyDescent="0.25">
      <c r="A4576" s="2" t="s">
        <v>4025</v>
      </c>
      <c r="B4576" s="2" t="s">
        <v>1100</v>
      </c>
      <c r="C4576" s="2">
        <v>5</v>
      </c>
      <c r="D4576" t="str">
        <f t="shared" si="71"/>
        <v>CA-2016-146206_FUR-TA-10004086</v>
      </c>
      <c r="E4576" t="str">
        <f>IF(COUNTIF(data2!$D:$D,D4576)=0,"Missing in Data2","Present")</f>
        <v>Present</v>
      </c>
    </row>
    <row r="4577" spans="1:5" x14ac:dyDescent="0.25">
      <c r="A4577" s="2" t="s">
        <v>4025</v>
      </c>
      <c r="B4577" s="2" t="s">
        <v>148</v>
      </c>
      <c r="C4577" s="2">
        <v>5</v>
      </c>
      <c r="D4577" t="str">
        <f t="shared" si="71"/>
        <v>CA-2016-146206_TEC-PH-10000895</v>
      </c>
      <c r="E4577" t="str">
        <f>IF(COUNTIF(data2!$D:$D,D4577)=0,"Missing in Data2","Present")</f>
        <v>Present</v>
      </c>
    </row>
    <row r="4578" spans="1:5" x14ac:dyDescent="0.25">
      <c r="A4578" s="2" t="s">
        <v>4026</v>
      </c>
      <c r="B4578" s="2" t="s">
        <v>3471</v>
      </c>
      <c r="C4578" s="2">
        <v>2</v>
      </c>
      <c r="D4578" t="str">
        <f t="shared" si="71"/>
        <v>CA-2016-146318_OFF-PA-10003953</v>
      </c>
      <c r="E4578" t="str">
        <f>IF(COUNTIF(data2!$D:$D,D4578)=0,"Missing in Data2","Present")</f>
        <v>Present</v>
      </c>
    </row>
    <row r="4579" spans="1:5" x14ac:dyDescent="0.25">
      <c r="A4579" s="2" t="s">
        <v>4027</v>
      </c>
      <c r="B4579" s="2" t="s">
        <v>370</v>
      </c>
      <c r="C4579" s="2">
        <v>2</v>
      </c>
      <c r="D4579" t="str">
        <f t="shared" si="71"/>
        <v>CA-2016-146325_FUR-CH-10001146</v>
      </c>
      <c r="E4579" t="str">
        <f>IF(COUNTIF(data2!$D:$D,D4579)=0,"Missing in Data2","Present")</f>
        <v>Present</v>
      </c>
    </row>
    <row r="4580" spans="1:5" x14ac:dyDescent="0.25">
      <c r="A4580" s="2" t="s">
        <v>4027</v>
      </c>
      <c r="B4580" s="2" t="s">
        <v>2282</v>
      </c>
      <c r="C4580" s="2">
        <v>10</v>
      </c>
      <c r="D4580" t="str">
        <f t="shared" si="71"/>
        <v>CA-2016-146325_OFF-ST-10001590</v>
      </c>
      <c r="E4580" t="str">
        <f>IF(COUNTIF(data2!$D:$D,D4580)=0,"Missing in Data2","Present")</f>
        <v>Present</v>
      </c>
    </row>
    <row r="4581" spans="1:5" x14ac:dyDescent="0.25">
      <c r="A4581" s="2" t="s">
        <v>4028</v>
      </c>
      <c r="B4581" s="2" t="s">
        <v>2765</v>
      </c>
      <c r="C4581" s="2">
        <v>1</v>
      </c>
      <c r="D4581" t="str">
        <f t="shared" si="71"/>
        <v>CA-2016-146374_FUR-FU-10002671</v>
      </c>
      <c r="E4581" t="str">
        <f>IF(COUNTIF(data2!$D:$D,D4581)=0,"Missing in Data2","Present")</f>
        <v>Present</v>
      </c>
    </row>
    <row r="4582" spans="1:5" x14ac:dyDescent="0.25">
      <c r="A4582" s="2" t="s">
        <v>4028</v>
      </c>
      <c r="B4582" s="2" t="s">
        <v>1494</v>
      </c>
      <c r="C4582" s="2">
        <v>7</v>
      </c>
      <c r="D4582" t="str">
        <f t="shared" si="71"/>
        <v>CA-2016-146374_OFF-EN-10004483</v>
      </c>
      <c r="E4582" t="str">
        <f>IF(COUNTIF(data2!$D:$D,D4582)=0,"Missing in Data2","Present")</f>
        <v>Present</v>
      </c>
    </row>
    <row r="4583" spans="1:5" x14ac:dyDescent="0.25">
      <c r="A4583" s="2" t="s">
        <v>4028</v>
      </c>
      <c r="B4583" s="2" t="s">
        <v>1140</v>
      </c>
      <c r="C4583" s="2">
        <v>1</v>
      </c>
      <c r="D4583" t="str">
        <f t="shared" si="71"/>
        <v>CA-2016-146374_OFF-PA-10000349</v>
      </c>
      <c r="E4583" t="str">
        <f>IF(COUNTIF(data2!$D:$D,D4583)=0,"Missing in Data2","Present")</f>
        <v>Present</v>
      </c>
    </row>
    <row r="4584" spans="1:5" x14ac:dyDescent="0.25">
      <c r="A4584" s="2" t="s">
        <v>4029</v>
      </c>
      <c r="B4584" s="2" t="s">
        <v>2349</v>
      </c>
      <c r="C4584" s="2">
        <v>3</v>
      </c>
      <c r="D4584" t="str">
        <f t="shared" si="71"/>
        <v>CA-2016-146423_OFF-AR-10004817</v>
      </c>
      <c r="E4584" t="str">
        <f>IF(COUNTIF(data2!$D:$D,D4584)=0,"Missing in Data2","Present")</f>
        <v>Present</v>
      </c>
    </row>
    <row r="4585" spans="1:5" x14ac:dyDescent="0.25">
      <c r="A4585" s="2" t="s">
        <v>4029</v>
      </c>
      <c r="B4585" s="2" t="s">
        <v>1405</v>
      </c>
      <c r="C4585" s="2">
        <v>8</v>
      </c>
      <c r="D4585" t="str">
        <f t="shared" si="71"/>
        <v>CA-2016-146423_OFF-PA-10003797</v>
      </c>
      <c r="E4585" t="str">
        <f>IF(COUNTIF(data2!$D:$D,D4585)=0,"Missing in Data2","Present")</f>
        <v>Present</v>
      </c>
    </row>
    <row r="4586" spans="1:5" x14ac:dyDescent="0.25">
      <c r="A4586" s="2" t="s">
        <v>4030</v>
      </c>
      <c r="B4586" s="2" t="s">
        <v>1821</v>
      </c>
      <c r="C4586" s="2">
        <v>2</v>
      </c>
      <c r="D4586" t="str">
        <f t="shared" si="71"/>
        <v>CA-2016-146437_OFF-AR-10000588</v>
      </c>
      <c r="E4586" t="str">
        <f>IF(COUNTIF(data2!$D:$D,D4586)=0,"Missing in Data2","Present")</f>
        <v>Present</v>
      </c>
    </row>
    <row r="4587" spans="1:5" x14ac:dyDescent="0.25">
      <c r="A4587" s="2" t="s">
        <v>4031</v>
      </c>
      <c r="B4587" s="2" t="s">
        <v>3260</v>
      </c>
      <c r="C4587" s="2">
        <v>1</v>
      </c>
      <c r="D4587" t="str">
        <f t="shared" si="71"/>
        <v>CA-2016-146521_OFF-BI-10000301</v>
      </c>
      <c r="E4587" t="str">
        <f>IF(COUNTIF(data2!$D:$D,D4587)=0,"Missing in Data2","Present")</f>
        <v>Present</v>
      </c>
    </row>
    <row r="4588" spans="1:5" x14ac:dyDescent="0.25">
      <c r="A4588" s="2" t="s">
        <v>4032</v>
      </c>
      <c r="B4588" s="2" t="s">
        <v>1734</v>
      </c>
      <c r="C4588" s="2">
        <v>7</v>
      </c>
      <c r="D4588" t="str">
        <f t="shared" si="71"/>
        <v>CA-2016-146633_OFF-BI-10002982</v>
      </c>
      <c r="E4588" t="str">
        <f>IF(COUNTIF(data2!$D:$D,D4588)=0,"Missing in Data2","Present")</f>
        <v>Present</v>
      </c>
    </row>
    <row r="4589" spans="1:5" x14ac:dyDescent="0.25">
      <c r="A4589" s="2" t="s">
        <v>4032</v>
      </c>
      <c r="B4589" s="2" t="s">
        <v>907</v>
      </c>
      <c r="C4589" s="2">
        <v>1</v>
      </c>
      <c r="D4589" t="str">
        <f t="shared" si="71"/>
        <v>CA-2016-146633_OFF-BI-10003527</v>
      </c>
      <c r="E4589" t="str">
        <f>IF(COUNTIF(data2!$D:$D,D4589)=0,"Missing in Data2","Present")</f>
        <v>Present</v>
      </c>
    </row>
    <row r="4590" spans="1:5" x14ac:dyDescent="0.25">
      <c r="A4590" s="2" t="s">
        <v>4033</v>
      </c>
      <c r="B4590" s="2" t="s">
        <v>2765</v>
      </c>
      <c r="C4590" s="2">
        <v>5</v>
      </c>
      <c r="D4590" t="str">
        <f t="shared" si="71"/>
        <v>CA-2016-146682_FUR-FU-10002671</v>
      </c>
      <c r="E4590" t="str">
        <f>IF(COUNTIF(data2!$D:$D,D4590)=0,"Missing in Data2","Present")</f>
        <v>Present</v>
      </c>
    </row>
    <row r="4591" spans="1:5" x14ac:dyDescent="0.25">
      <c r="A4591" s="2" t="s">
        <v>4034</v>
      </c>
      <c r="B4591" s="2" t="s">
        <v>400</v>
      </c>
      <c r="C4591" s="2">
        <v>4</v>
      </c>
      <c r="D4591" t="str">
        <f t="shared" si="71"/>
        <v>CA-2016-146766_OFF-AR-10002135</v>
      </c>
      <c r="E4591" t="str">
        <f>IF(COUNTIF(data2!$D:$D,D4591)=0,"Missing in Data2","Present")</f>
        <v>Present</v>
      </c>
    </row>
    <row r="4592" spans="1:5" x14ac:dyDescent="0.25">
      <c r="A4592" s="2" t="s">
        <v>4035</v>
      </c>
      <c r="B4592" s="2" t="s">
        <v>1386</v>
      </c>
      <c r="C4592" s="2">
        <v>3</v>
      </c>
      <c r="D4592" t="str">
        <f t="shared" si="71"/>
        <v>CA-2016-146836_OFF-BI-10000315</v>
      </c>
      <c r="E4592" t="str">
        <f>IF(COUNTIF(data2!$D:$D,D4592)=0,"Missing in Data2","Present")</f>
        <v>Present</v>
      </c>
    </row>
    <row r="4593" spans="1:5" x14ac:dyDescent="0.25">
      <c r="A4593" s="2" t="s">
        <v>4036</v>
      </c>
      <c r="B4593" s="2" t="s">
        <v>658</v>
      </c>
      <c r="C4593" s="2">
        <v>5</v>
      </c>
      <c r="D4593" t="str">
        <f t="shared" si="71"/>
        <v>CA-2016-146913_FUR-CH-10001854</v>
      </c>
      <c r="E4593" t="str">
        <f>IF(COUNTIF(data2!$D:$D,D4593)=0,"Missing in Data2","Present")</f>
        <v>Present</v>
      </c>
    </row>
    <row r="4594" spans="1:5" x14ac:dyDescent="0.25">
      <c r="A4594" s="2" t="s">
        <v>4037</v>
      </c>
      <c r="B4594" s="2" t="s">
        <v>1427</v>
      </c>
      <c r="C4594" s="2">
        <v>2</v>
      </c>
      <c r="D4594" t="str">
        <f t="shared" si="71"/>
        <v>CA-2016-146934_FUR-TA-10003748</v>
      </c>
      <c r="E4594" t="str">
        <f>IF(COUNTIF(data2!$D:$D,D4594)=0,"Missing in Data2","Present")</f>
        <v>Present</v>
      </c>
    </row>
    <row r="4595" spans="1:5" x14ac:dyDescent="0.25">
      <c r="A4595" s="2" t="s">
        <v>4037</v>
      </c>
      <c r="B4595" s="2" t="s">
        <v>1240</v>
      </c>
      <c r="C4595" s="2">
        <v>4</v>
      </c>
      <c r="D4595" t="str">
        <f t="shared" si="71"/>
        <v>CA-2016-146934_OFF-AP-10003217</v>
      </c>
      <c r="E4595" t="str">
        <f>IF(COUNTIF(data2!$D:$D,D4595)=0,"Missing in Data2","Present")</f>
        <v>Present</v>
      </c>
    </row>
    <row r="4596" spans="1:5" x14ac:dyDescent="0.25">
      <c r="A4596" s="2" t="s">
        <v>4037</v>
      </c>
      <c r="B4596" s="2" t="s">
        <v>179</v>
      </c>
      <c r="C4596" s="2">
        <v>5</v>
      </c>
      <c r="D4596" t="str">
        <f t="shared" si="71"/>
        <v>CA-2016-146934_TEC-AC-10002399</v>
      </c>
      <c r="E4596" t="str">
        <f>IF(COUNTIF(data2!$D:$D,D4596)=0,"Missing in Data2","Present")</f>
        <v>Present</v>
      </c>
    </row>
    <row r="4597" spans="1:5" x14ac:dyDescent="0.25">
      <c r="A4597" s="2" t="s">
        <v>4037</v>
      </c>
      <c r="B4597" s="2" t="s">
        <v>292</v>
      </c>
      <c r="C4597" s="2">
        <v>2</v>
      </c>
      <c r="D4597" t="str">
        <f t="shared" si="71"/>
        <v>CA-2016-146934_TEC-PH-10001336</v>
      </c>
      <c r="E4597" t="str">
        <f>IF(COUNTIF(data2!$D:$D,D4597)=0,"Missing in Data2","Present")</f>
        <v>Present</v>
      </c>
    </row>
    <row r="4598" spans="1:5" x14ac:dyDescent="0.25">
      <c r="A4598" s="2" t="s">
        <v>4037</v>
      </c>
      <c r="B4598" s="2" t="s">
        <v>541</v>
      </c>
      <c r="C4598" s="2">
        <v>5</v>
      </c>
      <c r="D4598" t="str">
        <f t="shared" si="71"/>
        <v>CA-2016-146934_TEC-PH-10004614</v>
      </c>
      <c r="E4598" t="str">
        <f>IF(COUNTIF(data2!$D:$D,D4598)=0,"Missing in Data2","Present")</f>
        <v>Present</v>
      </c>
    </row>
    <row r="4599" spans="1:5" x14ac:dyDescent="0.25">
      <c r="A4599" s="2" t="s">
        <v>4038</v>
      </c>
      <c r="B4599" s="2" t="s">
        <v>2027</v>
      </c>
      <c r="C4599" s="2">
        <v>4</v>
      </c>
      <c r="D4599" t="str">
        <f t="shared" si="71"/>
        <v>CA-2016-146941_OFF-EN-10003296</v>
      </c>
      <c r="E4599" t="str">
        <f>IF(COUNTIF(data2!$D:$D,D4599)=0,"Missing in Data2","Present")</f>
        <v>Present</v>
      </c>
    </row>
    <row r="4600" spans="1:5" x14ac:dyDescent="0.25">
      <c r="A4600" s="2" t="s">
        <v>4038</v>
      </c>
      <c r="B4600" s="2" t="s">
        <v>1024</v>
      </c>
      <c r="C4600" s="2">
        <v>6</v>
      </c>
      <c r="D4600" t="str">
        <f t="shared" si="71"/>
        <v>CA-2016-146941_OFF-ST-10001228</v>
      </c>
      <c r="E4600" t="str">
        <f>IF(COUNTIF(data2!$D:$D,D4600)=0,"Missing in Data2","Present")</f>
        <v>Present</v>
      </c>
    </row>
    <row r="4601" spans="1:5" x14ac:dyDescent="0.25">
      <c r="A4601" s="2" t="s">
        <v>4039</v>
      </c>
      <c r="B4601" s="2" t="s">
        <v>2300</v>
      </c>
      <c r="C4601" s="2">
        <v>3</v>
      </c>
      <c r="D4601" t="str">
        <f t="shared" si="71"/>
        <v>CA-2016-147067_FUR-FU-10000732</v>
      </c>
      <c r="E4601" t="str">
        <f>IF(COUNTIF(data2!$D:$D,D4601)=0,"Missing in Data2","Present")</f>
        <v>Present</v>
      </c>
    </row>
    <row r="4602" spans="1:5" x14ac:dyDescent="0.25">
      <c r="A4602" s="2" t="s">
        <v>4040</v>
      </c>
      <c r="B4602" s="2" t="s">
        <v>1431</v>
      </c>
      <c r="C4602" s="2">
        <v>10</v>
      </c>
      <c r="D4602" t="str">
        <f t="shared" si="71"/>
        <v>CA-2016-147109_OFF-PA-10001972</v>
      </c>
      <c r="E4602" t="str">
        <f>IF(COUNTIF(data2!$D:$D,D4602)=0,"Missing in Data2","Present")</f>
        <v>Present</v>
      </c>
    </row>
    <row r="4603" spans="1:5" x14ac:dyDescent="0.25">
      <c r="A4603" s="2" t="s">
        <v>4040</v>
      </c>
      <c r="B4603" s="2" t="s">
        <v>578</v>
      </c>
      <c r="C4603" s="2">
        <v>3</v>
      </c>
      <c r="D4603" t="str">
        <f t="shared" si="71"/>
        <v>CA-2016-147109_TEC-AC-10002942</v>
      </c>
      <c r="E4603" t="str">
        <f>IF(COUNTIF(data2!$D:$D,D4603)=0,"Missing in Data2","Present")</f>
        <v>Present</v>
      </c>
    </row>
    <row r="4604" spans="1:5" x14ac:dyDescent="0.25">
      <c r="A4604" s="2" t="s">
        <v>4041</v>
      </c>
      <c r="B4604" s="2" t="s">
        <v>1707</v>
      </c>
      <c r="C4604" s="2">
        <v>12</v>
      </c>
      <c r="D4604" t="str">
        <f t="shared" si="71"/>
        <v>CA-2016-147123_OFF-PA-10000575</v>
      </c>
      <c r="E4604" t="str">
        <f>IF(COUNTIF(data2!$D:$D,D4604)=0,"Missing in Data2","Present")</f>
        <v>Present</v>
      </c>
    </row>
    <row r="4605" spans="1:5" x14ac:dyDescent="0.25">
      <c r="A4605" s="2" t="s">
        <v>4042</v>
      </c>
      <c r="B4605" s="2" t="s">
        <v>2465</v>
      </c>
      <c r="C4605" s="2">
        <v>5</v>
      </c>
      <c r="D4605" t="str">
        <f t="shared" si="71"/>
        <v>CA-2016-147137_FUR-BO-10001811</v>
      </c>
      <c r="E4605" t="str">
        <f>IF(COUNTIF(data2!$D:$D,D4605)=0,"Missing in Data2","Present")</f>
        <v>Present</v>
      </c>
    </row>
    <row r="4606" spans="1:5" x14ac:dyDescent="0.25">
      <c r="A4606" s="2" t="s">
        <v>4042</v>
      </c>
      <c r="B4606" s="2" t="s">
        <v>339</v>
      </c>
      <c r="C4606" s="2">
        <v>5</v>
      </c>
      <c r="D4606" t="str">
        <f t="shared" si="71"/>
        <v>CA-2016-147137_FUR-FU-10000221</v>
      </c>
      <c r="E4606" t="str">
        <f>IF(COUNTIF(data2!$D:$D,D4606)=0,"Missing in Data2","Present")</f>
        <v>Present</v>
      </c>
    </row>
    <row r="4607" spans="1:5" x14ac:dyDescent="0.25">
      <c r="A4607" s="2" t="s">
        <v>4042</v>
      </c>
      <c r="B4607" s="2" t="s">
        <v>928</v>
      </c>
      <c r="C4607" s="2">
        <v>2</v>
      </c>
      <c r="D4607" t="str">
        <f t="shared" si="71"/>
        <v>CA-2016-147137_OFF-EN-10003567</v>
      </c>
      <c r="E4607" t="str">
        <f>IF(COUNTIF(data2!$D:$D,D4607)=0,"Missing in Data2","Present")</f>
        <v>Present</v>
      </c>
    </row>
    <row r="4608" spans="1:5" x14ac:dyDescent="0.25">
      <c r="A4608" s="2" t="s">
        <v>4042</v>
      </c>
      <c r="B4608" s="2" t="s">
        <v>2470</v>
      </c>
      <c r="C4608" s="2">
        <v>4</v>
      </c>
      <c r="D4608" t="str">
        <f t="shared" si="71"/>
        <v>CA-2016-147137_OFF-ST-10002486</v>
      </c>
      <c r="E4608" t="str">
        <f>IF(COUNTIF(data2!$D:$D,D4608)=0,"Missing in Data2","Present")</f>
        <v>Present</v>
      </c>
    </row>
    <row r="4609" spans="1:5" x14ac:dyDescent="0.25">
      <c r="A4609" s="2" t="s">
        <v>4043</v>
      </c>
      <c r="B4609" s="2" t="s">
        <v>2939</v>
      </c>
      <c r="C4609" s="2">
        <v>7</v>
      </c>
      <c r="D4609" t="str">
        <f t="shared" si="71"/>
        <v>CA-2016-147256_OFF-AP-10003057</v>
      </c>
      <c r="E4609" t="str">
        <f>IF(COUNTIF(data2!$D:$D,D4609)=0,"Missing in Data2","Present")</f>
        <v>Present</v>
      </c>
    </row>
    <row r="4610" spans="1:5" x14ac:dyDescent="0.25">
      <c r="A4610" s="2" t="s">
        <v>4043</v>
      </c>
      <c r="B4610" s="2" t="s">
        <v>817</v>
      </c>
      <c r="C4610" s="2">
        <v>3</v>
      </c>
      <c r="D4610" t="str">
        <f t="shared" si="71"/>
        <v>CA-2016-147256_TEC-PH-10003072</v>
      </c>
      <c r="E4610" t="str">
        <f>IF(COUNTIF(data2!$D:$D,D4610)=0,"Missing in Data2","Present")</f>
        <v>Present</v>
      </c>
    </row>
    <row r="4611" spans="1:5" x14ac:dyDescent="0.25">
      <c r="A4611" s="2" t="s">
        <v>4044</v>
      </c>
      <c r="B4611" s="2" t="s">
        <v>4045</v>
      </c>
      <c r="C4611" s="2">
        <v>2</v>
      </c>
      <c r="D4611" t="str">
        <f t="shared" ref="D4611:D4674" si="72">A4611&amp;"_"&amp;B4611</f>
        <v>CA-2016-147368_TEC-MA-10002178</v>
      </c>
      <c r="E4611" t="str">
        <f>IF(COUNTIF(data2!$D:$D,D4611)=0,"Missing in Data2","Present")</f>
        <v>Present</v>
      </c>
    </row>
    <row r="4612" spans="1:5" x14ac:dyDescent="0.25">
      <c r="A4612" s="2" t="s">
        <v>4046</v>
      </c>
      <c r="B4612" s="2" t="s">
        <v>1039</v>
      </c>
      <c r="C4612" s="2">
        <v>7</v>
      </c>
      <c r="D4612" t="str">
        <f t="shared" si="72"/>
        <v>CA-2016-147375_OFF-PA-10001970</v>
      </c>
      <c r="E4612" t="str">
        <f>IF(COUNTIF(data2!$D:$D,D4612)=0,"Missing in Data2","Present")</f>
        <v>Present</v>
      </c>
    </row>
    <row r="4613" spans="1:5" x14ac:dyDescent="0.25">
      <c r="A4613" s="2" t="s">
        <v>4046</v>
      </c>
      <c r="B4613" s="2" t="s">
        <v>4047</v>
      </c>
      <c r="C4613" s="2">
        <v>3</v>
      </c>
      <c r="D4613" t="str">
        <f t="shared" si="72"/>
        <v>CA-2016-147375_TEC-MA-10002937</v>
      </c>
      <c r="E4613" t="str">
        <f>IF(COUNTIF(data2!$D:$D,D4613)=0,"Missing in Data2","Present")</f>
        <v>Present</v>
      </c>
    </row>
    <row r="4614" spans="1:5" x14ac:dyDescent="0.25">
      <c r="A4614" s="2" t="s">
        <v>4048</v>
      </c>
      <c r="B4614" s="2" t="s">
        <v>567</v>
      </c>
      <c r="C4614" s="2">
        <v>4</v>
      </c>
      <c r="D4614" t="str">
        <f t="shared" si="72"/>
        <v>CA-2016-147417_TEC-CO-10001449</v>
      </c>
      <c r="E4614" t="str">
        <f>IF(COUNTIF(data2!$D:$D,D4614)=0,"Missing in Data2","Present")</f>
        <v>Present</v>
      </c>
    </row>
    <row r="4615" spans="1:5" x14ac:dyDescent="0.25">
      <c r="A4615" s="2" t="s">
        <v>4049</v>
      </c>
      <c r="B4615" s="2" t="s">
        <v>2211</v>
      </c>
      <c r="C4615" s="2">
        <v>2</v>
      </c>
      <c r="D4615" t="str">
        <f t="shared" si="72"/>
        <v>CA-2016-147431_OFF-ST-10003994</v>
      </c>
      <c r="E4615" t="str">
        <f>IF(COUNTIF(data2!$D:$D,D4615)=0,"Missing in Data2","Present")</f>
        <v>Present</v>
      </c>
    </row>
    <row r="4616" spans="1:5" x14ac:dyDescent="0.25">
      <c r="A4616" s="2" t="s">
        <v>4050</v>
      </c>
      <c r="B4616" s="2" t="s">
        <v>2838</v>
      </c>
      <c r="C4616" s="2">
        <v>6</v>
      </c>
      <c r="D4616" t="str">
        <f t="shared" si="72"/>
        <v>CA-2016-147473_OFF-PA-10004782</v>
      </c>
      <c r="E4616" t="str">
        <f>IF(COUNTIF(data2!$D:$D,D4616)=0,"Missing in Data2","Present")</f>
        <v>Present</v>
      </c>
    </row>
    <row r="4617" spans="1:5" x14ac:dyDescent="0.25">
      <c r="A4617" s="2" t="s">
        <v>4051</v>
      </c>
      <c r="B4617" s="2" t="s">
        <v>1870</v>
      </c>
      <c r="C4617" s="2">
        <v>3</v>
      </c>
      <c r="D4617" t="str">
        <f t="shared" si="72"/>
        <v>CA-2016-147536_TEC-AC-10003280</v>
      </c>
      <c r="E4617" t="str">
        <f>IF(COUNTIF(data2!$D:$D,D4617)=0,"Missing in Data2","Present")</f>
        <v>Present</v>
      </c>
    </row>
    <row r="4618" spans="1:5" x14ac:dyDescent="0.25">
      <c r="A4618" s="2" t="s">
        <v>4052</v>
      </c>
      <c r="B4618" s="2" t="s">
        <v>377</v>
      </c>
      <c r="C4618" s="2">
        <v>3</v>
      </c>
      <c r="D4618" t="str">
        <f t="shared" si="72"/>
        <v>CA-2016-147578_FUR-FU-10001889</v>
      </c>
      <c r="E4618" t="str">
        <f>IF(COUNTIF(data2!$D:$D,D4618)=0,"Missing in Data2","Present")</f>
        <v>Present</v>
      </c>
    </row>
    <row r="4619" spans="1:5" x14ac:dyDescent="0.25">
      <c r="A4619" s="2" t="s">
        <v>4053</v>
      </c>
      <c r="B4619" s="2" t="s">
        <v>3622</v>
      </c>
      <c r="C4619" s="2">
        <v>3</v>
      </c>
      <c r="D4619" t="str">
        <f t="shared" si="72"/>
        <v>CA-2016-147585_FUR-FU-10002597</v>
      </c>
      <c r="E4619" t="str">
        <f>IF(COUNTIF(data2!$D:$D,D4619)=0,"Missing in Data2","Present")</f>
        <v>Missing in Data2</v>
      </c>
    </row>
    <row r="4620" spans="1:5" x14ac:dyDescent="0.25">
      <c r="A4620" s="2" t="s">
        <v>4054</v>
      </c>
      <c r="B4620" s="2" t="s">
        <v>2725</v>
      </c>
      <c r="C4620" s="2">
        <v>2</v>
      </c>
      <c r="D4620" t="str">
        <f t="shared" si="72"/>
        <v>CA-2016-147683_FUR-FU-10004848</v>
      </c>
      <c r="E4620" t="str">
        <f>IF(COUNTIF(data2!$D:$D,D4620)=0,"Missing in Data2","Present")</f>
        <v>Present</v>
      </c>
    </row>
    <row r="4621" spans="1:5" x14ac:dyDescent="0.25">
      <c r="A4621" s="2" t="s">
        <v>4055</v>
      </c>
      <c r="B4621" s="2" t="s">
        <v>385</v>
      </c>
      <c r="C4621" s="2">
        <v>3</v>
      </c>
      <c r="D4621" t="str">
        <f t="shared" si="72"/>
        <v>CA-2016-147970_OFF-PA-10003936</v>
      </c>
      <c r="E4621" t="str">
        <f>IF(COUNTIF(data2!$D:$D,D4621)=0,"Missing in Data2","Present")</f>
        <v>Present</v>
      </c>
    </row>
    <row r="4622" spans="1:5" x14ac:dyDescent="0.25">
      <c r="A4622" s="2" t="s">
        <v>4056</v>
      </c>
      <c r="B4622" s="2" t="s">
        <v>1939</v>
      </c>
      <c r="C4622" s="2">
        <v>2</v>
      </c>
      <c r="D4622" t="str">
        <f t="shared" si="72"/>
        <v>CA-2016-148096_FUR-TA-10004152</v>
      </c>
      <c r="E4622" t="str">
        <f>IF(COUNTIF(data2!$D:$D,D4622)=0,"Missing in Data2","Present")</f>
        <v>Present</v>
      </c>
    </row>
    <row r="4623" spans="1:5" x14ac:dyDescent="0.25">
      <c r="A4623" s="2" t="s">
        <v>4057</v>
      </c>
      <c r="B4623" s="2" t="s">
        <v>780</v>
      </c>
      <c r="C4623" s="2">
        <v>1</v>
      </c>
      <c r="D4623" t="str">
        <f t="shared" si="72"/>
        <v>CA-2016-148201_OFF-PA-10000019</v>
      </c>
      <c r="E4623" t="str">
        <f>IF(COUNTIF(data2!$D:$D,D4623)=0,"Missing in Data2","Present")</f>
        <v>Present</v>
      </c>
    </row>
    <row r="4624" spans="1:5" x14ac:dyDescent="0.25">
      <c r="A4624" s="2" t="s">
        <v>4058</v>
      </c>
      <c r="B4624" s="2" t="s">
        <v>2057</v>
      </c>
      <c r="C4624" s="2">
        <v>3</v>
      </c>
      <c r="D4624" t="str">
        <f t="shared" si="72"/>
        <v>CA-2016-148208_TEC-AC-10000171</v>
      </c>
      <c r="E4624" t="str">
        <f>IF(COUNTIF(data2!$D:$D,D4624)=0,"Missing in Data2","Present")</f>
        <v>Present</v>
      </c>
    </row>
    <row r="4625" spans="1:5" x14ac:dyDescent="0.25">
      <c r="A4625" s="2" t="s">
        <v>4058</v>
      </c>
      <c r="B4625" s="2" t="s">
        <v>1522</v>
      </c>
      <c r="C4625" s="2">
        <v>4</v>
      </c>
      <c r="D4625" t="str">
        <f t="shared" si="72"/>
        <v>CA-2016-148208_TEC-PH-10004093</v>
      </c>
      <c r="E4625" t="str">
        <f>IF(COUNTIF(data2!$D:$D,D4625)=0,"Missing in Data2","Present")</f>
        <v>Present</v>
      </c>
    </row>
    <row r="4626" spans="1:5" x14ac:dyDescent="0.25">
      <c r="A4626" s="2" t="s">
        <v>4059</v>
      </c>
      <c r="B4626" s="2" t="s">
        <v>4060</v>
      </c>
      <c r="C4626" s="2">
        <v>3</v>
      </c>
      <c r="D4626" t="str">
        <f t="shared" si="72"/>
        <v>CA-2016-148516_TEC-AC-10003610</v>
      </c>
      <c r="E4626" t="str">
        <f>IF(COUNTIF(data2!$D:$D,D4626)=0,"Missing in Data2","Present")</f>
        <v>Present</v>
      </c>
    </row>
    <row r="4627" spans="1:5" x14ac:dyDescent="0.25">
      <c r="A4627" s="2" t="s">
        <v>4061</v>
      </c>
      <c r="B4627" s="2" t="s">
        <v>2062</v>
      </c>
      <c r="C4627" s="2">
        <v>5</v>
      </c>
      <c r="D4627" t="str">
        <f t="shared" si="72"/>
        <v>CA-2016-148593_OFF-PA-10001776</v>
      </c>
      <c r="E4627" t="str">
        <f>IF(COUNTIF(data2!$D:$D,D4627)=0,"Missing in Data2","Present")</f>
        <v>Present</v>
      </c>
    </row>
    <row r="4628" spans="1:5" x14ac:dyDescent="0.25">
      <c r="A4628" s="2" t="s">
        <v>4062</v>
      </c>
      <c r="B4628" s="2" t="s">
        <v>769</v>
      </c>
      <c r="C4628" s="2">
        <v>5</v>
      </c>
      <c r="D4628" t="str">
        <f t="shared" si="72"/>
        <v>CA-2016-148684_FUR-FU-10003553</v>
      </c>
      <c r="E4628" t="str">
        <f>IF(COUNTIF(data2!$D:$D,D4628)=0,"Missing in Data2","Present")</f>
        <v>Present</v>
      </c>
    </row>
    <row r="4629" spans="1:5" x14ac:dyDescent="0.25">
      <c r="A4629" s="2" t="s">
        <v>4062</v>
      </c>
      <c r="B4629" s="2" t="s">
        <v>4063</v>
      </c>
      <c r="C4629" s="2">
        <v>9</v>
      </c>
      <c r="D4629" t="str">
        <f t="shared" si="72"/>
        <v>CA-2016-148684_OFF-AR-10003811</v>
      </c>
      <c r="E4629" t="str">
        <f>IF(COUNTIF(data2!$D:$D,D4629)=0,"Missing in Data2","Present")</f>
        <v>Present</v>
      </c>
    </row>
    <row r="4630" spans="1:5" x14ac:dyDescent="0.25">
      <c r="A4630" s="2" t="s">
        <v>4062</v>
      </c>
      <c r="B4630" s="2" t="s">
        <v>1234</v>
      </c>
      <c r="C4630" s="2">
        <v>3</v>
      </c>
      <c r="D4630" t="str">
        <f t="shared" si="72"/>
        <v>CA-2016-148684_OFF-PA-10003302</v>
      </c>
      <c r="E4630" t="str">
        <f>IF(COUNTIF(data2!$D:$D,D4630)=0,"Missing in Data2","Present")</f>
        <v>Present</v>
      </c>
    </row>
    <row r="4631" spans="1:5" x14ac:dyDescent="0.25">
      <c r="A4631" s="2" t="s">
        <v>4062</v>
      </c>
      <c r="B4631" s="2" t="s">
        <v>2146</v>
      </c>
      <c r="C4631" s="2">
        <v>2</v>
      </c>
      <c r="D4631" t="str">
        <f t="shared" si="72"/>
        <v>CA-2016-148684_TEC-AC-10001838</v>
      </c>
      <c r="E4631" t="str">
        <f>IF(COUNTIF(data2!$D:$D,D4631)=0,"Missing in Data2","Present")</f>
        <v>Present</v>
      </c>
    </row>
    <row r="4632" spans="1:5" x14ac:dyDescent="0.25">
      <c r="A4632" s="2" t="s">
        <v>4064</v>
      </c>
      <c r="B4632" s="2" t="s">
        <v>3047</v>
      </c>
      <c r="C4632" s="2">
        <v>3</v>
      </c>
      <c r="D4632" t="str">
        <f t="shared" si="72"/>
        <v>CA-2016-148698_OFF-AR-10004022</v>
      </c>
      <c r="E4632" t="str">
        <f>IF(COUNTIF(data2!$D:$D,D4632)=0,"Missing in Data2","Present")</f>
        <v>Missing in Data2</v>
      </c>
    </row>
    <row r="4633" spans="1:5" x14ac:dyDescent="0.25">
      <c r="A4633" s="2" t="s">
        <v>4065</v>
      </c>
      <c r="B4633" s="2" t="s">
        <v>102</v>
      </c>
      <c r="C4633" s="2">
        <v>2</v>
      </c>
      <c r="D4633" t="str">
        <f t="shared" si="72"/>
        <v>CA-2016-148740_TEC-PH-10002549</v>
      </c>
      <c r="E4633" t="str">
        <f>IF(COUNTIF(data2!$D:$D,D4633)=0,"Missing in Data2","Present")</f>
        <v>Present</v>
      </c>
    </row>
    <row r="4634" spans="1:5" x14ac:dyDescent="0.25">
      <c r="A4634" s="2" t="s">
        <v>4066</v>
      </c>
      <c r="B4634" s="2" t="s">
        <v>1417</v>
      </c>
      <c r="C4634" s="2">
        <v>2</v>
      </c>
      <c r="D4634" t="str">
        <f t="shared" si="72"/>
        <v>CA-2016-148747_FUR-BO-10002613</v>
      </c>
      <c r="E4634" t="str">
        <f>IF(COUNTIF(data2!$D:$D,D4634)=0,"Missing in Data2","Present")</f>
        <v>Present</v>
      </c>
    </row>
    <row r="4635" spans="1:5" x14ac:dyDescent="0.25">
      <c r="A4635" s="2" t="s">
        <v>4067</v>
      </c>
      <c r="B4635" s="2" t="s">
        <v>1368</v>
      </c>
      <c r="C4635" s="2">
        <v>5</v>
      </c>
      <c r="D4635" t="str">
        <f t="shared" si="72"/>
        <v>CA-2016-148796_FUR-CH-10004886</v>
      </c>
      <c r="E4635" t="str">
        <f>IF(COUNTIF(data2!$D:$D,D4635)=0,"Missing in Data2","Present")</f>
        <v>Present</v>
      </c>
    </row>
    <row r="4636" spans="1:5" x14ac:dyDescent="0.25">
      <c r="A4636" s="2" t="s">
        <v>4068</v>
      </c>
      <c r="B4636" s="2" t="s">
        <v>1162</v>
      </c>
      <c r="C4636" s="2">
        <v>6</v>
      </c>
      <c r="D4636" t="str">
        <f t="shared" si="72"/>
        <v>CA-2016-148852_FUR-CH-10004860</v>
      </c>
      <c r="E4636" t="str">
        <f>IF(COUNTIF(data2!$D:$D,D4636)=0,"Missing in Data2","Present")</f>
        <v>Present</v>
      </c>
    </row>
    <row r="4637" spans="1:5" x14ac:dyDescent="0.25">
      <c r="A4637" s="2" t="s">
        <v>4068</v>
      </c>
      <c r="B4637" s="2" t="s">
        <v>1364</v>
      </c>
      <c r="C4637" s="2">
        <v>3</v>
      </c>
      <c r="D4637" t="str">
        <f t="shared" si="72"/>
        <v>CA-2016-148852_OFF-FA-10003467</v>
      </c>
      <c r="E4637" t="str">
        <f>IF(COUNTIF(data2!$D:$D,D4637)=0,"Missing in Data2","Present")</f>
        <v>Present</v>
      </c>
    </row>
    <row r="4638" spans="1:5" x14ac:dyDescent="0.25">
      <c r="A4638" s="2" t="s">
        <v>4068</v>
      </c>
      <c r="B4638" s="2" t="s">
        <v>2571</v>
      </c>
      <c r="C4638" s="2">
        <v>7</v>
      </c>
      <c r="D4638" t="str">
        <f t="shared" si="72"/>
        <v>CA-2016-148852_OFF-PA-10001293</v>
      </c>
      <c r="E4638" t="str">
        <f>IF(COUNTIF(data2!$D:$D,D4638)=0,"Missing in Data2","Present")</f>
        <v>Present</v>
      </c>
    </row>
    <row r="4639" spans="1:5" x14ac:dyDescent="0.25">
      <c r="A4639" s="2" t="s">
        <v>4068</v>
      </c>
      <c r="B4639" s="2" t="s">
        <v>4069</v>
      </c>
      <c r="C4639" s="2">
        <v>3</v>
      </c>
      <c r="D4639" t="str">
        <f t="shared" si="72"/>
        <v>CA-2016-148852_TEC-MA-10002428</v>
      </c>
      <c r="E4639" t="str">
        <f>IF(COUNTIF(data2!$D:$D,D4639)=0,"Missing in Data2","Present")</f>
        <v>Present</v>
      </c>
    </row>
    <row r="4640" spans="1:5" x14ac:dyDescent="0.25">
      <c r="A4640" s="2" t="s">
        <v>4068</v>
      </c>
      <c r="B4640" s="2" t="s">
        <v>1683</v>
      </c>
      <c r="C4640" s="2">
        <v>4</v>
      </c>
      <c r="D4640" t="str">
        <f t="shared" si="72"/>
        <v>CA-2016-148852_TEC-PH-10003885</v>
      </c>
      <c r="E4640" t="str">
        <f>IF(COUNTIF(data2!$D:$D,D4640)=0,"Missing in Data2","Present")</f>
        <v>Missing in Data2</v>
      </c>
    </row>
    <row r="4641" spans="1:5" x14ac:dyDescent="0.25">
      <c r="A4641" s="2" t="s">
        <v>4070</v>
      </c>
      <c r="B4641" s="2" t="s">
        <v>1961</v>
      </c>
      <c r="C4641" s="2">
        <v>2</v>
      </c>
      <c r="D4641" t="str">
        <f t="shared" si="72"/>
        <v>CA-2016-148908_OFF-BI-10002082</v>
      </c>
      <c r="E4641" t="str">
        <f>IF(COUNTIF(data2!$D:$D,D4641)=0,"Missing in Data2","Present")</f>
        <v>Present</v>
      </c>
    </row>
    <row r="4642" spans="1:5" x14ac:dyDescent="0.25">
      <c r="A4642" s="2" t="s">
        <v>4071</v>
      </c>
      <c r="B4642" s="2" t="s">
        <v>3306</v>
      </c>
      <c r="C4642" s="2">
        <v>8</v>
      </c>
      <c r="D4642" t="str">
        <f t="shared" si="72"/>
        <v>CA-2016-149111_FUR-FU-10000206</v>
      </c>
      <c r="E4642" t="str">
        <f>IF(COUNTIF(data2!$D:$D,D4642)=0,"Missing in Data2","Present")</f>
        <v>Present</v>
      </c>
    </row>
    <row r="4643" spans="1:5" x14ac:dyDescent="0.25">
      <c r="A4643" s="2" t="s">
        <v>4071</v>
      </c>
      <c r="B4643" s="2" t="s">
        <v>4072</v>
      </c>
      <c r="C4643" s="2">
        <v>1</v>
      </c>
      <c r="D4643" t="str">
        <f t="shared" si="72"/>
        <v>CA-2016-149111_TEC-PH-10003092</v>
      </c>
      <c r="E4643" t="str">
        <f>IF(COUNTIF(data2!$D:$D,D4643)=0,"Missing in Data2","Present")</f>
        <v>Present</v>
      </c>
    </row>
    <row r="4644" spans="1:5" x14ac:dyDescent="0.25">
      <c r="A4644" s="2" t="s">
        <v>4073</v>
      </c>
      <c r="B4644" s="2" t="s">
        <v>1187</v>
      </c>
      <c r="C4644" s="2">
        <v>8</v>
      </c>
      <c r="D4644" t="str">
        <f t="shared" si="72"/>
        <v>CA-2016-149195_OFF-FA-10001843</v>
      </c>
      <c r="E4644" t="str">
        <f>IF(COUNTIF(data2!$D:$D,D4644)=0,"Missing in Data2","Present")</f>
        <v>Present</v>
      </c>
    </row>
    <row r="4645" spans="1:5" x14ac:dyDescent="0.25">
      <c r="A4645" s="2" t="s">
        <v>4073</v>
      </c>
      <c r="B4645" s="2" t="s">
        <v>2631</v>
      </c>
      <c r="C4645" s="2">
        <v>5</v>
      </c>
      <c r="D4645" t="str">
        <f t="shared" si="72"/>
        <v>CA-2016-149195_OFF-PA-10001870</v>
      </c>
      <c r="E4645" t="str">
        <f>IF(COUNTIF(data2!$D:$D,D4645)=0,"Missing in Data2","Present")</f>
        <v>Present</v>
      </c>
    </row>
    <row r="4646" spans="1:5" x14ac:dyDescent="0.25">
      <c r="A4646" s="2" t="s">
        <v>4073</v>
      </c>
      <c r="B4646" s="2" t="s">
        <v>2410</v>
      </c>
      <c r="C4646" s="2">
        <v>2</v>
      </c>
      <c r="D4646" t="str">
        <f t="shared" si="72"/>
        <v>CA-2016-149195_OFF-PA-10002036</v>
      </c>
      <c r="E4646" t="str">
        <f>IF(COUNTIF(data2!$D:$D,D4646)=0,"Missing in Data2","Present")</f>
        <v>Present</v>
      </c>
    </row>
    <row r="4647" spans="1:5" x14ac:dyDescent="0.25">
      <c r="A4647" s="2" t="s">
        <v>4074</v>
      </c>
      <c r="B4647" s="2" t="s">
        <v>796</v>
      </c>
      <c r="C4647" s="2">
        <v>6</v>
      </c>
      <c r="D4647" t="str">
        <f t="shared" si="72"/>
        <v>CA-2016-149223_OFF-AP-10000358</v>
      </c>
      <c r="E4647" t="str">
        <f>IF(COUNTIF(data2!$D:$D,D4647)=0,"Missing in Data2","Present")</f>
        <v>Present</v>
      </c>
    </row>
    <row r="4648" spans="1:5" x14ac:dyDescent="0.25">
      <c r="A4648" s="2" t="s">
        <v>4075</v>
      </c>
      <c r="B4648" s="2" t="s">
        <v>756</v>
      </c>
      <c r="C4648" s="2">
        <v>3</v>
      </c>
      <c r="D4648" t="str">
        <f t="shared" si="72"/>
        <v>CA-2016-149237_FUR-FU-10002088</v>
      </c>
      <c r="E4648" t="str">
        <f>IF(COUNTIF(data2!$D:$D,D4648)=0,"Missing in Data2","Present")</f>
        <v>Present</v>
      </c>
    </row>
    <row r="4649" spans="1:5" x14ac:dyDescent="0.25">
      <c r="A4649" s="2" t="s">
        <v>4076</v>
      </c>
      <c r="B4649" s="2" t="s">
        <v>474</v>
      </c>
      <c r="C4649" s="2">
        <v>5</v>
      </c>
      <c r="D4649" t="str">
        <f t="shared" si="72"/>
        <v>CA-2016-149272_FUR-CH-10000863</v>
      </c>
      <c r="E4649" t="str">
        <f>IF(COUNTIF(data2!$D:$D,D4649)=0,"Missing in Data2","Present")</f>
        <v>Present</v>
      </c>
    </row>
    <row r="4650" spans="1:5" x14ac:dyDescent="0.25">
      <c r="A4650" s="2" t="s">
        <v>4076</v>
      </c>
      <c r="B4650" s="2" t="s">
        <v>137</v>
      </c>
      <c r="C4650" s="2">
        <v>7</v>
      </c>
      <c r="D4650" t="str">
        <f t="shared" si="72"/>
        <v>CA-2016-149272_OFF-BI-10004233</v>
      </c>
      <c r="E4650" t="str">
        <f>IF(COUNTIF(data2!$D:$D,D4650)=0,"Missing in Data2","Present")</f>
        <v>Present</v>
      </c>
    </row>
    <row r="4651" spans="1:5" x14ac:dyDescent="0.25">
      <c r="A4651" s="2" t="s">
        <v>4077</v>
      </c>
      <c r="B4651" s="2" t="s">
        <v>1083</v>
      </c>
      <c r="C4651" s="2">
        <v>6</v>
      </c>
      <c r="D4651" t="str">
        <f t="shared" si="72"/>
        <v>CA-2016-149279_FUR-CH-10004287</v>
      </c>
      <c r="E4651" t="str">
        <f>IF(COUNTIF(data2!$D:$D,D4651)=0,"Missing in Data2","Present")</f>
        <v>Present</v>
      </c>
    </row>
    <row r="4652" spans="1:5" x14ac:dyDescent="0.25">
      <c r="A4652" s="2" t="s">
        <v>4077</v>
      </c>
      <c r="B4652" s="2" t="s">
        <v>2891</v>
      </c>
      <c r="C4652" s="2">
        <v>2</v>
      </c>
      <c r="D4652" t="str">
        <f t="shared" si="72"/>
        <v>CA-2016-149279_OFF-BI-10004040</v>
      </c>
      <c r="E4652" t="str">
        <f>IF(COUNTIF(data2!$D:$D,D4652)=0,"Missing in Data2","Present")</f>
        <v>Present</v>
      </c>
    </row>
    <row r="4653" spans="1:5" x14ac:dyDescent="0.25">
      <c r="A4653" s="2" t="s">
        <v>4077</v>
      </c>
      <c r="B4653" s="2" t="s">
        <v>1737</v>
      </c>
      <c r="C4653" s="2">
        <v>3</v>
      </c>
      <c r="D4653" t="str">
        <f t="shared" si="72"/>
        <v>CA-2016-149279_OFF-PA-10003441</v>
      </c>
      <c r="E4653" t="str">
        <f>IF(COUNTIF(data2!$D:$D,D4653)=0,"Missing in Data2","Present")</f>
        <v>Present</v>
      </c>
    </row>
    <row r="4654" spans="1:5" x14ac:dyDescent="0.25">
      <c r="A4654" s="2" t="s">
        <v>4078</v>
      </c>
      <c r="B4654" s="2" t="s">
        <v>1641</v>
      </c>
      <c r="C4654" s="2">
        <v>1</v>
      </c>
      <c r="D4654" t="str">
        <f t="shared" si="72"/>
        <v>CA-2016-149314_FUR-CH-10002126</v>
      </c>
      <c r="E4654" t="str">
        <f>IF(COUNTIF(data2!$D:$D,D4654)=0,"Missing in Data2","Present")</f>
        <v>Present</v>
      </c>
    </row>
    <row r="4655" spans="1:5" x14ac:dyDescent="0.25">
      <c r="A4655" s="2" t="s">
        <v>4079</v>
      </c>
      <c r="B4655" s="2" t="s">
        <v>4080</v>
      </c>
      <c r="C4655" s="2">
        <v>9</v>
      </c>
      <c r="D4655" t="str">
        <f t="shared" si="72"/>
        <v>CA-2016-149335_OFF-AR-10001419</v>
      </c>
      <c r="E4655" t="str">
        <f>IF(COUNTIF(data2!$D:$D,D4655)=0,"Missing in Data2","Present")</f>
        <v>Present</v>
      </c>
    </row>
    <row r="4656" spans="1:5" x14ac:dyDescent="0.25">
      <c r="A4656" s="2" t="s">
        <v>4081</v>
      </c>
      <c r="B4656" s="2" t="s">
        <v>3125</v>
      </c>
      <c r="C4656" s="2">
        <v>6</v>
      </c>
      <c r="D4656" t="str">
        <f t="shared" si="72"/>
        <v>CA-2016-149349_FUR-FU-10001037</v>
      </c>
      <c r="E4656" t="str">
        <f>IF(COUNTIF(data2!$D:$D,D4656)=0,"Missing in Data2","Present")</f>
        <v>Present</v>
      </c>
    </row>
    <row r="4657" spans="1:5" x14ac:dyDescent="0.25">
      <c r="A4657" s="2" t="s">
        <v>4082</v>
      </c>
      <c r="B4657" s="2" t="s">
        <v>2516</v>
      </c>
      <c r="C4657" s="2">
        <v>1</v>
      </c>
      <c r="D4657" t="str">
        <f t="shared" si="72"/>
        <v>CA-2016-149454_OFF-BI-10003694</v>
      </c>
      <c r="E4657" t="str">
        <f>IF(COUNTIF(data2!$D:$D,D4657)=0,"Missing in Data2","Present")</f>
        <v>Missing in Data2</v>
      </c>
    </row>
    <row r="4658" spans="1:5" x14ac:dyDescent="0.25">
      <c r="A4658" s="2" t="s">
        <v>4083</v>
      </c>
      <c r="B4658" s="2" t="s">
        <v>461</v>
      </c>
      <c r="C4658" s="2">
        <v>1</v>
      </c>
      <c r="D4658" t="str">
        <f t="shared" si="72"/>
        <v>CA-2016-149461_FUR-FU-10004270</v>
      </c>
      <c r="E4658" t="str">
        <f>IF(COUNTIF(data2!$D:$D,D4658)=0,"Missing in Data2","Present")</f>
        <v>Present</v>
      </c>
    </row>
    <row r="4659" spans="1:5" x14ac:dyDescent="0.25">
      <c r="A4659" s="2" t="s">
        <v>4084</v>
      </c>
      <c r="B4659" s="2" t="s">
        <v>870</v>
      </c>
      <c r="C4659" s="2">
        <v>2</v>
      </c>
      <c r="D4659" t="str">
        <f t="shared" si="72"/>
        <v>CA-2016-149482_OFF-LA-10000248</v>
      </c>
      <c r="E4659" t="str">
        <f>IF(COUNTIF(data2!$D:$D,D4659)=0,"Missing in Data2","Present")</f>
        <v>Present</v>
      </c>
    </row>
    <row r="4660" spans="1:5" x14ac:dyDescent="0.25">
      <c r="A4660" s="2" t="s">
        <v>4085</v>
      </c>
      <c r="B4660" s="2" t="s">
        <v>823</v>
      </c>
      <c r="C4660" s="2">
        <v>8</v>
      </c>
      <c r="D4660" t="str">
        <f t="shared" si="72"/>
        <v>CA-2016-149503_OFF-BI-10002133</v>
      </c>
      <c r="E4660" t="str">
        <f>IF(COUNTIF(data2!$D:$D,D4660)=0,"Missing in Data2","Present")</f>
        <v>Present</v>
      </c>
    </row>
    <row r="4661" spans="1:5" x14ac:dyDescent="0.25">
      <c r="A4661" s="2" t="s">
        <v>4086</v>
      </c>
      <c r="B4661" s="2" t="s">
        <v>803</v>
      </c>
      <c r="C4661" s="2">
        <v>6</v>
      </c>
      <c r="D4661" t="str">
        <f t="shared" si="72"/>
        <v>CA-2016-149671_OFF-SU-10002537</v>
      </c>
      <c r="E4661" t="str">
        <f>IF(COUNTIF(data2!$D:$D,D4661)=0,"Missing in Data2","Present")</f>
        <v>Present</v>
      </c>
    </row>
    <row r="4662" spans="1:5" x14ac:dyDescent="0.25">
      <c r="A4662" s="2" t="s">
        <v>4087</v>
      </c>
      <c r="B4662" s="2" t="s">
        <v>3076</v>
      </c>
      <c r="C4662" s="2">
        <v>6</v>
      </c>
      <c r="D4662" t="str">
        <f t="shared" si="72"/>
        <v>CA-2016-149685_OFF-LA-10004545</v>
      </c>
      <c r="E4662" t="str">
        <f>IF(COUNTIF(data2!$D:$D,D4662)=0,"Missing in Data2","Present")</f>
        <v>Present</v>
      </c>
    </row>
    <row r="4663" spans="1:5" x14ac:dyDescent="0.25">
      <c r="A4663" s="2" t="s">
        <v>4088</v>
      </c>
      <c r="B4663" s="2" t="s">
        <v>69</v>
      </c>
      <c r="C4663" s="2">
        <v>2</v>
      </c>
      <c r="D4663" t="str">
        <f t="shared" si="72"/>
        <v>CA-2016-149762_FUR-BO-10001337</v>
      </c>
      <c r="E4663" t="str">
        <f>IF(COUNTIF(data2!$D:$D,D4663)=0,"Missing in Data2","Present")</f>
        <v>Missing in Data2</v>
      </c>
    </row>
    <row r="4664" spans="1:5" x14ac:dyDescent="0.25">
      <c r="A4664" s="2" t="s">
        <v>4088</v>
      </c>
      <c r="B4664" s="2" t="s">
        <v>718</v>
      </c>
      <c r="C4664" s="2">
        <v>3</v>
      </c>
      <c r="D4664" t="str">
        <f t="shared" si="72"/>
        <v>CA-2016-149762_FUR-TA-10004147</v>
      </c>
      <c r="E4664" t="str">
        <f>IF(COUNTIF(data2!$D:$D,D4664)=0,"Missing in Data2","Present")</f>
        <v>Present</v>
      </c>
    </row>
    <row r="4665" spans="1:5" x14ac:dyDescent="0.25">
      <c r="A4665" s="2" t="s">
        <v>4088</v>
      </c>
      <c r="B4665" s="2" t="s">
        <v>1776</v>
      </c>
      <c r="C4665" s="2">
        <v>8</v>
      </c>
      <c r="D4665" t="str">
        <f t="shared" si="72"/>
        <v>CA-2016-149762_OFF-AR-10001662</v>
      </c>
      <c r="E4665" t="str">
        <f>IF(COUNTIF(data2!$D:$D,D4665)=0,"Missing in Data2","Present")</f>
        <v>Present</v>
      </c>
    </row>
    <row r="4666" spans="1:5" x14ac:dyDescent="0.25">
      <c r="A4666" s="2" t="s">
        <v>4088</v>
      </c>
      <c r="B4666" s="2" t="s">
        <v>1735</v>
      </c>
      <c r="C4666" s="2">
        <v>3</v>
      </c>
      <c r="D4666" t="str">
        <f t="shared" si="72"/>
        <v>CA-2016-149762_OFF-ST-10001558</v>
      </c>
      <c r="E4666" t="str">
        <f>IF(COUNTIF(data2!$D:$D,D4666)=0,"Missing in Data2","Present")</f>
        <v>Present</v>
      </c>
    </row>
    <row r="4667" spans="1:5" x14ac:dyDescent="0.25">
      <c r="A4667" s="2" t="s">
        <v>4089</v>
      </c>
      <c r="B4667" s="2" t="s">
        <v>2238</v>
      </c>
      <c r="C4667" s="2">
        <v>2</v>
      </c>
      <c r="D4667" t="str">
        <f t="shared" si="72"/>
        <v>CA-2016-149783_OFF-AP-10001205</v>
      </c>
      <c r="E4667" t="str">
        <f>IF(COUNTIF(data2!$D:$D,D4667)=0,"Missing in Data2","Present")</f>
        <v>Present</v>
      </c>
    </row>
    <row r="4668" spans="1:5" x14ac:dyDescent="0.25">
      <c r="A4668" s="2" t="s">
        <v>4089</v>
      </c>
      <c r="B4668" s="2" t="s">
        <v>157</v>
      </c>
      <c r="C4668" s="2">
        <v>3</v>
      </c>
      <c r="D4668" t="str">
        <f t="shared" si="72"/>
        <v>CA-2016-149783_OFF-PA-10002195</v>
      </c>
      <c r="E4668" t="str">
        <f>IF(COUNTIF(data2!$D:$D,D4668)=0,"Missing in Data2","Present")</f>
        <v>Present</v>
      </c>
    </row>
    <row r="4669" spans="1:5" x14ac:dyDescent="0.25">
      <c r="A4669" s="2" t="s">
        <v>4090</v>
      </c>
      <c r="B4669" s="2" t="s">
        <v>1382</v>
      </c>
      <c r="C4669" s="2">
        <v>2</v>
      </c>
      <c r="D4669" t="str">
        <f t="shared" si="72"/>
        <v>CA-2016-149797_OFF-BI-10003650</v>
      </c>
      <c r="E4669" t="str">
        <f>IF(COUNTIF(data2!$D:$D,D4669)=0,"Missing in Data2","Present")</f>
        <v>Present</v>
      </c>
    </row>
    <row r="4670" spans="1:5" x14ac:dyDescent="0.25">
      <c r="A4670" s="2" t="s">
        <v>4091</v>
      </c>
      <c r="B4670" s="2" t="s">
        <v>4092</v>
      </c>
      <c r="C4670" s="2">
        <v>4</v>
      </c>
      <c r="D4670" t="str">
        <f t="shared" si="72"/>
        <v>CA-2016-149902_OFF-AR-10002956</v>
      </c>
      <c r="E4670" t="str">
        <f>IF(COUNTIF(data2!$D:$D,D4670)=0,"Missing in Data2","Present")</f>
        <v>Present</v>
      </c>
    </row>
    <row r="4671" spans="1:5" x14ac:dyDescent="0.25">
      <c r="A4671" s="2" t="s">
        <v>4093</v>
      </c>
      <c r="B4671" s="2" t="s">
        <v>2543</v>
      </c>
      <c r="C4671" s="2">
        <v>4</v>
      </c>
      <c r="D4671" t="str">
        <f t="shared" si="72"/>
        <v>CA-2016-149916_OFF-BI-10004002</v>
      </c>
      <c r="E4671" t="str">
        <f>IF(COUNTIF(data2!$D:$D,D4671)=0,"Missing in Data2","Present")</f>
        <v>Present</v>
      </c>
    </row>
    <row r="4672" spans="1:5" x14ac:dyDescent="0.25">
      <c r="A4672" s="2" t="s">
        <v>4093</v>
      </c>
      <c r="B4672" s="2" t="s">
        <v>3910</v>
      </c>
      <c r="C4672" s="2">
        <v>1</v>
      </c>
      <c r="D4672" t="str">
        <f t="shared" si="72"/>
        <v>CA-2016-149916_TEC-MA-10000752</v>
      </c>
      <c r="E4672" t="str">
        <f>IF(COUNTIF(data2!$D:$D,D4672)=0,"Missing in Data2","Present")</f>
        <v>Present</v>
      </c>
    </row>
    <row r="4673" spans="1:5" x14ac:dyDescent="0.25">
      <c r="A4673" s="2" t="s">
        <v>4094</v>
      </c>
      <c r="B4673" s="2" t="s">
        <v>461</v>
      </c>
      <c r="C4673" s="2">
        <v>3</v>
      </c>
      <c r="D4673" t="str">
        <f t="shared" si="72"/>
        <v>CA-2016-149965_FUR-FU-10004270</v>
      </c>
      <c r="E4673" t="str">
        <f>IF(COUNTIF(data2!$D:$D,D4673)=0,"Missing in Data2","Present")</f>
        <v>Present</v>
      </c>
    </row>
    <row r="4674" spans="1:5" x14ac:dyDescent="0.25">
      <c r="A4674" s="2" t="s">
        <v>4094</v>
      </c>
      <c r="B4674" s="2" t="s">
        <v>511</v>
      </c>
      <c r="C4674" s="2">
        <v>1</v>
      </c>
      <c r="D4674" t="str">
        <f t="shared" si="72"/>
        <v>CA-2016-149965_TEC-AC-10004877</v>
      </c>
      <c r="E4674" t="str">
        <f>IF(COUNTIF(data2!$D:$D,D4674)=0,"Missing in Data2","Present")</f>
        <v>Present</v>
      </c>
    </row>
    <row r="4675" spans="1:5" x14ac:dyDescent="0.25">
      <c r="A4675" s="2" t="s">
        <v>4095</v>
      </c>
      <c r="B4675" s="2" t="s">
        <v>1978</v>
      </c>
      <c r="C4675" s="2">
        <v>3</v>
      </c>
      <c r="D4675" t="str">
        <f t="shared" ref="D4675:D4738" si="73">A4675&amp;"_"&amp;B4675</f>
        <v>CA-2016-149979_FUR-CH-10002084</v>
      </c>
      <c r="E4675" t="str">
        <f>IF(COUNTIF(data2!$D:$D,D4675)=0,"Missing in Data2","Present")</f>
        <v>Present</v>
      </c>
    </row>
    <row r="4676" spans="1:5" x14ac:dyDescent="0.25">
      <c r="A4676" s="2" t="s">
        <v>4095</v>
      </c>
      <c r="B4676" s="2" t="s">
        <v>599</v>
      </c>
      <c r="C4676" s="2">
        <v>5</v>
      </c>
      <c r="D4676" t="str">
        <f t="shared" si="73"/>
        <v>CA-2016-149979_OFF-ST-10003058</v>
      </c>
      <c r="E4676" t="str">
        <f>IF(COUNTIF(data2!$D:$D,D4676)=0,"Missing in Data2","Present")</f>
        <v>Present</v>
      </c>
    </row>
    <row r="4677" spans="1:5" x14ac:dyDescent="0.25">
      <c r="A4677" s="2" t="s">
        <v>4096</v>
      </c>
      <c r="B4677" s="2" t="s">
        <v>4097</v>
      </c>
      <c r="C4677" s="2">
        <v>4</v>
      </c>
      <c r="D4677" t="str">
        <f t="shared" si="73"/>
        <v>CA-2016-150000_OFF-EN-10002973</v>
      </c>
      <c r="E4677" t="str">
        <f>IF(COUNTIF(data2!$D:$D,D4677)=0,"Missing in Data2","Present")</f>
        <v>Present</v>
      </c>
    </row>
    <row r="4678" spans="1:5" x14ac:dyDescent="0.25">
      <c r="A4678" s="2" t="s">
        <v>4098</v>
      </c>
      <c r="B4678" s="2" t="s">
        <v>276</v>
      </c>
      <c r="C4678" s="2">
        <v>3</v>
      </c>
      <c r="D4678" t="str">
        <f t="shared" si="73"/>
        <v>CA-2016-150007_OFF-BI-10004141</v>
      </c>
      <c r="E4678" t="str">
        <f>IF(COUNTIF(data2!$D:$D,D4678)=0,"Missing in Data2","Present")</f>
        <v>Present</v>
      </c>
    </row>
    <row r="4679" spans="1:5" x14ac:dyDescent="0.25">
      <c r="A4679" s="2" t="s">
        <v>4098</v>
      </c>
      <c r="B4679" s="2" t="s">
        <v>27</v>
      </c>
      <c r="C4679" s="2">
        <v>2</v>
      </c>
      <c r="D4679" t="str">
        <f t="shared" si="73"/>
        <v>CA-2016-150007_OFF-LA-10001982</v>
      </c>
      <c r="E4679" t="str">
        <f>IF(COUNTIF(data2!$D:$D,D4679)=0,"Missing in Data2","Present")</f>
        <v>Present</v>
      </c>
    </row>
    <row r="4680" spans="1:5" x14ac:dyDescent="0.25">
      <c r="A4680" s="2" t="s">
        <v>4099</v>
      </c>
      <c r="B4680" s="2" t="s">
        <v>737</v>
      </c>
      <c r="C4680" s="2">
        <v>2</v>
      </c>
      <c r="D4680" t="str">
        <f t="shared" si="73"/>
        <v>CA-2016-150077_TEC-PH-10002890</v>
      </c>
      <c r="E4680" t="str">
        <f>IF(COUNTIF(data2!$D:$D,D4680)=0,"Missing in Data2","Present")</f>
        <v>Present</v>
      </c>
    </row>
    <row r="4681" spans="1:5" x14ac:dyDescent="0.25">
      <c r="A4681" s="2" t="s">
        <v>4100</v>
      </c>
      <c r="B4681" s="2" t="s">
        <v>323</v>
      </c>
      <c r="C4681" s="2">
        <v>3</v>
      </c>
      <c r="D4681" t="str">
        <f t="shared" si="73"/>
        <v>CA-2016-150343_OFF-EN-10004030</v>
      </c>
      <c r="E4681" t="str">
        <f>IF(COUNTIF(data2!$D:$D,D4681)=0,"Missing in Data2","Present")</f>
        <v>Present</v>
      </c>
    </row>
    <row r="4682" spans="1:5" x14ac:dyDescent="0.25">
      <c r="A4682" s="2" t="s">
        <v>4101</v>
      </c>
      <c r="B4682" s="2" t="s">
        <v>2314</v>
      </c>
      <c r="C4682" s="2">
        <v>6</v>
      </c>
      <c r="D4682" t="str">
        <f t="shared" si="73"/>
        <v>CA-2016-150350_FUR-CH-10001973</v>
      </c>
      <c r="E4682" t="str">
        <f>IF(COUNTIF(data2!$D:$D,D4682)=0,"Missing in Data2","Present")</f>
        <v>Present</v>
      </c>
    </row>
    <row r="4683" spans="1:5" x14ac:dyDescent="0.25">
      <c r="A4683" s="2" t="s">
        <v>4101</v>
      </c>
      <c r="B4683" s="2" t="s">
        <v>1310</v>
      </c>
      <c r="C4683" s="2">
        <v>5</v>
      </c>
      <c r="D4683" t="str">
        <f t="shared" si="73"/>
        <v>CA-2016-150350_OFF-AP-10001492</v>
      </c>
      <c r="E4683" t="str">
        <f>IF(COUNTIF(data2!$D:$D,D4683)=0,"Missing in Data2","Present")</f>
        <v>Present</v>
      </c>
    </row>
    <row r="4684" spans="1:5" x14ac:dyDescent="0.25">
      <c r="A4684" s="2" t="s">
        <v>4101</v>
      </c>
      <c r="B4684" s="2" t="s">
        <v>531</v>
      </c>
      <c r="C4684" s="2">
        <v>5</v>
      </c>
      <c r="D4684" t="str">
        <f t="shared" si="73"/>
        <v>CA-2016-150350_OFF-EN-10002504</v>
      </c>
      <c r="E4684" t="str">
        <f>IF(COUNTIF(data2!$D:$D,D4684)=0,"Missing in Data2","Present")</f>
        <v>Present</v>
      </c>
    </row>
    <row r="4685" spans="1:5" x14ac:dyDescent="0.25">
      <c r="A4685" s="2" t="s">
        <v>4101</v>
      </c>
      <c r="B4685" s="2" t="s">
        <v>2415</v>
      </c>
      <c r="C4685" s="2">
        <v>6</v>
      </c>
      <c r="D4685" t="str">
        <f t="shared" si="73"/>
        <v>CA-2016-150350_OFF-PA-10002160</v>
      </c>
      <c r="E4685" t="str">
        <f>IF(COUNTIF(data2!$D:$D,D4685)=0,"Missing in Data2","Present")</f>
        <v>Missing in Data2</v>
      </c>
    </row>
    <row r="4686" spans="1:5" x14ac:dyDescent="0.25">
      <c r="A4686" s="2" t="s">
        <v>4101</v>
      </c>
      <c r="B4686" s="2" t="s">
        <v>241</v>
      </c>
      <c r="C4686" s="2">
        <v>4</v>
      </c>
      <c r="D4686" t="str">
        <f t="shared" si="73"/>
        <v>CA-2016-150350_OFF-SU-10002189</v>
      </c>
      <c r="E4686" t="str">
        <f>IF(COUNTIF(data2!$D:$D,D4686)=0,"Missing in Data2","Present")</f>
        <v>Present</v>
      </c>
    </row>
    <row r="4687" spans="1:5" x14ac:dyDescent="0.25">
      <c r="A4687" s="2" t="s">
        <v>4101</v>
      </c>
      <c r="B4687" s="2" t="s">
        <v>1762</v>
      </c>
      <c r="C4687" s="2">
        <v>3</v>
      </c>
      <c r="D4687" t="str">
        <f t="shared" si="73"/>
        <v>CA-2016-150350_TEC-MA-10001972</v>
      </c>
      <c r="E4687" t="str">
        <f>IF(COUNTIF(data2!$D:$D,D4687)=0,"Missing in Data2","Present")</f>
        <v>Present</v>
      </c>
    </row>
    <row r="4688" spans="1:5" x14ac:dyDescent="0.25">
      <c r="A4688" s="2" t="s">
        <v>4102</v>
      </c>
      <c r="B4688" s="2" t="s">
        <v>335</v>
      </c>
      <c r="C4688" s="2">
        <v>3</v>
      </c>
      <c r="D4688" t="str">
        <f t="shared" si="73"/>
        <v>CA-2016-150483_FUR-CH-10000422</v>
      </c>
      <c r="E4688" t="str">
        <f>IF(COUNTIF(data2!$D:$D,D4688)=0,"Missing in Data2","Present")</f>
        <v>Present</v>
      </c>
    </row>
    <row r="4689" spans="1:5" x14ac:dyDescent="0.25">
      <c r="A4689" s="2" t="s">
        <v>4102</v>
      </c>
      <c r="B4689" s="2" t="s">
        <v>4103</v>
      </c>
      <c r="C4689" s="2">
        <v>3</v>
      </c>
      <c r="D4689" t="str">
        <f t="shared" si="73"/>
        <v>CA-2016-150483_FUR-FU-10001379</v>
      </c>
      <c r="E4689" t="str">
        <f>IF(COUNTIF(data2!$D:$D,D4689)=0,"Missing in Data2","Present")</f>
        <v>Present</v>
      </c>
    </row>
    <row r="4690" spans="1:5" x14ac:dyDescent="0.25">
      <c r="A4690" s="2" t="s">
        <v>4102</v>
      </c>
      <c r="B4690" s="2" t="s">
        <v>2752</v>
      </c>
      <c r="C4690" s="2">
        <v>4</v>
      </c>
      <c r="D4690" t="str">
        <f t="shared" si="73"/>
        <v>CA-2016-150483_OFF-PA-10001846</v>
      </c>
      <c r="E4690" t="str">
        <f>IF(COUNTIF(data2!$D:$D,D4690)=0,"Missing in Data2","Present")</f>
        <v>Present</v>
      </c>
    </row>
    <row r="4691" spans="1:5" x14ac:dyDescent="0.25">
      <c r="A4691" s="2" t="s">
        <v>4102</v>
      </c>
      <c r="B4691" s="2" t="s">
        <v>2081</v>
      </c>
      <c r="C4691" s="2">
        <v>2</v>
      </c>
      <c r="D4691" t="str">
        <f t="shared" si="73"/>
        <v>CA-2016-150483_OFF-PA-10004621</v>
      </c>
      <c r="E4691" t="str">
        <f>IF(COUNTIF(data2!$D:$D,D4691)=0,"Missing in Data2","Present")</f>
        <v>Missing in Data2</v>
      </c>
    </row>
    <row r="4692" spans="1:5" x14ac:dyDescent="0.25">
      <c r="A4692" s="2" t="s">
        <v>4104</v>
      </c>
      <c r="B4692" s="2" t="s">
        <v>4105</v>
      </c>
      <c r="C4692" s="2">
        <v>1</v>
      </c>
      <c r="D4692" t="str">
        <f t="shared" si="73"/>
        <v>CA-2016-150889_TEC-PH-10000004</v>
      </c>
      <c r="E4692" t="str">
        <f>IF(COUNTIF(data2!$D:$D,D4692)=0,"Missing in Data2","Present")</f>
        <v>Present</v>
      </c>
    </row>
    <row r="4693" spans="1:5" x14ac:dyDescent="0.25">
      <c r="A4693" s="2" t="s">
        <v>4106</v>
      </c>
      <c r="B4693" s="2" t="s">
        <v>495</v>
      </c>
      <c r="C4693" s="2">
        <v>4</v>
      </c>
      <c r="D4693" t="str">
        <f t="shared" si="73"/>
        <v>CA-2016-150945_OFF-ST-10003716</v>
      </c>
      <c r="E4693" t="str">
        <f>IF(COUNTIF(data2!$D:$D,D4693)=0,"Missing in Data2","Present")</f>
        <v>Present</v>
      </c>
    </row>
    <row r="4694" spans="1:5" x14ac:dyDescent="0.25">
      <c r="A4694" s="2" t="s">
        <v>4107</v>
      </c>
      <c r="B4694" s="2" t="s">
        <v>2325</v>
      </c>
      <c r="C4694" s="2">
        <v>4</v>
      </c>
      <c r="D4694" t="str">
        <f t="shared" si="73"/>
        <v>CA-2016-151092_TEC-PH-10001700</v>
      </c>
      <c r="E4694" t="str">
        <f>IF(COUNTIF(data2!$D:$D,D4694)=0,"Missing in Data2","Present")</f>
        <v>Present</v>
      </c>
    </row>
    <row r="4695" spans="1:5" x14ac:dyDescent="0.25">
      <c r="A4695" s="2" t="s">
        <v>4108</v>
      </c>
      <c r="B4695" s="2" t="s">
        <v>2950</v>
      </c>
      <c r="C4695" s="2">
        <v>2</v>
      </c>
      <c r="D4695" t="str">
        <f t="shared" si="73"/>
        <v>CA-2016-151141_TEC-PH-10004924</v>
      </c>
      <c r="E4695" t="str">
        <f>IF(COUNTIF(data2!$D:$D,D4695)=0,"Missing in Data2","Present")</f>
        <v>Present</v>
      </c>
    </row>
    <row r="4696" spans="1:5" x14ac:dyDescent="0.25">
      <c r="A4696" s="2" t="s">
        <v>4109</v>
      </c>
      <c r="B4696" s="2" t="s">
        <v>1258</v>
      </c>
      <c r="C4696" s="2">
        <v>4</v>
      </c>
      <c r="D4696" t="str">
        <f t="shared" si="73"/>
        <v>CA-2016-151148_FUR-CH-10002304</v>
      </c>
      <c r="E4696" t="str">
        <f>IF(COUNTIF(data2!$D:$D,D4696)=0,"Missing in Data2","Present")</f>
        <v>Present</v>
      </c>
    </row>
    <row r="4697" spans="1:5" x14ac:dyDescent="0.25">
      <c r="A4697" s="2" t="s">
        <v>4109</v>
      </c>
      <c r="B4697" s="2" t="s">
        <v>1437</v>
      </c>
      <c r="C4697" s="2">
        <v>3</v>
      </c>
      <c r="D4697" t="str">
        <f t="shared" si="73"/>
        <v>CA-2016-151148_TEC-PH-10001870</v>
      </c>
      <c r="E4697" t="str">
        <f>IF(COUNTIF(data2!$D:$D,D4697)=0,"Missing in Data2","Present")</f>
        <v>Present</v>
      </c>
    </row>
    <row r="4698" spans="1:5" x14ac:dyDescent="0.25">
      <c r="A4698" s="2" t="s">
        <v>4110</v>
      </c>
      <c r="B4698" s="2" t="s">
        <v>1260</v>
      </c>
      <c r="C4698" s="2">
        <v>4</v>
      </c>
      <c r="D4698" t="str">
        <f t="shared" si="73"/>
        <v>CA-2016-151155_FUR-FU-10001918</v>
      </c>
      <c r="E4698" t="str">
        <f>IF(COUNTIF(data2!$D:$D,D4698)=0,"Missing in Data2","Present")</f>
        <v>Present</v>
      </c>
    </row>
    <row r="4699" spans="1:5" x14ac:dyDescent="0.25">
      <c r="A4699" s="2" t="s">
        <v>4110</v>
      </c>
      <c r="B4699" s="2" t="s">
        <v>546</v>
      </c>
      <c r="C4699" s="2">
        <v>2</v>
      </c>
      <c r="D4699" t="str">
        <f t="shared" si="73"/>
        <v>CA-2016-151155_OFF-BI-10003910</v>
      </c>
      <c r="E4699" t="str">
        <f>IF(COUNTIF(data2!$D:$D,D4699)=0,"Missing in Data2","Present")</f>
        <v>Present</v>
      </c>
    </row>
    <row r="4700" spans="1:5" x14ac:dyDescent="0.25">
      <c r="A4700" s="2" t="s">
        <v>4111</v>
      </c>
      <c r="B4700" s="2" t="s">
        <v>2917</v>
      </c>
      <c r="C4700" s="2">
        <v>4</v>
      </c>
      <c r="D4700" t="str">
        <f t="shared" si="73"/>
        <v>CA-2016-151169_OFF-BI-10002813</v>
      </c>
      <c r="E4700" t="str">
        <f>IF(COUNTIF(data2!$D:$D,D4700)=0,"Missing in Data2","Present")</f>
        <v>Present</v>
      </c>
    </row>
    <row r="4701" spans="1:5" x14ac:dyDescent="0.25">
      <c r="A4701" s="2" t="s">
        <v>4112</v>
      </c>
      <c r="B4701" s="2" t="s">
        <v>3268</v>
      </c>
      <c r="C4701" s="2">
        <v>5</v>
      </c>
      <c r="D4701" t="str">
        <f t="shared" si="73"/>
        <v>CA-2016-151323_OFF-FA-10002983</v>
      </c>
      <c r="E4701" t="str">
        <f>IF(COUNTIF(data2!$D:$D,D4701)=0,"Missing in Data2","Present")</f>
        <v>Present</v>
      </c>
    </row>
    <row r="4702" spans="1:5" x14ac:dyDescent="0.25">
      <c r="A4702" s="2" t="s">
        <v>4113</v>
      </c>
      <c r="B4702" s="2" t="s">
        <v>211</v>
      </c>
      <c r="C4702" s="2">
        <v>2</v>
      </c>
      <c r="D4702" t="str">
        <f t="shared" si="73"/>
        <v>CA-2016-151372_OFF-BI-10000050</v>
      </c>
      <c r="E4702" t="str">
        <f>IF(COUNTIF(data2!$D:$D,D4702)=0,"Missing in Data2","Present")</f>
        <v>Present</v>
      </c>
    </row>
    <row r="4703" spans="1:5" x14ac:dyDescent="0.25">
      <c r="A4703" s="2" t="s">
        <v>4113</v>
      </c>
      <c r="B4703" s="2" t="s">
        <v>552</v>
      </c>
      <c r="C4703" s="2">
        <v>2</v>
      </c>
      <c r="D4703" t="str">
        <f t="shared" si="73"/>
        <v>CA-2016-151372_OFF-FA-10000304</v>
      </c>
      <c r="E4703" t="str">
        <f>IF(COUNTIF(data2!$D:$D,D4703)=0,"Missing in Data2","Present")</f>
        <v>Present</v>
      </c>
    </row>
    <row r="4704" spans="1:5" x14ac:dyDescent="0.25">
      <c r="A4704" s="2" t="s">
        <v>4113</v>
      </c>
      <c r="B4704" s="2" t="s">
        <v>4114</v>
      </c>
      <c r="C4704" s="2">
        <v>2</v>
      </c>
      <c r="D4704" t="str">
        <f t="shared" si="73"/>
        <v>CA-2016-151372_OFF-PA-10004381</v>
      </c>
      <c r="E4704" t="str">
        <f>IF(COUNTIF(data2!$D:$D,D4704)=0,"Missing in Data2","Present")</f>
        <v>Present</v>
      </c>
    </row>
    <row r="4705" spans="1:5" x14ac:dyDescent="0.25">
      <c r="A4705" s="2" t="s">
        <v>4115</v>
      </c>
      <c r="B4705" s="2" t="s">
        <v>3452</v>
      </c>
      <c r="C4705" s="2">
        <v>5</v>
      </c>
      <c r="D4705" t="str">
        <f t="shared" si="73"/>
        <v>CA-2016-151498_OFF-BI-10004967</v>
      </c>
      <c r="E4705" t="str">
        <f>IF(COUNTIF(data2!$D:$D,D4705)=0,"Missing in Data2","Present")</f>
        <v>Present</v>
      </c>
    </row>
    <row r="4706" spans="1:5" x14ac:dyDescent="0.25">
      <c r="A4706" s="2" t="s">
        <v>4116</v>
      </c>
      <c r="B4706" s="2" t="s">
        <v>3697</v>
      </c>
      <c r="C4706" s="2">
        <v>2</v>
      </c>
      <c r="D4706" t="str">
        <f t="shared" si="73"/>
        <v>CA-2016-151512_OFF-AP-10000252</v>
      </c>
      <c r="E4706" t="str">
        <f>IF(COUNTIF(data2!$D:$D,D4706)=0,"Missing in Data2","Present")</f>
        <v>Present</v>
      </c>
    </row>
    <row r="4707" spans="1:5" x14ac:dyDescent="0.25">
      <c r="A4707" s="2" t="s">
        <v>4117</v>
      </c>
      <c r="B4707" s="2" t="s">
        <v>911</v>
      </c>
      <c r="C4707" s="2">
        <v>3</v>
      </c>
      <c r="D4707" t="str">
        <f t="shared" si="73"/>
        <v>CA-2016-151561_OFF-SU-10001574</v>
      </c>
      <c r="E4707" t="str">
        <f>IF(COUNTIF(data2!$D:$D,D4707)=0,"Missing in Data2","Present")</f>
        <v>Missing in Data2</v>
      </c>
    </row>
    <row r="4708" spans="1:5" x14ac:dyDescent="0.25">
      <c r="A4708" s="2" t="s">
        <v>4117</v>
      </c>
      <c r="B4708" s="2" t="s">
        <v>880</v>
      </c>
      <c r="C4708" s="2">
        <v>6</v>
      </c>
      <c r="D4708" t="str">
        <f t="shared" si="73"/>
        <v>CA-2016-151561_TEC-AC-10001432</v>
      </c>
      <c r="E4708" t="str">
        <f>IF(COUNTIF(data2!$D:$D,D4708)=0,"Missing in Data2","Present")</f>
        <v>Present</v>
      </c>
    </row>
    <row r="4709" spans="1:5" x14ac:dyDescent="0.25">
      <c r="A4709" s="2" t="s">
        <v>4117</v>
      </c>
      <c r="B4709" s="2" t="s">
        <v>382</v>
      </c>
      <c r="C4709" s="2">
        <v>2</v>
      </c>
      <c r="D4709" t="str">
        <f t="shared" si="73"/>
        <v>CA-2016-151561_TEC-AC-10003399</v>
      </c>
      <c r="E4709" t="str">
        <f>IF(COUNTIF(data2!$D:$D,D4709)=0,"Missing in Data2","Present")</f>
        <v>Present</v>
      </c>
    </row>
    <row r="4710" spans="1:5" x14ac:dyDescent="0.25">
      <c r="A4710" s="2" t="s">
        <v>4118</v>
      </c>
      <c r="B4710" s="2" t="s">
        <v>1711</v>
      </c>
      <c r="C4710" s="2">
        <v>5</v>
      </c>
      <c r="D4710" t="str">
        <f t="shared" si="73"/>
        <v>CA-2016-151974_OFF-LA-10004484</v>
      </c>
      <c r="E4710" t="str">
        <f>IF(COUNTIF(data2!$D:$D,D4710)=0,"Missing in Data2","Present")</f>
        <v>Present</v>
      </c>
    </row>
    <row r="4711" spans="1:5" x14ac:dyDescent="0.25">
      <c r="A4711" s="2" t="s">
        <v>4119</v>
      </c>
      <c r="B4711" s="2" t="s">
        <v>1669</v>
      </c>
      <c r="C4711" s="2">
        <v>2</v>
      </c>
      <c r="D4711" t="str">
        <f t="shared" si="73"/>
        <v>CA-2016-152072_OFF-AR-10001573</v>
      </c>
      <c r="E4711" t="str">
        <f>IF(COUNTIF(data2!$D:$D,D4711)=0,"Missing in Data2","Present")</f>
        <v>Present</v>
      </c>
    </row>
    <row r="4712" spans="1:5" x14ac:dyDescent="0.25">
      <c r="A4712" s="2" t="s">
        <v>4119</v>
      </c>
      <c r="B4712" s="2" t="s">
        <v>1399</v>
      </c>
      <c r="C4712" s="2">
        <v>2</v>
      </c>
      <c r="D4712" t="str">
        <f t="shared" si="73"/>
        <v>CA-2016-152072_OFF-EN-10003040</v>
      </c>
      <c r="E4712" t="str">
        <f>IF(COUNTIF(data2!$D:$D,D4712)=0,"Missing in Data2","Present")</f>
        <v>Present</v>
      </c>
    </row>
    <row r="4713" spans="1:5" x14ac:dyDescent="0.25">
      <c r="A4713" s="2" t="s">
        <v>4119</v>
      </c>
      <c r="B4713" s="2" t="s">
        <v>265</v>
      </c>
      <c r="C4713" s="2">
        <v>3</v>
      </c>
      <c r="D4713" t="str">
        <f t="shared" si="73"/>
        <v>CA-2016-152072_TEC-AC-10000844</v>
      </c>
      <c r="E4713" t="str">
        <f>IF(COUNTIF(data2!$D:$D,D4713)=0,"Missing in Data2","Present")</f>
        <v>Present</v>
      </c>
    </row>
    <row r="4714" spans="1:5" x14ac:dyDescent="0.25">
      <c r="A4714" s="2" t="s">
        <v>4120</v>
      </c>
      <c r="B4714" s="2" t="s">
        <v>4121</v>
      </c>
      <c r="C4714" s="2">
        <v>1</v>
      </c>
      <c r="D4714" t="str">
        <f t="shared" si="73"/>
        <v>CA-2016-152121_TEC-PH-10002483</v>
      </c>
      <c r="E4714" t="str">
        <f>IF(COUNTIF(data2!$D:$D,D4714)=0,"Missing in Data2","Present")</f>
        <v>Missing in Data2</v>
      </c>
    </row>
    <row r="4715" spans="1:5" x14ac:dyDescent="0.25">
      <c r="A4715" s="2" t="s">
        <v>4122</v>
      </c>
      <c r="B4715" s="2" t="s">
        <v>3509</v>
      </c>
      <c r="C4715" s="2">
        <v>2</v>
      </c>
      <c r="D4715" t="str">
        <f t="shared" si="73"/>
        <v>CA-2016-152156_FUR-BO-10001798</v>
      </c>
      <c r="E4715" t="str">
        <f>IF(COUNTIF(data2!$D:$D,D4715)=0,"Missing in Data2","Present")</f>
        <v>Present</v>
      </c>
    </row>
    <row r="4716" spans="1:5" x14ac:dyDescent="0.25">
      <c r="A4716" s="2" t="s">
        <v>4122</v>
      </c>
      <c r="B4716" s="2" t="s">
        <v>297</v>
      </c>
      <c r="C4716" s="2">
        <v>3</v>
      </c>
      <c r="D4716" t="str">
        <f t="shared" si="73"/>
        <v>CA-2016-152156_FUR-CH-10000454</v>
      </c>
      <c r="E4716" t="str">
        <f>IF(COUNTIF(data2!$D:$D,D4716)=0,"Missing in Data2","Present")</f>
        <v>Present</v>
      </c>
    </row>
    <row r="4717" spans="1:5" x14ac:dyDescent="0.25">
      <c r="A4717" s="2" t="s">
        <v>4123</v>
      </c>
      <c r="B4717" s="2" t="s">
        <v>1279</v>
      </c>
      <c r="C4717" s="2">
        <v>2</v>
      </c>
      <c r="D4717" t="str">
        <f t="shared" si="73"/>
        <v>CA-2016-152163_OFF-BI-10002215</v>
      </c>
      <c r="E4717" t="str">
        <f>IF(COUNTIF(data2!$D:$D,D4717)=0,"Missing in Data2","Present")</f>
        <v>Present</v>
      </c>
    </row>
    <row r="4718" spans="1:5" x14ac:dyDescent="0.25">
      <c r="A4718" s="2" t="s">
        <v>4123</v>
      </c>
      <c r="B4718" s="2" t="s">
        <v>2638</v>
      </c>
      <c r="C4718" s="2">
        <v>2</v>
      </c>
      <c r="D4718" t="str">
        <f t="shared" si="73"/>
        <v>CA-2016-152163_OFF-BI-10003364</v>
      </c>
      <c r="E4718" t="str">
        <f>IF(COUNTIF(data2!$D:$D,D4718)=0,"Missing in Data2","Present")</f>
        <v>Present</v>
      </c>
    </row>
    <row r="4719" spans="1:5" x14ac:dyDescent="0.25">
      <c r="A4719" s="2" t="s">
        <v>4123</v>
      </c>
      <c r="B4719" s="2" t="s">
        <v>320</v>
      </c>
      <c r="C4719" s="2">
        <v>2</v>
      </c>
      <c r="D4719" t="str">
        <f t="shared" si="73"/>
        <v>CA-2016-152163_OFF-PA-10000788</v>
      </c>
      <c r="E4719" t="str">
        <f>IF(COUNTIF(data2!$D:$D,D4719)=0,"Missing in Data2","Present")</f>
        <v>Present</v>
      </c>
    </row>
    <row r="4720" spans="1:5" x14ac:dyDescent="0.25">
      <c r="A4720" s="2" t="s">
        <v>4124</v>
      </c>
      <c r="B4720" s="2" t="s">
        <v>514</v>
      </c>
      <c r="C4720" s="2">
        <v>2</v>
      </c>
      <c r="D4720" t="str">
        <f t="shared" si="73"/>
        <v>CA-2016-152170_OFF-AP-10002350</v>
      </c>
      <c r="E4720" t="str">
        <f>IF(COUNTIF(data2!$D:$D,D4720)=0,"Missing in Data2","Present")</f>
        <v>Present</v>
      </c>
    </row>
    <row r="4721" spans="1:5" x14ac:dyDescent="0.25">
      <c r="A4721" s="2" t="s">
        <v>4124</v>
      </c>
      <c r="B4721" s="2" t="s">
        <v>1047</v>
      </c>
      <c r="C4721" s="2">
        <v>7</v>
      </c>
      <c r="D4721" t="str">
        <f t="shared" si="73"/>
        <v>CA-2016-152170_OFF-AR-10003394</v>
      </c>
      <c r="E4721" t="str">
        <f>IF(COUNTIF(data2!$D:$D,D4721)=0,"Missing in Data2","Present")</f>
        <v>Present</v>
      </c>
    </row>
    <row r="4722" spans="1:5" x14ac:dyDescent="0.25">
      <c r="A4722" s="2" t="s">
        <v>4124</v>
      </c>
      <c r="B4722" s="2" t="s">
        <v>3126</v>
      </c>
      <c r="C4722" s="2">
        <v>2</v>
      </c>
      <c r="D4722" t="str">
        <f t="shared" si="73"/>
        <v>CA-2016-152170_OFF-BI-10002072</v>
      </c>
      <c r="E4722" t="str">
        <f>IF(COUNTIF(data2!$D:$D,D4722)=0,"Missing in Data2","Present")</f>
        <v>Present</v>
      </c>
    </row>
    <row r="4723" spans="1:5" x14ac:dyDescent="0.25">
      <c r="A4723" s="2" t="s">
        <v>4124</v>
      </c>
      <c r="B4723" s="2" t="s">
        <v>4125</v>
      </c>
      <c r="C4723" s="2">
        <v>8</v>
      </c>
      <c r="D4723" t="str">
        <f t="shared" si="73"/>
        <v>CA-2016-152170_OFF-EN-10002831</v>
      </c>
      <c r="E4723" t="str">
        <f>IF(COUNTIF(data2!$D:$D,D4723)=0,"Missing in Data2","Present")</f>
        <v>Present</v>
      </c>
    </row>
    <row r="4724" spans="1:5" x14ac:dyDescent="0.25">
      <c r="A4724" s="2" t="s">
        <v>4124</v>
      </c>
      <c r="B4724" s="2" t="s">
        <v>2729</v>
      </c>
      <c r="C4724" s="2">
        <v>2</v>
      </c>
      <c r="D4724" t="str">
        <f t="shared" si="73"/>
        <v>CA-2016-152170_OFF-PA-10001763</v>
      </c>
      <c r="E4724" t="str">
        <f>IF(COUNTIF(data2!$D:$D,D4724)=0,"Missing in Data2","Present")</f>
        <v>Present</v>
      </c>
    </row>
    <row r="4725" spans="1:5" x14ac:dyDescent="0.25">
      <c r="A4725" s="2" t="s">
        <v>4126</v>
      </c>
      <c r="B4725" s="2" t="s">
        <v>1641</v>
      </c>
      <c r="C4725" s="2">
        <v>6</v>
      </c>
      <c r="D4725" t="str">
        <f t="shared" si="73"/>
        <v>CA-2016-152289_FUR-CH-10002126</v>
      </c>
      <c r="E4725" t="str">
        <f>IF(COUNTIF(data2!$D:$D,D4725)=0,"Missing in Data2","Present")</f>
        <v>Present</v>
      </c>
    </row>
    <row r="4726" spans="1:5" x14ac:dyDescent="0.25">
      <c r="A4726" s="2" t="s">
        <v>4126</v>
      </c>
      <c r="B4726" s="2" t="s">
        <v>1133</v>
      </c>
      <c r="C4726" s="2">
        <v>2</v>
      </c>
      <c r="D4726" t="str">
        <f t="shared" si="73"/>
        <v>CA-2016-152289_TEC-AC-10004571</v>
      </c>
      <c r="E4726" t="str">
        <f>IF(COUNTIF(data2!$D:$D,D4726)=0,"Missing in Data2","Present")</f>
        <v>Present</v>
      </c>
    </row>
    <row r="4727" spans="1:5" x14ac:dyDescent="0.25">
      <c r="A4727" s="2" t="s">
        <v>4127</v>
      </c>
      <c r="B4727" s="2" t="s">
        <v>2227</v>
      </c>
      <c r="C4727" s="2">
        <v>3</v>
      </c>
      <c r="D4727" t="str">
        <f t="shared" si="73"/>
        <v>CA-2016-152331_OFF-AR-10001547</v>
      </c>
      <c r="E4727" t="str">
        <f>IF(COUNTIF(data2!$D:$D,D4727)=0,"Missing in Data2","Present")</f>
        <v>Present</v>
      </c>
    </row>
    <row r="4728" spans="1:5" x14ac:dyDescent="0.25">
      <c r="A4728" s="2" t="s">
        <v>4128</v>
      </c>
      <c r="B4728" s="2" t="s">
        <v>2414</v>
      </c>
      <c r="C4728" s="2">
        <v>3</v>
      </c>
      <c r="D4728" t="str">
        <f t="shared" si="73"/>
        <v>CA-2016-152408_OFF-BI-10002393</v>
      </c>
      <c r="E4728" t="str">
        <f>IF(COUNTIF(data2!$D:$D,D4728)=0,"Missing in Data2","Present")</f>
        <v>Present</v>
      </c>
    </row>
    <row r="4729" spans="1:5" x14ac:dyDescent="0.25">
      <c r="A4729" s="2" t="s">
        <v>4129</v>
      </c>
      <c r="B4729" s="2" t="s">
        <v>2045</v>
      </c>
      <c r="C4729" s="2">
        <v>3</v>
      </c>
      <c r="D4729" t="str">
        <f t="shared" si="73"/>
        <v>CA-2016-152457_OFF-PA-10003790</v>
      </c>
      <c r="E4729" t="str">
        <f>IF(COUNTIF(data2!$D:$D,D4729)=0,"Missing in Data2","Present")</f>
        <v>Present</v>
      </c>
    </row>
    <row r="4730" spans="1:5" x14ac:dyDescent="0.25">
      <c r="A4730" s="2" t="s">
        <v>4130</v>
      </c>
      <c r="B4730" s="2" t="s">
        <v>4131</v>
      </c>
      <c r="C4730" s="2">
        <v>2</v>
      </c>
      <c r="D4730" t="str">
        <f t="shared" si="73"/>
        <v>CA-2016-152471_OFF-PA-10004965</v>
      </c>
      <c r="E4730" t="str">
        <f>IF(COUNTIF(data2!$D:$D,D4730)=0,"Missing in Data2","Present")</f>
        <v>Present</v>
      </c>
    </row>
    <row r="4731" spans="1:5" x14ac:dyDescent="0.25">
      <c r="A4731" s="2" t="s">
        <v>4130</v>
      </c>
      <c r="B4731" s="2" t="s">
        <v>4132</v>
      </c>
      <c r="C4731" s="2">
        <v>5</v>
      </c>
      <c r="D4731" t="str">
        <f t="shared" si="73"/>
        <v>CA-2016-152471_TEC-PH-10002824</v>
      </c>
      <c r="E4731" t="str">
        <f>IF(COUNTIF(data2!$D:$D,D4731)=0,"Missing in Data2","Present")</f>
        <v>Present</v>
      </c>
    </row>
    <row r="4732" spans="1:5" x14ac:dyDescent="0.25">
      <c r="A4732" s="2" t="s">
        <v>4133</v>
      </c>
      <c r="B4732" s="2" t="s">
        <v>961</v>
      </c>
      <c r="C4732" s="2">
        <v>2</v>
      </c>
      <c r="D4732" t="str">
        <f t="shared" si="73"/>
        <v>CA-2016-152520_OFF-PA-10000289</v>
      </c>
      <c r="E4732" t="str">
        <f>IF(COUNTIF(data2!$D:$D,D4732)=0,"Missing in Data2","Present")</f>
        <v>Present</v>
      </c>
    </row>
    <row r="4733" spans="1:5" x14ac:dyDescent="0.25">
      <c r="A4733" s="2" t="s">
        <v>4134</v>
      </c>
      <c r="B4733" s="2" t="s">
        <v>1628</v>
      </c>
      <c r="C4733" s="2">
        <v>2</v>
      </c>
      <c r="D4733" t="str">
        <f t="shared" si="73"/>
        <v>CA-2016-152534_OFF-AR-10002335</v>
      </c>
      <c r="E4733" t="str">
        <f>IF(COUNTIF(data2!$D:$D,D4733)=0,"Missing in Data2","Present")</f>
        <v>Present</v>
      </c>
    </row>
    <row r="4734" spans="1:5" x14ac:dyDescent="0.25">
      <c r="A4734" s="2" t="s">
        <v>4134</v>
      </c>
      <c r="B4734" s="2" t="s">
        <v>2631</v>
      </c>
      <c r="C4734" s="2">
        <v>6</v>
      </c>
      <c r="D4734" t="str">
        <f t="shared" si="73"/>
        <v>CA-2016-152534_OFF-PA-10001870</v>
      </c>
      <c r="E4734" t="str">
        <f>IF(COUNTIF(data2!$D:$D,D4734)=0,"Missing in Data2","Present")</f>
        <v>Missing in Data2</v>
      </c>
    </row>
    <row r="4735" spans="1:5" x14ac:dyDescent="0.25">
      <c r="A4735" s="2" t="s">
        <v>4135</v>
      </c>
      <c r="B4735" s="2" t="s">
        <v>949</v>
      </c>
      <c r="C4735" s="2">
        <v>6</v>
      </c>
      <c r="D4735" t="str">
        <f t="shared" si="73"/>
        <v>CA-2016-152555_FUR-CH-10002965</v>
      </c>
      <c r="E4735" t="str">
        <f>IF(COUNTIF(data2!$D:$D,D4735)=0,"Missing in Data2","Present")</f>
        <v>Present</v>
      </c>
    </row>
    <row r="4736" spans="1:5" x14ac:dyDescent="0.25">
      <c r="A4736" s="2" t="s">
        <v>4135</v>
      </c>
      <c r="B4736" s="2" t="s">
        <v>1506</v>
      </c>
      <c r="C4736" s="2">
        <v>3</v>
      </c>
      <c r="D4736" t="str">
        <f t="shared" si="73"/>
        <v>CA-2016-152555_OFF-PA-10001295</v>
      </c>
      <c r="E4736" t="str">
        <f>IF(COUNTIF(data2!$D:$D,D4736)=0,"Missing in Data2","Present")</f>
        <v>Present</v>
      </c>
    </row>
    <row r="4737" spans="1:5" x14ac:dyDescent="0.25">
      <c r="A4737" s="2" t="s">
        <v>4135</v>
      </c>
      <c r="B4737" s="2" t="s">
        <v>2886</v>
      </c>
      <c r="C4737" s="2">
        <v>8</v>
      </c>
      <c r="D4737" t="str">
        <f t="shared" si="73"/>
        <v>CA-2016-152555_TEC-PH-10001254</v>
      </c>
      <c r="E4737" t="str">
        <f>IF(COUNTIF(data2!$D:$D,D4737)=0,"Missing in Data2","Present")</f>
        <v>Present</v>
      </c>
    </row>
    <row r="4738" spans="1:5" x14ac:dyDescent="0.25">
      <c r="A4738" s="2" t="s">
        <v>4136</v>
      </c>
      <c r="B4738" s="2" t="s">
        <v>2765</v>
      </c>
      <c r="C4738" s="2">
        <v>3</v>
      </c>
      <c r="D4738" t="str">
        <f t="shared" si="73"/>
        <v>CA-2016-152632_FUR-FU-10002671</v>
      </c>
      <c r="E4738" t="str">
        <f>IF(COUNTIF(data2!$D:$D,D4738)=0,"Missing in Data2","Present")</f>
        <v>Present</v>
      </c>
    </row>
    <row r="4739" spans="1:5" x14ac:dyDescent="0.25">
      <c r="A4739" s="2" t="s">
        <v>4137</v>
      </c>
      <c r="B4739" s="2" t="s">
        <v>69</v>
      </c>
      <c r="C4739" s="2">
        <v>1</v>
      </c>
      <c r="D4739" t="str">
        <f t="shared" ref="D4739:D4802" si="74">A4739&amp;"_"&amp;B4739</f>
        <v>CA-2016-152688_FUR-BO-10001337</v>
      </c>
      <c r="E4739" t="str">
        <f>IF(COUNTIF(data2!$D:$D,D4739)=0,"Missing in Data2","Present")</f>
        <v>Present</v>
      </c>
    </row>
    <row r="4740" spans="1:5" x14ac:dyDescent="0.25">
      <c r="A4740" s="2" t="s">
        <v>4137</v>
      </c>
      <c r="B4740" s="2" t="s">
        <v>3778</v>
      </c>
      <c r="C4740" s="2">
        <v>1</v>
      </c>
      <c r="D4740" t="str">
        <f t="shared" si="74"/>
        <v>CA-2016-152688_OFF-BI-10004584</v>
      </c>
      <c r="E4740" t="str">
        <f>IF(COUNTIF(data2!$D:$D,D4740)=0,"Missing in Data2","Present")</f>
        <v>Present</v>
      </c>
    </row>
    <row r="4741" spans="1:5" x14ac:dyDescent="0.25">
      <c r="A4741" s="2" t="s">
        <v>4138</v>
      </c>
      <c r="B4741" s="2" t="s">
        <v>3125</v>
      </c>
      <c r="C4741" s="2">
        <v>5</v>
      </c>
      <c r="D4741" t="str">
        <f t="shared" si="74"/>
        <v>CA-2016-152730_FUR-FU-10001037</v>
      </c>
      <c r="E4741" t="str">
        <f>IF(COUNTIF(data2!$D:$D,D4741)=0,"Missing in Data2","Present")</f>
        <v>Present</v>
      </c>
    </row>
    <row r="4742" spans="1:5" x14ac:dyDescent="0.25">
      <c r="A4742" s="2" t="s">
        <v>4138</v>
      </c>
      <c r="B4742" s="2" t="s">
        <v>2333</v>
      </c>
      <c r="C4742" s="2">
        <v>3</v>
      </c>
      <c r="D4742" t="str">
        <f t="shared" si="74"/>
        <v>CA-2016-152730_OFF-AP-10002684</v>
      </c>
      <c r="E4742" t="str">
        <f>IF(COUNTIF(data2!$D:$D,D4742)=0,"Missing in Data2","Present")</f>
        <v>Present</v>
      </c>
    </row>
    <row r="4743" spans="1:5" x14ac:dyDescent="0.25">
      <c r="A4743" s="2" t="s">
        <v>4138</v>
      </c>
      <c r="B4743" s="2" t="s">
        <v>1596</v>
      </c>
      <c r="C4743" s="2">
        <v>2</v>
      </c>
      <c r="D4743" t="str">
        <f t="shared" si="74"/>
        <v>CA-2016-152730_OFF-AR-10003732</v>
      </c>
      <c r="E4743" t="str">
        <f>IF(COUNTIF(data2!$D:$D,D4743)=0,"Missing in Data2","Present")</f>
        <v>Present</v>
      </c>
    </row>
    <row r="4744" spans="1:5" x14ac:dyDescent="0.25">
      <c r="A4744" s="2" t="s">
        <v>4138</v>
      </c>
      <c r="B4744" s="2" t="s">
        <v>2100</v>
      </c>
      <c r="C4744" s="2">
        <v>6</v>
      </c>
      <c r="D4744" t="str">
        <f t="shared" si="74"/>
        <v>CA-2016-152730_OFF-PA-10000994</v>
      </c>
      <c r="E4744" t="str">
        <f>IF(COUNTIF(data2!$D:$D,D4744)=0,"Missing in Data2","Present")</f>
        <v>Present</v>
      </c>
    </row>
    <row r="4745" spans="1:5" x14ac:dyDescent="0.25">
      <c r="A4745" s="2" t="s">
        <v>4138</v>
      </c>
      <c r="B4745" s="2" t="s">
        <v>381</v>
      </c>
      <c r="C4745" s="2">
        <v>4</v>
      </c>
      <c r="D4745" t="str">
        <f t="shared" si="74"/>
        <v>CA-2016-152730_OFF-ST-10000876</v>
      </c>
      <c r="E4745" t="str">
        <f>IF(COUNTIF(data2!$D:$D,D4745)=0,"Missing in Data2","Present")</f>
        <v>Present</v>
      </c>
    </row>
    <row r="4746" spans="1:5" x14ac:dyDescent="0.25">
      <c r="A4746" s="2" t="s">
        <v>4138</v>
      </c>
      <c r="B4746" s="2" t="s">
        <v>1316</v>
      </c>
      <c r="C4746" s="2">
        <v>1</v>
      </c>
      <c r="D4746" t="str">
        <f t="shared" si="74"/>
        <v>CA-2016-152730_TEC-PH-10000441</v>
      </c>
      <c r="E4746" t="str">
        <f>IF(COUNTIF(data2!$D:$D,D4746)=0,"Missing in Data2","Present")</f>
        <v>Present</v>
      </c>
    </row>
    <row r="4747" spans="1:5" x14ac:dyDescent="0.25">
      <c r="A4747" s="2" t="s">
        <v>4139</v>
      </c>
      <c r="B4747" s="2" t="s">
        <v>4140</v>
      </c>
      <c r="C4747" s="2">
        <v>7</v>
      </c>
      <c r="D4747" t="str">
        <f t="shared" si="74"/>
        <v>CA-2016-152765_OFF-PA-10000483</v>
      </c>
      <c r="E4747" t="str">
        <f>IF(COUNTIF(data2!$D:$D,D4747)=0,"Missing in Data2","Present")</f>
        <v>Present</v>
      </c>
    </row>
    <row r="4748" spans="1:5" x14ac:dyDescent="0.25">
      <c r="A4748" s="2" t="s">
        <v>4141</v>
      </c>
      <c r="B4748" s="2" t="s">
        <v>2505</v>
      </c>
      <c r="C4748" s="2">
        <v>3</v>
      </c>
      <c r="D4748" t="str">
        <f t="shared" si="74"/>
        <v>CA-2016-152800_OFF-EN-10001509</v>
      </c>
      <c r="E4748" t="str">
        <f>IF(COUNTIF(data2!$D:$D,D4748)=0,"Missing in Data2","Present")</f>
        <v>Present</v>
      </c>
    </row>
    <row r="4749" spans="1:5" x14ac:dyDescent="0.25">
      <c r="A4749" s="2" t="s">
        <v>4142</v>
      </c>
      <c r="B4749" s="2" t="s">
        <v>1039</v>
      </c>
      <c r="C4749" s="2">
        <v>3</v>
      </c>
      <c r="D4749" t="str">
        <f t="shared" si="74"/>
        <v>CA-2016-152814_OFF-PA-10001970</v>
      </c>
      <c r="E4749" t="str">
        <f>IF(COUNTIF(data2!$D:$D,D4749)=0,"Missing in Data2","Present")</f>
        <v>Present</v>
      </c>
    </row>
    <row r="4750" spans="1:5" x14ac:dyDescent="0.25">
      <c r="A4750" s="2" t="s">
        <v>4143</v>
      </c>
      <c r="B4750" s="2" t="s">
        <v>4144</v>
      </c>
      <c r="C4750" s="2">
        <v>1</v>
      </c>
      <c r="D4750" t="str">
        <f t="shared" si="74"/>
        <v>CA-2016-152940_OFF-ST-10000352</v>
      </c>
      <c r="E4750" t="str">
        <f>IF(COUNTIF(data2!$D:$D,D4750)=0,"Missing in Data2","Present")</f>
        <v>Present</v>
      </c>
    </row>
    <row r="4751" spans="1:5" x14ac:dyDescent="0.25">
      <c r="A4751" s="2" t="s">
        <v>4145</v>
      </c>
      <c r="B4751" s="2" t="s">
        <v>770</v>
      </c>
      <c r="C4751" s="2">
        <v>1</v>
      </c>
      <c r="D4751" t="str">
        <f t="shared" si="74"/>
        <v>CA-2016-153101_FUR-TA-10003008</v>
      </c>
      <c r="E4751" t="str">
        <f>IF(COUNTIF(data2!$D:$D,D4751)=0,"Missing in Data2","Present")</f>
        <v>Present</v>
      </c>
    </row>
    <row r="4752" spans="1:5" x14ac:dyDescent="0.25">
      <c r="A4752" s="2" t="s">
        <v>4146</v>
      </c>
      <c r="B4752" s="2" t="s">
        <v>1288</v>
      </c>
      <c r="C4752" s="2">
        <v>5</v>
      </c>
      <c r="D4752" t="str">
        <f t="shared" si="74"/>
        <v>CA-2016-153157_TEC-PH-10003171</v>
      </c>
      <c r="E4752" t="str">
        <f>IF(COUNTIF(data2!$D:$D,D4752)=0,"Missing in Data2","Present")</f>
        <v>Present</v>
      </c>
    </row>
    <row r="4753" spans="1:5" x14ac:dyDescent="0.25">
      <c r="A4753" s="2" t="s">
        <v>4147</v>
      </c>
      <c r="B4753" s="2" t="s">
        <v>895</v>
      </c>
      <c r="C4753" s="2">
        <v>2</v>
      </c>
      <c r="D4753" t="str">
        <f t="shared" si="74"/>
        <v>CA-2016-153178_OFF-BI-10004390</v>
      </c>
      <c r="E4753" t="str">
        <f>IF(COUNTIF(data2!$D:$D,D4753)=0,"Missing in Data2","Present")</f>
        <v>Present</v>
      </c>
    </row>
    <row r="4754" spans="1:5" x14ac:dyDescent="0.25">
      <c r="A4754" s="2" t="s">
        <v>4147</v>
      </c>
      <c r="B4754" s="2" t="s">
        <v>1663</v>
      </c>
      <c r="C4754" s="2">
        <v>3</v>
      </c>
      <c r="D4754" t="str">
        <f t="shared" si="74"/>
        <v>CA-2016-153178_TEC-PH-10001944</v>
      </c>
      <c r="E4754" t="str">
        <f>IF(COUNTIF(data2!$D:$D,D4754)=0,"Missing in Data2","Present")</f>
        <v>Present</v>
      </c>
    </row>
    <row r="4755" spans="1:5" x14ac:dyDescent="0.25">
      <c r="A4755" s="2" t="s">
        <v>4148</v>
      </c>
      <c r="B4755" s="2" t="s">
        <v>1495</v>
      </c>
      <c r="C4755" s="2">
        <v>6</v>
      </c>
      <c r="D4755" t="str">
        <f t="shared" si="74"/>
        <v>CA-2016-153185_OFF-PA-10002246</v>
      </c>
      <c r="E4755" t="str">
        <f>IF(COUNTIF(data2!$D:$D,D4755)=0,"Missing in Data2","Present")</f>
        <v>Present</v>
      </c>
    </row>
    <row r="4756" spans="1:5" x14ac:dyDescent="0.25">
      <c r="A4756" s="2" t="s">
        <v>4149</v>
      </c>
      <c r="B4756" s="2" t="s">
        <v>1419</v>
      </c>
      <c r="C4756" s="2">
        <v>5</v>
      </c>
      <c r="D4756" t="str">
        <f t="shared" si="74"/>
        <v>CA-2016-153269_FUR-CH-10002647</v>
      </c>
      <c r="E4756" t="str">
        <f>IF(COUNTIF(data2!$D:$D,D4756)=0,"Missing in Data2","Present")</f>
        <v>Present</v>
      </c>
    </row>
    <row r="4757" spans="1:5" x14ac:dyDescent="0.25">
      <c r="A4757" s="2" t="s">
        <v>4149</v>
      </c>
      <c r="B4757" s="2" t="s">
        <v>820</v>
      </c>
      <c r="C4757" s="2">
        <v>4</v>
      </c>
      <c r="D4757" t="str">
        <f t="shared" si="74"/>
        <v>CA-2016-153269_OFF-BI-10004632</v>
      </c>
      <c r="E4757" t="str">
        <f>IF(COUNTIF(data2!$D:$D,D4757)=0,"Missing in Data2","Present")</f>
        <v>Present</v>
      </c>
    </row>
    <row r="4758" spans="1:5" x14ac:dyDescent="0.25">
      <c r="A4758" s="2" t="s">
        <v>4149</v>
      </c>
      <c r="B4758" s="2" t="s">
        <v>3001</v>
      </c>
      <c r="C4758" s="2">
        <v>3</v>
      </c>
      <c r="D4758" t="str">
        <f t="shared" si="74"/>
        <v>CA-2016-153269_OFF-PA-10001801</v>
      </c>
      <c r="E4758" t="str">
        <f>IF(COUNTIF(data2!$D:$D,D4758)=0,"Missing in Data2","Present")</f>
        <v>Present</v>
      </c>
    </row>
    <row r="4759" spans="1:5" x14ac:dyDescent="0.25">
      <c r="A4759" s="2" t="s">
        <v>4149</v>
      </c>
      <c r="B4759" s="2" t="s">
        <v>1087</v>
      </c>
      <c r="C4759" s="2">
        <v>1</v>
      </c>
      <c r="D4759" t="str">
        <f t="shared" si="74"/>
        <v>CA-2016-153269_OFF-ST-10004634</v>
      </c>
      <c r="E4759" t="str">
        <f>IF(COUNTIF(data2!$D:$D,D4759)=0,"Missing in Data2","Present")</f>
        <v>Present</v>
      </c>
    </row>
    <row r="4760" spans="1:5" x14ac:dyDescent="0.25">
      <c r="A4760" s="2" t="s">
        <v>4150</v>
      </c>
      <c r="B4760" s="2" t="s">
        <v>520</v>
      </c>
      <c r="C4760" s="2">
        <v>5</v>
      </c>
      <c r="D4760" t="str">
        <f t="shared" si="74"/>
        <v>CA-2016-153318_TEC-PH-10000984</v>
      </c>
      <c r="E4760" t="str">
        <f>IF(COUNTIF(data2!$D:$D,D4760)=0,"Missing in Data2","Present")</f>
        <v>Present</v>
      </c>
    </row>
    <row r="4761" spans="1:5" x14ac:dyDescent="0.25">
      <c r="A4761" s="2" t="s">
        <v>4151</v>
      </c>
      <c r="B4761" s="2" t="s">
        <v>4152</v>
      </c>
      <c r="C4761" s="2">
        <v>3</v>
      </c>
      <c r="D4761" t="str">
        <f t="shared" si="74"/>
        <v>CA-2016-153346_OFF-AR-10000315</v>
      </c>
      <c r="E4761" t="str">
        <f>IF(COUNTIF(data2!$D:$D,D4761)=0,"Missing in Data2","Present")</f>
        <v>Present</v>
      </c>
    </row>
    <row r="4762" spans="1:5" x14ac:dyDescent="0.25">
      <c r="A4762" s="2" t="s">
        <v>4151</v>
      </c>
      <c r="B4762" s="2" t="s">
        <v>4153</v>
      </c>
      <c r="C4762" s="2">
        <v>5</v>
      </c>
      <c r="D4762" t="str">
        <f t="shared" si="74"/>
        <v>CA-2016-153346_OFF-PA-10000007</v>
      </c>
      <c r="E4762" t="str">
        <f>IF(COUNTIF(data2!$D:$D,D4762)=0,"Missing in Data2","Present")</f>
        <v>Present</v>
      </c>
    </row>
    <row r="4763" spans="1:5" x14ac:dyDescent="0.25">
      <c r="A4763" s="2" t="s">
        <v>4154</v>
      </c>
      <c r="B4763" s="2" t="s">
        <v>368</v>
      </c>
      <c r="C4763" s="2">
        <v>1</v>
      </c>
      <c r="D4763" t="str">
        <f t="shared" si="74"/>
        <v>CA-2016-153353_TEC-PH-10000439</v>
      </c>
      <c r="E4763" t="str">
        <f>IF(COUNTIF(data2!$D:$D,D4763)=0,"Missing in Data2","Present")</f>
        <v>Present</v>
      </c>
    </row>
    <row r="4764" spans="1:5" x14ac:dyDescent="0.25">
      <c r="A4764" s="2" t="s">
        <v>4155</v>
      </c>
      <c r="B4764" s="2" t="s">
        <v>1296</v>
      </c>
      <c r="C4764" s="2">
        <v>3</v>
      </c>
      <c r="D4764" t="str">
        <f t="shared" si="74"/>
        <v>CA-2016-153577_FUR-CH-10003981</v>
      </c>
      <c r="E4764" t="str">
        <f>IF(COUNTIF(data2!$D:$D,D4764)=0,"Missing in Data2","Present")</f>
        <v>Missing in Data2</v>
      </c>
    </row>
    <row r="4765" spans="1:5" x14ac:dyDescent="0.25">
      <c r="A4765" s="2" t="s">
        <v>4155</v>
      </c>
      <c r="B4765" s="2" t="s">
        <v>1707</v>
      </c>
      <c r="C4765" s="2">
        <v>7</v>
      </c>
      <c r="D4765" t="str">
        <f t="shared" si="74"/>
        <v>CA-2016-153577_OFF-PA-10000575</v>
      </c>
      <c r="E4765" t="str">
        <f>IF(COUNTIF(data2!$D:$D,D4765)=0,"Missing in Data2","Present")</f>
        <v>Present</v>
      </c>
    </row>
    <row r="4766" spans="1:5" x14ac:dyDescent="0.25">
      <c r="A4766" s="2" t="s">
        <v>4156</v>
      </c>
      <c r="B4766" s="2" t="s">
        <v>2427</v>
      </c>
      <c r="C4766" s="2">
        <v>6</v>
      </c>
      <c r="D4766" t="str">
        <f t="shared" si="74"/>
        <v>CA-2016-153598_FUR-FU-10001085</v>
      </c>
      <c r="E4766" t="str">
        <f>IF(COUNTIF(data2!$D:$D,D4766)=0,"Missing in Data2","Present")</f>
        <v>Present</v>
      </c>
    </row>
    <row r="4767" spans="1:5" x14ac:dyDescent="0.25">
      <c r="A4767" s="2" t="s">
        <v>4156</v>
      </c>
      <c r="B4767" s="2" t="s">
        <v>3005</v>
      </c>
      <c r="C4767" s="2">
        <v>5</v>
      </c>
      <c r="D4767" t="str">
        <f t="shared" si="74"/>
        <v>CA-2016-153598_TEC-AC-10003870</v>
      </c>
      <c r="E4767" t="str">
        <f>IF(COUNTIF(data2!$D:$D,D4767)=0,"Missing in Data2","Present")</f>
        <v>Present</v>
      </c>
    </row>
    <row r="4768" spans="1:5" x14ac:dyDescent="0.25">
      <c r="A4768" s="2" t="s">
        <v>4157</v>
      </c>
      <c r="B4768" s="2" t="s">
        <v>1907</v>
      </c>
      <c r="C4768" s="2">
        <v>2</v>
      </c>
      <c r="D4768" t="str">
        <f t="shared" si="74"/>
        <v>CA-2016-153661_OFF-BI-10004781</v>
      </c>
      <c r="E4768" t="str">
        <f>IF(COUNTIF(data2!$D:$D,D4768)=0,"Missing in Data2","Present")</f>
        <v>Present</v>
      </c>
    </row>
    <row r="4769" spans="1:5" x14ac:dyDescent="0.25">
      <c r="A4769" s="2" t="s">
        <v>4157</v>
      </c>
      <c r="B4769" s="2" t="s">
        <v>1480</v>
      </c>
      <c r="C4769" s="2">
        <v>9</v>
      </c>
      <c r="D4769" t="str">
        <f t="shared" si="74"/>
        <v>CA-2016-153661_OFF-LA-10004689</v>
      </c>
      <c r="E4769" t="str">
        <f>IF(COUNTIF(data2!$D:$D,D4769)=0,"Missing in Data2","Present")</f>
        <v>Present</v>
      </c>
    </row>
    <row r="4770" spans="1:5" x14ac:dyDescent="0.25">
      <c r="A4770" s="2" t="s">
        <v>4157</v>
      </c>
      <c r="B4770" s="2" t="s">
        <v>1584</v>
      </c>
      <c r="C4770" s="2">
        <v>9</v>
      </c>
      <c r="D4770" t="str">
        <f t="shared" si="74"/>
        <v>CA-2016-153661_OFF-ST-10000675</v>
      </c>
      <c r="E4770" t="str">
        <f>IF(COUNTIF(data2!$D:$D,D4770)=0,"Missing in Data2","Present")</f>
        <v>Present</v>
      </c>
    </row>
    <row r="4771" spans="1:5" x14ac:dyDescent="0.25">
      <c r="A4771" s="2" t="s">
        <v>4158</v>
      </c>
      <c r="B4771" s="2" t="s">
        <v>1078</v>
      </c>
      <c r="C4771" s="2">
        <v>2</v>
      </c>
      <c r="D4771" t="str">
        <f t="shared" si="74"/>
        <v>CA-2016-153682_TEC-CO-10001046</v>
      </c>
      <c r="E4771" t="str">
        <f>IF(COUNTIF(data2!$D:$D,D4771)=0,"Missing in Data2","Present")</f>
        <v>Present</v>
      </c>
    </row>
    <row r="4772" spans="1:5" x14ac:dyDescent="0.25">
      <c r="A4772" s="2" t="s">
        <v>4159</v>
      </c>
      <c r="B4772" s="2" t="s">
        <v>1422</v>
      </c>
      <c r="C4772" s="2">
        <v>5</v>
      </c>
      <c r="D4772" t="str">
        <f t="shared" si="74"/>
        <v>CA-2016-153836_OFF-AR-10004602</v>
      </c>
      <c r="E4772" t="str">
        <f>IF(COUNTIF(data2!$D:$D,D4772)=0,"Missing in Data2","Present")</f>
        <v>Present</v>
      </c>
    </row>
    <row r="4773" spans="1:5" x14ac:dyDescent="0.25">
      <c r="A4773" s="2" t="s">
        <v>4159</v>
      </c>
      <c r="B4773" s="2" t="s">
        <v>1950</v>
      </c>
      <c r="C4773" s="2">
        <v>3</v>
      </c>
      <c r="D4773" t="str">
        <f t="shared" si="74"/>
        <v>CA-2016-153836_OFF-BI-10004817</v>
      </c>
      <c r="E4773" t="str">
        <f>IF(COUNTIF(data2!$D:$D,D4773)=0,"Missing in Data2","Present")</f>
        <v>Present</v>
      </c>
    </row>
    <row r="4774" spans="1:5" x14ac:dyDescent="0.25">
      <c r="A4774" s="2" t="s">
        <v>4160</v>
      </c>
      <c r="B4774" s="2" t="s">
        <v>2009</v>
      </c>
      <c r="C4774" s="2">
        <v>5</v>
      </c>
      <c r="D4774" t="str">
        <f t="shared" si="74"/>
        <v>CA-2016-154018_FUR-FU-10003394</v>
      </c>
      <c r="E4774" t="str">
        <f>IF(COUNTIF(data2!$D:$D,D4774)=0,"Missing in Data2","Present")</f>
        <v>Present</v>
      </c>
    </row>
    <row r="4775" spans="1:5" x14ac:dyDescent="0.25">
      <c r="A4775" s="2" t="s">
        <v>4160</v>
      </c>
      <c r="B4775" s="2" t="s">
        <v>585</v>
      </c>
      <c r="C4775" s="2">
        <v>1</v>
      </c>
      <c r="D4775" t="str">
        <f t="shared" si="74"/>
        <v>CA-2016-154018_OFF-AR-10002067</v>
      </c>
      <c r="E4775" t="str">
        <f>IF(COUNTIF(data2!$D:$D,D4775)=0,"Missing in Data2","Present")</f>
        <v>Present</v>
      </c>
    </row>
    <row r="4776" spans="1:5" x14ac:dyDescent="0.25">
      <c r="A4776" s="2" t="s">
        <v>4160</v>
      </c>
      <c r="B4776" s="2" t="s">
        <v>3837</v>
      </c>
      <c r="C4776" s="2">
        <v>2</v>
      </c>
      <c r="D4776" t="str">
        <f t="shared" si="74"/>
        <v>CA-2016-154018_OFF-PA-10000551</v>
      </c>
      <c r="E4776" t="str">
        <f>IF(COUNTIF(data2!$D:$D,D4776)=0,"Missing in Data2","Present")</f>
        <v>Present</v>
      </c>
    </row>
    <row r="4777" spans="1:5" x14ac:dyDescent="0.25">
      <c r="A4777" s="2" t="s">
        <v>4160</v>
      </c>
      <c r="B4777" s="2" t="s">
        <v>1862</v>
      </c>
      <c r="C4777" s="2">
        <v>3</v>
      </c>
      <c r="D4777" t="str">
        <f t="shared" si="74"/>
        <v>CA-2016-154018_TEC-AC-10002402</v>
      </c>
      <c r="E4777" t="str">
        <f>IF(COUNTIF(data2!$D:$D,D4777)=0,"Missing in Data2","Present")</f>
        <v>Present</v>
      </c>
    </row>
    <row r="4778" spans="1:5" x14ac:dyDescent="0.25">
      <c r="A4778" s="2" t="s">
        <v>4161</v>
      </c>
      <c r="B4778" s="2" t="s">
        <v>3347</v>
      </c>
      <c r="C4778" s="2">
        <v>1</v>
      </c>
      <c r="D4778" t="str">
        <f t="shared" si="74"/>
        <v>CA-2016-154053_OFF-AR-10003727</v>
      </c>
      <c r="E4778" t="str">
        <f>IF(COUNTIF(data2!$D:$D,D4778)=0,"Missing in Data2","Present")</f>
        <v>Present</v>
      </c>
    </row>
    <row r="4779" spans="1:5" x14ac:dyDescent="0.25">
      <c r="A4779" s="2" t="s">
        <v>4162</v>
      </c>
      <c r="B4779" s="2" t="s">
        <v>1258</v>
      </c>
      <c r="C4779" s="2">
        <v>9</v>
      </c>
      <c r="D4779" t="str">
        <f t="shared" si="74"/>
        <v>CA-2016-154060_FUR-CH-10002304</v>
      </c>
      <c r="E4779" t="str">
        <f>IF(COUNTIF(data2!$D:$D,D4779)=0,"Missing in Data2","Present")</f>
        <v>Present</v>
      </c>
    </row>
    <row r="4780" spans="1:5" x14ac:dyDescent="0.25">
      <c r="A4780" s="2" t="s">
        <v>4163</v>
      </c>
      <c r="B4780" s="2" t="s">
        <v>2264</v>
      </c>
      <c r="C4780" s="2">
        <v>4</v>
      </c>
      <c r="D4780" t="str">
        <f t="shared" si="74"/>
        <v>CA-2016-154067_OFF-PA-10002254</v>
      </c>
      <c r="E4780" t="str">
        <f>IF(COUNTIF(data2!$D:$D,D4780)=0,"Missing in Data2","Present")</f>
        <v>Present</v>
      </c>
    </row>
    <row r="4781" spans="1:5" x14ac:dyDescent="0.25">
      <c r="A4781" s="2" t="s">
        <v>4164</v>
      </c>
      <c r="B4781" s="2" t="s">
        <v>4165</v>
      </c>
      <c r="C4781" s="2">
        <v>2</v>
      </c>
      <c r="D4781" t="str">
        <f t="shared" si="74"/>
        <v>CA-2016-154081_TEC-PH-10001918</v>
      </c>
      <c r="E4781" t="str">
        <f>IF(COUNTIF(data2!$D:$D,D4781)=0,"Missing in Data2","Present")</f>
        <v>Present</v>
      </c>
    </row>
    <row r="4782" spans="1:5" x14ac:dyDescent="0.25">
      <c r="A4782" s="2" t="s">
        <v>4166</v>
      </c>
      <c r="B4782" s="2" t="s">
        <v>450</v>
      </c>
      <c r="C4782" s="2">
        <v>3</v>
      </c>
      <c r="D4782" t="str">
        <f t="shared" si="74"/>
        <v>CA-2016-154235_FUR-FU-10004006</v>
      </c>
      <c r="E4782" t="str">
        <f>IF(COUNTIF(data2!$D:$D,D4782)=0,"Missing in Data2","Present")</f>
        <v>Present</v>
      </c>
    </row>
    <row r="4783" spans="1:5" x14ac:dyDescent="0.25">
      <c r="A4783" s="2" t="s">
        <v>4167</v>
      </c>
      <c r="B4783" s="2" t="s">
        <v>785</v>
      </c>
      <c r="C4783" s="2">
        <v>1</v>
      </c>
      <c r="D4783" t="str">
        <f t="shared" si="74"/>
        <v>CA-2016-154403_OFF-PA-10001526</v>
      </c>
      <c r="E4783" t="str">
        <f>IF(COUNTIF(data2!$D:$D,D4783)=0,"Missing in Data2","Present")</f>
        <v>Present</v>
      </c>
    </row>
    <row r="4784" spans="1:5" x14ac:dyDescent="0.25">
      <c r="A4784" s="2" t="s">
        <v>4168</v>
      </c>
      <c r="B4784" s="2" t="s">
        <v>281</v>
      </c>
      <c r="C4784" s="2">
        <v>5</v>
      </c>
      <c r="D4784" t="str">
        <f t="shared" si="74"/>
        <v>CA-2016-154508_OFF-EN-10001990</v>
      </c>
      <c r="E4784" t="str">
        <f>IF(COUNTIF(data2!$D:$D,D4784)=0,"Missing in Data2","Present")</f>
        <v>Present</v>
      </c>
    </row>
    <row r="4785" spans="1:5" x14ac:dyDescent="0.25">
      <c r="A4785" s="2" t="s">
        <v>4169</v>
      </c>
      <c r="B4785" s="2" t="s">
        <v>2186</v>
      </c>
      <c r="C4785" s="2">
        <v>5</v>
      </c>
      <c r="D4785" t="str">
        <f t="shared" si="74"/>
        <v>CA-2016-154536_OFF-BI-10004410</v>
      </c>
      <c r="E4785" t="str">
        <f>IF(COUNTIF(data2!$D:$D,D4785)=0,"Missing in Data2","Present")</f>
        <v>Present</v>
      </c>
    </row>
    <row r="4786" spans="1:5" x14ac:dyDescent="0.25">
      <c r="A4786" s="2" t="s">
        <v>4170</v>
      </c>
      <c r="B4786" s="2" t="s">
        <v>3694</v>
      </c>
      <c r="C4786" s="2">
        <v>3</v>
      </c>
      <c r="D4786" t="str">
        <f t="shared" si="74"/>
        <v>CA-2016-154662_FUR-TA-10001771</v>
      </c>
      <c r="E4786" t="str">
        <f>IF(COUNTIF(data2!$D:$D,D4786)=0,"Missing in Data2","Present")</f>
        <v>Missing in Data2</v>
      </c>
    </row>
    <row r="4787" spans="1:5" x14ac:dyDescent="0.25">
      <c r="A4787" s="2" t="s">
        <v>4171</v>
      </c>
      <c r="B4787" s="2" t="s">
        <v>221</v>
      </c>
      <c r="C4787" s="2">
        <v>2</v>
      </c>
      <c r="D4787" t="str">
        <f t="shared" si="74"/>
        <v>CA-2016-154690_FUR-CH-10000988</v>
      </c>
      <c r="E4787" t="str">
        <f>IF(COUNTIF(data2!$D:$D,D4787)=0,"Missing in Data2","Present")</f>
        <v>Present</v>
      </c>
    </row>
    <row r="4788" spans="1:5" x14ac:dyDescent="0.25">
      <c r="A4788" s="2" t="s">
        <v>4172</v>
      </c>
      <c r="B4788" s="2" t="s">
        <v>1299</v>
      </c>
      <c r="C4788" s="2">
        <v>2</v>
      </c>
      <c r="D4788" t="str">
        <f t="shared" si="74"/>
        <v>CA-2016-154711_FUR-FU-10000397</v>
      </c>
      <c r="E4788" t="str">
        <f>IF(COUNTIF(data2!$D:$D,D4788)=0,"Missing in Data2","Present")</f>
        <v>Present</v>
      </c>
    </row>
    <row r="4789" spans="1:5" x14ac:dyDescent="0.25">
      <c r="A4789" s="2" t="s">
        <v>4172</v>
      </c>
      <c r="B4789" s="2" t="s">
        <v>3188</v>
      </c>
      <c r="C4789" s="2">
        <v>3</v>
      </c>
      <c r="D4789" t="str">
        <f t="shared" si="74"/>
        <v>CA-2016-154711_OFF-AR-10001860</v>
      </c>
      <c r="E4789" t="str">
        <f>IF(COUNTIF(data2!$D:$D,D4789)=0,"Missing in Data2","Present")</f>
        <v>Present</v>
      </c>
    </row>
    <row r="4790" spans="1:5" x14ac:dyDescent="0.25">
      <c r="A4790" s="2" t="s">
        <v>4172</v>
      </c>
      <c r="B4790" s="2" t="s">
        <v>1789</v>
      </c>
      <c r="C4790" s="2">
        <v>4</v>
      </c>
      <c r="D4790" t="str">
        <f t="shared" si="74"/>
        <v>CA-2016-154711_OFF-BI-10000605</v>
      </c>
      <c r="E4790" t="str">
        <f>IF(COUNTIF(data2!$D:$D,D4790)=0,"Missing in Data2","Present")</f>
        <v>Present</v>
      </c>
    </row>
    <row r="4791" spans="1:5" x14ac:dyDescent="0.25">
      <c r="A4791" s="2" t="s">
        <v>4173</v>
      </c>
      <c r="B4791" s="2" t="s">
        <v>949</v>
      </c>
      <c r="C4791" s="2">
        <v>2</v>
      </c>
      <c r="D4791" t="str">
        <f t="shared" si="74"/>
        <v>CA-2016-154739_FUR-CH-10002965</v>
      </c>
      <c r="E4791" t="str">
        <f>IF(COUNTIF(data2!$D:$D,D4791)=0,"Missing in Data2","Present")</f>
        <v>Present</v>
      </c>
    </row>
    <row r="4792" spans="1:5" x14ac:dyDescent="0.25">
      <c r="A4792" s="2" t="s">
        <v>4174</v>
      </c>
      <c r="B4792" s="2" t="s">
        <v>1857</v>
      </c>
      <c r="C4792" s="2">
        <v>2</v>
      </c>
      <c r="D4792" t="str">
        <f t="shared" si="74"/>
        <v>CA-2016-154767_FUR-CH-10003535</v>
      </c>
      <c r="E4792" t="str">
        <f>IF(COUNTIF(data2!$D:$D,D4792)=0,"Missing in Data2","Present")</f>
        <v>Present</v>
      </c>
    </row>
    <row r="4793" spans="1:5" x14ac:dyDescent="0.25">
      <c r="A4793" s="2" t="s">
        <v>4174</v>
      </c>
      <c r="B4793" s="2" t="s">
        <v>1787</v>
      </c>
      <c r="C4793" s="2">
        <v>4</v>
      </c>
      <c r="D4793" t="str">
        <f t="shared" si="74"/>
        <v>CA-2016-154767_OFF-AP-10002311</v>
      </c>
      <c r="E4793" t="str">
        <f>IF(COUNTIF(data2!$D:$D,D4793)=0,"Missing in Data2","Present")</f>
        <v>Present</v>
      </c>
    </row>
    <row r="4794" spans="1:5" x14ac:dyDescent="0.25">
      <c r="A4794" s="2" t="s">
        <v>4174</v>
      </c>
      <c r="B4794" s="2" t="s">
        <v>2819</v>
      </c>
      <c r="C4794" s="2">
        <v>2</v>
      </c>
      <c r="D4794" t="str">
        <f t="shared" si="74"/>
        <v>CA-2016-154767_OFF-BI-10002003</v>
      </c>
      <c r="E4794" t="str">
        <f>IF(COUNTIF(data2!$D:$D,D4794)=0,"Missing in Data2","Present")</f>
        <v>Present</v>
      </c>
    </row>
    <row r="4795" spans="1:5" x14ac:dyDescent="0.25">
      <c r="A4795" s="2" t="s">
        <v>4174</v>
      </c>
      <c r="B4795" s="2" t="s">
        <v>1006</v>
      </c>
      <c r="C4795" s="2">
        <v>2</v>
      </c>
      <c r="D4795" t="str">
        <f t="shared" si="74"/>
        <v>CA-2016-154767_OFF-PA-10003039</v>
      </c>
      <c r="E4795" t="str">
        <f>IF(COUNTIF(data2!$D:$D,D4795)=0,"Missing in Data2","Present")</f>
        <v>Present</v>
      </c>
    </row>
    <row r="4796" spans="1:5" x14ac:dyDescent="0.25">
      <c r="A4796" s="2" t="s">
        <v>4175</v>
      </c>
      <c r="B4796" s="2" t="s">
        <v>940</v>
      </c>
      <c r="C4796" s="2">
        <v>2</v>
      </c>
      <c r="D4796" t="str">
        <f t="shared" si="74"/>
        <v>CA-2016-154788_OFF-BI-10003314</v>
      </c>
      <c r="E4796" t="str">
        <f>IF(COUNTIF(data2!$D:$D,D4796)=0,"Missing in Data2","Present")</f>
        <v>Missing in Data2</v>
      </c>
    </row>
    <row r="4797" spans="1:5" x14ac:dyDescent="0.25">
      <c r="A4797" s="2" t="s">
        <v>4176</v>
      </c>
      <c r="B4797" s="2" t="s">
        <v>3954</v>
      </c>
      <c r="C4797" s="2">
        <v>2</v>
      </c>
      <c r="D4797" t="str">
        <f t="shared" si="74"/>
        <v>CA-2016-154998_OFF-PA-10004243</v>
      </c>
      <c r="E4797" t="str">
        <f>IF(COUNTIF(data2!$D:$D,D4797)=0,"Missing in Data2","Present")</f>
        <v>Present</v>
      </c>
    </row>
    <row r="4798" spans="1:5" x14ac:dyDescent="0.25">
      <c r="A4798" s="2" t="s">
        <v>4177</v>
      </c>
      <c r="B4798" s="2" t="s">
        <v>673</v>
      </c>
      <c r="C4798" s="2">
        <v>3</v>
      </c>
      <c r="D4798" t="str">
        <f t="shared" si="74"/>
        <v>CA-2016-155005_TEC-PH-10003484</v>
      </c>
      <c r="E4798" t="str">
        <f>IF(COUNTIF(data2!$D:$D,D4798)=0,"Missing in Data2","Present")</f>
        <v>Present</v>
      </c>
    </row>
    <row r="4799" spans="1:5" x14ac:dyDescent="0.25">
      <c r="A4799" s="2" t="s">
        <v>4178</v>
      </c>
      <c r="B4799" s="2" t="s">
        <v>1833</v>
      </c>
      <c r="C4799" s="2">
        <v>2</v>
      </c>
      <c r="D4799" t="str">
        <f t="shared" si="74"/>
        <v>CA-2016-155033_OFF-PA-10000143</v>
      </c>
      <c r="E4799" t="str">
        <f>IF(COUNTIF(data2!$D:$D,D4799)=0,"Missing in Data2","Present")</f>
        <v>Present</v>
      </c>
    </row>
    <row r="4800" spans="1:5" x14ac:dyDescent="0.25">
      <c r="A4800" s="2" t="s">
        <v>4179</v>
      </c>
      <c r="B4800" s="2" t="s">
        <v>2359</v>
      </c>
      <c r="C4800" s="2">
        <v>3</v>
      </c>
      <c r="D4800" t="str">
        <f t="shared" si="74"/>
        <v>CA-2016-155138_OFF-PA-10000501</v>
      </c>
      <c r="E4800" t="str">
        <f>IF(COUNTIF(data2!$D:$D,D4800)=0,"Missing in Data2","Present")</f>
        <v>Present</v>
      </c>
    </row>
    <row r="4801" spans="1:5" x14ac:dyDescent="0.25">
      <c r="A4801" s="2" t="s">
        <v>4179</v>
      </c>
      <c r="B4801" s="2" t="s">
        <v>1594</v>
      </c>
      <c r="C4801" s="2">
        <v>4</v>
      </c>
      <c r="D4801" t="str">
        <f t="shared" si="74"/>
        <v>CA-2016-155138_TEC-AC-10004209</v>
      </c>
      <c r="E4801" t="str">
        <f>IF(COUNTIF(data2!$D:$D,D4801)=0,"Missing in Data2","Present")</f>
        <v>Present</v>
      </c>
    </row>
    <row r="4802" spans="1:5" x14ac:dyDescent="0.25">
      <c r="A4802" s="2" t="s">
        <v>4180</v>
      </c>
      <c r="B4802" s="2" t="s">
        <v>2738</v>
      </c>
      <c r="C4802" s="2">
        <v>3</v>
      </c>
      <c r="D4802" t="str">
        <f t="shared" si="74"/>
        <v>CA-2016-155166_FUR-CH-10003968</v>
      </c>
      <c r="E4802" t="str">
        <f>IF(COUNTIF(data2!$D:$D,D4802)=0,"Missing in Data2","Present")</f>
        <v>Present</v>
      </c>
    </row>
    <row r="4803" spans="1:5" x14ac:dyDescent="0.25">
      <c r="A4803" s="2" t="s">
        <v>4180</v>
      </c>
      <c r="B4803" s="2" t="s">
        <v>894</v>
      </c>
      <c r="C4803" s="2">
        <v>1</v>
      </c>
      <c r="D4803" t="str">
        <f t="shared" ref="D4803:D4866" si="75">A4803&amp;"_"&amp;B4803</f>
        <v>CA-2016-155166_OFF-AP-10002765</v>
      </c>
      <c r="E4803" t="str">
        <f>IF(COUNTIF(data2!$D:$D,D4803)=0,"Missing in Data2","Present")</f>
        <v>Present</v>
      </c>
    </row>
    <row r="4804" spans="1:5" x14ac:dyDescent="0.25">
      <c r="A4804" s="2" t="s">
        <v>4181</v>
      </c>
      <c r="B4804" s="2" t="s">
        <v>2655</v>
      </c>
      <c r="C4804" s="2">
        <v>5</v>
      </c>
      <c r="D4804" t="str">
        <f t="shared" si="75"/>
        <v>CA-2016-155187_OFF-PA-10000380</v>
      </c>
      <c r="E4804" t="str">
        <f>IF(COUNTIF(data2!$D:$D,D4804)=0,"Missing in Data2","Present")</f>
        <v>Present</v>
      </c>
    </row>
    <row r="4805" spans="1:5" x14ac:dyDescent="0.25">
      <c r="A4805" s="2" t="s">
        <v>4181</v>
      </c>
      <c r="B4805" s="2" t="s">
        <v>2500</v>
      </c>
      <c r="C4805" s="2">
        <v>2</v>
      </c>
      <c r="D4805" t="str">
        <f t="shared" si="75"/>
        <v>CA-2016-155187_OFF-ST-10000642</v>
      </c>
      <c r="E4805" t="str">
        <f>IF(COUNTIF(data2!$D:$D,D4805)=0,"Missing in Data2","Present")</f>
        <v>Present</v>
      </c>
    </row>
    <row r="4806" spans="1:5" x14ac:dyDescent="0.25">
      <c r="A4806" s="2" t="s">
        <v>4182</v>
      </c>
      <c r="B4806" s="2" t="s">
        <v>2856</v>
      </c>
      <c r="C4806" s="2">
        <v>3</v>
      </c>
      <c r="D4806" t="str">
        <f t="shared" si="75"/>
        <v>CA-2016-155383_OFF-ST-10001328</v>
      </c>
      <c r="E4806" t="str">
        <f>IF(COUNTIF(data2!$D:$D,D4806)=0,"Missing in Data2","Present")</f>
        <v>Present</v>
      </c>
    </row>
    <row r="4807" spans="1:5" x14ac:dyDescent="0.25">
      <c r="A4807" s="2" t="s">
        <v>4183</v>
      </c>
      <c r="B4807" s="2" t="s">
        <v>316</v>
      </c>
      <c r="C4807" s="2">
        <v>4</v>
      </c>
      <c r="D4807" t="str">
        <f t="shared" si="75"/>
        <v>CA-2016-155439_OFF-PA-10000029</v>
      </c>
      <c r="E4807" t="str">
        <f>IF(COUNTIF(data2!$D:$D,D4807)=0,"Missing in Data2","Present")</f>
        <v>Present</v>
      </c>
    </row>
    <row r="4808" spans="1:5" x14ac:dyDescent="0.25">
      <c r="A4808" s="2" t="s">
        <v>4184</v>
      </c>
      <c r="B4808" s="2" t="s">
        <v>1090</v>
      </c>
      <c r="C4808" s="2">
        <v>7</v>
      </c>
      <c r="D4808" t="str">
        <f t="shared" si="75"/>
        <v>CA-2016-155446_TEC-AC-10001445</v>
      </c>
      <c r="E4808" t="str">
        <f>IF(COUNTIF(data2!$D:$D,D4808)=0,"Missing in Data2","Present")</f>
        <v>Present</v>
      </c>
    </row>
    <row r="4809" spans="1:5" x14ac:dyDescent="0.25">
      <c r="A4809" s="2" t="s">
        <v>4185</v>
      </c>
      <c r="B4809" s="2" t="s">
        <v>248</v>
      </c>
      <c r="C4809" s="2">
        <v>3</v>
      </c>
      <c r="D4809" t="str">
        <f t="shared" si="75"/>
        <v>CA-2016-155474_OFF-BI-10004209</v>
      </c>
      <c r="E4809" t="str">
        <f>IF(COUNTIF(data2!$D:$D,D4809)=0,"Missing in Data2","Present")</f>
        <v>Present</v>
      </c>
    </row>
    <row r="4810" spans="1:5" x14ac:dyDescent="0.25">
      <c r="A4810" s="2" t="s">
        <v>4185</v>
      </c>
      <c r="B4810" s="2" t="s">
        <v>3446</v>
      </c>
      <c r="C4810" s="2">
        <v>1</v>
      </c>
      <c r="D4810" t="str">
        <f t="shared" si="75"/>
        <v>CA-2016-155474_TEC-PH-10001580</v>
      </c>
      <c r="E4810" t="str">
        <f>IF(COUNTIF(data2!$D:$D,D4810)=0,"Missing in Data2","Present")</f>
        <v>Present</v>
      </c>
    </row>
    <row r="4811" spans="1:5" x14ac:dyDescent="0.25">
      <c r="A4811" s="2" t="s">
        <v>4186</v>
      </c>
      <c r="B4811" s="2" t="s">
        <v>703</v>
      </c>
      <c r="C4811" s="2">
        <v>7</v>
      </c>
      <c r="D4811" t="str">
        <f t="shared" si="75"/>
        <v>CA-2016-155481_OFF-FA-10002780</v>
      </c>
      <c r="E4811" t="str">
        <f>IF(COUNTIF(data2!$D:$D,D4811)=0,"Missing in Data2","Present")</f>
        <v>Present</v>
      </c>
    </row>
    <row r="4812" spans="1:5" x14ac:dyDescent="0.25">
      <c r="A4812" s="2" t="s">
        <v>4186</v>
      </c>
      <c r="B4812" s="2" t="s">
        <v>4187</v>
      </c>
      <c r="C4812" s="2">
        <v>6</v>
      </c>
      <c r="D4812" t="str">
        <f t="shared" si="75"/>
        <v>CA-2016-155481_OFF-PA-10004675</v>
      </c>
      <c r="E4812" t="str">
        <f>IF(COUNTIF(data2!$D:$D,D4812)=0,"Missing in Data2","Present")</f>
        <v>Present</v>
      </c>
    </row>
    <row r="4813" spans="1:5" x14ac:dyDescent="0.25">
      <c r="A4813" s="2" t="s">
        <v>4186</v>
      </c>
      <c r="B4813" s="2" t="s">
        <v>3106</v>
      </c>
      <c r="C4813" s="2">
        <v>2</v>
      </c>
      <c r="D4813" t="str">
        <f t="shared" si="75"/>
        <v>CA-2016-155481_TEC-PH-10002293</v>
      </c>
      <c r="E4813" t="str">
        <f>IF(COUNTIF(data2!$D:$D,D4813)=0,"Missing in Data2","Present")</f>
        <v>Present</v>
      </c>
    </row>
    <row r="4814" spans="1:5" x14ac:dyDescent="0.25">
      <c r="A4814" s="2" t="s">
        <v>4188</v>
      </c>
      <c r="B4814" s="2" t="s">
        <v>4092</v>
      </c>
      <c r="C4814" s="2">
        <v>2</v>
      </c>
      <c r="D4814" t="str">
        <f t="shared" si="75"/>
        <v>CA-2016-155488_OFF-AR-10002956</v>
      </c>
      <c r="E4814" t="str">
        <f>IF(COUNTIF(data2!$D:$D,D4814)=0,"Missing in Data2","Present")</f>
        <v>Present</v>
      </c>
    </row>
    <row r="4815" spans="1:5" x14ac:dyDescent="0.25">
      <c r="A4815" s="2" t="s">
        <v>4189</v>
      </c>
      <c r="B4815" s="2" t="s">
        <v>1533</v>
      </c>
      <c r="C4815" s="2">
        <v>4</v>
      </c>
      <c r="D4815" t="str">
        <f t="shared" si="75"/>
        <v>CA-2016-155516_FUR-BO-10002545</v>
      </c>
      <c r="E4815" t="str">
        <f>IF(COUNTIF(data2!$D:$D,D4815)=0,"Missing in Data2","Present")</f>
        <v>Present</v>
      </c>
    </row>
    <row r="4816" spans="1:5" x14ac:dyDescent="0.25">
      <c r="A4816" s="2" t="s">
        <v>4189</v>
      </c>
      <c r="B4816" s="2" t="s">
        <v>2095</v>
      </c>
      <c r="C4816" s="2">
        <v>4</v>
      </c>
      <c r="D4816" t="str">
        <f t="shared" si="75"/>
        <v>CA-2016-155516_OFF-BI-10002412</v>
      </c>
      <c r="E4816" t="str">
        <f>IF(COUNTIF(data2!$D:$D,D4816)=0,"Missing in Data2","Present")</f>
        <v>Present</v>
      </c>
    </row>
    <row r="4817" spans="1:5" x14ac:dyDescent="0.25">
      <c r="A4817" s="2" t="s">
        <v>4189</v>
      </c>
      <c r="B4817" s="2" t="s">
        <v>1809</v>
      </c>
      <c r="C4817" s="2">
        <v>7</v>
      </c>
      <c r="D4817" t="str">
        <f t="shared" si="75"/>
        <v>CA-2016-155516_OFF-ST-10002406</v>
      </c>
      <c r="E4817" t="str">
        <f>IF(COUNTIF(data2!$D:$D,D4817)=0,"Missing in Data2","Present")</f>
        <v>Present</v>
      </c>
    </row>
    <row r="4818" spans="1:5" x14ac:dyDescent="0.25">
      <c r="A4818" s="2" t="s">
        <v>4189</v>
      </c>
      <c r="B4818" s="2" t="s">
        <v>219</v>
      </c>
      <c r="C4818" s="2">
        <v>2</v>
      </c>
      <c r="D4818" t="str">
        <f t="shared" si="75"/>
        <v>CA-2016-155516_OFF-SU-10001225</v>
      </c>
      <c r="E4818" t="str">
        <f>IF(COUNTIF(data2!$D:$D,D4818)=0,"Missing in Data2","Present")</f>
        <v>Present</v>
      </c>
    </row>
    <row r="4819" spans="1:5" x14ac:dyDescent="0.25">
      <c r="A4819" s="2" t="s">
        <v>4190</v>
      </c>
      <c r="B4819" s="2" t="s">
        <v>3419</v>
      </c>
      <c r="C4819" s="2">
        <v>6</v>
      </c>
      <c r="D4819" t="str">
        <f t="shared" si="75"/>
        <v>CA-2016-155530_FUR-TA-10004256</v>
      </c>
      <c r="E4819" t="str">
        <f>IF(COUNTIF(data2!$D:$D,D4819)=0,"Missing in Data2","Present")</f>
        <v>Present</v>
      </c>
    </row>
    <row r="4820" spans="1:5" x14ac:dyDescent="0.25">
      <c r="A4820" s="2" t="s">
        <v>4191</v>
      </c>
      <c r="B4820" s="2" t="s">
        <v>861</v>
      </c>
      <c r="C4820" s="2">
        <v>2</v>
      </c>
      <c r="D4820" t="str">
        <f t="shared" si="75"/>
        <v>CA-2016-155551_OFF-PA-10001560</v>
      </c>
      <c r="E4820" t="str">
        <f>IF(COUNTIF(data2!$D:$D,D4820)=0,"Missing in Data2","Present")</f>
        <v>Present</v>
      </c>
    </row>
    <row r="4821" spans="1:5" x14ac:dyDescent="0.25">
      <c r="A4821" s="2" t="s">
        <v>4191</v>
      </c>
      <c r="B4821" s="2" t="s">
        <v>2072</v>
      </c>
      <c r="C4821" s="2">
        <v>3</v>
      </c>
      <c r="D4821" t="str">
        <f t="shared" si="75"/>
        <v>CA-2016-155551_OFF-ST-10003656</v>
      </c>
      <c r="E4821" t="str">
        <f>IF(COUNTIF(data2!$D:$D,D4821)=0,"Missing in Data2","Present")</f>
        <v>Present</v>
      </c>
    </row>
    <row r="4822" spans="1:5" x14ac:dyDescent="0.25">
      <c r="A4822" s="2" t="s">
        <v>4192</v>
      </c>
      <c r="B4822" s="2" t="s">
        <v>1875</v>
      </c>
      <c r="C4822" s="2">
        <v>5</v>
      </c>
      <c r="D4822" t="str">
        <f t="shared" si="75"/>
        <v>CA-2016-155565_OFF-SU-10001218</v>
      </c>
      <c r="E4822" t="str">
        <f>IF(COUNTIF(data2!$D:$D,D4822)=0,"Missing in Data2","Present")</f>
        <v>Present</v>
      </c>
    </row>
    <row r="4823" spans="1:5" x14ac:dyDescent="0.25">
      <c r="A4823" s="2" t="s">
        <v>4193</v>
      </c>
      <c r="B4823" s="2" t="s">
        <v>1490</v>
      </c>
      <c r="C4823" s="2">
        <v>8</v>
      </c>
      <c r="D4823" t="str">
        <f t="shared" si="75"/>
        <v>CA-2016-155670_OFF-BI-10000138</v>
      </c>
      <c r="E4823" t="str">
        <f>IF(COUNTIF(data2!$D:$D,D4823)=0,"Missing in Data2","Present")</f>
        <v>Present</v>
      </c>
    </row>
    <row r="4824" spans="1:5" x14ac:dyDescent="0.25">
      <c r="A4824" s="2" t="s">
        <v>4193</v>
      </c>
      <c r="B4824" s="2" t="s">
        <v>1798</v>
      </c>
      <c r="C4824" s="2">
        <v>3</v>
      </c>
      <c r="D4824" t="str">
        <f t="shared" si="75"/>
        <v>CA-2016-155670_OFF-PA-10004947</v>
      </c>
      <c r="E4824" t="str">
        <f>IF(COUNTIF(data2!$D:$D,D4824)=0,"Missing in Data2","Present")</f>
        <v>Present</v>
      </c>
    </row>
    <row r="4825" spans="1:5" x14ac:dyDescent="0.25">
      <c r="A4825" s="2" t="s">
        <v>4194</v>
      </c>
      <c r="B4825" s="2" t="s">
        <v>4195</v>
      </c>
      <c r="C4825" s="2">
        <v>2</v>
      </c>
      <c r="D4825" t="str">
        <f t="shared" si="75"/>
        <v>CA-2016-155747_FUR-TA-10003392</v>
      </c>
      <c r="E4825" t="str">
        <f>IF(COUNTIF(data2!$D:$D,D4825)=0,"Missing in Data2","Present")</f>
        <v>Present</v>
      </c>
    </row>
    <row r="4826" spans="1:5" x14ac:dyDescent="0.25">
      <c r="A4826" s="2" t="s">
        <v>4196</v>
      </c>
      <c r="B4826" s="2" t="s">
        <v>2603</v>
      </c>
      <c r="C4826" s="2">
        <v>7</v>
      </c>
      <c r="D4826" t="str">
        <f t="shared" si="75"/>
        <v>CA-2016-155845_TEC-AC-10004145</v>
      </c>
      <c r="E4826" t="str">
        <f>IF(COUNTIF(data2!$D:$D,D4826)=0,"Missing in Data2","Present")</f>
        <v>Present</v>
      </c>
    </row>
    <row r="4827" spans="1:5" x14ac:dyDescent="0.25">
      <c r="A4827" s="2" t="s">
        <v>4197</v>
      </c>
      <c r="B4827" s="2" t="s">
        <v>545</v>
      </c>
      <c r="C4827" s="2">
        <v>2</v>
      </c>
      <c r="D4827" t="str">
        <f t="shared" si="75"/>
        <v>CA-2016-155978_OFF-AP-10002892</v>
      </c>
      <c r="E4827" t="str">
        <f>IF(COUNTIF(data2!$D:$D,D4827)=0,"Missing in Data2","Present")</f>
        <v>Missing in Data2</v>
      </c>
    </row>
    <row r="4828" spans="1:5" x14ac:dyDescent="0.25">
      <c r="A4828" s="2" t="s">
        <v>4197</v>
      </c>
      <c r="B4828" s="2" t="s">
        <v>133</v>
      </c>
      <c r="C4828" s="2">
        <v>2</v>
      </c>
      <c r="D4828" t="str">
        <f t="shared" si="75"/>
        <v>CA-2016-155978_TEC-PH-10002885</v>
      </c>
      <c r="E4828" t="str">
        <f>IF(COUNTIF(data2!$D:$D,D4828)=0,"Missing in Data2","Present")</f>
        <v>Present</v>
      </c>
    </row>
    <row r="4829" spans="1:5" x14ac:dyDescent="0.25">
      <c r="A4829" s="2" t="s">
        <v>4198</v>
      </c>
      <c r="B4829" s="2" t="s">
        <v>69</v>
      </c>
      <c r="C4829" s="2">
        <v>2</v>
      </c>
      <c r="D4829" t="str">
        <f t="shared" si="75"/>
        <v>CA-2016-156251_FUR-BO-10001337</v>
      </c>
      <c r="E4829" t="str">
        <f>IF(COUNTIF(data2!$D:$D,D4829)=0,"Missing in Data2","Present")</f>
        <v>Present</v>
      </c>
    </row>
    <row r="4830" spans="1:5" x14ac:dyDescent="0.25">
      <c r="A4830" s="2" t="s">
        <v>4198</v>
      </c>
      <c r="B4830" s="2" t="s">
        <v>446</v>
      </c>
      <c r="C4830" s="2">
        <v>3</v>
      </c>
      <c r="D4830" t="str">
        <f t="shared" si="75"/>
        <v>CA-2016-156251_OFF-BI-10003529</v>
      </c>
      <c r="E4830" t="str">
        <f>IF(COUNTIF(data2!$D:$D,D4830)=0,"Missing in Data2","Present")</f>
        <v>Present</v>
      </c>
    </row>
    <row r="4831" spans="1:5" x14ac:dyDescent="0.25">
      <c r="A4831" s="2" t="s">
        <v>4199</v>
      </c>
      <c r="B4831" s="2" t="s">
        <v>4200</v>
      </c>
      <c r="C4831" s="2">
        <v>2</v>
      </c>
      <c r="D4831" t="str">
        <f t="shared" si="75"/>
        <v>CA-2016-156265_FUR-TA-10001691</v>
      </c>
      <c r="E4831" t="str">
        <f>IF(COUNTIF(data2!$D:$D,D4831)=0,"Missing in Data2","Present")</f>
        <v>Present</v>
      </c>
    </row>
    <row r="4832" spans="1:5" x14ac:dyDescent="0.25">
      <c r="A4832" s="2" t="s">
        <v>4199</v>
      </c>
      <c r="B4832" s="2" t="s">
        <v>2994</v>
      </c>
      <c r="C4832" s="2">
        <v>2</v>
      </c>
      <c r="D4832" t="str">
        <f t="shared" si="75"/>
        <v>CA-2016-156265_OFF-BI-10000285</v>
      </c>
      <c r="E4832" t="str">
        <f>IF(COUNTIF(data2!$D:$D,D4832)=0,"Missing in Data2","Present")</f>
        <v>Present</v>
      </c>
    </row>
    <row r="4833" spans="1:5" x14ac:dyDescent="0.25">
      <c r="A4833" s="2" t="s">
        <v>4199</v>
      </c>
      <c r="B4833" s="2" t="s">
        <v>4165</v>
      </c>
      <c r="C4833" s="2">
        <v>3</v>
      </c>
      <c r="D4833" t="str">
        <f t="shared" si="75"/>
        <v>CA-2016-156265_TEC-PH-10001918</v>
      </c>
      <c r="E4833" t="str">
        <f>IF(COUNTIF(data2!$D:$D,D4833)=0,"Missing in Data2","Present")</f>
        <v>Present</v>
      </c>
    </row>
    <row r="4834" spans="1:5" x14ac:dyDescent="0.25">
      <c r="A4834" s="2" t="s">
        <v>4201</v>
      </c>
      <c r="B4834" s="2" t="s">
        <v>84</v>
      </c>
      <c r="C4834" s="2">
        <v>5</v>
      </c>
      <c r="D4834" t="str">
        <f t="shared" si="75"/>
        <v>CA-2016-156300_FUR-CH-10001714</v>
      </c>
      <c r="E4834" t="str">
        <f>IF(COUNTIF(data2!$D:$D,D4834)=0,"Missing in Data2","Present")</f>
        <v>Present</v>
      </c>
    </row>
    <row r="4835" spans="1:5" x14ac:dyDescent="0.25">
      <c r="A4835" s="2" t="s">
        <v>4202</v>
      </c>
      <c r="B4835" s="2" t="s">
        <v>4203</v>
      </c>
      <c r="C4835" s="2">
        <v>1</v>
      </c>
      <c r="D4835" t="str">
        <f t="shared" si="75"/>
        <v>CA-2016-156503_FUR-CH-10003606</v>
      </c>
      <c r="E4835" t="str">
        <f>IF(COUNTIF(data2!$D:$D,D4835)=0,"Missing in Data2","Present")</f>
        <v>Present</v>
      </c>
    </row>
    <row r="4836" spans="1:5" x14ac:dyDescent="0.25">
      <c r="A4836" s="2" t="s">
        <v>4202</v>
      </c>
      <c r="B4836" s="2" t="s">
        <v>1155</v>
      </c>
      <c r="C4836" s="2">
        <v>4</v>
      </c>
      <c r="D4836" t="str">
        <f t="shared" si="75"/>
        <v>CA-2016-156503_OFF-EN-10001335</v>
      </c>
      <c r="E4836" t="str">
        <f>IF(COUNTIF(data2!$D:$D,D4836)=0,"Missing in Data2","Present")</f>
        <v>Present</v>
      </c>
    </row>
    <row r="4837" spans="1:5" x14ac:dyDescent="0.25">
      <c r="A4837" s="2" t="s">
        <v>4202</v>
      </c>
      <c r="B4837" s="2" t="s">
        <v>1284</v>
      </c>
      <c r="C4837" s="2">
        <v>3</v>
      </c>
      <c r="D4837" t="str">
        <f t="shared" si="75"/>
        <v>CA-2016-156503_OFF-PA-10002319</v>
      </c>
      <c r="E4837" t="str">
        <f>IF(COUNTIF(data2!$D:$D,D4837)=0,"Missing in Data2","Present")</f>
        <v>Present</v>
      </c>
    </row>
    <row r="4838" spans="1:5" x14ac:dyDescent="0.25">
      <c r="A4838" s="2" t="s">
        <v>4202</v>
      </c>
      <c r="B4838" s="2" t="s">
        <v>592</v>
      </c>
      <c r="C4838" s="2">
        <v>1</v>
      </c>
      <c r="D4838" t="str">
        <f t="shared" si="75"/>
        <v>CA-2016-156503_OFF-PA-10002377</v>
      </c>
      <c r="E4838" t="str">
        <f>IF(COUNTIF(data2!$D:$D,D4838)=0,"Missing in Data2","Present")</f>
        <v>Present</v>
      </c>
    </row>
    <row r="4839" spans="1:5" x14ac:dyDescent="0.25">
      <c r="A4839" s="2" t="s">
        <v>4202</v>
      </c>
      <c r="B4839" s="2" t="s">
        <v>3376</v>
      </c>
      <c r="C4839" s="2">
        <v>2</v>
      </c>
      <c r="D4839" t="str">
        <f t="shared" si="75"/>
        <v>CA-2016-156503_OFF-SU-10000946</v>
      </c>
      <c r="E4839" t="str">
        <f>IF(COUNTIF(data2!$D:$D,D4839)=0,"Missing in Data2","Present")</f>
        <v>Present</v>
      </c>
    </row>
    <row r="4840" spans="1:5" x14ac:dyDescent="0.25">
      <c r="A4840" s="2" t="s">
        <v>4202</v>
      </c>
      <c r="B4840" s="2" t="s">
        <v>1076</v>
      </c>
      <c r="C4840" s="2">
        <v>1</v>
      </c>
      <c r="D4840" t="str">
        <f t="shared" si="75"/>
        <v>CA-2016-156503_TEC-AC-10002473</v>
      </c>
      <c r="E4840" t="str">
        <f>IF(COUNTIF(data2!$D:$D,D4840)=0,"Missing in Data2","Present")</f>
        <v>Present</v>
      </c>
    </row>
    <row r="4841" spans="1:5" x14ac:dyDescent="0.25">
      <c r="A4841" s="2" t="s">
        <v>4204</v>
      </c>
      <c r="B4841" s="2" t="s">
        <v>2427</v>
      </c>
      <c r="C4841" s="2">
        <v>3</v>
      </c>
      <c r="D4841" t="str">
        <f t="shared" si="75"/>
        <v>CA-2016-156573_FUR-FU-10001085</v>
      </c>
      <c r="E4841" t="str">
        <f>IF(COUNTIF(data2!$D:$D,D4841)=0,"Missing in Data2","Present")</f>
        <v>Present</v>
      </c>
    </row>
    <row r="4842" spans="1:5" x14ac:dyDescent="0.25">
      <c r="A4842" s="2" t="s">
        <v>4204</v>
      </c>
      <c r="B4842" s="2" t="s">
        <v>1596</v>
      </c>
      <c r="C4842" s="2">
        <v>2</v>
      </c>
      <c r="D4842" t="str">
        <f t="shared" si="75"/>
        <v>CA-2016-156573_OFF-AR-10003732</v>
      </c>
      <c r="E4842" t="str">
        <f>IF(COUNTIF(data2!$D:$D,D4842)=0,"Missing in Data2","Present")</f>
        <v>Present</v>
      </c>
    </row>
    <row r="4843" spans="1:5" x14ac:dyDescent="0.25">
      <c r="A4843" s="2" t="s">
        <v>4204</v>
      </c>
      <c r="B4843" s="2" t="s">
        <v>4005</v>
      </c>
      <c r="C4843" s="2">
        <v>3</v>
      </c>
      <c r="D4843" t="str">
        <f t="shared" si="75"/>
        <v>CA-2016-156573_OFF-BI-10002414</v>
      </c>
      <c r="E4843" t="str">
        <f>IF(COUNTIF(data2!$D:$D,D4843)=0,"Missing in Data2","Present")</f>
        <v>Present</v>
      </c>
    </row>
    <row r="4844" spans="1:5" x14ac:dyDescent="0.25">
      <c r="A4844" s="2" t="s">
        <v>4205</v>
      </c>
      <c r="B4844" s="2" t="s">
        <v>1821</v>
      </c>
      <c r="C4844" s="2">
        <v>3</v>
      </c>
      <c r="D4844" t="str">
        <f t="shared" si="75"/>
        <v>CA-2016-156685_OFF-AR-10000588</v>
      </c>
      <c r="E4844" t="str">
        <f>IF(COUNTIF(data2!$D:$D,D4844)=0,"Missing in Data2","Present")</f>
        <v>Missing in Data2</v>
      </c>
    </row>
    <row r="4845" spans="1:5" x14ac:dyDescent="0.25">
      <c r="A4845" s="2" t="s">
        <v>4205</v>
      </c>
      <c r="B4845" s="2" t="s">
        <v>2596</v>
      </c>
      <c r="C4845" s="2">
        <v>9</v>
      </c>
      <c r="D4845" t="str">
        <f t="shared" si="75"/>
        <v>CA-2016-156685_TEC-PH-10004345</v>
      </c>
      <c r="E4845" t="str">
        <f>IF(COUNTIF(data2!$D:$D,D4845)=0,"Missing in Data2","Present")</f>
        <v>Present</v>
      </c>
    </row>
    <row r="4846" spans="1:5" x14ac:dyDescent="0.25">
      <c r="A4846" s="2" t="s">
        <v>4206</v>
      </c>
      <c r="B4846" s="2" t="s">
        <v>665</v>
      </c>
      <c r="C4846" s="2">
        <v>3</v>
      </c>
      <c r="D4846" t="str">
        <f t="shared" si="75"/>
        <v>CA-2016-156748_FUR-CH-10000513</v>
      </c>
      <c r="E4846" t="str">
        <f>IF(COUNTIF(data2!$D:$D,D4846)=0,"Missing in Data2","Present")</f>
        <v>Present</v>
      </c>
    </row>
    <row r="4847" spans="1:5" x14ac:dyDescent="0.25">
      <c r="A4847" s="2" t="s">
        <v>4206</v>
      </c>
      <c r="B4847" s="2" t="s">
        <v>2655</v>
      </c>
      <c r="C4847" s="2">
        <v>4</v>
      </c>
      <c r="D4847" t="str">
        <f t="shared" si="75"/>
        <v>CA-2016-156748_OFF-PA-10000380</v>
      </c>
      <c r="E4847" t="str">
        <f>IF(COUNTIF(data2!$D:$D,D4847)=0,"Missing in Data2","Present")</f>
        <v>Present</v>
      </c>
    </row>
    <row r="4848" spans="1:5" x14ac:dyDescent="0.25">
      <c r="A4848" s="2" t="s">
        <v>4206</v>
      </c>
      <c r="B4848" s="2" t="s">
        <v>2748</v>
      </c>
      <c r="C4848" s="2">
        <v>2</v>
      </c>
      <c r="D4848" t="str">
        <f t="shared" si="75"/>
        <v>CA-2016-156748_OFF-PA-10002713</v>
      </c>
      <c r="E4848" t="str">
        <f>IF(COUNTIF(data2!$D:$D,D4848)=0,"Missing in Data2","Present")</f>
        <v>Present</v>
      </c>
    </row>
    <row r="4849" spans="1:5" x14ac:dyDescent="0.25">
      <c r="A4849" s="2" t="s">
        <v>4206</v>
      </c>
      <c r="B4849" s="2" t="s">
        <v>559</v>
      </c>
      <c r="C4849" s="2">
        <v>7</v>
      </c>
      <c r="D4849" t="str">
        <f t="shared" si="75"/>
        <v>CA-2016-156748_OFF-ST-10001370</v>
      </c>
      <c r="E4849" t="str">
        <f>IF(COUNTIF(data2!$D:$D,D4849)=0,"Missing in Data2","Present")</f>
        <v>Present</v>
      </c>
    </row>
    <row r="4850" spans="1:5" x14ac:dyDescent="0.25">
      <c r="A4850" s="2" t="s">
        <v>4207</v>
      </c>
      <c r="B4850" s="2" t="s">
        <v>1060</v>
      </c>
      <c r="C4850" s="2">
        <v>4</v>
      </c>
      <c r="D4850" t="str">
        <f t="shared" si="75"/>
        <v>CA-2016-156811_OFF-AP-10001366</v>
      </c>
      <c r="E4850" t="str">
        <f>IF(COUNTIF(data2!$D:$D,D4850)=0,"Missing in Data2","Present")</f>
        <v>Present</v>
      </c>
    </row>
    <row r="4851" spans="1:5" x14ac:dyDescent="0.25">
      <c r="A4851" s="2" t="s">
        <v>4207</v>
      </c>
      <c r="B4851" s="2" t="s">
        <v>626</v>
      </c>
      <c r="C4851" s="2">
        <v>3</v>
      </c>
      <c r="D4851" t="str">
        <f t="shared" si="75"/>
        <v>CA-2016-156811_OFF-BI-10001628</v>
      </c>
      <c r="E4851" t="str">
        <f>IF(COUNTIF(data2!$D:$D,D4851)=0,"Missing in Data2","Present")</f>
        <v>Present</v>
      </c>
    </row>
    <row r="4852" spans="1:5" x14ac:dyDescent="0.25">
      <c r="A4852" s="2" t="s">
        <v>4208</v>
      </c>
      <c r="B4852" s="2" t="s">
        <v>2363</v>
      </c>
      <c r="C4852" s="2">
        <v>3</v>
      </c>
      <c r="D4852" t="str">
        <f t="shared" si="75"/>
        <v>CA-2016-157000_OFF-PA-10001950</v>
      </c>
      <c r="E4852" t="str">
        <f>IF(COUNTIF(data2!$D:$D,D4852)=0,"Missing in Data2","Present")</f>
        <v>Present</v>
      </c>
    </row>
    <row r="4853" spans="1:5" x14ac:dyDescent="0.25">
      <c r="A4853" s="2" t="s">
        <v>4208</v>
      </c>
      <c r="B4853" s="2" t="s">
        <v>2856</v>
      </c>
      <c r="C4853" s="2">
        <v>3</v>
      </c>
      <c r="D4853" t="str">
        <f t="shared" si="75"/>
        <v>CA-2016-157000_OFF-ST-10001328</v>
      </c>
      <c r="E4853" t="str">
        <f>IF(COUNTIF(data2!$D:$D,D4853)=0,"Missing in Data2","Present")</f>
        <v>Present</v>
      </c>
    </row>
    <row r="4854" spans="1:5" x14ac:dyDescent="0.25">
      <c r="A4854" s="2" t="s">
        <v>4209</v>
      </c>
      <c r="B4854" s="2" t="s">
        <v>904</v>
      </c>
      <c r="C4854" s="2">
        <v>3</v>
      </c>
      <c r="D4854" t="str">
        <f t="shared" si="75"/>
        <v>CA-2016-157161_OFF-AR-10003338</v>
      </c>
      <c r="E4854" t="str">
        <f>IF(COUNTIF(data2!$D:$D,D4854)=0,"Missing in Data2","Present")</f>
        <v>Present</v>
      </c>
    </row>
    <row r="4855" spans="1:5" x14ac:dyDescent="0.25">
      <c r="A4855" s="2" t="s">
        <v>4209</v>
      </c>
      <c r="B4855" s="2" t="s">
        <v>735</v>
      </c>
      <c r="C4855" s="2">
        <v>2</v>
      </c>
      <c r="D4855" t="str">
        <f t="shared" si="75"/>
        <v>CA-2016-157161_OFF-BI-10002764</v>
      </c>
      <c r="E4855" t="str">
        <f>IF(COUNTIF(data2!$D:$D,D4855)=0,"Missing in Data2","Present")</f>
        <v>Present</v>
      </c>
    </row>
    <row r="4856" spans="1:5" x14ac:dyDescent="0.25">
      <c r="A4856" s="2" t="s">
        <v>4209</v>
      </c>
      <c r="B4856" s="2" t="s">
        <v>2505</v>
      </c>
      <c r="C4856" s="2">
        <v>5</v>
      </c>
      <c r="D4856" t="str">
        <f t="shared" si="75"/>
        <v>CA-2016-157161_OFF-EN-10001509</v>
      </c>
      <c r="E4856" t="str">
        <f>IF(COUNTIF(data2!$D:$D,D4856)=0,"Missing in Data2","Present")</f>
        <v>Present</v>
      </c>
    </row>
    <row r="4857" spans="1:5" x14ac:dyDescent="0.25">
      <c r="A4857" s="2" t="s">
        <v>4209</v>
      </c>
      <c r="B4857" s="2" t="s">
        <v>4210</v>
      </c>
      <c r="C4857" s="2">
        <v>9</v>
      </c>
      <c r="D4857" t="str">
        <f t="shared" si="75"/>
        <v>CA-2016-157161_OFF-PA-10001461</v>
      </c>
      <c r="E4857" t="str">
        <f>IF(COUNTIF(data2!$D:$D,D4857)=0,"Missing in Data2","Present")</f>
        <v>Present</v>
      </c>
    </row>
    <row r="4858" spans="1:5" x14ac:dyDescent="0.25">
      <c r="A4858" s="2" t="s">
        <v>4209</v>
      </c>
      <c r="B4858" s="2" t="s">
        <v>2665</v>
      </c>
      <c r="C4858" s="2">
        <v>2</v>
      </c>
      <c r="D4858" t="str">
        <f t="shared" si="75"/>
        <v>CA-2016-157161_TEC-AC-10000358</v>
      </c>
      <c r="E4858" t="str">
        <f>IF(COUNTIF(data2!$D:$D,D4858)=0,"Missing in Data2","Present")</f>
        <v>Present</v>
      </c>
    </row>
    <row r="4859" spans="1:5" x14ac:dyDescent="0.25">
      <c r="A4859" s="2" t="s">
        <v>4211</v>
      </c>
      <c r="B4859" s="2" t="s">
        <v>2092</v>
      </c>
      <c r="C4859" s="2">
        <v>3</v>
      </c>
      <c r="D4859" t="str">
        <f t="shared" si="75"/>
        <v>CA-2016-157217_TEC-AC-10003095</v>
      </c>
      <c r="E4859" t="str">
        <f>IF(COUNTIF(data2!$D:$D,D4859)=0,"Missing in Data2","Present")</f>
        <v>Present</v>
      </c>
    </row>
    <row r="4860" spans="1:5" x14ac:dyDescent="0.25">
      <c r="A4860" s="2" t="s">
        <v>4212</v>
      </c>
      <c r="B4860" s="2" t="s">
        <v>2170</v>
      </c>
      <c r="C4860" s="2">
        <v>2</v>
      </c>
      <c r="D4860" t="str">
        <f t="shared" si="75"/>
        <v>CA-2016-157245_FUR-CH-10003746</v>
      </c>
      <c r="E4860" t="str">
        <f>IF(COUNTIF(data2!$D:$D,D4860)=0,"Missing in Data2","Present")</f>
        <v>Present</v>
      </c>
    </row>
    <row r="4861" spans="1:5" x14ac:dyDescent="0.25">
      <c r="A4861" s="2" t="s">
        <v>4213</v>
      </c>
      <c r="B4861" s="2" t="s">
        <v>125</v>
      </c>
      <c r="C4861" s="2">
        <v>9</v>
      </c>
      <c r="D4861" t="str">
        <f t="shared" si="75"/>
        <v>CA-2016-157259_FUR-FU-10003192</v>
      </c>
      <c r="E4861" t="str">
        <f>IF(COUNTIF(data2!$D:$D,D4861)=0,"Missing in Data2","Present")</f>
        <v>Present</v>
      </c>
    </row>
    <row r="4862" spans="1:5" x14ac:dyDescent="0.25">
      <c r="A4862" s="2" t="s">
        <v>4214</v>
      </c>
      <c r="B4862" s="2" t="s">
        <v>590</v>
      </c>
      <c r="C4862" s="2">
        <v>3</v>
      </c>
      <c r="D4862" t="str">
        <f t="shared" si="75"/>
        <v>CA-2016-157266_FUR-FU-10000629</v>
      </c>
      <c r="E4862" t="str">
        <f>IF(COUNTIF(data2!$D:$D,D4862)=0,"Missing in Data2","Present")</f>
        <v>Present</v>
      </c>
    </row>
    <row r="4863" spans="1:5" x14ac:dyDescent="0.25">
      <c r="A4863" s="2" t="s">
        <v>4214</v>
      </c>
      <c r="B4863" s="2" t="s">
        <v>1680</v>
      </c>
      <c r="C4863" s="2">
        <v>2</v>
      </c>
      <c r="D4863" t="str">
        <f t="shared" si="75"/>
        <v>CA-2016-157266_OFF-BI-10004728</v>
      </c>
      <c r="E4863" t="str">
        <f>IF(COUNTIF(data2!$D:$D,D4863)=0,"Missing in Data2","Present")</f>
        <v>Present</v>
      </c>
    </row>
    <row r="4864" spans="1:5" x14ac:dyDescent="0.25">
      <c r="A4864" s="2" t="s">
        <v>4214</v>
      </c>
      <c r="B4864" s="2" t="s">
        <v>1085</v>
      </c>
      <c r="C4864" s="2">
        <v>3</v>
      </c>
      <c r="D4864" t="str">
        <f t="shared" si="75"/>
        <v>CA-2016-157266_OFF-PA-10002689</v>
      </c>
      <c r="E4864" t="str">
        <f>IF(COUNTIF(data2!$D:$D,D4864)=0,"Missing in Data2","Present")</f>
        <v>Present</v>
      </c>
    </row>
    <row r="4865" spans="1:5" x14ac:dyDescent="0.25">
      <c r="A4865" s="2" t="s">
        <v>4214</v>
      </c>
      <c r="B4865" s="2" t="s">
        <v>4187</v>
      </c>
      <c r="C4865" s="2">
        <v>2</v>
      </c>
      <c r="D4865" t="str">
        <f t="shared" si="75"/>
        <v>CA-2016-157266_OFF-PA-10004675</v>
      </c>
      <c r="E4865" t="str">
        <f>IF(COUNTIF(data2!$D:$D,D4865)=0,"Missing in Data2","Present")</f>
        <v>Present</v>
      </c>
    </row>
    <row r="4866" spans="1:5" x14ac:dyDescent="0.25">
      <c r="A4866" s="2" t="s">
        <v>4215</v>
      </c>
      <c r="B4866" s="2" t="s">
        <v>3558</v>
      </c>
      <c r="C4866" s="2">
        <v>5</v>
      </c>
      <c r="D4866" t="str">
        <f t="shared" si="75"/>
        <v>CA-2016-157280_FUR-FU-10003806</v>
      </c>
      <c r="E4866" t="str">
        <f>IF(COUNTIF(data2!$D:$D,D4866)=0,"Missing in Data2","Present")</f>
        <v>Present</v>
      </c>
    </row>
    <row r="4867" spans="1:5" x14ac:dyDescent="0.25">
      <c r="A4867" s="2" t="s">
        <v>4215</v>
      </c>
      <c r="B4867" s="2" t="s">
        <v>973</v>
      </c>
      <c r="C4867" s="2">
        <v>2</v>
      </c>
      <c r="D4867" t="str">
        <f t="shared" ref="D4867:D4930" si="76">A4867&amp;"_"&amp;B4867</f>
        <v>CA-2016-157280_FUR-FU-10004665</v>
      </c>
      <c r="E4867" t="str">
        <f>IF(COUNTIF(data2!$D:$D,D4867)=0,"Missing in Data2","Present")</f>
        <v>Present</v>
      </c>
    </row>
    <row r="4868" spans="1:5" x14ac:dyDescent="0.25">
      <c r="A4868" s="2" t="s">
        <v>4215</v>
      </c>
      <c r="B4868" s="2" t="s">
        <v>4216</v>
      </c>
      <c r="C4868" s="2">
        <v>3</v>
      </c>
      <c r="D4868" t="str">
        <f t="shared" si="76"/>
        <v>CA-2016-157280_TEC-AC-10000057</v>
      </c>
      <c r="E4868" t="str">
        <f>IF(COUNTIF(data2!$D:$D,D4868)=0,"Missing in Data2","Present")</f>
        <v>Present</v>
      </c>
    </row>
    <row r="4869" spans="1:5" x14ac:dyDescent="0.25">
      <c r="A4869" s="2" t="s">
        <v>4217</v>
      </c>
      <c r="B4869" s="2" t="s">
        <v>680</v>
      </c>
      <c r="C4869" s="2">
        <v>4</v>
      </c>
      <c r="D4869" t="str">
        <f t="shared" si="76"/>
        <v>CA-2016-157336_FUR-CH-10004997</v>
      </c>
      <c r="E4869" t="str">
        <f>IF(COUNTIF(data2!$D:$D,D4869)=0,"Missing in Data2","Present")</f>
        <v>Present</v>
      </c>
    </row>
    <row r="4870" spans="1:5" x14ac:dyDescent="0.25">
      <c r="A4870" s="2" t="s">
        <v>4217</v>
      </c>
      <c r="B4870" s="2" t="s">
        <v>2913</v>
      </c>
      <c r="C4870" s="2">
        <v>6</v>
      </c>
      <c r="D4870" t="str">
        <f t="shared" si="76"/>
        <v>CA-2016-157336_OFF-BI-10004236</v>
      </c>
      <c r="E4870" t="str">
        <f>IF(COUNTIF(data2!$D:$D,D4870)=0,"Missing in Data2","Present")</f>
        <v>Present</v>
      </c>
    </row>
    <row r="4871" spans="1:5" x14ac:dyDescent="0.25">
      <c r="A4871" s="2" t="s">
        <v>4218</v>
      </c>
      <c r="B4871" s="2" t="s">
        <v>640</v>
      </c>
      <c r="C4871" s="2">
        <v>2</v>
      </c>
      <c r="D4871" t="str">
        <f t="shared" si="76"/>
        <v>CA-2016-157364_OFF-AR-10003752</v>
      </c>
      <c r="E4871" t="str">
        <f>IF(COUNTIF(data2!$D:$D,D4871)=0,"Missing in Data2","Present")</f>
        <v>Present</v>
      </c>
    </row>
    <row r="4872" spans="1:5" x14ac:dyDescent="0.25">
      <c r="A4872" s="2" t="s">
        <v>4219</v>
      </c>
      <c r="B4872" s="2" t="s">
        <v>1419</v>
      </c>
      <c r="C4872" s="2">
        <v>2</v>
      </c>
      <c r="D4872" t="str">
        <f t="shared" si="76"/>
        <v>CA-2016-157511_FUR-CH-10002647</v>
      </c>
      <c r="E4872" t="str">
        <f>IF(COUNTIF(data2!$D:$D,D4872)=0,"Missing in Data2","Present")</f>
        <v>Present</v>
      </c>
    </row>
    <row r="4873" spans="1:5" x14ac:dyDescent="0.25">
      <c r="A4873" s="2" t="s">
        <v>4220</v>
      </c>
      <c r="B4873" s="2" t="s">
        <v>2725</v>
      </c>
      <c r="C4873" s="2">
        <v>1</v>
      </c>
      <c r="D4873" t="str">
        <f t="shared" si="76"/>
        <v>CA-2016-157588_FUR-FU-10004848</v>
      </c>
      <c r="E4873" t="str">
        <f>IF(COUNTIF(data2!$D:$D,D4873)=0,"Missing in Data2","Present")</f>
        <v>Present</v>
      </c>
    </row>
    <row r="4874" spans="1:5" x14ac:dyDescent="0.25">
      <c r="A4874" s="2" t="s">
        <v>4220</v>
      </c>
      <c r="B4874" s="2" t="s">
        <v>2668</v>
      </c>
      <c r="C4874" s="2">
        <v>5</v>
      </c>
      <c r="D4874" t="str">
        <f t="shared" si="76"/>
        <v>CA-2016-157588_OFF-BI-10003963</v>
      </c>
      <c r="E4874" t="str">
        <f>IF(COUNTIF(data2!$D:$D,D4874)=0,"Missing in Data2","Present")</f>
        <v>Present</v>
      </c>
    </row>
    <row r="4875" spans="1:5" x14ac:dyDescent="0.25">
      <c r="A4875" s="2" t="s">
        <v>4221</v>
      </c>
      <c r="B4875" s="2" t="s">
        <v>370</v>
      </c>
      <c r="C4875" s="2">
        <v>4</v>
      </c>
      <c r="D4875" t="str">
        <f t="shared" si="76"/>
        <v>CA-2016-157686_FUR-CH-10001146</v>
      </c>
      <c r="E4875" t="str">
        <f>IF(COUNTIF(data2!$D:$D,D4875)=0,"Missing in Data2","Present")</f>
        <v>Present</v>
      </c>
    </row>
    <row r="4876" spans="1:5" x14ac:dyDescent="0.25">
      <c r="A4876" s="2" t="s">
        <v>4222</v>
      </c>
      <c r="B4876" s="2" t="s">
        <v>4223</v>
      </c>
      <c r="C4876" s="2">
        <v>3</v>
      </c>
      <c r="D4876" t="str">
        <f t="shared" si="76"/>
        <v>CA-2016-157707_FUR-BO-10001567</v>
      </c>
      <c r="E4876" t="str">
        <f>IF(COUNTIF(data2!$D:$D,D4876)=0,"Missing in Data2","Present")</f>
        <v>Present</v>
      </c>
    </row>
    <row r="4877" spans="1:5" x14ac:dyDescent="0.25">
      <c r="A4877" s="2" t="s">
        <v>4222</v>
      </c>
      <c r="B4877" s="2" t="s">
        <v>1894</v>
      </c>
      <c r="C4877" s="2">
        <v>1</v>
      </c>
      <c r="D4877" t="str">
        <f t="shared" si="76"/>
        <v>CA-2016-157707_FUR-CH-10004853</v>
      </c>
      <c r="E4877" t="str">
        <f>IF(COUNTIF(data2!$D:$D,D4877)=0,"Missing in Data2","Present")</f>
        <v>Present</v>
      </c>
    </row>
    <row r="4878" spans="1:5" x14ac:dyDescent="0.25">
      <c r="A4878" s="2" t="s">
        <v>4222</v>
      </c>
      <c r="B4878" s="2" t="s">
        <v>1145</v>
      </c>
      <c r="C4878" s="2">
        <v>1</v>
      </c>
      <c r="D4878" t="str">
        <f t="shared" si="76"/>
        <v>CA-2016-157707_TEC-PH-10002583</v>
      </c>
      <c r="E4878" t="str">
        <f>IF(COUNTIF(data2!$D:$D,D4878)=0,"Missing in Data2","Present")</f>
        <v>Present</v>
      </c>
    </row>
    <row r="4879" spans="1:5" x14ac:dyDescent="0.25">
      <c r="A4879" s="2" t="s">
        <v>4224</v>
      </c>
      <c r="B4879" s="2" t="s">
        <v>4225</v>
      </c>
      <c r="C4879" s="2">
        <v>1</v>
      </c>
      <c r="D4879" t="str">
        <f t="shared" si="76"/>
        <v>CA-2016-157714_OFF-PA-10004022</v>
      </c>
      <c r="E4879" t="str">
        <f>IF(COUNTIF(data2!$D:$D,D4879)=0,"Missing in Data2","Present")</f>
        <v>Present</v>
      </c>
    </row>
    <row r="4880" spans="1:5" x14ac:dyDescent="0.25">
      <c r="A4880" s="2" t="s">
        <v>4226</v>
      </c>
      <c r="B4880" s="2" t="s">
        <v>1204</v>
      </c>
      <c r="C4880" s="2">
        <v>3</v>
      </c>
      <c r="D4880" t="str">
        <f t="shared" si="76"/>
        <v>CA-2016-157742_OFF-EN-10002592</v>
      </c>
      <c r="E4880" t="str">
        <f>IF(COUNTIF(data2!$D:$D,D4880)=0,"Missing in Data2","Present")</f>
        <v>Present</v>
      </c>
    </row>
    <row r="4881" spans="1:5" x14ac:dyDescent="0.25">
      <c r="A4881" s="2" t="s">
        <v>4227</v>
      </c>
      <c r="B4881" s="2" t="s">
        <v>876</v>
      </c>
      <c r="C4881" s="2">
        <v>3</v>
      </c>
      <c r="D4881" t="str">
        <f t="shared" si="76"/>
        <v>CA-2016-157749_FUR-FU-10002505</v>
      </c>
      <c r="E4881" t="str">
        <f>IF(COUNTIF(data2!$D:$D,D4881)=0,"Missing in Data2","Present")</f>
        <v>Present</v>
      </c>
    </row>
    <row r="4882" spans="1:5" x14ac:dyDescent="0.25">
      <c r="A4882" s="2" t="s">
        <v>4227</v>
      </c>
      <c r="B4882" s="2" t="s">
        <v>1293</v>
      </c>
      <c r="C4882" s="2">
        <v>3</v>
      </c>
      <c r="D4882" t="str">
        <f t="shared" si="76"/>
        <v>CA-2016-157749_FUR-FU-10004351</v>
      </c>
      <c r="E4882" t="str">
        <f>IF(COUNTIF(data2!$D:$D,D4882)=0,"Missing in Data2","Present")</f>
        <v>Present</v>
      </c>
    </row>
    <row r="4883" spans="1:5" x14ac:dyDescent="0.25">
      <c r="A4883" s="2" t="s">
        <v>4227</v>
      </c>
      <c r="B4883" s="2" t="s">
        <v>1194</v>
      </c>
      <c r="C4883" s="2">
        <v>2</v>
      </c>
      <c r="D4883" t="str">
        <f t="shared" si="76"/>
        <v>CA-2016-157749_OFF-AR-10004685</v>
      </c>
      <c r="E4883" t="str">
        <f>IF(COUNTIF(data2!$D:$D,D4883)=0,"Missing in Data2","Present")</f>
        <v>Present</v>
      </c>
    </row>
    <row r="4884" spans="1:5" x14ac:dyDescent="0.25">
      <c r="A4884" s="2" t="s">
        <v>4227</v>
      </c>
      <c r="B4884" s="2" t="s">
        <v>105</v>
      </c>
      <c r="C4884" s="2">
        <v>5</v>
      </c>
      <c r="D4884" t="str">
        <f t="shared" si="76"/>
        <v>CA-2016-157749_OFF-PA-10003349</v>
      </c>
      <c r="E4884" t="str">
        <f>IF(COUNTIF(data2!$D:$D,D4884)=0,"Missing in Data2","Present")</f>
        <v>Present</v>
      </c>
    </row>
    <row r="4885" spans="1:5" x14ac:dyDescent="0.25">
      <c r="A4885" s="2" t="s">
        <v>4227</v>
      </c>
      <c r="B4885" s="2" t="s">
        <v>2588</v>
      </c>
      <c r="C4885" s="2">
        <v>2</v>
      </c>
      <c r="D4885" t="str">
        <f t="shared" si="76"/>
        <v>CA-2016-157749_TEC-PH-10000011</v>
      </c>
      <c r="E4885" t="str">
        <f>IF(COUNTIF(data2!$D:$D,D4885)=0,"Missing in Data2","Present")</f>
        <v>Present</v>
      </c>
    </row>
    <row r="4886" spans="1:5" x14ac:dyDescent="0.25">
      <c r="A4886" s="2" t="s">
        <v>4228</v>
      </c>
      <c r="B4886" s="2" t="s">
        <v>221</v>
      </c>
      <c r="C4886" s="2">
        <v>1</v>
      </c>
      <c r="D4886" t="str">
        <f t="shared" si="76"/>
        <v>CA-2016-157763_FUR-CH-10000988</v>
      </c>
      <c r="E4886" t="str">
        <f>IF(COUNTIF(data2!$D:$D,D4886)=0,"Missing in Data2","Present")</f>
        <v>Present</v>
      </c>
    </row>
    <row r="4887" spans="1:5" x14ac:dyDescent="0.25">
      <c r="A4887" s="2" t="s">
        <v>4229</v>
      </c>
      <c r="B4887" s="2" t="s">
        <v>1688</v>
      </c>
      <c r="C4887" s="2">
        <v>4</v>
      </c>
      <c r="D4887" t="str">
        <f t="shared" si="76"/>
        <v>CA-2016-157791_TEC-CO-10002095</v>
      </c>
      <c r="E4887" t="str">
        <f>IF(COUNTIF(data2!$D:$D,D4887)=0,"Missing in Data2","Present")</f>
        <v>Present</v>
      </c>
    </row>
    <row r="4888" spans="1:5" x14ac:dyDescent="0.25">
      <c r="A4888" s="2" t="s">
        <v>4230</v>
      </c>
      <c r="B4888" s="2" t="s">
        <v>1653</v>
      </c>
      <c r="C4888" s="2">
        <v>7</v>
      </c>
      <c r="D4888" t="str">
        <f t="shared" si="76"/>
        <v>CA-2016-157868_OFF-FA-10000992</v>
      </c>
      <c r="E4888" t="str">
        <f>IF(COUNTIF(data2!$D:$D,D4888)=0,"Missing in Data2","Present")</f>
        <v>Missing in Data2</v>
      </c>
    </row>
    <row r="4889" spans="1:5" x14ac:dyDescent="0.25">
      <c r="A4889" s="2" t="s">
        <v>4231</v>
      </c>
      <c r="B4889" s="2" t="s">
        <v>563</v>
      </c>
      <c r="C4889" s="2">
        <v>5</v>
      </c>
      <c r="D4889" t="str">
        <f t="shared" si="76"/>
        <v>CA-2016-158001_OFF-AP-10002118</v>
      </c>
      <c r="E4889" t="str">
        <f>IF(COUNTIF(data2!$D:$D,D4889)=0,"Missing in Data2","Present")</f>
        <v>Present</v>
      </c>
    </row>
    <row r="4890" spans="1:5" x14ac:dyDescent="0.25">
      <c r="A4890" s="2" t="s">
        <v>4231</v>
      </c>
      <c r="B4890" s="2" t="s">
        <v>1666</v>
      </c>
      <c r="C4890" s="2">
        <v>6</v>
      </c>
      <c r="D4890" t="str">
        <f t="shared" si="76"/>
        <v>CA-2016-158001_OFF-AR-10001954</v>
      </c>
      <c r="E4890" t="str">
        <f>IF(COUNTIF(data2!$D:$D,D4890)=0,"Missing in Data2","Present")</f>
        <v>Present</v>
      </c>
    </row>
    <row r="4891" spans="1:5" x14ac:dyDescent="0.25">
      <c r="A4891" s="2" t="s">
        <v>4231</v>
      </c>
      <c r="B4891" s="2" t="s">
        <v>236</v>
      </c>
      <c r="C4891" s="2">
        <v>5</v>
      </c>
      <c r="D4891" t="str">
        <f t="shared" si="76"/>
        <v>CA-2016-158001_OFF-AR-10002399</v>
      </c>
      <c r="E4891" t="str">
        <f>IF(COUNTIF(data2!$D:$D,D4891)=0,"Missing in Data2","Present")</f>
        <v>Missing in Data2</v>
      </c>
    </row>
    <row r="4892" spans="1:5" x14ac:dyDescent="0.25">
      <c r="A4892" s="2" t="s">
        <v>4232</v>
      </c>
      <c r="B4892" s="2" t="s">
        <v>860</v>
      </c>
      <c r="C4892" s="2">
        <v>2</v>
      </c>
      <c r="D4892" t="str">
        <f t="shared" si="76"/>
        <v>CA-2016-158043_OFF-EN-10003134</v>
      </c>
      <c r="E4892" t="str">
        <f>IF(COUNTIF(data2!$D:$D,D4892)=0,"Missing in Data2","Present")</f>
        <v>Present</v>
      </c>
    </row>
    <row r="4893" spans="1:5" x14ac:dyDescent="0.25">
      <c r="A4893" s="2" t="s">
        <v>4233</v>
      </c>
      <c r="B4893" s="2" t="s">
        <v>2499</v>
      </c>
      <c r="C4893" s="2">
        <v>5</v>
      </c>
      <c r="D4893" t="str">
        <f t="shared" si="76"/>
        <v>CA-2016-158099_OFF-BI-10000545</v>
      </c>
      <c r="E4893" t="str">
        <f>IF(COUNTIF(data2!$D:$D,D4893)=0,"Missing in Data2","Present")</f>
        <v>Present</v>
      </c>
    </row>
    <row r="4894" spans="1:5" x14ac:dyDescent="0.25">
      <c r="A4894" s="2" t="s">
        <v>4233</v>
      </c>
      <c r="B4894" s="2" t="s">
        <v>2176</v>
      </c>
      <c r="C4894" s="2">
        <v>3</v>
      </c>
      <c r="D4894" t="str">
        <f t="shared" si="76"/>
        <v>CA-2016-158099_TEC-PH-10002496</v>
      </c>
      <c r="E4894" t="str">
        <f>IF(COUNTIF(data2!$D:$D,D4894)=0,"Missing in Data2","Present")</f>
        <v>Present</v>
      </c>
    </row>
    <row r="4895" spans="1:5" x14ac:dyDescent="0.25">
      <c r="A4895" s="2" t="s">
        <v>4234</v>
      </c>
      <c r="B4895" s="2" t="s">
        <v>2300</v>
      </c>
      <c r="C4895" s="2">
        <v>2</v>
      </c>
      <c r="D4895" t="str">
        <f t="shared" si="76"/>
        <v>CA-2016-158155_FUR-FU-10000732</v>
      </c>
      <c r="E4895" t="str">
        <f>IF(COUNTIF(data2!$D:$D,D4895)=0,"Missing in Data2","Present")</f>
        <v>Present</v>
      </c>
    </row>
    <row r="4896" spans="1:5" x14ac:dyDescent="0.25">
      <c r="A4896" s="2" t="s">
        <v>4234</v>
      </c>
      <c r="B4896" s="2" t="s">
        <v>491</v>
      </c>
      <c r="C4896" s="2">
        <v>5</v>
      </c>
      <c r="D4896" t="str">
        <f t="shared" si="76"/>
        <v>CA-2016-158155_FUR-FU-10002253</v>
      </c>
      <c r="E4896" t="str">
        <f>IF(COUNTIF(data2!$D:$D,D4896)=0,"Missing in Data2","Present")</f>
        <v>Present</v>
      </c>
    </row>
    <row r="4897" spans="1:5" x14ac:dyDescent="0.25">
      <c r="A4897" s="2" t="s">
        <v>4234</v>
      </c>
      <c r="B4897" s="2" t="s">
        <v>267</v>
      </c>
      <c r="C4897" s="2">
        <v>3</v>
      </c>
      <c r="D4897" t="str">
        <f t="shared" si="76"/>
        <v>CA-2016-158155_OFF-BI-10001670</v>
      </c>
      <c r="E4897" t="str">
        <f>IF(COUNTIF(data2!$D:$D,D4897)=0,"Missing in Data2","Present")</f>
        <v>Present</v>
      </c>
    </row>
    <row r="4898" spans="1:5" x14ac:dyDescent="0.25">
      <c r="A4898" s="2" t="s">
        <v>4234</v>
      </c>
      <c r="B4898" s="2" t="s">
        <v>721</v>
      </c>
      <c r="C4898" s="2">
        <v>2</v>
      </c>
      <c r="D4898" t="str">
        <f t="shared" si="76"/>
        <v>CA-2016-158155_OFF-PA-10000533</v>
      </c>
      <c r="E4898" t="str">
        <f>IF(COUNTIF(data2!$D:$D,D4898)=0,"Missing in Data2","Present")</f>
        <v>Present</v>
      </c>
    </row>
    <row r="4899" spans="1:5" x14ac:dyDescent="0.25">
      <c r="A4899" s="2" t="s">
        <v>4235</v>
      </c>
      <c r="B4899" s="2" t="s">
        <v>1096</v>
      </c>
      <c r="C4899" s="2">
        <v>1</v>
      </c>
      <c r="D4899" t="str">
        <f t="shared" si="76"/>
        <v>CA-2016-158211_OFF-AR-10004078</v>
      </c>
      <c r="E4899" t="str">
        <f>IF(COUNTIF(data2!$D:$D,D4899)=0,"Missing in Data2","Present")</f>
        <v>Present</v>
      </c>
    </row>
    <row r="4900" spans="1:5" x14ac:dyDescent="0.25">
      <c r="A4900" s="2" t="s">
        <v>4235</v>
      </c>
      <c r="B4900" s="2" t="s">
        <v>637</v>
      </c>
      <c r="C4900" s="2">
        <v>6</v>
      </c>
      <c r="D4900" t="str">
        <f t="shared" si="76"/>
        <v>CA-2016-158211_OFF-BI-10002026</v>
      </c>
      <c r="E4900" t="str">
        <f>IF(COUNTIF(data2!$D:$D,D4900)=0,"Missing in Data2","Present")</f>
        <v>Present</v>
      </c>
    </row>
    <row r="4901" spans="1:5" x14ac:dyDescent="0.25">
      <c r="A4901" s="2" t="s">
        <v>4236</v>
      </c>
      <c r="B4901" s="2" t="s">
        <v>4237</v>
      </c>
      <c r="C4901" s="2">
        <v>2</v>
      </c>
      <c r="D4901" t="str">
        <f t="shared" si="76"/>
        <v>CA-2016-158260_TEC-MA-10003176</v>
      </c>
      <c r="E4901" t="str">
        <f>IF(COUNTIF(data2!$D:$D,D4901)=0,"Missing in Data2","Present")</f>
        <v>Present</v>
      </c>
    </row>
    <row r="4902" spans="1:5" x14ac:dyDescent="0.25">
      <c r="A4902" s="2" t="s">
        <v>4238</v>
      </c>
      <c r="B4902" s="2" t="s">
        <v>1968</v>
      </c>
      <c r="C4902" s="2">
        <v>3</v>
      </c>
      <c r="D4902" t="str">
        <f t="shared" si="76"/>
        <v>CA-2016-158302_OFF-PA-10002615</v>
      </c>
      <c r="E4902" t="str">
        <f>IF(COUNTIF(data2!$D:$D,D4902)=0,"Missing in Data2","Present")</f>
        <v>Present</v>
      </c>
    </row>
    <row r="4903" spans="1:5" x14ac:dyDescent="0.25">
      <c r="A4903" s="2" t="s">
        <v>4239</v>
      </c>
      <c r="B4903" s="2" t="s">
        <v>710</v>
      </c>
      <c r="C4903" s="2">
        <v>2</v>
      </c>
      <c r="D4903" t="str">
        <f t="shared" si="76"/>
        <v>CA-2016-158358_TEC-AC-10002567</v>
      </c>
      <c r="E4903" t="str">
        <f>IF(COUNTIF(data2!$D:$D,D4903)=0,"Missing in Data2","Present")</f>
        <v>Present</v>
      </c>
    </row>
    <row r="4904" spans="1:5" x14ac:dyDescent="0.25">
      <c r="A4904" s="2" t="s">
        <v>4240</v>
      </c>
      <c r="B4904" s="2" t="s">
        <v>1238</v>
      </c>
      <c r="C4904" s="2">
        <v>4</v>
      </c>
      <c r="D4904" t="str">
        <f t="shared" si="76"/>
        <v>CA-2016-158435_FUR-FU-10003975</v>
      </c>
      <c r="E4904" t="str">
        <f>IF(COUNTIF(data2!$D:$D,D4904)=0,"Missing in Data2","Present")</f>
        <v>Present</v>
      </c>
    </row>
    <row r="4905" spans="1:5" x14ac:dyDescent="0.25">
      <c r="A4905" s="2" t="s">
        <v>4240</v>
      </c>
      <c r="B4905" s="2" t="s">
        <v>77</v>
      </c>
      <c r="C4905" s="2">
        <v>2</v>
      </c>
      <c r="D4905" t="str">
        <f t="shared" si="76"/>
        <v>CA-2016-158435_OFF-LA-10002475</v>
      </c>
      <c r="E4905" t="str">
        <f>IF(COUNTIF(data2!$D:$D,D4905)=0,"Missing in Data2","Present")</f>
        <v>Present</v>
      </c>
    </row>
    <row r="4906" spans="1:5" x14ac:dyDescent="0.25">
      <c r="A4906" s="2" t="s">
        <v>4240</v>
      </c>
      <c r="B4906" s="2" t="s">
        <v>1822</v>
      </c>
      <c r="C4906" s="2">
        <v>7</v>
      </c>
      <c r="D4906" t="str">
        <f t="shared" si="76"/>
        <v>CA-2016-158435_OFF-SU-10000381</v>
      </c>
      <c r="E4906" t="str">
        <f>IF(COUNTIF(data2!$D:$D,D4906)=0,"Missing in Data2","Present")</f>
        <v>Present</v>
      </c>
    </row>
    <row r="4907" spans="1:5" x14ac:dyDescent="0.25">
      <c r="A4907" s="2" t="s">
        <v>4241</v>
      </c>
      <c r="B4907" s="2" t="s">
        <v>816</v>
      </c>
      <c r="C4907" s="2">
        <v>5</v>
      </c>
      <c r="D4907" t="str">
        <f t="shared" si="76"/>
        <v>CA-2016-158547_OFF-AP-10003842</v>
      </c>
      <c r="E4907" t="str">
        <f>IF(COUNTIF(data2!$D:$D,D4907)=0,"Missing in Data2","Present")</f>
        <v>Present</v>
      </c>
    </row>
    <row r="4908" spans="1:5" x14ac:dyDescent="0.25">
      <c r="A4908" s="2" t="s">
        <v>4242</v>
      </c>
      <c r="B4908" s="2" t="s">
        <v>459</v>
      </c>
      <c r="C4908" s="2">
        <v>3</v>
      </c>
      <c r="D4908" t="str">
        <f t="shared" si="76"/>
        <v>CA-2016-158568_OFF-BI-10002609</v>
      </c>
      <c r="E4908" t="str">
        <f>IF(COUNTIF(data2!$D:$D,D4908)=0,"Missing in Data2","Present")</f>
        <v>Present</v>
      </c>
    </row>
    <row r="4909" spans="1:5" x14ac:dyDescent="0.25">
      <c r="A4909" s="2" t="s">
        <v>4242</v>
      </c>
      <c r="B4909" s="2" t="s">
        <v>1946</v>
      </c>
      <c r="C4909" s="2">
        <v>7</v>
      </c>
      <c r="D4909" t="str">
        <f t="shared" si="76"/>
        <v>CA-2016-158568_OFF-PA-10003256</v>
      </c>
      <c r="E4909" t="str">
        <f>IF(COUNTIF(data2!$D:$D,D4909)=0,"Missing in Data2","Present")</f>
        <v>Present</v>
      </c>
    </row>
    <row r="4910" spans="1:5" x14ac:dyDescent="0.25">
      <c r="A4910" s="2" t="s">
        <v>4242</v>
      </c>
      <c r="B4910" s="2" t="s">
        <v>1904</v>
      </c>
      <c r="C4910" s="2">
        <v>3</v>
      </c>
      <c r="D4910" t="str">
        <f t="shared" si="76"/>
        <v>CA-2016-158568_TEC-AC-10001767</v>
      </c>
      <c r="E4910" t="str">
        <f>IF(COUNTIF(data2!$D:$D,D4910)=0,"Missing in Data2","Present")</f>
        <v>Missing in Data2</v>
      </c>
    </row>
    <row r="4911" spans="1:5" x14ac:dyDescent="0.25">
      <c r="A4911" s="2" t="s">
        <v>4243</v>
      </c>
      <c r="B4911" s="2" t="s">
        <v>1182</v>
      </c>
      <c r="C4911" s="2">
        <v>6</v>
      </c>
      <c r="D4911" t="str">
        <f t="shared" si="76"/>
        <v>CA-2016-158575_OFF-AP-10002998</v>
      </c>
      <c r="E4911" t="str">
        <f>IF(COUNTIF(data2!$D:$D,D4911)=0,"Missing in Data2","Present")</f>
        <v>Present</v>
      </c>
    </row>
    <row r="4912" spans="1:5" x14ac:dyDescent="0.25">
      <c r="A4912" s="2" t="s">
        <v>4244</v>
      </c>
      <c r="B4912" s="2" t="s">
        <v>2149</v>
      </c>
      <c r="C4912" s="2">
        <v>2</v>
      </c>
      <c r="D4912" t="str">
        <f t="shared" si="76"/>
        <v>CA-2016-158610_OFF-ST-10000604</v>
      </c>
      <c r="E4912" t="str">
        <f>IF(COUNTIF(data2!$D:$D,D4912)=0,"Missing in Data2","Present")</f>
        <v>Present</v>
      </c>
    </row>
    <row r="4913" spans="1:5" x14ac:dyDescent="0.25">
      <c r="A4913" s="2" t="s">
        <v>4245</v>
      </c>
      <c r="B4913" s="2" t="s">
        <v>1094</v>
      </c>
      <c r="C4913" s="2">
        <v>6</v>
      </c>
      <c r="D4913" t="str">
        <f t="shared" si="76"/>
        <v>CA-2016-158617_OFF-PA-10002245</v>
      </c>
      <c r="E4913" t="str">
        <f>IF(COUNTIF(data2!$D:$D,D4913)=0,"Missing in Data2","Present")</f>
        <v>Present</v>
      </c>
    </row>
    <row r="4914" spans="1:5" x14ac:dyDescent="0.25">
      <c r="A4914" s="2" t="s">
        <v>4246</v>
      </c>
      <c r="B4914" s="2" t="s">
        <v>1397</v>
      </c>
      <c r="C4914" s="2">
        <v>9</v>
      </c>
      <c r="D4914" t="str">
        <f t="shared" si="76"/>
        <v>CA-2016-158694_FUR-FU-10000965</v>
      </c>
      <c r="E4914" t="str">
        <f>IF(COUNTIF(data2!$D:$D,D4914)=0,"Missing in Data2","Present")</f>
        <v>Present</v>
      </c>
    </row>
    <row r="4915" spans="1:5" x14ac:dyDescent="0.25">
      <c r="A4915" s="2" t="s">
        <v>4246</v>
      </c>
      <c r="B4915" s="2" t="s">
        <v>3301</v>
      </c>
      <c r="C4915" s="2">
        <v>4</v>
      </c>
      <c r="D4915" t="str">
        <f t="shared" si="76"/>
        <v>CA-2016-158694_OFF-AP-10000055</v>
      </c>
      <c r="E4915" t="str">
        <f>IF(COUNTIF(data2!$D:$D,D4915)=0,"Missing in Data2","Present")</f>
        <v>Present</v>
      </c>
    </row>
    <row r="4916" spans="1:5" x14ac:dyDescent="0.25">
      <c r="A4916" s="2" t="s">
        <v>4246</v>
      </c>
      <c r="B4916" s="2" t="s">
        <v>4247</v>
      </c>
      <c r="C4916" s="2">
        <v>5</v>
      </c>
      <c r="D4916" t="str">
        <f t="shared" si="76"/>
        <v>CA-2016-158694_OFF-AR-10001227</v>
      </c>
      <c r="E4916" t="str">
        <f>IF(COUNTIF(data2!$D:$D,D4916)=0,"Missing in Data2","Present")</f>
        <v>Present</v>
      </c>
    </row>
    <row r="4917" spans="1:5" x14ac:dyDescent="0.25">
      <c r="A4917" s="2" t="s">
        <v>4246</v>
      </c>
      <c r="B4917" s="2" t="s">
        <v>853</v>
      </c>
      <c r="C4917" s="2">
        <v>3</v>
      </c>
      <c r="D4917" t="str">
        <f t="shared" si="76"/>
        <v>CA-2016-158694_OFF-BI-10004656</v>
      </c>
      <c r="E4917" t="str">
        <f>IF(COUNTIF(data2!$D:$D,D4917)=0,"Missing in Data2","Present")</f>
        <v>Present</v>
      </c>
    </row>
    <row r="4918" spans="1:5" x14ac:dyDescent="0.25">
      <c r="A4918" s="2" t="s">
        <v>4246</v>
      </c>
      <c r="B4918" s="2" t="s">
        <v>60</v>
      </c>
      <c r="C4918" s="2">
        <v>5</v>
      </c>
      <c r="D4918" t="str">
        <f t="shared" si="76"/>
        <v>CA-2016-158694_OFF-PA-10001363</v>
      </c>
      <c r="E4918" t="str">
        <f>IF(COUNTIF(data2!$D:$D,D4918)=0,"Missing in Data2","Present")</f>
        <v>Present</v>
      </c>
    </row>
    <row r="4919" spans="1:5" x14ac:dyDescent="0.25">
      <c r="A4919" s="2" t="s">
        <v>4246</v>
      </c>
      <c r="B4919" s="2" t="s">
        <v>258</v>
      </c>
      <c r="C4919" s="2">
        <v>4</v>
      </c>
      <c r="D4919" t="str">
        <f t="shared" si="76"/>
        <v>CA-2016-158694_OFF-ST-10001496</v>
      </c>
      <c r="E4919" t="str">
        <f>IF(COUNTIF(data2!$D:$D,D4919)=0,"Missing in Data2","Present")</f>
        <v>Present</v>
      </c>
    </row>
    <row r="4920" spans="1:5" x14ac:dyDescent="0.25">
      <c r="A4920" s="2" t="s">
        <v>4248</v>
      </c>
      <c r="B4920" s="2" t="s">
        <v>2351</v>
      </c>
      <c r="C4920" s="2">
        <v>3</v>
      </c>
      <c r="D4920" t="str">
        <f t="shared" si="76"/>
        <v>CA-2016-158778_FUR-CH-10000309</v>
      </c>
      <c r="E4920" t="str">
        <f>IF(COUNTIF(data2!$D:$D,D4920)=0,"Missing in Data2","Present")</f>
        <v>Present</v>
      </c>
    </row>
    <row r="4921" spans="1:5" x14ac:dyDescent="0.25">
      <c r="A4921" s="2" t="s">
        <v>4248</v>
      </c>
      <c r="B4921" s="2" t="s">
        <v>370</v>
      </c>
      <c r="C4921" s="2">
        <v>2</v>
      </c>
      <c r="D4921" t="str">
        <f t="shared" si="76"/>
        <v>CA-2016-158778_FUR-CH-10001146</v>
      </c>
      <c r="E4921" t="str">
        <f>IF(COUNTIF(data2!$D:$D,D4921)=0,"Missing in Data2","Present")</f>
        <v>Present</v>
      </c>
    </row>
    <row r="4922" spans="1:5" x14ac:dyDescent="0.25">
      <c r="A4922" s="2" t="s">
        <v>4248</v>
      </c>
      <c r="B4922" s="2" t="s">
        <v>3720</v>
      </c>
      <c r="C4922" s="2">
        <v>9</v>
      </c>
      <c r="D4922" t="str">
        <f t="shared" si="76"/>
        <v>CA-2016-158778_FUR-FU-10000260</v>
      </c>
      <c r="E4922" t="str">
        <f>IF(COUNTIF(data2!$D:$D,D4922)=0,"Missing in Data2","Present")</f>
        <v>Present</v>
      </c>
    </row>
    <row r="4923" spans="1:5" x14ac:dyDescent="0.25">
      <c r="A4923" s="2" t="s">
        <v>4249</v>
      </c>
      <c r="B4923" s="2" t="s">
        <v>461</v>
      </c>
      <c r="C4923" s="2">
        <v>3</v>
      </c>
      <c r="D4923" t="str">
        <f t="shared" si="76"/>
        <v>CA-2016-158806_FUR-FU-10004270</v>
      </c>
      <c r="E4923" t="str">
        <f>IF(COUNTIF(data2!$D:$D,D4923)=0,"Missing in Data2","Present")</f>
        <v>Present</v>
      </c>
    </row>
    <row r="4924" spans="1:5" x14ac:dyDescent="0.25">
      <c r="A4924" s="2" t="s">
        <v>4249</v>
      </c>
      <c r="B4924" s="2" t="s">
        <v>2081</v>
      </c>
      <c r="C4924" s="2">
        <v>5</v>
      </c>
      <c r="D4924" t="str">
        <f t="shared" si="76"/>
        <v>CA-2016-158806_OFF-PA-10004621</v>
      </c>
      <c r="E4924" t="str">
        <f>IF(COUNTIF(data2!$D:$D,D4924)=0,"Missing in Data2","Present")</f>
        <v>Present</v>
      </c>
    </row>
    <row r="4925" spans="1:5" x14ac:dyDescent="0.25">
      <c r="A4925" s="2" t="s">
        <v>4250</v>
      </c>
      <c r="B4925" s="2" t="s">
        <v>4251</v>
      </c>
      <c r="C4925" s="2">
        <v>5</v>
      </c>
      <c r="D4925" t="str">
        <f t="shared" si="76"/>
        <v>CA-2016-158834_OFF-AP-10000326</v>
      </c>
      <c r="E4925" t="str">
        <f>IF(COUNTIF(data2!$D:$D,D4925)=0,"Missing in Data2","Present")</f>
        <v>Missing in Data2</v>
      </c>
    </row>
    <row r="4926" spans="1:5" x14ac:dyDescent="0.25">
      <c r="A4926" s="2" t="s">
        <v>4250</v>
      </c>
      <c r="B4926" s="2" t="s">
        <v>2886</v>
      </c>
      <c r="C4926" s="2">
        <v>2</v>
      </c>
      <c r="D4926" t="str">
        <f t="shared" si="76"/>
        <v>CA-2016-158834_TEC-PH-10001254</v>
      </c>
      <c r="E4926" t="str">
        <f>IF(COUNTIF(data2!$D:$D,D4926)=0,"Missing in Data2","Present")</f>
        <v>Present</v>
      </c>
    </row>
    <row r="4927" spans="1:5" x14ac:dyDescent="0.25">
      <c r="A4927" s="2" t="s">
        <v>4252</v>
      </c>
      <c r="B4927" s="2" t="s">
        <v>128</v>
      </c>
      <c r="C4927" s="2">
        <v>7</v>
      </c>
      <c r="D4927" t="str">
        <f t="shared" si="76"/>
        <v>CA-2016-158841_FUR-FU-10001731</v>
      </c>
      <c r="E4927" t="str">
        <f>IF(COUNTIF(data2!$D:$D,D4927)=0,"Missing in Data2","Present")</f>
        <v>Present</v>
      </c>
    </row>
    <row r="4928" spans="1:5" x14ac:dyDescent="0.25">
      <c r="A4928" s="2" t="s">
        <v>4252</v>
      </c>
      <c r="B4928" s="2" t="s">
        <v>1825</v>
      </c>
      <c r="C4928" s="2">
        <v>8</v>
      </c>
      <c r="D4928" t="str">
        <f t="shared" si="76"/>
        <v>CA-2016-158841_OFF-BI-10002557</v>
      </c>
      <c r="E4928" t="str">
        <f>IF(COUNTIF(data2!$D:$D,D4928)=0,"Missing in Data2","Present")</f>
        <v>Present</v>
      </c>
    </row>
    <row r="4929" spans="1:5" x14ac:dyDescent="0.25">
      <c r="A4929" s="2" t="s">
        <v>4253</v>
      </c>
      <c r="B4929" s="2" t="s">
        <v>433</v>
      </c>
      <c r="C4929" s="2">
        <v>2</v>
      </c>
      <c r="D4929" t="str">
        <f t="shared" si="76"/>
        <v>CA-2016-158869_OFF-PA-10000474</v>
      </c>
      <c r="E4929" t="str">
        <f>IF(COUNTIF(data2!$D:$D,D4929)=0,"Missing in Data2","Present")</f>
        <v>Present</v>
      </c>
    </row>
    <row r="4930" spans="1:5" x14ac:dyDescent="0.25">
      <c r="A4930" s="2" t="s">
        <v>4254</v>
      </c>
      <c r="B4930" s="2" t="s">
        <v>1724</v>
      </c>
      <c r="C4930" s="2">
        <v>3</v>
      </c>
      <c r="D4930" t="str">
        <f t="shared" si="76"/>
        <v>CA-2016-158925_OFF-PA-10003072</v>
      </c>
      <c r="E4930" t="str">
        <f>IF(COUNTIF(data2!$D:$D,D4930)=0,"Missing in Data2","Present")</f>
        <v>Present</v>
      </c>
    </row>
    <row r="4931" spans="1:5" x14ac:dyDescent="0.25">
      <c r="A4931" s="2" t="s">
        <v>4255</v>
      </c>
      <c r="B4931" s="2" t="s">
        <v>858</v>
      </c>
      <c r="C4931" s="2">
        <v>3</v>
      </c>
      <c r="D4931" t="str">
        <f t="shared" ref="D4931:D4994" si="77">A4931&amp;"_"&amp;B4931</f>
        <v>CA-2016-159009_FUR-CH-10003396</v>
      </c>
      <c r="E4931" t="str">
        <f>IF(COUNTIF(data2!$D:$D,D4931)=0,"Missing in Data2","Present")</f>
        <v>Present</v>
      </c>
    </row>
    <row r="4932" spans="1:5" x14ac:dyDescent="0.25">
      <c r="A4932" s="2" t="s">
        <v>4255</v>
      </c>
      <c r="B4932" s="2" t="s">
        <v>651</v>
      </c>
      <c r="C4932" s="2">
        <v>4</v>
      </c>
      <c r="D4932" t="str">
        <f t="shared" si="77"/>
        <v>CA-2016-159009_OFF-BI-10004970</v>
      </c>
      <c r="E4932" t="str">
        <f>IF(COUNTIF(data2!$D:$D,D4932)=0,"Missing in Data2","Present")</f>
        <v>Present</v>
      </c>
    </row>
    <row r="4933" spans="1:5" x14ac:dyDescent="0.25">
      <c r="A4933" s="2" t="s">
        <v>4256</v>
      </c>
      <c r="B4933" s="2" t="s">
        <v>4257</v>
      </c>
      <c r="C4933" s="2">
        <v>5</v>
      </c>
      <c r="D4933" t="str">
        <f t="shared" si="77"/>
        <v>CA-2016-159016_OFF-PA-10004405</v>
      </c>
      <c r="E4933" t="str">
        <f>IF(COUNTIF(data2!$D:$D,D4933)=0,"Missing in Data2","Present")</f>
        <v>Present</v>
      </c>
    </row>
    <row r="4934" spans="1:5" x14ac:dyDescent="0.25">
      <c r="A4934" s="2" t="s">
        <v>4256</v>
      </c>
      <c r="B4934" s="2" t="s">
        <v>133</v>
      </c>
      <c r="C4934" s="2">
        <v>8</v>
      </c>
      <c r="D4934" t="str">
        <f t="shared" si="77"/>
        <v>CA-2016-159016_TEC-PH-10002885</v>
      </c>
      <c r="E4934" t="str">
        <f>IF(COUNTIF(data2!$D:$D,D4934)=0,"Missing in Data2","Present")</f>
        <v>Present</v>
      </c>
    </row>
    <row r="4935" spans="1:5" x14ac:dyDescent="0.25">
      <c r="A4935" s="2" t="s">
        <v>4258</v>
      </c>
      <c r="B4935" s="2" t="s">
        <v>2917</v>
      </c>
      <c r="C4935" s="2">
        <v>7</v>
      </c>
      <c r="D4935" t="str">
        <f t="shared" si="77"/>
        <v>CA-2016-159023_OFF-BI-10002813</v>
      </c>
      <c r="E4935" t="str">
        <f>IF(COUNTIF(data2!$D:$D,D4935)=0,"Missing in Data2","Present")</f>
        <v>Present</v>
      </c>
    </row>
    <row r="4936" spans="1:5" x14ac:dyDescent="0.25">
      <c r="A4936" s="2" t="s">
        <v>4258</v>
      </c>
      <c r="B4936" s="2" t="s">
        <v>4259</v>
      </c>
      <c r="C4936" s="2">
        <v>3</v>
      </c>
      <c r="D4936" t="str">
        <f t="shared" si="77"/>
        <v>CA-2016-159023_TEC-MA-10003337</v>
      </c>
      <c r="E4936" t="str">
        <f>IF(COUNTIF(data2!$D:$D,D4936)=0,"Missing in Data2","Present")</f>
        <v>Present</v>
      </c>
    </row>
    <row r="4937" spans="1:5" x14ac:dyDescent="0.25">
      <c r="A4937" s="2" t="s">
        <v>4260</v>
      </c>
      <c r="B4937" s="2" t="s">
        <v>2062</v>
      </c>
      <c r="C4937" s="2">
        <v>3</v>
      </c>
      <c r="D4937" t="str">
        <f t="shared" si="77"/>
        <v>CA-2016-159142_OFF-PA-10001776</v>
      </c>
      <c r="E4937" t="str">
        <f>IF(COUNTIF(data2!$D:$D,D4937)=0,"Missing in Data2","Present")</f>
        <v>Present</v>
      </c>
    </row>
    <row r="4938" spans="1:5" x14ac:dyDescent="0.25">
      <c r="A4938" s="2" t="s">
        <v>4260</v>
      </c>
      <c r="B4938" s="2" t="s">
        <v>3186</v>
      </c>
      <c r="C4938" s="2">
        <v>3</v>
      </c>
      <c r="D4938" t="str">
        <f t="shared" si="77"/>
        <v>CA-2016-159142_TEC-PH-10001448</v>
      </c>
      <c r="E4938" t="str">
        <f>IF(COUNTIF(data2!$D:$D,D4938)=0,"Missing in Data2","Present")</f>
        <v>Present</v>
      </c>
    </row>
    <row r="4939" spans="1:5" x14ac:dyDescent="0.25">
      <c r="A4939" s="2" t="s">
        <v>4261</v>
      </c>
      <c r="B4939" s="2" t="s">
        <v>1646</v>
      </c>
      <c r="C4939" s="2">
        <v>3</v>
      </c>
      <c r="D4939" t="str">
        <f t="shared" si="77"/>
        <v>CA-2016-159212_OFF-EN-10002230</v>
      </c>
      <c r="E4939" t="str">
        <f>IF(COUNTIF(data2!$D:$D,D4939)=0,"Missing in Data2","Present")</f>
        <v>Present</v>
      </c>
    </row>
    <row r="4940" spans="1:5" x14ac:dyDescent="0.25">
      <c r="A4940" s="2" t="s">
        <v>4261</v>
      </c>
      <c r="B4940" s="2" t="s">
        <v>1616</v>
      </c>
      <c r="C4940" s="2">
        <v>2</v>
      </c>
      <c r="D4940" t="str">
        <f t="shared" si="77"/>
        <v>CA-2016-159212_TEC-PH-10003988</v>
      </c>
      <c r="E4940" t="str">
        <f>IF(COUNTIF(data2!$D:$D,D4940)=0,"Missing in Data2","Present")</f>
        <v>Present</v>
      </c>
    </row>
    <row r="4941" spans="1:5" x14ac:dyDescent="0.25">
      <c r="A4941" s="2" t="s">
        <v>4262</v>
      </c>
      <c r="B4941" s="2" t="s">
        <v>829</v>
      </c>
      <c r="C4941" s="2">
        <v>2</v>
      </c>
      <c r="D4941" t="str">
        <f t="shared" si="77"/>
        <v>CA-2016-159345_OFF-PA-10000806</v>
      </c>
      <c r="E4941" t="str">
        <f>IF(COUNTIF(data2!$D:$D,D4941)=0,"Missing in Data2","Present")</f>
        <v>Present</v>
      </c>
    </row>
    <row r="4942" spans="1:5" x14ac:dyDescent="0.25">
      <c r="A4942" s="2" t="s">
        <v>4263</v>
      </c>
      <c r="B4942" s="2" t="s">
        <v>2492</v>
      </c>
      <c r="C4942" s="2">
        <v>5</v>
      </c>
      <c r="D4942" t="str">
        <f t="shared" si="77"/>
        <v>CA-2016-159373_FUR-TA-10004619</v>
      </c>
      <c r="E4942" t="str">
        <f>IF(COUNTIF(data2!$D:$D,D4942)=0,"Missing in Data2","Present")</f>
        <v>Present</v>
      </c>
    </row>
    <row r="4943" spans="1:5" x14ac:dyDescent="0.25">
      <c r="A4943" s="2" t="s">
        <v>4263</v>
      </c>
      <c r="B4943" s="2" t="s">
        <v>276</v>
      </c>
      <c r="C4943" s="2">
        <v>2</v>
      </c>
      <c r="D4943" t="str">
        <f t="shared" si="77"/>
        <v>CA-2016-159373_OFF-BI-10004141</v>
      </c>
      <c r="E4943" t="str">
        <f>IF(COUNTIF(data2!$D:$D,D4943)=0,"Missing in Data2","Present")</f>
        <v>Present</v>
      </c>
    </row>
    <row r="4944" spans="1:5" x14ac:dyDescent="0.25">
      <c r="A4944" s="2" t="s">
        <v>4263</v>
      </c>
      <c r="B4944" s="2" t="s">
        <v>622</v>
      </c>
      <c r="C4944" s="2">
        <v>5</v>
      </c>
      <c r="D4944" t="str">
        <f t="shared" si="77"/>
        <v>CA-2016-159373_OFF-PA-10000659</v>
      </c>
      <c r="E4944" t="str">
        <f>IF(COUNTIF(data2!$D:$D,D4944)=0,"Missing in Data2","Present")</f>
        <v>Present</v>
      </c>
    </row>
    <row r="4945" spans="1:5" x14ac:dyDescent="0.25">
      <c r="A4945" s="2" t="s">
        <v>4264</v>
      </c>
      <c r="B4945" s="2" t="s">
        <v>377</v>
      </c>
      <c r="C4945" s="2">
        <v>3</v>
      </c>
      <c r="D4945" t="str">
        <f t="shared" si="77"/>
        <v>CA-2016-159639_FUR-FU-10001889</v>
      </c>
      <c r="E4945" t="str">
        <f>IF(COUNTIF(data2!$D:$D,D4945)=0,"Missing in Data2","Present")</f>
        <v>Present</v>
      </c>
    </row>
    <row r="4946" spans="1:5" x14ac:dyDescent="0.25">
      <c r="A4946" s="2" t="s">
        <v>4265</v>
      </c>
      <c r="B4946" s="2" t="s">
        <v>3232</v>
      </c>
      <c r="C4946" s="2">
        <v>3</v>
      </c>
      <c r="D4946" t="str">
        <f t="shared" si="77"/>
        <v>CA-2016-159653_OFF-LA-10004345</v>
      </c>
      <c r="E4946" t="str">
        <f>IF(COUNTIF(data2!$D:$D,D4946)=0,"Missing in Data2","Present")</f>
        <v>Present</v>
      </c>
    </row>
    <row r="4947" spans="1:5" x14ac:dyDescent="0.25">
      <c r="A4947" s="2" t="s">
        <v>4266</v>
      </c>
      <c r="B4947" s="2" t="s">
        <v>1674</v>
      </c>
      <c r="C4947" s="2">
        <v>2</v>
      </c>
      <c r="D4947" t="str">
        <f t="shared" si="77"/>
        <v>CA-2016-159730_FUR-CH-10004875</v>
      </c>
      <c r="E4947" t="str">
        <f>IF(COUNTIF(data2!$D:$D,D4947)=0,"Missing in Data2","Present")</f>
        <v>Present</v>
      </c>
    </row>
    <row r="4948" spans="1:5" x14ac:dyDescent="0.25">
      <c r="A4948" s="2" t="s">
        <v>4266</v>
      </c>
      <c r="B4948" s="2" t="s">
        <v>1664</v>
      </c>
      <c r="C4948" s="2">
        <v>2</v>
      </c>
      <c r="D4948" t="str">
        <f t="shared" si="77"/>
        <v>CA-2016-159730_TEC-PH-10002085</v>
      </c>
      <c r="E4948" t="str">
        <f>IF(COUNTIF(data2!$D:$D,D4948)=0,"Missing in Data2","Present")</f>
        <v>Present</v>
      </c>
    </row>
    <row r="4949" spans="1:5" x14ac:dyDescent="0.25">
      <c r="A4949" s="2" t="s">
        <v>4267</v>
      </c>
      <c r="B4949" s="2" t="s">
        <v>2913</v>
      </c>
      <c r="C4949" s="2">
        <v>3</v>
      </c>
      <c r="D4949" t="str">
        <f t="shared" si="77"/>
        <v>CA-2016-159737_OFF-BI-10004236</v>
      </c>
      <c r="E4949" t="str">
        <f>IF(COUNTIF(data2!$D:$D,D4949)=0,"Missing in Data2","Present")</f>
        <v>Present</v>
      </c>
    </row>
    <row r="4950" spans="1:5" x14ac:dyDescent="0.25">
      <c r="A4950" s="2" t="s">
        <v>4268</v>
      </c>
      <c r="B4950" s="2" t="s">
        <v>204</v>
      </c>
      <c r="C4950" s="2">
        <v>7</v>
      </c>
      <c r="D4950" t="str">
        <f t="shared" si="77"/>
        <v>CA-2016-159765_OFF-AR-10003514</v>
      </c>
      <c r="E4950" t="str">
        <f>IF(COUNTIF(data2!$D:$D,D4950)=0,"Missing in Data2","Present")</f>
        <v>Present</v>
      </c>
    </row>
    <row r="4951" spans="1:5" x14ac:dyDescent="0.25">
      <c r="A4951" s="2" t="s">
        <v>4269</v>
      </c>
      <c r="B4951" s="2" t="s">
        <v>1494</v>
      </c>
      <c r="C4951" s="2">
        <v>8</v>
      </c>
      <c r="D4951" t="str">
        <f t="shared" si="77"/>
        <v>CA-2016-159891_OFF-EN-10004483</v>
      </c>
      <c r="E4951" t="str">
        <f>IF(COUNTIF(data2!$D:$D,D4951)=0,"Missing in Data2","Present")</f>
        <v>Present</v>
      </c>
    </row>
    <row r="4952" spans="1:5" x14ac:dyDescent="0.25">
      <c r="A4952" s="2" t="s">
        <v>4270</v>
      </c>
      <c r="B4952" s="2" t="s">
        <v>1926</v>
      </c>
      <c r="C4952" s="2">
        <v>4</v>
      </c>
      <c r="D4952" t="str">
        <f t="shared" si="77"/>
        <v>CA-2016-159912_FUR-BO-10002853</v>
      </c>
      <c r="E4952" t="str">
        <f>IF(COUNTIF(data2!$D:$D,D4952)=0,"Missing in Data2","Present")</f>
        <v>Present</v>
      </c>
    </row>
    <row r="4953" spans="1:5" x14ac:dyDescent="0.25">
      <c r="A4953" s="2" t="s">
        <v>4270</v>
      </c>
      <c r="B4953" s="2" t="s">
        <v>1939</v>
      </c>
      <c r="C4953" s="2">
        <v>4</v>
      </c>
      <c r="D4953" t="str">
        <f t="shared" si="77"/>
        <v>CA-2016-159912_FUR-TA-10004152</v>
      </c>
      <c r="E4953" t="str">
        <f>IF(COUNTIF(data2!$D:$D,D4953)=0,"Missing in Data2","Present")</f>
        <v>Present</v>
      </c>
    </row>
    <row r="4954" spans="1:5" x14ac:dyDescent="0.25">
      <c r="A4954" s="2" t="s">
        <v>4270</v>
      </c>
      <c r="B4954" s="2" t="s">
        <v>2262</v>
      </c>
      <c r="C4954" s="2">
        <v>2</v>
      </c>
      <c r="D4954" t="str">
        <f t="shared" si="77"/>
        <v>CA-2016-159912_OFF-BI-10002071</v>
      </c>
      <c r="E4954" t="str">
        <f>IF(COUNTIF(data2!$D:$D,D4954)=0,"Missing in Data2","Present")</f>
        <v>Present</v>
      </c>
    </row>
    <row r="4955" spans="1:5" x14ac:dyDescent="0.25">
      <c r="A4955" s="2" t="s">
        <v>4270</v>
      </c>
      <c r="B4955" s="2" t="s">
        <v>2305</v>
      </c>
      <c r="C4955" s="2">
        <v>7</v>
      </c>
      <c r="D4955" t="str">
        <f t="shared" si="77"/>
        <v>CA-2016-159912_OFF-FA-10000053</v>
      </c>
      <c r="E4955" t="str">
        <f>IF(COUNTIF(data2!$D:$D,D4955)=0,"Missing in Data2","Present")</f>
        <v>Present</v>
      </c>
    </row>
    <row r="4956" spans="1:5" x14ac:dyDescent="0.25">
      <c r="A4956" s="2" t="s">
        <v>4271</v>
      </c>
      <c r="B4956" s="2" t="s">
        <v>2213</v>
      </c>
      <c r="C4956" s="2">
        <v>2</v>
      </c>
      <c r="D4956" t="str">
        <f t="shared" si="77"/>
        <v>CA-2016-159940_FUR-CH-10000785</v>
      </c>
      <c r="E4956" t="str">
        <f>IF(COUNTIF(data2!$D:$D,D4956)=0,"Missing in Data2","Present")</f>
        <v>Present</v>
      </c>
    </row>
    <row r="4957" spans="1:5" x14ac:dyDescent="0.25">
      <c r="A4957" s="2" t="s">
        <v>4271</v>
      </c>
      <c r="B4957" s="2" t="s">
        <v>2310</v>
      </c>
      <c r="C4957" s="2">
        <v>8</v>
      </c>
      <c r="D4957" t="str">
        <f t="shared" si="77"/>
        <v>CA-2016-159940_FUR-FU-10004973</v>
      </c>
      <c r="E4957" t="str">
        <f>IF(COUNTIF(data2!$D:$D,D4957)=0,"Missing in Data2","Present")</f>
        <v>Present</v>
      </c>
    </row>
    <row r="4958" spans="1:5" x14ac:dyDescent="0.25">
      <c r="A4958" s="2" t="s">
        <v>4271</v>
      </c>
      <c r="B4958" s="2" t="s">
        <v>821</v>
      </c>
      <c r="C4958" s="2">
        <v>1</v>
      </c>
      <c r="D4958" t="str">
        <f t="shared" si="77"/>
        <v>CA-2016-159940_OFF-FA-10000936</v>
      </c>
      <c r="E4958" t="str">
        <f>IF(COUNTIF(data2!$D:$D,D4958)=0,"Missing in Data2","Present")</f>
        <v>Present</v>
      </c>
    </row>
    <row r="4959" spans="1:5" x14ac:dyDescent="0.25">
      <c r="A4959" s="2" t="s">
        <v>4271</v>
      </c>
      <c r="B4959" s="2" t="s">
        <v>1517</v>
      </c>
      <c r="C4959" s="2">
        <v>9</v>
      </c>
      <c r="D4959" t="str">
        <f t="shared" si="77"/>
        <v>CA-2016-159940_OFF-PA-10001609</v>
      </c>
      <c r="E4959" t="str">
        <f>IF(COUNTIF(data2!$D:$D,D4959)=0,"Missing in Data2","Present")</f>
        <v>Present</v>
      </c>
    </row>
    <row r="4960" spans="1:5" x14ac:dyDescent="0.25">
      <c r="A4960" s="2" t="s">
        <v>4272</v>
      </c>
      <c r="B4960" s="2" t="s">
        <v>63</v>
      </c>
      <c r="C4960" s="2">
        <v>3</v>
      </c>
      <c r="D4960" t="str">
        <f t="shared" si="77"/>
        <v>CA-2016-159989_TEC-PH-10000169</v>
      </c>
      <c r="E4960" t="str">
        <f>IF(COUNTIF(data2!$D:$D,D4960)=0,"Missing in Data2","Present")</f>
        <v>Present</v>
      </c>
    </row>
    <row r="4961" spans="1:5" x14ac:dyDescent="0.25">
      <c r="A4961" s="2" t="s">
        <v>4273</v>
      </c>
      <c r="B4961" s="2" t="s">
        <v>1944</v>
      </c>
      <c r="C4961" s="2">
        <v>7</v>
      </c>
      <c r="D4961" t="str">
        <f t="shared" si="77"/>
        <v>CA-2016-160108_FUR-BO-10003450</v>
      </c>
      <c r="E4961" t="str">
        <f>IF(COUNTIF(data2!$D:$D,D4961)=0,"Missing in Data2","Present")</f>
        <v>Present</v>
      </c>
    </row>
    <row r="4962" spans="1:5" x14ac:dyDescent="0.25">
      <c r="A4962" s="2" t="s">
        <v>4273</v>
      </c>
      <c r="B4962" s="2" t="s">
        <v>2767</v>
      </c>
      <c r="C4962" s="2">
        <v>3</v>
      </c>
      <c r="D4962" t="str">
        <f t="shared" si="77"/>
        <v>CA-2016-160108_FUR-CH-10002335</v>
      </c>
      <c r="E4962" t="str">
        <f>IF(COUNTIF(data2!$D:$D,D4962)=0,"Missing in Data2","Present")</f>
        <v>Present</v>
      </c>
    </row>
    <row r="4963" spans="1:5" x14ac:dyDescent="0.25">
      <c r="A4963" s="2" t="s">
        <v>4274</v>
      </c>
      <c r="B4963" s="2" t="s">
        <v>756</v>
      </c>
      <c r="C4963" s="2">
        <v>2</v>
      </c>
      <c r="D4963" t="str">
        <f t="shared" si="77"/>
        <v>CA-2016-160129_FUR-FU-10002088</v>
      </c>
      <c r="E4963" t="str">
        <f>IF(COUNTIF(data2!$D:$D,D4963)=0,"Missing in Data2","Present")</f>
        <v>Present</v>
      </c>
    </row>
    <row r="4964" spans="1:5" x14ac:dyDescent="0.25">
      <c r="A4964" s="2" t="s">
        <v>4274</v>
      </c>
      <c r="B4964" s="2" t="s">
        <v>3218</v>
      </c>
      <c r="C4964" s="2">
        <v>7</v>
      </c>
      <c r="D4964" t="str">
        <f t="shared" si="77"/>
        <v>CA-2016-160129_FUR-FU-10003976</v>
      </c>
      <c r="E4964" t="str">
        <f>IF(COUNTIF(data2!$D:$D,D4964)=0,"Missing in Data2","Present")</f>
        <v>Present</v>
      </c>
    </row>
    <row r="4965" spans="1:5" x14ac:dyDescent="0.25">
      <c r="A4965" s="2" t="s">
        <v>4274</v>
      </c>
      <c r="B4965" s="2" t="s">
        <v>454</v>
      </c>
      <c r="C4965" s="2">
        <v>5</v>
      </c>
      <c r="D4965" t="str">
        <f t="shared" si="77"/>
        <v>CA-2016-160129_OFF-FA-10002763</v>
      </c>
      <c r="E4965" t="str">
        <f>IF(COUNTIF(data2!$D:$D,D4965)=0,"Missing in Data2","Present")</f>
        <v>Present</v>
      </c>
    </row>
    <row r="4966" spans="1:5" x14ac:dyDescent="0.25">
      <c r="A4966" s="2" t="s">
        <v>4275</v>
      </c>
      <c r="B4966" s="2" t="s">
        <v>462</v>
      </c>
      <c r="C4966" s="2">
        <v>7</v>
      </c>
      <c r="D4966" t="str">
        <f t="shared" si="77"/>
        <v>CA-2016-160220_OFF-ST-10000617</v>
      </c>
      <c r="E4966" t="str">
        <f>IF(COUNTIF(data2!$D:$D,D4966)=0,"Missing in Data2","Present")</f>
        <v>Present</v>
      </c>
    </row>
    <row r="4967" spans="1:5" x14ac:dyDescent="0.25">
      <c r="A4967" s="2" t="s">
        <v>4275</v>
      </c>
      <c r="B4967" s="2" t="s">
        <v>3178</v>
      </c>
      <c r="C4967" s="2">
        <v>6</v>
      </c>
      <c r="D4967" t="str">
        <f t="shared" si="77"/>
        <v>CA-2016-160220_TEC-PH-10001300</v>
      </c>
      <c r="E4967" t="str">
        <f>IF(COUNTIF(data2!$D:$D,D4967)=0,"Missing in Data2","Present")</f>
        <v>Present</v>
      </c>
    </row>
    <row r="4968" spans="1:5" x14ac:dyDescent="0.25">
      <c r="A4968" s="2" t="s">
        <v>4275</v>
      </c>
      <c r="B4968" s="2" t="s">
        <v>312</v>
      </c>
      <c r="C4968" s="2">
        <v>2</v>
      </c>
      <c r="D4968" t="str">
        <f t="shared" si="77"/>
        <v>CA-2016-160220_TEC-PH-10001557</v>
      </c>
      <c r="E4968" t="str">
        <f>IF(COUNTIF(data2!$D:$D,D4968)=0,"Missing in Data2","Present")</f>
        <v>Present</v>
      </c>
    </row>
    <row r="4969" spans="1:5" x14ac:dyDescent="0.25">
      <c r="A4969" s="2" t="s">
        <v>4276</v>
      </c>
      <c r="B4969" s="2" t="s">
        <v>98</v>
      </c>
      <c r="C4969" s="2">
        <v>1</v>
      </c>
      <c r="D4969" t="str">
        <f t="shared" si="77"/>
        <v>CA-2016-160234_TEC-PH-10004434</v>
      </c>
      <c r="E4969" t="str">
        <f>IF(COUNTIF(data2!$D:$D,D4969)=0,"Missing in Data2","Present")</f>
        <v>Present</v>
      </c>
    </row>
    <row r="4970" spans="1:5" x14ac:dyDescent="0.25">
      <c r="A4970" s="2" t="s">
        <v>4277</v>
      </c>
      <c r="B4970" s="2" t="s">
        <v>1960</v>
      </c>
      <c r="C4970" s="2">
        <v>3</v>
      </c>
      <c r="D4970" t="str">
        <f t="shared" si="77"/>
        <v>CA-2016-160304_FUR-BO-10004709</v>
      </c>
      <c r="E4970" t="str">
        <f>IF(COUNTIF(data2!$D:$D,D4970)=0,"Missing in Data2","Present")</f>
        <v>Present</v>
      </c>
    </row>
    <row r="4971" spans="1:5" x14ac:dyDescent="0.25">
      <c r="A4971" s="2" t="s">
        <v>4277</v>
      </c>
      <c r="B4971" s="2" t="s">
        <v>767</v>
      </c>
      <c r="C4971" s="2">
        <v>2</v>
      </c>
      <c r="D4971" t="str">
        <f t="shared" si="77"/>
        <v>CA-2016-160304_TEC-PH-10000455</v>
      </c>
      <c r="E4971" t="str">
        <f>IF(COUNTIF(data2!$D:$D,D4971)=0,"Missing in Data2","Present")</f>
        <v>Present</v>
      </c>
    </row>
    <row r="4972" spans="1:5" x14ac:dyDescent="0.25">
      <c r="A4972" s="2" t="s">
        <v>4278</v>
      </c>
      <c r="B4972" s="2" t="s">
        <v>889</v>
      </c>
      <c r="C4972" s="2">
        <v>5</v>
      </c>
      <c r="D4972" t="str">
        <f t="shared" si="77"/>
        <v>CA-2016-160479_OFF-AR-10002445</v>
      </c>
      <c r="E4972" t="str">
        <f>IF(COUNTIF(data2!$D:$D,D4972)=0,"Missing in Data2","Present")</f>
        <v>Present</v>
      </c>
    </row>
    <row r="4973" spans="1:5" x14ac:dyDescent="0.25">
      <c r="A4973" s="2" t="s">
        <v>4279</v>
      </c>
      <c r="B4973" s="2" t="s">
        <v>1272</v>
      </c>
      <c r="C4973" s="2">
        <v>5</v>
      </c>
      <c r="D4973" t="str">
        <f t="shared" si="77"/>
        <v>CA-2016-160500_OFF-BI-10003784</v>
      </c>
      <c r="E4973" t="str">
        <f>IF(COUNTIF(data2!$D:$D,D4973)=0,"Missing in Data2","Present")</f>
        <v>Missing in Data2</v>
      </c>
    </row>
    <row r="4974" spans="1:5" x14ac:dyDescent="0.25">
      <c r="A4974" s="2" t="s">
        <v>4280</v>
      </c>
      <c r="B4974" s="2" t="s">
        <v>1235</v>
      </c>
      <c r="C4974" s="2">
        <v>4</v>
      </c>
      <c r="D4974" t="str">
        <f t="shared" si="77"/>
        <v>CA-2016-160535_OFF-ST-10000689</v>
      </c>
      <c r="E4974" t="str">
        <f>IF(COUNTIF(data2!$D:$D,D4974)=0,"Missing in Data2","Present")</f>
        <v>Present</v>
      </c>
    </row>
    <row r="4975" spans="1:5" x14ac:dyDescent="0.25">
      <c r="A4975" s="2" t="s">
        <v>4280</v>
      </c>
      <c r="B4975" s="2" t="s">
        <v>4281</v>
      </c>
      <c r="C4975" s="2">
        <v>8</v>
      </c>
      <c r="D4975" t="str">
        <f t="shared" si="77"/>
        <v>CA-2016-160535_TEC-MA-10004255</v>
      </c>
      <c r="E4975" t="str">
        <f>IF(COUNTIF(data2!$D:$D,D4975)=0,"Missing in Data2","Present")</f>
        <v>Present</v>
      </c>
    </row>
    <row r="4976" spans="1:5" x14ac:dyDescent="0.25">
      <c r="A4976" s="2" t="s">
        <v>4282</v>
      </c>
      <c r="B4976" s="2" t="s">
        <v>1284</v>
      </c>
      <c r="C4976" s="2">
        <v>1</v>
      </c>
      <c r="D4976" t="str">
        <f t="shared" si="77"/>
        <v>CA-2016-160598_OFF-PA-10002319</v>
      </c>
      <c r="E4976" t="str">
        <f>IF(COUNTIF(data2!$D:$D,D4976)=0,"Missing in Data2","Present")</f>
        <v>Present</v>
      </c>
    </row>
    <row r="4977" spans="1:5" x14ac:dyDescent="0.25">
      <c r="A4977" s="2" t="s">
        <v>4283</v>
      </c>
      <c r="B4977" s="2" t="s">
        <v>101</v>
      </c>
      <c r="C4977" s="2">
        <v>2</v>
      </c>
      <c r="D4977" t="str">
        <f t="shared" si="77"/>
        <v>CA-2016-160717_TEC-AC-10002134</v>
      </c>
      <c r="E4977" t="str">
        <f>IF(COUNTIF(data2!$D:$D,D4977)=0,"Missing in Data2","Present")</f>
        <v>Present</v>
      </c>
    </row>
    <row r="4978" spans="1:5" x14ac:dyDescent="0.25">
      <c r="A4978" s="2" t="s">
        <v>4283</v>
      </c>
      <c r="B4978" s="2" t="s">
        <v>984</v>
      </c>
      <c r="C4978" s="2">
        <v>9</v>
      </c>
      <c r="D4978" t="str">
        <f t="shared" si="77"/>
        <v>CA-2016-160717_TEC-PH-10001459</v>
      </c>
      <c r="E4978" t="str">
        <f>IF(COUNTIF(data2!$D:$D,D4978)=0,"Missing in Data2","Present")</f>
        <v>Present</v>
      </c>
    </row>
    <row r="4979" spans="1:5" x14ac:dyDescent="0.25">
      <c r="A4979" s="2" t="s">
        <v>4283</v>
      </c>
      <c r="B4979" s="2" t="s">
        <v>313</v>
      </c>
      <c r="C4979" s="2">
        <v>3</v>
      </c>
      <c r="D4979" t="str">
        <f t="shared" si="77"/>
        <v>CA-2016-160717_TEC-PH-10001760</v>
      </c>
      <c r="E4979" t="str">
        <f>IF(COUNTIF(data2!$D:$D,D4979)=0,"Missing in Data2","Present")</f>
        <v>Present</v>
      </c>
    </row>
    <row r="4980" spans="1:5" x14ac:dyDescent="0.25">
      <c r="A4980" s="2" t="s">
        <v>4284</v>
      </c>
      <c r="B4980" s="2" t="s">
        <v>2317</v>
      </c>
      <c r="C4980" s="2">
        <v>4</v>
      </c>
      <c r="D4980" t="str">
        <f t="shared" si="77"/>
        <v>CA-2016-160745_FUR-FU-10001935</v>
      </c>
      <c r="E4980" t="str">
        <f>IF(COUNTIF(data2!$D:$D,D4980)=0,"Missing in Data2","Present")</f>
        <v>Present</v>
      </c>
    </row>
    <row r="4981" spans="1:5" x14ac:dyDescent="0.25">
      <c r="A4981" s="2" t="s">
        <v>4284</v>
      </c>
      <c r="B4981" s="2" t="s">
        <v>1112</v>
      </c>
      <c r="C4981" s="2">
        <v>4</v>
      </c>
      <c r="D4981" t="str">
        <f t="shared" si="77"/>
        <v>CA-2016-160745_TEC-AC-10001142</v>
      </c>
      <c r="E4981" t="str">
        <f>IF(COUNTIF(data2!$D:$D,D4981)=0,"Missing in Data2","Present")</f>
        <v>Present</v>
      </c>
    </row>
    <row r="4982" spans="1:5" x14ac:dyDescent="0.25">
      <c r="A4982" s="2" t="s">
        <v>4284</v>
      </c>
      <c r="B4982" s="2" t="s">
        <v>31</v>
      </c>
      <c r="C4982" s="2">
        <v>3</v>
      </c>
      <c r="D4982" t="str">
        <f t="shared" si="77"/>
        <v>CA-2016-160745_TEC-PH-10003273</v>
      </c>
      <c r="E4982" t="str">
        <f>IF(COUNTIF(data2!$D:$D,D4982)=0,"Missing in Data2","Present")</f>
        <v>Present</v>
      </c>
    </row>
    <row r="4983" spans="1:5" x14ac:dyDescent="0.25">
      <c r="A4983" s="2" t="s">
        <v>4285</v>
      </c>
      <c r="B4983" s="2" t="s">
        <v>139</v>
      </c>
      <c r="C4983" s="2">
        <v>3</v>
      </c>
      <c r="D4983" t="str">
        <f t="shared" si="77"/>
        <v>CA-2016-160815_TEC-PH-10003505</v>
      </c>
      <c r="E4983" t="str">
        <f>IF(COUNTIF(data2!$D:$D,D4983)=0,"Missing in Data2","Present")</f>
        <v>Present</v>
      </c>
    </row>
    <row r="4984" spans="1:5" x14ac:dyDescent="0.25">
      <c r="A4984" s="2" t="s">
        <v>4286</v>
      </c>
      <c r="B4984" s="2" t="s">
        <v>917</v>
      </c>
      <c r="C4984" s="2">
        <v>5</v>
      </c>
      <c r="D4984" t="str">
        <f t="shared" si="77"/>
        <v>CA-2016-160941_OFF-EN-10003001</v>
      </c>
      <c r="E4984" t="str">
        <f>IF(COUNTIF(data2!$D:$D,D4984)=0,"Missing in Data2","Present")</f>
        <v>Missing in Data2</v>
      </c>
    </row>
    <row r="4985" spans="1:5" x14ac:dyDescent="0.25">
      <c r="A4985" s="2" t="s">
        <v>4286</v>
      </c>
      <c r="B4985" s="2" t="s">
        <v>1849</v>
      </c>
      <c r="C4985" s="2">
        <v>1</v>
      </c>
      <c r="D4985" t="str">
        <f t="shared" si="77"/>
        <v>CA-2016-160941_OFF-LA-10003766</v>
      </c>
      <c r="E4985" t="str">
        <f>IF(COUNTIF(data2!$D:$D,D4985)=0,"Missing in Data2","Present")</f>
        <v>Present</v>
      </c>
    </row>
    <row r="4986" spans="1:5" x14ac:dyDescent="0.25">
      <c r="A4986" s="2" t="s">
        <v>4287</v>
      </c>
      <c r="B4986" s="2" t="s">
        <v>342</v>
      </c>
      <c r="C4986" s="2">
        <v>4</v>
      </c>
      <c r="D4986" t="str">
        <f t="shared" si="77"/>
        <v>CA-2016-161025_OFF-ST-10001932</v>
      </c>
      <c r="E4986" t="str">
        <f>IF(COUNTIF(data2!$D:$D,D4986)=0,"Missing in Data2","Present")</f>
        <v>Present</v>
      </c>
    </row>
    <row r="4987" spans="1:5" x14ac:dyDescent="0.25">
      <c r="A4987" s="2" t="s">
        <v>4288</v>
      </c>
      <c r="B4987" s="2" t="s">
        <v>1815</v>
      </c>
      <c r="C4987" s="2">
        <v>2</v>
      </c>
      <c r="D4987" t="str">
        <f t="shared" si="77"/>
        <v>CA-2016-161095_OFF-BI-10001524</v>
      </c>
      <c r="E4987" t="str">
        <f>IF(COUNTIF(data2!$D:$D,D4987)=0,"Missing in Data2","Present")</f>
        <v>Present</v>
      </c>
    </row>
    <row r="4988" spans="1:5" x14ac:dyDescent="0.25">
      <c r="A4988" s="2" t="s">
        <v>4288</v>
      </c>
      <c r="B4988" s="2" t="s">
        <v>735</v>
      </c>
      <c r="C4988" s="2">
        <v>3</v>
      </c>
      <c r="D4988" t="str">
        <f t="shared" si="77"/>
        <v>CA-2016-161095_OFF-BI-10002764</v>
      </c>
      <c r="E4988" t="str">
        <f>IF(COUNTIF(data2!$D:$D,D4988)=0,"Missing in Data2","Present")</f>
        <v>Present</v>
      </c>
    </row>
    <row r="4989" spans="1:5" x14ac:dyDescent="0.25">
      <c r="A4989" s="2" t="s">
        <v>4289</v>
      </c>
      <c r="B4989" s="2" t="s">
        <v>4290</v>
      </c>
      <c r="C4989" s="2">
        <v>5</v>
      </c>
      <c r="D4989" t="str">
        <f t="shared" si="77"/>
        <v>CA-2016-161158_OFF-AR-10000462</v>
      </c>
      <c r="E4989" t="str">
        <f>IF(COUNTIF(data2!$D:$D,D4989)=0,"Missing in Data2","Present")</f>
        <v>Present</v>
      </c>
    </row>
    <row r="4990" spans="1:5" x14ac:dyDescent="0.25">
      <c r="A4990" s="2" t="s">
        <v>4291</v>
      </c>
      <c r="B4990" s="2" t="s">
        <v>1822</v>
      </c>
      <c r="C4990" s="2">
        <v>3</v>
      </c>
      <c r="D4990" t="str">
        <f t="shared" si="77"/>
        <v>CA-2016-161207_OFF-SU-10000381</v>
      </c>
      <c r="E4990" t="str">
        <f>IF(COUNTIF(data2!$D:$D,D4990)=0,"Missing in Data2","Present")</f>
        <v>Present</v>
      </c>
    </row>
    <row r="4991" spans="1:5" x14ac:dyDescent="0.25">
      <c r="A4991" s="2" t="s">
        <v>4292</v>
      </c>
      <c r="B4991" s="2" t="s">
        <v>1279</v>
      </c>
      <c r="C4991" s="2">
        <v>3</v>
      </c>
      <c r="D4991" t="str">
        <f t="shared" si="77"/>
        <v>CA-2016-161361_OFF-BI-10002215</v>
      </c>
      <c r="E4991" t="str">
        <f>IF(COUNTIF(data2!$D:$D,D4991)=0,"Missing in Data2","Present")</f>
        <v>Missing in Data2</v>
      </c>
    </row>
    <row r="4992" spans="1:5" x14ac:dyDescent="0.25">
      <c r="A4992" s="2" t="s">
        <v>4292</v>
      </c>
      <c r="B4992" s="2" t="s">
        <v>309</v>
      </c>
      <c r="C4992" s="2">
        <v>3</v>
      </c>
      <c r="D4992" t="str">
        <f t="shared" si="77"/>
        <v>CA-2016-161361_OFF-PA-10001838</v>
      </c>
      <c r="E4992" t="str">
        <f>IF(COUNTIF(data2!$D:$D,D4992)=0,"Missing in Data2","Present")</f>
        <v>Present</v>
      </c>
    </row>
    <row r="4993" spans="1:5" x14ac:dyDescent="0.25">
      <c r="A4993" s="2" t="s">
        <v>4293</v>
      </c>
      <c r="B4993" s="2" t="s">
        <v>702</v>
      </c>
      <c r="C4993" s="2">
        <v>3</v>
      </c>
      <c r="D4993" t="str">
        <f t="shared" si="77"/>
        <v>CA-2016-161389_OFF-BI-10003656</v>
      </c>
      <c r="E4993" t="str">
        <f>IF(COUNTIF(data2!$D:$D,D4993)=0,"Missing in Data2","Present")</f>
        <v>Present</v>
      </c>
    </row>
    <row r="4994" spans="1:5" x14ac:dyDescent="0.25">
      <c r="A4994" s="2" t="s">
        <v>4294</v>
      </c>
      <c r="B4994" s="2" t="s">
        <v>390</v>
      </c>
      <c r="C4994" s="2">
        <v>3</v>
      </c>
      <c r="D4994" t="str">
        <f t="shared" si="77"/>
        <v>CA-2016-161473_OFF-BI-10003305</v>
      </c>
      <c r="E4994" t="str">
        <f>IF(COUNTIF(data2!$D:$D,D4994)=0,"Missing in Data2","Present")</f>
        <v>Present</v>
      </c>
    </row>
    <row r="4995" spans="1:5" x14ac:dyDescent="0.25">
      <c r="A4995" s="2" t="s">
        <v>4294</v>
      </c>
      <c r="B4995" s="2" t="s">
        <v>3420</v>
      </c>
      <c r="C4995" s="2">
        <v>2</v>
      </c>
      <c r="D4995" t="str">
        <f t="shared" ref="D4995:D5058" si="78">A4995&amp;"_"&amp;B4995</f>
        <v>CA-2016-161473_OFF-LA-10001297</v>
      </c>
      <c r="E4995" t="str">
        <f>IF(COUNTIF(data2!$D:$D,D4995)=0,"Missing in Data2","Present")</f>
        <v>Present</v>
      </c>
    </row>
    <row r="4996" spans="1:5" x14ac:dyDescent="0.25">
      <c r="A4996" s="2" t="s">
        <v>4294</v>
      </c>
      <c r="B4996" s="2" t="s">
        <v>911</v>
      </c>
      <c r="C4996" s="2">
        <v>3</v>
      </c>
      <c r="D4996" t="str">
        <f t="shared" si="78"/>
        <v>CA-2016-161473_OFF-SU-10001574</v>
      </c>
      <c r="E4996" t="str">
        <f>IF(COUNTIF(data2!$D:$D,D4996)=0,"Missing in Data2","Present")</f>
        <v>Present</v>
      </c>
    </row>
    <row r="4997" spans="1:5" x14ac:dyDescent="0.25">
      <c r="A4997" s="2" t="s">
        <v>4295</v>
      </c>
      <c r="B4997" s="2" t="s">
        <v>887</v>
      </c>
      <c r="C4997" s="2">
        <v>2</v>
      </c>
      <c r="D4997" t="str">
        <f t="shared" si="78"/>
        <v>CA-2016-161543_OFF-PA-10003971</v>
      </c>
      <c r="E4997" t="str">
        <f>IF(COUNTIF(data2!$D:$D,D4997)=0,"Missing in Data2","Present")</f>
        <v>Present</v>
      </c>
    </row>
    <row r="4998" spans="1:5" x14ac:dyDescent="0.25">
      <c r="A4998" s="2" t="s">
        <v>4296</v>
      </c>
      <c r="B4998" s="2" t="s">
        <v>604</v>
      </c>
      <c r="C4998" s="2">
        <v>4</v>
      </c>
      <c r="D4998" t="str">
        <f t="shared" si="78"/>
        <v>CA-2016-161669_OFF-BI-10001294</v>
      </c>
      <c r="E4998" t="str">
        <f>IF(COUNTIF(data2!$D:$D,D4998)=0,"Missing in Data2","Present")</f>
        <v>Present</v>
      </c>
    </row>
    <row r="4999" spans="1:5" x14ac:dyDescent="0.25">
      <c r="A4999" s="2" t="s">
        <v>4296</v>
      </c>
      <c r="B4999" s="2" t="s">
        <v>951</v>
      </c>
      <c r="C4999" s="2">
        <v>4</v>
      </c>
      <c r="D4999" t="str">
        <f t="shared" si="78"/>
        <v>CA-2016-161669_OFF-BI-10001636</v>
      </c>
      <c r="E4999" t="str">
        <f>IF(COUNTIF(data2!$D:$D,D4999)=0,"Missing in Data2","Present")</f>
        <v>Missing in Data2</v>
      </c>
    </row>
    <row r="5000" spans="1:5" x14ac:dyDescent="0.25">
      <c r="A5000" s="2" t="s">
        <v>4296</v>
      </c>
      <c r="B5000" s="2" t="s">
        <v>2712</v>
      </c>
      <c r="C5000" s="2">
        <v>2</v>
      </c>
      <c r="D5000" t="str">
        <f t="shared" si="78"/>
        <v>CA-2016-161669_OFF-LA-10004093</v>
      </c>
      <c r="E5000" t="str">
        <f>IF(COUNTIF(data2!$D:$D,D5000)=0,"Missing in Data2","Present")</f>
        <v>Missing in Data2</v>
      </c>
    </row>
    <row r="5001" spans="1:5" x14ac:dyDescent="0.25">
      <c r="A5001" s="2" t="s">
        <v>4296</v>
      </c>
      <c r="B5001" s="2" t="s">
        <v>4297</v>
      </c>
      <c r="C5001" s="2">
        <v>2</v>
      </c>
      <c r="D5001" t="str">
        <f t="shared" si="78"/>
        <v>CA-2016-161669_OFF-SU-10002503</v>
      </c>
      <c r="E5001" t="str">
        <f>IF(COUNTIF(data2!$D:$D,D5001)=0,"Missing in Data2","Present")</f>
        <v>Present</v>
      </c>
    </row>
    <row r="5002" spans="1:5" x14ac:dyDescent="0.25">
      <c r="A5002" s="2" t="s">
        <v>4298</v>
      </c>
      <c r="B5002" s="2" t="s">
        <v>3133</v>
      </c>
      <c r="C5002" s="2">
        <v>5</v>
      </c>
      <c r="D5002" t="str">
        <f t="shared" si="78"/>
        <v>CA-2016-161676_OFF-SU-10004782</v>
      </c>
      <c r="E5002" t="str">
        <f>IF(COUNTIF(data2!$D:$D,D5002)=0,"Missing in Data2","Present")</f>
        <v>Present</v>
      </c>
    </row>
    <row r="5003" spans="1:5" x14ac:dyDescent="0.25">
      <c r="A5003" s="2" t="s">
        <v>4299</v>
      </c>
      <c r="B5003" s="2" t="s">
        <v>524</v>
      </c>
      <c r="C5003" s="2">
        <v>3</v>
      </c>
      <c r="D5003" t="str">
        <f t="shared" si="78"/>
        <v>CA-2016-161746_FUR-CH-10004626</v>
      </c>
      <c r="E5003" t="str">
        <f>IF(COUNTIF(data2!$D:$D,D5003)=0,"Missing in Data2","Present")</f>
        <v>Present</v>
      </c>
    </row>
    <row r="5004" spans="1:5" x14ac:dyDescent="0.25">
      <c r="A5004" s="2" t="s">
        <v>4299</v>
      </c>
      <c r="B5004" s="2" t="s">
        <v>3538</v>
      </c>
      <c r="C5004" s="2">
        <v>2</v>
      </c>
      <c r="D5004" t="str">
        <f t="shared" si="78"/>
        <v>CA-2016-161746_FUR-FU-10003731</v>
      </c>
      <c r="E5004" t="str">
        <f>IF(COUNTIF(data2!$D:$D,D5004)=0,"Missing in Data2","Present")</f>
        <v>Present</v>
      </c>
    </row>
    <row r="5005" spans="1:5" x14ac:dyDescent="0.25">
      <c r="A5005" s="2" t="s">
        <v>4299</v>
      </c>
      <c r="B5005" s="2" t="s">
        <v>194</v>
      </c>
      <c r="C5005" s="2">
        <v>3</v>
      </c>
      <c r="D5005" t="str">
        <f t="shared" si="78"/>
        <v>CA-2016-161746_OFF-AR-10000390</v>
      </c>
      <c r="E5005" t="str">
        <f>IF(COUNTIF(data2!$D:$D,D5005)=0,"Missing in Data2","Present")</f>
        <v>Present</v>
      </c>
    </row>
    <row r="5006" spans="1:5" x14ac:dyDescent="0.25">
      <c r="A5006" s="2" t="s">
        <v>4299</v>
      </c>
      <c r="B5006" s="2" t="s">
        <v>444</v>
      </c>
      <c r="C5006" s="2">
        <v>3</v>
      </c>
      <c r="D5006" t="str">
        <f t="shared" si="78"/>
        <v>CA-2016-161746_OFF-ST-10002743</v>
      </c>
      <c r="E5006" t="str">
        <f>IF(COUNTIF(data2!$D:$D,D5006)=0,"Missing in Data2","Present")</f>
        <v>Present</v>
      </c>
    </row>
    <row r="5007" spans="1:5" x14ac:dyDescent="0.25">
      <c r="A5007" s="2" t="s">
        <v>4300</v>
      </c>
      <c r="B5007" s="2" t="s">
        <v>4301</v>
      </c>
      <c r="C5007" s="2">
        <v>7</v>
      </c>
      <c r="D5007" t="str">
        <f t="shared" si="78"/>
        <v>CA-2016-161781_OFF-AR-10000255</v>
      </c>
      <c r="E5007" t="str">
        <f>IF(COUNTIF(data2!$D:$D,D5007)=0,"Missing in Data2","Present")</f>
        <v>Present</v>
      </c>
    </row>
    <row r="5008" spans="1:5" x14ac:dyDescent="0.25">
      <c r="A5008" s="2" t="s">
        <v>4302</v>
      </c>
      <c r="B5008" s="2" t="s">
        <v>3232</v>
      </c>
      <c r="C5008" s="2">
        <v>4</v>
      </c>
      <c r="D5008" t="str">
        <f t="shared" si="78"/>
        <v>CA-2016-161816_OFF-LA-10004345</v>
      </c>
      <c r="E5008" t="str">
        <f>IF(COUNTIF(data2!$D:$D,D5008)=0,"Missing in Data2","Present")</f>
        <v>Present</v>
      </c>
    </row>
    <row r="5009" spans="1:5" x14ac:dyDescent="0.25">
      <c r="A5009" s="2" t="s">
        <v>4302</v>
      </c>
      <c r="B5009" s="2" t="s">
        <v>1980</v>
      </c>
      <c r="C5009" s="2">
        <v>3</v>
      </c>
      <c r="D5009" t="str">
        <f t="shared" si="78"/>
        <v>CA-2016-161816_TEC-PH-10003012</v>
      </c>
      <c r="E5009" t="str">
        <f>IF(COUNTIF(data2!$D:$D,D5009)=0,"Missing in Data2","Present")</f>
        <v>Present</v>
      </c>
    </row>
    <row r="5010" spans="1:5" x14ac:dyDescent="0.25">
      <c r="A5010" s="2" t="s">
        <v>4303</v>
      </c>
      <c r="B5010" s="2" t="s">
        <v>72</v>
      </c>
      <c r="C5010" s="2">
        <v>4</v>
      </c>
      <c r="D5010" t="str">
        <f t="shared" si="78"/>
        <v>CA-2016-161907_OFF-SU-10000646</v>
      </c>
      <c r="E5010" t="str">
        <f>IF(COUNTIF(data2!$D:$D,D5010)=0,"Missing in Data2","Present")</f>
        <v>Present</v>
      </c>
    </row>
    <row r="5011" spans="1:5" x14ac:dyDescent="0.25">
      <c r="A5011" s="2" t="s">
        <v>4303</v>
      </c>
      <c r="B5011" s="2" t="s">
        <v>3679</v>
      </c>
      <c r="C5011" s="2">
        <v>3</v>
      </c>
      <c r="D5011" t="str">
        <f t="shared" si="78"/>
        <v>CA-2016-161907_TEC-PH-10000141</v>
      </c>
      <c r="E5011" t="str">
        <f>IF(COUNTIF(data2!$D:$D,D5011)=0,"Missing in Data2","Present")</f>
        <v>Present</v>
      </c>
    </row>
    <row r="5012" spans="1:5" x14ac:dyDescent="0.25">
      <c r="A5012" s="2" t="s">
        <v>4304</v>
      </c>
      <c r="B5012" s="2" t="s">
        <v>673</v>
      </c>
      <c r="C5012" s="2">
        <v>2</v>
      </c>
      <c r="D5012" t="str">
        <f t="shared" si="78"/>
        <v>CA-2016-161928_TEC-PH-10003484</v>
      </c>
      <c r="E5012" t="str">
        <f>IF(COUNTIF(data2!$D:$D,D5012)=0,"Missing in Data2","Present")</f>
        <v>Present</v>
      </c>
    </row>
    <row r="5013" spans="1:5" x14ac:dyDescent="0.25">
      <c r="A5013" s="2" t="s">
        <v>4305</v>
      </c>
      <c r="B5013" s="2" t="s">
        <v>1792</v>
      </c>
      <c r="C5013" s="2">
        <v>5</v>
      </c>
      <c r="D5013" t="str">
        <f t="shared" si="78"/>
        <v>CA-2016-162082_FUR-BO-10004409</v>
      </c>
      <c r="E5013" t="str">
        <f>IF(COUNTIF(data2!$D:$D,D5013)=0,"Missing in Data2","Present")</f>
        <v>Present</v>
      </c>
    </row>
    <row r="5014" spans="1:5" x14ac:dyDescent="0.25">
      <c r="A5014" s="2" t="s">
        <v>4305</v>
      </c>
      <c r="B5014" s="2" t="s">
        <v>1693</v>
      </c>
      <c r="C5014" s="2">
        <v>7</v>
      </c>
      <c r="D5014" t="str">
        <f t="shared" si="78"/>
        <v>CA-2016-162082_OFF-AR-10001044</v>
      </c>
      <c r="E5014" t="str">
        <f>IF(COUNTIF(data2!$D:$D,D5014)=0,"Missing in Data2","Present")</f>
        <v>Present</v>
      </c>
    </row>
    <row r="5015" spans="1:5" x14ac:dyDescent="0.25">
      <c r="A5015" s="2" t="s">
        <v>4305</v>
      </c>
      <c r="B5015" s="2" t="s">
        <v>3575</v>
      </c>
      <c r="C5015" s="2">
        <v>1</v>
      </c>
      <c r="D5015" t="str">
        <f t="shared" si="78"/>
        <v>CA-2016-162082_OFF-PA-10001934</v>
      </c>
      <c r="E5015" t="str">
        <f>IF(COUNTIF(data2!$D:$D,D5015)=0,"Missing in Data2","Present")</f>
        <v>Present</v>
      </c>
    </row>
    <row r="5016" spans="1:5" x14ac:dyDescent="0.25">
      <c r="A5016" s="2" t="s">
        <v>4306</v>
      </c>
      <c r="B5016" s="2" t="s">
        <v>4307</v>
      </c>
      <c r="C5016" s="2">
        <v>1</v>
      </c>
      <c r="D5016" t="str">
        <f t="shared" si="78"/>
        <v>CA-2016-162110_TEC-PH-10001924</v>
      </c>
      <c r="E5016" t="str">
        <f>IF(COUNTIF(data2!$D:$D,D5016)=0,"Missing in Data2","Present")</f>
        <v>Missing in Data2</v>
      </c>
    </row>
    <row r="5017" spans="1:5" x14ac:dyDescent="0.25">
      <c r="A5017" s="2" t="s">
        <v>4308</v>
      </c>
      <c r="B5017" s="2" t="s">
        <v>404</v>
      </c>
      <c r="C5017" s="2">
        <v>6</v>
      </c>
      <c r="D5017" t="str">
        <f t="shared" si="78"/>
        <v>CA-2016-162138_OFF-BI-10004593</v>
      </c>
      <c r="E5017" t="str">
        <f>IF(COUNTIF(data2!$D:$D,D5017)=0,"Missing in Data2","Present")</f>
        <v>Present</v>
      </c>
    </row>
    <row r="5018" spans="1:5" x14ac:dyDescent="0.25">
      <c r="A5018" s="2" t="s">
        <v>4308</v>
      </c>
      <c r="B5018" s="2" t="s">
        <v>1428</v>
      </c>
      <c r="C5018" s="2">
        <v>1</v>
      </c>
      <c r="D5018" t="str">
        <f t="shared" si="78"/>
        <v>CA-2016-162138_TEC-AC-10001908</v>
      </c>
      <c r="E5018" t="str">
        <f>IF(COUNTIF(data2!$D:$D,D5018)=0,"Missing in Data2","Present")</f>
        <v>Present</v>
      </c>
    </row>
    <row r="5019" spans="1:5" x14ac:dyDescent="0.25">
      <c r="A5019" s="2" t="s">
        <v>4309</v>
      </c>
      <c r="B5019" s="2" t="s">
        <v>370</v>
      </c>
      <c r="C5019" s="2">
        <v>2</v>
      </c>
      <c r="D5019" t="str">
        <f t="shared" si="78"/>
        <v>CA-2016-162159_FUR-CH-10001146</v>
      </c>
      <c r="E5019" t="str">
        <f>IF(COUNTIF(data2!$D:$D,D5019)=0,"Missing in Data2","Present")</f>
        <v>Present</v>
      </c>
    </row>
    <row r="5020" spans="1:5" x14ac:dyDescent="0.25">
      <c r="A5020" s="2" t="s">
        <v>4310</v>
      </c>
      <c r="B5020" s="2" t="s">
        <v>1766</v>
      </c>
      <c r="C5020" s="2">
        <v>5</v>
      </c>
      <c r="D5020" t="str">
        <f t="shared" si="78"/>
        <v>CA-2016-162187_FUR-CH-10003298</v>
      </c>
      <c r="E5020" t="str">
        <f>IF(COUNTIF(data2!$D:$D,D5020)=0,"Missing in Data2","Present")</f>
        <v>Present</v>
      </c>
    </row>
    <row r="5021" spans="1:5" x14ac:dyDescent="0.25">
      <c r="A5021" s="2" t="s">
        <v>4310</v>
      </c>
      <c r="B5021" s="2" t="s">
        <v>770</v>
      </c>
      <c r="C5021" s="2">
        <v>3</v>
      </c>
      <c r="D5021" t="str">
        <f t="shared" si="78"/>
        <v>CA-2016-162187_FUR-TA-10003008</v>
      </c>
      <c r="E5021" t="str">
        <f>IF(COUNTIF(data2!$D:$D,D5021)=0,"Missing in Data2","Present")</f>
        <v>Present</v>
      </c>
    </row>
    <row r="5022" spans="1:5" x14ac:dyDescent="0.25">
      <c r="A5022" s="2" t="s">
        <v>4310</v>
      </c>
      <c r="B5022" s="2" t="s">
        <v>754</v>
      </c>
      <c r="C5022" s="2">
        <v>4</v>
      </c>
      <c r="D5022" t="str">
        <f t="shared" si="78"/>
        <v>CA-2016-162187_OFF-AP-10000576</v>
      </c>
      <c r="E5022" t="str">
        <f>IF(COUNTIF(data2!$D:$D,D5022)=0,"Missing in Data2","Present")</f>
        <v>Present</v>
      </c>
    </row>
    <row r="5023" spans="1:5" x14ac:dyDescent="0.25">
      <c r="A5023" s="2" t="s">
        <v>4310</v>
      </c>
      <c r="B5023" s="2" t="s">
        <v>1735</v>
      </c>
      <c r="C5023" s="2">
        <v>5</v>
      </c>
      <c r="D5023" t="str">
        <f t="shared" si="78"/>
        <v>CA-2016-162187_OFF-ST-10001558</v>
      </c>
      <c r="E5023" t="str">
        <f>IF(COUNTIF(data2!$D:$D,D5023)=0,"Missing in Data2","Present")</f>
        <v>Present</v>
      </c>
    </row>
    <row r="5024" spans="1:5" x14ac:dyDescent="0.25">
      <c r="A5024" s="2" t="s">
        <v>4310</v>
      </c>
      <c r="B5024" s="2" t="s">
        <v>3133</v>
      </c>
      <c r="C5024" s="2">
        <v>2</v>
      </c>
      <c r="D5024" t="str">
        <f t="shared" si="78"/>
        <v>CA-2016-162187_OFF-SU-10004782</v>
      </c>
      <c r="E5024" t="str">
        <f>IF(COUNTIF(data2!$D:$D,D5024)=0,"Missing in Data2","Present")</f>
        <v>Present</v>
      </c>
    </row>
    <row r="5025" spans="1:5" x14ac:dyDescent="0.25">
      <c r="A5025" s="2" t="s">
        <v>4311</v>
      </c>
      <c r="B5025" s="2" t="s">
        <v>3013</v>
      </c>
      <c r="C5025" s="2">
        <v>3</v>
      </c>
      <c r="D5025" t="str">
        <f t="shared" si="78"/>
        <v>CA-2016-162222_OFF-PA-10003893</v>
      </c>
      <c r="E5025" t="str">
        <f>IF(COUNTIF(data2!$D:$D,D5025)=0,"Missing in Data2","Present")</f>
        <v>Present</v>
      </c>
    </row>
    <row r="5026" spans="1:5" x14ac:dyDescent="0.25">
      <c r="A5026" s="2" t="s">
        <v>4312</v>
      </c>
      <c r="B5026" s="2" t="s">
        <v>1679</v>
      </c>
      <c r="C5026" s="2">
        <v>10</v>
      </c>
      <c r="D5026" t="str">
        <f t="shared" si="78"/>
        <v>CA-2016-162236_FUR-TA-10002533</v>
      </c>
      <c r="E5026" t="str">
        <f>IF(COUNTIF(data2!$D:$D,D5026)=0,"Missing in Data2","Present")</f>
        <v>Present</v>
      </c>
    </row>
    <row r="5027" spans="1:5" x14ac:dyDescent="0.25">
      <c r="A5027" s="2" t="s">
        <v>4312</v>
      </c>
      <c r="B5027" s="2" t="s">
        <v>71</v>
      </c>
      <c r="C5027" s="2">
        <v>2</v>
      </c>
      <c r="D5027" t="str">
        <f t="shared" si="78"/>
        <v>CA-2016-162236_OFF-ST-10003442</v>
      </c>
      <c r="E5027" t="str">
        <f>IF(COUNTIF(data2!$D:$D,D5027)=0,"Missing in Data2","Present")</f>
        <v>Present</v>
      </c>
    </row>
    <row r="5028" spans="1:5" x14ac:dyDescent="0.25">
      <c r="A5028" s="2" t="s">
        <v>4312</v>
      </c>
      <c r="B5028" s="2" t="s">
        <v>3354</v>
      </c>
      <c r="C5028" s="2">
        <v>2</v>
      </c>
      <c r="D5028" t="str">
        <f t="shared" si="78"/>
        <v>CA-2016-162236_OFF-SU-10003505</v>
      </c>
      <c r="E5028" t="str">
        <f>IF(COUNTIF(data2!$D:$D,D5028)=0,"Missing in Data2","Present")</f>
        <v>Missing in Data2</v>
      </c>
    </row>
    <row r="5029" spans="1:5" x14ac:dyDescent="0.25">
      <c r="A5029" s="2" t="s">
        <v>4313</v>
      </c>
      <c r="B5029" s="2" t="s">
        <v>816</v>
      </c>
      <c r="C5029" s="2">
        <v>6</v>
      </c>
      <c r="D5029" t="str">
        <f t="shared" si="78"/>
        <v>CA-2016-162313_OFF-AP-10003842</v>
      </c>
      <c r="E5029" t="str">
        <f>IF(COUNTIF(data2!$D:$D,D5029)=0,"Missing in Data2","Present")</f>
        <v>Present</v>
      </c>
    </row>
    <row r="5030" spans="1:5" x14ac:dyDescent="0.25">
      <c r="A5030" s="2" t="s">
        <v>4314</v>
      </c>
      <c r="B5030" s="2" t="s">
        <v>3538</v>
      </c>
      <c r="C5030" s="2">
        <v>1</v>
      </c>
      <c r="D5030" t="str">
        <f t="shared" si="78"/>
        <v>CA-2016-162348_FUR-FU-10003731</v>
      </c>
      <c r="E5030" t="str">
        <f>IF(COUNTIF(data2!$D:$D,D5030)=0,"Missing in Data2","Present")</f>
        <v>Present</v>
      </c>
    </row>
    <row r="5031" spans="1:5" x14ac:dyDescent="0.25">
      <c r="A5031" s="2" t="s">
        <v>4315</v>
      </c>
      <c r="B5031" s="2" t="s">
        <v>2278</v>
      </c>
      <c r="C5031" s="2">
        <v>7</v>
      </c>
      <c r="D5031" t="str">
        <f t="shared" si="78"/>
        <v>CA-2016-162355_FUR-BO-10004695</v>
      </c>
      <c r="E5031" t="str">
        <f>IF(COUNTIF(data2!$D:$D,D5031)=0,"Missing in Data2","Present")</f>
        <v>Present</v>
      </c>
    </row>
    <row r="5032" spans="1:5" x14ac:dyDescent="0.25">
      <c r="A5032" s="2" t="s">
        <v>4315</v>
      </c>
      <c r="B5032" s="2" t="s">
        <v>1544</v>
      </c>
      <c r="C5032" s="2">
        <v>3</v>
      </c>
      <c r="D5032" t="str">
        <f t="shared" si="78"/>
        <v>CA-2016-162355_OFF-AR-10004344</v>
      </c>
      <c r="E5032" t="str">
        <f>IF(COUNTIF(data2!$D:$D,D5032)=0,"Missing in Data2","Present")</f>
        <v>Present</v>
      </c>
    </row>
    <row r="5033" spans="1:5" x14ac:dyDescent="0.25">
      <c r="A5033" s="2" t="s">
        <v>4316</v>
      </c>
      <c r="B5033" s="2" t="s">
        <v>1554</v>
      </c>
      <c r="C5033" s="2">
        <v>2</v>
      </c>
      <c r="D5033" t="str">
        <f t="shared" si="78"/>
        <v>CA-2016-162383_FUR-CH-10004477</v>
      </c>
      <c r="E5033" t="str">
        <f>IF(COUNTIF(data2!$D:$D,D5033)=0,"Missing in Data2","Present")</f>
        <v>Present</v>
      </c>
    </row>
    <row r="5034" spans="1:5" x14ac:dyDescent="0.25">
      <c r="A5034" s="2" t="s">
        <v>4316</v>
      </c>
      <c r="B5034" s="2" t="s">
        <v>1065</v>
      </c>
      <c r="C5034" s="2">
        <v>6</v>
      </c>
      <c r="D5034" t="str">
        <f t="shared" si="78"/>
        <v>CA-2016-162383_OFF-BI-10001757</v>
      </c>
      <c r="E5034" t="str">
        <f>IF(COUNTIF(data2!$D:$D,D5034)=0,"Missing in Data2","Present")</f>
        <v>Present</v>
      </c>
    </row>
    <row r="5035" spans="1:5" x14ac:dyDescent="0.25">
      <c r="A5035" s="2" t="s">
        <v>4316</v>
      </c>
      <c r="B5035" s="2" t="s">
        <v>1255</v>
      </c>
      <c r="C5035" s="2">
        <v>2</v>
      </c>
      <c r="D5035" t="str">
        <f t="shared" si="78"/>
        <v>CA-2016-162383_OFF-BI-10002824</v>
      </c>
      <c r="E5035" t="str">
        <f>IF(COUNTIF(data2!$D:$D,D5035)=0,"Missing in Data2","Present")</f>
        <v>Present</v>
      </c>
    </row>
    <row r="5036" spans="1:5" x14ac:dyDescent="0.25">
      <c r="A5036" s="2" t="s">
        <v>4317</v>
      </c>
      <c r="B5036" s="2" t="s">
        <v>4318</v>
      </c>
      <c r="C5036" s="2">
        <v>13</v>
      </c>
      <c r="D5036" t="str">
        <f t="shared" si="78"/>
        <v>CA-2016-162390_OFF-BI-10001721</v>
      </c>
      <c r="E5036" t="str">
        <f>IF(COUNTIF(data2!$D:$D,D5036)=0,"Missing in Data2","Present")</f>
        <v>Present</v>
      </c>
    </row>
    <row r="5037" spans="1:5" x14ac:dyDescent="0.25">
      <c r="A5037" s="2" t="s">
        <v>4317</v>
      </c>
      <c r="B5037" s="2" t="s">
        <v>3214</v>
      </c>
      <c r="C5037" s="2">
        <v>7</v>
      </c>
      <c r="D5037" t="str">
        <f t="shared" si="78"/>
        <v>CA-2016-162390_OFF-BI-10004318</v>
      </c>
      <c r="E5037" t="str">
        <f>IF(COUNTIF(data2!$D:$D,D5037)=0,"Missing in Data2","Present")</f>
        <v>Present</v>
      </c>
    </row>
    <row r="5038" spans="1:5" x14ac:dyDescent="0.25">
      <c r="A5038" s="2" t="s">
        <v>4317</v>
      </c>
      <c r="B5038" s="2" t="s">
        <v>761</v>
      </c>
      <c r="C5038" s="2">
        <v>2</v>
      </c>
      <c r="D5038" t="str">
        <f t="shared" si="78"/>
        <v>CA-2016-162390_TEC-CO-10004202</v>
      </c>
      <c r="E5038" t="str">
        <f>IF(COUNTIF(data2!$D:$D,D5038)=0,"Missing in Data2","Present")</f>
        <v>Missing in Data2</v>
      </c>
    </row>
    <row r="5039" spans="1:5" x14ac:dyDescent="0.25">
      <c r="A5039" s="2" t="s">
        <v>4319</v>
      </c>
      <c r="B5039" s="2" t="s">
        <v>974</v>
      </c>
      <c r="C5039" s="2">
        <v>4</v>
      </c>
      <c r="D5039" t="str">
        <f t="shared" si="78"/>
        <v>CA-2016-162404_OFF-BI-10000948</v>
      </c>
      <c r="E5039" t="str">
        <f>IF(COUNTIF(data2!$D:$D,D5039)=0,"Missing in Data2","Present")</f>
        <v>Present</v>
      </c>
    </row>
    <row r="5040" spans="1:5" x14ac:dyDescent="0.25">
      <c r="A5040" s="2" t="s">
        <v>4320</v>
      </c>
      <c r="B5040" s="2" t="s">
        <v>2450</v>
      </c>
      <c r="C5040" s="2">
        <v>2</v>
      </c>
      <c r="D5040" t="str">
        <f t="shared" si="78"/>
        <v>CA-2016-162614_OFF-BI-10004001</v>
      </c>
      <c r="E5040" t="str">
        <f>IF(COUNTIF(data2!$D:$D,D5040)=0,"Missing in Data2","Present")</f>
        <v>Present</v>
      </c>
    </row>
    <row r="5041" spans="1:5" x14ac:dyDescent="0.25">
      <c r="A5041" s="2" t="s">
        <v>4321</v>
      </c>
      <c r="B5041" s="2" t="s">
        <v>1431</v>
      </c>
      <c r="C5041" s="2">
        <v>2</v>
      </c>
      <c r="D5041" t="str">
        <f t="shared" si="78"/>
        <v>CA-2016-162726_OFF-PA-10001972</v>
      </c>
      <c r="E5041" t="str">
        <f>IF(COUNTIF(data2!$D:$D,D5041)=0,"Missing in Data2","Present")</f>
        <v>Present</v>
      </c>
    </row>
    <row r="5042" spans="1:5" x14ac:dyDescent="0.25">
      <c r="A5042" s="2" t="s">
        <v>4321</v>
      </c>
      <c r="B5042" s="2" t="s">
        <v>2644</v>
      </c>
      <c r="C5042" s="2">
        <v>4</v>
      </c>
      <c r="D5042" t="str">
        <f t="shared" si="78"/>
        <v>CA-2016-162726_OFF-PA-10004041</v>
      </c>
      <c r="E5042" t="str">
        <f>IF(COUNTIF(data2!$D:$D,D5042)=0,"Missing in Data2","Present")</f>
        <v>Present</v>
      </c>
    </row>
    <row r="5043" spans="1:5" x14ac:dyDescent="0.25">
      <c r="A5043" s="2" t="s">
        <v>4322</v>
      </c>
      <c r="B5043" s="2" t="s">
        <v>851</v>
      </c>
      <c r="C5043" s="2">
        <v>7</v>
      </c>
      <c r="D5043" t="str">
        <f t="shared" si="78"/>
        <v>CA-2016-162747_FUR-FU-10003691</v>
      </c>
      <c r="E5043" t="str">
        <f>IF(COUNTIF(data2!$D:$D,D5043)=0,"Missing in Data2","Present")</f>
        <v>Present</v>
      </c>
    </row>
    <row r="5044" spans="1:5" x14ac:dyDescent="0.25">
      <c r="A5044" s="2" t="s">
        <v>4323</v>
      </c>
      <c r="B5044" s="2" t="s">
        <v>2791</v>
      </c>
      <c r="C5044" s="2">
        <v>2</v>
      </c>
      <c r="D5044" t="str">
        <f t="shared" si="78"/>
        <v>CA-2016-162901_OFF-ST-10000649</v>
      </c>
      <c r="E5044" t="str">
        <f>IF(COUNTIF(data2!$D:$D,D5044)=0,"Missing in Data2","Present")</f>
        <v>Present</v>
      </c>
    </row>
    <row r="5045" spans="1:5" x14ac:dyDescent="0.25">
      <c r="A5045" s="2" t="s">
        <v>4324</v>
      </c>
      <c r="B5045" s="2" t="s">
        <v>2229</v>
      </c>
      <c r="C5045" s="2">
        <v>2</v>
      </c>
      <c r="D5045" t="str">
        <f t="shared" si="78"/>
        <v>CA-2016-162943_FUR-CH-10001708</v>
      </c>
      <c r="E5045" t="str">
        <f>IF(COUNTIF(data2!$D:$D,D5045)=0,"Missing in Data2","Present")</f>
        <v>Present</v>
      </c>
    </row>
    <row r="5046" spans="1:5" x14ac:dyDescent="0.25">
      <c r="A5046" s="2" t="s">
        <v>4325</v>
      </c>
      <c r="B5046" s="2" t="s">
        <v>976</v>
      </c>
      <c r="C5046" s="2">
        <v>4</v>
      </c>
      <c r="D5046" t="str">
        <f t="shared" si="78"/>
        <v>CA-2016-163048_FUR-CH-10001270</v>
      </c>
      <c r="E5046" t="str">
        <f>IF(COUNTIF(data2!$D:$D,D5046)=0,"Missing in Data2","Present")</f>
        <v>Present</v>
      </c>
    </row>
    <row r="5047" spans="1:5" x14ac:dyDescent="0.25">
      <c r="A5047" s="2" t="s">
        <v>4326</v>
      </c>
      <c r="B5047" s="2" t="s">
        <v>597</v>
      </c>
      <c r="C5047" s="2">
        <v>2</v>
      </c>
      <c r="D5047" t="str">
        <f t="shared" si="78"/>
        <v>CA-2016-163153_FUR-TA-10004767</v>
      </c>
      <c r="E5047" t="str">
        <f>IF(COUNTIF(data2!$D:$D,D5047)=0,"Missing in Data2","Present")</f>
        <v>Present</v>
      </c>
    </row>
    <row r="5048" spans="1:5" x14ac:dyDescent="0.25">
      <c r="A5048" s="2" t="s">
        <v>4326</v>
      </c>
      <c r="B5048" s="2" t="s">
        <v>17</v>
      </c>
      <c r="C5048" s="2">
        <v>1</v>
      </c>
      <c r="D5048" t="str">
        <f t="shared" si="78"/>
        <v>CA-2016-163153_OFF-AR-10001868</v>
      </c>
      <c r="E5048" t="str">
        <f>IF(COUNTIF(data2!$D:$D,D5048)=0,"Missing in Data2","Present")</f>
        <v>Present</v>
      </c>
    </row>
    <row r="5049" spans="1:5" x14ac:dyDescent="0.25">
      <c r="A5049" s="2" t="s">
        <v>4327</v>
      </c>
      <c r="B5049" s="2" t="s">
        <v>1554</v>
      </c>
      <c r="C5049" s="2">
        <v>3</v>
      </c>
      <c r="D5049" t="str">
        <f t="shared" si="78"/>
        <v>CA-2016-163167_FUR-CH-10004477</v>
      </c>
      <c r="E5049" t="str">
        <f>IF(COUNTIF(data2!$D:$D,D5049)=0,"Missing in Data2","Present")</f>
        <v>Present</v>
      </c>
    </row>
    <row r="5050" spans="1:5" x14ac:dyDescent="0.25">
      <c r="A5050" s="2" t="s">
        <v>4327</v>
      </c>
      <c r="B5050" s="2" t="s">
        <v>1127</v>
      </c>
      <c r="C5050" s="2">
        <v>6</v>
      </c>
      <c r="D5050" t="str">
        <f t="shared" si="78"/>
        <v>CA-2016-163167_OFF-ST-10003805</v>
      </c>
      <c r="E5050" t="str">
        <f>IF(COUNTIF(data2!$D:$D,D5050)=0,"Missing in Data2","Present")</f>
        <v>Present</v>
      </c>
    </row>
    <row r="5051" spans="1:5" x14ac:dyDescent="0.25">
      <c r="A5051" s="2" t="s">
        <v>4327</v>
      </c>
      <c r="B5051" s="2" t="s">
        <v>1514</v>
      </c>
      <c r="C5051" s="2">
        <v>3</v>
      </c>
      <c r="D5051" t="str">
        <f t="shared" si="78"/>
        <v>CA-2016-163167_OFF-ST-10004459</v>
      </c>
      <c r="E5051" t="str">
        <f>IF(COUNTIF(data2!$D:$D,D5051)=0,"Missing in Data2","Present")</f>
        <v>Missing in Data2</v>
      </c>
    </row>
    <row r="5052" spans="1:5" x14ac:dyDescent="0.25">
      <c r="A5052" s="2" t="s">
        <v>4327</v>
      </c>
      <c r="B5052" s="2" t="s">
        <v>1841</v>
      </c>
      <c r="C5052" s="2">
        <v>6</v>
      </c>
      <c r="D5052" t="str">
        <f t="shared" si="78"/>
        <v>CA-2016-163167_TEC-AC-10003441</v>
      </c>
      <c r="E5052" t="str">
        <f>IF(COUNTIF(data2!$D:$D,D5052)=0,"Missing in Data2","Present")</f>
        <v>Present</v>
      </c>
    </row>
    <row r="5053" spans="1:5" x14ac:dyDescent="0.25">
      <c r="A5053" s="2" t="s">
        <v>4328</v>
      </c>
      <c r="B5053" s="2" t="s">
        <v>1698</v>
      </c>
      <c r="C5053" s="2">
        <v>3</v>
      </c>
      <c r="D5053" t="str">
        <f t="shared" si="78"/>
        <v>CA-2016-163174_FUR-FU-10000308</v>
      </c>
      <c r="E5053" t="str">
        <f>IF(COUNTIF(data2!$D:$D,D5053)=0,"Missing in Data2","Present")</f>
        <v>Present</v>
      </c>
    </row>
    <row r="5054" spans="1:5" x14ac:dyDescent="0.25">
      <c r="A5054" s="2" t="s">
        <v>4329</v>
      </c>
      <c r="B5054" s="2" t="s">
        <v>735</v>
      </c>
      <c r="C5054" s="2">
        <v>3</v>
      </c>
      <c r="D5054" t="str">
        <f t="shared" si="78"/>
        <v>CA-2016-163202_OFF-BI-10002764</v>
      </c>
      <c r="E5054" t="str">
        <f>IF(COUNTIF(data2!$D:$D,D5054)=0,"Missing in Data2","Present")</f>
        <v>Present</v>
      </c>
    </row>
    <row r="5055" spans="1:5" x14ac:dyDescent="0.25">
      <c r="A5055" s="2" t="s">
        <v>4330</v>
      </c>
      <c r="B5055" s="2" t="s">
        <v>1874</v>
      </c>
      <c r="C5055" s="2">
        <v>2</v>
      </c>
      <c r="D5055" t="str">
        <f t="shared" si="78"/>
        <v>CA-2016-163216_OFF-LA-10000134</v>
      </c>
      <c r="E5055" t="str">
        <f>IF(COUNTIF(data2!$D:$D,D5055)=0,"Missing in Data2","Present")</f>
        <v>Present</v>
      </c>
    </row>
    <row r="5056" spans="1:5" x14ac:dyDescent="0.25">
      <c r="A5056" s="2" t="s">
        <v>4331</v>
      </c>
      <c r="B5056" s="2" t="s">
        <v>1578</v>
      </c>
      <c r="C5056" s="2">
        <v>3</v>
      </c>
      <c r="D5056" t="str">
        <f t="shared" si="78"/>
        <v>CA-2016-163328_FUR-CH-10000229</v>
      </c>
      <c r="E5056" t="str">
        <f>IF(COUNTIF(data2!$D:$D,D5056)=0,"Missing in Data2","Present")</f>
        <v>Present</v>
      </c>
    </row>
    <row r="5057" spans="1:5" x14ac:dyDescent="0.25">
      <c r="A5057" s="2" t="s">
        <v>4331</v>
      </c>
      <c r="B5057" s="2" t="s">
        <v>1766</v>
      </c>
      <c r="C5057" s="2">
        <v>1</v>
      </c>
      <c r="D5057" t="str">
        <f t="shared" si="78"/>
        <v>CA-2016-163328_FUR-CH-10003298</v>
      </c>
      <c r="E5057" t="str">
        <f>IF(COUNTIF(data2!$D:$D,D5057)=0,"Missing in Data2","Present")</f>
        <v>Present</v>
      </c>
    </row>
    <row r="5058" spans="1:5" x14ac:dyDescent="0.25">
      <c r="A5058" s="2" t="s">
        <v>4331</v>
      </c>
      <c r="B5058" s="2" t="s">
        <v>24</v>
      </c>
      <c r="C5058" s="2">
        <v>8</v>
      </c>
      <c r="D5058" t="str">
        <f t="shared" si="78"/>
        <v>CA-2016-163328_OFF-LA-10003930</v>
      </c>
      <c r="E5058" t="str">
        <f>IF(COUNTIF(data2!$D:$D,D5058)=0,"Missing in Data2","Present")</f>
        <v>Present</v>
      </c>
    </row>
    <row r="5059" spans="1:5" x14ac:dyDescent="0.25">
      <c r="A5059" s="2" t="s">
        <v>4331</v>
      </c>
      <c r="B5059" s="2" t="s">
        <v>7</v>
      </c>
      <c r="C5059" s="2">
        <v>1</v>
      </c>
      <c r="D5059" t="str">
        <f t="shared" ref="D5059:D5122" si="79">A5059&amp;"_"&amp;B5059</f>
        <v>CA-2016-163328_OFF-PA-10000176</v>
      </c>
      <c r="E5059" t="str">
        <f>IF(COUNTIF(data2!$D:$D,D5059)=0,"Missing in Data2","Present")</f>
        <v>Present</v>
      </c>
    </row>
    <row r="5060" spans="1:5" x14ac:dyDescent="0.25">
      <c r="A5060" s="2" t="s">
        <v>4331</v>
      </c>
      <c r="B5060" s="2" t="s">
        <v>121</v>
      </c>
      <c r="C5060" s="2">
        <v>3</v>
      </c>
      <c r="D5060" t="str">
        <f t="shared" si="79"/>
        <v>CA-2016-163328_OFF-PA-10004353</v>
      </c>
      <c r="E5060" t="str">
        <f>IF(COUNTIF(data2!$D:$D,D5060)=0,"Missing in Data2","Present")</f>
        <v>Present</v>
      </c>
    </row>
    <row r="5061" spans="1:5" x14ac:dyDescent="0.25">
      <c r="A5061" s="2" t="s">
        <v>4331</v>
      </c>
      <c r="B5061" s="2" t="s">
        <v>73</v>
      </c>
      <c r="C5061" s="2">
        <v>7</v>
      </c>
      <c r="D5061" t="str">
        <f t="shared" si="79"/>
        <v>CA-2016-163328_OFF-SU-10002301</v>
      </c>
      <c r="E5061" t="str">
        <f>IF(COUNTIF(data2!$D:$D,D5061)=0,"Missing in Data2","Present")</f>
        <v>Present</v>
      </c>
    </row>
    <row r="5062" spans="1:5" x14ac:dyDescent="0.25">
      <c r="A5062" s="2" t="s">
        <v>4332</v>
      </c>
      <c r="B5062" s="2" t="s">
        <v>651</v>
      </c>
      <c r="C5062" s="2">
        <v>4</v>
      </c>
      <c r="D5062" t="str">
        <f t="shared" si="79"/>
        <v>CA-2016-163384_OFF-BI-10004970</v>
      </c>
      <c r="E5062" t="str">
        <f>IF(COUNTIF(data2!$D:$D,D5062)=0,"Missing in Data2","Present")</f>
        <v>Present</v>
      </c>
    </row>
    <row r="5063" spans="1:5" x14ac:dyDescent="0.25">
      <c r="A5063" s="2" t="s">
        <v>4332</v>
      </c>
      <c r="B5063" s="2" t="s">
        <v>1909</v>
      </c>
      <c r="C5063" s="2">
        <v>5</v>
      </c>
      <c r="D5063" t="str">
        <f t="shared" si="79"/>
        <v>CA-2016-163384_OFF-PA-10003172</v>
      </c>
      <c r="E5063" t="str">
        <f>IF(COUNTIF(data2!$D:$D,D5063)=0,"Missing in Data2","Present")</f>
        <v>Present</v>
      </c>
    </row>
    <row r="5064" spans="1:5" x14ac:dyDescent="0.25">
      <c r="A5064" s="2" t="s">
        <v>4333</v>
      </c>
      <c r="B5064" s="2" t="s">
        <v>1543</v>
      </c>
      <c r="C5064" s="2">
        <v>3</v>
      </c>
      <c r="D5064" t="str">
        <f t="shared" si="79"/>
        <v>CA-2016-163398_OFF-AP-10002403</v>
      </c>
      <c r="E5064" t="str">
        <f>IF(COUNTIF(data2!$D:$D,D5064)=0,"Missing in Data2","Present")</f>
        <v>Present</v>
      </c>
    </row>
    <row r="5065" spans="1:5" x14ac:dyDescent="0.25">
      <c r="A5065" s="2" t="s">
        <v>4333</v>
      </c>
      <c r="B5065" s="2" t="s">
        <v>2285</v>
      </c>
      <c r="C5065" s="2">
        <v>7</v>
      </c>
      <c r="D5065" t="str">
        <f t="shared" si="79"/>
        <v>CA-2016-163398_OFF-AR-10003217</v>
      </c>
      <c r="E5065" t="str">
        <f>IF(COUNTIF(data2!$D:$D,D5065)=0,"Missing in Data2","Present")</f>
        <v>Present</v>
      </c>
    </row>
    <row r="5066" spans="1:5" x14ac:dyDescent="0.25">
      <c r="A5066" s="2" t="s">
        <v>4333</v>
      </c>
      <c r="B5066" s="2" t="s">
        <v>2658</v>
      </c>
      <c r="C5066" s="2">
        <v>1</v>
      </c>
      <c r="D5066" t="str">
        <f t="shared" si="79"/>
        <v>CA-2016-163398_OFF-BI-10000014</v>
      </c>
      <c r="E5066" t="str">
        <f>IF(COUNTIF(data2!$D:$D,D5066)=0,"Missing in Data2","Present")</f>
        <v>Present</v>
      </c>
    </row>
    <row r="5067" spans="1:5" x14ac:dyDescent="0.25">
      <c r="A5067" s="2" t="s">
        <v>4334</v>
      </c>
      <c r="B5067" s="2" t="s">
        <v>820</v>
      </c>
      <c r="C5067" s="2">
        <v>5</v>
      </c>
      <c r="D5067" t="str">
        <f t="shared" si="79"/>
        <v>CA-2016-163573_OFF-BI-10004632</v>
      </c>
      <c r="E5067" t="str">
        <f>IF(COUNTIF(data2!$D:$D,D5067)=0,"Missing in Data2","Present")</f>
        <v>Present</v>
      </c>
    </row>
    <row r="5068" spans="1:5" x14ac:dyDescent="0.25">
      <c r="A5068" s="2" t="s">
        <v>4335</v>
      </c>
      <c r="B5068" s="2" t="s">
        <v>1119</v>
      </c>
      <c r="C5068" s="2">
        <v>3</v>
      </c>
      <c r="D5068" t="str">
        <f t="shared" si="79"/>
        <v>CA-2016-163594_FUR-CH-10000225</v>
      </c>
      <c r="E5068" t="str">
        <f>IF(COUNTIF(data2!$D:$D,D5068)=0,"Missing in Data2","Present")</f>
        <v>Missing in Data2</v>
      </c>
    </row>
    <row r="5069" spans="1:5" x14ac:dyDescent="0.25">
      <c r="A5069" s="2" t="s">
        <v>4335</v>
      </c>
      <c r="B5069" s="2" t="s">
        <v>2040</v>
      </c>
      <c r="C5069" s="2">
        <v>3</v>
      </c>
      <c r="D5069" t="str">
        <f t="shared" si="79"/>
        <v>CA-2016-163594_OFF-BI-10003707</v>
      </c>
      <c r="E5069" t="str">
        <f>IF(COUNTIF(data2!$D:$D,D5069)=0,"Missing in Data2","Present")</f>
        <v>Present</v>
      </c>
    </row>
    <row r="5070" spans="1:5" x14ac:dyDescent="0.25">
      <c r="A5070" s="2" t="s">
        <v>4335</v>
      </c>
      <c r="B5070" s="2" t="s">
        <v>2165</v>
      </c>
      <c r="C5070" s="2">
        <v>3</v>
      </c>
      <c r="D5070" t="str">
        <f t="shared" si="79"/>
        <v>CA-2016-163594_OFF-PA-10000809</v>
      </c>
      <c r="E5070" t="str">
        <f>IF(COUNTIF(data2!$D:$D,D5070)=0,"Missing in Data2","Present")</f>
        <v>Present</v>
      </c>
    </row>
    <row r="5071" spans="1:5" x14ac:dyDescent="0.25">
      <c r="A5071" s="2" t="s">
        <v>4336</v>
      </c>
      <c r="B5071" s="2" t="s">
        <v>2227</v>
      </c>
      <c r="C5071" s="2">
        <v>2</v>
      </c>
      <c r="D5071" t="str">
        <f t="shared" si="79"/>
        <v>CA-2016-163636_OFF-AR-10001547</v>
      </c>
      <c r="E5071" t="str">
        <f>IF(COUNTIF(data2!$D:$D,D5071)=0,"Missing in Data2","Present")</f>
        <v>Present</v>
      </c>
    </row>
    <row r="5072" spans="1:5" x14ac:dyDescent="0.25">
      <c r="A5072" s="2" t="s">
        <v>4337</v>
      </c>
      <c r="B5072" s="2" t="s">
        <v>2009</v>
      </c>
      <c r="C5072" s="2">
        <v>3</v>
      </c>
      <c r="D5072" t="str">
        <f t="shared" si="79"/>
        <v>CA-2016-163755_FUR-FU-10003394</v>
      </c>
      <c r="E5072" t="str">
        <f>IF(COUNTIF(data2!$D:$D,D5072)=0,"Missing in Data2","Present")</f>
        <v>Present</v>
      </c>
    </row>
    <row r="5073" spans="1:5" x14ac:dyDescent="0.25">
      <c r="A5073" s="2" t="s">
        <v>4338</v>
      </c>
      <c r="B5073" s="2" t="s">
        <v>1678</v>
      </c>
      <c r="C5073" s="2">
        <v>5</v>
      </c>
      <c r="D5073" t="str">
        <f t="shared" si="79"/>
        <v>CA-2016-163776_FUR-BO-10003546</v>
      </c>
      <c r="E5073" t="str">
        <f>IF(COUNTIF(data2!$D:$D,D5073)=0,"Missing in Data2","Present")</f>
        <v>Present</v>
      </c>
    </row>
    <row r="5074" spans="1:5" x14ac:dyDescent="0.25">
      <c r="A5074" s="2" t="s">
        <v>4338</v>
      </c>
      <c r="B5074" s="2" t="s">
        <v>2600</v>
      </c>
      <c r="C5074" s="2">
        <v>6</v>
      </c>
      <c r="D5074" t="str">
        <f t="shared" si="79"/>
        <v>CA-2016-163776_FUR-FU-10001185</v>
      </c>
      <c r="E5074" t="str">
        <f>IF(COUNTIF(data2!$D:$D,D5074)=0,"Missing in Data2","Present")</f>
        <v>Present</v>
      </c>
    </row>
    <row r="5075" spans="1:5" x14ac:dyDescent="0.25">
      <c r="A5075" s="2" t="s">
        <v>4338</v>
      </c>
      <c r="B5075" s="2" t="s">
        <v>2875</v>
      </c>
      <c r="C5075" s="2">
        <v>1</v>
      </c>
      <c r="D5075" t="str">
        <f t="shared" si="79"/>
        <v>CA-2016-163776_OFF-BI-10000404</v>
      </c>
      <c r="E5075" t="str">
        <f>IF(COUNTIF(data2!$D:$D,D5075)=0,"Missing in Data2","Present")</f>
        <v>Missing in Data2</v>
      </c>
    </row>
    <row r="5076" spans="1:5" x14ac:dyDescent="0.25">
      <c r="A5076" s="2" t="s">
        <v>4338</v>
      </c>
      <c r="B5076" s="2" t="s">
        <v>510</v>
      </c>
      <c r="C5076" s="2">
        <v>2</v>
      </c>
      <c r="D5076" t="str">
        <f t="shared" si="79"/>
        <v>CA-2016-163776_OFF-BI-10003007</v>
      </c>
      <c r="E5076" t="str">
        <f>IF(COUNTIF(data2!$D:$D,D5076)=0,"Missing in Data2","Present")</f>
        <v>Present</v>
      </c>
    </row>
    <row r="5077" spans="1:5" x14ac:dyDescent="0.25">
      <c r="A5077" s="2" t="s">
        <v>4338</v>
      </c>
      <c r="B5077" s="2" t="s">
        <v>1435</v>
      </c>
      <c r="C5077" s="2">
        <v>6</v>
      </c>
      <c r="D5077" t="str">
        <f t="shared" si="79"/>
        <v>CA-2016-163776_OFF-PA-10001033</v>
      </c>
      <c r="E5077" t="str">
        <f>IF(COUNTIF(data2!$D:$D,D5077)=0,"Missing in Data2","Present")</f>
        <v>Present</v>
      </c>
    </row>
    <row r="5078" spans="1:5" x14ac:dyDescent="0.25">
      <c r="A5078" s="2" t="s">
        <v>4338</v>
      </c>
      <c r="B5078" s="2" t="s">
        <v>3070</v>
      </c>
      <c r="C5078" s="2">
        <v>4</v>
      </c>
      <c r="D5078" t="str">
        <f t="shared" si="79"/>
        <v>CA-2016-163776_OFF-ST-10002485</v>
      </c>
      <c r="E5078" t="str">
        <f>IF(COUNTIF(data2!$D:$D,D5078)=0,"Missing in Data2","Present")</f>
        <v>Present</v>
      </c>
    </row>
    <row r="5079" spans="1:5" x14ac:dyDescent="0.25">
      <c r="A5079" s="2" t="s">
        <v>4339</v>
      </c>
      <c r="B5079" s="2" t="s">
        <v>226</v>
      </c>
      <c r="C5079" s="2">
        <v>6</v>
      </c>
      <c r="D5079" t="str">
        <f t="shared" si="79"/>
        <v>CA-2016-163804_FUR-FU-10004864</v>
      </c>
      <c r="E5079" t="str">
        <f>IF(COUNTIF(data2!$D:$D,D5079)=0,"Missing in Data2","Present")</f>
        <v>Present</v>
      </c>
    </row>
    <row r="5080" spans="1:5" x14ac:dyDescent="0.25">
      <c r="A5080" s="2" t="s">
        <v>4339</v>
      </c>
      <c r="B5080" s="2" t="s">
        <v>2110</v>
      </c>
      <c r="C5080" s="2">
        <v>5</v>
      </c>
      <c r="D5080" t="str">
        <f t="shared" si="79"/>
        <v>CA-2016-163804_OFF-ST-10000142</v>
      </c>
      <c r="E5080" t="str">
        <f>IF(COUNTIF(data2!$D:$D,D5080)=0,"Missing in Data2","Present")</f>
        <v>Present</v>
      </c>
    </row>
    <row r="5081" spans="1:5" x14ac:dyDescent="0.25">
      <c r="A5081" s="2" t="s">
        <v>4339</v>
      </c>
      <c r="B5081" s="2" t="s">
        <v>1316</v>
      </c>
      <c r="C5081" s="2">
        <v>5</v>
      </c>
      <c r="D5081" t="str">
        <f t="shared" si="79"/>
        <v>CA-2016-163804_TEC-PH-10000441</v>
      </c>
      <c r="E5081" t="str">
        <f>IF(COUNTIF(data2!$D:$D,D5081)=0,"Missing in Data2","Present")</f>
        <v>Missing in Data2</v>
      </c>
    </row>
    <row r="5082" spans="1:5" x14ac:dyDescent="0.25">
      <c r="A5082" s="2" t="s">
        <v>4340</v>
      </c>
      <c r="B5082" s="2" t="s">
        <v>856</v>
      </c>
      <c r="C5082" s="2">
        <v>5</v>
      </c>
      <c r="D5082" t="str">
        <f t="shared" si="79"/>
        <v>CA-2016-163937_FUR-FU-10000010</v>
      </c>
      <c r="E5082" t="str">
        <f>IF(COUNTIF(data2!$D:$D,D5082)=0,"Missing in Data2","Present")</f>
        <v>Missing in Data2</v>
      </c>
    </row>
    <row r="5083" spans="1:5" x14ac:dyDescent="0.25">
      <c r="A5083" s="2" t="s">
        <v>4341</v>
      </c>
      <c r="B5083" s="2" t="s">
        <v>1557</v>
      </c>
      <c r="C5083" s="2">
        <v>5</v>
      </c>
      <c r="D5083" t="str">
        <f t="shared" si="79"/>
        <v>CA-2016-163951_OFF-AR-10004269</v>
      </c>
      <c r="E5083" t="str">
        <f>IF(COUNTIF(data2!$D:$D,D5083)=0,"Missing in Data2","Present")</f>
        <v>Present</v>
      </c>
    </row>
    <row r="5084" spans="1:5" x14ac:dyDescent="0.25">
      <c r="A5084" s="2" t="s">
        <v>4342</v>
      </c>
      <c r="B5084" s="2" t="s">
        <v>4343</v>
      </c>
      <c r="C5084" s="2">
        <v>2</v>
      </c>
      <c r="D5084" t="str">
        <f t="shared" si="79"/>
        <v>CA-2016-163972_FUR-BO-10003894</v>
      </c>
      <c r="E5084" t="str">
        <f>IF(COUNTIF(data2!$D:$D,D5084)=0,"Missing in Data2","Present")</f>
        <v>Present</v>
      </c>
    </row>
    <row r="5085" spans="1:5" x14ac:dyDescent="0.25">
      <c r="A5085" s="2" t="s">
        <v>4344</v>
      </c>
      <c r="B5085" s="2" t="s">
        <v>2415</v>
      </c>
      <c r="C5085" s="2">
        <v>5</v>
      </c>
      <c r="D5085" t="str">
        <f t="shared" si="79"/>
        <v>CA-2016-164035_OFF-PA-10002160</v>
      </c>
      <c r="E5085" t="str">
        <f>IF(COUNTIF(data2!$D:$D,D5085)=0,"Missing in Data2","Present")</f>
        <v>Present</v>
      </c>
    </row>
    <row r="5086" spans="1:5" x14ac:dyDescent="0.25">
      <c r="A5086" s="2" t="s">
        <v>4345</v>
      </c>
      <c r="B5086" s="2" t="s">
        <v>1758</v>
      </c>
      <c r="C5086" s="2">
        <v>2</v>
      </c>
      <c r="D5086" t="str">
        <f t="shared" si="79"/>
        <v>CA-2016-164091_FUR-FU-10004952</v>
      </c>
      <c r="E5086" t="str">
        <f>IF(COUNTIF(data2!$D:$D,D5086)=0,"Missing in Data2","Present")</f>
        <v>Present</v>
      </c>
    </row>
    <row r="5087" spans="1:5" x14ac:dyDescent="0.25">
      <c r="A5087" s="2" t="s">
        <v>4345</v>
      </c>
      <c r="B5087" s="2" t="s">
        <v>1663</v>
      </c>
      <c r="C5087" s="2">
        <v>3</v>
      </c>
      <c r="D5087" t="str">
        <f t="shared" si="79"/>
        <v>CA-2016-164091_TEC-PH-10001944</v>
      </c>
      <c r="E5087" t="str">
        <f>IF(COUNTIF(data2!$D:$D,D5087)=0,"Missing in Data2","Present")</f>
        <v>Present</v>
      </c>
    </row>
    <row r="5088" spans="1:5" x14ac:dyDescent="0.25">
      <c r="A5088" s="2" t="s">
        <v>4346</v>
      </c>
      <c r="B5088" s="2" t="s">
        <v>190</v>
      </c>
      <c r="C5088" s="2">
        <v>3</v>
      </c>
      <c r="D5088" t="str">
        <f t="shared" si="79"/>
        <v>CA-2016-164154_OFF-BI-10001658</v>
      </c>
      <c r="E5088" t="str">
        <f>IF(COUNTIF(data2!$D:$D,D5088)=0,"Missing in Data2","Present")</f>
        <v>Present</v>
      </c>
    </row>
    <row r="5089" spans="1:5" x14ac:dyDescent="0.25">
      <c r="A5089" s="2" t="s">
        <v>4346</v>
      </c>
      <c r="B5089" s="2" t="s">
        <v>1660</v>
      </c>
      <c r="C5089" s="2">
        <v>5</v>
      </c>
      <c r="D5089" t="str">
        <f t="shared" si="79"/>
        <v>CA-2016-164154_OFF-ST-10002562</v>
      </c>
      <c r="E5089" t="str">
        <f>IF(COUNTIF(data2!$D:$D,D5089)=0,"Missing in Data2","Present")</f>
        <v>Present</v>
      </c>
    </row>
    <row r="5090" spans="1:5" x14ac:dyDescent="0.25">
      <c r="A5090" s="2" t="s">
        <v>4347</v>
      </c>
      <c r="B5090" s="2" t="s">
        <v>1922</v>
      </c>
      <c r="C5090" s="2">
        <v>3</v>
      </c>
      <c r="D5090" t="str">
        <f t="shared" si="79"/>
        <v>CA-2016-164350_OFF-AR-10000538</v>
      </c>
      <c r="E5090" t="str">
        <f>IF(COUNTIF(data2!$D:$D,D5090)=0,"Missing in Data2","Present")</f>
        <v>Present</v>
      </c>
    </row>
    <row r="5091" spans="1:5" x14ac:dyDescent="0.25">
      <c r="A5091" s="2" t="s">
        <v>4348</v>
      </c>
      <c r="B5091" s="2" t="s">
        <v>4195</v>
      </c>
      <c r="C5091" s="2">
        <v>3</v>
      </c>
      <c r="D5091" t="str">
        <f t="shared" si="79"/>
        <v>CA-2016-164399_FUR-TA-10003392</v>
      </c>
      <c r="E5091" t="str">
        <f>IF(COUNTIF(data2!$D:$D,D5091)=0,"Missing in Data2","Present")</f>
        <v>Present</v>
      </c>
    </row>
    <row r="5092" spans="1:5" x14ac:dyDescent="0.25">
      <c r="A5092" s="2" t="s">
        <v>4349</v>
      </c>
      <c r="B5092" s="2" t="s">
        <v>2658</v>
      </c>
      <c r="C5092" s="2">
        <v>2</v>
      </c>
      <c r="D5092" t="str">
        <f t="shared" si="79"/>
        <v>CA-2016-164483_OFF-BI-10000014</v>
      </c>
      <c r="E5092" t="str">
        <f>IF(COUNTIF(data2!$D:$D,D5092)=0,"Missing in Data2","Present")</f>
        <v>Present</v>
      </c>
    </row>
    <row r="5093" spans="1:5" x14ac:dyDescent="0.25">
      <c r="A5093" s="2" t="s">
        <v>4350</v>
      </c>
      <c r="B5093" s="2" t="s">
        <v>2528</v>
      </c>
      <c r="C5093" s="2">
        <v>2</v>
      </c>
      <c r="D5093" t="str">
        <f t="shared" si="79"/>
        <v>CA-2016-164490_OFF-PA-10004971</v>
      </c>
      <c r="E5093" t="str">
        <f>IF(COUNTIF(data2!$D:$D,D5093)=0,"Missing in Data2","Present")</f>
        <v>Present</v>
      </c>
    </row>
    <row r="5094" spans="1:5" x14ac:dyDescent="0.25">
      <c r="A5094" s="2" t="s">
        <v>4351</v>
      </c>
      <c r="B5094" s="2" t="s">
        <v>390</v>
      </c>
      <c r="C5094" s="2">
        <v>3</v>
      </c>
      <c r="D5094" t="str">
        <f t="shared" si="79"/>
        <v>CA-2016-164511_OFF-BI-10003305</v>
      </c>
      <c r="E5094" t="str">
        <f>IF(COUNTIF(data2!$D:$D,D5094)=0,"Missing in Data2","Present")</f>
        <v>Present</v>
      </c>
    </row>
    <row r="5095" spans="1:5" x14ac:dyDescent="0.25">
      <c r="A5095" s="2" t="s">
        <v>4351</v>
      </c>
      <c r="B5095" s="2" t="s">
        <v>1268</v>
      </c>
      <c r="C5095" s="2">
        <v>2</v>
      </c>
      <c r="D5095" t="str">
        <f t="shared" si="79"/>
        <v>CA-2016-164511_OFF-ST-10002583</v>
      </c>
      <c r="E5095" t="str">
        <f>IF(COUNTIF(data2!$D:$D,D5095)=0,"Missing in Data2","Present")</f>
        <v>Present</v>
      </c>
    </row>
    <row r="5096" spans="1:5" x14ac:dyDescent="0.25">
      <c r="A5096" s="2" t="s">
        <v>4351</v>
      </c>
      <c r="B5096" s="2" t="s">
        <v>1772</v>
      </c>
      <c r="C5096" s="2">
        <v>4</v>
      </c>
      <c r="D5096" t="str">
        <f t="shared" si="79"/>
        <v>CA-2016-164511_OFF-ST-10004507</v>
      </c>
      <c r="E5096" t="str">
        <f>IF(COUNTIF(data2!$D:$D,D5096)=0,"Missing in Data2","Present")</f>
        <v>Present</v>
      </c>
    </row>
    <row r="5097" spans="1:5" x14ac:dyDescent="0.25">
      <c r="A5097" s="2" t="s">
        <v>4352</v>
      </c>
      <c r="B5097" s="2" t="s">
        <v>150</v>
      </c>
      <c r="C5097" s="2">
        <v>3</v>
      </c>
      <c r="D5097" t="str">
        <f t="shared" si="79"/>
        <v>CA-2016-164574_OFF-BI-10002429</v>
      </c>
      <c r="E5097" t="str">
        <f>IF(COUNTIF(data2!$D:$D,D5097)=0,"Missing in Data2","Present")</f>
        <v>Present</v>
      </c>
    </row>
    <row r="5098" spans="1:5" x14ac:dyDescent="0.25">
      <c r="A5098" s="2" t="s">
        <v>4352</v>
      </c>
      <c r="B5098" s="2" t="s">
        <v>2294</v>
      </c>
      <c r="C5098" s="2">
        <v>5</v>
      </c>
      <c r="D5098" t="str">
        <f t="shared" si="79"/>
        <v>CA-2016-164574_OFF-ST-10003816</v>
      </c>
      <c r="E5098" t="str">
        <f>IF(COUNTIF(data2!$D:$D,D5098)=0,"Missing in Data2","Present")</f>
        <v>Present</v>
      </c>
    </row>
    <row r="5099" spans="1:5" x14ac:dyDescent="0.25">
      <c r="A5099" s="2" t="s">
        <v>4353</v>
      </c>
      <c r="B5099" s="2" t="s">
        <v>303</v>
      </c>
      <c r="C5099" s="2">
        <v>3</v>
      </c>
      <c r="D5099" t="str">
        <f t="shared" si="79"/>
        <v>CA-2016-164637_OFF-BI-10003876</v>
      </c>
      <c r="E5099" t="str">
        <f>IF(COUNTIF(data2!$D:$D,D5099)=0,"Missing in Data2","Present")</f>
        <v>Present</v>
      </c>
    </row>
    <row r="5100" spans="1:5" x14ac:dyDescent="0.25">
      <c r="A5100" s="2" t="s">
        <v>4354</v>
      </c>
      <c r="B5100" s="2" t="s">
        <v>3455</v>
      </c>
      <c r="C5100" s="2">
        <v>2</v>
      </c>
      <c r="D5100" t="str">
        <f t="shared" si="79"/>
        <v>CA-2016-164672_FUR-FU-10001488</v>
      </c>
      <c r="E5100" t="str">
        <f>IF(COUNTIF(data2!$D:$D,D5100)=0,"Missing in Data2","Present")</f>
        <v>Present</v>
      </c>
    </row>
    <row r="5101" spans="1:5" x14ac:dyDescent="0.25">
      <c r="A5101" s="2" t="s">
        <v>4355</v>
      </c>
      <c r="B5101" s="2" t="s">
        <v>1735</v>
      </c>
      <c r="C5101" s="2">
        <v>5</v>
      </c>
      <c r="D5101" t="str">
        <f t="shared" si="79"/>
        <v>CA-2016-164735_OFF-ST-10001558</v>
      </c>
      <c r="E5101" t="str">
        <f>IF(COUNTIF(data2!$D:$D,D5101)=0,"Missing in Data2","Present")</f>
        <v>Present</v>
      </c>
    </row>
    <row r="5102" spans="1:5" x14ac:dyDescent="0.25">
      <c r="A5102" s="2" t="s">
        <v>4356</v>
      </c>
      <c r="B5102" s="2" t="s">
        <v>2475</v>
      </c>
      <c r="C5102" s="2">
        <v>10</v>
      </c>
      <c r="D5102" t="str">
        <f t="shared" si="79"/>
        <v>CA-2016-164770_FUR-BO-10003893</v>
      </c>
      <c r="E5102" t="str">
        <f>IF(COUNTIF(data2!$D:$D,D5102)=0,"Missing in Data2","Present")</f>
        <v>Present</v>
      </c>
    </row>
    <row r="5103" spans="1:5" x14ac:dyDescent="0.25">
      <c r="A5103" s="2" t="s">
        <v>4356</v>
      </c>
      <c r="B5103" s="2" t="s">
        <v>3013</v>
      </c>
      <c r="C5103" s="2">
        <v>9</v>
      </c>
      <c r="D5103" t="str">
        <f t="shared" si="79"/>
        <v>CA-2016-164770_OFF-PA-10003893</v>
      </c>
      <c r="E5103" t="str">
        <f>IF(COUNTIF(data2!$D:$D,D5103)=0,"Missing in Data2","Present")</f>
        <v>Present</v>
      </c>
    </row>
    <row r="5104" spans="1:5" x14ac:dyDescent="0.25">
      <c r="A5104" s="2" t="s">
        <v>4357</v>
      </c>
      <c r="B5104" s="2" t="s">
        <v>1021</v>
      </c>
      <c r="C5104" s="2">
        <v>3</v>
      </c>
      <c r="D5104" t="str">
        <f t="shared" si="79"/>
        <v>CA-2016-164784_FUR-TA-10004534</v>
      </c>
      <c r="E5104" t="str">
        <f>IF(COUNTIF(data2!$D:$D,D5104)=0,"Missing in Data2","Present")</f>
        <v>Present</v>
      </c>
    </row>
    <row r="5105" spans="1:5" x14ac:dyDescent="0.25">
      <c r="A5105" s="2" t="s">
        <v>4357</v>
      </c>
      <c r="B5105" s="2" t="s">
        <v>1038</v>
      </c>
      <c r="C5105" s="2">
        <v>2</v>
      </c>
      <c r="D5105" t="str">
        <f t="shared" si="79"/>
        <v>CA-2016-164784_OFF-BI-10002954</v>
      </c>
      <c r="E5105" t="str">
        <f>IF(COUNTIF(data2!$D:$D,D5105)=0,"Missing in Data2","Present")</f>
        <v>Present</v>
      </c>
    </row>
    <row r="5106" spans="1:5" x14ac:dyDescent="0.25">
      <c r="A5106" s="2" t="s">
        <v>4357</v>
      </c>
      <c r="B5106" s="2" t="s">
        <v>279</v>
      </c>
      <c r="C5106" s="2">
        <v>1</v>
      </c>
      <c r="D5106" t="str">
        <f t="shared" si="79"/>
        <v>CA-2016-164784_OFF-LA-10001569</v>
      </c>
      <c r="E5106" t="str">
        <f>IF(COUNTIF(data2!$D:$D,D5106)=0,"Missing in Data2","Present")</f>
        <v>Missing in Data2</v>
      </c>
    </row>
    <row r="5107" spans="1:5" x14ac:dyDescent="0.25">
      <c r="A5107" s="2" t="s">
        <v>4358</v>
      </c>
      <c r="B5107" s="2" t="s">
        <v>513</v>
      </c>
      <c r="C5107" s="2">
        <v>2</v>
      </c>
      <c r="D5107" t="str">
        <f t="shared" si="79"/>
        <v>CA-2016-164889_FUR-TA-10001676</v>
      </c>
      <c r="E5107" t="str">
        <f>IF(COUNTIF(data2!$D:$D,D5107)=0,"Missing in Data2","Present")</f>
        <v>Present</v>
      </c>
    </row>
    <row r="5108" spans="1:5" x14ac:dyDescent="0.25">
      <c r="A5108" s="2" t="s">
        <v>4359</v>
      </c>
      <c r="B5108" s="2" t="s">
        <v>1495</v>
      </c>
      <c r="C5108" s="2">
        <v>2</v>
      </c>
      <c r="D5108" t="str">
        <f t="shared" si="79"/>
        <v>CA-2016-164896_OFF-PA-10002246</v>
      </c>
      <c r="E5108" t="str">
        <f>IF(COUNTIF(data2!$D:$D,D5108)=0,"Missing in Data2","Present")</f>
        <v>Present</v>
      </c>
    </row>
    <row r="5109" spans="1:5" x14ac:dyDescent="0.25">
      <c r="A5109" s="2" t="s">
        <v>4360</v>
      </c>
      <c r="B5109" s="2" t="s">
        <v>4361</v>
      </c>
      <c r="C5109" s="2">
        <v>3</v>
      </c>
      <c r="D5109" t="str">
        <f t="shared" si="79"/>
        <v>CA-2016-164924_TEC-MA-10000904</v>
      </c>
      <c r="E5109" t="str">
        <f>IF(COUNTIF(data2!$D:$D,D5109)=0,"Missing in Data2","Present")</f>
        <v>Missing in Data2</v>
      </c>
    </row>
    <row r="5110" spans="1:5" x14ac:dyDescent="0.25">
      <c r="A5110" s="2" t="s">
        <v>4362</v>
      </c>
      <c r="B5110" s="2" t="s">
        <v>1466</v>
      </c>
      <c r="C5110" s="2">
        <v>7</v>
      </c>
      <c r="D5110" t="str">
        <f t="shared" si="79"/>
        <v>CA-2016-164938_TEC-PH-10004897</v>
      </c>
      <c r="E5110" t="str">
        <f>IF(COUNTIF(data2!$D:$D,D5110)=0,"Missing in Data2","Present")</f>
        <v>Present</v>
      </c>
    </row>
    <row r="5111" spans="1:5" x14ac:dyDescent="0.25">
      <c r="A5111" s="2" t="s">
        <v>4363</v>
      </c>
      <c r="B5111" s="2" t="s">
        <v>860</v>
      </c>
      <c r="C5111" s="2">
        <v>5</v>
      </c>
      <c r="D5111" t="str">
        <f t="shared" si="79"/>
        <v>CA-2016-165015_OFF-EN-10003134</v>
      </c>
      <c r="E5111" t="str">
        <f>IF(COUNTIF(data2!$D:$D,D5111)=0,"Missing in Data2","Present")</f>
        <v>Present</v>
      </c>
    </row>
    <row r="5112" spans="1:5" x14ac:dyDescent="0.25">
      <c r="A5112" s="2" t="s">
        <v>4364</v>
      </c>
      <c r="B5112" s="2" t="s">
        <v>2300</v>
      </c>
      <c r="C5112" s="2">
        <v>5</v>
      </c>
      <c r="D5112" t="str">
        <f t="shared" si="79"/>
        <v>CA-2016-165148_FUR-FU-10000732</v>
      </c>
      <c r="E5112" t="str">
        <f>IF(COUNTIF(data2!$D:$D,D5112)=0,"Missing in Data2","Present")</f>
        <v>Present</v>
      </c>
    </row>
    <row r="5113" spans="1:5" x14ac:dyDescent="0.25">
      <c r="A5113" s="2" t="s">
        <v>4365</v>
      </c>
      <c r="B5113" s="2" t="s">
        <v>701</v>
      </c>
      <c r="C5113" s="2">
        <v>2</v>
      </c>
      <c r="D5113" t="str">
        <f t="shared" si="79"/>
        <v>CA-2016-165169_OFF-AR-10000122</v>
      </c>
      <c r="E5113" t="str">
        <f>IF(COUNTIF(data2!$D:$D,D5113)=0,"Missing in Data2","Present")</f>
        <v>Present</v>
      </c>
    </row>
    <row r="5114" spans="1:5" x14ac:dyDescent="0.25">
      <c r="A5114" s="2" t="s">
        <v>4365</v>
      </c>
      <c r="B5114" s="2" t="s">
        <v>1593</v>
      </c>
      <c r="C5114" s="2">
        <v>3</v>
      </c>
      <c r="D5114" t="str">
        <f t="shared" si="79"/>
        <v>CA-2016-165169_OFF-LA-10000407</v>
      </c>
      <c r="E5114" t="str">
        <f>IF(COUNTIF(data2!$D:$D,D5114)=0,"Missing in Data2","Present")</f>
        <v>Present</v>
      </c>
    </row>
    <row r="5115" spans="1:5" x14ac:dyDescent="0.25">
      <c r="A5115" s="2" t="s">
        <v>4365</v>
      </c>
      <c r="B5115" s="2" t="s">
        <v>258</v>
      </c>
      <c r="C5115" s="2">
        <v>2</v>
      </c>
      <c r="D5115" t="str">
        <f t="shared" si="79"/>
        <v>CA-2016-165169_OFF-ST-10001496</v>
      </c>
      <c r="E5115" t="str">
        <f>IF(COUNTIF(data2!$D:$D,D5115)=0,"Missing in Data2","Present")</f>
        <v>Present</v>
      </c>
    </row>
    <row r="5116" spans="1:5" x14ac:dyDescent="0.25">
      <c r="A5116" s="2" t="s">
        <v>4366</v>
      </c>
      <c r="B5116" s="2" t="s">
        <v>18</v>
      </c>
      <c r="C5116" s="2">
        <v>3</v>
      </c>
      <c r="D5116" t="str">
        <f t="shared" si="79"/>
        <v>CA-2016-165218_OFF-EN-10000056</v>
      </c>
      <c r="E5116" t="str">
        <f>IF(COUNTIF(data2!$D:$D,D5116)=0,"Missing in Data2","Present")</f>
        <v>Present</v>
      </c>
    </row>
    <row r="5117" spans="1:5" x14ac:dyDescent="0.25">
      <c r="A5117" s="2" t="s">
        <v>4366</v>
      </c>
      <c r="B5117" s="2" t="s">
        <v>1735</v>
      </c>
      <c r="C5117" s="2">
        <v>1</v>
      </c>
      <c r="D5117" t="str">
        <f t="shared" si="79"/>
        <v>CA-2016-165218_OFF-ST-10001558</v>
      </c>
      <c r="E5117" t="str">
        <f>IF(COUNTIF(data2!$D:$D,D5117)=0,"Missing in Data2","Present")</f>
        <v>Present</v>
      </c>
    </row>
    <row r="5118" spans="1:5" x14ac:dyDescent="0.25">
      <c r="A5118" s="2" t="s">
        <v>4367</v>
      </c>
      <c r="B5118" s="2" t="s">
        <v>2038</v>
      </c>
      <c r="C5118" s="2">
        <v>2</v>
      </c>
      <c r="D5118" t="str">
        <f t="shared" si="79"/>
        <v>CA-2016-165316_OFF-AP-10003266</v>
      </c>
      <c r="E5118" t="str">
        <f>IF(COUNTIF(data2!$D:$D,D5118)=0,"Missing in Data2","Present")</f>
        <v>Present</v>
      </c>
    </row>
    <row r="5119" spans="1:5" x14ac:dyDescent="0.25">
      <c r="A5119" s="2" t="s">
        <v>4367</v>
      </c>
      <c r="B5119" s="2" t="s">
        <v>4092</v>
      </c>
      <c r="C5119" s="2">
        <v>2</v>
      </c>
      <c r="D5119" t="str">
        <f t="shared" si="79"/>
        <v>CA-2016-165316_OFF-AR-10002956</v>
      </c>
      <c r="E5119" t="str">
        <f>IF(COUNTIF(data2!$D:$D,D5119)=0,"Missing in Data2","Present")</f>
        <v>Present</v>
      </c>
    </row>
    <row r="5120" spans="1:5" x14ac:dyDescent="0.25">
      <c r="A5120" s="2" t="s">
        <v>4367</v>
      </c>
      <c r="B5120" s="2" t="s">
        <v>2595</v>
      </c>
      <c r="C5120" s="2">
        <v>1</v>
      </c>
      <c r="D5120" t="str">
        <f t="shared" si="79"/>
        <v>CA-2016-165316_TEC-MA-10004002</v>
      </c>
      <c r="E5120" t="str">
        <f>IF(COUNTIF(data2!$D:$D,D5120)=0,"Missing in Data2","Present")</f>
        <v>Present</v>
      </c>
    </row>
    <row r="5121" spans="1:5" x14ac:dyDescent="0.25">
      <c r="A5121" s="2" t="s">
        <v>4368</v>
      </c>
      <c r="B5121" s="2" t="s">
        <v>373</v>
      </c>
      <c r="C5121" s="2">
        <v>5</v>
      </c>
      <c r="D5121" t="str">
        <f t="shared" si="79"/>
        <v>CA-2016-165330_FUR-CH-10003774</v>
      </c>
      <c r="E5121" t="str">
        <f>IF(COUNTIF(data2!$D:$D,D5121)=0,"Missing in Data2","Present")</f>
        <v>Present</v>
      </c>
    </row>
    <row r="5122" spans="1:5" x14ac:dyDescent="0.25">
      <c r="A5122" s="2" t="s">
        <v>4368</v>
      </c>
      <c r="B5122" s="2" t="s">
        <v>2492</v>
      </c>
      <c r="C5122" s="2">
        <v>7</v>
      </c>
      <c r="D5122" t="str">
        <f t="shared" si="79"/>
        <v>CA-2016-165330_FUR-TA-10004619</v>
      </c>
      <c r="E5122" t="str">
        <f>IF(COUNTIF(data2!$D:$D,D5122)=0,"Missing in Data2","Present")</f>
        <v>Present</v>
      </c>
    </row>
    <row r="5123" spans="1:5" x14ac:dyDescent="0.25">
      <c r="A5123" s="2" t="s">
        <v>4368</v>
      </c>
      <c r="B5123" s="2" t="s">
        <v>1160</v>
      </c>
      <c r="C5123" s="2">
        <v>2</v>
      </c>
      <c r="D5123" t="str">
        <f t="shared" ref="D5123:D5186" si="80">A5123&amp;"_"&amp;B5123</f>
        <v>CA-2016-165330_OFF-AP-10001469</v>
      </c>
      <c r="E5123" t="str">
        <f>IF(COUNTIF(data2!$D:$D,D5123)=0,"Missing in Data2","Present")</f>
        <v>Present</v>
      </c>
    </row>
    <row r="5124" spans="1:5" x14ac:dyDescent="0.25">
      <c r="A5124" s="2" t="s">
        <v>4368</v>
      </c>
      <c r="B5124" s="2" t="s">
        <v>3945</v>
      </c>
      <c r="C5124" s="2">
        <v>2</v>
      </c>
      <c r="D5124" t="str">
        <f t="shared" si="80"/>
        <v>CA-2016-165330_OFF-AR-10000914</v>
      </c>
      <c r="E5124" t="str">
        <f>IF(COUNTIF(data2!$D:$D,D5124)=0,"Missing in Data2","Present")</f>
        <v>Present</v>
      </c>
    </row>
    <row r="5125" spans="1:5" x14ac:dyDescent="0.25">
      <c r="A5125" s="2" t="s">
        <v>4368</v>
      </c>
      <c r="B5125" s="2" t="s">
        <v>1255</v>
      </c>
      <c r="C5125" s="2">
        <v>3</v>
      </c>
      <c r="D5125" t="str">
        <f t="shared" si="80"/>
        <v>CA-2016-165330_OFF-BI-10002824</v>
      </c>
      <c r="E5125" t="str">
        <f>IF(COUNTIF(data2!$D:$D,D5125)=0,"Missing in Data2","Present")</f>
        <v>Present</v>
      </c>
    </row>
    <row r="5126" spans="1:5" x14ac:dyDescent="0.25">
      <c r="A5126" s="2" t="s">
        <v>4368</v>
      </c>
      <c r="B5126" s="2" t="s">
        <v>2204</v>
      </c>
      <c r="C5126" s="2">
        <v>2</v>
      </c>
      <c r="D5126" t="str">
        <f t="shared" si="80"/>
        <v>CA-2016-165330_OFF-BI-10002897</v>
      </c>
      <c r="E5126" t="str">
        <f>IF(COUNTIF(data2!$D:$D,D5126)=0,"Missing in Data2","Present")</f>
        <v>Present</v>
      </c>
    </row>
    <row r="5127" spans="1:5" x14ac:dyDescent="0.25">
      <c r="A5127" s="2" t="s">
        <v>4368</v>
      </c>
      <c r="B5127" s="2" t="s">
        <v>2450</v>
      </c>
      <c r="C5127" s="2">
        <v>9</v>
      </c>
      <c r="D5127" t="str">
        <f t="shared" si="80"/>
        <v>CA-2016-165330_OFF-BI-10004001</v>
      </c>
      <c r="E5127" t="str">
        <f>IF(COUNTIF(data2!$D:$D,D5127)=0,"Missing in Data2","Present")</f>
        <v>Present</v>
      </c>
    </row>
    <row r="5128" spans="1:5" x14ac:dyDescent="0.25">
      <c r="A5128" s="2" t="s">
        <v>4368</v>
      </c>
      <c r="B5128" s="2" t="s">
        <v>404</v>
      </c>
      <c r="C5128" s="2">
        <v>5</v>
      </c>
      <c r="D5128" t="str">
        <f t="shared" si="80"/>
        <v>CA-2016-165330_OFF-BI-10004593</v>
      </c>
      <c r="E5128" t="str">
        <f>IF(COUNTIF(data2!$D:$D,D5128)=0,"Missing in Data2","Present")</f>
        <v>Present</v>
      </c>
    </row>
    <row r="5129" spans="1:5" x14ac:dyDescent="0.25">
      <c r="A5129" s="2" t="s">
        <v>4368</v>
      </c>
      <c r="B5129" s="2" t="s">
        <v>3168</v>
      </c>
      <c r="C5129" s="2">
        <v>1</v>
      </c>
      <c r="D5129" t="str">
        <f t="shared" si="80"/>
        <v>CA-2016-165330_OFF-PA-10000241</v>
      </c>
      <c r="E5129" t="str">
        <f>IF(COUNTIF(data2!$D:$D,D5129)=0,"Missing in Data2","Present")</f>
        <v>Present</v>
      </c>
    </row>
    <row r="5130" spans="1:5" x14ac:dyDescent="0.25">
      <c r="A5130" s="2" t="s">
        <v>4368</v>
      </c>
      <c r="B5130" s="2" t="s">
        <v>962</v>
      </c>
      <c r="C5130" s="2">
        <v>3</v>
      </c>
      <c r="D5130" t="str">
        <f t="shared" si="80"/>
        <v>CA-2016-165330_OFF-ST-10000636</v>
      </c>
      <c r="E5130" t="str">
        <f>IF(COUNTIF(data2!$D:$D,D5130)=0,"Missing in Data2","Present")</f>
        <v>Present</v>
      </c>
    </row>
    <row r="5131" spans="1:5" x14ac:dyDescent="0.25">
      <c r="A5131" s="2" t="s">
        <v>4368</v>
      </c>
      <c r="B5131" s="2" t="s">
        <v>4216</v>
      </c>
      <c r="C5131" s="2">
        <v>4</v>
      </c>
      <c r="D5131" t="str">
        <f t="shared" si="80"/>
        <v>CA-2016-165330_TEC-AC-10000057</v>
      </c>
      <c r="E5131" t="str">
        <f>IF(COUNTIF(data2!$D:$D,D5131)=0,"Missing in Data2","Present")</f>
        <v>Present</v>
      </c>
    </row>
    <row r="5132" spans="1:5" x14ac:dyDescent="0.25">
      <c r="A5132" s="2" t="s">
        <v>4369</v>
      </c>
      <c r="B5132" s="2" t="s">
        <v>4187</v>
      </c>
      <c r="C5132" s="2">
        <v>1</v>
      </c>
      <c r="D5132" t="str">
        <f t="shared" si="80"/>
        <v>CA-2016-165470_OFF-PA-10004675</v>
      </c>
      <c r="E5132" t="str">
        <f>IF(COUNTIF(data2!$D:$D,D5132)=0,"Missing in Data2","Present")</f>
        <v>Present</v>
      </c>
    </row>
    <row r="5133" spans="1:5" x14ac:dyDescent="0.25">
      <c r="A5133" s="2" t="s">
        <v>4370</v>
      </c>
      <c r="B5133" s="2" t="s">
        <v>577</v>
      </c>
      <c r="C5133" s="2">
        <v>7</v>
      </c>
      <c r="D5133" t="str">
        <f t="shared" si="80"/>
        <v>CA-2016-165484_FUR-FU-10001196</v>
      </c>
      <c r="E5133" t="str">
        <f>IF(COUNTIF(data2!$D:$D,D5133)=0,"Missing in Data2","Present")</f>
        <v>Present</v>
      </c>
    </row>
    <row r="5134" spans="1:5" x14ac:dyDescent="0.25">
      <c r="A5134" s="2" t="s">
        <v>4370</v>
      </c>
      <c r="B5134" s="2" t="s">
        <v>421</v>
      </c>
      <c r="C5134" s="2">
        <v>3</v>
      </c>
      <c r="D5134" t="str">
        <f t="shared" si="80"/>
        <v>CA-2016-165484_OFF-PA-10000595</v>
      </c>
      <c r="E5134" t="str">
        <f>IF(COUNTIF(data2!$D:$D,D5134)=0,"Missing in Data2","Present")</f>
        <v>Present</v>
      </c>
    </row>
    <row r="5135" spans="1:5" x14ac:dyDescent="0.25">
      <c r="A5135" s="2" t="s">
        <v>4371</v>
      </c>
      <c r="B5135" s="2" t="s">
        <v>3133</v>
      </c>
      <c r="C5135" s="2">
        <v>3</v>
      </c>
      <c r="D5135" t="str">
        <f t="shared" si="80"/>
        <v>CA-2016-165561_OFF-SU-10004782</v>
      </c>
      <c r="E5135" t="str">
        <f>IF(COUNTIF(data2!$D:$D,D5135)=0,"Missing in Data2","Present")</f>
        <v>Present</v>
      </c>
    </row>
    <row r="5136" spans="1:5" x14ac:dyDescent="0.25">
      <c r="A5136" s="2" t="s">
        <v>4372</v>
      </c>
      <c r="B5136" s="2" t="s">
        <v>3806</v>
      </c>
      <c r="C5136" s="2">
        <v>4</v>
      </c>
      <c r="D5136" t="str">
        <f t="shared" si="80"/>
        <v>CA-2016-165673_OFF-PA-10000697</v>
      </c>
      <c r="E5136" t="str">
        <f>IF(COUNTIF(data2!$D:$D,D5136)=0,"Missing in Data2","Present")</f>
        <v>Present</v>
      </c>
    </row>
    <row r="5137" spans="1:5" x14ac:dyDescent="0.25">
      <c r="A5137" s="2" t="s">
        <v>4373</v>
      </c>
      <c r="B5137" s="2" t="s">
        <v>4374</v>
      </c>
      <c r="C5137" s="2">
        <v>2</v>
      </c>
      <c r="D5137" t="str">
        <f t="shared" si="80"/>
        <v>CA-2016-165820_OFF-PA-10004735</v>
      </c>
      <c r="E5137" t="str">
        <f>IF(COUNTIF(data2!$D:$D,D5137)=0,"Missing in Data2","Present")</f>
        <v>Missing in Data2</v>
      </c>
    </row>
    <row r="5138" spans="1:5" x14ac:dyDescent="0.25">
      <c r="A5138" s="2" t="s">
        <v>4375</v>
      </c>
      <c r="B5138" s="2" t="s">
        <v>377</v>
      </c>
      <c r="C5138" s="2">
        <v>6</v>
      </c>
      <c r="D5138" t="str">
        <f t="shared" si="80"/>
        <v>CA-2016-165827_FUR-FU-10001889</v>
      </c>
      <c r="E5138" t="str">
        <f>IF(COUNTIF(data2!$D:$D,D5138)=0,"Missing in Data2","Present")</f>
        <v>Present</v>
      </c>
    </row>
    <row r="5139" spans="1:5" x14ac:dyDescent="0.25">
      <c r="A5139" s="2" t="s">
        <v>4376</v>
      </c>
      <c r="B5139" s="2" t="s">
        <v>1049</v>
      </c>
      <c r="C5139" s="2">
        <v>1</v>
      </c>
      <c r="D5139" t="str">
        <f t="shared" si="80"/>
        <v>CA-2016-165848_FUR-BO-10000362</v>
      </c>
      <c r="E5139" t="str">
        <f>IF(COUNTIF(data2!$D:$D,D5139)=0,"Missing in Data2","Present")</f>
        <v>Present</v>
      </c>
    </row>
    <row r="5140" spans="1:5" x14ac:dyDescent="0.25">
      <c r="A5140" s="2" t="s">
        <v>4376</v>
      </c>
      <c r="B5140" s="2" t="s">
        <v>1276</v>
      </c>
      <c r="C5140" s="2">
        <v>4</v>
      </c>
      <c r="D5140" t="str">
        <f t="shared" si="80"/>
        <v>CA-2016-165848_FUR-FU-10003878</v>
      </c>
      <c r="E5140" t="str">
        <f>IF(COUNTIF(data2!$D:$D,D5140)=0,"Missing in Data2","Present")</f>
        <v>Present</v>
      </c>
    </row>
    <row r="5141" spans="1:5" x14ac:dyDescent="0.25">
      <c r="A5141" s="2" t="s">
        <v>4376</v>
      </c>
      <c r="B5141" s="2" t="s">
        <v>1140</v>
      </c>
      <c r="C5141" s="2">
        <v>3</v>
      </c>
      <c r="D5141" t="str">
        <f t="shared" si="80"/>
        <v>CA-2016-165848_OFF-PA-10000349</v>
      </c>
      <c r="E5141" t="str">
        <f>IF(COUNTIF(data2!$D:$D,D5141)=0,"Missing in Data2","Present")</f>
        <v>Present</v>
      </c>
    </row>
    <row r="5142" spans="1:5" x14ac:dyDescent="0.25">
      <c r="A5142" s="2" t="s">
        <v>4376</v>
      </c>
      <c r="B5142" s="2" t="s">
        <v>3352</v>
      </c>
      <c r="C5142" s="2">
        <v>3</v>
      </c>
      <c r="D5142" t="str">
        <f t="shared" si="80"/>
        <v>CA-2016-165848_TEC-MA-10003356</v>
      </c>
      <c r="E5142" t="str">
        <f>IF(COUNTIF(data2!$D:$D,D5142)=0,"Missing in Data2","Present")</f>
        <v>Present</v>
      </c>
    </row>
    <row r="5143" spans="1:5" x14ac:dyDescent="0.25">
      <c r="A5143" s="2" t="s">
        <v>4377</v>
      </c>
      <c r="B5143" s="2" t="s">
        <v>432</v>
      </c>
      <c r="C5143" s="2">
        <v>3</v>
      </c>
      <c r="D5143" t="str">
        <f t="shared" si="80"/>
        <v>CA-2016-165918_OFF-BI-10004364</v>
      </c>
      <c r="E5143" t="str">
        <f>IF(COUNTIF(data2!$D:$D,D5143)=0,"Missing in Data2","Present")</f>
        <v>Present</v>
      </c>
    </row>
    <row r="5144" spans="1:5" x14ac:dyDescent="0.25">
      <c r="A5144" s="2" t="s">
        <v>4377</v>
      </c>
      <c r="B5144" s="2" t="s">
        <v>2544</v>
      </c>
      <c r="C5144" s="2">
        <v>3</v>
      </c>
      <c r="D5144" t="str">
        <f t="shared" si="80"/>
        <v>CA-2016-165918_OFF-BI-10004826</v>
      </c>
      <c r="E5144" t="str">
        <f>IF(COUNTIF(data2!$D:$D,D5144)=0,"Missing in Data2","Present")</f>
        <v>Present</v>
      </c>
    </row>
    <row r="5145" spans="1:5" x14ac:dyDescent="0.25">
      <c r="A5145" s="2" t="s">
        <v>4377</v>
      </c>
      <c r="B5145" s="2" t="s">
        <v>114</v>
      </c>
      <c r="C5145" s="2">
        <v>2</v>
      </c>
      <c r="D5145" t="str">
        <f t="shared" si="80"/>
        <v>CA-2016-165918_OFF-LA-10003720</v>
      </c>
      <c r="E5145" t="str">
        <f>IF(COUNTIF(data2!$D:$D,D5145)=0,"Missing in Data2","Present")</f>
        <v>Present</v>
      </c>
    </row>
    <row r="5146" spans="1:5" x14ac:dyDescent="0.25">
      <c r="A5146" s="2" t="s">
        <v>4377</v>
      </c>
      <c r="B5146" s="2" t="s">
        <v>915</v>
      </c>
      <c r="C5146" s="2">
        <v>2</v>
      </c>
      <c r="D5146" t="str">
        <f t="shared" si="80"/>
        <v>CA-2016-165918_OFF-PA-10000100</v>
      </c>
      <c r="E5146" t="str">
        <f>IF(COUNTIF(data2!$D:$D,D5146)=0,"Missing in Data2","Present")</f>
        <v>Present</v>
      </c>
    </row>
    <row r="5147" spans="1:5" x14ac:dyDescent="0.25">
      <c r="A5147" s="2" t="s">
        <v>4378</v>
      </c>
      <c r="B5147" s="2" t="s">
        <v>389</v>
      </c>
      <c r="C5147" s="2">
        <v>4</v>
      </c>
      <c r="D5147" t="str">
        <f t="shared" si="80"/>
        <v>CA-2016-165995_FUR-FU-10000672</v>
      </c>
      <c r="E5147" t="str">
        <f>IF(COUNTIF(data2!$D:$D,D5147)=0,"Missing in Data2","Present")</f>
        <v>Present</v>
      </c>
    </row>
    <row r="5148" spans="1:5" x14ac:dyDescent="0.25">
      <c r="A5148" s="2" t="s">
        <v>4378</v>
      </c>
      <c r="B5148" s="2" t="s">
        <v>2563</v>
      </c>
      <c r="C5148" s="2">
        <v>5</v>
      </c>
      <c r="D5148" t="str">
        <f t="shared" si="80"/>
        <v>CA-2016-165995_TEC-PH-10004908</v>
      </c>
      <c r="E5148" t="str">
        <f>IF(COUNTIF(data2!$D:$D,D5148)=0,"Missing in Data2","Present")</f>
        <v>Present</v>
      </c>
    </row>
    <row r="5149" spans="1:5" x14ac:dyDescent="0.25">
      <c r="A5149" s="2" t="s">
        <v>4379</v>
      </c>
      <c r="B5149" s="2" t="s">
        <v>627</v>
      </c>
      <c r="C5149" s="2">
        <v>1</v>
      </c>
      <c r="D5149" t="str">
        <f t="shared" si="80"/>
        <v>CA-2016-166163_OFF-LA-10000452</v>
      </c>
      <c r="E5149" t="str">
        <f>IF(COUNTIF(data2!$D:$D,D5149)=0,"Missing in Data2","Present")</f>
        <v>Present</v>
      </c>
    </row>
    <row r="5150" spans="1:5" x14ac:dyDescent="0.25">
      <c r="A5150" s="2" t="s">
        <v>4379</v>
      </c>
      <c r="B5150" s="2" t="s">
        <v>1588</v>
      </c>
      <c r="C5150" s="2">
        <v>3</v>
      </c>
      <c r="D5150" t="str">
        <f t="shared" si="80"/>
        <v>CA-2016-166163_TEC-PH-10004896</v>
      </c>
      <c r="E5150" t="str">
        <f>IF(COUNTIF(data2!$D:$D,D5150)=0,"Missing in Data2","Present")</f>
        <v>Present</v>
      </c>
    </row>
    <row r="5151" spans="1:5" x14ac:dyDescent="0.25">
      <c r="A5151" s="2" t="s">
        <v>4380</v>
      </c>
      <c r="B5151" s="2" t="s">
        <v>4381</v>
      </c>
      <c r="C5151" s="2">
        <v>1</v>
      </c>
      <c r="D5151" t="str">
        <f t="shared" si="80"/>
        <v>CA-2016-166226_OFF-AP-10002867</v>
      </c>
      <c r="E5151" t="str">
        <f>IF(COUNTIF(data2!$D:$D,D5151)=0,"Missing in Data2","Present")</f>
        <v>Present</v>
      </c>
    </row>
    <row r="5152" spans="1:5" x14ac:dyDescent="0.25">
      <c r="A5152" s="2" t="s">
        <v>4380</v>
      </c>
      <c r="B5152" s="2" t="s">
        <v>2256</v>
      </c>
      <c r="C5152" s="2">
        <v>1</v>
      </c>
      <c r="D5152" t="str">
        <f t="shared" si="80"/>
        <v>CA-2016-166226_TEC-PH-10003357</v>
      </c>
      <c r="E5152" t="str">
        <f>IF(COUNTIF(data2!$D:$D,D5152)=0,"Missing in Data2","Present")</f>
        <v>Present</v>
      </c>
    </row>
    <row r="5153" spans="1:5" x14ac:dyDescent="0.25">
      <c r="A5153" s="2" t="s">
        <v>4382</v>
      </c>
      <c r="B5153" s="2" t="s">
        <v>3152</v>
      </c>
      <c r="C5153" s="2">
        <v>2</v>
      </c>
      <c r="D5153" t="str">
        <f t="shared" si="80"/>
        <v>CA-2016-166240_OFF-AP-10002082</v>
      </c>
      <c r="E5153" t="str">
        <f>IF(COUNTIF(data2!$D:$D,D5153)=0,"Missing in Data2","Present")</f>
        <v>Present</v>
      </c>
    </row>
    <row r="5154" spans="1:5" x14ac:dyDescent="0.25">
      <c r="A5154" s="2" t="s">
        <v>4383</v>
      </c>
      <c r="B5154" s="2" t="s">
        <v>2146</v>
      </c>
      <c r="C5154" s="2">
        <v>1</v>
      </c>
      <c r="D5154" t="str">
        <f t="shared" si="80"/>
        <v>CA-2016-166275_TEC-AC-10001838</v>
      </c>
      <c r="E5154" t="str">
        <f>IF(COUNTIF(data2!$D:$D,D5154)=0,"Missing in Data2","Present")</f>
        <v>Present</v>
      </c>
    </row>
    <row r="5155" spans="1:5" x14ac:dyDescent="0.25">
      <c r="A5155" s="2" t="s">
        <v>4384</v>
      </c>
      <c r="B5155" s="2" t="s">
        <v>1469</v>
      </c>
      <c r="C5155" s="2">
        <v>7</v>
      </c>
      <c r="D5155" t="str">
        <f t="shared" si="80"/>
        <v>CA-2016-166282_OFF-PA-10003022</v>
      </c>
      <c r="E5155" t="str">
        <f>IF(COUNTIF(data2!$D:$D,D5155)=0,"Missing in Data2","Present")</f>
        <v>Present</v>
      </c>
    </row>
    <row r="5156" spans="1:5" x14ac:dyDescent="0.25">
      <c r="A5156" s="2" t="s">
        <v>4384</v>
      </c>
      <c r="B5156" s="2" t="s">
        <v>1594</v>
      </c>
      <c r="C5156" s="2">
        <v>4</v>
      </c>
      <c r="D5156" t="str">
        <f t="shared" si="80"/>
        <v>CA-2016-166282_TEC-AC-10004209</v>
      </c>
      <c r="E5156" t="str">
        <f>IF(COUNTIF(data2!$D:$D,D5156)=0,"Missing in Data2","Present")</f>
        <v>Present</v>
      </c>
    </row>
    <row r="5157" spans="1:5" x14ac:dyDescent="0.25">
      <c r="A5157" s="2" t="s">
        <v>4385</v>
      </c>
      <c r="B5157" s="2" t="s">
        <v>731</v>
      </c>
      <c r="C5157" s="2">
        <v>6</v>
      </c>
      <c r="D5157" t="str">
        <f t="shared" si="80"/>
        <v>CA-2016-166373_TEC-AC-10002323</v>
      </c>
      <c r="E5157" t="str">
        <f>IF(COUNTIF(data2!$D:$D,D5157)=0,"Missing in Data2","Present")</f>
        <v>Present</v>
      </c>
    </row>
    <row r="5158" spans="1:5" x14ac:dyDescent="0.25">
      <c r="A5158" s="2" t="s">
        <v>4386</v>
      </c>
      <c r="B5158" s="2" t="s">
        <v>532</v>
      </c>
      <c r="C5158" s="2">
        <v>9</v>
      </c>
      <c r="D5158" t="str">
        <f t="shared" si="80"/>
        <v>CA-2016-166380_OFF-EN-10002600</v>
      </c>
      <c r="E5158" t="str">
        <f>IF(COUNTIF(data2!$D:$D,D5158)=0,"Missing in Data2","Present")</f>
        <v>Present</v>
      </c>
    </row>
    <row r="5159" spans="1:5" x14ac:dyDescent="0.25">
      <c r="A5159" s="2" t="s">
        <v>4386</v>
      </c>
      <c r="B5159" s="2" t="s">
        <v>185</v>
      </c>
      <c r="C5159" s="2">
        <v>2</v>
      </c>
      <c r="D5159" t="str">
        <f t="shared" si="80"/>
        <v>CA-2016-166380_TEC-AC-10000109</v>
      </c>
      <c r="E5159" t="str">
        <f>IF(COUNTIF(data2!$D:$D,D5159)=0,"Missing in Data2","Present")</f>
        <v>Present</v>
      </c>
    </row>
    <row r="5160" spans="1:5" x14ac:dyDescent="0.25">
      <c r="A5160" s="2" t="s">
        <v>4387</v>
      </c>
      <c r="B5160" s="2" t="s">
        <v>1688</v>
      </c>
      <c r="C5160" s="2">
        <v>2</v>
      </c>
      <c r="D5160" t="str">
        <f t="shared" si="80"/>
        <v>CA-2016-166429_TEC-CO-10002095</v>
      </c>
      <c r="E5160" t="str">
        <f>IF(COUNTIF(data2!$D:$D,D5160)=0,"Missing in Data2","Present")</f>
        <v>Present</v>
      </c>
    </row>
    <row r="5161" spans="1:5" x14ac:dyDescent="0.25">
      <c r="A5161" s="2" t="s">
        <v>4388</v>
      </c>
      <c r="B5161" s="2" t="s">
        <v>1033</v>
      </c>
      <c r="C5161" s="2">
        <v>7</v>
      </c>
      <c r="D5161" t="str">
        <f t="shared" si="80"/>
        <v>CA-2016-166443_FUR-FU-10004020</v>
      </c>
      <c r="E5161" t="str">
        <f>IF(COUNTIF(data2!$D:$D,D5161)=0,"Missing in Data2","Present")</f>
        <v>Present</v>
      </c>
    </row>
    <row r="5162" spans="1:5" x14ac:dyDescent="0.25">
      <c r="A5162" s="2" t="s">
        <v>4389</v>
      </c>
      <c r="B5162" s="2" t="s">
        <v>2240</v>
      </c>
      <c r="C5162" s="2">
        <v>2</v>
      </c>
      <c r="D5162" t="str">
        <f t="shared" si="80"/>
        <v>CA-2016-166485_OFF-PA-10004996</v>
      </c>
      <c r="E5162" t="str">
        <f>IF(COUNTIF(data2!$D:$D,D5162)=0,"Missing in Data2","Present")</f>
        <v>Present</v>
      </c>
    </row>
    <row r="5163" spans="1:5" x14ac:dyDescent="0.25">
      <c r="A5163" s="2" t="s">
        <v>4390</v>
      </c>
      <c r="B5163" s="2" t="s">
        <v>429</v>
      </c>
      <c r="C5163" s="2">
        <v>1</v>
      </c>
      <c r="D5163" t="str">
        <f t="shared" si="80"/>
        <v>CA-2016-166618_OFF-AR-10001725</v>
      </c>
      <c r="E5163" t="str">
        <f>IF(COUNTIF(data2!$D:$D,D5163)=0,"Missing in Data2","Present")</f>
        <v>Present</v>
      </c>
    </row>
    <row r="5164" spans="1:5" x14ac:dyDescent="0.25">
      <c r="A5164" s="2" t="s">
        <v>4390</v>
      </c>
      <c r="B5164" s="2" t="s">
        <v>2952</v>
      </c>
      <c r="C5164" s="2">
        <v>2</v>
      </c>
      <c r="D5164" t="str">
        <f t="shared" si="80"/>
        <v>CA-2016-166618_TEC-PH-10003356</v>
      </c>
      <c r="E5164" t="str">
        <f>IF(COUNTIF(data2!$D:$D,D5164)=0,"Missing in Data2","Present")</f>
        <v>Present</v>
      </c>
    </row>
    <row r="5165" spans="1:5" x14ac:dyDescent="0.25">
      <c r="A5165" s="2" t="s">
        <v>4391</v>
      </c>
      <c r="B5165" s="2" t="s">
        <v>4005</v>
      </c>
      <c r="C5165" s="2">
        <v>2</v>
      </c>
      <c r="D5165" t="str">
        <f t="shared" si="80"/>
        <v>CA-2016-166625_OFF-BI-10002414</v>
      </c>
      <c r="E5165" t="str">
        <f>IF(COUNTIF(data2!$D:$D,D5165)=0,"Missing in Data2","Present")</f>
        <v>Present</v>
      </c>
    </row>
    <row r="5166" spans="1:5" x14ac:dyDescent="0.25">
      <c r="A5166" s="2" t="s">
        <v>4392</v>
      </c>
      <c r="B5166" s="2" t="s">
        <v>1970</v>
      </c>
      <c r="C5166" s="2">
        <v>2</v>
      </c>
      <c r="D5166" t="str">
        <f t="shared" si="80"/>
        <v>CA-2016-166653_OFF-EN-10003055</v>
      </c>
      <c r="E5166" t="str">
        <f>IF(COUNTIF(data2!$D:$D,D5166)=0,"Missing in Data2","Present")</f>
        <v>Missing in Data2</v>
      </c>
    </row>
    <row r="5167" spans="1:5" x14ac:dyDescent="0.25">
      <c r="A5167" s="2" t="s">
        <v>4393</v>
      </c>
      <c r="B5167" s="2" t="s">
        <v>1821</v>
      </c>
      <c r="C5167" s="2">
        <v>3</v>
      </c>
      <c r="D5167" t="str">
        <f t="shared" si="80"/>
        <v>CA-2016-166674_OFF-AR-10000588</v>
      </c>
      <c r="E5167" t="str">
        <f>IF(COUNTIF(data2!$D:$D,D5167)=0,"Missing in Data2","Present")</f>
        <v>Present</v>
      </c>
    </row>
    <row r="5168" spans="1:5" x14ac:dyDescent="0.25">
      <c r="A5168" s="2" t="s">
        <v>4393</v>
      </c>
      <c r="B5168" s="2" t="s">
        <v>1062</v>
      </c>
      <c r="C5168" s="2">
        <v>6</v>
      </c>
      <c r="D5168" t="str">
        <f t="shared" si="80"/>
        <v>CA-2016-166674_OFF-AR-10001953</v>
      </c>
      <c r="E5168" t="str">
        <f>IF(COUNTIF(data2!$D:$D,D5168)=0,"Missing in Data2","Present")</f>
        <v>Present</v>
      </c>
    </row>
    <row r="5169" spans="1:5" x14ac:dyDescent="0.25">
      <c r="A5169" s="2" t="s">
        <v>4393</v>
      </c>
      <c r="B5169" s="2" t="s">
        <v>222</v>
      </c>
      <c r="C5169" s="2">
        <v>3</v>
      </c>
      <c r="D5169" t="str">
        <f t="shared" si="80"/>
        <v>CA-2016-166674_OFF-AR-10003156</v>
      </c>
      <c r="E5169" t="str">
        <f>IF(COUNTIF(data2!$D:$D,D5169)=0,"Missing in Data2","Present")</f>
        <v>Present</v>
      </c>
    </row>
    <row r="5170" spans="1:5" x14ac:dyDescent="0.25">
      <c r="A5170" s="2" t="s">
        <v>4393</v>
      </c>
      <c r="B5170" s="2" t="s">
        <v>4394</v>
      </c>
      <c r="C5170" s="2">
        <v>3</v>
      </c>
      <c r="D5170" t="str">
        <f t="shared" si="80"/>
        <v>CA-2016-166674_OFF-AR-10004974</v>
      </c>
      <c r="E5170" t="str">
        <f>IF(COUNTIF(data2!$D:$D,D5170)=0,"Missing in Data2","Present")</f>
        <v>Present</v>
      </c>
    </row>
    <row r="5171" spans="1:5" x14ac:dyDescent="0.25">
      <c r="A5171" s="2" t="s">
        <v>4393</v>
      </c>
      <c r="B5171" s="2" t="s">
        <v>764</v>
      </c>
      <c r="C5171" s="2">
        <v>3</v>
      </c>
      <c r="D5171" t="str">
        <f t="shared" si="80"/>
        <v>CA-2016-166674_OFF-ST-10001469</v>
      </c>
      <c r="E5171" t="str">
        <f>IF(COUNTIF(data2!$D:$D,D5171)=0,"Missing in Data2","Present")</f>
        <v>Present</v>
      </c>
    </row>
    <row r="5172" spans="1:5" x14ac:dyDescent="0.25">
      <c r="A5172" s="2" t="s">
        <v>4393</v>
      </c>
      <c r="B5172" s="2" t="s">
        <v>3483</v>
      </c>
      <c r="C5172" s="2">
        <v>4</v>
      </c>
      <c r="D5172" t="str">
        <f t="shared" si="80"/>
        <v>CA-2016-166674_TEC-PH-10002365</v>
      </c>
      <c r="E5172" t="str">
        <f>IF(COUNTIF(data2!$D:$D,D5172)=0,"Missing in Data2","Present")</f>
        <v>Present</v>
      </c>
    </row>
    <row r="5173" spans="1:5" x14ac:dyDescent="0.25">
      <c r="A5173" s="2" t="s">
        <v>4395</v>
      </c>
      <c r="B5173" s="2" t="s">
        <v>1926</v>
      </c>
      <c r="C5173" s="2">
        <v>2</v>
      </c>
      <c r="D5173" t="str">
        <f t="shared" si="80"/>
        <v>CA-2016-166772_FUR-BO-10002853</v>
      </c>
      <c r="E5173" t="str">
        <f>IF(COUNTIF(data2!$D:$D,D5173)=0,"Missing in Data2","Present")</f>
        <v>Present</v>
      </c>
    </row>
    <row r="5174" spans="1:5" x14ac:dyDescent="0.25">
      <c r="A5174" s="2" t="s">
        <v>4396</v>
      </c>
      <c r="B5174" s="2" t="s">
        <v>1435</v>
      </c>
      <c r="C5174" s="2">
        <v>2</v>
      </c>
      <c r="D5174" t="str">
        <f t="shared" si="80"/>
        <v>CA-2016-166912_OFF-PA-10001033</v>
      </c>
      <c r="E5174" t="str">
        <f>IF(COUNTIF(data2!$D:$D,D5174)=0,"Missing in Data2","Present")</f>
        <v>Present</v>
      </c>
    </row>
    <row r="5175" spans="1:5" x14ac:dyDescent="0.25">
      <c r="A5175" s="2" t="s">
        <v>4397</v>
      </c>
      <c r="B5175" s="2" t="s">
        <v>113</v>
      </c>
      <c r="C5175" s="2">
        <v>2</v>
      </c>
      <c r="D5175" t="str">
        <f t="shared" si="80"/>
        <v>CA-2016-167115_OFF-BI-10004600</v>
      </c>
      <c r="E5175" t="str">
        <f>IF(COUNTIF(data2!$D:$D,D5175)=0,"Missing in Data2","Present")</f>
        <v>Present</v>
      </c>
    </row>
    <row r="5176" spans="1:5" x14ac:dyDescent="0.25">
      <c r="A5176" s="2" t="s">
        <v>4398</v>
      </c>
      <c r="B5176" s="2" t="s">
        <v>4399</v>
      </c>
      <c r="C5176" s="2">
        <v>3</v>
      </c>
      <c r="D5176" t="str">
        <f t="shared" si="80"/>
        <v>CA-2016-167241_FUR-FU-10004071</v>
      </c>
      <c r="E5176" t="str">
        <f>IF(COUNTIF(data2!$D:$D,D5176)=0,"Missing in Data2","Present")</f>
        <v>Present</v>
      </c>
    </row>
    <row r="5177" spans="1:5" x14ac:dyDescent="0.25">
      <c r="A5177" s="2" t="s">
        <v>4398</v>
      </c>
      <c r="B5177" s="2" t="s">
        <v>4400</v>
      </c>
      <c r="C5177" s="2">
        <v>4</v>
      </c>
      <c r="D5177" t="str">
        <f t="shared" si="80"/>
        <v>CA-2016-167241_OFF-PA-10004911</v>
      </c>
      <c r="E5177" t="str">
        <f>IF(COUNTIF(data2!$D:$D,D5177)=0,"Missing in Data2","Present")</f>
        <v>Present</v>
      </c>
    </row>
    <row r="5178" spans="1:5" x14ac:dyDescent="0.25">
      <c r="A5178" s="2" t="s">
        <v>4398</v>
      </c>
      <c r="B5178" s="2" t="s">
        <v>487</v>
      </c>
      <c r="C5178" s="2">
        <v>3</v>
      </c>
      <c r="D5178" t="str">
        <f t="shared" si="80"/>
        <v>CA-2016-167241_OFF-ST-10001505</v>
      </c>
      <c r="E5178" t="str">
        <f>IF(COUNTIF(data2!$D:$D,D5178)=0,"Missing in Data2","Present")</f>
        <v>Present</v>
      </c>
    </row>
    <row r="5179" spans="1:5" x14ac:dyDescent="0.25">
      <c r="A5179" s="2" t="s">
        <v>4398</v>
      </c>
      <c r="B5179" s="2" t="s">
        <v>541</v>
      </c>
      <c r="C5179" s="2">
        <v>3</v>
      </c>
      <c r="D5179" t="str">
        <f t="shared" si="80"/>
        <v>CA-2016-167241_TEC-PH-10004614</v>
      </c>
      <c r="E5179" t="str">
        <f>IF(COUNTIF(data2!$D:$D,D5179)=0,"Missing in Data2","Present")</f>
        <v>Present</v>
      </c>
    </row>
    <row r="5180" spans="1:5" x14ac:dyDescent="0.25">
      <c r="A5180" s="2" t="s">
        <v>4401</v>
      </c>
      <c r="B5180" s="2" t="s">
        <v>1096</v>
      </c>
      <c r="C5180" s="2">
        <v>2</v>
      </c>
      <c r="D5180" t="str">
        <f t="shared" si="80"/>
        <v>CA-2016-167290_OFF-AR-10004078</v>
      </c>
      <c r="E5180" t="str">
        <f>IF(COUNTIF(data2!$D:$D,D5180)=0,"Missing in Data2","Present")</f>
        <v>Present</v>
      </c>
    </row>
    <row r="5181" spans="1:5" x14ac:dyDescent="0.25">
      <c r="A5181" s="2" t="s">
        <v>4402</v>
      </c>
      <c r="B5181" s="2" t="s">
        <v>4403</v>
      </c>
      <c r="C5181" s="2">
        <v>5</v>
      </c>
      <c r="D5181" t="str">
        <f t="shared" si="80"/>
        <v>CA-2016-167416_OFF-EN-10001141</v>
      </c>
      <c r="E5181" t="str">
        <f>IF(COUNTIF(data2!$D:$D,D5181)=0,"Missing in Data2","Present")</f>
        <v>Present</v>
      </c>
    </row>
    <row r="5182" spans="1:5" x14ac:dyDescent="0.25">
      <c r="A5182" s="2" t="s">
        <v>4404</v>
      </c>
      <c r="B5182" s="2" t="s">
        <v>2317</v>
      </c>
      <c r="C5182" s="2">
        <v>4</v>
      </c>
      <c r="D5182" t="str">
        <f t="shared" si="80"/>
        <v>CA-2016-167507_FUR-FU-10001935</v>
      </c>
      <c r="E5182" t="str">
        <f>IF(COUNTIF(data2!$D:$D,D5182)=0,"Missing in Data2","Present")</f>
        <v>Present</v>
      </c>
    </row>
    <row r="5183" spans="1:5" x14ac:dyDescent="0.25">
      <c r="A5183" s="2" t="s">
        <v>4404</v>
      </c>
      <c r="B5183" s="2" t="s">
        <v>349</v>
      </c>
      <c r="C5183" s="2">
        <v>1</v>
      </c>
      <c r="D5183" t="str">
        <f t="shared" si="80"/>
        <v>CA-2016-167507_FUR-FU-10002878</v>
      </c>
      <c r="E5183" t="str">
        <f>IF(COUNTIF(data2!$D:$D,D5183)=0,"Missing in Data2","Present")</f>
        <v>Present</v>
      </c>
    </row>
    <row r="5184" spans="1:5" x14ac:dyDescent="0.25">
      <c r="A5184" s="2" t="s">
        <v>4404</v>
      </c>
      <c r="B5184" s="2" t="s">
        <v>2516</v>
      </c>
      <c r="C5184" s="2">
        <v>10</v>
      </c>
      <c r="D5184" t="str">
        <f t="shared" si="80"/>
        <v>CA-2016-167507_OFF-BI-10003694</v>
      </c>
      <c r="E5184" t="str">
        <f>IF(COUNTIF(data2!$D:$D,D5184)=0,"Missing in Data2","Present")</f>
        <v>Present</v>
      </c>
    </row>
    <row r="5185" spans="1:5" x14ac:dyDescent="0.25">
      <c r="A5185" s="2" t="s">
        <v>4405</v>
      </c>
      <c r="B5185" s="2" t="s">
        <v>2725</v>
      </c>
      <c r="C5185" s="2">
        <v>8</v>
      </c>
      <c r="D5185" t="str">
        <f t="shared" si="80"/>
        <v>CA-2016-167556_FUR-FU-10004848</v>
      </c>
      <c r="E5185" t="str">
        <f>IF(COUNTIF(data2!$D:$D,D5185)=0,"Missing in Data2","Present")</f>
        <v>Present</v>
      </c>
    </row>
    <row r="5186" spans="1:5" x14ac:dyDescent="0.25">
      <c r="A5186" s="2" t="s">
        <v>4405</v>
      </c>
      <c r="B5186" s="2" t="s">
        <v>152</v>
      </c>
      <c r="C5186" s="2">
        <v>7</v>
      </c>
      <c r="D5186" t="str">
        <f t="shared" si="80"/>
        <v>CA-2016-167556_OFF-BI-10000320</v>
      </c>
      <c r="E5186" t="str">
        <f>IF(COUNTIF(data2!$D:$D,D5186)=0,"Missing in Data2","Present")</f>
        <v>Present</v>
      </c>
    </row>
    <row r="5187" spans="1:5" x14ac:dyDescent="0.25">
      <c r="A5187" s="2" t="s">
        <v>4405</v>
      </c>
      <c r="B5187" s="2" t="s">
        <v>227</v>
      </c>
      <c r="C5187" s="2">
        <v>5</v>
      </c>
      <c r="D5187" t="str">
        <f t="shared" ref="D5187:D5250" si="81">A5187&amp;"_"&amp;B5187</f>
        <v>CA-2016-167556_OFF-BI-10003708</v>
      </c>
      <c r="E5187" t="str">
        <f>IF(COUNTIF(data2!$D:$D,D5187)=0,"Missing in Data2","Present")</f>
        <v>Present</v>
      </c>
    </row>
    <row r="5188" spans="1:5" x14ac:dyDescent="0.25">
      <c r="A5188" s="2" t="s">
        <v>4405</v>
      </c>
      <c r="B5188" s="2" t="s">
        <v>288</v>
      </c>
      <c r="C5188" s="2">
        <v>2</v>
      </c>
      <c r="D5188" t="str">
        <f t="shared" si="81"/>
        <v>CA-2016-167556_OFF-PA-10000466</v>
      </c>
      <c r="E5188" t="str">
        <f>IF(COUNTIF(data2!$D:$D,D5188)=0,"Missing in Data2","Present")</f>
        <v>Present</v>
      </c>
    </row>
    <row r="5189" spans="1:5" x14ac:dyDescent="0.25">
      <c r="A5189" s="2" t="s">
        <v>4406</v>
      </c>
      <c r="B5189" s="2" t="s">
        <v>316</v>
      </c>
      <c r="C5189" s="2">
        <v>1</v>
      </c>
      <c r="D5189" t="str">
        <f t="shared" si="81"/>
        <v>CA-2016-167584_OFF-PA-10000029</v>
      </c>
      <c r="E5189" t="str">
        <f>IF(COUNTIF(data2!$D:$D,D5189)=0,"Missing in Data2","Present")</f>
        <v>Present</v>
      </c>
    </row>
    <row r="5190" spans="1:5" x14ac:dyDescent="0.25">
      <c r="A5190" s="2" t="s">
        <v>4407</v>
      </c>
      <c r="B5190" s="2" t="s">
        <v>1448</v>
      </c>
      <c r="C5190" s="2">
        <v>2</v>
      </c>
      <c r="D5190" t="str">
        <f t="shared" si="81"/>
        <v>CA-2016-167605_FUR-FU-10001602</v>
      </c>
      <c r="E5190" t="str">
        <f>IF(COUNTIF(data2!$D:$D,D5190)=0,"Missing in Data2","Present")</f>
        <v>Present</v>
      </c>
    </row>
    <row r="5191" spans="1:5" x14ac:dyDescent="0.25">
      <c r="A5191" s="2" t="s">
        <v>4408</v>
      </c>
      <c r="B5191" s="2" t="s">
        <v>2021</v>
      </c>
      <c r="C5191" s="2">
        <v>4</v>
      </c>
      <c r="D5191" t="str">
        <f t="shared" si="81"/>
        <v>CA-2016-167682_FUR-FU-10003799</v>
      </c>
      <c r="E5191" t="str">
        <f>IF(COUNTIF(data2!$D:$D,D5191)=0,"Missing in Data2","Present")</f>
        <v>Present</v>
      </c>
    </row>
    <row r="5192" spans="1:5" x14ac:dyDescent="0.25">
      <c r="A5192" s="2" t="s">
        <v>4408</v>
      </c>
      <c r="B5192" s="2" t="s">
        <v>863</v>
      </c>
      <c r="C5192" s="2">
        <v>4</v>
      </c>
      <c r="D5192" t="str">
        <f t="shared" si="81"/>
        <v>CA-2016-167682_TEC-PH-10000673</v>
      </c>
      <c r="E5192" t="str">
        <f>IF(COUNTIF(data2!$D:$D,D5192)=0,"Missing in Data2","Present")</f>
        <v>Present</v>
      </c>
    </row>
    <row r="5193" spans="1:5" x14ac:dyDescent="0.25">
      <c r="A5193" s="2" t="s">
        <v>4409</v>
      </c>
      <c r="B5193" s="2" t="s">
        <v>1288</v>
      </c>
      <c r="C5193" s="2">
        <v>3</v>
      </c>
      <c r="D5193" t="str">
        <f t="shared" si="81"/>
        <v>CA-2016-167759_TEC-PH-10003171</v>
      </c>
      <c r="E5193" t="str">
        <f>IF(COUNTIF(data2!$D:$D,D5193)=0,"Missing in Data2","Present")</f>
        <v>Present</v>
      </c>
    </row>
    <row r="5194" spans="1:5" x14ac:dyDescent="0.25">
      <c r="A5194" s="2" t="s">
        <v>4410</v>
      </c>
      <c r="B5194" s="2" t="s">
        <v>1526</v>
      </c>
      <c r="C5194" s="2">
        <v>10</v>
      </c>
      <c r="D5194" t="str">
        <f t="shared" si="81"/>
        <v>CA-2016-167983_OFF-BI-10003727</v>
      </c>
      <c r="E5194" t="str">
        <f>IF(COUNTIF(data2!$D:$D,D5194)=0,"Missing in Data2","Present")</f>
        <v>Present</v>
      </c>
    </row>
    <row r="5195" spans="1:5" x14ac:dyDescent="0.25">
      <c r="A5195" s="2" t="s">
        <v>4411</v>
      </c>
      <c r="B5195" s="2" t="s">
        <v>3419</v>
      </c>
      <c r="C5195" s="2">
        <v>3</v>
      </c>
      <c r="D5195" t="str">
        <f t="shared" si="81"/>
        <v>CA-2016-168032_FUR-TA-10004256</v>
      </c>
      <c r="E5195" t="str">
        <f>IF(COUNTIF(data2!$D:$D,D5195)=0,"Missing in Data2","Present")</f>
        <v>Missing in Data2</v>
      </c>
    </row>
    <row r="5196" spans="1:5" x14ac:dyDescent="0.25">
      <c r="A5196" s="2" t="s">
        <v>4411</v>
      </c>
      <c r="B5196" s="2" t="s">
        <v>1636</v>
      </c>
      <c r="C5196" s="2">
        <v>3</v>
      </c>
      <c r="D5196" t="str">
        <f t="shared" si="81"/>
        <v>CA-2016-168032_OFF-BI-10000546</v>
      </c>
      <c r="E5196" t="str">
        <f>IF(COUNTIF(data2!$D:$D,D5196)=0,"Missing in Data2","Present")</f>
        <v>Present</v>
      </c>
    </row>
    <row r="5197" spans="1:5" x14ac:dyDescent="0.25">
      <c r="A5197" s="2" t="s">
        <v>4411</v>
      </c>
      <c r="B5197" s="2" t="s">
        <v>4412</v>
      </c>
      <c r="C5197" s="2">
        <v>4</v>
      </c>
      <c r="D5197" t="str">
        <f t="shared" si="81"/>
        <v>CA-2016-168032_TEC-PH-10004241</v>
      </c>
      <c r="E5197" t="str">
        <f>IF(COUNTIF(data2!$D:$D,D5197)=0,"Missing in Data2","Present")</f>
        <v>Present</v>
      </c>
    </row>
    <row r="5198" spans="1:5" x14ac:dyDescent="0.25">
      <c r="A5198" s="2" t="s">
        <v>4413</v>
      </c>
      <c r="B5198" s="2" t="s">
        <v>91</v>
      </c>
      <c r="C5198" s="2">
        <v>1</v>
      </c>
      <c r="D5198" t="str">
        <f t="shared" si="81"/>
        <v>CA-2016-168046_FUR-FU-10000747</v>
      </c>
      <c r="E5198" t="str">
        <f>IF(COUNTIF(data2!$D:$D,D5198)=0,"Missing in Data2","Present")</f>
        <v>Present</v>
      </c>
    </row>
    <row r="5199" spans="1:5" x14ac:dyDescent="0.25">
      <c r="A5199" s="2" t="s">
        <v>4413</v>
      </c>
      <c r="B5199" s="2" t="s">
        <v>2635</v>
      </c>
      <c r="C5199" s="2">
        <v>3</v>
      </c>
      <c r="D5199" t="str">
        <f t="shared" si="81"/>
        <v>CA-2016-168046_FUR-TA-10001095</v>
      </c>
      <c r="E5199" t="str">
        <f>IF(COUNTIF(data2!$D:$D,D5199)=0,"Missing in Data2","Present")</f>
        <v>Present</v>
      </c>
    </row>
    <row r="5200" spans="1:5" x14ac:dyDescent="0.25">
      <c r="A5200" s="2" t="s">
        <v>4413</v>
      </c>
      <c r="B5200" s="2" t="s">
        <v>206</v>
      </c>
      <c r="C5200" s="2">
        <v>5</v>
      </c>
      <c r="D5200" t="str">
        <f t="shared" si="81"/>
        <v>CA-2016-168046_OFF-BI-10003676</v>
      </c>
      <c r="E5200" t="str">
        <f>IF(COUNTIF(data2!$D:$D,D5200)=0,"Missing in Data2","Present")</f>
        <v>Present</v>
      </c>
    </row>
    <row r="5201" spans="1:5" x14ac:dyDescent="0.25">
      <c r="A5201" s="2" t="s">
        <v>4414</v>
      </c>
      <c r="B5201" s="2" t="s">
        <v>1658</v>
      </c>
      <c r="C5201" s="2">
        <v>3</v>
      </c>
      <c r="D5201" t="str">
        <f t="shared" si="81"/>
        <v>CA-2016-168081_TEC-AC-10003174</v>
      </c>
      <c r="E5201" t="str">
        <f>IF(COUNTIF(data2!$D:$D,D5201)=0,"Missing in Data2","Present")</f>
        <v>Present</v>
      </c>
    </row>
    <row r="5202" spans="1:5" x14ac:dyDescent="0.25">
      <c r="A5202" s="2" t="s">
        <v>4415</v>
      </c>
      <c r="B5202" s="2" t="s">
        <v>62</v>
      </c>
      <c r="C5202" s="2">
        <v>4</v>
      </c>
      <c r="D5202" t="str">
        <f t="shared" si="81"/>
        <v>CA-2016-168354_FUR-CH-10004675</v>
      </c>
      <c r="E5202" t="str">
        <f>IF(COUNTIF(data2!$D:$D,D5202)=0,"Missing in Data2","Present")</f>
        <v>Present</v>
      </c>
    </row>
    <row r="5203" spans="1:5" x14ac:dyDescent="0.25">
      <c r="A5203" s="2" t="s">
        <v>4415</v>
      </c>
      <c r="B5203" s="2" t="s">
        <v>2544</v>
      </c>
      <c r="C5203" s="2">
        <v>3</v>
      </c>
      <c r="D5203" t="str">
        <f t="shared" si="81"/>
        <v>CA-2016-168354_OFF-BI-10004826</v>
      </c>
      <c r="E5203" t="str">
        <f>IF(COUNTIF(data2!$D:$D,D5203)=0,"Missing in Data2","Present")</f>
        <v>Present</v>
      </c>
    </row>
    <row r="5204" spans="1:5" x14ac:dyDescent="0.25">
      <c r="A5204" s="2" t="s">
        <v>4415</v>
      </c>
      <c r="B5204" s="2" t="s">
        <v>592</v>
      </c>
      <c r="C5204" s="2">
        <v>3</v>
      </c>
      <c r="D5204" t="str">
        <f t="shared" si="81"/>
        <v>CA-2016-168354_OFF-PA-10002377</v>
      </c>
      <c r="E5204" t="str">
        <f>IF(COUNTIF(data2!$D:$D,D5204)=0,"Missing in Data2","Present")</f>
        <v>Present</v>
      </c>
    </row>
    <row r="5205" spans="1:5" x14ac:dyDescent="0.25">
      <c r="A5205" s="2" t="s">
        <v>4415</v>
      </c>
      <c r="B5205" s="2" t="s">
        <v>34</v>
      </c>
      <c r="C5205" s="2">
        <v>9</v>
      </c>
      <c r="D5205" t="str">
        <f t="shared" si="81"/>
        <v>CA-2016-168354_OFF-ST-10001490</v>
      </c>
      <c r="E5205" t="str">
        <f>IF(COUNTIF(data2!$D:$D,D5205)=0,"Missing in Data2","Present")</f>
        <v>Present</v>
      </c>
    </row>
    <row r="5206" spans="1:5" x14ac:dyDescent="0.25">
      <c r="A5206" s="2" t="s">
        <v>4416</v>
      </c>
      <c r="B5206" s="2" t="s">
        <v>1526</v>
      </c>
      <c r="C5206" s="2">
        <v>1</v>
      </c>
      <c r="D5206" t="str">
        <f t="shared" si="81"/>
        <v>CA-2016-168361_OFF-BI-10003727</v>
      </c>
      <c r="E5206" t="str">
        <f>IF(COUNTIF(data2!$D:$D,D5206)=0,"Missing in Data2","Present")</f>
        <v>Present</v>
      </c>
    </row>
    <row r="5207" spans="1:5" x14ac:dyDescent="0.25">
      <c r="A5207" s="2" t="s">
        <v>4417</v>
      </c>
      <c r="B5207" s="2" t="s">
        <v>731</v>
      </c>
      <c r="C5207" s="2">
        <v>3</v>
      </c>
      <c r="D5207" t="str">
        <f t="shared" si="81"/>
        <v>CA-2016-168536_TEC-AC-10002323</v>
      </c>
      <c r="E5207" t="str">
        <f>IF(COUNTIF(data2!$D:$D,D5207)=0,"Missing in Data2","Present")</f>
        <v>Present</v>
      </c>
    </row>
    <row r="5208" spans="1:5" x14ac:dyDescent="0.25">
      <c r="A5208" s="2" t="s">
        <v>4418</v>
      </c>
      <c r="B5208" s="2" t="s">
        <v>4419</v>
      </c>
      <c r="C5208" s="2">
        <v>7</v>
      </c>
      <c r="D5208" t="str">
        <f t="shared" si="81"/>
        <v>CA-2016-168543_OFF-AP-10000938</v>
      </c>
      <c r="E5208" t="str">
        <f>IF(COUNTIF(data2!$D:$D,D5208)=0,"Missing in Data2","Present")</f>
        <v>Present</v>
      </c>
    </row>
    <row r="5209" spans="1:5" x14ac:dyDescent="0.25">
      <c r="A5209" s="2" t="s">
        <v>4420</v>
      </c>
      <c r="B5209" s="2" t="s">
        <v>3655</v>
      </c>
      <c r="C5209" s="2">
        <v>2</v>
      </c>
      <c r="D5209" t="str">
        <f t="shared" si="81"/>
        <v>CA-2016-168557_OFF-BI-10002309</v>
      </c>
      <c r="E5209" t="str">
        <f>IF(COUNTIF(data2!$D:$D,D5209)=0,"Missing in Data2","Present")</f>
        <v>Present</v>
      </c>
    </row>
    <row r="5210" spans="1:5" x14ac:dyDescent="0.25">
      <c r="A5210" s="2" t="s">
        <v>4421</v>
      </c>
      <c r="B5210" s="2" t="s">
        <v>520</v>
      </c>
      <c r="C5210" s="2">
        <v>5</v>
      </c>
      <c r="D5210" t="str">
        <f t="shared" si="81"/>
        <v>CA-2016-168753_TEC-PH-10000984</v>
      </c>
      <c r="E5210" t="str">
        <f>IF(COUNTIF(data2!$D:$D,D5210)=0,"Missing in Data2","Present")</f>
        <v>Present</v>
      </c>
    </row>
    <row r="5211" spans="1:5" x14ac:dyDescent="0.25">
      <c r="A5211" s="2" t="s">
        <v>4422</v>
      </c>
      <c r="B5211" s="2" t="s">
        <v>34</v>
      </c>
      <c r="C5211" s="2">
        <v>3</v>
      </c>
      <c r="D5211" t="str">
        <f t="shared" si="81"/>
        <v>CA-2016-168774_OFF-ST-10001490</v>
      </c>
      <c r="E5211" t="str">
        <f>IF(COUNTIF(data2!$D:$D,D5211)=0,"Missing in Data2","Present")</f>
        <v>Present</v>
      </c>
    </row>
    <row r="5212" spans="1:5" x14ac:dyDescent="0.25">
      <c r="A5212" s="2" t="s">
        <v>4423</v>
      </c>
      <c r="B5212" s="2" t="s">
        <v>1574</v>
      </c>
      <c r="C5212" s="2">
        <v>3</v>
      </c>
      <c r="D5212" t="str">
        <f t="shared" si="81"/>
        <v>CA-2016-168830_TEC-AC-10003911</v>
      </c>
      <c r="E5212" t="str">
        <f>IF(COUNTIF(data2!$D:$D,D5212)=0,"Missing in Data2","Present")</f>
        <v>Present</v>
      </c>
    </row>
    <row r="5213" spans="1:5" x14ac:dyDescent="0.25">
      <c r="A5213" s="2" t="s">
        <v>4424</v>
      </c>
      <c r="B5213" s="2" t="s">
        <v>459</v>
      </c>
      <c r="C5213" s="2">
        <v>3</v>
      </c>
      <c r="D5213" t="str">
        <f t="shared" si="81"/>
        <v>CA-2016-168844_OFF-BI-10002609</v>
      </c>
      <c r="E5213" t="str">
        <f>IF(COUNTIF(data2!$D:$D,D5213)=0,"Missing in Data2","Present")</f>
        <v>Present</v>
      </c>
    </row>
    <row r="5214" spans="1:5" x14ac:dyDescent="0.25">
      <c r="A5214" s="2" t="s">
        <v>4424</v>
      </c>
      <c r="B5214" s="2" t="s">
        <v>1934</v>
      </c>
      <c r="C5214" s="2">
        <v>6</v>
      </c>
      <c r="D5214" t="str">
        <f t="shared" si="81"/>
        <v>CA-2016-168844_TEC-PH-10003215</v>
      </c>
      <c r="E5214" t="str">
        <f>IF(COUNTIF(data2!$D:$D,D5214)=0,"Missing in Data2","Present")</f>
        <v>Present</v>
      </c>
    </row>
    <row r="5215" spans="1:5" x14ac:dyDescent="0.25">
      <c r="A5215" s="2" t="s">
        <v>4425</v>
      </c>
      <c r="B5215" s="2" t="s">
        <v>2254</v>
      </c>
      <c r="C5215" s="2">
        <v>5</v>
      </c>
      <c r="D5215" t="str">
        <f t="shared" si="81"/>
        <v>CA-2016-168893_FUR-FU-10002885</v>
      </c>
      <c r="E5215" t="str">
        <f>IF(COUNTIF(data2!$D:$D,D5215)=0,"Missing in Data2","Present")</f>
        <v>Present</v>
      </c>
    </row>
    <row r="5216" spans="1:5" x14ac:dyDescent="0.25">
      <c r="A5216" s="2" t="s">
        <v>4425</v>
      </c>
      <c r="B5216" s="2" t="s">
        <v>4195</v>
      </c>
      <c r="C5216" s="2">
        <v>3</v>
      </c>
      <c r="D5216" t="str">
        <f t="shared" si="81"/>
        <v>CA-2016-168893_FUR-TA-10003392</v>
      </c>
      <c r="E5216" t="str">
        <f>IF(COUNTIF(data2!$D:$D,D5216)=0,"Missing in Data2","Present")</f>
        <v>Present</v>
      </c>
    </row>
    <row r="5217" spans="1:5" x14ac:dyDescent="0.25">
      <c r="A5217" s="2" t="s">
        <v>4425</v>
      </c>
      <c r="B5217" s="2" t="s">
        <v>3813</v>
      </c>
      <c r="C5217" s="2">
        <v>3</v>
      </c>
      <c r="D5217" t="str">
        <f t="shared" si="81"/>
        <v>CA-2016-168893_OFF-AR-10001770</v>
      </c>
      <c r="E5217" t="str">
        <f>IF(COUNTIF(data2!$D:$D,D5217)=0,"Missing in Data2","Present")</f>
        <v>Missing in Data2</v>
      </c>
    </row>
    <row r="5218" spans="1:5" x14ac:dyDescent="0.25">
      <c r="A5218" s="2" t="s">
        <v>4425</v>
      </c>
      <c r="B5218" s="2" t="s">
        <v>479</v>
      </c>
      <c r="C5218" s="2">
        <v>1</v>
      </c>
      <c r="D5218" t="str">
        <f t="shared" si="81"/>
        <v>CA-2016-168893_OFF-AR-10003772</v>
      </c>
      <c r="E5218" t="str">
        <f>IF(COUNTIF(data2!$D:$D,D5218)=0,"Missing in Data2","Present")</f>
        <v>Present</v>
      </c>
    </row>
    <row r="5219" spans="1:5" x14ac:dyDescent="0.25">
      <c r="A5219" s="2" t="s">
        <v>4425</v>
      </c>
      <c r="B5219" s="2" t="s">
        <v>913</v>
      </c>
      <c r="C5219" s="2">
        <v>4</v>
      </c>
      <c r="D5219" t="str">
        <f t="shared" si="81"/>
        <v>CA-2016-168893_OFF-FA-10002280</v>
      </c>
      <c r="E5219" t="str">
        <f>IF(COUNTIF(data2!$D:$D,D5219)=0,"Missing in Data2","Present")</f>
        <v>Present</v>
      </c>
    </row>
    <row r="5220" spans="1:5" x14ac:dyDescent="0.25">
      <c r="A5220" s="2" t="s">
        <v>4426</v>
      </c>
      <c r="B5220" s="2" t="s">
        <v>248</v>
      </c>
      <c r="C5220" s="2">
        <v>3</v>
      </c>
      <c r="D5220" t="str">
        <f t="shared" si="81"/>
        <v>CA-2016-168921_OFF-BI-10004209</v>
      </c>
      <c r="E5220" t="str">
        <f>IF(COUNTIF(data2!$D:$D,D5220)=0,"Missing in Data2","Present")</f>
        <v>Present</v>
      </c>
    </row>
    <row r="5221" spans="1:5" x14ac:dyDescent="0.25">
      <c r="A5221" s="2" t="s">
        <v>4427</v>
      </c>
      <c r="B5221" s="2" t="s">
        <v>1502</v>
      </c>
      <c r="C5221" s="2">
        <v>3</v>
      </c>
      <c r="D5221" t="str">
        <f t="shared" si="81"/>
        <v>CA-2016-168956_FUR-CH-10004754</v>
      </c>
      <c r="E5221" t="str">
        <f>IF(COUNTIF(data2!$D:$D,D5221)=0,"Missing in Data2","Present")</f>
        <v>Present</v>
      </c>
    </row>
    <row r="5222" spans="1:5" x14ac:dyDescent="0.25">
      <c r="A5222" s="2" t="s">
        <v>4427</v>
      </c>
      <c r="B5222" s="2" t="s">
        <v>4428</v>
      </c>
      <c r="C5222" s="2">
        <v>6</v>
      </c>
      <c r="D5222" t="str">
        <f t="shared" si="81"/>
        <v>CA-2016-168956_OFF-AP-10004233</v>
      </c>
      <c r="E5222" t="str">
        <f>IF(COUNTIF(data2!$D:$D,D5222)=0,"Missing in Data2","Present")</f>
        <v>Present</v>
      </c>
    </row>
    <row r="5223" spans="1:5" x14ac:dyDescent="0.25">
      <c r="A5223" s="2" t="s">
        <v>4427</v>
      </c>
      <c r="B5223" s="2" t="s">
        <v>552</v>
      </c>
      <c r="C5223" s="2">
        <v>4</v>
      </c>
      <c r="D5223" t="str">
        <f t="shared" si="81"/>
        <v>CA-2016-168956_OFF-FA-10000304</v>
      </c>
      <c r="E5223" t="str">
        <f>IF(COUNTIF(data2!$D:$D,D5223)=0,"Missing in Data2","Present")</f>
        <v>Present</v>
      </c>
    </row>
    <row r="5224" spans="1:5" x14ac:dyDescent="0.25">
      <c r="A5224" s="2" t="s">
        <v>4427</v>
      </c>
      <c r="B5224" s="2" t="s">
        <v>2165</v>
      </c>
      <c r="C5224" s="2">
        <v>1</v>
      </c>
      <c r="D5224" t="str">
        <f t="shared" si="81"/>
        <v>CA-2016-168956_OFF-PA-10000809</v>
      </c>
      <c r="E5224" t="str">
        <f>IF(COUNTIF(data2!$D:$D,D5224)=0,"Missing in Data2","Present")</f>
        <v>Present</v>
      </c>
    </row>
    <row r="5225" spans="1:5" x14ac:dyDescent="0.25">
      <c r="A5225" s="2" t="s">
        <v>4429</v>
      </c>
      <c r="B5225" s="2" t="s">
        <v>1777</v>
      </c>
      <c r="C5225" s="2">
        <v>3</v>
      </c>
      <c r="D5225" t="str">
        <f t="shared" si="81"/>
        <v>CA-2016-169026_OFF-FA-10001883</v>
      </c>
      <c r="E5225" t="str">
        <f>IF(COUNTIF(data2!$D:$D,D5225)=0,"Missing in Data2","Present")</f>
        <v>Present</v>
      </c>
    </row>
    <row r="5226" spans="1:5" x14ac:dyDescent="0.25">
      <c r="A5226" s="2" t="s">
        <v>4430</v>
      </c>
      <c r="B5226" s="2" t="s">
        <v>450</v>
      </c>
      <c r="C5226" s="2">
        <v>3</v>
      </c>
      <c r="D5226" t="str">
        <f t="shared" si="81"/>
        <v>CA-2016-169103_FUR-FU-10004006</v>
      </c>
      <c r="E5226" t="str">
        <f>IF(COUNTIF(data2!$D:$D,D5226)=0,"Missing in Data2","Present")</f>
        <v>Present</v>
      </c>
    </row>
    <row r="5227" spans="1:5" x14ac:dyDescent="0.25">
      <c r="A5227" s="2" t="s">
        <v>4430</v>
      </c>
      <c r="B5227" s="2" t="s">
        <v>602</v>
      </c>
      <c r="C5227" s="2">
        <v>5</v>
      </c>
      <c r="D5227" t="str">
        <f t="shared" si="81"/>
        <v>CA-2016-169103_TEC-PH-10001530</v>
      </c>
      <c r="E5227" t="str">
        <f>IF(COUNTIF(data2!$D:$D,D5227)=0,"Missing in Data2","Present")</f>
        <v>Present</v>
      </c>
    </row>
    <row r="5228" spans="1:5" x14ac:dyDescent="0.25">
      <c r="A5228" s="2" t="s">
        <v>4431</v>
      </c>
      <c r="B5228" s="2" t="s">
        <v>4003</v>
      </c>
      <c r="C5228" s="2">
        <v>2</v>
      </c>
      <c r="D5228" t="str">
        <f t="shared" si="81"/>
        <v>CA-2016-169166_TEC-AC-10000991</v>
      </c>
      <c r="E5228" t="str">
        <f>IF(COUNTIF(data2!$D:$D,D5228)=0,"Missing in Data2","Present")</f>
        <v>Present</v>
      </c>
    </row>
    <row r="5229" spans="1:5" x14ac:dyDescent="0.25">
      <c r="A5229" s="2" t="s">
        <v>4432</v>
      </c>
      <c r="B5229" s="2" t="s">
        <v>1315</v>
      </c>
      <c r="C5229" s="2">
        <v>3</v>
      </c>
      <c r="D5229" t="str">
        <f t="shared" si="81"/>
        <v>CA-2016-169194_TEC-AC-10002167</v>
      </c>
      <c r="E5229" t="str">
        <f>IF(COUNTIF(data2!$D:$D,D5229)=0,"Missing in Data2","Present")</f>
        <v>Present</v>
      </c>
    </row>
    <row r="5230" spans="1:5" x14ac:dyDescent="0.25">
      <c r="A5230" s="2" t="s">
        <v>4432</v>
      </c>
      <c r="B5230" s="2" t="s">
        <v>1616</v>
      </c>
      <c r="C5230" s="2">
        <v>2</v>
      </c>
      <c r="D5230" t="str">
        <f t="shared" si="81"/>
        <v>CA-2016-169194_TEC-PH-10003988</v>
      </c>
      <c r="E5230" t="str">
        <f>IF(COUNTIF(data2!$D:$D,D5230)=0,"Missing in Data2","Present")</f>
        <v>Present</v>
      </c>
    </row>
    <row r="5231" spans="1:5" x14ac:dyDescent="0.25">
      <c r="A5231" s="2" t="s">
        <v>4433</v>
      </c>
      <c r="B5231" s="2" t="s">
        <v>821</v>
      </c>
      <c r="C5231" s="2">
        <v>9</v>
      </c>
      <c r="D5231" t="str">
        <f t="shared" si="81"/>
        <v>CA-2016-169215_OFF-FA-10000936</v>
      </c>
      <c r="E5231" t="str">
        <f>IF(COUNTIF(data2!$D:$D,D5231)=0,"Missing in Data2","Present")</f>
        <v>Missing in Data2</v>
      </c>
    </row>
    <row r="5232" spans="1:5" x14ac:dyDescent="0.25">
      <c r="A5232" s="2" t="s">
        <v>4434</v>
      </c>
      <c r="B5232" s="2" t="s">
        <v>45</v>
      </c>
      <c r="C5232" s="2">
        <v>9</v>
      </c>
      <c r="D5232" t="str">
        <f t="shared" si="81"/>
        <v>CA-2016-169334_OFF-ST-10004950</v>
      </c>
      <c r="E5232" t="str">
        <f>IF(COUNTIF(data2!$D:$D,D5232)=0,"Missing in Data2","Present")</f>
        <v>Present</v>
      </c>
    </row>
    <row r="5233" spans="1:5" x14ac:dyDescent="0.25">
      <c r="A5233" s="2" t="s">
        <v>4435</v>
      </c>
      <c r="B5233" s="2" t="s">
        <v>311</v>
      </c>
      <c r="C5233" s="2">
        <v>3</v>
      </c>
      <c r="D5233" t="str">
        <f t="shared" si="81"/>
        <v>CA-2016-169663_TEC-AC-10003038</v>
      </c>
      <c r="E5233" t="str">
        <f>IF(COUNTIF(data2!$D:$D,D5233)=0,"Missing in Data2","Present")</f>
        <v>Present</v>
      </c>
    </row>
    <row r="5234" spans="1:5" x14ac:dyDescent="0.25">
      <c r="A5234" s="2" t="s">
        <v>4435</v>
      </c>
      <c r="B5234" s="2" t="s">
        <v>3174</v>
      </c>
      <c r="C5234" s="2">
        <v>3</v>
      </c>
      <c r="D5234" t="str">
        <f t="shared" si="81"/>
        <v>CA-2016-169663_TEC-MA-10000984</v>
      </c>
      <c r="E5234" t="str">
        <f>IF(COUNTIF(data2!$D:$D,D5234)=0,"Missing in Data2","Present")</f>
        <v>Present</v>
      </c>
    </row>
    <row r="5235" spans="1:5" x14ac:dyDescent="0.25">
      <c r="A5235" s="2" t="s">
        <v>4436</v>
      </c>
      <c r="B5235" s="2" t="s">
        <v>226</v>
      </c>
      <c r="C5235" s="2">
        <v>5</v>
      </c>
      <c r="D5235" t="str">
        <f t="shared" si="81"/>
        <v>CA-2016-169824_FUR-FU-10004864</v>
      </c>
      <c r="E5235" t="str">
        <f>IF(COUNTIF(data2!$D:$D,D5235)=0,"Missing in Data2","Present")</f>
        <v>Present</v>
      </c>
    </row>
    <row r="5236" spans="1:5" x14ac:dyDescent="0.25">
      <c r="A5236" s="2" t="s">
        <v>4436</v>
      </c>
      <c r="B5236" s="2" t="s">
        <v>4290</v>
      </c>
      <c r="C5236" s="2">
        <v>7</v>
      </c>
      <c r="D5236" t="str">
        <f t="shared" si="81"/>
        <v>CA-2016-169824_OFF-AR-10000462</v>
      </c>
      <c r="E5236" t="str">
        <f>IF(COUNTIF(data2!$D:$D,D5236)=0,"Missing in Data2","Present")</f>
        <v>Present</v>
      </c>
    </row>
    <row r="5237" spans="1:5" x14ac:dyDescent="0.25">
      <c r="A5237" s="2" t="s">
        <v>4436</v>
      </c>
      <c r="B5237" s="2" t="s">
        <v>3584</v>
      </c>
      <c r="C5237" s="2">
        <v>4</v>
      </c>
      <c r="D5237" t="str">
        <f t="shared" si="81"/>
        <v>CA-2016-169824_OFF-SU-10000952</v>
      </c>
      <c r="E5237" t="str">
        <f>IF(COUNTIF(data2!$D:$D,D5237)=0,"Missing in Data2","Present")</f>
        <v>Present</v>
      </c>
    </row>
    <row r="5238" spans="1:5" x14ac:dyDescent="0.25">
      <c r="A5238" s="2" t="s">
        <v>4437</v>
      </c>
      <c r="B5238" s="2" t="s">
        <v>2635</v>
      </c>
      <c r="C5238" s="2">
        <v>9</v>
      </c>
      <c r="D5238" t="str">
        <f t="shared" si="81"/>
        <v>CA-2016-169838_FUR-TA-10001095</v>
      </c>
      <c r="E5238" t="str">
        <f>IF(COUNTIF(data2!$D:$D,D5238)=0,"Missing in Data2","Present")</f>
        <v>Present</v>
      </c>
    </row>
    <row r="5239" spans="1:5" x14ac:dyDescent="0.25">
      <c r="A5239" s="2" t="s">
        <v>4437</v>
      </c>
      <c r="B5239" s="2" t="s">
        <v>2543</v>
      </c>
      <c r="C5239" s="2">
        <v>1</v>
      </c>
      <c r="D5239" t="str">
        <f t="shared" si="81"/>
        <v>CA-2016-169838_OFF-BI-10004002</v>
      </c>
      <c r="E5239" t="str">
        <f>IF(COUNTIF(data2!$D:$D,D5239)=0,"Missing in Data2","Present")</f>
        <v>Present</v>
      </c>
    </row>
    <row r="5240" spans="1:5" x14ac:dyDescent="0.25">
      <c r="A5240" s="2" t="s">
        <v>4437</v>
      </c>
      <c r="B5240" s="2" t="s">
        <v>4438</v>
      </c>
      <c r="C5240" s="2">
        <v>8</v>
      </c>
      <c r="D5240" t="str">
        <f t="shared" si="81"/>
        <v>CA-2016-169838_TEC-AC-10004518</v>
      </c>
      <c r="E5240" t="str">
        <f>IF(COUNTIF(data2!$D:$D,D5240)=0,"Missing in Data2","Present")</f>
        <v>Present</v>
      </c>
    </row>
    <row r="5241" spans="1:5" x14ac:dyDescent="0.25">
      <c r="A5241" s="2" t="s">
        <v>4439</v>
      </c>
      <c r="B5241" s="2" t="s">
        <v>4440</v>
      </c>
      <c r="C5241" s="2">
        <v>3</v>
      </c>
      <c r="D5241" t="str">
        <f t="shared" si="81"/>
        <v>CA-2016-169887_FUR-FU-10003095</v>
      </c>
      <c r="E5241" t="str">
        <f>IF(COUNTIF(data2!$D:$D,D5241)=0,"Missing in Data2","Present")</f>
        <v>Present</v>
      </c>
    </row>
    <row r="5242" spans="1:5" x14ac:dyDescent="0.25">
      <c r="A5242" s="2" t="s">
        <v>4439</v>
      </c>
      <c r="B5242" s="2" t="s">
        <v>1102</v>
      </c>
      <c r="C5242" s="2">
        <v>1</v>
      </c>
      <c r="D5242" t="str">
        <f t="shared" si="81"/>
        <v>CA-2016-169887_OFF-PA-10003001</v>
      </c>
      <c r="E5242" t="str">
        <f>IF(COUNTIF(data2!$D:$D,D5242)=0,"Missing in Data2","Present")</f>
        <v>Present</v>
      </c>
    </row>
    <row r="5243" spans="1:5" x14ac:dyDescent="0.25">
      <c r="A5243" s="2" t="s">
        <v>4441</v>
      </c>
      <c r="B5243" s="2" t="s">
        <v>746</v>
      </c>
      <c r="C5243" s="2">
        <v>7</v>
      </c>
      <c r="D5243" t="str">
        <f t="shared" si="81"/>
        <v>CA-2016-169922_FUR-FU-10004415</v>
      </c>
      <c r="E5243" t="str">
        <f>IF(COUNTIF(data2!$D:$D,D5243)=0,"Missing in Data2","Present")</f>
        <v>Present</v>
      </c>
    </row>
    <row r="5244" spans="1:5" x14ac:dyDescent="0.25">
      <c r="A5244" s="2" t="s">
        <v>4441</v>
      </c>
      <c r="B5244" s="2" t="s">
        <v>509</v>
      </c>
      <c r="C5244" s="2">
        <v>4</v>
      </c>
      <c r="D5244" t="str">
        <f t="shared" si="81"/>
        <v>CA-2016-169922_OFF-BI-10001617</v>
      </c>
      <c r="E5244" t="str">
        <f>IF(COUNTIF(data2!$D:$D,D5244)=0,"Missing in Data2","Present")</f>
        <v>Present</v>
      </c>
    </row>
    <row r="5245" spans="1:5" x14ac:dyDescent="0.25">
      <c r="A5245" s="2" t="s">
        <v>4441</v>
      </c>
      <c r="B5245" s="2" t="s">
        <v>1272</v>
      </c>
      <c r="C5245" s="2">
        <v>4</v>
      </c>
      <c r="D5245" t="str">
        <f t="shared" si="81"/>
        <v>CA-2016-169922_OFF-BI-10003784</v>
      </c>
      <c r="E5245" t="str">
        <f>IF(COUNTIF(data2!$D:$D,D5245)=0,"Missing in Data2","Present")</f>
        <v>Present</v>
      </c>
    </row>
    <row r="5246" spans="1:5" x14ac:dyDescent="0.25">
      <c r="A5246" s="2" t="s">
        <v>4442</v>
      </c>
      <c r="B5246" s="2" t="s">
        <v>856</v>
      </c>
      <c r="C5246" s="2">
        <v>8</v>
      </c>
      <c r="D5246" t="str">
        <f t="shared" si="81"/>
        <v>CA-2016-169943_FUR-FU-10000010</v>
      </c>
      <c r="E5246" t="str">
        <f>IF(COUNTIF(data2!$D:$D,D5246)=0,"Missing in Data2","Present")</f>
        <v>Present</v>
      </c>
    </row>
    <row r="5247" spans="1:5" x14ac:dyDescent="0.25">
      <c r="A5247" s="2" t="s">
        <v>4442</v>
      </c>
      <c r="B5247" s="2" t="s">
        <v>756</v>
      </c>
      <c r="C5247" s="2">
        <v>4</v>
      </c>
      <c r="D5247" t="str">
        <f t="shared" si="81"/>
        <v>CA-2016-169943_FUR-FU-10002088</v>
      </c>
      <c r="E5247" t="str">
        <f>IF(COUNTIF(data2!$D:$D,D5247)=0,"Missing in Data2","Present")</f>
        <v>Present</v>
      </c>
    </row>
    <row r="5248" spans="1:5" x14ac:dyDescent="0.25">
      <c r="A5248" s="2" t="s">
        <v>4442</v>
      </c>
      <c r="B5248" s="2" t="s">
        <v>675</v>
      </c>
      <c r="C5248" s="2">
        <v>5</v>
      </c>
      <c r="D5248" t="str">
        <f t="shared" si="81"/>
        <v>CA-2016-169943_OFF-AP-10001563</v>
      </c>
      <c r="E5248" t="str">
        <f>IF(COUNTIF(data2!$D:$D,D5248)=0,"Missing in Data2","Present")</f>
        <v>Present</v>
      </c>
    </row>
    <row r="5249" spans="1:5" x14ac:dyDescent="0.25">
      <c r="A5249" s="2" t="s">
        <v>4442</v>
      </c>
      <c r="B5249" s="2" t="s">
        <v>1255</v>
      </c>
      <c r="C5249" s="2">
        <v>4</v>
      </c>
      <c r="D5249" t="str">
        <f t="shared" si="81"/>
        <v>CA-2016-169943_OFF-BI-10002824</v>
      </c>
      <c r="E5249" t="str">
        <f>IF(COUNTIF(data2!$D:$D,D5249)=0,"Missing in Data2","Present")</f>
        <v>Present</v>
      </c>
    </row>
    <row r="5250" spans="1:5" x14ac:dyDescent="0.25">
      <c r="A5250" s="2" t="s">
        <v>4442</v>
      </c>
      <c r="B5250" s="2" t="s">
        <v>1761</v>
      </c>
      <c r="C5250" s="2">
        <v>5</v>
      </c>
      <c r="D5250" t="str">
        <f t="shared" si="81"/>
        <v>CA-2016-169943_OFF-ST-10004123</v>
      </c>
      <c r="E5250" t="str">
        <f>IF(COUNTIF(data2!$D:$D,D5250)=0,"Missing in Data2","Present")</f>
        <v>Present</v>
      </c>
    </row>
    <row r="5251" spans="1:5" x14ac:dyDescent="0.25">
      <c r="A5251" s="2" t="s">
        <v>4443</v>
      </c>
      <c r="B5251" s="2" t="s">
        <v>754</v>
      </c>
      <c r="C5251" s="2">
        <v>6</v>
      </c>
      <c r="D5251" t="str">
        <f t="shared" ref="D5251:D5314" si="82">A5251&amp;"_"&amp;B5251</f>
        <v>CA-2016-169957_OFF-AP-10000576</v>
      </c>
      <c r="E5251" t="str">
        <f>IF(COUNTIF(data2!$D:$D,D5251)=0,"Missing in Data2","Present")</f>
        <v>Present</v>
      </c>
    </row>
    <row r="5252" spans="1:5" x14ac:dyDescent="0.25">
      <c r="A5252" s="2" t="s">
        <v>4443</v>
      </c>
      <c r="B5252" s="2" t="s">
        <v>2759</v>
      </c>
      <c r="C5252" s="2">
        <v>5</v>
      </c>
      <c r="D5252" t="str">
        <f t="shared" si="82"/>
        <v>CA-2016-169957_OFF-PA-10004040</v>
      </c>
      <c r="E5252" t="str">
        <f>IF(COUNTIF(data2!$D:$D,D5252)=0,"Missing in Data2","Present")</f>
        <v>Present</v>
      </c>
    </row>
    <row r="5253" spans="1:5" x14ac:dyDescent="0.25">
      <c r="A5253" s="2" t="s">
        <v>4443</v>
      </c>
      <c r="B5253" s="2" t="s">
        <v>2389</v>
      </c>
      <c r="C5253" s="2">
        <v>4</v>
      </c>
      <c r="D5253" t="str">
        <f t="shared" si="82"/>
        <v>CA-2016-169957_TEC-AC-10003063</v>
      </c>
      <c r="E5253" t="str">
        <f>IF(COUNTIF(data2!$D:$D,D5253)=0,"Missing in Data2","Present")</f>
        <v>Present</v>
      </c>
    </row>
    <row r="5254" spans="1:5" x14ac:dyDescent="0.25">
      <c r="A5254" s="2" t="s">
        <v>4444</v>
      </c>
      <c r="B5254" s="2" t="s">
        <v>1693</v>
      </c>
      <c r="C5254" s="2">
        <v>3</v>
      </c>
      <c r="D5254" t="str">
        <f t="shared" si="82"/>
        <v>CA-2016-169971_OFF-AR-10001044</v>
      </c>
      <c r="E5254" t="str">
        <f>IF(COUNTIF(data2!$D:$D,D5254)=0,"Missing in Data2","Present")</f>
        <v>Present</v>
      </c>
    </row>
    <row r="5255" spans="1:5" x14ac:dyDescent="0.25">
      <c r="A5255" s="2" t="s">
        <v>4444</v>
      </c>
      <c r="B5255" s="2" t="s">
        <v>729</v>
      </c>
      <c r="C5255" s="2">
        <v>1</v>
      </c>
      <c r="D5255" t="str">
        <f t="shared" si="82"/>
        <v>CA-2016-169971_OFF-AR-10002804</v>
      </c>
      <c r="E5255" t="str">
        <f>IF(COUNTIF(data2!$D:$D,D5255)=0,"Missing in Data2","Present")</f>
        <v>Present</v>
      </c>
    </row>
    <row r="5256" spans="1:5" x14ac:dyDescent="0.25">
      <c r="A5256" s="2" t="s">
        <v>4445</v>
      </c>
      <c r="B5256" s="2" t="s">
        <v>1071</v>
      </c>
      <c r="C5256" s="2">
        <v>1</v>
      </c>
      <c r="D5256" t="str">
        <f t="shared" si="82"/>
        <v>CA-2017-100013_FUR-FU-10001424</v>
      </c>
      <c r="E5256" t="str">
        <f>IF(COUNTIF(data2!$D:$D,D5256)=0,"Missing in Data2","Present")</f>
        <v>Present</v>
      </c>
    </row>
    <row r="5257" spans="1:5" x14ac:dyDescent="0.25">
      <c r="A5257" s="2" t="s">
        <v>4445</v>
      </c>
      <c r="B5257" s="2" t="s">
        <v>38</v>
      </c>
      <c r="C5257" s="2">
        <v>2</v>
      </c>
      <c r="D5257" t="str">
        <f t="shared" si="82"/>
        <v>CA-2017-100013_OFF-AR-10001022</v>
      </c>
      <c r="E5257" t="str">
        <f>IF(COUNTIF(data2!$D:$D,D5257)=0,"Missing in Data2","Present")</f>
        <v>Present</v>
      </c>
    </row>
    <row r="5258" spans="1:5" x14ac:dyDescent="0.25">
      <c r="A5258" s="2" t="s">
        <v>4446</v>
      </c>
      <c r="B5258" s="2" t="s">
        <v>1529</v>
      </c>
      <c r="C5258" s="2">
        <v>2</v>
      </c>
      <c r="D5258" t="str">
        <f t="shared" si="82"/>
        <v>CA-2017-100055_FUR-FU-10001473</v>
      </c>
      <c r="E5258" t="str">
        <f>IF(COUNTIF(data2!$D:$D,D5258)=0,"Missing in Data2","Present")</f>
        <v>Present</v>
      </c>
    </row>
    <row r="5259" spans="1:5" x14ac:dyDescent="0.25">
      <c r="A5259" s="2" t="s">
        <v>4446</v>
      </c>
      <c r="B5259" s="2" t="s">
        <v>1160</v>
      </c>
      <c r="C5259" s="2">
        <v>3</v>
      </c>
      <c r="D5259" t="str">
        <f t="shared" si="82"/>
        <v>CA-2017-100055_OFF-AP-10001469</v>
      </c>
      <c r="E5259" t="str">
        <f>IF(COUNTIF(data2!$D:$D,D5259)=0,"Missing in Data2","Present")</f>
        <v>Present</v>
      </c>
    </row>
    <row r="5260" spans="1:5" x14ac:dyDescent="0.25">
      <c r="A5260" s="2" t="s">
        <v>4447</v>
      </c>
      <c r="B5260" s="2" t="s">
        <v>991</v>
      </c>
      <c r="C5260" s="2">
        <v>5</v>
      </c>
      <c r="D5260" t="str">
        <f t="shared" si="82"/>
        <v>CA-2017-100097_FUR-FU-10003623</v>
      </c>
      <c r="E5260" t="str">
        <f>IF(COUNTIF(data2!$D:$D,D5260)=0,"Missing in Data2","Present")</f>
        <v>Present</v>
      </c>
    </row>
    <row r="5261" spans="1:5" x14ac:dyDescent="0.25">
      <c r="A5261" s="2" t="s">
        <v>4447</v>
      </c>
      <c r="B5261" s="2" t="s">
        <v>831</v>
      </c>
      <c r="C5261" s="2">
        <v>5</v>
      </c>
      <c r="D5261" t="str">
        <f t="shared" si="82"/>
        <v>CA-2017-100097_TEC-PH-10002310</v>
      </c>
      <c r="E5261" t="str">
        <f>IF(COUNTIF(data2!$D:$D,D5261)=0,"Missing in Data2","Present")</f>
        <v>Present</v>
      </c>
    </row>
    <row r="5262" spans="1:5" x14ac:dyDescent="0.25">
      <c r="A5262" s="2" t="s">
        <v>4448</v>
      </c>
      <c r="B5262" s="2" t="s">
        <v>583</v>
      </c>
      <c r="C5262" s="2">
        <v>5</v>
      </c>
      <c r="D5262" t="str">
        <f t="shared" si="82"/>
        <v>CA-2017-100111_FUR-CH-10001215</v>
      </c>
      <c r="E5262" t="str">
        <f>IF(COUNTIF(data2!$D:$D,D5262)=0,"Missing in Data2","Present")</f>
        <v>Present</v>
      </c>
    </row>
    <row r="5263" spans="1:5" x14ac:dyDescent="0.25">
      <c r="A5263" s="2" t="s">
        <v>4448</v>
      </c>
      <c r="B5263" s="2" t="s">
        <v>2185</v>
      </c>
      <c r="C5263" s="2">
        <v>1</v>
      </c>
      <c r="D5263" t="str">
        <f t="shared" si="82"/>
        <v>CA-2017-100111_FUR-CH-10003061</v>
      </c>
      <c r="E5263" t="str">
        <f>IF(COUNTIF(data2!$D:$D,D5263)=0,"Missing in Data2","Present")</f>
        <v>Present</v>
      </c>
    </row>
    <row r="5264" spans="1:5" x14ac:dyDescent="0.25">
      <c r="A5264" s="2" t="s">
        <v>4448</v>
      </c>
      <c r="B5264" s="2" t="s">
        <v>3939</v>
      </c>
      <c r="C5264" s="2">
        <v>3</v>
      </c>
      <c r="D5264" t="str">
        <f t="shared" si="82"/>
        <v>CA-2017-100111_FUR-CH-10003846</v>
      </c>
      <c r="E5264" t="str">
        <f>IF(COUNTIF(data2!$D:$D,D5264)=0,"Missing in Data2","Present")</f>
        <v>Present</v>
      </c>
    </row>
    <row r="5265" spans="1:5" x14ac:dyDescent="0.25">
      <c r="A5265" s="2" t="s">
        <v>4448</v>
      </c>
      <c r="B5265" s="2" t="s">
        <v>2153</v>
      </c>
      <c r="C5265" s="2">
        <v>11</v>
      </c>
      <c r="D5265" t="str">
        <f t="shared" si="82"/>
        <v>CA-2017-100111_FUR-CH-10004086</v>
      </c>
      <c r="E5265" t="str">
        <f>IF(COUNTIF(data2!$D:$D,D5265)=0,"Missing in Data2","Present")</f>
        <v>Present</v>
      </c>
    </row>
    <row r="5266" spans="1:5" x14ac:dyDescent="0.25">
      <c r="A5266" s="2" t="s">
        <v>4448</v>
      </c>
      <c r="B5266" s="2" t="s">
        <v>9</v>
      </c>
      <c r="C5266" s="2">
        <v>3</v>
      </c>
      <c r="D5266" t="str">
        <f t="shared" si="82"/>
        <v>CA-2017-100111_OFF-BI-10000343</v>
      </c>
      <c r="E5266" t="str">
        <f>IF(COUNTIF(data2!$D:$D,D5266)=0,"Missing in Data2","Present")</f>
        <v>Present</v>
      </c>
    </row>
    <row r="5267" spans="1:5" x14ac:dyDescent="0.25">
      <c r="A5267" s="2" t="s">
        <v>4448</v>
      </c>
      <c r="B5267" s="2" t="s">
        <v>552</v>
      </c>
      <c r="C5267" s="2">
        <v>2</v>
      </c>
      <c r="D5267" t="str">
        <f t="shared" si="82"/>
        <v>CA-2017-100111_OFF-FA-10000304</v>
      </c>
      <c r="E5267" t="str">
        <f>IF(COUNTIF(data2!$D:$D,D5267)=0,"Missing in Data2","Present")</f>
        <v>Present</v>
      </c>
    </row>
    <row r="5268" spans="1:5" x14ac:dyDescent="0.25">
      <c r="A5268" s="2" t="s">
        <v>4448</v>
      </c>
      <c r="B5268" s="2" t="s">
        <v>3624</v>
      </c>
      <c r="C5268" s="2">
        <v>9</v>
      </c>
      <c r="D5268" t="str">
        <f t="shared" si="82"/>
        <v>CA-2017-100111_OFF-PA-10000807</v>
      </c>
      <c r="E5268" t="str">
        <f>IF(COUNTIF(data2!$D:$D,D5268)=0,"Missing in Data2","Present")</f>
        <v>Present</v>
      </c>
    </row>
    <row r="5269" spans="1:5" x14ac:dyDescent="0.25">
      <c r="A5269" s="2" t="s">
        <v>4448</v>
      </c>
      <c r="B5269" s="2" t="s">
        <v>2748</v>
      </c>
      <c r="C5269" s="2">
        <v>2</v>
      </c>
      <c r="D5269" t="str">
        <f t="shared" si="82"/>
        <v>CA-2017-100111_OFF-PA-10002713</v>
      </c>
      <c r="E5269" t="str">
        <f>IF(COUNTIF(data2!$D:$D,D5269)=0,"Missing in Data2","Present")</f>
        <v>Present</v>
      </c>
    </row>
    <row r="5270" spans="1:5" x14ac:dyDescent="0.25">
      <c r="A5270" s="2" t="s">
        <v>4448</v>
      </c>
      <c r="B5270" s="2" t="s">
        <v>1443</v>
      </c>
      <c r="C5270" s="2">
        <v>4</v>
      </c>
      <c r="D5270" t="str">
        <f t="shared" si="82"/>
        <v>CA-2017-100111_OFF-ST-10000615</v>
      </c>
      <c r="E5270" t="str">
        <f>IF(COUNTIF(data2!$D:$D,D5270)=0,"Missing in Data2","Present")</f>
        <v>Present</v>
      </c>
    </row>
    <row r="5271" spans="1:5" x14ac:dyDescent="0.25">
      <c r="A5271" s="2" t="s">
        <v>4448</v>
      </c>
      <c r="B5271" s="2" t="s">
        <v>161</v>
      </c>
      <c r="C5271" s="2">
        <v>2</v>
      </c>
      <c r="D5271" t="str">
        <f t="shared" si="82"/>
        <v>CA-2017-100111_TEC-AC-10001465</v>
      </c>
      <c r="E5271" t="str">
        <f>IF(COUNTIF(data2!$D:$D,D5271)=0,"Missing in Data2","Present")</f>
        <v>Present</v>
      </c>
    </row>
    <row r="5272" spans="1:5" x14ac:dyDescent="0.25">
      <c r="A5272" s="2" t="s">
        <v>4448</v>
      </c>
      <c r="B5272" s="2" t="s">
        <v>2525</v>
      </c>
      <c r="C5272" s="2">
        <v>3</v>
      </c>
      <c r="D5272" t="str">
        <f t="shared" si="82"/>
        <v>CA-2017-100111_TEC-AC-10001998</v>
      </c>
      <c r="E5272" t="str">
        <f>IF(COUNTIF(data2!$D:$D,D5272)=0,"Missing in Data2","Present")</f>
        <v>Present</v>
      </c>
    </row>
    <row r="5273" spans="1:5" x14ac:dyDescent="0.25">
      <c r="A5273" s="2" t="s">
        <v>4448</v>
      </c>
      <c r="B5273" s="2" t="s">
        <v>174</v>
      </c>
      <c r="C5273" s="2">
        <v>2</v>
      </c>
      <c r="D5273" t="str">
        <f t="shared" si="82"/>
        <v>CA-2017-100111_TEC-AC-10002647</v>
      </c>
      <c r="E5273" t="str">
        <f>IF(COUNTIF(data2!$D:$D,D5273)=0,"Missing in Data2","Present")</f>
        <v>Present</v>
      </c>
    </row>
    <row r="5274" spans="1:5" x14ac:dyDescent="0.25">
      <c r="A5274" s="2" t="s">
        <v>4448</v>
      </c>
      <c r="B5274" s="2" t="s">
        <v>742</v>
      </c>
      <c r="C5274" s="2">
        <v>3</v>
      </c>
      <c r="D5274" t="str">
        <f t="shared" si="82"/>
        <v>CA-2017-100111_TEC-PH-10000215</v>
      </c>
      <c r="E5274" t="str">
        <f>IF(COUNTIF(data2!$D:$D,D5274)=0,"Missing in Data2","Present")</f>
        <v>Present</v>
      </c>
    </row>
    <row r="5275" spans="1:5" x14ac:dyDescent="0.25">
      <c r="A5275" s="2" t="s">
        <v>4448</v>
      </c>
      <c r="B5275" s="2" t="s">
        <v>133</v>
      </c>
      <c r="C5275" s="2">
        <v>2</v>
      </c>
      <c r="D5275" t="str">
        <f t="shared" si="82"/>
        <v>CA-2017-100111_TEC-PH-10002885</v>
      </c>
      <c r="E5275" t="str">
        <f>IF(COUNTIF(data2!$D:$D,D5275)=0,"Missing in Data2","Present")</f>
        <v>Present</v>
      </c>
    </row>
    <row r="5276" spans="1:5" x14ac:dyDescent="0.25">
      <c r="A5276" s="2" t="s">
        <v>4449</v>
      </c>
      <c r="B5276" s="2" t="s">
        <v>2505</v>
      </c>
      <c r="C5276" s="2">
        <v>3</v>
      </c>
      <c r="D5276" t="str">
        <f t="shared" si="82"/>
        <v>CA-2017-100160_OFF-EN-10001509</v>
      </c>
      <c r="E5276" t="str">
        <f>IF(COUNTIF(data2!$D:$D,D5276)=0,"Missing in Data2","Present")</f>
        <v>Present</v>
      </c>
    </row>
    <row r="5277" spans="1:5" x14ac:dyDescent="0.25">
      <c r="A5277" s="2" t="s">
        <v>4449</v>
      </c>
      <c r="B5277" s="2" t="s">
        <v>77</v>
      </c>
      <c r="C5277" s="2">
        <v>5</v>
      </c>
      <c r="D5277" t="str">
        <f t="shared" si="82"/>
        <v>CA-2017-100160_OFF-LA-10002475</v>
      </c>
      <c r="E5277" t="str">
        <f>IF(COUNTIF(data2!$D:$D,D5277)=0,"Missing in Data2","Present")</f>
        <v>Present</v>
      </c>
    </row>
    <row r="5278" spans="1:5" x14ac:dyDescent="0.25">
      <c r="A5278" s="2" t="s">
        <v>4449</v>
      </c>
      <c r="B5278" s="2" t="s">
        <v>1724</v>
      </c>
      <c r="C5278" s="2">
        <v>3</v>
      </c>
      <c r="D5278" t="str">
        <f t="shared" si="82"/>
        <v>CA-2017-100160_OFF-PA-10003072</v>
      </c>
      <c r="E5278" t="str">
        <f>IF(COUNTIF(data2!$D:$D,D5278)=0,"Missing in Data2","Present")</f>
        <v>Present</v>
      </c>
    </row>
    <row r="5279" spans="1:5" x14ac:dyDescent="0.25">
      <c r="A5279" s="2" t="s">
        <v>4450</v>
      </c>
      <c r="B5279" s="2" t="s">
        <v>3735</v>
      </c>
      <c r="C5279" s="2">
        <v>3</v>
      </c>
      <c r="D5279" t="str">
        <f t="shared" si="82"/>
        <v>CA-2017-100202_TEC-PH-10002563</v>
      </c>
      <c r="E5279" t="str">
        <f>IF(COUNTIF(data2!$D:$D,D5279)=0,"Missing in Data2","Present")</f>
        <v>Present</v>
      </c>
    </row>
    <row r="5280" spans="1:5" x14ac:dyDescent="0.25">
      <c r="A5280" s="2" t="s">
        <v>4451</v>
      </c>
      <c r="B5280" s="2" t="s">
        <v>3987</v>
      </c>
      <c r="C5280" s="2">
        <v>9</v>
      </c>
      <c r="D5280" t="str">
        <f t="shared" si="82"/>
        <v>CA-2017-100223_FUR-FU-10003601</v>
      </c>
      <c r="E5280" t="str">
        <f>IF(COUNTIF(data2!$D:$D,D5280)=0,"Missing in Data2","Present")</f>
        <v>Present</v>
      </c>
    </row>
    <row r="5281" spans="1:5" x14ac:dyDescent="0.25">
      <c r="A5281" s="2" t="s">
        <v>4451</v>
      </c>
      <c r="B5281" s="2" t="s">
        <v>2041</v>
      </c>
      <c r="C5281" s="2">
        <v>1</v>
      </c>
      <c r="D5281" t="str">
        <f t="shared" si="82"/>
        <v>CA-2017-100223_OFF-BI-10004492</v>
      </c>
      <c r="E5281" t="str">
        <f>IF(COUNTIF(data2!$D:$D,D5281)=0,"Missing in Data2","Present")</f>
        <v>Present</v>
      </c>
    </row>
    <row r="5282" spans="1:5" x14ac:dyDescent="0.25">
      <c r="A5282" s="2" t="s">
        <v>4451</v>
      </c>
      <c r="B5282" s="2" t="s">
        <v>3461</v>
      </c>
      <c r="C5282" s="2">
        <v>3</v>
      </c>
      <c r="D5282" t="str">
        <f t="shared" si="82"/>
        <v>CA-2017-100223_OFF-PA-10000232</v>
      </c>
      <c r="E5282" t="str">
        <f>IF(COUNTIF(data2!$D:$D,D5282)=0,"Missing in Data2","Present")</f>
        <v>Present</v>
      </c>
    </row>
    <row r="5283" spans="1:5" x14ac:dyDescent="0.25">
      <c r="A5283" s="2" t="s">
        <v>4451</v>
      </c>
      <c r="B5283" s="2" t="s">
        <v>157</v>
      </c>
      <c r="C5283" s="2">
        <v>6</v>
      </c>
      <c r="D5283" t="str">
        <f t="shared" si="82"/>
        <v>CA-2017-100223_OFF-PA-10002195</v>
      </c>
      <c r="E5283" t="str">
        <f>IF(COUNTIF(data2!$D:$D,D5283)=0,"Missing in Data2","Present")</f>
        <v>Present</v>
      </c>
    </row>
    <row r="5284" spans="1:5" x14ac:dyDescent="0.25">
      <c r="A5284" s="2" t="s">
        <v>4452</v>
      </c>
      <c r="B5284" s="2" t="s">
        <v>1564</v>
      </c>
      <c r="C5284" s="2">
        <v>1</v>
      </c>
      <c r="D5284" t="str">
        <f t="shared" si="82"/>
        <v>CA-2017-100230_OFF-BI-10002498</v>
      </c>
      <c r="E5284" t="str">
        <f>IF(COUNTIF(data2!$D:$D,D5284)=0,"Missing in Data2","Present")</f>
        <v>Present</v>
      </c>
    </row>
    <row r="5285" spans="1:5" x14ac:dyDescent="0.25">
      <c r="A5285" s="2" t="s">
        <v>4452</v>
      </c>
      <c r="B5285" s="2" t="s">
        <v>1094</v>
      </c>
      <c r="C5285" s="2">
        <v>3</v>
      </c>
      <c r="D5285" t="str">
        <f t="shared" si="82"/>
        <v>CA-2017-100230_OFF-PA-10002245</v>
      </c>
      <c r="E5285" t="str">
        <f>IF(COUNTIF(data2!$D:$D,D5285)=0,"Missing in Data2","Present")</f>
        <v>Present</v>
      </c>
    </row>
    <row r="5286" spans="1:5" x14ac:dyDescent="0.25">
      <c r="A5286" s="2" t="s">
        <v>4452</v>
      </c>
      <c r="B5286" s="2" t="s">
        <v>2698</v>
      </c>
      <c r="C5286" s="2">
        <v>2</v>
      </c>
      <c r="D5286" t="str">
        <f t="shared" si="82"/>
        <v>CA-2017-100230_TEC-PH-10004522</v>
      </c>
      <c r="E5286" t="str">
        <f>IF(COUNTIF(data2!$D:$D,D5286)=0,"Missing in Data2","Present")</f>
        <v>Present</v>
      </c>
    </row>
    <row r="5287" spans="1:5" x14ac:dyDescent="0.25">
      <c r="A5287" s="2" t="s">
        <v>4453</v>
      </c>
      <c r="B5287" s="2" t="s">
        <v>1855</v>
      </c>
      <c r="C5287" s="2">
        <v>4</v>
      </c>
      <c r="D5287" t="str">
        <f t="shared" si="82"/>
        <v>CA-2017-100314_OFF-EN-10000461</v>
      </c>
      <c r="E5287" t="str">
        <f>IF(COUNTIF(data2!$D:$D,D5287)=0,"Missing in Data2","Present")</f>
        <v>Present</v>
      </c>
    </row>
    <row r="5288" spans="1:5" x14ac:dyDescent="0.25">
      <c r="A5288" s="2" t="s">
        <v>4453</v>
      </c>
      <c r="B5288" s="2" t="s">
        <v>279</v>
      </c>
      <c r="C5288" s="2">
        <v>2</v>
      </c>
      <c r="D5288" t="str">
        <f t="shared" si="82"/>
        <v>CA-2017-100314_OFF-LA-10001569</v>
      </c>
      <c r="E5288" t="str">
        <f>IF(COUNTIF(data2!$D:$D,D5288)=0,"Missing in Data2","Present")</f>
        <v>Present</v>
      </c>
    </row>
    <row r="5289" spans="1:5" x14ac:dyDescent="0.25">
      <c r="A5289" s="2" t="s">
        <v>4453</v>
      </c>
      <c r="B5289" s="2" t="s">
        <v>4454</v>
      </c>
      <c r="C5289" s="2">
        <v>3</v>
      </c>
      <c r="D5289" t="str">
        <f t="shared" si="82"/>
        <v>CA-2017-100314_TEC-MA-10003066</v>
      </c>
      <c r="E5289" t="str">
        <f>IF(COUNTIF(data2!$D:$D,D5289)=0,"Missing in Data2","Present")</f>
        <v>Present</v>
      </c>
    </row>
    <row r="5290" spans="1:5" x14ac:dyDescent="0.25">
      <c r="A5290" s="2" t="s">
        <v>4455</v>
      </c>
      <c r="B5290" s="2" t="s">
        <v>1373</v>
      </c>
      <c r="C5290" s="2">
        <v>9</v>
      </c>
      <c r="D5290" t="str">
        <f t="shared" si="82"/>
        <v>CA-2017-100335_OFF-PA-10001685</v>
      </c>
      <c r="E5290" t="str">
        <f>IF(COUNTIF(data2!$D:$D,D5290)=0,"Missing in Data2","Present")</f>
        <v>Present</v>
      </c>
    </row>
    <row r="5291" spans="1:5" x14ac:dyDescent="0.25">
      <c r="A5291" s="2" t="s">
        <v>4456</v>
      </c>
      <c r="B5291" s="2" t="s">
        <v>1704</v>
      </c>
      <c r="C5291" s="2">
        <v>2</v>
      </c>
      <c r="D5291" t="str">
        <f t="shared" si="82"/>
        <v>CA-2017-100356_OFF-AP-10002191</v>
      </c>
      <c r="E5291" t="str">
        <f>IF(COUNTIF(data2!$D:$D,D5291)=0,"Missing in Data2","Present")</f>
        <v>Present</v>
      </c>
    </row>
    <row r="5292" spans="1:5" x14ac:dyDescent="0.25">
      <c r="A5292" s="2" t="s">
        <v>4457</v>
      </c>
      <c r="B5292" s="2" t="s">
        <v>400</v>
      </c>
      <c r="C5292" s="2">
        <v>8</v>
      </c>
      <c r="D5292" t="str">
        <f t="shared" si="82"/>
        <v>CA-2017-100384_OFF-AR-10002135</v>
      </c>
      <c r="E5292" t="str">
        <f>IF(COUNTIF(data2!$D:$D,D5292)=0,"Missing in Data2","Present")</f>
        <v>Present</v>
      </c>
    </row>
    <row r="5293" spans="1:5" x14ac:dyDescent="0.25">
      <c r="A5293" s="2" t="s">
        <v>4457</v>
      </c>
      <c r="B5293" s="2" t="s">
        <v>204</v>
      </c>
      <c r="C5293" s="2">
        <v>9</v>
      </c>
      <c r="D5293" t="str">
        <f t="shared" si="82"/>
        <v>CA-2017-100384_OFF-AR-10003514</v>
      </c>
      <c r="E5293" t="str">
        <f>IF(COUNTIF(data2!$D:$D,D5293)=0,"Missing in Data2","Present")</f>
        <v>Present</v>
      </c>
    </row>
    <row r="5294" spans="1:5" x14ac:dyDescent="0.25">
      <c r="A5294" s="2" t="s">
        <v>4458</v>
      </c>
      <c r="B5294" s="2" t="s">
        <v>1419</v>
      </c>
      <c r="C5294" s="2">
        <v>2</v>
      </c>
      <c r="D5294" t="str">
        <f t="shared" si="82"/>
        <v>CA-2017-100412_FUR-CH-10002647</v>
      </c>
      <c r="E5294" t="str">
        <f>IF(COUNTIF(data2!$D:$D,D5294)=0,"Missing in Data2","Present")</f>
        <v>Present</v>
      </c>
    </row>
    <row r="5295" spans="1:5" x14ac:dyDescent="0.25">
      <c r="A5295" s="2" t="s">
        <v>4459</v>
      </c>
      <c r="B5295" s="2" t="s">
        <v>3976</v>
      </c>
      <c r="C5295" s="2">
        <v>2</v>
      </c>
      <c r="D5295" t="str">
        <f t="shared" si="82"/>
        <v>CA-2017-100426_OFF-PA-10002870</v>
      </c>
      <c r="E5295" t="str">
        <f>IF(COUNTIF(data2!$D:$D,D5295)=0,"Missing in Data2","Present")</f>
        <v>Present</v>
      </c>
    </row>
    <row r="5296" spans="1:5" x14ac:dyDescent="0.25">
      <c r="A5296" s="2" t="s">
        <v>4460</v>
      </c>
      <c r="B5296" s="2" t="s">
        <v>1737</v>
      </c>
      <c r="C5296" s="2">
        <v>4</v>
      </c>
      <c r="D5296" t="str">
        <f t="shared" si="82"/>
        <v>CA-2017-100433_OFF-PA-10003441</v>
      </c>
      <c r="E5296" t="str">
        <f>IF(COUNTIF(data2!$D:$D,D5296)=0,"Missing in Data2","Present")</f>
        <v>Present</v>
      </c>
    </row>
    <row r="5297" spans="1:5" x14ac:dyDescent="0.25">
      <c r="A5297" s="2" t="s">
        <v>4461</v>
      </c>
      <c r="B5297" s="2" t="s">
        <v>278</v>
      </c>
      <c r="C5297" s="2">
        <v>2</v>
      </c>
      <c r="D5297" t="str">
        <f t="shared" si="82"/>
        <v>CA-2017-100524_FUR-FU-10004018</v>
      </c>
      <c r="E5297" t="str">
        <f>IF(COUNTIF(data2!$D:$D,D5297)=0,"Missing in Data2","Present")</f>
        <v>Present</v>
      </c>
    </row>
    <row r="5298" spans="1:5" x14ac:dyDescent="0.25">
      <c r="A5298" s="2" t="s">
        <v>4461</v>
      </c>
      <c r="B5298" s="2" t="s">
        <v>4400</v>
      </c>
      <c r="C5298" s="2">
        <v>8</v>
      </c>
      <c r="D5298" t="str">
        <f t="shared" si="82"/>
        <v>CA-2017-100524_OFF-PA-10004911</v>
      </c>
      <c r="E5298" t="str">
        <f>IF(COUNTIF(data2!$D:$D,D5298)=0,"Missing in Data2","Present")</f>
        <v>Present</v>
      </c>
    </row>
    <row r="5299" spans="1:5" x14ac:dyDescent="0.25">
      <c r="A5299" s="2" t="s">
        <v>4461</v>
      </c>
      <c r="B5299" s="2" t="s">
        <v>102</v>
      </c>
      <c r="C5299" s="2">
        <v>3</v>
      </c>
      <c r="D5299" t="str">
        <f t="shared" si="82"/>
        <v>CA-2017-100524_TEC-PH-10002549</v>
      </c>
      <c r="E5299" t="str">
        <f>IF(COUNTIF(data2!$D:$D,D5299)=0,"Missing in Data2","Present")</f>
        <v>Present</v>
      </c>
    </row>
    <row r="5300" spans="1:5" x14ac:dyDescent="0.25">
      <c r="A5300" s="2" t="s">
        <v>4462</v>
      </c>
      <c r="B5300" s="2" t="s">
        <v>1149</v>
      </c>
      <c r="C5300" s="2">
        <v>3</v>
      </c>
      <c r="D5300" t="str">
        <f t="shared" si="82"/>
        <v>CA-2017-100580_OFF-BI-10000069</v>
      </c>
      <c r="E5300" t="str">
        <f>IF(COUNTIF(data2!$D:$D,D5300)=0,"Missing in Data2","Present")</f>
        <v>Present</v>
      </c>
    </row>
    <row r="5301" spans="1:5" x14ac:dyDescent="0.25">
      <c r="A5301" s="2" t="s">
        <v>4463</v>
      </c>
      <c r="B5301" s="2" t="s">
        <v>16</v>
      </c>
      <c r="C5301" s="2">
        <v>3</v>
      </c>
      <c r="D5301" t="str">
        <f t="shared" si="82"/>
        <v>CA-2017-100615_FUR-CH-10002602</v>
      </c>
      <c r="E5301" t="str">
        <f>IF(COUNTIF(data2!$D:$D,D5301)=0,"Missing in Data2","Present")</f>
        <v>Present</v>
      </c>
    </row>
    <row r="5302" spans="1:5" x14ac:dyDescent="0.25">
      <c r="A5302" s="2" t="s">
        <v>4463</v>
      </c>
      <c r="B5302" s="2" t="s">
        <v>100</v>
      </c>
      <c r="C5302" s="2">
        <v>5</v>
      </c>
      <c r="D5302" t="str">
        <f t="shared" si="82"/>
        <v>CA-2017-100615_FUR-FU-10002456</v>
      </c>
      <c r="E5302" t="str">
        <f>IF(COUNTIF(data2!$D:$D,D5302)=0,"Missing in Data2","Present")</f>
        <v>Present</v>
      </c>
    </row>
    <row r="5303" spans="1:5" x14ac:dyDescent="0.25">
      <c r="A5303" s="2" t="s">
        <v>4463</v>
      </c>
      <c r="B5303" s="2" t="s">
        <v>1327</v>
      </c>
      <c r="C5303" s="2">
        <v>2</v>
      </c>
      <c r="D5303" t="str">
        <f t="shared" si="82"/>
        <v>CA-2017-100615_OFF-AR-10001683</v>
      </c>
      <c r="E5303" t="str">
        <f>IF(COUNTIF(data2!$D:$D,D5303)=0,"Missing in Data2","Present")</f>
        <v>Present</v>
      </c>
    </row>
    <row r="5304" spans="1:5" x14ac:dyDescent="0.25">
      <c r="A5304" s="2" t="s">
        <v>4464</v>
      </c>
      <c r="B5304" s="2" t="s">
        <v>322</v>
      </c>
      <c r="C5304" s="2">
        <v>2</v>
      </c>
      <c r="D5304" t="str">
        <f t="shared" si="82"/>
        <v>CA-2017-100622_OFF-AR-10004010</v>
      </c>
      <c r="E5304" t="str">
        <f>IF(COUNTIF(data2!$D:$D,D5304)=0,"Missing in Data2","Present")</f>
        <v>Present</v>
      </c>
    </row>
    <row r="5305" spans="1:5" x14ac:dyDescent="0.25">
      <c r="A5305" s="2" t="s">
        <v>4464</v>
      </c>
      <c r="B5305" s="2" t="s">
        <v>1734</v>
      </c>
      <c r="C5305" s="2">
        <v>2</v>
      </c>
      <c r="D5305" t="str">
        <f t="shared" si="82"/>
        <v>CA-2017-100622_OFF-BI-10002982</v>
      </c>
      <c r="E5305" t="str">
        <f>IF(COUNTIF(data2!$D:$D,D5305)=0,"Missing in Data2","Present")</f>
        <v>Present</v>
      </c>
    </row>
    <row r="5306" spans="1:5" x14ac:dyDescent="0.25">
      <c r="A5306" s="2" t="s">
        <v>4464</v>
      </c>
      <c r="B5306" s="2" t="s">
        <v>610</v>
      </c>
      <c r="C5306" s="2">
        <v>2</v>
      </c>
      <c r="D5306" t="str">
        <f t="shared" si="82"/>
        <v>CA-2017-100622_OFF-PA-10002947</v>
      </c>
      <c r="E5306" t="str">
        <f>IF(COUNTIF(data2!$D:$D,D5306)=0,"Missing in Data2","Present")</f>
        <v>Present</v>
      </c>
    </row>
    <row r="5307" spans="1:5" x14ac:dyDescent="0.25">
      <c r="A5307" s="2" t="s">
        <v>4464</v>
      </c>
      <c r="B5307" s="2" t="s">
        <v>4465</v>
      </c>
      <c r="C5307" s="2">
        <v>2</v>
      </c>
      <c r="D5307" t="str">
        <f t="shared" si="82"/>
        <v>CA-2017-100622_TEC-CO-10003236</v>
      </c>
      <c r="E5307" t="str">
        <f>IF(COUNTIF(data2!$D:$D,D5307)=0,"Missing in Data2","Present")</f>
        <v>Present</v>
      </c>
    </row>
    <row r="5308" spans="1:5" x14ac:dyDescent="0.25">
      <c r="A5308" s="2" t="s">
        <v>4466</v>
      </c>
      <c r="B5308" s="2" t="s">
        <v>1761</v>
      </c>
      <c r="C5308" s="2">
        <v>3</v>
      </c>
      <c r="D5308" t="str">
        <f t="shared" si="82"/>
        <v>CA-2017-100636_OFF-ST-10004123</v>
      </c>
      <c r="E5308" t="str">
        <f>IF(COUNTIF(data2!$D:$D,D5308)=0,"Missing in Data2","Present")</f>
        <v>Present</v>
      </c>
    </row>
    <row r="5309" spans="1:5" x14ac:dyDescent="0.25">
      <c r="A5309" s="2" t="s">
        <v>4467</v>
      </c>
      <c r="B5309" s="2" t="s">
        <v>591</v>
      </c>
      <c r="C5309" s="2">
        <v>8</v>
      </c>
      <c r="D5309" t="str">
        <f t="shared" si="82"/>
        <v>CA-2017-100748_OFF-LA-10000240</v>
      </c>
      <c r="E5309" t="str">
        <f>IF(COUNTIF(data2!$D:$D,D5309)=0,"Missing in Data2","Present")</f>
        <v>Present</v>
      </c>
    </row>
    <row r="5310" spans="1:5" x14ac:dyDescent="0.25">
      <c r="A5310" s="2" t="s">
        <v>4468</v>
      </c>
      <c r="B5310" s="2" t="s">
        <v>23</v>
      </c>
      <c r="C5310" s="2">
        <v>1</v>
      </c>
      <c r="D5310" t="str">
        <f t="shared" si="82"/>
        <v>CA-2017-100783_OFF-AR-10000380</v>
      </c>
      <c r="E5310" t="str">
        <f>IF(COUNTIF(data2!$D:$D,D5310)=0,"Missing in Data2","Present")</f>
        <v>Present</v>
      </c>
    </row>
    <row r="5311" spans="1:5" x14ac:dyDescent="0.25">
      <c r="A5311" s="2" t="s">
        <v>4469</v>
      </c>
      <c r="B5311" s="2" t="s">
        <v>1073</v>
      </c>
      <c r="C5311" s="2">
        <v>2</v>
      </c>
      <c r="D5311" t="str">
        <f t="shared" si="82"/>
        <v>CA-2017-100811_OFF-PA-10001204</v>
      </c>
      <c r="E5311" t="str">
        <f>IF(COUNTIF(data2!$D:$D,D5311)=0,"Missing in Data2","Present")</f>
        <v>Present</v>
      </c>
    </row>
    <row r="5312" spans="1:5" x14ac:dyDescent="0.25">
      <c r="A5312" s="2" t="s">
        <v>4469</v>
      </c>
      <c r="B5312" s="2" t="s">
        <v>260</v>
      </c>
      <c r="C5312" s="2">
        <v>4</v>
      </c>
      <c r="D5312" t="str">
        <f t="shared" si="82"/>
        <v>CA-2017-100811_OFF-ST-10002444</v>
      </c>
      <c r="E5312" t="str">
        <f>IF(COUNTIF(data2!$D:$D,D5312)=0,"Missing in Data2","Present")</f>
        <v>Present</v>
      </c>
    </row>
    <row r="5313" spans="1:5" x14ac:dyDescent="0.25">
      <c r="A5313" s="2" t="s">
        <v>4470</v>
      </c>
      <c r="B5313" s="2" t="s">
        <v>1465</v>
      </c>
      <c r="C5313" s="2">
        <v>3</v>
      </c>
      <c r="D5313" t="str">
        <f t="shared" si="82"/>
        <v>CA-2017-100825_OFF-ST-10003123</v>
      </c>
      <c r="E5313" t="str">
        <f>IF(COUNTIF(data2!$D:$D,D5313)=0,"Missing in Data2","Present")</f>
        <v>Present</v>
      </c>
    </row>
    <row r="5314" spans="1:5" x14ac:dyDescent="0.25">
      <c r="A5314" s="2" t="s">
        <v>4471</v>
      </c>
      <c r="B5314" s="2" t="s">
        <v>4472</v>
      </c>
      <c r="C5314" s="2">
        <v>7</v>
      </c>
      <c r="D5314" t="str">
        <f t="shared" si="82"/>
        <v>CA-2017-100902_OFF-PA-10002558</v>
      </c>
      <c r="E5314" t="str">
        <f>IF(COUNTIF(data2!$D:$D,D5314)=0,"Missing in Data2","Present")</f>
        <v>Present</v>
      </c>
    </row>
    <row r="5315" spans="1:5" x14ac:dyDescent="0.25">
      <c r="A5315" s="2" t="s">
        <v>4471</v>
      </c>
      <c r="B5315" s="2" t="s">
        <v>1658</v>
      </c>
      <c r="C5315" s="2">
        <v>5</v>
      </c>
      <c r="D5315" t="str">
        <f t="shared" ref="D5315:D5378" si="83">A5315&amp;"_"&amp;B5315</f>
        <v>CA-2017-100902_TEC-AC-10003174</v>
      </c>
      <c r="E5315" t="str">
        <f>IF(COUNTIF(data2!$D:$D,D5315)=0,"Missing in Data2","Present")</f>
        <v>Present</v>
      </c>
    </row>
    <row r="5316" spans="1:5" x14ac:dyDescent="0.25">
      <c r="A5316" s="2" t="s">
        <v>4473</v>
      </c>
      <c r="B5316" s="2" t="s">
        <v>258</v>
      </c>
      <c r="C5316" s="2">
        <v>5</v>
      </c>
      <c r="D5316" t="str">
        <f t="shared" si="83"/>
        <v>CA-2017-100951_OFF-ST-10001496</v>
      </c>
      <c r="E5316" t="str">
        <f>IF(COUNTIF(data2!$D:$D,D5316)=0,"Missing in Data2","Present")</f>
        <v>Present</v>
      </c>
    </row>
    <row r="5317" spans="1:5" x14ac:dyDescent="0.25">
      <c r="A5317" s="2" t="s">
        <v>4474</v>
      </c>
      <c r="B5317" s="2" t="s">
        <v>3790</v>
      </c>
      <c r="C5317" s="2">
        <v>3</v>
      </c>
      <c r="D5317" t="str">
        <f t="shared" si="83"/>
        <v>CA-2017-101014_FUR-FU-10003374</v>
      </c>
      <c r="E5317" t="str">
        <f>IF(COUNTIF(data2!$D:$D,D5317)=0,"Missing in Data2","Present")</f>
        <v>Present</v>
      </c>
    </row>
    <row r="5318" spans="1:5" x14ac:dyDescent="0.25">
      <c r="A5318" s="2" t="s">
        <v>4475</v>
      </c>
      <c r="B5318" s="2" t="s">
        <v>973</v>
      </c>
      <c r="C5318" s="2">
        <v>6</v>
      </c>
      <c r="D5318" t="str">
        <f t="shared" si="83"/>
        <v>CA-2017-101042_FUR-FU-10004665</v>
      </c>
      <c r="E5318" t="str">
        <f>IF(COUNTIF(data2!$D:$D,D5318)=0,"Missing in Data2","Present")</f>
        <v>Present</v>
      </c>
    </row>
    <row r="5319" spans="1:5" x14ac:dyDescent="0.25">
      <c r="A5319" s="2" t="s">
        <v>4475</v>
      </c>
      <c r="B5319" s="2" t="s">
        <v>2140</v>
      </c>
      <c r="C5319" s="2">
        <v>2</v>
      </c>
      <c r="D5319" t="str">
        <f t="shared" si="83"/>
        <v>CA-2017-101042_OFF-BI-10000088</v>
      </c>
      <c r="E5319" t="str">
        <f>IF(COUNTIF(data2!$D:$D,D5319)=0,"Missing in Data2","Present")</f>
        <v>Present</v>
      </c>
    </row>
    <row r="5320" spans="1:5" x14ac:dyDescent="0.25">
      <c r="A5320" s="2" t="s">
        <v>4476</v>
      </c>
      <c r="B5320" s="2" t="s">
        <v>746</v>
      </c>
      <c r="C5320" s="2">
        <v>5</v>
      </c>
      <c r="D5320" t="str">
        <f t="shared" si="83"/>
        <v>CA-2017-101049_FUR-FU-10004415</v>
      </c>
      <c r="E5320" t="str">
        <f>IF(COUNTIF(data2!$D:$D,D5320)=0,"Missing in Data2","Present")</f>
        <v>Present</v>
      </c>
    </row>
    <row r="5321" spans="1:5" x14ac:dyDescent="0.25">
      <c r="A5321" s="2" t="s">
        <v>4476</v>
      </c>
      <c r="B5321" s="2" t="s">
        <v>1954</v>
      </c>
      <c r="C5321" s="2">
        <v>6</v>
      </c>
      <c r="D5321" t="str">
        <f t="shared" si="83"/>
        <v>CA-2017-101049_OFF-BI-10001510</v>
      </c>
      <c r="E5321" t="str">
        <f>IF(COUNTIF(data2!$D:$D,D5321)=0,"Missing in Data2","Present")</f>
        <v>Present</v>
      </c>
    </row>
    <row r="5322" spans="1:5" x14ac:dyDescent="0.25">
      <c r="A5322" s="2" t="s">
        <v>4477</v>
      </c>
      <c r="B5322" s="2" t="s">
        <v>3014</v>
      </c>
      <c r="C5322" s="2">
        <v>2</v>
      </c>
      <c r="D5322" t="str">
        <f t="shared" si="83"/>
        <v>CA-2017-101077_OFF-PA-10004239</v>
      </c>
      <c r="E5322" t="str">
        <f>IF(COUNTIF(data2!$D:$D,D5322)=0,"Missing in Data2","Present")</f>
        <v>Present</v>
      </c>
    </row>
    <row r="5323" spans="1:5" x14ac:dyDescent="0.25">
      <c r="A5323" s="2" t="s">
        <v>4478</v>
      </c>
      <c r="B5323" s="2" t="s">
        <v>854</v>
      </c>
      <c r="C5323" s="2">
        <v>2</v>
      </c>
      <c r="D5323" t="str">
        <f t="shared" si="83"/>
        <v>CA-2017-101182_OFF-PA-10001800</v>
      </c>
      <c r="E5323" t="str">
        <f>IF(COUNTIF(data2!$D:$D,D5323)=0,"Missing in Data2","Present")</f>
        <v>Present</v>
      </c>
    </row>
    <row r="5324" spans="1:5" x14ac:dyDescent="0.25">
      <c r="A5324" s="2" t="s">
        <v>4478</v>
      </c>
      <c r="B5324" s="2" t="s">
        <v>716</v>
      </c>
      <c r="C5324" s="2">
        <v>3</v>
      </c>
      <c r="D5324" t="str">
        <f t="shared" si="83"/>
        <v>CA-2017-101182_TEC-PH-10003589</v>
      </c>
      <c r="E5324" t="str">
        <f>IF(COUNTIF(data2!$D:$D,D5324)=0,"Missing in Data2","Present")</f>
        <v>Present</v>
      </c>
    </row>
    <row r="5325" spans="1:5" x14ac:dyDescent="0.25">
      <c r="A5325" s="2" t="s">
        <v>4479</v>
      </c>
      <c r="B5325" s="2" t="s">
        <v>3027</v>
      </c>
      <c r="C5325" s="2">
        <v>5</v>
      </c>
      <c r="D5325" t="str">
        <f t="shared" si="83"/>
        <v>CA-2017-101245_OFF-PA-10003129</v>
      </c>
      <c r="E5325" t="str">
        <f>IF(COUNTIF(data2!$D:$D,D5325)=0,"Missing in Data2","Present")</f>
        <v>Present</v>
      </c>
    </row>
    <row r="5326" spans="1:5" x14ac:dyDescent="0.25">
      <c r="A5326" s="2" t="s">
        <v>4479</v>
      </c>
      <c r="B5326" s="2" t="s">
        <v>340</v>
      </c>
      <c r="C5326" s="2">
        <v>8</v>
      </c>
      <c r="D5326" t="str">
        <f t="shared" si="83"/>
        <v>CA-2017-101245_TEC-AC-10001284</v>
      </c>
      <c r="E5326" t="str">
        <f>IF(COUNTIF(data2!$D:$D,D5326)=0,"Missing in Data2","Present")</f>
        <v>Present</v>
      </c>
    </row>
    <row r="5327" spans="1:5" x14ac:dyDescent="0.25">
      <c r="A5327" s="2" t="s">
        <v>4480</v>
      </c>
      <c r="B5327" s="2" t="s">
        <v>2520</v>
      </c>
      <c r="C5327" s="2">
        <v>4</v>
      </c>
      <c r="D5327" t="str">
        <f t="shared" si="83"/>
        <v>CA-2017-101273_OFF-AP-10000804</v>
      </c>
      <c r="E5327" t="str">
        <f>IF(COUNTIF(data2!$D:$D,D5327)=0,"Missing in Data2","Present")</f>
        <v>Present</v>
      </c>
    </row>
    <row r="5328" spans="1:5" x14ac:dyDescent="0.25">
      <c r="A5328" s="2" t="s">
        <v>4481</v>
      </c>
      <c r="B5328" s="2" t="s">
        <v>703</v>
      </c>
      <c r="C5328" s="2">
        <v>3</v>
      </c>
      <c r="D5328" t="str">
        <f t="shared" si="83"/>
        <v>CA-2017-101308_OFF-FA-10002780</v>
      </c>
      <c r="E5328" t="str">
        <f>IF(COUNTIF(data2!$D:$D,D5328)=0,"Missing in Data2","Present")</f>
        <v>Present</v>
      </c>
    </row>
    <row r="5329" spans="1:5" x14ac:dyDescent="0.25">
      <c r="A5329" s="2" t="s">
        <v>4481</v>
      </c>
      <c r="B5329" s="2" t="s">
        <v>1940</v>
      </c>
      <c r="C5329" s="2">
        <v>2</v>
      </c>
      <c r="D5329" t="str">
        <f t="shared" si="83"/>
        <v>CA-2017-101308_TEC-PH-10003800</v>
      </c>
      <c r="E5329" t="str">
        <f>IF(COUNTIF(data2!$D:$D,D5329)=0,"Missing in Data2","Present")</f>
        <v>Present</v>
      </c>
    </row>
    <row r="5330" spans="1:5" x14ac:dyDescent="0.25">
      <c r="A5330" s="2" t="s">
        <v>4482</v>
      </c>
      <c r="B5330" s="2" t="s">
        <v>2738</v>
      </c>
      <c r="C5330" s="2">
        <v>6</v>
      </c>
      <c r="D5330" t="str">
        <f t="shared" si="83"/>
        <v>CA-2017-101322_FUR-CH-10003968</v>
      </c>
      <c r="E5330" t="str">
        <f>IF(COUNTIF(data2!$D:$D,D5330)=0,"Missing in Data2","Present")</f>
        <v>Present</v>
      </c>
    </row>
    <row r="5331" spans="1:5" x14ac:dyDescent="0.25">
      <c r="A5331" s="2" t="s">
        <v>4483</v>
      </c>
      <c r="B5331" s="2" t="s">
        <v>443</v>
      </c>
      <c r="C5331" s="2">
        <v>2</v>
      </c>
      <c r="D5331" t="str">
        <f t="shared" si="83"/>
        <v>CA-2017-101434_OFF-LA-10003223</v>
      </c>
      <c r="E5331" t="str">
        <f>IF(COUNTIF(data2!$D:$D,D5331)=0,"Missing in Data2","Present")</f>
        <v>Present</v>
      </c>
    </row>
    <row r="5332" spans="1:5" x14ac:dyDescent="0.25">
      <c r="A5332" s="2" t="s">
        <v>4483</v>
      </c>
      <c r="B5332" s="2" t="s">
        <v>1862</v>
      </c>
      <c r="C5332" s="2">
        <v>3</v>
      </c>
      <c r="D5332" t="str">
        <f t="shared" si="83"/>
        <v>CA-2017-101434_TEC-AC-10002402</v>
      </c>
      <c r="E5332" t="str">
        <f>IF(COUNTIF(data2!$D:$D,D5332)=0,"Missing in Data2","Present")</f>
        <v>Present</v>
      </c>
    </row>
    <row r="5333" spans="1:5" x14ac:dyDescent="0.25">
      <c r="A5333" s="2" t="s">
        <v>4484</v>
      </c>
      <c r="B5333" s="2" t="s">
        <v>3152</v>
      </c>
      <c r="C5333" s="2">
        <v>2</v>
      </c>
      <c r="D5333" t="str">
        <f t="shared" si="83"/>
        <v>CA-2017-101483_OFF-AP-10002082</v>
      </c>
      <c r="E5333" t="str">
        <f>IF(COUNTIF(data2!$D:$D,D5333)=0,"Missing in Data2","Present")</f>
        <v>Present</v>
      </c>
    </row>
    <row r="5334" spans="1:5" x14ac:dyDescent="0.25">
      <c r="A5334" s="2" t="s">
        <v>4484</v>
      </c>
      <c r="B5334" s="2" t="s">
        <v>79</v>
      </c>
      <c r="C5334" s="2">
        <v>3</v>
      </c>
      <c r="D5334" t="str">
        <f t="shared" si="83"/>
        <v>CA-2017-101483_OFF-AR-10002833</v>
      </c>
      <c r="E5334" t="str">
        <f>IF(COUNTIF(data2!$D:$D,D5334)=0,"Missing in Data2","Present")</f>
        <v>Present</v>
      </c>
    </row>
    <row r="5335" spans="1:5" x14ac:dyDescent="0.25">
      <c r="A5335" s="2" t="s">
        <v>4484</v>
      </c>
      <c r="B5335" s="2" t="s">
        <v>3626</v>
      </c>
      <c r="C5335" s="2">
        <v>5</v>
      </c>
      <c r="D5335" t="str">
        <f t="shared" si="83"/>
        <v>CA-2017-101483_TEC-PH-10003442</v>
      </c>
      <c r="E5335" t="str">
        <f>IF(COUNTIF(data2!$D:$D,D5335)=0,"Missing in Data2","Present")</f>
        <v>Present</v>
      </c>
    </row>
    <row r="5336" spans="1:5" x14ac:dyDescent="0.25">
      <c r="A5336" s="2" t="s">
        <v>4485</v>
      </c>
      <c r="B5336" s="2" t="s">
        <v>456</v>
      </c>
      <c r="C5336" s="2">
        <v>3</v>
      </c>
      <c r="D5336" t="str">
        <f t="shared" si="83"/>
        <v>CA-2017-101574_FUR-FU-10001706</v>
      </c>
      <c r="E5336" t="str">
        <f>IF(COUNTIF(data2!$D:$D,D5336)=0,"Missing in Data2","Present")</f>
        <v>Present</v>
      </c>
    </row>
    <row r="5337" spans="1:5" x14ac:dyDescent="0.25">
      <c r="A5337" s="2" t="s">
        <v>4486</v>
      </c>
      <c r="B5337" s="2" t="s">
        <v>752</v>
      </c>
      <c r="C5337" s="2">
        <v>5</v>
      </c>
      <c r="D5337" t="str">
        <f t="shared" si="83"/>
        <v>CA-2017-101581_FUR-TA-10002607</v>
      </c>
      <c r="E5337" t="str">
        <f>IF(COUNTIF(data2!$D:$D,D5337)=0,"Missing in Data2","Present")</f>
        <v>Present</v>
      </c>
    </row>
    <row r="5338" spans="1:5" x14ac:dyDescent="0.25">
      <c r="A5338" s="2" t="s">
        <v>4487</v>
      </c>
      <c r="B5338" s="2" t="s">
        <v>1579</v>
      </c>
      <c r="C5338" s="2">
        <v>2</v>
      </c>
      <c r="D5338" t="str">
        <f t="shared" si="83"/>
        <v>CA-2017-101637_OFF-ST-10002352</v>
      </c>
      <c r="E5338" t="str">
        <f>IF(COUNTIF(data2!$D:$D,D5338)=0,"Missing in Data2","Present")</f>
        <v>Present</v>
      </c>
    </row>
    <row r="5339" spans="1:5" x14ac:dyDescent="0.25">
      <c r="A5339" s="2" t="s">
        <v>4488</v>
      </c>
      <c r="B5339" s="2" t="s">
        <v>1628</v>
      </c>
      <c r="C5339" s="2">
        <v>2</v>
      </c>
      <c r="D5339" t="str">
        <f t="shared" si="83"/>
        <v>CA-2017-101665_OFF-AR-10002335</v>
      </c>
      <c r="E5339" t="str">
        <f>IF(COUNTIF(data2!$D:$D,D5339)=0,"Missing in Data2","Present")</f>
        <v>Present</v>
      </c>
    </row>
    <row r="5340" spans="1:5" x14ac:dyDescent="0.25">
      <c r="A5340" s="2" t="s">
        <v>4489</v>
      </c>
      <c r="B5340" s="2" t="s">
        <v>2908</v>
      </c>
      <c r="C5340" s="2">
        <v>3</v>
      </c>
      <c r="D5340" t="str">
        <f t="shared" si="83"/>
        <v>CA-2017-101700_FUR-FU-10001025</v>
      </c>
      <c r="E5340" t="str">
        <f>IF(COUNTIF(data2!$D:$D,D5340)=0,"Missing in Data2","Present")</f>
        <v>Present</v>
      </c>
    </row>
    <row r="5341" spans="1:5" x14ac:dyDescent="0.25">
      <c r="A5341" s="2" t="s">
        <v>4489</v>
      </c>
      <c r="B5341" s="2" t="s">
        <v>860</v>
      </c>
      <c r="C5341" s="2">
        <v>2</v>
      </c>
      <c r="D5341" t="str">
        <f t="shared" si="83"/>
        <v>CA-2017-101700_OFF-EN-10003134</v>
      </c>
      <c r="E5341" t="str">
        <f>IF(COUNTIF(data2!$D:$D,D5341)=0,"Missing in Data2","Present")</f>
        <v>Present</v>
      </c>
    </row>
    <row r="5342" spans="1:5" x14ac:dyDescent="0.25">
      <c r="A5342" s="2" t="s">
        <v>4490</v>
      </c>
      <c r="B5342" s="2" t="s">
        <v>2414</v>
      </c>
      <c r="C5342" s="2">
        <v>2</v>
      </c>
      <c r="D5342" t="str">
        <f t="shared" si="83"/>
        <v>CA-2017-101728_OFF-BI-10002393</v>
      </c>
      <c r="E5342" t="str">
        <f>IF(COUNTIF(data2!$D:$D,D5342)=0,"Missing in Data2","Present")</f>
        <v>Present</v>
      </c>
    </row>
    <row r="5343" spans="1:5" x14ac:dyDescent="0.25">
      <c r="A5343" s="2" t="s">
        <v>4491</v>
      </c>
      <c r="B5343" s="2" t="s">
        <v>2601</v>
      </c>
      <c r="C5343" s="2">
        <v>3</v>
      </c>
      <c r="D5343" t="str">
        <f t="shared" si="83"/>
        <v>CA-2017-101749_FUR-TA-10001520</v>
      </c>
      <c r="E5343" t="str">
        <f>IF(COUNTIF(data2!$D:$D,D5343)=0,"Missing in Data2","Present")</f>
        <v>Present</v>
      </c>
    </row>
    <row r="5344" spans="1:5" x14ac:dyDescent="0.25">
      <c r="A5344" s="2" t="s">
        <v>4492</v>
      </c>
      <c r="B5344" s="2" t="s">
        <v>211</v>
      </c>
      <c r="C5344" s="2">
        <v>4</v>
      </c>
      <c r="D5344" t="str">
        <f t="shared" si="83"/>
        <v>CA-2017-101798_OFF-BI-10000050</v>
      </c>
      <c r="E5344" t="str">
        <f>IF(COUNTIF(data2!$D:$D,D5344)=0,"Missing in Data2","Present")</f>
        <v>Present</v>
      </c>
    </row>
    <row r="5345" spans="1:5" x14ac:dyDescent="0.25">
      <c r="A5345" s="2" t="s">
        <v>4492</v>
      </c>
      <c r="B5345" s="2" t="s">
        <v>2525</v>
      </c>
      <c r="C5345" s="2">
        <v>2</v>
      </c>
      <c r="D5345" t="str">
        <f t="shared" si="83"/>
        <v>CA-2017-101798_TEC-AC-10001998</v>
      </c>
      <c r="E5345" t="str">
        <f>IF(COUNTIF(data2!$D:$D,D5345)=0,"Missing in Data2","Present")</f>
        <v>Present</v>
      </c>
    </row>
    <row r="5346" spans="1:5" x14ac:dyDescent="0.25">
      <c r="A5346" s="2" t="s">
        <v>4493</v>
      </c>
      <c r="B5346" s="2" t="s">
        <v>1324</v>
      </c>
      <c r="C5346" s="2">
        <v>12</v>
      </c>
      <c r="D5346" t="str">
        <f t="shared" si="83"/>
        <v>CA-2017-101805_FUR-FU-10000023</v>
      </c>
      <c r="E5346" t="str">
        <f>IF(COUNTIF(data2!$D:$D,D5346)=0,"Missing in Data2","Present")</f>
        <v>Present</v>
      </c>
    </row>
    <row r="5347" spans="1:5" x14ac:dyDescent="0.25">
      <c r="A5347" s="2" t="s">
        <v>4493</v>
      </c>
      <c r="B5347" s="2" t="s">
        <v>2819</v>
      </c>
      <c r="C5347" s="2">
        <v>5</v>
      </c>
      <c r="D5347" t="str">
        <f t="shared" si="83"/>
        <v>CA-2017-101805_OFF-BI-10002003</v>
      </c>
      <c r="E5347" t="str">
        <f>IF(COUNTIF(data2!$D:$D,D5347)=0,"Missing in Data2","Present")</f>
        <v>Present</v>
      </c>
    </row>
    <row r="5348" spans="1:5" x14ac:dyDescent="0.25">
      <c r="A5348" s="2" t="s">
        <v>4493</v>
      </c>
      <c r="B5348" s="2" t="s">
        <v>2078</v>
      </c>
      <c r="C5348" s="2">
        <v>4</v>
      </c>
      <c r="D5348" t="str">
        <f t="shared" si="83"/>
        <v>CA-2017-101805_OFF-ST-10002756</v>
      </c>
      <c r="E5348" t="str">
        <f>IF(COUNTIF(data2!$D:$D,D5348)=0,"Missing in Data2","Present")</f>
        <v>Present</v>
      </c>
    </row>
    <row r="5349" spans="1:5" x14ac:dyDescent="0.25">
      <c r="A5349" s="2" t="s">
        <v>4494</v>
      </c>
      <c r="B5349" s="2" t="s">
        <v>1662</v>
      </c>
      <c r="C5349" s="2">
        <v>3</v>
      </c>
      <c r="D5349" t="str">
        <f t="shared" si="83"/>
        <v>CA-2017-101945_OFF-FA-10004248</v>
      </c>
      <c r="E5349" t="str">
        <f>IF(COUNTIF(data2!$D:$D,D5349)=0,"Missing in Data2","Present")</f>
        <v>Present</v>
      </c>
    </row>
    <row r="5350" spans="1:5" x14ac:dyDescent="0.25">
      <c r="A5350" s="2" t="s">
        <v>4495</v>
      </c>
      <c r="B5350" s="2" t="s">
        <v>1065</v>
      </c>
      <c r="C5350" s="2">
        <v>2</v>
      </c>
      <c r="D5350" t="str">
        <f t="shared" si="83"/>
        <v>CA-2017-101959_OFF-BI-10001757</v>
      </c>
      <c r="E5350" t="str">
        <f>IF(COUNTIF(data2!$D:$D,D5350)=0,"Missing in Data2","Present")</f>
        <v>Present</v>
      </c>
    </row>
    <row r="5351" spans="1:5" x14ac:dyDescent="0.25">
      <c r="A5351" s="2" t="s">
        <v>4495</v>
      </c>
      <c r="B5351" s="2" t="s">
        <v>1590</v>
      </c>
      <c r="C5351" s="2">
        <v>1</v>
      </c>
      <c r="D5351" t="str">
        <f t="shared" si="83"/>
        <v>CA-2017-101959_OFF-PA-10002137</v>
      </c>
      <c r="E5351" t="str">
        <f>IF(COUNTIF(data2!$D:$D,D5351)=0,"Missing in Data2","Present")</f>
        <v>Present</v>
      </c>
    </row>
    <row r="5352" spans="1:5" x14ac:dyDescent="0.25">
      <c r="A5352" s="2" t="s">
        <v>4496</v>
      </c>
      <c r="B5352" s="2" t="s">
        <v>4063</v>
      </c>
      <c r="C5352" s="2">
        <v>3</v>
      </c>
      <c r="D5352" t="str">
        <f t="shared" si="83"/>
        <v>CA-2017-102099_OFF-AR-10003811</v>
      </c>
      <c r="E5352" t="str">
        <f>IF(COUNTIF(data2!$D:$D,D5352)=0,"Missing in Data2","Present")</f>
        <v>Present</v>
      </c>
    </row>
    <row r="5353" spans="1:5" x14ac:dyDescent="0.25">
      <c r="A5353" s="2" t="s">
        <v>4496</v>
      </c>
      <c r="B5353" s="2" t="s">
        <v>961</v>
      </c>
      <c r="C5353" s="2">
        <v>5</v>
      </c>
      <c r="D5353" t="str">
        <f t="shared" si="83"/>
        <v>CA-2017-102099_OFF-PA-10000289</v>
      </c>
      <c r="E5353" t="str">
        <f>IF(COUNTIF(data2!$D:$D,D5353)=0,"Missing in Data2","Present")</f>
        <v>Present</v>
      </c>
    </row>
    <row r="5354" spans="1:5" x14ac:dyDescent="0.25">
      <c r="A5354" s="2" t="s">
        <v>4496</v>
      </c>
      <c r="B5354" s="2" t="s">
        <v>1909</v>
      </c>
      <c r="C5354" s="2">
        <v>2</v>
      </c>
      <c r="D5354" t="str">
        <f t="shared" si="83"/>
        <v>CA-2017-102099_OFF-PA-10003172</v>
      </c>
      <c r="E5354" t="str">
        <f>IF(COUNTIF(data2!$D:$D,D5354)=0,"Missing in Data2","Present")</f>
        <v>Missing in Data2</v>
      </c>
    </row>
    <row r="5355" spans="1:5" x14ac:dyDescent="0.25">
      <c r="A5355" s="2" t="s">
        <v>4497</v>
      </c>
      <c r="B5355" s="2" t="s">
        <v>4498</v>
      </c>
      <c r="C5355" s="2">
        <v>2</v>
      </c>
      <c r="D5355" t="str">
        <f t="shared" si="83"/>
        <v>CA-2017-102155_OFF-PA-10003673</v>
      </c>
      <c r="E5355" t="str">
        <f>IF(COUNTIF(data2!$D:$D,D5355)=0,"Missing in Data2","Present")</f>
        <v>Present</v>
      </c>
    </row>
    <row r="5356" spans="1:5" x14ac:dyDescent="0.25">
      <c r="A5356" s="2" t="s">
        <v>4497</v>
      </c>
      <c r="B5356" s="2" t="s">
        <v>258</v>
      </c>
      <c r="C5356" s="2">
        <v>2</v>
      </c>
      <c r="D5356" t="str">
        <f t="shared" si="83"/>
        <v>CA-2017-102155_OFF-ST-10001496</v>
      </c>
      <c r="E5356" t="str">
        <f>IF(COUNTIF(data2!$D:$D,D5356)=0,"Missing in Data2","Present")</f>
        <v>Present</v>
      </c>
    </row>
    <row r="5357" spans="1:5" x14ac:dyDescent="0.25">
      <c r="A5357" s="2" t="s">
        <v>4499</v>
      </c>
      <c r="B5357" s="2" t="s">
        <v>1815</v>
      </c>
      <c r="C5357" s="2">
        <v>3</v>
      </c>
      <c r="D5357" t="str">
        <f t="shared" si="83"/>
        <v>CA-2017-102197_OFF-BI-10001524</v>
      </c>
      <c r="E5357" t="str">
        <f>IF(COUNTIF(data2!$D:$D,D5357)=0,"Missing in Data2","Present")</f>
        <v>Present</v>
      </c>
    </row>
    <row r="5358" spans="1:5" x14ac:dyDescent="0.25">
      <c r="A5358" s="2" t="s">
        <v>4499</v>
      </c>
      <c r="B5358" s="2" t="s">
        <v>1039</v>
      </c>
      <c r="C5358" s="2">
        <v>5</v>
      </c>
      <c r="D5358" t="str">
        <f t="shared" si="83"/>
        <v>CA-2017-102197_OFF-PA-10001970</v>
      </c>
      <c r="E5358" t="str">
        <f>IF(COUNTIF(data2!$D:$D,D5358)=0,"Missing in Data2","Present")</f>
        <v>Present</v>
      </c>
    </row>
    <row r="5359" spans="1:5" x14ac:dyDescent="0.25">
      <c r="A5359" s="2" t="s">
        <v>4499</v>
      </c>
      <c r="B5359" s="2" t="s">
        <v>2984</v>
      </c>
      <c r="C5359" s="2">
        <v>3</v>
      </c>
      <c r="D5359" t="str">
        <f t="shared" si="83"/>
        <v>CA-2017-102197_OFF-PA-10004156</v>
      </c>
      <c r="E5359" t="str">
        <f>IF(COUNTIF(data2!$D:$D,D5359)=0,"Missing in Data2","Present")</f>
        <v>Present</v>
      </c>
    </row>
    <row r="5360" spans="1:5" x14ac:dyDescent="0.25">
      <c r="A5360" s="2" t="s">
        <v>4500</v>
      </c>
      <c r="B5360" s="2" t="s">
        <v>561</v>
      </c>
      <c r="C5360" s="2">
        <v>5</v>
      </c>
      <c r="D5360" t="str">
        <f t="shared" si="83"/>
        <v>CA-2017-102204_FUR-CH-10002024</v>
      </c>
      <c r="E5360" t="str">
        <f>IF(COUNTIF(data2!$D:$D,D5360)=0,"Missing in Data2","Present")</f>
        <v>Present</v>
      </c>
    </row>
    <row r="5361" spans="1:5" x14ac:dyDescent="0.25">
      <c r="A5361" s="2" t="s">
        <v>4500</v>
      </c>
      <c r="B5361" s="2" t="s">
        <v>1130</v>
      </c>
      <c r="C5361" s="2">
        <v>4</v>
      </c>
      <c r="D5361" t="str">
        <f t="shared" si="83"/>
        <v>CA-2017-102204_FUR-TA-10001889</v>
      </c>
      <c r="E5361" t="str">
        <f>IF(COUNTIF(data2!$D:$D,D5361)=0,"Missing in Data2","Present")</f>
        <v>Present</v>
      </c>
    </row>
    <row r="5362" spans="1:5" x14ac:dyDescent="0.25">
      <c r="A5362" s="2" t="s">
        <v>4500</v>
      </c>
      <c r="B5362" s="2" t="s">
        <v>4501</v>
      </c>
      <c r="C5362" s="2">
        <v>2</v>
      </c>
      <c r="D5362" t="str">
        <f t="shared" si="83"/>
        <v>CA-2017-102204_OFF-SU-10001212</v>
      </c>
      <c r="E5362" t="str">
        <f>IF(COUNTIF(data2!$D:$D,D5362)=0,"Missing in Data2","Present")</f>
        <v>Present</v>
      </c>
    </row>
    <row r="5363" spans="1:5" x14ac:dyDescent="0.25">
      <c r="A5363" s="2" t="s">
        <v>4502</v>
      </c>
      <c r="B5363" s="2" t="s">
        <v>77</v>
      </c>
      <c r="C5363" s="2">
        <v>2</v>
      </c>
      <c r="D5363" t="str">
        <f t="shared" si="83"/>
        <v>CA-2017-102218_OFF-LA-10002475</v>
      </c>
      <c r="E5363" t="str">
        <f>IF(COUNTIF(data2!$D:$D,D5363)=0,"Missing in Data2","Present")</f>
        <v>Present</v>
      </c>
    </row>
    <row r="5364" spans="1:5" x14ac:dyDescent="0.25">
      <c r="A5364" s="2" t="s">
        <v>4503</v>
      </c>
      <c r="B5364" s="2" t="s">
        <v>11</v>
      </c>
      <c r="C5364" s="2">
        <v>2</v>
      </c>
      <c r="D5364" t="str">
        <f t="shared" si="83"/>
        <v>CA-2017-102267_OFF-FA-10000611</v>
      </c>
      <c r="E5364" t="str">
        <f>IF(COUNTIF(data2!$D:$D,D5364)=0,"Missing in Data2","Present")</f>
        <v>Present</v>
      </c>
    </row>
    <row r="5365" spans="1:5" x14ac:dyDescent="0.25">
      <c r="A5365" s="2" t="s">
        <v>4504</v>
      </c>
      <c r="B5365" s="2" t="s">
        <v>572</v>
      </c>
      <c r="C5365" s="2">
        <v>2</v>
      </c>
      <c r="D5365" t="str">
        <f t="shared" si="83"/>
        <v>CA-2017-102309_OFF-PA-10002005</v>
      </c>
      <c r="E5365" t="str">
        <f>IF(COUNTIF(data2!$D:$D,D5365)=0,"Missing in Data2","Present")</f>
        <v>Present</v>
      </c>
    </row>
    <row r="5366" spans="1:5" x14ac:dyDescent="0.25">
      <c r="A5366" s="2" t="s">
        <v>4504</v>
      </c>
      <c r="B5366" s="2" t="s">
        <v>4505</v>
      </c>
      <c r="C5366" s="2">
        <v>5</v>
      </c>
      <c r="D5366" t="str">
        <f t="shared" si="83"/>
        <v>CA-2017-102309_TEC-AC-10001114</v>
      </c>
      <c r="E5366" t="str">
        <f>IF(COUNTIF(data2!$D:$D,D5366)=0,"Missing in Data2","Present")</f>
        <v>Present</v>
      </c>
    </row>
    <row r="5367" spans="1:5" x14ac:dyDescent="0.25">
      <c r="A5367" s="2" t="s">
        <v>4506</v>
      </c>
      <c r="B5367" s="2" t="s">
        <v>1333</v>
      </c>
      <c r="C5367" s="2">
        <v>7</v>
      </c>
      <c r="D5367" t="str">
        <f t="shared" si="83"/>
        <v>CA-2017-102337_FUR-CH-10004289</v>
      </c>
      <c r="E5367" t="str">
        <f>IF(COUNTIF(data2!$D:$D,D5367)=0,"Missing in Data2","Present")</f>
        <v>Present</v>
      </c>
    </row>
    <row r="5368" spans="1:5" x14ac:dyDescent="0.25">
      <c r="A5368" s="2" t="s">
        <v>4506</v>
      </c>
      <c r="B5368" s="2" t="s">
        <v>2460</v>
      </c>
      <c r="C5368" s="2">
        <v>4</v>
      </c>
      <c r="D5368" t="str">
        <f t="shared" si="83"/>
        <v>CA-2017-102337_OFF-ST-10004804</v>
      </c>
      <c r="E5368" t="str">
        <f>IF(COUNTIF(data2!$D:$D,D5368)=0,"Missing in Data2","Present")</f>
        <v>Present</v>
      </c>
    </row>
    <row r="5369" spans="1:5" x14ac:dyDescent="0.25">
      <c r="A5369" s="2" t="s">
        <v>4506</v>
      </c>
      <c r="B5369" s="2" t="s">
        <v>2159</v>
      </c>
      <c r="C5369" s="2">
        <v>2</v>
      </c>
      <c r="D5369" t="str">
        <f t="shared" si="83"/>
        <v>CA-2017-102337_TEC-PH-10002564</v>
      </c>
      <c r="E5369" t="str">
        <f>IF(COUNTIF(data2!$D:$D,D5369)=0,"Missing in Data2","Present")</f>
        <v>Present</v>
      </c>
    </row>
    <row r="5370" spans="1:5" x14ac:dyDescent="0.25">
      <c r="A5370" s="2" t="s">
        <v>4507</v>
      </c>
      <c r="B5370" s="2" t="s">
        <v>1540</v>
      </c>
      <c r="C5370" s="2">
        <v>9</v>
      </c>
      <c r="D5370" t="str">
        <f t="shared" si="83"/>
        <v>CA-2017-102379_FUR-CH-10004983</v>
      </c>
      <c r="E5370" t="str">
        <f>IF(COUNTIF(data2!$D:$D,D5370)=0,"Missing in Data2","Present")</f>
        <v>Present</v>
      </c>
    </row>
    <row r="5371" spans="1:5" x14ac:dyDescent="0.25">
      <c r="A5371" s="2" t="s">
        <v>4507</v>
      </c>
      <c r="B5371" s="2" t="s">
        <v>3047</v>
      </c>
      <c r="C5371" s="2">
        <v>5</v>
      </c>
      <c r="D5371" t="str">
        <f t="shared" si="83"/>
        <v>CA-2017-102379_OFF-AR-10004022</v>
      </c>
      <c r="E5371" t="str">
        <f>IF(COUNTIF(data2!$D:$D,D5371)=0,"Missing in Data2","Present")</f>
        <v>Present</v>
      </c>
    </row>
    <row r="5372" spans="1:5" x14ac:dyDescent="0.25">
      <c r="A5372" s="2" t="s">
        <v>4507</v>
      </c>
      <c r="B5372" s="2" t="s">
        <v>3186</v>
      </c>
      <c r="C5372" s="2">
        <v>1</v>
      </c>
      <c r="D5372" t="str">
        <f t="shared" si="83"/>
        <v>CA-2017-102379_TEC-PH-10001448</v>
      </c>
      <c r="E5372" t="str">
        <f>IF(COUNTIF(data2!$D:$D,D5372)=0,"Missing in Data2","Present")</f>
        <v>Present</v>
      </c>
    </row>
    <row r="5373" spans="1:5" x14ac:dyDescent="0.25">
      <c r="A5373" s="2" t="s">
        <v>4508</v>
      </c>
      <c r="B5373" s="2" t="s">
        <v>1427</v>
      </c>
      <c r="C5373" s="2">
        <v>9</v>
      </c>
      <c r="D5373" t="str">
        <f t="shared" si="83"/>
        <v>CA-2017-102407_FUR-TA-10003748</v>
      </c>
      <c r="E5373" t="str">
        <f>IF(COUNTIF(data2!$D:$D,D5373)=0,"Missing in Data2","Present")</f>
        <v>Present</v>
      </c>
    </row>
    <row r="5374" spans="1:5" x14ac:dyDescent="0.25">
      <c r="A5374" s="2" t="s">
        <v>4508</v>
      </c>
      <c r="B5374" s="2" t="s">
        <v>2622</v>
      </c>
      <c r="C5374" s="2">
        <v>1</v>
      </c>
      <c r="D5374" t="str">
        <f t="shared" si="83"/>
        <v>CA-2017-102407_OFF-AP-10001394</v>
      </c>
      <c r="E5374" t="str">
        <f>IF(COUNTIF(data2!$D:$D,D5374)=0,"Missing in Data2","Present")</f>
        <v>Present</v>
      </c>
    </row>
    <row r="5375" spans="1:5" x14ac:dyDescent="0.25">
      <c r="A5375" s="2" t="s">
        <v>4508</v>
      </c>
      <c r="B5375" s="2" t="s">
        <v>701</v>
      </c>
      <c r="C5375" s="2">
        <v>2</v>
      </c>
      <c r="D5375" t="str">
        <f t="shared" si="83"/>
        <v>CA-2017-102407_OFF-AR-10000122</v>
      </c>
      <c r="E5375" t="str">
        <f>IF(COUNTIF(data2!$D:$D,D5375)=0,"Missing in Data2","Present")</f>
        <v>Present</v>
      </c>
    </row>
    <row r="5376" spans="1:5" x14ac:dyDescent="0.25">
      <c r="A5376" s="2" t="s">
        <v>4509</v>
      </c>
      <c r="B5376" s="2" t="s">
        <v>3533</v>
      </c>
      <c r="C5376" s="2">
        <v>2</v>
      </c>
      <c r="D5376" t="str">
        <f t="shared" si="83"/>
        <v>CA-2017-102414_OFF-BI-10004465</v>
      </c>
      <c r="E5376" t="str">
        <f>IF(COUNTIF(data2!$D:$D,D5376)=0,"Missing in Data2","Present")</f>
        <v>Present</v>
      </c>
    </row>
    <row r="5377" spans="1:5" x14ac:dyDescent="0.25">
      <c r="A5377" s="2" t="s">
        <v>4509</v>
      </c>
      <c r="B5377" s="2" t="s">
        <v>4510</v>
      </c>
      <c r="C5377" s="2">
        <v>3</v>
      </c>
      <c r="D5377" t="str">
        <f t="shared" si="83"/>
        <v>CA-2017-102414_OFF-PA-10002333</v>
      </c>
      <c r="E5377" t="str">
        <f>IF(COUNTIF(data2!$D:$D,D5377)=0,"Missing in Data2","Present")</f>
        <v>Present</v>
      </c>
    </row>
    <row r="5378" spans="1:5" x14ac:dyDescent="0.25">
      <c r="A5378" s="2" t="s">
        <v>4509</v>
      </c>
      <c r="B5378" s="2" t="s">
        <v>82</v>
      </c>
      <c r="C5378" s="2">
        <v>1</v>
      </c>
      <c r="D5378" t="str">
        <f t="shared" si="83"/>
        <v>CA-2017-102414_TEC-PH-10002923</v>
      </c>
      <c r="E5378" t="str">
        <f>IF(COUNTIF(data2!$D:$D,D5378)=0,"Missing in Data2","Present")</f>
        <v>Present</v>
      </c>
    </row>
    <row r="5379" spans="1:5" x14ac:dyDescent="0.25">
      <c r="A5379" s="2" t="s">
        <v>4511</v>
      </c>
      <c r="B5379" s="2" t="s">
        <v>118</v>
      </c>
      <c r="C5379" s="2">
        <v>1</v>
      </c>
      <c r="D5379" t="str">
        <f t="shared" ref="D5379:D5442" si="84">A5379&amp;"_"&amp;B5379</f>
        <v>CA-2017-102519_FUR-FU-10004091</v>
      </c>
      <c r="E5379" t="str">
        <f>IF(COUNTIF(data2!$D:$D,D5379)=0,"Missing in Data2","Present")</f>
        <v>Present</v>
      </c>
    </row>
    <row r="5380" spans="1:5" x14ac:dyDescent="0.25">
      <c r="A5380" s="2" t="s">
        <v>4511</v>
      </c>
      <c r="B5380" s="2" t="s">
        <v>1779</v>
      </c>
      <c r="C5380" s="2">
        <v>9</v>
      </c>
      <c r="D5380" t="str">
        <f t="shared" si="84"/>
        <v>CA-2017-102519_TEC-AC-10001772</v>
      </c>
      <c r="E5380" t="str">
        <f>IF(COUNTIF(data2!$D:$D,D5380)=0,"Missing in Data2","Present")</f>
        <v>Present</v>
      </c>
    </row>
    <row r="5381" spans="1:5" x14ac:dyDescent="0.25">
      <c r="A5381" s="2" t="s">
        <v>4512</v>
      </c>
      <c r="B5381" s="2" t="s">
        <v>899</v>
      </c>
      <c r="C5381" s="2">
        <v>2</v>
      </c>
      <c r="D5381" t="str">
        <f t="shared" si="84"/>
        <v>CA-2017-102554_OFF-AR-10001919</v>
      </c>
      <c r="E5381" t="str">
        <f>IF(COUNTIF(data2!$D:$D,D5381)=0,"Missing in Data2","Present")</f>
        <v>Present</v>
      </c>
    </row>
    <row r="5382" spans="1:5" x14ac:dyDescent="0.25">
      <c r="A5382" s="2" t="s">
        <v>4513</v>
      </c>
      <c r="B5382" s="2" t="s">
        <v>432</v>
      </c>
      <c r="C5382" s="2">
        <v>2</v>
      </c>
      <c r="D5382" t="str">
        <f t="shared" si="84"/>
        <v>CA-2017-102610_OFF-BI-10004364</v>
      </c>
      <c r="E5382" t="str">
        <f>IF(COUNTIF(data2!$D:$D,D5382)=0,"Missing in Data2","Present")</f>
        <v>Present</v>
      </c>
    </row>
    <row r="5383" spans="1:5" x14ac:dyDescent="0.25">
      <c r="A5383" s="2" t="s">
        <v>4513</v>
      </c>
      <c r="B5383" s="2" t="s">
        <v>945</v>
      </c>
      <c r="C5383" s="2">
        <v>2</v>
      </c>
      <c r="D5383" t="str">
        <f t="shared" si="84"/>
        <v>CA-2017-102610_OFF-LA-10002195</v>
      </c>
      <c r="E5383" t="str">
        <f>IF(COUNTIF(data2!$D:$D,D5383)=0,"Missing in Data2","Present")</f>
        <v>Present</v>
      </c>
    </row>
    <row r="5384" spans="1:5" x14ac:dyDescent="0.25">
      <c r="A5384" s="2" t="s">
        <v>4513</v>
      </c>
      <c r="B5384" s="2" t="s">
        <v>1063</v>
      </c>
      <c r="C5384" s="2">
        <v>3</v>
      </c>
      <c r="D5384" t="str">
        <f t="shared" si="84"/>
        <v>CA-2017-102610_TEC-AC-10000303</v>
      </c>
      <c r="E5384" t="str">
        <f>IF(COUNTIF(data2!$D:$D,D5384)=0,"Missing in Data2","Present")</f>
        <v>Present</v>
      </c>
    </row>
    <row r="5385" spans="1:5" x14ac:dyDescent="0.25">
      <c r="A5385" s="2" t="s">
        <v>4513</v>
      </c>
      <c r="B5385" s="2" t="s">
        <v>4514</v>
      </c>
      <c r="C5385" s="2">
        <v>9</v>
      </c>
      <c r="D5385" t="str">
        <f t="shared" si="84"/>
        <v>CA-2017-102610_TEC-PH-10000127</v>
      </c>
      <c r="E5385" t="str">
        <f>IF(COUNTIF(data2!$D:$D,D5385)=0,"Missing in Data2","Present")</f>
        <v>Present</v>
      </c>
    </row>
    <row r="5386" spans="1:5" x14ac:dyDescent="0.25">
      <c r="A5386" s="2" t="s">
        <v>4515</v>
      </c>
      <c r="B5386" s="2" t="s">
        <v>2140</v>
      </c>
      <c r="C5386" s="2">
        <v>5</v>
      </c>
      <c r="D5386" t="str">
        <f t="shared" si="84"/>
        <v>CA-2017-102659_OFF-BI-10000088</v>
      </c>
      <c r="E5386" t="str">
        <f>IF(COUNTIF(data2!$D:$D,D5386)=0,"Missing in Data2","Present")</f>
        <v>Present</v>
      </c>
    </row>
    <row r="5387" spans="1:5" x14ac:dyDescent="0.25">
      <c r="A5387" s="2" t="s">
        <v>4516</v>
      </c>
      <c r="B5387" s="2" t="s">
        <v>1471</v>
      </c>
      <c r="C5387" s="2">
        <v>2</v>
      </c>
      <c r="D5387" t="str">
        <f t="shared" si="84"/>
        <v>CA-2017-102729_OFF-ST-10000464</v>
      </c>
      <c r="E5387" t="str">
        <f>IF(COUNTIF(data2!$D:$D,D5387)=0,"Missing in Data2","Present")</f>
        <v>Present</v>
      </c>
    </row>
    <row r="5388" spans="1:5" x14ac:dyDescent="0.25">
      <c r="A5388" s="2" t="s">
        <v>4517</v>
      </c>
      <c r="B5388" s="2" t="s">
        <v>1080</v>
      </c>
      <c r="C5388" s="2">
        <v>5</v>
      </c>
      <c r="D5388" t="str">
        <f t="shared" si="84"/>
        <v>CA-2017-102736_OFF-AR-10001897</v>
      </c>
      <c r="E5388" t="str">
        <f>IF(COUNTIF(data2!$D:$D,D5388)=0,"Missing in Data2","Present")</f>
        <v>Present</v>
      </c>
    </row>
    <row r="5389" spans="1:5" x14ac:dyDescent="0.25">
      <c r="A5389" s="2" t="s">
        <v>4517</v>
      </c>
      <c r="B5389" s="2" t="s">
        <v>854</v>
      </c>
      <c r="C5389" s="2">
        <v>3</v>
      </c>
      <c r="D5389" t="str">
        <f t="shared" si="84"/>
        <v>CA-2017-102736_OFF-PA-10001800</v>
      </c>
      <c r="E5389" t="str">
        <f>IF(COUNTIF(data2!$D:$D,D5389)=0,"Missing in Data2","Present")</f>
        <v>Present</v>
      </c>
    </row>
    <row r="5390" spans="1:5" x14ac:dyDescent="0.25">
      <c r="A5390" s="2" t="s">
        <v>4517</v>
      </c>
      <c r="B5390" s="2" t="s">
        <v>2609</v>
      </c>
      <c r="C5390" s="2">
        <v>4</v>
      </c>
      <c r="D5390" t="str">
        <f t="shared" si="84"/>
        <v>CA-2017-102736_TEC-AC-10004568</v>
      </c>
      <c r="E5390" t="str">
        <f>IF(COUNTIF(data2!$D:$D,D5390)=0,"Missing in Data2","Present")</f>
        <v>Present</v>
      </c>
    </row>
    <row r="5391" spans="1:5" x14ac:dyDescent="0.25">
      <c r="A5391" s="2" t="s">
        <v>4518</v>
      </c>
      <c r="B5391" s="2" t="s">
        <v>2199</v>
      </c>
      <c r="C5391" s="2">
        <v>3</v>
      </c>
      <c r="D5391" t="str">
        <f t="shared" si="84"/>
        <v>CA-2017-102750_FUR-TA-10000198</v>
      </c>
      <c r="E5391" t="str">
        <f>IF(COUNTIF(data2!$D:$D,D5391)=0,"Missing in Data2","Present")</f>
        <v>Present</v>
      </c>
    </row>
    <row r="5392" spans="1:5" x14ac:dyDescent="0.25">
      <c r="A5392" s="2" t="s">
        <v>4519</v>
      </c>
      <c r="B5392" s="2" t="s">
        <v>1634</v>
      </c>
      <c r="C5392" s="2">
        <v>5</v>
      </c>
      <c r="D5392" t="str">
        <f t="shared" si="84"/>
        <v>CA-2017-102771_TEC-PH-10001536</v>
      </c>
      <c r="E5392" t="str">
        <f>IF(COUNTIF(data2!$D:$D,D5392)=0,"Missing in Data2","Present")</f>
        <v>Present</v>
      </c>
    </row>
    <row r="5393" spans="1:5" x14ac:dyDescent="0.25">
      <c r="A5393" s="2" t="s">
        <v>4520</v>
      </c>
      <c r="B5393" s="2" t="s">
        <v>3212</v>
      </c>
      <c r="C5393" s="2">
        <v>7</v>
      </c>
      <c r="D5393" t="str">
        <f t="shared" si="84"/>
        <v>CA-2017-102820_TEC-PH-10003437</v>
      </c>
      <c r="E5393" t="str">
        <f>IF(COUNTIF(data2!$D:$D,D5393)=0,"Missing in Data2","Present")</f>
        <v>Present</v>
      </c>
    </row>
    <row r="5394" spans="1:5" x14ac:dyDescent="0.25">
      <c r="A5394" s="2" t="s">
        <v>4521</v>
      </c>
      <c r="B5394" s="2" t="s">
        <v>1428</v>
      </c>
      <c r="C5394" s="2">
        <v>2</v>
      </c>
      <c r="D5394" t="str">
        <f t="shared" si="84"/>
        <v>CA-2017-102834_TEC-AC-10001908</v>
      </c>
      <c r="E5394" t="str">
        <f>IF(COUNTIF(data2!$D:$D,D5394)=0,"Missing in Data2","Present")</f>
        <v>Present</v>
      </c>
    </row>
    <row r="5395" spans="1:5" x14ac:dyDescent="0.25">
      <c r="A5395" s="2" t="s">
        <v>4522</v>
      </c>
      <c r="B5395" s="2" t="s">
        <v>1674</v>
      </c>
      <c r="C5395" s="2">
        <v>2</v>
      </c>
      <c r="D5395" t="str">
        <f t="shared" si="84"/>
        <v>CA-2017-102925_FUR-CH-10004875</v>
      </c>
      <c r="E5395" t="str">
        <f>IF(COUNTIF(data2!$D:$D,D5395)=0,"Missing in Data2","Present")</f>
        <v>Present</v>
      </c>
    </row>
    <row r="5396" spans="1:5" x14ac:dyDescent="0.25">
      <c r="A5396" s="2" t="s">
        <v>4522</v>
      </c>
      <c r="B5396" s="2" t="s">
        <v>4523</v>
      </c>
      <c r="C5396" s="2">
        <v>5</v>
      </c>
      <c r="D5396" t="str">
        <f t="shared" si="84"/>
        <v>CA-2017-102925_FUR-FU-10004245</v>
      </c>
      <c r="E5396" t="str">
        <f>IF(COUNTIF(data2!$D:$D,D5396)=0,"Missing in Data2","Present")</f>
        <v>Present</v>
      </c>
    </row>
    <row r="5397" spans="1:5" x14ac:dyDescent="0.25">
      <c r="A5397" s="2" t="s">
        <v>4522</v>
      </c>
      <c r="B5397" s="2" t="s">
        <v>1744</v>
      </c>
      <c r="C5397" s="2">
        <v>2</v>
      </c>
      <c r="D5397" t="str">
        <f t="shared" si="84"/>
        <v>CA-2017-102925_FUR-TA-10003469</v>
      </c>
      <c r="E5397" t="str">
        <f>IF(COUNTIF(data2!$D:$D,D5397)=0,"Missing in Data2","Present")</f>
        <v>Present</v>
      </c>
    </row>
    <row r="5398" spans="1:5" x14ac:dyDescent="0.25">
      <c r="A5398" s="2" t="s">
        <v>4522</v>
      </c>
      <c r="B5398" s="2" t="s">
        <v>965</v>
      </c>
      <c r="C5398" s="2">
        <v>1</v>
      </c>
      <c r="D5398" t="str">
        <f t="shared" si="84"/>
        <v>CA-2017-102925_OFF-BI-10002706</v>
      </c>
      <c r="E5398" t="str">
        <f>IF(COUNTIF(data2!$D:$D,D5398)=0,"Missing in Data2","Present")</f>
        <v>Present</v>
      </c>
    </row>
    <row r="5399" spans="1:5" x14ac:dyDescent="0.25">
      <c r="A5399" s="2" t="s">
        <v>4522</v>
      </c>
      <c r="B5399" s="2" t="s">
        <v>165</v>
      </c>
      <c r="C5399" s="2">
        <v>6</v>
      </c>
      <c r="D5399" t="str">
        <f t="shared" si="84"/>
        <v>CA-2017-102925_OFF-BI-10002735</v>
      </c>
      <c r="E5399" t="str">
        <f>IF(COUNTIF(data2!$D:$D,D5399)=0,"Missing in Data2","Present")</f>
        <v>Present</v>
      </c>
    </row>
    <row r="5400" spans="1:5" x14ac:dyDescent="0.25">
      <c r="A5400" s="2" t="s">
        <v>4522</v>
      </c>
      <c r="B5400" s="2" t="s">
        <v>2631</v>
      </c>
      <c r="C5400" s="2">
        <v>2</v>
      </c>
      <c r="D5400" t="str">
        <f t="shared" si="84"/>
        <v>CA-2017-102925_OFF-PA-10001870</v>
      </c>
      <c r="E5400" t="str">
        <f>IF(COUNTIF(data2!$D:$D,D5400)=0,"Missing in Data2","Present")</f>
        <v>Present</v>
      </c>
    </row>
    <row r="5401" spans="1:5" x14ac:dyDescent="0.25">
      <c r="A5401" s="2" t="s">
        <v>4522</v>
      </c>
      <c r="B5401" s="2" t="s">
        <v>477</v>
      </c>
      <c r="C5401" s="2">
        <v>2</v>
      </c>
      <c r="D5401" t="str">
        <f t="shared" si="84"/>
        <v>CA-2017-102925_OFF-PA-10004071</v>
      </c>
      <c r="E5401" t="str">
        <f>IF(COUNTIF(data2!$D:$D,D5401)=0,"Missing in Data2","Present")</f>
        <v>Present</v>
      </c>
    </row>
    <row r="5402" spans="1:5" x14ac:dyDescent="0.25">
      <c r="A5402" s="2" t="s">
        <v>4522</v>
      </c>
      <c r="B5402" s="2" t="s">
        <v>3186</v>
      </c>
      <c r="C5402" s="2">
        <v>2</v>
      </c>
      <c r="D5402" t="str">
        <f t="shared" si="84"/>
        <v>CA-2017-102925_TEC-PH-10001448</v>
      </c>
      <c r="E5402" t="str">
        <f>IF(COUNTIF(data2!$D:$D,D5402)=0,"Missing in Data2","Present")</f>
        <v>Present</v>
      </c>
    </row>
    <row r="5403" spans="1:5" x14ac:dyDescent="0.25">
      <c r="A5403" s="2" t="s">
        <v>4524</v>
      </c>
      <c r="B5403" s="2" t="s">
        <v>2041</v>
      </c>
      <c r="C5403" s="2">
        <v>3</v>
      </c>
      <c r="D5403" t="str">
        <f t="shared" si="84"/>
        <v>CA-2017-102946_OFF-BI-10004492</v>
      </c>
      <c r="E5403" t="str">
        <f>IF(COUNTIF(data2!$D:$D,D5403)=0,"Missing in Data2","Present")</f>
        <v>Present</v>
      </c>
    </row>
    <row r="5404" spans="1:5" x14ac:dyDescent="0.25">
      <c r="A5404" s="2" t="s">
        <v>4525</v>
      </c>
      <c r="B5404" s="2" t="s">
        <v>2282</v>
      </c>
      <c r="C5404" s="2">
        <v>5</v>
      </c>
      <c r="D5404" t="str">
        <f t="shared" si="84"/>
        <v>CA-2017-102967_OFF-ST-10001590</v>
      </c>
      <c r="E5404" t="str">
        <f>IF(COUNTIF(data2!$D:$D,D5404)=0,"Missing in Data2","Present")</f>
        <v>Present</v>
      </c>
    </row>
    <row r="5405" spans="1:5" x14ac:dyDescent="0.25">
      <c r="A5405" s="2" t="s">
        <v>4526</v>
      </c>
      <c r="B5405" s="2" t="s">
        <v>3945</v>
      </c>
      <c r="C5405" s="2">
        <v>2</v>
      </c>
      <c r="D5405" t="str">
        <f t="shared" si="84"/>
        <v>CA-2017-102974_OFF-AR-10000914</v>
      </c>
      <c r="E5405" t="str">
        <f>IF(COUNTIF(data2!$D:$D,D5405)=0,"Missing in Data2","Present")</f>
        <v>Present</v>
      </c>
    </row>
    <row r="5406" spans="1:5" x14ac:dyDescent="0.25">
      <c r="A5406" s="2" t="s">
        <v>4526</v>
      </c>
      <c r="B5406" s="2" t="s">
        <v>4527</v>
      </c>
      <c r="C5406" s="2">
        <v>3</v>
      </c>
      <c r="D5406" t="str">
        <f t="shared" si="84"/>
        <v>CA-2017-102974_OFF-AR-10004956</v>
      </c>
      <c r="E5406" t="str">
        <f>IF(COUNTIF(data2!$D:$D,D5406)=0,"Missing in Data2","Present")</f>
        <v>Missing in Data2</v>
      </c>
    </row>
    <row r="5407" spans="1:5" x14ac:dyDescent="0.25">
      <c r="A5407" s="2" t="s">
        <v>4526</v>
      </c>
      <c r="B5407" s="2" t="s">
        <v>4216</v>
      </c>
      <c r="C5407" s="2">
        <v>5</v>
      </c>
      <c r="D5407" t="str">
        <f t="shared" si="84"/>
        <v>CA-2017-102974_TEC-AC-10000057</v>
      </c>
      <c r="E5407" t="str">
        <f>IF(COUNTIF(data2!$D:$D,D5407)=0,"Missing in Data2","Present")</f>
        <v>Present</v>
      </c>
    </row>
    <row r="5408" spans="1:5" x14ac:dyDescent="0.25">
      <c r="A5408" s="2" t="s">
        <v>4528</v>
      </c>
      <c r="B5408" s="2" t="s">
        <v>3053</v>
      </c>
      <c r="C5408" s="2">
        <v>5</v>
      </c>
      <c r="D5408" t="str">
        <f t="shared" si="84"/>
        <v>CA-2017-103009_OFF-PA-10001215</v>
      </c>
      <c r="E5408" t="str">
        <f>IF(COUNTIF(data2!$D:$D,D5408)=0,"Missing in Data2","Present")</f>
        <v>Present</v>
      </c>
    </row>
    <row r="5409" spans="1:5" x14ac:dyDescent="0.25">
      <c r="A5409" s="2" t="s">
        <v>4529</v>
      </c>
      <c r="B5409" s="2" t="s">
        <v>4530</v>
      </c>
      <c r="C5409" s="2">
        <v>4</v>
      </c>
      <c r="D5409" t="str">
        <f t="shared" si="84"/>
        <v>CA-2017-103065_FUR-FU-10000175</v>
      </c>
      <c r="E5409" t="str">
        <f>IF(COUNTIF(data2!$D:$D,D5409)=0,"Missing in Data2","Present")</f>
        <v>Present</v>
      </c>
    </row>
    <row r="5410" spans="1:5" x14ac:dyDescent="0.25">
      <c r="A5410" s="2" t="s">
        <v>4529</v>
      </c>
      <c r="B5410" s="2" t="s">
        <v>1920</v>
      </c>
      <c r="C5410" s="2">
        <v>2</v>
      </c>
      <c r="D5410" t="str">
        <f t="shared" si="84"/>
        <v>CA-2017-103065_OFF-AR-10003251</v>
      </c>
      <c r="E5410" t="str">
        <f>IF(COUNTIF(data2!$D:$D,D5410)=0,"Missing in Data2","Present")</f>
        <v>Present</v>
      </c>
    </row>
    <row r="5411" spans="1:5" x14ac:dyDescent="0.25">
      <c r="A5411" s="2" t="s">
        <v>4529</v>
      </c>
      <c r="B5411" s="2" t="s">
        <v>2655</v>
      </c>
      <c r="C5411" s="2">
        <v>1</v>
      </c>
      <c r="D5411" t="str">
        <f t="shared" si="84"/>
        <v>CA-2017-103065_OFF-PA-10000380</v>
      </c>
      <c r="E5411" t="str">
        <f>IF(COUNTIF(data2!$D:$D,D5411)=0,"Missing in Data2","Present")</f>
        <v>Present</v>
      </c>
    </row>
    <row r="5412" spans="1:5" x14ac:dyDescent="0.25">
      <c r="A5412" s="2" t="s">
        <v>4529</v>
      </c>
      <c r="B5412" s="2" t="s">
        <v>462</v>
      </c>
      <c r="C5412" s="2">
        <v>2</v>
      </c>
      <c r="D5412" t="str">
        <f t="shared" si="84"/>
        <v>CA-2017-103065_OFF-ST-10000617</v>
      </c>
      <c r="E5412" t="str">
        <f>IF(COUNTIF(data2!$D:$D,D5412)=0,"Missing in Data2","Present")</f>
        <v>Present</v>
      </c>
    </row>
    <row r="5413" spans="1:5" x14ac:dyDescent="0.25">
      <c r="A5413" s="2" t="s">
        <v>4531</v>
      </c>
      <c r="B5413" s="2" t="s">
        <v>331</v>
      </c>
      <c r="C5413" s="2">
        <v>9</v>
      </c>
      <c r="D5413" t="str">
        <f t="shared" si="84"/>
        <v>CA-2017-103156_FUR-FU-10000320</v>
      </c>
      <c r="E5413" t="str">
        <f>IF(COUNTIF(data2!$D:$D,D5413)=0,"Missing in Data2","Present")</f>
        <v>Present</v>
      </c>
    </row>
    <row r="5414" spans="1:5" x14ac:dyDescent="0.25">
      <c r="A5414" s="2" t="s">
        <v>4532</v>
      </c>
      <c r="B5414" s="2" t="s">
        <v>1806</v>
      </c>
      <c r="C5414" s="2">
        <v>4</v>
      </c>
      <c r="D5414" t="str">
        <f t="shared" si="84"/>
        <v>CA-2017-103212_FUR-TA-10003473</v>
      </c>
      <c r="E5414" t="str">
        <f>IF(COUNTIF(data2!$D:$D,D5414)=0,"Missing in Data2","Present")</f>
        <v>Missing in Data2</v>
      </c>
    </row>
    <row r="5415" spans="1:5" x14ac:dyDescent="0.25">
      <c r="A5415" s="2" t="s">
        <v>4532</v>
      </c>
      <c r="B5415" s="2" t="s">
        <v>870</v>
      </c>
      <c r="C5415" s="2">
        <v>3</v>
      </c>
      <c r="D5415" t="str">
        <f t="shared" si="84"/>
        <v>CA-2017-103212_OFF-LA-10000248</v>
      </c>
      <c r="E5415" t="str">
        <f>IF(COUNTIF(data2!$D:$D,D5415)=0,"Missing in Data2","Present")</f>
        <v>Present</v>
      </c>
    </row>
    <row r="5416" spans="1:5" x14ac:dyDescent="0.25">
      <c r="A5416" s="2" t="s">
        <v>4532</v>
      </c>
      <c r="B5416" s="2" t="s">
        <v>2301</v>
      </c>
      <c r="C5416" s="2">
        <v>4</v>
      </c>
      <c r="D5416" t="str">
        <f t="shared" si="84"/>
        <v>CA-2017-103212_OFF-PA-10004355</v>
      </c>
      <c r="E5416" t="str">
        <f>IF(COUNTIF(data2!$D:$D,D5416)=0,"Missing in Data2","Present")</f>
        <v>Present</v>
      </c>
    </row>
    <row r="5417" spans="1:5" x14ac:dyDescent="0.25">
      <c r="A5417" s="2" t="s">
        <v>4533</v>
      </c>
      <c r="B5417" s="2" t="s">
        <v>1669</v>
      </c>
      <c r="C5417" s="2">
        <v>3</v>
      </c>
      <c r="D5417" t="str">
        <f t="shared" si="84"/>
        <v>CA-2017-103352_OFF-AR-10001573</v>
      </c>
      <c r="E5417" t="str">
        <f>IF(COUNTIF(data2!$D:$D,D5417)=0,"Missing in Data2","Present")</f>
        <v>Present</v>
      </c>
    </row>
    <row r="5418" spans="1:5" x14ac:dyDescent="0.25">
      <c r="A5418" s="2" t="s">
        <v>4533</v>
      </c>
      <c r="B5418" s="2" t="s">
        <v>171</v>
      </c>
      <c r="C5418" s="2">
        <v>6</v>
      </c>
      <c r="D5418" t="str">
        <f t="shared" si="84"/>
        <v>CA-2017-103352_OFF-BI-10001196</v>
      </c>
      <c r="E5418" t="str">
        <f>IF(COUNTIF(data2!$D:$D,D5418)=0,"Missing in Data2","Present")</f>
        <v>Present</v>
      </c>
    </row>
    <row r="5419" spans="1:5" x14ac:dyDescent="0.25">
      <c r="A5419" s="2" t="s">
        <v>4534</v>
      </c>
      <c r="B5419" s="2" t="s">
        <v>1310</v>
      </c>
      <c r="C5419" s="2">
        <v>1</v>
      </c>
      <c r="D5419" t="str">
        <f t="shared" si="84"/>
        <v>CA-2017-103380_OFF-AP-10001492</v>
      </c>
      <c r="E5419" t="str">
        <f>IF(COUNTIF(data2!$D:$D,D5419)=0,"Missing in Data2","Present")</f>
        <v>Present</v>
      </c>
    </row>
    <row r="5420" spans="1:5" x14ac:dyDescent="0.25">
      <c r="A5420" s="2" t="s">
        <v>4534</v>
      </c>
      <c r="B5420" s="2" t="s">
        <v>2785</v>
      </c>
      <c r="C5420" s="2">
        <v>2</v>
      </c>
      <c r="D5420" t="str">
        <f t="shared" si="84"/>
        <v>CA-2017-103380_OFF-AR-10003856</v>
      </c>
      <c r="E5420" t="str">
        <f>IF(COUNTIF(data2!$D:$D,D5420)=0,"Missing in Data2","Present")</f>
        <v>Present</v>
      </c>
    </row>
    <row r="5421" spans="1:5" x14ac:dyDescent="0.25">
      <c r="A5421" s="2" t="s">
        <v>4534</v>
      </c>
      <c r="B5421" s="2" t="s">
        <v>1662</v>
      </c>
      <c r="C5421" s="2">
        <v>2</v>
      </c>
      <c r="D5421" t="str">
        <f t="shared" si="84"/>
        <v>CA-2017-103380_OFF-FA-10004248</v>
      </c>
      <c r="E5421" t="str">
        <f>IF(COUNTIF(data2!$D:$D,D5421)=0,"Missing in Data2","Present")</f>
        <v>Present</v>
      </c>
    </row>
    <row r="5422" spans="1:5" x14ac:dyDescent="0.25">
      <c r="A5422" s="2" t="s">
        <v>4534</v>
      </c>
      <c r="B5422" s="2" t="s">
        <v>71</v>
      </c>
      <c r="C5422" s="2">
        <v>2</v>
      </c>
      <c r="D5422" t="str">
        <f t="shared" si="84"/>
        <v>CA-2017-103380_OFF-ST-10003442</v>
      </c>
      <c r="E5422" t="str">
        <f>IF(COUNTIF(data2!$D:$D,D5422)=0,"Missing in Data2","Present")</f>
        <v>Present</v>
      </c>
    </row>
    <row r="5423" spans="1:5" x14ac:dyDescent="0.25">
      <c r="A5423" s="2" t="s">
        <v>4534</v>
      </c>
      <c r="B5423" s="2" t="s">
        <v>2074</v>
      </c>
      <c r="C5423" s="2">
        <v>3</v>
      </c>
      <c r="D5423" t="str">
        <f t="shared" si="84"/>
        <v>CA-2017-103380_TEC-PH-10004165</v>
      </c>
      <c r="E5423" t="str">
        <f>IF(COUNTIF(data2!$D:$D,D5423)=0,"Missing in Data2","Present")</f>
        <v>Present</v>
      </c>
    </row>
    <row r="5424" spans="1:5" x14ac:dyDescent="0.25">
      <c r="A5424" s="2" t="s">
        <v>4535</v>
      </c>
      <c r="B5424" s="2" t="s">
        <v>2590</v>
      </c>
      <c r="C5424" s="2">
        <v>2</v>
      </c>
      <c r="D5424" t="str">
        <f t="shared" si="84"/>
        <v>CA-2017-103415_FUR-FU-10000820</v>
      </c>
      <c r="E5424" t="str">
        <f>IF(COUNTIF(data2!$D:$D,D5424)=0,"Missing in Data2","Present")</f>
        <v>Present</v>
      </c>
    </row>
    <row r="5425" spans="1:5" x14ac:dyDescent="0.25">
      <c r="A5425" s="2" t="s">
        <v>4536</v>
      </c>
      <c r="B5425" s="2" t="s">
        <v>1698</v>
      </c>
      <c r="C5425" s="2">
        <v>2</v>
      </c>
      <c r="D5425" t="str">
        <f t="shared" si="84"/>
        <v>CA-2017-103443_FUR-FU-10000308</v>
      </c>
      <c r="E5425" t="str">
        <f>IF(COUNTIF(data2!$D:$D,D5425)=0,"Missing in Data2","Present")</f>
        <v>Present</v>
      </c>
    </row>
    <row r="5426" spans="1:5" x14ac:dyDescent="0.25">
      <c r="A5426" s="2" t="s">
        <v>4536</v>
      </c>
      <c r="B5426" s="2" t="s">
        <v>509</v>
      </c>
      <c r="C5426" s="2">
        <v>3</v>
      </c>
      <c r="D5426" t="str">
        <f t="shared" si="84"/>
        <v>CA-2017-103443_OFF-BI-10001617</v>
      </c>
      <c r="E5426" t="str">
        <f>IF(COUNTIF(data2!$D:$D,D5426)=0,"Missing in Data2","Present")</f>
        <v>Present</v>
      </c>
    </row>
    <row r="5427" spans="1:5" x14ac:dyDescent="0.25">
      <c r="A5427" s="2" t="s">
        <v>4536</v>
      </c>
      <c r="B5427" s="2" t="s">
        <v>1002</v>
      </c>
      <c r="C5427" s="2">
        <v>2</v>
      </c>
      <c r="D5427" t="str">
        <f t="shared" si="84"/>
        <v>CA-2017-103443_OFF-ST-10002276</v>
      </c>
      <c r="E5427" t="str">
        <f>IF(COUNTIF(data2!$D:$D,D5427)=0,"Missing in Data2","Present")</f>
        <v>Present</v>
      </c>
    </row>
    <row r="5428" spans="1:5" x14ac:dyDescent="0.25">
      <c r="A5428" s="2" t="s">
        <v>4537</v>
      </c>
      <c r="B5428" s="2" t="s">
        <v>1605</v>
      </c>
      <c r="C5428" s="2">
        <v>4</v>
      </c>
      <c r="D5428" t="str">
        <f t="shared" si="84"/>
        <v>CA-2017-103478_OFF-BI-10001890</v>
      </c>
      <c r="E5428" t="str">
        <f>IF(COUNTIF(data2!$D:$D,D5428)=0,"Missing in Data2","Present")</f>
        <v>Present</v>
      </c>
    </row>
    <row r="5429" spans="1:5" x14ac:dyDescent="0.25">
      <c r="A5429" s="2" t="s">
        <v>4537</v>
      </c>
      <c r="B5429" s="2" t="s">
        <v>2608</v>
      </c>
      <c r="C5429" s="2">
        <v>7</v>
      </c>
      <c r="D5429" t="str">
        <f t="shared" si="84"/>
        <v>CA-2017-103478_OFF-BI-10004224</v>
      </c>
      <c r="E5429" t="str">
        <f>IF(COUNTIF(data2!$D:$D,D5429)=0,"Missing in Data2","Present")</f>
        <v>Present</v>
      </c>
    </row>
    <row r="5430" spans="1:5" x14ac:dyDescent="0.25">
      <c r="A5430" s="2" t="s">
        <v>4538</v>
      </c>
      <c r="B5430" s="2" t="s">
        <v>1375</v>
      </c>
      <c r="C5430" s="2">
        <v>2</v>
      </c>
      <c r="D5430" t="str">
        <f t="shared" si="84"/>
        <v>CA-2017-103499_FUR-CH-10001482</v>
      </c>
      <c r="E5430" t="str">
        <f>IF(COUNTIF(data2!$D:$D,D5430)=0,"Missing in Data2","Present")</f>
        <v>Present</v>
      </c>
    </row>
    <row r="5431" spans="1:5" x14ac:dyDescent="0.25">
      <c r="A5431" s="2" t="s">
        <v>4539</v>
      </c>
      <c r="B5431" s="2" t="s">
        <v>775</v>
      </c>
      <c r="C5431" s="2">
        <v>4</v>
      </c>
      <c r="D5431" t="str">
        <f t="shared" si="84"/>
        <v>CA-2017-103506_OFF-LA-10001158</v>
      </c>
      <c r="E5431" t="str">
        <f>IF(COUNTIF(data2!$D:$D,D5431)=0,"Missing in Data2","Present")</f>
        <v>Present</v>
      </c>
    </row>
    <row r="5432" spans="1:5" x14ac:dyDescent="0.25">
      <c r="A5432" s="2" t="s">
        <v>4540</v>
      </c>
      <c r="B5432" s="2" t="s">
        <v>2752</v>
      </c>
      <c r="C5432" s="2">
        <v>2</v>
      </c>
      <c r="D5432" t="str">
        <f t="shared" si="84"/>
        <v>CA-2017-103520_OFF-PA-10001846</v>
      </c>
      <c r="E5432" t="str">
        <f>IF(COUNTIF(data2!$D:$D,D5432)=0,"Missing in Data2","Present")</f>
        <v>Present</v>
      </c>
    </row>
    <row r="5433" spans="1:5" x14ac:dyDescent="0.25">
      <c r="A5433" s="2" t="s">
        <v>4541</v>
      </c>
      <c r="B5433" s="2" t="s">
        <v>461</v>
      </c>
      <c r="C5433" s="2">
        <v>2</v>
      </c>
      <c r="D5433" t="str">
        <f t="shared" si="84"/>
        <v>CA-2017-103611_FUR-FU-10004270</v>
      </c>
      <c r="E5433" t="str">
        <f>IF(COUNTIF(data2!$D:$D,D5433)=0,"Missing in Data2","Present")</f>
        <v>Present</v>
      </c>
    </row>
    <row r="5434" spans="1:5" x14ac:dyDescent="0.25">
      <c r="A5434" s="2" t="s">
        <v>4542</v>
      </c>
      <c r="B5434" s="2" t="s">
        <v>1787</v>
      </c>
      <c r="C5434" s="2">
        <v>1</v>
      </c>
      <c r="D5434" t="str">
        <f t="shared" si="84"/>
        <v>CA-2017-103765_OFF-AP-10002311</v>
      </c>
      <c r="E5434" t="str">
        <f>IF(COUNTIF(data2!$D:$D,D5434)=0,"Missing in Data2","Present")</f>
        <v>Present</v>
      </c>
    </row>
    <row r="5435" spans="1:5" x14ac:dyDescent="0.25">
      <c r="A5435" s="2" t="s">
        <v>4543</v>
      </c>
      <c r="B5435" s="2" t="s">
        <v>1382</v>
      </c>
      <c r="C5435" s="2">
        <v>3</v>
      </c>
      <c r="D5435" t="str">
        <f t="shared" si="84"/>
        <v>CA-2017-103877_OFF-BI-10003650</v>
      </c>
      <c r="E5435" t="str">
        <f>IF(COUNTIF(data2!$D:$D,D5435)=0,"Missing in Data2","Present")</f>
        <v>Present</v>
      </c>
    </row>
    <row r="5436" spans="1:5" x14ac:dyDescent="0.25">
      <c r="A5436" s="2" t="s">
        <v>4544</v>
      </c>
      <c r="B5436" s="2" t="s">
        <v>2009</v>
      </c>
      <c r="C5436" s="2">
        <v>9</v>
      </c>
      <c r="D5436" t="str">
        <f t="shared" si="84"/>
        <v>CA-2017-103968_FUR-FU-10003394</v>
      </c>
      <c r="E5436" t="str">
        <f>IF(COUNTIF(data2!$D:$D,D5436)=0,"Missing in Data2","Present")</f>
        <v>Present</v>
      </c>
    </row>
    <row r="5437" spans="1:5" x14ac:dyDescent="0.25">
      <c r="A5437" s="2" t="s">
        <v>4545</v>
      </c>
      <c r="B5437" s="2" t="s">
        <v>1983</v>
      </c>
      <c r="C5437" s="2">
        <v>2</v>
      </c>
      <c r="D5437" t="str">
        <f t="shared" si="84"/>
        <v>CA-2017-104003_FUR-BO-10003965</v>
      </c>
      <c r="E5437" t="str">
        <f>IF(COUNTIF(data2!$D:$D,D5437)=0,"Missing in Data2","Present")</f>
        <v>Present</v>
      </c>
    </row>
    <row r="5438" spans="1:5" x14ac:dyDescent="0.25">
      <c r="A5438" s="2" t="s">
        <v>4546</v>
      </c>
      <c r="B5438" s="2" t="s">
        <v>1875</v>
      </c>
      <c r="C5438" s="2">
        <v>5</v>
      </c>
      <c r="D5438" t="str">
        <f t="shared" si="84"/>
        <v>CA-2017-104010_OFF-SU-10001218</v>
      </c>
      <c r="E5438" t="str">
        <f>IF(COUNTIF(data2!$D:$D,D5438)=0,"Missing in Data2","Present")</f>
        <v>Present</v>
      </c>
    </row>
    <row r="5439" spans="1:5" x14ac:dyDescent="0.25">
      <c r="A5439" s="2" t="s">
        <v>4547</v>
      </c>
      <c r="B5439" s="2" t="s">
        <v>2640</v>
      </c>
      <c r="C5439" s="2">
        <v>7</v>
      </c>
      <c r="D5439" t="str">
        <f t="shared" si="84"/>
        <v>CA-2017-104024_OFF-AR-10001972</v>
      </c>
      <c r="E5439" t="str">
        <f>IF(COUNTIF(data2!$D:$D,D5439)=0,"Missing in Data2","Present")</f>
        <v>Present</v>
      </c>
    </row>
    <row r="5440" spans="1:5" x14ac:dyDescent="0.25">
      <c r="A5440" s="2" t="s">
        <v>4548</v>
      </c>
      <c r="B5440" s="2" t="s">
        <v>1171</v>
      </c>
      <c r="C5440" s="2">
        <v>7</v>
      </c>
      <c r="D5440" t="str">
        <f t="shared" si="84"/>
        <v>CA-2017-104066_TEC-AC-10001013</v>
      </c>
      <c r="E5440" t="str">
        <f>IF(COUNTIF(data2!$D:$D,D5440)=0,"Missing in Data2","Present")</f>
        <v>Present</v>
      </c>
    </row>
    <row r="5441" spans="1:5" x14ac:dyDescent="0.25">
      <c r="A5441" s="2" t="s">
        <v>4549</v>
      </c>
      <c r="B5441" s="2" t="s">
        <v>2640</v>
      </c>
      <c r="C5441" s="2">
        <v>2</v>
      </c>
      <c r="D5441" t="str">
        <f t="shared" si="84"/>
        <v>CA-2017-104080_OFF-AR-10001972</v>
      </c>
      <c r="E5441" t="str">
        <f>IF(COUNTIF(data2!$D:$D,D5441)=0,"Missing in Data2","Present")</f>
        <v>Present</v>
      </c>
    </row>
    <row r="5442" spans="1:5" x14ac:dyDescent="0.25">
      <c r="A5442" s="2" t="s">
        <v>4549</v>
      </c>
      <c r="B5442" s="2" t="s">
        <v>303</v>
      </c>
      <c r="C5442" s="2">
        <v>5</v>
      </c>
      <c r="D5442" t="str">
        <f t="shared" si="84"/>
        <v>CA-2017-104080_OFF-BI-10003876</v>
      </c>
      <c r="E5442" t="str">
        <f>IF(COUNTIF(data2!$D:$D,D5442)=0,"Missing in Data2","Present")</f>
        <v>Present</v>
      </c>
    </row>
    <row r="5443" spans="1:5" x14ac:dyDescent="0.25">
      <c r="A5443" s="2" t="s">
        <v>4550</v>
      </c>
      <c r="B5443" s="2" t="s">
        <v>2616</v>
      </c>
      <c r="C5443" s="2">
        <v>5</v>
      </c>
      <c r="D5443" t="str">
        <f t="shared" ref="D5443:D5506" si="85">A5443&amp;"_"&amp;B5443</f>
        <v>CA-2017-104108_OFF-AR-10000817</v>
      </c>
      <c r="E5443" t="str">
        <f>IF(COUNTIF(data2!$D:$D,D5443)=0,"Missing in Data2","Present")</f>
        <v>Present</v>
      </c>
    </row>
    <row r="5444" spans="1:5" x14ac:dyDescent="0.25">
      <c r="A5444" s="2" t="s">
        <v>4551</v>
      </c>
      <c r="B5444" s="2" t="s">
        <v>1435</v>
      </c>
      <c r="C5444" s="2">
        <v>1</v>
      </c>
      <c r="D5444" t="str">
        <f t="shared" si="85"/>
        <v>CA-2017-104136_OFF-PA-10001033</v>
      </c>
      <c r="E5444" t="str">
        <f>IF(COUNTIF(data2!$D:$D,D5444)=0,"Missing in Data2","Present")</f>
        <v>Present</v>
      </c>
    </row>
    <row r="5445" spans="1:5" x14ac:dyDescent="0.25">
      <c r="A5445" s="2" t="s">
        <v>4551</v>
      </c>
      <c r="B5445" s="2" t="s">
        <v>3954</v>
      </c>
      <c r="C5445" s="2">
        <v>10</v>
      </c>
      <c r="D5445" t="str">
        <f t="shared" si="85"/>
        <v>CA-2017-104136_OFF-PA-10004243</v>
      </c>
      <c r="E5445" t="str">
        <f>IF(COUNTIF(data2!$D:$D,D5445)=0,"Missing in Data2","Present")</f>
        <v>Present</v>
      </c>
    </row>
    <row r="5446" spans="1:5" x14ac:dyDescent="0.25">
      <c r="A5446" s="2" t="s">
        <v>4552</v>
      </c>
      <c r="B5446" s="2" t="s">
        <v>3622</v>
      </c>
      <c r="C5446" s="2">
        <v>7</v>
      </c>
      <c r="D5446" t="str">
        <f t="shared" si="85"/>
        <v>CA-2017-104220_FUR-FU-10002597</v>
      </c>
      <c r="E5446" t="str">
        <f>IF(COUNTIF(data2!$D:$D,D5446)=0,"Missing in Data2","Present")</f>
        <v>Present</v>
      </c>
    </row>
    <row r="5447" spans="1:5" x14ac:dyDescent="0.25">
      <c r="A5447" s="2" t="s">
        <v>4552</v>
      </c>
      <c r="B5447" s="2" t="s">
        <v>1853</v>
      </c>
      <c r="C5447" s="2">
        <v>2</v>
      </c>
      <c r="D5447" t="str">
        <f t="shared" si="85"/>
        <v>CA-2017-104220_OFF-AR-10004648</v>
      </c>
      <c r="E5447" t="str">
        <f>IF(COUNTIF(data2!$D:$D,D5447)=0,"Missing in Data2","Present")</f>
        <v>Present</v>
      </c>
    </row>
    <row r="5448" spans="1:5" x14ac:dyDescent="0.25">
      <c r="A5448" s="2" t="s">
        <v>4552</v>
      </c>
      <c r="B5448" s="2" t="s">
        <v>3260</v>
      </c>
      <c r="C5448" s="2">
        <v>5</v>
      </c>
      <c r="D5448" t="str">
        <f t="shared" si="85"/>
        <v>CA-2017-104220_OFF-BI-10000301</v>
      </c>
      <c r="E5448" t="str">
        <f>IF(COUNTIF(data2!$D:$D,D5448)=0,"Missing in Data2","Present")</f>
        <v>Present</v>
      </c>
    </row>
    <row r="5449" spans="1:5" x14ac:dyDescent="0.25">
      <c r="A5449" s="2" t="s">
        <v>4552</v>
      </c>
      <c r="B5449" s="2" t="s">
        <v>546</v>
      </c>
      <c r="C5449" s="2">
        <v>1</v>
      </c>
      <c r="D5449" t="str">
        <f t="shared" si="85"/>
        <v>CA-2017-104220_OFF-BI-10003910</v>
      </c>
      <c r="E5449" t="str">
        <f>IF(COUNTIF(data2!$D:$D,D5449)=0,"Missing in Data2","Present")</f>
        <v>Present</v>
      </c>
    </row>
    <row r="5450" spans="1:5" x14ac:dyDescent="0.25">
      <c r="A5450" s="2" t="s">
        <v>4552</v>
      </c>
      <c r="B5450" s="2" t="s">
        <v>541</v>
      </c>
      <c r="C5450" s="2">
        <v>3</v>
      </c>
      <c r="D5450" t="str">
        <f t="shared" si="85"/>
        <v>CA-2017-104220_TEC-PH-10004614</v>
      </c>
      <c r="E5450" t="str">
        <f>IF(COUNTIF(data2!$D:$D,D5450)=0,"Missing in Data2","Present")</f>
        <v>Present</v>
      </c>
    </row>
    <row r="5451" spans="1:5" x14ac:dyDescent="0.25">
      <c r="A5451" s="2" t="s">
        <v>4553</v>
      </c>
      <c r="B5451" s="2" t="s">
        <v>796</v>
      </c>
      <c r="C5451" s="2">
        <v>2</v>
      </c>
      <c r="D5451" t="str">
        <f t="shared" si="85"/>
        <v>CA-2017-104318_OFF-AP-10000358</v>
      </c>
      <c r="E5451" t="str">
        <f>IF(COUNTIF(data2!$D:$D,D5451)=0,"Missing in Data2","Present")</f>
        <v>Present</v>
      </c>
    </row>
    <row r="5452" spans="1:5" x14ac:dyDescent="0.25">
      <c r="A5452" s="2" t="s">
        <v>4554</v>
      </c>
      <c r="B5452" s="2" t="s">
        <v>626</v>
      </c>
      <c r="C5452" s="2">
        <v>4</v>
      </c>
      <c r="D5452" t="str">
        <f t="shared" si="85"/>
        <v>CA-2017-104381_OFF-BI-10001628</v>
      </c>
      <c r="E5452" t="str">
        <f>IF(COUNTIF(data2!$D:$D,D5452)=0,"Missing in Data2","Present")</f>
        <v>Present</v>
      </c>
    </row>
    <row r="5453" spans="1:5" x14ac:dyDescent="0.25">
      <c r="A5453" s="2" t="s">
        <v>4555</v>
      </c>
      <c r="B5453" s="2" t="s">
        <v>3106</v>
      </c>
      <c r="C5453" s="2">
        <v>4</v>
      </c>
      <c r="D5453" t="str">
        <f t="shared" si="85"/>
        <v>CA-2017-104388_TEC-PH-10002293</v>
      </c>
      <c r="E5453" t="str">
        <f>IF(COUNTIF(data2!$D:$D,D5453)=0,"Missing in Data2","Present")</f>
        <v>Present</v>
      </c>
    </row>
    <row r="5454" spans="1:5" x14ac:dyDescent="0.25">
      <c r="A5454" s="2" t="s">
        <v>4556</v>
      </c>
      <c r="B5454" s="2" t="s">
        <v>622</v>
      </c>
      <c r="C5454" s="2">
        <v>5</v>
      </c>
      <c r="D5454" t="str">
        <f t="shared" si="85"/>
        <v>CA-2017-104577_OFF-PA-10000659</v>
      </c>
      <c r="E5454" t="str">
        <f>IF(COUNTIF(data2!$D:$D,D5454)=0,"Missing in Data2","Present")</f>
        <v>Present</v>
      </c>
    </row>
    <row r="5455" spans="1:5" x14ac:dyDescent="0.25">
      <c r="A5455" s="2" t="s">
        <v>4557</v>
      </c>
      <c r="B5455" s="2" t="s">
        <v>1310</v>
      </c>
      <c r="C5455" s="2">
        <v>3</v>
      </c>
      <c r="D5455" t="str">
        <f t="shared" si="85"/>
        <v>CA-2017-104619_OFF-AP-10001492</v>
      </c>
      <c r="E5455" t="str">
        <f>IF(COUNTIF(data2!$D:$D,D5455)=0,"Missing in Data2","Present")</f>
        <v>Present</v>
      </c>
    </row>
    <row r="5456" spans="1:5" x14ac:dyDescent="0.25">
      <c r="A5456" s="2" t="s">
        <v>4557</v>
      </c>
      <c r="B5456" s="2" t="s">
        <v>3214</v>
      </c>
      <c r="C5456" s="2">
        <v>2</v>
      </c>
      <c r="D5456" t="str">
        <f t="shared" si="85"/>
        <v>CA-2017-104619_OFF-BI-10004318</v>
      </c>
      <c r="E5456" t="str">
        <f>IF(COUNTIF(data2!$D:$D,D5456)=0,"Missing in Data2","Present")</f>
        <v>Present</v>
      </c>
    </row>
    <row r="5457" spans="1:5" x14ac:dyDescent="0.25">
      <c r="A5457" s="2" t="s">
        <v>4557</v>
      </c>
      <c r="B5457" s="2" t="s">
        <v>2225</v>
      </c>
      <c r="C5457" s="2">
        <v>3</v>
      </c>
      <c r="D5457" t="str">
        <f t="shared" si="85"/>
        <v>CA-2017-104619_TEC-PH-10000193</v>
      </c>
      <c r="E5457" t="str">
        <f>IF(COUNTIF(data2!$D:$D,D5457)=0,"Missing in Data2","Present")</f>
        <v>Present</v>
      </c>
    </row>
    <row r="5458" spans="1:5" x14ac:dyDescent="0.25">
      <c r="A5458" s="2" t="s">
        <v>4558</v>
      </c>
      <c r="B5458" s="2" t="s">
        <v>601</v>
      </c>
      <c r="C5458" s="2">
        <v>3</v>
      </c>
      <c r="D5458" t="str">
        <f t="shared" si="85"/>
        <v>CA-2017-104640_OFF-BI-10003925</v>
      </c>
      <c r="E5458" t="str">
        <f>IF(COUNTIF(data2!$D:$D,D5458)=0,"Missing in Data2","Present")</f>
        <v>Missing in Data2</v>
      </c>
    </row>
    <row r="5459" spans="1:5" x14ac:dyDescent="0.25">
      <c r="A5459" s="2" t="s">
        <v>4558</v>
      </c>
      <c r="B5459" s="2" t="s">
        <v>2715</v>
      </c>
      <c r="C5459" s="2">
        <v>2</v>
      </c>
      <c r="D5459" t="str">
        <f t="shared" si="85"/>
        <v>CA-2017-104640_TEC-PH-10002200</v>
      </c>
      <c r="E5459" t="str">
        <f>IF(COUNTIF(data2!$D:$D,D5459)=0,"Missing in Data2","Present")</f>
        <v>Present</v>
      </c>
    </row>
    <row r="5460" spans="1:5" x14ac:dyDescent="0.25">
      <c r="A5460" s="2" t="s">
        <v>4559</v>
      </c>
      <c r="B5460" s="2" t="s">
        <v>3976</v>
      </c>
      <c r="C5460" s="2">
        <v>6</v>
      </c>
      <c r="D5460" t="str">
        <f t="shared" si="85"/>
        <v>CA-2017-104647_OFF-PA-10002870</v>
      </c>
      <c r="E5460" t="str">
        <f>IF(COUNTIF(data2!$D:$D,D5460)=0,"Missing in Data2","Present")</f>
        <v>Present</v>
      </c>
    </row>
    <row r="5461" spans="1:5" x14ac:dyDescent="0.25">
      <c r="A5461" s="2" t="s">
        <v>4560</v>
      </c>
      <c r="B5461" s="2" t="s">
        <v>3329</v>
      </c>
      <c r="C5461" s="2">
        <v>3</v>
      </c>
      <c r="D5461" t="str">
        <f t="shared" si="85"/>
        <v>CA-2017-104731_FUR-BO-10003441</v>
      </c>
      <c r="E5461" t="str">
        <f>IF(COUNTIF(data2!$D:$D,D5461)=0,"Missing in Data2","Present")</f>
        <v>Present</v>
      </c>
    </row>
    <row r="5462" spans="1:5" x14ac:dyDescent="0.25">
      <c r="A5462" s="2" t="s">
        <v>4560</v>
      </c>
      <c r="B5462" s="2" t="s">
        <v>779</v>
      </c>
      <c r="C5462" s="2">
        <v>5</v>
      </c>
      <c r="D5462" t="str">
        <f t="shared" si="85"/>
        <v>CA-2017-104731_FUR-FU-10003274</v>
      </c>
      <c r="E5462" t="str">
        <f>IF(COUNTIF(data2!$D:$D,D5462)=0,"Missing in Data2","Present")</f>
        <v>Present</v>
      </c>
    </row>
    <row r="5463" spans="1:5" x14ac:dyDescent="0.25">
      <c r="A5463" s="2" t="s">
        <v>4560</v>
      </c>
      <c r="B5463" s="2" t="s">
        <v>3347</v>
      </c>
      <c r="C5463" s="2">
        <v>6</v>
      </c>
      <c r="D5463" t="str">
        <f t="shared" si="85"/>
        <v>CA-2017-104731_OFF-AR-10003727</v>
      </c>
      <c r="E5463" t="str">
        <f>IF(COUNTIF(data2!$D:$D,D5463)=0,"Missing in Data2","Present")</f>
        <v>Present</v>
      </c>
    </row>
    <row r="5464" spans="1:5" x14ac:dyDescent="0.25">
      <c r="A5464" s="2" t="s">
        <v>4560</v>
      </c>
      <c r="B5464" s="2" t="s">
        <v>617</v>
      </c>
      <c r="C5464" s="2">
        <v>6</v>
      </c>
      <c r="D5464" t="str">
        <f t="shared" si="85"/>
        <v>CA-2017-104731_OFF-AR-10003829</v>
      </c>
      <c r="E5464" t="str">
        <f>IF(COUNTIF(data2!$D:$D,D5464)=0,"Missing in Data2","Present")</f>
        <v>Present</v>
      </c>
    </row>
    <row r="5465" spans="1:5" x14ac:dyDescent="0.25">
      <c r="A5465" s="2" t="s">
        <v>4560</v>
      </c>
      <c r="B5465" s="2" t="s">
        <v>1478</v>
      </c>
      <c r="C5465" s="2">
        <v>3</v>
      </c>
      <c r="D5465" t="str">
        <f t="shared" si="85"/>
        <v>CA-2017-104731_OFF-BI-10003355</v>
      </c>
      <c r="E5465" t="str">
        <f>IF(COUNTIF(data2!$D:$D,D5465)=0,"Missing in Data2","Present")</f>
        <v>Present</v>
      </c>
    </row>
    <row r="5466" spans="1:5" x14ac:dyDescent="0.25">
      <c r="A5466" s="2" t="s">
        <v>4560</v>
      </c>
      <c r="B5466" s="2" t="s">
        <v>3354</v>
      </c>
      <c r="C5466" s="2">
        <v>2</v>
      </c>
      <c r="D5466" t="str">
        <f t="shared" si="85"/>
        <v>CA-2017-104731_OFF-SU-10003505</v>
      </c>
      <c r="E5466" t="str">
        <f>IF(COUNTIF(data2!$D:$D,D5466)=0,"Missing in Data2","Present")</f>
        <v>Present</v>
      </c>
    </row>
    <row r="5467" spans="1:5" x14ac:dyDescent="0.25">
      <c r="A5467" s="2" t="s">
        <v>4560</v>
      </c>
      <c r="B5467" s="2" t="s">
        <v>3841</v>
      </c>
      <c r="C5467" s="2">
        <v>4</v>
      </c>
      <c r="D5467" t="str">
        <f t="shared" si="85"/>
        <v>CA-2017-104731_TEC-PH-10002660</v>
      </c>
      <c r="E5467" t="str">
        <f>IF(COUNTIF(data2!$D:$D,D5467)=0,"Missing in Data2","Present")</f>
        <v>Present</v>
      </c>
    </row>
    <row r="5468" spans="1:5" x14ac:dyDescent="0.25">
      <c r="A5468" s="2" t="s">
        <v>4561</v>
      </c>
      <c r="B5468" s="2" t="s">
        <v>2410</v>
      </c>
      <c r="C5468" s="2">
        <v>5</v>
      </c>
      <c r="D5468" t="str">
        <f t="shared" si="85"/>
        <v>CA-2017-104745_OFF-PA-10002036</v>
      </c>
      <c r="E5468" t="str">
        <f>IF(COUNTIF(data2!$D:$D,D5468)=0,"Missing in Data2","Present")</f>
        <v>Present</v>
      </c>
    </row>
    <row r="5469" spans="1:5" x14ac:dyDescent="0.25">
      <c r="A5469" s="2" t="s">
        <v>4561</v>
      </c>
      <c r="B5469" s="2" t="s">
        <v>3266</v>
      </c>
      <c r="C5469" s="2">
        <v>3</v>
      </c>
      <c r="D5469" t="str">
        <f t="shared" si="85"/>
        <v>CA-2017-104745_OFF-ST-10002205</v>
      </c>
      <c r="E5469" t="str">
        <f>IF(COUNTIF(data2!$D:$D,D5469)=0,"Missing in Data2","Present")</f>
        <v>Present</v>
      </c>
    </row>
    <row r="5470" spans="1:5" x14ac:dyDescent="0.25">
      <c r="A5470" s="2" t="s">
        <v>4562</v>
      </c>
      <c r="B5470" s="2" t="s">
        <v>1830</v>
      </c>
      <c r="C5470" s="2">
        <v>1</v>
      </c>
      <c r="D5470" t="str">
        <f t="shared" si="85"/>
        <v>CA-2017-104801_FUR-FU-10004017</v>
      </c>
      <c r="E5470" t="str">
        <f>IF(COUNTIF(data2!$D:$D,D5470)=0,"Missing in Data2","Present")</f>
        <v>Present</v>
      </c>
    </row>
    <row r="5471" spans="1:5" x14ac:dyDescent="0.25">
      <c r="A5471" s="2" t="s">
        <v>4562</v>
      </c>
      <c r="B5471" s="2" t="s">
        <v>2227</v>
      </c>
      <c r="C5471" s="2">
        <v>3</v>
      </c>
      <c r="D5471" t="str">
        <f t="shared" si="85"/>
        <v>CA-2017-104801_OFF-AR-10001547</v>
      </c>
      <c r="E5471" t="str">
        <f>IF(COUNTIF(data2!$D:$D,D5471)=0,"Missing in Data2","Present")</f>
        <v>Present</v>
      </c>
    </row>
    <row r="5472" spans="1:5" x14ac:dyDescent="0.25">
      <c r="A5472" s="2" t="s">
        <v>4562</v>
      </c>
      <c r="B5472" s="2" t="s">
        <v>2146</v>
      </c>
      <c r="C5472" s="2">
        <v>4</v>
      </c>
      <c r="D5472" t="str">
        <f t="shared" si="85"/>
        <v>CA-2017-104801_TEC-AC-10001838</v>
      </c>
      <c r="E5472" t="str">
        <f>IF(COUNTIF(data2!$D:$D,D5472)=0,"Missing in Data2","Present")</f>
        <v>Present</v>
      </c>
    </row>
    <row r="5473" spans="1:5" x14ac:dyDescent="0.25">
      <c r="A5473" s="2" t="s">
        <v>4563</v>
      </c>
      <c r="B5473" s="2" t="s">
        <v>3363</v>
      </c>
      <c r="C5473" s="2">
        <v>5</v>
      </c>
      <c r="D5473" t="str">
        <f t="shared" si="85"/>
        <v>CA-2017-104822_OFF-LA-10002034</v>
      </c>
      <c r="E5473" t="str">
        <f>IF(COUNTIF(data2!$D:$D,D5473)=0,"Missing in Data2","Present")</f>
        <v>Present</v>
      </c>
    </row>
    <row r="5474" spans="1:5" x14ac:dyDescent="0.25">
      <c r="A5474" s="2" t="s">
        <v>4564</v>
      </c>
      <c r="B5474" s="2" t="s">
        <v>373</v>
      </c>
      <c r="C5474" s="2">
        <v>4</v>
      </c>
      <c r="D5474" t="str">
        <f t="shared" si="85"/>
        <v>CA-2017-104850_FUR-CH-10003774</v>
      </c>
      <c r="E5474" t="str">
        <f>IF(COUNTIF(data2!$D:$D,D5474)=0,"Missing in Data2","Present")</f>
        <v>Present</v>
      </c>
    </row>
    <row r="5475" spans="1:5" x14ac:dyDescent="0.25">
      <c r="A5475" s="2" t="s">
        <v>4565</v>
      </c>
      <c r="B5475" s="2" t="s">
        <v>2333</v>
      </c>
      <c r="C5475" s="2">
        <v>4</v>
      </c>
      <c r="D5475" t="str">
        <f t="shared" si="85"/>
        <v>CA-2017-104864_OFF-AP-10002684</v>
      </c>
      <c r="E5475" t="str">
        <f>IF(COUNTIF(data2!$D:$D,D5475)=0,"Missing in Data2","Present")</f>
        <v>Present</v>
      </c>
    </row>
    <row r="5476" spans="1:5" x14ac:dyDescent="0.25">
      <c r="A5476" s="2" t="s">
        <v>4565</v>
      </c>
      <c r="B5476" s="2" t="s">
        <v>951</v>
      </c>
      <c r="C5476" s="2">
        <v>8</v>
      </c>
      <c r="D5476" t="str">
        <f t="shared" si="85"/>
        <v>CA-2017-104864_OFF-BI-10001636</v>
      </c>
      <c r="E5476" t="str">
        <f>IF(COUNTIF(data2!$D:$D,D5476)=0,"Missing in Data2","Present")</f>
        <v>Present</v>
      </c>
    </row>
    <row r="5477" spans="1:5" x14ac:dyDescent="0.25">
      <c r="A5477" s="2" t="s">
        <v>4565</v>
      </c>
      <c r="B5477" s="2" t="s">
        <v>93</v>
      </c>
      <c r="C5477" s="2">
        <v>8</v>
      </c>
      <c r="D5477" t="str">
        <f t="shared" si="85"/>
        <v>CA-2017-104864_OFF-PA-10003309</v>
      </c>
      <c r="E5477" t="str">
        <f>IF(COUNTIF(data2!$D:$D,D5477)=0,"Missing in Data2","Present")</f>
        <v>Present</v>
      </c>
    </row>
    <row r="5478" spans="1:5" x14ac:dyDescent="0.25">
      <c r="A5478" s="2" t="s">
        <v>4565</v>
      </c>
      <c r="B5478" s="2" t="s">
        <v>1446</v>
      </c>
      <c r="C5478" s="2">
        <v>4</v>
      </c>
      <c r="D5478" t="str">
        <f t="shared" si="85"/>
        <v>CA-2017-104864_OFF-PA-10004609</v>
      </c>
      <c r="E5478" t="str">
        <f>IF(COUNTIF(data2!$D:$D,D5478)=0,"Missing in Data2","Present")</f>
        <v>Present</v>
      </c>
    </row>
    <row r="5479" spans="1:5" x14ac:dyDescent="0.25">
      <c r="A5479" s="2" t="s">
        <v>4565</v>
      </c>
      <c r="B5479" s="2" t="s">
        <v>1585</v>
      </c>
      <c r="C5479" s="2">
        <v>5</v>
      </c>
      <c r="D5479" t="str">
        <f t="shared" si="85"/>
        <v>CA-2017-104864_OFF-ST-10002301</v>
      </c>
      <c r="E5479" t="str">
        <f>IF(COUNTIF(data2!$D:$D,D5479)=0,"Missing in Data2","Present")</f>
        <v>Present</v>
      </c>
    </row>
    <row r="5480" spans="1:5" x14ac:dyDescent="0.25">
      <c r="A5480" s="2" t="s">
        <v>4566</v>
      </c>
      <c r="B5480" s="2" t="s">
        <v>2548</v>
      </c>
      <c r="C5480" s="2">
        <v>2</v>
      </c>
      <c r="D5480" t="str">
        <f t="shared" si="85"/>
        <v>CA-2017-104885_FUR-BO-10003660</v>
      </c>
      <c r="E5480" t="str">
        <f>IF(COUNTIF(data2!$D:$D,D5480)=0,"Missing in Data2","Present")</f>
        <v>Present</v>
      </c>
    </row>
    <row r="5481" spans="1:5" x14ac:dyDescent="0.25">
      <c r="A5481" s="2" t="s">
        <v>4566</v>
      </c>
      <c r="B5481" s="2" t="s">
        <v>1492</v>
      </c>
      <c r="C5481" s="2">
        <v>3</v>
      </c>
      <c r="D5481" t="str">
        <f t="shared" si="85"/>
        <v>CA-2017-104885_OFF-AR-10001615</v>
      </c>
      <c r="E5481" t="str">
        <f>IF(COUNTIF(data2!$D:$D,D5481)=0,"Missing in Data2","Present")</f>
        <v>Present</v>
      </c>
    </row>
    <row r="5482" spans="1:5" x14ac:dyDescent="0.25">
      <c r="A5482" s="2" t="s">
        <v>4566</v>
      </c>
      <c r="B5482" s="2" t="s">
        <v>481</v>
      </c>
      <c r="C5482" s="2">
        <v>7</v>
      </c>
      <c r="D5482" t="str">
        <f t="shared" si="85"/>
        <v>CA-2017-104885_OFF-EN-10003286</v>
      </c>
      <c r="E5482" t="str">
        <f>IF(COUNTIF(data2!$D:$D,D5482)=0,"Missing in Data2","Present")</f>
        <v>Missing in Data2</v>
      </c>
    </row>
    <row r="5483" spans="1:5" x14ac:dyDescent="0.25">
      <c r="A5483" s="2" t="s">
        <v>4566</v>
      </c>
      <c r="B5483" s="2" t="s">
        <v>3714</v>
      </c>
      <c r="C5483" s="2">
        <v>6</v>
      </c>
      <c r="D5483" t="str">
        <f t="shared" si="85"/>
        <v>CA-2017-104885_OFF-PA-10002764</v>
      </c>
      <c r="E5483" t="str">
        <f>IF(COUNTIF(data2!$D:$D,D5483)=0,"Missing in Data2","Present")</f>
        <v>Present</v>
      </c>
    </row>
    <row r="5484" spans="1:5" x14ac:dyDescent="0.25">
      <c r="A5484" s="2" t="s">
        <v>4567</v>
      </c>
      <c r="B5484" s="2" t="s">
        <v>2955</v>
      </c>
      <c r="C5484" s="2">
        <v>3</v>
      </c>
      <c r="D5484" t="str">
        <f t="shared" si="85"/>
        <v>CA-2017-104906_OFF-PA-10001184</v>
      </c>
      <c r="E5484" t="str">
        <f>IF(COUNTIF(data2!$D:$D,D5484)=0,"Missing in Data2","Present")</f>
        <v>Present</v>
      </c>
    </row>
    <row r="5485" spans="1:5" x14ac:dyDescent="0.25">
      <c r="A5485" s="2" t="s">
        <v>4568</v>
      </c>
      <c r="B5485" s="2" t="s">
        <v>2340</v>
      </c>
      <c r="C5485" s="2">
        <v>5</v>
      </c>
      <c r="D5485" t="str">
        <f t="shared" si="85"/>
        <v>CA-2017-104913_TEC-PH-10000923</v>
      </c>
      <c r="E5485" t="str">
        <f>IF(COUNTIF(data2!$D:$D,D5485)=0,"Missing in Data2","Present")</f>
        <v>Present</v>
      </c>
    </row>
    <row r="5486" spans="1:5" x14ac:dyDescent="0.25">
      <c r="A5486" s="2" t="s">
        <v>4569</v>
      </c>
      <c r="B5486" s="2" t="s">
        <v>891</v>
      </c>
      <c r="C5486" s="2">
        <v>5</v>
      </c>
      <c r="D5486" t="str">
        <f t="shared" si="85"/>
        <v>CA-2017-104927_OFF-BI-10003429</v>
      </c>
      <c r="E5486" t="str">
        <f>IF(COUNTIF(data2!$D:$D,D5486)=0,"Missing in Data2","Present")</f>
        <v>Present</v>
      </c>
    </row>
    <row r="5487" spans="1:5" x14ac:dyDescent="0.25">
      <c r="A5487" s="2" t="s">
        <v>4569</v>
      </c>
      <c r="B5487" s="2" t="s">
        <v>780</v>
      </c>
      <c r="C5487" s="2">
        <v>5</v>
      </c>
      <c r="D5487" t="str">
        <f t="shared" si="85"/>
        <v>CA-2017-104927_OFF-PA-10000019</v>
      </c>
      <c r="E5487" t="str">
        <f>IF(COUNTIF(data2!$D:$D,D5487)=0,"Missing in Data2","Present")</f>
        <v>Present</v>
      </c>
    </row>
    <row r="5488" spans="1:5" x14ac:dyDescent="0.25">
      <c r="A5488" s="2" t="s">
        <v>4569</v>
      </c>
      <c r="B5488" s="2" t="s">
        <v>7</v>
      </c>
      <c r="C5488" s="2">
        <v>5</v>
      </c>
      <c r="D5488" t="str">
        <f t="shared" si="85"/>
        <v>CA-2017-104927_OFF-PA-10000176</v>
      </c>
      <c r="E5488" t="str">
        <f>IF(COUNTIF(data2!$D:$D,D5488)=0,"Missing in Data2","Present")</f>
        <v>Present</v>
      </c>
    </row>
    <row r="5489" spans="1:5" x14ac:dyDescent="0.25">
      <c r="A5489" s="2" t="s">
        <v>4570</v>
      </c>
      <c r="B5489" s="2" t="s">
        <v>3393</v>
      </c>
      <c r="C5489" s="2">
        <v>3</v>
      </c>
      <c r="D5489" t="str">
        <f t="shared" si="85"/>
        <v>CA-2017-105053_OFF-BI-10001634</v>
      </c>
      <c r="E5489" t="str">
        <f>IF(COUNTIF(data2!$D:$D,D5489)=0,"Missing in Data2","Present")</f>
        <v>Present</v>
      </c>
    </row>
    <row r="5490" spans="1:5" x14ac:dyDescent="0.25">
      <c r="A5490" s="2" t="s">
        <v>4571</v>
      </c>
      <c r="B5490" s="2" t="s">
        <v>3730</v>
      </c>
      <c r="C5490" s="2">
        <v>3</v>
      </c>
      <c r="D5490" t="str">
        <f t="shared" si="85"/>
        <v>CA-2017-105074_OFF-PA-10002666</v>
      </c>
      <c r="E5490" t="str">
        <f>IF(COUNTIF(data2!$D:$D,D5490)=0,"Missing in Data2","Present")</f>
        <v>Present</v>
      </c>
    </row>
    <row r="5491" spans="1:5" x14ac:dyDescent="0.25">
      <c r="A5491" s="2" t="s">
        <v>4572</v>
      </c>
      <c r="B5491" s="2" t="s">
        <v>1047</v>
      </c>
      <c r="C5491" s="2">
        <v>4</v>
      </c>
      <c r="D5491" t="str">
        <f t="shared" si="85"/>
        <v>CA-2017-105130_OFF-AR-10003394</v>
      </c>
      <c r="E5491" t="str">
        <f>IF(COUNTIF(data2!$D:$D,D5491)=0,"Missing in Data2","Present")</f>
        <v>Present</v>
      </c>
    </row>
    <row r="5492" spans="1:5" x14ac:dyDescent="0.25">
      <c r="A5492" s="2" t="s">
        <v>4572</v>
      </c>
      <c r="B5492" s="2" t="s">
        <v>666</v>
      </c>
      <c r="C5492" s="2">
        <v>2</v>
      </c>
      <c r="D5492" t="str">
        <f t="shared" si="85"/>
        <v>CA-2017-105130_OFF-BI-10001191</v>
      </c>
      <c r="E5492" t="str">
        <f>IF(COUNTIF(data2!$D:$D,D5492)=0,"Missing in Data2","Present")</f>
        <v>Present</v>
      </c>
    </row>
    <row r="5493" spans="1:5" x14ac:dyDescent="0.25">
      <c r="A5493" s="2" t="s">
        <v>4573</v>
      </c>
      <c r="B5493" s="2" t="s">
        <v>86</v>
      </c>
      <c r="C5493" s="2">
        <v>2</v>
      </c>
      <c r="D5493" t="str">
        <f t="shared" si="85"/>
        <v>CA-2017-105144_OFF-LA-10003923</v>
      </c>
      <c r="E5493" t="str">
        <f>IF(COUNTIF(data2!$D:$D,D5493)=0,"Missing in Data2","Present")</f>
        <v>Present</v>
      </c>
    </row>
    <row r="5494" spans="1:5" x14ac:dyDescent="0.25">
      <c r="A5494" s="2" t="s">
        <v>4574</v>
      </c>
      <c r="B5494" s="2" t="s">
        <v>2227</v>
      </c>
      <c r="C5494" s="2">
        <v>5</v>
      </c>
      <c r="D5494" t="str">
        <f t="shared" si="85"/>
        <v>CA-2017-105193_OFF-AR-10001547</v>
      </c>
      <c r="E5494" t="str">
        <f>IF(COUNTIF(data2!$D:$D,D5494)=0,"Missing in Data2","Present")</f>
        <v>Present</v>
      </c>
    </row>
    <row r="5495" spans="1:5" x14ac:dyDescent="0.25">
      <c r="A5495" s="2" t="s">
        <v>4575</v>
      </c>
      <c r="B5495" s="2" t="s">
        <v>1430</v>
      </c>
      <c r="C5495" s="2">
        <v>7</v>
      </c>
      <c r="D5495" t="str">
        <f t="shared" si="85"/>
        <v>CA-2017-105214_FUR-CH-10000015</v>
      </c>
      <c r="E5495" t="str">
        <f>IF(COUNTIF(data2!$D:$D,D5495)=0,"Missing in Data2","Present")</f>
        <v>Present</v>
      </c>
    </row>
    <row r="5496" spans="1:5" x14ac:dyDescent="0.25">
      <c r="A5496" s="2" t="s">
        <v>4575</v>
      </c>
      <c r="B5496" s="2" t="s">
        <v>2062</v>
      </c>
      <c r="C5496" s="2">
        <v>2</v>
      </c>
      <c r="D5496" t="str">
        <f t="shared" si="85"/>
        <v>CA-2017-105214_OFF-PA-10001776</v>
      </c>
      <c r="E5496" t="str">
        <f>IF(COUNTIF(data2!$D:$D,D5496)=0,"Missing in Data2","Present")</f>
        <v>Present</v>
      </c>
    </row>
    <row r="5497" spans="1:5" x14ac:dyDescent="0.25">
      <c r="A5497" s="2" t="s">
        <v>4576</v>
      </c>
      <c r="B5497" s="2" t="s">
        <v>363</v>
      </c>
      <c r="C5497" s="2">
        <v>2</v>
      </c>
      <c r="D5497" t="str">
        <f t="shared" si="85"/>
        <v>CA-2017-105235_FUR-FU-10000521</v>
      </c>
      <c r="E5497" t="str">
        <f>IF(COUNTIF(data2!$D:$D,D5497)=0,"Missing in Data2","Present")</f>
        <v>Present</v>
      </c>
    </row>
    <row r="5498" spans="1:5" x14ac:dyDescent="0.25">
      <c r="A5498" s="2" t="s">
        <v>4576</v>
      </c>
      <c r="B5498" s="2" t="s">
        <v>543</v>
      </c>
      <c r="C5498" s="2">
        <v>3</v>
      </c>
      <c r="D5498" t="str">
        <f t="shared" si="85"/>
        <v>CA-2017-105235_FUR-FU-10001487</v>
      </c>
      <c r="E5498" t="str">
        <f>IF(COUNTIF(data2!$D:$D,D5498)=0,"Missing in Data2","Present")</f>
        <v>Present</v>
      </c>
    </row>
    <row r="5499" spans="1:5" x14ac:dyDescent="0.25">
      <c r="A5499" s="2" t="s">
        <v>4576</v>
      </c>
      <c r="B5499" s="2" t="s">
        <v>1075</v>
      </c>
      <c r="C5499" s="2">
        <v>5</v>
      </c>
      <c r="D5499" t="str">
        <f t="shared" si="85"/>
        <v>CA-2017-105235_OFF-AP-10001271</v>
      </c>
      <c r="E5499" t="str">
        <f>IF(COUNTIF(data2!$D:$D,D5499)=0,"Missing in Data2","Present")</f>
        <v>Present</v>
      </c>
    </row>
    <row r="5500" spans="1:5" x14ac:dyDescent="0.25">
      <c r="A5500" s="2" t="s">
        <v>4577</v>
      </c>
      <c r="B5500" s="2" t="s">
        <v>926</v>
      </c>
      <c r="C5500" s="2">
        <v>4</v>
      </c>
      <c r="D5500" t="str">
        <f t="shared" si="85"/>
        <v>CA-2017-105326_OFF-PA-10001639</v>
      </c>
      <c r="E5500" t="str">
        <f>IF(COUNTIF(data2!$D:$D,D5500)=0,"Missing in Data2","Present")</f>
        <v>Present</v>
      </c>
    </row>
    <row r="5501" spans="1:5" x14ac:dyDescent="0.25">
      <c r="A5501" s="2" t="s">
        <v>4578</v>
      </c>
      <c r="B5501" s="2" t="s">
        <v>465</v>
      </c>
      <c r="C5501" s="2">
        <v>3</v>
      </c>
      <c r="D5501" t="str">
        <f t="shared" si="85"/>
        <v>CA-2017-105333_OFF-ST-10001809</v>
      </c>
      <c r="E5501" t="str">
        <f>IF(COUNTIF(data2!$D:$D,D5501)=0,"Missing in Data2","Present")</f>
        <v>Present</v>
      </c>
    </row>
    <row r="5502" spans="1:5" x14ac:dyDescent="0.25">
      <c r="A5502" s="2" t="s">
        <v>4578</v>
      </c>
      <c r="B5502" s="2" t="s">
        <v>2216</v>
      </c>
      <c r="C5502" s="2">
        <v>4</v>
      </c>
      <c r="D5502" t="str">
        <f t="shared" si="85"/>
        <v>CA-2017-105333_OFF-ST-10002182</v>
      </c>
      <c r="E5502" t="str">
        <f>IF(COUNTIF(data2!$D:$D,D5502)=0,"Missing in Data2","Present")</f>
        <v>Present</v>
      </c>
    </row>
    <row r="5503" spans="1:5" x14ac:dyDescent="0.25">
      <c r="A5503" s="2" t="s">
        <v>4578</v>
      </c>
      <c r="B5503" s="2" t="s">
        <v>4579</v>
      </c>
      <c r="C5503" s="2">
        <v>3</v>
      </c>
      <c r="D5503" t="str">
        <f t="shared" si="85"/>
        <v>CA-2017-105333_TEC-PH-10001468</v>
      </c>
      <c r="E5503" t="str">
        <f>IF(COUNTIF(data2!$D:$D,D5503)=0,"Missing in Data2","Present")</f>
        <v>Present</v>
      </c>
    </row>
    <row r="5504" spans="1:5" x14ac:dyDescent="0.25">
      <c r="A5504" s="2" t="s">
        <v>4580</v>
      </c>
      <c r="B5504" s="2" t="s">
        <v>651</v>
      </c>
      <c r="C5504" s="2">
        <v>6</v>
      </c>
      <c r="D5504" t="str">
        <f t="shared" si="85"/>
        <v>CA-2017-105410_OFF-BI-10004970</v>
      </c>
      <c r="E5504" t="str">
        <f>IF(COUNTIF(data2!$D:$D,D5504)=0,"Missing in Data2","Present")</f>
        <v>Present</v>
      </c>
    </row>
    <row r="5505" spans="1:5" x14ac:dyDescent="0.25">
      <c r="A5505" s="2" t="s">
        <v>4580</v>
      </c>
      <c r="B5505" s="2" t="s">
        <v>2375</v>
      </c>
      <c r="C5505" s="2">
        <v>2</v>
      </c>
      <c r="D5505" t="str">
        <f t="shared" si="85"/>
        <v>CA-2017-105410_TEC-AC-10001552</v>
      </c>
      <c r="E5505" t="str">
        <f>IF(COUNTIF(data2!$D:$D,D5505)=0,"Missing in Data2","Present")</f>
        <v>Present</v>
      </c>
    </row>
    <row r="5506" spans="1:5" x14ac:dyDescent="0.25">
      <c r="A5506" s="2" t="s">
        <v>4580</v>
      </c>
      <c r="B5506" s="2" t="s">
        <v>1406</v>
      </c>
      <c r="C5506" s="2">
        <v>4</v>
      </c>
      <c r="D5506" t="str">
        <f t="shared" si="85"/>
        <v>CA-2017-105410_TEC-AC-10002926</v>
      </c>
      <c r="E5506" t="str">
        <f>IF(COUNTIF(data2!$D:$D,D5506)=0,"Missing in Data2","Present")</f>
        <v>Present</v>
      </c>
    </row>
    <row r="5507" spans="1:5" x14ac:dyDescent="0.25">
      <c r="A5507" s="2" t="s">
        <v>4580</v>
      </c>
      <c r="B5507" s="2" t="s">
        <v>1409</v>
      </c>
      <c r="C5507" s="2">
        <v>6</v>
      </c>
      <c r="D5507" t="str">
        <f t="shared" ref="D5507:D5570" si="86">A5507&amp;"_"&amp;B5507</f>
        <v>CA-2017-105410_TEC-PH-10000038</v>
      </c>
      <c r="E5507" t="str">
        <f>IF(COUNTIF(data2!$D:$D,D5507)=0,"Missing in Data2","Present")</f>
        <v>Present</v>
      </c>
    </row>
    <row r="5508" spans="1:5" x14ac:dyDescent="0.25">
      <c r="A5508" s="2" t="s">
        <v>4581</v>
      </c>
      <c r="B5508" s="2" t="s">
        <v>1994</v>
      </c>
      <c r="C5508" s="2">
        <v>3</v>
      </c>
      <c r="D5508" t="str">
        <f t="shared" si="86"/>
        <v>CA-2017-105445_OFF-FA-10001229</v>
      </c>
      <c r="E5508" t="str">
        <f>IF(COUNTIF(data2!$D:$D,D5508)=0,"Missing in Data2","Present")</f>
        <v>Present</v>
      </c>
    </row>
    <row r="5509" spans="1:5" x14ac:dyDescent="0.25">
      <c r="A5509" s="2" t="s">
        <v>4582</v>
      </c>
      <c r="B5509" s="2" t="s">
        <v>485</v>
      </c>
      <c r="C5509" s="2">
        <v>1</v>
      </c>
      <c r="D5509" t="str">
        <f t="shared" si="86"/>
        <v>CA-2017-105480_OFF-BI-10003291</v>
      </c>
      <c r="E5509" t="str">
        <f>IF(COUNTIF(data2!$D:$D,D5509)=0,"Missing in Data2","Present")</f>
        <v>Present</v>
      </c>
    </row>
    <row r="5510" spans="1:5" x14ac:dyDescent="0.25">
      <c r="A5510" s="2" t="s">
        <v>4582</v>
      </c>
      <c r="B5510" s="2" t="s">
        <v>2771</v>
      </c>
      <c r="C5510" s="2">
        <v>1</v>
      </c>
      <c r="D5510" t="str">
        <f t="shared" si="86"/>
        <v>CA-2017-105480_OFF-PA-10002787</v>
      </c>
      <c r="E5510" t="str">
        <f>IF(COUNTIF(data2!$D:$D,D5510)=0,"Missing in Data2","Present")</f>
        <v>Present</v>
      </c>
    </row>
    <row r="5511" spans="1:5" x14ac:dyDescent="0.25">
      <c r="A5511" s="2" t="s">
        <v>4583</v>
      </c>
      <c r="B5511" s="2" t="s">
        <v>1585</v>
      </c>
      <c r="C5511" s="2">
        <v>2</v>
      </c>
      <c r="D5511" t="str">
        <f t="shared" si="86"/>
        <v>CA-2017-105487_OFF-ST-10002301</v>
      </c>
      <c r="E5511" t="str">
        <f>IF(COUNTIF(data2!$D:$D,D5511)=0,"Missing in Data2","Present")</f>
        <v>Present</v>
      </c>
    </row>
    <row r="5512" spans="1:5" x14ac:dyDescent="0.25">
      <c r="A5512" s="2" t="s">
        <v>4583</v>
      </c>
      <c r="B5512" s="2" t="s">
        <v>3087</v>
      </c>
      <c r="C5512" s="2">
        <v>2</v>
      </c>
      <c r="D5512" t="str">
        <f t="shared" si="86"/>
        <v>CA-2017-105487_TEC-AC-10002305</v>
      </c>
      <c r="E5512" t="str">
        <f>IF(COUNTIF(data2!$D:$D,D5512)=0,"Missing in Data2","Present")</f>
        <v>Present</v>
      </c>
    </row>
    <row r="5513" spans="1:5" x14ac:dyDescent="0.25">
      <c r="A5513" s="2" t="s">
        <v>4583</v>
      </c>
      <c r="B5513" s="2" t="s">
        <v>4060</v>
      </c>
      <c r="C5513" s="2">
        <v>4</v>
      </c>
      <c r="D5513" t="str">
        <f t="shared" si="86"/>
        <v>CA-2017-105487_TEC-AC-10003610</v>
      </c>
      <c r="E5513" t="str">
        <f>IF(COUNTIF(data2!$D:$D,D5513)=0,"Missing in Data2","Present")</f>
        <v>Present</v>
      </c>
    </row>
    <row r="5514" spans="1:5" x14ac:dyDescent="0.25">
      <c r="A5514" s="2" t="s">
        <v>4583</v>
      </c>
      <c r="B5514" s="2" t="s">
        <v>292</v>
      </c>
      <c r="C5514" s="2">
        <v>1</v>
      </c>
      <c r="D5514" t="str">
        <f t="shared" si="86"/>
        <v>CA-2017-105487_TEC-PH-10001336</v>
      </c>
      <c r="E5514" t="str">
        <f>IF(COUNTIF(data2!$D:$D,D5514)=0,"Missing in Data2","Present")</f>
        <v>Present</v>
      </c>
    </row>
    <row r="5515" spans="1:5" x14ac:dyDescent="0.25">
      <c r="A5515" s="2" t="s">
        <v>4584</v>
      </c>
      <c r="B5515" s="2" t="s">
        <v>1465</v>
      </c>
      <c r="C5515" s="2">
        <v>1</v>
      </c>
      <c r="D5515" t="str">
        <f t="shared" si="86"/>
        <v>CA-2017-105543_OFF-ST-10003123</v>
      </c>
      <c r="E5515" t="str">
        <f>IF(COUNTIF(data2!$D:$D,D5515)=0,"Missing in Data2","Present")</f>
        <v>Present</v>
      </c>
    </row>
    <row r="5516" spans="1:5" x14ac:dyDescent="0.25">
      <c r="A5516" s="2" t="s">
        <v>4585</v>
      </c>
      <c r="B5516" s="2" t="s">
        <v>3616</v>
      </c>
      <c r="C5516" s="2">
        <v>3</v>
      </c>
      <c r="D5516" t="str">
        <f t="shared" si="86"/>
        <v>CA-2017-105620_FUR-FU-10004963</v>
      </c>
      <c r="E5516" t="str">
        <f>IF(COUNTIF(data2!$D:$D,D5516)=0,"Missing in Data2","Present")</f>
        <v>Missing in Data2</v>
      </c>
    </row>
    <row r="5517" spans="1:5" x14ac:dyDescent="0.25">
      <c r="A5517" s="2" t="s">
        <v>4585</v>
      </c>
      <c r="B5517" s="2" t="s">
        <v>4586</v>
      </c>
      <c r="C5517" s="2">
        <v>2</v>
      </c>
      <c r="D5517" t="str">
        <f t="shared" si="86"/>
        <v>CA-2017-105620_TEC-MA-10004626</v>
      </c>
      <c r="E5517" t="str">
        <f>IF(COUNTIF(data2!$D:$D,D5517)=0,"Missing in Data2","Present")</f>
        <v>Present</v>
      </c>
    </row>
    <row r="5518" spans="1:5" x14ac:dyDescent="0.25">
      <c r="A5518" s="2" t="s">
        <v>4587</v>
      </c>
      <c r="B5518" s="2" t="s">
        <v>373</v>
      </c>
      <c r="C5518" s="2">
        <v>5</v>
      </c>
      <c r="D5518" t="str">
        <f t="shared" si="86"/>
        <v>CA-2017-105669_FUR-CH-10003774</v>
      </c>
      <c r="E5518" t="str">
        <f>IF(COUNTIF(data2!$D:$D,D5518)=0,"Missing in Data2","Present")</f>
        <v>Present</v>
      </c>
    </row>
    <row r="5519" spans="1:5" x14ac:dyDescent="0.25">
      <c r="A5519" s="2" t="s">
        <v>4587</v>
      </c>
      <c r="B5519" s="2" t="s">
        <v>194</v>
      </c>
      <c r="C5519" s="2">
        <v>3</v>
      </c>
      <c r="D5519" t="str">
        <f t="shared" si="86"/>
        <v>CA-2017-105669_OFF-AR-10000390</v>
      </c>
      <c r="E5519" t="str">
        <f>IF(COUNTIF(data2!$D:$D,D5519)=0,"Missing in Data2","Present")</f>
        <v>Present</v>
      </c>
    </row>
    <row r="5520" spans="1:5" x14ac:dyDescent="0.25">
      <c r="A5520" s="2" t="s">
        <v>4587</v>
      </c>
      <c r="B5520" s="2" t="s">
        <v>2095</v>
      </c>
      <c r="C5520" s="2">
        <v>5</v>
      </c>
      <c r="D5520" t="str">
        <f t="shared" si="86"/>
        <v>CA-2017-105669_OFF-BI-10002412</v>
      </c>
      <c r="E5520" t="str">
        <f>IF(COUNTIF(data2!$D:$D,D5520)=0,"Missing in Data2","Present")</f>
        <v>Present</v>
      </c>
    </row>
    <row r="5521" spans="1:5" x14ac:dyDescent="0.25">
      <c r="A5521" s="2" t="s">
        <v>4587</v>
      </c>
      <c r="B5521" s="2" t="s">
        <v>1566</v>
      </c>
      <c r="C5521" s="2">
        <v>6</v>
      </c>
      <c r="D5521" t="str">
        <f t="shared" si="86"/>
        <v>CA-2017-105669_TEC-PH-10002415</v>
      </c>
      <c r="E5521" t="str">
        <f>IF(COUNTIF(data2!$D:$D,D5521)=0,"Missing in Data2","Present")</f>
        <v>Present</v>
      </c>
    </row>
    <row r="5522" spans="1:5" x14ac:dyDescent="0.25">
      <c r="A5522" s="2" t="s">
        <v>4588</v>
      </c>
      <c r="B5522" s="2" t="s">
        <v>1111</v>
      </c>
      <c r="C5522" s="2">
        <v>1</v>
      </c>
      <c r="D5522" t="str">
        <f t="shared" si="86"/>
        <v>CA-2017-105809_FUR-FU-10004090</v>
      </c>
      <c r="E5522" t="str">
        <f>IF(COUNTIF(data2!$D:$D,D5522)=0,"Missing in Data2","Present")</f>
        <v>Present</v>
      </c>
    </row>
    <row r="5523" spans="1:5" x14ac:dyDescent="0.25">
      <c r="A5523" s="2" t="s">
        <v>4588</v>
      </c>
      <c r="B5523" s="2" t="s">
        <v>3446</v>
      </c>
      <c r="C5523" s="2">
        <v>2</v>
      </c>
      <c r="D5523" t="str">
        <f t="shared" si="86"/>
        <v>CA-2017-105809_TEC-PH-10001580</v>
      </c>
      <c r="E5523" t="str">
        <f>IF(COUNTIF(data2!$D:$D,D5523)=0,"Missing in Data2","Present")</f>
        <v>Present</v>
      </c>
    </row>
    <row r="5524" spans="1:5" x14ac:dyDescent="0.25">
      <c r="A5524" s="2" t="s">
        <v>4589</v>
      </c>
      <c r="B5524" s="2" t="s">
        <v>297</v>
      </c>
      <c r="C5524" s="2">
        <v>2</v>
      </c>
      <c r="D5524" t="str">
        <f t="shared" si="86"/>
        <v>CA-2017-105823_FUR-CH-10000454</v>
      </c>
      <c r="E5524" t="str">
        <f>IF(COUNTIF(data2!$D:$D,D5524)=0,"Missing in Data2","Present")</f>
        <v>Present</v>
      </c>
    </row>
    <row r="5525" spans="1:5" x14ac:dyDescent="0.25">
      <c r="A5525" s="2" t="s">
        <v>4590</v>
      </c>
      <c r="B5525" s="2" t="s">
        <v>106</v>
      </c>
      <c r="C5525" s="2">
        <v>2</v>
      </c>
      <c r="D5525" t="str">
        <f t="shared" si="86"/>
        <v>CA-2017-105851_OFF-SU-10002881</v>
      </c>
      <c r="E5525" t="str">
        <f>IF(COUNTIF(data2!$D:$D,D5525)=0,"Missing in Data2","Present")</f>
        <v>Present</v>
      </c>
    </row>
    <row r="5526" spans="1:5" x14ac:dyDescent="0.25">
      <c r="A5526" s="2" t="s">
        <v>4591</v>
      </c>
      <c r="B5526" s="2" t="s">
        <v>3125</v>
      </c>
      <c r="C5526" s="2">
        <v>2</v>
      </c>
      <c r="D5526" t="str">
        <f t="shared" si="86"/>
        <v>CA-2017-105886_FUR-FU-10001037</v>
      </c>
      <c r="E5526" t="str">
        <f>IF(COUNTIF(data2!$D:$D,D5526)=0,"Missing in Data2","Present")</f>
        <v>Present</v>
      </c>
    </row>
    <row r="5527" spans="1:5" x14ac:dyDescent="0.25">
      <c r="A5527" s="2" t="s">
        <v>4592</v>
      </c>
      <c r="B5527" s="2" t="s">
        <v>337</v>
      </c>
      <c r="C5527" s="2">
        <v>5</v>
      </c>
      <c r="D5527" t="str">
        <f t="shared" si="86"/>
        <v>CA-2017-105914_OFF-BI-10002854</v>
      </c>
      <c r="E5527" t="str">
        <f>IF(COUNTIF(data2!$D:$D,D5527)=0,"Missing in Data2","Present")</f>
        <v>Present</v>
      </c>
    </row>
    <row r="5528" spans="1:5" x14ac:dyDescent="0.25">
      <c r="A5528" s="2" t="s">
        <v>4592</v>
      </c>
      <c r="B5528" s="2" t="s">
        <v>495</v>
      </c>
      <c r="C5528" s="2">
        <v>7</v>
      </c>
      <c r="D5528" t="str">
        <f t="shared" si="86"/>
        <v>CA-2017-105914_OFF-ST-10003716</v>
      </c>
      <c r="E5528" t="str">
        <f>IF(COUNTIF(data2!$D:$D,D5528)=0,"Missing in Data2","Present")</f>
        <v>Present</v>
      </c>
    </row>
    <row r="5529" spans="1:5" x14ac:dyDescent="0.25">
      <c r="A5529" s="2" t="s">
        <v>4593</v>
      </c>
      <c r="B5529" s="2" t="s">
        <v>2635</v>
      </c>
      <c r="C5529" s="2">
        <v>3</v>
      </c>
      <c r="D5529" t="str">
        <f t="shared" si="86"/>
        <v>CA-2017-105921_FUR-TA-10001095</v>
      </c>
      <c r="E5529" t="str">
        <f>IF(COUNTIF(data2!$D:$D,D5529)=0,"Missing in Data2","Present")</f>
        <v>Present</v>
      </c>
    </row>
    <row r="5530" spans="1:5" x14ac:dyDescent="0.25">
      <c r="A5530" s="2" t="s">
        <v>4594</v>
      </c>
      <c r="B5530" s="2" t="s">
        <v>489</v>
      </c>
      <c r="C5530" s="2">
        <v>3</v>
      </c>
      <c r="D5530" t="str">
        <f t="shared" si="86"/>
        <v>CA-2017-105991_FUR-BO-10004467</v>
      </c>
      <c r="E5530" t="str">
        <f>IF(COUNTIF(data2!$D:$D,D5530)=0,"Missing in Data2","Present")</f>
        <v>Present</v>
      </c>
    </row>
    <row r="5531" spans="1:5" x14ac:dyDescent="0.25">
      <c r="A5531" s="2" t="s">
        <v>4594</v>
      </c>
      <c r="B5531" s="2" t="s">
        <v>1311</v>
      </c>
      <c r="C5531" s="2">
        <v>8</v>
      </c>
      <c r="D5531" t="str">
        <f t="shared" si="86"/>
        <v>CA-2017-105991_OFF-BI-10003274</v>
      </c>
      <c r="E5531" t="str">
        <f>IF(COUNTIF(data2!$D:$D,D5531)=0,"Missing in Data2","Present")</f>
        <v>Present</v>
      </c>
    </row>
    <row r="5532" spans="1:5" x14ac:dyDescent="0.25">
      <c r="A5532" s="2" t="s">
        <v>4594</v>
      </c>
      <c r="B5532" s="2" t="s">
        <v>532</v>
      </c>
      <c r="C5532" s="2">
        <v>9</v>
      </c>
      <c r="D5532" t="str">
        <f t="shared" si="86"/>
        <v>CA-2017-105991_OFF-EN-10002600</v>
      </c>
      <c r="E5532" t="str">
        <f>IF(COUNTIF(data2!$D:$D,D5532)=0,"Missing in Data2","Present")</f>
        <v>Present</v>
      </c>
    </row>
    <row r="5533" spans="1:5" x14ac:dyDescent="0.25">
      <c r="A5533" s="2" t="s">
        <v>4595</v>
      </c>
      <c r="B5533" s="2" t="s">
        <v>4596</v>
      </c>
      <c r="C5533" s="2">
        <v>4</v>
      </c>
      <c r="D5533" t="str">
        <f t="shared" si="86"/>
        <v>CA-2017-106033_OFF-AR-10002818</v>
      </c>
      <c r="E5533" t="str">
        <f>IF(COUNTIF(data2!$D:$D,D5533)=0,"Missing in Data2","Present")</f>
        <v>Present</v>
      </c>
    </row>
    <row r="5534" spans="1:5" x14ac:dyDescent="0.25">
      <c r="A5534" s="2" t="s">
        <v>4597</v>
      </c>
      <c r="B5534" s="2" t="s">
        <v>3814</v>
      </c>
      <c r="C5534" s="2">
        <v>1</v>
      </c>
      <c r="D5534" t="str">
        <f t="shared" si="86"/>
        <v>CA-2017-106047_OFF-PA-10000791</v>
      </c>
      <c r="E5534" t="str">
        <f>IF(COUNTIF(data2!$D:$D,D5534)=0,"Missing in Data2","Present")</f>
        <v>Missing in Data2</v>
      </c>
    </row>
    <row r="5535" spans="1:5" x14ac:dyDescent="0.25">
      <c r="A5535" s="2" t="s">
        <v>4598</v>
      </c>
      <c r="B5535" s="2" t="s">
        <v>1014</v>
      </c>
      <c r="C5535" s="2">
        <v>3</v>
      </c>
      <c r="D5535" t="str">
        <f t="shared" si="86"/>
        <v>CA-2017-106068_OFF-BI-10000962</v>
      </c>
      <c r="E5535" t="str">
        <f>IF(COUNTIF(data2!$D:$D,D5535)=0,"Missing in Data2","Present")</f>
        <v>Present</v>
      </c>
    </row>
    <row r="5536" spans="1:5" x14ac:dyDescent="0.25">
      <c r="A5536" s="2" t="s">
        <v>4598</v>
      </c>
      <c r="B5536" s="2" t="s">
        <v>715</v>
      </c>
      <c r="C5536" s="2">
        <v>4</v>
      </c>
      <c r="D5536" t="str">
        <f t="shared" si="86"/>
        <v>CA-2017-106068_OFF-ST-10002344</v>
      </c>
      <c r="E5536" t="str">
        <f>IF(COUNTIF(data2!$D:$D,D5536)=0,"Missing in Data2","Present")</f>
        <v>Present</v>
      </c>
    </row>
    <row r="5537" spans="1:5" x14ac:dyDescent="0.25">
      <c r="A5537" s="2" t="s">
        <v>4598</v>
      </c>
      <c r="B5537" s="2" t="s">
        <v>1772</v>
      </c>
      <c r="C5537" s="2">
        <v>1</v>
      </c>
      <c r="D5537" t="str">
        <f t="shared" si="86"/>
        <v>CA-2017-106068_OFF-ST-10004507</v>
      </c>
      <c r="E5537" t="str">
        <f>IF(COUNTIF(data2!$D:$D,D5537)=0,"Missing in Data2","Present")</f>
        <v>Present</v>
      </c>
    </row>
    <row r="5538" spans="1:5" x14ac:dyDescent="0.25">
      <c r="A5538" s="2" t="s">
        <v>4598</v>
      </c>
      <c r="B5538" s="2" t="s">
        <v>578</v>
      </c>
      <c r="C5538" s="2">
        <v>1</v>
      </c>
      <c r="D5538" t="str">
        <f t="shared" si="86"/>
        <v>CA-2017-106068_TEC-AC-10002942</v>
      </c>
      <c r="E5538" t="str">
        <f>IF(COUNTIF(data2!$D:$D,D5538)=0,"Missing in Data2","Present")</f>
        <v>Present</v>
      </c>
    </row>
    <row r="5539" spans="1:5" x14ac:dyDescent="0.25">
      <c r="A5539" s="2" t="s">
        <v>4599</v>
      </c>
      <c r="B5539" s="2" t="s">
        <v>877</v>
      </c>
      <c r="C5539" s="2">
        <v>4</v>
      </c>
      <c r="D5539" t="str">
        <f t="shared" si="86"/>
        <v>CA-2017-106103_TEC-AC-10003832</v>
      </c>
      <c r="E5539" t="str">
        <f>IF(COUNTIF(data2!$D:$D,D5539)=0,"Missing in Data2","Present")</f>
        <v>Present</v>
      </c>
    </row>
    <row r="5540" spans="1:5" x14ac:dyDescent="0.25">
      <c r="A5540" s="2" t="s">
        <v>4600</v>
      </c>
      <c r="B5540" s="2" t="s">
        <v>3171</v>
      </c>
      <c r="C5540" s="2">
        <v>3</v>
      </c>
      <c r="D5540" t="str">
        <f t="shared" si="86"/>
        <v>CA-2017-106180_OFF-AR-10000940</v>
      </c>
      <c r="E5540" t="str">
        <f>IF(COUNTIF(data2!$D:$D,D5540)=0,"Missing in Data2","Present")</f>
        <v>Present</v>
      </c>
    </row>
    <row r="5541" spans="1:5" x14ac:dyDescent="0.25">
      <c r="A5541" s="2" t="s">
        <v>4600</v>
      </c>
      <c r="B5541" s="2" t="s">
        <v>323</v>
      </c>
      <c r="C5541" s="2">
        <v>3</v>
      </c>
      <c r="D5541" t="str">
        <f t="shared" si="86"/>
        <v>CA-2017-106180_OFF-EN-10004030</v>
      </c>
      <c r="E5541" t="str">
        <f>IF(COUNTIF(data2!$D:$D,D5541)=0,"Missing in Data2","Present")</f>
        <v>Present</v>
      </c>
    </row>
    <row r="5542" spans="1:5" x14ac:dyDescent="0.25">
      <c r="A5542" s="2" t="s">
        <v>4600</v>
      </c>
      <c r="B5542" s="2" t="s">
        <v>3511</v>
      </c>
      <c r="C5542" s="2">
        <v>3</v>
      </c>
      <c r="D5542" t="str">
        <f t="shared" si="86"/>
        <v>CA-2017-106180_OFF-PA-10004327</v>
      </c>
      <c r="E5542" t="str">
        <f>IF(COUNTIF(data2!$D:$D,D5542)=0,"Missing in Data2","Present")</f>
        <v>Present</v>
      </c>
    </row>
    <row r="5543" spans="1:5" x14ac:dyDescent="0.25">
      <c r="A5543" s="2" t="s">
        <v>4601</v>
      </c>
      <c r="B5543" s="2" t="s">
        <v>3864</v>
      </c>
      <c r="C5543" s="2">
        <v>4</v>
      </c>
      <c r="D5543" t="str">
        <f t="shared" si="86"/>
        <v>CA-2017-106355_OFF-AR-10000246</v>
      </c>
      <c r="E5543" t="str">
        <f>IF(COUNTIF(data2!$D:$D,D5543)=0,"Missing in Data2","Present")</f>
        <v>Present</v>
      </c>
    </row>
    <row r="5544" spans="1:5" x14ac:dyDescent="0.25">
      <c r="A5544" s="2" t="s">
        <v>4602</v>
      </c>
      <c r="B5544" s="2" t="s">
        <v>2924</v>
      </c>
      <c r="C5544" s="2">
        <v>3</v>
      </c>
      <c r="D5544" t="str">
        <f t="shared" si="86"/>
        <v>CA-2017-106432_FUR-BO-10004360</v>
      </c>
      <c r="E5544" t="str">
        <f>IF(COUNTIF(data2!$D:$D,D5544)=0,"Missing in Data2","Present")</f>
        <v>Present</v>
      </c>
    </row>
    <row r="5545" spans="1:5" x14ac:dyDescent="0.25">
      <c r="A5545" s="2" t="s">
        <v>4602</v>
      </c>
      <c r="B5545" s="2" t="s">
        <v>256</v>
      </c>
      <c r="C5545" s="2">
        <v>2</v>
      </c>
      <c r="D5545" t="str">
        <f t="shared" si="86"/>
        <v>CA-2017-106432_OFF-BI-10002799</v>
      </c>
      <c r="E5545" t="str">
        <f>IF(COUNTIF(data2!$D:$D,D5545)=0,"Missing in Data2","Present")</f>
        <v>Present</v>
      </c>
    </row>
    <row r="5546" spans="1:5" x14ac:dyDescent="0.25">
      <c r="A5546" s="2" t="s">
        <v>4603</v>
      </c>
      <c r="B5546" s="2" t="s">
        <v>812</v>
      </c>
      <c r="C5546" s="2">
        <v>4</v>
      </c>
      <c r="D5546" t="str">
        <f t="shared" si="86"/>
        <v>CA-2017-106537_OFF-PA-10000223</v>
      </c>
      <c r="E5546" t="str">
        <f>IF(COUNTIF(data2!$D:$D,D5546)=0,"Missing in Data2","Present")</f>
        <v>Present</v>
      </c>
    </row>
    <row r="5547" spans="1:5" x14ac:dyDescent="0.25">
      <c r="A5547" s="2" t="s">
        <v>4604</v>
      </c>
      <c r="B5547" s="2" t="s">
        <v>1152</v>
      </c>
      <c r="C5547" s="2">
        <v>2</v>
      </c>
      <c r="D5547" t="str">
        <f t="shared" si="86"/>
        <v>CA-2017-106691_OFF-BI-10000145</v>
      </c>
      <c r="E5547" t="str">
        <f>IF(COUNTIF(data2!$D:$D,D5547)=0,"Missing in Data2","Present")</f>
        <v>Present</v>
      </c>
    </row>
    <row r="5548" spans="1:5" x14ac:dyDescent="0.25">
      <c r="A5548" s="2" t="s">
        <v>4605</v>
      </c>
      <c r="B5548" s="2" t="s">
        <v>1357</v>
      </c>
      <c r="C5548" s="2">
        <v>1</v>
      </c>
      <c r="D5548" t="str">
        <f t="shared" si="86"/>
        <v>CA-2017-106747_FUR-FU-10004188</v>
      </c>
      <c r="E5548" t="str">
        <f>IF(COUNTIF(data2!$D:$D,D5548)=0,"Missing in Data2","Present")</f>
        <v>Present</v>
      </c>
    </row>
    <row r="5549" spans="1:5" x14ac:dyDescent="0.25">
      <c r="A5549" s="2" t="s">
        <v>4606</v>
      </c>
      <c r="B5549" s="2" t="s">
        <v>1514</v>
      </c>
      <c r="C5549" s="2">
        <v>1</v>
      </c>
      <c r="D5549" t="str">
        <f t="shared" si="86"/>
        <v>CA-2017-106782_OFF-ST-10004459</v>
      </c>
      <c r="E5549" t="str">
        <f>IF(COUNTIF(data2!$D:$D,D5549)=0,"Missing in Data2","Present")</f>
        <v>Present</v>
      </c>
    </row>
    <row r="5550" spans="1:5" x14ac:dyDescent="0.25">
      <c r="A5550" s="2" t="s">
        <v>4607</v>
      </c>
      <c r="B5550" s="2" t="s">
        <v>1964</v>
      </c>
      <c r="C5550" s="2">
        <v>3</v>
      </c>
      <c r="D5550" t="str">
        <f t="shared" si="86"/>
        <v>CA-2017-106824_OFF-FA-10001135</v>
      </c>
      <c r="E5550" t="str">
        <f>IF(COUNTIF(data2!$D:$D,D5550)=0,"Missing in Data2","Present")</f>
        <v>Present</v>
      </c>
    </row>
    <row r="5551" spans="1:5" x14ac:dyDescent="0.25">
      <c r="A5551" s="2" t="s">
        <v>4608</v>
      </c>
      <c r="B5551" s="2" t="s">
        <v>891</v>
      </c>
      <c r="C5551" s="2">
        <v>2</v>
      </c>
      <c r="D5551" t="str">
        <f t="shared" si="86"/>
        <v>CA-2017-106831_OFF-BI-10003429</v>
      </c>
      <c r="E5551" t="str">
        <f>IF(COUNTIF(data2!$D:$D,D5551)=0,"Missing in Data2","Present")</f>
        <v>Present</v>
      </c>
    </row>
    <row r="5552" spans="1:5" x14ac:dyDescent="0.25">
      <c r="A5552" s="2" t="s">
        <v>4608</v>
      </c>
      <c r="B5552" s="2" t="s">
        <v>3999</v>
      </c>
      <c r="C5552" s="2">
        <v>6</v>
      </c>
      <c r="D5552" t="str">
        <f t="shared" si="86"/>
        <v>CA-2017-106831_OFF-PA-10000682</v>
      </c>
      <c r="E5552" t="str">
        <f>IF(COUNTIF(data2!$D:$D,D5552)=0,"Missing in Data2","Present")</f>
        <v>Present</v>
      </c>
    </row>
    <row r="5553" spans="1:5" x14ac:dyDescent="0.25">
      <c r="A5553" s="2" t="s">
        <v>4608</v>
      </c>
      <c r="B5553" s="2" t="s">
        <v>2325</v>
      </c>
      <c r="C5553" s="2">
        <v>4</v>
      </c>
      <c r="D5553" t="str">
        <f t="shared" si="86"/>
        <v>CA-2017-106831_TEC-PH-10001700</v>
      </c>
      <c r="E5553" t="str">
        <f>IF(COUNTIF(data2!$D:$D,D5553)=0,"Missing in Data2","Present")</f>
        <v>Present</v>
      </c>
    </row>
    <row r="5554" spans="1:5" x14ac:dyDescent="0.25">
      <c r="A5554" s="2" t="s">
        <v>4609</v>
      </c>
      <c r="B5554" s="2" t="s">
        <v>617</v>
      </c>
      <c r="C5554" s="2">
        <v>2</v>
      </c>
      <c r="D5554" t="str">
        <f t="shared" si="86"/>
        <v>CA-2017-106852_OFF-AR-10003829</v>
      </c>
      <c r="E5554" t="str">
        <f>IF(COUNTIF(data2!$D:$D,D5554)=0,"Missing in Data2","Present")</f>
        <v>Present</v>
      </c>
    </row>
    <row r="5555" spans="1:5" x14ac:dyDescent="0.25">
      <c r="A5555" s="2" t="s">
        <v>4609</v>
      </c>
      <c r="B5555" s="2" t="s">
        <v>926</v>
      </c>
      <c r="C5555" s="2">
        <v>6</v>
      </c>
      <c r="D5555" t="str">
        <f t="shared" si="86"/>
        <v>CA-2017-106852_OFF-PA-10001639</v>
      </c>
      <c r="E5555" t="str">
        <f>IF(COUNTIF(data2!$D:$D,D5555)=0,"Missing in Data2","Present")</f>
        <v>Present</v>
      </c>
    </row>
    <row r="5556" spans="1:5" x14ac:dyDescent="0.25">
      <c r="A5556" s="2" t="s">
        <v>4610</v>
      </c>
      <c r="B5556" s="2" t="s">
        <v>4611</v>
      </c>
      <c r="C5556" s="2">
        <v>7</v>
      </c>
      <c r="D5556" t="str">
        <f t="shared" si="86"/>
        <v>CA-2017-106859_OFF-PA-10001534</v>
      </c>
      <c r="E5556" t="str">
        <f>IF(COUNTIF(data2!$D:$D,D5556)=0,"Missing in Data2","Present")</f>
        <v>Present</v>
      </c>
    </row>
    <row r="5557" spans="1:5" x14ac:dyDescent="0.25">
      <c r="A5557" s="2" t="s">
        <v>4610</v>
      </c>
      <c r="B5557" s="2" t="s">
        <v>2423</v>
      </c>
      <c r="C5557" s="2">
        <v>6</v>
      </c>
      <c r="D5557" t="str">
        <f t="shared" si="86"/>
        <v>CA-2017-106859_OFF-PA-10001815</v>
      </c>
      <c r="E5557" t="str">
        <f>IF(COUNTIF(data2!$D:$D,D5557)=0,"Missing in Data2","Present")</f>
        <v>Present</v>
      </c>
    </row>
    <row r="5558" spans="1:5" x14ac:dyDescent="0.25">
      <c r="A5558" s="2" t="s">
        <v>4610</v>
      </c>
      <c r="B5558" s="2" t="s">
        <v>1443</v>
      </c>
      <c r="C5558" s="2">
        <v>8</v>
      </c>
      <c r="D5558" t="str">
        <f t="shared" si="86"/>
        <v>CA-2017-106859_OFF-ST-10000615</v>
      </c>
      <c r="E5558" t="str">
        <f>IF(COUNTIF(data2!$D:$D,D5558)=0,"Missing in Data2","Present")</f>
        <v>Present</v>
      </c>
    </row>
    <row r="5559" spans="1:5" x14ac:dyDescent="0.25">
      <c r="A5559" s="2" t="s">
        <v>4610</v>
      </c>
      <c r="B5559" s="2" t="s">
        <v>4612</v>
      </c>
      <c r="C5559" s="2">
        <v>5</v>
      </c>
      <c r="D5559" t="str">
        <f t="shared" si="86"/>
        <v>CA-2017-106859_TEC-AC-10004001</v>
      </c>
      <c r="E5559" t="str">
        <f>IF(COUNTIF(data2!$D:$D,D5559)=0,"Missing in Data2","Present")</f>
        <v>Present</v>
      </c>
    </row>
    <row r="5560" spans="1:5" x14ac:dyDescent="0.25">
      <c r="A5560" s="2" t="s">
        <v>4610</v>
      </c>
      <c r="B5560" s="2" t="s">
        <v>365</v>
      </c>
      <c r="C5560" s="2">
        <v>8</v>
      </c>
      <c r="D5560" t="str">
        <f t="shared" si="86"/>
        <v>CA-2017-106859_TEC-PH-10004531</v>
      </c>
      <c r="E5560" t="str">
        <f>IF(COUNTIF(data2!$D:$D,D5560)=0,"Missing in Data2","Present")</f>
        <v>Present</v>
      </c>
    </row>
    <row r="5561" spans="1:5" x14ac:dyDescent="0.25">
      <c r="A5561" s="2" t="s">
        <v>4613</v>
      </c>
      <c r="B5561" s="2" t="s">
        <v>1203</v>
      </c>
      <c r="C5561" s="2">
        <v>2</v>
      </c>
      <c r="D5561" t="str">
        <f t="shared" si="86"/>
        <v>CA-2017-106943_OFF-BI-10003669</v>
      </c>
      <c r="E5561" t="str">
        <f>IF(COUNTIF(data2!$D:$D,D5561)=0,"Missing in Data2","Present")</f>
        <v>Present</v>
      </c>
    </row>
    <row r="5562" spans="1:5" x14ac:dyDescent="0.25">
      <c r="A5562" s="2" t="s">
        <v>4614</v>
      </c>
      <c r="B5562" s="2" t="s">
        <v>152</v>
      </c>
      <c r="C5562" s="2">
        <v>2</v>
      </c>
      <c r="D5562" t="str">
        <f t="shared" si="86"/>
        <v>CA-2017-106964_OFF-BI-10000320</v>
      </c>
      <c r="E5562" t="str">
        <f>IF(COUNTIF(data2!$D:$D,D5562)=0,"Missing in Data2","Present")</f>
        <v>Present</v>
      </c>
    </row>
    <row r="5563" spans="1:5" x14ac:dyDescent="0.25">
      <c r="A5563" s="2" t="s">
        <v>4615</v>
      </c>
      <c r="B5563" s="2" t="s">
        <v>2300</v>
      </c>
      <c r="C5563" s="2">
        <v>3</v>
      </c>
      <c r="D5563" t="str">
        <f t="shared" si="86"/>
        <v>CA-2017-107125_FUR-FU-10000732</v>
      </c>
      <c r="E5563" t="str">
        <f>IF(COUNTIF(data2!$D:$D,D5563)=0,"Missing in Data2","Present")</f>
        <v>Present</v>
      </c>
    </row>
    <row r="5564" spans="1:5" x14ac:dyDescent="0.25">
      <c r="A5564" s="2" t="s">
        <v>4615</v>
      </c>
      <c r="B5564" s="2" t="s">
        <v>1223</v>
      </c>
      <c r="C5564" s="2">
        <v>7</v>
      </c>
      <c r="D5564" t="str">
        <f t="shared" si="86"/>
        <v>CA-2017-107125_OFF-BI-10001989</v>
      </c>
      <c r="E5564" t="str">
        <f>IF(COUNTIF(data2!$D:$D,D5564)=0,"Missing in Data2","Present")</f>
        <v>Present</v>
      </c>
    </row>
    <row r="5565" spans="1:5" x14ac:dyDescent="0.25">
      <c r="A5565" s="2" t="s">
        <v>4616</v>
      </c>
      <c r="B5565" s="2" t="s">
        <v>921</v>
      </c>
      <c r="C5565" s="2">
        <v>2</v>
      </c>
      <c r="D5565" t="str">
        <f t="shared" si="86"/>
        <v>CA-2017-107132_OFF-BI-10001071</v>
      </c>
      <c r="E5565" t="str">
        <f>IF(COUNTIF(data2!$D:$D,D5565)=0,"Missing in Data2","Present")</f>
        <v>Present</v>
      </c>
    </row>
    <row r="5566" spans="1:5" x14ac:dyDescent="0.25">
      <c r="A5566" s="2" t="s">
        <v>4616</v>
      </c>
      <c r="B5566" s="2" t="s">
        <v>2045</v>
      </c>
      <c r="C5566" s="2">
        <v>3</v>
      </c>
      <c r="D5566" t="str">
        <f t="shared" si="86"/>
        <v>CA-2017-107132_OFF-PA-10003790</v>
      </c>
      <c r="E5566" t="str">
        <f>IF(COUNTIF(data2!$D:$D,D5566)=0,"Missing in Data2","Present")</f>
        <v>Present</v>
      </c>
    </row>
    <row r="5567" spans="1:5" x14ac:dyDescent="0.25">
      <c r="A5567" s="2" t="s">
        <v>4616</v>
      </c>
      <c r="B5567" s="2" t="s">
        <v>34</v>
      </c>
      <c r="C5567" s="2">
        <v>4</v>
      </c>
      <c r="D5567" t="str">
        <f t="shared" si="86"/>
        <v>CA-2017-107132_OFF-ST-10001490</v>
      </c>
      <c r="E5567" t="str">
        <f>IF(COUNTIF(data2!$D:$D,D5567)=0,"Missing in Data2","Present")</f>
        <v>Present</v>
      </c>
    </row>
    <row r="5568" spans="1:5" x14ac:dyDescent="0.25">
      <c r="A5568" s="2" t="s">
        <v>4616</v>
      </c>
      <c r="B5568" s="2" t="s">
        <v>4297</v>
      </c>
      <c r="C5568" s="2">
        <v>5</v>
      </c>
      <c r="D5568" t="str">
        <f t="shared" si="86"/>
        <v>CA-2017-107132_OFF-SU-10002503</v>
      </c>
      <c r="E5568" t="str">
        <f>IF(COUNTIF(data2!$D:$D,D5568)=0,"Missing in Data2","Present")</f>
        <v>Present</v>
      </c>
    </row>
    <row r="5569" spans="1:5" x14ac:dyDescent="0.25">
      <c r="A5569" s="2" t="s">
        <v>4617</v>
      </c>
      <c r="B5569" s="2" t="s">
        <v>1127</v>
      </c>
      <c r="C5569" s="2">
        <v>8</v>
      </c>
      <c r="D5569" t="str">
        <f t="shared" si="86"/>
        <v>CA-2017-107167_OFF-ST-10003805</v>
      </c>
      <c r="E5569" t="str">
        <f>IF(COUNTIF(data2!$D:$D,D5569)=0,"Missing in Data2","Present")</f>
        <v>Missing in Data2</v>
      </c>
    </row>
    <row r="5570" spans="1:5" x14ac:dyDescent="0.25">
      <c r="A5570" s="2" t="s">
        <v>4618</v>
      </c>
      <c r="B5570" s="2" t="s">
        <v>2290</v>
      </c>
      <c r="C5570" s="2">
        <v>2</v>
      </c>
      <c r="D5570" t="str">
        <f t="shared" si="86"/>
        <v>CA-2017-107174_FUR-CH-10003312</v>
      </c>
      <c r="E5570" t="str">
        <f>IF(COUNTIF(data2!$D:$D,D5570)=0,"Missing in Data2","Present")</f>
        <v>Present</v>
      </c>
    </row>
    <row r="5571" spans="1:5" x14ac:dyDescent="0.25">
      <c r="A5571" s="2" t="s">
        <v>4618</v>
      </c>
      <c r="B5571" s="2" t="s">
        <v>939</v>
      </c>
      <c r="C5571" s="2">
        <v>7</v>
      </c>
      <c r="D5571" t="str">
        <f t="shared" ref="D5571:D5634" si="87">A5571&amp;"_"&amp;B5571</f>
        <v>CA-2017-107174_FUR-TA-10004575</v>
      </c>
      <c r="E5571" t="str">
        <f>IF(COUNTIF(data2!$D:$D,D5571)=0,"Missing in Data2","Present")</f>
        <v>Present</v>
      </c>
    </row>
    <row r="5572" spans="1:5" x14ac:dyDescent="0.25">
      <c r="A5572" s="2" t="s">
        <v>4618</v>
      </c>
      <c r="B5572" s="2" t="s">
        <v>161</v>
      </c>
      <c r="C5572" s="2">
        <v>3</v>
      </c>
      <c r="D5572" t="str">
        <f t="shared" si="87"/>
        <v>CA-2017-107174_TEC-AC-10001465</v>
      </c>
      <c r="E5572" t="str">
        <f>IF(COUNTIF(data2!$D:$D,D5572)=0,"Missing in Data2","Present")</f>
        <v>Present</v>
      </c>
    </row>
    <row r="5573" spans="1:5" x14ac:dyDescent="0.25">
      <c r="A5573" s="2" t="s">
        <v>4619</v>
      </c>
      <c r="B5573" s="2" t="s">
        <v>370</v>
      </c>
      <c r="C5573" s="2">
        <v>4</v>
      </c>
      <c r="D5573" t="str">
        <f t="shared" si="87"/>
        <v>CA-2017-107209_FUR-CH-10001146</v>
      </c>
      <c r="E5573" t="str">
        <f>IF(COUNTIF(data2!$D:$D,D5573)=0,"Missing in Data2","Present")</f>
        <v>Present</v>
      </c>
    </row>
    <row r="5574" spans="1:5" x14ac:dyDescent="0.25">
      <c r="A5574" s="2" t="s">
        <v>4620</v>
      </c>
      <c r="B5574" s="2" t="s">
        <v>3622</v>
      </c>
      <c r="C5574" s="2">
        <v>4</v>
      </c>
      <c r="D5574" t="str">
        <f t="shared" si="87"/>
        <v>CA-2017-107244_FUR-FU-10002597</v>
      </c>
      <c r="E5574" t="str">
        <f>IF(COUNTIF(data2!$D:$D,D5574)=0,"Missing in Data2","Present")</f>
        <v>Present</v>
      </c>
    </row>
    <row r="5575" spans="1:5" x14ac:dyDescent="0.25">
      <c r="A5575" s="2" t="s">
        <v>4621</v>
      </c>
      <c r="B5575" s="2" t="s">
        <v>433</v>
      </c>
      <c r="C5575" s="2">
        <v>3</v>
      </c>
      <c r="D5575" t="str">
        <f t="shared" si="87"/>
        <v>CA-2017-107265_OFF-PA-10000474</v>
      </c>
      <c r="E5575" t="str">
        <f>IF(COUNTIF(data2!$D:$D,D5575)=0,"Missing in Data2","Present")</f>
        <v>Present</v>
      </c>
    </row>
    <row r="5576" spans="1:5" x14ac:dyDescent="0.25">
      <c r="A5576" s="2" t="s">
        <v>4622</v>
      </c>
      <c r="B5576" s="2" t="s">
        <v>1596</v>
      </c>
      <c r="C5576" s="2">
        <v>1</v>
      </c>
      <c r="D5576" t="str">
        <f t="shared" si="87"/>
        <v>CA-2017-107293_OFF-AR-10003732</v>
      </c>
      <c r="E5576" t="str">
        <f>IF(COUNTIF(data2!$D:$D,D5576)=0,"Missing in Data2","Present")</f>
        <v>Present</v>
      </c>
    </row>
    <row r="5577" spans="1:5" x14ac:dyDescent="0.25">
      <c r="A5577" s="2" t="s">
        <v>4623</v>
      </c>
      <c r="B5577" s="2" t="s">
        <v>960</v>
      </c>
      <c r="C5577" s="2">
        <v>3</v>
      </c>
      <c r="D5577" t="str">
        <f t="shared" si="87"/>
        <v>CA-2017-107314_FUR-FU-10003489</v>
      </c>
      <c r="E5577" t="str">
        <f>IF(COUNTIF(data2!$D:$D,D5577)=0,"Missing in Data2","Present")</f>
        <v>Present</v>
      </c>
    </row>
    <row r="5578" spans="1:5" x14ac:dyDescent="0.25">
      <c r="A5578" s="2" t="s">
        <v>4624</v>
      </c>
      <c r="B5578" s="2" t="s">
        <v>2726</v>
      </c>
      <c r="C5578" s="2">
        <v>3</v>
      </c>
      <c r="D5578" t="str">
        <f t="shared" si="87"/>
        <v>CA-2017-107321_OFF-BI-10004022</v>
      </c>
      <c r="E5578" t="str">
        <f>IF(COUNTIF(data2!$D:$D,D5578)=0,"Missing in Data2","Present")</f>
        <v>Present</v>
      </c>
    </row>
    <row r="5579" spans="1:5" x14ac:dyDescent="0.25">
      <c r="A5579" s="2" t="s">
        <v>4624</v>
      </c>
      <c r="B5579" s="2" t="s">
        <v>2715</v>
      </c>
      <c r="C5579" s="2">
        <v>4</v>
      </c>
      <c r="D5579" t="str">
        <f t="shared" si="87"/>
        <v>CA-2017-107321_TEC-PH-10002200</v>
      </c>
      <c r="E5579" t="str">
        <f>IF(COUNTIF(data2!$D:$D,D5579)=0,"Missing in Data2","Present")</f>
        <v>Present</v>
      </c>
    </row>
    <row r="5580" spans="1:5" x14ac:dyDescent="0.25">
      <c r="A5580" s="2" t="s">
        <v>4625</v>
      </c>
      <c r="B5580" s="2" t="s">
        <v>3913</v>
      </c>
      <c r="C5580" s="2">
        <v>4</v>
      </c>
      <c r="D5580" t="str">
        <f t="shared" si="87"/>
        <v>CA-2017-107342_OFF-PA-10001745</v>
      </c>
      <c r="E5580" t="str">
        <f>IF(COUNTIF(data2!$D:$D,D5580)=0,"Missing in Data2","Present")</f>
        <v>Present</v>
      </c>
    </row>
    <row r="5581" spans="1:5" x14ac:dyDescent="0.25">
      <c r="A5581" s="2" t="s">
        <v>4626</v>
      </c>
      <c r="B5581" s="2" t="s">
        <v>2819</v>
      </c>
      <c r="C5581" s="2">
        <v>6</v>
      </c>
      <c r="D5581" t="str">
        <f t="shared" si="87"/>
        <v>CA-2017-107461_OFF-BI-10002003</v>
      </c>
      <c r="E5581" t="str">
        <f>IF(COUNTIF(data2!$D:$D,D5581)=0,"Missing in Data2","Present")</f>
        <v>Present</v>
      </c>
    </row>
    <row r="5582" spans="1:5" x14ac:dyDescent="0.25">
      <c r="A5582" s="2" t="s">
        <v>4627</v>
      </c>
      <c r="B5582" s="2" t="s">
        <v>1276</v>
      </c>
      <c r="C5582" s="2">
        <v>4</v>
      </c>
      <c r="D5582" t="str">
        <f t="shared" si="87"/>
        <v>CA-2017-107503_FUR-FU-10003878</v>
      </c>
      <c r="E5582" t="str">
        <f>IF(COUNTIF(data2!$D:$D,D5582)=0,"Missing in Data2","Present")</f>
        <v>Present</v>
      </c>
    </row>
    <row r="5583" spans="1:5" x14ac:dyDescent="0.25">
      <c r="A5583" s="2" t="s">
        <v>4628</v>
      </c>
      <c r="B5583" s="2" t="s">
        <v>2327</v>
      </c>
      <c r="C5583" s="2">
        <v>5</v>
      </c>
      <c r="D5583" t="str">
        <f t="shared" si="87"/>
        <v>CA-2017-107517_OFF-AP-10000275</v>
      </c>
      <c r="E5583" t="str">
        <f>IF(COUNTIF(data2!$D:$D,D5583)=0,"Missing in Data2","Present")</f>
        <v>Present</v>
      </c>
    </row>
    <row r="5584" spans="1:5" x14ac:dyDescent="0.25">
      <c r="A5584" s="2" t="s">
        <v>4628</v>
      </c>
      <c r="B5584" s="2" t="s">
        <v>139</v>
      </c>
      <c r="C5584" s="2">
        <v>5</v>
      </c>
      <c r="D5584" t="str">
        <f t="shared" si="87"/>
        <v>CA-2017-107517_TEC-PH-10003505</v>
      </c>
      <c r="E5584" t="str">
        <f>IF(COUNTIF(data2!$D:$D,D5584)=0,"Missing in Data2","Present")</f>
        <v>Present</v>
      </c>
    </row>
    <row r="5585" spans="1:5" x14ac:dyDescent="0.25">
      <c r="A5585" s="2" t="s">
        <v>4629</v>
      </c>
      <c r="B5585" s="2" t="s">
        <v>610</v>
      </c>
      <c r="C5585" s="2">
        <v>1</v>
      </c>
      <c r="D5585" t="str">
        <f t="shared" si="87"/>
        <v>CA-2017-107552_OFF-PA-10002947</v>
      </c>
      <c r="E5585" t="str">
        <f>IF(COUNTIF(data2!$D:$D,D5585)=0,"Missing in Data2","Present")</f>
        <v>Present</v>
      </c>
    </row>
    <row r="5586" spans="1:5" x14ac:dyDescent="0.25">
      <c r="A5586" s="2" t="s">
        <v>4630</v>
      </c>
      <c r="B5586" s="2" t="s">
        <v>1802</v>
      </c>
      <c r="C5586" s="2">
        <v>6</v>
      </c>
      <c r="D5586" t="str">
        <f t="shared" si="87"/>
        <v>CA-2017-107629_FUR-FU-10002298</v>
      </c>
      <c r="E5586" t="str">
        <f>IF(COUNTIF(data2!$D:$D,D5586)=0,"Missing in Data2","Present")</f>
        <v>Present</v>
      </c>
    </row>
    <row r="5587" spans="1:5" x14ac:dyDescent="0.25">
      <c r="A5587" s="2" t="s">
        <v>4630</v>
      </c>
      <c r="B5587" s="2" t="s">
        <v>118</v>
      </c>
      <c r="C5587" s="2">
        <v>3</v>
      </c>
      <c r="D5587" t="str">
        <f t="shared" si="87"/>
        <v>CA-2017-107629_FUR-FU-10004091</v>
      </c>
      <c r="E5587" t="str">
        <f>IF(COUNTIF(data2!$D:$D,D5587)=0,"Missing in Data2","Present")</f>
        <v>Present</v>
      </c>
    </row>
    <row r="5588" spans="1:5" x14ac:dyDescent="0.25">
      <c r="A5588" s="2" t="s">
        <v>4630</v>
      </c>
      <c r="B5588" s="2" t="s">
        <v>1270</v>
      </c>
      <c r="C5588" s="2">
        <v>6</v>
      </c>
      <c r="D5588" t="str">
        <f t="shared" si="87"/>
        <v>CA-2017-107629_OFF-AR-10002987</v>
      </c>
      <c r="E5588" t="str">
        <f>IF(COUNTIF(data2!$D:$D,D5588)=0,"Missing in Data2","Present")</f>
        <v>Missing in Data2</v>
      </c>
    </row>
    <row r="5589" spans="1:5" x14ac:dyDescent="0.25">
      <c r="A5589" s="2" t="s">
        <v>4630</v>
      </c>
      <c r="B5589" s="2" t="s">
        <v>676</v>
      </c>
      <c r="C5589" s="2">
        <v>3</v>
      </c>
      <c r="D5589" t="str">
        <f t="shared" si="87"/>
        <v>CA-2017-107629_TEC-AC-10004510</v>
      </c>
      <c r="E5589" t="str">
        <f>IF(COUNTIF(data2!$D:$D,D5589)=0,"Missing in Data2","Present")</f>
        <v>Present</v>
      </c>
    </row>
    <row r="5590" spans="1:5" x14ac:dyDescent="0.25">
      <c r="A5590" s="2" t="s">
        <v>4631</v>
      </c>
      <c r="B5590" s="2" t="s">
        <v>637</v>
      </c>
      <c r="C5590" s="2">
        <v>3</v>
      </c>
      <c r="D5590" t="str">
        <f t="shared" si="87"/>
        <v>CA-2017-107713_OFF-BI-10002026</v>
      </c>
      <c r="E5590" t="str">
        <f>IF(COUNTIF(data2!$D:$D,D5590)=0,"Missing in Data2","Present")</f>
        <v>Present</v>
      </c>
    </row>
    <row r="5591" spans="1:5" x14ac:dyDescent="0.25">
      <c r="A5591" s="2" t="s">
        <v>4632</v>
      </c>
      <c r="B5591" s="2" t="s">
        <v>4633</v>
      </c>
      <c r="C5591" s="2">
        <v>3</v>
      </c>
      <c r="D5591" t="str">
        <f t="shared" si="87"/>
        <v>CA-2017-107720_OFF-ST-10001414</v>
      </c>
      <c r="E5591" t="str">
        <f>IF(COUNTIF(data2!$D:$D,D5591)=0,"Missing in Data2","Present")</f>
        <v>Present</v>
      </c>
    </row>
    <row r="5592" spans="1:5" x14ac:dyDescent="0.25">
      <c r="A5592" s="2" t="s">
        <v>4634</v>
      </c>
      <c r="B5592" s="2" t="s">
        <v>2455</v>
      </c>
      <c r="C5592" s="2">
        <v>3</v>
      </c>
      <c r="D5592" t="str">
        <f t="shared" si="87"/>
        <v>CA-2017-107727_OFF-PA-10000249</v>
      </c>
      <c r="E5592" t="str">
        <f>IF(COUNTIF(data2!$D:$D,D5592)=0,"Missing in Data2","Present")</f>
        <v>Present</v>
      </c>
    </row>
    <row r="5593" spans="1:5" x14ac:dyDescent="0.25">
      <c r="A5593" s="2" t="s">
        <v>4635</v>
      </c>
      <c r="B5593" s="2" t="s">
        <v>572</v>
      </c>
      <c r="C5593" s="2">
        <v>2</v>
      </c>
      <c r="D5593" t="str">
        <f t="shared" si="87"/>
        <v>CA-2017-107748_OFF-PA-10002005</v>
      </c>
      <c r="E5593" t="str">
        <f>IF(COUNTIF(data2!$D:$D,D5593)=0,"Missing in Data2","Present")</f>
        <v>Present</v>
      </c>
    </row>
    <row r="5594" spans="1:5" x14ac:dyDescent="0.25">
      <c r="A5594" s="2" t="s">
        <v>4635</v>
      </c>
      <c r="B5594" s="2" t="s">
        <v>1934</v>
      </c>
      <c r="C5594" s="2">
        <v>4</v>
      </c>
      <c r="D5594" t="str">
        <f t="shared" si="87"/>
        <v>CA-2017-107748_TEC-PH-10003215</v>
      </c>
      <c r="E5594" t="str">
        <f>IF(COUNTIF(data2!$D:$D,D5594)=0,"Missing in Data2","Present")</f>
        <v>Present</v>
      </c>
    </row>
    <row r="5595" spans="1:5" x14ac:dyDescent="0.25">
      <c r="A5595" s="2" t="s">
        <v>4636</v>
      </c>
      <c r="B5595" s="2" t="s">
        <v>3306</v>
      </c>
      <c r="C5595" s="2">
        <v>2</v>
      </c>
      <c r="D5595" t="str">
        <f t="shared" si="87"/>
        <v>CA-2017-107825_FUR-FU-10000206</v>
      </c>
      <c r="E5595" t="str">
        <f>IF(COUNTIF(data2!$D:$D,D5595)=0,"Missing in Data2","Present")</f>
        <v>Present</v>
      </c>
    </row>
    <row r="5596" spans="1:5" x14ac:dyDescent="0.25">
      <c r="A5596" s="2" t="s">
        <v>4636</v>
      </c>
      <c r="B5596" s="2" t="s">
        <v>114</v>
      </c>
      <c r="C5596" s="2">
        <v>2</v>
      </c>
      <c r="D5596" t="str">
        <f t="shared" si="87"/>
        <v>CA-2017-107825_OFF-LA-10003720</v>
      </c>
      <c r="E5596" t="str">
        <f>IF(COUNTIF(data2!$D:$D,D5596)=0,"Missing in Data2","Present")</f>
        <v>Present</v>
      </c>
    </row>
    <row r="5597" spans="1:5" x14ac:dyDescent="0.25">
      <c r="A5597" s="2" t="s">
        <v>4636</v>
      </c>
      <c r="B5597" s="2" t="s">
        <v>202</v>
      </c>
      <c r="C5597" s="2">
        <v>1</v>
      </c>
      <c r="D5597" t="str">
        <f t="shared" si="87"/>
        <v>CA-2017-107825_OFF-ST-10000777</v>
      </c>
      <c r="E5597" t="str">
        <f>IF(COUNTIF(data2!$D:$D,D5597)=0,"Missing in Data2","Present")</f>
        <v>Present</v>
      </c>
    </row>
    <row r="5598" spans="1:5" x14ac:dyDescent="0.25">
      <c r="A5598" s="2" t="s">
        <v>4636</v>
      </c>
      <c r="B5598" s="2" t="s">
        <v>269</v>
      </c>
      <c r="C5598" s="2">
        <v>6</v>
      </c>
      <c r="D5598" t="str">
        <f t="shared" si="87"/>
        <v>CA-2017-107825_OFF-ST-10001321</v>
      </c>
      <c r="E5598" t="str">
        <f>IF(COUNTIF(data2!$D:$D,D5598)=0,"Missing in Data2","Present")</f>
        <v>Present</v>
      </c>
    </row>
    <row r="5599" spans="1:5" x14ac:dyDescent="0.25">
      <c r="A5599" s="2" t="s">
        <v>4637</v>
      </c>
      <c r="B5599" s="2" t="s">
        <v>190</v>
      </c>
      <c r="C5599" s="2">
        <v>1</v>
      </c>
      <c r="D5599" t="str">
        <f t="shared" si="87"/>
        <v>CA-2017-107832_OFF-BI-10001658</v>
      </c>
      <c r="E5599" t="str">
        <f>IF(COUNTIF(data2!$D:$D,D5599)=0,"Missing in Data2","Present")</f>
        <v>Present</v>
      </c>
    </row>
    <row r="5600" spans="1:5" x14ac:dyDescent="0.25">
      <c r="A5600" s="2" t="s">
        <v>4638</v>
      </c>
      <c r="B5600" s="2" t="s">
        <v>3228</v>
      </c>
      <c r="C5600" s="2">
        <v>2</v>
      </c>
      <c r="D5600" t="str">
        <f t="shared" si="87"/>
        <v>CA-2017-107853_OFF-PA-10000520</v>
      </c>
      <c r="E5600" t="str">
        <f>IF(COUNTIF(data2!$D:$D,D5600)=0,"Missing in Data2","Present")</f>
        <v>Present</v>
      </c>
    </row>
    <row r="5601" spans="1:5" x14ac:dyDescent="0.25">
      <c r="A5601" s="2" t="s">
        <v>4639</v>
      </c>
      <c r="B5601" s="2" t="s">
        <v>2746</v>
      </c>
      <c r="C5601" s="2">
        <v>1</v>
      </c>
      <c r="D5601" t="str">
        <f t="shared" si="87"/>
        <v>CA-2017-107874_FUR-FU-10003535</v>
      </c>
      <c r="E5601" t="str">
        <f>IF(COUNTIF(data2!$D:$D,D5601)=0,"Missing in Data2","Present")</f>
        <v>Present</v>
      </c>
    </row>
    <row r="5602" spans="1:5" x14ac:dyDescent="0.25">
      <c r="A5602" s="2" t="s">
        <v>4640</v>
      </c>
      <c r="B5602" s="2" t="s">
        <v>609</v>
      </c>
      <c r="C5602" s="2">
        <v>5</v>
      </c>
      <c r="D5602" t="str">
        <f t="shared" si="87"/>
        <v>CA-2017-107909_OFF-BI-10003476</v>
      </c>
      <c r="E5602" t="str">
        <f>IF(COUNTIF(data2!$D:$D,D5602)=0,"Missing in Data2","Present")</f>
        <v>Missing in Data2</v>
      </c>
    </row>
    <row r="5603" spans="1:5" x14ac:dyDescent="0.25">
      <c r="A5603" s="2" t="s">
        <v>4640</v>
      </c>
      <c r="B5603" s="2" t="s">
        <v>2525</v>
      </c>
      <c r="C5603" s="2">
        <v>1</v>
      </c>
      <c r="D5603" t="str">
        <f t="shared" si="87"/>
        <v>CA-2017-107909_TEC-AC-10001998</v>
      </c>
      <c r="E5603" t="str">
        <f>IF(COUNTIF(data2!$D:$D,D5603)=0,"Missing in Data2","Present")</f>
        <v>Present</v>
      </c>
    </row>
    <row r="5604" spans="1:5" x14ac:dyDescent="0.25">
      <c r="A5604" s="2" t="s">
        <v>4641</v>
      </c>
      <c r="B5604" s="2" t="s">
        <v>126</v>
      </c>
      <c r="C5604" s="2">
        <v>4</v>
      </c>
      <c r="D5604" t="str">
        <f t="shared" si="87"/>
        <v>CA-2017-107958_OFF-BI-10001787</v>
      </c>
      <c r="E5604" t="str">
        <f>IF(COUNTIF(data2!$D:$D,D5604)=0,"Missing in Data2","Present")</f>
        <v>Present</v>
      </c>
    </row>
    <row r="5605" spans="1:5" x14ac:dyDescent="0.25">
      <c r="A5605" s="2" t="s">
        <v>4641</v>
      </c>
      <c r="B5605" s="2" t="s">
        <v>41</v>
      </c>
      <c r="C5605" s="2">
        <v>5</v>
      </c>
      <c r="D5605" t="str">
        <f t="shared" si="87"/>
        <v>CA-2017-107958_OFF-PA-10000357</v>
      </c>
      <c r="E5605" t="str">
        <f>IF(COUNTIF(data2!$D:$D,D5605)=0,"Missing in Data2","Present")</f>
        <v>Present</v>
      </c>
    </row>
    <row r="5606" spans="1:5" x14ac:dyDescent="0.25">
      <c r="A5606" s="2" t="s">
        <v>4642</v>
      </c>
      <c r="B5606" s="2" t="s">
        <v>2467</v>
      </c>
      <c r="C5606" s="2">
        <v>3</v>
      </c>
      <c r="D5606" t="str">
        <f t="shared" si="87"/>
        <v>CA-2017-107986_OFF-ST-10001325</v>
      </c>
      <c r="E5606" t="str">
        <f>IF(COUNTIF(data2!$D:$D,D5606)=0,"Missing in Data2","Present")</f>
        <v>Present</v>
      </c>
    </row>
    <row r="5607" spans="1:5" x14ac:dyDescent="0.25">
      <c r="A5607" s="2" t="s">
        <v>4643</v>
      </c>
      <c r="B5607" s="2" t="s">
        <v>1612</v>
      </c>
      <c r="C5607" s="2">
        <v>1</v>
      </c>
      <c r="D5607" t="str">
        <f t="shared" si="87"/>
        <v>CA-2017-108000_OFF-EN-10002621</v>
      </c>
      <c r="E5607" t="str">
        <f>IF(COUNTIF(data2!$D:$D,D5607)=0,"Missing in Data2","Present")</f>
        <v>Present</v>
      </c>
    </row>
    <row r="5608" spans="1:5" x14ac:dyDescent="0.25">
      <c r="A5608" s="2" t="s">
        <v>4644</v>
      </c>
      <c r="B5608" s="2" t="s">
        <v>297</v>
      </c>
      <c r="C5608" s="2">
        <v>2</v>
      </c>
      <c r="D5608" t="str">
        <f t="shared" si="87"/>
        <v>CA-2017-108035_FUR-CH-10000454</v>
      </c>
      <c r="E5608" t="str">
        <f>IF(COUNTIF(data2!$D:$D,D5608)=0,"Missing in Data2","Present")</f>
        <v>Present</v>
      </c>
    </row>
    <row r="5609" spans="1:5" x14ac:dyDescent="0.25">
      <c r="A5609" s="2" t="s">
        <v>4644</v>
      </c>
      <c r="B5609" s="2" t="s">
        <v>1830</v>
      </c>
      <c r="C5609" s="2">
        <v>5</v>
      </c>
      <c r="D5609" t="str">
        <f t="shared" si="87"/>
        <v>CA-2017-108035_FUR-FU-10004017</v>
      </c>
      <c r="E5609" t="str">
        <f>IF(COUNTIF(data2!$D:$D,D5609)=0,"Missing in Data2","Present")</f>
        <v>Present</v>
      </c>
    </row>
    <row r="5610" spans="1:5" x14ac:dyDescent="0.25">
      <c r="A5610" s="2" t="s">
        <v>4645</v>
      </c>
      <c r="B5610" s="2" t="s">
        <v>69</v>
      </c>
      <c r="C5610" s="2">
        <v>1</v>
      </c>
      <c r="D5610" t="str">
        <f t="shared" si="87"/>
        <v>CA-2017-108070_FUR-BO-10001337</v>
      </c>
      <c r="E5610" t="str">
        <f>IF(COUNTIF(data2!$D:$D,D5610)=0,"Missing in Data2","Present")</f>
        <v>Present</v>
      </c>
    </row>
    <row r="5611" spans="1:5" x14ac:dyDescent="0.25">
      <c r="A5611" s="2" t="s">
        <v>4645</v>
      </c>
      <c r="B5611" s="2" t="s">
        <v>2460</v>
      </c>
      <c r="C5611" s="2">
        <v>4</v>
      </c>
      <c r="D5611" t="str">
        <f t="shared" si="87"/>
        <v>CA-2017-108070_OFF-ST-10004804</v>
      </c>
      <c r="E5611" t="str">
        <f>IF(COUNTIF(data2!$D:$D,D5611)=0,"Missing in Data2","Present")</f>
        <v>Present</v>
      </c>
    </row>
    <row r="5612" spans="1:5" x14ac:dyDescent="0.25">
      <c r="A5612" s="2" t="s">
        <v>4646</v>
      </c>
      <c r="B5612" s="2" t="s">
        <v>4301</v>
      </c>
      <c r="C5612" s="2">
        <v>4</v>
      </c>
      <c r="D5612" t="str">
        <f t="shared" si="87"/>
        <v>CA-2017-108091_OFF-AR-10000255</v>
      </c>
      <c r="E5612" t="str">
        <f>IF(COUNTIF(data2!$D:$D,D5612)=0,"Missing in Data2","Present")</f>
        <v>Present</v>
      </c>
    </row>
    <row r="5613" spans="1:5" x14ac:dyDescent="0.25">
      <c r="A5613" s="2" t="s">
        <v>4647</v>
      </c>
      <c r="B5613" s="2" t="s">
        <v>769</v>
      </c>
      <c r="C5613" s="2">
        <v>4</v>
      </c>
      <c r="D5613" t="str">
        <f t="shared" si="87"/>
        <v>CA-2017-108112_FUR-FU-10003553</v>
      </c>
      <c r="E5613" t="str">
        <f>IF(COUNTIF(data2!$D:$D,D5613)=0,"Missing in Data2","Present")</f>
        <v>Present</v>
      </c>
    </row>
    <row r="5614" spans="1:5" x14ac:dyDescent="0.25">
      <c r="A5614" s="2" t="s">
        <v>4648</v>
      </c>
      <c r="B5614" s="2" t="s">
        <v>564</v>
      </c>
      <c r="C5614" s="2">
        <v>9</v>
      </c>
      <c r="D5614" t="str">
        <f t="shared" si="87"/>
        <v>CA-2017-108287_OFF-AR-10001315</v>
      </c>
      <c r="E5614" t="str">
        <f>IF(COUNTIF(data2!$D:$D,D5614)=0,"Missing in Data2","Present")</f>
        <v>Missing in Data2</v>
      </c>
    </row>
    <row r="5615" spans="1:5" x14ac:dyDescent="0.25">
      <c r="A5615" s="2" t="s">
        <v>4649</v>
      </c>
      <c r="B5615" s="2" t="s">
        <v>1686</v>
      </c>
      <c r="C5615" s="2">
        <v>3</v>
      </c>
      <c r="D5615" t="str">
        <f t="shared" si="87"/>
        <v>CA-2017-108294_OFF-BI-10004965</v>
      </c>
      <c r="E5615" t="str">
        <f>IF(COUNTIF(data2!$D:$D,D5615)=0,"Missing in Data2","Present")</f>
        <v>Present</v>
      </c>
    </row>
    <row r="5616" spans="1:5" x14ac:dyDescent="0.25">
      <c r="A5616" s="2" t="s">
        <v>4650</v>
      </c>
      <c r="B5616" s="2" t="s">
        <v>2317</v>
      </c>
      <c r="C5616" s="2">
        <v>8</v>
      </c>
      <c r="D5616" t="str">
        <f t="shared" si="87"/>
        <v>CA-2017-108322_FUR-FU-10001935</v>
      </c>
      <c r="E5616" t="str">
        <f>IF(COUNTIF(data2!$D:$D,D5616)=0,"Missing in Data2","Present")</f>
        <v>Present</v>
      </c>
    </row>
    <row r="5617" spans="1:5" x14ac:dyDescent="0.25">
      <c r="A5617" s="2" t="s">
        <v>4650</v>
      </c>
      <c r="B5617" s="2" t="s">
        <v>1753</v>
      </c>
      <c r="C5617" s="2">
        <v>3</v>
      </c>
      <c r="D5617" t="str">
        <f t="shared" si="87"/>
        <v>CA-2017-108322_TEC-AC-10003433</v>
      </c>
      <c r="E5617" t="str">
        <f>IF(COUNTIF(data2!$D:$D,D5617)=0,"Missing in Data2","Present")</f>
        <v>Present</v>
      </c>
    </row>
    <row r="5618" spans="1:5" x14ac:dyDescent="0.25">
      <c r="A5618" s="2" t="s">
        <v>4651</v>
      </c>
      <c r="B5618" s="2" t="s">
        <v>4165</v>
      </c>
      <c r="C5618" s="2">
        <v>4</v>
      </c>
      <c r="D5618" t="str">
        <f t="shared" si="87"/>
        <v>CA-2017-108329_TEC-PH-10001918</v>
      </c>
      <c r="E5618" t="str">
        <f>IF(COUNTIF(data2!$D:$D,D5618)=0,"Missing in Data2","Present")</f>
        <v>Present</v>
      </c>
    </row>
    <row r="5619" spans="1:5" x14ac:dyDescent="0.25">
      <c r="A5619" s="2" t="s">
        <v>4652</v>
      </c>
      <c r="B5619" s="2" t="s">
        <v>2239</v>
      </c>
      <c r="C5619" s="2">
        <v>3</v>
      </c>
      <c r="D5619" t="str">
        <f t="shared" si="87"/>
        <v>CA-2017-108441_OFF-AR-10004691</v>
      </c>
      <c r="E5619" t="str">
        <f>IF(COUNTIF(data2!$D:$D,D5619)=0,"Missing in Data2","Present")</f>
        <v>Present</v>
      </c>
    </row>
    <row r="5620" spans="1:5" x14ac:dyDescent="0.25">
      <c r="A5620" s="2" t="s">
        <v>4652</v>
      </c>
      <c r="B5620" s="2" t="s">
        <v>1906</v>
      </c>
      <c r="C5620" s="2">
        <v>3</v>
      </c>
      <c r="D5620" t="str">
        <f t="shared" si="87"/>
        <v>CA-2017-108441_OFF-BI-10000848</v>
      </c>
      <c r="E5620" t="str">
        <f>IF(COUNTIF(data2!$D:$D,D5620)=0,"Missing in Data2","Present")</f>
        <v>Present</v>
      </c>
    </row>
    <row r="5621" spans="1:5" x14ac:dyDescent="0.25">
      <c r="A5621" s="2" t="s">
        <v>4652</v>
      </c>
      <c r="B5621" s="2" t="s">
        <v>3806</v>
      </c>
      <c r="C5621" s="2">
        <v>4</v>
      </c>
      <c r="D5621" t="str">
        <f t="shared" si="87"/>
        <v>CA-2017-108441_OFF-PA-10000697</v>
      </c>
      <c r="E5621" t="str">
        <f>IF(COUNTIF(data2!$D:$D,D5621)=0,"Missing in Data2","Present")</f>
        <v>Present</v>
      </c>
    </row>
    <row r="5622" spans="1:5" x14ac:dyDescent="0.25">
      <c r="A5622" s="2" t="s">
        <v>4653</v>
      </c>
      <c r="B5622" s="2" t="s">
        <v>773</v>
      </c>
      <c r="C5622" s="2">
        <v>2</v>
      </c>
      <c r="D5622" t="str">
        <f t="shared" si="87"/>
        <v>CA-2017-108539_OFF-BI-10001031</v>
      </c>
      <c r="E5622" t="str">
        <f>IF(COUNTIF(data2!$D:$D,D5622)=0,"Missing in Data2","Present")</f>
        <v>Present</v>
      </c>
    </row>
    <row r="5623" spans="1:5" x14ac:dyDescent="0.25">
      <c r="A5623" s="2" t="s">
        <v>4653</v>
      </c>
      <c r="B5623" s="2" t="s">
        <v>1105</v>
      </c>
      <c r="C5623" s="2">
        <v>3</v>
      </c>
      <c r="D5623" t="str">
        <f t="shared" si="87"/>
        <v>CA-2017-108539_OFF-BI-10003981</v>
      </c>
      <c r="E5623" t="str">
        <f>IF(COUNTIF(data2!$D:$D,D5623)=0,"Missing in Data2","Present")</f>
        <v>Present</v>
      </c>
    </row>
    <row r="5624" spans="1:5" x14ac:dyDescent="0.25">
      <c r="A5624" s="2" t="s">
        <v>4653</v>
      </c>
      <c r="B5624" s="2" t="s">
        <v>550</v>
      </c>
      <c r="C5624" s="2">
        <v>4</v>
      </c>
      <c r="D5624" t="str">
        <f t="shared" si="87"/>
        <v>CA-2017-108539_OFF-ST-10003208</v>
      </c>
      <c r="E5624" t="str">
        <f>IF(COUNTIF(data2!$D:$D,D5624)=0,"Missing in Data2","Present")</f>
        <v>Present</v>
      </c>
    </row>
    <row r="5625" spans="1:5" x14ac:dyDescent="0.25">
      <c r="A5625" s="2" t="s">
        <v>4654</v>
      </c>
      <c r="B5625" s="2" t="s">
        <v>1975</v>
      </c>
      <c r="C5625" s="2">
        <v>2</v>
      </c>
      <c r="D5625" t="str">
        <f t="shared" si="87"/>
        <v>CA-2017-108553_OFF-AP-10000026</v>
      </c>
      <c r="E5625" t="str">
        <f>IF(COUNTIF(data2!$D:$D,D5625)=0,"Missing in Data2","Present")</f>
        <v>Present</v>
      </c>
    </row>
    <row r="5626" spans="1:5" x14ac:dyDescent="0.25">
      <c r="A5626" s="2" t="s">
        <v>4654</v>
      </c>
      <c r="B5626" s="2" t="s">
        <v>1948</v>
      </c>
      <c r="C5626" s="2">
        <v>7</v>
      </c>
      <c r="D5626" t="str">
        <f t="shared" si="87"/>
        <v>CA-2017-108553_OFF-SU-10002573</v>
      </c>
      <c r="E5626" t="str">
        <f>IF(COUNTIF(data2!$D:$D,D5626)=0,"Missing in Data2","Present")</f>
        <v>Present</v>
      </c>
    </row>
    <row r="5627" spans="1:5" x14ac:dyDescent="0.25">
      <c r="A5627" s="2" t="s">
        <v>4655</v>
      </c>
      <c r="B5627" s="2" t="s">
        <v>2850</v>
      </c>
      <c r="C5627" s="2">
        <v>2</v>
      </c>
      <c r="D5627" t="str">
        <f t="shared" si="87"/>
        <v>CA-2017-108560_FUR-FU-10002937</v>
      </c>
      <c r="E5627" t="str">
        <f>IF(COUNTIF(data2!$D:$D,D5627)=0,"Missing in Data2","Present")</f>
        <v>Present</v>
      </c>
    </row>
    <row r="5628" spans="1:5" x14ac:dyDescent="0.25">
      <c r="A5628" s="2" t="s">
        <v>4655</v>
      </c>
      <c r="B5628" s="2" t="s">
        <v>534</v>
      </c>
      <c r="C5628" s="2">
        <v>2</v>
      </c>
      <c r="D5628" t="str">
        <f t="shared" si="87"/>
        <v>CA-2017-108560_OFF-BI-10001107</v>
      </c>
      <c r="E5628" t="str">
        <f>IF(COUNTIF(data2!$D:$D,D5628)=0,"Missing in Data2","Present")</f>
        <v>Present</v>
      </c>
    </row>
    <row r="5629" spans="1:5" x14ac:dyDescent="0.25">
      <c r="A5629" s="2" t="s">
        <v>4655</v>
      </c>
      <c r="B5629" s="2" t="s">
        <v>24</v>
      </c>
      <c r="C5629" s="2">
        <v>8</v>
      </c>
      <c r="D5629" t="str">
        <f t="shared" si="87"/>
        <v>CA-2017-108560_OFF-LA-10003930</v>
      </c>
      <c r="E5629" t="str">
        <f>IF(COUNTIF(data2!$D:$D,D5629)=0,"Missing in Data2","Present")</f>
        <v>Present</v>
      </c>
    </row>
    <row r="5630" spans="1:5" x14ac:dyDescent="0.25">
      <c r="A5630" s="2" t="s">
        <v>4655</v>
      </c>
      <c r="B5630" s="2" t="s">
        <v>2389</v>
      </c>
      <c r="C5630" s="2">
        <v>2</v>
      </c>
      <c r="D5630" t="str">
        <f t="shared" si="87"/>
        <v>CA-2017-108560_TEC-AC-10003063</v>
      </c>
      <c r="E5630" t="str">
        <f>IF(COUNTIF(data2!$D:$D,D5630)=0,"Missing in Data2","Present")</f>
        <v>Present</v>
      </c>
    </row>
    <row r="5631" spans="1:5" x14ac:dyDescent="0.25">
      <c r="A5631" s="2" t="s">
        <v>4656</v>
      </c>
      <c r="B5631" s="2" t="s">
        <v>1053</v>
      </c>
      <c r="C5631" s="2">
        <v>9</v>
      </c>
      <c r="D5631" t="str">
        <f t="shared" si="87"/>
        <v>CA-2017-108574_TEC-AC-10002049</v>
      </c>
      <c r="E5631" t="str">
        <f>IF(COUNTIF(data2!$D:$D,D5631)=0,"Missing in Data2","Present")</f>
        <v>Present</v>
      </c>
    </row>
    <row r="5632" spans="1:5" x14ac:dyDescent="0.25">
      <c r="A5632" s="2" t="s">
        <v>4656</v>
      </c>
      <c r="B5632" s="2" t="s">
        <v>704</v>
      </c>
      <c r="C5632" s="2">
        <v>10</v>
      </c>
      <c r="D5632" t="str">
        <f t="shared" si="87"/>
        <v>CA-2017-108574_TEC-PH-10000702</v>
      </c>
      <c r="E5632" t="str">
        <f>IF(COUNTIF(data2!$D:$D,D5632)=0,"Missing in Data2","Present")</f>
        <v>Present</v>
      </c>
    </row>
    <row r="5633" spans="1:5" x14ac:dyDescent="0.25">
      <c r="A5633" s="2" t="s">
        <v>4656</v>
      </c>
      <c r="B5633" s="2" t="s">
        <v>2452</v>
      </c>
      <c r="C5633" s="2">
        <v>7</v>
      </c>
      <c r="D5633" t="str">
        <f t="shared" si="87"/>
        <v>CA-2017-108574_TEC-PH-10003555</v>
      </c>
      <c r="E5633" t="str">
        <f>IF(COUNTIF(data2!$D:$D,D5633)=0,"Missing in Data2","Present")</f>
        <v>Present</v>
      </c>
    </row>
    <row r="5634" spans="1:5" x14ac:dyDescent="0.25">
      <c r="A5634" s="2" t="s">
        <v>4657</v>
      </c>
      <c r="B5634" s="2" t="s">
        <v>2040</v>
      </c>
      <c r="C5634" s="2">
        <v>3</v>
      </c>
      <c r="D5634" t="str">
        <f t="shared" si="87"/>
        <v>CA-2017-108749_OFF-BI-10003707</v>
      </c>
      <c r="E5634" t="str">
        <f>IF(COUNTIF(data2!$D:$D,D5634)=0,"Missing in Data2","Present")</f>
        <v>Present</v>
      </c>
    </row>
    <row r="5635" spans="1:5" x14ac:dyDescent="0.25">
      <c r="A5635" s="2" t="s">
        <v>4657</v>
      </c>
      <c r="B5635" s="2" t="s">
        <v>1405</v>
      </c>
      <c r="C5635" s="2">
        <v>7</v>
      </c>
      <c r="D5635" t="str">
        <f t="shared" ref="D5635:D5698" si="88">A5635&amp;"_"&amp;B5635</f>
        <v>CA-2017-108749_OFF-PA-10003797</v>
      </c>
      <c r="E5635" t="str">
        <f>IF(COUNTIF(data2!$D:$D,D5635)=0,"Missing in Data2","Present")</f>
        <v>Present</v>
      </c>
    </row>
    <row r="5636" spans="1:5" x14ac:dyDescent="0.25">
      <c r="A5636" s="2" t="s">
        <v>4658</v>
      </c>
      <c r="B5636" s="2" t="s">
        <v>2128</v>
      </c>
      <c r="C5636" s="2">
        <v>3</v>
      </c>
      <c r="D5636" t="str">
        <f t="shared" si="88"/>
        <v>CA-2017-108756_TEC-AC-10003237</v>
      </c>
      <c r="E5636" t="str">
        <f>IF(COUNTIF(data2!$D:$D,D5636)=0,"Missing in Data2","Present")</f>
        <v>Present</v>
      </c>
    </row>
    <row r="5637" spans="1:5" x14ac:dyDescent="0.25">
      <c r="A5637" s="2" t="s">
        <v>4659</v>
      </c>
      <c r="B5637" s="2" t="s">
        <v>278</v>
      </c>
      <c r="C5637" s="2">
        <v>1</v>
      </c>
      <c r="D5637" t="str">
        <f t="shared" si="88"/>
        <v>CA-2017-108791_FUR-FU-10004018</v>
      </c>
      <c r="E5637" t="str">
        <f>IF(COUNTIF(data2!$D:$D,D5637)=0,"Missing in Data2","Present")</f>
        <v>Present</v>
      </c>
    </row>
    <row r="5638" spans="1:5" x14ac:dyDescent="0.25">
      <c r="A5638" s="2" t="s">
        <v>4659</v>
      </c>
      <c r="B5638" s="2" t="s">
        <v>3841</v>
      </c>
      <c r="C5638" s="2">
        <v>8</v>
      </c>
      <c r="D5638" t="str">
        <f t="shared" si="88"/>
        <v>CA-2017-108791_TEC-PH-10002660</v>
      </c>
      <c r="E5638" t="str">
        <f>IF(COUNTIF(data2!$D:$D,D5638)=0,"Missing in Data2","Present")</f>
        <v>Present</v>
      </c>
    </row>
    <row r="5639" spans="1:5" x14ac:dyDescent="0.25">
      <c r="A5639" s="2" t="s">
        <v>4660</v>
      </c>
      <c r="B5639" s="2" t="s">
        <v>267</v>
      </c>
      <c r="C5639" s="2">
        <v>3</v>
      </c>
      <c r="D5639" t="str">
        <f t="shared" si="88"/>
        <v>CA-2017-108854_OFF-BI-10001670</v>
      </c>
      <c r="E5639" t="str">
        <f>IF(COUNTIF(data2!$D:$D,D5639)=0,"Missing in Data2","Present")</f>
        <v>Present</v>
      </c>
    </row>
    <row r="5640" spans="1:5" x14ac:dyDescent="0.25">
      <c r="A5640" s="2" t="s">
        <v>4660</v>
      </c>
      <c r="B5640" s="2" t="s">
        <v>337</v>
      </c>
      <c r="C5640" s="2">
        <v>1</v>
      </c>
      <c r="D5640" t="str">
        <f t="shared" si="88"/>
        <v>CA-2017-108854_OFF-BI-10002854</v>
      </c>
      <c r="E5640" t="str">
        <f>IF(COUNTIF(data2!$D:$D,D5640)=0,"Missing in Data2","Present")</f>
        <v>Present</v>
      </c>
    </row>
    <row r="5641" spans="1:5" x14ac:dyDescent="0.25">
      <c r="A5641" s="2" t="s">
        <v>4660</v>
      </c>
      <c r="B5641" s="2" t="s">
        <v>1469</v>
      </c>
      <c r="C5641" s="2">
        <v>4</v>
      </c>
      <c r="D5641" t="str">
        <f t="shared" si="88"/>
        <v>CA-2017-108854_OFF-PA-10003022</v>
      </c>
      <c r="E5641" t="str">
        <f>IF(COUNTIF(data2!$D:$D,D5641)=0,"Missing in Data2","Present")</f>
        <v>Missing in Data2</v>
      </c>
    </row>
    <row r="5642" spans="1:5" x14ac:dyDescent="0.25">
      <c r="A5642" s="2" t="s">
        <v>4660</v>
      </c>
      <c r="B5642" s="2" t="s">
        <v>1297</v>
      </c>
      <c r="C5642" s="2">
        <v>1</v>
      </c>
      <c r="D5642" t="str">
        <f t="shared" si="88"/>
        <v>CA-2017-108854_OFF-ST-10001837</v>
      </c>
      <c r="E5642" t="str">
        <f>IF(COUNTIF(data2!$D:$D,D5642)=0,"Missing in Data2","Present")</f>
        <v>Present</v>
      </c>
    </row>
    <row r="5643" spans="1:5" x14ac:dyDescent="0.25">
      <c r="A5643" s="2" t="s">
        <v>4661</v>
      </c>
      <c r="B5643" s="2" t="s">
        <v>491</v>
      </c>
      <c r="C5643" s="2">
        <v>3</v>
      </c>
      <c r="D5643" t="str">
        <f t="shared" si="88"/>
        <v>CA-2017-108910_FUR-FU-10002253</v>
      </c>
      <c r="E5643" t="str">
        <f>IF(COUNTIF(data2!$D:$D,D5643)=0,"Missing in Data2","Present")</f>
        <v>Present</v>
      </c>
    </row>
    <row r="5644" spans="1:5" x14ac:dyDescent="0.25">
      <c r="A5644" s="2" t="s">
        <v>4662</v>
      </c>
      <c r="B5644" s="2" t="s">
        <v>4663</v>
      </c>
      <c r="C5644" s="2">
        <v>2</v>
      </c>
      <c r="D5644" t="str">
        <f t="shared" si="88"/>
        <v>CA-2017-108931_OFF-PA-10002741</v>
      </c>
      <c r="E5644" t="str">
        <f>IF(COUNTIF(data2!$D:$D,D5644)=0,"Missing in Data2","Present")</f>
        <v>Present</v>
      </c>
    </row>
    <row r="5645" spans="1:5" x14ac:dyDescent="0.25">
      <c r="A5645" s="2" t="s">
        <v>4662</v>
      </c>
      <c r="B5645" s="2" t="s">
        <v>208</v>
      </c>
      <c r="C5645" s="2">
        <v>2</v>
      </c>
      <c r="D5645" t="str">
        <f t="shared" si="88"/>
        <v>CA-2017-108931_OFF-PA-10003845</v>
      </c>
      <c r="E5645" t="str">
        <f>IF(COUNTIF(data2!$D:$D,D5645)=0,"Missing in Data2","Present")</f>
        <v>Present</v>
      </c>
    </row>
    <row r="5646" spans="1:5" x14ac:dyDescent="0.25">
      <c r="A5646" s="2" t="s">
        <v>4664</v>
      </c>
      <c r="B5646" s="2" t="s">
        <v>2310</v>
      </c>
      <c r="C5646" s="2">
        <v>2</v>
      </c>
      <c r="D5646" t="str">
        <f t="shared" si="88"/>
        <v>CA-2017-109085_FUR-FU-10004973</v>
      </c>
      <c r="E5646" t="str">
        <f>IF(COUNTIF(data2!$D:$D,D5646)=0,"Missing in Data2","Present")</f>
        <v>Present</v>
      </c>
    </row>
    <row r="5647" spans="1:5" x14ac:dyDescent="0.25">
      <c r="A5647" s="2" t="s">
        <v>4664</v>
      </c>
      <c r="B5647" s="2" t="s">
        <v>2848</v>
      </c>
      <c r="C5647" s="2">
        <v>5</v>
      </c>
      <c r="D5647" t="str">
        <f t="shared" si="88"/>
        <v>CA-2017-109085_FUR-TA-10001086</v>
      </c>
      <c r="E5647" t="str">
        <f>IF(COUNTIF(data2!$D:$D,D5647)=0,"Missing in Data2","Present")</f>
        <v>Present</v>
      </c>
    </row>
    <row r="5648" spans="1:5" x14ac:dyDescent="0.25">
      <c r="A5648" s="2" t="s">
        <v>4664</v>
      </c>
      <c r="B5648" s="2" t="s">
        <v>1369</v>
      </c>
      <c r="C5648" s="2">
        <v>5</v>
      </c>
      <c r="D5648" t="str">
        <f t="shared" si="88"/>
        <v>CA-2017-109085_OFF-BI-10001525</v>
      </c>
      <c r="E5648" t="str">
        <f>IF(COUNTIF(data2!$D:$D,D5648)=0,"Missing in Data2","Present")</f>
        <v>Present</v>
      </c>
    </row>
    <row r="5649" spans="1:5" x14ac:dyDescent="0.25">
      <c r="A5649" s="2" t="s">
        <v>4664</v>
      </c>
      <c r="B5649" s="2" t="s">
        <v>1633</v>
      </c>
      <c r="C5649" s="2">
        <v>1</v>
      </c>
      <c r="D5649" t="str">
        <f t="shared" si="88"/>
        <v>CA-2017-109085_TEC-PH-10000526</v>
      </c>
      <c r="E5649" t="str">
        <f>IF(COUNTIF(data2!$D:$D,D5649)=0,"Missing in Data2","Present")</f>
        <v>Present</v>
      </c>
    </row>
    <row r="5650" spans="1:5" x14ac:dyDescent="0.25">
      <c r="A5650" s="2" t="s">
        <v>4665</v>
      </c>
      <c r="B5650" s="2" t="s">
        <v>1435</v>
      </c>
      <c r="C5650" s="2">
        <v>1</v>
      </c>
      <c r="D5650" t="str">
        <f t="shared" si="88"/>
        <v>CA-2017-109099_OFF-PA-10001033</v>
      </c>
      <c r="E5650" t="str">
        <f>IF(COUNTIF(data2!$D:$D,D5650)=0,"Missing in Data2","Present")</f>
        <v>Present</v>
      </c>
    </row>
    <row r="5651" spans="1:5" x14ac:dyDescent="0.25">
      <c r="A5651" s="2" t="s">
        <v>4666</v>
      </c>
      <c r="B5651" s="2" t="s">
        <v>4667</v>
      </c>
      <c r="C5651" s="2">
        <v>2</v>
      </c>
      <c r="D5651" t="str">
        <f t="shared" si="88"/>
        <v>CA-2017-109183_TEC-MA-10001856</v>
      </c>
      <c r="E5651" t="str">
        <f>IF(COUNTIF(data2!$D:$D,D5651)=0,"Missing in Data2","Present")</f>
        <v>Present</v>
      </c>
    </row>
    <row r="5652" spans="1:5" x14ac:dyDescent="0.25">
      <c r="A5652" s="2" t="s">
        <v>4668</v>
      </c>
      <c r="B5652" s="2" t="s">
        <v>1656</v>
      </c>
      <c r="C5652" s="2">
        <v>1</v>
      </c>
      <c r="D5652" t="str">
        <f t="shared" si="88"/>
        <v>CA-2017-109211_OFF-EN-10001532</v>
      </c>
      <c r="E5652" t="str">
        <f>IF(COUNTIF(data2!$D:$D,D5652)=0,"Missing in Data2","Present")</f>
        <v>Present</v>
      </c>
    </row>
    <row r="5653" spans="1:5" x14ac:dyDescent="0.25">
      <c r="A5653" s="2" t="s">
        <v>4669</v>
      </c>
      <c r="B5653" s="2" t="s">
        <v>529</v>
      </c>
      <c r="C5653" s="2">
        <v>3</v>
      </c>
      <c r="D5653" t="str">
        <f t="shared" si="88"/>
        <v>CA-2017-109393_FUR-BO-10003966</v>
      </c>
      <c r="E5653" t="str">
        <f>IF(COUNTIF(data2!$D:$D,D5653)=0,"Missing in Data2","Present")</f>
        <v>Present</v>
      </c>
    </row>
    <row r="5654" spans="1:5" x14ac:dyDescent="0.25">
      <c r="A5654" s="2" t="s">
        <v>4670</v>
      </c>
      <c r="B5654" s="2" t="s">
        <v>1897</v>
      </c>
      <c r="C5654" s="2">
        <v>4</v>
      </c>
      <c r="D5654" t="str">
        <f t="shared" si="88"/>
        <v>CA-2017-109589_TEC-AC-10003116</v>
      </c>
      <c r="E5654" t="str">
        <f>IF(COUNTIF(data2!$D:$D,D5654)=0,"Missing in Data2","Present")</f>
        <v>Present</v>
      </c>
    </row>
    <row r="5655" spans="1:5" x14ac:dyDescent="0.25">
      <c r="A5655" s="2" t="s">
        <v>4671</v>
      </c>
      <c r="B5655" s="2" t="s">
        <v>894</v>
      </c>
      <c r="C5655" s="2">
        <v>3</v>
      </c>
      <c r="D5655" t="str">
        <f t="shared" si="88"/>
        <v>CA-2017-109701_OFF-AP-10002765</v>
      </c>
      <c r="E5655" t="str">
        <f>IF(COUNTIF(data2!$D:$D,D5655)=0,"Missing in Data2","Present")</f>
        <v>Present</v>
      </c>
    </row>
    <row r="5656" spans="1:5" x14ac:dyDescent="0.25">
      <c r="A5656" s="2" t="s">
        <v>4671</v>
      </c>
      <c r="B5656" s="2" t="s">
        <v>17</v>
      </c>
      <c r="C5656" s="2">
        <v>6</v>
      </c>
      <c r="D5656" t="str">
        <f t="shared" si="88"/>
        <v>CA-2017-109701_OFF-AR-10001868</v>
      </c>
      <c r="E5656" t="str">
        <f>IF(COUNTIF(data2!$D:$D,D5656)=0,"Missing in Data2","Present")</f>
        <v>Present</v>
      </c>
    </row>
    <row r="5657" spans="1:5" x14ac:dyDescent="0.25">
      <c r="A5657" s="2" t="s">
        <v>4671</v>
      </c>
      <c r="B5657" s="2" t="s">
        <v>740</v>
      </c>
      <c r="C5657" s="2">
        <v>2</v>
      </c>
      <c r="D5657" t="str">
        <f t="shared" si="88"/>
        <v>CA-2017-109701_OFF-BI-10000632</v>
      </c>
      <c r="E5657" t="str">
        <f>IF(COUNTIF(data2!$D:$D,D5657)=0,"Missing in Data2","Present")</f>
        <v>Missing in Data2</v>
      </c>
    </row>
    <row r="5658" spans="1:5" x14ac:dyDescent="0.25">
      <c r="A5658" s="2" t="s">
        <v>4671</v>
      </c>
      <c r="B5658" s="2" t="s">
        <v>1655</v>
      </c>
      <c r="C5658" s="2">
        <v>6</v>
      </c>
      <c r="D5658" t="str">
        <f t="shared" si="88"/>
        <v>CA-2017-109701_OFF-BI-10004187</v>
      </c>
      <c r="E5658" t="str">
        <f>IF(COUNTIF(data2!$D:$D,D5658)=0,"Missing in Data2","Present")</f>
        <v>Present</v>
      </c>
    </row>
    <row r="5659" spans="1:5" x14ac:dyDescent="0.25">
      <c r="A5659" s="2" t="s">
        <v>4671</v>
      </c>
      <c r="B5659" s="2" t="s">
        <v>1552</v>
      </c>
      <c r="C5659" s="2">
        <v>2</v>
      </c>
      <c r="D5659" t="str">
        <f t="shared" si="88"/>
        <v>CA-2017-109701_OFF-PA-10003724</v>
      </c>
      <c r="E5659" t="str">
        <f>IF(COUNTIF(data2!$D:$D,D5659)=0,"Missing in Data2","Present")</f>
        <v>Present</v>
      </c>
    </row>
    <row r="5660" spans="1:5" x14ac:dyDescent="0.25">
      <c r="A5660" s="2" t="s">
        <v>4672</v>
      </c>
      <c r="B5660" s="2" t="s">
        <v>4131</v>
      </c>
      <c r="C5660" s="2">
        <v>2</v>
      </c>
      <c r="D5660" t="str">
        <f t="shared" si="88"/>
        <v>CA-2017-109715_OFF-PA-10004965</v>
      </c>
      <c r="E5660" t="str">
        <f>IF(COUNTIF(data2!$D:$D,D5660)=0,"Missing in Data2","Present")</f>
        <v>Present</v>
      </c>
    </row>
    <row r="5661" spans="1:5" x14ac:dyDescent="0.25">
      <c r="A5661" s="2" t="s">
        <v>4673</v>
      </c>
      <c r="B5661" s="2" t="s">
        <v>704</v>
      </c>
      <c r="C5661" s="2">
        <v>3</v>
      </c>
      <c r="D5661" t="str">
        <f t="shared" si="88"/>
        <v>CA-2017-109750_TEC-PH-10000702</v>
      </c>
      <c r="E5661" t="str">
        <f>IF(COUNTIF(data2!$D:$D,D5661)=0,"Missing in Data2","Present")</f>
        <v>Present</v>
      </c>
    </row>
    <row r="5662" spans="1:5" x14ac:dyDescent="0.25">
      <c r="A5662" s="2" t="s">
        <v>4674</v>
      </c>
      <c r="B5662" s="2" t="s">
        <v>1628</v>
      </c>
      <c r="C5662" s="2">
        <v>4</v>
      </c>
      <c r="D5662" t="str">
        <f t="shared" si="88"/>
        <v>CA-2017-109757_OFF-AR-10002335</v>
      </c>
      <c r="E5662" t="str">
        <f>IF(COUNTIF(data2!$D:$D,D5662)=0,"Missing in Data2","Present")</f>
        <v>Present</v>
      </c>
    </row>
    <row r="5663" spans="1:5" x14ac:dyDescent="0.25">
      <c r="A5663" s="2" t="s">
        <v>4674</v>
      </c>
      <c r="B5663" s="2" t="s">
        <v>3393</v>
      </c>
      <c r="C5663" s="2">
        <v>2</v>
      </c>
      <c r="D5663" t="str">
        <f t="shared" si="88"/>
        <v>CA-2017-109757_OFF-BI-10001634</v>
      </c>
      <c r="E5663" t="str">
        <f>IF(COUNTIF(data2!$D:$D,D5663)=0,"Missing in Data2","Present")</f>
        <v>Present</v>
      </c>
    </row>
    <row r="5664" spans="1:5" x14ac:dyDescent="0.25">
      <c r="A5664" s="2" t="s">
        <v>4674</v>
      </c>
      <c r="B5664" s="2" t="s">
        <v>2450</v>
      </c>
      <c r="C5664" s="2">
        <v>5</v>
      </c>
      <c r="D5664" t="str">
        <f t="shared" si="88"/>
        <v>CA-2017-109757_OFF-BI-10004001</v>
      </c>
      <c r="E5664" t="str">
        <f>IF(COUNTIF(data2!$D:$D,D5664)=0,"Missing in Data2","Present")</f>
        <v>Present</v>
      </c>
    </row>
    <row r="5665" spans="1:5" x14ac:dyDescent="0.25">
      <c r="A5665" s="2" t="s">
        <v>4674</v>
      </c>
      <c r="B5665" s="2" t="s">
        <v>4153</v>
      </c>
      <c r="C5665" s="2">
        <v>4</v>
      </c>
      <c r="D5665" t="str">
        <f t="shared" si="88"/>
        <v>CA-2017-109757_OFF-PA-10000007</v>
      </c>
      <c r="E5665" t="str">
        <f>IF(COUNTIF(data2!$D:$D,D5665)=0,"Missing in Data2","Present")</f>
        <v>Present</v>
      </c>
    </row>
    <row r="5666" spans="1:5" x14ac:dyDescent="0.25">
      <c r="A5666" s="2" t="s">
        <v>4675</v>
      </c>
      <c r="B5666" s="2" t="s">
        <v>2034</v>
      </c>
      <c r="C5666" s="2">
        <v>2</v>
      </c>
      <c r="D5666" t="str">
        <f t="shared" si="88"/>
        <v>CA-2017-109778_OFF-AR-10003759</v>
      </c>
      <c r="E5666" t="str">
        <f>IF(COUNTIF(data2!$D:$D,D5666)=0,"Missing in Data2","Present")</f>
        <v>Present</v>
      </c>
    </row>
    <row r="5667" spans="1:5" x14ac:dyDescent="0.25">
      <c r="A5667" s="2" t="s">
        <v>4676</v>
      </c>
      <c r="B5667" s="2" t="s">
        <v>4080</v>
      </c>
      <c r="C5667" s="2">
        <v>5</v>
      </c>
      <c r="D5667" t="str">
        <f t="shared" si="88"/>
        <v>CA-2017-109946_OFF-AR-10001419</v>
      </c>
      <c r="E5667" t="str">
        <f>IF(COUNTIF(data2!$D:$D,D5667)=0,"Missing in Data2","Present")</f>
        <v>Present</v>
      </c>
    </row>
    <row r="5668" spans="1:5" x14ac:dyDescent="0.25">
      <c r="A5668" s="2" t="s">
        <v>4677</v>
      </c>
      <c r="B5668" s="2" t="s">
        <v>3188</v>
      </c>
      <c r="C5668" s="2">
        <v>5</v>
      </c>
      <c r="D5668" t="str">
        <f t="shared" si="88"/>
        <v>CA-2017-109960_OFF-AR-10001860</v>
      </c>
      <c r="E5668" t="str">
        <f>IF(COUNTIF(data2!$D:$D,D5668)=0,"Missing in Data2","Present")</f>
        <v>Present</v>
      </c>
    </row>
    <row r="5669" spans="1:5" x14ac:dyDescent="0.25">
      <c r="A5669" s="2" t="s">
        <v>4677</v>
      </c>
      <c r="B5669" s="2" t="s">
        <v>951</v>
      </c>
      <c r="C5669" s="2">
        <v>4</v>
      </c>
      <c r="D5669" t="str">
        <f t="shared" si="88"/>
        <v>CA-2017-109960_OFF-BI-10001636</v>
      </c>
      <c r="E5669" t="str">
        <f>IF(COUNTIF(data2!$D:$D,D5669)=0,"Missing in Data2","Present")</f>
        <v>Present</v>
      </c>
    </row>
    <row r="5670" spans="1:5" x14ac:dyDescent="0.25">
      <c r="A5670" s="2" t="s">
        <v>4677</v>
      </c>
      <c r="B5670" s="2" t="s">
        <v>1140</v>
      </c>
      <c r="C5670" s="2">
        <v>3</v>
      </c>
      <c r="D5670" t="str">
        <f t="shared" si="88"/>
        <v>CA-2017-109960_OFF-PA-10000349</v>
      </c>
      <c r="E5670" t="str">
        <f>IF(COUNTIF(data2!$D:$D,D5670)=0,"Missing in Data2","Present")</f>
        <v>Present</v>
      </c>
    </row>
    <row r="5671" spans="1:5" x14ac:dyDescent="0.25">
      <c r="A5671" s="2" t="s">
        <v>4677</v>
      </c>
      <c r="B5671" s="2" t="s">
        <v>522</v>
      </c>
      <c r="C5671" s="2">
        <v>6</v>
      </c>
      <c r="D5671" t="str">
        <f t="shared" si="88"/>
        <v>CA-2017-109960_TEC-AC-10004859</v>
      </c>
      <c r="E5671" t="str">
        <f>IF(COUNTIF(data2!$D:$D,D5671)=0,"Missing in Data2","Present")</f>
        <v>Present</v>
      </c>
    </row>
    <row r="5672" spans="1:5" x14ac:dyDescent="0.25">
      <c r="A5672" s="2" t="s">
        <v>4678</v>
      </c>
      <c r="B5672" s="2" t="s">
        <v>3509</v>
      </c>
      <c r="C5672" s="2">
        <v>3</v>
      </c>
      <c r="D5672" t="str">
        <f t="shared" si="88"/>
        <v>CA-2017-110198_FUR-BO-10001798</v>
      </c>
      <c r="E5672" t="str">
        <f>IF(COUNTIF(data2!$D:$D,D5672)=0,"Missing in Data2","Present")</f>
        <v>Present</v>
      </c>
    </row>
    <row r="5673" spans="1:5" x14ac:dyDescent="0.25">
      <c r="A5673" s="2" t="s">
        <v>4679</v>
      </c>
      <c r="B5673" s="2" t="s">
        <v>1266</v>
      </c>
      <c r="C5673" s="2">
        <v>5</v>
      </c>
      <c r="D5673" t="str">
        <f t="shared" si="88"/>
        <v>CA-2017-110212_TEC-AC-10002331</v>
      </c>
      <c r="E5673" t="str">
        <f>IF(COUNTIF(data2!$D:$D,D5673)=0,"Missing in Data2","Present")</f>
        <v>Present</v>
      </c>
    </row>
    <row r="5674" spans="1:5" x14ac:dyDescent="0.25">
      <c r="A5674" s="2" t="s">
        <v>4680</v>
      </c>
      <c r="B5674" s="2" t="s">
        <v>1776</v>
      </c>
      <c r="C5674" s="2">
        <v>3</v>
      </c>
      <c r="D5674" t="str">
        <f t="shared" si="88"/>
        <v>CA-2017-110310_OFF-AR-10001662</v>
      </c>
      <c r="E5674" t="str">
        <f>IF(COUNTIF(data2!$D:$D,D5674)=0,"Missing in Data2","Present")</f>
        <v>Present</v>
      </c>
    </row>
    <row r="5675" spans="1:5" x14ac:dyDescent="0.25">
      <c r="A5675" s="2" t="s">
        <v>4680</v>
      </c>
      <c r="B5675" s="2" t="s">
        <v>65</v>
      </c>
      <c r="C5675" s="2">
        <v>3</v>
      </c>
      <c r="D5675" t="str">
        <f t="shared" si="88"/>
        <v>CA-2017-110310_OFF-BI-10001097</v>
      </c>
      <c r="E5675" t="str">
        <f>IF(COUNTIF(data2!$D:$D,D5675)=0,"Missing in Data2","Present")</f>
        <v>Present</v>
      </c>
    </row>
    <row r="5676" spans="1:5" x14ac:dyDescent="0.25">
      <c r="A5676" s="2" t="s">
        <v>4680</v>
      </c>
      <c r="B5676" s="2" t="s">
        <v>1373</v>
      </c>
      <c r="C5676" s="2">
        <v>7</v>
      </c>
      <c r="D5676" t="str">
        <f t="shared" si="88"/>
        <v>CA-2017-110310_OFF-PA-10001685</v>
      </c>
      <c r="E5676" t="str">
        <f>IF(COUNTIF(data2!$D:$D,D5676)=0,"Missing in Data2","Present")</f>
        <v>Present</v>
      </c>
    </row>
    <row r="5677" spans="1:5" x14ac:dyDescent="0.25">
      <c r="A5677" s="2" t="s">
        <v>4681</v>
      </c>
      <c r="B5677" s="2" t="s">
        <v>298</v>
      </c>
      <c r="C5677" s="2">
        <v>3</v>
      </c>
      <c r="D5677" t="str">
        <f t="shared" si="88"/>
        <v>CA-2017-110373_OFF-AR-10003045</v>
      </c>
      <c r="E5677" t="str">
        <f>IF(COUNTIF(data2!$D:$D,D5677)=0,"Missing in Data2","Present")</f>
        <v>Present</v>
      </c>
    </row>
    <row r="5678" spans="1:5" x14ac:dyDescent="0.25">
      <c r="A5678" s="2" t="s">
        <v>4681</v>
      </c>
      <c r="B5678" s="2" t="s">
        <v>1634</v>
      </c>
      <c r="C5678" s="2">
        <v>2</v>
      </c>
      <c r="D5678" t="str">
        <f t="shared" si="88"/>
        <v>CA-2017-110373_TEC-PH-10001536</v>
      </c>
      <c r="E5678" t="str">
        <f>IF(COUNTIF(data2!$D:$D,D5678)=0,"Missing in Data2","Present")</f>
        <v>Present</v>
      </c>
    </row>
    <row r="5679" spans="1:5" x14ac:dyDescent="0.25">
      <c r="A5679" s="2" t="s">
        <v>4682</v>
      </c>
      <c r="B5679" s="2" t="s">
        <v>4683</v>
      </c>
      <c r="C5679" s="2">
        <v>3</v>
      </c>
      <c r="D5679" t="str">
        <f t="shared" si="88"/>
        <v>CA-2017-110380_OFF-AR-10000422</v>
      </c>
      <c r="E5679" t="str">
        <f>IF(COUNTIF(data2!$D:$D,D5679)=0,"Missing in Data2","Present")</f>
        <v>Present</v>
      </c>
    </row>
    <row r="5680" spans="1:5" x14ac:dyDescent="0.25">
      <c r="A5680" s="2" t="s">
        <v>4684</v>
      </c>
      <c r="B5680" s="2" t="s">
        <v>4685</v>
      </c>
      <c r="C5680" s="2">
        <v>3</v>
      </c>
      <c r="D5680" t="str">
        <f t="shared" si="88"/>
        <v>CA-2017-110429_OFF-BI-10000216</v>
      </c>
      <c r="E5680" t="str">
        <f>IF(COUNTIF(data2!$D:$D,D5680)=0,"Missing in Data2","Present")</f>
        <v>Present</v>
      </c>
    </row>
    <row r="5681" spans="1:5" x14ac:dyDescent="0.25">
      <c r="A5681" s="2" t="s">
        <v>4686</v>
      </c>
      <c r="B5681" s="2" t="s">
        <v>267</v>
      </c>
      <c r="C5681" s="2">
        <v>5</v>
      </c>
      <c r="D5681" t="str">
        <f t="shared" si="88"/>
        <v>CA-2017-110443_OFF-BI-10001670</v>
      </c>
      <c r="E5681" t="str">
        <f>IF(COUNTIF(data2!$D:$D,D5681)=0,"Missing in Data2","Present")</f>
        <v>Present</v>
      </c>
    </row>
    <row r="5682" spans="1:5" x14ac:dyDescent="0.25">
      <c r="A5682" s="2" t="s">
        <v>4686</v>
      </c>
      <c r="B5682" s="2" t="s">
        <v>1405</v>
      </c>
      <c r="C5682" s="2">
        <v>8</v>
      </c>
      <c r="D5682" t="str">
        <f t="shared" si="88"/>
        <v>CA-2017-110443_OFF-PA-10003797</v>
      </c>
      <c r="E5682" t="str">
        <f>IF(COUNTIF(data2!$D:$D,D5682)=0,"Missing in Data2","Present")</f>
        <v>Present</v>
      </c>
    </row>
    <row r="5683" spans="1:5" x14ac:dyDescent="0.25">
      <c r="A5683" s="2" t="s">
        <v>4686</v>
      </c>
      <c r="B5683" s="2" t="s">
        <v>4687</v>
      </c>
      <c r="C5683" s="2">
        <v>1</v>
      </c>
      <c r="D5683" t="str">
        <f t="shared" si="88"/>
        <v>CA-2017-110443_TEC-MA-10002073</v>
      </c>
      <c r="E5683" t="str">
        <f>IF(COUNTIF(data2!$D:$D,D5683)=0,"Missing in Data2","Present")</f>
        <v>Present</v>
      </c>
    </row>
    <row r="5684" spans="1:5" x14ac:dyDescent="0.25">
      <c r="A5684" s="2" t="s">
        <v>4688</v>
      </c>
      <c r="B5684" s="2" t="s">
        <v>1669</v>
      </c>
      <c r="C5684" s="2">
        <v>4</v>
      </c>
      <c r="D5684" t="str">
        <f t="shared" si="88"/>
        <v>CA-2017-110478_OFF-AR-10001573</v>
      </c>
      <c r="E5684" t="str">
        <f>IF(COUNTIF(data2!$D:$D,D5684)=0,"Missing in Data2","Present")</f>
        <v>Present</v>
      </c>
    </row>
    <row r="5685" spans="1:5" x14ac:dyDescent="0.25">
      <c r="A5685" s="2" t="s">
        <v>4689</v>
      </c>
      <c r="B5685" s="2" t="s">
        <v>1529</v>
      </c>
      <c r="C5685" s="2">
        <v>2</v>
      </c>
      <c r="D5685" t="str">
        <f t="shared" si="88"/>
        <v>CA-2017-110625_FUR-FU-10001473</v>
      </c>
      <c r="E5685" t="str">
        <f>IF(COUNTIF(data2!$D:$D,D5685)=0,"Missing in Data2","Present")</f>
        <v>Present</v>
      </c>
    </row>
    <row r="5686" spans="1:5" x14ac:dyDescent="0.25">
      <c r="A5686" s="2" t="s">
        <v>4690</v>
      </c>
      <c r="B5686" s="2" t="s">
        <v>3758</v>
      </c>
      <c r="C5686" s="2">
        <v>2</v>
      </c>
      <c r="D5686" t="str">
        <f t="shared" si="88"/>
        <v>CA-2017-110821_OFF-ST-10002790</v>
      </c>
      <c r="E5686" t="str">
        <f>IF(COUNTIF(data2!$D:$D,D5686)=0,"Missing in Data2","Present")</f>
        <v>Missing in Data2</v>
      </c>
    </row>
    <row r="5687" spans="1:5" x14ac:dyDescent="0.25">
      <c r="A5687" s="2" t="s">
        <v>4690</v>
      </c>
      <c r="B5687" s="2" t="s">
        <v>2375</v>
      </c>
      <c r="C5687" s="2">
        <v>3</v>
      </c>
      <c r="D5687" t="str">
        <f t="shared" si="88"/>
        <v>CA-2017-110821_TEC-AC-10001552</v>
      </c>
      <c r="E5687" t="str">
        <f>IF(COUNTIF(data2!$D:$D,D5687)=0,"Missing in Data2","Present")</f>
        <v>Present</v>
      </c>
    </row>
    <row r="5688" spans="1:5" x14ac:dyDescent="0.25">
      <c r="A5688" s="2" t="s">
        <v>4691</v>
      </c>
      <c r="B5688" s="2" t="s">
        <v>2346</v>
      </c>
      <c r="C5688" s="2">
        <v>1</v>
      </c>
      <c r="D5688" t="str">
        <f t="shared" si="88"/>
        <v>CA-2017-110842_OFF-AP-10003971</v>
      </c>
      <c r="E5688" t="str">
        <f>IF(COUNTIF(data2!$D:$D,D5688)=0,"Missing in Data2","Present")</f>
        <v>Missing in Data2</v>
      </c>
    </row>
    <row r="5689" spans="1:5" x14ac:dyDescent="0.25">
      <c r="A5689" s="2" t="s">
        <v>4691</v>
      </c>
      <c r="B5689" s="2" t="s">
        <v>859</v>
      </c>
      <c r="C5689" s="2">
        <v>5</v>
      </c>
      <c r="D5689" t="str">
        <f t="shared" si="88"/>
        <v>CA-2017-110842_OFF-BI-10000977</v>
      </c>
      <c r="E5689" t="str">
        <f>IF(COUNTIF(data2!$D:$D,D5689)=0,"Missing in Data2","Present")</f>
        <v>Missing in Data2</v>
      </c>
    </row>
    <row r="5690" spans="1:5" x14ac:dyDescent="0.25">
      <c r="A5690" s="2" t="s">
        <v>4691</v>
      </c>
      <c r="B5690" s="2" t="s">
        <v>3228</v>
      </c>
      <c r="C5690" s="2">
        <v>3</v>
      </c>
      <c r="D5690" t="str">
        <f t="shared" si="88"/>
        <v>CA-2017-110842_OFF-PA-10000520</v>
      </c>
      <c r="E5690" t="str">
        <f>IF(COUNTIF(data2!$D:$D,D5690)=0,"Missing in Data2","Present")</f>
        <v>Present</v>
      </c>
    </row>
    <row r="5691" spans="1:5" x14ac:dyDescent="0.25">
      <c r="A5691" s="2" t="s">
        <v>4692</v>
      </c>
      <c r="B5691" s="2" t="s">
        <v>1203</v>
      </c>
      <c r="C5691" s="2">
        <v>6</v>
      </c>
      <c r="D5691" t="str">
        <f t="shared" si="88"/>
        <v>CA-2017-110884_OFF-BI-10003669</v>
      </c>
      <c r="E5691" t="str">
        <f>IF(COUNTIF(data2!$D:$D,D5691)=0,"Missing in Data2","Present")</f>
        <v>Present</v>
      </c>
    </row>
    <row r="5692" spans="1:5" x14ac:dyDescent="0.25">
      <c r="A5692" s="2" t="s">
        <v>4692</v>
      </c>
      <c r="B5692" s="2" t="s">
        <v>1125</v>
      </c>
      <c r="C5692" s="2">
        <v>3</v>
      </c>
      <c r="D5692" t="str">
        <f t="shared" si="88"/>
        <v>CA-2017-110884_OFF-LA-10003510</v>
      </c>
      <c r="E5692" t="str">
        <f>IF(COUNTIF(data2!$D:$D,D5692)=0,"Missing in Data2","Present")</f>
        <v>Present</v>
      </c>
    </row>
    <row r="5693" spans="1:5" x14ac:dyDescent="0.25">
      <c r="A5693" s="2" t="s">
        <v>4693</v>
      </c>
      <c r="B5693" s="2" t="s">
        <v>797</v>
      </c>
      <c r="C5693" s="2">
        <v>2</v>
      </c>
      <c r="D5693" t="str">
        <f t="shared" si="88"/>
        <v>CA-2017-110905_OFF-AP-10003281</v>
      </c>
      <c r="E5693" t="str">
        <f>IF(COUNTIF(data2!$D:$D,D5693)=0,"Missing in Data2","Present")</f>
        <v>Present</v>
      </c>
    </row>
    <row r="5694" spans="1:5" x14ac:dyDescent="0.25">
      <c r="A5694" s="2" t="s">
        <v>4693</v>
      </c>
      <c r="B5694" s="2" t="s">
        <v>1261</v>
      </c>
      <c r="C5694" s="2">
        <v>3</v>
      </c>
      <c r="D5694" t="str">
        <f t="shared" si="88"/>
        <v>CA-2017-110905_OFF-AP-10004785</v>
      </c>
      <c r="E5694" t="str">
        <f>IF(COUNTIF(data2!$D:$D,D5694)=0,"Missing in Data2","Present")</f>
        <v>Present</v>
      </c>
    </row>
    <row r="5695" spans="1:5" x14ac:dyDescent="0.25">
      <c r="A5695" s="2" t="s">
        <v>4693</v>
      </c>
      <c r="B5695" s="2" t="s">
        <v>1038</v>
      </c>
      <c r="C5695" s="2">
        <v>3</v>
      </c>
      <c r="D5695" t="str">
        <f t="shared" si="88"/>
        <v>CA-2017-110905_OFF-BI-10002954</v>
      </c>
      <c r="E5695" t="str">
        <f>IF(COUNTIF(data2!$D:$D,D5695)=0,"Missing in Data2","Present")</f>
        <v>Present</v>
      </c>
    </row>
    <row r="5696" spans="1:5" x14ac:dyDescent="0.25">
      <c r="A5696" s="2" t="s">
        <v>4693</v>
      </c>
      <c r="B5696" s="2" t="s">
        <v>1203</v>
      </c>
      <c r="C5696" s="2">
        <v>3</v>
      </c>
      <c r="D5696" t="str">
        <f t="shared" si="88"/>
        <v>CA-2017-110905_OFF-BI-10003669</v>
      </c>
      <c r="E5696" t="str">
        <f>IF(COUNTIF(data2!$D:$D,D5696)=0,"Missing in Data2","Present")</f>
        <v>Present</v>
      </c>
    </row>
    <row r="5697" spans="1:5" x14ac:dyDescent="0.25">
      <c r="A5697" s="2" t="s">
        <v>4693</v>
      </c>
      <c r="B5697" s="2" t="s">
        <v>1051</v>
      </c>
      <c r="C5697" s="2">
        <v>5</v>
      </c>
      <c r="D5697" t="str">
        <f t="shared" si="88"/>
        <v>CA-2017-110905_OFF-PA-10002586</v>
      </c>
      <c r="E5697" t="str">
        <f>IF(COUNTIF(data2!$D:$D,D5697)=0,"Missing in Data2","Present")</f>
        <v>Present</v>
      </c>
    </row>
    <row r="5698" spans="1:5" x14ac:dyDescent="0.25">
      <c r="A5698" s="2" t="s">
        <v>4693</v>
      </c>
      <c r="B5698" s="2" t="s">
        <v>1657</v>
      </c>
      <c r="C5698" s="2">
        <v>3</v>
      </c>
      <c r="D5698" t="str">
        <f t="shared" si="88"/>
        <v>CA-2017-110905_OFF-ST-10000025</v>
      </c>
      <c r="E5698" t="str">
        <f>IF(COUNTIF(data2!$D:$D,D5698)=0,"Missing in Data2","Present")</f>
        <v>Present</v>
      </c>
    </row>
    <row r="5699" spans="1:5" x14ac:dyDescent="0.25">
      <c r="A5699" s="2" t="s">
        <v>4693</v>
      </c>
      <c r="B5699" s="2" t="s">
        <v>2645</v>
      </c>
      <c r="C5699" s="2">
        <v>6</v>
      </c>
      <c r="D5699" t="str">
        <f t="shared" ref="D5699:D5762" si="89">A5699&amp;"_"&amp;B5699</f>
        <v>CA-2017-110905_TEC-AC-10002217</v>
      </c>
      <c r="E5699" t="str">
        <f>IF(COUNTIF(data2!$D:$D,D5699)=0,"Missing in Data2","Present")</f>
        <v>Present</v>
      </c>
    </row>
    <row r="5700" spans="1:5" x14ac:dyDescent="0.25">
      <c r="A5700" s="2" t="s">
        <v>4693</v>
      </c>
      <c r="B5700" s="2" t="s">
        <v>324</v>
      </c>
      <c r="C5700" s="2">
        <v>5</v>
      </c>
      <c r="D5700" t="str">
        <f t="shared" si="89"/>
        <v>CA-2017-110905_TEC-AC-10003023</v>
      </c>
      <c r="E5700" t="str">
        <f>IF(COUNTIF(data2!$D:$D,D5700)=0,"Missing in Data2","Present")</f>
        <v>Present</v>
      </c>
    </row>
    <row r="5701" spans="1:5" x14ac:dyDescent="0.25">
      <c r="A5701" s="2" t="s">
        <v>4694</v>
      </c>
      <c r="B5701" s="2" t="s">
        <v>1303</v>
      </c>
      <c r="C5701" s="2">
        <v>7</v>
      </c>
      <c r="D5701" t="str">
        <f t="shared" si="89"/>
        <v>CA-2017-110926_OFF-FA-10000624</v>
      </c>
      <c r="E5701" t="str">
        <f>IF(COUNTIF(data2!$D:$D,D5701)=0,"Missing in Data2","Present")</f>
        <v>Present</v>
      </c>
    </row>
    <row r="5702" spans="1:5" x14ac:dyDescent="0.25">
      <c r="A5702" s="2" t="s">
        <v>4695</v>
      </c>
      <c r="B5702" s="2" t="s">
        <v>23</v>
      </c>
      <c r="C5702" s="2">
        <v>4</v>
      </c>
      <c r="D5702" t="str">
        <f t="shared" si="89"/>
        <v>CA-2017-110940_OFF-AR-10000380</v>
      </c>
      <c r="E5702" t="str">
        <f>IF(COUNTIF(data2!$D:$D,D5702)=0,"Missing in Data2","Present")</f>
        <v>Present</v>
      </c>
    </row>
    <row r="5703" spans="1:5" x14ac:dyDescent="0.25">
      <c r="A5703" s="2" t="s">
        <v>4696</v>
      </c>
      <c r="B5703" s="2" t="s">
        <v>1666</v>
      </c>
      <c r="C5703" s="2">
        <v>5</v>
      </c>
      <c r="D5703" t="str">
        <f t="shared" si="89"/>
        <v>CA-2017-111178_OFF-AR-10001954</v>
      </c>
      <c r="E5703" t="str">
        <f>IF(COUNTIF(data2!$D:$D,D5703)=0,"Missing in Data2","Present")</f>
        <v>Present</v>
      </c>
    </row>
    <row r="5704" spans="1:5" x14ac:dyDescent="0.25">
      <c r="A5704" s="2" t="s">
        <v>4697</v>
      </c>
      <c r="B5704" s="2" t="s">
        <v>1027</v>
      </c>
      <c r="C5704" s="2">
        <v>2</v>
      </c>
      <c r="D5704" t="str">
        <f t="shared" si="89"/>
        <v>CA-2017-111220_OFF-AP-10003278</v>
      </c>
      <c r="E5704" t="str">
        <f>IF(COUNTIF(data2!$D:$D,D5704)=0,"Missing in Data2","Present")</f>
        <v>Present</v>
      </c>
    </row>
    <row r="5705" spans="1:5" x14ac:dyDescent="0.25">
      <c r="A5705" s="2" t="s">
        <v>4697</v>
      </c>
      <c r="B5705" s="2" t="s">
        <v>913</v>
      </c>
      <c r="C5705" s="2">
        <v>4</v>
      </c>
      <c r="D5705" t="str">
        <f t="shared" si="89"/>
        <v>CA-2017-111220_OFF-FA-10002280</v>
      </c>
      <c r="E5705" t="str">
        <f>IF(COUNTIF(data2!$D:$D,D5705)=0,"Missing in Data2","Present")</f>
        <v>Present</v>
      </c>
    </row>
    <row r="5706" spans="1:5" x14ac:dyDescent="0.25">
      <c r="A5706" s="2" t="s">
        <v>4697</v>
      </c>
      <c r="B5706" s="2" t="s">
        <v>2211</v>
      </c>
      <c r="C5706" s="2">
        <v>5</v>
      </c>
      <c r="D5706" t="str">
        <f t="shared" si="89"/>
        <v>CA-2017-111220_OFF-ST-10003994</v>
      </c>
      <c r="E5706" t="str">
        <f>IF(COUNTIF(data2!$D:$D,D5706)=0,"Missing in Data2","Present")</f>
        <v>Present</v>
      </c>
    </row>
    <row r="5707" spans="1:5" x14ac:dyDescent="0.25">
      <c r="A5707" s="2" t="s">
        <v>4698</v>
      </c>
      <c r="B5707" s="2" t="s">
        <v>1785</v>
      </c>
      <c r="C5707" s="2">
        <v>3</v>
      </c>
      <c r="D5707" t="str">
        <f t="shared" si="89"/>
        <v>CA-2017-111262_OFF-PA-10001937</v>
      </c>
      <c r="E5707" t="str">
        <f>IF(COUNTIF(data2!$D:$D,D5707)=0,"Missing in Data2","Present")</f>
        <v>Present</v>
      </c>
    </row>
    <row r="5708" spans="1:5" x14ac:dyDescent="0.25">
      <c r="A5708" s="2" t="s">
        <v>4698</v>
      </c>
      <c r="B5708" s="2" t="s">
        <v>1315</v>
      </c>
      <c r="C5708" s="2">
        <v>2</v>
      </c>
      <c r="D5708" t="str">
        <f t="shared" si="89"/>
        <v>CA-2017-111262_TEC-AC-10002167</v>
      </c>
      <c r="E5708" t="str">
        <f>IF(COUNTIF(data2!$D:$D,D5708)=0,"Missing in Data2","Present")</f>
        <v>Present</v>
      </c>
    </row>
    <row r="5709" spans="1:5" x14ac:dyDescent="0.25">
      <c r="A5709" s="2" t="s">
        <v>4698</v>
      </c>
      <c r="B5709" s="2" t="s">
        <v>676</v>
      </c>
      <c r="C5709" s="2">
        <v>2</v>
      </c>
      <c r="D5709" t="str">
        <f t="shared" si="89"/>
        <v>CA-2017-111262_TEC-AC-10004510</v>
      </c>
      <c r="E5709" t="str">
        <f>IF(COUNTIF(data2!$D:$D,D5709)=0,"Missing in Data2","Present")</f>
        <v>Present</v>
      </c>
    </row>
    <row r="5710" spans="1:5" x14ac:dyDescent="0.25">
      <c r="A5710" s="2" t="s">
        <v>4699</v>
      </c>
      <c r="B5710" s="2" t="s">
        <v>1555</v>
      </c>
      <c r="C5710" s="2">
        <v>5</v>
      </c>
      <c r="D5710" t="str">
        <f t="shared" si="89"/>
        <v>CA-2017-111269_OFF-AR-10001427</v>
      </c>
      <c r="E5710" t="str">
        <f>IF(COUNTIF(data2!$D:$D,D5710)=0,"Missing in Data2","Present")</f>
        <v>Present</v>
      </c>
    </row>
    <row r="5711" spans="1:5" x14ac:dyDescent="0.25">
      <c r="A5711" s="2" t="s">
        <v>4699</v>
      </c>
      <c r="B5711" s="2" t="s">
        <v>1128</v>
      </c>
      <c r="C5711" s="2">
        <v>6</v>
      </c>
      <c r="D5711" t="str">
        <f t="shared" si="89"/>
        <v>CA-2017-111269_TEC-AC-10001606</v>
      </c>
      <c r="E5711" t="str">
        <f>IF(COUNTIF(data2!$D:$D,D5711)=0,"Missing in Data2","Present")</f>
        <v>Present</v>
      </c>
    </row>
    <row r="5712" spans="1:5" x14ac:dyDescent="0.25">
      <c r="A5712" s="2" t="s">
        <v>4700</v>
      </c>
      <c r="B5712" s="2" t="s">
        <v>395</v>
      </c>
      <c r="C5712" s="2">
        <v>10</v>
      </c>
      <c r="D5712" t="str">
        <f t="shared" si="89"/>
        <v>CA-2017-111332_OFF-AR-10000657</v>
      </c>
      <c r="E5712" t="str">
        <f>IF(COUNTIF(data2!$D:$D,D5712)=0,"Missing in Data2","Present")</f>
        <v>Present</v>
      </c>
    </row>
    <row r="5713" spans="1:5" x14ac:dyDescent="0.25">
      <c r="A5713" s="2" t="s">
        <v>4700</v>
      </c>
      <c r="B5713" s="2" t="s">
        <v>333</v>
      </c>
      <c r="C5713" s="2">
        <v>4</v>
      </c>
      <c r="D5713" t="str">
        <f t="shared" si="89"/>
        <v>CA-2017-111332_OFF-AR-10001374</v>
      </c>
      <c r="E5713" t="str">
        <f>IF(COUNTIF(data2!$D:$D,D5713)=0,"Missing in Data2","Present")</f>
        <v>Present</v>
      </c>
    </row>
    <row r="5714" spans="1:5" x14ac:dyDescent="0.25">
      <c r="A5714" s="2" t="s">
        <v>4700</v>
      </c>
      <c r="B5714" s="2" t="s">
        <v>1062</v>
      </c>
      <c r="C5714" s="2">
        <v>3</v>
      </c>
      <c r="D5714" t="str">
        <f t="shared" si="89"/>
        <v>CA-2017-111332_OFF-AR-10001953</v>
      </c>
      <c r="E5714" t="str">
        <f>IF(COUNTIF(data2!$D:$D,D5714)=0,"Missing in Data2","Present")</f>
        <v>Present</v>
      </c>
    </row>
    <row r="5715" spans="1:5" x14ac:dyDescent="0.25">
      <c r="A5715" s="2" t="s">
        <v>4700</v>
      </c>
      <c r="B5715" s="2" t="s">
        <v>1187</v>
      </c>
      <c r="C5715" s="2">
        <v>3</v>
      </c>
      <c r="D5715" t="str">
        <f t="shared" si="89"/>
        <v>CA-2017-111332_OFF-FA-10001843</v>
      </c>
      <c r="E5715" t="str">
        <f>IF(COUNTIF(data2!$D:$D,D5715)=0,"Missing in Data2","Present")</f>
        <v>Present</v>
      </c>
    </row>
    <row r="5716" spans="1:5" x14ac:dyDescent="0.25">
      <c r="A5716" s="2" t="s">
        <v>4700</v>
      </c>
      <c r="B5716" s="2" t="s">
        <v>2294</v>
      </c>
      <c r="C5716" s="2">
        <v>4</v>
      </c>
      <c r="D5716" t="str">
        <f t="shared" si="89"/>
        <v>CA-2017-111332_OFF-ST-10003816</v>
      </c>
      <c r="E5716" t="str">
        <f>IF(COUNTIF(data2!$D:$D,D5716)=0,"Missing in Data2","Present")</f>
        <v>Present</v>
      </c>
    </row>
    <row r="5717" spans="1:5" x14ac:dyDescent="0.25">
      <c r="A5717" s="2" t="s">
        <v>4701</v>
      </c>
      <c r="B5717" s="2" t="s">
        <v>651</v>
      </c>
      <c r="C5717" s="2">
        <v>4</v>
      </c>
      <c r="D5717" t="str">
        <f t="shared" si="89"/>
        <v>CA-2017-111374_OFF-BI-10004970</v>
      </c>
      <c r="E5717" t="str">
        <f>IF(COUNTIF(data2!$D:$D,D5717)=0,"Missing in Data2","Present")</f>
        <v>Present</v>
      </c>
    </row>
    <row r="5718" spans="1:5" x14ac:dyDescent="0.25">
      <c r="A5718" s="2" t="s">
        <v>4702</v>
      </c>
      <c r="B5718" s="2" t="s">
        <v>2185</v>
      </c>
      <c r="C5718" s="2">
        <v>3</v>
      </c>
      <c r="D5718" t="str">
        <f t="shared" si="89"/>
        <v>CA-2017-111388_FUR-CH-10003061</v>
      </c>
      <c r="E5718" t="str">
        <f>IF(COUNTIF(data2!$D:$D,D5718)=0,"Missing in Data2","Present")</f>
        <v>Present</v>
      </c>
    </row>
    <row r="5719" spans="1:5" x14ac:dyDescent="0.25">
      <c r="A5719" s="2" t="s">
        <v>4703</v>
      </c>
      <c r="B5719" s="2" t="s">
        <v>635</v>
      </c>
      <c r="C5719" s="2">
        <v>2</v>
      </c>
      <c r="D5719" t="str">
        <f t="shared" si="89"/>
        <v>CA-2017-111556_FUR-BO-10003159</v>
      </c>
      <c r="E5719" t="str">
        <f>IF(COUNTIF(data2!$D:$D,D5719)=0,"Missing in Data2","Present")</f>
        <v>Present</v>
      </c>
    </row>
    <row r="5720" spans="1:5" x14ac:dyDescent="0.25">
      <c r="A5720" s="2" t="s">
        <v>4703</v>
      </c>
      <c r="B5720" s="2" t="s">
        <v>4704</v>
      </c>
      <c r="C5720" s="2">
        <v>7</v>
      </c>
      <c r="D5720" t="str">
        <f t="shared" si="89"/>
        <v>CA-2017-111556_OFF-PA-10003651</v>
      </c>
      <c r="E5720" t="str">
        <f>IF(COUNTIF(data2!$D:$D,D5720)=0,"Missing in Data2","Present")</f>
        <v>Present</v>
      </c>
    </row>
    <row r="5721" spans="1:5" x14ac:dyDescent="0.25">
      <c r="A5721" s="2" t="s">
        <v>4703</v>
      </c>
      <c r="B5721" s="2" t="s">
        <v>984</v>
      </c>
      <c r="C5721" s="2">
        <v>3</v>
      </c>
      <c r="D5721" t="str">
        <f t="shared" si="89"/>
        <v>CA-2017-111556_TEC-PH-10001459</v>
      </c>
      <c r="E5721" t="str">
        <f>IF(COUNTIF(data2!$D:$D,D5721)=0,"Missing in Data2","Present")</f>
        <v>Present</v>
      </c>
    </row>
    <row r="5722" spans="1:5" x14ac:dyDescent="0.25">
      <c r="A5722" s="2" t="s">
        <v>4705</v>
      </c>
      <c r="B5722" s="2" t="s">
        <v>1510</v>
      </c>
      <c r="C5722" s="2">
        <v>7</v>
      </c>
      <c r="D5722" t="str">
        <f t="shared" si="89"/>
        <v>CA-2017-111577_OFF-PA-10000062</v>
      </c>
      <c r="E5722" t="str">
        <f>IF(COUNTIF(data2!$D:$D,D5722)=0,"Missing in Data2","Present")</f>
        <v>Present</v>
      </c>
    </row>
    <row r="5723" spans="1:5" x14ac:dyDescent="0.25">
      <c r="A5723" s="2" t="s">
        <v>4706</v>
      </c>
      <c r="B5723" s="2" t="s">
        <v>1325</v>
      </c>
      <c r="C5723" s="2">
        <v>3</v>
      </c>
      <c r="D5723" t="str">
        <f t="shared" si="89"/>
        <v>CA-2017-111591_FUR-FU-10002364</v>
      </c>
      <c r="E5723" t="str">
        <f>IF(COUNTIF(data2!$D:$D,D5723)=0,"Missing in Data2","Present")</f>
        <v>Present</v>
      </c>
    </row>
    <row r="5724" spans="1:5" x14ac:dyDescent="0.25">
      <c r="A5724" s="2" t="s">
        <v>4706</v>
      </c>
      <c r="B5724" s="2" t="s">
        <v>2186</v>
      </c>
      <c r="C5724" s="2">
        <v>6</v>
      </c>
      <c r="D5724" t="str">
        <f t="shared" si="89"/>
        <v>CA-2017-111591_OFF-BI-10004410</v>
      </c>
      <c r="E5724" t="str">
        <f>IF(COUNTIF(data2!$D:$D,D5724)=0,"Missing in Data2","Present")</f>
        <v>Present</v>
      </c>
    </row>
    <row r="5725" spans="1:5" x14ac:dyDescent="0.25">
      <c r="A5725" s="2" t="s">
        <v>4706</v>
      </c>
      <c r="B5725" s="2" t="s">
        <v>465</v>
      </c>
      <c r="C5725" s="2">
        <v>4</v>
      </c>
      <c r="D5725" t="str">
        <f t="shared" si="89"/>
        <v>CA-2017-111591_OFF-ST-10001809</v>
      </c>
      <c r="E5725" t="str">
        <f>IF(COUNTIF(data2!$D:$D,D5725)=0,"Missing in Data2","Present")</f>
        <v>Present</v>
      </c>
    </row>
    <row r="5726" spans="1:5" x14ac:dyDescent="0.25">
      <c r="A5726" s="2" t="s">
        <v>4707</v>
      </c>
      <c r="B5726" s="2" t="s">
        <v>244</v>
      </c>
      <c r="C5726" s="2">
        <v>4</v>
      </c>
      <c r="D5726" t="str">
        <f t="shared" si="89"/>
        <v>CA-2017-111647_TEC-PH-10002726</v>
      </c>
      <c r="E5726" t="str">
        <f>IF(COUNTIF(data2!$D:$D,D5726)=0,"Missing in Data2","Present")</f>
        <v>Present</v>
      </c>
    </row>
    <row r="5727" spans="1:5" x14ac:dyDescent="0.25">
      <c r="A5727" s="2" t="s">
        <v>4708</v>
      </c>
      <c r="B5727" s="2" t="s">
        <v>1083</v>
      </c>
      <c r="C5727" s="2">
        <v>5</v>
      </c>
      <c r="D5727" t="str">
        <f t="shared" si="89"/>
        <v>CA-2017-111689_FUR-CH-10004287</v>
      </c>
      <c r="E5727" t="str">
        <f>IF(COUNTIF(data2!$D:$D,D5727)=0,"Missing in Data2","Present")</f>
        <v>Present</v>
      </c>
    </row>
    <row r="5728" spans="1:5" x14ac:dyDescent="0.25">
      <c r="A5728" s="2" t="s">
        <v>4708</v>
      </c>
      <c r="B5728" s="2" t="s">
        <v>49</v>
      </c>
      <c r="C5728" s="2">
        <v>3</v>
      </c>
      <c r="D5728" t="str">
        <f t="shared" si="89"/>
        <v>CA-2017-111689_OFF-BI-10003984</v>
      </c>
      <c r="E5728" t="str">
        <f>IF(COUNTIF(data2!$D:$D,D5728)=0,"Missing in Data2","Present")</f>
        <v>Present</v>
      </c>
    </row>
    <row r="5729" spans="1:5" x14ac:dyDescent="0.25">
      <c r="A5729" s="2" t="s">
        <v>4709</v>
      </c>
      <c r="B5729" s="2" t="s">
        <v>2710</v>
      </c>
      <c r="C5729" s="2">
        <v>3</v>
      </c>
      <c r="D5729" t="str">
        <f t="shared" si="89"/>
        <v>CA-2017-111717_FUR-CH-10001545</v>
      </c>
      <c r="E5729" t="str">
        <f>IF(COUNTIF(data2!$D:$D,D5729)=0,"Missing in Data2","Present")</f>
        <v>Present</v>
      </c>
    </row>
    <row r="5730" spans="1:5" x14ac:dyDescent="0.25">
      <c r="A5730" s="2" t="s">
        <v>4710</v>
      </c>
      <c r="B5730" s="2" t="s">
        <v>2616</v>
      </c>
      <c r="C5730" s="2">
        <v>3</v>
      </c>
      <c r="D5730" t="str">
        <f t="shared" si="89"/>
        <v>CA-2017-111738_OFF-AR-10000817</v>
      </c>
      <c r="E5730" t="str">
        <f>IF(COUNTIF(data2!$D:$D,D5730)=0,"Missing in Data2","Present")</f>
        <v>Present</v>
      </c>
    </row>
    <row r="5731" spans="1:5" x14ac:dyDescent="0.25">
      <c r="A5731" s="2" t="s">
        <v>4710</v>
      </c>
      <c r="B5731" s="2" t="s">
        <v>3778</v>
      </c>
      <c r="C5731" s="2">
        <v>8</v>
      </c>
      <c r="D5731" t="str">
        <f t="shared" si="89"/>
        <v>CA-2017-111738_OFF-BI-10004584</v>
      </c>
      <c r="E5731" t="str">
        <f>IF(COUNTIF(data2!$D:$D,D5731)=0,"Missing in Data2","Present")</f>
        <v>Present</v>
      </c>
    </row>
    <row r="5732" spans="1:5" x14ac:dyDescent="0.25">
      <c r="A5732" s="2" t="s">
        <v>4711</v>
      </c>
      <c r="B5732" s="2" t="s">
        <v>4712</v>
      </c>
      <c r="C5732" s="2">
        <v>2</v>
      </c>
      <c r="D5732" t="str">
        <f t="shared" si="89"/>
        <v>CA-2017-111759_OFF-PA-10003127</v>
      </c>
      <c r="E5732" t="str">
        <f>IF(COUNTIF(data2!$D:$D,D5732)=0,"Missing in Data2","Present")</f>
        <v>Missing in Data2</v>
      </c>
    </row>
    <row r="5733" spans="1:5" x14ac:dyDescent="0.25">
      <c r="A5733" s="2" t="s">
        <v>4713</v>
      </c>
      <c r="B5733" s="2" t="s">
        <v>853</v>
      </c>
      <c r="C5733" s="2">
        <v>5</v>
      </c>
      <c r="D5733" t="str">
        <f t="shared" si="89"/>
        <v>CA-2017-111808_OFF-BI-10004656</v>
      </c>
      <c r="E5733" t="str">
        <f>IF(COUNTIF(data2!$D:$D,D5733)=0,"Missing in Data2","Present")</f>
        <v>Present</v>
      </c>
    </row>
    <row r="5734" spans="1:5" x14ac:dyDescent="0.25">
      <c r="A5734" s="2" t="s">
        <v>4714</v>
      </c>
      <c r="B5734" s="2" t="s">
        <v>2213</v>
      </c>
      <c r="C5734" s="2">
        <v>1</v>
      </c>
      <c r="D5734" t="str">
        <f t="shared" si="89"/>
        <v>CA-2017-111815_FUR-CH-10000785</v>
      </c>
      <c r="E5734" t="str">
        <f>IF(COUNTIF(data2!$D:$D,D5734)=0,"Missing in Data2","Present")</f>
        <v>Present</v>
      </c>
    </row>
    <row r="5735" spans="1:5" x14ac:dyDescent="0.25">
      <c r="A5735" s="2" t="s">
        <v>4714</v>
      </c>
      <c r="B5735" s="2" t="s">
        <v>1406</v>
      </c>
      <c r="C5735" s="2">
        <v>2</v>
      </c>
      <c r="D5735" t="str">
        <f t="shared" si="89"/>
        <v>CA-2017-111815_TEC-AC-10002926</v>
      </c>
      <c r="E5735" t="str">
        <f>IF(COUNTIF(data2!$D:$D,D5735)=0,"Missing in Data2","Present")</f>
        <v>Present</v>
      </c>
    </row>
    <row r="5736" spans="1:5" x14ac:dyDescent="0.25">
      <c r="A5736" s="2" t="s">
        <v>4715</v>
      </c>
      <c r="B5736" s="2" t="s">
        <v>609</v>
      </c>
      <c r="C5736" s="2">
        <v>5</v>
      </c>
      <c r="D5736" t="str">
        <f t="shared" si="89"/>
        <v>CA-2017-112004_OFF-BI-10003476</v>
      </c>
      <c r="E5736" t="str">
        <f>IF(COUNTIF(data2!$D:$D,D5736)=0,"Missing in Data2","Present")</f>
        <v>Missing in Data2</v>
      </c>
    </row>
    <row r="5737" spans="1:5" x14ac:dyDescent="0.25">
      <c r="A5737" s="2" t="s">
        <v>4715</v>
      </c>
      <c r="B5737" s="2" t="s">
        <v>695</v>
      </c>
      <c r="C5737" s="2">
        <v>2</v>
      </c>
      <c r="D5737" t="str">
        <f t="shared" si="89"/>
        <v>CA-2017-112004_OFF-SU-10000157</v>
      </c>
      <c r="E5737" t="str">
        <f>IF(COUNTIF(data2!$D:$D,D5737)=0,"Missing in Data2","Present")</f>
        <v>Present</v>
      </c>
    </row>
    <row r="5738" spans="1:5" x14ac:dyDescent="0.25">
      <c r="A5738" s="2" t="s">
        <v>4716</v>
      </c>
      <c r="B5738" s="2" t="s">
        <v>520</v>
      </c>
      <c r="C5738" s="2">
        <v>3</v>
      </c>
      <c r="D5738" t="str">
        <f t="shared" si="89"/>
        <v>CA-2017-112039_TEC-PH-10000984</v>
      </c>
      <c r="E5738" t="str">
        <f>IF(COUNTIF(data2!$D:$D,D5738)=0,"Missing in Data2","Present")</f>
        <v>Present</v>
      </c>
    </row>
    <row r="5739" spans="1:5" x14ac:dyDescent="0.25">
      <c r="A5739" s="2" t="s">
        <v>4717</v>
      </c>
      <c r="B5739" s="2" t="s">
        <v>977</v>
      </c>
      <c r="C5739" s="2">
        <v>3</v>
      </c>
      <c r="D5739" t="str">
        <f t="shared" si="89"/>
        <v>CA-2017-112172_OFF-FA-10004395</v>
      </c>
      <c r="E5739" t="str">
        <f>IF(COUNTIF(data2!$D:$D,D5739)=0,"Missing in Data2","Present")</f>
        <v>Present</v>
      </c>
    </row>
    <row r="5740" spans="1:5" x14ac:dyDescent="0.25">
      <c r="A5740" s="2" t="s">
        <v>4718</v>
      </c>
      <c r="B5740" s="2" t="s">
        <v>725</v>
      </c>
      <c r="C5740" s="2">
        <v>5</v>
      </c>
      <c r="D5740" t="str">
        <f t="shared" si="89"/>
        <v>CA-2017-112333_OFF-AP-10001962</v>
      </c>
      <c r="E5740" t="str">
        <f>IF(COUNTIF(data2!$D:$D,D5740)=0,"Missing in Data2","Present")</f>
        <v>Present</v>
      </c>
    </row>
    <row r="5741" spans="1:5" x14ac:dyDescent="0.25">
      <c r="A5741" s="2" t="s">
        <v>4718</v>
      </c>
      <c r="B5741" s="2" t="s">
        <v>2293</v>
      </c>
      <c r="C5741" s="2">
        <v>4</v>
      </c>
      <c r="D5741" t="str">
        <f t="shared" si="89"/>
        <v>CA-2017-112333_OFF-ST-10001780</v>
      </c>
      <c r="E5741" t="str">
        <f>IF(COUNTIF(data2!$D:$D,D5741)=0,"Missing in Data2","Present")</f>
        <v>Present</v>
      </c>
    </row>
    <row r="5742" spans="1:5" x14ac:dyDescent="0.25">
      <c r="A5742" s="2" t="s">
        <v>4719</v>
      </c>
      <c r="B5742" s="2" t="s">
        <v>3171</v>
      </c>
      <c r="C5742" s="2">
        <v>2</v>
      </c>
      <c r="D5742" t="str">
        <f t="shared" si="89"/>
        <v>CA-2017-112431_OFF-AR-10000940</v>
      </c>
      <c r="E5742" t="str">
        <f>IF(COUNTIF(data2!$D:$D,D5742)=0,"Missing in Data2","Present")</f>
        <v>Present</v>
      </c>
    </row>
    <row r="5743" spans="1:5" x14ac:dyDescent="0.25">
      <c r="A5743" s="2" t="s">
        <v>4719</v>
      </c>
      <c r="B5743" s="2" t="s">
        <v>161</v>
      </c>
      <c r="C5743" s="2">
        <v>12</v>
      </c>
      <c r="D5743" t="str">
        <f t="shared" si="89"/>
        <v>CA-2017-112431_TEC-AC-10001465</v>
      </c>
      <c r="E5743" t="str">
        <f>IF(COUNTIF(data2!$D:$D,D5743)=0,"Missing in Data2","Present")</f>
        <v>Present</v>
      </c>
    </row>
    <row r="5744" spans="1:5" x14ac:dyDescent="0.25">
      <c r="A5744" s="2" t="s">
        <v>4720</v>
      </c>
      <c r="B5744" s="2" t="s">
        <v>2216</v>
      </c>
      <c r="C5744" s="2">
        <v>3</v>
      </c>
      <c r="D5744" t="str">
        <f t="shared" si="89"/>
        <v>CA-2017-112473_OFF-ST-10002182</v>
      </c>
      <c r="E5744" t="str">
        <f>IF(COUNTIF(data2!$D:$D,D5744)=0,"Missing in Data2","Present")</f>
        <v>Present</v>
      </c>
    </row>
    <row r="5745" spans="1:5" x14ac:dyDescent="0.25">
      <c r="A5745" s="2" t="s">
        <v>4721</v>
      </c>
      <c r="B5745" s="2" t="s">
        <v>492</v>
      </c>
      <c r="C5745" s="2">
        <v>2</v>
      </c>
      <c r="D5745" t="str">
        <f t="shared" si="89"/>
        <v>CA-2017-112487_OFF-BI-10000494</v>
      </c>
      <c r="E5745" t="str">
        <f>IF(COUNTIF(data2!$D:$D,D5745)=0,"Missing in Data2","Present")</f>
        <v>Present</v>
      </c>
    </row>
    <row r="5746" spans="1:5" x14ac:dyDescent="0.25">
      <c r="A5746" s="2" t="s">
        <v>4722</v>
      </c>
      <c r="B5746" s="2" t="s">
        <v>4723</v>
      </c>
      <c r="C5746" s="2">
        <v>3</v>
      </c>
      <c r="D5746" t="str">
        <f t="shared" si="89"/>
        <v>CA-2017-112515_FUR-BO-10003404</v>
      </c>
      <c r="E5746" t="str">
        <f>IF(COUNTIF(data2!$D:$D,D5746)=0,"Missing in Data2","Present")</f>
        <v>Present</v>
      </c>
    </row>
    <row r="5747" spans="1:5" x14ac:dyDescent="0.25">
      <c r="A5747" s="2" t="s">
        <v>4722</v>
      </c>
      <c r="B5747" s="2" t="s">
        <v>419</v>
      </c>
      <c r="C5747" s="2">
        <v>3</v>
      </c>
      <c r="D5747" t="str">
        <f t="shared" si="89"/>
        <v>CA-2017-112515_OFF-BI-10000829</v>
      </c>
      <c r="E5747" t="str">
        <f>IF(COUNTIF(data2!$D:$D,D5747)=0,"Missing in Data2","Present")</f>
        <v>Present</v>
      </c>
    </row>
    <row r="5748" spans="1:5" x14ac:dyDescent="0.25">
      <c r="A5748" s="2" t="s">
        <v>4722</v>
      </c>
      <c r="B5748" s="2" t="s">
        <v>688</v>
      </c>
      <c r="C5748" s="2">
        <v>3</v>
      </c>
      <c r="D5748" t="str">
        <f t="shared" si="89"/>
        <v>CA-2017-112515_OFF-BI-10003712</v>
      </c>
      <c r="E5748" t="str">
        <f>IF(COUNTIF(data2!$D:$D,D5748)=0,"Missing in Data2","Present")</f>
        <v>Present</v>
      </c>
    </row>
    <row r="5749" spans="1:5" x14ac:dyDescent="0.25">
      <c r="A5749" s="2" t="s">
        <v>4722</v>
      </c>
      <c r="B5749" s="2" t="s">
        <v>137</v>
      </c>
      <c r="C5749" s="2">
        <v>2</v>
      </c>
      <c r="D5749" t="str">
        <f t="shared" si="89"/>
        <v>CA-2017-112515_OFF-BI-10004233</v>
      </c>
      <c r="E5749" t="str">
        <f>IF(COUNTIF(data2!$D:$D,D5749)=0,"Missing in Data2","Present")</f>
        <v>Present</v>
      </c>
    </row>
    <row r="5750" spans="1:5" x14ac:dyDescent="0.25">
      <c r="A5750" s="2" t="s">
        <v>4722</v>
      </c>
      <c r="B5750" s="2" t="s">
        <v>1510</v>
      </c>
      <c r="C5750" s="2">
        <v>3</v>
      </c>
      <c r="D5750" t="str">
        <f t="shared" si="89"/>
        <v>CA-2017-112515_OFF-PA-10000062</v>
      </c>
      <c r="E5750" t="str">
        <f>IF(COUNTIF(data2!$D:$D,D5750)=0,"Missing in Data2","Present")</f>
        <v>Present</v>
      </c>
    </row>
    <row r="5751" spans="1:5" x14ac:dyDescent="0.25">
      <c r="A5751" s="2" t="s">
        <v>4722</v>
      </c>
      <c r="B5751" s="2" t="s">
        <v>2653</v>
      </c>
      <c r="C5751" s="2">
        <v>2</v>
      </c>
      <c r="D5751" t="str">
        <f t="shared" si="89"/>
        <v>CA-2017-112515_OFF-ST-10001272</v>
      </c>
      <c r="E5751" t="str">
        <f>IF(COUNTIF(data2!$D:$D,D5751)=0,"Missing in Data2","Present")</f>
        <v>Present</v>
      </c>
    </row>
    <row r="5752" spans="1:5" x14ac:dyDescent="0.25">
      <c r="A5752" s="2" t="s">
        <v>4724</v>
      </c>
      <c r="B5752" s="2" t="s">
        <v>1819</v>
      </c>
      <c r="C5752" s="2">
        <v>4</v>
      </c>
      <c r="D5752" t="str">
        <f t="shared" si="89"/>
        <v>CA-2017-112529_OFF-AR-10001915</v>
      </c>
      <c r="E5752" t="str">
        <f>IF(COUNTIF(data2!$D:$D,D5752)=0,"Missing in Data2","Present")</f>
        <v>Present</v>
      </c>
    </row>
    <row r="5753" spans="1:5" x14ac:dyDescent="0.25">
      <c r="A5753" s="2" t="s">
        <v>4725</v>
      </c>
      <c r="B5753" s="2" t="s">
        <v>247</v>
      </c>
      <c r="C5753" s="2">
        <v>1</v>
      </c>
      <c r="D5753" t="str">
        <f t="shared" si="89"/>
        <v>CA-2017-112536_OFF-BI-10002571</v>
      </c>
      <c r="E5753" t="str">
        <f>IF(COUNTIF(data2!$D:$D,D5753)=0,"Missing in Data2","Present")</f>
        <v>Present</v>
      </c>
    </row>
    <row r="5754" spans="1:5" x14ac:dyDescent="0.25">
      <c r="A5754" s="2" t="s">
        <v>4725</v>
      </c>
      <c r="B5754" s="2" t="s">
        <v>688</v>
      </c>
      <c r="C5754" s="2">
        <v>7</v>
      </c>
      <c r="D5754" t="str">
        <f t="shared" si="89"/>
        <v>CA-2017-112536_OFF-BI-10003712</v>
      </c>
      <c r="E5754" t="str">
        <f>IF(COUNTIF(data2!$D:$D,D5754)=0,"Missing in Data2","Present")</f>
        <v>Present</v>
      </c>
    </row>
    <row r="5755" spans="1:5" x14ac:dyDescent="0.25">
      <c r="A5755" s="2" t="s">
        <v>4725</v>
      </c>
      <c r="B5755" s="2" t="s">
        <v>4726</v>
      </c>
      <c r="C5755" s="2">
        <v>2</v>
      </c>
      <c r="D5755" t="str">
        <f t="shared" si="89"/>
        <v>CA-2017-112536_OFF-ST-10004835</v>
      </c>
      <c r="E5755" t="str">
        <f>IF(COUNTIF(data2!$D:$D,D5755)=0,"Missing in Data2","Present")</f>
        <v>Present</v>
      </c>
    </row>
    <row r="5756" spans="1:5" x14ac:dyDescent="0.25">
      <c r="A5756" s="2" t="s">
        <v>4727</v>
      </c>
      <c r="B5756" s="2" t="s">
        <v>474</v>
      </c>
      <c r="C5756" s="2">
        <v>1</v>
      </c>
      <c r="D5756" t="str">
        <f t="shared" si="89"/>
        <v>CA-2017-112725_FUR-CH-10000863</v>
      </c>
      <c r="E5756" t="str">
        <f>IF(COUNTIF(data2!$D:$D,D5756)=0,"Missing in Data2","Present")</f>
        <v>Present</v>
      </c>
    </row>
    <row r="5757" spans="1:5" x14ac:dyDescent="0.25">
      <c r="A5757" s="2" t="s">
        <v>4727</v>
      </c>
      <c r="B5757" s="2" t="s">
        <v>4247</v>
      </c>
      <c r="C5757" s="2">
        <v>3</v>
      </c>
      <c r="D5757" t="str">
        <f t="shared" si="89"/>
        <v>CA-2017-112725_OFF-AR-10001227</v>
      </c>
      <c r="E5757" t="str">
        <f>IF(COUNTIF(data2!$D:$D,D5757)=0,"Missing in Data2","Present")</f>
        <v>Present</v>
      </c>
    </row>
    <row r="5758" spans="1:5" x14ac:dyDescent="0.25">
      <c r="A5758" s="2" t="s">
        <v>4727</v>
      </c>
      <c r="B5758" s="2" t="s">
        <v>2034</v>
      </c>
      <c r="C5758" s="2">
        <v>7</v>
      </c>
      <c r="D5758" t="str">
        <f t="shared" si="89"/>
        <v>CA-2017-112725_OFF-AR-10003759</v>
      </c>
      <c r="E5758" t="str">
        <f>IF(COUNTIF(data2!$D:$D,D5758)=0,"Missing in Data2","Present")</f>
        <v>Missing in Data2</v>
      </c>
    </row>
    <row r="5759" spans="1:5" x14ac:dyDescent="0.25">
      <c r="A5759" s="2" t="s">
        <v>4728</v>
      </c>
      <c r="B5759" s="2" t="s">
        <v>631</v>
      </c>
      <c r="C5759" s="2">
        <v>9</v>
      </c>
      <c r="D5759" t="str">
        <f t="shared" si="89"/>
        <v>CA-2017-112753_FUR-BO-10004015</v>
      </c>
      <c r="E5759" t="str">
        <f>IF(COUNTIF(data2!$D:$D,D5759)=0,"Missing in Data2","Present")</f>
        <v>Missing in Data2</v>
      </c>
    </row>
    <row r="5760" spans="1:5" x14ac:dyDescent="0.25">
      <c r="A5760" s="2" t="s">
        <v>4728</v>
      </c>
      <c r="B5760" s="2" t="s">
        <v>2410</v>
      </c>
      <c r="C5760" s="2">
        <v>6</v>
      </c>
      <c r="D5760" t="str">
        <f t="shared" si="89"/>
        <v>CA-2017-112753_OFF-PA-10002036</v>
      </c>
      <c r="E5760" t="str">
        <f>IF(COUNTIF(data2!$D:$D,D5760)=0,"Missing in Data2","Present")</f>
        <v>Present</v>
      </c>
    </row>
    <row r="5761" spans="1:5" x14ac:dyDescent="0.25">
      <c r="A5761" s="2" t="s">
        <v>4729</v>
      </c>
      <c r="B5761" s="2" t="s">
        <v>2048</v>
      </c>
      <c r="C5761" s="2">
        <v>5</v>
      </c>
      <c r="D5761" t="str">
        <f t="shared" si="89"/>
        <v>CA-2017-112809_OFF-BI-10001098</v>
      </c>
      <c r="E5761" t="str">
        <f>IF(COUNTIF(data2!$D:$D,D5761)=0,"Missing in Data2","Present")</f>
        <v>Present</v>
      </c>
    </row>
    <row r="5762" spans="1:5" x14ac:dyDescent="0.25">
      <c r="A5762" s="2" t="s">
        <v>4729</v>
      </c>
      <c r="B5762" s="2" t="s">
        <v>1002</v>
      </c>
      <c r="C5762" s="2">
        <v>3</v>
      </c>
      <c r="D5762" t="str">
        <f t="shared" si="89"/>
        <v>CA-2017-112809_OFF-ST-10002276</v>
      </c>
      <c r="E5762" t="str">
        <f>IF(COUNTIF(data2!$D:$D,D5762)=0,"Missing in Data2","Present")</f>
        <v>Present</v>
      </c>
    </row>
    <row r="5763" spans="1:5" x14ac:dyDescent="0.25">
      <c r="A5763" s="2" t="s">
        <v>4730</v>
      </c>
      <c r="B5763" s="2" t="s">
        <v>2637</v>
      </c>
      <c r="C5763" s="2">
        <v>3</v>
      </c>
      <c r="D5763" t="str">
        <f t="shared" ref="D5763:D5826" si="90">A5763&amp;"_"&amp;B5763</f>
        <v>CA-2017-112844_FUR-FU-10004845</v>
      </c>
      <c r="E5763" t="str">
        <f>IF(COUNTIF(data2!$D:$D,D5763)=0,"Missing in Data2","Present")</f>
        <v>Present</v>
      </c>
    </row>
    <row r="5764" spans="1:5" x14ac:dyDescent="0.25">
      <c r="A5764" s="2" t="s">
        <v>4730</v>
      </c>
      <c r="B5764" s="2" t="s">
        <v>1616</v>
      </c>
      <c r="C5764" s="2">
        <v>4</v>
      </c>
      <c r="D5764" t="str">
        <f t="shared" si="90"/>
        <v>CA-2017-112844_TEC-PH-10003988</v>
      </c>
      <c r="E5764" t="str">
        <f>IF(COUNTIF(data2!$D:$D,D5764)=0,"Missing in Data2","Present")</f>
        <v>Present</v>
      </c>
    </row>
    <row r="5765" spans="1:5" x14ac:dyDescent="0.25">
      <c r="A5765" s="2" t="s">
        <v>4731</v>
      </c>
      <c r="B5765" s="2" t="s">
        <v>2069</v>
      </c>
      <c r="C5765" s="2">
        <v>3</v>
      </c>
      <c r="D5765" t="str">
        <f t="shared" si="90"/>
        <v>CA-2017-112865_TEC-AC-10000387</v>
      </c>
      <c r="E5765" t="str">
        <f>IF(COUNTIF(data2!$D:$D,D5765)=0,"Missing in Data2","Present")</f>
        <v>Present</v>
      </c>
    </row>
    <row r="5766" spans="1:5" x14ac:dyDescent="0.25">
      <c r="A5766" s="2" t="s">
        <v>4732</v>
      </c>
      <c r="B5766" s="2" t="s">
        <v>1345</v>
      </c>
      <c r="C5766" s="2">
        <v>8</v>
      </c>
      <c r="D5766" t="str">
        <f t="shared" si="90"/>
        <v>CA-2017-112900_OFF-BI-10002867</v>
      </c>
      <c r="E5766" t="str">
        <f>IF(COUNTIF(data2!$D:$D,D5766)=0,"Missing in Data2","Present")</f>
        <v>Present</v>
      </c>
    </row>
    <row r="5767" spans="1:5" x14ac:dyDescent="0.25">
      <c r="A5767" s="2" t="s">
        <v>4733</v>
      </c>
      <c r="B5767" s="2" t="s">
        <v>3218</v>
      </c>
      <c r="C5767" s="2">
        <v>2</v>
      </c>
      <c r="D5767" t="str">
        <f t="shared" si="90"/>
        <v>CA-2017-112956_FUR-FU-10003976</v>
      </c>
      <c r="E5767" t="str">
        <f>IF(COUNTIF(data2!$D:$D,D5767)=0,"Missing in Data2","Present")</f>
        <v>Present</v>
      </c>
    </row>
    <row r="5768" spans="1:5" x14ac:dyDescent="0.25">
      <c r="A5768" s="2" t="s">
        <v>4733</v>
      </c>
      <c r="B5768" s="2" t="s">
        <v>4018</v>
      </c>
      <c r="C5768" s="2">
        <v>4</v>
      </c>
      <c r="D5768" t="str">
        <f t="shared" si="90"/>
        <v>CA-2017-112956_FUR-FU-10004960</v>
      </c>
      <c r="E5768" t="str">
        <f>IF(COUNTIF(data2!$D:$D,D5768)=0,"Missing in Data2","Present")</f>
        <v>Present</v>
      </c>
    </row>
    <row r="5769" spans="1:5" x14ac:dyDescent="0.25">
      <c r="A5769" s="2" t="s">
        <v>4733</v>
      </c>
      <c r="B5769" s="2" t="s">
        <v>41</v>
      </c>
      <c r="C5769" s="2">
        <v>5</v>
      </c>
      <c r="D5769" t="str">
        <f t="shared" si="90"/>
        <v>CA-2017-112956_OFF-PA-10000357</v>
      </c>
      <c r="E5769" t="str">
        <f>IF(COUNTIF(data2!$D:$D,D5769)=0,"Missing in Data2","Present")</f>
        <v>Present</v>
      </c>
    </row>
    <row r="5770" spans="1:5" x14ac:dyDescent="0.25">
      <c r="A5770" s="2" t="s">
        <v>4734</v>
      </c>
      <c r="B5770" s="2" t="s">
        <v>2768</v>
      </c>
      <c r="C5770" s="2">
        <v>6</v>
      </c>
      <c r="D5770" t="str">
        <f t="shared" si="90"/>
        <v>CA-2017-112984_OFF-PA-10003657</v>
      </c>
      <c r="E5770" t="str">
        <f>IF(COUNTIF(data2!$D:$D,D5770)=0,"Missing in Data2","Present")</f>
        <v>Present</v>
      </c>
    </row>
    <row r="5771" spans="1:5" x14ac:dyDescent="0.25">
      <c r="A5771" s="2" t="s">
        <v>4735</v>
      </c>
      <c r="B5771" s="2" t="s">
        <v>1841</v>
      </c>
      <c r="C5771" s="2">
        <v>3</v>
      </c>
      <c r="D5771" t="str">
        <f t="shared" si="90"/>
        <v>CA-2017-113075_TEC-AC-10003441</v>
      </c>
      <c r="E5771" t="str">
        <f>IF(COUNTIF(data2!$D:$D,D5771)=0,"Missing in Data2","Present")</f>
        <v>Present</v>
      </c>
    </row>
    <row r="5772" spans="1:5" x14ac:dyDescent="0.25">
      <c r="A5772" s="2" t="s">
        <v>4736</v>
      </c>
      <c r="B5772" s="2" t="s">
        <v>4523</v>
      </c>
      <c r="C5772" s="2">
        <v>3</v>
      </c>
      <c r="D5772" t="str">
        <f t="shared" si="90"/>
        <v>CA-2017-113208_FUR-FU-10004245</v>
      </c>
      <c r="E5772" t="str">
        <f>IF(COUNTIF(data2!$D:$D,D5772)=0,"Missing in Data2","Present")</f>
        <v>Present</v>
      </c>
    </row>
    <row r="5773" spans="1:5" x14ac:dyDescent="0.25">
      <c r="A5773" s="2" t="s">
        <v>4737</v>
      </c>
      <c r="B5773" s="2" t="s">
        <v>3125</v>
      </c>
      <c r="C5773" s="2">
        <v>2</v>
      </c>
      <c r="D5773" t="str">
        <f t="shared" si="90"/>
        <v>CA-2017-113278_FUR-FU-10001037</v>
      </c>
      <c r="E5773" t="str">
        <f>IF(COUNTIF(data2!$D:$D,D5773)=0,"Missing in Data2","Present")</f>
        <v>Present</v>
      </c>
    </row>
    <row r="5774" spans="1:5" x14ac:dyDescent="0.25">
      <c r="A5774" s="2" t="s">
        <v>4737</v>
      </c>
      <c r="B5774" s="2" t="s">
        <v>1859</v>
      </c>
      <c r="C5774" s="2">
        <v>2</v>
      </c>
      <c r="D5774" t="str">
        <f t="shared" si="90"/>
        <v>CA-2017-113278_OFF-FA-10003472</v>
      </c>
      <c r="E5774" t="str">
        <f>IF(COUNTIF(data2!$D:$D,D5774)=0,"Missing in Data2","Present")</f>
        <v>Present</v>
      </c>
    </row>
    <row r="5775" spans="1:5" x14ac:dyDescent="0.25">
      <c r="A5775" s="2" t="s">
        <v>4737</v>
      </c>
      <c r="B5775" s="2" t="s">
        <v>2984</v>
      </c>
      <c r="C5775" s="2">
        <v>1</v>
      </c>
      <c r="D5775" t="str">
        <f t="shared" si="90"/>
        <v>CA-2017-113278_OFF-PA-10004156</v>
      </c>
      <c r="E5775" t="str">
        <f>IF(COUNTIF(data2!$D:$D,D5775)=0,"Missing in Data2","Present")</f>
        <v>Present</v>
      </c>
    </row>
    <row r="5776" spans="1:5" x14ac:dyDescent="0.25">
      <c r="A5776" s="2" t="s">
        <v>4737</v>
      </c>
      <c r="B5776" s="2" t="s">
        <v>2282</v>
      </c>
      <c r="C5776" s="2">
        <v>5</v>
      </c>
      <c r="D5776" t="str">
        <f t="shared" si="90"/>
        <v>CA-2017-113278_OFF-ST-10001590</v>
      </c>
      <c r="E5776" t="str">
        <f>IF(COUNTIF(data2!$D:$D,D5776)=0,"Missing in Data2","Present")</f>
        <v>Present</v>
      </c>
    </row>
    <row r="5777" spans="1:5" x14ac:dyDescent="0.25">
      <c r="A5777" s="2" t="s">
        <v>4737</v>
      </c>
      <c r="B5777" s="2" t="s">
        <v>1660</v>
      </c>
      <c r="C5777" s="2">
        <v>2</v>
      </c>
      <c r="D5777" t="str">
        <f t="shared" si="90"/>
        <v>CA-2017-113278_OFF-ST-10002562</v>
      </c>
      <c r="E5777" t="str">
        <f>IF(COUNTIF(data2!$D:$D,D5777)=0,"Missing in Data2","Present")</f>
        <v>Present</v>
      </c>
    </row>
    <row r="5778" spans="1:5" x14ac:dyDescent="0.25">
      <c r="A5778" s="2" t="s">
        <v>4737</v>
      </c>
      <c r="B5778" s="2" t="s">
        <v>2802</v>
      </c>
      <c r="C5778" s="2">
        <v>4</v>
      </c>
      <c r="D5778" t="str">
        <f t="shared" si="90"/>
        <v>CA-2017-113278_TEC-AC-10004469</v>
      </c>
      <c r="E5778" t="str">
        <f>IF(COUNTIF(data2!$D:$D,D5778)=0,"Missing in Data2","Present")</f>
        <v>Present</v>
      </c>
    </row>
    <row r="5779" spans="1:5" x14ac:dyDescent="0.25">
      <c r="A5779" s="2" t="s">
        <v>4737</v>
      </c>
      <c r="B5779" s="2" t="s">
        <v>63</v>
      </c>
      <c r="C5779" s="2">
        <v>4</v>
      </c>
      <c r="D5779" t="str">
        <f t="shared" si="90"/>
        <v>CA-2017-113278_TEC-PH-10000169</v>
      </c>
      <c r="E5779" t="str">
        <f>IF(COUNTIF(data2!$D:$D,D5779)=0,"Missing in Data2","Present")</f>
        <v>Present</v>
      </c>
    </row>
    <row r="5780" spans="1:5" x14ac:dyDescent="0.25">
      <c r="A5780" s="2" t="s">
        <v>4738</v>
      </c>
      <c r="B5780" s="2" t="s">
        <v>16</v>
      </c>
      <c r="C5780" s="2">
        <v>3</v>
      </c>
      <c r="D5780" t="str">
        <f t="shared" si="90"/>
        <v>CA-2017-113355_FUR-CH-10002602</v>
      </c>
      <c r="E5780" t="str">
        <f>IF(COUNTIF(data2!$D:$D,D5780)=0,"Missing in Data2","Present")</f>
        <v>Present</v>
      </c>
    </row>
    <row r="5781" spans="1:5" x14ac:dyDescent="0.25">
      <c r="A5781" s="2" t="s">
        <v>4738</v>
      </c>
      <c r="B5781" s="2" t="s">
        <v>1751</v>
      </c>
      <c r="C5781" s="2">
        <v>5</v>
      </c>
      <c r="D5781" t="str">
        <f t="shared" si="90"/>
        <v>CA-2017-113355_TEC-PH-10004912</v>
      </c>
      <c r="E5781" t="str">
        <f>IF(COUNTIF(data2!$D:$D,D5781)=0,"Missing in Data2","Present")</f>
        <v>Present</v>
      </c>
    </row>
    <row r="5782" spans="1:5" x14ac:dyDescent="0.25">
      <c r="A5782" s="2" t="s">
        <v>4739</v>
      </c>
      <c r="B5782" s="2" t="s">
        <v>4069</v>
      </c>
      <c r="C5782" s="2">
        <v>11</v>
      </c>
      <c r="D5782" t="str">
        <f t="shared" si="90"/>
        <v>CA-2017-113418_TEC-MA-10002428</v>
      </c>
      <c r="E5782" t="str">
        <f>IF(COUNTIF(data2!$D:$D,D5782)=0,"Missing in Data2","Present")</f>
        <v>Present</v>
      </c>
    </row>
    <row r="5783" spans="1:5" x14ac:dyDescent="0.25">
      <c r="A5783" s="2" t="s">
        <v>4740</v>
      </c>
      <c r="B5783" s="2" t="s">
        <v>4144</v>
      </c>
      <c r="C5783" s="2">
        <v>3</v>
      </c>
      <c r="D5783" t="str">
        <f t="shared" si="90"/>
        <v>CA-2017-113453_OFF-ST-10000352</v>
      </c>
      <c r="E5783" t="str">
        <f>IF(COUNTIF(data2!$D:$D,D5783)=0,"Missing in Data2","Present")</f>
        <v>Present</v>
      </c>
    </row>
    <row r="5784" spans="1:5" x14ac:dyDescent="0.25">
      <c r="A5784" s="2" t="s">
        <v>4740</v>
      </c>
      <c r="B5784" s="2" t="s">
        <v>2074</v>
      </c>
      <c r="C5784" s="2">
        <v>2</v>
      </c>
      <c r="D5784" t="str">
        <f t="shared" si="90"/>
        <v>CA-2017-113453_TEC-PH-10004165</v>
      </c>
      <c r="E5784" t="str">
        <f>IF(COUNTIF(data2!$D:$D,D5784)=0,"Missing in Data2","Present")</f>
        <v>Present</v>
      </c>
    </row>
    <row r="5785" spans="1:5" x14ac:dyDescent="0.25">
      <c r="A5785" s="2" t="s">
        <v>4741</v>
      </c>
      <c r="B5785" s="2" t="s">
        <v>335</v>
      </c>
      <c r="C5785" s="2">
        <v>3</v>
      </c>
      <c r="D5785" t="str">
        <f t="shared" si="90"/>
        <v>CA-2017-113460_FUR-CH-10000422</v>
      </c>
      <c r="E5785" t="str">
        <f>IF(COUNTIF(data2!$D:$D,D5785)=0,"Missing in Data2","Present")</f>
        <v>Present</v>
      </c>
    </row>
    <row r="5786" spans="1:5" x14ac:dyDescent="0.25">
      <c r="A5786" s="2" t="s">
        <v>4742</v>
      </c>
      <c r="B5786" s="2" t="s">
        <v>4743</v>
      </c>
      <c r="C5786" s="2">
        <v>2</v>
      </c>
      <c r="D5786" t="str">
        <f t="shared" si="90"/>
        <v>CA-2017-113474_OFF-EN-10004206</v>
      </c>
      <c r="E5786" t="str">
        <f>IF(COUNTIF(data2!$D:$D,D5786)=0,"Missing in Data2","Present")</f>
        <v>Present</v>
      </c>
    </row>
    <row r="5787" spans="1:5" x14ac:dyDescent="0.25">
      <c r="A5787" s="2" t="s">
        <v>4744</v>
      </c>
      <c r="B5787" s="2" t="s">
        <v>2516</v>
      </c>
      <c r="C5787" s="2">
        <v>5</v>
      </c>
      <c r="D5787" t="str">
        <f t="shared" si="90"/>
        <v>CA-2017-113481_OFF-BI-10003694</v>
      </c>
      <c r="E5787" t="str">
        <f>IF(COUNTIF(data2!$D:$D,D5787)=0,"Missing in Data2","Present")</f>
        <v>Present</v>
      </c>
    </row>
    <row r="5788" spans="1:5" x14ac:dyDescent="0.25">
      <c r="A5788" s="2" t="s">
        <v>4744</v>
      </c>
      <c r="B5788" s="2" t="s">
        <v>4045</v>
      </c>
      <c r="C5788" s="2">
        <v>2</v>
      </c>
      <c r="D5788" t="str">
        <f t="shared" si="90"/>
        <v>CA-2017-113481_TEC-MA-10002178</v>
      </c>
      <c r="E5788" t="str">
        <f>IF(COUNTIF(data2!$D:$D,D5788)=0,"Missing in Data2","Present")</f>
        <v>Present</v>
      </c>
    </row>
    <row r="5789" spans="1:5" x14ac:dyDescent="0.25">
      <c r="A5789" s="2" t="s">
        <v>4745</v>
      </c>
      <c r="B5789" s="2" t="s">
        <v>1419</v>
      </c>
      <c r="C5789" s="2">
        <v>12</v>
      </c>
      <c r="D5789" t="str">
        <f t="shared" si="90"/>
        <v>CA-2017-113530_FUR-CH-10002647</v>
      </c>
      <c r="E5789" t="str">
        <f>IF(COUNTIF(data2!$D:$D,D5789)=0,"Missing in Data2","Present")</f>
        <v>Present</v>
      </c>
    </row>
    <row r="5790" spans="1:5" x14ac:dyDescent="0.25">
      <c r="A5790" s="2" t="s">
        <v>4745</v>
      </c>
      <c r="B5790" s="2" t="s">
        <v>161</v>
      </c>
      <c r="C5790" s="2">
        <v>1</v>
      </c>
      <c r="D5790" t="str">
        <f t="shared" si="90"/>
        <v>CA-2017-113530_TEC-AC-10001465</v>
      </c>
      <c r="E5790" t="str">
        <f>IF(COUNTIF(data2!$D:$D,D5790)=0,"Missing in Data2","Present")</f>
        <v>Present</v>
      </c>
    </row>
    <row r="5791" spans="1:5" x14ac:dyDescent="0.25">
      <c r="A5791" s="2" t="s">
        <v>4746</v>
      </c>
      <c r="B5791" s="2" t="s">
        <v>1682</v>
      </c>
      <c r="C5791" s="2">
        <v>3</v>
      </c>
      <c r="D5791" t="str">
        <f t="shared" si="90"/>
        <v>CA-2017-113558_FUR-CH-10003379</v>
      </c>
      <c r="E5791" t="str">
        <f>IF(COUNTIF(data2!$D:$D,D5791)=0,"Missing in Data2","Present")</f>
        <v>Present</v>
      </c>
    </row>
    <row r="5792" spans="1:5" x14ac:dyDescent="0.25">
      <c r="A5792" s="2" t="s">
        <v>4746</v>
      </c>
      <c r="B5792" s="2" t="s">
        <v>1411</v>
      </c>
      <c r="C5792" s="2">
        <v>3</v>
      </c>
      <c r="D5792" t="str">
        <f t="shared" si="90"/>
        <v>CA-2017-113558_FUR-FU-10001756</v>
      </c>
      <c r="E5792" t="str">
        <f>IF(COUNTIF(data2!$D:$D,D5792)=0,"Missing in Data2","Present")</f>
        <v>Present</v>
      </c>
    </row>
    <row r="5793" spans="1:5" x14ac:dyDescent="0.25">
      <c r="A5793" s="2" t="s">
        <v>4747</v>
      </c>
      <c r="B5793" s="2" t="s">
        <v>527</v>
      </c>
      <c r="C5793" s="2">
        <v>4</v>
      </c>
      <c r="D5793" t="str">
        <f t="shared" si="90"/>
        <v>CA-2017-113572_TEC-AC-10002370</v>
      </c>
      <c r="E5793" t="str">
        <f>IF(COUNTIF(data2!$D:$D,D5793)=0,"Missing in Data2","Present")</f>
        <v>Present</v>
      </c>
    </row>
    <row r="5794" spans="1:5" x14ac:dyDescent="0.25">
      <c r="A5794" s="2" t="s">
        <v>4748</v>
      </c>
      <c r="B5794" s="2" t="s">
        <v>2627</v>
      </c>
      <c r="C5794" s="2">
        <v>3</v>
      </c>
      <c r="D5794" t="str">
        <f t="shared" si="90"/>
        <v>CA-2017-113670_FUR-TA-10001705</v>
      </c>
      <c r="E5794" t="str">
        <f>IF(COUNTIF(data2!$D:$D,D5794)=0,"Missing in Data2","Present")</f>
        <v>Present</v>
      </c>
    </row>
    <row r="5795" spans="1:5" x14ac:dyDescent="0.25">
      <c r="A5795" s="2" t="s">
        <v>4748</v>
      </c>
      <c r="B5795" s="2" t="s">
        <v>1670</v>
      </c>
      <c r="C5795" s="2">
        <v>5</v>
      </c>
      <c r="D5795" t="str">
        <f t="shared" si="90"/>
        <v>CA-2017-113670_OFF-PA-10000675</v>
      </c>
      <c r="E5795" t="str">
        <f>IF(COUNTIF(data2!$D:$D,D5795)=0,"Missing in Data2","Present")</f>
        <v>Present</v>
      </c>
    </row>
    <row r="5796" spans="1:5" x14ac:dyDescent="0.25">
      <c r="A5796" s="2" t="s">
        <v>4749</v>
      </c>
      <c r="B5796" s="2" t="s">
        <v>1679</v>
      </c>
      <c r="C5796" s="2">
        <v>2</v>
      </c>
      <c r="D5796" t="str">
        <f t="shared" si="90"/>
        <v>CA-2017-113705_FUR-TA-10002533</v>
      </c>
      <c r="E5796" t="str">
        <f>IF(COUNTIF(data2!$D:$D,D5796)=0,"Missing in Data2","Present")</f>
        <v>Present</v>
      </c>
    </row>
    <row r="5797" spans="1:5" x14ac:dyDescent="0.25">
      <c r="A5797" s="2" t="s">
        <v>4749</v>
      </c>
      <c r="B5797" s="2" t="s">
        <v>1816</v>
      </c>
      <c r="C5797" s="2">
        <v>2</v>
      </c>
      <c r="D5797" t="str">
        <f t="shared" si="90"/>
        <v>CA-2017-113705_OFF-BI-10001679</v>
      </c>
      <c r="E5797" t="str">
        <f>IF(COUNTIF(data2!$D:$D,D5797)=0,"Missing in Data2","Present")</f>
        <v>Present</v>
      </c>
    </row>
    <row r="5798" spans="1:5" x14ac:dyDescent="0.25">
      <c r="A5798" s="2" t="s">
        <v>4749</v>
      </c>
      <c r="B5798" s="2" t="s">
        <v>2533</v>
      </c>
      <c r="C5798" s="2">
        <v>2</v>
      </c>
      <c r="D5798" t="str">
        <f t="shared" si="90"/>
        <v>CA-2017-113705_OFF-LA-10000476</v>
      </c>
      <c r="E5798" t="str">
        <f>IF(COUNTIF(data2!$D:$D,D5798)=0,"Missing in Data2","Present")</f>
        <v>Present</v>
      </c>
    </row>
    <row r="5799" spans="1:5" x14ac:dyDescent="0.25">
      <c r="A5799" s="2" t="s">
        <v>4749</v>
      </c>
      <c r="B5799" s="2" t="s">
        <v>1968</v>
      </c>
      <c r="C5799" s="2">
        <v>4</v>
      </c>
      <c r="D5799" t="str">
        <f t="shared" si="90"/>
        <v>CA-2017-113705_OFF-PA-10002615</v>
      </c>
      <c r="E5799" t="str">
        <f>IF(COUNTIF(data2!$D:$D,D5799)=0,"Missing in Data2","Present")</f>
        <v>Present</v>
      </c>
    </row>
    <row r="5800" spans="1:5" x14ac:dyDescent="0.25">
      <c r="A5800" s="2" t="s">
        <v>4749</v>
      </c>
      <c r="B5800" s="2" t="s">
        <v>1201</v>
      </c>
      <c r="C5800" s="2">
        <v>3</v>
      </c>
      <c r="D5800" t="str">
        <f t="shared" si="90"/>
        <v>CA-2017-113705_OFF-ST-10001128</v>
      </c>
      <c r="E5800" t="str">
        <f>IF(COUNTIF(data2!$D:$D,D5800)=0,"Missing in Data2","Present")</f>
        <v>Present</v>
      </c>
    </row>
    <row r="5801" spans="1:5" x14ac:dyDescent="0.25">
      <c r="A5801" s="2" t="s">
        <v>4749</v>
      </c>
      <c r="B5801" s="2" t="s">
        <v>4750</v>
      </c>
      <c r="C5801" s="2">
        <v>5</v>
      </c>
      <c r="D5801" t="str">
        <f t="shared" si="90"/>
        <v>CA-2017-113705_TEC-PH-10004006</v>
      </c>
      <c r="E5801" t="str">
        <f>IF(COUNTIF(data2!$D:$D,D5801)=0,"Missing in Data2","Present")</f>
        <v>Present</v>
      </c>
    </row>
    <row r="5802" spans="1:5" x14ac:dyDescent="0.25">
      <c r="A5802" s="2" t="s">
        <v>4751</v>
      </c>
      <c r="B5802" s="2" t="s">
        <v>3329</v>
      </c>
      <c r="C5802" s="2">
        <v>3</v>
      </c>
      <c r="D5802" t="str">
        <f t="shared" si="90"/>
        <v>CA-2017-113873_FUR-BO-10003441</v>
      </c>
      <c r="E5802" t="str">
        <f>IF(COUNTIF(data2!$D:$D,D5802)=0,"Missing in Data2","Present")</f>
        <v>Present</v>
      </c>
    </row>
    <row r="5803" spans="1:5" x14ac:dyDescent="0.25">
      <c r="A5803" s="2" t="s">
        <v>4751</v>
      </c>
      <c r="B5803" s="2" t="s">
        <v>166</v>
      </c>
      <c r="C5803" s="2">
        <v>4</v>
      </c>
      <c r="D5803" t="str">
        <f t="shared" si="90"/>
        <v>CA-2017-113873_OFF-ST-10000943</v>
      </c>
      <c r="E5803" t="str">
        <f>IF(COUNTIF(data2!$D:$D,D5803)=0,"Missing in Data2","Present")</f>
        <v>Present</v>
      </c>
    </row>
    <row r="5804" spans="1:5" x14ac:dyDescent="0.25">
      <c r="A5804" s="2" t="s">
        <v>4752</v>
      </c>
      <c r="B5804" s="2" t="s">
        <v>1116</v>
      </c>
      <c r="C5804" s="2">
        <v>2</v>
      </c>
      <c r="D5804" t="str">
        <f t="shared" si="90"/>
        <v>CA-2017-113908_FUR-TA-10001932</v>
      </c>
      <c r="E5804" t="str">
        <f>IF(COUNTIF(data2!$D:$D,D5804)=0,"Missing in Data2","Present")</f>
        <v>Present</v>
      </c>
    </row>
    <row r="5805" spans="1:5" x14ac:dyDescent="0.25">
      <c r="A5805" s="2" t="s">
        <v>4752</v>
      </c>
      <c r="B5805" s="2" t="s">
        <v>2984</v>
      </c>
      <c r="C5805" s="2">
        <v>4</v>
      </c>
      <c r="D5805" t="str">
        <f t="shared" si="90"/>
        <v>CA-2017-113908_OFF-PA-10004156</v>
      </c>
      <c r="E5805" t="str">
        <f>IF(COUNTIF(data2!$D:$D,D5805)=0,"Missing in Data2","Present")</f>
        <v>Present</v>
      </c>
    </row>
    <row r="5806" spans="1:5" x14ac:dyDescent="0.25">
      <c r="A5806" s="2" t="s">
        <v>4752</v>
      </c>
      <c r="B5806" s="2" t="s">
        <v>4753</v>
      </c>
      <c r="C5806" s="2">
        <v>6</v>
      </c>
      <c r="D5806" t="str">
        <f t="shared" si="90"/>
        <v>CA-2017-113908_TEC-MA-10003173</v>
      </c>
      <c r="E5806" t="str">
        <f>IF(COUNTIF(data2!$D:$D,D5806)=0,"Missing in Data2","Present")</f>
        <v>Present</v>
      </c>
    </row>
    <row r="5807" spans="1:5" x14ac:dyDescent="0.25">
      <c r="A5807" s="2" t="s">
        <v>4754</v>
      </c>
      <c r="B5807" s="2" t="s">
        <v>1395</v>
      </c>
      <c r="C5807" s="2">
        <v>2</v>
      </c>
      <c r="D5807" t="str">
        <f t="shared" si="90"/>
        <v>CA-2017-114055_OFF-FA-10003059</v>
      </c>
      <c r="E5807" t="str">
        <f>IF(COUNTIF(data2!$D:$D,D5807)=0,"Missing in Data2","Present")</f>
        <v>Present</v>
      </c>
    </row>
    <row r="5808" spans="1:5" x14ac:dyDescent="0.25">
      <c r="A5808" s="2" t="s">
        <v>4754</v>
      </c>
      <c r="B5808" s="2" t="s">
        <v>2100</v>
      </c>
      <c r="C5808" s="2">
        <v>6</v>
      </c>
      <c r="D5808" t="str">
        <f t="shared" si="90"/>
        <v>CA-2017-114055_OFF-PA-10000994</v>
      </c>
      <c r="E5808" t="str">
        <f>IF(COUNTIF(data2!$D:$D,D5808)=0,"Missing in Data2","Present")</f>
        <v>Missing in Data2</v>
      </c>
    </row>
    <row r="5809" spans="1:5" x14ac:dyDescent="0.25">
      <c r="A5809" s="2" t="s">
        <v>4754</v>
      </c>
      <c r="B5809" s="2" t="s">
        <v>4114</v>
      </c>
      <c r="C5809" s="2">
        <v>2</v>
      </c>
      <c r="D5809" t="str">
        <f t="shared" si="90"/>
        <v>CA-2017-114055_OFF-PA-10004381</v>
      </c>
      <c r="E5809" t="str">
        <f>IF(COUNTIF(data2!$D:$D,D5809)=0,"Missing in Data2","Present")</f>
        <v>Present</v>
      </c>
    </row>
    <row r="5810" spans="1:5" x14ac:dyDescent="0.25">
      <c r="A5810" s="2" t="s">
        <v>4754</v>
      </c>
      <c r="B5810" s="2" t="s">
        <v>737</v>
      </c>
      <c r="C5810" s="2">
        <v>2</v>
      </c>
      <c r="D5810" t="str">
        <f t="shared" si="90"/>
        <v>CA-2017-114055_TEC-PH-10002890</v>
      </c>
      <c r="E5810" t="str">
        <f>IF(COUNTIF(data2!$D:$D,D5810)=0,"Missing in Data2","Present")</f>
        <v>Present</v>
      </c>
    </row>
    <row r="5811" spans="1:5" x14ac:dyDescent="0.25">
      <c r="A5811" s="2" t="s">
        <v>4755</v>
      </c>
      <c r="B5811" s="2" t="s">
        <v>157</v>
      </c>
      <c r="C5811" s="2">
        <v>3</v>
      </c>
      <c r="D5811" t="str">
        <f t="shared" si="90"/>
        <v>CA-2017-114216_OFF-PA-10002195</v>
      </c>
      <c r="E5811" t="str">
        <f>IF(COUNTIF(data2!$D:$D,D5811)=0,"Missing in Data2","Present")</f>
        <v>Present</v>
      </c>
    </row>
    <row r="5812" spans="1:5" x14ac:dyDescent="0.25">
      <c r="A5812" s="2" t="s">
        <v>4756</v>
      </c>
      <c r="B5812" s="2" t="s">
        <v>1980</v>
      </c>
      <c r="C5812" s="2">
        <v>4</v>
      </c>
      <c r="D5812" t="str">
        <f t="shared" si="90"/>
        <v>CA-2017-114258_TEC-PH-10003012</v>
      </c>
      <c r="E5812" t="str">
        <f>IF(COUNTIF(data2!$D:$D,D5812)=0,"Missing in Data2","Present")</f>
        <v>Present</v>
      </c>
    </row>
    <row r="5813" spans="1:5" x14ac:dyDescent="0.25">
      <c r="A5813" s="2" t="s">
        <v>4757</v>
      </c>
      <c r="B5813" s="2" t="s">
        <v>4758</v>
      </c>
      <c r="C5813" s="2">
        <v>2</v>
      </c>
      <c r="D5813" t="str">
        <f t="shared" si="90"/>
        <v>CA-2017-114370_TEC-PH-10000213</v>
      </c>
      <c r="E5813" t="str">
        <f>IF(COUNTIF(data2!$D:$D,D5813)=0,"Missing in Data2","Present")</f>
        <v>Present</v>
      </c>
    </row>
    <row r="5814" spans="1:5" x14ac:dyDescent="0.25">
      <c r="A5814" s="2" t="s">
        <v>4759</v>
      </c>
      <c r="B5814" s="2" t="s">
        <v>1597</v>
      </c>
      <c r="C5814" s="2">
        <v>3</v>
      </c>
      <c r="D5814" t="str">
        <f t="shared" si="90"/>
        <v>CA-2017-114412_OFF-PA-10002365</v>
      </c>
      <c r="E5814" t="str">
        <f>IF(COUNTIF(data2!$D:$D,D5814)=0,"Missing in Data2","Present")</f>
        <v>Present</v>
      </c>
    </row>
    <row r="5815" spans="1:5" x14ac:dyDescent="0.25">
      <c r="A5815" s="2" t="s">
        <v>4760</v>
      </c>
      <c r="B5815" s="2" t="s">
        <v>4187</v>
      </c>
      <c r="C5815" s="2">
        <v>3</v>
      </c>
      <c r="D5815" t="str">
        <f t="shared" si="90"/>
        <v>CA-2017-114440_OFF-PA-10004675</v>
      </c>
      <c r="E5815" t="str">
        <f>IF(COUNTIF(data2!$D:$D,D5815)=0,"Missing in Data2","Present")</f>
        <v>Present</v>
      </c>
    </row>
    <row r="5816" spans="1:5" x14ac:dyDescent="0.25">
      <c r="A5816" s="2" t="s">
        <v>4761</v>
      </c>
      <c r="B5816" s="2" t="s">
        <v>256</v>
      </c>
      <c r="C5816" s="2">
        <v>13</v>
      </c>
      <c r="D5816" t="str">
        <f t="shared" si="90"/>
        <v>CA-2017-114524_OFF-BI-10002799</v>
      </c>
      <c r="E5816" t="str">
        <f>IF(COUNTIF(data2!$D:$D,D5816)=0,"Missing in Data2","Present")</f>
        <v>Present</v>
      </c>
    </row>
    <row r="5817" spans="1:5" x14ac:dyDescent="0.25">
      <c r="A5817" s="2" t="s">
        <v>4762</v>
      </c>
      <c r="B5817" s="2" t="s">
        <v>1485</v>
      </c>
      <c r="C5817" s="2">
        <v>3</v>
      </c>
      <c r="D5817" t="str">
        <f t="shared" si="90"/>
        <v>CA-2017-114552_FUR-FU-10002960</v>
      </c>
      <c r="E5817" t="str">
        <f>IF(COUNTIF(data2!$D:$D,D5817)=0,"Missing in Data2","Present")</f>
        <v>Present</v>
      </c>
    </row>
    <row r="5818" spans="1:5" x14ac:dyDescent="0.25">
      <c r="A5818" s="2" t="s">
        <v>4763</v>
      </c>
      <c r="B5818" s="2" t="s">
        <v>2090</v>
      </c>
      <c r="C5818" s="2">
        <v>5</v>
      </c>
      <c r="D5818" t="str">
        <f t="shared" si="90"/>
        <v>CA-2017-114636_OFF-PA-10001790</v>
      </c>
      <c r="E5818" t="str">
        <f>IF(COUNTIF(data2!$D:$D,D5818)=0,"Missing in Data2","Present")</f>
        <v>Present</v>
      </c>
    </row>
    <row r="5819" spans="1:5" x14ac:dyDescent="0.25">
      <c r="A5819" s="2" t="s">
        <v>4764</v>
      </c>
      <c r="B5819" s="2" t="s">
        <v>2325</v>
      </c>
      <c r="C5819" s="2">
        <v>1</v>
      </c>
      <c r="D5819" t="str">
        <f t="shared" si="90"/>
        <v>CA-2017-114804_TEC-PH-10001700</v>
      </c>
      <c r="E5819" t="str">
        <f>IF(COUNTIF(data2!$D:$D,D5819)=0,"Missing in Data2","Present")</f>
        <v>Missing in Data2</v>
      </c>
    </row>
    <row r="5820" spans="1:5" x14ac:dyDescent="0.25">
      <c r="A5820" s="2" t="s">
        <v>4765</v>
      </c>
      <c r="B5820" s="2" t="s">
        <v>569</v>
      </c>
      <c r="C5820" s="2">
        <v>5</v>
      </c>
      <c r="D5820" t="str">
        <f t="shared" si="90"/>
        <v>CA-2017-115070_FUR-FU-10003829</v>
      </c>
      <c r="E5820" t="str">
        <f>IF(COUNTIF(data2!$D:$D,D5820)=0,"Missing in Data2","Present")</f>
        <v>Present</v>
      </c>
    </row>
    <row r="5821" spans="1:5" x14ac:dyDescent="0.25">
      <c r="A5821" s="2" t="s">
        <v>4765</v>
      </c>
      <c r="B5821" s="2" t="s">
        <v>688</v>
      </c>
      <c r="C5821" s="2">
        <v>3</v>
      </c>
      <c r="D5821" t="str">
        <f t="shared" si="90"/>
        <v>CA-2017-115070_OFF-BI-10003712</v>
      </c>
      <c r="E5821" t="str">
        <f>IF(COUNTIF(data2!$D:$D,D5821)=0,"Missing in Data2","Present")</f>
        <v>Present</v>
      </c>
    </row>
    <row r="5822" spans="1:5" x14ac:dyDescent="0.25">
      <c r="A5822" s="2" t="s">
        <v>4766</v>
      </c>
      <c r="B5822" s="2" t="s">
        <v>2465</v>
      </c>
      <c r="C5822" s="2">
        <v>1</v>
      </c>
      <c r="D5822" t="str">
        <f t="shared" si="90"/>
        <v>CA-2017-115105_FUR-BO-10001811</v>
      </c>
      <c r="E5822" t="str">
        <f>IF(COUNTIF(data2!$D:$D,D5822)=0,"Missing in Data2","Present")</f>
        <v>Present</v>
      </c>
    </row>
    <row r="5823" spans="1:5" x14ac:dyDescent="0.25">
      <c r="A5823" s="2" t="s">
        <v>4767</v>
      </c>
      <c r="B5823" s="2" t="s">
        <v>510</v>
      </c>
      <c r="C5823" s="2">
        <v>7</v>
      </c>
      <c r="D5823" t="str">
        <f t="shared" si="90"/>
        <v>CA-2017-115119_OFF-BI-10003007</v>
      </c>
      <c r="E5823" t="str">
        <f>IF(COUNTIF(data2!$D:$D,D5823)=0,"Missing in Data2","Present")</f>
        <v>Present</v>
      </c>
    </row>
    <row r="5824" spans="1:5" x14ac:dyDescent="0.25">
      <c r="A5824" s="2" t="s">
        <v>4767</v>
      </c>
      <c r="B5824" s="2" t="s">
        <v>2873</v>
      </c>
      <c r="C5824" s="2">
        <v>1</v>
      </c>
      <c r="D5824" t="str">
        <f t="shared" si="90"/>
        <v>CA-2017-115119_TEC-PH-10001433</v>
      </c>
      <c r="E5824" t="str">
        <f>IF(COUNTIF(data2!$D:$D,D5824)=0,"Missing in Data2","Present")</f>
        <v>Present</v>
      </c>
    </row>
    <row r="5825" spans="1:5" x14ac:dyDescent="0.25">
      <c r="A5825" s="2" t="s">
        <v>4768</v>
      </c>
      <c r="B5825" s="2" t="s">
        <v>4769</v>
      </c>
      <c r="C5825" s="2">
        <v>2</v>
      </c>
      <c r="D5825" t="str">
        <f t="shared" si="90"/>
        <v>CA-2017-115154_FUR-TA-10001950</v>
      </c>
      <c r="E5825" t="str">
        <f>IF(COUNTIF(data2!$D:$D,D5825)=0,"Missing in Data2","Present")</f>
        <v>Present</v>
      </c>
    </row>
    <row r="5826" spans="1:5" x14ac:dyDescent="0.25">
      <c r="A5826" s="2" t="s">
        <v>4770</v>
      </c>
      <c r="B5826" s="2" t="s">
        <v>425</v>
      </c>
      <c r="C5826" s="2">
        <v>5</v>
      </c>
      <c r="D5826" t="str">
        <f t="shared" si="90"/>
        <v>CA-2017-115175_OFF-PA-10001878</v>
      </c>
      <c r="E5826" t="str">
        <f>IF(COUNTIF(data2!$D:$D,D5826)=0,"Missing in Data2","Present")</f>
        <v>Present</v>
      </c>
    </row>
    <row r="5827" spans="1:5" x14ac:dyDescent="0.25">
      <c r="A5827" s="2" t="s">
        <v>4771</v>
      </c>
      <c r="B5827" s="2" t="s">
        <v>1788</v>
      </c>
      <c r="C5827" s="2">
        <v>3</v>
      </c>
      <c r="D5827" t="str">
        <f t="shared" ref="D5827:D5890" si="91">A5827&amp;"_"&amp;B5827</f>
        <v>CA-2017-115322_OFF-AR-10004456</v>
      </c>
      <c r="E5827" t="str">
        <f>IF(COUNTIF(data2!$D:$D,D5827)=0,"Missing in Data2","Present")</f>
        <v>Present</v>
      </c>
    </row>
    <row r="5828" spans="1:5" x14ac:dyDescent="0.25">
      <c r="A5828" s="2" t="s">
        <v>4772</v>
      </c>
      <c r="B5828" s="2" t="s">
        <v>2470</v>
      </c>
      <c r="C5828" s="2">
        <v>12</v>
      </c>
      <c r="D5828" t="str">
        <f t="shared" si="91"/>
        <v>CA-2017-115364_OFF-ST-10002486</v>
      </c>
      <c r="E5828" t="str">
        <f>IF(COUNTIF(data2!$D:$D,D5828)=0,"Missing in Data2","Present")</f>
        <v>Present</v>
      </c>
    </row>
    <row r="5829" spans="1:5" x14ac:dyDescent="0.25">
      <c r="A5829" s="2" t="s">
        <v>4773</v>
      </c>
      <c r="B5829" s="2" t="s">
        <v>275</v>
      </c>
      <c r="C5829" s="2">
        <v>2</v>
      </c>
      <c r="D5829" t="str">
        <f t="shared" si="91"/>
        <v>CA-2017-115427_OFF-BI-10002103</v>
      </c>
      <c r="E5829" t="str">
        <f>IF(COUNTIF(data2!$D:$D,D5829)=0,"Missing in Data2","Present")</f>
        <v>Present</v>
      </c>
    </row>
    <row r="5830" spans="1:5" x14ac:dyDescent="0.25">
      <c r="A5830" s="2" t="s">
        <v>4773</v>
      </c>
      <c r="B5830" s="2" t="s">
        <v>820</v>
      </c>
      <c r="C5830" s="2">
        <v>2</v>
      </c>
      <c r="D5830" t="str">
        <f t="shared" si="91"/>
        <v>CA-2017-115427_OFF-BI-10004632</v>
      </c>
      <c r="E5830" t="str">
        <f>IF(COUNTIF(data2!$D:$D,D5830)=0,"Missing in Data2","Present")</f>
        <v>Present</v>
      </c>
    </row>
    <row r="5831" spans="1:5" x14ac:dyDescent="0.25">
      <c r="A5831" s="2" t="s">
        <v>4774</v>
      </c>
      <c r="B5831" s="2" t="s">
        <v>1111</v>
      </c>
      <c r="C5831" s="2">
        <v>5</v>
      </c>
      <c r="D5831" t="str">
        <f t="shared" si="91"/>
        <v>CA-2017-115448_FUR-FU-10004090</v>
      </c>
      <c r="E5831" t="str">
        <f>IF(COUNTIF(data2!$D:$D,D5831)=0,"Missing in Data2","Present")</f>
        <v>Present</v>
      </c>
    </row>
    <row r="5832" spans="1:5" x14ac:dyDescent="0.25">
      <c r="A5832" s="2" t="s">
        <v>4775</v>
      </c>
      <c r="B5832" s="2" t="s">
        <v>652</v>
      </c>
      <c r="C5832" s="2">
        <v>2</v>
      </c>
      <c r="D5832" t="str">
        <f t="shared" si="91"/>
        <v>CA-2017-115546_OFF-ST-10002214</v>
      </c>
      <c r="E5832" t="str">
        <f>IF(COUNTIF(data2!$D:$D,D5832)=0,"Missing in Data2","Present")</f>
        <v>Present</v>
      </c>
    </row>
    <row r="5833" spans="1:5" x14ac:dyDescent="0.25">
      <c r="A5833" s="2" t="s">
        <v>4775</v>
      </c>
      <c r="B5833" s="2" t="s">
        <v>4776</v>
      </c>
      <c r="C5833" s="2">
        <v>3</v>
      </c>
      <c r="D5833" t="str">
        <f t="shared" si="91"/>
        <v>CA-2017-115546_TEC-PH-10002834</v>
      </c>
      <c r="E5833" t="str">
        <f>IF(COUNTIF(data2!$D:$D,D5833)=0,"Missing in Data2","Present")</f>
        <v>Present</v>
      </c>
    </row>
    <row r="5834" spans="1:5" x14ac:dyDescent="0.25">
      <c r="A5834" s="2" t="s">
        <v>4777</v>
      </c>
      <c r="B5834" s="2" t="s">
        <v>2229</v>
      </c>
      <c r="C5834" s="2">
        <v>9</v>
      </c>
      <c r="D5834" t="str">
        <f t="shared" si="91"/>
        <v>CA-2017-115602_FUR-CH-10001708</v>
      </c>
      <c r="E5834" t="str">
        <f>IF(COUNTIF(data2!$D:$D,D5834)=0,"Missing in Data2","Present")</f>
        <v>Present</v>
      </c>
    </row>
    <row r="5835" spans="1:5" x14ac:dyDescent="0.25">
      <c r="A5835" s="2" t="s">
        <v>4777</v>
      </c>
      <c r="B5835" s="2" t="s">
        <v>3826</v>
      </c>
      <c r="C5835" s="2">
        <v>13</v>
      </c>
      <c r="D5835" t="str">
        <f t="shared" si="91"/>
        <v>CA-2017-115602_OFF-AP-10000891</v>
      </c>
      <c r="E5835" t="str">
        <f>IF(COUNTIF(data2!$D:$D,D5835)=0,"Missing in Data2","Present")</f>
        <v>Present</v>
      </c>
    </row>
    <row r="5836" spans="1:5" x14ac:dyDescent="0.25">
      <c r="A5836" s="2" t="s">
        <v>4777</v>
      </c>
      <c r="B5836" s="2" t="s">
        <v>4290</v>
      </c>
      <c r="C5836" s="2">
        <v>2</v>
      </c>
      <c r="D5836" t="str">
        <f t="shared" si="91"/>
        <v>CA-2017-115602_OFF-AR-10000462</v>
      </c>
      <c r="E5836" t="str">
        <f>IF(COUNTIF(data2!$D:$D,D5836)=0,"Missing in Data2","Present")</f>
        <v>Present</v>
      </c>
    </row>
    <row r="5837" spans="1:5" x14ac:dyDescent="0.25">
      <c r="A5837" s="2" t="s">
        <v>4777</v>
      </c>
      <c r="B5837" s="2" t="s">
        <v>4778</v>
      </c>
      <c r="C5837" s="2">
        <v>6</v>
      </c>
      <c r="D5837" t="str">
        <f t="shared" si="91"/>
        <v>CA-2017-115602_OFF-AR-10002280</v>
      </c>
      <c r="E5837" t="str">
        <f>IF(COUNTIF(data2!$D:$D,D5837)=0,"Missing in Data2","Present")</f>
        <v>Present</v>
      </c>
    </row>
    <row r="5838" spans="1:5" x14ac:dyDescent="0.25">
      <c r="A5838" s="2" t="s">
        <v>4779</v>
      </c>
      <c r="B5838" s="2" t="s">
        <v>3301</v>
      </c>
      <c r="C5838" s="2">
        <v>9</v>
      </c>
      <c r="D5838" t="str">
        <f t="shared" si="91"/>
        <v>CA-2017-115651_OFF-AP-10000055</v>
      </c>
      <c r="E5838" t="str">
        <f>IF(COUNTIF(data2!$D:$D,D5838)=0,"Missing in Data2","Present")</f>
        <v>Present</v>
      </c>
    </row>
    <row r="5839" spans="1:5" x14ac:dyDescent="0.25">
      <c r="A5839" s="2" t="s">
        <v>4779</v>
      </c>
      <c r="B5839" s="2" t="s">
        <v>4780</v>
      </c>
      <c r="C5839" s="2">
        <v>5</v>
      </c>
      <c r="D5839" t="str">
        <f t="shared" si="91"/>
        <v>CA-2017-115651_OFF-AR-10001130</v>
      </c>
      <c r="E5839" t="str">
        <f>IF(COUNTIF(data2!$D:$D,D5839)=0,"Missing in Data2","Present")</f>
        <v>Present</v>
      </c>
    </row>
    <row r="5840" spans="1:5" x14ac:dyDescent="0.25">
      <c r="A5840" s="2" t="s">
        <v>4781</v>
      </c>
      <c r="B5840" s="2" t="s">
        <v>727</v>
      </c>
      <c r="C5840" s="2">
        <v>3</v>
      </c>
      <c r="D5840" t="str">
        <f t="shared" si="91"/>
        <v>CA-2017-115777_OFF-PA-10000552</v>
      </c>
      <c r="E5840" t="str">
        <f>IF(COUNTIF(data2!$D:$D,D5840)=0,"Missing in Data2","Present")</f>
        <v>Present</v>
      </c>
    </row>
    <row r="5841" spans="1:5" x14ac:dyDescent="0.25">
      <c r="A5841" s="2" t="s">
        <v>4782</v>
      </c>
      <c r="B5841" s="2" t="s">
        <v>4072</v>
      </c>
      <c r="C5841" s="2">
        <v>1</v>
      </c>
      <c r="D5841" t="str">
        <f t="shared" si="91"/>
        <v>CA-2017-115805_TEC-PH-10003092</v>
      </c>
      <c r="E5841" t="str">
        <f>IF(COUNTIF(data2!$D:$D,D5841)=0,"Missing in Data2","Present")</f>
        <v>Missing in Data2</v>
      </c>
    </row>
    <row r="5842" spans="1:5" x14ac:dyDescent="0.25">
      <c r="A5842" s="2" t="s">
        <v>4783</v>
      </c>
      <c r="B5842" s="2" t="s">
        <v>947</v>
      </c>
      <c r="C5842" s="2">
        <v>4</v>
      </c>
      <c r="D5842" t="str">
        <f t="shared" si="91"/>
        <v>CA-2017-115882_OFF-AP-10002534</v>
      </c>
      <c r="E5842" t="str">
        <f>IF(COUNTIF(data2!$D:$D,D5842)=0,"Missing in Data2","Present")</f>
        <v>Present</v>
      </c>
    </row>
    <row r="5843" spans="1:5" x14ac:dyDescent="0.25">
      <c r="A5843" s="2" t="s">
        <v>4783</v>
      </c>
      <c r="B5843" s="2" t="s">
        <v>781</v>
      </c>
      <c r="C5843" s="2">
        <v>3</v>
      </c>
      <c r="D5843" t="str">
        <f t="shared" si="91"/>
        <v>CA-2017-115882_OFF-PA-10001125</v>
      </c>
      <c r="E5843" t="str">
        <f>IF(COUNTIF(data2!$D:$D,D5843)=0,"Missing in Data2","Present")</f>
        <v>Present</v>
      </c>
    </row>
    <row r="5844" spans="1:5" x14ac:dyDescent="0.25">
      <c r="A5844" s="2" t="s">
        <v>4784</v>
      </c>
      <c r="B5844" s="2" t="s">
        <v>2531</v>
      </c>
      <c r="C5844" s="2">
        <v>3</v>
      </c>
      <c r="D5844" t="str">
        <f t="shared" si="91"/>
        <v>CA-2017-115931_OFF-AR-10000369</v>
      </c>
      <c r="E5844" t="str">
        <f>IF(COUNTIF(data2!$D:$D,D5844)=0,"Missing in Data2","Present")</f>
        <v>Present</v>
      </c>
    </row>
    <row r="5845" spans="1:5" x14ac:dyDescent="0.25">
      <c r="A5845" s="2" t="s">
        <v>4784</v>
      </c>
      <c r="B5845" s="2" t="s">
        <v>3936</v>
      </c>
      <c r="C5845" s="2">
        <v>5</v>
      </c>
      <c r="D5845" t="str">
        <f t="shared" si="91"/>
        <v>CA-2017-115931_OFF-LA-10001404</v>
      </c>
      <c r="E5845" t="str">
        <f>IF(COUNTIF(data2!$D:$D,D5845)=0,"Missing in Data2","Present")</f>
        <v>Present</v>
      </c>
    </row>
    <row r="5846" spans="1:5" x14ac:dyDescent="0.25">
      <c r="A5846" s="2" t="s">
        <v>4784</v>
      </c>
      <c r="B5846" s="2" t="s">
        <v>381</v>
      </c>
      <c r="C5846" s="2">
        <v>3</v>
      </c>
      <c r="D5846" t="str">
        <f t="shared" si="91"/>
        <v>CA-2017-115931_OFF-ST-10000876</v>
      </c>
      <c r="E5846" t="str">
        <f>IF(COUNTIF(data2!$D:$D,D5846)=0,"Missing in Data2","Present")</f>
        <v>Present</v>
      </c>
    </row>
    <row r="5847" spans="1:5" x14ac:dyDescent="0.25">
      <c r="A5847" s="2" t="s">
        <v>4784</v>
      </c>
      <c r="B5847" s="2" t="s">
        <v>3178</v>
      </c>
      <c r="C5847" s="2">
        <v>4</v>
      </c>
      <c r="D5847" t="str">
        <f t="shared" si="91"/>
        <v>CA-2017-115931_TEC-PH-10001300</v>
      </c>
      <c r="E5847" t="str">
        <f>IF(COUNTIF(data2!$D:$D,D5847)=0,"Missing in Data2","Present")</f>
        <v>Present</v>
      </c>
    </row>
    <row r="5848" spans="1:5" x14ac:dyDescent="0.25">
      <c r="A5848" s="2" t="s">
        <v>4785</v>
      </c>
      <c r="B5848" s="2" t="s">
        <v>3218</v>
      </c>
      <c r="C5848" s="2">
        <v>3</v>
      </c>
      <c r="D5848" t="str">
        <f t="shared" si="91"/>
        <v>CA-2017-115994_FUR-FU-10003976</v>
      </c>
      <c r="E5848" t="str">
        <f>IF(COUNTIF(data2!$D:$D,D5848)=0,"Missing in Data2","Present")</f>
        <v>Present</v>
      </c>
    </row>
    <row r="5849" spans="1:5" x14ac:dyDescent="0.25">
      <c r="A5849" s="2" t="s">
        <v>4785</v>
      </c>
      <c r="B5849" s="2" t="s">
        <v>3543</v>
      </c>
      <c r="C5849" s="2">
        <v>3</v>
      </c>
      <c r="D5849" t="str">
        <f t="shared" si="91"/>
        <v>CA-2017-115994_TEC-AC-10000580</v>
      </c>
      <c r="E5849" t="str">
        <f>IF(COUNTIF(data2!$D:$D,D5849)=0,"Missing in Data2","Present")</f>
        <v>Present</v>
      </c>
    </row>
    <row r="5850" spans="1:5" x14ac:dyDescent="0.25">
      <c r="A5850" s="2" t="s">
        <v>4786</v>
      </c>
      <c r="B5850" s="2" t="s">
        <v>2472</v>
      </c>
      <c r="C5850" s="2">
        <v>2</v>
      </c>
      <c r="D5850" t="str">
        <f t="shared" si="91"/>
        <v>CA-2017-116113_FUR-FU-10002963</v>
      </c>
      <c r="E5850" t="str">
        <f>IF(COUNTIF(data2!$D:$D,D5850)=0,"Missing in Data2","Present")</f>
        <v>Present</v>
      </c>
    </row>
    <row r="5851" spans="1:5" x14ac:dyDescent="0.25">
      <c r="A5851" s="2" t="s">
        <v>4787</v>
      </c>
      <c r="B5851" s="2" t="s">
        <v>815</v>
      </c>
      <c r="C5851" s="2">
        <v>1</v>
      </c>
      <c r="D5851" t="str">
        <f t="shared" si="91"/>
        <v>CA-2017-116127_FUR-BO-10002213</v>
      </c>
      <c r="E5851" t="str">
        <f>IF(COUNTIF(data2!$D:$D,D5851)=0,"Missing in Data2","Present")</f>
        <v>Present</v>
      </c>
    </row>
    <row r="5852" spans="1:5" x14ac:dyDescent="0.25">
      <c r="A5852" s="2" t="s">
        <v>4788</v>
      </c>
      <c r="B5852" s="2" t="s">
        <v>1795</v>
      </c>
      <c r="C5852" s="2">
        <v>7</v>
      </c>
      <c r="D5852" t="str">
        <f t="shared" si="91"/>
        <v>CA-2017-116204_OFF-BI-10001759</v>
      </c>
      <c r="E5852" t="str">
        <f>IF(COUNTIF(data2!$D:$D,D5852)=0,"Missing in Data2","Present")</f>
        <v>Present</v>
      </c>
    </row>
    <row r="5853" spans="1:5" x14ac:dyDescent="0.25">
      <c r="A5853" s="2" t="s">
        <v>4789</v>
      </c>
      <c r="B5853" s="2" t="s">
        <v>880</v>
      </c>
      <c r="C5853" s="2">
        <v>5</v>
      </c>
      <c r="D5853" t="str">
        <f t="shared" si="91"/>
        <v>CA-2017-116225_TEC-AC-10001432</v>
      </c>
      <c r="E5853" t="str">
        <f>IF(COUNTIF(data2!$D:$D,D5853)=0,"Missing in Data2","Present")</f>
        <v>Present</v>
      </c>
    </row>
    <row r="5854" spans="1:5" x14ac:dyDescent="0.25">
      <c r="A5854" s="2" t="s">
        <v>4790</v>
      </c>
      <c r="B5854" s="2" t="s">
        <v>299</v>
      </c>
      <c r="C5854" s="2">
        <v>3</v>
      </c>
      <c r="D5854" t="str">
        <f t="shared" si="91"/>
        <v>CA-2017-116288_OFF-ST-10000736</v>
      </c>
      <c r="E5854" t="str">
        <f>IF(COUNTIF(data2!$D:$D,D5854)=0,"Missing in Data2","Present")</f>
        <v>Present</v>
      </c>
    </row>
    <row r="5855" spans="1:5" x14ac:dyDescent="0.25">
      <c r="A5855" s="2" t="s">
        <v>4791</v>
      </c>
      <c r="B5855" s="2" t="s">
        <v>1194</v>
      </c>
      <c r="C5855" s="2">
        <v>6</v>
      </c>
      <c r="D5855" t="str">
        <f t="shared" si="91"/>
        <v>CA-2017-116358_OFF-AR-10004685</v>
      </c>
      <c r="E5855" t="str">
        <f>IF(COUNTIF(data2!$D:$D,D5855)=0,"Missing in Data2","Present")</f>
        <v>Present</v>
      </c>
    </row>
    <row r="5856" spans="1:5" x14ac:dyDescent="0.25">
      <c r="A5856" s="2" t="s">
        <v>4791</v>
      </c>
      <c r="B5856" s="2" t="s">
        <v>1499</v>
      </c>
      <c r="C5856" s="2">
        <v>3</v>
      </c>
      <c r="D5856" t="str">
        <f t="shared" si="91"/>
        <v>CA-2017-116358_OFF-FA-10003495</v>
      </c>
      <c r="E5856" t="str">
        <f>IF(COUNTIF(data2!$D:$D,D5856)=0,"Missing in Data2","Present")</f>
        <v>Present</v>
      </c>
    </row>
    <row r="5857" spans="1:5" x14ac:dyDescent="0.25">
      <c r="A5857" s="2" t="s">
        <v>4792</v>
      </c>
      <c r="B5857" s="2" t="s">
        <v>1739</v>
      </c>
      <c r="C5857" s="2">
        <v>6</v>
      </c>
      <c r="D5857" t="str">
        <f t="shared" si="91"/>
        <v>CA-2017-116498_OFF-AR-10003405</v>
      </c>
      <c r="E5857" t="str">
        <f>IF(COUNTIF(data2!$D:$D,D5857)=0,"Missing in Data2","Present")</f>
        <v>Present</v>
      </c>
    </row>
    <row r="5858" spans="1:5" x14ac:dyDescent="0.25">
      <c r="A5858" s="2" t="s">
        <v>4793</v>
      </c>
      <c r="B5858" s="2" t="s">
        <v>2407</v>
      </c>
      <c r="C5858" s="2">
        <v>5</v>
      </c>
      <c r="D5858" t="str">
        <f t="shared" si="91"/>
        <v>CA-2017-116519_OFF-AP-10000828</v>
      </c>
      <c r="E5858" t="str">
        <f>IF(COUNTIF(data2!$D:$D,D5858)=0,"Missing in Data2","Present")</f>
        <v>Present</v>
      </c>
    </row>
    <row r="5859" spans="1:5" x14ac:dyDescent="0.25">
      <c r="A5859" s="2" t="s">
        <v>4794</v>
      </c>
      <c r="B5859" s="2" t="s">
        <v>1693</v>
      </c>
      <c r="C5859" s="2">
        <v>6</v>
      </c>
      <c r="D5859" t="str">
        <f t="shared" si="91"/>
        <v>CA-2017-116645_OFF-AR-10001044</v>
      </c>
      <c r="E5859" t="str">
        <f>IF(COUNTIF(data2!$D:$D,D5859)=0,"Missing in Data2","Present")</f>
        <v>Missing in Data2</v>
      </c>
    </row>
    <row r="5860" spans="1:5" x14ac:dyDescent="0.25">
      <c r="A5860" s="2" t="s">
        <v>4795</v>
      </c>
      <c r="B5860" s="2" t="s">
        <v>3694</v>
      </c>
      <c r="C5860" s="2">
        <v>8</v>
      </c>
      <c r="D5860" t="str">
        <f t="shared" si="91"/>
        <v>CA-2017-116680_FUR-TA-10001771</v>
      </c>
      <c r="E5860" t="str">
        <f>IF(COUNTIF(data2!$D:$D,D5860)=0,"Missing in Data2","Present")</f>
        <v>Present</v>
      </c>
    </row>
    <row r="5861" spans="1:5" x14ac:dyDescent="0.25">
      <c r="A5861" s="2" t="s">
        <v>4795</v>
      </c>
      <c r="B5861" s="2" t="s">
        <v>2726</v>
      </c>
      <c r="C5861" s="2">
        <v>6</v>
      </c>
      <c r="D5861" t="str">
        <f t="shared" si="91"/>
        <v>CA-2017-116680_OFF-BI-10004022</v>
      </c>
      <c r="E5861" t="str">
        <f>IF(COUNTIF(data2!$D:$D,D5861)=0,"Missing in Data2","Present")</f>
        <v>Present</v>
      </c>
    </row>
    <row r="5862" spans="1:5" x14ac:dyDescent="0.25">
      <c r="A5862" s="2" t="s">
        <v>4796</v>
      </c>
      <c r="B5862" s="2" t="s">
        <v>3013</v>
      </c>
      <c r="C5862" s="2">
        <v>2</v>
      </c>
      <c r="D5862" t="str">
        <f t="shared" si="91"/>
        <v>CA-2017-116715_OFF-PA-10003893</v>
      </c>
      <c r="E5862" t="str">
        <f>IF(COUNTIF(data2!$D:$D,D5862)=0,"Missing in Data2","Present")</f>
        <v>Present</v>
      </c>
    </row>
    <row r="5863" spans="1:5" x14ac:dyDescent="0.25">
      <c r="A5863" s="2" t="s">
        <v>4796</v>
      </c>
      <c r="B5863" s="2" t="s">
        <v>1103</v>
      </c>
      <c r="C5863" s="2">
        <v>2</v>
      </c>
      <c r="D5863" t="str">
        <f t="shared" si="91"/>
        <v>CA-2017-116715_OFF-PA-10004475</v>
      </c>
      <c r="E5863" t="str">
        <f>IF(COUNTIF(data2!$D:$D,D5863)=0,"Missing in Data2","Present")</f>
        <v>Present</v>
      </c>
    </row>
    <row r="5864" spans="1:5" x14ac:dyDescent="0.25">
      <c r="A5864" s="2" t="s">
        <v>4796</v>
      </c>
      <c r="B5864" s="2" t="s">
        <v>1360</v>
      </c>
      <c r="C5864" s="2">
        <v>9</v>
      </c>
      <c r="D5864" t="str">
        <f t="shared" si="91"/>
        <v>CA-2017-116715_OFF-ST-10004340</v>
      </c>
      <c r="E5864" t="str">
        <f>IF(COUNTIF(data2!$D:$D,D5864)=0,"Missing in Data2","Present")</f>
        <v>Present</v>
      </c>
    </row>
    <row r="5865" spans="1:5" x14ac:dyDescent="0.25">
      <c r="A5865" s="2" t="s">
        <v>4797</v>
      </c>
      <c r="B5865" s="2" t="s">
        <v>3939</v>
      </c>
      <c r="C5865" s="2">
        <v>5</v>
      </c>
      <c r="D5865" t="str">
        <f t="shared" si="91"/>
        <v>CA-2017-116855_FUR-CH-10003846</v>
      </c>
      <c r="E5865" t="str">
        <f>IF(COUNTIF(data2!$D:$D,D5865)=0,"Missing in Data2","Present")</f>
        <v>Present</v>
      </c>
    </row>
    <row r="5866" spans="1:5" x14ac:dyDescent="0.25">
      <c r="A5866" s="2" t="s">
        <v>4798</v>
      </c>
      <c r="B5866" s="2" t="s">
        <v>2565</v>
      </c>
      <c r="C5866" s="2">
        <v>5</v>
      </c>
      <c r="D5866" t="str">
        <f t="shared" si="91"/>
        <v>CA-2017-116939_OFF-ST-10001476</v>
      </c>
      <c r="E5866" t="str">
        <f>IF(COUNTIF(data2!$D:$D,D5866)=0,"Missing in Data2","Present")</f>
        <v>Present</v>
      </c>
    </row>
    <row r="5867" spans="1:5" x14ac:dyDescent="0.25">
      <c r="A5867" s="2" t="s">
        <v>4799</v>
      </c>
      <c r="B5867" s="2" t="s">
        <v>1559</v>
      </c>
      <c r="C5867" s="2">
        <v>7</v>
      </c>
      <c r="D5867" t="str">
        <f t="shared" si="91"/>
        <v>CA-2017-116946_FUR-BO-10000468</v>
      </c>
      <c r="E5867" t="str">
        <f>IF(COUNTIF(data2!$D:$D,D5867)=0,"Missing in Data2","Present")</f>
        <v>Present</v>
      </c>
    </row>
    <row r="5868" spans="1:5" x14ac:dyDescent="0.25">
      <c r="A5868" s="2" t="s">
        <v>4799</v>
      </c>
      <c r="B5868" s="2" t="s">
        <v>331</v>
      </c>
      <c r="C5868" s="2">
        <v>5</v>
      </c>
      <c r="D5868" t="str">
        <f t="shared" si="91"/>
        <v>CA-2017-116946_FUR-FU-10000320</v>
      </c>
      <c r="E5868" t="str">
        <f>IF(COUNTIF(data2!$D:$D,D5868)=0,"Missing in Data2","Present")</f>
        <v>Present</v>
      </c>
    </row>
    <row r="5869" spans="1:5" x14ac:dyDescent="0.25">
      <c r="A5869" s="2" t="s">
        <v>4799</v>
      </c>
      <c r="B5869" s="2" t="s">
        <v>1756</v>
      </c>
      <c r="C5869" s="2">
        <v>2</v>
      </c>
      <c r="D5869" t="str">
        <f t="shared" si="91"/>
        <v>CA-2017-116946_OFF-ST-10002554</v>
      </c>
      <c r="E5869" t="str">
        <f>IF(COUNTIF(data2!$D:$D,D5869)=0,"Missing in Data2","Present")</f>
        <v>Present</v>
      </c>
    </row>
    <row r="5870" spans="1:5" x14ac:dyDescent="0.25">
      <c r="A5870" s="2" t="s">
        <v>4800</v>
      </c>
      <c r="B5870" s="2" t="s">
        <v>541</v>
      </c>
      <c r="C5870" s="2">
        <v>10</v>
      </c>
      <c r="D5870" t="str">
        <f t="shared" si="91"/>
        <v>CA-2017-116953_TEC-PH-10004614</v>
      </c>
      <c r="E5870" t="str">
        <f>IF(COUNTIF(data2!$D:$D,D5870)=0,"Missing in Data2","Present")</f>
        <v>Present</v>
      </c>
    </row>
    <row r="5871" spans="1:5" x14ac:dyDescent="0.25">
      <c r="A5871" s="2" t="s">
        <v>4801</v>
      </c>
      <c r="B5871" s="2" t="s">
        <v>2378</v>
      </c>
      <c r="C5871" s="2">
        <v>3</v>
      </c>
      <c r="D5871" t="str">
        <f t="shared" si="91"/>
        <v>CA-2017-116988_FUR-FU-10001290</v>
      </c>
      <c r="E5871" t="str">
        <f>IF(COUNTIF(data2!$D:$D,D5871)=0,"Missing in Data2","Present")</f>
        <v>Present</v>
      </c>
    </row>
    <row r="5872" spans="1:5" x14ac:dyDescent="0.25">
      <c r="A5872" s="2" t="s">
        <v>4801</v>
      </c>
      <c r="B5872" s="2" t="s">
        <v>2011</v>
      </c>
      <c r="C5872" s="2">
        <v>3</v>
      </c>
      <c r="D5872" t="str">
        <f t="shared" si="91"/>
        <v>CA-2017-116988_OFF-PA-10003848</v>
      </c>
      <c r="E5872" t="str">
        <f>IF(COUNTIF(data2!$D:$D,D5872)=0,"Missing in Data2","Present")</f>
        <v>Present</v>
      </c>
    </row>
    <row r="5873" spans="1:5" x14ac:dyDescent="0.25">
      <c r="A5873" s="2" t="s">
        <v>4801</v>
      </c>
      <c r="B5873" s="2" t="s">
        <v>877</v>
      </c>
      <c r="C5873" s="2">
        <v>5</v>
      </c>
      <c r="D5873" t="str">
        <f t="shared" si="91"/>
        <v>CA-2017-116988_TEC-AC-10003832</v>
      </c>
      <c r="E5873" t="str">
        <f>IF(COUNTIF(data2!$D:$D,D5873)=0,"Missing in Data2","Present")</f>
        <v>Present</v>
      </c>
    </row>
    <row r="5874" spans="1:5" x14ac:dyDescent="0.25">
      <c r="A5874" s="2" t="s">
        <v>4802</v>
      </c>
      <c r="B5874" s="2" t="s">
        <v>1875</v>
      </c>
      <c r="C5874" s="2">
        <v>2</v>
      </c>
      <c r="D5874" t="str">
        <f t="shared" si="91"/>
        <v>CA-2017-117009_OFF-SU-10001218</v>
      </c>
      <c r="E5874" t="str">
        <f>IF(COUNTIF(data2!$D:$D,D5874)=0,"Missing in Data2","Present")</f>
        <v>Present</v>
      </c>
    </row>
    <row r="5875" spans="1:5" x14ac:dyDescent="0.25">
      <c r="A5875" s="2" t="s">
        <v>4803</v>
      </c>
      <c r="B5875" s="2" t="s">
        <v>2192</v>
      </c>
      <c r="C5875" s="2">
        <v>10</v>
      </c>
      <c r="D5875" t="str">
        <f t="shared" si="91"/>
        <v>CA-2017-117023_OFF-AR-10004062</v>
      </c>
      <c r="E5875" t="str">
        <f>IF(COUNTIF(data2!$D:$D,D5875)=0,"Missing in Data2","Present")</f>
        <v>Present</v>
      </c>
    </row>
    <row r="5876" spans="1:5" x14ac:dyDescent="0.25">
      <c r="A5876" s="2" t="s">
        <v>4804</v>
      </c>
      <c r="B5876" s="2" t="s">
        <v>821</v>
      </c>
      <c r="C5876" s="2">
        <v>4</v>
      </c>
      <c r="D5876" t="str">
        <f t="shared" si="91"/>
        <v>CA-2017-117044_OFF-FA-10000936</v>
      </c>
      <c r="E5876" t="str">
        <f>IF(COUNTIF(data2!$D:$D,D5876)=0,"Missing in Data2","Present")</f>
        <v>Present</v>
      </c>
    </row>
    <row r="5877" spans="1:5" x14ac:dyDescent="0.25">
      <c r="A5877" s="2" t="s">
        <v>4804</v>
      </c>
      <c r="B5877" s="2" t="s">
        <v>2768</v>
      </c>
      <c r="C5877" s="2">
        <v>6</v>
      </c>
      <c r="D5877" t="str">
        <f t="shared" si="91"/>
        <v>CA-2017-117044_OFF-PA-10003657</v>
      </c>
      <c r="E5877" t="str">
        <f>IF(COUNTIF(data2!$D:$D,D5877)=0,"Missing in Data2","Present")</f>
        <v>Present</v>
      </c>
    </row>
    <row r="5878" spans="1:5" x14ac:dyDescent="0.25">
      <c r="A5878" s="2" t="s">
        <v>4805</v>
      </c>
      <c r="B5878" s="2" t="s">
        <v>1500</v>
      </c>
      <c r="C5878" s="2">
        <v>3</v>
      </c>
      <c r="D5878" t="str">
        <f t="shared" si="91"/>
        <v>CA-2017-117079_TEC-PH-10004586</v>
      </c>
      <c r="E5878" t="str">
        <f>IF(COUNTIF(data2!$D:$D,D5878)=0,"Missing in Data2","Present")</f>
        <v>Missing in Data2</v>
      </c>
    </row>
    <row r="5879" spans="1:5" x14ac:dyDescent="0.25">
      <c r="A5879" s="2" t="s">
        <v>4806</v>
      </c>
      <c r="B5879" s="2" t="s">
        <v>2274</v>
      </c>
      <c r="C5879" s="2">
        <v>3</v>
      </c>
      <c r="D5879" t="str">
        <f t="shared" si="91"/>
        <v>CA-2017-117114_OFF-EN-10001137</v>
      </c>
      <c r="E5879" t="str">
        <f>IF(COUNTIF(data2!$D:$D,D5879)=0,"Missing in Data2","Present")</f>
        <v>Present</v>
      </c>
    </row>
    <row r="5880" spans="1:5" x14ac:dyDescent="0.25">
      <c r="A5880" s="2" t="s">
        <v>4806</v>
      </c>
      <c r="B5880" s="2" t="s">
        <v>2053</v>
      </c>
      <c r="C5880" s="2">
        <v>4</v>
      </c>
      <c r="D5880" t="str">
        <f t="shared" si="91"/>
        <v>CA-2017-117114_TEC-PH-10004042</v>
      </c>
      <c r="E5880" t="str">
        <f>IF(COUNTIF(data2!$D:$D,D5880)=0,"Missing in Data2","Present")</f>
        <v>Present</v>
      </c>
    </row>
    <row r="5881" spans="1:5" x14ac:dyDescent="0.25">
      <c r="A5881" s="2" t="s">
        <v>4807</v>
      </c>
      <c r="B5881" s="2" t="s">
        <v>870</v>
      </c>
      <c r="C5881" s="2">
        <v>3</v>
      </c>
      <c r="D5881" t="str">
        <f t="shared" si="91"/>
        <v>CA-2017-117128_OFF-LA-10000248</v>
      </c>
      <c r="E5881" t="str">
        <f>IF(COUNTIF(data2!$D:$D,D5881)=0,"Missing in Data2","Present")</f>
        <v>Present</v>
      </c>
    </row>
    <row r="5882" spans="1:5" x14ac:dyDescent="0.25">
      <c r="A5882" s="2" t="s">
        <v>4807</v>
      </c>
      <c r="B5882" s="2" t="s">
        <v>4153</v>
      </c>
      <c r="C5882" s="2">
        <v>6</v>
      </c>
      <c r="D5882" t="str">
        <f t="shared" si="91"/>
        <v>CA-2017-117128_OFF-PA-10000007</v>
      </c>
      <c r="E5882" t="str">
        <f>IF(COUNTIF(data2!$D:$D,D5882)=0,"Missing in Data2","Present")</f>
        <v>Present</v>
      </c>
    </row>
    <row r="5883" spans="1:5" x14ac:dyDescent="0.25">
      <c r="A5883" s="2" t="s">
        <v>4808</v>
      </c>
      <c r="B5883" s="2" t="s">
        <v>464</v>
      </c>
      <c r="C5883" s="2">
        <v>3</v>
      </c>
      <c r="D5883" t="str">
        <f t="shared" si="91"/>
        <v>CA-2017-117156_OFF-EN-10003845</v>
      </c>
      <c r="E5883" t="str">
        <f>IF(COUNTIF(data2!$D:$D,D5883)=0,"Missing in Data2","Present")</f>
        <v>Present</v>
      </c>
    </row>
    <row r="5884" spans="1:5" x14ac:dyDescent="0.25">
      <c r="A5884" s="2" t="s">
        <v>4809</v>
      </c>
      <c r="B5884" s="2" t="s">
        <v>2361</v>
      </c>
      <c r="C5884" s="2">
        <v>2</v>
      </c>
      <c r="D5884" t="str">
        <f t="shared" si="91"/>
        <v>CA-2017-117198_TEC-AC-10003033</v>
      </c>
      <c r="E5884" t="str">
        <f>IF(COUNTIF(data2!$D:$D,D5884)=0,"Missing in Data2","Present")</f>
        <v>Present</v>
      </c>
    </row>
    <row r="5885" spans="1:5" x14ac:dyDescent="0.25">
      <c r="A5885" s="2" t="s">
        <v>4810</v>
      </c>
      <c r="B5885" s="2" t="s">
        <v>807</v>
      </c>
      <c r="C5885" s="2">
        <v>3</v>
      </c>
      <c r="D5885" t="str">
        <f t="shared" si="91"/>
        <v>CA-2017-117212_FUR-CH-10003973</v>
      </c>
      <c r="E5885" t="str">
        <f>IF(COUNTIF(data2!$D:$D,D5885)=0,"Missing in Data2","Present")</f>
        <v>Present</v>
      </c>
    </row>
    <row r="5886" spans="1:5" x14ac:dyDescent="0.25">
      <c r="A5886" s="2" t="s">
        <v>4810</v>
      </c>
      <c r="B5886" s="2" t="s">
        <v>3148</v>
      </c>
      <c r="C5886" s="2">
        <v>4</v>
      </c>
      <c r="D5886" t="str">
        <f t="shared" si="91"/>
        <v>CA-2017-117212_OFF-AP-10004532</v>
      </c>
      <c r="E5886" t="str">
        <f>IF(COUNTIF(data2!$D:$D,D5886)=0,"Missing in Data2","Present")</f>
        <v>Present</v>
      </c>
    </row>
    <row r="5887" spans="1:5" x14ac:dyDescent="0.25">
      <c r="A5887" s="2" t="s">
        <v>4810</v>
      </c>
      <c r="B5887" s="2" t="s">
        <v>3999</v>
      </c>
      <c r="C5887" s="2">
        <v>4</v>
      </c>
      <c r="D5887" t="str">
        <f t="shared" si="91"/>
        <v>CA-2017-117212_OFF-PA-10000682</v>
      </c>
      <c r="E5887" t="str">
        <f>IF(COUNTIF(data2!$D:$D,D5887)=0,"Missing in Data2","Present")</f>
        <v>Present</v>
      </c>
    </row>
    <row r="5888" spans="1:5" x14ac:dyDescent="0.25">
      <c r="A5888" s="2" t="s">
        <v>4810</v>
      </c>
      <c r="B5888" s="2" t="s">
        <v>1039</v>
      </c>
      <c r="C5888" s="2">
        <v>4</v>
      </c>
      <c r="D5888" t="str">
        <f t="shared" si="91"/>
        <v>CA-2017-117212_OFF-PA-10001970</v>
      </c>
      <c r="E5888" t="str">
        <f>IF(COUNTIF(data2!$D:$D,D5888)=0,"Missing in Data2","Present")</f>
        <v>Present</v>
      </c>
    </row>
    <row r="5889" spans="1:5" x14ac:dyDescent="0.25">
      <c r="A5889" s="2" t="s">
        <v>4810</v>
      </c>
      <c r="B5889" s="2" t="s">
        <v>1205</v>
      </c>
      <c r="C5889" s="2">
        <v>8</v>
      </c>
      <c r="D5889" t="str">
        <f t="shared" si="91"/>
        <v>CA-2017-117212_TEC-PH-10004447</v>
      </c>
      <c r="E5889" t="str">
        <f>IF(COUNTIF(data2!$D:$D,D5889)=0,"Missing in Data2","Present")</f>
        <v>Present</v>
      </c>
    </row>
    <row r="5890" spans="1:5" x14ac:dyDescent="0.25">
      <c r="A5890" s="2" t="s">
        <v>4811</v>
      </c>
      <c r="B5890" s="2" t="s">
        <v>1906</v>
      </c>
      <c r="C5890" s="2">
        <v>3</v>
      </c>
      <c r="D5890" t="str">
        <f t="shared" si="91"/>
        <v>CA-2017-117240_OFF-BI-10000848</v>
      </c>
      <c r="E5890" t="str">
        <f>IF(COUNTIF(data2!$D:$D,D5890)=0,"Missing in Data2","Present")</f>
        <v>Present</v>
      </c>
    </row>
    <row r="5891" spans="1:5" x14ac:dyDescent="0.25">
      <c r="A5891" s="2" t="s">
        <v>4812</v>
      </c>
      <c r="B5891" s="2" t="s">
        <v>1827</v>
      </c>
      <c r="C5891" s="2">
        <v>4</v>
      </c>
      <c r="D5891" t="str">
        <f t="shared" ref="D5891:D5954" si="92">A5891&amp;"_"&amp;B5891</f>
        <v>CA-2017-117261_OFF-ST-10000419</v>
      </c>
      <c r="E5891" t="str">
        <f>IF(COUNTIF(data2!$D:$D,D5891)=0,"Missing in Data2","Present")</f>
        <v>Present</v>
      </c>
    </row>
    <row r="5892" spans="1:5" x14ac:dyDescent="0.25">
      <c r="A5892" s="2" t="s">
        <v>4813</v>
      </c>
      <c r="B5892" s="2" t="s">
        <v>635</v>
      </c>
      <c r="C5892" s="2">
        <v>4</v>
      </c>
      <c r="D5892" t="str">
        <f t="shared" si="92"/>
        <v>CA-2017-117324_FUR-BO-10003159</v>
      </c>
      <c r="E5892" t="str">
        <f>IF(COUNTIF(data2!$D:$D,D5892)=0,"Missing in Data2","Present")</f>
        <v>Present</v>
      </c>
    </row>
    <row r="5893" spans="1:5" x14ac:dyDescent="0.25">
      <c r="A5893" s="2" t="s">
        <v>4813</v>
      </c>
      <c r="B5893" s="2" t="s">
        <v>827</v>
      </c>
      <c r="C5893" s="2">
        <v>3</v>
      </c>
      <c r="D5893" t="str">
        <f t="shared" si="92"/>
        <v>CA-2017-117324_OFF-AP-10003590</v>
      </c>
      <c r="E5893" t="str">
        <f>IF(COUNTIF(data2!$D:$D,D5893)=0,"Missing in Data2","Present")</f>
        <v>Present</v>
      </c>
    </row>
    <row r="5894" spans="1:5" x14ac:dyDescent="0.25">
      <c r="A5894" s="2" t="s">
        <v>4813</v>
      </c>
      <c r="B5894" s="2" t="s">
        <v>2748</v>
      </c>
      <c r="C5894" s="2">
        <v>4</v>
      </c>
      <c r="D5894" t="str">
        <f t="shared" si="92"/>
        <v>CA-2017-117324_OFF-PA-10002713</v>
      </c>
      <c r="E5894" t="str">
        <f>IF(COUNTIF(data2!$D:$D,D5894)=0,"Missing in Data2","Present")</f>
        <v>Present</v>
      </c>
    </row>
    <row r="5895" spans="1:5" x14ac:dyDescent="0.25">
      <c r="A5895" s="2" t="s">
        <v>4813</v>
      </c>
      <c r="B5895" s="2" t="s">
        <v>324</v>
      </c>
      <c r="C5895" s="2">
        <v>3</v>
      </c>
      <c r="D5895" t="str">
        <f t="shared" si="92"/>
        <v>CA-2017-117324_TEC-AC-10003023</v>
      </c>
      <c r="E5895" t="str">
        <f>IF(COUNTIF(data2!$D:$D,D5895)=0,"Missing in Data2","Present")</f>
        <v>Present</v>
      </c>
    </row>
    <row r="5896" spans="1:5" x14ac:dyDescent="0.25">
      <c r="A5896" s="2" t="s">
        <v>4814</v>
      </c>
      <c r="B5896" s="2" t="s">
        <v>158</v>
      </c>
      <c r="C5896" s="2">
        <v>4</v>
      </c>
      <c r="D5896" t="str">
        <f t="shared" si="92"/>
        <v>CA-2017-117394_TEC-AC-10000199</v>
      </c>
      <c r="E5896" t="str">
        <f>IF(COUNTIF(data2!$D:$D,D5896)=0,"Missing in Data2","Present")</f>
        <v>Present</v>
      </c>
    </row>
    <row r="5897" spans="1:5" x14ac:dyDescent="0.25">
      <c r="A5897" s="2" t="s">
        <v>4815</v>
      </c>
      <c r="B5897" s="2" t="s">
        <v>4419</v>
      </c>
      <c r="C5897" s="2">
        <v>7</v>
      </c>
      <c r="D5897" t="str">
        <f t="shared" si="92"/>
        <v>CA-2017-117401_OFF-AP-10000938</v>
      </c>
      <c r="E5897" t="str">
        <f>IF(COUNTIF(data2!$D:$D,D5897)=0,"Missing in Data2","Present")</f>
        <v>Present</v>
      </c>
    </row>
    <row r="5898" spans="1:5" x14ac:dyDescent="0.25">
      <c r="A5898" s="2" t="s">
        <v>4815</v>
      </c>
      <c r="B5898" s="2" t="s">
        <v>1721</v>
      </c>
      <c r="C5898" s="2">
        <v>7</v>
      </c>
      <c r="D5898" t="str">
        <f t="shared" si="92"/>
        <v>CA-2017-117401_OFF-BI-10001267</v>
      </c>
      <c r="E5898" t="str">
        <f>IF(COUNTIF(data2!$D:$D,D5898)=0,"Missing in Data2","Present")</f>
        <v>Present</v>
      </c>
    </row>
    <row r="5899" spans="1:5" x14ac:dyDescent="0.25">
      <c r="A5899" s="2" t="s">
        <v>4815</v>
      </c>
      <c r="B5899" s="2" t="s">
        <v>2452</v>
      </c>
      <c r="C5899" s="2">
        <v>5</v>
      </c>
      <c r="D5899" t="str">
        <f t="shared" si="92"/>
        <v>CA-2017-117401_TEC-PH-10003555</v>
      </c>
      <c r="E5899" t="str">
        <f>IF(COUNTIF(data2!$D:$D,D5899)=0,"Missing in Data2","Present")</f>
        <v>Present</v>
      </c>
    </row>
    <row r="5900" spans="1:5" x14ac:dyDescent="0.25">
      <c r="A5900" s="2" t="s">
        <v>4816</v>
      </c>
      <c r="B5900" s="2" t="s">
        <v>4419</v>
      </c>
      <c r="C5900" s="2">
        <v>2</v>
      </c>
      <c r="D5900" t="str">
        <f t="shared" si="92"/>
        <v>CA-2017-117422_OFF-AP-10000938</v>
      </c>
      <c r="E5900" t="str">
        <f>IF(COUNTIF(data2!$D:$D,D5900)=0,"Missing in Data2","Present")</f>
        <v>Missing in Data2</v>
      </c>
    </row>
    <row r="5901" spans="1:5" x14ac:dyDescent="0.25">
      <c r="A5901" s="2" t="s">
        <v>4816</v>
      </c>
      <c r="B5901" s="2" t="s">
        <v>256</v>
      </c>
      <c r="C5901" s="2">
        <v>4</v>
      </c>
      <c r="D5901" t="str">
        <f t="shared" si="92"/>
        <v>CA-2017-117422_OFF-BI-10002799</v>
      </c>
      <c r="E5901" t="str">
        <f>IF(COUNTIF(data2!$D:$D,D5901)=0,"Missing in Data2","Present")</f>
        <v>Present</v>
      </c>
    </row>
    <row r="5902" spans="1:5" x14ac:dyDescent="0.25">
      <c r="A5902" s="2" t="s">
        <v>4816</v>
      </c>
      <c r="B5902" s="2" t="s">
        <v>157</v>
      </c>
      <c r="C5902" s="2">
        <v>1</v>
      </c>
      <c r="D5902" t="str">
        <f t="shared" si="92"/>
        <v>CA-2017-117422_OFF-PA-10002195</v>
      </c>
      <c r="E5902" t="str">
        <f>IF(COUNTIF(data2!$D:$D,D5902)=0,"Missing in Data2","Present")</f>
        <v>Present</v>
      </c>
    </row>
    <row r="5903" spans="1:5" x14ac:dyDescent="0.25">
      <c r="A5903" s="2" t="s">
        <v>4817</v>
      </c>
      <c r="B5903" s="2" t="s">
        <v>2891</v>
      </c>
      <c r="C5903" s="2">
        <v>2</v>
      </c>
      <c r="D5903" t="str">
        <f t="shared" si="92"/>
        <v>CA-2017-117436_OFF-BI-10004040</v>
      </c>
      <c r="E5903" t="str">
        <f>IF(COUNTIF(data2!$D:$D,D5903)=0,"Missing in Data2","Present")</f>
        <v>Present</v>
      </c>
    </row>
    <row r="5904" spans="1:5" x14ac:dyDescent="0.25">
      <c r="A5904" s="2" t="s">
        <v>4818</v>
      </c>
      <c r="B5904" s="2" t="s">
        <v>2543</v>
      </c>
      <c r="C5904" s="2">
        <v>4</v>
      </c>
      <c r="D5904" t="str">
        <f t="shared" si="92"/>
        <v>CA-2017-117443_OFF-BI-10004002</v>
      </c>
      <c r="E5904" t="str">
        <f>IF(COUNTIF(data2!$D:$D,D5904)=0,"Missing in Data2","Present")</f>
        <v>Present</v>
      </c>
    </row>
    <row r="5905" spans="1:5" x14ac:dyDescent="0.25">
      <c r="A5905" s="2" t="s">
        <v>4818</v>
      </c>
      <c r="B5905" s="2" t="s">
        <v>1103</v>
      </c>
      <c r="C5905" s="2">
        <v>4</v>
      </c>
      <c r="D5905" t="str">
        <f t="shared" si="92"/>
        <v>CA-2017-117443_OFF-PA-10004475</v>
      </c>
      <c r="E5905" t="str">
        <f>IF(COUNTIF(data2!$D:$D,D5905)=0,"Missing in Data2","Present")</f>
        <v>Present</v>
      </c>
    </row>
    <row r="5906" spans="1:5" x14ac:dyDescent="0.25">
      <c r="A5906" s="2" t="s">
        <v>4819</v>
      </c>
      <c r="B5906" s="2" t="s">
        <v>1343</v>
      </c>
      <c r="C5906" s="2">
        <v>13</v>
      </c>
      <c r="D5906" t="str">
        <f t="shared" si="92"/>
        <v>CA-2017-117457_FUR-BO-10001972</v>
      </c>
      <c r="E5906" t="str">
        <f>IF(COUNTIF(data2!$D:$D,D5906)=0,"Missing in Data2","Present")</f>
        <v>Present</v>
      </c>
    </row>
    <row r="5907" spans="1:5" x14ac:dyDescent="0.25">
      <c r="A5907" s="2" t="s">
        <v>4819</v>
      </c>
      <c r="B5907" s="2" t="s">
        <v>2429</v>
      </c>
      <c r="C5907" s="2">
        <v>2</v>
      </c>
      <c r="D5907" t="str">
        <f t="shared" si="92"/>
        <v>CA-2017-117457_FUR-CH-10003956</v>
      </c>
      <c r="E5907" t="str">
        <f>IF(COUNTIF(data2!$D:$D,D5907)=0,"Missing in Data2","Present")</f>
        <v>Present</v>
      </c>
    </row>
    <row r="5908" spans="1:5" x14ac:dyDescent="0.25">
      <c r="A5908" s="2" t="s">
        <v>4819</v>
      </c>
      <c r="B5908" s="2" t="s">
        <v>238</v>
      </c>
      <c r="C5908" s="2">
        <v>7</v>
      </c>
      <c r="D5908" t="str">
        <f t="shared" si="92"/>
        <v>CA-2017-117457_FUR-TA-10002041</v>
      </c>
      <c r="E5908" t="str">
        <f>IF(COUNTIF(data2!$D:$D,D5908)=0,"Missing in Data2","Present")</f>
        <v>Present</v>
      </c>
    </row>
    <row r="5909" spans="1:5" x14ac:dyDescent="0.25">
      <c r="A5909" s="2" t="s">
        <v>4819</v>
      </c>
      <c r="B5909" s="2" t="s">
        <v>1849</v>
      </c>
      <c r="C5909" s="2">
        <v>9</v>
      </c>
      <c r="D5909" t="str">
        <f t="shared" si="92"/>
        <v>CA-2017-117457_OFF-LA-10003766</v>
      </c>
      <c r="E5909" t="str">
        <f>IF(COUNTIF(data2!$D:$D,D5909)=0,"Missing in Data2","Present")</f>
        <v>Present</v>
      </c>
    </row>
    <row r="5910" spans="1:5" x14ac:dyDescent="0.25">
      <c r="A5910" s="2" t="s">
        <v>4819</v>
      </c>
      <c r="B5910" s="2" t="s">
        <v>1039</v>
      </c>
      <c r="C5910" s="2">
        <v>1</v>
      </c>
      <c r="D5910" t="str">
        <f t="shared" si="92"/>
        <v>CA-2017-117457_OFF-PA-10001970</v>
      </c>
      <c r="E5910" t="str">
        <f>IF(COUNTIF(data2!$D:$D,D5910)=0,"Missing in Data2","Present")</f>
        <v>Present</v>
      </c>
    </row>
    <row r="5911" spans="1:5" x14ac:dyDescent="0.25">
      <c r="A5911" s="2" t="s">
        <v>4819</v>
      </c>
      <c r="B5911" s="2" t="s">
        <v>936</v>
      </c>
      <c r="C5911" s="2">
        <v>1</v>
      </c>
      <c r="D5911" t="str">
        <f t="shared" si="92"/>
        <v>CA-2017-117457_OFF-PA-10002893</v>
      </c>
      <c r="E5911" t="str">
        <f>IF(COUNTIF(data2!$D:$D,D5911)=0,"Missing in Data2","Present")</f>
        <v>Present</v>
      </c>
    </row>
    <row r="5912" spans="1:5" x14ac:dyDescent="0.25">
      <c r="A5912" s="2" t="s">
        <v>4819</v>
      </c>
      <c r="B5912" s="2" t="s">
        <v>1552</v>
      </c>
      <c r="C5912" s="2">
        <v>5</v>
      </c>
      <c r="D5912" t="str">
        <f t="shared" si="92"/>
        <v>CA-2017-117457_OFF-PA-10003724</v>
      </c>
      <c r="E5912" t="str">
        <f>IF(COUNTIF(data2!$D:$D,D5912)=0,"Missing in Data2","Present")</f>
        <v>Present</v>
      </c>
    </row>
    <row r="5913" spans="1:5" x14ac:dyDescent="0.25">
      <c r="A5913" s="2" t="s">
        <v>4819</v>
      </c>
      <c r="B5913" s="2" t="s">
        <v>2371</v>
      </c>
      <c r="C5913" s="2">
        <v>5</v>
      </c>
      <c r="D5913" t="str">
        <f t="shared" si="92"/>
        <v>CA-2017-117457_TEC-AC-10000158</v>
      </c>
      <c r="E5913" t="str">
        <f>IF(COUNTIF(data2!$D:$D,D5913)=0,"Missing in Data2","Present")</f>
        <v>Present</v>
      </c>
    </row>
    <row r="5914" spans="1:5" x14ac:dyDescent="0.25">
      <c r="A5914" s="2" t="s">
        <v>4819</v>
      </c>
      <c r="B5914" s="2" t="s">
        <v>986</v>
      </c>
      <c r="C5914" s="2">
        <v>3</v>
      </c>
      <c r="D5914" t="str">
        <f t="shared" si="92"/>
        <v>CA-2017-117457_TEC-CO-10004115</v>
      </c>
      <c r="E5914" t="str">
        <f>IF(COUNTIF(data2!$D:$D,D5914)=0,"Missing in Data2","Present")</f>
        <v>Present</v>
      </c>
    </row>
    <row r="5915" spans="1:5" x14ac:dyDescent="0.25">
      <c r="A5915" s="2" t="s">
        <v>4820</v>
      </c>
      <c r="B5915" s="2" t="s">
        <v>1747</v>
      </c>
      <c r="C5915" s="2">
        <v>4</v>
      </c>
      <c r="D5915" t="str">
        <f t="shared" si="92"/>
        <v>CA-2017-117485_TEC-AC-10004659</v>
      </c>
      <c r="E5915" t="str">
        <f>IF(COUNTIF(data2!$D:$D,D5915)=0,"Missing in Data2","Present")</f>
        <v>Missing in Data2</v>
      </c>
    </row>
    <row r="5916" spans="1:5" x14ac:dyDescent="0.25">
      <c r="A5916" s="2" t="s">
        <v>4821</v>
      </c>
      <c r="B5916" s="2" t="s">
        <v>2601</v>
      </c>
      <c r="C5916" s="2">
        <v>7</v>
      </c>
      <c r="D5916" t="str">
        <f t="shared" si="92"/>
        <v>CA-2017-117513_FUR-TA-10001520</v>
      </c>
      <c r="E5916" t="str">
        <f>IF(COUNTIF(data2!$D:$D,D5916)=0,"Missing in Data2","Present")</f>
        <v>Present</v>
      </c>
    </row>
    <row r="5917" spans="1:5" x14ac:dyDescent="0.25">
      <c r="A5917" s="2" t="s">
        <v>4822</v>
      </c>
      <c r="B5917" s="2" t="s">
        <v>2601</v>
      </c>
      <c r="C5917" s="2">
        <v>5</v>
      </c>
      <c r="D5917" t="str">
        <f t="shared" si="92"/>
        <v>CA-2017-117632_FUR-TA-10001520</v>
      </c>
      <c r="E5917" t="str">
        <f>IF(COUNTIF(data2!$D:$D,D5917)=0,"Missing in Data2","Present")</f>
        <v>Present</v>
      </c>
    </row>
    <row r="5918" spans="1:5" x14ac:dyDescent="0.25">
      <c r="A5918" s="2" t="s">
        <v>4822</v>
      </c>
      <c r="B5918" s="2" t="s">
        <v>1084</v>
      </c>
      <c r="C5918" s="2">
        <v>1</v>
      </c>
      <c r="D5918" t="str">
        <f t="shared" si="92"/>
        <v>CA-2017-117632_OFF-AP-10004868</v>
      </c>
      <c r="E5918" t="str">
        <f>IF(COUNTIF(data2!$D:$D,D5918)=0,"Missing in Data2","Present")</f>
        <v>Present</v>
      </c>
    </row>
    <row r="5919" spans="1:5" x14ac:dyDescent="0.25">
      <c r="A5919" s="2" t="s">
        <v>4822</v>
      </c>
      <c r="B5919" s="2" t="s">
        <v>2483</v>
      </c>
      <c r="C5919" s="2">
        <v>4</v>
      </c>
      <c r="D5919" t="str">
        <f t="shared" si="92"/>
        <v>CA-2017-117632_OFF-BI-10001900</v>
      </c>
      <c r="E5919" t="str">
        <f>IF(COUNTIF(data2!$D:$D,D5919)=0,"Missing in Data2","Present")</f>
        <v>Present</v>
      </c>
    </row>
    <row r="5920" spans="1:5" x14ac:dyDescent="0.25">
      <c r="A5920" s="2" t="s">
        <v>4822</v>
      </c>
      <c r="B5920" s="2" t="s">
        <v>695</v>
      </c>
      <c r="C5920" s="2">
        <v>2</v>
      </c>
      <c r="D5920" t="str">
        <f t="shared" si="92"/>
        <v>CA-2017-117632_OFF-SU-10000157</v>
      </c>
      <c r="E5920" t="str">
        <f>IF(COUNTIF(data2!$D:$D,D5920)=0,"Missing in Data2","Present")</f>
        <v>Present</v>
      </c>
    </row>
    <row r="5921" spans="1:5" x14ac:dyDescent="0.25">
      <c r="A5921" s="2" t="s">
        <v>4823</v>
      </c>
      <c r="B5921" s="2" t="s">
        <v>3125</v>
      </c>
      <c r="C5921" s="2">
        <v>3</v>
      </c>
      <c r="D5921" t="str">
        <f t="shared" si="92"/>
        <v>CA-2017-117646_FUR-FU-10001037</v>
      </c>
      <c r="E5921" t="str">
        <f>IF(COUNTIF(data2!$D:$D,D5921)=0,"Missing in Data2","Present")</f>
        <v>Present</v>
      </c>
    </row>
    <row r="5922" spans="1:5" x14ac:dyDescent="0.25">
      <c r="A5922" s="2" t="s">
        <v>4823</v>
      </c>
      <c r="B5922" s="2" t="s">
        <v>2363</v>
      </c>
      <c r="C5922" s="2">
        <v>1</v>
      </c>
      <c r="D5922" t="str">
        <f t="shared" si="92"/>
        <v>CA-2017-117646_OFF-PA-10001950</v>
      </c>
      <c r="E5922" t="str">
        <f>IF(COUNTIF(data2!$D:$D,D5922)=0,"Missing in Data2","Present")</f>
        <v>Present</v>
      </c>
    </row>
    <row r="5923" spans="1:5" x14ac:dyDescent="0.25">
      <c r="A5923" s="2" t="s">
        <v>4823</v>
      </c>
      <c r="B5923" s="2" t="s">
        <v>357</v>
      </c>
      <c r="C5923" s="2">
        <v>3</v>
      </c>
      <c r="D5923" t="str">
        <f t="shared" si="92"/>
        <v>CA-2017-117646_OFF-ST-10000036</v>
      </c>
      <c r="E5923" t="str">
        <f>IF(COUNTIF(data2!$D:$D,D5923)=0,"Missing in Data2","Present")</f>
        <v>Present</v>
      </c>
    </row>
    <row r="5924" spans="1:5" x14ac:dyDescent="0.25">
      <c r="A5924" s="2" t="s">
        <v>4824</v>
      </c>
      <c r="B5924" s="2" t="s">
        <v>770</v>
      </c>
      <c r="C5924" s="2">
        <v>1</v>
      </c>
      <c r="D5924" t="str">
        <f t="shared" si="92"/>
        <v>CA-2017-117653_FUR-TA-10003008</v>
      </c>
      <c r="E5924" t="str">
        <f>IF(COUNTIF(data2!$D:$D,D5924)=0,"Missing in Data2","Present")</f>
        <v>Present</v>
      </c>
    </row>
    <row r="5925" spans="1:5" x14ac:dyDescent="0.25">
      <c r="A5925" s="2" t="s">
        <v>4825</v>
      </c>
      <c r="B5925" s="2" t="s">
        <v>2527</v>
      </c>
      <c r="C5925" s="2">
        <v>10</v>
      </c>
      <c r="D5925" t="str">
        <f t="shared" si="92"/>
        <v>CA-2017-117667_FUR-CH-10004540</v>
      </c>
      <c r="E5925" t="str">
        <f>IF(COUNTIF(data2!$D:$D,D5925)=0,"Missing in Data2","Present")</f>
        <v>Present</v>
      </c>
    </row>
    <row r="5926" spans="1:5" x14ac:dyDescent="0.25">
      <c r="A5926" s="2" t="s">
        <v>4825</v>
      </c>
      <c r="B5926" s="2" t="s">
        <v>2996</v>
      </c>
      <c r="C5926" s="2">
        <v>2</v>
      </c>
      <c r="D5926" t="str">
        <f t="shared" si="92"/>
        <v>CA-2017-117667_FUR-FU-10004093</v>
      </c>
      <c r="E5926" t="str">
        <f>IF(COUNTIF(data2!$D:$D,D5926)=0,"Missing in Data2","Present")</f>
        <v>Present</v>
      </c>
    </row>
    <row r="5927" spans="1:5" x14ac:dyDescent="0.25">
      <c r="A5927" s="2" t="s">
        <v>4825</v>
      </c>
      <c r="B5927" s="2" t="s">
        <v>286</v>
      </c>
      <c r="C5927" s="2">
        <v>3</v>
      </c>
      <c r="D5927" t="str">
        <f t="shared" si="92"/>
        <v>CA-2017-117667_OFF-AR-10000716</v>
      </c>
      <c r="E5927" t="str">
        <f>IF(COUNTIF(data2!$D:$D,D5927)=0,"Missing in Data2","Present")</f>
        <v>Present</v>
      </c>
    </row>
    <row r="5928" spans="1:5" x14ac:dyDescent="0.25">
      <c r="A5928" s="2" t="s">
        <v>4825</v>
      </c>
      <c r="B5928" s="2" t="s">
        <v>4826</v>
      </c>
      <c r="C5928" s="2">
        <v>5</v>
      </c>
      <c r="D5928" t="str">
        <f t="shared" si="92"/>
        <v>CA-2017-117667_OFF-PA-10002709</v>
      </c>
      <c r="E5928" t="str">
        <f>IF(COUNTIF(data2!$D:$D,D5928)=0,"Missing in Data2","Present")</f>
        <v>Present</v>
      </c>
    </row>
    <row r="5929" spans="1:5" x14ac:dyDescent="0.25">
      <c r="A5929" s="2" t="s">
        <v>4825</v>
      </c>
      <c r="B5929" s="2" t="s">
        <v>3543</v>
      </c>
      <c r="C5929" s="2">
        <v>4</v>
      </c>
      <c r="D5929" t="str">
        <f t="shared" si="92"/>
        <v>CA-2017-117667_TEC-AC-10000580</v>
      </c>
      <c r="E5929" t="str">
        <f>IF(COUNTIF(data2!$D:$D,D5929)=0,"Missing in Data2","Present")</f>
        <v>Present</v>
      </c>
    </row>
    <row r="5930" spans="1:5" x14ac:dyDescent="0.25">
      <c r="A5930" s="2" t="s">
        <v>4827</v>
      </c>
      <c r="B5930" s="2" t="s">
        <v>2748</v>
      </c>
      <c r="C5930" s="2">
        <v>2</v>
      </c>
      <c r="D5930" t="str">
        <f t="shared" si="92"/>
        <v>CA-2017-117695_OFF-PA-10002713</v>
      </c>
      <c r="E5930" t="str">
        <f>IF(COUNTIF(data2!$D:$D,D5930)=0,"Missing in Data2","Present")</f>
        <v>Present</v>
      </c>
    </row>
    <row r="5931" spans="1:5" x14ac:dyDescent="0.25">
      <c r="A5931" s="2" t="s">
        <v>4828</v>
      </c>
      <c r="B5931" s="2" t="s">
        <v>2704</v>
      </c>
      <c r="C5931" s="2">
        <v>5</v>
      </c>
      <c r="D5931" t="str">
        <f t="shared" si="92"/>
        <v>CA-2017-117702_FUR-FU-10000576</v>
      </c>
      <c r="E5931" t="str">
        <f>IF(COUNTIF(data2!$D:$D,D5931)=0,"Missing in Data2","Present")</f>
        <v>Present</v>
      </c>
    </row>
    <row r="5932" spans="1:5" x14ac:dyDescent="0.25">
      <c r="A5932" s="2" t="s">
        <v>4828</v>
      </c>
      <c r="B5932" s="2" t="s">
        <v>723</v>
      </c>
      <c r="C5932" s="2">
        <v>1</v>
      </c>
      <c r="D5932" t="str">
        <f t="shared" si="92"/>
        <v>CA-2017-117702_OFF-AR-10004582</v>
      </c>
      <c r="E5932" t="str">
        <f>IF(COUNTIF(data2!$D:$D,D5932)=0,"Missing in Data2","Present")</f>
        <v>Present</v>
      </c>
    </row>
    <row r="5933" spans="1:5" x14ac:dyDescent="0.25">
      <c r="A5933" s="2" t="s">
        <v>4829</v>
      </c>
      <c r="B5933" s="2" t="s">
        <v>2100</v>
      </c>
      <c r="C5933" s="2">
        <v>1</v>
      </c>
      <c r="D5933" t="str">
        <f t="shared" si="92"/>
        <v>CA-2017-117807_OFF-PA-10000994</v>
      </c>
      <c r="E5933" t="str">
        <f>IF(COUNTIF(data2!$D:$D,D5933)=0,"Missing in Data2","Present")</f>
        <v>Present</v>
      </c>
    </row>
    <row r="5934" spans="1:5" x14ac:dyDescent="0.25">
      <c r="A5934" s="2" t="s">
        <v>4830</v>
      </c>
      <c r="B5934" s="2" t="s">
        <v>2802</v>
      </c>
      <c r="C5934" s="2">
        <v>2</v>
      </c>
      <c r="D5934" t="str">
        <f t="shared" si="92"/>
        <v>CA-2017-117821_TEC-AC-10004469</v>
      </c>
      <c r="E5934" t="str">
        <f>IF(COUNTIF(data2!$D:$D,D5934)=0,"Missing in Data2","Present")</f>
        <v>Present</v>
      </c>
    </row>
    <row r="5935" spans="1:5" x14ac:dyDescent="0.25">
      <c r="A5935" s="2" t="s">
        <v>4831</v>
      </c>
      <c r="B5935" s="2" t="s">
        <v>100</v>
      </c>
      <c r="C5935" s="2">
        <v>2</v>
      </c>
      <c r="D5935" t="str">
        <f t="shared" si="92"/>
        <v>CA-2017-117863_FUR-FU-10002456</v>
      </c>
      <c r="E5935" t="str">
        <f>IF(COUNTIF(data2!$D:$D,D5935)=0,"Missing in Data2","Present")</f>
        <v>Present</v>
      </c>
    </row>
    <row r="5936" spans="1:5" x14ac:dyDescent="0.25">
      <c r="A5936" s="2" t="s">
        <v>4831</v>
      </c>
      <c r="B5936" s="2" t="s">
        <v>1789</v>
      </c>
      <c r="C5936" s="2">
        <v>1</v>
      </c>
      <c r="D5936" t="str">
        <f t="shared" si="92"/>
        <v>CA-2017-117863_OFF-BI-10000605</v>
      </c>
      <c r="E5936" t="str">
        <f>IF(COUNTIF(data2!$D:$D,D5936)=0,"Missing in Data2","Present")</f>
        <v>Present</v>
      </c>
    </row>
    <row r="5937" spans="1:5" x14ac:dyDescent="0.25">
      <c r="A5937" s="2" t="s">
        <v>4832</v>
      </c>
      <c r="B5937" s="2" t="s">
        <v>1096</v>
      </c>
      <c r="C5937" s="2">
        <v>3</v>
      </c>
      <c r="D5937" t="str">
        <f t="shared" si="92"/>
        <v>CA-2017-117870_OFF-AR-10004078</v>
      </c>
      <c r="E5937" t="str">
        <f>IF(COUNTIF(data2!$D:$D,D5937)=0,"Missing in Data2","Present")</f>
        <v>Present</v>
      </c>
    </row>
    <row r="5938" spans="1:5" x14ac:dyDescent="0.25">
      <c r="A5938" s="2" t="s">
        <v>4832</v>
      </c>
      <c r="B5938" s="2" t="s">
        <v>3164</v>
      </c>
      <c r="C5938" s="2">
        <v>3</v>
      </c>
      <c r="D5938" t="str">
        <f t="shared" si="92"/>
        <v>CA-2017-117870_TEC-AC-10000927</v>
      </c>
      <c r="E5938" t="str">
        <f>IF(COUNTIF(data2!$D:$D,D5938)=0,"Missing in Data2","Present")</f>
        <v>Present</v>
      </c>
    </row>
    <row r="5939" spans="1:5" x14ac:dyDescent="0.25">
      <c r="A5939" s="2" t="s">
        <v>4832</v>
      </c>
      <c r="B5939" s="2" t="s">
        <v>1192</v>
      </c>
      <c r="C5939" s="2">
        <v>3</v>
      </c>
      <c r="D5939" t="str">
        <f t="shared" si="92"/>
        <v>CA-2017-117870_TEC-PH-10003931</v>
      </c>
      <c r="E5939" t="str">
        <f>IF(COUNTIF(data2!$D:$D,D5939)=0,"Missing in Data2","Present")</f>
        <v>Present</v>
      </c>
    </row>
    <row r="5940" spans="1:5" x14ac:dyDescent="0.25">
      <c r="A5940" s="2" t="s">
        <v>4833</v>
      </c>
      <c r="B5940" s="2" t="s">
        <v>4834</v>
      </c>
      <c r="C5940" s="2">
        <v>1</v>
      </c>
      <c r="D5940" t="str">
        <f t="shared" si="92"/>
        <v>CA-2017-117926_OFF-AP-10002670</v>
      </c>
      <c r="E5940" t="str">
        <f>IF(COUNTIF(data2!$D:$D,D5940)=0,"Missing in Data2","Present")</f>
        <v>Present</v>
      </c>
    </row>
    <row r="5941" spans="1:5" x14ac:dyDescent="0.25">
      <c r="A5941" s="2" t="s">
        <v>4835</v>
      </c>
      <c r="B5941" s="2" t="s">
        <v>856</v>
      </c>
      <c r="C5941" s="2">
        <v>2</v>
      </c>
      <c r="D5941" t="str">
        <f t="shared" si="92"/>
        <v>CA-2017-117947_FUR-FU-10000010</v>
      </c>
      <c r="E5941" t="str">
        <f>IF(COUNTIF(data2!$D:$D,D5941)=0,"Missing in Data2","Present")</f>
        <v>Present</v>
      </c>
    </row>
    <row r="5942" spans="1:5" x14ac:dyDescent="0.25">
      <c r="A5942" s="2" t="s">
        <v>4835</v>
      </c>
      <c r="B5942" s="2" t="s">
        <v>363</v>
      </c>
      <c r="C5942" s="2">
        <v>3</v>
      </c>
      <c r="D5942" t="str">
        <f t="shared" si="92"/>
        <v>CA-2017-117947_FUR-FU-10000521</v>
      </c>
      <c r="E5942" t="str">
        <f>IF(COUNTIF(data2!$D:$D,D5942)=0,"Missing in Data2","Present")</f>
        <v>Present</v>
      </c>
    </row>
    <row r="5943" spans="1:5" x14ac:dyDescent="0.25">
      <c r="A5943" s="2" t="s">
        <v>4835</v>
      </c>
      <c r="B5943" s="2" t="s">
        <v>1503</v>
      </c>
      <c r="C5943" s="2">
        <v>2</v>
      </c>
      <c r="D5943" t="str">
        <f t="shared" si="92"/>
        <v>CA-2017-117947_FUR-FU-10003849</v>
      </c>
      <c r="E5943" t="str">
        <f>IF(COUNTIF(data2!$D:$D,D5943)=0,"Missing in Data2","Present")</f>
        <v>Present</v>
      </c>
    </row>
    <row r="5944" spans="1:5" x14ac:dyDescent="0.25">
      <c r="A5944" s="2" t="s">
        <v>4835</v>
      </c>
      <c r="B5944" s="2" t="s">
        <v>1255</v>
      </c>
      <c r="C5944" s="2">
        <v>9</v>
      </c>
      <c r="D5944" t="str">
        <f t="shared" si="92"/>
        <v>CA-2017-117947_OFF-BI-10002824</v>
      </c>
      <c r="E5944" t="str">
        <f>IF(COUNTIF(data2!$D:$D,D5944)=0,"Missing in Data2","Present")</f>
        <v>Present</v>
      </c>
    </row>
    <row r="5945" spans="1:5" x14ac:dyDescent="0.25">
      <c r="A5945" s="2" t="s">
        <v>4836</v>
      </c>
      <c r="B5945" s="2" t="s">
        <v>621</v>
      </c>
      <c r="C5945" s="2">
        <v>3</v>
      </c>
      <c r="D5945" t="str">
        <f t="shared" si="92"/>
        <v>CA-2017-118003_FUR-CH-10003817</v>
      </c>
      <c r="E5945" t="str">
        <f>IF(COUNTIF(data2!$D:$D,D5945)=0,"Missing in Data2","Present")</f>
        <v>Present</v>
      </c>
    </row>
    <row r="5946" spans="1:5" x14ac:dyDescent="0.25">
      <c r="A5946" s="2" t="s">
        <v>4836</v>
      </c>
      <c r="B5946" s="2" t="s">
        <v>1162</v>
      </c>
      <c r="C5946" s="2">
        <v>3</v>
      </c>
      <c r="D5946" t="str">
        <f t="shared" si="92"/>
        <v>CA-2017-118003_FUR-CH-10004860</v>
      </c>
      <c r="E5946" t="str">
        <f>IF(COUNTIF(data2!$D:$D,D5946)=0,"Missing in Data2","Present")</f>
        <v>Present</v>
      </c>
    </row>
    <row r="5947" spans="1:5" x14ac:dyDescent="0.25">
      <c r="A5947" s="2" t="s">
        <v>4836</v>
      </c>
      <c r="B5947" s="2" t="s">
        <v>2098</v>
      </c>
      <c r="C5947" s="2">
        <v>1</v>
      </c>
      <c r="D5947" t="str">
        <f t="shared" si="92"/>
        <v>CA-2017-118003_FUR-FU-10002506</v>
      </c>
      <c r="E5947" t="str">
        <f>IF(COUNTIF(data2!$D:$D,D5947)=0,"Missing in Data2","Present")</f>
        <v>Present</v>
      </c>
    </row>
    <row r="5948" spans="1:5" x14ac:dyDescent="0.25">
      <c r="A5948" s="2" t="s">
        <v>4837</v>
      </c>
      <c r="B5948" s="2" t="s">
        <v>3539</v>
      </c>
      <c r="C5948" s="2">
        <v>1</v>
      </c>
      <c r="D5948" t="str">
        <f t="shared" si="92"/>
        <v>CA-2017-118017_FUR-FU-10004053</v>
      </c>
      <c r="E5948" t="str">
        <f>IF(COUNTIF(data2!$D:$D,D5948)=0,"Missing in Data2","Present")</f>
        <v>Present</v>
      </c>
    </row>
    <row r="5949" spans="1:5" x14ac:dyDescent="0.25">
      <c r="A5949" s="2" t="s">
        <v>4837</v>
      </c>
      <c r="B5949" s="2" t="s">
        <v>461</v>
      </c>
      <c r="C5949" s="2">
        <v>5</v>
      </c>
      <c r="D5949" t="str">
        <f t="shared" si="92"/>
        <v>CA-2017-118017_FUR-FU-10004270</v>
      </c>
      <c r="E5949" t="str">
        <f>IF(COUNTIF(data2!$D:$D,D5949)=0,"Missing in Data2","Present")</f>
        <v>Present</v>
      </c>
    </row>
    <row r="5950" spans="1:5" x14ac:dyDescent="0.25">
      <c r="A5950" s="2" t="s">
        <v>4837</v>
      </c>
      <c r="B5950" s="2" t="s">
        <v>1293</v>
      </c>
      <c r="C5950" s="2">
        <v>3</v>
      </c>
      <c r="D5950" t="str">
        <f t="shared" si="92"/>
        <v>CA-2017-118017_FUR-FU-10004351</v>
      </c>
      <c r="E5950" t="str">
        <f>IF(COUNTIF(data2!$D:$D,D5950)=0,"Missing in Data2","Present")</f>
        <v>Present</v>
      </c>
    </row>
    <row r="5951" spans="1:5" x14ac:dyDescent="0.25">
      <c r="A5951" s="2" t="s">
        <v>4837</v>
      </c>
      <c r="B5951" s="2" t="s">
        <v>2785</v>
      </c>
      <c r="C5951" s="2">
        <v>6</v>
      </c>
      <c r="D5951" t="str">
        <f t="shared" si="92"/>
        <v>CA-2017-118017_OFF-AR-10003856</v>
      </c>
      <c r="E5951" t="str">
        <f>IF(COUNTIF(data2!$D:$D,D5951)=0,"Missing in Data2","Present")</f>
        <v>Present</v>
      </c>
    </row>
    <row r="5952" spans="1:5" x14ac:dyDescent="0.25">
      <c r="A5952" s="2" t="s">
        <v>4837</v>
      </c>
      <c r="B5952" s="2" t="s">
        <v>1495</v>
      </c>
      <c r="C5952" s="2">
        <v>2</v>
      </c>
      <c r="D5952" t="str">
        <f t="shared" si="92"/>
        <v>CA-2017-118017_OFF-PA-10002246</v>
      </c>
      <c r="E5952" t="str">
        <f>IF(COUNTIF(data2!$D:$D,D5952)=0,"Missing in Data2","Present")</f>
        <v>Present</v>
      </c>
    </row>
    <row r="5953" spans="1:5" x14ac:dyDescent="0.25">
      <c r="A5953" s="2" t="s">
        <v>4837</v>
      </c>
      <c r="B5953" s="2" t="s">
        <v>3133</v>
      </c>
      <c r="C5953" s="2">
        <v>7</v>
      </c>
      <c r="D5953" t="str">
        <f t="shared" si="92"/>
        <v>CA-2017-118017_OFF-SU-10004782</v>
      </c>
      <c r="E5953" t="str">
        <f>IF(COUNTIF(data2!$D:$D,D5953)=0,"Missing in Data2","Present")</f>
        <v>Present</v>
      </c>
    </row>
    <row r="5954" spans="1:5" x14ac:dyDescent="0.25">
      <c r="A5954" s="2" t="s">
        <v>4837</v>
      </c>
      <c r="B5954" s="2" t="s">
        <v>1603</v>
      </c>
      <c r="C5954" s="2">
        <v>14</v>
      </c>
      <c r="D5954" t="str">
        <f t="shared" si="92"/>
        <v>CA-2017-118017_TEC-AC-10002006</v>
      </c>
      <c r="E5954" t="str">
        <f>IF(COUNTIF(data2!$D:$D,D5954)=0,"Missing in Data2","Present")</f>
        <v>Present</v>
      </c>
    </row>
    <row r="5955" spans="1:5" x14ac:dyDescent="0.25">
      <c r="A5955" s="2" t="s">
        <v>4838</v>
      </c>
      <c r="B5955" s="2" t="s">
        <v>275</v>
      </c>
      <c r="C5955" s="2">
        <v>2</v>
      </c>
      <c r="D5955" t="str">
        <f t="shared" ref="D5955:D6018" si="93">A5955&amp;"_"&amp;B5955</f>
        <v>CA-2017-118122_OFF-BI-10002103</v>
      </c>
      <c r="E5955" t="str">
        <f>IF(COUNTIF(data2!$D:$D,D5955)=0,"Missing in Data2","Present")</f>
        <v>Present</v>
      </c>
    </row>
    <row r="5956" spans="1:5" x14ac:dyDescent="0.25">
      <c r="A5956" s="2" t="s">
        <v>4839</v>
      </c>
      <c r="B5956" s="2" t="s">
        <v>1555</v>
      </c>
      <c r="C5956" s="2">
        <v>1</v>
      </c>
      <c r="D5956" t="str">
        <f t="shared" si="93"/>
        <v>CA-2017-118136_OFF-AR-10001427</v>
      </c>
      <c r="E5956" t="str">
        <f>IF(COUNTIF(data2!$D:$D,D5956)=0,"Missing in Data2","Present")</f>
        <v>Present</v>
      </c>
    </row>
    <row r="5957" spans="1:5" x14ac:dyDescent="0.25">
      <c r="A5957" s="2" t="s">
        <v>4839</v>
      </c>
      <c r="B5957" s="2" t="s">
        <v>1968</v>
      </c>
      <c r="C5957" s="2">
        <v>2</v>
      </c>
      <c r="D5957" t="str">
        <f t="shared" si="93"/>
        <v>CA-2017-118136_OFF-PA-10002615</v>
      </c>
      <c r="E5957" t="str">
        <f>IF(COUNTIF(data2!$D:$D,D5957)=0,"Missing in Data2","Present")</f>
        <v>Present</v>
      </c>
    </row>
    <row r="5958" spans="1:5" x14ac:dyDescent="0.25">
      <c r="A5958" s="2" t="s">
        <v>4840</v>
      </c>
      <c r="B5958" s="2" t="s">
        <v>2193</v>
      </c>
      <c r="C5958" s="2">
        <v>5</v>
      </c>
      <c r="D5958" t="str">
        <f t="shared" si="93"/>
        <v>CA-2017-118199_OFF-BI-10004330</v>
      </c>
      <c r="E5958" t="str">
        <f>IF(COUNTIF(data2!$D:$D,D5958)=0,"Missing in Data2","Present")</f>
        <v>Present</v>
      </c>
    </row>
    <row r="5959" spans="1:5" x14ac:dyDescent="0.25">
      <c r="A5959" s="2" t="s">
        <v>4840</v>
      </c>
      <c r="B5959" s="2" t="s">
        <v>2149</v>
      </c>
      <c r="C5959" s="2">
        <v>3</v>
      </c>
      <c r="D5959" t="str">
        <f t="shared" si="93"/>
        <v>CA-2017-118199_OFF-ST-10000604</v>
      </c>
      <c r="E5959" t="str">
        <f>IF(COUNTIF(data2!$D:$D,D5959)=0,"Missing in Data2","Present")</f>
        <v>Present</v>
      </c>
    </row>
    <row r="5960" spans="1:5" x14ac:dyDescent="0.25">
      <c r="A5960" s="2" t="s">
        <v>4840</v>
      </c>
      <c r="B5960" s="2" t="s">
        <v>962</v>
      </c>
      <c r="C5960" s="2">
        <v>4</v>
      </c>
      <c r="D5960" t="str">
        <f t="shared" si="93"/>
        <v>CA-2017-118199_OFF-ST-10000636</v>
      </c>
      <c r="E5960" t="str">
        <f>IF(COUNTIF(data2!$D:$D,D5960)=0,"Missing in Data2","Present")</f>
        <v>Present</v>
      </c>
    </row>
    <row r="5961" spans="1:5" x14ac:dyDescent="0.25">
      <c r="A5961" s="2" t="s">
        <v>4840</v>
      </c>
      <c r="B5961" s="2" t="s">
        <v>457</v>
      </c>
      <c r="C5961" s="2">
        <v>2</v>
      </c>
      <c r="D5961" t="str">
        <f t="shared" si="93"/>
        <v>CA-2017-118199_TEC-AC-10004171</v>
      </c>
      <c r="E5961" t="str">
        <f>IF(COUNTIF(data2!$D:$D,D5961)=0,"Missing in Data2","Present")</f>
        <v>Present</v>
      </c>
    </row>
    <row r="5962" spans="1:5" x14ac:dyDescent="0.25">
      <c r="A5962" s="2" t="s">
        <v>4841</v>
      </c>
      <c r="B5962" s="2" t="s">
        <v>3685</v>
      </c>
      <c r="C5962" s="2">
        <v>3</v>
      </c>
      <c r="D5962" t="str">
        <f t="shared" si="93"/>
        <v>CA-2017-118213_OFF-PA-10000565</v>
      </c>
      <c r="E5962" t="str">
        <f>IF(COUNTIF(data2!$D:$D,D5962)=0,"Missing in Data2","Present")</f>
        <v>Present</v>
      </c>
    </row>
    <row r="5963" spans="1:5" x14ac:dyDescent="0.25">
      <c r="A5963" s="2" t="s">
        <v>4841</v>
      </c>
      <c r="B5963" s="2" t="s">
        <v>1968</v>
      </c>
      <c r="C5963" s="2">
        <v>1</v>
      </c>
      <c r="D5963" t="str">
        <f t="shared" si="93"/>
        <v>CA-2017-118213_OFF-PA-10002615</v>
      </c>
      <c r="E5963" t="str">
        <f>IF(COUNTIF(data2!$D:$D,D5963)=0,"Missing in Data2","Present")</f>
        <v>Present</v>
      </c>
    </row>
    <row r="5964" spans="1:5" x14ac:dyDescent="0.25">
      <c r="A5964" s="2" t="s">
        <v>4841</v>
      </c>
      <c r="B5964" s="2" t="s">
        <v>4498</v>
      </c>
      <c r="C5964" s="2">
        <v>10</v>
      </c>
      <c r="D5964" t="str">
        <f t="shared" si="93"/>
        <v>CA-2017-118213_OFF-PA-10003673</v>
      </c>
      <c r="E5964" t="str">
        <f>IF(COUNTIF(data2!$D:$D,D5964)=0,"Missing in Data2","Present")</f>
        <v>Present</v>
      </c>
    </row>
    <row r="5965" spans="1:5" x14ac:dyDescent="0.25">
      <c r="A5965" s="2" t="s">
        <v>4842</v>
      </c>
      <c r="B5965" s="2" t="s">
        <v>440</v>
      </c>
      <c r="C5965" s="2">
        <v>5</v>
      </c>
      <c r="D5965" t="str">
        <f t="shared" si="93"/>
        <v>CA-2017-118346_TEC-AC-10000736</v>
      </c>
      <c r="E5965" t="str">
        <f>IF(COUNTIF(data2!$D:$D,D5965)=0,"Missing in Data2","Present")</f>
        <v>Present</v>
      </c>
    </row>
    <row r="5966" spans="1:5" x14ac:dyDescent="0.25">
      <c r="A5966" s="2" t="s">
        <v>4843</v>
      </c>
      <c r="B5966" s="2" t="s">
        <v>3814</v>
      </c>
      <c r="C5966" s="2">
        <v>9</v>
      </c>
      <c r="D5966" t="str">
        <f t="shared" si="93"/>
        <v>CA-2017-118360_OFF-PA-10000791</v>
      </c>
      <c r="E5966" t="str">
        <f>IF(COUNTIF(data2!$D:$D,D5966)=0,"Missing in Data2","Present")</f>
        <v>Present</v>
      </c>
    </row>
    <row r="5967" spans="1:5" x14ac:dyDescent="0.25">
      <c r="A5967" s="2" t="s">
        <v>4844</v>
      </c>
      <c r="B5967" s="2" t="s">
        <v>3016</v>
      </c>
      <c r="C5967" s="2">
        <v>2</v>
      </c>
      <c r="D5967" t="str">
        <f t="shared" si="93"/>
        <v>CA-2017-118367_OFF-EN-10004386</v>
      </c>
      <c r="E5967" t="str">
        <f>IF(COUNTIF(data2!$D:$D,D5967)=0,"Missing in Data2","Present")</f>
        <v>Present</v>
      </c>
    </row>
    <row r="5968" spans="1:5" x14ac:dyDescent="0.25">
      <c r="A5968" s="2" t="s">
        <v>4845</v>
      </c>
      <c r="B5968" s="2" t="s">
        <v>2398</v>
      </c>
      <c r="C5968" s="2">
        <v>5</v>
      </c>
      <c r="D5968" t="str">
        <f t="shared" si="93"/>
        <v>CA-2017-118402_OFF-ST-10001418</v>
      </c>
      <c r="E5968" t="str">
        <f>IF(COUNTIF(data2!$D:$D,D5968)=0,"Missing in Data2","Present")</f>
        <v>Present</v>
      </c>
    </row>
    <row r="5969" spans="1:5" x14ac:dyDescent="0.25">
      <c r="A5969" s="2" t="s">
        <v>4846</v>
      </c>
      <c r="B5969" s="2" t="s">
        <v>2725</v>
      </c>
      <c r="C5969" s="2">
        <v>3</v>
      </c>
      <c r="D5969" t="str">
        <f t="shared" si="93"/>
        <v>CA-2017-118437_FUR-FU-10004848</v>
      </c>
      <c r="E5969" t="str">
        <f>IF(COUNTIF(data2!$D:$D,D5969)=0,"Missing in Data2","Present")</f>
        <v>Present</v>
      </c>
    </row>
    <row r="5970" spans="1:5" x14ac:dyDescent="0.25">
      <c r="A5970" s="2" t="s">
        <v>4846</v>
      </c>
      <c r="B5970" s="2" t="s">
        <v>865</v>
      </c>
      <c r="C5970" s="2">
        <v>1</v>
      </c>
      <c r="D5970" t="str">
        <f t="shared" si="93"/>
        <v>CA-2017-118437_OFF-ST-10003722</v>
      </c>
      <c r="E5970" t="str">
        <f>IF(COUNTIF(data2!$D:$D,D5970)=0,"Missing in Data2","Present")</f>
        <v>Present</v>
      </c>
    </row>
    <row r="5971" spans="1:5" x14ac:dyDescent="0.25">
      <c r="A5971" s="2" t="s">
        <v>4847</v>
      </c>
      <c r="B5971" s="2" t="s">
        <v>1308</v>
      </c>
      <c r="C5971" s="2">
        <v>2</v>
      </c>
      <c r="D5971" t="str">
        <f t="shared" si="93"/>
        <v>CA-2017-118521_OFF-PA-10003465</v>
      </c>
      <c r="E5971" t="str">
        <f>IF(COUNTIF(data2!$D:$D,D5971)=0,"Missing in Data2","Present")</f>
        <v>Present</v>
      </c>
    </row>
    <row r="5972" spans="1:5" x14ac:dyDescent="0.25">
      <c r="A5972" s="2" t="s">
        <v>4848</v>
      </c>
      <c r="B5972" s="2" t="s">
        <v>891</v>
      </c>
      <c r="C5972" s="2">
        <v>2</v>
      </c>
      <c r="D5972" t="str">
        <f t="shared" si="93"/>
        <v>CA-2017-118542_OFF-BI-10003429</v>
      </c>
      <c r="E5972" t="str">
        <f>IF(COUNTIF(data2!$D:$D,D5972)=0,"Missing in Data2","Present")</f>
        <v>Present</v>
      </c>
    </row>
    <row r="5973" spans="1:5" x14ac:dyDescent="0.25">
      <c r="A5973" s="2" t="s">
        <v>4848</v>
      </c>
      <c r="B5973" s="2" t="s">
        <v>4374</v>
      </c>
      <c r="C5973" s="2">
        <v>7</v>
      </c>
      <c r="D5973" t="str">
        <f t="shared" si="93"/>
        <v>CA-2017-118542_OFF-PA-10004735</v>
      </c>
      <c r="E5973" t="str">
        <f>IF(COUNTIF(data2!$D:$D,D5973)=0,"Missing in Data2","Present")</f>
        <v>Present</v>
      </c>
    </row>
    <row r="5974" spans="1:5" x14ac:dyDescent="0.25">
      <c r="A5974" s="2" t="s">
        <v>4849</v>
      </c>
      <c r="B5974" s="2" t="s">
        <v>2394</v>
      </c>
      <c r="C5974" s="2">
        <v>3</v>
      </c>
      <c r="D5974" t="str">
        <f t="shared" si="93"/>
        <v>CA-2017-118577_OFF-PA-10001357</v>
      </c>
      <c r="E5974" t="str">
        <f>IF(COUNTIF(data2!$D:$D,D5974)=0,"Missing in Data2","Present")</f>
        <v>Present</v>
      </c>
    </row>
    <row r="5975" spans="1:5" x14ac:dyDescent="0.25">
      <c r="A5975" s="2" t="s">
        <v>4849</v>
      </c>
      <c r="B5975" s="2" t="s">
        <v>581</v>
      </c>
      <c r="C5975" s="2">
        <v>1</v>
      </c>
      <c r="D5975" t="str">
        <f t="shared" si="93"/>
        <v>CA-2017-118577_OFF-PA-10004888</v>
      </c>
      <c r="E5975" t="str">
        <f>IF(COUNTIF(data2!$D:$D,D5975)=0,"Missing in Data2","Present")</f>
        <v>Missing in Data2</v>
      </c>
    </row>
    <row r="5976" spans="1:5" x14ac:dyDescent="0.25">
      <c r="A5976" s="2" t="s">
        <v>4850</v>
      </c>
      <c r="B5976" s="2" t="s">
        <v>1690</v>
      </c>
      <c r="C5976" s="2">
        <v>1</v>
      </c>
      <c r="D5976" t="str">
        <f t="shared" si="93"/>
        <v>CA-2017-118640_FUR-FU-10001475</v>
      </c>
      <c r="E5976" t="str">
        <f>IF(COUNTIF(data2!$D:$D,D5976)=0,"Missing in Data2","Present")</f>
        <v>Present</v>
      </c>
    </row>
    <row r="5977" spans="1:5" x14ac:dyDescent="0.25">
      <c r="A5977" s="2" t="s">
        <v>4850</v>
      </c>
      <c r="B5977" s="2" t="s">
        <v>1717</v>
      </c>
      <c r="C5977" s="2">
        <v>2</v>
      </c>
      <c r="D5977" t="str">
        <f t="shared" si="93"/>
        <v>CA-2017-118640_OFF-ST-10002974</v>
      </c>
      <c r="E5977" t="str">
        <f>IF(COUNTIF(data2!$D:$D,D5977)=0,"Missing in Data2","Present")</f>
        <v>Present</v>
      </c>
    </row>
    <row r="5978" spans="1:5" x14ac:dyDescent="0.25">
      <c r="A5978" s="2" t="s">
        <v>4851</v>
      </c>
      <c r="B5978" s="2" t="s">
        <v>2817</v>
      </c>
      <c r="C5978" s="2">
        <v>1</v>
      </c>
      <c r="D5978" t="str">
        <f t="shared" si="93"/>
        <v>CA-2017-118668_TEC-AC-10000682</v>
      </c>
      <c r="E5978" t="str">
        <f>IF(COUNTIF(data2!$D:$D,D5978)=0,"Missing in Data2","Present")</f>
        <v>Present</v>
      </c>
    </row>
    <row r="5979" spans="1:5" x14ac:dyDescent="0.25">
      <c r="A5979" s="2" t="s">
        <v>4852</v>
      </c>
      <c r="B5979" s="2" t="s">
        <v>719</v>
      </c>
      <c r="C5979" s="2">
        <v>2</v>
      </c>
      <c r="D5979" t="str">
        <f t="shared" si="93"/>
        <v>CA-2017-118724_OFF-AR-10003469</v>
      </c>
      <c r="E5979" t="str">
        <f>IF(COUNTIF(data2!$D:$D,D5979)=0,"Missing in Data2","Present")</f>
        <v>Present</v>
      </c>
    </row>
    <row r="5980" spans="1:5" x14ac:dyDescent="0.25">
      <c r="A5980" s="2" t="s">
        <v>4852</v>
      </c>
      <c r="B5980" s="2" t="s">
        <v>102</v>
      </c>
      <c r="C5980" s="2">
        <v>9</v>
      </c>
      <c r="D5980" t="str">
        <f t="shared" si="93"/>
        <v>CA-2017-118724_TEC-PH-10002549</v>
      </c>
      <c r="E5980" t="str">
        <f>IF(COUNTIF(data2!$D:$D,D5980)=0,"Missing in Data2","Present")</f>
        <v>Present</v>
      </c>
    </row>
    <row r="5981" spans="1:5" x14ac:dyDescent="0.25">
      <c r="A5981" s="2" t="s">
        <v>4853</v>
      </c>
      <c r="B5981" s="2" t="s">
        <v>2689</v>
      </c>
      <c r="C5981" s="2">
        <v>3</v>
      </c>
      <c r="D5981" t="str">
        <f t="shared" si="93"/>
        <v>CA-2017-118731_FUR-FU-10003347</v>
      </c>
      <c r="E5981" t="str">
        <f>IF(COUNTIF(data2!$D:$D,D5981)=0,"Missing in Data2","Present")</f>
        <v>Present</v>
      </c>
    </row>
    <row r="5982" spans="1:5" x14ac:dyDescent="0.25">
      <c r="A5982" s="2" t="s">
        <v>4853</v>
      </c>
      <c r="B5982" s="2" t="s">
        <v>1149</v>
      </c>
      <c r="C5982" s="2">
        <v>7</v>
      </c>
      <c r="D5982" t="str">
        <f t="shared" si="93"/>
        <v>CA-2017-118731_OFF-BI-10000069</v>
      </c>
      <c r="E5982" t="str">
        <f>IF(COUNTIF(data2!$D:$D,D5982)=0,"Missing in Data2","Present")</f>
        <v>Present</v>
      </c>
    </row>
    <row r="5983" spans="1:5" x14ac:dyDescent="0.25">
      <c r="A5983" s="2" t="s">
        <v>4854</v>
      </c>
      <c r="B5983" s="2" t="s">
        <v>388</v>
      </c>
      <c r="C5983" s="2">
        <v>2</v>
      </c>
      <c r="D5983" t="str">
        <f t="shared" si="93"/>
        <v>CA-2017-118773_FUR-FU-10000550</v>
      </c>
      <c r="E5983" t="str">
        <f>IF(COUNTIF(data2!$D:$D,D5983)=0,"Missing in Data2","Present")</f>
        <v>Present</v>
      </c>
    </row>
    <row r="5984" spans="1:5" x14ac:dyDescent="0.25">
      <c r="A5984" s="2" t="s">
        <v>4854</v>
      </c>
      <c r="B5984" s="2" t="s">
        <v>3301</v>
      </c>
      <c r="C5984" s="2">
        <v>2</v>
      </c>
      <c r="D5984" t="str">
        <f t="shared" si="93"/>
        <v>CA-2017-118773_OFF-AP-10000055</v>
      </c>
      <c r="E5984" t="str">
        <f>IF(COUNTIF(data2!$D:$D,D5984)=0,"Missing in Data2","Present")</f>
        <v>Present</v>
      </c>
    </row>
    <row r="5985" spans="1:5" x14ac:dyDescent="0.25">
      <c r="A5985" s="2" t="s">
        <v>4854</v>
      </c>
      <c r="B5985" s="2" t="s">
        <v>3778</v>
      </c>
      <c r="C5985" s="2">
        <v>4</v>
      </c>
      <c r="D5985" t="str">
        <f t="shared" si="93"/>
        <v>CA-2017-118773_OFF-BI-10004584</v>
      </c>
      <c r="E5985" t="str">
        <f>IF(COUNTIF(data2!$D:$D,D5985)=0,"Missing in Data2","Present")</f>
        <v>Present</v>
      </c>
    </row>
    <row r="5986" spans="1:5" x14ac:dyDescent="0.25">
      <c r="A5986" s="2" t="s">
        <v>4854</v>
      </c>
      <c r="B5986" s="2" t="s">
        <v>1862</v>
      </c>
      <c r="C5986" s="2">
        <v>2</v>
      </c>
      <c r="D5986" t="str">
        <f t="shared" si="93"/>
        <v>CA-2017-118773_TEC-AC-10002402</v>
      </c>
      <c r="E5986" t="str">
        <f>IF(COUNTIF(data2!$D:$D,D5986)=0,"Missing in Data2","Present")</f>
        <v>Present</v>
      </c>
    </row>
    <row r="5987" spans="1:5" x14ac:dyDescent="0.25">
      <c r="A5987" s="2" t="s">
        <v>4855</v>
      </c>
      <c r="B5987" s="2" t="s">
        <v>4856</v>
      </c>
      <c r="C5987" s="2">
        <v>5</v>
      </c>
      <c r="D5987" t="str">
        <f t="shared" si="93"/>
        <v>CA-2017-118857_FUR-FU-10004460</v>
      </c>
      <c r="E5987" t="str">
        <f>IF(COUNTIF(data2!$D:$D,D5987)=0,"Missing in Data2","Present")</f>
        <v>Present</v>
      </c>
    </row>
    <row r="5988" spans="1:5" x14ac:dyDescent="0.25">
      <c r="A5988" s="2" t="s">
        <v>4857</v>
      </c>
      <c r="B5988" s="2" t="s">
        <v>1436</v>
      </c>
      <c r="C5988" s="2">
        <v>1</v>
      </c>
      <c r="D5988" t="str">
        <f t="shared" si="93"/>
        <v>CA-2017-118864_TEC-PH-10001809</v>
      </c>
      <c r="E5988" t="str">
        <f>IF(COUNTIF(data2!$D:$D,D5988)=0,"Missing in Data2","Present")</f>
        <v>Present</v>
      </c>
    </row>
    <row r="5989" spans="1:5" x14ac:dyDescent="0.25">
      <c r="A5989" s="2" t="s">
        <v>4858</v>
      </c>
      <c r="B5989" s="2" t="s">
        <v>1497</v>
      </c>
      <c r="C5989" s="2">
        <v>4</v>
      </c>
      <c r="D5989" t="str">
        <f t="shared" si="93"/>
        <v>CA-2017-118885_FUR-CH-10002880</v>
      </c>
      <c r="E5989" t="str">
        <f>IF(COUNTIF(data2!$D:$D,D5989)=0,"Missing in Data2","Present")</f>
        <v>Present</v>
      </c>
    </row>
    <row r="5990" spans="1:5" x14ac:dyDescent="0.25">
      <c r="A5990" s="2" t="s">
        <v>4858</v>
      </c>
      <c r="B5990" s="2" t="s">
        <v>3735</v>
      </c>
      <c r="C5990" s="2">
        <v>3</v>
      </c>
      <c r="D5990" t="str">
        <f t="shared" si="93"/>
        <v>CA-2017-118885_TEC-PH-10002563</v>
      </c>
      <c r="E5990" t="str">
        <f>IF(COUNTIF(data2!$D:$D,D5990)=0,"Missing in Data2","Present")</f>
        <v>Present</v>
      </c>
    </row>
    <row r="5991" spans="1:5" x14ac:dyDescent="0.25">
      <c r="A5991" s="2" t="s">
        <v>4859</v>
      </c>
      <c r="B5991" s="2" t="s">
        <v>561</v>
      </c>
      <c r="C5991" s="2">
        <v>9</v>
      </c>
      <c r="D5991" t="str">
        <f t="shared" si="93"/>
        <v>CA-2017-118892_FUR-CH-10002024</v>
      </c>
      <c r="E5991" t="str">
        <f>IF(COUNTIF(data2!$D:$D,D5991)=0,"Missing in Data2","Present")</f>
        <v>Present</v>
      </c>
    </row>
    <row r="5992" spans="1:5" x14ac:dyDescent="0.25">
      <c r="A5992" s="2" t="s">
        <v>4860</v>
      </c>
      <c r="B5992" s="2" t="s">
        <v>194</v>
      </c>
      <c r="C5992" s="2">
        <v>1</v>
      </c>
      <c r="D5992" t="str">
        <f t="shared" si="93"/>
        <v>CA-2017-119004_OFF-AR-10000390</v>
      </c>
      <c r="E5992" t="str">
        <f>IF(COUNTIF(data2!$D:$D,D5992)=0,"Missing in Data2","Present")</f>
        <v>Present</v>
      </c>
    </row>
    <row r="5993" spans="1:5" x14ac:dyDescent="0.25">
      <c r="A5993" s="2" t="s">
        <v>4860</v>
      </c>
      <c r="B5993" s="2" t="s">
        <v>4861</v>
      </c>
      <c r="C5993" s="2">
        <v>8</v>
      </c>
      <c r="D5993" t="str">
        <f t="shared" si="93"/>
        <v>CA-2017-119004_TEC-AC-10003499</v>
      </c>
      <c r="E5993" t="str">
        <f>IF(COUNTIF(data2!$D:$D,D5993)=0,"Missing in Data2","Present")</f>
        <v>Present</v>
      </c>
    </row>
    <row r="5994" spans="1:5" x14ac:dyDescent="0.25">
      <c r="A5994" s="2" t="s">
        <v>4860</v>
      </c>
      <c r="B5994" s="2" t="s">
        <v>1937</v>
      </c>
      <c r="C5994" s="2">
        <v>1</v>
      </c>
      <c r="D5994" t="str">
        <f t="shared" si="93"/>
        <v>CA-2017-119004_TEC-PH-10002844</v>
      </c>
      <c r="E5994" t="str">
        <f>IF(COUNTIF(data2!$D:$D,D5994)=0,"Missing in Data2","Present")</f>
        <v>Present</v>
      </c>
    </row>
    <row r="5995" spans="1:5" x14ac:dyDescent="0.25">
      <c r="A5995" s="2" t="s">
        <v>4862</v>
      </c>
      <c r="B5995" s="2" t="s">
        <v>202</v>
      </c>
      <c r="C5995" s="2">
        <v>6</v>
      </c>
      <c r="D5995" t="str">
        <f t="shared" si="93"/>
        <v>CA-2017-119011_OFF-ST-10000777</v>
      </c>
      <c r="E5995" t="str">
        <f>IF(COUNTIF(data2!$D:$D,D5995)=0,"Missing in Data2","Present")</f>
        <v>Present</v>
      </c>
    </row>
    <row r="5996" spans="1:5" x14ac:dyDescent="0.25">
      <c r="A5996" s="2" t="s">
        <v>4863</v>
      </c>
      <c r="B5996" s="2" t="s">
        <v>1906</v>
      </c>
      <c r="C5996" s="2">
        <v>1</v>
      </c>
      <c r="D5996" t="str">
        <f t="shared" si="93"/>
        <v>CA-2017-119193_OFF-BI-10000848</v>
      </c>
      <c r="E5996" t="str">
        <f>IF(COUNTIF(data2!$D:$D,D5996)=0,"Missing in Data2","Present")</f>
        <v>Present</v>
      </c>
    </row>
    <row r="5997" spans="1:5" x14ac:dyDescent="0.25">
      <c r="A5997" s="2" t="s">
        <v>4863</v>
      </c>
      <c r="B5997" s="2" t="s">
        <v>817</v>
      </c>
      <c r="C5997" s="2">
        <v>7</v>
      </c>
      <c r="D5997" t="str">
        <f t="shared" si="93"/>
        <v>CA-2017-119193_TEC-PH-10003072</v>
      </c>
      <c r="E5997" t="str">
        <f>IF(COUNTIF(data2!$D:$D,D5997)=0,"Missing in Data2","Present")</f>
        <v>Present</v>
      </c>
    </row>
    <row r="5998" spans="1:5" x14ac:dyDescent="0.25">
      <c r="A5998" s="2" t="s">
        <v>4864</v>
      </c>
      <c r="B5998" s="2" t="s">
        <v>1293</v>
      </c>
      <c r="C5998" s="2">
        <v>4</v>
      </c>
      <c r="D5998" t="str">
        <f t="shared" si="93"/>
        <v>CA-2017-119284_FUR-FU-10004351</v>
      </c>
      <c r="E5998" t="str">
        <f>IF(COUNTIF(data2!$D:$D,D5998)=0,"Missing in Data2","Present")</f>
        <v>Present</v>
      </c>
    </row>
    <row r="5999" spans="1:5" x14ac:dyDescent="0.25">
      <c r="A5999" s="2" t="s">
        <v>4864</v>
      </c>
      <c r="B5999" s="2" t="s">
        <v>1939</v>
      </c>
      <c r="C5999" s="2">
        <v>2</v>
      </c>
      <c r="D5999" t="str">
        <f t="shared" si="93"/>
        <v>CA-2017-119284_FUR-TA-10004152</v>
      </c>
      <c r="E5999" t="str">
        <f>IF(COUNTIF(data2!$D:$D,D5999)=0,"Missing in Data2","Present")</f>
        <v>Present</v>
      </c>
    </row>
    <row r="6000" spans="1:5" x14ac:dyDescent="0.25">
      <c r="A6000" s="2" t="s">
        <v>4864</v>
      </c>
      <c r="B6000" s="2" t="s">
        <v>43</v>
      </c>
      <c r="C6000" s="2">
        <v>8</v>
      </c>
      <c r="D6000" t="str">
        <f t="shared" si="93"/>
        <v>CA-2017-119284_OFF-AP-10004249</v>
      </c>
      <c r="E6000" t="str">
        <f>IF(COUNTIF(data2!$D:$D,D6000)=0,"Missing in Data2","Present")</f>
        <v>Present</v>
      </c>
    </row>
    <row r="6001" spans="1:5" x14ac:dyDescent="0.25">
      <c r="A6001" s="2" t="s">
        <v>4864</v>
      </c>
      <c r="B6001" s="2" t="s">
        <v>327</v>
      </c>
      <c r="C6001" s="2">
        <v>5</v>
      </c>
      <c r="D6001" t="str">
        <f t="shared" si="93"/>
        <v>CA-2017-119284_OFF-PA-10000312</v>
      </c>
      <c r="E6001" t="str">
        <f>IF(COUNTIF(data2!$D:$D,D6001)=0,"Missing in Data2","Present")</f>
        <v>Present</v>
      </c>
    </row>
    <row r="6002" spans="1:5" x14ac:dyDescent="0.25">
      <c r="A6002" s="2" t="s">
        <v>4864</v>
      </c>
      <c r="B6002" s="2" t="s">
        <v>34</v>
      </c>
      <c r="C6002" s="2">
        <v>1</v>
      </c>
      <c r="D6002" t="str">
        <f t="shared" si="93"/>
        <v>CA-2017-119284_OFF-ST-10001490</v>
      </c>
      <c r="E6002" t="str">
        <f>IF(COUNTIF(data2!$D:$D,D6002)=0,"Missing in Data2","Present")</f>
        <v>Present</v>
      </c>
    </row>
    <row r="6003" spans="1:5" x14ac:dyDescent="0.25">
      <c r="A6003" s="2" t="s">
        <v>4864</v>
      </c>
      <c r="B6003" s="2" t="s">
        <v>234</v>
      </c>
      <c r="C6003" s="2">
        <v>8</v>
      </c>
      <c r="D6003" t="str">
        <f t="shared" si="93"/>
        <v>CA-2017-119284_TEC-PH-10000560</v>
      </c>
      <c r="E6003" t="str">
        <f>IF(COUNTIF(data2!$D:$D,D6003)=0,"Missing in Data2","Present")</f>
        <v>Present</v>
      </c>
    </row>
    <row r="6004" spans="1:5" x14ac:dyDescent="0.25">
      <c r="A6004" s="2" t="s">
        <v>4864</v>
      </c>
      <c r="B6004" s="2" t="s">
        <v>87</v>
      </c>
      <c r="C6004" s="2">
        <v>3</v>
      </c>
      <c r="D6004" t="str">
        <f t="shared" si="93"/>
        <v>CA-2017-119284_TEC-PH-10001051</v>
      </c>
      <c r="E6004" t="str">
        <f>IF(COUNTIF(data2!$D:$D,D6004)=0,"Missing in Data2","Present")</f>
        <v>Present</v>
      </c>
    </row>
    <row r="6005" spans="1:5" x14ac:dyDescent="0.25">
      <c r="A6005" s="2" t="s">
        <v>4865</v>
      </c>
      <c r="B6005" s="2" t="s">
        <v>2149</v>
      </c>
      <c r="C6005" s="2">
        <v>5</v>
      </c>
      <c r="D6005" t="str">
        <f t="shared" si="93"/>
        <v>CA-2017-119305_OFF-ST-10000604</v>
      </c>
      <c r="E6005" t="str">
        <f>IF(COUNTIF(data2!$D:$D,D6005)=0,"Missing in Data2","Present")</f>
        <v>Present</v>
      </c>
    </row>
    <row r="6006" spans="1:5" x14ac:dyDescent="0.25">
      <c r="A6006" s="2" t="s">
        <v>4866</v>
      </c>
      <c r="B6006" s="2" t="s">
        <v>1529</v>
      </c>
      <c r="C6006" s="2">
        <v>3</v>
      </c>
      <c r="D6006" t="str">
        <f t="shared" si="93"/>
        <v>CA-2017-119389_FUR-FU-10001473</v>
      </c>
      <c r="E6006" t="str">
        <f>IF(COUNTIF(data2!$D:$D,D6006)=0,"Missing in Data2","Present")</f>
        <v>Present</v>
      </c>
    </row>
    <row r="6007" spans="1:5" x14ac:dyDescent="0.25">
      <c r="A6007" s="2" t="s">
        <v>4867</v>
      </c>
      <c r="B6007" s="2" t="s">
        <v>926</v>
      </c>
      <c r="C6007" s="2">
        <v>3</v>
      </c>
      <c r="D6007" t="str">
        <f t="shared" si="93"/>
        <v>CA-2017-119424_OFF-PA-10001639</v>
      </c>
      <c r="E6007" t="str">
        <f>IF(COUNTIF(data2!$D:$D,D6007)=0,"Missing in Data2","Present")</f>
        <v>Present</v>
      </c>
    </row>
    <row r="6008" spans="1:5" x14ac:dyDescent="0.25">
      <c r="A6008" s="2" t="s">
        <v>4867</v>
      </c>
      <c r="B6008" s="2" t="s">
        <v>2159</v>
      </c>
      <c r="C6008" s="2">
        <v>3</v>
      </c>
      <c r="D6008" t="str">
        <f t="shared" si="93"/>
        <v>CA-2017-119424_TEC-PH-10002564</v>
      </c>
      <c r="E6008" t="str">
        <f>IF(COUNTIF(data2!$D:$D,D6008)=0,"Missing in Data2","Present")</f>
        <v>Present</v>
      </c>
    </row>
    <row r="6009" spans="1:5" x14ac:dyDescent="0.25">
      <c r="A6009" s="2" t="s">
        <v>4868</v>
      </c>
      <c r="B6009" s="2" t="s">
        <v>193</v>
      </c>
      <c r="C6009" s="2">
        <v>6</v>
      </c>
      <c r="D6009" t="str">
        <f t="shared" si="93"/>
        <v>CA-2017-119452_FUR-CH-10004495</v>
      </c>
      <c r="E6009" t="str">
        <f>IF(COUNTIF(data2!$D:$D,D6009)=0,"Missing in Data2","Present")</f>
        <v>Present</v>
      </c>
    </row>
    <row r="6010" spans="1:5" x14ac:dyDescent="0.25">
      <c r="A6010" s="2" t="s">
        <v>4869</v>
      </c>
      <c r="B6010" s="2" t="s">
        <v>1547</v>
      </c>
      <c r="C6010" s="2">
        <v>3</v>
      </c>
      <c r="D6010" t="str">
        <f t="shared" si="93"/>
        <v>CA-2017-119564_FUR-FU-10003096</v>
      </c>
      <c r="E6010" t="str">
        <f>IF(COUNTIF(data2!$D:$D,D6010)=0,"Missing in Data2","Present")</f>
        <v>Present</v>
      </c>
    </row>
    <row r="6011" spans="1:5" x14ac:dyDescent="0.25">
      <c r="A6011" s="2" t="s">
        <v>4870</v>
      </c>
      <c r="B6011" s="2" t="s">
        <v>2548</v>
      </c>
      <c r="C6011" s="2">
        <v>1</v>
      </c>
      <c r="D6011" t="str">
        <f t="shared" si="93"/>
        <v>CA-2017-119578_FUR-BO-10003660</v>
      </c>
      <c r="E6011" t="str">
        <f>IF(COUNTIF(data2!$D:$D,D6011)=0,"Missing in Data2","Present")</f>
        <v>Present</v>
      </c>
    </row>
    <row r="6012" spans="1:5" x14ac:dyDescent="0.25">
      <c r="A6012" s="2" t="s">
        <v>4870</v>
      </c>
      <c r="B6012" s="2" t="s">
        <v>3354</v>
      </c>
      <c r="C6012" s="2">
        <v>6</v>
      </c>
      <c r="D6012" t="str">
        <f t="shared" si="93"/>
        <v>CA-2017-119578_OFF-SU-10003505</v>
      </c>
      <c r="E6012" t="str">
        <f>IF(COUNTIF(data2!$D:$D,D6012)=0,"Missing in Data2","Present")</f>
        <v>Missing in Data2</v>
      </c>
    </row>
    <row r="6013" spans="1:5" x14ac:dyDescent="0.25">
      <c r="A6013" s="2" t="s">
        <v>4871</v>
      </c>
      <c r="B6013" s="2" t="s">
        <v>811</v>
      </c>
      <c r="C6013" s="2">
        <v>4</v>
      </c>
      <c r="D6013" t="str">
        <f t="shared" si="93"/>
        <v>CA-2017-119655_OFF-BI-10001036</v>
      </c>
      <c r="E6013" t="str">
        <f>IF(COUNTIF(data2!$D:$D,D6013)=0,"Missing in Data2","Present")</f>
        <v>Present</v>
      </c>
    </row>
    <row r="6014" spans="1:5" x14ac:dyDescent="0.25">
      <c r="A6014" s="2" t="s">
        <v>4871</v>
      </c>
      <c r="B6014" s="2" t="s">
        <v>1223</v>
      </c>
      <c r="C6014" s="2">
        <v>7</v>
      </c>
      <c r="D6014" t="str">
        <f t="shared" si="93"/>
        <v>CA-2017-119655_OFF-BI-10001989</v>
      </c>
      <c r="E6014" t="str">
        <f>IF(COUNTIF(data2!$D:$D,D6014)=0,"Missing in Data2","Present")</f>
        <v>Present</v>
      </c>
    </row>
    <row r="6015" spans="1:5" x14ac:dyDescent="0.25">
      <c r="A6015" s="2" t="s">
        <v>4872</v>
      </c>
      <c r="B6015" s="2" t="s">
        <v>2305</v>
      </c>
      <c r="C6015" s="2">
        <v>3</v>
      </c>
      <c r="D6015" t="str">
        <f t="shared" si="93"/>
        <v>CA-2017-119669_OFF-FA-10000053</v>
      </c>
      <c r="E6015" t="str">
        <f>IF(COUNTIF(data2!$D:$D,D6015)=0,"Missing in Data2","Present")</f>
        <v>Present</v>
      </c>
    </row>
    <row r="6016" spans="1:5" x14ac:dyDescent="0.25">
      <c r="A6016" s="2" t="s">
        <v>4873</v>
      </c>
      <c r="B6016" s="2" t="s">
        <v>3138</v>
      </c>
      <c r="C6016" s="2">
        <v>1</v>
      </c>
      <c r="D6016" t="str">
        <f t="shared" si="93"/>
        <v>CA-2017-119746_FUR-FU-10004909</v>
      </c>
      <c r="E6016" t="str">
        <f>IF(COUNTIF(data2!$D:$D,D6016)=0,"Missing in Data2","Present")</f>
        <v>Present</v>
      </c>
    </row>
    <row r="6017" spans="1:5" x14ac:dyDescent="0.25">
      <c r="A6017" s="2" t="s">
        <v>4873</v>
      </c>
      <c r="B6017" s="2" t="s">
        <v>776</v>
      </c>
      <c r="C6017" s="2">
        <v>5</v>
      </c>
      <c r="D6017" t="str">
        <f t="shared" si="93"/>
        <v>CA-2017-119746_OFF-LA-10001613</v>
      </c>
      <c r="E6017" t="str">
        <f>IF(COUNTIF(data2!$D:$D,D6017)=0,"Missing in Data2","Present")</f>
        <v>Present</v>
      </c>
    </row>
    <row r="6018" spans="1:5" x14ac:dyDescent="0.25">
      <c r="A6018" s="2" t="s">
        <v>4873</v>
      </c>
      <c r="B6018" s="2" t="s">
        <v>1205</v>
      </c>
      <c r="C6018" s="2">
        <v>2</v>
      </c>
      <c r="D6018" t="str">
        <f t="shared" si="93"/>
        <v>CA-2017-119746_TEC-PH-10004447</v>
      </c>
      <c r="E6018" t="str">
        <f>IF(COUNTIF(data2!$D:$D,D6018)=0,"Missing in Data2","Present")</f>
        <v>Present</v>
      </c>
    </row>
    <row r="6019" spans="1:5" x14ac:dyDescent="0.25">
      <c r="A6019" s="2" t="s">
        <v>4874</v>
      </c>
      <c r="B6019" s="2" t="s">
        <v>1690</v>
      </c>
      <c r="C6019" s="2">
        <v>3</v>
      </c>
      <c r="D6019" t="str">
        <f t="shared" ref="D6019:D6082" si="94">A6019&amp;"_"&amp;B6019</f>
        <v>CA-2017-119809_FUR-FU-10001475</v>
      </c>
      <c r="E6019" t="str">
        <f>IF(COUNTIF(data2!$D:$D,D6019)=0,"Missing in Data2","Present")</f>
        <v>Present</v>
      </c>
    </row>
    <row r="6020" spans="1:5" x14ac:dyDescent="0.25">
      <c r="A6020" s="2" t="s">
        <v>4874</v>
      </c>
      <c r="B6020" s="2" t="s">
        <v>601</v>
      </c>
      <c r="C6020" s="2">
        <v>9</v>
      </c>
      <c r="D6020" t="str">
        <f t="shared" si="94"/>
        <v>CA-2017-119809_OFF-BI-10003925</v>
      </c>
      <c r="E6020" t="str">
        <f>IF(COUNTIF(data2!$D:$D,D6020)=0,"Missing in Data2","Present")</f>
        <v>Present</v>
      </c>
    </row>
    <row r="6021" spans="1:5" x14ac:dyDescent="0.25">
      <c r="A6021" s="2" t="s">
        <v>4874</v>
      </c>
      <c r="B6021" s="2" t="s">
        <v>1291</v>
      </c>
      <c r="C6021" s="2">
        <v>7</v>
      </c>
      <c r="D6021" t="str">
        <f t="shared" si="94"/>
        <v>CA-2017-119809_OFF-ST-10003306</v>
      </c>
      <c r="E6021" t="str">
        <f>IF(COUNTIF(data2!$D:$D,D6021)=0,"Missing in Data2","Present")</f>
        <v>Present</v>
      </c>
    </row>
    <row r="6022" spans="1:5" x14ac:dyDescent="0.25">
      <c r="A6022" s="2" t="s">
        <v>4875</v>
      </c>
      <c r="B6022" s="2" t="s">
        <v>2333</v>
      </c>
      <c r="C6022" s="2">
        <v>2</v>
      </c>
      <c r="D6022" t="str">
        <f t="shared" si="94"/>
        <v>CA-2017-119914_OFF-AP-10002684</v>
      </c>
      <c r="E6022" t="str">
        <f>IF(COUNTIF(data2!$D:$D,D6022)=0,"Missing in Data2","Present")</f>
        <v>Present</v>
      </c>
    </row>
    <row r="6023" spans="1:5" x14ac:dyDescent="0.25">
      <c r="A6023" s="2" t="s">
        <v>4876</v>
      </c>
      <c r="B6023" s="2" t="s">
        <v>342</v>
      </c>
      <c r="C6023" s="2">
        <v>3</v>
      </c>
      <c r="D6023" t="str">
        <f t="shared" si="94"/>
        <v>CA-2017-120019_OFF-ST-10001932</v>
      </c>
      <c r="E6023" t="str">
        <f>IF(COUNTIF(data2!$D:$D,D6023)=0,"Missing in Data2","Present")</f>
        <v>Present</v>
      </c>
    </row>
    <row r="6024" spans="1:5" x14ac:dyDescent="0.25">
      <c r="A6024" s="2" t="s">
        <v>4876</v>
      </c>
      <c r="B6024" s="2" t="s">
        <v>2340</v>
      </c>
      <c r="C6024" s="2">
        <v>1</v>
      </c>
      <c r="D6024" t="str">
        <f t="shared" si="94"/>
        <v>CA-2017-120019_TEC-PH-10000923</v>
      </c>
      <c r="E6024" t="str">
        <f>IF(COUNTIF(data2!$D:$D,D6024)=0,"Missing in Data2","Present")</f>
        <v>Present</v>
      </c>
    </row>
    <row r="6025" spans="1:5" x14ac:dyDescent="0.25">
      <c r="A6025" s="2" t="s">
        <v>4877</v>
      </c>
      <c r="B6025" s="2" t="s">
        <v>2314</v>
      </c>
      <c r="C6025" s="2">
        <v>2</v>
      </c>
      <c r="D6025" t="str">
        <f t="shared" si="94"/>
        <v>CA-2017-120061_FUR-CH-10001973</v>
      </c>
      <c r="E6025" t="str">
        <f>IF(COUNTIF(data2!$D:$D,D6025)=0,"Missing in Data2","Present")</f>
        <v>Present</v>
      </c>
    </row>
    <row r="6026" spans="1:5" x14ac:dyDescent="0.25">
      <c r="A6026" s="2" t="s">
        <v>4878</v>
      </c>
      <c r="B6026" s="2" t="s">
        <v>2300</v>
      </c>
      <c r="C6026" s="2">
        <v>3</v>
      </c>
      <c r="D6026" t="str">
        <f t="shared" si="94"/>
        <v>CA-2017-120168_FUR-FU-10000732</v>
      </c>
      <c r="E6026" t="str">
        <f>IF(COUNTIF(data2!$D:$D,D6026)=0,"Missing in Data2","Present")</f>
        <v>Present</v>
      </c>
    </row>
    <row r="6027" spans="1:5" x14ac:dyDescent="0.25">
      <c r="A6027" s="2" t="s">
        <v>4878</v>
      </c>
      <c r="B6027" s="2" t="s">
        <v>1989</v>
      </c>
      <c r="C6027" s="2">
        <v>5</v>
      </c>
      <c r="D6027" t="str">
        <f t="shared" si="94"/>
        <v>CA-2017-120168_OFF-BI-10004519</v>
      </c>
      <c r="E6027" t="str">
        <f>IF(COUNTIF(data2!$D:$D,D6027)=0,"Missing in Data2","Present")</f>
        <v>Present</v>
      </c>
    </row>
    <row r="6028" spans="1:5" x14ac:dyDescent="0.25">
      <c r="A6028" s="2" t="s">
        <v>4878</v>
      </c>
      <c r="B6028" s="2" t="s">
        <v>821</v>
      </c>
      <c r="C6028" s="2">
        <v>1</v>
      </c>
      <c r="D6028" t="str">
        <f t="shared" si="94"/>
        <v>CA-2017-120168_OFF-FA-10000936</v>
      </c>
      <c r="E6028" t="str">
        <f>IF(COUNTIF(data2!$D:$D,D6028)=0,"Missing in Data2","Present")</f>
        <v>Present</v>
      </c>
    </row>
    <row r="6029" spans="1:5" x14ac:dyDescent="0.25">
      <c r="A6029" s="2" t="s">
        <v>4878</v>
      </c>
      <c r="B6029" s="2" t="s">
        <v>1315</v>
      </c>
      <c r="C6029" s="2">
        <v>8</v>
      </c>
      <c r="D6029" t="str">
        <f t="shared" si="94"/>
        <v>CA-2017-120168_TEC-AC-10002167</v>
      </c>
      <c r="E6029" t="str">
        <f>IF(COUNTIF(data2!$D:$D,D6029)=0,"Missing in Data2","Present")</f>
        <v>Present</v>
      </c>
    </row>
    <row r="6030" spans="1:5" x14ac:dyDescent="0.25">
      <c r="A6030" s="2" t="s">
        <v>4879</v>
      </c>
      <c r="B6030" s="2" t="s">
        <v>687</v>
      </c>
      <c r="C6030" s="2">
        <v>3</v>
      </c>
      <c r="D6030" t="str">
        <f t="shared" si="94"/>
        <v>CA-2017-120222_OFF-BI-10000666</v>
      </c>
      <c r="E6030" t="str">
        <f>IF(COUNTIF(data2!$D:$D,D6030)=0,"Missing in Data2","Present")</f>
        <v>Present</v>
      </c>
    </row>
    <row r="6031" spans="1:5" x14ac:dyDescent="0.25">
      <c r="A6031" s="2" t="s">
        <v>4879</v>
      </c>
      <c r="B6031" s="2" t="s">
        <v>4187</v>
      </c>
      <c r="C6031" s="2">
        <v>3</v>
      </c>
      <c r="D6031" t="str">
        <f t="shared" si="94"/>
        <v>CA-2017-120222_OFF-PA-10004675</v>
      </c>
      <c r="E6031" t="str">
        <f>IF(COUNTIF(data2!$D:$D,D6031)=0,"Missing in Data2","Present")</f>
        <v>Present</v>
      </c>
    </row>
    <row r="6032" spans="1:5" x14ac:dyDescent="0.25">
      <c r="A6032" s="2" t="s">
        <v>4880</v>
      </c>
      <c r="B6032" s="2" t="s">
        <v>417</v>
      </c>
      <c r="C6032" s="2">
        <v>4</v>
      </c>
      <c r="D6032" t="str">
        <f t="shared" si="94"/>
        <v>CA-2017-120327_OFF-FA-10004854</v>
      </c>
      <c r="E6032" t="str">
        <f>IF(COUNTIF(data2!$D:$D,D6032)=0,"Missing in Data2","Present")</f>
        <v>Present</v>
      </c>
    </row>
    <row r="6033" spans="1:5" x14ac:dyDescent="0.25">
      <c r="A6033" s="2" t="s">
        <v>4881</v>
      </c>
      <c r="B6033" s="2" t="s">
        <v>2767</v>
      </c>
      <c r="C6033" s="2">
        <v>7</v>
      </c>
      <c r="D6033" t="str">
        <f t="shared" si="94"/>
        <v>CA-2017-120376_FUR-CH-10002335</v>
      </c>
      <c r="E6033" t="str">
        <f>IF(COUNTIF(data2!$D:$D,D6033)=0,"Missing in Data2","Present")</f>
        <v>Present</v>
      </c>
    </row>
    <row r="6034" spans="1:5" x14ac:dyDescent="0.25">
      <c r="A6034" s="2" t="s">
        <v>4881</v>
      </c>
      <c r="B6034" s="2" t="s">
        <v>1021</v>
      </c>
      <c r="C6034" s="2">
        <v>2</v>
      </c>
      <c r="D6034" t="str">
        <f t="shared" si="94"/>
        <v>CA-2017-120376_FUR-TA-10004534</v>
      </c>
      <c r="E6034" t="str">
        <f>IF(COUNTIF(data2!$D:$D,D6034)=0,"Missing in Data2","Present")</f>
        <v>Present</v>
      </c>
    </row>
    <row r="6035" spans="1:5" x14ac:dyDescent="0.25">
      <c r="A6035" s="2" t="s">
        <v>4881</v>
      </c>
      <c r="B6035" s="2" t="s">
        <v>265</v>
      </c>
      <c r="C6035" s="2">
        <v>1</v>
      </c>
      <c r="D6035" t="str">
        <f t="shared" si="94"/>
        <v>CA-2017-120376_TEC-AC-10000844</v>
      </c>
      <c r="E6035" t="str">
        <f>IF(COUNTIF(data2!$D:$D,D6035)=0,"Missing in Data2","Present")</f>
        <v>Present</v>
      </c>
    </row>
    <row r="6036" spans="1:5" x14ac:dyDescent="0.25">
      <c r="A6036" s="2" t="s">
        <v>4881</v>
      </c>
      <c r="B6036" s="2" t="s">
        <v>4505</v>
      </c>
      <c r="C6036" s="2">
        <v>5</v>
      </c>
      <c r="D6036" t="str">
        <f t="shared" si="94"/>
        <v>CA-2017-120376_TEC-AC-10001114</v>
      </c>
      <c r="E6036" t="str">
        <f>IF(COUNTIF(data2!$D:$D,D6036)=0,"Missing in Data2","Present")</f>
        <v>Present</v>
      </c>
    </row>
    <row r="6037" spans="1:5" x14ac:dyDescent="0.25">
      <c r="A6037" s="2" t="s">
        <v>4882</v>
      </c>
      <c r="B6037" s="2" t="s">
        <v>2590</v>
      </c>
      <c r="C6037" s="2">
        <v>3</v>
      </c>
      <c r="D6037" t="str">
        <f t="shared" si="94"/>
        <v>CA-2017-120404_FUR-FU-10000820</v>
      </c>
      <c r="E6037" t="str">
        <f>IF(COUNTIF(data2!$D:$D,D6037)=0,"Missing in Data2","Present")</f>
        <v>Present</v>
      </c>
    </row>
    <row r="6038" spans="1:5" x14ac:dyDescent="0.25">
      <c r="A6038" s="2" t="s">
        <v>4882</v>
      </c>
      <c r="B6038" s="2" t="s">
        <v>1753</v>
      </c>
      <c r="C6038" s="2">
        <v>3</v>
      </c>
      <c r="D6038" t="str">
        <f t="shared" si="94"/>
        <v>CA-2017-120404_TEC-AC-10003433</v>
      </c>
      <c r="E6038" t="str">
        <f>IF(COUNTIF(data2!$D:$D,D6038)=0,"Missing in Data2","Present")</f>
        <v>Present</v>
      </c>
    </row>
    <row r="6039" spans="1:5" x14ac:dyDescent="0.25">
      <c r="A6039" s="2" t="s">
        <v>4883</v>
      </c>
      <c r="B6039" s="2" t="s">
        <v>4400</v>
      </c>
      <c r="C6039" s="2">
        <v>4</v>
      </c>
      <c r="D6039" t="str">
        <f t="shared" si="94"/>
        <v>CA-2017-120614_OFF-PA-10004911</v>
      </c>
      <c r="E6039" t="str">
        <f>IF(COUNTIF(data2!$D:$D,D6039)=0,"Missing in Data2","Present")</f>
        <v>Present</v>
      </c>
    </row>
    <row r="6040" spans="1:5" x14ac:dyDescent="0.25">
      <c r="A6040" s="2" t="s">
        <v>4884</v>
      </c>
      <c r="B6040" s="2" t="s">
        <v>374</v>
      </c>
      <c r="C6040" s="2">
        <v>2</v>
      </c>
      <c r="D6040" t="str">
        <f t="shared" si="94"/>
        <v>CA-2017-120705_OFF-ST-10001522</v>
      </c>
      <c r="E6040" t="str">
        <f>IF(COUNTIF(data2!$D:$D,D6040)=0,"Missing in Data2","Present")</f>
        <v>Present</v>
      </c>
    </row>
    <row r="6041" spans="1:5" x14ac:dyDescent="0.25">
      <c r="A6041" s="2" t="s">
        <v>4885</v>
      </c>
      <c r="B6041" s="2" t="s">
        <v>275</v>
      </c>
      <c r="C6041" s="2">
        <v>5</v>
      </c>
      <c r="D6041" t="str">
        <f t="shared" si="94"/>
        <v>CA-2017-120719_OFF-BI-10002103</v>
      </c>
      <c r="E6041" t="str">
        <f>IF(COUNTIF(data2!$D:$D,D6041)=0,"Missing in Data2","Present")</f>
        <v>Present</v>
      </c>
    </row>
    <row r="6042" spans="1:5" x14ac:dyDescent="0.25">
      <c r="A6042" s="2" t="s">
        <v>4886</v>
      </c>
      <c r="B6042" s="2" t="s">
        <v>2057</v>
      </c>
      <c r="C6042" s="2">
        <v>4</v>
      </c>
      <c r="D6042" t="str">
        <f t="shared" si="94"/>
        <v>CA-2017-120761_TEC-AC-10000171</v>
      </c>
      <c r="E6042" t="str">
        <f>IF(COUNTIF(data2!$D:$D,D6042)=0,"Missing in Data2","Present")</f>
        <v>Present</v>
      </c>
    </row>
    <row r="6043" spans="1:5" x14ac:dyDescent="0.25">
      <c r="A6043" s="2" t="s">
        <v>4887</v>
      </c>
      <c r="B6043" s="2" t="s">
        <v>3697</v>
      </c>
      <c r="C6043" s="2">
        <v>3</v>
      </c>
      <c r="D6043" t="str">
        <f t="shared" si="94"/>
        <v>CA-2017-120894_OFF-AP-10000252</v>
      </c>
      <c r="E6043" t="str">
        <f>IF(COUNTIF(data2!$D:$D,D6043)=0,"Missing in Data2","Present")</f>
        <v>Present</v>
      </c>
    </row>
    <row r="6044" spans="1:5" x14ac:dyDescent="0.25">
      <c r="A6044" s="2" t="s">
        <v>4888</v>
      </c>
      <c r="B6044" s="2" t="s">
        <v>2019</v>
      </c>
      <c r="C6044" s="2">
        <v>4</v>
      </c>
      <c r="D6044" t="str">
        <f t="shared" si="94"/>
        <v>CA-2017-120936_OFF-ST-10001526</v>
      </c>
      <c r="E6044" t="str">
        <f>IF(COUNTIF(data2!$D:$D,D6044)=0,"Missing in Data2","Present")</f>
        <v>Present</v>
      </c>
    </row>
    <row r="6045" spans="1:5" x14ac:dyDescent="0.25">
      <c r="A6045" s="2" t="s">
        <v>4888</v>
      </c>
      <c r="B6045" s="2" t="s">
        <v>2539</v>
      </c>
      <c r="C6045" s="2">
        <v>1</v>
      </c>
      <c r="D6045" t="str">
        <f t="shared" si="94"/>
        <v>CA-2017-120936_OFF-SU-10002557</v>
      </c>
      <c r="E6045" t="str">
        <f>IF(COUNTIF(data2!$D:$D,D6045)=0,"Missing in Data2","Present")</f>
        <v>Present</v>
      </c>
    </row>
    <row r="6046" spans="1:5" x14ac:dyDescent="0.25">
      <c r="A6046" s="2" t="s">
        <v>4889</v>
      </c>
      <c r="B6046" s="2" t="s">
        <v>1522</v>
      </c>
      <c r="C6046" s="2">
        <v>4</v>
      </c>
      <c r="D6046" t="str">
        <f t="shared" si="94"/>
        <v>CA-2017-120999_TEC-PH-10004093</v>
      </c>
      <c r="E6046" t="str">
        <f>IF(COUNTIF(data2!$D:$D,D6046)=0,"Missing in Data2","Present")</f>
        <v>Present</v>
      </c>
    </row>
    <row r="6047" spans="1:5" x14ac:dyDescent="0.25">
      <c r="A6047" s="2" t="s">
        <v>4890</v>
      </c>
      <c r="B6047" s="2" t="s">
        <v>1053</v>
      </c>
      <c r="C6047" s="2">
        <v>2</v>
      </c>
      <c r="D6047" t="str">
        <f t="shared" si="94"/>
        <v>CA-2017-121027_TEC-AC-10002049</v>
      </c>
      <c r="E6047" t="str">
        <f>IF(COUNTIF(data2!$D:$D,D6047)=0,"Missing in Data2","Present")</f>
        <v>Present</v>
      </c>
    </row>
    <row r="6048" spans="1:5" x14ac:dyDescent="0.25">
      <c r="A6048" s="2" t="s">
        <v>4890</v>
      </c>
      <c r="B6048" s="2" t="s">
        <v>2507</v>
      </c>
      <c r="C6048" s="2">
        <v>9</v>
      </c>
      <c r="D6048" t="str">
        <f t="shared" si="94"/>
        <v>CA-2017-121027_TEC-AC-10002253</v>
      </c>
      <c r="E6048" t="str">
        <f>IF(COUNTIF(data2!$D:$D,D6048)=0,"Missing in Data2","Present")</f>
        <v>Present</v>
      </c>
    </row>
    <row r="6049" spans="1:5" x14ac:dyDescent="0.25">
      <c r="A6049" s="2" t="s">
        <v>4891</v>
      </c>
      <c r="B6049" s="2" t="s">
        <v>1485</v>
      </c>
      <c r="C6049" s="2">
        <v>3</v>
      </c>
      <c r="D6049" t="str">
        <f t="shared" si="94"/>
        <v>CA-2017-121048_FUR-FU-10002960</v>
      </c>
      <c r="E6049" t="str">
        <f>IF(COUNTIF(data2!$D:$D,D6049)=0,"Missing in Data2","Present")</f>
        <v>Present</v>
      </c>
    </row>
    <row r="6050" spans="1:5" x14ac:dyDescent="0.25">
      <c r="A6050" s="2" t="s">
        <v>4891</v>
      </c>
      <c r="B6050" s="2" t="s">
        <v>3987</v>
      </c>
      <c r="C6050" s="2">
        <v>3</v>
      </c>
      <c r="D6050" t="str">
        <f t="shared" si="94"/>
        <v>CA-2017-121048_FUR-FU-10003601</v>
      </c>
      <c r="E6050" t="str">
        <f>IF(COUNTIF(data2!$D:$D,D6050)=0,"Missing in Data2","Present")</f>
        <v>Present</v>
      </c>
    </row>
    <row r="6051" spans="1:5" x14ac:dyDescent="0.25">
      <c r="A6051" s="2" t="s">
        <v>4891</v>
      </c>
      <c r="B6051" s="2" t="s">
        <v>839</v>
      </c>
      <c r="C6051" s="2">
        <v>4</v>
      </c>
      <c r="D6051" t="str">
        <f t="shared" si="94"/>
        <v>CA-2017-121048_OFF-AR-10004042</v>
      </c>
      <c r="E6051" t="str">
        <f>IF(COUNTIF(data2!$D:$D,D6051)=0,"Missing in Data2","Present")</f>
        <v>Present</v>
      </c>
    </row>
    <row r="6052" spans="1:5" x14ac:dyDescent="0.25">
      <c r="A6052" s="2" t="s">
        <v>4891</v>
      </c>
      <c r="B6052" s="2" t="s">
        <v>2726</v>
      </c>
      <c r="C6052" s="2">
        <v>2</v>
      </c>
      <c r="D6052" t="str">
        <f t="shared" si="94"/>
        <v>CA-2017-121048_OFF-BI-10004022</v>
      </c>
      <c r="E6052" t="str">
        <f>IF(COUNTIF(data2!$D:$D,D6052)=0,"Missing in Data2","Present")</f>
        <v>Present</v>
      </c>
    </row>
    <row r="6053" spans="1:5" x14ac:dyDescent="0.25">
      <c r="A6053" s="2" t="s">
        <v>4891</v>
      </c>
      <c r="B6053" s="2" t="s">
        <v>1488</v>
      </c>
      <c r="C6053" s="2">
        <v>4</v>
      </c>
      <c r="D6053" t="str">
        <f t="shared" si="94"/>
        <v>CA-2017-121048_OFF-FA-10000490</v>
      </c>
      <c r="E6053" t="str">
        <f>IF(COUNTIF(data2!$D:$D,D6053)=0,"Missing in Data2","Present")</f>
        <v>Present</v>
      </c>
    </row>
    <row r="6054" spans="1:5" x14ac:dyDescent="0.25">
      <c r="A6054" s="2" t="s">
        <v>4891</v>
      </c>
      <c r="B6054" s="2" t="s">
        <v>4003</v>
      </c>
      <c r="C6054" s="2">
        <v>3</v>
      </c>
      <c r="D6054" t="str">
        <f t="shared" si="94"/>
        <v>CA-2017-121048_TEC-AC-10000991</v>
      </c>
      <c r="E6054" t="str">
        <f>IF(COUNTIF(data2!$D:$D,D6054)=0,"Missing in Data2","Present")</f>
        <v>Present</v>
      </c>
    </row>
    <row r="6055" spans="1:5" x14ac:dyDescent="0.25">
      <c r="A6055" s="2" t="s">
        <v>4891</v>
      </c>
      <c r="B6055" s="2" t="s">
        <v>1113</v>
      </c>
      <c r="C6055" s="2">
        <v>3</v>
      </c>
      <c r="D6055" t="str">
        <f t="shared" si="94"/>
        <v>CA-2017-121048_TEC-PH-10004977</v>
      </c>
      <c r="E6055" t="str">
        <f>IF(COUNTIF(data2!$D:$D,D6055)=0,"Missing in Data2","Present")</f>
        <v>Present</v>
      </c>
    </row>
    <row r="6056" spans="1:5" x14ac:dyDescent="0.25">
      <c r="A6056" s="2" t="s">
        <v>4892</v>
      </c>
      <c r="B6056" s="2" t="s">
        <v>1270</v>
      </c>
      <c r="C6056" s="2">
        <v>6</v>
      </c>
      <c r="D6056" t="str">
        <f t="shared" si="94"/>
        <v>CA-2017-121083_OFF-AR-10002987</v>
      </c>
      <c r="E6056" t="str">
        <f>IF(COUNTIF(data2!$D:$D,D6056)=0,"Missing in Data2","Present")</f>
        <v>Present</v>
      </c>
    </row>
    <row r="6057" spans="1:5" x14ac:dyDescent="0.25">
      <c r="A6057" s="2" t="s">
        <v>4892</v>
      </c>
      <c r="B6057" s="2" t="s">
        <v>2880</v>
      </c>
      <c r="C6057" s="2">
        <v>5</v>
      </c>
      <c r="D6057" t="str">
        <f t="shared" si="94"/>
        <v>CA-2017-121083_OFF-PA-10001497</v>
      </c>
      <c r="E6057" t="str">
        <f>IF(COUNTIF(data2!$D:$D,D6057)=0,"Missing in Data2","Present")</f>
        <v>Present</v>
      </c>
    </row>
    <row r="6058" spans="1:5" x14ac:dyDescent="0.25">
      <c r="A6058" s="2" t="s">
        <v>4892</v>
      </c>
      <c r="B6058" s="2" t="s">
        <v>1756</v>
      </c>
      <c r="C6058" s="2">
        <v>4</v>
      </c>
      <c r="D6058" t="str">
        <f t="shared" si="94"/>
        <v>CA-2017-121083_OFF-ST-10002554</v>
      </c>
      <c r="E6058" t="str">
        <f>IF(COUNTIF(data2!$D:$D,D6058)=0,"Missing in Data2","Present")</f>
        <v>Present</v>
      </c>
    </row>
    <row r="6059" spans="1:5" x14ac:dyDescent="0.25">
      <c r="A6059" s="2" t="s">
        <v>4892</v>
      </c>
      <c r="B6059" s="2" t="s">
        <v>292</v>
      </c>
      <c r="C6059" s="2">
        <v>2</v>
      </c>
      <c r="D6059" t="str">
        <f t="shared" si="94"/>
        <v>CA-2017-121083_TEC-PH-10001336</v>
      </c>
      <c r="E6059" t="str">
        <f>IF(COUNTIF(data2!$D:$D,D6059)=0,"Missing in Data2","Present")</f>
        <v>Present</v>
      </c>
    </row>
    <row r="6060" spans="1:5" x14ac:dyDescent="0.25">
      <c r="A6060" s="2" t="s">
        <v>4893</v>
      </c>
      <c r="B6060" s="2" t="s">
        <v>2590</v>
      </c>
      <c r="C6060" s="2">
        <v>1</v>
      </c>
      <c r="D6060" t="str">
        <f t="shared" si="94"/>
        <v>CA-2017-121125_FUR-FU-10000820</v>
      </c>
      <c r="E6060" t="str">
        <f>IF(COUNTIF(data2!$D:$D,D6060)=0,"Missing in Data2","Present")</f>
        <v>Present</v>
      </c>
    </row>
    <row r="6061" spans="1:5" x14ac:dyDescent="0.25">
      <c r="A6061" s="2" t="s">
        <v>4893</v>
      </c>
      <c r="B6061" s="2" t="s">
        <v>731</v>
      </c>
      <c r="C6061" s="2">
        <v>2</v>
      </c>
      <c r="D6061" t="str">
        <f t="shared" si="94"/>
        <v>CA-2017-121125_TEC-AC-10002323</v>
      </c>
      <c r="E6061" t="str">
        <f>IF(COUNTIF(data2!$D:$D,D6061)=0,"Missing in Data2","Present")</f>
        <v>Present</v>
      </c>
    </row>
    <row r="6062" spans="1:5" x14ac:dyDescent="0.25">
      <c r="A6062" s="2" t="s">
        <v>4893</v>
      </c>
      <c r="B6062" s="2" t="s">
        <v>1892</v>
      </c>
      <c r="C6062" s="2">
        <v>1</v>
      </c>
      <c r="D6062" t="str">
        <f t="shared" si="94"/>
        <v>CA-2017-121125_TEC-PH-10001619</v>
      </c>
      <c r="E6062" t="str">
        <f>IF(COUNTIF(data2!$D:$D,D6062)=0,"Missing in Data2","Present")</f>
        <v>Present</v>
      </c>
    </row>
    <row r="6063" spans="1:5" x14ac:dyDescent="0.25">
      <c r="A6063" s="2" t="s">
        <v>4894</v>
      </c>
      <c r="B6063" s="2" t="s">
        <v>2292</v>
      </c>
      <c r="C6063" s="2">
        <v>6</v>
      </c>
      <c r="D6063" t="str">
        <f t="shared" si="94"/>
        <v>CA-2017-121160_OFF-BI-10001308</v>
      </c>
      <c r="E6063" t="str">
        <f>IF(COUNTIF(data2!$D:$D,D6063)=0,"Missing in Data2","Present")</f>
        <v>Present</v>
      </c>
    </row>
    <row r="6064" spans="1:5" x14ac:dyDescent="0.25">
      <c r="A6064" s="2" t="s">
        <v>4894</v>
      </c>
      <c r="B6064" s="2" t="s">
        <v>982</v>
      </c>
      <c r="C6064" s="2">
        <v>2</v>
      </c>
      <c r="D6064" t="str">
        <f t="shared" si="94"/>
        <v>CA-2017-121160_OFF-BI-10003094</v>
      </c>
      <c r="E6064" t="str">
        <f>IF(COUNTIF(data2!$D:$D,D6064)=0,"Missing in Data2","Present")</f>
        <v>Present</v>
      </c>
    </row>
    <row r="6065" spans="1:5" x14ac:dyDescent="0.25">
      <c r="A6065" s="2" t="s">
        <v>4894</v>
      </c>
      <c r="B6065" s="2" t="s">
        <v>2891</v>
      </c>
      <c r="C6065" s="2">
        <v>4</v>
      </c>
      <c r="D6065" t="str">
        <f t="shared" si="94"/>
        <v>CA-2017-121160_OFF-BI-10004040</v>
      </c>
      <c r="E6065" t="str">
        <f>IF(COUNTIF(data2!$D:$D,D6065)=0,"Missing in Data2","Present")</f>
        <v>Present</v>
      </c>
    </row>
    <row r="6066" spans="1:5" x14ac:dyDescent="0.25">
      <c r="A6066" s="2" t="s">
        <v>4894</v>
      </c>
      <c r="B6066" s="2" t="s">
        <v>3070</v>
      </c>
      <c r="C6066" s="2">
        <v>3</v>
      </c>
      <c r="D6066" t="str">
        <f t="shared" si="94"/>
        <v>CA-2017-121160_OFF-ST-10002485</v>
      </c>
      <c r="E6066" t="str">
        <f>IF(COUNTIF(data2!$D:$D,D6066)=0,"Missing in Data2","Present")</f>
        <v>Present</v>
      </c>
    </row>
    <row r="6067" spans="1:5" x14ac:dyDescent="0.25">
      <c r="A6067" s="2" t="s">
        <v>4895</v>
      </c>
      <c r="B6067" s="2" t="s">
        <v>254</v>
      </c>
      <c r="C6067" s="2">
        <v>2</v>
      </c>
      <c r="D6067" t="str">
        <f t="shared" si="94"/>
        <v>CA-2017-121195_OFF-ST-10000585</v>
      </c>
      <c r="E6067" t="str">
        <f>IF(COUNTIF(data2!$D:$D,D6067)=0,"Missing in Data2","Present")</f>
        <v>Present</v>
      </c>
    </row>
    <row r="6068" spans="1:5" x14ac:dyDescent="0.25">
      <c r="A6068" s="2" t="s">
        <v>4896</v>
      </c>
      <c r="B6068" s="2" t="s">
        <v>2280</v>
      </c>
      <c r="C6068" s="2">
        <v>8</v>
      </c>
      <c r="D6068" t="str">
        <f t="shared" si="94"/>
        <v>CA-2017-121216_OFF-AP-10001947</v>
      </c>
      <c r="E6068" t="str">
        <f>IF(COUNTIF(data2!$D:$D,D6068)=0,"Missing in Data2","Present")</f>
        <v>Present</v>
      </c>
    </row>
    <row r="6069" spans="1:5" x14ac:dyDescent="0.25">
      <c r="A6069" s="2" t="s">
        <v>4896</v>
      </c>
      <c r="B6069" s="2" t="s">
        <v>588</v>
      </c>
      <c r="C6069" s="2">
        <v>8</v>
      </c>
      <c r="D6069" t="str">
        <f t="shared" si="94"/>
        <v>CA-2017-121216_OFF-PA-10004519</v>
      </c>
      <c r="E6069" t="str">
        <f>IF(COUNTIF(data2!$D:$D,D6069)=0,"Missing in Data2","Present")</f>
        <v>Present</v>
      </c>
    </row>
    <row r="6070" spans="1:5" x14ac:dyDescent="0.25">
      <c r="A6070" s="2" t="s">
        <v>4897</v>
      </c>
      <c r="B6070" s="2" t="s">
        <v>91</v>
      </c>
      <c r="C6070" s="2">
        <v>2</v>
      </c>
      <c r="D6070" t="str">
        <f t="shared" si="94"/>
        <v>CA-2017-121258_FUR-FU-10000747</v>
      </c>
      <c r="E6070" t="str">
        <f>IF(COUNTIF(data2!$D:$D,D6070)=0,"Missing in Data2","Present")</f>
        <v>Present</v>
      </c>
    </row>
    <row r="6071" spans="1:5" x14ac:dyDescent="0.25">
      <c r="A6071" s="2" t="s">
        <v>4897</v>
      </c>
      <c r="B6071" s="2" t="s">
        <v>2644</v>
      </c>
      <c r="C6071" s="2">
        <v>4</v>
      </c>
      <c r="D6071" t="str">
        <f t="shared" si="94"/>
        <v>CA-2017-121258_OFF-PA-10004041</v>
      </c>
      <c r="E6071" t="str">
        <f>IF(COUNTIF(data2!$D:$D,D6071)=0,"Missing in Data2","Present")</f>
        <v>Present</v>
      </c>
    </row>
    <row r="6072" spans="1:5" x14ac:dyDescent="0.25">
      <c r="A6072" s="2" t="s">
        <v>4897</v>
      </c>
      <c r="B6072" s="2" t="s">
        <v>998</v>
      </c>
      <c r="C6072" s="2">
        <v>2</v>
      </c>
      <c r="D6072" t="str">
        <f t="shared" si="94"/>
        <v>CA-2017-121258_TEC-PH-10003645</v>
      </c>
      <c r="E6072" t="str">
        <f>IF(COUNTIF(data2!$D:$D,D6072)=0,"Missing in Data2","Present")</f>
        <v>Present</v>
      </c>
    </row>
    <row r="6073" spans="1:5" x14ac:dyDescent="0.25">
      <c r="A6073" s="2" t="s">
        <v>4898</v>
      </c>
      <c r="B6073" s="2" t="s">
        <v>3694</v>
      </c>
      <c r="C6073" s="2">
        <v>1</v>
      </c>
      <c r="D6073" t="str">
        <f t="shared" si="94"/>
        <v>CA-2017-121293_FUR-TA-10001771</v>
      </c>
      <c r="E6073" t="str">
        <f>IF(COUNTIF(data2!$D:$D,D6073)=0,"Missing in Data2","Present")</f>
        <v>Present</v>
      </c>
    </row>
    <row r="6074" spans="1:5" x14ac:dyDescent="0.25">
      <c r="A6074" s="2" t="s">
        <v>4898</v>
      </c>
      <c r="B6074" s="2" t="s">
        <v>1728</v>
      </c>
      <c r="C6074" s="2">
        <v>4</v>
      </c>
      <c r="D6074" t="str">
        <f t="shared" si="94"/>
        <v>CA-2017-121293_OFF-PA-10004100</v>
      </c>
      <c r="E6074" t="str">
        <f>IF(COUNTIF(data2!$D:$D,D6074)=0,"Missing in Data2","Present")</f>
        <v>Present</v>
      </c>
    </row>
    <row r="6075" spans="1:5" x14ac:dyDescent="0.25">
      <c r="A6075" s="2" t="s">
        <v>4898</v>
      </c>
      <c r="B6075" s="2" t="s">
        <v>2918</v>
      </c>
      <c r="C6075" s="2">
        <v>5</v>
      </c>
      <c r="D6075" t="str">
        <f t="shared" si="94"/>
        <v>CA-2017-121293_OFF-ST-10000060</v>
      </c>
      <c r="E6075" t="str">
        <f>IF(COUNTIF(data2!$D:$D,D6075)=0,"Missing in Data2","Present")</f>
        <v>Present</v>
      </c>
    </row>
    <row r="6076" spans="1:5" x14ac:dyDescent="0.25">
      <c r="A6076" s="2" t="s">
        <v>4898</v>
      </c>
      <c r="B6076" s="2" t="s">
        <v>2451</v>
      </c>
      <c r="C6076" s="2">
        <v>3</v>
      </c>
      <c r="D6076" t="str">
        <f t="shared" si="94"/>
        <v>CA-2017-121293_OFF-SU-10004884</v>
      </c>
      <c r="E6076" t="str">
        <f>IF(COUNTIF(data2!$D:$D,D6076)=0,"Missing in Data2","Present")</f>
        <v>Present</v>
      </c>
    </row>
    <row r="6077" spans="1:5" x14ac:dyDescent="0.25">
      <c r="A6077" s="2" t="s">
        <v>4899</v>
      </c>
      <c r="B6077" s="2" t="s">
        <v>373</v>
      </c>
      <c r="C6077" s="2">
        <v>1</v>
      </c>
      <c r="D6077" t="str">
        <f t="shared" si="94"/>
        <v>CA-2017-121300_FUR-CH-10003774</v>
      </c>
      <c r="E6077" t="str">
        <f>IF(COUNTIF(data2!$D:$D,D6077)=0,"Missing in Data2","Present")</f>
        <v>Present</v>
      </c>
    </row>
    <row r="6078" spans="1:5" x14ac:dyDescent="0.25">
      <c r="A6078" s="2" t="s">
        <v>4899</v>
      </c>
      <c r="B6078" s="2" t="s">
        <v>111</v>
      </c>
      <c r="C6078" s="2">
        <v>4</v>
      </c>
      <c r="D6078" t="str">
        <f t="shared" si="94"/>
        <v>CA-2017-121300_FUR-FU-10004586</v>
      </c>
      <c r="E6078" t="str">
        <f>IF(COUNTIF(data2!$D:$D,D6078)=0,"Missing in Data2","Present")</f>
        <v>Present</v>
      </c>
    </row>
    <row r="6079" spans="1:5" x14ac:dyDescent="0.25">
      <c r="A6079" s="2" t="s">
        <v>4899</v>
      </c>
      <c r="B6079" s="2" t="s">
        <v>697</v>
      </c>
      <c r="C6079" s="2">
        <v>2</v>
      </c>
      <c r="D6079" t="str">
        <f t="shared" si="94"/>
        <v>CA-2017-121300_FUR-TA-10004442</v>
      </c>
      <c r="E6079" t="str">
        <f>IF(COUNTIF(data2!$D:$D,D6079)=0,"Missing in Data2","Present")</f>
        <v>Present</v>
      </c>
    </row>
    <row r="6080" spans="1:5" x14ac:dyDescent="0.25">
      <c r="A6080" s="2" t="s">
        <v>4899</v>
      </c>
      <c r="B6080" s="2" t="s">
        <v>3051</v>
      </c>
      <c r="C6080" s="2">
        <v>2</v>
      </c>
      <c r="D6080" t="str">
        <f t="shared" si="94"/>
        <v>CA-2017-121300_OFF-PA-10002606</v>
      </c>
      <c r="E6080" t="str">
        <f>IF(COUNTIF(data2!$D:$D,D6080)=0,"Missing in Data2","Present")</f>
        <v>Present</v>
      </c>
    </row>
    <row r="6081" spans="1:5" x14ac:dyDescent="0.25">
      <c r="A6081" s="2" t="s">
        <v>4899</v>
      </c>
      <c r="B6081" s="2" t="s">
        <v>2771</v>
      </c>
      <c r="C6081" s="2">
        <v>3</v>
      </c>
      <c r="D6081" t="str">
        <f t="shared" si="94"/>
        <v>CA-2017-121300_OFF-PA-10002787</v>
      </c>
      <c r="E6081" t="str">
        <f>IF(COUNTIF(data2!$D:$D,D6081)=0,"Missing in Data2","Present")</f>
        <v>Present</v>
      </c>
    </row>
    <row r="6082" spans="1:5" x14ac:dyDescent="0.25">
      <c r="A6082" s="2" t="s">
        <v>4899</v>
      </c>
      <c r="B6082" s="2" t="s">
        <v>1133</v>
      </c>
      <c r="C6082" s="2">
        <v>3</v>
      </c>
      <c r="D6082" t="str">
        <f t="shared" si="94"/>
        <v>CA-2017-121300_TEC-AC-10004571</v>
      </c>
      <c r="E6082" t="str">
        <f>IF(COUNTIF(data2!$D:$D,D6082)=0,"Missing in Data2","Present")</f>
        <v>Present</v>
      </c>
    </row>
    <row r="6083" spans="1:5" x14ac:dyDescent="0.25">
      <c r="A6083" s="2" t="s">
        <v>4900</v>
      </c>
      <c r="B6083" s="2" t="s">
        <v>1212</v>
      </c>
      <c r="C6083" s="2">
        <v>3</v>
      </c>
      <c r="D6083" t="str">
        <f t="shared" ref="D6083:D6146" si="95">A6083&amp;"_"&amp;B6083</f>
        <v>CA-2017-121314_OFF-PA-10003395</v>
      </c>
      <c r="E6083" t="str">
        <f>IF(COUNTIF(data2!$D:$D,D6083)=0,"Missing in Data2","Present")</f>
        <v>Present</v>
      </c>
    </row>
    <row r="6084" spans="1:5" x14ac:dyDescent="0.25">
      <c r="A6084" s="2" t="s">
        <v>4901</v>
      </c>
      <c r="B6084" s="2" t="s">
        <v>2324</v>
      </c>
      <c r="C6084" s="2">
        <v>3</v>
      </c>
      <c r="D6084" t="str">
        <f t="shared" si="95"/>
        <v>CA-2017-121398_OFF-BI-10001718</v>
      </c>
      <c r="E6084" t="str">
        <f>IF(COUNTIF(data2!$D:$D,D6084)=0,"Missing in Data2","Present")</f>
        <v>Present</v>
      </c>
    </row>
    <row r="6085" spans="1:5" x14ac:dyDescent="0.25">
      <c r="A6085" s="2" t="s">
        <v>4901</v>
      </c>
      <c r="B6085" s="2" t="s">
        <v>2078</v>
      </c>
      <c r="C6085" s="2">
        <v>2</v>
      </c>
      <c r="D6085" t="str">
        <f t="shared" si="95"/>
        <v>CA-2017-121398_OFF-ST-10002756</v>
      </c>
      <c r="E6085" t="str">
        <f>IF(COUNTIF(data2!$D:$D,D6085)=0,"Missing in Data2","Present")</f>
        <v>Present</v>
      </c>
    </row>
    <row r="6086" spans="1:5" x14ac:dyDescent="0.25">
      <c r="A6086" s="2" t="s">
        <v>4902</v>
      </c>
      <c r="B6086" s="2" t="s">
        <v>189</v>
      </c>
      <c r="C6086" s="2">
        <v>3</v>
      </c>
      <c r="D6086" t="str">
        <f t="shared" si="95"/>
        <v>CA-2017-121412_FUR-FU-10000246</v>
      </c>
      <c r="E6086" t="str">
        <f>IF(COUNTIF(data2!$D:$D,D6086)=0,"Missing in Data2","Present")</f>
        <v>Present</v>
      </c>
    </row>
    <row r="6087" spans="1:5" x14ac:dyDescent="0.25">
      <c r="A6087" s="2" t="s">
        <v>4903</v>
      </c>
      <c r="B6087" s="2" t="s">
        <v>1021</v>
      </c>
      <c r="C6087" s="2">
        <v>2</v>
      </c>
      <c r="D6087" t="str">
        <f t="shared" si="95"/>
        <v>CA-2017-121419_FUR-TA-10004534</v>
      </c>
      <c r="E6087" t="str">
        <f>IF(COUNTIF(data2!$D:$D,D6087)=0,"Missing in Data2","Present")</f>
        <v>Missing in Data2</v>
      </c>
    </row>
    <row r="6088" spans="1:5" x14ac:dyDescent="0.25">
      <c r="A6088" s="2" t="s">
        <v>4903</v>
      </c>
      <c r="B6088" s="2" t="s">
        <v>1718</v>
      </c>
      <c r="C6088" s="2">
        <v>4</v>
      </c>
      <c r="D6088" t="str">
        <f t="shared" si="95"/>
        <v>CA-2017-121419_TEC-AC-10000892</v>
      </c>
      <c r="E6088" t="str">
        <f>IF(COUNTIF(data2!$D:$D,D6088)=0,"Missing in Data2","Present")</f>
        <v>Present</v>
      </c>
    </row>
    <row r="6089" spans="1:5" x14ac:dyDescent="0.25">
      <c r="A6089" s="2" t="s">
        <v>4904</v>
      </c>
      <c r="B6089" s="2" t="s">
        <v>614</v>
      </c>
      <c r="C6089" s="2">
        <v>4</v>
      </c>
      <c r="D6089" t="str">
        <f t="shared" si="95"/>
        <v>CA-2017-121468_TEC-PH-10000376</v>
      </c>
      <c r="E6089" t="str">
        <f>IF(COUNTIF(data2!$D:$D,D6089)=0,"Missing in Data2","Present")</f>
        <v>Present</v>
      </c>
    </row>
    <row r="6090" spans="1:5" x14ac:dyDescent="0.25">
      <c r="A6090" s="2" t="s">
        <v>4905</v>
      </c>
      <c r="B6090" s="2" t="s">
        <v>472</v>
      </c>
      <c r="C6090" s="2">
        <v>6</v>
      </c>
      <c r="D6090" t="str">
        <f t="shared" si="95"/>
        <v>CA-2017-121489_FUR-CH-10004698</v>
      </c>
      <c r="E6090" t="str">
        <f>IF(COUNTIF(data2!$D:$D,D6090)=0,"Missing in Data2","Present")</f>
        <v>Missing in Data2</v>
      </c>
    </row>
    <row r="6091" spans="1:5" x14ac:dyDescent="0.25">
      <c r="A6091" s="2" t="s">
        <v>4905</v>
      </c>
      <c r="B6091" s="2" t="s">
        <v>1657</v>
      </c>
      <c r="C6091" s="2">
        <v>6</v>
      </c>
      <c r="D6091" t="str">
        <f t="shared" si="95"/>
        <v>CA-2017-121489_OFF-ST-10000025</v>
      </c>
      <c r="E6091" t="str">
        <f>IF(COUNTIF(data2!$D:$D,D6091)=0,"Missing in Data2","Present")</f>
        <v>Present</v>
      </c>
    </row>
    <row r="6092" spans="1:5" x14ac:dyDescent="0.25">
      <c r="A6092" s="2" t="s">
        <v>4905</v>
      </c>
      <c r="B6092" s="2" t="s">
        <v>2817</v>
      </c>
      <c r="C6092" s="2">
        <v>2</v>
      </c>
      <c r="D6092" t="str">
        <f t="shared" si="95"/>
        <v>CA-2017-121489_TEC-AC-10000682</v>
      </c>
      <c r="E6092" t="str">
        <f>IF(COUNTIF(data2!$D:$D,D6092)=0,"Missing in Data2","Present")</f>
        <v>Present</v>
      </c>
    </row>
    <row r="6093" spans="1:5" x14ac:dyDescent="0.25">
      <c r="A6093" s="2" t="s">
        <v>4906</v>
      </c>
      <c r="B6093" s="2" t="s">
        <v>425</v>
      </c>
      <c r="C6093" s="2">
        <v>7</v>
      </c>
      <c r="D6093" t="str">
        <f t="shared" si="95"/>
        <v>CA-2017-121503_OFF-PA-10001878</v>
      </c>
      <c r="E6093" t="str">
        <f>IF(COUNTIF(data2!$D:$D,D6093)=0,"Missing in Data2","Present")</f>
        <v>Present</v>
      </c>
    </row>
    <row r="6094" spans="1:5" x14ac:dyDescent="0.25">
      <c r="A6094" s="2" t="s">
        <v>4906</v>
      </c>
      <c r="B6094" s="2" t="s">
        <v>4907</v>
      </c>
      <c r="C6094" s="2">
        <v>3</v>
      </c>
      <c r="D6094" t="str">
        <f t="shared" si="95"/>
        <v>CA-2017-121503_TEC-MA-10003674</v>
      </c>
      <c r="E6094" t="str">
        <f>IF(COUNTIF(data2!$D:$D,D6094)=0,"Missing in Data2","Present")</f>
        <v>Present</v>
      </c>
    </row>
    <row r="6095" spans="1:5" x14ac:dyDescent="0.25">
      <c r="A6095" s="2" t="s">
        <v>4908</v>
      </c>
      <c r="B6095" s="2" t="s">
        <v>477</v>
      </c>
      <c r="C6095" s="2">
        <v>2</v>
      </c>
      <c r="D6095" t="str">
        <f t="shared" si="95"/>
        <v>CA-2017-121538_OFF-PA-10004071</v>
      </c>
      <c r="E6095" t="str">
        <f>IF(COUNTIF(data2!$D:$D,D6095)=0,"Missing in Data2","Present")</f>
        <v>Present</v>
      </c>
    </row>
    <row r="6096" spans="1:5" x14ac:dyDescent="0.25">
      <c r="A6096" s="2" t="s">
        <v>4909</v>
      </c>
      <c r="B6096" s="2" t="s">
        <v>2170</v>
      </c>
      <c r="C6096" s="2">
        <v>6</v>
      </c>
      <c r="D6096" t="str">
        <f t="shared" si="95"/>
        <v>CA-2017-121559_FUR-CH-10003746</v>
      </c>
      <c r="E6096" t="str">
        <f>IF(COUNTIF(data2!$D:$D,D6096)=0,"Missing in Data2","Present")</f>
        <v>Present</v>
      </c>
    </row>
    <row r="6097" spans="1:5" x14ac:dyDescent="0.25">
      <c r="A6097" s="2" t="s">
        <v>4909</v>
      </c>
      <c r="B6097" s="2" t="s">
        <v>1000</v>
      </c>
      <c r="C6097" s="2">
        <v>8</v>
      </c>
      <c r="D6097" t="str">
        <f t="shared" si="95"/>
        <v>CA-2017-121559_OFF-AP-10002945</v>
      </c>
      <c r="E6097" t="str">
        <f>IF(COUNTIF(data2!$D:$D,D6097)=0,"Missing in Data2","Present")</f>
        <v>Present</v>
      </c>
    </row>
    <row r="6098" spans="1:5" x14ac:dyDescent="0.25">
      <c r="A6098" s="2" t="s">
        <v>4909</v>
      </c>
      <c r="B6098" s="2" t="s">
        <v>3126</v>
      </c>
      <c r="C6098" s="2">
        <v>2</v>
      </c>
      <c r="D6098" t="str">
        <f t="shared" si="95"/>
        <v>CA-2017-121559_OFF-BI-10002072</v>
      </c>
      <c r="E6098" t="str">
        <f>IF(COUNTIF(data2!$D:$D,D6098)=0,"Missing in Data2","Present")</f>
        <v>Present</v>
      </c>
    </row>
    <row r="6099" spans="1:5" x14ac:dyDescent="0.25">
      <c r="A6099" s="2" t="s">
        <v>4909</v>
      </c>
      <c r="B6099" s="2" t="s">
        <v>3408</v>
      </c>
      <c r="C6099" s="2">
        <v>1</v>
      </c>
      <c r="D6099" t="str">
        <f t="shared" si="95"/>
        <v>CA-2017-121559_TEC-AC-10001714</v>
      </c>
      <c r="E6099" t="str">
        <f>IF(COUNTIF(data2!$D:$D,D6099)=0,"Missing in Data2","Present")</f>
        <v>Present</v>
      </c>
    </row>
    <row r="6100" spans="1:5" x14ac:dyDescent="0.25">
      <c r="A6100" s="2" t="s">
        <v>4909</v>
      </c>
      <c r="B6100" s="2" t="s">
        <v>2609</v>
      </c>
      <c r="C6100" s="2">
        <v>3</v>
      </c>
      <c r="D6100" t="str">
        <f t="shared" si="95"/>
        <v>CA-2017-121559_TEC-AC-10004568</v>
      </c>
      <c r="E6100" t="str">
        <f>IF(COUNTIF(data2!$D:$D,D6100)=0,"Missing in Data2","Present")</f>
        <v>Present</v>
      </c>
    </row>
    <row r="6101" spans="1:5" x14ac:dyDescent="0.25">
      <c r="A6101" s="2" t="s">
        <v>4910</v>
      </c>
      <c r="B6101" s="2" t="s">
        <v>170</v>
      </c>
      <c r="C6101" s="2">
        <v>3</v>
      </c>
      <c r="D6101" t="str">
        <f t="shared" si="95"/>
        <v>CA-2017-121580_FUR-FU-10003981</v>
      </c>
      <c r="E6101" t="str">
        <f>IF(COUNTIF(data2!$D:$D,D6101)=0,"Missing in Data2","Present")</f>
        <v>Missing in Data2</v>
      </c>
    </row>
    <row r="6102" spans="1:5" x14ac:dyDescent="0.25">
      <c r="A6102" s="2" t="s">
        <v>4910</v>
      </c>
      <c r="B6102" s="2" t="s">
        <v>3965</v>
      </c>
      <c r="C6102" s="2">
        <v>2</v>
      </c>
      <c r="D6102" t="str">
        <f t="shared" si="95"/>
        <v>CA-2017-121580_OFF-AP-10001564</v>
      </c>
      <c r="E6102" t="str">
        <f>IF(COUNTIF(data2!$D:$D,D6102)=0,"Missing in Data2","Present")</f>
        <v>Present</v>
      </c>
    </row>
    <row r="6103" spans="1:5" x14ac:dyDescent="0.25">
      <c r="A6103" s="2" t="s">
        <v>4910</v>
      </c>
      <c r="B6103" s="2" t="s">
        <v>740</v>
      </c>
      <c r="C6103" s="2">
        <v>1</v>
      </c>
      <c r="D6103" t="str">
        <f t="shared" si="95"/>
        <v>CA-2017-121580_OFF-BI-10000632</v>
      </c>
      <c r="E6103" t="str">
        <f>IF(COUNTIF(data2!$D:$D,D6103)=0,"Missing in Data2","Present")</f>
        <v>Present</v>
      </c>
    </row>
    <row r="6104" spans="1:5" x14ac:dyDescent="0.25">
      <c r="A6104" s="2" t="s">
        <v>4910</v>
      </c>
      <c r="B6104" s="2" t="s">
        <v>25</v>
      </c>
      <c r="C6104" s="2">
        <v>1</v>
      </c>
      <c r="D6104" t="str">
        <f t="shared" si="95"/>
        <v>CA-2017-121580_OFF-PA-10004082</v>
      </c>
      <c r="E6104" t="str">
        <f>IF(COUNTIF(data2!$D:$D,D6104)=0,"Missing in Data2","Present")</f>
        <v>Missing in Data2</v>
      </c>
    </row>
    <row r="6105" spans="1:5" x14ac:dyDescent="0.25">
      <c r="A6105" s="2" t="s">
        <v>4911</v>
      </c>
      <c r="B6105" s="2" t="s">
        <v>97</v>
      </c>
      <c r="C6105" s="2">
        <v>3</v>
      </c>
      <c r="D6105" t="str">
        <f t="shared" si="95"/>
        <v>CA-2017-121615_OFF-LA-10001771</v>
      </c>
      <c r="E6105" t="str">
        <f>IF(COUNTIF(data2!$D:$D,D6105)=0,"Missing in Data2","Present")</f>
        <v>Present</v>
      </c>
    </row>
    <row r="6106" spans="1:5" x14ac:dyDescent="0.25">
      <c r="A6106" s="2" t="s">
        <v>4911</v>
      </c>
      <c r="B6106" s="2" t="s">
        <v>408</v>
      </c>
      <c r="C6106" s="2">
        <v>2</v>
      </c>
      <c r="D6106" t="str">
        <f t="shared" si="95"/>
        <v>CA-2017-121615_OFF-PA-10000327</v>
      </c>
      <c r="E6106" t="str">
        <f>IF(COUNTIF(data2!$D:$D,D6106)=0,"Missing in Data2","Present")</f>
        <v>Present</v>
      </c>
    </row>
    <row r="6107" spans="1:5" x14ac:dyDescent="0.25">
      <c r="A6107" s="2" t="s">
        <v>4911</v>
      </c>
      <c r="B6107" s="2" t="s">
        <v>2467</v>
      </c>
      <c r="C6107" s="2">
        <v>5</v>
      </c>
      <c r="D6107" t="str">
        <f t="shared" si="95"/>
        <v>CA-2017-121615_OFF-ST-10001325</v>
      </c>
      <c r="E6107" t="str">
        <f>IF(COUNTIF(data2!$D:$D,D6107)=0,"Missing in Data2","Present")</f>
        <v>Present</v>
      </c>
    </row>
    <row r="6108" spans="1:5" x14ac:dyDescent="0.25">
      <c r="A6108" s="2" t="s">
        <v>4912</v>
      </c>
      <c r="B6108" s="2" t="s">
        <v>2715</v>
      </c>
      <c r="C6108" s="2">
        <v>2</v>
      </c>
      <c r="D6108" t="str">
        <f t="shared" si="95"/>
        <v>CA-2017-121643_TEC-PH-10002200</v>
      </c>
      <c r="E6108" t="str">
        <f>IF(COUNTIF(data2!$D:$D,D6108)=0,"Missing in Data2","Present")</f>
        <v>Present</v>
      </c>
    </row>
    <row r="6109" spans="1:5" x14ac:dyDescent="0.25">
      <c r="A6109" s="2" t="s">
        <v>4913</v>
      </c>
      <c r="B6109" s="2" t="s">
        <v>1727</v>
      </c>
      <c r="C6109" s="2">
        <v>1</v>
      </c>
      <c r="D6109" t="str">
        <f t="shared" si="95"/>
        <v>CA-2017-121678_OFF-BI-10002949</v>
      </c>
      <c r="E6109" t="str">
        <f>IF(COUNTIF(data2!$D:$D,D6109)=0,"Missing in Data2","Present")</f>
        <v>Present</v>
      </c>
    </row>
    <row r="6110" spans="1:5" x14ac:dyDescent="0.25">
      <c r="A6110" s="2" t="s">
        <v>4914</v>
      </c>
      <c r="B6110" s="2" t="s">
        <v>1183</v>
      </c>
      <c r="C6110" s="2">
        <v>7</v>
      </c>
      <c r="D6110" t="str">
        <f t="shared" si="95"/>
        <v>CA-2017-121706_OFF-AP-10003287</v>
      </c>
      <c r="E6110" t="str">
        <f>IF(COUNTIF(data2!$D:$D,D6110)=0,"Missing in Data2","Present")</f>
        <v>Present</v>
      </c>
    </row>
    <row r="6111" spans="1:5" x14ac:dyDescent="0.25">
      <c r="A6111" s="2" t="s">
        <v>4915</v>
      </c>
      <c r="B6111" s="2" t="s">
        <v>1514</v>
      </c>
      <c r="C6111" s="2">
        <v>2</v>
      </c>
      <c r="D6111" t="str">
        <f t="shared" si="95"/>
        <v>CA-2017-121741_OFF-ST-10004459</v>
      </c>
      <c r="E6111" t="str">
        <f>IF(COUNTIF(data2!$D:$D,D6111)=0,"Missing in Data2","Present")</f>
        <v>Missing in Data2</v>
      </c>
    </row>
    <row r="6112" spans="1:5" x14ac:dyDescent="0.25">
      <c r="A6112" s="2" t="s">
        <v>4916</v>
      </c>
      <c r="B6112" s="2" t="s">
        <v>1744</v>
      </c>
      <c r="C6112" s="2">
        <v>1</v>
      </c>
      <c r="D6112" t="str">
        <f t="shared" si="95"/>
        <v>CA-2017-121790_FUR-TA-10003469</v>
      </c>
      <c r="E6112" t="str">
        <f>IF(COUNTIF(data2!$D:$D,D6112)=0,"Missing in Data2","Present")</f>
        <v>Present</v>
      </c>
    </row>
    <row r="6113" spans="1:5" x14ac:dyDescent="0.25">
      <c r="A6113" s="2" t="s">
        <v>4916</v>
      </c>
      <c r="B6113" s="2" t="s">
        <v>2303</v>
      </c>
      <c r="C6113" s="2">
        <v>2</v>
      </c>
      <c r="D6113" t="str">
        <f t="shared" si="95"/>
        <v>CA-2017-121790_OFF-AR-10003602</v>
      </c>
      <c r="E6113" t="str">
        <f>IF(COUNTIF(data2!$D:$D,D6113)=0,"Missing in Data2","Present")</f>
        <v>Present</v>
      </c>
    </row>
    <row r="6114" spans="1:5" x14ac:dyDescent="0.25">
      <c r="A6114" s="2" t="s">
        <v>4916</v>
      </c>
      <c r="B6114" s="2" t="s">
        <v>2166</v>
      </c>
      <c r="C6114" s="2">
        <v>4</v>
      </c>
      <c r="D6114" t="str">
        <f t="shared" si="95"/>
        <v>CA-2017-121790_OFF-SU-10004231</v>
      </c>
      <c r="E6114" t="str">
        <f>IF(COUNTIF(data2!$D:$D,D6114)=0,"Missing in Data2","Present")</f>
        <v>Present</v>
      </c>
    </row>
    <row r="6115" spans="1:5" x14ac:dyDescent="0.25">
      <c r="A6115" s="2" t="s">
        <v>4916</v>
      </c>
      <c r="B6115" s="2" t="s">
        <v>1486</v>
      </c>
      <c r="C6115" s="2">
        <v>4</v>
      </c>
      <c r="D6115" t="str">
        <f t="shared" si="95"/>
        <v>CA-2017-121790_TEC-PH-10002584</v>
      </c>
      <c r="E6115" t="str">
        <f>IF(COUNTIF(data2!$D:$D,D6115)=0,"Missing in Data2","Present")</f>
        <v>Present</v>
      </c>
    </row>
    <row r="6116" spans="1:5" x14ac:dyDescent="0.25">
      <c r="A6116" s="2" t="s">
        <v>4917</v>
      </c>
      <c r="B6116" s="2" t="s">
        <v>1618</v>
      </c>
      <c r="C6116" s="2">
        <v>5</v>
      </c>
      <c r="D6116" t="str">
        <f t="shared" si="95"/>
        <v>CA-2017-121804_OFF-AP-10004859</v>
      </c>
      <c r="E6116" t="str">
        <f>IF(COUNTIF(data2!$D:$D,D6116)=0,"Missing in Data2","Present")</f>
        <v>Present</v>
      </c>
    </row>
    <row r="6117" spans="1:5" x14ac:dyDescent="0.25">
      <c r="A6117" s="2" t="s">
        <v>4918</v>
      </c>
      <c r="B6117" s="2" t="s">
        <v>4919</v>
      </c>
      <c r="C6117" s="2">
        <v>7</v>
      </c>
      <c r="D6117" t="str">
        <f t="shared" si="95"/>
        <v>CA-2017-121818_OFF-AR-10000203</v>
      </c>
      <c r="E6117" t="str">
        <f>IF(COUNTIF(data2!$D:$D,D6117)=0,"Missing in Data2","Present")</f>
        <v>Present</v>
      </c>
    </row>
    <row r="6118" spans="1:5" x14ac:dyDescent="0.25">
      <c r="A6118" s="2" t="s">
        <v>4918</v>
      </c>
      <c r="B6118" s="2" t="s">
        <v>4920</v>
      </c>
      <c r="C6118" s="2">
        <v>3</v>
      </c>
      <c r="D6118" t="str">
        <f t="shared" si="95"/>
        <v>CA-2017-121818_OFF-AR-10004790</v>
      </c>
      <c r="E6118" t="str">
        <f>IF(COUNTIF(data2!$D:$D,D6118)=0,"Missing in Data2","Present")</f>
        <v>Present</v>
      </c>
    </row>
    <row r="6119" spans="1:5" x14ac:dyDescent="0.25">
      <c r="A6119" s="2" t="s">
        <v>4921</v>
      </c>
      <c r="B6119" s="2" t="s">
        <v>133</v>
      </c>
      <c r="C6119" s="2">
        <v>3</v>
      </c>
      <c r="D6119" t="str">
        <f t="shared" si="95"/>
        <v>CA-2017-121839_TEC-PH-10002885</v>
      </c>
      <c r="E6119" t="str">
        <f>IF(COUNTIF(data2!$D:$D,D6119)=0,"Missing in Data2","Present")</f>
        <v>Present</v>
      </c>
    </row>
    <row r="6120" spans="1:5" x14ac:dyDescent="0.25">
      <c r="A6120" s="2" t="s">
        <v>4922</v>
      </c>
      <c r="B6120" s="2" t="s">
        <v>807</v>
      </c>
      <c r="C6120" s="2">
        <v>2</v>
      </c>
      <c r="D6120" t="str">
        <f t="shared" si="95"/>
        <v>CA-2017-121853_FUR-CH-10003973</v>
      </c>
      <c r="E6120" t="str">
        <f>IF(COUNTIF(data2!$D:$D,D6120)=0,"Missing in Data2","Present")</f>
        <v>Present</v>
      </c>
    </row>
    <row r="6121" spans="1:5" x14ac:dyDescent="0.25">
      <c r="A6121" s="2" t="s">
        <v>4922</v>
      </c>
      <c r="B6121" s="2" t="s">
        <v>859</v>
      </c>
      <c r="C6121" s="2">
        <v>3</v>
      </c>
      <c r="D6121" t="str">
        <f t="shared" si="95"/>
        <v>CA-2017-121853_OFF-BI-10000977</v>
      </c>
      <c r="E6121" t="str">
        <f>IF(COUNTIF(data2!$D:$D,D6121)=0,"Missing in Data2","Present")</f>
        <v>Present</v>
      </c>
    </row>
    <row r="6122" spans="1:5" x14ac:dyDescent="0.25">
      <c r="A6122" s="2" t="s">
        <v>4922</v>
      </c>
      <c r="B6122" s="2" t="s">
        <v>884</v>
      </c>
      <c r="C6122" s="2">
        <v>8</v>
      </c>
      <c r="D6122" t="str">
        <f t="shared" si="95"/>
        <v>CA-2017-121853_OFF-PA-10003641</v>
      </c>
      <c r="E6122" t="str">
        <f>IF(COUNTIF(data2!$D:$D,D6122)=0,"Missing in Data2","Present")</f>
        <v>Present</v>
      </c>
    </row>
    <row r="6123" spans="1:5" x14ac:dyDescent="0.25">
      <c r="A6123" s="2" t="s">
        <v>4923</v>
      </c>
      <c r="B6123" s="2" t="s">
        <v>1533</v>
      </c>
      <c r="C6123" s="2">
        <v>3</v>
      </c>
      <c r="D6123" t="str">
        <f t="shared" si="95"/>
        <v>CA-2017-121888_FUR-BO-10002545</v>
      </c>
      <c r="E6123" t="str">
        <f>IF(COUNTIF(data2!$D:$D,D6123)=0,"Missing in Data2","Present")</f>
        <v>Present</v>
      </c>
    </row>
    <row r="6124" spans="1:5" x14ac:dyDescent="0.25">
      <c r="A6124" s="2" t="s">
        <v>4923</v>
      </c>
      <c r="B6124" s="2" t="s">
        <v>1246</v>
      </c>
      <c r="C6124" s="2">
        <v>2</v>
      </c>
      <c r="D6124" t="str">
        <f t="shared" si="95"/>
        <v>CA-2017-121888_OFF-AR-10003478</v>
      </c>
      <c r="E6124" t="str">
        <f>IF(COUNTIF(data2!$D:$D,D6124)=0,"Missing in Data2","Present")</f>
        <v>Present</v>
      </c>
    </row>
    <row r="6125" spans="1:5" x14ac:dyDescent="0.25">
      <c r="A6125" s="2" t="s">
        <v>4923</v>
      </c>
      <c r="B6125" s="2" t="s">
        <v>224</v>
      </c>
      <c r="C6125" s="2">
        <v>7</v>
      </c>
      <c r="D6125" t="str">
        <f t="shared" si="95"/>
        <v>CA-2017-121888_OFF-BI-10001765</v>
      </c>
      <c r="E6125" t="str">
        <f>IF(COUNTIF(data2!$D:$D,D6125)=0,"Missing in Data2","Present")</f>
        <v>Present</v>
      </c>
    </row>
    <row r="6126" spans="1:5" x14ac:dyDescent="0.25">
      <c r="A6126" s="2" t="s">
        <v>4923</v>
      </c>
      <c r="B6126" s="2" t="s">
        <v>368</v>
      </c>
      <c r="C6126" s="2">
        <v>1</v>
      </c>
      <c r="D6126" t="str">
        <f t="shared" si="95"/>
        <v>CA-2017-121888_TEC-PH-10000439</v>
      </c>
      <c r="E6126" t="str">
        <f>IF(COUNTIF(data2!$D:$D,D6126)=0,"Missing in Data2","Present")</f>
        <v>Missing in Data2</v>
      </c>
    </row>
    <row r="6127" spans="1:5" x14ac:dyDescent="0.25">
      <c r="A6127" s="2" t="s">
        <v>4924</v>
      </c>
      <c r="B6127" s="2" t="s">
        <v>2045</v>
      </c>
      <c r="C6127" s="2">
        <v>3</v>
      </c>
      <c r="D6127" t="str">
        <f t="shared" si="95"/>
        <v>CA-2017-121909_OFF-PA-10003790</v>
      </c>
      <c r="E6127" t="str">
        <f>IF(COUNTIF(data2!$D:$D,D6127)=0,"Missing in Data2","Present")</f>
        <v>Present</v>
      </c>
    </row>
    <row r="6128" spans="1:5" x14ac:dyDescent="0.25">
      <c r="A6128" s="2" t="s">
        <v>4925</v>
      </c>
      <c r="B6128" s="2" t="s">
        <v>796</v>
      </c>
      <c r="C6128" s="2">
        <v>7</v>
      </c>
      <c r="D6128" t="str">
        <f t="shared" si="95"/>
        <v>CA-2017-122007_OFF-AP-10000358</v>
      </c>
      <c r="E6128" t="str">
        <f>IF(COUNTIF(data2!$D:$D,D6128)=0,"Missing in Data2","Present")</f>
        <v>Present</v>
      </c>
    </row>
    <row r="6129" spans="1:5" x14ac:dyDescent="0.25">
      <c r="A6129" s="2" t="s">
        <v>4926</v>
      </c>
      <c r="B6129" s="2" t="s">
        <v>1950</v>
      </c>
      <c r="C6129" s="2">
        <v>3</v>
      </c>
      <c r="D6129" t="str">
        <f t="shared" si="95"/>
        <v>CA-2017-122028_OFF-BI-10004817</v>
      </c>
      <c r="E6129" t="str">
        <f>IF(COUNTIF(data2!$D:$D,D6129)=0,"Missing in Data2","Present")</f>
        <v>Present</v>
      </c>
    </row>
    <row r="6130" spans="1:5" x14ac:dyDescent="0.25">
      <c r="A6130" s="2" t="s">
        <v>4927</v>
      </c>
      <c r="B6130" s="2" t="s">
        <v>246</v>
      </c>
      <c r="C6130" s="2">
        <v>3</v>
      </c>
      <c r="D6130" t="str">
        <f t="shared" si="95"/>
        <v>CA-2017-122035_FUR-CH-10003833</v>
      </c>
      <c r="E6130" t="str">
        <f>IF(COUNTIF(data2!$D:$D,D6130)=0,"Missing in Data2","Present")</f>
        <v>Present</v>
      </c>
    </row>
    <row r="6131" spans="1:5" x14ac:dyDescent="0.25">
      <c r="A6131" s="2" t="s">
        <v>4927</v>
      </c>
      <c r="B6131" s="2" t="s">
        <v>563</v>
      </c>
      <c r="C6131" s="2">
        <v>2</v>
      </c>
      <c r="D6131" t="str">
        <f t="shared" si="95"/>
        <v>CA-2017-122035_OFF-AP-10002118</v>
      </c>
      <c r="E6131" t="str">
        <f>IF(COUNTIF(data2!$D:$D,D6131)=0,"Missing in Data2","Present")</f>
        <v>Present</v>
      </c>
    </row>
    <row r="6132" spans="1:5" x14ac:dyDescent="0.25">
      <c r="A6132" s="2" t="s">
        <v>4927</v>
      </c>
      <c r="B6132" s="2" t="s">
        <v>2875</v>
      </c>
      <c r="C6132" s="2">
        <v>5</v>
      </c>
      <c r="D6132" t="str">
        <f t="shared" si="95"/>
        <v>CA-2017-122035_OFF-BI-10000404</v>
      </c>
      <c r="E6132" t="str">
        <f>IF(COUNTIF(data2!$D:$D,D6132)=0,"Missing in Data2","Present")</f>
        <v>Present</v>
      </c>
    </row>
    <row r="6133" spans="1:5" x14ac:dyDescent="0.25">
      <c r="A6133" s="2" t="s">
        <v>4927</v>
      </c>
      <c r="B6133" s="2" t="s">
        <v>3126</v>
      </c>
      <c r="C6133" s="2">
        <v>7</v>
      </c>
      <c r="D6133" t="str">
        <f t="shared" si="95"/>
        <v>CA-2017-122035_OFF-BI-10002072</v>
      </c>
      <c r="E6133" t="str">
        <f>IF(COUNTIF(data2!$D:$D,D6133)=0,"Missing in Data2","Present")</f>
        <v>Present</v>
      </c>
    </row>
    <row r="6134" spans="1:5" x14ac:dyDescent="0.25">
      <c r="A6134" s="2" t="s">
        <v>4927</v>
      </c>
      <c r="B6134" s="2" t="s">
        <v>2712</v>
      </c>
      <c r="C6134" s="2">
        <v>2</v>
      </c>
      <c r="D6134" t="str">
        <f t="shared" si="95"/>
        <v>CA-2017-122035_OFF-LA-10004093</v>
      </c>
      <c r="E6134" t="str">
        <f>IF(COUNTIF(data2!$D:$D,D6134)=0,"Missing in Data2","Present")</f>
        <v>Present</v>
      </c>
    </row>
    <row r="6135" spans="1:5" x14ac:dyDescent="0.25">
      <c r="A6135" s="2" t="s">
        <v>4927</v>
      </c>
      <c r="B6135" s="2" t="s">
        <v>2092</v>
      </c>
      <c r="C6135" s="2">
        <v>3</v>
      </c>
      <c r="D6135" t="str">
        <f t="shared" si="95"/>
        <v>CA-2017-122035_TEC-AC-10003095</v>
      </c>
      <c r="E6135" t="str">
        <f>IF(COUNTIF(data2!$D:$D,D6135)=0,"Missing in Data2","Present")</f>
        <v>Present</v>
      </c>
    </row>
    <row r="6136" spans="1:5" x14ac:dyDescent="0.25">
      <c r="A6136" s="2" t="s">
        <v>4928</v>
      </c>
      <c r="B6136" s="2" t="s">
        <v>4929</v>
      </c>
      <c r="C6136" s="2">
        <v>7</v>
      </c>
      <c r="D6136" t="str">
        <f t="shared" si="95"/>
        <v>CA-2017-122056_OFF-AR-10004260</v>
      </c>
      <c r="E6136" t="str">
        <f>IF(COUNTIF(data2!$D:$D,D6136)=0,"Missing in Data2","Present")</f>
        <v>Present</v>
      </c>
    </row>
    <row r="6137" spans="1:5" x14ac:dyDescent="0.25">
      <c r="A6137" s="2" t="s">
        <v>4930</v>
      </c>
      <c r="B6137" s="2" t="s">
        <v>4931</v>
      </c>
      <c r="C6137" s="2">
        <v>4</v>
      </c>
      <c r="D6137" t="str">
        <f t="shared" si="95"/>
        <v>CA-2017-122077_OFF-LA-10004178</v>
      </c>
      <c r="E6137" t="str">
        <f>IF(COUNTIF(data2!$D:$D,D6137)=0,"Missing in Data2","Present")</f>
        <v>Present</v>
      </c>
    </row>
    <row r="6138" spans="1:5" x14ac:dyDescent="0.25">
      <c r="A6138" s="2" t="s">
        <v>4930</v>
      </c>
      <c r="B6138" s="2" t="s">
        <v>713</v>
      </c>
      <c r="C6138" s="2">
        <v>1</v>
      </c>
      <c r="D6138" t="str">
        <f t="shared" si="95"/>
        <v>CA-2017-122077_TEC-PH-10003811</v>
      </c>
      <c r="E6138" t="str">
        <f>IF(COUNTIF(data2!$D:$D,D6138)=0,"Missing in Data2","Present")</f>
        <v>Present</v>
      </c>
    </row>
    <row r="6139" spans="1:5" x14ac:dyDescent="0.25">
      <c r="A6139" s="2" t="s">
        <v>4932</v>
      </c>
      <c r="B6139" s="2" t="s">
        <v>1544</v>
      </c>
      <c r="C6139" s="2">
        <v>8</v>
      </c>
      <c r="D6139" t="str">
        <f t="shared" si="95"/>
        <v>CA-2017-122105_OFF-AR-10004344</v>
      </c>
      <c r="E6139" t="str">
        <f>IF(COUNTIF(data2!$D:$D,D6139)=0,"Missing in Data2","Present")</f>
        <v>Present</v>
      </c>
    </row>
    <row r="6140" spans="1:5" x14ac:dyDescent="0.25">
      <c r="A6140" s="2" t="s">
        <v>4933</v>
      </c>
      <c r="B6140" s="2" t="s">
        <v>1231</v>
      </c>
      <c r="C6140" s="2">
        <v>4</v>
      </c>
      <c r="D6140" t="str">
        <f t="shared" si="95"/>
        <v>CA-2017-122112_OFF-EN-10004459</v>
      </c>
      <c r="E6140" t="str">
        <f>IF(COUNTIF(data2!$D:$D,D6140)=0,"Missing in Data2","Present")</f>
        <v>Present</v>
      </c>
    </row>
    <row r="6141" spans="1:5" x14ac:dyDescent="0.25">
      <c r="A6141" s="2" t="s">
        <v>4934</v>
      </c>
      <c r="B6141" s="2" t="s">
        <v>637</v>
      </c>
      <c r="C6141" s="2">
        <v>1</v>
      </c>
      <c r="D6141" t="str">
        <f t="shared" si="95"/>
        <v>CA-2017-122154_OFF-BI-10002026</v>
      </c>
      <c r="E6141" t="str">
        <f>IF(COUNTIF(data2!$D:$D,D6141)=0,"Missing in Data2","Present")</f>
        <v>Present</v>
      </c>
    </row>
    <row r="6142" spans="1:5" x14ac:dyDescent="0.25">
      <c r="A6142" s="2" t="s">
        <v>4934</v>
      </c>
      <c r="B6142" s="2" t="s">
        <v>788</v>
      </c>
      <c r="C6142" s="2">
        <v>3</v>
      </c>
      <c r="D6142" t="str">
        <f t="shared" si="95"/>
        <v>CA-2017-122154_OFF-LA-10000121</v>
      </c>
      <c r="E6142" t="str">
        <f>IF(COUNTIF(data2!$D:$D,D6142)=0,"Missing in Data2","Present")</f>
        <v>Present</v>
      </c>
    </row>
    <row r="6143" spans="1:5" x14ac:dyDescent="0.25">
      <c r="A6143" s="2" t="s">
        <v>4934</v>
      </c>
      <c r="B6143" s="2" t="s">
        <v>2100</v>
      </c>
      <c r="C6143" s="2">
        <v>3</v>
      </c>
      <c r="D6143" t="str">
        <f t="shared" si="95"/>
        <v>CA-2017-122154_OFF-PA-10000994</v>
      </c>
      <c r="E6143" t="str">
        <f>IF(COUNTIF(data2!$D:$D,D6143)=0,"Missing in Data2","Present")</f>
        <v>Present</v>
      </c>
    </row>
    <row r="6144" spans="1:5" x14ac:dyDescent="0.25">
      <c r="A6144" s="2" t="s">
        <v>4935</v>
      </c>
      <c r="B6144" s="2" t="s">
        <v>556</v>
      </c>
      <c r="C6144" s="2">
        <v>5</v>
      </c>
      <c r="D6144" t="str">
        <f t="shared" si="95"/>
        <v>CA-2017-122175_FUR-FU-10000719</v>
      </c>
      <c r="E6144" t="str">
        <f>IF(COUNTIF(data2!$D:$D,D6144)=0,"Missing in Data2","Present")</f>
        <v>Present</v>
      </c>
    </row>
    <row r="6145" spans="1:5" x14ac:dyDescent="0.25">
      <c r="A6145" s="2" t="s">
        <v>4935</v>
      </c>
      <c r="B6145" s="2" t="s">
        <v>671</v>
      </c>
      <c r="C6145" s="2">
        <v>2</v>
      </c>
      <c r="D6145" t="str">
        <f t="shared" si="95"/>
        <v>CA-2017-122175_OFF-LA-10002271</v>
      </c>
      <c r="E6145" t="str">
        <f>IF(COUNTIF(data2!$D:$D,D6145)=0,"Missing in Data2","Present")</f>
        <v>Present</v>
      </c>
    </row>
    <row r="6146" spans="1:5" x14ac:dyDescent="0.25">
      <c r="A6146" s="2" t="s">
        <v>4935</v>
      </c>
      <c r="B6146" s="2" t="s">
        <v>656</v>
      </c>
      <c r="C6146" s="2">
        <v>2</v>
      </c>
      <c r="D6146" t="str">
        <f t="shared" si="95"/>
        <v>CA-2017-122175_OFF-SU-10004661</v>
      </c>
      <c r="E6146" t="str">
        <f>IF(COUNTIF(data2!$D:$D,D6146)=0,"Missing in Data2","Present")</f>
        <v>Present</v>
      </c>
    </row>
    <row r="6147" spans="1:5" x14ac:dyDescent="0.25">
      <c r="A6147" s="2" t="s">
        <v>4935</v>
      </c>
      <c r="B6147" s="2" t="s">
        <v>522</v>
      </c>
      <c r="C6147" s="2">
        <v>5</v>
      </c>
      <c r="D6147" t="str">
        <f t="shared" ref="D6147:D6210" si="96">A6147&amp;"_"&amp;B6147</f>
        <v>CA-2017-122175_TEC-AC-10004859</v>
      </c>
      <c r="E6147" t="str">
        <f>IF(COUNTIF(data2!$D:$D,D6147)=0,"Missing in Data2","Present")</f>
        <v>Present</v>
      </c>
    </row>
    <row r="6148" spans="1:5" x14ac:dyDescent="0.25">
      <c r="A6148" s="2" t="s">
        <v>4936</v>
      </c>
      <c r="B6148" s="2" t="s">
        <v>1113</v>
      </c>
      <c r="C6148" s="2">
        <v>2</v>
      </c>
      <c r="D6148" t="str">
        <f t="shared" si="96"/>
        <v>CA-2017-122196_TEC-PH-10004977</v>
      </c>
      <c r="E6148" t="str">
        <f>IF(COUNTIF(data2!$D:$D,D6148)=0,"Missing in Data2","Present")</f>
        <v>Present</v>
      </c>
    </row>
    <row r="6149" spans="1:5" x14ac:dyDescent="0.25">
      <c r="A6149" s="2" t="s">
        <v>4937</v>
      </c>
      <c r="B6149" s="2" t="s">
        <v>4400</v>
      </c>
      <c r="C6149" s="2">
        <v>2</v>
      </c>
      <c r="D6149" t="str">
        <f t="shared" si="96"/>
        <v>CA-2017-122280_OFF-PA-10004911</v>
      </c>
      <c r="E6149" t="str">
        <f>IF(COUNTIF(data2!$D:$D,D6149)=0,"Missing in Data2","Present")</f>
        <v>Present</v>
      </c>
    </row>
    <row r="6150" spans="1:5" x14ac:dyDescent="0.25">
      <c r="A6150" s="2" t="s">
        <v>4938</v>
      </c>
      <c r="B6150" s="2" t="s">
        <v>2884</v>
      </c>
      <c r="C6150" s="2">
        <v>2</v>
      </c>
      <c r="D6150" t="str">
        <f t="shared" si="96"/>
        <v>CA-2017-122308_FUR-CH-10000665</v>
      </c>
      <c r="E6150" t="str">
        <f>IF(COUNTIF(data2!$D:$D,D6150)=0,"Missing in Data2","Present")</f>
        <v>Present</v>
      </c>
    </row>
    <row r="6151" spans="1:5" x14ac:dyDescent="0.25">
      <c r="A6151" s="2" t="s">
        <v>4939</v>
      </c>
      <c r="B6151" s="2" t="s">
        <v>4940</v>
      </c>
      <c r="C6151" s="2">
        <v>3</v>
      </c>
      <c r="D6151" t="str">
        <f t="shared" si="96"/>
        <v>CA-2017-122364_TEC-MA-10001031</v>
      </c>
      <c r="E6151" t="str">
        <f>IF(COUNTIF(data2!$D:$D,D6151)=0,"Missing in Data2","Present")</f>
        <v>Present</v>
      </c>
    </row>
    <row r="6152" spans="1:5" x14ac:dyDescent="0.25">
      <c r="A6152" s="2" t="s">
        <v>4939</v>
      </c>
      <c r="B6152" s="2" t="s">
        <v>2598</v>
      </c>
      <c r="C6152" s="2">
        <v>3</v>
      </c>
      <c r="D6152" t="str">
        <f t="shared" si="96"/>
        <v>CA-2017-122364_TEC-PH-10001817</v>
      </c>
      <c r="E6152" t="str">
        <f>IF(COUNTIF(data2!$D:$D,D6152)=0,"Missing in Data2","Present")</f>
        <v>Present</v>
      </c>
    </row>
    <row r="6153" spans="1:5" x14ac:dyDescent="0.25">
      <c r="A6153" s="2" t="s">
        <v>4941</v>
      </c>
      <c r="B6153" s="2" t="s">
        <v>583</v>
      </c>
      <c r="C6153" s="2">
        <v>6</v>
      </c>
      <c r="D6153" t="str">
        <f t="shared" si="96"/>
        <v>CA-2017-122490_FUR-CH-10001215</v>
      </c>
      <c r="E6153" t="str">
        <f>IF(COUNTIF(data2!$D:$D,D6153)=0,"Missing in Data2","Present")</f>
        <v>Present</v>
      </c>
    </row>
    <row r="6154" spans="1:5" x14ac:dyDescent="0.25">
      <c r="A6154" s="2" t="s">
        <v>4941</v>
      </c>
      <c r="B6154" s="2" t="s">
        <v>2324</v>
      </c>
      <c r="C6154" s="2">
        <v>11</v>
      </c>
      <c r="D6154" t="str">
        <f t="shared" si="96"/>
        <v>CA-2017-122490_OFF-BI-10001718</v>
      </c>
      <c r="E6154" t="str">
        <f>IF(COUNTIF(data2!$D:$D,D6154)=0,"Missing in Data2","Present")</f>
        <v>Present</v>
      </c>
    </row>
    <row r="6155" spans="1:5" x14ac:dyDescent="0.25">
      <c r="A6155" s="2" t="s">
        <v>4941</v>
      </c>
      <c r="B6155" s="2" t="s">
        <v>776</v>
      </c>
      <c r="C6155" s="2">
        <v>3</v>
      </c>
      <c r="D6155" t="str">
        <f t="shared" si="96"/>
        <v>CA-2017-122490_OFF-LA-10001613</v>
      </c>
      <c r="E6155" t="str">
        <f>IF(COUNTIF(data2!$D:$D,D6155)=0,"Missing in Data2","Present")</f>
        <v>Present</v>
      </c>
    </row>
    <row r="6156" spans="1:5" x14ac:dyDescent="0.25">
      <c r="A6156" s="2" t="s">
        <v>4941</v>
      </c>
      <c r="B6156" s="2" t="s">
        <v>632</v>
      </c>
      <c r="C6156" s="2">
        <v>3</v>
      </c>
      <c r="D6156" t="str">
        <f t="shared" si="96"/>
        <v>CA-2017-122490_OFF-ST-10000991</v>
      </c>
      <c r="E6156" t="str">
        <f>IF(COUNTIF(data2!$D:$D,D6156)=0,"Missing in Data2","Present")</f>
        <v>Present</v>
      </c>
    </row>
    <row r="6157" spans="1:5" x14ac:dyDescent="0.25">
      <c r="A6157" s="2" t="s">
        <v>4942</v>
      </c>
      <c r="B6157" s="2" t="s">
        <v>1912</v>
      </c>
      <c r="C6157" s="2">
        <v>3</v>
      </c>
      <c r="D6157" t="str">
        <f t="shared" si="96"/>
        <v>CA-2017-122504_TEC-AC-10003289</v>
      </c>
      <c r="E6157" t="str">
        <f>IF(COUNTIF(data2!$D:$D,D6157)=0,"Missing in Data2","Present")</f>
        <v>Present</v>
      </c>
    </row>
    <row r="6158" spans="1:5" x14ac:dyDescent="0.25">
      <c r="A6158" s="2" t="s">
        <v>4942</v>
      </c>
      <c r="B6158" s="2" t="s">
        <v>200</v>
      </c>
      <c r="C6158" s="2">
        <v>7</v>
      </c>
      <c r="D6158" t="str">
        <f t="shared" si="96"/>
        <v>CA-2017-122504_TEC-PH-10002468</v>
      </c>
      <c r="E6158" t="str">
        <f>IF(COUNTIF(data2!$D:$D,D6158)=0,"Missing in Data2","Present")</f>
        <v>Present</v>
      </c>
    </row>
    <row r="6159" spans="1:5" x14ac:dyDescent="0.25">
      <c r="A6159" s="2" t="s">
        <v>4943</v>
      </c>
      <c r="B6159" s="2" t="s">
        <v>1682</v>
      </c>
      <c r="C6159" s="2">
        <v>2</v>
      </c>
      <c r="D6159" t="str">
        <f t="shared" si="96"/>
        <v>CA-2017-122539_FUR-CH-10003379</v>
      </c>
      <c r="E6159" t="str">
        <f>IF(COUNTIF(data2!$D:$D,D6159)=0,"Missing in Data2","Present")</f>
        <v>Present</v>
      </c>
    </row>
    <row r="6160" spans="1:5" x14ac:dyDescent="0.25">
      <c r="A6160" s="2" t="s">
        <v>4943</v>
      </c>
      <c r="B6160" s="2" t="s">
        <v>1795</v>
      </c>
      <c r="C6160" s="2">
        <v>7</v>
      </c>
      <c r="D6160" t="str">
        <f t="shared" si="96"/>
        <v>CA-2017-122539_OFF-BI-10001759</v>
      </c>
      <c r="E6160" t="str">
        <f>IF(COUNTIF(data2!$D:$D,D6160)=0,"Missing in Data2","Present")</f>
        <v>Present</v>
      </c>
    </row>
    <row r="6161" spans="1:5" x14ac:dyDescent="0.25">
      <c r="A6161" s="2" t="s">
        <v>4943</v>
      </c>
      <c r="B6161" s="2" t="s">
        <v>1803</v>
      </c>
      <c r="C6161" s="2">
        <v>4</v>
      </c>
      <c r="D6161" t="str">
        <f t="shared" si="96"/>
        <v>CA-2017-122539_OFF-LA-10004853</v>
      </c>
      <c r="E6161" t="str">
        <f>IF(COUNTIF(data2!$D:$D,D6161)=0,"Missing in Data2","Present")</f>
        <v>Present</v>
      </c>
    </row>
    <row r="6162" spans="1:5" x14ac:dyDescent="0.25">
      <c r="A6162" s="2" t="s">
        <v>4944</v>
      </c>
      <c r="B6162" s="2" t="s">
        <v>2472</v>
      </c>
      <c r="C6162" s="2">
        <v>1</v>
      </c>
      <c r="D6162" t="str">
        <f t="shared" si="96"/>
        <v>CA-2017-122595_FUR-FU-10002963</v>
      </c>
      <c r="E6162" t="str">
        <f>IF(COUNTIF(data2!$D:$D,D6162)=0,"Missing in Data2","Present")</f>
        <v>Present</v>
      </c>
    </row>
    <row r="6163" spans="1:5" x14ac:dyDescent="0.25">
      <c r="A6163" s="2" t="s">
        <v>4944</v>
      </c>
      <c r="B6163" s="2" t="s">
        <v>19</v>
      </c>
      <c r="C6163" s="2">
        <v>3</v>
      </c>
      <c r="D6163" t="str">
        <f t="shared" si="96"/>
        <v>CA-2017-122595_TEC-AC-10000474</v>
      </c>
      <c r="E6163" t="str">
        <f>IF(COUNTIF(data2!$D:$D,D6163)=0,"Missing in Data2","Present")</f>
        <v>Present</v>
      </c>
    </row>
    <row r="6164" spans="1:5" x14ac:dyDescent="0.25">
      <c r="A6164" s="2" t="s">
        <v>4944</v>
      </c>
      <c r="B6164" s="2" t="s">
        <v>934</v>
      </c>
      <c r="C6164" s="2">
        <v>3</v>
      </c>
      <c r="D6164" t="str">
        <f t="shared" si="96"/>
        <v>CA-2017-122595_TEC-PH-10003095</v>
      </c>
      <c r="E6164" t="str">
        <f>IF(COUNTIF(data2!$D:$D,D6164)=0,"Missing in Data2","Present")</f>
        <v>Present</v>
      </c>
    </row>
    <row r="6165" spans="1:5" x14ac:dyDescent="0.25">
      <c r="A6165" s="2" t="s">
        <v>4945</v>
      </c>
      <c r="B6165" s="2" t="s">
        <v>4498</v>
      </c>
      <c r="C6165" s="2">
        <v>2</v>
      </c>
      <c r="D6165" t="str">
        <f t="shared" si="96"/>
        <v>CA-2017-122644_OFF-PA-10003673</v>
      </c>
      <c r="E6165" t="str">
        <f>IF(COUNTIF(data2!$D:$D,D6165)=0,"Missing in Data2","Present")</f>
        <v>Missing in Data2</v>
      </c>
    </row>
    <row r="6166" spans="1:5" x14ac:dyDescent="0.25">
      <c r="A6166" s="2" t="s">
        <v>4945</v>
      </c>
      <c r="B6166" s="2" t="s">
        <v>1571</v>
      </c>
      <c r="C6166" s="2">
        <v>2</v>
      </c>
      <c r="D6166" t="str">
        <f t="shared" si="96"/>
        <v>CA-2017-122644_TEC-AC-10003614</v>
      </c>
      <c r="E6166" t="str">
        <f>IF(COUNTIF(data2!$D:$D,D6166)=0,"Missing in Data2","Present")</f>
        <v>Missing in Data2</v>
      </c>
    </row>
    <row r="6167" spans="1:5" x14ac:dyDescent="0.25">
      <c r="A6167" s="2" t="s">
        <v>4946</v>
      </c>
      <c r="B6167" s="2" t="s">
        <v>1189</v>
      </c>
      <c r="C6167" s="2">
        <v>7</v>
      </c>
      <c r="D6167" t="str">
        <f t="shared" si="96"/>
        <v>CA-2017-122693_OFF-AP-10002518</v>
      </c>
      <c r="E6167" t="str">
        <f>IF(COUNTIF(data2!$D:$D,D6167)=0,"Missing in Data2","Present")</f>
        <v>Present</v>
      </c>
    </row>
    <row r="6168" spans="1:5" x14ac:dyDescent="0.25">
      <c r="A6168" s="2" t="s">
        <v>4947</v>
      </c>
      <c r="B6168" s="2" t="s">
        <v>4072</v>
      </c>
      <c r="C6168" s="2">
        <v>8</v>
      </c>
      <c r="D6168" t="str">
        <f t="shared" si="96"/>
        <v>CA-2017-122700_TEC-PH-10003092</v>
      </c>
      <c r="E6168" t="str">
        <f>IF(COUNTIF(data2!$D:$D,D6168)=0,"Missing in Data2","Present")</f>
        <v>Present</v>
      </c>
    </row>
    <row r="6169" spans="1:5" x14ac:dyDescent="0.25">
      <c r="A6169" s="2" t="s">
        <v>4948</v>
      </c>
      <c r="B6169" s="2" t="s">
        <v>695</v>
      </c>
      <c r="C6169" s="2">
        <v>4</v>
      </c>
      <c r="D6169" t="str">
        <f t="shared" si="96"/>
        <v>CA-2017-122707_OFF-SU-10000157</v>
      </c>
      <c r="E6169" t="str">
        <f>IF(COUNTIF(data2!$D:$D,D6169)=0,"Missing in Data2","Present")</f>
        <v>Present</v>
      </c>
    </row>
    <row r="6170" spans="1:5" x14ac:dyDescent="0.25">
      <c r="A6170" s="2" t="s">
        <v>4948</v>
      </c>
      <c r="B6170" s="2" t="s">
        <v>963</v>
      </c>
      <c r="C6170" s="2">
        <v>2</v>
      </c>
      <c r="D6170" t="str">
        <f t="shared" si="96"/>
        <v>CA-2017-122707_TEC-AC-10004227</v>
      </c>
      <c r="E6170" t="str">
        <f>IF(COUNTIF(data2!$D:$D,D6170)=0,"Missing in Data2","Present")</f>
        <v>Present</v>
      </c>
    </row>
    <row r="6171" spans="1:5" x14ac:dyDescent="0.25">
      <c r="A6171" s="2" t="s">
        <v>4949</v>
      </c>
      <c r="B6171" s="2" t="s">
        <v>432</v>
      </c>
      <c r="C6171" s="2">
        <v>5</v>
      </c>
      <c r="D6171" t="str">
        <f t="shared" si="96"/>
        <v>CA-2017-122735_OFF-BI-10004364</v>
      </c>
      <c r="E6171" t="str">
        <f>IF(COUNTIF(data2!$D:$D,D6171)=0,"Missing in Data2","Present")</f>
        <v>Present</v>
      </c>
    </row>
    <row r="6172" spans="1:5" x14ac:dyDescent="0.25">
      <c r="A6172" s="2" t="s">
        <v>4949</v>
      </c>
      <c r="B6172" s="2" t="s">
        <v>138</v>
      </c>
      <c r="C6172" s="2">
        <v>4</v>
      </c>
      <c r="D6172" t="str">
        <f t="shared" si="96"/>
        <v>CA-2017-122735_OFF-PA-10001712</v>
      </c>
      <c r="E6172" t="str">
        <f>IF(COUNTIF(data2!$D:$D,D6172)=0,"Missing in Data2","Present")</f>
        <v>Present</v>
      </c>
    </row>
    <row r="6173" spans="1:5" x14ac:dyDescent="0.25">
      <c r="A6173" s="2" t="s">
        <v>4950</v>
      </c>
      <c r="B6173" s="2" t="s">
        <v>433</v>
      </c>
      <c r="C6173" s="2">
        <v>2</v>
      </c>
      <c r="D6173" t="str">
        <f t="shared" si="96"/>
        <v>CA-2017-122763_OFF-PA-10000474</v>
      </c>
      <c r="E6173" t="str">
        <f>IF(COUNTIF(data2!$D:$D,D6173)=0,"Missing in Data2","Present")</f>
        <v>Present</v>
      </c>
    </row>
    <row r="6174" spans="1:5" x14ac:dyDescent="0.25">
      <c r="A6174" s="2" t="s">
        <v>4950</v>
      </c>
      <c r="B6174" s="2" t="s">
        <v>592</v>
      </c>
      <c r="C6174" s="2">
        <v>7</v>
      </c>
      <c r="D6174" t="str">
        <f t="shared" si="96"/>
        <v>CA-2017-122763_OFF-PA-10002377</v>
      </c>
      <c r="E6174" t="str">
        <f>IF(COUNTIF(data2!$D:$D,D6174)=0,"Missing in Data2","Present")</f>
        <v>Present</v>
      </c>
    </row>
    <row r="6175" spans="1:5" x14ac:dyDescent="0.25">
      <c r="A6175" s="2" t="s">
        <v>4951</v>
      </c>
      <c r="B6175" s="2" t="s">
        <v>1529</v>
      </c>
      <c r="C6175" s="2">
        <v>8</v>
      </c>
      <c r="D6175" t="str">
        <f t="shared" si="96"/>
        <v>CA-2017-122770_FUR-FU-10001473</v>
      </c>
      <c r="E6175" t="str">
        <f>IF(COUNTIF(data2!$D:$D,D6175)=0,"Missing in Data2","Present")</f>
        <v>Present</v>
      </c>
    </row>
    <row r="6176" spans="1:5" x14ac:dyDescent="0.25">
      <c r="A6176" s="2" t="s">
        <v>4951</v>
      </c>
      <c r="B6176" s="2" t="s">
        <v>486</v>
      </c>
      <c r="C6176" s="2">
        <v>3</v>
      </c>
      <c r="D6176" t="str">
        <f t="shared" si="96"/>
        <v>CA-2017-122770_OFF-LA-10004559</v>
      </c>
      <c r="E6176" t="str">
        <f>IF(COUNTIF(data2!$D:$D,D6176)=0,"Missing in Data2","Present")</f>
        <v>Present</v>
      </c>
    </row>
    <row r="6177" spans="1:5" x14ac:dyDescent="0.25">
      <c r="A6177" s="2" t="s">
        <v>4951</v>
      </c>
      <c r="B6177" s="2" t="s">
        <v>3461</v>
      </c>
      <c r="C6177" s="2">
        <v>2</v>
      </c>
      <c r="D6177" t="str">
        <f t="shared" si="96"/>
        <v>CA-2017-122770_OFF-PA-10000232</v>
      </c>
      <c r="E6177" t="str">
        <f>IF(COUNTIF(data2!$D:$D,D6177)=0,"Missing in Data2","Present")</f>
        <v>Missing in Data2</v>
      </c>
    </row>
    <row r="6178" spans="1:5" x14ac:dyDescent="0.25">
      <c r="A6178" s="2" t="s">
        <v>4951</v>
      </c>
      <c r="B6178" s="2" t="s">
        <v>1909</v>
      </c>
      <c r="C6178" s="2">
        <v>6</v>
      </c>
      <c r="D6178" t="str">
        <f t="shared" si="96"/>
        <v>CA-2017-122770_OFF-PA-10003172</v>
      </c>
      <c r="E6178" t="str">
        <f>IF(COUNTIF(data2!$D:$D,D6178)=0,"Missing in Data2","Present")</f>
        <v>Present</v>
      </c>
    </row>
    <row r="6179" spans="1:5" x14ac:dyDescent="0.25">
      <c r="A6179" s="2" t="s">
        <v>4952</v>
      </c>
      <c r="B6179" s="2" t="s">
        <v>3014</v>
      </c>
      <c r="C6179" s="2">
        <v>1</v>
      </c>
      <c r="D6179" t="str">
        <f t="shared" si="96"/>
        <v>CA-2017-122798_OFF-PA-10004239</v>
      </c>
      <c r="E6179" t="str">
        <f>IF(COUNTIF(data2!$D:$D,D6179)=0,"Missing in Data2","Present")</f>
        <v>Present</v>
      </c>
    </row>
    <row r="6180" spans="1:5" x14ac:dyDescent="0.25">
      <c r="A6180" s="2" t="s">
        <v>4952</v>
      </c>
      <c r="B6180" s="2" t="s">
        <v>599</v>
      </c>
      <c r="C6180" s="2">
        <v>5</v>
      </c>
      <c r="D6180" t="str">
        <f t="shared" si="96"/>
        <v>CA-2017-122798_OFF-ST-10003058</v>
      </c>
      <c r="E6180" t="str">
        <f>IF(COUNTIF(data2!$D:$D,D6180)=0,"Missing in Data2","Present")</f>
        <v>Present</v>
      </c>
    </row>
    <row r="6181" spans="1:5" x14ac:dyDescent="0.25">
      <c r="A6181" s="2" t="s">
        <v>4953</v>
      </c>
      <c r="B6181" s="2" t="s">
        <v>577</v>
      </c>
      <c r="C6181" s="2">
        <v>3</v>
      </c>
      <c r="D6181" t="str">
        <f t="shared" si="96"/>
        <v>CA-2017-122945_FUR-FU-10001196</v>
      </c>
      <c r="E6181" t="str">
        <f>IF(COUNTIF(data2!$D:$D,D6181)=0,"Missing in Data2","Present")</f>
        <v>Present</v>
      </c>
    </row>
    <row r="6182" spans="1:5" x14ac:dyDescent="0.25">
      <c r="A6182" s="2" t="s">
        <v>4954</v>
      </c>
      <c r="B6182" s="2" t="s">
        <v>1255</v>
      </c>
      <c r="C6182" s="2">
        <v>3</v>
      </c>
      <c r="D6182" t="str">
        <f t="shared" si="96"/>
        <v>CA-2017-122987_OFF-BI-10002824</v>
      </c>
      <c r="E6182" t="str">
        <f>IF(COUNTIF(data2!$D:$D,D6182)=0,"Missing in Data2","Present")</f>
        <v>Present</v>
      </c>
    </row>
    <row r="6183" spans="1:5" x14ac:dyDescent="0.25">
      <c r="A6183" s="2" t="s">
        <v>4954</v>
      </c>
      <c r="B6183" s="2" t="s">
        <v>45</v>
      </c>
      <c r="C6183" s="2">
        <v>4</v>
      </c>
      <c r="D6183" t="str">
        <f t="shared" si="96"/>
        <v>CA-2017-122987_OFF-ST-10004950</v>
      </c>
      <c r="E6183" t="str">
        <f>IF(COUNTIF(data2!$D:$D,D6183)=0,"Missing in Data2","Present")</f>
        <v>Present</v>
      </c>
    </row>
    <row r="6184" spans="1:5" x14ac:dyDescent="0.25">
      <c r="A6184" s="2" t="s">
        <v>4955</v>
      </c>
      <c r="B6184" s="2" t="s">
        <v>631</v>
      </c>
      <c r="C6184" s="2">
        <v>3</v>
      </c>
      <c r="D6184" t="str">
        <f t="shared" si="96"/>
        <v>CA-2017-122994_FUR-BO-10004015</v>
      </c>
      <c r="E6184" t="str">
        <f>IF(COUNTIF(data2!$D:$D,D6184)=0,"Missing in Data2","Present")</f>
        <v>Present</v>
      </c>
    </row>
    <row r="6185" spans="1:5" x14ac:dyDescent="0.25">
      <c r="A6185" s="2" t="s">
        <v>4956</v>
      </c>
      <c r="B6185" s="2" t="s">
        <v>899</v>
      </c>
      <c r="C6185" s="2">
        <v>5</v>
      </c>
      <c r="D6185" t="str">
        <f t="shared" si="96"/>
        <v>CA-2017-123001_OFF-AR-10001919</v>
      </c>
      <c r="E6185" t="str">
        <f>IF(COUNTIF(data2!$D:$D,D6185)=0,"Missing in Data2","Present")</f>
        <v>Present</v>
      </c>
    </row>
    <row r="6186" spans="1:5" x14ac:dyDescent="0.25">
      <c r="A6186" s="2" t="s">
        <v>4956</v>
      </c>
      <c r="B6186" s="2" t="s">
        <v>2582</v>
      </c>
      <c r="C6186" s="2">
        <v>5</v>
      </c>
      <c r="D6186" t="str">
        <f t="shared" si="96"/>
        <v>CA-2017-123001_OFF-LA-10004544</v>
      </c>
      <c r="E6186" t="str">
        <f>IF(COUNTIF(data2!$D:$D,D6186)=0,"Missing in Data2","Present")</f>
        <v>Present</v>
      </c>
    </row>
    <row r="6187" spans="1:5" x14ac:dyDescent="0.25">
      <c r="A6187" s="2" t="s">
        <v>4956</v>
      </c>
      <c r="B6187" s="2" t="s">
        <v>673</v>
      </c>
      <c r="C6187" s="2">
        <v>2</v>
      </c>
      <c r="D6187" t="str">
        <f t="shared" si="96"/>
        <v>CA-2017-123001_TEC-PH-10003484</v>
      </c>
      <c r="E6187" t="str">
        <f>IF(COUNTIF(data2!$D:$D,D6187)=0,"Missing in Data2","Present")</f>
        <v>Present</v>
      </c>
    </row>
    <row r="6188" spans="1:5" x14ac:dyDescent="0.25">
      <c r="A6188" s="2" t="s">
        <v>4957</v>
      </c>
      <c r="B6188" s="2" t="s">
        <v>824</v>
      </c>
      <c r="C6188" s="2">
        <v>5</v>
      </c>
      <c r="D6188" t="str">
        <f t="shared" si="96"/>
        <v>CA-2017-123022_OFF-BI-10002225</v>
      </c>
      <c r="E6188" t="str">
        <f>IF(COUNTIF(data2!$D:$D,D6188)=0,"Missing in Data2","Present")</f>
        <v>Present</v>
      </c>
    </row>
    <row r="6189" spans="1:5" x14ac:dyDescent="0.25">
      <c r="A6189" s="2" t="s">
        <v>4957</v>
      </c>
      <c r="B6189" s="2" t="s">
        <v>19</v>
      </c>
      <c r="C6189" s="2">
        <v>3</v>
      </c>
      <c r="D6189" t="str">
        <f t="shared" si="96"/>
        <v>CA-2017-123022_TEC-AC-10000474</v>
      </c>
      <c r="E6189" t="str">
        <f>IF(COUNTIF(data2!$D:$D,D6189)=0,"Missing in Data2","Present")</f>
        <v>Present</v>
      </c>
    </row>
    <row r="6190" spans="1:5" x14ac:dyDescent="0.25">
      <c r="A6190" s="2" t="s">
        <v>4958</v>
      </c>
      <c r="B6190" s="2" t="s">
        <v>1862</v>
      </c>
      <c r="C6190" s="2">
        <v>2</v>
      </c>
      <c r="D6190" t="str">
        <f t="shared" si="96"/>
        <v>CA-2017-123029_TEC-AC-10002402</v>
      </c>
      <c r="E6190" t="str">
        <f>IF(COUNTIF(data2!$D:$D,D6190)=0,"Missing in Data2","Present")</f>
        <v>Present</v>
      </c>
    </row>
    <row r="6191" spans="1:5" x14ac:dyDescent="0.25">
      <c r="A6191" s="2" t="s">
        <v>4959</v>
      </c>
      <c r="B6191" s="2" t="s">
        <v>4861</v>
      </c>
      <c r="C6191" s="2">
        <v>4</v>
      </c>
      <c r="D6191" t="str">
        <f t="shared" si="96"/>
        <v>CA-2017-123036_TEC-AC-10003499</v>
      </c>
      <c r="E6191" t="str">
        <f>IF(COUNTIF(data2!$D:$D,D6191)=0,"Missing in Data2","Present")</f>
        <v>Present</v>
      </c>
    </row>
    <row r="6192" spans="1:5" x14ac:dyDescent="0.25">
      <c r="A6192" s="2" t="s">
        <v>4959</v>
      </c>
      <c r="B6192" s="2" t="s">
        <v>2691</v>
      </c>
      <c r="C6192" s="2">
        <v>2</v>
      </c>
      <c r="D6192" t="str">
        <f t="shared" si="96"/>
        <v>CA-2017-123036_TEC-PH-10003580</v>
      </c>
      <c r="E6192" t="str">
        <f>IF(COUNTIF(data2!$D:$D,D6192)=0,"Missing in Data2","Present")</f>
        <v>Present</v>
      </c>
    </row>
    <row r="6193" spans="1:5" x14ac:dyDescent="0.25">
      <c r="A6193" s="2" t="s">
        <v>4960</v>
      </c>
      <c r="B6193" s="2" t="s">
        <v>1490</v>
      </c>
      <c r="C6193" s="2">
        <v>1</v>
      </c>
      <c r="D6193" t="str">
        <f t="shared" si="96"/>
        <v>CA-2017-123043_OFF-BI-10000138</v>
      </c>
      <c r="E6193" t="str">
        <f>IF(COUNTIF(data2!$D:$D,D6193)=0,"Missing in Data2","Present")</f>
        <v>Present</v>
      </c>
    </row>
    <row r="6194" spans="1:5" x14ac:dyDescent="0.25">
      <c r="A6194" s="2" t="s">
        <v>4960</v>
      </c>
      <c r="B6194" s="2" t="s">
        <v>546</v>
      </c>
      <c r="C6194" s="2">
        <v>4</v>
      </c>
      <c r="D6194" t="str">
        <f t="shared" si="96"/>
        <v>CA-2017-123043_OFF-BI-10003910</v>
      </c>
      <c r="E6194" t="str">
        <f>IF(COUNTIF(data2!$D:$D,D6194)=0,"Missing in Data2","Present")</f>
        <v>Present</v>
      </c>
    </row>
    <row r="6195" spans="1:5" x14ac:dyDescent="0.25">
      <c r="A6195" s="2" t="s">
        <v>4961</v>
      </c>
      <c r="B6195" s="2" t="s">
        <v>4962</v>
      </c>
      <c r="C6195" s="2">
        <v>2</v>
      </c>
      <c r="D6195" t="str">
        <f t="shared" si="96"/>
        <v>CA-2017-123071_OFF-PA-10003729</v>
      </c>
      <c r="E6195" t="str">
        <f>IF(COUNTIF(data2!$D:$D,D6195)=0,"Missing in Data2","Present")</f>
        <v>Present</v>
      </c>
    </row>
    <row r="6196" spans="1:5" x14ac:dyDescent="0.25">
      <c r="A6196" s="2" t="s">
        <v>4963</v>
      </c>
      <c r="B6196" s="2" t="s">
        <v>2738</v>
      </c>
      <c r="C6196" s="2">
        <v>3</v>
      </c>
      <c r="D6196" t="str">
        <f t="shared" si="96"/>
        <v>CA-2017-123085_FUR-CH-10003968</v>
      </c>
      <c r="E6196" t="str">
        <f>IF(COUNTIF(data2!$D:$D,D6196)=0,"Missing in Data2","Present")</f>
        <v>Present</v>
      </c>
    </row>
    <row r="6197" spans="1:5" x14ac:dyDescent="0.25">
      <c r="A6197" s="2" t="s">
        <v>4963</v>
      </c>
      <c r="B6197" s="2" t="s">
        <v>2035</v>
      </c>
      <c r="C6197" s="2">
        <v>8</v>
      </c>
      <c r="D6197" t="str">
        <f t="shared" si="96"/>
        <v>CA-2017-123085_TEC-AC-10000990</v>
      </c>
      <c r="E6197" t="str">
        <f>IF(COUNTIF(data2!$D:$D,D6197)=0,"Missing in Data2","Present")</f>
        <v>Present</v>
      </c>
    </row>
    <row r="6198" spans="1:5" x14ac:dyDescent="0.25">
      <c r="A6198" s="2" t="s">
        <v>4964</v>
      </c>
      <c r="B6198" s="2" t="s">
        <v>1238</v>
      </c>
      <c r="C6198" s="2">
        <v>3</v>
      </c>
      <c r="D6198" t="str">
        <f t="shared" si="96"/>
        <v>CA-2017-123134_FUR-FU-10003975</v>
      </c>
      <c r="E6198" t="str">
        <f>IF(COUNTIF(data2!$D:$D,D6198)=0,"Missing in Data2","Present")</f>
        <v>Present</v>
      </c>
    </row>
    <row r="6199" spans="1:5" x14ac:dyDescent="0.25">
      <c r="A6199" s="2" t="s">
        <v>4965</v>
      </c>
      <c r="B6199" s="2" t="s">
        <v>1448</v>
      </c>
      <c r="C6199" s="2">
        <v>3</v>
      </c>
      <c r="D6199" t="str">
        <f t="shared" si="96"/>
        <v>CA-2017-123239_FUR-FU-10001602</v>
      </c>
      <c r="E6199" t="str">
        <f>IF(COUNTIF(data2!$D:$D,D6199)=0,"Missing in Data2","Present")</f>
        <v>Present</v>
      </c>
    </row>
    <row r="6200" spans="1:5" x14ac:dyDescent="0.25">
      <c r="A6200" s="2" t="s">
        <v>4966</v>
      </c>
      <c r="B6200" s="2" t="s">
        <v>3813</v>
      </c>
      <c r="C6200" s="2">
        <v>4</v>
      </c>
      <c r="D6200" t="str">
        <f t="shared" si="96"/>
        <v>CA-2017-123246_OFF-AR-10001770</v>
      </c>
      <c r="E6200" t="str">
        <f>IF(COUNTIF(data2!$D:$D,D6200)=0,"Missing in Data2","Present")</f>
        <v>Present</v>
      </c>
    </row>
    <row r="6201" spans="1:5" x14ac:dyDescent="0.25">
      <c r="A6201" s="2" t="s">
        <v>4967</v>
      </c>
      <c r="B6201" s="2" t="s">
        <v>3173</v>
      </c>
      <c r="C6201" s="2">
        <v>1</v>
      </c>
      <c r="D6201" t="str">
        <f t="shared" si="96"/>
        <v>CA-2017-123351_OFF-AP-10001242</v>
      </c>
      <c r="E6201" t="str">
        <f>IF(COUNTIF(data2!$D:$D,D6201)=0,"Missing in Data2","Present")</f>
        <v>Present</v>
      </c>
    </row>
    <row r="6202" spans="1:5" x14ac:dyDescent="0.25">
      <c r="A6202" s="2" t="s">
        <v>4968</v>
      </c>
      <c r="B6202" s="2" t="s">
        <v>1970</v>
      </c>
      <c r="C6202" s="2">
        <v>2</v>
      </c>
      <c r="D6202" t="str">
        <f t="shared" si="96"/>
        <v>CA-2017-123372_OFF-EN-10003055</v>
      </c>
      <c r="E6202" t="str">
        <f>IF(COUNTIF(data2!$D:$D,D6202)=0,"Missing in Data2","Present")</f>
        <v>Present</v>
      </c>
    </row>
    <row r="6203" spans="1:5" x14ac:dyDescent="0.25">
      <c r="A6203" s="2" t="s">
        <v>4968</v>
      </c>
      <c r="B6203" s="2" t="s">
        <v>4776</v>
      </c>
      <c r="C6203" s="2">
        <v>11</v>
      </c>
      <c r="D6203" t="str">
        <f t="shared" si="96"/>
        <v>CA-2017-123372_TEC-PH-10002834</v>
      </c>
      <c r="E6203" t="str">
        <f>IF(COUNTIF(data2!$D:$D,D6203)=0,"Missing in Data2","Present")</f>
        <v>Present</v>
      </c>
    </row>
    <row r="6204" spans="1:5" x14ac:dyDescent="0.25">
      <c r="A6204" s="2" t="s">
        <v>4969</v>
      </c>
      <c r="B6204" s="2" t="s">
        <v>2185</v>
      </c>
      <c r="C6204" s="2">
        <v>1</v>
      </c>
      <c r="D6204" t="str">
        <f t="shared" si="96"/>
        <v>CA-2017-123491_FUR-CH-10003061</v>
      </c>
      <c r="E6204" t="str">
        <f>IF(COUNTIF(data2!$D:$D,D6204)=0,"Missing in Data2","Present")</f>
        <v>Missing in Data2</v>
      </c>
    </row>
    <row r="6205" spans="1:5" x14ac:dyDescent="0.25">
      <c r="A6205" s="2" t="s">
        <v>4969</v>
      </c>
      <c r="B6205" s="2" t="s">
        <v>2333</v>
      </c>
      <c r="C6205" s="2">
        <v>14</v>
      </c>
      <c r="D6205" t="str">
        <f t="shared" si="96"/>
        <v>CA-2017-123491_OFF-AP-10002684</v>
      </c>
      <c r="E6205" t="str">
        <f>IF(COUNTIF(data2!$D:$D,D6205)=0,"Missing in Data2","Present")</f>
        <v>Present</v>
      </c>
    </row>
    <row r="6206" spans="1:5" x14ac:dyDescent="0.25">
      <c r="A6206" s="2" t="s">
        <v>4969</v>
      </c>
      <c r="B6206" s="2" t="s">
        <v>204</v>
      </c>
      <c r="C6206" s="2">
        <v>5</v>
      </c>
      <c r="D6206" t="str">
        <f t="shared" si="96"/>
        <v>CA-2017-123491_OFF-AR-10003514</v>
      </c>
      <c r="E6206" t="str">
        <f>IF(COUNTIF(data2!$D:$D,D6206)=0,"Missing in Data2","Present")</f>
        <v>Present</v>
      </c>
    </row>
    <row r="6207" spans="1:5" x14ac:dyDescent="0.25">
      <c r="A6207" s="2" t="s">
        <v>4969</v>
      </c>
      <c r="B6207" s="2" t="s">
        <v>2233</v>
      </c>
      <c r="C6207" s="2">
        <v>6</v>
      </c>
      <c r="D6207" t="str">
        <f t="shared" si="96"/>
        <v>CA-2017-123491_OFF-LA-10003077</v>
      </c>
      <c r="E6207" t="str">
        <f>IF(COUNTIF(data2!$D:$D,D6207)=0,"Missing in Data2","Present")</f>
        <v>Present</v>
      </c>
    </row>
    <row r="6208" spans="1:5" x14ac:dyDescent="0.25">
      <c r="A6208" s="2" t="s">
        <v>4969</v>
      </c>
      <c r="B6208" s="2" t="s">
        <v>4970</v>
      </c>
      <c r="C6208" s="2">
        <v>2</v>
      </c>
      <c r="D6208" t="str">
        <f t="shared" si="96"/>
        <v>CA-2017-123491_OFF-PA-10003424</v>
      </c>
      <c r="E6208" t="str">
        <f>IF(COUNTIF(data2!$D:$D,D6208)=0,"Missing in Data2","Present")</f>
        <v>Present</v>
      </c>
    </row>
    <row r="6209" spans="1:5" x14ac:dyDescent="0.25">
      <c r="A6209" s="2" t="s">
        <v>4971</v>
      </c>
      <c r="B6209" s="2" t="s">
        <v>2817</v>
      </c>
      <c r="C6209" s="2">
        <v>5</v>
      </c>
      <c r="D6209" t="str">
        <f t="shared" si="96"/>
        <v>CA-2017-123624_TEC-AC-10000682</v>
      </c>
      <c r="E6209" t="str">
        <f>IF(COUNTIF(data2!$D:$D,D6209)=0,"Missing in Data2","Present")</f>
        <v>Present</v>
      </c>
    </row>
    <row r="6210" spans="1:5" x14ac:dyDescent="0.25">
      <c r="A6210" s="2" t="s">
        <v>4972</v>
      </c>
      <c r="B6210" s="2" t="s">
        <v>1419</v>
      </c>
      <c r="C6210" s="2">
        <v>3</v>
      </c>
      <c r="D6210" t="str">
        <f t="shared" si="96"/>
        <v>CA-2017-123638_FUR-CH-10002647</v>
      </c>
      <c r="E6210" t="str">
        <f>IF(COUNTIF(data2!$D:$D,D6210)=0,"Missing in Data2","Present")</f>
        <v>Present</v>
      </c>
    </row>
    <row r="6211" spans="1:5" x14ac:dyDescent="0.25">
      <c r="A6211" s="2" t="s">
        <v>4973</v>
      </c>
      <c r="B6211" s="2" t="s">
        <v>1883</v>
      </c>
      <c r="C6211" s="2">
        <v>4</v>
      </c>
      <c r="D6211" t="str">
        <f t="shared" ref="D6211:D6274" si="97">A6211&amp;"_"&amp;B6211</f>
        <v>CA-2017-123659_OFF-PA-10002464</v>
      </c>
      <c r="E6211" t="str">
        <f>IF(COUNTIF(data2!$D:$D,D6211)=0,"Missing in Data2","Present")</f>
        <v>Present</v>
      </c>
    </row>
    <row r="6212" spans="1:5" x14ac:dyDescent="0.25">
      <c r="A6212" s="2" t="s">
        <v>4974</v>
      </c>
      <c r="B6212" s="2" t="s">
        <v>4834</v>
      </c>
      <c r="C6212" s="2">
        <v>3</v>
      </c>
      <c r="D6212" t="str">
        <f t="shared" si="97"/>
        <v>CA-2017-123687_OFF-AP-10002670</v>
      </c>
      <c r="E6212" t="str">
        <f>IF(COUNTIF(data2!$D:$D,D6212)=0,"Missing in Data2","Present")</f>
        <v>Present</v>
      </c>
    </row>
    <row r="6213" spans="1:5" x14ac:dyDescent="0.25">
      <c r="A6213" s="2" t="s">
        <v>4974</v>
      </c>
      <c r="B6213" s="2" t="s">
        <v>2537</v>
      </c>
      <c r="C6213" s="2">
        <v>2</v>
      </c>
      <c r="D6213" t="str">
        <f t="shared" si="97"/>
        <v>CA-2017-123687_OFF-SU-10004498</v>
      </c>
      <c r="E6213" t="str">
        <f>IF(COUNTIF(data2!$D:$D,D6213)=0,"Missing in Data2","Present")</f>
        <v>Present</v>
      </c>
    </row>
    <row r="6214" spans="1:5" x14ac:dyDescent="0.25">
      <c r="A6214" s="2" t="s">
        <v>4975</v>
      </c>
      <c r="B6214" s="2" t="s">
        <v>3188</v>
      </c>
      <c r="C6214" s="2">
        <v>4</v>
      </c>
      <c r="D6214" t="str">
        <f t="shared" si="97"/>
        <v>CA-2017-123701_OFF-AR-10001860</v>
      </c>
      <c r="E6214" t="str">
        <f>IF(COUNTIF(data2!$D:$D,D6214)=0,"Missing in Data2","Present")</f>
        <v>Present</v>
      </c>
    </row>
    <row r="6215" spans="1:5" x14ac:dyDescent="0.25">
      <c r="A6215" s="2" t="s">
        <v>4976</v>
      </c>
      <c r="B6215" s="2" t="s">
        <v>3173</v>
      </c>
      <c r="C6215" s="2">
        <v>2</v>
      </c>
      <c r="D6215" t="str">
        <f t="shared" si="97"/>
        <v>CA-2017-123778_OFF-AP-10001242</v>
      </c>
      <c r="E6215" t="str">
        <f>IF(COUNTIF(data2!$D:$D,D6215)=0,"Missing in Data2","Present")</f>
        <v>Present</v>
      </c>
    </row>
    <row r="6216" spans="1:5" x14ac:dyDescent="0.25">
      <c r="A6216" s="2" t="s">
        <v>4976</v>
      </c>
      <c r="B6216" s="2" t="s">
        <v>1196</v>
      </c>
      <c r="C6216" s="2">
        <v>6</v>
      </c>
      <c r="D6216" t="str">
        <f t="shared" si="97"/>
        <v>CA-2017-123778_OFF-BI-10000822</v>
      </c>
      <c r="E6216" t="str">
        <f>IF(COUNTIF(data2!$D:$D,D6216)=0,"Missing in Data2","Present")</f>
        <v>Present</v>
      </c>
    </row>
    <row r="6217" spans="1:5" x14ac:dyDescent="0.25">
      <c r="A6217" s="2" t="s">
        <v>4977</v>
      </c>
      <c r="B6217" s="2" t="s">
        <v>318</v>
      </c>
      <c r="C6217" s="2">
        <v>9</v>
      </c>
      <c r="D6217" t="str">
        <f t="shared" si="97"/>
        <v>CA-2017-123967_FUR-TA-10003954</v>
      </c>
      <c r="E6217" t="str">
        <f>IF(COUNTIF(data2!$D:$D,D6217)=0,"Missing in Data2","Present")</f>
        <v>Present</v>
      </c>
    </row>
    <row r="6218" spans="1:5" x14ac:dyDescent="0.25">
      <c r="A6218" s="2" t="s">
        <v>4977</v>
      </c>
      <c r="B6218" s="2" t="s">
        <v>2292</v>
      </c>
      <c r="C6218" s="2">
        <v>5</v>
      </c>
      <c r="D6218" t="str">
        <f t="shared" si="97"/>
        <v>CA-2017-123967_OFF-BI-10001308</v>
      </c>
      <c r="E6218" t="str">
        <f>IF(COUNTIF(data2!$D:$D,D6218)=0,"Missing in Data2","Present")</f>
        <v>Present</v>
      </c>
    </row>
    <row r="6219" spans="1:5" x14ac:dyDescent="0.25">
      <c r="A6219" s="2" t="s">
        <v>4978</v>
      </c>
      <c r="B6219" s="2" t="s">
        <v>3035</v>
      </c>
      <c r="C6219" s="2">
        <v>1</v>
      </c>
      <c r="D6219" t="str">
        <f t="shared" si="97"/>
        <v>CA-2017-123981_TEC-PH-10002115</v>
      </c>
      <c r="E6219" t="str">
        <f>IF(COUNTIF(data2!$D:$D,D6219)=0,"Missing in Data2","Present")</f>
        <v>Present</v>
      </c>
    </row>
    <row r="6220" spans="1:5" x14ac:dyDescent="0.25">
      <c r="A6220" s="2" t="s">
        <v>4979</v>
      </c>
      <c r="B6220" s="2" t="s">
        <v>631</v>
      </c>
      <c r="C6220" s="2">
        <v>2</v>
      </c>
      <c r="D6220" t="str">
        <f t="shared" si="97"/>
        <v>CA-2017-124086_FUR-BO-10004015</v>
      </c>
      <c r="E6220" t="str">
        <f>IF(COUNTIF(data2!$D:$D,D6220)=0,"Missing in Data2","Present")</f>
        <v>Present</v>
      </c>
    </row>
    <row r="6221" spans="1:5" x14ac:dyDescent="0.25">
      <c r="A6221" s="2" t="s">
        <v>4980</v>
      </c>
      <c r="B6221" s="2" t="s">
        <v>2726</v>
      </c>
      <c r="C6221" s="2">
        <v>1</v>
      </c>
      <c r="D6221" t="str">
        <f t="shared" si="97"/>
        <v>CA-2017-124114_OFF-BI-10004022</v>
      </c>
      <c r="E6221" t="str">
        <f>IF(COUNTIF(data2!$D:$D,D6221)=0,"Missing in Data2","Present")</f>
        <v>Present</v>
      </c>
    </row>
    <row r="6222" spans="1:5" x14ac:dyDescent="0.25">
      <c r="A6222" s="2" t="s">
        <v>4981</v>
      </c>
      <c r="B6222" s="2" t="s">
        <v>1325</v>
      </c>
      <c r="C6222" s="2">
        <v>3</v>
      </c>
      <c r="D6222" t="str">
        <f t="shared" si="97"/>
        <v>CA-2017-124191_FUR-FU-10002364</v>
      </c>
      <c r="E6222" t="str">
        <f>IF(COUNTIF(data2!$D:$D,D6222)=0,"Missing in Data2","Present")</f>
        <v>Present</v>
      </c>
    </row>
    <row r="6223" spans="1:5" x14ac:dyDescent="0.25">
      <c r="A6223" s="2" t="s">
        <v>4982</v>
      </c>
      <c r="B6223" s="2" t="s">
        <v>4203</v>
      </c>
      <c r="C6223" s="2">
        <v>4</v>
      </c>
      <c r="D6223" t="str">
        <f t="shared" si="97"/>
        <v>CA-2017-124205_FUR-CH-10003606</v>
      </c>
      <c r="E6223" t="str">
        <f>IF(COUNTIF(data2!$D:$D,D6223)=0,"Missing in Data2","Present")</f>
        <v>Present</v>
      </c>
    </row>
    <row r="6224" spans="1:5" x14ac:dyDescent="0.25">
      <c r="A6224" s="2" t="s">
        <v>4982</v>
      </c>
      <c r="B6224" s="2" t="s">
        <v>3041</v>
      </c>
      <c r="C6224" s="2">
        <v>5</v>
      </c>
      <c r="D6224" t="str">
        <f t="shared" si="97"/>
        <v>CA-2017-124205_FUR-FU-10002445</v>
      </c>
      <c r="E6224" t="str">
        <f>IF(COUNTIF(data2!$D:$D,D6224)=0,"Missing in Data2","Present")</f>
        <v>Present</v>
      </c>
    </row>
    <row r="6225" spans="1:5" x14ac:dyDescent="0.25">
      <c r="A6225" s="2" t="s">
        <v>4982</v>
      </c>
      <c r="B6225" s="2" t="s">
        <v>195</v>
      </c>
      <c r="C6225" s="2">
        <v>2</v>
      </c>
      <c r="D6225" t="str">
        <f t="shared" si="97"/>
        <v>CA-2017-124205_OFF-ST-10000934</v>
      </c>
      <c r="E6225" t="str">
        <f>IF(COUNTIF(data2!$D:$D,D6225)=0,"Missing in Data2","Present")</f>
        <v>Present</v>
      </c>
    </row>
    <row r="6226" spans="1:5" x14ac:dyDescent="0.25">
      <c r="A6226" s="2" t="s">
        <v>4982</v>
      </c>
      <c r="B6226" s="2" t="s">
        <v>3035</v>
      </c>
      <c r="C6226" s="2">
        <v>6</v>
      </c>
      <c r="D6226" t="str">
        <f t="shared" si="97"/>
        <v>CA-2017-124205_TEC-PH-10002115</v>
      </c>
      <c r="E6226" t="str">
        <f>IF(COUNTIF(data2!$D:$D,D6226)=0,"Missing in Data2","Present")</f>
        <v>Present</v>
      </c>
    </row>
    <row r="6227" spans="1:5" x14ac:dyDescent="0.25">
      <c r="A6227" s="2" t="s">
        <v>4983</v>
      </c>
      <c r="B6227" s="2" t="s">
        <v>574</v>
      </c>
      <c r="C6227" s="2">
        <v>8</v>
      </c>
      <c r="D6227" t="str">
        <f t="shared" si="97"/>
        <v>CA-2017-124261_OFF-AR-10003504</v>
      </c>
      <c r="E6227" t="str">
        <f>IF(COUNTIF(data2!$D:$D,D6227)=0,"Missing in Data2","Present")</f>
        <v>Present</v>
      </c>
    </row>
    <row r="6228" spans="1:5" x14ac:dyDescent="0.25">
      <c r="A6228" s="2" t="s">
        <v>4984</v>
      </c>
      <c r="B6228" s="2" t="s">
        <v>393</v>
      </c>
      <c r="C6228" s="2">
        <v>3</v>
      </c>
      <c r="D6228" t="str">
        <f t="shared" si="97"/>
        <v>CA-2017-124296_TEC-MA-10003183</v>
      </c>
      <c r="E6228" t="str">
        <f>IF(COUNTIF(data2!$D:$D,D6228)=0,"Missing in Data2","Present")</f>
        <v>Present</v>
      </c>
    </row>
    <row r="6229" spans="1:5" x14ac:dyDescent="0.25">
      <c r="A6229" s="2" t="s">
        <v>4985</v>
      </c>
      <c r="B6229" s="2" t="s">
        <v>2791</v>
      </c>
      <c r="C6229" s="2">
        <v>3</v>
      </c>
      <c r="D6229" t="str">
        <f t="shared" si="97"/>
        <v>CA-2017-124401_OFF-ST-10000649</v>
      </c>
      <c r="E6229" t="str">
        <f>IF(COUNTIF(data2!$D:$D,D6229)=0,"Missing in Data2","Present")</f>
        <v>Present</v>
      </c>
    </row>
    <row r="6230" spans="1:5" x14ac:dyDescent="0.25">
      <c r="A6230" s="2" t="s">
        <v>4985</v>
      </c>
      <c r="B6230" s="2" t="s">
        <v>1406</v>
      </c>
      <c r="C6230" s="2">
        <v>7</v>
      </c>
      <c r="D6230" t="str">
        <f t="shared" si="97"/>
        <v>CA-2017-124401_TEC-AC-10002926</v>
      </c>
      <c r="E6230" t="str">
        <f>IF(COUNTIF(data2!$D:$D,D6230)=0,"Missing in Data2","Present")</f>
        <v>Present</v>
      </c>
    </row>
    <row r="6231" spans="1:5" x14ac:dyDescent="0.25">
      <c r="A6231" s="2" t="s">
        <v>4986</v>
      </c>
      <c r="B6231" s="2" t="s">
        <v>2600</v>
      </c>
      <c r="C6231" s="2">
        <v>1</v>
      </c>
      <c r="D6231" t="str">
        <f t="shared" si="97"/>
        <v>CA-2017-124436_FUR-FU-10001185</v>
      </c>
      <c r="E6231" t="str">
        <f>IF(COUNTIF(data2!$D:$D,D6231)=0,"Missing in Data2","Present")</f>
        <v>Present</v>
      </c>
    </row>
    <row r="6232" spans="1:5" x14ac:dyDescent="0.25">
      <c r="A6232" s="2" t="s">
        <v>4986</v>
      </c>
      <c r="B6232" s="2" t="s">
        <v>2635</v>
      </c>
      <c r="C6232" s="2">
        <v>5</v>
      </c>
      <c r="D6232" t="str">
        <f t="shared" si="97"/>
        <v>CA-2017-124436_FUR-TA-10001095</v>
      </c>
      <c r="E6232" t="str">
        <f>IF(COUNTIF(data2!$D:$D,D6232)=0,"Missing in Data2","Present")</f>
        <v>Present</v>
      </c>
    </row>
    <row r="6233" spans="1:5" x14ac:dyDescent="0.25">
      <c r="A6233" s="2" t="s">
        <v>4986</v>
      </c>
      <c r="B6233" s="2" t="s">
        <v>9</v>
      </c>
      <c r="C6233" s="2">
        <v>7</v>
      </c>
      <c r="D6233" t="str">
        <f t="shared" si="97"/>
        <v>CA-2017-124436_OFF-BI-10000343</v>
      </c>
      <c r="E6233" t="str">
        <f>IF(COUNTIF(data2!$D:$D,D6233)=0,"Missing in Data2","Present")</f>
        <v>Present</v>
      </c>
    </row>
    <row r="6234" spans="1:5" x14ac:dyDescent="0.25">
      <c r="A6234" s="2" t="s">
        <v>4986</v>
      </c>
      <c r="B6234" s="2" t="s">
        <v>1042</v>
      </c>
      <c r="C6234" s="2">
        <v>2</v>
      </c>
      <c r="D6234" t="str">
        <f t="shared" si="97"/>
        <v>CA-2017-124436_OFF-BI-10001553</v>
      </c>
      <c r="E6234" t="str">
        <f>IF(COUNTIF(data2!$D:$D,D6234)=0,"Missing in Data2","Present")</f>
        <v>Present</v>
      </c>
    </row>
    <row r="6235" spans="1:5" x14ac:dyDescent="0.25">
      <c r="A6235" s="2" t="s">
        <v>4987</v>
      </c>
      <c r="B6235" s="2" t="s">
        <v>165</v>
      </c>
      <c r="C6235" s="2">
        <v>2</v>
      </c>
      <c r="D6235" t="str">
        <f t="shared" si="97"/>
        <v>CA-2017-124576_OFF-BI-10002735</v>
      </c>
      <c r="E6235" t="str">
        <f>IF(COUNTIF(data2!$D:$D,D6235)=0,"Missing in Data2","Present")</f>
        <v>Present</v>
      </c>
    </row>
    <row r="6236" spans="1:5" x14ac:dyDescent="0.25">
      <c r="A6236" s="2" t="s">
        <v>4988</v>
      </c>
      <c r="B6236" s="2" t="s">
        <v>4778</v>
      </c>
      <c r="C6236" s="2">
        <v>3</v>
      </c>
      <c r="D6236" t="str">
        <f t="shared" si="97"/>
        <v>CA-2017-124597_OFF-AR-10002280</v>
      </c>
      <c r="E6236" t="str">
        <f>IF(COUNTIF(data2!$D:$D,D6236)=0,"Missing in Data2","Present")</f>
        <v>Present</v>
      </c>
    </row>
    <row r="6237" spans="1:5" x14ac:dyDescent="0.25">
      <c r="A6237" s="2" t="s">
        <v>4988</v>
      </c>
      <c r="B6237" s="2" t="s">
        <v>279</v>
      </c>
      <c r="C6237" s="2">
        <v>3</v>
      </c>
      <c r="D6237" t="str">
        <f t="shared" si="97"/>
        <v>CA-2017-124597_OFF-LA-10001569</v>
      </c>
      <c r="E6237" t="str">
        <f>IF(COUNTIF(data2!$D:$D,D6237)=0,"Missing in Data2","Present")</f>
        <v>Present</v>
      </c>
    </row>
    <row r="6238" spans="1:5" x14ac:dyDescent="0.25">
      <c r="A6238" s="2" t="s">
        <v>4988</v>
      </c>
      <c r="B6238" s="2" t="s">
        <v>2339</v>
      </c>
      <c r="C6238" s="2">
        <v>2</v>
      </c>
      <c r="D6238" t="str">
        <f t="shared" si="97"/>
        <v>CA-2017-124597_OFF-LA-10003190</v>
      </c>
      <c r="E6238" t="str">
        <f>IF(COUNTIF(data2!$D:$D,D6238)=0,"Missing in Data2","Present")</f>
        <v>Present</v>
      </c>
    </row>
    <row r="6239" spans="1:5" x14ac:dyDescent="0.25">
      <c r="A6239" s="2" t="s">
        <v>4989</v>
      </c>
      <c r="B6239" s="2" t="s">
        <v>3288</v>
      </c>
      <c r="C6239" s="2">
        <v>2</v>
      </c>
      <c r="D6239" t="str">
        <f t="shared" si="97"/>
        <v>CA-2017-124674_FUR-BO-10002202</v>
      </c>
      <c r="E6239" t="str">
        <f>IF(COUNTIF(data2!$D:$D,D6239)=0,"Missing in Data2","Present")</f>
        <v>Present</v>
      </c>
    </row>
    <row r="6240" spans="1:5" x14ac:dyDescent="0.25">
      <c r="A6240" s="2" t="s">
        <v>4990</v>
      </c>
      <c r="B6240" s="2" t="s">
        <v>3651</v>
      </c>
      <c r="C6240" s="2">
        <v>2</v>
      </c>
      <c r="D6240" t="str">
        <f t="shared" si="97"/>
        <v>CA-2017-124716_OFF-PA-10000740</v>
      </c>
      <c r="E6240" t="str">
        <f>IF(COUNTIF(data2!$D:$D,D6240)=0,"Missing in Data2","Present")</f>
        <v>Present</v>
      </c>
    </row>
    <row r="6241" spans="1:5" x14ac:dyDescent="0.25">
      <c r="A6241" s="2" t="s">
        <v>4990</v>
      </c>
      <c r="B6241" s="2" t="s">
        <v>4991</v>
      </c>
      <c r="C6241" s="2">
        <v>3</v>
      </c>
      <c r="D6241" t="str">
        <f t="shared" si="97"/>
        <v>CA-2017-124716_OFF-PA-10000859</v>
      </c>
      <c r="E6241" t="str">
        <f>IF(COUNTIF(data2!$D:$D,D6241)=0,"Missing in Data2","Present")</f>
        <v>Present</v>
      </c>
    </row>
    <row r="6242" spans="1:5" x14ac:dyDescent="0.25">
      <c r="A6242" s="2" t="s">
        <v>4990</v>
      </c>
      <c r="B6242" s="2" t="s">
        <v>623</v>
      </c>
      <c r="C6242" s="2">
        <v>2</v>
      </c>
      <c r="D6242" t="str">
        <f t="shared" si="97"/>
        <v>CA-2017-124716_OFF-PA-10001144</v>
      </c>
      <c r="E6242" t="str">
        <f>IF(COUNTIF(data2!$D:$D,D6242)=0,"Missing in Data2","Present")</f>
        <v>Present</v>
      </c>
    </row>
    <row r="6243" spans="1:5" x14ac:dyDescent="0.25">
      <c r="A6243" s="2" t="s">
        <v>4992</v>
      </c>
      <c r="B6243" s="2" t="s">
        <v>1152</v>
      </c>
      <c r="C6243" s="2">
        <v>2</v>
      </c>
      <c r="D6243" t="str">
        <f t="shared" si="97"/>
        <v>CA-2017-124744_OFF-BI-10000145</v>
      </c>
      <c r="E6243" t="str">
        <f>IF(COUNTIF(data2!$D:$D,D6243)=0,"Missing in Data2","Present")</f>
        <v>Present</v>
      </c>
    </row>
    <row r="6244" spans="1:5" x14ac:dyDescent="0.25">
      <c r="A6244" s="2" t="s">
        <v>4992</v>
      </c>
      <c r="B6244" s="2" t="s">
        <v>480</v>
      </c>
      <c r="C6244" s="2">
        <v>5</v>
      </c>
      <c r="D6244" t="str">
        <f t="shared" si="97"/>
        <v>CA-2017-124744_OFF-BI-10002852</v>
      </c>
      <c r="E6244" t="str">
        <f>IF(COUNTIF(data2!$D:$D,D6244)=0,"Missing in Data2","Present")</f>
        <v>Present</v>
      </c>
    </row>
    <row r="6245" spans="1:5" x14ac:dyDescent="0.25">
      <c r="A6245" s="2" t="s">
        <v>4992</v>
      </c>
      <c r="B6245" s="2" t="s">
        <v>1039</v>
      </c>
      <c r="C6245" s="2">
        <v>8</v>
      </c>
      <c r="D6245" t="str">
        <f t="shared" si="97"/>
        <v>CA-2017-124744_OFF-PA-10001970</v>
      </c>
      <c r="E6245" t="str">
        <f>IF(COUNTIF(data2!$D:$D,D6245)=0,"Missing in Data2","Present")</f>
        <v>Present</v>
      </c>
    </row>
    <row r="6246" spans="1:5" x14ac:dyDescent="0.25">
      <c r="A6246" s="2" t="s">
        <v>4993</v>
      </c>
      <c r="B6246" s="2" t="s">
        <v>1983</v>
      </c>
      <c r="C6246" s="2">
        <v>5</v>
      </c>
      <c r="D6246" t="str">
        <f t="shared" si="97"/>
        <v>CA-2017-124765_FUR-BO-10003965</v>
      </c>
      <c r="E6246" t="str">
        <f>IF(COUNTIF(data2!$D:$D,D6246)=0,"Missing in Data2","Present")</f>
        <v>Present</v>
      </c>
    </row>
    <row r="6247" spans="1:5" x14ac:dyDescent="0.25">
      <c r="A6247" s="2" t="s">
        <v>4994</v>
      </c>
      <c r="B6247" s="2" t="s">
        <v>204</v>
      </c>
      <c r="C6247" s="2">
        <v>3</v>
      </c>
      <c r="D6247" t="str">
        <f t="shared" si="97"/>
        <v>CA-2017-124828_OFF-AR-10003514</v>
      </c>
      <c r="E6247" t="str">
        <f>IF(COUNTIF(data2!$D:$D,D6247)=0,"Missing in Data2","Present")</f>
        <v>Present</v>
      </c>
    </row>
    <row r="6248" spans="1:5" x14ac:dyDescent="0.25">
      <c r="A6248" s="2" t="s">
        <v>4995</v>
      </c>
      <c r="B6248" s="2" t="s">
        <v>2980</v>
      </c>
      <c r="C6248" s="2">
        <v>7</v>
      </c>
      <c r="D6248" t="str">
        <f t="shared" si="97"/>
        <v>CA-2017-124898_OFF-PA-10003656</v>
      </c>
      <c r="E6248" t="str">
        <f>IF(COUNTIF(data2!$D:$D,D6248)=0,"Missing in Data2","Present")</f>
        <v>Present</v>
      </c>
    </row>
    <row r="6249" spans="1:5" x14ac:dyDescent="0.25">
      <c r="A6249" s="2" t="s">
        <v>4996</v>
      </c>
      <c r="B6249" s="2" t="s">
        <v>1817</v>
      </c>
      <c r="C6249" s="2">
        <v>1</v>
      </c>
      <c r="D6249" t="str">
        <f t="shared" si="97"/>
        <v>CA-2017-124940_TEC-AC-10002076</v>
      </c>
      <c r="E6249" t="str">
        <f>IF(COUNTIF(data2!$D:$D,D6249)=0,"Missing in Data2","Present")</f>
        <v>Present</v>
      </c>
    </row>
    <row r="6250" spans="1:5" x14ac:dyDescent="0.25">
      <c r="A6250" s="2" t="s">
        <v>4997</v>
      </c>
      <c r="B6250" s="2" t="s">
        <v>1584</v>
      </c>
      <c r="C6250" s="2">
        <v>2</v>
      </c>
      <c r="D6250" t="str">
        <f t="shared" si="97"/>
        <v>CA-2017-125101_OFF-ST-10000675</v>
      </c>
      <c r="E6250" t="str">
        <f>IF(COUNTIF(data2!$D:$D,D6250)=0,"Missing in Data2","Present")</f>
        <v>Present</v>
      </c>
    </row>
    <row r="6251" spans="1:5" x14ac:dyDescent="0.25">
      <c r="A6251" s="2" t="s">
        <v>4998</v>
      </c>
      <c r="B6251" s="2" t="s">
        <v>2051</v>
      </c>
      <c r="C6251" s="2">
        <v>2</v>
      </c>
      <c r="D6251" t="str">
        <f t="shared" si="97"/>
        <v>CA-2017-125115_OFF-PA-10004101</v>
      </c>
      <c r="E6251" t="str">
        <f>IF(COUNTIF(data2!$D:$D,D6251)=0,"Missing in Data2","Present")</f>
        <v>Present</v>
      </c>
    </row>
    <row r="6252" spans="1:5" x14ac:dyDescent="0.25">
      <c r="A6252" s="2" t="s">
        <v>4998</v>
      </c>
      <c r="B6252" s="2" t="s">
        <v>3408</v>
      </c>
      <c r="C6252" s="2">
        <v>3</v>
      </c>
      <c r="D6252" t="str">
        <f t="shared" si="97"/>
        <v>CA-2017-125115_TEC-AC-10001714</v>
      </c>
      <c r="E6252" t="str">
        <f>IF(COUNTIF(data2!$D:$D,D6252)=0,"Missing in Data2","Present")</f>
        <v>Present</v>
      </c>
    </row>
    <row r="6253" spans="1:5" x14ac:dyDescent="0.25">
      <c r="A6253" s="2" t="s">
        <v>4999</v>
      </c>
      <c r="B6253" s="2" t="s">
        <v>4092</v>
      </c>
      <c r="C6253" s="2">
        <v>7</v>
      </c>
      <c r="D6253" t="str">
        <f t="shared" si="97"/>
        <v>CA-2017-125199_OFF-AR-10002956</v>
      </c>
      <c r="E6253" t="str">
        <f>IF(COUNTIF(data2!$D:$D,D6253)=0,"Missing in Data2","Present")</f>
        <v>Present</v>
      </c>
    </row>
    <row r="6254" spans="1:5" x14ac:dyDescent="0.25">
      <c r="A6254" s="2" t="s">
        <v>4999</v>
      </c>
      <c r="B6254" s="2" t="s">
        <v>2644</v>
      </c>
      <c r="C6254" s="2">
        <v>4</v>
      </c>
      <c r="D6254" t="str">
        <f t="shared" si="97"/>
        <v>CA-2017-125199_OFF-PA-10004041</v>
      </c>
      <c r="E6254" t="str">
        <f>IF(COUNTIF(data2!$D:$D,D6254)=0,"Missing in Data2","Present")</f>
        <v>Present</v>
      </c>
    </row>
    <row r="6255" spans="1:5" x14ac:dyDescent="0.25">
      <c r="A6255" s="2" t="s">
        <v>4999</v>
      </c>
      <c r="B6255" s="2" t="s">
        <v>292</v>
      </c>
      <c r="C6255" s="2">
        <v>4</v>
      </c>
      <c r="D6255" t="str">
        <f t="shared" si="97"/>
        <v>CA-2017-125199_TEC-PH-10001336</v>
      </c>
      <c r="E6255" t="str">
        <f>IF(COUNTIF(data2!$D:$D,D6255)=0,"Missing in Data2","Present")</f>
        <v>Present</v>
      </c>
    </row>
    <row r="6256" spans="1:5" x14ac:dyDescent="0.25">
      <c r="A6256" s="2" t="s">
        <v>5000</v>
      </c>
      <c r="B6256" s="2" t="s">
        <v>626</v>
      </c>
      <c r="C6256" s="2">
        <v>5</v>
      </c>
      <c r="D6256" t="str">
        <f t="shared" si="97"/>
        <v>CA-2017-125269_OFF-BI-10001628</v>
      </c>
      <c r="E6256" t="str">
        <f>IF(COUNTIF(data2!$D:$D,D6256)=0,"Missing in Data2","Present")</f>
        <v>Present</v>
      </c>
    </row>
    <row r="6257" spans="1:5" x14ac:dyDescent="0.25">
      <c r="A6257" s="2" t="s">
        <v>5000</v>
      </c>
      <c r="B6257" s="2" t="s">
        <v>1761</v>
      </c>
      <c r="C6257" s="2">
        <v>1</v>
      </c>
      <c r="D6257" t="str">
        <f t="shared" si="97"/>
        <v>CA-2017-125269_OFF-ST-10004123</v>
      </c>
      <c r="E6257" t="str">
        <f>IF(COUNTIF(data2!$D:$D,D6257)=0,"Missing in Data2","Present")</f>
        <v>Present</v>
      </c>
    </row>
    <row r="6258" spans="1:5" x14ac:dyDescent="0.25">
      <c r="A6258" s="2" t="s">
        <v>5001</v>
      </c>
      <c r="B6258" s="2" t="s">
        <v>3396</v>
      </c>
      <c r="C6258" s="2">
        <v>5</v>
      </c>
      <c r="D6258" t="str">
        <f t="shared" si="97"/>
        <v>CA-2017-125290_OFF-AR-10001216</v>
      </c>
      <c r="E6258" t="str">
        <f>IF(COUNTIF(data2!$D:$D,D6258)=0,"Missing in Data2","Present")</f>
        <v>Present</v>
      </c>
    </row>
    <row r="6259" spans="1:5" x14ac:dyDescent="0.25">
      <c r="A6259" s="2" t="s">
        <v>5001</v>
      </c>
      <c r="B6259" s="2" t="s">
        <v>4712</v>
      </c>
      <c r="C6259" s="2">
        <v>1</v>
      </c>
      <c r="D6259" t="str">
        <f t="shared" si="97"/>
        <v>CA-2017-125290_OFF-PA-10003127</v>
      </c>
      <c r="E6259" t="str">
        <f>IF(COUNTIF(data2!$D:$D,D6259)=0,"Missing in Data2","Present")</f>
        <v>Present</v>
      </c>
    </row>
    <row r="6260" spans="1:5" x14ac:dyDescent="0.25">
      <c r="A6260" s="2" t="s">
        <v>5002</v>
      </c>
      <c r="B6260" s="2" t="s">
        <v>2095</v>
      </c>
      <c r="C6260" s="2">
        <v>3</v>
      </c>
      <c r="D6260" t="str">
        <f t="shared" si="97"/>
        <v>CA-2017-125367_OFF-BI-10002412</v>
      </c>
      <c r="E6260" t="str">
        <f>IF(COUNTIF(data2!$D:$D,D6260)=0,"Missing in Data2","Present")</f>
        <v>Present</v>
      </c>
    </row>
    <row r="6261" spans="1:5" x14ac:dyDescent="0.25">
      <c r="A6261" s="2" t="s">
        <v>5003</v>
      </c>
      <c r="B6261" s="2" t="s">
        <v>2371</v>
      </c>
      <c r="C6261" s="2">
        <v>3</v>
      </c>
      <c r="D6261" t="str">
        <f t="shared" si="97"/>
        <v>CA-2017-125381_TEC-AC-10000158</v>
      </c>
      <c r="E6261" t="str">
        <f>IF(COUNTIF(data2!$D:$D,D6261)=0,"Missing in Data2","Present")</f>
        <v>Present</v>
      </c>
    </row>
    <row r="6262" spans="1:5" x14ac:dyDescent="0.25">
      <c r="A6262" s="2" t="s">
        <v>5004</v>
      </c>
      <c r="B6262" s="2" t="s">
        <v>3844</v>
      </c>
      <c r="C6262" s="2">
        <v>4</v>
      </c>
      <c r="D6262" t="str">
        <f t="shared" si="97"/>
        <v>CA-2017-125388_FUR-FU-10004712</v>
      </c>
      <c r="E6262" t="str">
        <f>IF(COUNTIF(data2!$D:$D,D6262)=0,"Missing in Data2","Present")</f>
        <v>Present</v>
      </c>
    </row>
    <row r="6263" spans="1:5" x14ac:dyDescent="0.25">
      <c r="A6263" s="2" t="s">
        <v>5004</v>
      </c>
      <c r="B6263" s="2" t="s">
        <v>173</v>
      </c>
      <c r="C6263" s="2">
        <v>3</v>
      </c>
      <c r="D6263" t="str">
        <f t="shared" si="97"/>
        <v>CA-2017-125388_OFF-ST-10000918</v>
      </c>
      <c r="E6263" t="str">
        <f>IF(COUNTIF(data2!$D:$D,D6263)=0,"Missing in Data2","Present")</f>
        <v>Present</v>
      </c>
    </row>
    <row r="6264" spans="1:5" x14ac:dyDescent="0.25">
      <c r="A6264" s="2" t="s">
        <v>5005</v>
      </c>
      <c r="B6264" s="2" t="s">
        <v>505</v>
      </c>
      <c r="C6264" s="2">
        <v>2</v>
      </c>
      <c r="D6264" t="str">
        <f t="shared" si="97"/>
        <v>CA-2017-125451_FUR-FU-10000277</v>
      </c>
      <c r="E6264" t="str">
        <f>IF(COUNTIF(data2!$D:$D,D6264)=0,"Missing in Data2","Present")</f>
        <v>Present</v>
      </c>
    </row>
    <row r="6265" spans="1:5" x14ac:dyDescent="0.25">
      <c r="A6265" s="2" t="s">
        <v>5005</v>
      </c>
      <c r="B6265" s="2" t="s">
        <v>3616</v>
      </c>
      <c r="C6265" s="2">
        <v>4</v>
      </c>
      <c r="D6265" t="str">
        <f t="shared" si="97"/>
        <v>CA-2017-125451_FUR-FU-10004963</v>
      </c>
      <c r="E6265" t="str">
        <f>IF(COUNTIF(data2!$D:$D,D6265)=0,"Missing in Data2","Present")</f>
        <v>Present</v>
      </c>
    </row>
    <row r="6266" spans="1:5" x14ac:dyDescent="0.25">
      <c r="A6266" s="2" t="s">
        <v>5005</v>
      </c>
      <c r="B6266" s="2" t="s">
        <v>3246</v>
      </c>
      <c r="C6266" s="2">
        <v>3</v>
      </c>
      <c r="D6266" t="str">
        <f t="shared" si="97"/>
        <v>CA-2017-125451_FUR-TA-10004915</v>
      </c>
      <c r="E6266" t="str">
        <f>IF(COUNTIF(data2!$D:$D,D6266)=0,"Missing in Data2","Present")</f>
        <v>Present</v>
      </c>
    </row>
    <row r="6267" spans="1:5" x14ac:dyDescent="0.25">
      <c r="A6267" s="2" t="s">
        <v>5005</v>
      </c>
      <c r="B6267" s="2" t="s">
        <v>2408</v>
      </c>
      <c r="C6267" s="2">
        <v>1</v>
      </c>
      <c r="D6267" t="str">
        <f t="shared" si="97"/>
        <v>CA-2017-125451_OFF-AP-10002906</v>
      </c>
      <c r="E6267" t="str">
        <f>IF(COUNTIF(data2!$D:$D,D6267)=0,"Missing in Data2","Present")</f>
        <v>Present</v>
      </c>
    </row>
    <row r="6268" spans="1:5" x14ac:dyDescent="0.25">
      <c r="A6268" s="2" t="s">
        <v>5005</v>
      </c>
      <c r="B6268" s="2" t="s">
        <v>1552</v>
      </c>
      <c r="C6268" s="2">
        <v>8</v>
      </c>
      <c r="D6268" t="str">
        <f t="shared" si="97"/>
        <v>CA-2017-125451_OFF-PA-10003724</v>
      </c>
      <c r="E6268" t="str">
        <f>IF(COUNTIF(data2!$D:$D,D6268)=0,"Missing in Data2","Present")</f>
        <v>Present</v>
      </c>
    </row>
    <row r="6269" spans="1:5" x14ac:dyDescent="0.25">
      <c r="A6269" s="2" t="s">
        <v>5006</v>
      </c>
      <c r="B6269" s="2" t="s">
        <v>217</v>
      </c>
      <c r="C6269" s="2">
        <v>2</v>
      </c>
      <c r="D6269" t="str">
        <f t="shared" si="97"/>
        <v>CA-2017-125472_FUR-BO-10000330</v>
      </c>
      <c r="E6269" t="str">
        <f>IF(COUNTIF(data2!$D:$D,D6269)=0,"Missing in Data2","Present")</f>
        <v>Present</v>
      </c>
    </row>
    <row r="6270" spans="1:5" x14ac:dyDescent="0.25">
      <c r="A6270" s="2" t="s">
        <v>5006</v>
      </c>
      <c r="B6270" s="2" t="s">
        <v>128</v>
      </c>
      <c r="C6270" s="2">
        <v>3</v>
      </c>
      <c r="D6270" t="str">
        <f t="shared" si="97"/>
        <v>CA-2017-125472_FUR-FU-10001731</v>
      </c>
      <c r="E6270" t="str">
        <f>IF(COUNTIF(data2!$D:$D,D6270)=0,"Missing in Data2","Present")</f>
        <v>Present</v>
      </c>
    </row>
    <row r="6271" spans="1:5" x14ac:dyDescent="0.25">
      <c r="A6271" s="2" t="s">
        <v>5006</v>
      </c>
      <c r="B6271" s="2" t="s">
        <v>448</v>
      </c>
      <c r="C6271" s="2">
        <v>1</v>
      </c>
      <c r="D6271" t="str">
        <f t="shared" si="97"/>
        <v>CA-2017-125472_OFF-BI-10000591</v>
      </c>
      <c r="E6271" t="str">
        <f>IF(COUNTIF(data2!$D:$D,D6271)=0,"Missing in Data2","Present")</f>
        <v>Present</v>
      </c>
    </row>
    <row r="6272" spans="1:5" x14ac:dyDescent="0.25">
      <c r="A6272" s="2" t="s">
        <v>5007</v>
      </c>
      <c r="B6272" s="2" t="s">
        <v>4931</v>
      </c>
      <c r="C6272" s="2">
        <v>1</v>
      </c>
      <c r="D6272" t="str">
        <f t="shared" si="97"/>
        <v>CA-2017-125640_OFF-LA-10004178</v>
      </c>
      <c r="E6272" t="str">
        <f>IF(COUNTIF(data2!$D:$D,D6272)=0,"Missing in Data2","Present")</f>
        <v>Present</v>
      </c>
    </row>
    <row r="6273" spans="1:5" x14ac:dyDescent="0.25">
      <c r="A6273" s="2" t="s">
        <v>5008</v>
      </c>
      <c r="B6273" s="2" t="s">
        <v>124</v>
      </c>
      <c r="C6273" s="2">
        <v>2</v>
      </c>
      <c r="D6273" t="str">
        <f t="shared" si="97"/>
        <v>CA-2017-125745_FUR-FU-10001591</v>
      </c>
      <c r="E6273" t="str">
        <f>IF(COUNTIF(data2!$D:$D,D6273)=0,"Missing in Data2","Present")</f>
        <v>Present</v>
      </c>
    </row>
    <row r="6274" spans="1:5" x14ac:dyDescent="0.25">
      <c r="A6274" s="2" t="s">
        <v>5009</v>
      </c>
      <c r="B6274" s="2" t="s">
        <v>2468</v>
      </c>
      <c r="C6274" s="2">
        <v>2</v>
      </c>
      <c r="D6274" t="str">
        <f t="shared" si="97"/>
        <v>CA-2017-125752_TEC-AC-10003590</v>
      </c>
      <c r="E6274" t="str">
        <f>IF(COUNTIF(data2!$D:$D,D6274)=0,"Missing in Data2","Present")</f>
        <v>Present</v>
      </c>
    </row>
    <row r="6275" spans="1:5" x14ac:dyDescent="0.25">
      <c r="A6275" s="2" t="s">
        <v>5010</v>
      </c>
      <c r="B6275" s="2" t="s">
        <v>459</v>
      </c>
      <c r="C6275" s="2">
        <v>3</v>
      </c>
      <c r="D6275" t="str">
        <f t="shared" ref="D6275:D6338" si="98">A6275&amp;"_"&amp;B6275</f>
        <v>CA-2017-125878_OFF-BI-10002609</v>
      </c>
      <c r="E6275" t="str">
        <f>IF(COUNTIF(data2!$D:$D,D6275)=0,"Missing in Data2","Present")</f>
        <v>Present</v>
      </c>
    </row>
    <row r="6276" spans="1:5" x14ac:dyDescent="0.25">
      <c r="A6276" s="2" t="s">
        <v>5011</v>
      </c>
      <c r="B6276" s="2" t="s">
        <v>543</v>
      </c>
      <c r="C6276" s="2">
        <v>4</v>
      </c>
      <c r="D6276" t="str">
        <f t="shared" si="98"/>
        <v>CA-2017-125913_FUR-FU-10001487</v>
      </c>
      <c r="E6276" t="str">
        <f>IF(COUNTIF(data2!$D:$D,D6276)=0,"Missing in Data2","Present")</f>
        <v>Present</v>
      </c>
    </row>
    <row r="6277" spans="1:5" x14ac:dyDescent="0.25">
      <c r="A6277" s="2" t="s">
        <v>5011</v>
      </c>
      <c r="B6277" s="2" t="s">
        <v>2601</v>
      </c>
      <c r="C6277" s="2">
        <v>7</v>
      </c>
      <c r="D6277" t="str">
        <f t="shared" si="98"/>
        <v>CA-2017-125913_FUR-TA-10001520</v>
      </c>
      <c r="E6277" t="str">
        <f>IF(COUNTIF(data2!$D:$D,D6277)=0,"Missing in Data2","Present")</f>
        <v>Present</v>
      </c>
    </row>
    <row r="6278" spans="1:5" x14ac:dyDescent="0.25">
      <c r="A6278" s="2" t="s">
        <v>5012</v>
      </c>
      <c r="B6278" s="2" t="s">
        <v>2544</v>
      </c>
      <c r="C6278" s="2">
        <v>3</v>
      </c>
      <c r="D6278" t="str">
        <f t="shared" si="98"/>
        <v>CA-2017-125990_OFF-BI-10004826</v>
      </c>
      <c r="E6278" t="str">
        <f>IF(COUNTIF(data2!$D:$D,D6278)=0,"Missing in Data2","Present")</f>
        <v>Present</v>
      </c>
    </row>
    <row r="6279" spans="1:5" x14ac:dyDescent="0.25">
      <c r="A6279" s="2" t="s">
        <v>5013</v>
      </c>
      <c r="B6279" s="2" t="s">
        <v>1711</v>
      </c>
      <c r="C6279" s="2">
        <v>3</v>
      </c>
      <c r="D6279" t="str">
        <f t="shared" si="98"/>
        <v>CA-2017-126046_OFF-LA-10004484</v>
      </c>
      <c r="E6279" t="str">
        <f>IF(COUNTIF(data2!$D:$D,D6279)=0,"Missing in Data2","Present")</f>
        <v>Present</v>
      </c>
    </row>
    <row r="6280" spans="1:5" x14ac:dyDescent="0.25">
      <c r="A6280" s="2" t="s">
        <v>5014</v>
      </c>
      <c r="B6280" s="2" t="s">
        <v>1115</v>
      </c>
      <c r="C6280" s="2">
        <v>5</v>
      </c>
      <c r="D6280" t="str">
        <f t="shared" si="98"/>
        <v>CA-2017-126067_FUR-TA-10000617</v>
      </c>
      <c r="E6280" t="str">
        <f>IF(COUNTIF(data2!$D:$D,D6280)=0,"Missing in Data2","Present")</f>
        <v>Present</v>
      </c>
    </row>
    <row r="6281" spans="1:5" x14ac:dyDescent="0.25">
      <c r="A6281" s="2" t="s">
        <v>5014</v>
      </c>
      <c r="B6281" s="2" t="s">
        <v>2785</v>
      </c>
      <c r="C6281" s="2">
        <v>2</v>
      </c>
      <c r="D6281" t="str">
        <f t="shared" si="98"/>
        <v>CA-2017-126067_OFF-AR-10003856</v>
      </c>
      <c r="E6281" t="str">
        <f>IF(COUNTIF(data2!$D:$D,D6281)=0,"Missing in Data2","Present")</f>
        <v>Present</v>
      </c>
    </row>
    <row r="6282" spans="1:5" x14ac:dyDescent="0.25">
      <c r="A6282" s="2" t="s">
        <v>5014</v>
      </c>
      <c r="B6282" s="2" t="s">
        <v>190</v>
      </c>
      <c r="C6282" s="2">
        <v>5</v>
      </c>
      <c r="D6282" t="str">
        <f t="shared" si="98"/>
        <v>CA-2017-126067_OFF-BI-10001658</v>
      </c>
      <c r="E6282" t="str">
        <f>IF(COUNTIF(data2!$D:$D,D6282)=0,"Missing in Data2","Present")</f>
        <v>Present</v>
      </c>
    </row>
    <row r="6283" spans="1:5" x14ac:dyDescent="0.25">
      <c r="A6283" s="2" t="s">
        <v>5015</v>
      </c>
      <c r="B6283" s="2" t="s">
        <v>1242</v>
      </c>
      <c r="C6283" s="2">
        <v>11</v>
      </c>
      <c r="D6283" t="str">
        <f t="shared" si="98"/>
        <v>CA-2017-126074_FUR-FU-10003577</v>
      </c>
      <c r="E6283" t="str">
        <f>IF(COUNTIF(data2!$D:$D,D6283)=0,"Missing in Data2","Present")</f>
        <v>Present</v>
      </c>
    </row>
    <row r="6284" spans="1:5" x14ac:dyDescent="0.25">
      <c r="A6284" s="2" t="s">
        <v>5015</v>
      </c>
      <c r="B6284" s="2" t="s">
        <v>1246</v>
      </c>
      <c r="C6284" s="2">
        <v>7</v>
      </c>
      <c r="D6284" t="str">
        <f t="shared" si="98"/>
        <v>CA-2017-126074_OFF-AR-10003478</v>
      </c>
      <c r="E6284" t="str">
        <f>IF(COUNTIF(data2!$D:$D,D6284)=0,"Missing in Data2","Present")</f>
        <v>Present</v>
      </c>
    </row>
    <row r="6285" spans="1:5" x14ac:dyDescent="0.25">
      <c r="A6285" s="2" t="s">
        <v>5015</v>
      </c>
      <c r="B6285" s="2" t="s">
        <v>1636</v>
      </c>
      <c r="C6285" s="2">
        <v>1</v>
      </c>
      <c r="D6285" t="str">
        <f t="shared" si="98"/>
        <v>CA-2017-126074_OFF-BI-10000546</v>
      </c>
      <c r="E6285" t="str">
        <f>IF(COUNTIF(data2!$D:$D,D6285)=0,"Missing in Data2","Present")</f>
        <v>Present</v>
      </c>
    </row>
    <row r="6286" spans="1:5" x14ac:dyDescent="0.25">
      <c r="A6286" s="2" t="s">
        <v>5015</v>
      </c>
      <c r="B6286" s="2" t="s">
        <v>1137</v>
      </c>
      <c r="C6286" s="2">
        <v>3</v>
      </c>
      <c r="D6286" t="str">
        <f t="shared" si="98"/>
        <v>CA-2017-126074_OFF-BI-10003638</v>
      </c>
      <c r="E6286" t="str">
        <f>IF(COUNTIF(data2!$D:$D,D6286)=0,"Missing in Data2","Present")</f>
        <v>Present</v>
      </c>
    </row>
    <row r="6287" spans="1:5" x14ac:dyDescent="0.25">
      <c r="A6287" s="2" t="s">
        <v>5016</v>
      </c>
      <c r="B6287" s="2" t="s">
        <v>59</v>
      </c>
      <c r="C6287" s="2">
        <v>9</v>
      </c>
      <c r="D6287" t="str">
        <f t="shared" si="98"/>
        <v>CA-2017-126123_OFF-BI-10000309</v>
      </c>
      <c r="E6287" t="str">
        <f>IF(COUNTIF(data2!$D:$D,D6287)=0,"Missing in Data2","Present")</f>
        <v>Present</v>
      </c>
    </row>
    <row r="6288" spans="1:5" x14ac:dyDescent="0.25">
      <c r="A6288" s="2" t="s">
        <v>5016</v>
      </c>
      <c r="B6288" s="2" t="s">
        <v>2608</v>
      </c>
      <c r="C6288" s="2">
        <v>1</v>
      </c>
      <c r="D6288" t="str">
        <f t="shared" si="98"/>
        <v>CA-2017-126123_OFF-BI-10004224</v>
      </c>
      <c r="E6288" t="str">
        <f>IF(COUNTIF(data2!$D:$D,D6288)=0,"Missing in Data2","Present")</f>
        <v>Present</v>
      </c>
    </row>
    <row r="6289" spans="1:5" x14ac:dyDescent="0.25">
      <c r="A6289" s="2" t="s">
        <v>5017</v>
      </c>
      <c r="B6289" s="2" t="s">
        <v>800</v>
      </c>
      <c r="C6289" s="2">
        <v>4</v>
      </c>
      <c r="D6289" t="str">
        <f t="shared" si="98"/>
        <v>CA-2017-126144_TEC-PH-10001079</v>
      </c>
      <c r="E6289" t="str">
        <f>IF(COUNTIF(data2!$D:$D,D6289)=0,"Missing in Data2","Present")</f>
        <v>Present</v>
      </c>
    </row>
    <row r="6290" spans="1:5" x14ac:dyDescent="0.25">
      <c r="A6290" s="2" t="s">
        <v>5018</v>
      </c>
      <c r="B6290" s="2" t="s">
        <v>3095</v>
      </c>
      <c r="C6290" s="2">
        <v>2</v>
      </c>
      <c r="D6290" t="str">
        <f t="shared" si="98"/>
        <v>CA-2017-126221_OFF-AP-10002457</v>
      </c>
      <c r="E6290" t="str">
        <f>IF(COUNTIF(data2!$D:$D,D6290)=0,"Missing in Data2","Present")</f>
        <v>Present</v>
      </c>
    </row>
    <row r="6291" spans="1:5" x14ac:dyDescent="0.25">
      <c r="A6291" s="2" t="s">
        <v>5019</v>
      </c>
      <c r="B6291" s="2" t="s">
        <v>1627</v>
      </c>
      <c r="C6291" s="2">
        <v>1</v>
      </c>
      <c r="D6291" t="str">
        <f t="shared" si="98"/>
        <v>CA-2017-126242_FUR-FU-10002685</v>
      </c>
      <c r="E6291" t="str">
        <f>IF(COUNTIF(data2!$D:$D,D6291)=0,"Missing in Data2","Present")</f>
        <v>Present</v>
      </c>
    </row>
    <row r="6292" spans="1:5" x14ac:dyDescent="0.25">
      <c r="A6292" s="2" t="s">
        <v>5019</v>
      </c>
      <c r="B6292" s="2" t="s">
        <v>1584</v>
      </c>
      <c r="C6292" s="2">
        <v>9</v>
      </c>
      <c r="D6292" t="str">
        <f t="shared" si="98"/>
        <v>CA-2017-126242_OFF-ST-10000675</v>
      </c>
      <c r="E6292" t="str">
        <f>IF(COUNTIF(data2!$D:$D,D6292)=0,"Missing in Data2","Present")</f>
        <v>Present</v>
      </c>
    </row>
    <row r="6293" spans="1:5" x14ac:dyDescent="0.25">
      <c r="A6293" s="2" t="s">
        <v>5020</v>
      </c>
      <c r="B6293" s="2" t="s">
        <v>3260</v>
      </c>
      <c r="C6293" s="2">
        <v>2</v>
      </c>
      <c r="D6293" t="str">
        <f t="shared" si="98"/>
        <v>CA-2017-126354_OFF-BI-10000301</v>
      </c>
      <c r="E6293" t="str">
        <f>IF(COUNTIF(data2!$D:$D,D6293)=0,"Missing in Data2","Present")</f>
        <v>Present</v>
      </c>
    </row>
    <row r="6294" spans="1:5" x14ac:dyDescent="0.25">
      <c r="A6294" s="2" t="s">
        <v>5020</v>
      </c>
      <c r="B6294" s="2" t="s">
        <v>4114</v>
      </c>
      <c r="C6294" s="2">
        <v>3</v>
      </c>
      <c r="D6294" t="str">
        <f t="shared" si="98"/>
        <v>CA-2017-126354_OFF-PA-10004381</v>
      </c>
      <c r="E6294" t="str">
        <f>IF(COUNTIF(data2!$D:$D,D6294)=0,"Missing in Data2","Present")</f>
        <v>Present</v>
      </c>
    </row>
    <row r="6295" spans="1:5" x14ac:dyDescent="0.25">
      <c r="A6295" s="2" t="s">
        <v>5021</v>
      </c>
      <c r="B6295" s="2" t="s">
        <v>1485</v>
      </c>
      <c r="C6295" s="2">
        <v>7</v>
      </c>
      <c r="D6295" t="str">
        <f t="shared" si="98"/>
        <v>CA-2017-126382_FUR-FU-10002960</v>
      </c>
      <c r="E6295" t="str">
        <f>IF(COUNTIF(data2!$D:$D,D6295)=0,"Missing in Data2","Present")</f>
        <v>Present</v>
      </c>
    </row>
    <row r="6296" spans="1:5" x14ac:dyDescent="0.25">
      <c r="A6296" s="2" t="s">
        <v>5022</v>
      </c>
      <c r="B6296" s="2" t="s">
        <v>1897</v>
      </c>
      <c r="C6296" s="2">
        <v>6</v>
      </c>
      <c r="D6296" t="str">
        <f t="shared" si="98"/>
        <v>CA-2017-126396_TEC-AC-10003116</v>
      </c>
      <c r="E6296" t="str">
        <f>IF(COUNTIF(data2!$D:$D,D6296)=0,"Missing in Data2","Present")</f>
        <v>Missing in Data2</v>
      </c>
    </row>
    <row r="6297" spans="1:5" x14ac:dyDescent="0.25">
      <c r="A6297" s="2" t="s">
        <v>5023</v>
      </c>
      <c r="B6297" s="2" t="s">
        <v>904</v>
      </c>
      <c r="C6297" s="2">
        <v>2</v>
      </c>
      <c r="D6297" t="str">
        <f t="shared" si="98"/>
        <v>CA-2017-126438_OFF-AR-10003338</v>
      </c>
      <c r="E6297" t="str">
        <f>IF(COUNTIF(data2!$D:$D,D6297)=0,"Missing in Data2","Present")</f>
        <v>Present</v>
      </c>
    </row>
    <row r="6298" spans="1:5" x14ac:dyDescent="0.25">
      <c r="A6298" s="2" t="s">
        <v>5024</v>
      </c>
      <c r="B6298" s="2" t="s">
        <v>666</v>
      </c>
      <c r="C6298" s="2">
        <v>5</v>
      </c>
      <c r="D6298" t="str">
        <f t="shared" si="98"/>
        <v>CA-2017-126536_OFF-BI-10001191</v>
      </c>
      <c r="E6298" t="str">
        <f>IF(COUNTIF(data2!$D:$D,D6298)=0,"Missing in Data2","Present")</f>
        <v>Present</v>
      </c>
    </row>
    <row r="6299" spans="1:5" x14ac:dyDescent="0.25">
      <c r="A6299" s="2" t="s">
        <v>5024</v>
      </c>
      <c r="B6299" s="2" t="s">
        <v>553</v>
      </c>
      <c r="C6299" s="2">
        <v>1</v>
      </c>
      <c r="D6299" t="str">
        <f t="shared" si="98"/>
        <v>CA-2017-126536_TEC-AC-10003709</v>
      </c>
      <c r="E6299" t="str">
        <f>IF(COUNTIF(data2!$D:$D,D6299)=0,"Missing in Data2","Present")</f>
        <v>Present</v>
      </c>
    </row>
    <row r="6300" spans="1:5" x14ac:dyDescent="0.25">
      <c r="A6300" s="2" t="s">
        <v>5025</v>
      </c>
      <c r="B6300" s="2" t="s">
        <v>932</v>
      </c>
      <c r="C6300" s="2">
        <v>5</v>
      </c>
      <c r="D6300" t="str">
        <f t="shared" si="98"/>
        <v>CA-2017-126550_OFF-ST-10001031</v>
      </c>
      <c r="E6300" t="str">
        <f>IF(COUNTIF(data2!$D:$D,D6300)=0,"Missing in Data2","Present")</f>
        <v>Present</v>
      </c>
    </row>
    <row r="6301" spans="1:5" x14ac:dyDescent="0.25">
      <c r="A6301" s="2" t="s">
        <v>5026</v>
      </c>
      <c r="B6301" s="2" t="s">
        <v>2310</v>
      </c>
      <c r="C6301" s="2">
        <v>5</v>
      </c>
      <c r="D6301" t="str">
        <f t="shared" si="98"/>
        <v>CA-2017-126634_FUR-FU-10004973</v>
      </c>
      <c r="E6301" t="str">
        <f>IF(COUNTIF(data2!$D:$D,D6301)=0,"Missing in Data2","Present")</f>
        <v>Present</v>
      </c>
    </row>
    <row r="6302" spans="1:5" x14ac:dyDescent="0.25">
      <c r="A6302" s="2" t="s">
        <v>5027</v>
      </c>
      <c r="B6302" s="2" t="s">
        <v>761</v>
      </c>
      <c r="C6302" s="2">
        <v>2</v>
      </c>
      <c r="D6302" t="str">
        <f t="shared" si="98"/>
        <v>CA-2017-126662_TEC-CO-10004202</v>
      </c>
      <c r="E6302" t="str">
        <f>IF(COUNTIF(data2!$D:$D,D6302)=0,"Missing in Data2","Present")</f>
        <v>Present</v>
      </c>
    </row>
    <row r="6303" spans="1:5" x14ac:dyDescent="0.25">
      <c r="A6303" s="2" t="s">
        <v>5028</v>
      </c>
      <c r="B6303" s="2" t="s">
        <v>307</v>
      </c>
      <c r="C6303" s="2">
        <v>3</v>
      </c>
      <c r="D6303" t="str">
        <f t="shared" si="98"/>
        <v>CA-2017-126676_OFF-EN-10004846</v>
      </c>
      <c r="E6303" t="str">
        <f>IF(COUNTIF(data2!$D:$D,D6303)=0,"Missing in Data2","Present")</f>
        <v>Present</v>
      </c>
    </row>
    <row r="6304" spans="1:5" x14ac:dyDescent="0.25">
      <c r="A6304" s="2" t="s">
        <v>5029</v>
      </c>
      <c r="B6304" s="2" t="s">
        <v>5030</v>
      </c>
      <c r="C6304" s="2">
        <v>1</v>
      </c>
      <c r="D6304" t="str">
        <f t="shared" si="98"/>
        <v>CA-2017-126718_OFF-LA-10004055</v>
      </c>
      <c r="E6304" t="str">
        <f>IF(COUNTIF(data2!$D:$D,D6304)=0,"Missing in Data2","Present")</f>
        <v>Present</v>
      </c>
    </row>
    <row r="6305" spans="1:5" x14ac:dyDescent="0.25">
      <c r="A6305" s="2" t="s">
        <v>5031</v>
      </c>
      <c r="B6305" s="2" t="s">
        <v>729</v>
      </c>
      <c r="C6305" s="2">
        <v>1</v>
      </c>
      <c r="D6305" t="str">
        <f t="shared" si="98"/>
        <v>CA-2017-126774_OFF-AR-10002804</v>
      </c>
      <c r="E6305" t="str">
        <f>IF(COUNTIF(data2!$D:$D,D6305)=0,"Missing in Data2","Present")</f>
        <v>Present</v>
      </c>
    </row>
    <row r="6306" spans="1:5" x14ac:dyDescent="0.25">
      <c r="A6306" s="2" t="s">
        <v>5032</v>
      </c>
      <c r="B6306" s="2" t="s">
        <v>1892</v>
      </c>
      <c r="C6306" s="2">
        <v>3</v>
      </c>
      <c r="D6306" t="str">
        <f t="shared" si="98"/>
        <v>CA-2017-126788_TEC-PH-10001619</v>
      </c>
      <c r="E6306" t="str">
        <f>IF(COUNTIF(data2!$D:$D,D6306)=0,"Missing in Data2","Present")</f>
        <v>Present</v>
      </c>
    </row>
    <row r="6307" spans="1:5" x14ac:dyDescent="0.25">
      <c r="A6307" s="2" t="s">
        <v>5033</v>
      </c>
      <c r="B6307" s="2" t="s">
        <v>1006</v>
      </c>
      <c r="C6307" s="2">
        <v>3</v>
      </c>
      <c r="D6307" t="str">
        <f t="shared" si="98"/>
        <v>CA-2017-126865_OFF-PA-10003039</v>
      </c>
      <c r="E6307" t="str">
        <f>IF(COUNTIF(data2!$D:$D,D6307)=0,"Missing in Data2","Present")</f>
        <v>Present</v>
      </c>
    </row>
    <row r="6308" spans="1:5" x14ac:dyDescent="0.25">
      <c r="A6308" s="2" t="s">
        <v>5034</v>
      </c>
      <c r="B6308" s="2" t="s">
        <v>1559</v>
      </c>
      <c r="C6308" s="2">
        <v>2</v>
      </c>
      <c r="D6308" t="str">
        <f t="shared" si="98"/>
        <v>CA-2017-126914_FUR-BO-10000468</v>
      </c>
      <c r="E6308" t="str">
        <f>IF(COUNTIF(data2!$D:$D,D6308)=0,"Missing in Data2","Present")</f>
        <v>Present</v>
      </c>
    </row>
    <row r="6309" spans="1:5" x14ac:dyDescent="0.25">
      <c r="A6309" s="2" t="s">
        <v>5034</v>
      </c>
      <c r="B6309" s="2" t="s">
        <v>233</v>
      </c>
      <c r="C6309" s="2">
        <v>3</v>
      </c>
      <c r="D6309" t="str">
        <f t="shared" si="98"/>
        <v>CA-2017-126914_FUR-CH-10000847</v>
      </c>
      <c r="E6309" t="str">
        <f>IF(COUNTIF(data2!$D:$D,D6309)=0,"Missing in Data2","Present")</f>
        <v>Present</v>
      </c>
    </row>
    <row r="6310" spans="1:5" x14ac:dyDescent="0.25">
      <c r="A6310" s="2" t="s">
        <v>5035</v>
      </c>
      <c r="B6310" s="2" t="s">
        <v>1443</v>
      </c>
      <c r="C6310" s="2">
        <v>3</v>
      </c>
      <c r="D6310" t="str">
        <f t="shared" si="98"/>
        <v>CA-2017-126928_OFF-ST-10000615</v>
      </c>
      <c r="E6310" t="str">
        <f>IF(COUNTIF(data2!$D:$D,D6310)=0,"Missing in Data2","Present")</f>
        <v>Present</v>
      </c>
    </row>
    <row r="6311" spans="1:5" x14ac:dyDescent="0.25">
      <c r="A6311" s="2" t="s">
        <v>5035</v>
      </c>
      <c r="B6311" s="2" t="s">
        <v>4586</v>
      </c>
      <c r="C6311" s="2">
        <v>4</v>
      </c>
      <c r="D6311" t="str">
        <f t="shared" si="98"/>
        <v>CA-2017-126928_TEC-MA-10004626</v>
      </c>
      <c r="E6311" t="str">
        <f>IF(COUNTIF(data2!$D:$D,D6311)=0,"Missing in Data2","Present")</f>
        <v>Missing in Data2</v>
      </c>
    </row>
    <row r="6312" spans="1:5" x14ac:dyDescent="0.25">
      <c r="A6312" s="2" t="s">
        <v>5036</v>
      </c>
      <c r="B6312" s="2" t="s">
        <v>1231</v>
      </c>
      <c r="C6312" s="2">
        <v>2</v>
      </c>
      <c r="D6312" t="str">
        <f t="shared" si="98"/>
        <v>CA-2017-126956_OFF-EN-10004459</v>
      </c>
      <c r="E6312" t="str">
        <f>IF(COUNTIF(data2!$D:$D,D6312)=0,"Missing in Data2","Present")</f>
        <v>Present</v>
      </c>
    </row>
    <row r="6313" spans="1:5" x14ac:dyDescent="0.25">
      <c r="A6313" s="2" t="s">
        <v>5036</v>
      </c>
      <c r="B6313" s="2" t="s">
        <v>913</v>
      </c>
      <c r="C6313" s="2">
        <v>7</v>
      </c>
      <c r="D6313" t="str">
        <f t="shared" si="98"/>
        <v>CA-2017-126956_OFF-FA-10002280</v>
      </c>
      <c r="E6313" t="str">
        <f>IF(COUNTIF(data2!$D:$D,D6313)=0,"Missing in Data2","Present")</f>
        <v>Present</v>
      </c>
    </row>
    <row r="6314" spans="1:5" x14ac:dyDescent="0.25">
      <c r="A6314" s="2" t="s">
        <v>5036</v>
      </c>
      <c r="B6314" s="2" t="s">
        <v>1822</v>
      </c>
      <c r="C6314" s="2">
        <v>4</v>
      </c>
      <c r="D6314" t="str">
        <f t="shared" si="98"/>
        <v>CA-2017-126956_OFF-SU-10000381</v>
      </c>
      <c r="E6314" t="str">
        <f>IF(COUNTIF(data2!$D:$D,D6314)=0,"Missing in Data2","Present")</f>
        <v>Present</v>
      </c>
    </row>
    <row r="6315" spans="1:5" x14ac:dyDescent="0.25">
      <c r="A6315" s="2" t="s">
        <v>5037</v>
      </c>
      <c r="B6315" s="2" t="s">
        <v>1636</v>
      </c>
      <c r="C6315" s="2">
        <v>5</v>
      </c>
      <c r="D6315" t="str">
        <f t="shared" si="98"/>
        <v>CA-2017-127026_OFF-BI-10000546</v>
      </c>
      <c r="E6315" t="str">
        <f>IF(COUNTIF(data2!$D:$D,D6315)=0,"Missing in Data2","Present")</f>
        <v>Present</v>
      </c>
    </row>
    <row r="6316" spans="1:5" x14ac:dyDescent="0.25">
      <c r="A6316" s="2" t="s">
        <v>5037</v>
      </c>
      <c r="B6316" s="2" t="s">
        <v>171</v>
      </c>
      <c r="C6316" s="2">
        <v>4</v>
      </c>
      <c r="D6316" t="str">
        <f t="shared" si="98"/>
        <v>CA-2017-127026_OFF-BI-10001196</v>
      </c>
      <c r="E6316" t="str">
        <f>IF(COUNTIF(data2!$D:$D,D6316)=0,"Missing in Data2","Present")</f>
        <v>Present</v>
      </c>
    </row>
    <row r="6317" spans="1:5" x14ac:dyDescent="0.25">
      <c r="A6317" s="2" t="s">
        <v>5037</v>
      </c>
      <c r="B6317" s="2" t="s">
        <v>1053</v>
      </c>
      <c r="C6317" s="2">
        <v>5</v>
      </c>
      <c r="D6317" t="str">
        <f t="shared" si="98"/>
        <v>CA-2017-127026_TEC-AC-10002049</v>
      </c>
      <c r="E6317" t="str">
        <f>IF(COUNTIF(data2!$D:$D,D6317)=0,"Missing in Data2","Present")</f>
        <v>Present</v>
      </c>
    </row>
    <row r="6318" spans="1:5" x14ac:dyDescent="0.25">
      <c r="A6318" s="2" t="s">
        <v>5037</v>
      </c>
      <c r="B6318" s="2" t="s">
        <v>5038</v>
      </c>
      <c r="C6318" s="2">
        <v>3</v>
      </c>
      <c r="D6318" t="str">
        <f t="shared" si="98"/>
        <v>CA-2017-127026_TEC-MA-10002981</v>
      </c>
      <c r="E6318" t="str">
        <f>IF(COUNTIF(data2!$D:$D,D6318)=0,"Missing in Data2","Present")</f>
        <v>Present</v>
      </c>
    </row>
    <row r="6319" spans="1:5" x14ac:dyDescent="0.25">
      <c r="A6319" s="2" t="s">
        <v>5037</v>
      </c>
      <c r="B6319" s="2" t="s">
        <v>3077</v>
      </c>
      <c r="C6319" s="2">
        <v>1</v>
      </c>
      <c r="D6319" t="str">
        <f t="shared" si="98"/>
        <v>CA-2017-127026_TEC-PH-10003601</v>
      </c>
      <c r="E6319" t="str">
        <f>IF(COUNTIF(data2!$D:$D,D6319)=0,"Missing in Data2","Present")</f>
        <v>Present</v>
      </c>
    </row>
    <row r="6320" spans="1:5" x14ac:dyDescent="0.25">
      <c r="A6320" s="2" t="s">
        <v>5039</v>
      </c>
      <c r="B6320" s="2" t="s">
        <v>1806</v>
      </c>
      <c r="C6320" s="2">
        <v>1</v>
      </c>
      <c r="D6320" t="str">
        <f t="shared" si="98"/>
        <v>CA-2017-127096_FUR-TA-10003473</v>
      </c>
      <c r="E6320" t="str">
        <f>IF(COUNTIF(data2!$D:$D,D6320)=0,"Missing in Data2","Present")</f>
        <v>Present</v>
      </c>
    </row>
    <row r="6321" spans="1:5" x14ac:dyDescent="0.25">
      <c r="A6321" s="2" t="s">
        <v>5040</v>
      </c>
      <c r="B6321" s="2" t="s">
        <v>278</v>
      </c>
      <c r="C6321" s="2">
        <v>5</v>
      </c>
      <c r="D6321" t="str">
        <f t="shared" si="98"/>
        <v>CA-2017-127117_FUR-FU-10004018</v>
      </c>
      <c r="E6321" t="str">
        <f>IF(COUNTIF(data2!$D:$D,D6321)=0,"Missing in Data2","Present")</f>
        <v>Present</v>
      </c>
    </row>
    <row r="6322" spans="1:5" x14ac:dyDescent="0.25">
      <c r="A6322" s="2" t="s">
        <v>5041</v>
      </c>
      <c r="B6322" s="2" t="s">
        <v>758</v>
      </c>
      <c r="C6322" s="2">
        <v>5</v>
      </c>
      <c r="D6322" t="str">
        <f t="shared" si="98"/>
        <v>CA-2017-127180_OFF-EN-10002500</v>
      </c>
      <c r="E6322" t="str">
        <f>IF(COUNTIF(data2!$D:$D,D6322)=0,"Missing in Data2","Present")</f>
        <v>Present</v>
      </c>
    </row>
    <row r="6323" spans="1:5" x14ac:dyDescent="0.25">
      <c r="A6323" s="2" t="s">
        <v>5041</v>
      </c>
      <c r="B6323" s="2" t="s">
        <v>3527</v>
      </c>
      <c r="C6323" s="2">
        <v>4</v>
      </c>
      <c r="D6323" t="str">
        <f t="shared" si="98"/>
        <v>CA-2017-127180_TEC-CO-10004722</v>
      </c>
      <c r="E6323" t="str">
        <f>IF(COUNTIF(data2!$D:$D,D6323)=0,"Missing in Data2","Present")</f>
        <v>Present</v>
      </c>
    </row>
    <row r="6324" spans="1:5" x14ac:dyDescent="0.25">
      <c r="A6324" s="2" t="s">
        <v>5041</v>
      </c>
      <c r="B6324" s="2" t="s">
        <v>1997</v>
      </c>
      <c r="C6324" s="2">
        <v>8</v>
      </c>
      <c r="D6324" t="str">
        <f t="shared" si="98"/>
        <v>CA-2017-127180_TEC-PH-10001494</v>
      </c>
      <c r="E6324" t="str">
        <f>IF(COUNTIF(data2!$D:$D,D6324)=0,"Missing in Data2","Present")</f>
        <v>Present</v>
      </c>
    </row>
    <row r="6325" spans="1:5" x14ac:dyDescent="0.25">
      <c r="A6325" s="2" t="s">
        <v>5041</v>
      </c>
      <c r="B6325" s="2" t="s">
        <v>1940</v>
      </c>
      <c r="C6325" s="2">
        <v>1</v>
      </c>
      <c r="D6325" t="str">
        <f t="shared" si="98"/>
        <v>CA-2017-127180_TEC-PH-10003800</v>
      </c>
      <c r="E6325" t="str">
        <f>IF(COUNTIF(data2!$D:$D,D6325)=0,"Missing in Data2","Present")</f>
        <v>Present</v>
      </c>
    </row>
    <row r="6326" spans="1:5" x14ac:dyDescent="0.25">
      <c r="A6326" s="2" t="s">
        <v>5042</v>
      </c>
      <c r="B6326" s="2" t="s">
        <v>298</v>
      </c>
      <c r="C6326" s="2">
        <v>3</v>
      </c>
      <c r="D6326" t="str">
        <f t="shared" si="98"/>
        <v>CA-2017-127264_OFF-AR-10003045</v>
      </c>
      <c r="E6326" t="str">
        <f>IF(COUNTIF(data2!$D:$D,D6326)=0,"Missing in Data2","Present")</f>
        <v>Present</v>
      </c>
    </row>
    <row r="6327" spans="1:5" x14ac:dyDescent="0.25">
      <c r="A6327" s="2" t="s">
        <v>5043</v>
      </c>
      <c r="B6327" s="2" t="s">
        <v>3126</v>
      </c>
      <c r="C6327" s="2">
        <v>2</v>
      </c>
      <c r="D6327" t="str">
        <f t="shared" si="98"/>
        <v>CA-2017-127285_OFF-BI-10002072</v>
      </c>
      <c r="E6327" t="str">
        <f>IF(COUNTIF(data2!$D:$D,D6327)=0,"Missing in Data2","Present")</f>
        <v>Present</v>
      </c>
    </row>
    <row r="6328" spans="1:5" x14ac:dyDescent="0.25">
      <c r="A6328" s="2" t="s">
        <v>5043</v>
      </c>
      <c r="B6328" s="2" t="s">
        <v>2193</v>
      </c>
      <c r="C6328" s="2">
        <v>3</v>
      </c>
      <c r="D6328" t="str">
        <f t="shared" si="98"/>
        <v>CA-2017-127285_OFF-BI-10004330</v>
      </c>
      <c r="E6328" t="str">
        <f>IF(COUNTIF(data2!$D:$D,D6328)=0,"Missing in Data2","Present")</f>
        <v>Present</v>
      </c>
    </row>
    <row r="6329" spans="1:5" x14ac:dyDescent="0.25">
      <c r="A6329" s="2" t="s">
        <v>5044</v>
      </c>
      <c r="B6329" s="2" t="s">
        <v>2819</v>
      </c>
      <c r="C6329" s="2">
        <v>5</v>
      </c>
      <c r="D6329" t="str">
        <f t="shared" si="98"/>
        <v>CA-2017-127306_OFF-BI-10002003</v>
      </c>
      <c r="E6329" t="str">
        <f>IF(COUNTIF(data2!$D:$D,D6329)=0,"Missing in Data2","Present")</f>
        <v>Present</v>
      </c>
    </row>
    <row r="6330" spans="1:5" x14ac:dyDescent="0.25">
      <c r="A6330" s="2" t="s">
        <v>5044</v>
      </c>
      <c r="B6330" s="2" t="s">
        <v>1526</v>
      </c>
      <c r="C6330" s="2">
        <v>2</v>
      </c>
      <c r="D6330" t="str">
        <f t="shared" si="98"/>
        <v>CA-2017-127306_OFF-BI-10003727</v>
      </c>
      <c r="E6330" t="str">
        <f>IF(COUNTIF(data2!$D:$D,D6330)=0,"Missing in Data2","Present")</f>
        <v>Present</v>
      </c>
    </row>
    <row r="6331" spans="1:5" x14ac:dyDescent="0.25">
      <c r="A6331" s="2" t="s">
        <v>5044</v>
      </c>
      <c r="B6331" s="2" t="s">
        <v>909</v>
      </c>
      <c r="C6331" s="2">
        <v>3</v>
      </c>
      <c r="D6331" t="str">
        <f t="shared" si="98"/>
        <v>CA-2017-127306_OFF-EN-10001219</v>
      </c>
      <c r="E6331" t="str">
        <f>IF(COUNTIF(data2!$D:$D,D6331)=0,"Missing in Data2","Present")</f>
        <v>Present</v>
      </c>
    </row>
    <row r="6332" spans="1:5" x14ac:dyDescent="0.25">
      <c r="A6332" s="2" t="s">
        <v>5044</v>
      </c>
      <c r="B6332" s="2" t="s">
        <v>780</v>
      </c>
      <c r="C6332" s="2">
        <v>7</v>
      </c>
      <c r="D6332" t="str">
        <f t="shared" si="98"/>
        <v>CA-2017-127306_OFF-PA-10000019</v>
      </c>
      <c r="E6332" t="str">
        <f>IF(COUNTIF(data2!$D:$D,D6332)=0,"Missing in Data2","Present")</f>
        <v>Present</v>
      </c>
    </row>
    <row r="6333" spans="1:5" x14ac:dyDescent="0.25">
      <c r="A6333" s="2" t="s">
        <v>5044</v>
      </c>
      <c r="B6333" s="2" t="s">
        <v>4307</v>
      </c>
      <c r="C6333" s="2">
        <v>2</v>
      </c>
      <c r="D6333" t="str">
        <f t="shared" si="98"/>
        <v>CA-2017-127306_TEC-PH-10001924</v>
      </c>
      <c r="E6333" t="str">
        <f>IF(COUNTIF(data2!$D:$D,D6333)=0,"Missing in Data2","Present")</f>
        <v>Present</v>
      </c>
    </row>
    <row r="6334" spans="1:5" x14ac:dyDescent="0.25">
      <c r="A6334" s="2" t="s">
        <v>5045</v>
      </c>
      <c r="B6334" s="2" t="s">
        <v>5046</v>
      </c>
      <c r="C6334" s="2">
        <v>5</v>
      </c>
      <c r="D6334" t="str">
        <f t="shared" si="98"/>
        <v>CA-2017-127313_FUR-FU-10003798</v>
      </c>
      <c r="E6334" t="str">
        <f>IF(COUNTIF(data2!$D:$D,D6334)=0,"Missing in Data2","Present")</f>
        <v>Present</v>
      </c>
    </row>
    <row r="6335" spans="1:5" x14ac:dyDescent="0.25">
      <c r="A6335" s="2" t="s">
        <v>5045</v>
      </c>
      <c r="B6335" s="2" t="s">
        <v>1024</v>
      </c>
      <c r="C6335" s="2">
        <v>3</v>
      </c>
      <c r="D6335" t="str">
        <f t="shared" si="98"/>
        <v>CA-2017-127313_OFF-ST-10001228</v>
      </c>
      <c r="E6335" t="str">
        <f>IF(COUNTIF(data2!$D:$D,D6335)=0,"Missing in Data2","Present")</f>
        <v>Present</v>
      </c>
    </row>
    <row r="6336" spans="1:5" x14ac:dyDescent="0.25">
      <c r="A6336" s="2" t="s">
        <v>5047</v>
      </c>
      <c r="B6336" s="2" t="s">
        <v>781</v>
      </c>
      <c r="C6336" s="2">
        <v>5</v>
      </c>
      <c r="D6336" t="str">
        <f t="shared" si="98"/>
        <v>CA-2017-127397_OFF-PA-10001125</v>
      </c>
      <c r="E6336" t="str">
        <f>IF(COUNTIF(data2!$D:$D,D6336)=0,"Missing in Data2","Present")</f>
        <v>Present</v>
      </c>
    </row>
    <row r="6337" spans="1:5" x14ac:dyDescent="0.25">
      <c r="A6337" s="2" t="s">
        <v>5048</v>
      </c>
      <c r="B6337" s="2" t="s">
        <v>1250</v>
      </c>
      <c r="C6337" s="2">
        <v>2</v>
      </c>
      <c r="D6337" t="str">
        <f t="shared" si="98"/>
        <v>CA-2017-127432_OFF-PA-10001667</v>
      </c>
      <c r="E6337" t="str">
        <f>IF(COUNTIF(data2!$D:$D,D6337)=0,"Missing in Data2","Present")</f>
        <v>Present</v>
      </c>
    </row>
    <row r="6338" spans="1:5" x14ac:dyDescent="0.25">
      <c r="A6338" s="2" t="s">
        <v>5048</v>
      </c>
      <c r="B6338" s="2" t="s">
        <v>1514</v>
      </c>
      <c r="C6338" s="2">
        <v>3</v>
      </c>
      <c r="D6338" t="str">
        <f t="shared" si="98"/>
        <v>CA-2017-127432_OFF-ST-10004459</v>
      </c>
      <c r="E6338" t="str">
        <f>IF(COUNTIF(data2!$D:$D,D6338)=0,"Missing in Data2","Present")</f>
        <v>Present</v>
      </c>
    </row>
    <row r="6339" spans="1:5" x14ac:dyDescent="0.25">
      <c r="A6339" s="2" t="s">
        <v>5048</v>
      </c>
      <c r="B6339" s="2" t="s">
        <v>1772</v>
      </c>
      <c r="C6339" s="2">
        <v>3</v>
      </c>
      <c r="D6339" t="str">
        <f t="shared" ref="D6339:D6402" si="99">A6339&amp;"_"&amp;B6339</f>
        <v>CA-2017-127432_OFF-ST-10004507</v>
      </c>
      <c r="E6339" t="str">
        <f>IF(COUNTIF(data2!$D:$D,D6339)=0,"Missing in Data2","Present")</f>
        <v>Present</v>
      </c>
    </row>
    <row r="6340" spans="1:5" x14ac:dyDescent="0.25">
      <c r="A6340" s="2" t="s">
        <v>5048</v>
      </c>
      <c r="B6340" s="2" t="s">
        <v>4465</v>
      </c>
      <c r="C6340" s="2">
        <v>5</v>
      </c>
      <c r="D6340" t="str">
        <f t="shared" si="99"/>
        <v>CA-2017-127432_TEC-CO-10003236</v>
      </c>
      <c r="E6340" t="str">
        <f>IF(COUNTIF(data2!$D:$D,D6340)=0,"Missing in Data2","Present")</f>
        <v>Present</v>
      </c>
    </row>
    <row r="6341" spans="1:5" x14ac:dyDescent="0.25">
      <c r="A6341" s="2" t="s">
        <v>5049</v>
      </c>
      <c r="B6341" s="2" t="s">
        <v>1360</v>
      </c>
      <c r="C6341" s="2">
        <v>6</v>
      </c>
      <c r="D6341" t="str">
        <f t="shared" si="99"/>
        <v>CA-2017-127460_OFF-ST-10004340</v>
      </c>
      <c r="E6341" t="str">
        <f>IF(COUNTIF(data2!$D:$D,D6341)=0,"Missing in Data2","Present")</f>
        <v>Present</v>
      </c>
    </row>
    <row r="6342" spans="1:5" x14ac:dyDescent="0.25">
      <c r="A6342" s="2" t="s">
        <v>5050</v>
      </c>
      <c r="B6342" s="2" t="s">
        <v>2559</v>
      </c>
      <c r="C6342" s="2">
        <v>1</v>
      </c>
      <c r="D6342" t="str">
        <f t="shared" si="99"/>
        <v>CA-2017-127474_FUR-FU-10004597</v>
      </c>
      <c r="E6342" t="str">
        <f>IF(COUNTIF(data2!$D:$D,D6342)=0,"Missing in Data2","Present")</f>
        <v>Present</v>
      </c>
    </row>
    <row r="6343" spans="1:5" x14ac:dyDescent="0.25">
      <c r="A6343" s="2" t="s">
        <v>5050</v>
      </c>
      <c r="B6343" s="2" t="s">
        <v>1243</v>
      </c>
      <c r="C6343" s="2">
        <v>5</v>
      </c>
      <c r="D6343" t="str">
        <f t="shared" si="99"/>
        <v>CA-2017-127474_OFF-PA-10000418</v>
      </c>
      <c r="E6343" t="str">
        <f>IF(COUNTIF(data2!$D:$D,D6343)=0,"Missing in Data2","Present")</f>
        <v>Present</v>
      </c>
    </row>
    <row r="6344" spans="1:5" x14ac:dyDescent="0.25">
      <c r="A6344" s="2" t="s">
        <v>5050</v>
      </c>
      <c r="B6344" s="2" t="s">
        <v>1435</v>
      </c>
      <c r="C6344" s="2">
        <v>2</v>
      </c>
      <c r="D6344" t="str">
        <f t="shared" si="99"/>
        <v>CA-2017-127474_OFF-PA-10001033</v>
      </c>
      <c r="E6344" t="str">
        <f>IF(COUNTIF(data2!$D:$D,D6344)=0,"Missing in Data2","Present")</f>
        <v>Present</v>
      </c>
    </row>
    <row r="6345" spans="1:5" x14ac:dyDescent="0.25">
      <c r="A6345" s="2" t="s">
        <v>5050</v>
      </c>
      <c r="B6345" s="2" t="s">
        <v>1378</v>
      </c>
      <c r="C6345" s="2">
        <v>1</v>
      </c>
      <c r="D6345" t="str">
        <f t="shared" si="99"/>
        <v>CA-2017-127474_OFF-PA-10001166</v>
      </c>
      <c r="E6345" t="str">
        <f>IF(COUNTIF(data2!$D:$D,D6345)=0,"Missing in Data2","Present")</f>
        <v>Present</v>
      </c>
    </row>
    <row r="6346" spans="1:5" x14ac:dyDescent="0.25">
      <c r="A6346" s="2" t="s">
        <v>5051</v>
      </c>
      <c r="B6346" s="2" t="s">
        <v>299</v>
      </c>
      <c r="C6346" s="2">
        <v>1</v>
      </c>
      <c r="D6346" t="str">
        <f t="shared" si="99"/>
        <v>CA-2017-127516_OFF-ST-10000736</v>
      </c>
      <c r="E6346" t="str">
        <f>IF(COUNTIF(data2!$D:$D,D6346)=0,"Missing in Data2","Present")</f>
        <v>Present</v>
      </c>
    </row>
    <row r="6347" spans="1:5" x14ac:dyDescent="0.25">
      <c r="A6347" s="2" t="s">
        <v>5052</v>
      </c>
      <c r="B6347" s="2" t="s">
        <v>2108</v>
      </c>
      <c r="C6347" s="2">
        <v>8</v>
      </c>
      <c r="D6347" t="str">
        <f t="shared" si="99"/>
        <v>CA-2017-127621_OFF-PA-10001307</v>
      </c>
      <c r="E6347" t="str">
        <f>IF(COUNTIF(data2!$D:$D,D6347)=0,"Missing in Data2","Present")</f>
        <v>Present</v>
      </c>
    </row>
    <row r="6348" spans="1:5" x14ac:dyDescent="0.25">
      <c r="A6348" s="2" t="s">
        <v>5053</v>
      </c>
      <c r="B6348" s="2" t="s">
        <v>2352</v>
      </c>
      <c r="C6348" s="2">
        <v>4</v>
      </c>
      <c r="D6348" t="str">
        <f t="shared" si="99"/>
        <v>CA-2017-127656_OFF-AR-10001166</v>
      </c>
      <c r="E6348" t="str">
        <f>IF(COUNTIF(data2!$D:$D,D6348)=0,"Missing in Data2","Present")</f>
        <v>Present</v>
      </c>
    </row>
    <row r="6349" spans="1:5" x14ac:dyDescent="0.25">
      <c r="A6349" s="2" t="s">
        <v>5054</v>
      </c>
      <c r="B6349" s="2" t="s">
        <v>1772</v>
      </c>
      <c r="C6349" s="2">
        <v>2</v>
      </c>
      <c r="D6349" t="str">
        <f t="shared" si="99"/>
        <v>CA-2017-127705_OFF-ST-10004507</v>
      </c>
      <c r="E6349" t="str">
        <f>IF(COUNTIF(data2!$D:$D,D6349)=0,"Missing in Data2","Present")</f>
        <v>Present</v>
      </c>
    </row>
    <row r="6350" spans="1:5" x14ac:dyDescent="0.25">
      <c r="A6350" s="2" t="s">
        <v>5054</v>
      </c>
      <c r="B6350" s="2" t="s">
        <v>1918</v>
      </c>
      <c r="C6350" s="2">
        <v>1</v>
      </c>
      <c r="D6350" t="str">
        <f t="shared" si="99"/>
        <v>CA-2017-127705_TEC-PH-10000347</v>
      </c>
      <c r="E6350" t="str">
        <f>IF(COUNTIF(data2!$D:$D,D6350)=0,"Missing in Data2","Present")</f>
        <v>Present</v>
      </c>
    </row>
    <row r="6351" spans="1:5" x14ac:dyDescent="0.25">
      <c r="A6351" s="2" t="s">
        <v>5055</v>
      </c>
      <c r="B6351" s="2" t="s">
        <v>1341</v>
      </c>
      <c r="C6351" s="2">
        <v>2</v>
      </c>
      <c r="D6351" t="str">
        <f t="shared" si="99"/>
        <v>CA-2017-127712_OFF-SU-10002522</v>
      </c>
      <c r="E6351" t="str">
        <f>IF(COUNTIF(data2!$D:$D,D6351)=0,"Missing in Data2","Present")</f>
        <v>Missing in Data2</v>
      </c>
    </row>
    <row r="6352" spans="1:5" x14ac:dyDescent="0.25">
      <c r="A6352" s="2" t="s">
        <v>5056</v>
      </c>
      <c r="B6352" s="2" t="s">
        <v>518</v>
      </c>
      <c r="C6352" s="2">
        <v>4</v>
      </c>
      <c r="D6352" t="str">
        <f t="shared" si="99"/>
        <v>CA-2017-127726_OFF-AP-10002578</v>
      </c>
      <c r="E6352" t="str">
        <f>IF(COUNTIF(data2!$D:$D,D6352)=0,"Missing in Data2","Present")</f>
        <v>Present</v>
      </c>
    </row>
    <row r="6353" spans="1:5" x14ac:dyDescent="0.25">
      <c r="A6353" s="2" t="s">
        <v>5056</v>
      </c>
      <c r="B6353" s="2" t="s">
        <v>1653</v>
      </c>
      <c r="C6353" s="2">
        <v>4</v>
      </c>
      <c r="D6353" t="str">
        <f t="shared" si="99"/>
        <v>CA-2017-127726_OFF-FA-10000992</v>
      </c>
      <c r="E6353" t="str">
        <f>IF(COUNTIF(data2!$D:$D,D6353)=0,"Missing in Data2","Present")</f>
        <v>Present</v>
      </c>
    </row>
    <row r="6354" spans="1:5" x14ac:dyDescent="0.25">
      <c r="A6354" s="2" t="s">
        <v>5057</v>
      </c>
      <c r="B6354" s="2" t="s">
        <v>2864</v>
      </c>
      <c r="C6354" s="2">
        <v>1</v>
      </c>
      <c r="D6354" t="str">
        <f t="shared" si="99"/>
        <v>CA-2017-127782_FUR-FU-10001847</v>
      </c>
      <c r="E6354" t="str">
        <f>IF(COUNTIF(data2!$D:$D,D6354)=0,"Missing in Data2","Present")</f>
        <v>Present</v>
      </c>
    </row>
    <row r="6355" spans="1:5" x14ac:dyDescent="0.25">
      <c r="A6355" s="2" t="s">
        <v>5057</v>
      </c>
      <c r="B6355" s="2" t="s">
        <v>725</v>
      </c>
      <c r="C6355" s="2">
        <v>3</v>
      </c>
      <c r="D6355" t="str">
        <f t="shared" si="99"/>
        <v>CA-2017-127782_OFF-AP-10001962</v>
      </c>
      <c r="E6355" t="str">
        <f>IF(COUNTIF(data2!$D:$D,D6355)=0,"Missing in Data2","Present")</f>
        <v>Present</v>
      </c>
    </row>
    <row r="6356" spans="1:5" x14ac:dyDescent="0.25">
      <c r="A6356" s="2" t="s">
        <v>5057</v>
      </c>
      <c r="B6356" s="2" t="s">
        <v>464</v>
      </c>
      <c r="C6356" s="2">
        <v>3</v>
      </c>
      <c r="D6356" t="str">
        <f t="shared" si="99"/>
        <v>CA-2017-127782_OFF-EN-10003845</v>
      </c>
      <c r="E6356" t="str">
        <f>IF(COUNTIF(data2!$D:$D,D6356)=0,"Missing in Data2","Present")</f>
        <v>Present</v>
      </c>
    </row>
    <row r="6357" spans="1:5" x14ac:dyDescent="0.25">
      <c r="A6357" s="2" t="s">
        <v>5057</v>
      </c>
      <c r="B6357" s="2" t="s">
        <v>2598</v>
      </c>
      <c r="C6357" s="2">
        <v>4</v>
      </c>
      <c r="D6357" t="str">
        <f t="shared" si="99"/>
        <v>CA-2017-127782_TEC-PH-10001817</v>
      </c>
      <c r="E6357" t="str">
        <f>IF(COUNTIF(data2!$D:$D,D6357)=0,"Missing in Data2","Present")</f>
        <v>Present</v>
      </c>
    </row>
    <row r="6358" spans="1:5" x14ac:dyDescent="0.25">
      <c r="A6358" s="2" t="s">
        <v>5058</v>
      </c>
      <c r="B6358" s="2" t="s">
        <v>126</v>
      </c>
      <c r="C6358" s="2">
        <v>4</v>
      </c>
      <c r="D6358" t="str">
        <f t="shared" si="99"/>
        <v>CA-2017-127803_OFF-BI-10001787</v>
      </c>
      <c r="E6358" t="str">
        <f>IF(COUNTIF(data2!$D:$D,D6358)=0,"Missing in Data2","Present")</f>
        <v>Present</v>
      </c>
    </row>
    <row r="6359" spans="1:5" x14ac:dyDescent="0.25">
      <c r="A6359" s="2" t="s">
        <v>5059</v>
      </c>
      <c r="B6359" s="2" t="s">
        <v>2143</v>
      </c>
      <c r="C6359" s="2">
        <v>2</v>
      </c>
      <c r="D6359" t="str">
        <f t="shared" si="99"/>
        <v>CA-2017-127922_OFF-EN-10003068</v>
      </c>
      <c r="E6359" t="str">
        <f>IF(COUNTIF(data2!$D:$D,D6359)=0,"Missing in Data2","Present")</f>
        <v>Missing in Data2</v>
      </c>
    </row>
    <row r="6360" spans="1:5" x14ac:dyDescent="0.25">
      <c r="A6360" s="2" t="s">
        <v>5059</v>
      </c>
      <c r="B6360" s="2" t="s">
        <v>1073</v>
      </c>
      <c r="C6360" s="2">
        <v>2</v>
      </c>
      <c r="D6360" t="str">
        <f t="shared" si="99"/>
        <v>CA-2017-127922_OFF-PA-10001204</v>
      </c>
      <c r="E6360" t="str">
        <f>IF(COUNTIF(data2!$D:$D,D6360)=0,"Missing in Data2","Present")</f>
        <v>Present</v>
      </c>
    </row>
    <row r="6361" spans="1:5" x14ac:dyDescent="0.25">
      <c r="A6361" s="2" t="s">
        <v>5060</v>
      </c>
      <c r="B6361" s="2" t="s">
        <v>1768</v>
      </c>
      <c r="C6361" s="2">
        <v>3</v>
      </c>
      <c r="D6361" t="str">
        <f t="shared" si="99"/>
        <v>CA-2017-127929_FUR-FU-10003708</v>
      </c>
      <c r="E6361" t="str">
        <f>IF(COUNTIF(data2!$D:$D,D6361)=0,"Missing in Data2","Present")</f>
        <v>Present</v>
      </c>
    </row>
    <row r="6362" spans="1:5" x14ac:dyDescent="0.25">
      <c r="A6362" s="2" t="s">
        <v>5061</v>
      </c>
      <c r="B6362" s="2" t="s">
        <v>752</v>
      </c>
      <c r="C6362" s="2">
        <v>4</v>
      </c>
      <c r="D6362" t="str">
        <f t="shared" si="99"/>
        <v>CA-2017-128041_FUR-TA-10002607</v>
      </c>
      <c r="E6362" t="str">
        <f>IF(COUNTIF(data2!$D:$D,D6362)=0,"Missing in Data2","Present")</f>
        <v>Present</v>
      </c>
    </row>
    <row r="6363" spans="1:5" x14ac:dyDescent="0.25">
      <c r="A6363" s="2" t="s">
        <v>5061</v>
      </c>
      <c r="B6363" s="2" t="s">
        <v>136</v>
      </c>
      <c r="C6363" s="2">
        <v>4</v>
      </c>
      <c r="D6363" t="str">
        <f t="shared" si="99"/>
        <v>CA-2017-128041_OFF-AP-10001005</v>
      </c>
      <c r="E6363" t="str">
        <f>IF(COUNTIF(data2!$D:$D,D6363)=0,"Missing in Data2","Present")</f>
        <v>Present</v>
      </c>
    </row>
    <row r="6364" spans="1:5" x14ac:dyDescent="0.25">
      <c r="A6364" s="2" t="s">
        <v>5062</v>
      </c>
      <c r="B6364" s="2" t="s">
        <v>5063</v>
      </c>
      <c r="C6364" s="2">
        <v>2</v>
      </c>
      <c r="D6364" t="str">
        <f t="shared" si="99"/>
        <v>CA-2017-128076_FUR-FU-10000293</v>
      </c>
      <c r="E6364" t="str">
        <f>IF(COUNTIF(data2!$D:$D,D6364)=0,"Missing in Data2","Present")</f>
        <v>Present</v>
      </c>
    </row>
    <row r="6365" spans="1:5" x14ac:dyDescent="0.25">
      <c r="A6365" s="2" t="s">
        <v>5062</v>
      </c>
      <c r="B6365" s="2" t="s">
        <v>1137</v>
      </c>
      <c r="C6365" s="2">
        <v>2</v>
      </c>
      <c r="D6365" t="str">
        <f t="shared" si="99"/>
        <v>CA-2017-128076_OFF-BI-10003638</v>
      </c>
      <c r="E6365" t="str">
        <f>IF(COUNTIF(data2!$D:$D,D6365)=0,"Missing in Data2","Present")</f>
        <v>Present</v>
      </c>
    </row>
    <row r="6366" spans="1:5" x14ac:dyDescent="0.25">
      <c r="A6366" s="2" t="s">
        <v>5062</v>
      </c>
      <c r="B6366" s="2" t="s">
        <v>5064</v>
      </c>
      <c r="C6366" s="2">
        <v>2</v>
      </c>
      <c r="D6366" t="str">
        <f t="shared" si="99"/>
        <v>CA-2017-128076_TEC-MA-10002109</v>
      </c>
      <c r="E6366" t="str">
        <f>IF(COUNTIF(data2!$D:$D,D6366)=0,"Missing in Data2","Present")</f>
        <v>Present</v>
      </c>
    </row>
    <row r="6367" spans="1:5" x14ac:dyDescent="0.25">
      <c r="A6367" s="2" t="s">
        <v>5065</v>
      </c>
      <c r="B6367" s="2" t="s">
        <v>1954</v>
      </c>
      <c r="C6367" s="2">
        <v>2</v>
      </c>
      <c r="D6367" t="str">
        <f t="shared" si="99"/>
        <v>CA-2017-128160_OFF-BI-10001510</v>
      </c>
      <c r="E6367" t="str">
        <f>IF(COUNTIF(data2!$D:$D,D6367)=0,"Missing in Data2","Present")</f>
        <v>Present</v>
      </c>
    </row>
    <row r="6368" spans="1:5" x14ac:dyDescent="0.25">
      <c r="A6368" s="2" t="s">
        <v>5066</v>
      </c>
      <c r="B6368" s="2" t="s">
        <v>2110</v>
      </c>
      <c r="C6368" s="2">
        <v>3</v>
      </c>
      <c r="D6368" t="str">
        <f t="shared" si="99"/>
        <v>CA-2017-128265_OFF-ST-10000142</v>
      </c>
      <c r="E6368" t="str">
        <f>IF(COUNTIF(data2!$D:$D,D6368)=0,"Missing in Data2","Present")</f>
        <v>Present</v>
      </c>
    </row>
    <row r="6369" spans="1:5" x14ac:dyDescent="0.25">
      <c r="A6369" s="2" t="s">
        <v>5067</v>
      </c>
      <c r="B6369" s="2" t="s">
        <v>5</v>
      </c>
      <c r="C6369" s="2">
        <v>8</v>
      </c>
      <c r="D6369" t="str">
        <f t="shared" si="99"/>
        <v>CA-2017-128300_OFF-BI-10001597</v>
      </c>
      <c r="E6369" t="str">
        <f>IF(COUNTIF(data2!$D:$D,D6369)=0,"Missing in Data2","Present")</f>
        <v>Present</v>
      </c>
    </row>
    <row r="6370" spans="1:5" x14ac:dyDescent="0.25">
      <c r="A6370" s="2" t="s">
        <v>5067</v>
      </c>
      <c r="B6370" s="2" t="s">
        <v>2306</v>
      </c>
      <c r="C6370" s="2">
        <v>2</v>
      </c>
      <c r="D6370" t="str">
        <f t="shared" si="99"/>
        <v>CA-2017-128300_TEC-PH-10002807</v>
      </c>
      <c r="E6370" t="str">
        <f>IF(COUNTIF(data2!$D:$D,D6370)=0,"Missing in Data2","Present")</f>
        <v>Present</v>
      </c>
    </row>
    <row r="6371" spans="1:5" x14ac:dyDescent="0.25">
      <c r="A6371" s="2" t="s">
        <v>5068</v>
      </c>
      <c r="B6371" s="2" t="s">
        <v>1223</v>
      </c>
      <c r="C6371" s="2">
        <v>6</v>
      </c>
      <c r="D6371" t="str">
        <f t="shared" si="99"/>
        <v>CA-2017-128328_OFF-BI-10001989</v>
      </c>
      <c r="E6371" t="str">
        <f>IF(COUNTIF(data2!$D:$D,D6371)=0,"Missing in Data2","Present")</f>
        <v>Present</v>
      </c>
    </row>
    <row r="6372" spans="1:5" x14ac:dyDescent="0.25">
      <c r="A6372" s="2" t="s">
        <v>5068</v>
      </c>
      <c r="B6372" s="2" t="s">
        <v>1797</v>
      </c>
      <c r="C6372" s="2">
        <v>9</v>
      </c>
      <c r="D6372" t="str">
        <f t="shared" si="99"/>
        <v>CA-2017-128328_OFF-LA-10003498</v>
      </c>
      <c r="E6372" t="str">
        <f>IF(COUNTIF(data2!$D:$D,D6372)=0,"Missing in Data2","Present")</f>
        <v>Present</v>
      </c>
    </row>
    <row r="6373" spans="1:5" x14ac:dyDescent="0.25">
      <c r="A6373" s="2" t="s">
        <v>5069</v>
      </c>
      <c r="B6373" s="2" t="s">
        <v>1493</v>
      </c>
      <c r="C6373" s="2">
        <v>3</v>
      </c>
      <c r="D6373" t="str">
        <f t="shared" si="99"/>
        <v>CA-2017-128335_OFF-EN-10001539</v>
      </c>
      <c r="E6373" t="str">
        <f>IF(COUNTIF(data2!$D:$D,D6373)=0,"Missing in Data2","Present")</f>
        <v>Present</v>
      </c>
    </row>
    <row r="6374" spans="1:5" x14ac:dyDescent="0.25">
      <c r="A6374" s="2" t="s">
        <v>5069</v>
      </c>
      <c r="B6374" s="2" t="s">
        <v>2240</v>
      </c>
      <c r="C6374" s="2">
        <v>5</v>
      </c>
      <c r="D6374" t="str">
        <f t="shared" si="99"/>
        <v>CA-2017-128335_OFF-PA-10004996</v>
      </c>
      <c r="E6374" t="str">
        <f>IF(COUNTIF(data2!$D:$D,D6374)=0,"Missing in Data2","Present")</f>
        <v>Present</v>
      </c>
    </row>
    <row r="6375" spans="1:5" x14ac:dyDescent="0.25">
      <c r="A6375" s="2" t="s">
        <v>5070</v>
      </c>
      <c r="B6375" s="2" t="s">
        <v>2077</v>
      </c>
      <c r="C6375" s="2">
        <v>2</v>
      </c>
      <c r="D6375" t="str">
        <f t="shared" si="99"/>
        <v>CA-2017-128363_FUR-CH-10002073</v>
      </c>
      <c r="E6375" t="str">
        <f>IF(COUNTIF(data2!$D:$D,D6375)=0,"Missing in Data2","Present")</f>
        <v>Present</v>
      </c>
    </row>
    <row r="6376" spans="1:5" x14ac:dyDescent="0.25">
      <c r="A6376" s="2" t="s">
        <v>5070</v>
      </c>
      <c r="B6376" s="2" t="s">
        <v>1781</v>
      </c>
      <c r="C6376" s="2">
        <v>1</v>
      </c>
      <c r="D6376" t="str">
        <f t="shared" si="99"/>
        <v>CA-2017-128363_FUR-FU-10003268</v>
      </c>
      <c r="E6376" t="str">
        <f>IF(COUNTIF(data2!$D:$D,D6376)=0,"Missing in Data2","Present")</f>
        <v>Present</v>
      </c>
    </row>
    <row r="6377" spans="1:5" x14ac:dyDescent="0.25">
      <c r="A6377" s="2" t="s">
        <v>5070</v>
      </c>
      <c r="B6377" s="2" t="s">
        <v>675</v>
      </c>
      <c r="C6377" s="2">
        <v>7</v>
      </c>
      <c r="D6377" t="str">
        <f t="shared" si="99"/>
        <v>CA-2017-128363_OFF-AP-10001563</v>
      </c>
      <c r="E6377" t="str">
        <f>IF(COUNTIF(data2!$D:$D,D6377)=0,"Missing in Data2","Present")</f>
        <v>Present</v>
      </c>
    </row>
    <row r="6378" spans="1:5" x14ac:dyDescent="0.25">
      <c r="A6378" s="2" t="s">
        <v>5070</v>
      </c>
      <c r="B6378" s="2" t="s">
        <v>502</v>
      </c>
      <c r="C6378" s="2">
        <v>6</v>
      </c>
      <c r="D6378" t="str">
        <f t="shared" si="99"/>
        <v>CA-2017-128363_OFF-BI-10001359</v>
      </c>
      <c r="E6378" t="str">
        <f>IF(COUNTIF(data2!$D:$D,D6378)=0,"Missing in Data2","Present")</f>
        <v>Present</v>
      </c>
    </row>
    <row r="6379" spans="1:5" x14ac:dyDescent="0.25">
      <c r="A6379" s="2" t="s">
        <v>5070</v>
      </c>
      <c r="B6379" s="2" t="s">
        <v>464</v>
      </c>
      <c r="C6379" s="2">
        <v>5</v>
      </c>
      <c r="D6379" t="str">
        <f t="shared" si="99"/>
        <v>CA-2017-128363_OFF-EN-10003845</v>
      </c>
      <c r="E6379" t="str">
        <f>IF(COUNTIF(data2!$D:$D,D6379)=0,"Missing in Data2","Present")</f>
        <v>Present</v>
      </c>
    </row>
    <row r="6380" spans="1:5" x14ac:dyDescent="0.25">
      <c r="A6380" s="2" t="s">
        <v>5070</v>
      </c>
      <c r="B6380" s="2" t="s">
        <v>1499</v>
      </c>
      <c r="C6380" s="2">
        <v>5</v>
      </c>
      <c r="D6380" t="str">
        <f t="shared" si="99"/>
        <v>CA-2017-128363_OFF-FA-10003495</v>
      </c>
      <c r="E6380" t="str">
        <f>IF(COUNTIF(data2!$D:$D,D6380)=0,"Missing in Data2","Present")</f>
        <v>Present</v>
      </c>
    </row>
    <row r="6381" spans="1:5" x14ac:dyDescent="0.25">
      <c r="A6381" s="2" t="s">
        <v>5070</v>
      </c>
      <c r="B6381" s="2" t="s">
        <v>553</v>
      </c>
      <c r="C6381" s="2">
        <v>2</v>
      </c>
      <c r="D6381" t="str">
        <f t="shared" si="99"/>
        <v>CA-2017-128363_TEC-AC-10003709</v>
      </c>
      <c r="E6381" t="str">
        <f>IF(COUNTIF(data2!$D:$D,D6381)=0,"Missing in Data2","Present")</f>
        <v>Present</v>
      </c>
    </row>
    <row r="6382" spans="1:5" x14ac:dyDescent="0.25">
      <c r="A6382" s="2" t="s">
        <v>5071</v>
      </c>
      <c r="B6382" s="2" t="s">
        <v>16</v>
      </c>
      <c r="C6382" s="2">
        <v>3</v>
      </c>
      <c r="D6382" t="str">
        <f t="shared" si="99"/>
        <v>CA-2017-128370_FUR-CH-10002602</v>
      </c>
      <c r="E6382" t="str">
        <f>IF(COUNTIF(data2!$D:$D,D6382)=0,"Missing in Data2","Present")</f>
        <v>Present</v>
      </c>
    </row>
    <row r="6383" spans="1:5" x14ac:dyDescent="0.25">
      <c r="A6383" s="2" t="s">
        <v>5071</v>
      </c>
      <c r="B6383" s="2" t="s">
        <v>70</v>
      </c>
      <c r="C6383" s="2">
        <v>2</v>
      </c>
      <c r="D6383" t="str">
        <f t="shared" si="99"/>
        <v>CA-2017-128370_OFF-BI-10004140</v>
      </c>
      <c r="E6383" t="str">
        <f>IF(COUNTIF(data2!$D:$D,D6383)=0,"Missing in Data2","Present")</f>
        <v>Present</v>
      </c>
    </row>
    <row r="6384" spans="1:5" x14ac:dyDescent="0.25">
      <c r="A6384" s="2" t="s">
        <v>5072</v>
      </c>
      <c r="B6384" s="2" t="s">
        <v>1651</v>
      </c>
      <c r="C6384" s="2">
        <v>5</v>
      </c>
      <c r="D6384" t="str">
        <f t="shared" si="99"/>
        <v>CA-2017-128426_OFF-BI-10000756</v>
      </c>
      <c r="E6384" t="str">
        <f>IF(COUNTIF(data2!$D:$D,D6384)=0,"Missing in Data2","Present")</f>
        <v>Present</v>
      </c>
    </row>
    <row r="6385" spans="1:5" x14ac:dyDescent="0.25">
      <c r="A6385" s="2" t="s">
        <v>5073</v>
      </c>
      <c r="B6385" s="2" t="s">
        <v>2371</v>
      </c>
      <c r="C6385" s="2">
        <v>2</v>
      </c>
      <c r="D6385" t="str">
        <f t="shared" si="99"/>
        <v>CA-2017-128475_TEC-AC-10000158</v>
      </c>
      <c r="E6385" t="str">
        <f>IF(COUNTIF(data2!$D:$D,D6385)=0,"Missing in Data2","Present")</f>
        <v>Present</v>
      </c>
    </row>
    <row r="6386" spans="1:5" x14ac:dyDescent="0.25">
      <c r="A6386" s="2" t="s">
        <v>5074</v>
      </c>
      <c r="B6386" s="2" t="s">
        <v>176</v>
      </c>
      <c r="C6386" s="2">
        <v>3</v>
      </c>
      <c r="D6386" t="str">
        <f t="shared" si="99"/>
        <v>CA-2017-128629_FUR-FU-10000771</v>
      </c>
      <c r="E6386" t="str">
        <f>IF(COUNTIF(data2!$D:$D,D6386)=0,"Missing in Data2","Present")</f>
        <v>Present</v>
      </c>
    </row>
    <row r="6387" spans="1:5" x14ac:dyDescent="0.25">
      <c r="A6387" s="2" t="s">
        <v>5075</v>
      </c>
      <c r="B6387" s="2" t="s">
        <v>3755</v>
      </c>
      <c r="C6387" s="2">
        <v>1</v>
      </c>
      <c r="D6387" t="str">
        <f t="shared" si="99"/>
        <v>CA-2017-128699_TEC-AC-10001990</v>
      </c>
      <c r="E6387" t="str">
        <f>IF(COUNTIF(data2!$D:$D,D6387)=0,"Missing in Data2","Present")</f>
        <v>Present</v>
      </c>
    </row>
    <row r="6388" spans="1:5" x14ac:dyDescent="0.25">
      <c r="A6388" s="2" t="s">
        <v>5076</v>
      </c>
      <c r="B6388" s="2" t="s">
        <v>294</v>
      </c>
      <c r="C6388" s="2">
        <v>3</v>
      </c>
      <c r="D6388" t="str">
        <f t="shared" si="99"/>
        <v>CA-2017-128734_FUR-CH-10001394</v>
      </c>
      <c r="E6388" t="str">
        <f>IF(COUNTIF(data2!$D:$D,D6388)=0,"Missing in Data2","Present")</f>
        <v>Present</v>
      </c>
    </row>
    <row r="6389" spans="1:5" x14ac:dyDescent="0.25">
      <c r="A6389" s="2" t="s">
        <v>5076</v>
      </c>
      <c r="B6389" s="2" t="s">
        <v>128</v>
      </c>
      <c r="C6389" s="2">
        <v>4</v>
      </c>
      <c r="D6389" t="str">
        <f t="shared" si="99"/>
        <v>CA-2017-128734_FUR-FU-10001731</v>
      </c>
      <c r="E6389" t="str">
        <f>IF(COUNTIF(data2!$D:$D,D6389)=0,"Missing in Data2","Present")</f>
        <v>Present</v>
      </c>
    </row>
    <row r="6390" spans="1:5" x14ac:dyDescent="0.25">
      <c r="A6390" s="2" t="s">
        <v>5077</v>
      </c>
      <c r="B6390" s="2" t="s">
        <v>2868</v>
      </c>
      <c r="C6390" s="2">
        <v>1</v>
      </c>
      <c r="D6390" t="str">
        <f t="shared" si="99"/>
        <v>CA-2017-128755_OFF-PA-10000726</v>
      </c>
      <c r="E6390" t="str">
        <f>IF(COUNTIF(data2!$D:$D,D6390)=0,"Missing in Data2","Present")</f>
        <v>Present</v>
      </c>
    </row>
    <row r="6391" spans="1:5" x14ac:dyDescent="0.25">
      <c r="A6391" s="2" t="s">
        <v>5077</v>
      </c>
      <c r="B6391" s="2" t="s">
        <v>177</v>
      </c>
      <c r="C6391" s="2">
        <v>5</v>
      </c>
      <c r="D6391" t="str">
        <f t="shared" si="99"/>
        <v>CA-2017-128755_OFF-PA-10004983</v>
      </c>
      <c r="E6391" t="str">
        <f>IF(COUNTIF(data2!$D:$D,D6391)=0,"Missing in Data2","Present")</f>
        <v>Present</v>
      </c>
    </row>
    <row r="6392" spans="1:5" x14ac:dyDescent="0.25">
      <c r="A6392" s="2" t="s">
        <v>5077</v>
      </c>
      <c r="B6392" s="2" t="s">
        <v>2068</v>
      </c>
      <c r="C6392" s="2">
        <v>1</v>
      </c>
      <c r="D6392" t="str">
        <f t="shared" si="99"/>
        <v>CA-2017-128755_OFF-ST-10001291</v>
      </c>
      <c r="E6392" t="str">
        <f>IF(COUNTIF(data2!$D:$D,D6392)=0,"Missing in Data2","Present")</f>
        <v>Present</v>
      </c>
    </row>
    <row r="6393" spans="1:5" x14ac:dyDescent="0.25">
      <c r="A6393" s="2" t="s">
        <v>5077</v>
      </c>
      <c r="B6393" s="2" t="s">
        <v>1291</v>
      </c>
      <c r="C6393" s="2">
        <v>4</v>
      </c>
      <c r="D6393" t="str">
        <f t="shared" si="99"/>
        <v>CA-2017-128755_OFF-ST-10003306</v>
      </c>
      <c r="E6393" t="str">
        <f>IF(COUNTIF(data2!$D:$D,D6393)=0,"Missing in Data2","Present")</f>
        <v>Present</v>
      </c>
    </row>
    <row r="6394" spans="1:5" x14ac:dyDescent="0.25">
      <c r="A6394" s="2" t="s">
        <v>5078</v>
      </c>
      <c r="B6394" s="2" t="s">
        <v>1075</v>
      </c>
      <c r="C6394" s="2">
        <v>2</v>
      </c>
      <c r="D6394" t="str">
        <f t="shared" si="99"/>
        <v>CA-2017-128769_OFF-AP-10001271</v>
      </c>
      <c r="E6394" t="str">
        <f>IF(COUNTIF(data2!$D:$D,D6394)=0,"Missing in Data2","Present")</f>
        <v>Present</v>
      </c>
    </row>
    <row r="6395" spans="1:5" x14ac:dyDescent="0.25">
      <c r="A6395" s="2" t="s">
        <v>5079</v>
      </c>
      <c r="B6395" s="2" t="s">
        <v>991</v>
      </c>
      <c r="C6395" s="2">
        <v>5</v>
      </c>
      <c r="D6395" t="str">
        <f t="shared" si="99"/>
        <v>CA-2017-128783_FUR-FU-10003623</v>
      </c>
      <c r="E6395" t="str">
        <f>IF(COUNTIF(data2!$D:$D,D6395)=0,"Missing in Data2","Present")</f>
        <v>Present</v>
      </c>
    </row>
    <row r="6396" spans="1:5" x14ac:dyDescent="0.25">
      <c r="A6396" s="2" t="s">
        <v>5079</v>
      </c>
      <c r="B6396" s="2" t="s">
        <v>1076</v>
      </c>
      <c r="C6396" s="2">
        <v>4</v>
      </c>
      <c r="D6396" t="str">
        <f t="shared" si="99"/>
        <v>CA-2017-128783_TEC-AC-10002473</v>
      </c>
      <c r="E6396" t="str">
        <f>IF(COUNTIF(data2!$D:$D,D6396)=0,"Missing in Data2","Present")</f>
        <v>Present</v>
      </c>
    </row>
    <row r="6397" spans="1:5" x14ac:dyDescent="0.25">
      <c r="A6397" s="2" t="s">
        <v>5080</v>
      </c>
      <c r="B6397" s="2" t="s">
        <v>1050</v>
      </c>
      <c r="C6397" s="2">
        <v>9</v>
      </c>
      <c r="D6397" t="str">
        <f t="shared" si="99"/>
        <v>CA-2017-128853_FUR-CH-10004218</v>
      </c>
      <c r="E6397" t="str">
        <f>IF(COUNTIF(data2!$D:$D,D6397)=0,"Missing in Data2","Present")</f>
        <v>Present</v>
      </c>
    </row>
    <row r="6398" spans="1:5" x14ac:dyDescent="0.25">
      <c r="A6398" s="2" t="s">
        <v>5081</v>
      </c>
      <c r="B6398" s="2" t="s">
        <v>2213</v>
      </c>
      <c r="C6398" s="2">
        <v>6</v>
      </c>
      <c r="D6398" t="str">
        <f t="shared" si="99"/>
        <v>CA-2017-128944_FUR-CH-10000785</v>
      </c>
      <c r="E6398" t="str">
        <f>IF(COUNTIF(data2!$D:$D,D6398)=0,"Missing in Data2","Present")</f>
        <v>Present</v>
      </c>
    </row>
    <row r="6399" spans="1:5" x14ac:dyDescent="0.25">
      <c r="A6399" s="2" t="s">
        <v>5081</v>
      </c>
      <c r="B6399" s="2" t="s">
        <v>3138</v>
      </c>
      <c r="C6399" s="2">
        <v>3</v>
      </c>
      <c r="D6399" t="str">
        <f t="shared" si="99"/>
        <v>CA-2017-128944_FUR-FU-10004909</v>
      </c>
      <c r="E6399" t="str">
        <f>IF(COUNTIF(data2!$D:$D,D6399)=0,"Missing in Data2","Present")</f>
        <v>Present</v>
      </c>
    </row>
    <row r="6400" spans="1:5" x14ac:dyDescent="0.25">
      <c r="A6400" s="2" t="s">
        <v>5081</v>
      </c>
      <c r="B6400" s="2" t="s">
        <v>1180</v>
      </c>
      <c r="C6400" s="2">
        <v>9</v>
      </c>
      <c r="D6400" t="str">
        <f t="shared" si="99"/>
        <v>CA-2017-128944_TEC-AC-10001553</v>
      </c>
      <c r="E6400" t="str">
        <f>IF(COUNTIF(data2!$D:$D,D6400)=0,"Missing in Data2","Present")</f>
        <v>Present</v>
      </c>
    </row>
    <row r="6401" spans="1:5" x14ac:dyDescent="0.25">
      <c r="A6401" s="2" t="s">
        <v>5082</v>
      </c>
      <c r="B6401" s="2" t="s">
        <v>373</v>
      </c>
      <c r="C6401" s="2">
        <v>3</v>
      </c>
      <c r="D6401" t="str">
        <f t="shared" si="99"/>
        <v>CA-2017-128965_FUR-CH-10003774</v>
      </c>
      <c r="E6401" t="str">
        <f>IF(COUNTIF(data2!$D:$D,D6401)=0,"Missing in Data2","Present")</f>
        <v>Present</v>
      </c>
    </row>
    <row r="6402" spans="1:5" x14ac:dyDescent="0.25">
      <c r="A6402" s="2" t="s">
        <v>5082</v>
      </c>
      <c r="B6402" s="2" t="s">
        <v>1358</v>
      </c>
      <c r="C6402" s="2">
        <v>5</v>
      </c>
      <c r="D6402" t="str">
        <f t="shared" si="99"/>
        <v>CA-2017-128965_OFF-FA-10001561</v>
      </c>
      <c r="E6402" t="str">
        <f>IF(COUNTIF(data2!$D:$D,D6402)=0,"Missing in Data2","Present")</f>
        <v>Present</v>
      </c>
    </row>
    <row r="6403" spans="1:5" x14ac:dyDescent="0.25">
      <c r="A6403" s="2" t="s">
        <v>5082</v>
      </c>
      <c r="B6403" s="2" t="s">
        <v>3936</v>
      </c>
      <c r="C6403" s="2">
        <v>2</v>
      </c>
      <c r="D6403" t="str">
        <f t="shared" ref="D6403:D6466" si="100">A6403&amp;"_"&amp;B6403</f>
        <v>CA-2017-128965_OFF-LA-10001404</v>
      </c>
      <c r="E6403" t="str">
        <f>IF(COUNTIF(data2!$D:$D,D6403)=0,"Missing in Data2","Present")</f>
        <v>Present</v>
      </c>
    </row>
    <row r="6404" spans="1:5" x14ac:dyDescent="0.25">
      <c r="A6404" s="2" t="s">
        <v>5082</v>
      </c>
      <c r="B6404" s="2" t="s">
        <v>2339</v>
      </c>
      <c r="C6404" s="2">
        <v>8</v>
      </c>
      <c r="D6404" t="str">
        <f t="shared" si="100"/>
        <v>CA-2017-128965_OFF-LA-10003190</v>
      </c>
      <c r="E6404" t="str">
        <f>IF(COUNTIF(data2!$D:$D,D6404)=0,"Missing in Data2","Present")</f>
        <v>Present</v>
      </c>
    </row>
    <row r="6405" spans="1:5" x14ac:dyDescent="0.25">
      <c r="A6405" s="2" t="s">
        <v>5082</v>
      </c>
      <c r="B6405" s="2" t="s">
        <v>4400</v>
      </c>
      <c r="C6405" s="2">
        <v>3</v>
      </c>
      <c r="D6405" t="str">
        <f t="shared" si="100"/>
        <v>CA-2017-128965_OFF-PA-10004911</v>
      </c>
      <c r="E6405" t="str">
        <f>IF(COUNTIF(data2!$D:$D,D6405)=0,"Missing in Data2","Present")</f>
        <v>Present</v>
      </c>
    </row>
    <row r="6406" spans="1:5" x14ac:dyDescent="0.25">
      <c r="A6406" s="2" t="s">
        <v>5082</v>
      </c>
      <c r="B6406" s="2" t="s">
        <v>1017</v>
      </c>
      <c r="C6406" s="2">
        <v>11</v>
      </c>
      <c r="D6406" t="str">
        <f t="shared" si="100"/>
        <v>CA-2017-128965_TEC-AC-10001383</v>
      </c>
      <c r="E6406" t="str">
        <f>IF(COUNTIF(data2!$D:$D,D6406)=0,"Missing in Data2","Present")</f>
        <v>Present</v>
      </c>
    </row>
    <row r="6407" spans="1:5" x14ac:dyDescent="0.25">
      <c r="A6407" s="2" t="s">
        <v>5083</v>
      </c>
      <c r="B6407" s="2" t="s">
        <v>763</v>
      </c>
      <c r="C6407" s="2">
        <v>3</v>
      </c>
      <c r="D6407" t="str">
        <f t="shared" si="100"/>
        <v>CA-2017-129000_OFF-ST-10001097</v>
      </c>
      <c r="E6407" t="str">
        <f>IF(COUNTIF(data2!$D:$D,D6407)=0,"Missing in Data2","Present")</f>
        <v>Present</v>
      </c>
    </row>
    <row r="6408" spans="1:5" x14ac:dyDescent="0.25">
      <c r="A6408" s="2" t="s">
        <v>5084</v>
      </c>
      <c r="B6408" s="2" t="s">
        <v>240</v>
      </c>
      <c r="C6408" s="2">
        <v>2</v>
      </c>
      <c r="D6408" t="str">
        <f t="shared" si="100"/>
        <v>CA-2017-129021_FUR-FU-10001852</v>
      </c>
      <c r="E6408" t="str">
        <f>IF(COUNTIF(data2!$D:$D,D6408)=0,"Missing in Data2","Present")</f>
        <v>Present</v>
      </c>
    </row>
    <row r="6409" spans="1:5" x14ac:dyDescent="0.25">
      <c r="A6409" s="2" t="s">
        <v>5084</v>
      </c>
      <c r="B6409" s="2" t="s">
        <v>2830</v>
      </c>
      <c r="C6409" s="2">
        <v>6</v>
      </c>
      <c r="D6409" t="str">
        <f t="shared" si="100"/>
        <v>CA-2017-129021_OFF-AP-10003040</v>
      </c>
      <c r="E6409" t="str">
        <f>IF(COUNTIF(data2!$D:$D,D6409)=0,"Missing in Data2","Present")</f>
        <v>Present</v>
      </c>
    </row>
    <row r="6410" spans="1:5" x14ac:dyDescent="0.25">
      <c r="A6410" s="2" t="s">
        <v>5084</v>
      </c>
      <c r="B6410" s="2" t="s">
        <v>3168</v>
      </c>
      <c r="C6410" s="2">
        <v>2</v>
      </c>
      <c r="D6410" t="str">
        <f t="shared" si="100"/>
        <v>CA-2017-129021_OFF-PA-10000241</v>
      </c>
      <c r="E6410" t="str">
        <f>IF(COUNTIF(data2!$D:$D,D6410)=0,"Missing in Data2","Present")</f>
        <v>Present</v>
      </c>
    </row>
    <row r="6411" spans="1:5" x14ac:dyDescent="0.25">
      <c r="A6411" s="2" t="s">
        <v>5084</v>
      </c>
      <c r="B6411" s="2" t="s">
        <v>984</v>
      </c>
      <c r="C6411" s="2">
        <v>13</v>
      </c>
      <c r="D6411" t="str">
        <f t="shared" si="100"/>
        <v>CA-2017-129021_TEC-PH-10001459</v>
      </c>
      <c r="E6411" t="str">
        <f>IF(COUNTIF(data2!$D:$D,D6411)=0,"Missing in Data2","Present")</f>
        <v>Present</v>
      </c>
    </row>
    <row r="6412" spans="1:5" x14ac:dyDescent="0.25">
      <c r="A6412" s="2" t="s">
        <v>5085</v>
      </c>
      <c r="B6412" s="2" t="s">
        <v>450</v>
      </c>
      <c r="C6412" s="2">
        <v>3</v>
      </c>
      <c r="D6412" t="str">
        <f t="shared" si="100"/>
        <v>CA-2017-129028_FUR-FU-10004006</v>
      </c>
      <c r="E6412" t="str">
        <f>IF(COUNTIF(data2!$D:$D,D6412)=0,"Missing in Data2","Present")</f>
        <v>Present</v>
      </c>
    </row>
    <row r="6413" spans="1:5" x14ac:dyDescent="0.25">
      <c r="A6413" s="2" t="s">
        <v>5086</v>
      </c>
      <c r="B6413" s="2" t="s">
        <v>616</v>
      </c>
      <c r="C6413" s="2">
        <v>3</v>
      </c>
      <c r="D6413" t="str">
        <f t="shared" si="100"/>
        <v>CA-2017-129294_OFF-AP-10001154</v>
      </c>
      <c r="E6413" t="str">
        <f>IF(COUNTIF(data2!$D:$D,D6413)=0,"Missing in Data2","Present")</f>
        <v>Present</v>
      </c>
    </row>
    <row r="6414" spans="1:5" x14ac:dyDescent="0.25">
      <c r="A6414" s="2" t="s">
        <v>5086</v>
      </c>
      <c r="B6414" s="2" t="s">
        <v>1065</v>
      </c>
      <c r="C6414" s="2">
        <v>5</v>
      </c>
      <c r="D6414" t="str">
        <f t="shared" si="100"/>
        <v>CA-2017-129294_OFF-BI-10001757</v>
      </c>
      <c r="E6414" t="str">
        <f>IF(COUNTIF(data2!$D:$D,D6414)=0,"Missing in Data2","Present")</f>
        <v>Present</v>
      </c>
    </row>
    <row r="6415" spans="1:5" x14ac:dyDescent="0.25">
      <c r="A6415" s="2" t="s">
        <v>5086</v>
      </c>
      <c r="B6415" s="2" t="s">
        <v>2913</v>
      </c>
      <c r="C6415" s="2">
        <v>6</v>
      </c>
      <c r="D6415" t="str">
        <f t="shared" si="100"/>
        <v>CA-2017-129294_OFF-BI-10004236</v>
      </c>
      <c r="E6415" t="str">
        <f>IF(COUNTIF(data2!$D:$D,D6415)=0,"Missing in Data2","Present")</f>
        <v>Present</v>
      </c>
    </row>
    <row r="6416" spans="1:5" x14ac:dyDescent="0.25">
      <c r="A6416" s="2" t="s">
        <v>5086</v>
      </c>
      <c r="B6416" s="2" t="s">
        <v>790</v>
      </c>
      <c r="C6416" s="2">
        <v>2</v>
      </c>
      <c r="D6416" t="str">
        <f t="shared" si="100"/>
        <v>CA-2017-129294_OFF-ST-10002615</v>
      </c>
      <c r="E6416" t="str">
        <f>IF(COUNTIF(data2!$D:$D,D6416)=0,"Missing in Data2","Present")</f>
        <v>Present</v>
      </c>
    </row>
    <row r="6417" spans="1:5" x14ac:dyDescent="0.25">
      <c r="A6417" s="2" t="s">
        <v>5087</v>
      </c>
      <c r="B6417" s="2" t="s">
        <v>1052</v>
      </c>
      <c r="C6417" s="2">
        <v>9</v>
      </c>
      <c r="D6417" t="str">
        <f t="shared" si="100"/>
        <v>CA-2017-129357_OFF-PA-10003228</v>
      </c>
      <c r="E6417" t="str">
        <f>IF(COUNTIF(data2!$D:$D,D6417)=0,"Missing in Data2","Present")</f>
        <v>Present</v>
      </c>
    </row>
    <row r="6418" spans="1:5" x14ac:dyDescent="0.25">
      <c r="A6418" s="2" t="s">
        <v>5087</v>
      </c>
      <c r="B6418" s="2" t="s">
        <v>2537</v>
      </c>
      <c r="C6418" s="2">
        <v>5</v>
      </c>
      <c r="D6418" t="str">
        <f t="shared" si="100"/>
        <v>CA-2017-129357_OFF-SU-10004498</v>
      </c>
      <c r="E6418" t="str">
        <f>IF(COUNTIF(data2!$D:$D,D6418)=0,"Missing in Data2","Present")</f>
        <v>Present</v>
      </c>
    </row>
    <row r="6419" spans="1:5" x14ac:dyDescent="0.25">
      <c r="A6419" s="2" t="s">
        <v>5088</v>
      </c>
      <c r="B6419" s="2" t="s">
        <v>555</v>
      </c>
      <c r="C6419" s="2">
        <v>4</v>
      </c>
      <c r="D6419" t="str">
        <f t="shared" si="100"/>
        <v>CA-2017-129378_FUR-CH-10000553</v>
      </c>
      <c r="E6419" t="str">
        <f>IF(COUNTIF(data2!$D:$D,D6419)=0,"Missing in Data2","Present")</f>
        <v>Present</v>
      </c>
    </row>
    <row r="6420" spans="1:5" x14ac:dyDescent="0.25">
      <c r="A6420" s="2" t="s">
        <v>5088</v>
      </c>
      <c r="B6420" s="2" t="s">
        <v>754</v>
      </c>
      <c r="C6420" s="2">
        <v>2</v>
      </c>
      <c r="D6420" t="str">
        <f t="shared" si="100"/>
        <v>CA-2017-129378_OFF-AP-10000576</v>
      </c>
      <c r="E6420" t="str">
        <f>IF(COUNTIF(data2!$D:$D,D6420)=0,"Missing in Data2","Present")</f>
        <v>Present</v>
      </c>
    </row>
    <row r="6421" spans="1:5" x14ac:dyDescent="0.25">
      <c r="A6421" s="2" t="s">
        <v>5088</v>
      </c>
      <c r="B6421" s="2" t="s">
        <v>2648</v>
      </c>
      <c r="C6421" s="2">
        <v>13</v>
      </c>
      <c r="D6421" t="str">
        <f t="shared" si="100"/>
        <v>CA-2017-129378_OFF-BI-10001922</v>
      </c>
      <c r="E6421" t="str">
        <f>IF(COUNTIF(data2!$D:$D,D6421)=0,"Missing in Data2","Present")</f>
        <v>Present</v>
      </c>
    </row>
    <row r="6422" spans="1:5" x14ac:dyDescent="0.25">
      <c r="A6422" s="2" t="s">
        <v>5088</v>
      </c>
      <c r="B6422" s="2" t="s">
        <v>1225</v>
      </c>
      <c r="C6422" s="2">
        <v>1</v>
      </c>
      <c r="D6422" t="str">
        <f t="shared" si="100"/>
        <v>CA-2017-129378_OFF-BI-10002012</v>
      </c>
      <c r="E6422" t="str">
        <f>IF(COUNTIF(data2!$D:$D,D6422)=0,"Missing in Data2","Present")</f>
        <v>Present</v>
      </c>
    </row>
    <row r="6423" spans="1:5" x14ac:dyDescent="0.25">
      <c r="A6423" s="2" t="s">
        <v>5089</v>
      </c>
      <c r="B6423" s="2" t="s">
        <v>2884</v>
      </c>
      <c r="C6423" s="2">
        <v>2</v>
      </c>
      <c r="D6423" t="str">
        <f t="shared" si="100"/>
        <v>CA-2017-129462_FUR-CH-10000665</v>
      </c>
      <c r="E6423" t="str">
        <f>IF(COUNTIF(data2!$D:$D,D6423)=0,"Missing in Data2","Present")</f>
        <v>Present</v>
      </c>
    </row>
    <row r="6424" spans="1:5" x14ac:dyDescent="0.25">
      <c r="A6424" s="2" t="s">
        <v>5089</v>
      </c>
      <c r="B6424" s="2" t="s">
        <v>5090</v>
      </c>
      <c r="C6424" s="2">
        <v>3</v>
      </c>
      <c r="D6424" t="str">
        <f t="shared" si="100"/>
        <v>CA-2017-129462_OFF-AP-10003884</v>
      </c>
      <c r="E6424" t="str">
        <f>IF(COUNTIF(data2!$D:$D,D6424)=0,"Missing in Data2","Present")</f>
        <v>Present</v>
      </c>
    </row>
    <row r="6425" spans="1:5" x14ac:dyDescent="0.25">
      <c r="A6425" s="2" t="s">
        <v>5089</v>
      </c>
      <c r="B6425" s="2" t="s">
        <v>312</v>
      </c>
      <c r="C6425" s="2">
        <v>2</v>
      </c>
      <c r="D6425" t="str">
        <f t="shared" si="100"/>
        <v>CA-2017-129462_TEC-PH-10001557</v>
      </c>
      <c r="E6425" t="str">
        <f>IF(COUNTIF(data2!$D:$D,D6425)=0,"Missing in Data2","Present")</f>
        <v>Present</v>
      </c>
    </row>
    <row r="6426" spans="1:5" x14ac:dyDescent="0.25">
      <c r="A6426" s="2" t="s">
        <v>5089</v>
      </c>
      <c r="B6426" s="2" t="s">
        <v>1664</v>
      </c>
      <c r="C6426" s="2">
        <v>1</v>
      </c>
      <c r="D6426" t="str">
        <f t="shared" si="100"/>
        <v>CA-2017-129462_TEC-PH-10002085</v>
      </c>
      <c r="E6426" t="str">
        <f>IF(COUNTIF(data2!$D:$D,D6426)=0,"Missing in Data2","Present")</f>
        <v>Present</v>
      </c>
    </row>
    <row r="6427" spans="1:5" x14ac:dyDescent="0.25">
      <c r="A6427" s="2" t="s">
        <v>5091</v>
      </c>
      <c r="B6427" s="2" t="s">
        <v>1766</v>
      </c>
      <c r="C6427" s="2">
        <v>4</v>
      </c>
      <c r="D6427" t="str">
        <f t="shared" si="100"/>
        <v>CA-2017-129490_FUR-CH-10003298</v>
      </c>
      <c r="E6427" t="str">
        <f>IF(COUNTIF(data2!$D:$D,D6427)=0,"Missing in Data2","Present")</f>
        <v>Present</v>
      </c>
    </row>
    <row r="6428" spans="1:5" x14ac:dyDescent="0.25">
      <c r="A6428" s="2" t="s">
        <v>5092</v>
      </c>
      <c r="B6428" s="2" t="s">
        <v>2658</v>
      </c>
      <c r="C6428" s="2">
        <v>2</v>
      </c>
      <c r="D6428" t="str">
        <f t="shared" si="100"/>
        <v>CA-2017-129567_OFF-BI-10000014</v>
      </c>
      <c r="E6428" t="str">
        <f>IF(COUNTIF(data2!$D:$D,D6428)=0,"Missing in Data2","Present")</f>
        <v>Present</v>
      </c>
    </row>
    <row r="6429" spans="1:5" x14ac:dyDescent="0.25">
      <c r="A6429" s="2" t="s">
        <v>5093</v>
      </c>
      <c r="B6429" s="2" t="s">
        <v>1914</v>
      </c>
      <c r="C6429" s="2">
        <v>3</v>
      </c>
      <c r="D6429" t="str">
        <f t="shared" si="100"/>
        <v>CA-2017-129581_TEC-PH-10001527</v>
      </c>
      <c r="E6429" t="str">
        <f>IF(COUNTIF(data2!$D:$D,D6429)=0,"Missing in Data2","Present")</f>
        <v>Present</v>
      </c>
    </row>
    <row r="6430" spans="1:5" x14ac:dyDescent="0.25">
      <c r="A6430" s="2" t="s">
        <v>5094</v>
      </c>
      <c r="B6430" s="2" t="s">
        <v>3864</v>
      </c>
      <c r="C6430" s="2">
        <v>4</v>
      </c>
      <c r="D6430" t="str">
        <f t="shared" si="100"/>
        <v>CA-2017-129707_OFF-AR-10000246</v>
      </c>
      <c r="E6430" t="str">
        <f>IF(COUNTIF(data2!$D:$D,D6430)=0,"Missing in Data2","Present")</f>
        <v>Present</v>
      </c>
    </row>
    <row r="6431" spans="1:5" x14ac:dyDescent="0.25">
      <c r="A6431" s="2" t="s">
        <v>5095</v>
      </c>
      <c r="B6431" s="2" t="s">
        <v>2317</v>
      </c>
      <c r="C6431" s="2">
        <v>2</v>
      </c>
      <c r="D6431" t="str">
        <f t="shared" si="100"/>
        <v>CA-2017-129805_FUR-FU-10001935</v>
      </c>
      <c r="E6431" t="str">
        <f>IF(COUNTIF(data2!$D:$D,D6431)=0,"Missing in Data2","Present")</f>
        <v>Present</v>
      </c>
    </row>
    <row r="6432" spans="1:5" x14ac:dyDescent="0.25">
      <c r="A6432" s="2" t="s">
        <v>5096</v>
      </c>
      <c r="B6432" s="2" t="s">
        <v>2322</v>
      </c>
      <c r="C6432" s="2">
        <v>5</v>
      </c>
      <c r="D6432" t="str">
        <f t="shared" si="100"/>
        <v>CA-2017-129833_OFF-BI-10004182</v>
      </c>
      <c r="E6432" t="str">
        <f>IF(COUNTIF(data2!$D:$D,D6432)=0,"Missing in Data2","Present")</f>
        <v>Present</v>
      </c>
    </row>
    <row r="6433" spans="1:5" x14ac:dyDescent="0.25">
      <c r="A6433" s="2" t="s">
        <v>5096</v>
      </c>
      <c r="B6433" s="2" t="s">
        <v>1707</v>
      </c>
      <c r="C6433" s="2">
        <v>5</v>
      </c>
      <c r="D6433" t="str">
        <f t="shared" si="100"/>
        <v>CA-2017-129833_OFF-PA-10000575</v>
      </c>
      <c r="E6433" t="str">
        <f>IF(COUNTIF(data2!$D:$D,D6433)=0,"Missing in Data2","Present")</f>
        <v>Present</v>
      </c>
    </row>
    <row r="6434" spans="1:5" x14ac:dyDescent="0.25">
      <c r="A6434" s="2" t="s">
        <v>5097</v>
      </c>
      <c r="B6434" s="2" t="s">
        <v>2114</v>
      </c>
      <c r="C6434" s="2">
        <v>1</v>
      </c>
      <c r="D6434" t="str">
        <f t="shared" si="100"/>
        <v>CA-2017-129910_OFF-ST-10003282</v>
      </c>
      <c r="E6434" t="str">
        <f>IF(COUNTIF(data2!$D:$D,D6434)=0,"Missing in Data2","Present")</f>
        <v>Present</v>
      </c>
    </row>
    <row r="6435" spans="1:5" x14ac:dyDescent="0.25">
      <c r="A6435" s="2" t="s">
        <v>5098</v>
      </c>
      <c r="B6435" s="2" t="s">
        <v>1428</v>
      </c>
      <c r="C6435" s="2">
        <v>14</v>
      </c>
      <c r="D6435" t="str">
        <f t="shared" si="100"/>
        <v>CA-2017-130036_TEC-AC-10001908</v>
      </c>
      <c r="E6435" t="str">
        <f>IF(COUNTIF(data2!$D:$D,D6435)=0,"Missing in Data2","Present")</f>
        <v>Present</v>
      </c>
    </row>
    <row r="6436" spans="1:5" x14ac:dyDescent="0.25">
      <c r="A6436" s="2" t="s">
        <v>5099</v>
      </c>
      <c r="B6436" s="2" t="s">
        <v>1244</v>
      </c>
      <c r="C6436" s="2">
        <v>8</v>
      </c>
      <c r="D6436" t="str">
        <f t="shared" si="100"/>
        <v>CA-2017-130043_OFF-PA-10002230</v>
      </c>
      <c r="E6436" t="str">
        <f>IF(COUNTIF(data2!$D:$D,D6436)=0,"Missing in Data2","Present")</f>
        <v>Present</v>
      </c>
    </row>
    <row r="6437" spans="1:5" x14ac:dyDescent="0.25">
      <c r="A6437" s="2" t="s">
        <v>5100</v>
      </c>
      <c r="B6437" s="2" t="s">
        <v>971</v>
      </c>
      <c r="C6437" s="2">
        <v>3</v>
      </c>
      <c r="D6437" t="str">
        <f t="shared" si="100"/>
        <v>CA-2017-130106_OFF-AR-10003651</v>
      </c>
      <c r="E6437" t="str">
        <f>IF(COUNTIF(data2!$D:$D,D6437)=0,"Missing in Data2","Present")</f>
        <v>Present</v>
      </c>
    </row>
    <row r="6438" spans="1:5" x14ac:dyDescent="0.25">
      <c r="A6438" s="2" t="s">
        <v>5100</v>
      </c>
      <c r="B6438" s="2" t="s">
        <v>1596</v>
      </c>
      <c r="C6438" s="2">
        <v>1</v>
      </c>
      <c r="D6438" t="str">
        <f t="shared" si="100"/>
        <v>CA-2017-130106_OFF-AR-10003732</v>
      </c>
      <c r="E6438" t="str">
        <f>IF(COUNTIF(data2!$D:$D,D6438)=0,"Missing in Data2","Present")</f>
        <v>Present</v>
      </c>
    </row>
    <row r="6439" spans="1:5" x14ac:dyDescent="0.25">
      <c r="A6439" s="2" t="s">
        <v>5101</v>
      </c>
      <c r="B6439" s="2" t="s">
        <v>1442</v>
      </c>
      <c r="C6439" s="2">
        <v>4</v>
      </c>
      <c r="D6439" t="str">
        <f t="shared" si="100"/>
        <v>CA-2017-130141_FUR-CH-10000749</v>
      </c>
      <c r="E6439" t="str">
        <f>IF(COUNTIF(data2!$D:$D,D6439)=0,"Missing in Data2","Present")</f>
        <v>Present</v>
      </c>
    </row>
    <row r="6440" spans="1:5" x14ac:dyDescent="0.25">
      <c r="A6440" s="2" t="s">
        <v>5101</v>
      </c>
      <c r="B6440" s="2" t="s">
        <v>3699</v>
      </c>
      <c r="C6440" s="2">
        <v>4</v>
      </c>
      <c r="D6440" t="str">
        <f t="shared" si="100"/>
        <v>CA-2017-130141_OFF-BI-10000831</v>
      </c>
      <c r="E6440" t="str">
        <f>IF(COUNTIF(data2!$D:$D,D6440)=0,"Missing in Data2","Present")</f>
        <v>Present</v>
      </c>
    </row>
    <row r="6441" spans="1:5" x14ac:dyDescent="0.25">
      <c r="A6441" s="2" t="s">
        <v>5102</v>
      </c>
      <c r="B6441" s="2" t="s">
        <v>3837</v>
      </c>
      <c r="C6441" s="2">
        <v>6</v>
      </c>
      <c r="D6441" t="str">
        <f t="shared" si="100"/>
        <v>CA-2017-130148_OFF-PA-10000551</v>
      </c>
      <c r="E6441" t="str">
        <f>IF(COUNTIF(data2!$D:$D,D6441)=0,"Missing in Data2","Present")</f>
        <v>Present</v>
      </c>
    </row>
    <row r="6442" spans="1:5" x14ac:dyDescent="0.25">
      <c r="A6442" s="2" t="s">
        <v>5102</v>
      </c>
      <c r="B6442" s="2" t="s">
        <v>911</v>
      </c>
      <c r="C6442" s="2">
        <v>2</v>
      </c>
      <c r="D6442" t="str">
        <f t="shared" si="100"/>
        <v>CA-2017-130148_OFF-SU-10001574</v>
      </c>
      <c r="E6442" t="str">
        <f>IF(COUNTIF(data2!$D:$D,D6442)=0,"Missing in Data2","Present")</f>
        <v>Present</v>
      </c>
    </row>
    <row r="6443" spans="1:5" x14ac:dyDescent="0.25">
      <c r="A6443" s="2" t="s">
        <v>5103</v>
      </c>
      <c r="B6443" s="2" t="s">
        <v>1427</v>
      </c>
      <c r="C6443" s="2">
        <v>2</v>
      </c>
      <c r="D6443" t="str">
        <f t="shared" si="100"/>
        <v>CA-2017-130211_FUR-TA-10003748</v>
      </c>
      <c r="E6443" t="str">
        <f>IF(COUNTIF(data2!$D:$D,D6443)=0,"Missing in Data2","Present")</f>
        <v>Present</v>
      </c>
    </row>
    <row r="6444" spans="1:5" x14ac:dyDescent="0.25">
      <c r="A6444" s="2" t="s">
        <v>5103</v>
      </c>
      <c r="B6444" s="2" t="s">
        <v>2397</v>
      </c>
      <c r="C6444" s="2">
        <v>3</v>
      </c>
      <c r="D6444" t="str">
        <f t="shared" si="100"/>
        <v>CA-2017-130211_OFF-ST-10000129</v>
      </c>
      <c r="E6444" t="str">
        <f>IF(COUNTIF(data2!$D:$D,D6444)=0,"Missing in Data2","Present")</f>
        <v>Present</v>
      </c>
    </row>
    <row r="6445" spans="1:5" x14ac:dyDescent="0.25">
      <c r="A6445" s="2" t="s">
        <v>5104</v>
      </c>
      <c r="B6445" s="2" t="s">
        <v>1823</v>
      </c>
      <c r="C6445" s="2">
        <v>7</v>
      </c>
      <c r="D6445" t="str">
        <f t="shared" si="100"/>
        <v>CA-2017-130302_TEC-AC-10002001</v>
      </c>
      <c r="E6445" t="str">
        <f>IF(COUNTIF(data2!$D:$D,D6445)=0,"Missing in Data2","Present")</f>
        <v>Missing in Data2</v>
      </c>
    </row>
    <row r="6446" spans="1:5" x14ac:dyDescent="0.25">
      <c r="A6446" s="2" t="s">
        <v>5105</v>
      </c>
      <c r="B6446" s="2" t="s">
        <v>550</v>
      </c>
      <c r="C6446" s="2">
        <v>3</v>
      </c>
      <c r="D6446" t="str">
        <f t="shared" si="100"/>
        <v>CA-2017-130309_OFF-ST-10003208</v>
      </c>
      <c r="E6446" t="str">
        <f>IF(COUNTIF(data2!$D:$D,D6446)=0,"Missing in Data2","Present")</f>
        <v>Present</v>
      </c>
    </row>
    <row r="6447" spans="1:5" x14ac:dyDescent="0.25">
      <c r="A6447" s="2" t="s">
        <v>5106</v>
      </c>
      <c r="B6447" s="2" t="s">
        <v>3148</v>
      </c>
      <c r="C6447" s="2">
        <v>3</v>
      </c>
      <c r="D6447" t="str">
        <f t="shared" si="100"/>
        <v>CA-2017-130351_OFF-AP-10004532</v>
      </c>
      <c r="E6447" t="str">
        <f>IF(COUNTIF(data2!$D:$D,D6447)=0,"Missing in Data2","Present")</f>
        <v>Present</v>
      </c>
    </row>
    <row r="6448" spans="1:5" x14ac:dyDescent="0.25">
      <c r="A6448" s="2" t="s">
        <v>5106</v>
      </c>
      <c r="B6448" s="2" t="s">
        <v>1590</v>
      </c>
      <c r="C6448" s="2">
        <v>5</v>
      </c>
      <c r="D6448" t="str">
        <f t="shared" si="100"/>
        <v>CA-2017-130351_OFF-PA-10002137</v>
      </c>
      <c r="E6448" t="str">
        <f>IF(COUNTIF(data2!$D:$D,D6448)=0,"Missing in Data2","Present")</f>
        <v>Present</v>
      </c>
    </row>
    <row r="6449" spans="1:5" x14ac:dyDescent="0.25">
      <c r="A6449" s="2" t="s">
        <v>5106</v>
      </c>
      <c r="B6449" s="2" t="s">
        <v>877</v>
      </c>
      <c r="C6449" s="2">
        <v>3</v>
      </c>
      <c r="D6449" t="str">
        <f t="shared" si="100"/>
        <v>CA-2017-130351_TEC-AC-10003832</v>
      </c>
      <c r="E6449" t="str">
        <f>IF(COUNTIF(data2!$D:$D,D6449)=0,"Missing in Data2","Present")</f>
        <v>Present</v>
      </c>
    </row>
    <row r="6450" spans="1:5" x14ac:dyDescent="0.25">
      <c r="A6450" s="2" t="s">
        <v>5107</v>
      </c>
      <c r="B6450" s="2" t="s">
        <v>5108</v>
      </c>
      <c r="C6450" s="2">
        <v>3</v>
      </c>
      <c r="D6450" t="str">
        <f t="shared" si="100"/>
        <v>CA-2017-130386_OFF-PA-10002749</v>
      </c>
      <c r="E6450" t="str">
        <f>IF(COUNTIF(data2!$D:$D,D6450)=0,"Missing in Data2","Present")</f>
        <v>Present</v>
      </c>
    </row>
    <row r="6451" spans="1:5" x14ac:dyDescent="0.25">
      <c r="A6451" s="2" t="s">
        <v>5107</v>
      </c>
      <c r="B6451" s="2" t="s">
        <v>645</v>
      </c>
      <c r="C6451" s="2">
        <v>9</v>
      </c>
      <c r="D6451" t="str">
        <f t="shared" si="100"/>
        <v>CA-2017-130386_OFF-PA-10003823</v>
      </c>
      <c r="E6451" t="str">
        <f>IF(COUNTIF(data2!$D:$D,D6451)=0,"Missing in Data2","Present")</f>
        <v>Present</v>
      </c>
    </row>
    <row r="6452" spans="1:5" x14ac:dyDescent="0.25">
      <c r="A6452" s="2" t="s">
        <v>5107</v>
      </c>
      <c r="B6452" s="2" t="s">
        <v>495</v>
      </c>
      <c r="C6452" s="2">
        <v>3</v>
      </c>
      <c r="D6452" t="str">
        <f t="shared" si="100"/>
        <v>CA-2017-130386_OFF-ST-10003716</v>
      </c>
      <c r="E6452" t="str">
        <f>IF(COUNTIF(data2!$D:$D,D6452)=0,"Missing in Data2","Present")</f>
        <v>Present</v>
      </c>
    </row>
    <row r="6453" spans="1:5" x14ac:dyDescent="0.25">
      <c r="A6453" s="2" t="s">
        <v>5109</v>
      </c>
      <c r="B6453" s="2" t="s">
        <v>1116</v>
      </c>
      <c r="C6453" s="2">
        <v>3</v>
      </c>
      <c r="D6453" t="str">
        <f t="shared" si="100"/>
        <v>CA-2017-130505_FUR-TA-10001932</v>
      </c>
      <c r="E6453" t="str">
        <f>IF(COUNTIF(data2!$D:$D,D6453)=0,"Missing in Data2","Present")</f>
        <v>Present</v>
      </c>
    </row>
    <row r="6454" spans="1:5" x14ac:dyDescent="0.25">
      <c r="A6454" s="2" t="s">
        <v>5110</v>
      </c>
      <c r="B6454" s="2" t="s">
        <v>1815</v>
      </c>
      <c r="C6454" s="2">
        <v>8</v>
      </c>
      <c r="D6454" t="str">
        <f t="shared" si="100"/>
        <v>CA-2017-130526_OFF-BI-10001524</v>
      </c>
      <c r="E6454" t="str">
        <f>IF(COUNTIF(data2!$D:$D,D6454)=0,"Missing in Data2","Present")</f>
        <v>Present</v>
      </c>
    </row>
    <row r="6455" spans="1:5" x14ac:dyDescent="0.25">
      <c r="A6455" s="2" t="s">
        <v>5111</v>
      </c>
      <c r="B6455" s="2" t="s">
        <v>2996</v>
      </c>
      <c r="C6455" s="2">
        <v>2</v>
      </c>
      <c r="D6455" t="str">
        <f t="shared" si="100"/>
        <v>CA-2017-130631_FUR-FU-10004093</v>
      </c>
      <c r="E6455" t="str">
        <f>IF(COUNTIF(data2!$D:$D,D6455)=0,"Missing in Data2","Present")</f>
        <v>Present</v>
      </c>
    </row>
    <row r="6456" spans="1:5" x14ac:dyDescent="0.25">
      <c r="A6456" s="2" t="s">
        <v>5111</v>
      </c>
      <c r="B6456" s="2" t="s">
        <v>5112</v>
      </c>
      <c r="C6456" s="2">
        <v>5</v>
      </c>
      <c r="D6456" t="str">
        <f t="shared" si="100"/>
        <v>CA-2017-130631_OFF-FA-10000089</v>
      </c>
      <c r="E6456" t="str">
        <f>IF(COUNTIF(data2!$D:$D,D6456)=0,"Missing in Data2","Present")</f>
        <v>Present</v>
      </c>
    </row>
    <row r="6457" spans="1:5" x14ac:dyDescent="0.25">
      <c r="A6457" s="2" t="s">
        <v>5113</v>
      </c>
      <c r="B6457" s="2" t="s">
        <v>993</v>
      </c>
      <c r="C6457" s="2">
        <v>5</v>
      </c>
      <c r="D6457" t="str">
        <f t="shared" si="100"/>
        <v>CA-2017-130715_OFF-FA-10000621</v>
      </c>
      <c r="E6457" t="str">
        <f>IF(COUNTIF(data2!$D:$D,D6457)=0,"Missing in Data2","Present")</f>
        <v>Present</v>
      </c>
    </row>
    <row r="6458" spans="1:5" x14ac:dyDescent="0.25">
      <c r="A6458" s="2" t="s">
        <v>5114</v>
      </c>
      <c r="B6458" s="2" t="s">
        <v>1562</v>
      </c>
      <c r="C6458" s="2">
        <v>5</v>
      </c>
      <c r="D6458" t="str">
        <f t="shared" si="100"/>
        <v>CA-2017-130764_FUR-BO-10003034</v>
      </c>
      <c r="E6458" t="str">
        <f>IF(COUNTIF(data2!$D:$D,D6458)=0,"Missing in Data2","Present")</f>
        <v>Present</v>
      </c>
    </row>
    <row r="6459" spans="1:5" x14ac:dyDescent="0.25">
      <c r="A6459" s="2" t="s">
        <v>5114</v>
      </c>
      <c r="B6459" s="2" t="s">
        <v>1934</v>
      </c>
      <c r="C6459" s="2">
        <v>4</v>
      </c>
      <c r="D6459" t="str">
        <f t="shared" si="100"/>
        <v>CA-2017-130764_TEC-PH-10003215</v>
      </c>
      <c r="E6459" t="str">
        <f>IF(COUNTIF(data2!$D:$D,D6459)=0,"Missing in Data2","Present")</f>
        <v>Present</v>
      </c>
    </row>
    <row r="6460" spans="1:5" x14ac:dyDescent="0.25">
      <c r="A6460" s="2" t="s">
        <v>5115</v>
      </c>
      <c r="B6460" s="2" t="s">
        <v>1395</v>
      </c>
      <c r="C6460" s="2">
        <v>2</v>
      </c>
      <c r="D6460" t="str">
        <f t="shared" si="100"/>
        <v>CA-2017-130771_OFF-FA-10003059</v>
      </c>
      <c r="E6460" t="str">
        <f>IF(COUNTIF(data2!$D:$D,D6460)=0,"Missing in Data2","Present")</f>
        <v>Present</v>
      </c>
    </row>
    <row r="6461" spans="1:5" x14ac:dyDescent="0.25">
      <c r="A6461" s="2" t="s">
        <v>5115</v>
      </c>
      <c r="B6461" s="2" t="s">
        <v>2176</v>
      </c>
      <c r="C6461" s="2">
        <v>1</v>
      </c>
      <c r="D6461" t="str">
        <f t="shared" si="100"/>
        <v>CA-2017-130771_TEC-PH-10002496</v>
      </c>
      <c r="E6461" t="str">
        <f>IF(COUNTIF(data2!$D:$D,D6461)=0,"Missing in Data2","Present")</f>
        <v>Present</v>
      </c>
    </row>
    <row r="6462" spans="1:5" x14ac:dyDescent="0.25">
      <c r="A6462" s="2" t="s">
        <v>5116</v>
      </c>
      <c r="B6462" s="2" t="s">
        <v>4498</v>
      </c>
      <c r="C6462" s="2">
        <v>3</v>
      </c>
      <c r="D6462" t="str">
        <f t="shared" si="100"/>
        <v>CA-2017-130834_OFF-PA-10003673</v>
      </c>
      <c r="E6462" t="str">
        <f>IF(COUNTIF(data2!$D:$D,D6462)=0,"Missing in Data2","Present")</f>
        <v>Present</v>
      </c>
    </row>
    <row r="6463" spans="1:5" x14ac:dyDescent="0.25">
      <c r="A6463" s="2" t="s">
        <v>5117</v>
      </c>
      <c r="B6463" s="2" t="s">
        <v>1152</v>
      </c>
      <c r="C6463" s="2">
        <v>4</v>
      </c>
      <c r="D6463" t="str">
        <f t="shared" si="100"/>
        <v>CA-2017-130841_OFF-BI-10000145</v>
      </c>
      <c r="E6463" t="str">
        <f>IF(COUNTIF(data2!$D:$D,D6463)=0,"Missing in Data2","Present")</f>
        <v>Present</v>
      </c>
    </row>
    <row r="6464" spans="1:5" x14ac:dyDescent="0.25">
      <c r="A6464" s="2" t="s">
        <v>5117</v>
      </c>
      <c r="B6464" s="2" t="s">
        <v>3335</v>
      </c>
      <c r="C6464" s="2">
        <v>1</v>
      </c>
      <c r="D6464" t="str">
        <f t="shared" si="100"/>
        <v>CA-2017-130841_OFF-ST-10001580</v>
      </c>
      <c r="E6464" t="str">
        <f>IF(COUNTIF(data2!$D:$D,D6464)=0,"Missing in Data2","Present")</f>
        <v>Present</v>
      </c>
    </row>
    <row r="6465" spans="1:5" x14ac:dyDescent="0.25">
      <c r="A6465" s="2" t="s">
        <v>5117</v>
      </c>
      <c r="B6465" s="2" t="s">
        <v>2598</v>
      </c>
      <c r="C6465" s="2">
        <v>4</v>
      </c>
      <c r="D6465" t="str">
        <f t="shared" si="100"/>
        <v>CA-2017-130841_TEC-PH-10001817</v>
      </c>
      <c r="E6465" t="str">
        <f>IF(COUNTIF(data2!$D:$D,D6465)=0,"Missing in Data2","Present")</f>
        <v>Missing in Data2</v>
      </c>
    </row>
    <row r="6466" spans="1:5" x14ac:dyDescent="0.25">
      <c r="A6466" s="2" t="s">
        <v>5118</v>
      </c>
      <c r="B6466" s="2" t="s">
        <v>104</v>
      </c>
      <c r="C6466" s="2">
        <v>8</v>
      </c>
      <c r="D6466" t="str">
        <f t="shared" si="100"/>
        <v>CA-2017-130904_OFF-AR-10000127</v>
      </c>
      <c r="E6466" t="str">
        <f>IF(COUNTIF(data2!$D:$D,D6466)=0,"Missing in Data2","Present")</f>
        <v>Present</v>
      </c>
    </row>
    <row r="6467" spans="1:5" x14ac:dyDescent="0.25">
      <c r="A6467" s="2" t="s">
        <v>5118</v>
      </c>
      <c r="B6467" s="2" t="s">
        <v>4683</v>
      </c>
      <c r="C6467" s="2">
        <v>1</v>
      </c>
      <c r="D6467" t="str">
        <f t="shared" ref="D6467:D6530" si="101">A6467&amp;"_"&amp;B6467</f>
        <v>CA-2017-130904_OFF-AR-10000422</v>
      </c>
      <c r="E6467" t="str">
        <f>IF(COUNTIF(data2!$D:$D,D6467)=0,"Missing in Data2","Present")</f>
        <v>Present</v>
      </c>
    </row>
    <row r="6468" spans="1:5" x14ac:dyDescent="0.25">
      <c r="A6468" s="2" t="s">
        <v>5119</v>
      </c>
      <c r="B6468" s="2" t="s">
        <v>1588</v>
      </c>
      <c r="C6468" s="2">
        <v>3</v>
      </c>
      <c r="D6468" t="str">
        <f t="shared" si="101"/>
        <v>CA-2017-130967_TEC-PH-10004896</v>
      </c>
      <c r="E6468" t="str">
        <f>IF(COUNTIF(data2!$D:$D,D6468)=0,"Missing in Data2","Present")</f>
        <v>Present</v>
      </c>
    </row>
    <row r="6469" spans="1:5" x14ac:dyDescent="0.25">
      <c r="A6469" s="2" t="s">
        <v>5120</v>
      </c>
      <c r="B6469" s="2" t="s">
        <v>701</v>
      </c>
      <c r="C6469" s="2">
        <v>2</v>
      </c>
      <c r="D6469" t="str">
        <f t="shared" si="101"/>
        <v>CA-2017-131016_OFF-AR-10000122</v>
      </c>
      <c r="E6469" t="str">
        <f>IF(COUNTIF(data2!$D:$D,D6469)=0,"Missing in Data2","Present")</f>
        <v>Present</v>
      </c>
    </row>
    <row r="6470" spans="1:5" x14ac:dyDescent="0.25">
      <c r="A6470" s="2" t="s">
        <v>5120</v>
      </c>
      <c r="B6470" s="2" t="s">
        <v>4144</v>
      </c>
      <c r="C6470" s="2">
        <v>2</v>
      </c>
      <c r="D6470" t="str">
        <f t="shared" si="101"/>
        <v>CA-2017-131016_OFF-ST-10000352</v>
      </c>
      <c r="E6470" t="str">
        <f>IF(COUNTIF(data2!$D:$D,D6470)=0,"Missing in Data2","Present")</f>
        <v>Present</v>
      </c>
    </row>
    <row r="6471" spans="1:5" x14ac:dyDescent="0.25">
      <c r="A6471" s="2" t="s">
        <v>5121</v>
      </c>
      <c r="B6471" s="2" t="s">
        <v>1733</v>
      </c>
      <c r="C6471" s="2">
        <v>1</v>
      </c>
      <c r="D6471" t="str">
        <f t="shared" si="101"/>
        <v>CA-2017-131037_FUR-TA-10001768</v>
      </c>
      <c r="E6471" t="str">
        <f>IF(COUNTIF(data2!$D:$D,D6471)=0,"Missing in Data2","Present")</f>
        <v>Present</v>
      </c>
    </row>
    <row r="6472" spans="1:5" x14ac:dyDescent="0.25">
      <c r="A6472" s="2" t="s">
        <v>5122</v>
      </c>
      <c r="B6472" s="2" t="s">
        <v>661</v>
      </c>
      <c r="C6472" s="2">
        <v>4</v>
      </c>
      <c r="D6472" t="str">
        <f t="shared" si="101"/>
        <v>CA-2017-131156_FUR-FU-10001940</v>
      </c>
      <c r="E6472" t="str">
        <f>IF(COUNTIF(data2!$D:$D,D6472)=0,"Missing in Data2","Present")</f>
        <v>Present</v>
      </c>
    </row>
    <row r="6473" spans="1:5" x14ac:dyDescent="0.25">
      <c r="A6473" s="2" t="s">
        <v>5123</v>
      </c>
      <c r="B6473" s="2" t="s">
        <v>1152</v>
      </c>
      <c r="C6473" s="2">
        <v>6</v>
      </c>
      <c r="D6473" t="str">
        <f t="shared" si="101"/>
        <v>CA-2017-131212_OFF-BI-10000145</v>
      </c>
      <c r="E6473" t="str">
        <f>IF(COUNTIF(data2!$D:$D,D6473)=0,"Missing in Data2","Present")</f>
        <v>Present</v>
      </c>
    </row>
    <row r="6474" spans="1:5" x14ac:dyDescent="0.25">
      <c r="A6474" s="2" t="s">
        <v>5123</v>
      </c>
      <c r="B6474" s="2" t="s">
        <v>509</v>
      </c>
      <c r="C6474" s="2">
        <v>3</v>
      </c>
      <c r="D6474" t="str">
        <f t="shared" si="101"/>
        <v>CA-2017-131212_OFF-BI-10001617</v>
      </c>
      <c r="E6474" t="str">
        <f>IF(COUNTIF(data2!$D:$D,D6474)=0,"Missing in Data2","Present")</f>
        <v>Missing in Data2</v>
      </c>
    </row>
    <row r="6475" spans="1:5" x14ac:dyDescent="0.25">
      <c r="A6475" s="2" t="s">
        <v>5124</v>
      </c>
      <c r="B6475" s="2" t="s">
        <v>419</v>
      </c>
      <c r="C6475" s="2">
        <v>3</v>
      </c>
      <c r="D6475" t="str">
        <f t="shared" si="101"/>
        <v>CA-2017-131233_OFF-BI-10000829</v>
      </c>
      <c r="E6475" t="str">
        <f>IF(COUNTIF(data2!$D:$D,D6475)=0,"Missing in Data2","Present")</f>
        <v>Present</v>
      </c>
    </row>
    <row r="6476" spans="1:5" x14ac:dyDescent="0.25">
      <c r="A6476" s="2" t="s">
        <v>5125</v>
      </c>
      <c r="B6476" s="2" t="s">
        <v>373</v>
      </c>
      <c r="C6476" s="2">
        <v>3</v>
      </c>
      <c r="D6476" t="str">
        <f t="shared" si="101"/>
        <v>CA-2017-131254_FUR-CH-10003774</v>
      </c>
      <c r="E6476" t="str">
        <f>IF(COUNTIF(data2!$D:$D,D6476)=0,"Missing in Data2","Present")</f>
        <v>Present</v>
      </c>
    </row>
    <row r="6477" spans="1:5" x14ac:dyDescent="0.25">
      <c r="A6477" s="2" t="s">
        <v>5125</v>
      </c>
      <c r="B6477" s="2" t="s">
        <v>1541</v>
      </c>
      <c r="C6477" s="2">
        <v>5</v>
      </c>
      <c r="D6477" t="str">
        <f t="shared" si="101"/>
        <v>CA-2017-131254_OFF-AR-10003876</v>
      </c>
      <c r="E6477" t="str">
        <f>IF(COUNTIF(data2!$D:$D,D6477)=0,"Missing in Data2","Present")</f>
        <v>Present</v>
      </c>
    </row>
    <row r="6478" spans="1:5" x14ac:dyDescent="0.25">
      <c r="A6478" s="2" t="s">
        <v>5125</v>
      </c>
      <c r="B6478" s="2" t="s">
        <v>907</v>
      </c>
      <c r="C6478" s="2">
        <v>6</v>
      </c>
      <c r="D6478" t="str">
        <f t="shared" si="101"/>
        <v>CA-2017-131254_OFF-BI-10003527</v>
      </c>
      <c r="E6478" t="str">
        <f>IF(COUNTIF(data2!$D:$D,D6478)=0,"Missing in Data2","Present")</f>
        <v>Present</v>
      </c>
    </row>
    <row r="6479" spans="1:5" x14ac:dyDescent="0.25">
      <c r="A6479" s="2" t="s">
        <v>5126</v>
      </c>
      <c r="B6479" s="2" t="s">
        <v>5127</v>
      </c>
      <c r="C6479" s="2">
        <v>5</v>
      </c>
      <c r="D6479" t="str">
        <f t="shared" si="101"/>
        <v>CA-2017-131282_OFF-AR-10003087</v>
      </c>
      <c r="E6479" t="str">
        <f>IF(COUNTIF(data2!$D:$D,D6479)=0,"Missing in Data2","Present")</f>
        <v>Present</v>
      </c>
    </row>
    <row r="6480" spans="1:5" x14ac:dyDescent="0.25">
      <c r="A6480" s="2" t="s">
        <v>5126</v>
      </c>
      <c r="B6480" s="2" t="s">
        <v>820</v>
      </c>
      <c r="C6480" s="2">
        <v>4</v>
      </c>
      <c r="D6480" t="str">
        <f t="shared" si="101"/>
        <v>CA-2017-131282_OFF-BI-10004632</v>
      </c>
      <c r="E6480" t="str">
        <f>IF(COUNTIF(data2!$D:$D,D6480)=0,"Missing in Data2","Present")</f>
        <v>Present</v>
      </c>
    </row>
    <row r="6481" spans="1:5" x14ac:dyDescent="0.25">
      <c r="A6481" s="2" t="s">
        <v>5128</v>
      </c>
      <c r="B6481" s="2" t="s">
        <v>540</v>
      </c>
      <c r="C6481" s="2">
        <v>5</v>
      </c>
      <c r="D6481" t="str">
        <f t="shared" si="101"/>
        <v>CA-2017-131303_OFF-LA-10001074</v>
      </c>
      <c r="E6481" t="str">
        <f>IF(COUNTIF(data2!$D:$D,D6481)=0,"Missing in Data2","Present")</f>
        <v>Present</v>
      </c>
    </row>
    <row r="6482" spans="1:5" x14ac:dyDescent="0.25">
      <c r="A6482" s="2" t="s">
        <v>5129</v>
      </c>
      <c r="B6482" s="2" t="s">
        <v>3212</v>
      </c>
      <c r="C6482" s="2">
        <v>2</v>
      </c>
      <c r="D6482" t="str">
        <f t="shared" si="101"/>
        <v>CA-2017-131366_TEC-PH-10003437</v>
      </c>
      <c r="E6482" t="str">
        <f>IF(COUNTIF(data2!$D:$D,D6482)=0,"Missing in Data2","Present")</f>
        <v>Present</v>
      </c>
    </row>
    <row r="6483" spans="1:5" x14ac:dyDescent="0.25">
      <c r="A6483" s="2" t="s">
        <v>5130</v>
      </c>
      <c r="B6483" s="2" t="s">
        <v>1276</v>
      </c>
      <c r="C6483" s="2">
        <v>2</v>
      </c>
      <c r="D6483" t="str">
        <f t="shared" si="101"/>
        <v>CA-2017-131492_FUR-FU-10003878</v>
      </c>
      <c r="E6483" t="str">
        <f>IF(COUNTIF(data2!$D:$D,D6483)=0,"Missing in Data2","Present")</f>
        <v>Present</v>
      </c>
    </row>
    <row r="6484" spans="1:5" x14ac:dyDescent="0.25">
      <c r="A6484" s="2" t="s">
        <v>5130</v>
      </c>
      <c r="B6484" s="2" t="s">
        <v>1973</v>
      </c>
      <c r="C6484" s="2">
        <v>2</v>
      </c>
      <c r="D6484" t="str">
        <f t="shared" si="101"/>
        <v>CA-2017-131492_FUR-TA-10003837</v>
      </c>
      <c r="E6484" t="str">
        <f>IF(COUNTIF(data2!$D:$D,D6484)=0,"Missing in Data2","Present")</f>
        <v>Present</v>
      </c>
    </row>
    <row r="6485" spans="1:5" x14ac:dyDescent="0.25">
      <c r="A6485" s="2" t="s">
        <v>5130</v>
      </c>
      <c r="B6485" s="2" t="s">
        <v>4097</v>
      </c>
      <c r="C6485" s="2">
        <v>2</v>
      </c>
      <c r="D6485" t="str">
        <f t="shared" si="101"/>
        <v>CA-2017-131492_OFF-EN-10002973</v>
      </c>
      <c r="E6485" t="str">
        <f>IF(COUNTIF(data2!$D:$D,D6485)=0,"Missing in Data2","Present")</f>
        <v>Present</v>
      </c>
    </row>
    <row r="6486" spans="1:5" x14ac:dyDescent="0.25">
      <c r="A6486" s="2" t="s">
        <v>5130</v>
      </c>
      <c r="B6486" s="2" t="s">
        <v>215</v>
      </c>
      <c r="C6486" s="2">
        <v>10</v>
      </c>
      <c r="D6486" t="str">
        <f t="shared" si="101"/>
        <v>CA-2017-131492_OFF-LA-10001641</v>
      </c>
      <c r="E6486" t="str">
        <f>IF(COUNTIF(data2!$D:$D,D6486)=0,"Missing in Data2","Present")</f>
        <v>Present</v>
      </c>
    </row>
    <row r="6487" spans="1:5" x14ac:dyDescent="0.25">
      <c r="A6487" s="2" t="s">
        <v>5131</v>
      </c>
      <c r="B6487" s="2" t="s">
        <v>1636</v>
      </c>
      <c r="C6487" s="2">
        <v>4</v>
      </c>
      <c r="D6487" t="str">
        <f t="shared" si="101"/>
        <v>CA-2017-131618_OFF-BI-10000546</v>
      </c>
      <c r="E6487" t="str">
        <f>IF(COUNTIF(data2!$D:$D,D6487)=0,"Missing in Data2","Present")</f>
        <v>Present</v>
      </c>
    </row>
    <row r="6488" spans="1:5" x14ac:dyDescent="0.25">
      <c r="A6488" s="2" t="s">
        <v>5131</v>
      </c>
      <c r="B6488" s="2" t="s">
        <v>604</v>
      </c>
      <c r="C6488" s="2">
        <v>4</v>
      </c>
      <c r="D6488" t="str">
        <f t="shared" si="101"/>
        <v>CA-2017-131618_OFF-BI-10001294</v>
      </c>
      <c r="E6488" t="str">
        <f>IF(COUNTIF(data2!$D:$D,D6488)=0,"Missing in Data2","Present")</f>
        <v>Present</v>
      </c>
    </row>
    <row r="6489" spans="1:5" x14ac:dyDescent="0.25">
      <c r="A6489" s="2" t="s">
        <v>5131</v>
      </c>
      <c r="B6489" s="2" t="s">
        <v>3399</v>
      </c>
      <c r="C6489" s="2">
        <v>2</v>
      </c>
      <c r="D6489" t="str">
        <f t="shared" si="101"/>
        <v>CA-2017-131618_OFF-PA-10001892</v>
      </c>
      <c r="E6489" t="str">
        <f>IF(COUNTIF(data2!$D:$D,D6489)=0,"Missing in Data2","Present")</f>
        <v>Present</v>
      </c>
    </row>
    <row r="6490" spans="1:5" x14ac:dyDescent="0.25">
      <c r="A6490" s="2" t="s">
        <v>5132</v>
      </c>
      <c r="B6490" s="2" t="s">
        <v>4018</v>
      </c>
      <c r="C6490" s="2">
        <v>5</v>
      </c>
      <c r="D6490" t="str">
        <f t="shared" si="101"/>
        <v>CA-2017-131625_FUR-FU-10004960</v>
      </c>
      <c r="E6490" t="str">
        <f>IF(COUNTIF(data2!$D:$D,D6490)=0,"Missing in Data2","Present")</f>
        <v>Present</v>
      </c>
    </row>
    <row r="6491" spans="1:5" x14ac:dyDescent="0.25">
      <c r="A6491" s="2" t="s">
        <v>5133</v>
      </c>
      <c r="B6491" s="2" t="s">
        <v>971</v>
      </c>
      <c r="C6491" s="2">
        <v>2</v>
      </c>
      <c r="D6491" t="str">
        <f t="shared" si="101"/>
        <v>CA-2017-131632_OFF-AR-10003651</v>
      </c>
      <c r="E6491" t="str">
        <f>IF(COUNTIF(data2!$D:$D,D6491)=0,"Missing in Data2","Present")</f>
        <v>Present</v>
      </c>
    </row>
    <row r="6492" spans="1:5" x14ac:dyDescent="0.25">
      <c r="A6492" s="2" t="s">
        <v>5134</v>
      </c>
      <c r="B6492" s="2" t="s">
        <v>1623</v>
      </c>
      <c r="C6492" s="2">
        <v>2</v>
      </c>
      <c r="D6492" t="str">
        <f t="shared" si="101"/>
        <v>CA-2017-131653_OFF-LA-10001045</v>
      </c>
      <c r="E6492" t="str">
        <f>IF(COUNTIF(data2!$D:$D,D6492)=0,"Missing in Data2","Present")</f>
        <v>Present</v>
      </c>
    </row>
    <row r="6493" spans="1:5" x14ac:dyDescent="0.25">
      <c r="A6493" s="2" t="s">
        <v>5135</v>
      </c>
      <c r="B6493" s="2" t="s">
        <v>3956</v>
      </c>
      <c r="C6493" s="2">
        <v>1</v>
      </c>
      <c r="D6493" t="str">
        <f t="shared" si="101"/>
        <v>CA-2017-131695_FUR-FU-10002045</v>
      </c>
      <c r="E6493" t="str">
        <f>IF(COUNTIF(data2!$D:$D,D6493)=0,"Missing in Data2","Present")</f>
        <v>Present</v>
      </c>
    </row>
    <row r="6494" spans="1:5" x14ac:dyDescent="0.25">
      <c r="A6494" s="2" t="s">
        <v>5135</v>
      </c>
      <c r="B6494" s="2" t="s">
        <v>2565</v>
      </c>
      <c r="C6494" s="2">
        <v>7</v>
      </c>
      <c r="D6494" t="str">
        <f t="shared" si="101"/>
        <v>CA-2017-131695_OFF-ST-10001476</v>
      </c>
      <c r="E6494" t="str">
        <f>IF(COUNTIF(data2!$D:$D,D6494)=0,"Missing in Data2","Present")</f>
        <v>Present</v>
      </c>
    </row>
    <row r="6495" spans="1:5" x14ac:dyDescent="0.25">
      <c r="A6495" s="2" t="s">
        <v>5136</v>
      </c>
      <c r="B6495" s="2" t="s">
        <v>3465</v>
      </c>
      <c r="C6495" s="2">
        <v>4</v>
      </c>
      <c r="D6495" t="str">
        <f t="shared" si="101"/>
        <v>CA-2017-131807_FUR-CH-10001190</v>
      </c>
      <c r="E6495" t="str">
        <f>IF(COUNTIF(data2!$D:$D,D6495)=0,"Missing in Data2","Present")</f>
        <v>Present</v>
      </c>
    </row>
    <row r="6496" spans="1:5" x14ac:dyDescent="0.25">
      <c r="A6496" s="2" t="s">
        <v>5136</v>
      </c>
      <c r="B6496" s="2" t="s">
        <v>1814</v>
      </c>
      <c r="C6496" s="2">
        <v>5</v>
      </c>
      <c r="D6496" t="str">
        <f t="shared" si="101"/>
        <v>CA-2017-131807_FUR-FU-10004666</v>
      </c>
      <c r="E6496" t="str">
        <f>IF(COUNTIF(data2!$D:$D,D6496)=0,"Missing in Data2","Present")</f>
        <v>Present</v>
      </c>
    </row>
    <row r="6497" spans="1:5" x14ac:dyDescent="0.25">
      <c r="A6497" s="2" t="s">
        <v>5136</v>
      </c>
      <c r="B6497" s="2" t="s">
        <v>1100</v>
      </c>
      <c r="C6497" s="2">
        <v>3</v>
      </c>
      <c r="D6497" t="str">
        <f t="shared" si="101"/>
        <v>CA-2017-131807_FUR-TA-10004086</v>
      </c>
      <c r="E6497" t="str">
        <f>IF(COUNTIF(data2!$D:$D,D6497)=0,"Missing in Data2","Present")</f>
        <v>Missing in Data2</v>
      </c>
    </row>
    <row r="6498" spans="1:5" x14ac:dyDescent="0.25">
      <c r="A6498" s="2" t="s">
        <v>5136</v>
      </c>
      <c r="B6498" s="2" t="s">
        <v>704</v>
      </c>
      <c r="C6498" s="2">
        <v>1</v>
      </c>
      <c r="D6498" t="str">
        <f t="shared" si="101"/>
        <v>CA-2017-131807_TEC-PH-10000702</v>
      </c>
      <c r="E6498" t="str">
        <f>IF(COUNTIF(data2!$D:$D,D6498)=0,"Missing in Data2","Present")</f>
        <v>Present</v>
      </c>
    </row>
    <row r="6499" spans="1:5" x14ac:dyDescent="0.25">
      <c r="A6499" s="2" t="s">
        <v>5137</v>
      </c>
      <c r="B6499" s="2" t="s">
        <v>193</v>
      </c>
      <c r="C6499" s="2">
        <v>4</v>
      </c>
      <c r="D6499" t="str">
        <f t="shared" si="101"/>
        <v>CA-2017-131828_FUR-CH-10004495</v>
      </c>
      <c r="E6499" t="str">
        <f>IF(COUNTIF(data2!$D:$D,D6499)=0,"Missing in Data2","Present")</f>
        <v>Present</v>
      </c>
    </row>
    <row r="6500" spans="1:5" x14ac:dyDescent="0.25">
      <c r="A6500" s="2" t="s">
        <v>5137</v>
      </c>
      <c r="B6500" s="2" t="s">
        <v>82</v>
      </c>
      <c r="C6500" s="2">
        <v>3</v>
      </c>
      <c r="D6500" t="str">
        <f t="shared" si="101"/>
        <v>CA-2017-131828_TEC-PH-10002923</v>
      </c>
      <c r="E6500" t="str">
        <f>IF(COUNTIF(data2!$D:$D,D6500)=0,"Missing in Data2","Present")</f>
        <v>Present</v>
      </c>
    </row>
    <row r="6501" spans="1:5" x14ac:dyDescent="0.25">
      <c r="A6501" s="2" t="s">
        <v>5138</v>
      </c>
      <c r="B6501" s="2" t="s">
        <v>3607</v>
      </c>
      <c r="C6501" s="2">
        <v>1</v>
      </c>
      <c r="D6501" t="str">
        <f t="shared" si="101"/>
        <v>CA-2017-131954_FUR-BO-10001619</v>
      </c>
      <c r="E6501" t="str">
        <f>IF(COUNTIF(data2!$D:$D,D6501)=0,"Missing in Data2","Present")</f>
        <v>Present</v>
      </c>
    </row>
    <row r="6502" spans="1:5" x14ac:dyDescent="0.25">
      <c r="A6502" s="2" t="s">
        <v>5138</v>
      </c>
      <c r="B6502" s="2" t="s">
        <v>1490</v>
      </c>
      <c r="C6502" s="2">
        <v>5</v>
      </c>
      <c r="D6502" t="str">
        <f t="shared" si="101"/>
        <v>CA-2017-131954_OFF-BI-10000138</v>
      </c>
      <c r="E6502" t="str">
        <f>IF(COUNTIF(data2!$D:$D,D6502)=0,"Missing in Data2","Present")</f>
        <v>Present</v>
      </c>
    </row>
    <row r="6503" spans="1:5" x14ac:dyDescent="0.25">
      <c r="A6503" s="2" t="s">
        <v>5138</v>
      </c>
      <c r="B6503" s="2" t="s">
        <v>485</v>
      </c>
      <c r="C6503" s="2">
        <v>4</v>
      </c>
      <c r="D6503" t="str">
        <f t="shared" si="101"/>
        <v>CA-2017-131954_OFF-BI-10003291</v>
      </c>
      <c r="E6503" t="str">
        <f>IF(COUNTIF(data2!$D:$D,D6503)=0,"Missing in Data2","Present")</f>
        <v>Present</v>
      </c>
    </row>
    <row r="6504" spans="1:5" x14ac:dyDescent="0.25">
      <c r="A6504" s="2" t="s">
        <v>5138</v>
      </c>
      <c r="B6504" s="2" t="s">
        <v>1117</v>
      </c>
      <c r="C6504" s="2">
        <v>6</v>
      </c>
      <c r="D6504" t="str">
        <f t="shared" si="101"/>
        <v>CA-2017-131954_OFF-BI-10003982</v>
      </c>
      <c r="E6504" t="str">
        <f>IF(COUNTIF(data2!$D:$D,D6504)=0,"Missing in Data2","Present")</f>
        <v>Present</v>
      </c>
    </row>
    <row r="6505" spans="1:5" x14ac:dyDescent="0.25">
      <c r="A6505" s="2" t="s">
        <v>5138</v>
      </c>
      <c r="B6505" s="2" t="s">
        <v>299</v>
      </c>
      <c r="C6505" s="2">
        <v>3</v>
      </c>
      <c r="D6505" t="str">
        <f t="shared" si="101"/>
        <v>CA-2017-131954_OFF-ST-10000736</v>
      </c>
      <c r="E6505" t="str">
        <f>IF(COUNTIF(data2!$D:$D,D6505)=0,"Missing in Data2","Present")</f>
        <v>Present</v>
      </c>
    </row>
    <row r="6506" spans="1:5" x14ac:dyDescent="0.25">
      <c r="A6506" s="2" t="s">
        <v>5138</v>
      </c>
      <c r="B6506" s="2" t="s">
        <v>4060</v>
      </c>
      <c r="C6506" s="2">
        <v>3</v>
      </c>
      <c r="D6506" t="str">
        <f t="shared" si="101"/>
        <v>CA-2017-131954_TEC-AC-10003610</v>
      </c>
      <c r="E6506" t="str">
        <f>IF(COUNTIF(data2!$D:$D,D6506)=0,"Missing in Data2","Present")</f>
        <v>Present</v>
      </c>
    </row>
    <row r="6507" spans="1:5" x14ac:dyDescent="0.25">
      <c r="A6507" s="2" t="s">
        <v>5139</v>
      </c>
      <c r="B6507" s="2" t="s">
        <v>1800</v>
      </c>
      <c r="C6507" s="2">
        <v>5</v>
      </c>
      <c r="D6507" t="str">
        <f t="shared" si="101"/>
        <v>CA-2017-132122_OFF-ST-10003692</v>
      </c>
      <c r="E6507" t="str">
        <f>IF(COUNTIF(data2!$D:$D,D6507)=0,"Missing in Data2","Present")</f>
        <v>Present</v>
      </c>
    </row>
    <row r="6508" spans="1:5" x14ac:dyDescent="0.25">
      <c r="A6508" s="2" t="s">
        <v>5140</v>
      </c>
      <c r="B6508" s="2" t="s">
        <v>1657</v>
      </c>
      <c r="C6508" s="2">
        <v>8</v>
      </c>
      <c r="D6508" t="str">
        <f t="shared" si="101"/>
        <v>CA-2017-132178_OFF-ST-10000025</v>
      </c>
      <c r="E6508" t="str">
        <f>IF(COUNTIF(data2!$D:$D,D6508)=0,"Missing in Data2","Present")</f>
        <v>Present</v>
      </c>
    </row>
    <row r="6509" spans="1:5" x14ac:dyDescent="0.25">
      <c r="A6509" s="2" t="s">
        <v>5140</v>
      </c>
      <c r="B6509" s="2" t="s">
        <v>1471</v>
      </c>
      <c r="C6509" s="2">
        <v>2</v>
      </c>
      <c r="D6509" t="str">
        <f t="shared" si="101"/>
        <v>CA-2017-132178_OFF-ST-10000464</v>
      </c>
      <c r="E6509" t="str">
        <f>IF(COUNTIF(data2!$D:$D,D6509)=0,"Missing in Data2","Present")</f>
        <v>Present</v>
      </c>
    </row>
    <row r="6510" spans="1:5" x14ac:dyDescent="0.25">
      <c r="A6510" s="2" t="s">
        <v>5141</v>
      </c>
      <c r="B6510" s="2" t="s">
        <v>2238</v>
      </c>
      <c r="C6510" s="2">
        <v>1</v>
      </c>
      <c r="D6510" t="str">
        <f t="shared" si="101"/>
        <v>CA-2017-132185_OFF-AP-10001205</v>
      </c>
      <c r="E6510" t="str">
        <f>IF(COUNTIF(data2!$D:$D,D6510)=0,"Missing in Data2","Present")</f>
        <v>Present</v>
      </c>
    </row>
    <row r="6511" spans="1:5" x14ac:dyDescent="0.25">
      <c r="A6511" s="2" t="s">
        <v>5141</v>
      </c>
      <c r="B6511" s="2" t="s">
        <v>4683</v>
      </c>
      <c r="C6511" s="2">
        <v>5</v>
      </c>
      <c r="D6511" t="str">
        <f t="shared" si="101"/>
        <v>CA-2017-132185_OFF-AR-10000422</v>
      </c>
      <c r="E6511" t="str">
        <f>IF(COUNTIF(data2!$D:$D,D6511)=0,"Missing in Data2","Present")</f>
        <v>Present</v>
      </c>
    </row>
    <row r="6512" spans="1:5" x14ac:dyDescent="0.25">
      <c r="A6512" s="2" t="s">
        <v>5142</v>
      </c>
      <c r="B6512" s="2" t="s">
        <v>4523</v>
      </c>
      <c r="C6512" s="2">
        <v>2</v>
      </c>
      <c r="D6512" t="str">
        <f t="shared" si="101"/>
        <v>CA-2017-132199_FUR-FU-10004245</v>
      </c>
      <c r="E6512" t="str">
        <f>IF(COUNTIF(data2!$D:$D,D6512)=0,"Missing in Data2","Present")</f>
        <v>Present</v>
      </c>
    </row>
    <row r="6513" spans="1:5" x14ac:dyDescent="0.25">
      <c r="A6513" s="2" t="s">
        <v>5142</v>
      </c>
      <c r="B6513" s="2" t="s">
        <v>1427</v>
      </c>
      <c r="C6513" s="2">
        <v>5</v>
      </c>
      <c r="D6513" t="str">
        <f t="shared" si="101"/>
        <v>CA-2017-132199_FUR-TA-10003748</v>
      </c>
      <c r="E6513" t="str">
        <f>IF(COUNTIF(data2!$D:$D,D6513)=0,"Missing in Data2","Present")</f>
        <v>Present</v>
      </c>
    </row>
    <row r="6514" spans="1:5" x14ac:dyDescent="0.25">
      <c r="A6514" s="2" t="s">
        <v>5142</v>
      </c>
      <c r="B6514" s="2" t="s">
        <v>229</v>
      </c>
      <c r="C6514" s="2">
        <v>4</v>
      </c>
      <c r="D6514" t="str">
        <f t="shared" si="101"/>
        <v>CA-2017-132199_OFF-BI-10003684</v>
      </c>
      <c r="E6514" t="str">
        <f>IF(COUNTIF(data2!$D:$D,D6514)=0,"Missing in Data2","Present")</f>
        <v>Present</v>
      </c>
    </row>
    <row r="6515" spans="1:5" x14ac:dyDescent="0.25">
      <c r="A6515" s="2" t="s">
        <v>5142</v>
      </c>
      <c r="B6515" s="2" t="s">
        <v>913</v>
      </c>
      <c r="C6515" s="2">
        <v>2</v>
      </c>
      <c r="D6515" t="str">
        <f t="shared" si="101"/>
        <v>CA-2017-132199_OFF-FA-10002280</v>
      </c>
      <c r="E6515" t="str">
        <f>IF(COUNTIF(data2!$D:$D,D6515)=0,"Missing in Data2","Present")</f>
        <v>Present</v>
      </c>
    </row>
    <row r="6516" spans="1:5" x14ac:dyDescent="0.25">
      <c r="A6516" s="2" t="s">
        <v>5143</v>
      </c>
      <c r="B6516" s="2" t="s">
        <v>3156</v>
      </c>
      <c r="C6516" s="2">
        <v>5</v>
      </c>
      <c r="D6516" t="str">
        <f t="shared" si="101"/>
        <v>CA-2017-132213_OFF-AR-10001958</v>
      </c>
      <c r="E6516" t="str">
        <f>IF(COUNTIF(data2!$D:$D,D6516)=0,"Missing in Data2","Present")</f>
        <v>Present</v>
      </c>
    </row>
    <row r="6517" spans="1:5" x14ac:dyDescent="0.25">
      <c r="A6517" s="2" t="s">
        <v>5143</v>
      </c>
      <c r="B6517" s="2" t="s">
        <v>1096</v>
      </c>
      <c r="C6517" s="2">
        <v>9</v>
      </c>
      <c r="D6517" t="str">
        <f t="shared" si="101"/>
        <v>CA-2017-132213_OFF-AR-10004078</v>
      </c>
      <c r="E6517" t="str">
        <f>IF(COUNTIF(data2!$D:$D,D6517)=0,"Missing in Data2","Present")</f>
        <v>Present</v>
      </c>
    </row>
    <row r="6518" spans="1:5" x14ac:dyDescent="0.25">
      <c r="A6518" s="2" t="s">
        <v>5144</v>
      </c>
      <c r="B6518" s="2" t="s">
        <v>2378</v>
      </c>
      <c r="C6518" s="2">
        <v>13</v>
      </c>
      <c r="D6518" t="str">
        <f t="shared" si="101"/>
        <v>CA-2017-132234_FUR-FU-10001290</v>
      </c>
      <c r="E6518" t="str">
        <f>IF(COUNTIF(data2!$D:$D,D6518)=0,"Missing in Data2","Present")</f>
        <v>Present</v>
      </c>
    </row>
    <row r="6519" spans="1:5" x14ac:dyDescent="0.25">
      <c r="A6519" s="2" t="s">
        <v>5145</v>
      </c>
      <c r="B6519" s="2" t="s">
        <v>2371</v>
      </c>
      <c r="C6519" s="2">
        <v>2</v>
      </c>
      <c r="D6519" t="str">
        <f t="shared" si="101"/>
        <v>CA-2017-132262_TEC-AC-10000158</v>
      </c>
      <c r="E6519" t="str">
        <f>IF(COUNTIF(data2!$D:$D,D6519)=0,"Missing in Data2","Present")</f>
        <v>Present</v>
      </c>
    </row>
    <row r="6520" spans="1:5" x14ac:dyDescent="0.25">
      <c r="A6520" s="2" t="s">
        <v>5145</v>
      </c>
      <c r="B6520" s="2" t="s">
        <v>1063</v>
      </c>
      <c r="C6520" s="2">
        <v>2</v>
      </c>
      <c r="D6520" t="str">
        <f t="shared" si="101"/>
        <v>CA-2017-132262_TEC-AC-10000303</v>
      </c>
      <c r="E6520" t="str">
        <f>IF(COUNTIF(data2!$D:$D,D6520)=0,"Missing in Data2","Present")</f>
        <v>Present</v>
      </c>
    </row>
    <row r="6521" spans="1:5" x14ac:dyDescent="0.25">
      <c r="A6521" s="2" t="s">
        <v>5146</v>
      </c>
      <c r="B6521" s="2" t="s">
        <v>1537</v>
      </c>
      <c r="C6521" s="2">
        <v>4</v>
      </c>
      <c r="D6521" t="str">
        <f t="shared" si="101"/>
        <v>CA-2017-132290_FUR-TA-10002228</v>
      </c>
      <c r="E6521" t="str">
        <f>IF(COUNTIF(data2!$D:$D,D6521)=0,"Missing in Data2","Present")</f>
        <v>Present</v>
      </c>
    </row>
    <row r="6522" spans="1:5" x14ac:dyDescent="0.25">
      <c r="A6522" s="2" t="s">
        <v>5147</v>
      </c>
      <c r="B6522" s="2" t="s">
        <v>601</v>
      </c>
      <c r="C6522" s="2">
        <v>1</v>
      </c>
      <c r="D6522" t="str">
        <f t="shared" si="101"/>
        <v>CA-2017-132339_OFF-BI-10003925</v>
      </c>
      <c r="E6522" t="str">
        <f>IF(COUNTIF(data2!$D:$D,D6522)=0,"Missing in Data2","Present")</f>
        <v>Present</v>
      </c>
    </row>
    <row r="6523" spans="1:5" x14ac:dyDescent="0.25">
      <c r="A6523" s="2" t="s">
        <v>5148</v>
      </c>
      <c r="B6523" s="2" t="s">
        <v>1221</v>
      </c>
      <c r="C6523" s="2">
        <v>7</v>
      </c>
      <c r="D6523" t="str">
        <f t="shared" si="101"/>
        <v>CA-2017-132346_OFF-AP-10000696</v>
      </c>
      <c r="E6523" t="str">
        <f>IF(COUNTIF(data2!$D:$D,D6523)=0,"Missing in Data2","Present")</f>
        <v>Present</v>
      </c>
    </row>
    <row r="6524" spans="1:5" x14ac:dyDescent="0.25">
      <c r="A6524" s="2" t="s">
        <v>5149</v>
      </c>
      <c r="B6524" s="2" t="s">
        <v>3440</v>
      </c>
      <c r="C6524" s="2">
        <v>3</v>
      </c>
      <c r="D6524" t="str">
        <f t="shared" si="101"/>
        <v>CA-2017-132353_TEC-PH-10004536</v>
      </c>
      <c r="E6524" t="str">
        <f>IF(COUNTIF(data2!$D:$D,D6524)=0,"Missing in Data2","Present")</f>
        <v>Present</v>
      </c>
    </row>
    <row r="6525" spans="1:5" x14ac:dyDescent="0.25">
      <c r="A6525" s="2" t="s">
        <v>5150</v>
      </c>
      <c r="B6525" s="2" t="s">
        <v>1242</v>
      </c>
      <c r="C6525" s="2">
        <v>4</v>
      </c>
      <c r="D6525" t="str">
        <f t="shared" si="101"/>
        <v>CA-2017-132430_FUR-FU-10003577</v>
      </c>
      <c r="E6525" t="str">
        <f>IF(COUNTIF(data2!$D:$D,D6525)=0,"Missing in Data2","Present")</f>
        <v>Missing in Data2</v>
      </c>
    </row>
    <row r="6526" spans="1:5" x14ac:dyDescent="0.25">
      <c r="A6526" s="2" t="s">
        <v>5151</v>
      </c>
      <c r="B6526" s="2" t="s">
        <v>932</v>
      </c>
      <c r="C6526" s="2">
        <v>4</v>
      </c>
      <c r="D6526" t="str">
        <f t="shared" si="101"/>
        <v>CA-2017-132437_OFF-ST-10001031</v>
      </c>
      <c r="E6526" t="str">
        <f>IF(COUNTIF(data2!$D:$D,D6526)=0,"Missing in Data2","Present")</f>
        <v>Present</v>
      </c>
    </row>
    <row r="6527" spans="1:5" x14ac:dyDescent="0.25">
      <c r="A6527" s="2" t="s">
        <v>5152</v>
      </c>
      <c r="B6527" s="2" t="s">
        <v>1704</v>
      </c>
      <c r="C6527" s="2">
        <v>2</v>
      </c>
      <c r="D6527" t="str">
        <f t="shared" si="101"/>
        <v>CA-2017-132521_OFF-AP-10002191</v>
      </c>
      <c r="E6527" t="str">
        <f>IF(COUNTIF(data2!$D:$D,D6527)=0,"Missing in Data2","Present")</f>
        <v>Present</v>
      </c>
    </row>
    <row r="6528" spans="1:5" x14ac:dyDescent="0.25">
      <c r="A6528" s="2" t="s">
        <v>5152</v>
      </c>
      <c r="B6528" s="2" t="s">
        <v>2875</v>
      </c>
      <c r="C6528" s="2">
        <v>1</v>
      </c>
      <c r="D6528" t="str">
        <f t="shared" si="101"/>
        <v>CA-2017-132521_OFF-BI-10000404</v>
      </c>
      <c r="E6528" t="str">
        <f>IF(COUNTIF(data2!$D:$D,D6528)=0,"Missing in Data2","Present")</f>
        <v>Present</v>
      </c>
    </row>
    <row r="6529" spans="1:5" x14ac:dyDescent="0.25">
      <c r="A6529" s="2" t="s">
        <v>5152</v>
      </c>
      <c r="B6529" s="2" t="s">
        <v>2467</v>
      </c>
      <c r="C6529" s="2">
        <v>3</v>
      </c>
      <c r="D6529" t="str">
        <f t="shared" si="101"/>
        <v>CA-2017-132521_OFF-ST-10001325</v>
      </c>
      <c r="E6529" t="str">
        <f>IF(COUNTIF(data2!$D:$D,D6529)=0,"Missing in Data2","Present")</f>
        <v>Missing in Data2</v>
      </c>
    </row>
    <row r="6530" spans="1:5" x14ac:dyDescent="0.25">
      <c r="A6530" s="2" t="s">
        <v>5153</v>
      </c>
      <c r="B6530" s="2" t="s">
        <v>2556</v>
      </c>
      <c r="C6530" s="2">
        <v>4</v>
      </c>
      <c r="D6530" t="str">
        <f t="shared" si="101"/>
        <v>CA-2017-132584_OFF-ST-10000344</v>
      </c>
      <c r="E6530" t="str">
        <f>IF(COUNTIF(data2!$D:$D,D6530)=0,"Missing in Data2","Present")</f>
        <v>Missing in Data2</v>
      </c>
    </row>
    <row r="6531" spans="1:5" x14ac:dyDescent="0.25">
      <c r="A6531" s="2" t="s">
        <v>5154</v>
      </c>
      <c r="B6531" s="2" t="s">
        <v>81</v>
      </c>
      <c r="C6531" s="2">
        <v>3</v>
      </c>
      <c r="D6531" t="str">
        <f t="shared" ref="D6531:D6594" si="102">A6531&amp;"_"&amp;B6531</f>
        <v>CA-2017-132619_OFF-ST-10001511</v>
      </c>
      <c r="E6531" t="str">
        <f>IF(COUNTIF(data2!$D:$D,D6531)=0,"Missing in Data2","Present")</f>
        <v>Present</v>
      </c>
    </row>
    <row r="6532" spans="1:5" x14ac:dyDescent="0.25">
      <c r="A6532" s="2" t="s">
        <v>5155</v>
      </c>
      <c r="B6532" s="2" t="s">
        <v>309</v>
      </c>
      <c r="C6532" s="2">
        <v>2</v>
      </c>
      <c r="D6532" t="str">
        <f t="shared" si="102"/>
        <v>CA-2017-132647_OFF-PA-10001838</v>
      </c>
      <c r="E6532" t="str">
        <f>IF(COUNTIF(data2!$D:$D,D6532)=0,"Missing in Data2","Present")</f>
        <v>Present</v>
      </c>
    </row>
    <row r="6533" spans="1:5" x14ac:dyDescent="0.25">
      <c r="A6533" s="2" t="s">
        <v>5155</v>
      </c>
      <c r="B6533" s="2" t="s">
        <v>1465</v>
      </c>
      <c r="C6533" s="2">
        <v>5</v>
      </c>
      <c r="D6533" t="str">
        <f t="shared" si="102"/>
        <v>CA-2017-132647_OFF-ST-10003123</v>
      </c>
      <c r="E6533" t="str">
        <f>IF(COUNTIF(data2!$D:$D,D6533)=0,"Missing in Data2","Present")</f>
        <v>Present</v>
      </c>
    </row>
    <row r="6534" spans="1:5" x14ac:dyDescent="0.25">
      <c r="A6534" s="2" t="s">
        <v>5156</v>
      </c>
      <c r="B6534" s="2" t="s">
        <v>433</v>
      </c>
      <c r="C6534" s="2">
        <v>3</v>
      </c>
      <c r="D6534" t="str">
        <f t="shared" si="102"/>
        <v>CA-2017-132682_OFF-PA-10000474</v>
      </c>
      <c r="E6534" t="str">
        <f>IF(COUNTIF(data2!$D:$D,D6534)=0,"Missing in Data2","Present")</f>
        <v>Present</v>
      </c>
    </row>
    <row r="6535" spans="1:5" x14ac:dyDescent="0.25">
      <c r="A6535" s="2" t="s">
        <v>5156</v>
      </c>
      <c r="B6535" s="2" t="s">
        <v>2166</v>
      </c>
      <c r="C6535" s="2">
        <v>3</v>
      </c>
      <c r="D6535" t="str">
        <f t="shared" si="102"/>
        <v>CA-2017-132682_OFF-SU-10004231</v>
      </c>
      <c r="E6535" t="str">
        <f>IF(COUNTIF(data2!$D:$D,D6535)=0,"Missing in Data2","Present")</f>
        <v>Present</v>
      </c>
    </row>
    <row r="6536" spans="1:5" x14ac:dyDescent="0.25">
      <c r="A6536" s="2" t="s">
        <v>5156</v>
      </c>
      <c r="B6536" s="2" t="s">
        <v>2053</v>
      </c>
      <c r="C6536" s="2">
        <v>3</v>
      </c>
      <c r="D6536" t="str">
        <f t="shared" si="102"/>
        <v>CA-2017-132682_TEC-PH-10004042</v>
      </c>
      <c r="E6536" t="str">
        <f>IF(COUNTIF(data2!$D:$D,D6536)=0,"Missing in Data2","Present")</f>
        <v>Present</v>
      </c>
    </row>
    <row r="6537" spans="1:5" x14ac:dyDescent="0.25">
      <c r="A6537" s="2" t="s">
        <v>5157</v>
      </c>
      <c r="B6537" s="2" t="s">
        <v>4403</v>
      </c>
      <c r="C6537" s="2">
        <v>1</v>
      </c>
      <c r="D6537" t="str">
        <f t="shared" si="102"/>
        <v>CA-2017-132738_OFF-EN-10001141</v>
      </c>
      <c r="E6537" t="str">
        <f>IF(COUNTIF(data2!$D:$D,D6537)=0,"Missing in Data2","Present")</f>
        <v>Present</v>
      </c>
    </row>
    <row r="6538" spans="1:5" x14ac:dyDescent="0.25">
      <c r="A6538" s="2" t="s">
        <v>5157</v>
      </c>
      <c r="B6538" s="2" t="s">
        <v>805</v>
      </c>
      <c r="C6538" s="2">
        <v>2</v>
      </c>
      <c r="D6538" t="str">
        <f t="shared" si="102"/>
        <v>CA-2017-132738_OFF-PA-10001752</v>
      </c>
      <c r="E6538" t="str">
        <f>IF(COUNTIF(data2!$D:$D,D6538)=0,"Missing in Data2","Present")</f>
        <v>Present</v>
      </c>
    </row>
    <row r="6539" spans="1:5" x14ac:dyDescent="0.25">
      <c r="A6539" s="2" t="s">
        <v>5158</v>
      </c>
      <c r="B6539" s="2" t="s">
        <v>2048</v>
      </c>
      <c r="C6539" s="2">
        <v>3</v>
      </c>
      <c r="D6539" t="str">
        <f t="shared" si="102"/>
        <v>CA-2017-132934_OFF-BI-10001098</v>
      </c>
      <c r="E6539" t="str">
        <f>IF(COUNTIF(data2!$D:$D,D6539)=0,"Missing in Data2","Present")</f>
        <v>Present</v>
      </c>
    </row>
    <row r="6540" spans="1:5" x14ac:dyDescent="0.25">
      <c r="A6540" s="2" t="s">
        <v>5158</v>
      </c>
      <c r="B6540" s="2" t="s">
        <v>3164</v>
      </c>
      <c r="C6540" s="2">
        <v>5</v>
      </c>
      <c r="D6540" t="str">
        <f t="shared" si="102"/>
        <v>CA-2017-132934_TEC-AC-10000927</v>
      </c>
      <c r="E6540" t="str">
        <f>IF(COUNTIF(data2!$D:$D,D6540)=0,"Missing in Data2","Present")</f>
        <v>Present</v>
      </c>
    </row>
    <row r="6541" spans="1:5" x14ac:dyDescent="0.25">
      <c r="A6541" s="2" t="s">
        <v>5159</v>
      </c>
      <c r="B6541" s="2" t="s">
        <v>165</v>
      </c>
      <c r="C6541" s="2">
        <v>3</v>
      </c>
      <c r="D6541" t="str">
        <f t="shared" si="102"/>
        <v>CA-2017-132955_OFF-BI-10002735</v>
      </c>
      <c r="E6541" t="str">
        <f>IF(COUNTIF(data2!$D:$D,D6541)=0,"Missing in Data2","Present")</f>
        <v>Present</v>
      </c>
    </row>
    <row r="6542" spans="1:5" x14ac:dyDescent="0.25">
      <c r="A6542" s="2" t="s">
        <v>5160</v>
      </c>
      <c r="B6542" s="2" t="s">
        <v>218</v>
      </c>
      <c r="C6542" s="2">
        <v>3</v>
      </c>
      <c r="D6542" t="str">
        <f t="shared" si="102"/>
        <v>CA-2017-132976_OFF-LA-10002043</v>
      </c>
      <c r="E6542" t="str">
        <f>IF(COUNTIF(data2!$D:$D,D6542)=0,"Missing in Data2","Present")</f>
        <v>Present</v>
      </c>
    </row>
    <row r="6543" spans="1:5" x14ac:dyDescent="0.25">
      <c r="A6543" s="2" t="s">
        <v>5160</v>
      </c>
      <c r="B6543" s="2" t="s">
        <v>5161</v>
      </c>
      <c r="C6543" s="2">
        <v>2</v>
      </c>
      <c r="D6543" t="str">
        <f t="shared" si="102"/>
        <v>CA-2017-132976_OFF-PA-10000673</v>
      </c>
      <c r="E6543" t="str">
        <f>IF(COUNTIF(data2!$D:$D,D6543)=0,"Missing in Data2","Present")</f>
        <v>Present</v>
      </c>
    </row>
    <row r="6544" spans="1:5" x14ac:dyDescent="0.25">
      <c r="A6544" s="2" t="s">
        <v>5160</v>
      </c>
      <c r="B6544" s="2" t="s">
        <v>1387</v>
      </c>
      <c r="C6544" s="2">
        <v>4</v>
      </c>
      <c r="D6544" t="str">
        <f t="shared" si="102"/>
        <v>CA-2017-132976_OFF-PA-10004470</v>
      </c>
      <c r="E6544" t="str">
        <f>IF(COUNTIF(data2!$D:$D,D6544)=0,"Missing in Data2","Present")</f>
        <v>Present</v>
      </c>
    </row>
    <row r="6545" spans="1:5" x14ac:dyDescent="0.25">
      <c r="A6545" s="2" t="s">
        <v>5160</v>
      </c>
      <c r="B6545" s="2" t="s">
        <v>381</v>
      </c>
      <c r="C6545" s="2">
        <v>6</v>
      </c>
      <c r="D6545" t="str">
        <f t="shared" si="102"/>
        <v>CA-2017-132976_OFF-ST-10000876</v>
      </c>
      <c r="E6545" t="str">
        <f>IF(COUNTIF(data2!$D:$D,D6545)=0,"Missing in Data2","Present")</f>
        <v>Present</v>
      </c>
    </row>
    <row r="6546" spans="1:5" x14ac:dyDescent="0.25">
      <c r="A6546" s="2" t="s">
        <v>5162</v>
      </c>
      <c r="B6546" s="2" t="s">
        <v>2442</v>
      </c>
      <c r="C6546" s="2">
        <v>9</v>
      </c>
      <c r="D6546" t="str">
        <f t="shared" si="102"/>
        <v>CA-2017-133004_OFF-AP-10002439</v>
      </c>
      <c r="E6546" t="str">
        <f>IF(COUNTIF(data2!$D:$D,D6546)=0,"Missing in Data2","Present")</f>
        <v>Present</v>
      </c>
    </row>
    <row r="6547" spans="1:5" x14ac:dyDescent="0.25">
      <c r="A6547" s="2" t="s">
        <v>5163</v>
      </c>
      <c r="B6547" s="2" t="s">
        <v>661</v>
      </c>
      <c r="C6547" s="2">
        <v>3</v>
      </c>
      <c r="D6547" t="str">
        <f t="shared" si="102"/>
        <v>CA-2017-133046_FUR-FU-10001940</v>
      </c>
      <c r="E6547" t="str">
        <f>IF(COUNTIF(data2!$D:$D,D6547)=0,"Missing in Data2","Present")</f>
        <v>Present</v>
      </c>
    </row>
    <row r="6548" spans="1:5" x14ac:dyDescent="0.25">
      <c r="A6548" s="2" t="s">
        <v>5163</v>
      </c>
      <c r="B6548" s="2" t="s">
        <v>2771</v>
      </c>
      <c r="C6548" s="2">
        <v>2</v>
      </c>
      <c r="D6548" t="str">
        <f t="shared" si="102"/>
        <v>CA-2017-133046_OFF-PA-10002787</v>
      </c>
      <c r="E6548" t="str">
        <f>IF(COUNTIF(data2!$D:$D,D6548)=0,"Missing in Data2","Present")</f>
        <v>Present</v>
      </c>
    </row>
    <row r="6549" spans="1:5" x14ac:dyDescent="0.25">
      <c r="A6549" s="2" t="s">
        <v>5163</v>
      </c>
      <c r="B6549" s="2" t="s">
        <v>957</v>
      </c>
      <c r="C6549" s="2">
        <v>4</v>
      </c>
      <c r="D6549" t="str">
        <f t="shared" si="102"/>
        <v>CA-2017-133046_OFF-PA-10003883</v>
      </c>
      <c r="E6549" t="str">
        <f>IF(COUNTIF(data2!$D:$D,D6549)=0,"Missing in Data2","Present")</f>
        <v>Present</v>
      </c>
    </row>
    <row r="6550" spans="1:5" x14ac:dyDescent="0.25">
      <c r="A6550" s="2" t="s">
        <v>5163</v>
      </c>
      <c r="B6550" s="2" t="s">
        <v>4003</v>
      </c>
      <c r="C6550" s="2">
        <v>5</v>
      </c>
      <c r="D6550" t="str">
        <f t="shared" si="102"/>
        <v>CA-2017-133046_TEC-AC-10000991</v>
      </c>
      <c r="E6550" t="str">
        <f>IF(COUNTIF(data2!$D:$D,D6550)=0,"Missing in Data2","Present")</f>
        <v>Missing in Data2</v>
      </c>
    </row>
    <row r="6551" spans="1:5" x14ac:dyDescent="0.25">
      <c r="A6551" s="2" t="s">
        <v>5164</v>
      </c>
      <c r="B6551" s="2" t="s">
        <v>2204</v>
      </c>
      <c r="C6551" s="2">
        <v>2</v>
      </c>
      <c r="D6551" t="str">
        <f t="shared" si="102"/>
        <v>CA-2017-133067_OFF-BI-10002897</v>
      </c>
      <c r="E6551" t="str">
        <f>IF(COUNTIF(data2!$D:$D,D6551)=0,"Missing in Data2","Present")</f>
        <v>Present</v>
      </c>
    </row>
    <row r="6552" spans="1:5" x14ac:dyDescent="0.25">
      <c r="A6552" s="2" t="s">
        <v>5164</v>
      </c>
      <c r="B6552" s="2" t="s">
        <v>2516</v>
      </c>
      <c r="C6552" s="2">
        <v>3</v>
      </c>
      <c r="D6552" t="str">
        <f t="shared" si="102"/>
        <v>CA-2017-133067_OFF-BI-10003694</v>
      </c>
      <c r="E6552" t="str">
        <f>IF(COUNTIF(data2!$D:$D,D6552)=0,"Missing in Data2","Present")</f>
        <v>Present</v>
      </c>
    </row>
    <row r="6553" spans="1:5" x14ac:dyDescent="0.25">
      <c r="A6553" s="2" t="s">
        <v>5165</v>
      </c>
      <c r="B6553" s="2" t="s">
        <v>955</v>
      </c>
      <c r="C6553" s="2">
        <v>7</v>
      </c>
      <c r="D6553" t="str">
        <f t="shared" si="102"/>
        <v>CA-2017-133095_OFF-BI-10002353</v>
      </c>
      <c r="E6553" t="str">
        <f>IF(COUNTIF(data2!$D:$D,D6553)=0,"Missing in Data2","Present")</f>
        <v>Present</v>
      </c>
    </row>
    <row r="6554" spans="1:5" x14ac:dyDescent="0.25">
      <c r="A6554" s="2" t="s">
        <v>5165</v>
      </c>
      <c r="B6554" s="2" t="s">
        <v>276</v>
      </c>
      <c r="C6554" s="2">
        <v>3</v>
      </c>
      <c r="D6554" t="str">
        <f t="shared" si="102"/>
        <v>CA-2017-133095_OFF-BI-10004141</v>
      </c>
      <c r="E6554" t="str">
        <f>IF(COUNTIF(data2!$D:$D,D6554)=0,"Missing in Data2","Present")</f>
        <v>Present</v>
      </c>
    </row>
    <row r="6555" spans="1:5" x14ac:dyDescent="0.25">
      <c r="A6555" s="2" t="s">
        <v>5166</v>
      </c>
      <c r="B6555" s="2" t="s">
        <v>2633</v>
      </c>
      <c r="C6555" s="2">
        <v>4</v>
      </c>
      <c r="D6555" t="str">
        <f t="shared" si="102"/>
        <v>CA-2017-133102_FUR-CH-10002017</v>
      </c>
      <c r="E6555" t="str">
        <f>IF(COUNTIF(data2!$D:$D,D6555)=0,"Missing in Data2","Present")</f>
        <v>Present</v>
      </c>
    </row>
    <row r="6556" spans="1:5" x14ac:dyDescent="0.25">
      <c r="A6556" s="2" t="s">
        <v>5166</v>
      </c>
      <c r="B6556" s="2" t="s">
        <v>2369</v>
      </c>
      <c r="C6556" s="2">
        <v>2</v>
      </c>
      <c r="D6556" t="str">
        <f t="shared" si="102"/>
        <v>CA-2017-133102_FUR-FU-10003247</v>
      </c>
      <c r="E6556" t="str">
        <f>IF(COUNTIF(data2!$D:$D,D6556)=0,"Missing in Data2","Present")</f>
        <v>Present</v>
      </c>
    </row>
    <row r="6557" spans="1:5" x14ac:dyDescent="0.25">
      <c r="A6557" s="2" t="s">
        <v>5166</v>
      </c>
      <c r="B6557" s="2" t="s">
        <v>675</v>
      </c>
      <c r="C6557" s="2">
        <v>4</v>
      </c>
      <c r="D6557" t="str">
        <f t="shared" si="102"/>
        <v>CA-2017-133102_OFF-AP-10001563</v>
      </c>
      <c r="E6557" t="str">
        <f>IF(COUNTIF(data2!$D:$D,D6557)=0,"Missing in Data2","Present")</f>
        <v>Present</v>
      </c>
    </row>
    <row r="6558" spans="1:5" x14ac:dyDescent="0.25">
      <c r="A6558" s="2" t="s">
        <v>5166</v>
      </c>
      <c r="B6558" s="2" t="s">
        <v>1319</v>
      </c>
      <c r="C6558" s="2">
        <v>3</v>
      </c>
      <c r="D6558" t="str">
        <f t="shared" si="102"/>
        <v>CA-2017-133102_OFF-AR-10003183</v>
      </c>
      <c r="E6558" t="str">
        <f>IF(COUNTIF(data2!$D:$D,D6558)=0,"Missing in Data2","Present")</f>
        <v>Present</v>
      </c>
    </row>
    <row r="6559" spans="1:5" x14ac:dyDescent="0.25">
      <c r="A6559" s="2" t="s">
        <v>5166</v>
      </c>
      <c r="B6559" s="2" t="s">
        <v>933</v>
      </c>
      <c r="C6559" s="2">
        <v>2</v>
      </c>
      <c r="D6559" t="str">
        <f t="shared" si="102"/>
        <v>CA-2017-133102_OFF-SU-10000432</v>
      </c>
      <c r="E6559" t="str">
        <f>IF(COUNTIF(data2!$D:$D,D6559)=0,"Missing in Data2","Present")</f>
        <v>Present</v>
      </c>
    </row>
    <row r="6560" spans="1:5" x14ac:dyDescent="0.25">
      <c r="A6560" s="2" t="s">
        <v>5167</v>
      </c>
      <c r="B6560" s="2" t="s">
        <v>347</v>
      </c>
      <c r="C6560" s="2">
        <v>4</v>
      </c>
      <c r="D6560" t="str">
        <f t="shared" si="102"/>
        <v>CA-2017-133207_TEC-PH-10004100</v>
      </c>
      <c r="E6560" t="str">
        <f>IF(COUNTIF(data2!$D:$D,D6560)=0,"Missing in Data2","Present")</f>
        <v>Present</v>
      </c>
    </row>
    <row r="6561" spans="1:5" x14ac:dyDescent="0.25">
      <c r="A6561" s="2" t="s">
        <v>5168</v>
      </c>
      <c r="B6561" s="2" t="s">
        <v>3841</v>
      </c>
      <c r="C6561" s="2">
        <v>5</v>
      </c>
      <c r="D6561" t="str">
        <f t="shared" si="102"/>
        <v>CA-2017-133235_TEC-PH-10002660</v>
      </c>
      <c r="E6561" t="str">
        <f>IF(COUNTIF(data2!$D:$D,D6561)=0,"Missing in Data2","Present")</f>
        <v>Present</v>
      </c>
    </row>
    <row r="6562" spans="1:5" x14ac:dyDescent="0.25">
      <c r="A6562" s="2" t="s">
        <v>5169</v>
      </c>
      <c r="B6562" s="2" t="s">
        <v>678</v>
      </c>
      <c r="C6562" s="2">
        <v>5</v>
      </c>
      <c r="D6562" t="str">
        <f t="shared" si="102"/>
        <v>CA-2017-133249_FUR-FU-10001588</v>
      </c>
      <c r="E6562" t="str">
        <f>IF(COUNTIF(data2!$D:$D,D6562)=0,"Missing in Data2","Present")</f>
        <v>Present</v>
      </c>
    </row>
    <row r="6563" spans="1:5" x14ac:dyDescent="0.25">
      <c r="A6563" s="2" t="s">
        <v>5170</v>
      </c>
      <c r="B6563" s="2" t="s">
        <v>1642</v>
      </c>
      <c r="C6563" s="2">
        <v>4</v>
      </c>
      <c r="D6563" t="str">
        <f t="shared" si="102"/>
        <v>CA-2017-133256_OFF-AR-10003158</v>
      </c>
      <c r="E6563" t="str">
        <f>IF(COUNTIF(data2!$D:$D,D6563)=0,"Missing in Data2","Present")</f>
        <v>Present</v>
      </c>
    </row>
    <row r="6564" spans="1:5" x14ac:dyDescent="0.25">
      <c r="A6564" s="2" t="s">
        <v>5170</v>
      </c>
      <c r="B6564" s="2" t="s">
        <v>144</v>
      </c>
      <c r="C6564" s="2">
        <v>1</v>
      </c>
      <c r="D6564" t="str">
        <f t="shared" si="102"/>
        <v>CA-2017-133256_OFF-PA-10001622</v>
      </c>
      <c r="E6564" t="str">
        <f>IF(COUNTIF(data2!$D:$D,D6564)=0,"Missing in Data2","Present")</f>
        <v>Present</v>
      </c>
    </row>
    <row r="6565" spans="1:5" x14ac:dyDescent="0.25">
      <c r="A6565" s="2" t="s">
        <v>5170</v>
      </c>
      <c r="B6565" s="2" t="s">
        <v>3841</v>
      </c>
      <c r="C6565" s="2">
        <v>8</v>
      </c>
      <c r="D6565" t="str">
        <f t="shared" si="102"/>
        <v>CA-2017-133256_TEC-PH-10002660</v>
      </c>
      <c r="E6565" t="str">
        <f>IF(COUNTIF(data2!$D:$D,D6565)=0,"Missing in Data2","Present")</f>
        <v>Present</v>
      </c>
    </row>
    <row r="6566" spans="1:5" x14ac:dyDescent="0.25">
      <c r="A6566" s="2" t="s">
        <v>5171</v>
      </c>
      <c r="B6566" s="2" t="s">
        <v>606</v>
      </c>
      <c r="C6566" s="2">
        <v>4</v>
      </c>
      <c r="D6566" t="str">
        <f t="shared" si="102"/>
        <v>CA-2017-133263_OFF-BI-10000474</v>
      </c>
      <c r="E6566" t="str">
        <f>IF(COUNTIF(data2!$D:$D,D6566)=0,"Missing in Data2","Present")</f>
        <v>Present</v>
      </c>
    </row>
    <row r="6567" spans="1:5" x14ac:dyDescent="0.25">
      <c r="A6567" s="2" t="s">
        <v>5171</v>
      </c>
      <c r="B6567" s="2" t="s">
        <v>2708</v>
      </c>
      <c r="C6567" s="2">
        <v>1</v>
      </c>
      <c r="D6567" t="str">
        <f t="shared" si="102"/>
        <v>CA-2017-133263_OFF-BI-10001153</v>
      </c>
      <c r="E6567" t="str">
        <f>IF(COUNTIF(data2!$D:$D,D6567)=0,"Missing in Data2","Present")</f>
        <v>Present</v>
      </c>
    </row>
    <row r="6568" spans="1:5" x14ac:dyDescent="0.25">
      <c r="A6568" s="2" t="s">
        <v>5171</v>
      </c>
      <c r="B6568" s="2" t="s">
        <v>567</v>
      </c>
      <c r="C6568" s="2">
        <v>5</v>
      </c>
      <c r="D6568" t="str">
        <f t="shared" si="102"/>
        <v>CA-2017-133263_TEC-CO-10001449</v>
      </c>
      <c r="E6568" t="str">
        <f>IF(COUNTIF(data2!$D:$D,D6568)=0,"Missing in Data2","Present")</f>
        <v>Present</v>
      </c>
    </row>
    <row r="6569" spans="1:5" x14ac:dyDescent="0.25">
      <c r="A6569" s="2" t="s">
        <v>5172</v>
      </c>
      <c r="B6569" s="2" t="s">
        <v>592</v>
      </c>
      <c r="C6569" s="2">
        <v>4</v>
      </c>
      <c r="D6569" t="str">
        <f t="shared" si="102"/>
        <v>CA-2017-133333_OFF-PA-10002377</v>
      </c>
      <c r="E6569" t="str">
        <f>IF(COUNTIF(data2!$D:$D,D6569)=0,"Missing in Data2","Present")</f>
        <v>Missing in Data2</v>
      </c>
    </row>
    <row r="6570" spans="1:5" x14ac:dyDescent="0.25">
      <c r="A6570" s="2" t="s">
        <v>5173</v>
      </c>
      <c r="B6570" s="2" t="s">
        <v>1789</v>
      </c>
      <c r="C6570" s="2">
        <v>5</v>
      </c>
      <c r="D6570" t="str">
        <f t="shared" si="102"/>
        <v>CA-2017-133431_OFF-BI-10000605</v>
      </c>
      <c r="E6570" t="str">
        <f>IF(COUNTIF(data2!$D:$D,D6570)=0,"Missing in Data2","Present")</f>
        <v>Present</v>
      </c>
    </row>
    <row r="6571" spans="1:5" x14ac:dyDescent="0.25">
      <c r="A6571" s="2" t="s">
        <v>5173</v>
      </c>
      <c r="B6571" s="2" t="s">
        <v>1968</v>
      </c>
      <c r="C6571" s="2">
        <v>3</v>
      </c>
      <c r="D6571" t="str">
        <f t="shared" si="102"/>
        <v>CA-2017-133431_OFF-PA-10002615</v>
      </c>
      <c r="E6571" t="str">
        <f>IF(COUNTIF(data2!$D:$D,D6571)=0,"Missing in Data2","Present")</f>
        <v>Present</v>
      </c>
    </row>
    <row r="6572" spans="1:5" x14ac:dyDescent="0.25">
      <c r="A6572" s="2" t="s">
        <v>5174</v>
      </c>
      <c r="B6572" s="2" t="s">
        <v>1075</v>
      </c>
      <c r="C6572" s="2">
        <v>3</v>
      </c>
      <c r="D6572" t="str">
        <f t="shared" si="102"/>
        <v>CA-2017-133487_OFF-AP-10001271</v>
      </c>
      <c r="E6572" t="str">
        <f>IF(COUNTIF(data2!$D:$D,D6572)=0,"Missing in Data2","Present")</f>
        <v>Present</v>
      </c>
    </row>
    <row r="6573" spans="1:5" x14ac:dyDescent="0.25">
      <c r="A6573" s="2" t="s">
        <v>5175</v>
      </c>
      <c r="B6573" s="2" t="s">
        <v>581</v>
      </c>
      <c r="C6573" s="2">
        <v>1</v>
      </c>
      <c r="D6573" t="str">
        <f t="shared" si="102"/>
        <v>CA-2017-133501_OFF-PA-10004888</v>
      </c>
      <c r="E6573" t="str">
        <f>IF(COUNTIF(data2!$D:$D,D6573)=0,"Missing in Data2","Present")</f>
        <v>Present</v>
      </c>
    </row>
    <row r="6574" spans="1:5" x14ac:dyDescent="0.25">
      <c r="A6574" s="2" t="s">
        <v>5176</v>
      </c>
      <c r="B6574" s="2" t="s">
        <v>1087</v>
      </c>
      <c r="C6574" s="2">
        <v>1</v>
      </c>
      <c r="D6574" t="str">
        <f t="shared" si="102"/>
        <v>CA-2017-133620_OFF-ST-10004634</v>
      </c>
      <c r="E6574" t="str">
        <f>IF(COUNTIF(data2!$D:$D,D6574)=0,"Missing in Data2","Present")</f>
        <v>Present</v>
      </c>
    </row>
    <row r="6575" spans="1:5" x14ac:dyDescent="0.25">
      <c r="A6575" s="2" t="s">
        <v>5177</v>
      </c>
      <c r="B6575" s="2" t="s">
        <v>198</v>
      </c>
      <c r="C6575" s="2">
        <v>9</v>
      </c>
      <c r="D6575" t="str">
        <f t="shared" si="102"/>
        <v>CA-2017-133641_OFF-EN-10004955</v>
      </c>
      <c r="E6575" t="str">
        <f>IF(COUNTIF(data2!$D:$D,D6575)=0,"Missing in Data2","Present")</f>
        <v>Present</v>
      </c>
    </row>
    <row r="6576" spans="1:5" x14ac:dyDescent="0.25">
      <c r="A6576" s="2" t="s">
        <v>5178</v>
      </c>
      <c r="B6576" s="2" t="s">
        <v>2005</v>
      </c>
      <c r="C6576" s="2">
        <v>2</v>
      </c>
      <c r="D6576" t="str">
        <f t="shared" si="102"/>
        <v>CA-2017-133648_OFF-AR-10002257</v>
      </c>
      <c r="E6576" t="str">
        <f>IF(COUNTIF(data2!$D:$D,D6576)=0,"Missing in Data2","Present")</f>
        <v>Missing in Data2</v>
      </c>
    </row>
    <row r="6577" spans="1:5" x14ac:dyDescent="0.25">
      <c r="A6577" s="2" t="s">
        <v>5178</v>
      </c>
      <c r="B6577" s="2" t="s">
        <v>977</v>
      </c>
      <c r="C6577" s="2">
        <v>3</v>
      </c>
      <c r="D6577" t="str">
        <f t="shared" si="102"/>
        <v>CA-2017-133648_OFF-FA-10004395</v>
      </c>
      <c r="E6577" t="str">
        <f>IF(COUNTIF(data2!$D:$D,D6577)=0,"Missing in Data2","Present")</f>
        <v>Present</v>
      </c>
    </row>
    <row r="6578" spans="1:5" x14ac:dyDescent="0.25">
      <c r="A6578" s="2" t="s">
        <v>5179</v>
      </c>
      <c r="B6578" s="2" t="s">
        <v>891</v>
      </c>
      <c r="C6578" s="2">
        <v>3</v>
      </c>
      <c r="D6578" t="str">
        <f t="shared" si="102"/>
        <v>CA-2017-133718_OFF-BI-10003429</v>
      </c>
      <c r="E6578" t="str">
        <f>IF(COUNTIF(data2!$D:$D,D6578)=0,"Missing in Data2","Present")</f>
        <v>Present</v>
      </c>
    </row>
    <row r="6579" spans="1:5" x14ac:dyDescent="0.25">
      <c r="A6579" s="2" t="s">
        <v>5179</v>
      </c>
      <c r="B6579" s="2" t="s">
        <v>1085</v>
      </c>
      <c r="C6579" s="2">
        <v>9</v>
      </c>
      <c r="D6579" t="str">
        <f t="shared" si="102"/>
        <v>CA-2017-133718_OFF-PA-10002689</v>
      </c>
      <c r="E6579" t="str">
        <f>IF(COUNTIF(data2!$D:$D,D6579)=0,"Missing in Data2","Present")</f>
        <v>Present</v>
      </c>
    </row>
    <row r="6580" spans="1:5" x14ac:dyDescent="0.25">
      <c r="A6580" s="2" t="s">
        <v>5180</v>
      </c>
      <c r="B6580" s="2" t="s">
        <v>1014</v>
      </c>
      <c r="C6580" s="2">
        <v>2</v>
      </c>
      <c r="D6580" t="str">
        <f t="shared" si="102"/>
        <v>CA-2017-133823_OFF-BI-10000962</v>
      </c>
      <c r="E6580" t="str">
        <f>IF(COUNTIF(data2!$D:$D,D6580)=0,"Missing in Data2","Present")</f>
        <v>Present</v>
      </c>
    </row>
    <row r="6581" spans="1:5" x14ac:dyDescent="0.25">
      <c r="A6581" s="2" t="s">
        <v>5180</v>
      </c>
      <c r="B6581" s="2" t="s">
        <v>3076</v>
      </c>
      <c r="C6581" s="2">
        <v>3</v>
      </c>
      <c r="D6581" t="str">
        <f t="shared" si="102"/>
        <v>CA-2017-133823_OFF-LA-10004545</v>
      </c>
      <c r="E6581" t="str">
        <f>IF(COUNTIF(data2!$D:$D,D6581)=0,"Missing in Data2","Present")</f>
        <v>Present</v>
      </c>
    </row>
    <row r="6582" spans="1:5" x14ac:dyDescent="0.25">
      <c r="A6582" s="2" t="s">
        <v>5180</v>
      </c>
      <c r="B6582" s="2" t="s">
        <v>3976</v>
      </c>
      <c r="C6582" s="2">
        <v>6</v>
      </c>
      <c r="D6582" t="str">
        <f t="shared" si="102"/>
        <v>CA-2017-133823_OFF-PA-10002870</v>
      </c>
      <c r="E6582" t="str">
        <f>IF(COUNTIF(data2!$D:$D,D6582)=0,"Missing in Data2","Present")</f>
        <v>Present</v>
      </c>
    </row>
    <row r="6583" spans="1:5" x14ac:dyDescent="0.25">
      <c r="A6583" s="2" t="s">
        <v>5181</v>
      </c>
      <c r="B6583" s="2" t="s">
        <v>1078</v>
      </c>
      <c r="C6583" s="2">
        <v>6</v>
      </c>
      <c r="D6583" t="str">
        <f t="shared" si="102"/>
        <v>CA-2017-133865_TEC-CO-10001046</v>
      </c>
      <c r="E6583" t="str">
        <f>IF(COUNTIF(data2!$D:$D,D6583)=0,"Missing in Data2","Present")</f>
        <v>Present</v>
      </c>
    </row>
    <row r="6584" spans="1:5" x14ac:dyDescent="0.25">
      <c r="A6584" s="2" t="s">
        <v>5182</v>
      </c>
      <c r="B6584" s="2" t="s">
        <v>1369</v>
      </c>
      <c r="C6584" s="2">
        <v>4</v>
      </c>
      <c r="D6584" t="str">
        <f t="shared" si="102"/>
        <v>CA-2017-133928_OFF-BI-10001525</v>
      </c>
      <c r="E6584" t="str">
        <f>IF(COUNTIF(data2!$D:$D,D6584)=0,"Missing in Data2","Present")</f>
        <v>Present</v>
      </c>
    </row>
    <row r="6585" spans="1:5" x14ac:dyDescent="0.25">
      <c r="A6585" s="2" t="s">
        <v>5183</v>
      </c>
      <c r="B6585" s="2" t="s">
        <v>2543</v>
      </c>
      <c r="C6585" s="2">
        <v>3</v>
      </c>
      <c r="D6585" t="str">
        <f t="shared" si="102"/>
        <v>CA-2017-134096_OFF-BI-10004002</v>
      </c>
      <c r="E6585" t="str">
        <f>IF(COUNTIF(data2!$D:$D,D6585)=0,"Missing in Data2","Present")</f>
        <v>Present</v>
      </c>
    </row>
    <row r="6586" spans="1:5" x14ac:dyDescent="0.25">
      <c r="A6586" s="2" t="s">
        <v>5183</v>
      </c>
      <c r="B6586" s="2" t="s">
        <v>1633</v>
      </c>
      <c r="C6586" s="2">
        <v>5</v>
      </c>
      <c r="D6586" t="str">
        <f t="shared" si="102"/>
        <v>CA-2017-134096_TEC-PH-10000526</v>
      </c>
      <c r="E6586" t="str">
        <f>IF(COUNTIF(data2!$D:$D,D6586)=0,"Missing in Data2","Present")</f>
        <v>Present</v>
      </c>
    </row>
    <row r="6587" spans="1:5" x14ac:dyDescent="0.25">
      <c r="A6587" s="2" t="s">
        <v>5184</v>
      </c>
      <c r="B6587" s="2" t="s">
        <v>2192</v>
      </c>
      <c r="C6587" s="2">
        <v>3</v>
      </c>
      <c r="D6587" t="str">
        <f t="shared" si="102"/>
        <v>CA-2017-134152_OFF-AR-10004062</v>
      </c>
      <c r="E6587" t="str">
        <f>IF(COUNTIF(data2!$D:$D,D6587)=0,"Missing in Data2","Present")</f>
        <v>Present</v>
      </c>
    </row>
    <row r="6588" spans="1:5" x14ac:dyDescent="0.25">
      <c r="A6588" s="2" t="s">
        <v>5184</v>
      </c>
      <c r="B6588" s="2" t="s">
        <v>676</v>
      </c>
      <c r="C6588" s="2">
        <v>6</v>
      </c>
      <c r="D6588" t="str">
        <f t="shared" si="102"/>
        <v>CA-2017-134152_TEC-AC-10004510</v>
      </c>
      <c r="E6588" t="str">
        <f>IF(COUNTIF(data2!$D:$D,D6588)=0,"Missing in Data2","Present")</f>
        <v>Present</v>
      </c>
    </row>
    <row r="6589" spans="1:5" x14ac:dyDescent="0.25">
      <c r="A6589" s="2" t="s">
        <v>5185</v>
      </c>
      <c r="B6589" s="2" t="s">
        <v>2301</v>
      </c>
      <c r="C6589" s="2">
        <v>4</v>
      </c>
      <c r="D6589" t="str">
        <f t="shared" si="102"/>
        <v>CA-2017-134173_OFF-PA-10004355</v>
      </c>
      <c r="E6589" t="str">
        <f>IF(COUNTIF(data2!$D:$D,D6589)=0,"Missing in Data2","Present")</f>
        <v>Present</v>
      </c>
    </row>
    <row r="6590" spans="1:5" x14ac:dyDescent="0.25">
      <c r="A6590" s="2" t="s">
        <v>5186</v>
      </c>
      <c r="B6590" s="2" t="s">
        <v>1492</v>
      </c>
      <c r="C6590" s="2">
        <v>2</v>
      </c>
      <c r="D6590" t="str">
        <f t="shared" si="102"/>
        <v>CA-2017-134194_OFF-AR-10001615</v>
      </c>
      <c r="E6590" t="str">
        <f>IF(COUNTIF(data2!$D:$D,D6590)=0,"Missing in Data2","Present")</f>
        <v>Present</v>
      </c>
    </row>
    <row r="6591" spans="1:5" x14ac:dyDescent="0.25">
      <c r="A6591" s="2" t="s">
        <v>5186</v>
      </c>
      <c r="B6591" s="2" t="s">
        <v>301</v>
      </c>
      <c r="C6591" s="2">
        <v>3</v>
      </c>
      <c r="D6591" t="str">
        <f t="shared" si="102"/>
        <v>CA-2017-134194_OFF-BI-10001116</v>
      </c>
      <c r="E6591" t="str">
        <f>IF(COUNTIF(data2!$D:$D,D6591)=0,"Missing in Data2","Present")</f>
        <v>Present</v>
      </c>
    </row>
    <row r="6592" spans="1:5" x14ac:dyDescent="0.25">
      <c r="A6592" s="2" t="s">
        <v>5186</v>
      </c>
      <c r="B6592" s="2" t="s">
        <v>5</v>
      </c>
      <c r="C6592" s="2">
        <v>5</v>
      </c>
      <c r="D6592" t="str">
        <f t="shared" si="102"/>
        <v>CA-2017-134194_OFF-BI-10001597</v>
      </c>
      <c r="E6592" t="str">
        <f>IF(COUNTIF(data2!$D:$D,D6592)=0,"Missing in Data2","Present")</f>
        <v>Present</v>
      </c>
    </row>
    <row r="6593" spans="1:5" x14ac:dyDescent="0.25">
      <c r="A6593" s="2" t="s">
        <v>5186</v>
      </c>
      <c r="B6593" s="2" t="s">
        <v>3376</v>
      </c>
      <c r="C6593" s="2">
        <v>7</v>
      </c>
      <c r="D6593" t="str">
        <f t="shared" si="102"/>
        <v>CA-2017-134194_OFF-SU-10000946</v>
      </c>
      <c r="E6593" t="str">
        <f>IF(COUNTIF(data2!$D:$D,D6593)=0,"Missing in Data2","Present")</f>
        <v>Present</v>
      </c>
    </row>
    <row r="6594" spans="1:5" x14ac:dyDescent="0.25">
      <c r="A6594" s="2" t="s">
        <v>5187</v>
      </c>
      <c r="B6594" s="2" t="s">
        <v>11</v>
      </c>
      <c r="C6594" s="2">
        <v>3</v>
      </c>
      <c r="D6594" t="str">
        <f t="shared" si="102"/>
        <v>CA-2017-134285_OFF-FA-10000611</v>
      </c>
      <c r="E6594" t="str">
        <f>IF(COUNTIF(data2!$D:$D,D6594)=0,"Missing in Data2","Present")</f>
        <v>Present</v>
      </c>
    </row>
    <row r="6595" spans="1:5" x14ac:dyDescent="0.25">
      <c r="A6595" s="2" t="s">
        <v>5187</v>
      </c>
      <c r="B6595" s="2" t="s">
        <v>1219</v>
      </c>
      <c r="C6595" s="2">
        <v>3</v>
      </c>
      <c r="D6595" t="str">
        <f t="shared" ref="D6595:D6658" si="103">A6595&amp;"_"&amp;B6595</f>
        <v>CA-2017-134285_OFF-PA-10000304</v>
      </c>
      <c r="E6595" t="str">
        <f>IF(COUNTIF(data2!$D:$D,D6595)=0,"Missing in Data2","Present")</f>
        <v>Present</v>
      </c>
    </row>
    <row r="6596" spans="1:5" x14ac:dyDescent="0.25">
      <c r="A6596" s="2" t="s">
        <v>5188</v>
      </c>
      <c r="B6596" s="2" t="s">
        <v>333</v>
      </c>
      <c r="C6596" s="2">
        <v>2</v>
      </c>
      <c r="D6596" t="str">
        <f t="shared" si="103"/>
        <v>CA-2017-134306_OFF-AR-10001374</v>
      </c>
      <c r="E6596" t="str">
        <f>IF(COUNTIF(data2!$D:$D,D6596)=0,"Missing in Data2","Present")</f>
        <v>Present</v>
      </c>
    </row>
    <row r="6597" spans="1:5" x14ac:dyDescent="0.25">
      <c r="A6597" s="2" t="s">
        <v>5188</v>
      </c>
      <c r="B6597" s="2" t="s">
        <v>950</v>
      </c>
      <c r="C6597" s="2">
        <v>3</v>
      </c>
      <c r="D6597" t="str">
        <f t="shared" si="103"/>
        <v>CA-2017-134306_OFF-AR-10004027</v>
      </c>
      <c r="E6597" t="str">
        <f>IF(COUNTIF(data2!$D:$D,D6597)=0,"Missing in Data2","Present")</f>
        <v>Present</v>
      </c>
    </row>
    <row r="6598" spans="1:5" x14ac:dyDescent="0.25">
      <c r="A6598" s="2" t="s">
        <v>5188</v>
      </c>
      <c r="B6598" s="2" t="s">
        <v>2455</v>
      </c>
      <c r="C6598" s="2">
        <v>2</v>
      </c>
      <c r="D6598" t="str">
        <f t="shared" si="103"/>
        <v>CA-2017-134306_OFF-PA-10000249</v>
      </c>
      <c r="E6598" t="str">
        <f>IF(COUNTIF(data2!$D:$D,D6598)=0,"Missing in Data2","Present")</f>
        <v>Present</v>
      </c>
    </row>
    <row r="6599" spans="1:5" x14ac:dyDescent="0.25">
      <c r="A6599" s="2" t="s">
        <v>5189</v>
      </c>
      <c r="B6599" s="2" t="s">
        <v>1190</v>
      </c>
      <c r="C6599" s="2">
        <v>4</v>
      </c>
      <c r="D6599" t="str">
        <f t="shared" si="103"/>
        <v>CA-2017-134404_OFF-AR-10004441</v>
      </c>
      <c r="E6599" t="str">
        <f>IF(COUNTIF(data2!$D:$D,D6599)=0,"Missing in Data2","Present")</f>
        <v>Missing in Data2</v>
      </c>
    </row>
    <row r="6600" spans="1:5" x14ac:dyDescent="0.25">
      <c r="A6600" s="2" t="s">
        <v>5189</v>
      </c>
      <c r="B6600" s="2" t="s">
        <v>199</v>
      </c>
      <c r="C6600" s="2">
        <v>2</v>
      </c>
      <c r="D6600" t="str">
        <f t="shared" si="103"/>
        <v>CA-2017-134404_TEC-PH-10000576</v>
      </c>
      <c r="E6600" t="str">
        <f>IF(COUNTIF(data2!$D:$D,D6600)=0,"Missing in Data2","Present")</f>
        <v>Present</v>
      </c>
    </row>
    <row r="6601" spans="1:5" x14ac:dyDescent="0.25">
      <c r="A6601" s="2" t="s">
        <v>5190</v>
      </c>
      <c r="B6601" s="2" t="s">
        <v>1190</v>
      </c>
      <c r="C6601" s="2">
        <v>3</v>
      </c>
      <c r="D6601" t="str">
        <f t="shared" si="103"/>
        <v>CA-2017-134418_OFF-AR-10004441</v>
      </c>
      <c r="E6601" t="str">
        <f>IF(COUNTIF(data2!$D:$D,D6601)=0,"Missing in Data2","Present")</f>
        <v>Present</v>
      </c>
    </row>
    <row r="6602" spans="1:5" x14ac:dyDescent="0.25">
      <c r="A6602" s="2" t="s">
        <v>5191</v>
      </c>
      <c r="B6602" s="2" t="s">
        <v>25</v>
      </c>
      <c r="C6602" s="2">
        <v>2</v>
      </c>
      <c r="D6602" t="str">
        <f t="shared" si="103"/>
        <v>CA-2017-134439_OFF-PA-10004082</v>
      </c>
      <c r="E6602" t="str">
        <f>IF(COUNTIF(data2!$D:$D,D6602)=0,"Missing in Data2","Present")</f>
        <v>Present</v>
      </c>
    </row>
    <row r="6603" spans="1:5" x14ac:dyDescent="0.25">
      <c r="A6603" s="2" t="s">
        <v>5192</v>
      </c>
      <c r="B6603" s="2" t="s">
        <v>373</v>
      </c>
      <c r="C6603" s="2">
        <v>3</v>
      </c>
      <c r="D6603" t="str">
        <f t="shared" si="103"/>
        <v>CA-2017-134495_FUR-CH-10003774</v>
      </c>
      <c r="E6603" t="str">
        <f>IF(COUNTIF(data2!$D:$D,D6603)=0,"Missing in Data2","Present")</f>
        <v>Present</v>
      </c>
    </row>
    <row r="6604" spans="1:5" x14ac:dyDescent="0.25">
      <c r="A6604" s="2" t="s">
        <v>5192</v>
      </c>
      <c r="B6604" s="2" t="s">
        <v>2910</v>
      </c>
      <c r="C6604" s="2">
        <v>3</v>
      </c>
      <c r="D6604" t="str">
        <f t="shared" si="103"/>
        <v>CA-2017-134495_OFF-AP-10002222</v>
      </c>
      <c r="E6604" t="str">
        <f>IF(COUNTIF(data2!$D:$D,D6604)=0,"Missing in Data2","Present")</f>
        <v>Present</v>
      </c>
    </row>
    <row r="6605" spans="1:5" x14ac:dyDescent="0.25">
      <c r="A6605" s="2" t="s">
        <v>5192</v>
      </c>
      <c r="B6605" s="2" t="s">
        <v>379</v>
      </c>
      <c r="C6605" s="2">
        <v>3</v>
      </c>
      <c r="D6605" t="str">
        <f t="shared" si="103"/>
        <v>CA-2017-134495_OFF-LA-10000262</v>
      </c>
      <c r="E6605" t="str">
        <f>IF(COUNTIF(data2!$D:$D,D6605)=0,"Missing in Data2","Present")</f>
        <v>Present</v>
      </c>
    </row>
    <row r="6606" spans="1:5" x14ac:dyDescent="0.25">
      <c r="A6606" s="2" t="s">
        <v>5192</v>
      </c>
      <c r="B6606" s="2" t="s">
        <v>1466</v>
      </c>
      <c r="C6606" s="2">
        <v>3</v>
      </c>
      <c r="D6606" t="str">
        <f t="shared" si="103"/>
        <v>CA-2017-134495_TEC-PH-10004897</v>
      </c>
      <c r="E6606" t="str">
        <f>IF(COUNTIF(data2!$D:$D,D6606)=0,"Missing in Data2","Present")</f>
        <v>Present</v>
      </c>
    </row>
    <row r="6607" spans="1:5" x14ac:dyDescent="0.25">
      <c r="A6607" s="2" t="s">
        <v>5193</v>
      </c>
      <c r="B6607" s="2" t="s">
        <v>1852</v>
      </c>
      <c r="C6607" s="2">
        <v>3</v>
      </c>
      <c r="D6607" t="str">
        <f t="shared" si="103"/>
        <v>CA-2017-134565_FUR-BO-10001519</v>
      </c>
      <c r="E6607" t="str">
        <f>IF(COUNTIF(data2!$D:$D,D6607)=0,"Missing in Data2","Present")</f>
        <v>Present</v>
      </c>
    </row>
    <row r="6608" spans="1:5" x14ac:dyDescent="0.25">
      <c r="A6608" s="2" t="s">
        <v>5193</v>
      </c>
      <c r="B6608" s="2" t="s">
        <v>1795</v>
      </c>
      <c r="C6608" s="2">
        <v>6</v>
      </c>
      <c r="D6608" t="str">
        <f t="shared" si="103"/>
        <v>CA-2017-134565_OFF-BI-10001759</v>
      </c>
      <c r="E6608" t="str">
        <f>IF(COUNTIF(data2!$D:$D,D6608)=0,"Missing in Data2","Present")</f>
        <v>Present</v>
      </c>
    </row>
    <row r="6609" spans="1:5" x14ac:dyDescent="0.25">
      <c r="A6609" s="2" t="s">
        <v>5193</v>
      </c>
      <c r="B6609" s="2" t="s">
        <v>3954</v>
      </c>
      <c r="C6609" s="2">
        <v>2</v>
      </c>
      <c r="D6609" t="str">
        <f t="shared" si="103"/>
        <v>CA-2017-134565_OFF-PA-10004243</v>
      </c>
      <c r="E6609" t="str">
        <f>IF(COUNTIF(data2!$D:$D,D6609)=0,"Missing in Data2","Present")</f>
        <v>Present</v>
      </c>
    </row>
    <row r="6610" spans="1:5" x14ac:dyDescent="0.25">
      <c r="A6610" s="2" t="s">
        <v>5193</v>
      </c>
      <c r="B6610" s="2" t="s">
        <v>2460</v>
      </c>
      <c r="C6610" s="2">
        <v>2</v>
      </c>
      <c r="D6610" t="str">
        <f t="shared" si="103"/>
        <v>CA-2017-134565_OFF-ST-10004804</v>
      </c>
      <c r="E6610" t="str">
        <f>IF(COUNTIF(data2!$D:$D,D6610)=0,"Missing in Data2","Present")</f>
        <v>Present</v>
      </c>
    </row>
    <row r="6611" spans="1:5" x14ac:dyDescent="0.25">
      <c r="A6611" s="2" t="s">
        <v>5193</v>
      </c>
      <c r="B6611" s="2" t="s">
        <v>5194</v>
      </c>
      <c r="C6611" s="2">
        <v>5</v>
      </c>
      <c r="D6611" t="str">
        <f t="shared" si="103"/>
        <v>CA-2017-134565_TEC-MA-10001570</v>
      </c>
      <c r="E6611" t="str">
        <f>IF(COUNTIF(data2!$D:$D,D6611)=0,"Missing in Data2","Present")</f>
        <v>Present</v>
      </c>
    </row>
    <row r="6612" spans="1:5" x14ac:dyDescent="0.25">
      <c r="A6612" s="2" t="s">
        <v>5195</v>
      </c>
      <c r="B6612" s="2" t="s">
        <v>2264</v>
      </c>
      <c r="C6612" s="2">
        <v>3</v>
      </c>
      <c r="D6612" t="str">
        <f t="shared" si="103"/>
        <v>CA-2017-134635_OFF-PA-10002254</v>
      </c>
      <c r="E6612" t="str">
        <f>IF(COUNTIF(data2!$D:$D,D6612)=0,"Missing in Data2","Present")</f>
        <v>Present</v>
      </c>
    </row>
    <row r="6613" spans="1:5" x14ac:dyDescent="0.25">
      <c r="A6613" s="2" t="s">
        <v>5196</v>
      </c>
      <c r="B6613" s="2" t="s">
        <v>2227</v>
      </c>
      <c r="C6613" s="2">
        <v>7</v>
      </c>
      <c r="D6613" t="str">
        <f t="shared" si="103"/>
        <v>CA-2017-134649_OFF-AR-10001547</v>
      </c>
      <c r="E6613" t="str">
        <f>IF(COUNTIF(data2!$D:$D,D6613)=0,"Missing in Data2","Present")</f>
        <v>Present</v>
      </c>
    </row>
    <row r="6614" spans="1:5" x14ac:dyDescent="0.25">
      <c r="A6614" s="2" t="s">
        <v>5196</v>
      </c>
      <c r="B6614" s="2" t="s">
        <v>1605</v>
      </c>
      <c r="C6614" s="2">
        <v>2</v>
      </c>
      <c r="D6614" t="str">
        <f t="shared" si="103"/>
        <v>CA-2017-134649_OFF-BI-10001890</v>
      </c>
      <c r="E6614" t="str">
        <f>IF(COUNTIF(data2!$D:$D,D6614)=0,"Missing in Data2","Present")</f>
        <v>Present</v>
      </c>
    </row>
    <row r="6615" spans="1:5" x14ac:dyDescent="0.25">
      <c r="A6615" s="2" t="s">
        <v>5197</v>
      </c>
      <c r="B6615" s="2" t="s">
        <v>139</v>
      </c>
      <c r="C6615" s="2">
        <v>2</v>
      </c>
      <c r="D6615" t="str">
        <f t="shared" si="103"/>
        <v>CA-2017-134796_TEC-PH-10003505</v>
      </c>
      <c r="E6615" t="str">
        <f>IF(COUNTIF(data2!$D:$D,D6615)=0,"Missing in Data2","Present")</f>
        <v>Present</v>
      </c>
    </row>
    <row r="6616" spans="1:5" x14ac:dyDescent="0.25">
      <c r="A6616" s="2" t="s">
        <v>5198</v>
      </c>
      <c r="B6616" s="2" t="s">
        <v>976</v>
      </c>
      <c r="C6616" s="2">
        <v>3</v>
      </c>
      <c r="D6616" t="str">
        <f t="shared" si="103"/>
        <v>CA-2017-134810_FUR-CH-10001270</v>
      </c>
      <c r="E6616" t="str">
        <f>IF(COUNTIF(data2!$D:$D,D6616)=0,"Missing in Data2","Present")</f>
        <v>Present</v>
      </c>
    </row>
    <row r="6617" spans="1:5" x14ac:dyDescent="0.25">
      <c r="A6617" s="2" t="s">
        <v>5198</v>
      </c>
      <c r="B6617" s="2" t="s">
        <v>531</v>
      </c>
      <c r="C6617" s="2">
        <v>3</v>
      </c>
      <c r="D6617" t="str">
        <f t="shared" si="103"/>
        <v>CA-2017-134810_OFF-EN-10002504</v>
      </c>
      <c r="E6617" t="str">
        <f>IF(COUNTIF(data2!$D:$D,D6617)=0,"Missing in Data2","Present")</f>
        <v>Present</v>
      </c>
    </row>
    <row r="6618" spans="1:5" x14ac:dyDescent="0.25">
      <c r="A6618" s="2" t="s">
        <v>5199</v>
      </c>
      <c r="B6618" s="2" t="s">
        <v>278</v>
      </c>
      <c r="C6618" s="2">
        <v>3</v>
      </c>
      <c r="D6618" t="str">
        <f t="shared" si="103"/>
        <v>CA-2017-134838_FUR-FU-10004018</v>
      </c>
      <c r="E6618" t="str">
        <f>IF(COUNTIF(data2!$D:$D,D6618)=0,"Missing in Data2","Present")</f>
        <v>Present</v>
      </c>
    </row>
    <row r="6619" spans="1:5" x14ac:dyDescent="0.25">
      <c r="A6619" s="2" t="s">
        <v>5199</v>
      </c>
      <c r="B6619" s="2" t="s">
        <v>95</v>
      </c>
      <c r="C6619" s="2">
        <v>3</v>
      </c>
      <c r="D6619" t="str">
        <f t="shared" si="103"/>
        <v>CA-2017-134838_OFF-AR-10000634</v>
      </c>
      <c r="E6619" t="str">
        <f>IF(COUNTIF(data2!$D:$D,D6619)=0,"Missing in Data2","Present")</f>
        <v>Present</v>
      </c>
    </row>
    <row r="6620" spans="1:5" x14ac:dyDescent="0.25">
      <c r="A6620" s="2" t="s">
        <v>5200</v>
      </c>
      <c r="B6620" s="2" t="s">
        <v>1412</v>
      </c>
      <c r="C6620" s="2">
        <v>5</v>
      </c>
      <c r="D6620" t="str">
        <f t="shared" si="103"/>
        <v>CA-2017-134845_OFF-BI-10000773</v>
      </c>
      <c r="E6620" t="str">
        <f>IF(COUNTIF(data2!$D:$D,D6620)=0,"Missing in Data2","Present")</f>
        <v>Present</v>
      </c>
    </row>
    <row r="6621" spans="1:5" x14ac:dyDescent="0.25">
      <c r="A6621" s="2" t="s">
        <v>5200</v>
      </c>
      <c r="B6621" s="2" t="s">
        <v>1413</v>
      </c>
      <c r="C6621" s="2">
        <v>2</v>
      </c>
      <c r="D6621" t="str">
        <f t="shared" si="103"/>
        <v>CA-2017-134845_OFF-BI-10001543</v>
      </c>
      <c r="E6621" t="str">
        <f>IF(COUNTIF(data2!$D:$D,D6621)=0,"Missing in Data2","Present")</f>
        <v>Present</v>
      </c>
    </row>
    <row r="6622" spans="1:5" x14ac:dyDescent="0.25">
      <c r="A6622" s="2" t="s">
        <v>5200</v>
      </c>
      <c r="B6622" s="2" t="s">
        <v>1478</v>
      </c>
      <c r="C6622" s="2">
        <v>6</v>
      </c>
      <c r="D6622" t="str">
        <f t="shared" si="103"/>
        <v>CA-2017-134845_OFF-BI-10003355</v>
      </c>
      <c r="E6622" t="str">
        <f>IF(COUNTIF(data2!$D:$D,D6622)=0,"Missing in Data2","Present")</f>
        <v>Present</v>
      </c>
    </row>
    <row r="6623" spans="1:5" x14ac:dyDescent="0.25">
      <c r="A6623" s="2" t="s">
        <v>5200</v>
      </c>
      <c r="B6623" s="2" t="s">
        <v>572</v>
      </c>
      <c r="C6623" s="2">
        <v>4</v>
      </c>
      <c r="D6623" t="str">
        <f t="shared" si="103"/>
        <v>CA-2017-134845_OFF-PA-10002005</v>
      </c>
      <c r="E6623" t="str">
        <f>IF(COUNTIF(data2!$D:$D,D6623)=0,"Missing in Data2","Present")</f>
        <v>Present</v>
      </c>
    </row>
    <row r="6624" spans="1:5" x14ac:dyDescent="0.25">
      <c r="A6624" s="2" t="s">
        <v>5200</v>
      </c>
      <c r="B6624" s="2" t="s">
        <v>1191</v>
      </c>
      <c r="C6624" s="2">
        <v>5</v>
      </c>
      <c r="D6624" t="str">
        <f t="shared" si="103"/>
        <v>CA-2017-134845_TEC-MA-10000822</v>
      </c>
      <c r="E6624" t="str">
        <f>IF(COUNTIF(data2!$D:$D,D6624)=0,"Missing in Data2","Present")</f>
        <v>Present</v>
      </c>
    </row>
    <row r="6625" spans="1:5" x14ac:dyDescent="0.25">
      <c r="A6625" s="2" t="s">
        <v>5201</v>
      </c>
      <c r="B6625" s="2" t="s">
        <v>3791</v>
      </c>
      <c r="C6625" s="2">
        <v>1</v>
      </c>
      <c r="D6625" t="str">
        <f t="shared" si="103"/>
        <v>CA-2017-134880_OFF-PA-10004039</v>
      </c>
      <c r="E6625" t="str">
        <f>IF(COUNTIF(data2!$D:$D,D6625)=0,"Missing in Data2","Present")</f>
        <v>Present</v>
      </c>
    </row>
    <row r="6626" spans="1:5" x14ac:dyDescent="0.25">
      <c r="A6626" s="2" t="s">
        <v>5202</v>
      </c>
      <c r="B6626" s="2" t="s">
        <v>1674</v>
      </c>
      <c r="C6626" s="2">
        <v>2</v>
      </c>
      <c r="D6626" t="str">
        <f t="shared" si="103"/>
        <v>CA-2017-134915_FUR-CH-10004875</v>
      </c>
      <c r="E6626" t="str">
        <f>IF(COUNTIF(data2!$D:$D,D6626)=0,"Missing in Data2","Present")</f>
        <v>Present</v>
      </c>
    </row>
    <row r="6627" spans="1:5" x14ac:dyDescent="0.25">
      <c r="A6627" s="2" t="s">
        <v>5202</v>
      </c>
      <c r="B6627" s="2" t="s">
        <v>2896</v>
      </c>
      <c r="C6627" s="2">
        <v>2</v>
      </c>
      <c r="D6627" t="str">
        <f t="shared" si="103"/>
        <v>CA-2017-134915_FUR-FU-10000305</v>
      </c>
      <c r="E6627" t="str">
        <f>IF(COUNTIF(data2!$D:$D,D6627)=0,"Missing in Data2","Present")</f>
        <v>Present</v>
      </c>
    </row>
    <row r="6628" spans="1:5" x14ac:dyDescent="0.25">
      <c r="A6628" s="2" t="s">
        <v>5202</v>
      </c>
      <c r="B6628" s="2" t="s">
        <v>2415</v>
      </c>
      <c r="C6628" s="2">
        <v>5</v>
      </c>
      <c r="D6628" t="str">
        <f t="shared" si="103"/>
        <v>CA-2017-134915_OFF-PA-10002160</v>
      </c>
      <c r="E6628" t="str">
        <f>IF(COUNTIF(data2!$D:$D,D6628)=0,"Missing in Data2","Present")</f>
        <v>Present</v>
      </c>
    </row>
    <row r="6629" spans="1:5" x14ac:dyDescent="0.25">
      <c r="A6629" s="2" t="s">
        <v>5202</v>
      </c>
      <c r="B6629" s="2" t="s">
        <v>1097</v>
      </c>
      <c r="C6629" s="2">
        <v>4</v>
      </c>
      <c r="D6629" t="str">
        <f t="shared" si="103"/>
        <v>CA-2017-134915_TEC-AC-10001266</v>
      </c>
      <c r="E6629" t="str">
        <f>IF(COUNTIF(data2!$D:$D,D6629)=0,"Missing in Data2","Present")</f>
        <v>Present</v>
      </c>
    </row>
    <row r="6630" spans="1:5" x14ac:dyDescent="0.25">
      <c r="A6630" s="2" t="s">
        <v>5202</v>
      </c>
      <c r="B6630" s="2" t="s">
        <v>1918</v>
      </c>
      <c r="C6630" s="2">
        <v>2</v>
      </c>
      <c r="D6630" t="str">
        <f t="shared" si="103"/>
        <v>CA-2017-134915_TEC-PH-10000347</v>
      </c>
      <c r="E6630" t="str">
        <f>IF(COUNTIF(data2!$D:$D,D6630)=0,"Missing in Data2","Present")</f>
        <v>Present</v>
      </c>
    </row>
    <row r="6631" spans="1:5" x14ac:dyDescent="0.25">
      <c r="A6631" s="2" t="s">
        <v>5202</v>
      </c>
      <c r="B6631" s="2" t="s">
        <v>984</v>
      </c>
      <c r="C6631" s="2">
        <v>2</v>
      </c>
      <c r="D6631" t="str">
        <f t="shared" si="103"/>
        <v>CA-2017-134915_TEC-PH-10001459</v>
      </c>
      <c r="E6631" t="str">
        <f>IF(COUNTIF(data2!$D:$D,D6631)=0,"Missing in Data2","Present")</f>
        <v>Present</v>
      </c>
    </row>
    <row r="6632" spans="1:5" x14ac:dyDescent="0.25">
      <c r="A6632" s="2" t="s">
        <v>5203</v>
      </c>
      <c r="B6632" s="2" t="s">
        <v>1311</v>
      </c>
      <c r="C6632" s="2">
        <v>5</v>
      </c>
      <c r="D6632" t="str">
        <f t="shared" si="103"/>
        <v>CA-2017-134978_OFF-BI-10003274</v>
      </c>
      <c r="E6632" t="str">
        <f>IF(COUNTIF(data2!$D:$D,D6632)=0,"Missing in Data2","Present")</f>
        <v>Present</v>
      </c>
    </row>
    <row r="6633" spans="1:5" x14ac:dyDescent="0.25">
      <c r="A6633" s="2" t="s">
        <v>5204</v>
      </c>
      <c r="B6633" s="2" t="s">
        <v>1192</v>
      </c>
      <c r="C6633" s="2">
        <v>2</v>
      </c>
      <c r="D6633" t="str">
        <f t="shared" si="103"/>
        <v>CA-2017-135034_TEC-PH-10003931</v>
      </c>
      <c r="E6633" t="str">
        <f>IF(COUNTIF(data2!$D:$D,D6633)=0,"Missing in Data2","Present")</f>
        <v>Present</v>
      </c>
    </row>
    <row r="6634" spans="1:5" x14ac:dyDescent="0.25">
      <c r="A6634" s="2" t="s">
        <v>5205</v>
      </c>
      <c r="B6634" s="2" t="s">
        <v>1276</v>
      </c>
      <c r="C6634" s="2">
        <v>3</v>
      </c>
      <c r="D6634" t="str">
        <f t="shared" si="103"/>
        <v>CA-2017-135069_FUR-FU-10003878</v>
      </c>
      <c r="E6634" t="str">
        <f>IF(COUNTIF(data2!$D:$D,D6634)=0,"Missing in Data2","Present")</f>
        <v>Present</v>
      </c>
    </row>
    <row r="6635" spans="1:5" x14ac:dyDescent="0.25">
      <c r="A6635" s="2" t="s">
        <v>5205</v>
      </c>
      <c r="B6635" s="2" t="s">
        <v>1975</v>
      </c>
      <c r="C6635" s="2">
        <v>4</v>
      </c>
      <c r="D6635" t="str">
        <f t="shared" si="103"/>
        <v>CA-2017-135069_OFF-AP-10000026</v>
      </c>
      <c r="E6635" t="str">
        <f>IF(COUNTIF(data2!$D:$D,D6635)=0,"Missing in Data2","Present")</f>
        <v>Present</v>
      </c>
    </row>
    <row r="6636" spans="1:5" x14ac:dyDescent="0.25">
      <c r="A6636" s="2" t="s">
        <v>5206</v>
      </c>
      <c r="B6636" s="2" t="s">
        <v>373</v>
      </c>
      <c r="C6636" s="2">
        <v>6</v>
      </c>
      <c r="D6636" t="str">
        <f t="shared" si="103"/>
        <v>CA-2017-135076_FUR-CH-10003774</v>
      </c>
      <c r="E6636" t="str">
        <f>IF(COUNTIF(data2!$D:$D,D6636)=0,"Missing in Data2","Present")</f>
        <v>Present</v>
      </c>
    </row>
    <row r="6637" spans="1:5" x14ac:dyDescent="0.25">
      <c r="A6637" s="2" t="s">
        <v>5207</v>
      </c>
      <c r="B6637" s="2" t="s">
        <v>5208</v>
      </c>
      <c r="C6637" s="2">
        <v>1</v>
      </c>
      <c r="D6637" t="str">
        <f t="shared" si="103"/>
        <v>CA-2017-135111_OFF-AR-10004707</v>
      </c>
      <c r="E6637" t="str">
        <f>IF(COUNTIF(data2!$D:$D,D6637)=0,"Missing in Data2","Present")</f>
        <v>Present</v>
      </c>
    </row>
    <row r="6638" spans="1:5" x14ac:dyDescent="0.25">
      <c r="A6638" s="2" t="s">
        <v>5207</v>
      </c>
      <c r="B6638" s="2" t="s">
        <v>2891</v>
      </c>
      <c r="C6638" s="2">
        <v>5</v>
      </c>
      <c r="D6638" t="str">
        <f t="shared" si="103"/>
        <v>CA-2017-135111_OFF-BI-10004040</v>
      </c>
      <c r="E6638" t="str">
        <f>IF(COUNTIF(data2!$D:$D,D6638)=0,"Missing in Data2","Present")</f>
        <v>Present</v>
      </c>
    </row>
    <row r="6639" spans="1:5" x14ac:dyDescent="0.25">
      <c r="A6639" s="2" t="s">
        <v>5209</v>
      </c>
      <c r="B6639" s="2" t="s">
        <v>236</v>
      </c>
      <c r="C6639" s="2">
        <v>1</v>
      </c>
      <c r="D6639" t="str">
        <f t="shared" si="103"/>
        <v>CA-2017-135167_OFF-AR-10002399</v>
      </c>
      <c r="E6639" t="str">
        <f>IF(COUNTIF(data2!$D:$D,D6639)=0,"Missing in Data2","Present")</f>
        <v>Present</v>
      </c>
    </row>
    <row r="6640" spans="1:5" x14ac:dyDescent="0.25">
      <c r="A6640" s="2" t="s">
        <v>5210</v>
      </c>
      <c r="B6640" s="2" t="s">
        <v>1544</v>
      </c>
      <c r="C6640" s="2">
        <v>3</v>
      </c>
      <c r="D6640" t="str">
        <f t="shared" si="103"/>
        <v>CA-2017-135279_OFF-AR-10004344</v>
      </c>
      <c r="E6640" t="str">
        <f>IF(COUNTIF(data2!$D:$D,D6640)=0,"Missing in Data2","Present")</f>
        <v>Present</v>
      </c>
    </row>
    <row r="6641" spans="1:5" x14ac:dyDescent="0.25">
      <c r="A6641" s="2" t="s">
        <v>5210</v>
      </c>
      <c r="B6641" s="2" t="s">
        <v>776</v>
      </c>
      <c r="C6641" s="2">
        <v>3</v>
      </c>
      <c r="D6641" t="str">
        <f t="shared" si="103"/>
        <v>CA-2017-135279_OFF-LA-10001613</v>
      </c>
      <c r="E6641" t="str">
        <f>IF(COUNTIF(data2!$D:$D,D6641)=0,"Missing in Data2","Present")</f>
        <v>Present</v>
      </c>
    </row>
    <row r="6642" spans="1:5" x14ac:dyDescent="0.25">
      <c r="A6642" s="2" t="s">
        <v>5210</v>
      </c>
      <c r="B6642" s="2" t="s">
        <v>5030</v>
      </c>
      <c r="C6642" s="2">
        <v>2</v>
      </c>
      <c r="D6642" t="str">
        <f t="shared" si="103"/>
        <v>CA-2017-135279_OFF-LA-10004055</v>
      </c>
      <c r="E6642" t="str">
        <f>IF(COUNTIF(data2!$D:$D,D6642)=0,"Missing in Data2","Present")</f>
        <v>Present</v>
      </c>
    </row>
    <row r="6643" spans="1:5" x14ac:dyDescent="0.25">
      <c r="A6643" s="2" t="s">
        <v>5210</v>
      </c>
      <c r="B6643" s="2" t="s">
        <v>5211</v>
      </c>
      <c r="C6643" s="2">
        <v>4</v>
      </c>
      <c r="D6643" t="str">
        <f t="shared" si="103"/>
        <v>CA-2017-135279_OFF-PA-10001281</v>
      </c>
      <c r="E6643" t="str">
        <f>IF(COUNTIF(data2!$D:$D,D6643)=0,"Missing in Data2","Present")</f>
        <v>Present</v>
      </c>
    </row>
    <row r="6644" spans="1:5" x14ac:dyDescent="0.25">
      <c r="A6644" s="2" t="s">
        <v>5210</v>
      </c>
      <c r="B6644" s="2" t="s">
        <v>2081</v>
      </c>
      <c r="C6644" s="2">
        <v>2</v>
      </c>
      <c r="D6644" t="str">
        <f t="shared" si="103"/>
        <v>CA-2017-135279_OFF-PA-10004621</v>
      </c>
      <c r="E6644" t="str">
        <f>IF(COUNTIF(data2!$D:$D,D6644)=0,"Missing in Data2","Present")</f>
        <v>Present</v>
      </c>
    </row>
    <row r="6645" spans="1:5" x14ac:dyDescent="0.25">
      <c r="A6645" s="2" t="s">
        <v>5210</v>
      </c>
      <c r="B6645" s="2" t="s">
        <v>763</v>
      </c>
      <c r="C6645" s="2">
        <v>3</v>
      </c>
      <c r="D6645" t="str">
        <f t="shared" si="103"/>
        <v>CA-2017-135279_OFF-ST-10001097</v>
      </c>
      <c r="E6645" t="str">
        <f>IF(COUNTIF(data2!$D:$D,D6645)=0,"Missing in Data2","Present")</f>
        <v>Present</v>
      </c>
    </row>
    <row r="6646" spans="1:5" x14ac:dyDescent="0.25">
      <c r="A6646" s="2" t="s">
        <v>5212</v>
      </c>
      <c r="B6646" s="2" t="s">
        <v>2378</v>
      </c>
      <c r="C6646" s="2">
        <v>3</v>
      </c>
      <c r="D6646" t="str">
        <f t="shared" si="103"/>
        <v>CA-2017-135307_FUR-FU-10001290</v>
      </c>
      <c r="E6646" t="str">
        <f>IF(COUNTIF(data2!$D:$D,D6646)=0,"Missing in Data2","Present")</f>
        <v>Present</v>
      </c>
    </row>
    <row r="6647" spans="1:5" x14ac:dyDescent="0.25">
      <c r="A6647" s="2" t="s">
        <v>5212</v>
      </c>
      <c r="B6647" s="2" t="s">
        <v>179</v>
      </c>
      <c r="C6647" s="2">
        <v>2</v>
      </c>
      <c r="D6647" t="str">
        <f t="shared" si="103"/>
        <v>CA-2017-135307_TEC-AC-10002399</v>
      </c>
      <c r="E6647" t="str">
        <f>IF(COUNTIF(data2!$D:$D,D6647)=0,"Missing in Data2","Present")</f>
        <v>Present</v>
      </c>
    </row>
    <row r="6648" spans="1:5" x14ac:dyDescent="0.25">
      <c r="A6648" s="2" t="s">
        <v>5213</v>
      </c>
      <c r="B6648" s="2" t="s">
        <v>631</v>
      </c>
      <c r="C6648" s="2">
        <v>3</v>
      </c>
      <c r="D6648" t="str">
        <f t="shared" si="103"/>
        <v>CA-2017-135377_FUR-BO-10004015</v>
      </c>
      <c r="E6648" t="str">
        <f>IF(COUNTIF(data2!$D:$D,D6648)=0,"Missing in Data2","Present")</f>
        <v>Present</v>
      </c>
    </row>
    <row r="6649" spans="1:5" x14ac:dyDescent="0.25">
      <c r="A6649" s="2" t="s">
        <v>5214</v>
      </c>
      <c r="B6649" s="2" t="s">
        <v>2848</v>
      </c>
      <c r="C6649" s="2">
        <v>4</v>
      </c>
      <c r="D6649" t="str">
        <f t="shared" si="103"/>
        <v>CA-2017-135419_FUR-TA-10001086</v>
      </c>
      <c r="E6649" t="str">
        <f>IF(COUNTIF(data2!$D:$D,D6649)=0,"Missing in Data2","Present")</f>
        <v>Present</v>
      </c>
    </row>
    <row r="6650" spans="1:5" x14ac:dyDescent="0.25">
      <c r="A6650" s="2" t="s">
        <v>5215</v>
      </c>
      <c r="B6650" s="2" t="s">
        <v>5216</v>
      </c>
      <c r="C6650" s="2">
        <v>4</v>
      </c>
      <c r="D6650" t="str">
        <f t="shared" si="103"/>
        <v>CA-2017-135587_OFF-AP-10004540</v>
      </c>
      <c r="E6650" t="str">
        <f>IF(COUNTIF(data2!$D:$D,D6650)=0,"Missing in Data2","Present")</f>
        <v>Present</v>
      </c>
    </row>
    <row r="6651" spans="1:5" x14ac:dyDescent="0.25">
      <c r="A6651" s="2" t="s">
        <v>5215</v>
      </c>
      <c r="B6651" s="2" t="s">
        <v>1097</v>
      </c>
      <c r="C6651" s="2">
        <v>4</v>
      </c>
      <c r="D6651" t="str">
        <f t="shared" si="103"/>
        <v>CA-2017-135587_TEC-AC-10001266</v>
      </c>
      <c r="E6651" t="str">
        <f>IF(COUNTIF(data2!$D:$D,D6651)=0,"Missing in Data2","Present")</f>
        <v>Present</v>
      </c>
    </row>
    <row r="6652" spans="1:5" x14ac:dyDescent="0.25">
      <c r="A6652" s="2" t="s">
        <v>5217</v>
      </c>
      <c r="B6652" s="2" t="s">
        <v>3882</v>
      </c>
      <c r="C6652" s="2">
        <v>4</v>
      </c>
      <c r="D6652" t="str">
        <f t="shared" si="103"/>
        <v>CA-2017-135692_FUR-BO-10002268</v>
      </c>
      <c r="E6652" t="str">
        <f>IF(COUNTIF(data2!$D:$D,D6652)=0,"Missing in Data2","Present")</f>
        <v>Present</v>
      </c>
    </row>
    <row r="6653" spans="1:5" x14ac:dyDescent="0.25">
      <c r="A6653" s="2" t="s">
        <v>5217</v>
      </c>
      <c r="B6653" s="2" t="s">
        <v>775</v>
      </c>
      <c r="C6653" s="2">
        <v>4</v>
      </c>
      <c r="D6653" t="str">
        <f t="shared" si="103"/>
        <v>CA-2017-135692_OFF-LA-10001158</v>
      </c>
      <c r="E6653" t="str">
        <f>IF(COUNTIF(data2!$D:$D,D6653)=0,"Missing in Data2","Present")</f>
        <v>Present</v>
      </c>
    </row>
    <row r="6654" spans="1:5" x14ac:dyDescent="0.25">
      <c r="A6654" s="2" t="s">
        <v>5218</v>
      </c>
      <c r="B6654" s="2" t="s">
        <v>1988</v>
      </c>
      <c r="C6654" s="2">
        <v>2</v>
      </c>
      <c r="D6654" t="str">
        <f t="shared" si="103"/>
        <v>CA-2017-135783_FUR-FU-10000794</v>
      </c>
      <c r="E6654" t="str">
        <f>IF(COUNTIF(data2!$D:$D,D6654)=0,"Missing in Data2","Present")</f>
        <v>Present</v>
      </c>
    </row>
    <row r="6655" spans="1:5" x14ac:dyDescent="0.25">
      <c r="A6655" s="2" t="s">
        <v>5219</v>
      </c>
      <c r="B6655" s="2" t="s">
        <v>1311</v>
      </c>
      <c r="C6655" s="2">
        <v>4</v>
      </c>
      <c r="D6655" t="str">
        <f t="shared" si="103"/>
        <v>CA-2017-135860_OFF-BI-10003274</v>
      </c>
      <c r="E6655" t="str">
        <f>IF(COUNTIF(data2!$D:$D,D6655)=0,"Missing in Data2","Present")</f>
        <v>Present</v>
      </c>
    </row>
    <row r="6656" spans="1:5" x14ac:dyDescent="0.25">
      <c r="A6656" s="2" t="s">
        <v>5219</v>
      </c>
      <c r="B6656" s="2" t="s">
        <v>397</v>
      </c>
      <c r="C6656" s="2">
        <v>9</v>
      </c>
      <c r="D6656" t="str">
        <f t="shared" si="103"/>
        <v>CA-2017-135860_OFF-FA-10000134</v>
      </c>
      <c r="E6656" t="str">
        <f>IF(COUNTIF(data2!$D:$D,D6656)=0,"Missing in Data2","Present")</f>
        <v>Present</v>
      </c>
    </row>
    <row r="6657" spans="1:5" x14ac:dyDescent="0.25">
      <c r="A6657" s="2" t="s">
        <v>5219</v>
      </c>
      <c r="B6657" s="2" t="s">
        <v>2500</v>
      </c>
      <c r="C6657" s="2">
        <v>4</v>
      </c>
      <c r="D6657" t="str">
        <f t="shared" si="103"/>
        <v>CA-2017-135860_OFF-ST-10000642</v>
      </c>
      <c r="E6657" t="str">
        <f>IF(COUNTIF(data2!$D:$D,D6657)=0,"Missing in Data2","Present")</f>
        <v>Present</v>
      </c>
    </row>
    <row r="6658" spans="1:5" x14ac:dyDescent="0.25">
      <c r="A6658" s="2" t="s">
        <v>5219</v>
      </c>
      <c r="B6658" s="2" t="s">
        <v>374</v>
      </c>
      <c r="C6658" s="2">
        <v>1</v>
      </c>
      <c r="D6658" t="str">
        <f t="shared" si="103"/>
        <v>CA-2017-135860_OFF-ST-10001522</v>
      </c>
      <c r="E6658" t="str">
        <f>IF(COUNTIF(data2!$D:$D,D6658)=0,"Missing in Data2","Present")</f>
        <v>Present</v>
      </c>
    </row>
    <row r="6659" spans="1:5" x14ac:dyDescent="0.25">
      <c r="A6659" s="2" t="s">
        <v>5219</v>
      </c>
      <c r="B6659" s="2" t="s">
        <v>2325</v>
      </c>
      <c r="C6659" s="2">
        <v>2</v>
      </c>
      <c r="D6659" t="str">
        <f t="shared" ref="D6659:D6722" si="104">A6659&amp;"_"&amp;B6659</f>
        <v>CA-2017-135860_TEC-PH-10001700</v>
      </c>
      <c r="E6659" t="str">
        <f>IF(COUNTIF(data2!$D:$D,D6659)=0,"Missing in Data2","Present")</f>
        <v>Present</v>
      </c>
    </row>
    <row r="6660" spans="1:5" x14ac:dyDescent="0.25">
      <c r="A6660" s="2" t="s">
        <v>5220</v>
      </c>
      <c r="B6660" s="2" t="s">
        <v>907</v>
      </c>
      <c r="C6660" s="2">
        <v>5</v>
      </c>
      <c r="D6660" t="str">
        <f t="shared" si="104"/>
        <v>CA-2017-135909_OFF-BI-10003527</v>
      </c>
      <c r="E6660" t="str">
        <f>IF(COUNTIF(data2!$D:$D,D6660)=0,"Missing in Data2","Present")</f>
        <v>Present</v>
      </c>
    </row>
    <row r="6661" spans="1:5" x14ac:dyDescent="0.25">
      <c r="A6661" s="2" t="s">
        <v>5220</v>
      </c>
      <c r="B6661" s="2" t="s">
        <v>3487</v>
      </c>
      <c r="C6661" s="2">
        <v>6</v>
      </c>
      <c r="D6661" t="str">
        <f t="shared" si="104"/>
        <v>CA-2017-135909_TEC-AC-10002335</v>
      </c>
      <c r="E6661" t="str">
        <f>IF(COUNTIF(data2!$D:$D,D6661)=0,"Missing in Data2","Present")</f>
        <v>Present</v>
      </c>
    </row>
    <row r="6662" spans="1:5" x14ac:dyDescent="0.25">
      <c r="A6662" s="2" t="s">
        <v>5220</v>
      </c>
      <c r="B6662" s="2" t="s">
        <v>1895</v>
      </c>
      <c r="C6662" s="2">
        <v>2</v>
      </c>
      <c r="D6662" t="str">
        <f t="shared" si="104"/>
        <v>CA-2017-135909_TEC-PH-10003187</v>
      </c>
      <c r="E6662" t="str">
        <f>IF(COUNTIF(data2!$D:$D,D6662)=0,"Missing in Data2","Present")</f>
        <v>Present</v>
      </c>
    </row>
    <row r="6663" spans="1:5" x14ac:dyDescent="0.25">
      <c r="A6663" s="2" t="s">
        <v>5221</v>
      </c>
      <c r="B6663" s="2" t="s">
        <v>491</v>
      </c>
      <c r="C6663" s="2">
        <v>2</v>
      </c>
      <c r="D6663" t="str">
        <f t="shared" si="104"/>
        <v>CA-2017-135937_FUR-FU-10002253</v>
      </c>
      <c r="E6663" t="str">
        <f>IF(COUNTIF(data2!$D:$D,D6663)=0,"Missing in Data2","Present")</f>
        <v>Present</v>
      </c>
    </row>
    <row r="6664" spans="1:5" x14ac:dyDescent="0.25">
      <c r="A6664" s="2" t="s">
        <v>5221</v>
      </c>
      <c r="B6664" s="2" t="s">
        <v>183</v>
      </c>
      <c r="C6664" s="2">
        <v>9</v>
      </c>
      <c r="D6664" t="str">
        <f t="shared" si="104"/>
        <v>CA-2017-135937_FUR-TA-10001039</v>
      </c>
      <c r="E6664" t="str">
        <f>IF(COUNTIF(data2!$D:$D,D6664)=0,"Missing in Data2","Present")</f>
        <v>Missing in Data2</v>
      </c>
    </row>
    <row r="6665" spans="1:5" x14ac:dyDescent="0.25">
      <c r="A6665" s="2" t="s">
        <v>5221</v>
      </c>
      <c r="B6665" s="2" t="s">
        <v>307</v>
      </c>
      <c r="C6665" s="2">
        <v>5</v>
      </c>
      <c r="D6665" t="str">
        <f t="shared" si="104"/>
        <v>CA-2017-135937_OFF-EN-10004846</v>
      </c>
      <c r="E6665" t="str">
        <f>IF(COUNTIF(data2!$D:$D,D6665)=0,"Missing in Data2","Present")</f>
        <v>Present</v>
      </c>
    </row>
    <row r="6666" spans="1:5" x14ac:dyDescent="0.25">
      <c r="A6666" s="2" t="s">
        <v>5221</v>
      </c>
      <c r="B6666" s="2" t="s">
        <v>1339</v>
      </c>
      <c r="C6666" s="2">
        <v>2</v>
      </c>
      <c r="D6666" t="str">
        <f t="shared" si="104"/>
        <v>CA-2017-135937_OFF-ST-10000563</v>
      </c>
      <c r="E6666" t="str">
        <f>IF(COUNTIF(data2!$D:$D,D6666)=0,"Missing in Data2","Present")</f>
        <v>Present</v>
      </c>
    </row>
    <row r="6667" spans="1:5" x14ac:dyDescent="0.25">
      <c r="A6667" s="2" t="s">
        <v>5221</v>
      </c>
      <c r="B6667" s="2" t="s">
        <v>4505</v>
      </c>
      <c r="C6667" s="2">
        <v>1</v>
      </c>
      <c r="D6667" t="str">
        <f t="shared" si="104"/>
        <v>CA-2017-135937_TEC-AC-10001114</v>
      </c>
      <c r="E6667" t="str">
        <f>IF(COUNTIF(data2!$D:$D,D6667)=0,"Missing in Data2","Present")</f>
        <v>Present</v>
      </c>
    </row>
    <row r="6668" spans="1:5" x14ac:dyDescent="0.25">
      <c r="A6668" s="2" t="s">
        <v>5221</v>
      </c>
      <c r="B6668" s="2" t="s">
        <v>1205</v>
      </c>
      <c r="C6668" s="2">
        <v>3</v>
      </c>
      <c r="D6668" t="str">
        <f t="shared" si="104"/>
        <v>CA-2017-135937_TEC-PH-10004447</v>
      </c>
      <c r="E6668" t="str">
        <f>IF(COUNTIF(data2!$D:$D,D6668)=0,"Missing in Data2","Present")</f>
        <v>Present</v>
      </c>
    </row>
    <row r="6669" spans="1:5" x14ac:dyDescent="0.25">
      <c r="A6669" s="2" t="s">
        <v>5222</v>
      </c>
      <c r="B6669" s="2" t="s">
        <v>1106</v>
      </c>
      <c r="C6669" s="2">
        <v>3</v>
      </c>
      <c r="D6669" t="str">
        <f t="shared" si="104"/>
        <v>CA-2017-136000_OFF-BI-10004828</v>
      </c>
      <c r="E6669" t="str">
        <f>IF(COUNTIF(data2!$D:$D,D6669)=0,"Missing in Data2","Present")</f>
        <v>Present</v>
      </c>
    </row>
    <row r="6670" spans="1:5" x14ac:dyDescent="0.25">
      <c r="A6670" s="2" t="s">
        <v>5223</v>
      </c>
      <c r="B6670" s="2" t="s">
        <v>2336</v>
      </c>
      <c r="C6670" s="2">
        <v>5</v>
      </c>
      <c r="D6670" t="str">
        <f t="shared" si="104"/>
        <v>CA-2017-136007_OFF-FA-10002701</v>
      </c>
      <c r="E6670" t="str">
        <f>IF(COUNTIF(data2!$D:$D,D6670)=0,"Missing in Data2","Present")</f>
        <v>Present</v>
      </c>
    </row>
    <row r="6671" spans="1:5" x14ac:dyDescent="0.25">
      <c r="A6671" s="2" t="s">
        <v>5223</v>
      </c>
      <c r="B6671" s="2" t="s">
        <v>716</v>
      </c>
      <c r="C6671" s="2">
        <v>5</v>
      </c>
      <c r="D6671" t="str">
        <f t="shared" si="104"/>
        <v>CA-2017-136007_TEC-PH-10003589</v>
      </c>
      <c r="E6671" t="str">
        <f>IF(COUNTIF(data2!$D:$D,D6671)=0,"Missing in Data2","Present")</f>
        <v>Present</v>
      </c>
    </row>
    <row r="6672" spans="1:5" x14ac:dyDescent="0.25">
      <c r="A6672" s="2" t="s">
        <v>5224</v>
      </c>
      <c r="B6672" s="2" t="s">
        <v>2061</v>
      </c>
      <c r="C6672" s="2">
        <v>7</v>
      </c>
      <c r="D6672" t="str">
        <f t="shared" si="104"/>
        <v>CA-2017-136063_OFF-AR-10000823</v>
      </c>
      <c r="E6672" t="str">
        <f>IF(COUNTIF(data2!$D:$D,D6672)=0,"Missing in Data2","Present")</f>
        <v>Present</v>
      </c>
    </row>
    <row r="6673" spans="1:5" x14ac:dyDescent="0.25">
      <c r="A6673" s="2" t="s">
        <v>5225</v>
      </c>
      <c r="B6673" s="2" t="s">
        <v>1952</v>
      </c>
      <c r="C6673" s="2">
        <v>3</v>
      </c>
      <c r="D6673" t="str">
        <f t="shared" si="104"/>
        <v>CA-2017-136238_OFF-PA-10004285</v>
      </c>
      <c r="E6673" t="str">
        <f>IF(COUNTIF(data2!$D:$D,D6673)=0,"Missing in Data2","Present")</f>
        <v>Present</v>
      </c>
    </row>
    <row r="6674" spans="1:5" x14ac:dyDescent="0.25">
      <c r="A6674" s="2" t="s">
        <v>5226</v>
      </c>
      <c r="B6674" s="2" t="s">
        <v>2298</v>
      </c>
      <c r="C6674" s="2">
        <v>3</v>
      </c>
      <c r="D6674" t="str">
        <f t="shared" si="104"/>
        <v>CA-2017-136308_TEC-MA-10000488</v>
      </c>
      <c r="E6674" t="str">
        <f>IF(COUNTIF(data2!$D:$D,D6674)=0,"Missing in Data2","Present")</f>
        <v>Present</v>
      </c>
    </row>
    <row r="6675" spans="1:5" x14ac:dyDescent="0.25">
      <c r="A6675" s="2" t="s">
        <v>5227</v>
      </c>
      <c r="B6675" s="2" t="s">
        <v>415</v>
      </c>
      <c r="C6675" s="2">
        <v>2</v>
      </c>
      <c r="D6675" t="str">
        <f t="shared" si="104"/>
        <v>CA-2017-136350_FUR-CH-10001891</v>
      </c>
      <c r="E6675" t="str">
        <f>IF(COUNTIF(data2!$D:$D,D6675)=0,"Missing in Data2","Present")</f>
        <v>Present</v>
      </c>
    </row>
    <row r="6676" spans="1:5" x14ac:dyDescent="0.25">
      <c r="A6676" s="2" t="s">
        <v>5227</v>
      </c>
      <c r="B6676" s="2" t="s">
        <v>3987</v>
      </c>
      <c r="C6676" s="2">
        <v>3</v>
      </c>
      <c r="D6676" t="str">
        <f t="shared" si="104"/>
        <v>CA-2017-136350_FUR-FU-10003601</v>
      </c>
      <c r="E6676" t="str">
        <f>IF(COUNTIF(data2!$D:$D,D6676)=0,"Missing in Data2","Present")</f>
        <v>Present</v>
      </c>
    </row>
    <row r="6677" spans="1:5" x14ac:dyDescent="0.25">
      <c r="A6677" s="2" t="s">
        <v>5228</v>
      </c>
      <c r="B6677" s="2" t="s">
        <v>5229</v>
      </c>
      <c r="C6677" s="2">
        <v>9</v>
      </c>
      <c r="D6677" t="str">
        <f t="shared" si="104"/>
        <v>CA-2017-136364_FUR-FU-10002501</v>
      </c>
      <c r="E6677" t="str">
        <f>IF(COUNTIF(data2!$D:$D,D6677)=0,"Missing in Data2","Present")</f>
        <v>Present</v>
      </c>
    </row>
    <row r="6678" spans="1:5" x14ac:dyDescent="0.25">
      <c r="A6678" s="2" t="s">
        <v>5228</v>
      </c>
      <c r="B6678" s="2" t="s">
        <v>1683</v>
      </c>
      <c r="C6678" s="2">
        <v>1</v>
      </c>
      <c r="D6678" t="str">
        <f t="shared" si="104"/>
        <v>CA-2017-136364_TEC-PH-10003885</v>
      </c>
      <c r="E6678" t="str">
        <f>IF(COUNTIF(data2!$D:$D,D6678)=0,"Missing in Data2","Present")</f>
        <v>Present</v>
      </c>
    </row>
    <row r="6679" spans="1:5" x14ac:dyDescent="0.25">
      <c r="A6679" s="2" t="s">
        <v>5230</v>
      </c>
      <c r="B6679" s="2" t="s">
        <v>2789</v>
      </c>
      <c r="C6679" s="2">
        <v>3</v>
      </c>
      <c r="D6679" t="str">
        <f t="shared" si="104"/>
        <v>CA-2017-136448_FUR-FU-10003832</v>
      </c>
      <c r="E6679" t="str">
        <f>IF(COUNTIF(data2!$D:$D,D6679)=0,"Missing in Data2","Present")</f>
        <v>Missing in Data2</v>
      </c>
    </row>
    <row r="6680" spans="1:5" x14ac:dyDescent="0.25">
      <c r="A6680" s="2" t="s">
        <v>5230</v>
      </c>
      <c r="B6680" s="2" t="s">
        <v>502</v>
      </c>
      <c r="C6680" s="2">
        <v>2</v>
      </c>
      <c r="D6680" t="str">
        <f t="shared" si="104"/>
        <v>CA-2017-136448_OFF-BI-10001359</v>
      </c>
      <c r="E6680" t="str">
        <f>IF(COUNTIF(data2!$D:$D,D6680)=0,"Missing in Data2","Present")</f>
        <v>Present</v>
      </c>
    </row>
    <row r="6681" spans="1:5" x14ac:dyDescent="0.25">
      <c r="A6681" s="2" t="s">
        <v>5230</v>
      </c>
      <c r="B6681" s="2" t="s">
        <v>2414</v>
      </c>
      <c r="C6681" s="2">
        <v>2</v>
      </c>
      <c r="D6681" t="str">
        <f t="shared" si="104"/>
        <v>CA-2017-136448_OFF-BI-10002393</v>
      </c>
      <c r="E6681" t="str">
        <f>IF(COUNTIF(data2!$D:$D,D6681)=0,"Missing in Data2","Present")</f>
        <v>Missing in Data2</v>
      </c>
    </row>
    <row r="6682" spans="1:5" x14ac:dyDescent="0.25">
      <c r="A6682" s="2" t="s">
        <v>5230</v>
      </c>
      <c r="B6682" s="2" t="s">
        <v>2690</v>
      </c>
      <c r="C6682" s="2">
        <v>3</v>
      </c>
      <c r="D6682" t="str">
        <f t="shared" si="104"/>
        <v>CA-2017-136448_TEC-AC-10001109</v>
      </c>
      <c r="E6682" t="str">
        <f>IF(COUNTIF(data2!$D:$D,D6682)=0,"Missing in Data2","Present")</f>
        <v>Missing in Data2</v>
      </c>
    </row>
    <row r="6683" spans="1:5" x14ac:dyDescent="0.25">
      <c r="A6683" s="2" t="s">
        <v>5230</v>
      </c>
      <c r="B6683" s="2" t="s">
        <v>131</v>
      </c>
      <c r="C6683" s="2">
        <v>2</v>
      </c>
      <c r="D6683" t="str">
        <f t="shared" si="104"/>
        <v>CA-2017-136448_TEC-AC-10003628</v>
      </c>
      <c r="E6683" t="str">
        <f>IF(COUNTIF(data2!$D:$D,D6683)=0,"Missing in Data2","Present")</f>
        <v>Present</v>
      </c>
    </row>
    <row r="6684" spans="1:5" x14ac:dyDescent="0.25">
      <c r="A6684" s="2" t="s">
        <v>5231</v>
      </c>
      <c r="B6684" s="2" t="s">
        <v>1042</v>
      </c>
      <c r="C6684" s="2">
        <v>5</v>
      </c>
      <c r="D6684" t="str">
        <f t="shared" si="104"/>
        <v>CA-2017-136497_OFF-BI-10001553</v>
      </c>
      <c r="E6684" t="str">
        <f>IF(COUNTIF(data2!$D:$D,D6684)=0,"Missing in Data2","Present")</f>
        <v>Present</v>
      </c>
    </row>
    <row r="6685" spans="1:5" x14ac:dyDescent="0.25">
      <c r="A6685" s="2" t="s">
        <v>5232</v>
      </c>
      <c r="B6685" s="2" t="s">
        <v>3354</v>
      </c>
      <c r="C6685" s="2">
        <v>3</v>
      </c>
      <c r="D6685" t="str">
        <f t="shared" si="104"/>
        <v>CA-2017-136511_OFF-SU-10003505</v>
      </c>
      <c r="E6685" t="str">
        <f>IF(COUNTIF(data2!$D:$D,D6685)=0,"Missing in Data2","Present")</f>
        <v>Present</v>
      </c>
    </row>
    <row r="6686" spans="1:5" x14ac:dyDescent="0.25">
      <c r="A6686" s="2" t="s">
        <v>5233</v>
      </c>
      <c r="B6686" s="2" t="s">
        <v>1960</v>
      </c>
      <c r="C6686" s="2">
        <v>2</v>
      </c>
      <c r="D6686" t="str">
        <f t="shared" si="104"/>
        <v>CA-2017-136539_FUR-BO-10004709</v>
      </c>
      <c r="E6686" t="str">
        <f>IF(COUNTIF(data2!$D:$D,D6686)=0,"Missing in Data2","Present")</f>
        <v>Missing in Data2</v>
      </c>
    </row>
    <row r="6687" spans="1:5" x14ac:dyDescent="0.25">
      <c r="A6687" s="2" t="s">
        <v>5233</v>
      </c>
      <c r="B6687" s="2" t="s">
        <v>3156</v>
      </c>
      <c r="C6687" s="2">
        <v>2</v>
      </c>
      <c r="D6687" t="str">
        <f t="shared" si="104"/>
        <v>CA-2017-136539_OFF-AR-10001958</v>
      </c>
      <c r="E6687" t="str">
        <f>IF(COUNTIF(data2!$D:$D,D6687)=0,"Missing in Data2","Present")</f>
        <v>Present</v>
      </c>
    </row>
    <row r="6688" spans="1:5" x14ac:dyDescent="0.25">
      <c r="A6688" s="2" t="s">
        <v>5234</v>
      </c>
      <c r="B6688" s="2" t="s">
        <v>4114</v>
      </c>
      <c r="C6688" s="2">
        <v>3</v>
      </c>
      <c r="D6688" t="str">
        <f t="shared" si="104"/>
        <v>CA-2017-136609_OFF-PA-10004381</v>
      </c>
      <c r="E6688" t="str">
        <f>IF(COUNTIF(data2!$D:$D,D6688)=0,"Missing in Data2","Present")</f>
        <v>Present</v>
      </c>
    </row>
    <row r="6689" spans="1:5" x14ac:dyDescent="0.25">
      <c r="A6689" s="2" t="s">
        <v>5235</v>
      </c>
      <c r="B6689" s="2" t="s">
        <v>227</v>
      </c>
      <c r="C6689" s="2">
        <v>5</v>
      </c>
      <c r="D6689" t="str">
        <f t="shared" si="104"/>
        <v>CA-2017-136623_OFF-BI-10003708</v>
      </c>
      <c r="E6689" t="str">
        <f>IF(COUNTIF(data2!$D:$D,D6689)=0,"Missing in Data2","Present")</f>
        <v>Present</v>
      </c>
    </row>
    <row r="6690" spans="1:5" x14ac:dyDescent="0.25">
      <c r="A6690" s="2" t="s">
        <v>5235</v>
      </c>
      <c r="B6690" s="2" t="s">
        <v>4105</v>
      </c>
      <c r="C6690" s="2">
        <v>6</v>
      </c>
      <c r="D6690" t="str">
        <f t="shared" si="104"/>
        <v>CA-2017-136623_TEC-PH-10000004</v>
      </c>
      <c r="E6690" t="str">
        <f>IF(COUNTIF(data2!$D:$D,D6690)=0,"Missing in Data2","Present")</f>
        <v>Present</v>
      </c>
    </row>
    <row r="6691" spans="1:5" x14ac:dyDescent="0.25">
      <c r="A6691" s="2" t="s">
        <v>5236</v>
      </c>
      <c r="B6691" s="2" t="s">
        <v>3041</v>
      </c>
      <c r="C6691" s="2">
        <v>7</v>
      </c>
      <c r="D6691" t="str">
        <f t="shared" si="104"/>
        <v>CA-2017-136651_FUR-FU-10002445</v>
      </c>
      <c r="E6691" t="str">
        <f>IF(COUNTIF(data2!$D:$D,D6691)=0,"Missing in Data2","Present")</f>
        <v>Present</v>
      </c>
    </row>
    <row r="6692" spans="1:5" x14ac:dyDescent="0.25">
      <c r="A6692" s="2" t="s">
        <v>5236</v>
      </c>
      <c r="B6692" s="2" t="s">
        <v>226</v>
      </c>
      <c r="C6692" s="2">
        <v>2</v>
      </c>
      <c r="D6692" t="str">
        <f t="shared" si="104"/>
        <v>CA-2017-136651_FUR-FU-10004864</v>
      </c>
      <c r="E6692" t="str">
        <f>IF(COUNTIF(data2!$D:$D,D6692)=0,"Missing in Data2","Present")</f>
        <v>Present</v>
      </c>
    </row>
    <row r="6693" spans="1:5" x14ac:dyDescent="0.25">
      <c r="A6693" s="2" t="s">
        <v>5236</v>
      </c>
      <c r="B6693" s="2" t="s">
        <v>1137</v>
      </c>
      <c r="C6693" s="2">
        <v>6</v>
      </c>
      <c r="D6693" t="str">
        <f t="shared" si="104"/>
        <v>CA-2017-136651_OFF-BI-10003638</v>
      </c>
      <c r="E6693" t="str">
        <f>IF(COUNTIF(data2!$D:$D,D6693)=0,"Missing in Data2","Present")</f>
        <v>Present</v>
      </c>
    </row>
    <row r="6694" spans="1:5" x14ac:dyDescent="0.25">
      <c r="A6694" s="2" t="s">
        <v>5237</v>
      </c>
      <c r="B6694" s="2" t="s">
        <v>676</v>
      </c>
      <c r="C6694" s="2">
        <v>3</v>
      </c>
      <c r="D6694" t="str">
        <f t="shared" si="104"/>
        <v>CA-2017-136672_TEC-AC-10004510</v>
      </c>
      <c r="E6694" t="str">
        <f>IF(COUNTIF(data2!$D:$D,D6694)=0,"Missing in Data2","Present")</f>
        <v>Missing in Data2</v>
      </c>
    </row>
    <row r="6695" spans="1:5" x14ac:dyDescent="0.25">
      <c r="A6695" s="2" t="s">
        <v>5238</v>
      </c>
      <c r="B6695" s="2" t="s">
        <v>2303</v>
      </c>
      <c r="C6695" s="2">
        <v>3</v>
      </c>
      <c r="D6695" t="str">
        <f t="shared" si="104"/>
        <v>CA-2017-136826_OFF-AR-10003602</v>
      </c>
      <c r="E6695" t="str">
        <f>IF(COUNTIF(data2!$D:$D,D6695)=0,"Missing in Data2","Present")</f>
        <v>Present</v>
      </c>
    </row>
    <row r="6696" spans="1:5" x14ac:dyDescent="0.25">
      <c r="A6696" s="2" t="s">
        <v>5239</v>
      </c>
      <c r="B6696" s="2" t="s">
        <v>41</v>
      </c>
      <c r="C6696" s="2">
        <v>3</v>
      </c>
      <c r="D6696" t="str">
        <f t="shared" si="104"/>
        <v>CA-2017-136875_OFF-PA-10000357</v>
      </c>
      <c r="E6696" t="str">
        <f>IF(COUNTIF(data2!$D:$D,D6696)=0,"Missing in Data2","Present")</f>
        <v>Present</v>
      </c>
    </row>
    <row r="6697" spans="1:5" x14ac:dyDescent="0.25">
      <c r="A6697" s="2" t="s">
        <v>5240</v>
      </c>
      <c r="B6697" s="2" t="s">
        <v>3272</v>
      </c>
      <c r="C6697" s="2">
        <v>5</v>
      </c>
      <c r="D6697" t="str">
        <f t="shared" si="104"/>
        <v>CA-2017-136882_FUR-FU-10003664</v>
      </c>
      <c r="E6697" t="str">
        <f>IF(COUNTIF(data2!$D:$D,D6697)=0,"Missing in Data2","Present")</f>
        <v>Present</v>
      </c>
    </row>
    <row r="6698" spans="1:5" x14ac:dyDescent="0.25">
      <c r="A6698" s="2" t="s">
        <v>5241</v>
      </c>
      <c r="B6698" s="2" t="s">
        <v>3834</v>
      </c>
      <c r="C6698" s="2">
        <v>7</v>
      </c>
      <c r="D6698" t="str">
        <f t="shared" si="104"/>
        <v>CA-2017-137001_OFF-AR-10001231</v>
      </c>
      <c r="E6698" t="str">
        <f>IF(COUNTIF(data2!$D:$D,D6698)=0,"Missing in Data2","Present")</f>
        <v>Missing in Data2</v>
      </c>
    </row>
    <row r="6699" spans="1:5" x14ac:dyDescent="0.25">
      <c r="A6699" s="2" t="s">
        <v>5242</v>
      </c>
      <c r="B6699" s="2" t="s">
        <v>251</v>
      </c>
      <c r="C6699" s="2">
        <v>8</v>
      </c>
      <c r="D6699" t="str">
        <f t="shared" si="104"/>
        <v>CA-2017-137022_OFF-ST-10001963</v>
      </c>
      <c r="E6699" t="str">
        <f>IF(COUNTIF(data2!$D:$D,D6699)=0,"Missing in Data2","Present")</f>
        <v>Present</v>
      </c>
    </row>
    <row r="6700" spans="1:5" x14ac:dyDescent="0.25">
      <c r="A6700" s="2" t="s">
        <v>5243</v>
      </c>
      <c r="B6700" s="2" t="s">
        <v>740</v>
      </c>
      <c r="C6700" s="2">
        <v>9</v>
      </c>
      <c r="D6700" t="str">
        <f t="shared" si="104"/>
        <v>CA-2017-137085_OFF-BI-10000632</v>
      </c>
      <c r="E6700" t="str">
        <f>IF(COUNTIF(data2!$D:$D,D6700)=0,"Missing in Data2","Present")</f>
        <v>Present</v>
      </c>
    </row>
    <row r="6701" spans="1:5" x14ac:dyDescent="0.25">
      <c r="A6701" s="2" t="s">
        <v>5244</v>
      </c>
      <c r="B6701" s="2" t="s">
        <v>1904</v>
      </c>
      <c r="C6701" s="2">
        <v>3</v>
      </c>
      <c r="D6701" t="str">
        <f t="shared" si="104"/>
        <v>CA-2017-137365_TEC-AC-10001767</v>
      </c>
      <c r="E6701" t="str">
        <f>IF(COUNTIF(data2!$D:$D,D6701)=0,"Missing in Data2","Present")</f>
        <v>Present</v>
      </c>
    </row>
    <row r="6702" spans="1:5" x14ac:dyDescent="0.25">
      <c r="A6702" s="2" t="s">
        <v>5245</v>
      </c>
      <c r="B6702" s="2" t="s">
        <v>1071</v>
      </c>
      <c r="C6702" s="2">
        <v>2</v>
      </c>
      <c r="D6702" t="str">
        <f t="shared" si="104"/>
        <v>CA-2017-137414_FUR-FU-10001424</v>
      </c>
      <c r="E6702" t="str">
        <f>IF(COUNTIF(data2!$D:$D,D6702)=0,"Missing in Data2","Present")</f>
        <v>Present</v>
      </c>
    </row>
    <row r="6703" spans="1:5" x14ac:dyDescent="0.25">
      <c r="A6703" s="2" t="s">
        <v>5245</v>
      </c>
      <c r="B6703" s="2" t="s">
        <v>2036</v>
      </c>
      <c r="C6703" s="2">
        <v>11</v>
      </c>
      <c r="D6703" t="str">
        <f t="shared" si="104"/>
        <v>CA-2017-137414_TEC-MA-10002930</v>
      </c>
      <c r="E6703" t="str">
        <f>IF(COUNTIF(data2!$D:$D,D6703)=0,"Missing in Data2","Present")</f>
        <v>Present</v>
      </c>
    </row>
    <row r="6704" spans="1:5" x14ac:dyDescent="0.25">
      <c r="A6704" s="2" t="s">
        <v>5246</v>
      </c>
      <c r="B6704" s="2" t="s">
        <v>3062</v>
      </c>
      <c r="C6704" s="2">
        <v>2</v>
      </c>
      <c r="D6704" t="str">
        <f t="shared" si="104"/>
        <v>CA-2017-137421_OFF-AR-10001761</v>
      </c>
      <c r="E6704" t="str">
        <f>IF(COUNTIF(data2!$D:$D,D6704)=0,"Missing in Data2","Present")</f>
        <v>Present</v>
      </c>
    </row>
    <row r="6705" spans="1:5" x14ac:dyDescent="0.25">
      <c r="A6705" s="2" t="s">
        <v>5247</v>
      </c>
      <c r="B6705" s="2" t="s">
        <v>1207</v>
      </c>
      <c r="C6705" s="2">
        <v>2</v>
      </c>
      <c r="D6705" t="str">
        <f t="shared" si="104"/>
        <v>CA-2017-137428_FUR-CH-10002774</v>
      </c>
      <c r="E6705" t="str">
        <f>IF(COUNTIF(data2!$D:$D,D6705)=0,"Missing in Data2","Present")</f>
        <v>Present</v>
      </c>
    </row>
    <row r="6706" spans="1:5" x14ac:dyDescent="0.25">
      <c r="A6706" s="2" t="s">
        <v>5247</v>
      </c>
      <c r="B6706" s="2" t="s">
        <v>621</v>
      </c>
      <c r="C6706" s="2">
        <v>2</v>
      </c>
      <c r="D6706" t="str">
        <f t="shared" si="104"/>
        <v>CA-2017-137428_FUR-CH-10003817</v>
      </c>
      <c r="E6706" t="str">
        <f>IF(COUNTIF(data2!$D:$D,D6706)=0,"Missing in Data2","Present")</f>
        <v>Present</v>
      </c>
    </row>
    <row r="6707" spans="1:5" x14ac:dyDescent="0.25">
      <c r="A6707" s="2" t="s">
        <v>5247</v>
      </c>
      <c r="B6707" s="2" t="s">
        <v>3041</v>
      </c>
      <c r="C6707" s="2">
        <v>2</v>
      </c>
      <c r="D6707" t="str">
        <f t="shared" si="104"/>
        <v>CA-2017-137428_FUR-FU-10002445</v>
      </c>
      <c r="E6707" t="str">
        <f>IF(COUNTIF(data2!$D:$D,D6707)=0,"Missing in Data2","Present")</f>
        <v>Present</v>
      </c>
    </row>
    <row r="6708" spans="1:5" x14ac:dyDescent="0.25">
      <c r="A6708" s="2" t="s">
        <v>5247</v>
      </c>
      <c r="B6708" s="2" t="s">
        <v>1727</v>
      </c>
      <c r="C6708" s="2">
        <v>5</v>
      </c>
      <c r="D6708" t="str">
        <f t="shared" si="104"/>
        <v>CA-2017-137428_OFF-BI-10002949</v>
      </c>
      <c r="E6708" t="str">
        <f>IF(COUNTIF(data2!$D:$D,D6708)=0,"Missing in Data2","Present")</f>
        <v>Present</v>
      </c>
    </row>
    <row r="6709" spans="1:5" x14ac:dyDescent="0.25">
      <c r="A6709" s="2" t="s">
        <v>5248</v>
      </c>
      <c r="B6709" s="2" t="s">
        <v>5249</v>
      </c>
      <c r="C6709" s="2">
        <v>3</v>
      </c>
      <c r="D6709" t="str">
        <f t="shared" si="104"/>
        <v>CA-2017-137449_FUR-BO-10000780</v>
      </c>
      <c r="E6709" t="str">
        <f>IF(COUNTIF(data2!$D:$D,D6709)=0,"Missing in Data2","Present")</f>
        <v>Present</v>
      </c>
    </row>
    <row r="6710" spans="1:5" x14ac:dyDescent="0.25">
      <c r="A6710" s="2" t="s">
        <v>5248</v>
      </c>
      <c r="B6710" s="2" t="s">
        <v>2413</v>
      </c>
      <c r="C6710" s="2">
        <v>3</v>
      </c>
      <c r="D6710" t="str">
        <f t="shared" si="104"/>
        <v>CA-2017-137449_FUR-TA-10002855</v>
      </c>
      <c r="E6710" t="str">
        <f>IF(COUNTIF(data2!$D:$D,D6710)=0,"Missing in Data2","Present")</f>
        <v>Present</v>
      </c>
    </row>
    <row r="6711" spans="1:5" x14ac:dyDescent="0.25">
      <c r="A6711" s="2" t="s">
        <v>5248</v>
      </c>
      <c r="B6711" s="2" t="s">
        <v>1457</v>
      </c>
      <c r="C6711" s="2">
        <v>2</v>
      </c>
      <c r="D6711" t="str">
        <f t="shared" si="104"/>
        <v>CA-2017-137449_OFF-AP-10000240</v>
      </c>
      <c r="E6711" t="str">
        <f>IF(COUNTIF(data2!$D:$D,D6711)=0,"Missing in Data2","Present")</f>
        <v>Present</v>
      </c>
    </row>
    <row r="6712" spans="1:5" x14ac:dyDescent="0.25">
      <c r="A6712" s="2" t="s">
        <v>5250</v>
      </c>
      <c r="B6712" s="2" t="s">
        <v>661</v>
      </c>
      <c r="C6712" s="2">
        <v>2</v>
      </c>
      <c r="D6712" t="str">
        <f t="shared" si="104"/>
        <v>CA-2017-137456_FUR-FU-10001940</v>
      </c>
      <c r="E6712" t="str">
        <f>IF(COUNTIF(data2!$D:$D,D6712)=0,"Missing in Data2","Present")</f>
        <v>Missing in Data2</v>
      </c>
    </row>
    <row r="6713" spans="1:5" x14ac:dyDescent="0.25">
      <c r="A6713" s="2" t="s">
        <v>5251</v>
      </c>
      <c r="B6713" s="2" t="s">
        <v>5252</v>
      </c>
      <c r="C6713" s="2">
        <v>5</v>
      </c>
      <c r="D6713" t="str">
        <f t="shared" si="104"/>
        <v>CA-2017-137463_OFF-AR-10001988</v>
      </c>
      <c r="E6713" t="str">
        <f>IF(COUNTIF(data2!$D:$D,D6713)=0,"Missing in Data2","Present")</f>
        <v>Present</v>
      </c>
    </row>
    <row r="6714" spans="1:5" x14ac:dyDescent="0.25">
      <c r="A6714" s="2" t="s">
        <v>5251</v>
      </c>
      <c r="B6714" s="2" t="s">
        <v>1525</v>
      </c>
      <c r="C6714" s="2">
        <v>2</v>
      </c>
      <c r="D6714" t="str">
        <f t="shared" si="104"/>
        <v>CA-2017-137463_OFF-BI-10003196</v>
      </c>
      <c r="E6714" t="str">
        <f>IF(COUNTIF(data2!$D:$D,D6714)=0,"Missing in Data2","Present")</f>
        <v>Present</v>
      </c>
    </row>
    <row r="6715" spans="1:5" x14ac:dyDescent="0.25">
      <c r="A6715" s="2" t="s">
        <v>5251</v>
      </c>
      <c r="B6715" s="2" t="s">
        <v>1797</v>
      </c>
      <c r="C6715" s="2">
        <v>3</v>
      </c>
      <c r="D6715" t="str">
        <f t="shared" si="104"/>
        <v>CA-2017-137463_OFF-LA-10003498</v>
      </c>
      <c r="E6715" t="str">
        <f>IF(COUNTIF(data2!$D:$D,D6715)=0,"Missing in Data2","Present")</f>
        <v>Present</v>
      </c>
    </row>
    <row r="6716" spans="1:5" x14ac:dyDescent="0.25">
      <c r="A6716" s="2" t="s">
        <v>5251</v>
      </c>
      <c r="B6716" s="2" t="s">
        <v>4216</v>
      </c>
      <c r="C6716" s="2">
        <v>5</v>
      </c>
      <c r="D6716" t="str">
        <f t="shared" si="104"/>
        <v>CA-2017-137463_TEC-AC-10000057</v>
      </c>
      <c r="E6716" t="str">
        <f>IF(COUNTIF(data2!$D:$D,D6716)=0,"Missing in Data2","Present")</f>
        <v>Present</v>
      </c>
    </row>
    <row r="6717" spans="1:5" x14ac:dyDescent="0.25">
      <c r="A6717" s="2" t="s">
        <v>5251</v>
      </c>
      <c r="B6717" s="2" t="s">
        <v>2665</v>
      </c>
      <c r="C6717" s="2">
        <v>5</v>
      </c>
      <c r="D6717" t="str">
        <f t="shared" si="104"/>
        <v>CA-2017-137463_TEC-AC-10000358</v>
      </c>
      <c r="E6717" t="str">
        <f>IF(COUNTIF(data2!$D:$D,D6717)=0,"Missing in Data2","Present")</f>
        <v>Present</v>
      </c>
    </row>
    <row r="6718" spans="1:5" x14ac:dyDescent="0.25">
      <c r="A6718" s="2" t="s">
        <v>5253</v>
      </c>
      <c r="B6718" s="2" t="s">
        <v>5254</v>
      </c>
      <c r="C6718" s="2">
        <v>2</v>
      </c>
      <c r="D6718" t="str">
        <f t="shared" si="104"/>
        <v>CA-2017-137470_OFF-PA-10002001</v>
      </c>
      <c r="E6718" t="str">
        <f>IF(COUNTIF(data2!$D:$D,D6718)=0,"Missing in Data2","Present")</f>
        <v>Present</v>
      </c>
    </row>
    <row r="6719" spans="1:5" x14ac:dyDescent="0.25">
      <c r="A6719" s="2" t="s">
        <v>5255</v>
      </c>
      <c r="B6719" s="2" t="s">
        <v>246</v>
      </c>
      <c r="C6719" s="2">
        <v>5</v>
      </c>
      <c r="D6719" t="str">
        <f t="shared" si="104"/>
        <v>CA-2017-137498_FUR-CH-10003833</v>
      </c>
      <c r="E6719" t="str">
        <f>IF(COUNTIF(data2!$D:$D,D6719)=0,"Missing in Data2","Present")</f>
        <v>Present</v>
      </c>
    </row>
    <row r="6720" spans="1:5" x14ac:dyDescent="0.25">
      <c r="A6720" s="2" t="s">
        <v>5255</v>
      </c>
      <c r="B6720" s="2" t="s">
        <v>617</v>
      </c>
      <c r="C6720" s="2">
        <v>2</v>
      </c>
      <c r="D6720" t="str">
        <f t="shared" si="104"/>
        <v>CA-2017-137498_OFF-AR-10003829</v>
      </c>
      <c r="E6720" t="str">
        <f>IF(COUNTIF(data2!$D:$D,D6720)=0,"Missing in Data2","Present")</f>
        <v>Present</v>
      </c>
    </row>
    <row r="6721" spans="1:5" x14ac:dyDescent="0.25">
      <c r="A6721" s="2" t="s">
        <v>5255</v>
      </c>
      <c r="B6721" s="2" t="s">
        <v>1833</v>
      </c>
      <c r="C6721" s="2">
        <v>9</v>
      </c>
      <c r="D6721" t="str">
        <f t="shared" si="104"/>
        <v>CA-2017-137498_OFF-PA-10000143</v>
      </c>
      <c r="E6721" t="str">
        <f>IF(COUNTIF(data2!$D:$D,D6721)=0,"Missing in Data2","Present")</f>
        <v>Present</v>
      </c>
    </row>
    <row r="6722" spans="1:5" x14ac:dyDescent="0.25">
      <c r="A6722" s="2" t="s">
        <v>5256</v>
      </c>
      <c r="B6722" s="2" t="s">
        <v>1115</v>
      </c>
      <c r="C6722" s="2">
        <v>2</v>
      </c>
      <c r="D6722" t="str">
        <f t="shared" si="104"/>
        <v>CA-2017-137505_FUR-TA-10000617</v>
      </c>
      <c r="E6722" t="str">
        <f>IF(COUNTIF(data2!$D:$D,D6722)=0,"Missing in Data2","Present")</f>
        <v>Present</v>
      </c>
    </row>
    <row r="6723" spans="1:5" x14ac:dyDescent="0.25">
      <c r="A6723" s="2" t="s">
        <v>5256</v>
      </c>
      <c r="B6723" s="2" t="s">
        <v>513</v>
      </c>
      <c r="C6723" s="2">
        <v>2</v>
      </c>
      <c r="D6723" t="str">
        <f t="shared" ref="D6723:D6786" si="105">A6723&amp;"_"&amp;B6723</f>
        <v>CA-2017-137505_FUR-TA-10001676</v>
      </c>
      <c r="E6723" t="str">
        <f>IF(COUNTIF(data2!$D:$D,D6723)=0,"Missing in Data2","Present")</f>
        <v>Present</v>
      </c>
    </row>
    <row r="6724" spans="1:5" x14ac:dyDescent="0.25">
      <c r="A6724" s="2" t="s">
        <v>5257</v>
      </c>
      <c r="B6724" s="2" t="s">
        <v>1065</v>
      </c>
      <c r="C6724" s="2">
        <v>3</v>
      </c>
      <c r="D6724" t="str">
        <f t="shared" si="105"/>
        <v>CA-2017-137582_OFF-BI-10001757</v>
      </c>
      <c r="E6724" t="str">
        <f>IF(COUNTIF(data2!$D:$D,D6724)=0,"Missing in Data2","Present")</f>
        <v>Present</v>
      </c>
    </row>
    <row r="6725" spans="1:5" x14ac:dyDescent="0.25">
      <c r="A6725" s="2" t="s">
        <v>5258</v>
      </c>
      <c r="B6725" s="2" t="s">
        <v>2294</v>
      </c>
      <c r="C6725" s="2">
        <v>2</v>
      </c>
      <c r="D6725" t="str">
        <f t="shared" si="105"/>
        <v>CA-2017-137596_OFF-ST-10003816</v>
      </c>
      <c r="E6725" t="str">
        <f>IF(COUNTIF(data2!$D:$D,D6725)=0,"Missing in Data2","Present")</f>
        <v>Missing in Data2</v>
      </c>
    </row>
    <row r="6726" spans="1:5" x14ac:dyDescent="0.25">
      <c r="A6726" s="2" t="s">
        <v>5258</v>
      </c>
      <c r="B6726" s="2" t="s">
        <v>5259</v>
      </c>
      <c r="C6726" s="2">
        <v>7</v>
      </c>
      <c r="D6726" t="str">
        <f t="shared" si="105"/>
        <v>CA-2017-137596_TEC-AC-10004666</v>
      </c>
      <c r="E6726" t="str">
        <f>IF(COUNTIF(data2!$D:$D,D6726)=0,"Missing in Data2","Present")</f>
        <v>Present</v>
      </c>
    </row>
    <row r="6727" spans="1:5" x14ac:dyDescent="0.25">
      <c r="A6727" s="2" t="s">
        <v>5258</v>
      </c>
      <c r="B6727" s="2" t="s">
        <v>1997</v>
      </c>
      <c r="C6727" s="2">
        <v>4</v>
      </c>
      <c r="D6727" t="str">
        <f t="shared" si="105"/>
        <v>CA-2017-137596_TEC-PH-10001494</v>
      </c>
      <c r="E6727" t="str">
        <f>IF(COUNTIF(data2!$D:$D,D6727)=0,"Missing in Data2","Present")</f>
        <v>Present</v>
      </c>
    </row>
    <row r="6728" spans="1:5" x14ac:dyDescent="0.25">
      <c r="A6728" s="2" t="s">
        <v>5260</v>
      </c>
      <c r="B6728" s="2" t="s">
        <v>84</v>
      </c>
      <c r="C6728" s="2">
        <v>2</v>
      </c>
      <c r="D6728" t="str">
        <f t="shared" si="105"/>
        <v>CA-2017-137624_FUR-CH-10001714</v>
      </c>
      <c r="E6728" t="str">
        <f>IF(COUNTIF(data2!$D:$D,D6728)=0,"Missing in Data2","Present")</f>
        <v>Present</v>
      </c>
    </row>
    <row r="6729" spans="1:5" x14ac:dyDescent="0.25">
      <c r="A6729" s="2" t="s">
        <v>5261</v>
      </c>
      <c r="B6729" s="2" t="s">
        <v>3339</v>
      </c>
      <c r="C6729" s="2">
        <v>2</v>
      </c>
      <c r="D6729" t="str">
        <f t="shared" si="105"/>
        <v>CA-2017-137631_TEC-PH-10002624</v>
      </c>
      <c r="E6729" t="str">
        <f>IF(COUNTIF(data2!$D:$D,D6729)=0,"Missing in Data2","Present")</f>
        <v>Present</v>
      </c>
    </row>
    <row r="6730" spans="1:5" x14ac:dyDescent="0.25">
      <c r="A6730" s="2" t="s">
        <v>5262</v>
      </c>
      <c r="B6730" s="2" t="s">
        <v>1375</v>
      </c>
      <c r="C6730" s="2">
        <v>5</v>
      </c>
      <c r="D6730" t="str">
        <f t="shared" si="105"/>
        <v>CA-2017-137785_FUR-CH-10001482</v>
      </c>
      <c r="E6730" t="str">
        <f>IF(COUNTIF(data2!$D:$D,D6730)=0,"Missing in Data2","Present")</f>
        <v>Present</v>
      </c>
    </row>
    <row r="6731" spans="1:5" x14ac:dyDescent="0.25">
      <c r="A6731" s="2" t="s">
        <v>5263</v>
      </c>
      <c r="B6731" s="2" t="s">
        <v>909</v>
      </c>
      <c r="C6731" s="2">
        <v>4</v>
      </c>
      <c r="D6731" t="str">
        <f t="shared" si="105"/>
        <v>CA-2017-137876_OFF-EN-10001219</v>
      </c>
      <c r="E6731" t="str">
        <f>IF(COUNTIF(data2!$D:$D,D6731)=0,"Missing in Data2","Present")</f>
        <v>Present</v>
      </c>
    </row>
    <row r="6732" spans="1:5" x14ac:dyDescent="0.25">
      <c r="A6732" s="2" t="s">
        <v>5264</v>
      </c>
      <c r="B6732" s="2" t="s">
        <v>1850</v>
      </c>
      <c r="C6732" s="2">
        <v>7</v>
      </c>
      <c r="D6732" t="str">
        <f t="shared" si="105"/>
        <v>CA-2017-137918_OFF-SU-10000898</v>
      </c>
      <c r="E6732" t="str">
        <f>IF(COUNTIF(data2!$D:$D,D6732)=0,"Missing in Data2","Present")</f>
        <v>Present</v>
      </c>
    </row>
    <row r="6733" spans="1:5" x14ac:dyDescent="0.25">
      <c r="A6733" s="2" t="s">
        <v>5265</v>
      </c>
      <c r="B6733" s="2" t="s">
        <v>4301</v>
      </c>
      <c r="C6733" s="2">
        <v>2</v>
      </c>
      <c r="D6733" t="str">
        <f t="shared" si="105"/>
        <v>CA-2017-138149_OFF-AR-10000255</v>
      </c>
      <c r="E6733" t="str">
        <f>IF(COUNTIF(data2!$D:$D,D6733)=0,"Missing in Data2","Present")</f>
        <v>Present</v>
      </c>
    </row>
    <row r="6734" spans="1:5" x14ac:dyDescent="0.25">
      <c r="A6734" s="2" t="s">
        <v>5265</v>
      </c>
      <c r="B6734" s="2" t="s">
        <v>5266</v>
      </c>
      <c r="C6734" s="2">
        <v>5</v>
      </c>
      <c r="D6734" t="str">
        <f t="shared" si="105"/>
        <v>CA-2017-138149_OFF-BI-10003091</v>
      </c>
      <c r="E6734" t="str">
        <f>IF(COUNTIF(data2!$D:$D,D6734)=0,"Missing in Data2","Present")</f>
        <v>Present</v>
      </c>
    </row>
    <row r="6735" spans="1:5" x14ac:dyDescent="0.25">
      <c r="A6735" s="2" t="s">
        <v>5265</v>
      </c>
      <c r="B6735" s="2" t="s">
        <v>1717</v>
      </c>
      <c r="C6735" s="2">
        <v>3</v>
      </c>
      <c r="D6735" t="str">
        <f t="shared" si="105"/>
        <v>CA-2017-138149_OFF-ST-10002974</v>
      </c>
      <c r="E6735" t="str">
        <f>IF(COUNTIF(data2!$D:$D,D6735)=0,"Missing in Data2","Present")</f>
        <v>Present</v>
      </c>
    </row>
    <row r="6736" spans="1:5" x14ac:dyDescent="0.25">
      <c r="A6736" s="2" t="s">
        <v>5265</v>
      </c>
      <c r="B6736" s="2" t="s">
        <v>340</v>
      </c>
      <c r="C6736" s="2">
        <v>3</v>
      </c>
      <c r="D6736" t="str">
        <f t="shared" si="105"/>
        <v>CA-2017-138149_TEC-AC-10001284</v>
      </c>
      <c r="E6736" t="str">
        <f>IF(COUNTIF(data2!$D:$D,D6736)=0,"Missing in Data2","Present")</f>
        <v>Present</v>
      </c>
    </row>
    <row r="6737" spans="1:5" x14ac:dyDescent="0.25">
      <c r="A6737" s="2" t="s">
        <v>5267</v>
      </c>
      <c r="B6737" s="2" t="s">
        <v>3987</v>
      </c>
      <c r="C6737" s="2">
        <v>2</v>
      </c>
      <c r="D6737" t="str">
        <f t="shared" si="105"/>
        <v>CA-2017-138156_FUR-FU-10003601</v>
      </c>
      <c r="E6737" t="str">
        <f>IF(COUNTIF(data2!$D:$D,D6737)=0,"Missing in Data2","Present")</f>
        <v>Present</v>
      </c>
    </row>
    <row r="6738" spans="1:5" x14ac:dyDescent="0.25">
      <c r="A6738" s="2" t="s">
        <v>5268</v>
      </c>
      <c r="B6738" s="2" t="s">
        <v>3156</v>
      </c>
      <c r="C6738" s="2">
        <v>3</v>
      </c>
      <c r="D6738" t="str">
        <f t="shared" si="105"/>
        <v>CA-2017-138163_OFF-AR-10001958</v>
      </c>
      <c r="E6738" t="str">
        <f>IF(COUNTIF(data2!$D:$D,D6738)=0,"Missing in Data2","Present")</f>
        <v>Present</v>
      </c>
    </row>
    <row r="6739" spans="1:5" x14ac:dyDescent="0.25">
      <c r="A6739" s="2" t="s">
        <v>5269</v>
      </c>
      <c r="B6739" s="2" t="s">
        <v>524</v>
      </c>
      <c r="C6739" s="2">
        <v>3</v>
      </c>
      <c r="D6739" t="str">
        <f t="shared" si="105"/>
        <v>CA-2017-138289_FUR-CH-10004626</v>
      </c>
      <c r="E6739" t="str">
        <f>IF(COUNTIF(data2!$D:$D,D6739)=0,"Missing in Data2","Present")</f>
        <v>Present</v>
      </c>
    </row>
    <row r="6740" spans="1:5" x14ac:dyDescent="0.25">
      <c r="A6740" s="2" t="s">
        <v>5269</v>
      </c>
      <c r="B6740" s="2" t="s">
        <v>1302</v>
      </c>
      <c r="C6740" s="2">
        <v>4</v>
      </c>
      <c r="D6740" t="str">
        <f t="shared" si="105"/>
        <v>CA-2017-138289_OFF-BI-10004995</v>
      </c>
      <c r="E6740" t="str">
        <f>IF(COUNTIF(data2!$D:$D,D6740)=0,"Missing in Data2","Present")</f>
        <v>Present</v>
      </c>
    </row>
    <row r="6741" spans="1:5" x14ac:dyDescent="0.25">
      <c r="A6741" s="2" t="s">
        <v>5269</v>
      </c>
      <c r="B6741" s="2" t="s">
        <v>5270</v>
      </c>
      <c r="C6741" s="2">
        <v>7</v>
      </c>
      <c r="D6741" t="str">
        <f t="shared" si="105"/>
        <v>CA-2017-138289_OFF-PA-10001260</v>
      </c>
      <c r="E6741" t="str">
        <f>IF(COUNTIF(data2!$D:$D,D6741)=0,"Missing in Data2","Present")</f>
        <v>Present</v>
      </c>
    </row>
    <row r="6742" spans="1:5" x14ac:dyDescent="0.25">
      <c r="A6742" s="2" t="s">
        <v>5271</v>
      </c>
      <c r="B6742" s="2" t="s">
        <v>3755</v>
      </c>
      <c r="C6742" s="2">
        <v>9</v>
      </c>
      <c r="D6742" t="str">
        <f t="shared" si="105"/>
        <v>CA-2017-138310_TEC-AC-10001990</v>
      </c>
      <c r="E6742" t="str">
        <f>IF(COUNTIF(data2!$D:$D,D6742)=0,"Missing in Data2","Present")</f>
        <v>Present</v>
      </c>
    </row>
    <row r="6743" spans="1:5" x14ac:dyDescent="0.25">
      <c r="A6743" s="2" t="s">
        <v>5272</v>
      </c>
      <c r="B6743" s="2" t="s">
        <v>2480</v>
      </c>
      <c r="C6743" s="2">
        <v>3</v>
      </c>
      <c r="D6743" t="str">
        <f t="shared" si="105"/>
        <v>CA-2017-138422_OFF-EN-10004147</v>
      </c>
      <c r="E6743" t="str">
        <f>IF(COUNTIF(data2!$D:$D,D6743)=0,"Missing in Data2","Present")</f>
        <v>Present</v>
      </c>
    </row>
    <row r="6744" spans="1:5" x14ac:dyDescent="0.25">
      <c r="A6744" s="2" t="s">
        <v>5273</v>
      </c>
      <c r="B6744" s="2" t="s">
        <v>2724</v>
      </c>
      <c r="C6744" s="2">
        <v>3</v>
      </c>
      <c r="D6744" t="str">
        <f t="shared" si="105"/>
        <v>CA-2017-138464_FUR-FU-10003142</v>
      </c>
      <c r="E6744" t="str">
        <f>IF(COUNTIF(data2!$D:$D,D6744)=0,"Missing in Data2","Present")</f>
        <v>Present</v>
      </c>
    </row>
    <row r="6745" spans="1:5" x14ac:dyDescent="0.25">
      <c r="A6745" s="2" t="s">
        <v>5273</v>
      </c>
      <c r="B6745" s="2" t="s">
        <v>58</v>
      </c>
      <c r="C6745" s="2">
        <v>4</v>
      </c>
      <c r="D6745" t="str">
        <f t="shared" si="105"/>
        <v>CA-2017-138464_OFF-AR-10004757</v>
      </c>
      <c r="E6745" t="str">
        <f>IF(COUNTIF(data2!$D:$D,D6745)=0,"Missing in Data2","Present")</f>
        <v>Present</v>
      </c>
    </row>
    <row r="6746" spans="1:5" x14ac:dyDescent="0.25">
      <c r="A6746" s="2" t="s">
        <v>5273</v>
      </c>
      <c r="B6746" s="2" t="s">
        <v>1413</v>
      </c>
      <c r="C6746" s="2">
        <v>3</v>
      </c>
      <c r="D6746" t="str">
        <f t="shared" si="105"/>
        <v>CA-2017-138464_OFF-BI-10001543</v>
      </c>
      <c r="E6746" t="str">
        <f>IF(COUNTIF(data2!$D:$D,D6746)=0,"Missing in Data2","Present")</f>
        <v>Present</v>
      </c>
    </row>
    <row r="6747" spans="1:5" x14ac:dyDescent="0.25">
      <c r="A6747" s="2" t="s">
        <v>5274</v>
      </c>
      <c r="B6747" s="2" t="s">
        <v>518</v>
      </c>
      <c r="C6747" s="2">
        <v>2</v>
      </c>
      <c r="D6747" t="str">
        <f t="shared" si="105"/>
        <v>CA-2017-138548_OFF-AP-10002578</v>
      </c>
      <c r="E6747" t="str">
        <f>IF(COUNTIF(data2!$D:$D,D6747)=0,"Missing in Data2","Present")</f>
        <v>Present</v>
      </c>
    </row>
    <row r="6748" spans="1:5" x14ac:dyDescent="0.25">
      <c r="A6748" s="2" t="s">
        <v>5275</v>
      </c>
      <c r="B6748" s="2" t="s">
        <v>1727</v>
      </c>
      <c r="C6748" s="2">
        <v>2</v>
      </c>
      <c r="D6748" t="str">
        <f t="shared" si="105"/>
        <v>CA-2017-138611_OFF-BI-10002949</v>
      </c>
      <c r="E6748" t="str">
        <f>IF(COUNTIF(data2!$D:$D,D6748)=0,"Missing in Data2","Present")</f>
        <v>Present</v>
      </c>
    </row>
    <row r="6749" spans="1:5" x14ac:dyDescent="0.25">
      <c r="A6749" s="2" t="s">
        <v>5275</v>
      </c>
      <c r="B6749" s="2" t="s">
        <v>2588</v>
      </c>
      <c r="C6749" s="2">
        <v>10</v>
      </c>
      <c r="D6749" t="str">
        <f t="shared" si="105"/>
        <v>CA-2017-138611_TEC-PH-10000011</v>
      </c>
      <c r="E6749" t="str">
        <f>IF(COUNTIF(data2!$D:$D,D6749)=0,"Missing in Data2","Present")</f>
        <v>Present</v>
      </c>
    </row>
    <row r="6750" spans="1:5" x14ac:dyDescent="0.25">
      <c r="A6750" s="2" t="s">
        <v>5276</v>
      </c>
      <c r="B6750" s="2" t="s">
        <v>3228</v>
      </c>
      <c r="C6750" s="2">
        <v>2</v>
      </c>
      <c r="D6750" t="str">
        <f t="shared" si="105"/>
        <v>CA-2017-138618_OFF-PA-10000520</v>
      </c>
      <c r="E6750" t="str">
        <f>IF(COUNTIF(data2!$D:$D,D6750)=0,"Missing in Data2","Present")</f>
        <v>Present</v>
      </c>
    </row>
    <row r="6751" spans="1:5" x14ac:dyDescent="0.25">
      <c r="A6751" s="2" t="s">
        <v>5277</v>
      </c>
      <c r="B6751" s="2" t="s">
        <v>531</v>
      </c>
      <c r="C6751" s="2">
        <v>1</v>
      </c>
      <c r="D6751" t="str">
        <f t="shared" si="105"/>
        <v>CA-2017-138779_OFF-EN-10002504</v>
      </c>
      <c r="E6751" t="str">
        <f>IF(COUNTIF(data2!$D:$D,D6751)=0,"Missing in Data2","Present")</f>
        <v>Missing in Data2</v>
      </c>
    </row>
    <row r="6752" spans="1:5" x14ac:dyDescent="0.25">
      <c r="A6752" s="2" t="s">
        <v>5277</v>
      </c>
      <c r="B6752" s="2" t="s">
        <v>5278</v>
      </c>
      <c r="C6752" s="2">
        <v>5</v>
      </c>
      <c r="D6752" t="str">
        <f t="shared" si="105"/>
        <v>CA-2017-138779_TEC-PH-10003655</v>
      </c>
      <c r="E6752" t="str">
        <f>IF(COUNTIF(data2!$D:$D,D6752)=0,"Missing in Data2","Present")</f>
        <v>Present</v>
      </c>
    </row>
    <row r="6753" spans="1:5" x14ac:dyDescent="0.25">
      <c r="A6753" s="2" t="s">
        <v>5279</v>
      </c>
      <c r="B6753" s="2" t="s">
        <v>2458</v>
      </c>
      <c r="C6753" s="2">
        <v>4</v>
      </c>
      <c r="D6753" t="str">
        <f t="shared" si="105"/>
        <v>CA-2017-138870_FUR-FU-10002396</v>
      </c>
      <c r="E6753" t="str">
        <f>IF(COUNTIF(data2!$D:$D,D6753)=0,"Missing in Data2","Present")</f>
        <v>Present</v>
      </c>
    </row>
    <row r="6754" spans="1:5" x14ac:dyDescent="0.25">
      <c r="A6754" s="2" t="s">
        <v>5279</v>
      </c>
      <c r="B6754" s="2" t="s">
        <v>5280</v>
      </c>
      <c r="C6754" s="2">
        <v>2</v>
      </c>
      <c r="D6754" t="str">
        <f t="shared" si="105"/>
        <v>CA-2017-138870_OFF-PA-10004438</v>
      </c>
      <c r="E6754" t="str">
        <f>IF(COUNTIF(data2!$D:$D,D6754)=0,"Missing in Data2","Present")</f>
        <v>Present</v>
      </c>
    </row>
    <row r="6755" spans="1:5" x14ac:dyDescent="0.25">
      <c r="A6755" s="2" t="s">
        <v>5281</v>
      </c>
      <c r="B6755" s="2" t="s">
        <v>2278</v>
      </c>
      <c r="C6755" s="2">
        <v>9</v>
      </c>
      <c r="D6755" t="str">
        <f t="shared" si="105"/>
        <v>CA-2017-138975_FUR-BO-10004695</v>
      </c>
      <c r="E6755" t="str">
        <f>IF(COUNTIF(data2!$D:$D,D6755)=0,"Missing in Data2","Present")</f>
        <v>Present</v>
      </c>
    </row>
    <row r="6756" spans="1:5" x14ac:dyDescent="0.25">
      <c r="A6756" s="2" t="s">
        <v>5281</v>
      </c>
      <c r="B6756" s="2" t="s">
        <v>915</v>
      </c>
      <c r="C6756" s="2">
        <v>7</v>
      </c>
      <c r="D6756" t="str">
        <f t="shared" si="105"/>
        <v>CA-2017-138975_OFF-PA-10000100</v>
      </c>
      <c r="E6756" t="str">
        <f>IF(COUNTIF(data2!$D:$D,D6756)=0,"Missing in Data2","Present")</f>
        <v>Present</v>
      </c>
    </row>
    <row r="6757" spans="1:5" x14ac:dyDescent="0.25">
      <c r="A6757" s="2" t="s">
        <v>5281</v>
      </c>
      <c r="B6757" s="2" t="s">
        <v>1841</v>
      </c>
      <c r="C6757" s="2">
        <v>4</v>
      </c>
      <c r="D6757" t="str">
        <f t="shared" si="105"/>
        <v>CA-2017-138975_TEC-AC-10003441</v>
      </c>
      <c r="E6757" t="str">
        <f>IF(COUNTIF(data2!$D:$D,D6757)=0,"Missing in Data2","Present")</f>
        <v>Present</v>
      </c>
    </row>
    <row r="6758" spans="1:5" x14ac:dyDescent="0.25">
      <c r="A6758" s="2" t="s">
        <v>5282</v>
      </c>
      <c r="B6758" s="2" t="s">
        <v>1644</v>
      </c>
      <c r="C6758" s="2">
        <v>1</v>
      </c>
      <c r="D6758" t="str">
        <f t="shared" si="105"/>
        <v>CA-2017-139080_OFF-PA-10002262</v>
      </c>
      <c r="E6758" t="str">
        <f>IF(COUNTIF(data2!$D:$D,D6758)=0,"Missing in Data2","Present")</f>
        <v>Present</v>
      </c>
    </row>
    <row r="6759" spans="1:5" x14ac:dyDescent="0.25">
      <c r="A6759" s="2" t="s">
        <v>5282</v>
      </c>
      <c r="B6759" s="2" t="s">
        <v>2081</v>
      </c>
      <c r="C6759" s="2">
        <v>4</v>
      </c>
      <c r="D6759" t="str">
        <f t="shared" si="105"/>
        <v>CA-2017-139080_OFF-PA-10004621</v>
      </c>
      <c r="E6759" t="str">
        <f>IF(COUNTIF(data2!$D:$D,D6759)=0,"Missing in Data2","Present")</f>
        <v>Present</v>
      </c>
    </row>
    <row r="6760" spans="1:5" x14ac:dyDescent="0.25">
      <c r="A6760" s="2" t="s">
        <v>5282</v>
      </c>
      <c r="B6760" s="2" t="s">
        <v>347</v>
      </c>
      <c r="C6760" s="2">
        <v>6</v>
      </c>
      <c r="D6760" t="str">
        <f t="shared" si="105"/>
        <v>CA-2017-139080_TEC-PH-10004100</v>
      </c>
      <c r="E6760" t="str">
        <f>IF(COUNTIF(data2!$D:$D,D6760)=0,"Missing in Data2","Present")</f>
        <v>Present</v>
      </c>
    </row>
    <row r="6761" spans="1:5" x14ac:dyDescent="0.25">
      <c r="A6761" s="2" t="s">
        <v>5283</v>
      </c>
      <c r="B6761" s="2" t="s">
        <v>233</v>
      </c>
      <c r="C6761" s="2">
        <v>3</v>
      </c>
      <c r="D6761" t="str">
        <f t="shared" si="105"/>
        <v>CA-2017-139199_FUR-CH-10000847</v>
      </c>
      <c r="E6761" t="str">
        <f>IF(COUNTIF(data2!$D:$D,D6761)=0,"Missing in Data2","Present")</f>
        <v>Present</v>
      </c>
    </row>
    <row r="6762" spans="1:5" x14ac:dyDescent="0.25">
      <c r="A6762" s="2" t="s">
        <v>5283</v>
      </c>
      <c r="B6762" s="2" t="s">
        <v>1117</v>
      </c>
      <c r="C6762" s="2">
        <v>2</v>
      </c>
      <c r="D6762" t="str">
        <f t="shared" si="105"/>
        <v>CA-2017-139199_OFF-BI-10003982</v>
      </c>
      <c r="E6762" t="str">
        <f>IF(COUNTIF(data2!$D:$D,D6762)=0,"Missing in Data2","Present")</f>
        <v>Present</v>
      </c>
    </row>
    <row r="6763" spans="1:5" x14ac:dyDescent="0.25">
      <c r="A6763" s="2" t="s">
        <v>5283</v>
      </c>
      <c r="B6763" s="2" t="s">
        <v>2571</v>
      </c>
      <c r="C6763" s="2">
        <v>2</v>
      </c>
      <c r="D6763" t="str">
        <f t="shared" si="105"/>
        <v>CA-2017-139199_OFF-PA-10001293</v>
      </c>
      <c r="E6763" t="str">
        <f>IF(COUNTIF(data2!$D:$D,D6763)=0,"Missing in Data2","Present")</f>
        <v>Present</v>
      </c>
    </row>
    <row r="6764" spans="1:5" x14ac:dyDescent="0.25">
      <c r="A6764" s="2" t="s">
        <v>5284</v>
      </c>
      <c r="B6764" s="2" t="s">
        <v>3396</v>
      </c>
      <c r="C6764" s="2">
        <v>3</v>
      </c>
      <c r="D6764" t="str">
        <f t="shared" si="105"/>
        <v>CA-2017-139304_OFF-AR-10001216</v>
      </c>
      <c r="E6764" t="str">
        <f>IF(COUNTIF(data2!$D:$D,D6764)=0,"Missing in Data2","Present")</f>
        <v>Present</v>
      </c>
    </row>
    <row r="6765" spans="1:5" x14ac:dyDescent="0.25">
      <c r="A6765" s="2" t="s">
        <v>5284</v>
      </c>
      <c r="B6765" s="2" t="s">
        <v>1564</v>
      </c>
      <c r="C6765" s="2">
        <v>8</v>
      </c>
      <c r="D6765" t="str">
        <f t="shared" si="105"/>
        <v>CA-2017-139304_OFF-BI-10002498</v>
      </c>
      <c r="E6765" t="str">
        <f>IF(COUNTIF(data2!$D:$D,D6765)=0,"Missing in Data2","Present")</f>
        <v>Present</v>
      </c>
    </row>
    <row r="6766" spans="1:5" x14ac:dyDescent="0.25">
      <c r="A6766" s="2" t="s">
        <v>5284</v>
      </c>
      <c r="B6766" s="2" t="s">
        <v>1352</v>
      </c>
      <c r="C6766" s="2">
        <v>1</v>
      </c>
      <c r="D6766" t="str">
        <f t="shared" si="105"/>
        <v>CA-2017-139304_OFF-SU-10001664</v>
      </c>
      <c r="E6766" t="str">
        <f>IF(COUNTIF(data2!$D:$D,D6766)=0,"Missing in Data2","Present")</f>
        <v>Present</v>
      </c>
    </row>
    <row r="6767" spans="1:5" x14ac:dyDescent="0.25">
      <c r="A6767" s="2" t="s">
        <v>5285</v>
      </c>
      <c r="B6767" s="2" t="s">
        <v>723</v>
      </c>
      <c r="C6767" s="2">
        <v>7</v>
      </c>
      <c r="D6767" t="str">
        <f t="shared" si="105"/>
        <v>CA-2017-139311_OFF-AR-10004582</v>
      </c>
      <c r="E6767" t="str">
        <f>IF(COUNTIF(data2!$D:$D,D6767)=0,"Missing in Data2","Present")</f>
        <v>Present</v>
      </c>
    </row>
    <row r="6768" spans="1:5" x14ac:dyDescent="0.25">
      <c r="A6768" s="2" t="s">
        <v>5285</v>
      </c>
      <c r="B6768" s="2" t="s">
        <v>248</v>
      </c>
      <c r="C6768" s="2">
        <v>8</v>
      </c>
      <c r="D6768" t="str">
        <f t="shared" si="105"/>
        <v>CA-2017-139311_OFF-BI-10004209</v>
      </c>
      <c r="E6768" t="str">
        <f>IF(COUNTIF(data2!$D:$D,D6768)=0,"Missing in Data2","Present")</f>
        <v>Present</v>
      </c>
    </row>
    <row r="6769" spans="1:5" x14ac:dyDescent="0.25">
      <c r="A6769" s="2" t="s">
        <v>5285</v>
      </c>
      <c r="B6769" s="2" t="s">
        <v>312</v>
      </c>
      <c r="C6769" s="2">
        <v>2</v>
      </c>
      <c r="D6769" t="str">
        <f t="shared" si="105"/>
        <v>CA-2017-139311_TEC-PH-10001557</v>
      </c>
      <c r="E6769" t="str">
        <f>IF(COUNTIF(data2!$D:$D,D6769)=0,"Missing in Data2","Present")</f>
        <v>Present</v>
      </c>
    </row>
    <row r="6770" spans="1:5" x14ac:dyDescent="0.25">
      <c r="A6770" s="2" t="s">
        <v>5286</v>
      </c>
      <c r="B6770" s="2" t="s">
        <v>3056</v>
      </c>
      <c r="C6770" s="2">
        <v>3</v>
      </c>
      <c r="D6770" t="str">
        <f t="shared" si="105"/>
        <v>CA-2017-139353_OFF-PA-10000300</v>
      </c>
      <c r="E6770" t="str">
        <f>IF(COUNTIF(data2!$D:$D,D6770)=0,"Missing in Data2","Present")</f>
        <v>Present</v>
      </c>
    </row>
    <row r="6771" spans="1:5" x14ac:dyDescent="0.25">
      <c r="A6771" s="2" t="s">
        <v>5286</v>
      </c>
      <c r="B6771" s="2" t="s">
        <v>374</v>
      </c>
      <c r="C6771" s="2">
        <v>2</v>
      </c>
      <c r="D6771" t="str">
        <f t="shared" si="105"/>
        <v>CA-2017-139353_OFF-ST-10001522</v>
      </c>
      <c r="E6771" t="str">
        <f>IF(COUNTIF(data2!$D:$D,D6771)=0,"Missing in Data2","Present")</f>
        <v>Present</v>
      </c>
    </row>
    <row r="6772" spans="1:5" x14ac:dyDescent="0.25">
      <c r="A6772" s="2" t="s">
        <v>5287</v>
      </c>
      <c r="B6772" s="2" t="s">
        <v>3711</v>
      </c>
      <c r="C6772" s="2">
        <v>3</v>
      </c>
      <c r="D6772" t="str">
        <f t="shared" si="105"/>
        <v>CA-2017-139402_OFF-BI-10000279</v>
      </c>
      <c r="E6772" t="str">
        <f>IF(COUNTIF(data2!$D:$D,D6772)=0,"Missing in Data2","Present")</f>
        <v>Present</v>
      </c>
    </row>
    <row r="6773" spans="1:5" x14ac:dyDescent="0.25">
      <c r="A6773" s="2" t="s">
        <v>5287</v>
      </c>
      <c r="B6773" s="2" t="s">
        <v>80</v>
      </c>
      <c r="C6773" s="2">
        <v>5</v>
      </c>
      <c r="D6773" t="str">
        <f t="shared" si="105"/>
        <v>CA-2017-139402_OFF-PA-10004359</v>
      </c>
      <c r="E6773" t="str">
        <f>IF(COUNTIF(data2!$D:$D,D6773)=0,"Missing in Data2","Present")</f>
        <v>Present</v>
      </c>
    </row>
    <row r="6774" spans="1:5" x14ac:dyDescent="0.25">
      <c r="A6774" s="2" t="s">
        <v>5288</v>
      </c>
      <c r="B6774" s="2" t="s">
        <v>2789</v>
      </c>
      <c r="C6774" s="2">
        <v>2</v>
      </c>
      <c r="D6774" t="str">
        <f t="shared" si="105"/>
        <v>CA-2017-139416_FUR-FU-10003832</v>
      </c>
      <c r="E6774" t="str">
        <f>IF(COUNTIF(data2!$D:$D,D6774)=0,"Missing in Data2","Present")</f>
        <v>Present</v>
      </c>
    </row>
    <row r="6775" spans="1:5" x14ac:dyDescent="0.25">
      <c r="A6775" s="2" t="s">
        <v>5289</v>
      </c>
      <c r="B6775" s="2" t="s">
        <v>3070</v>
      </c>
      <c r="C6775" s="2">
        <v>4</v>
      </c>
      <c r="D6775" t="str">
        <f t="shared" si="105"/>
        <v>CA-2017-139437_OFF-ST-10002485</v>
      </c>
      <c r="E6775" t="str">
        <f>IF(COUNTIF(data2!$D:$D,D6775)=0,"Missing in Data2","Present")</f>
        <v>Present</v>
      </c>
    </row>
    <row r="6776" spans="1:5" x14ac:dyDescent="0.25">
      <c r="A6776" s="2" t="s">
        <v>5290</v>
      </c>
      <c r="B6776" s="2" t="s">
        <v>1874</v>
      </c>
      <c r="C6776" s="2">
        <v>4</v>
      </c>
      <c r="D6776" t="str">
        <f t="shared" si="105"/>
        <v>CA-2017-139444_OFF-LA-10000134</v>
      </c>
      <c r="E6776" t="str">
        <f>IF(COUNTIF(data2!$D:$D,D6776)=0,"Missing in Data2","Present")</f>
        <v>Present</v>
      </c>
    </row>
    <row r="6777" spans="1:5" x14ac:dyDescent="0.25">
      <c r="A6777" s="2" t="s">
        <v>5291</v>
      </c>
      <c r="B6777" s="2" t="s">
        <v>1642</v>
      </c>
      <c r="C6777" s="2">
        <v>5</v>
      </c>
      <c r="D6777" t="str">
        <f t="shared" si="105"/>
        <v>CA-2017-139493_OFF-AR-10003158</v>
      </c>
      <c r="E6777" t="str">
        <f>IF(COUNTIF(data2!$D:$D,D6777)=0,"Missing in Data2","Present")</f>
        <v>Present</v>
      </c>
    </row>
    <row r="6778" spans="1:5" x14ac:dyDescent="0.25">
      <c r="A6778" s="2" t="s">
        <v>5292</v>
      </c>
      <c r="B6778" s="2" t="s">
        <v>2114</v>
      </c>
      <c r="C6778" s="2">
        <v>2</v>
      </c>
      <c r="D6778" t="str">
        <f t="shared" si="105"/>
        <v>CA-2017-139619_OFF-ST-10003282</v>
      </c>
      <c r="E6778" t="str">
        <f>IF(COUNTIF(data2!$D:$D,D6778)=0,"Missing in Data2","Present")</f>
        <v>Present</v>
      </c>
    </row>
    <row r="6779" spans="1:5" x14ac:dyDescent="0.25">
      <c r="A6779" s="2" t="s">
        <v>5293</v>
      </c>
      <c r="B6779" s="2" t="s">
        <v>2254</v>
      </c>
      <c r="C6779" s="2">
        <v>2</v>
      </c>
      <c r="D6779" t="str">
        <f t="shared" si="105"/>
        <v>CA-2017-139661_FUR-FU-10002885</v>
      </c>
      <c r="E6779" t="str">
        <f>IF(COUNTIF(data2!$D:$D,D6779)=0,"Missing in Data2","Present")</f>
        <v>Present</v>
      </c>
    </row>
    <row r="6780" spans="1:5" x14ac:dyDescent="0.25">
      <c r="A6780" s="2" t="s">
        <v>5294</v>
      </c>
      <c r="B6780" s="2" t="s">
        <v>4419</v>
      </c>
      <c r="C6780" s="2">
        <v>8</v>
      </c>
      <c r="D6780" t="str">
        <f t="shared" si="105"/>
        <v>CA-2017-139717_OFF-AP-10000938</v>
      </c>
      <c r="E6780" t="str">
        <f>IF(COUNTIF(data2!$D:$D,D6780)=0,"Missing in Data2","Present")</f>
        <v>Present</v>
      </c>
    </row>
    <row r="6781" spans="1:5" x14ac:dyDescent="0.25">
      <c r="A6781" s="2" t="s">
        <v>5294</v>
      </c>
      <c r="B6781" s="2" t="s">
        <v>157</v>
      </c>
      <c r="C6781" s="2">
        <v>2</v>
      </c>
      <c r="D6781" t="str">
        <f t="shared" si="105"/>
        <v>CA-2017-139717_OFF-PA-10002195</v>
      </c>
      <c r="E6781" t="str">
        <f>IF(COUNTIF(data2!$D:$D,D6781)=0,"Missing in Data2","Present")</f>
        <v>Present</v>
      </c>
    </row>
    <row r="6782" spans="1:5" x14ac:dyDescent="0.25">
      <c r="A6782" s="2" t="s">
        <v>5295</v>
      </c>
      <c r="B6782" s="2" t="s">
        <v>501</v>
      </c>
      <c r="C6782" s="2">
        <v>7</v>
      </c>
      <c r="D6782" t="str">
        <f t="shared" si="105"/>
        <v>CA-2017-139773_FUR-CH-10001797</v>
      </c>
      <c r="E6782" t="str">
        <f>IF(COUNTIF(data2!$D:$D,D6782)=0,"Missing in Data2","Present")</f>
        <v>Present</v>
      </c>
    </row>
    <row r="6783" spans="1:5" x14ac:dyDescent="0.25">
      <c r="A6783" s="2" t="s">
        <v>5296</v>
      </c>
      <c r="B6783" s="2" t="s">
        <v>889</v>
      </c>
      <c r="C6783" s="2">
        <v>5</v>
      </c>
      <c r="D6783" t="str">
        <f t="shared" si="105"/>
        <v>CA-2017-139787_OFF-AR-10002445</v>
      </c>
      <c r="E6783" t="str">
        <f>IF(COUNTIF(data2!$D:$D,D6783)=0,"Missing in Data2","Present")</f>
        <v>Present</v>
      </c>
    </row>
    <row r="6784" spans="1:5" x14ac:dyDescent="0.25">
      <c r="A6784" s="2" t="s">
        <v>5297</v>
      </c>
      <c r="B6784" s="2" t="s">
        <v>166</v>
      </c>
      <c r="C6784" s="2">
        <v>2</v>
      </c>
      <c r="D6784" t="str">
        <f t="shared" si="105"/>
        <v>CA-2017-139822_OFF-ST-10000943</v>
      </c>
      <c r="E6784" t="str">
        <f>IF(COUNTIF(data2!$D:$D,D6784)=0,"Missing in Data2","Present")</f>
        <v>Missing in Data2</v>
      </c>
    </row>
    <row r="6785" spans="1:5" x14ac:dyDescent="0.25">
      <c r="A6785" s="2" t="s">
        <v>5297</v>
      </c>
      <c r="B6785" s="2" t="s">
        <v>2888</v>
      </c>
      <c r="C6785" s="2">
        <v>2</v>
      </c>
      <c r="D6785" t="str">
        <f t="shared" si="105"/>
        <v>CA-2017-139822_TEC-AC-10001090</v>
      </c>
      <c r="E6785" t="str">
        <f>IF(COUNTIF(data2!$D:$D,D6785)=0,"Missing in Data2","Present")</f>
        <v>Present</v>
      </c>
    </row>
    <row r="6786" spans="1:5" x14ac:dyDescent="0.25">
      <c r="A6786" s="2" t="s">
        <v>5298</v>
      </c>
      <c r="B6786" s="2" t="s">
        <v>176</v>
      </c>
      <c r="C6786" s="2">
        <v>11</v>
      </c>
      <c r="D6786" t="str">
        <f t="shared" si="105"/>
        <v>CA-2017-139913_FUR-FU-10000771</v>
      </c>
      <c r="E6786" t="str">
        <f>IF(COUNTIF(data2!$D:$D,D6786)=0,"Missing in Data2","Present")</f>
        <v>Present</v>
      </c>
    </row>
    <row r="6787" spans="1:5" x14ac:dyDescent="0.25">
      <c r="A6787" s="2" t="s">
        <v>5298</v>
      </c>
      <c r="B6787" s="2" t="s">
        <v>682</v>
      </c>
      <c r="C6787" s="2">
        <v>5</v>
      </c>
      <c r="D6787" t="str">
        <f t="shared" ref="D6787:D6850" si="106">A6787&amp;"_"&amp;B6787</f>
        <v>CA-2017-139913_OFF-PA-10002479</v>
      </c>
      <c r="E6787" t="str">
        <f>IF(COUNTIF(data2!$D:$D,D6787)=0,"Missing in Data2","Present")</f>
        <v>Present</v>
      </c>
    </row>
    <row r="6788" spans="1:5" x14ac:dyDescent="0.25">
      <c r="A6788" s="2" t="s">
        <v>5298</v>
      </c>
      <c r="B6788" s="2" t="s">
        <v>5299</v>
      </c>
      <c r="C6788" s="2">
        <v>2</v>
      </c>
      <c r="D6788" t="str">
        <f t="shared" si="106"/>
        <v>CA-2017-139913_OFF-PA-10003739</v>
      </c>
      <c r="E6788" t="str">
        <f>IF(COUNTIF(data2!$D:$D,D6788)=0,"Missing in Data2","Present")</f>
        <v>Present</v>
      </c>
    </row>
    <row r="6789" spans="1:5" x14ac:dyDescent="0.25">
      <c r="A6789" s="2" t="s">
        <v>5298</v>
      </c>
      <c r="B6789" s="2" t="s">
        <v>924</v>
      </c>
      <c r="C6789" s="2">
        <v>3</v>
      </c>
      <c r="D6789" t="str">
        <f t="shared" si="106"/>
        <v>CA-2017-139913_TEC-PH-10001552</v>
      </c>
      <c r="E6789" t="str">
        <f>IF(COUNTIF(data2!$D:$D,D6789)=0,"Missing in Data2","Present")</f>
        <v>Present</v>
      </c>
    </row>
    <row r="6790" spans="1:5" x14ac:dyDescent="0.25">
      <c r="A6790" s="2" t="s">
        <v>5300</v>
      </c>
      <c r="B6790" s="2" t="s">
        <v>3622</v>
      </c>
      <c r="C6790" s="2">
        <v>2</v>
      </c>
      <c r="D6790" t="str">
        <f t="shared" si="106"/>
        <v>CA-2017-139948_FUR-FU-10002597</v>
      </c>
      <c r="E6790" t="str">
        <f>IF(COUNTIF(data2!$D:$D,D6790)=0,"Missing in Data2","Present")</f>
        <v>Present</v>
      </c>
    </row>
    <row r="6791" spans="1:5" x14ac:dyDescent="0.25">
      <c r="A6791" s="2" t="s">
        <v>5301</v>
      </c>
      <c r="B6791" s="2" t="s">
        <v>1768</v>
      </c>
      <c r="C6791" s="2">
        <v>9</v>
      </c>
      <c r="D6791" t="str">
        <f t="shared" si="106"/>
        <v>CA-2017-140053_FUR-FU-10003708</v>
      </c>
      <c r="E6791" t="str">
        <f>IF(COUNTIF(data2!$D:$D,D6791)=0,"Missing in Data2","Present")</f>
        <v>Present</v>
      </c>
    </row>
    <row r="6792" spans="1:5" x14ac:dyDescent="0.25">
      <c r="A6792" s="2" t="s">
        <v>5302</v>
      </c>
      <c r="B6792" s="2" t="s">
        <v>474</v>
      </c>
      <c r="C6792" s="2">
        <v>2</v>
      </c>
      <c r="D6792" t="str">
        <f t="shared" si="106"/>
        <v>CA-2017-140088_FUR-CH-10000863</v>
      </c>
      <c r="E6792" t="str">
        <f>IF(COUNTIF(data2!$D:$D,D6792)=0,"Missing in Data2","Present")</f>
        <v>Present</v>
      </c>
    </row>
    <row r="6793" spans="1:5" x14ac:dyDescent="0.25">
      <c r="A6793" s="2" t="s">
        <v>5303</v>
      </c>
      <c r="B6793" s="2" t="s">
        <v>47</v>
      </c>
      <c r="C6793" s="2">
        <v>3</v>
      </c>
      <c r="D6793" t="str">
        <f t="shared" si="106"/>
        <v>CA-2017-140151_OFF-PA-10002986</v>
      </c>
      <c r="E6793" t="str">
        <f>IF(COUNTIF(data2!$D:$D,D6793)=0,"Missing in Data2","Present")</f>
        <v>Present</v>
      </c>
    </row>
    <row r="6794" spans="1:5" x14ac:dyDescent="0.25">
      <c r="A6794" s="2" t="s">
        <v>5303</v>
      </c>
      <c r="B6794" s="2" t="s">
        <v>1735</v>
      </c>
      <c r="C6794" s="2">
        <v>2</v>
      </c>
      <c r="D6794" t="str">
        <f t="shared" si="106"/>
        <v>CA-2017-140151_OFF-ST-10001558</v>
      </c>
      <c r="E6794" t="str">
        <f>IF(COUNTIF(data2!$D:$D,D6794)=0,"Missing in Data2","Present")</f>
        <v>Present</v>
      </c>
    </row>
    <row r="6795" spans="1:5" x14ac:dyDescent="0.25">
      <c r="A6795" s="2" t="s">
        <v>5303</v>
      </c>
      <c r="B6795" s="2" t="s">
        <v>3527</v>
      </c>
      <c r="C6795" s="2">
        <v>4</v>
      </c>
      <c r="D6795" t="str">
        <f t="shared" si="106"/>
        <v>CA-2017-140151_TEC-CO-10004722</v>
      </c>
      <c r="E6795" t="str">
        <f>IF(COUNTIF(data2!$D:$D,D6795)=0,"Missing in Data2","Present")</f>
        <v>Present</v>
      </c>
    </row>
    <row r="6796" spans="1:5" x14ac:dyDescent="0.25">
      <c r="A6796" s="2" t="s">
        <v>5304</v>
      </c>
      <c r="B6796" s="2" t="s">
        <v>3591</v>
      </c>
      <c r="C6796" s="2">
        <v>1</v>
      </c>
      <c r="D6796" t="str">
        <f t="shared" si="106"/>
        <v>CA-2017-140186_FUR-CH-10002961</v>
      </c>
      <c r="E6796" t="str">
        <f>IF(COUNTIF(data2!$D:$D,D6796)=0,"Missing in Data2","Present")</f>
        <v>Present</v>
      </c>
    </row>
    <row r="6797" spans="1:5" x14ac:dyDescent="0.25">
      <c r="A6797" s="2" t="s">
        <v>5304</v>
      </c>
      <c r="B6797" s="2" t="s">
        <v>518</v>
      </c>
      <c r="C6797" s="2">
        <v>2</v>
      </c>
      <c r="D6797" t="str">
        <f t="shared" si="106"/>
        <v>CA-2017-140186_OFF-AP-10002578</v>
      </c>
      <c r="E6797" t="str">
        <f>IF(COUNTIF(data2!$D:$D,D6797)=0,"Missing in Data2","Present")</f>
        <v>Present</v>
      </c>
    </row>
    <row r="6798" spans="1:5" x14ac:dyDescent="0.25">
      <c r="A6798" s="2" t="s">
        <v>5304</v>
      </c>
      <c r="B6798" s="2" t="s">
        <v>2638</v>
      </c>
      <c r="C6798" s="2">
        <v>2</v>
      </c>
      <c r="D6798" t="str">
        <f t="shared" si="106"/>
        <v>CA-2017-140186_OFF-BI-10003364</v>
      </c>
      <c r="E6798" t="str">
        <f>IF(COUNTIF(data2!$D:$D,D6798)=0,"Missing in Data2","Present")</f>
        <v>Present</v>
      </c>
    </row>
    <row r="6799" spans="1:5" x14ac:dyDescent="0.25">
      <c r="A6799" s="2" t="s">
        <v>5304</v>
      </c>
      <c r="B6799" s="2" t="s">
        <v>913</v>
      </c>
      <c r="C6799" s="2">
        <v>7</v>
      </c>
      <c r="D6799" t="str">
        <f t="shared" si="106"/>
        <v>CA-2017-140186_OFF-FA-10002280</v>
      </c>
      <c r="E6799" t="str">
        <f>IF(COUNTIF(data2!$D:$D,D6799)=0,"Missing in Data2","Present")</f>
        <v>Present</v>
      </c>
    </row>
    <row r="6800" spans="1:5" x14ac:dyDescent="0.25">
      <c r="A6800" s="2" t="s">
        <v>5305</v>
      </c>
      <c r="B6800" s="2" t="s">
        <v>625</v>
      </c>
      <c r="C6800" s="2">
        <v>3</v>
      </c>
      <c r="D6800" t="str">
        <f t="shared" si="106"/>
        <v>CA-2017-140242_OFF-AR-10004752</v>
      </c>
      <c r="E6800" t="str">
        <f>IF(COUNTIF(data2!$D:$D,D6800)=0,"Missing in Data2","Present")</f>
        <v>Present</v>
      </c>
    </row>
    <row r="6801" spans="1:5" x14ac:dyDescent="0.25">
      <c r="A6801" s="2" t="s">
        <v>5305</v>
      </c>
      <c r="B6801" s="2" t="s">
        <v>1747</v>
      </c>
      <c r="C6801" s="2">
        <v>7</v>
      </c>
      <c r="D6801" t="str">
        <f t="shared" si="106"/>
        <v>CA-2017-140242_TEC-AC-10004659</v>
      </c>
      <c r="E6801" t="str">
        <f>IF(COUNTIF(data2!$D:$D,D6801)=0,"Missing in Data2","Present")</f>
        <v>Present</v>
      </c>
    </row>
    <row r="6802" spans="1:5" x14ac:dyDescent="0.25">
      <c r="A6802" s="2" t="s">
        <v>5306</v>
      </c>
      <c r="B6802" s="2" t="s">
        <v>1123</v>
      </c>
      <c r="C6802" s="2">
        <v>1</v>
      </c>
      <c r="D6802" t="str">
        <f t="shared" si="106"/>
        <v>CA-2017-140298_FUR-FU-10001967</v>
      </c>
      <c r="E6802" t="str">
        <f>IF(COUNTIF(data2!$D:$D,D6802)=0,"Missing in Data2","Present")</f>
        <v>Present</v>
      </c>
    </row>
    <row r="6803" spans="1:5" x14ac:dyDescent="0.25">
      <c r="A6803" s="2" t="s">
        <v>5306</v>
      </c>
      <c r="B6803" s="2" t="s">
        <v>886</v>
      </c>
      <c r="C6803" s="2">
        <v>2</v>
      </c>
      <c r="D6803" t="str">
        <f t="shared" si="106"/>
        <v>CA-2017-140298_OFF-AR-10003481</v>
      </c>
      <c r="E6803" t="str">
        <f>IF(COUNTIF(data2!$D:$D,D6803)=0,"Missing in Data2","Present")</f>
        <v>Present</v>
      </c>
    </row>
    <row r="6804" spans="1:5" x14ac:dyDescent="0.25">
      <c r="A6804" s="2" t="s">
        <v>5306</v>
      </c>
      <c r="B6804" s="2" t="s">
        <v>2768</v>
      </c>
      <c r="C6804" s="2">
        <v>2</v>
      </c>
      <c r="D6804" t="str">
        <f t="shared" si="106"/>
        <v>CA-2017-140298_OFF-PA-10003657</v>
      </c>
      <c r="E6804" t="str">
        <f>IF(COUNTIF(data2!$D:$D,D6804)=0,"Missing in Data2","Present")</f>
        <v>Present</v>
      </c>
    </row>
    <row r="6805" spans="1:5" x14ac:dyDescent="0.25">
      <c r="A6805" s="2" t="s">
        <v>5306</v>
      </c>
      <c r="B6805" s="2" t="s">
        <v>3191</v>
      </c>
      <c r="C6805" s="2">
        <v>2</v>
      </c>
      <c r="D6805" t="str">
        <f t="shared" si="106"/>
        <v>CA-2017-140298_OFF-ST-10004180</v>
      </c>
      <c r="E6805" t="str">
        <f>IF(COUNTIF(data2!$D:$D,D6805)=0,"Missing in Data2","Present")</f>
        <v>Present</v>
      </c>
    </row>
    <row r="6806" spans="1:5" x14ac:dyDescent="0.25">
      <c r="A6806" s="2" t="s">
        <v>5307</v>
      </c>
      <c r="B6806" s="2" t="s">
        <v>5308</v>
      </c>
      <c r="C6806" s="2">
        <v>9</v>
      </c>
      <c r="D6806" t="str">
        <f t="shared" si="106"/>
        <v>CA-2017-140326_FUR-BO-10000112</v>
      </c>
      <c r="E6806" t="str">
        <f>IF(COUNTIF(data2!$D:$D,D6806)=0,"Missing in Data2","Present")</f>
        <v>Missing in Data2</v>
      </c>
    </row>
    <row r="6807" spans="1:5" x14ac:dyDescent="0.25">
      <c r="A6807" s="2" t="s">
        <v>5307</v>
      </c>
      <c r="B6807" s="2" t="s">
        <v>681</v>
      </c>
      <c r="C6807" s="2">
        <v>3</v>
      </c>
      <c r="D6807" t="str">
        <f t="shared" si="106"/>
        <v>CA-2017-140326_OFF-AR-10001149</v>
      </c>
      <c r="E6807" t="str">
        <f>IF(COUNTIF(data2!$D:$D,D6807)=0,"Missing in Data2","Present")</f>
        <v>Present</v>
      </c>
    </row>
    <row r="6808" spans="1:5" x14ac:dyDescent="0.25">
      <c r="A6808" s="2" t="s">
        <v>5309</v>
      </c>
      <c r="B6808" s="2" t="s">
        <v>1692</v>
      </c>
      <c r="C6808" s="2">
        <v>2</v>
      </c>
      <c r="D6808" t="str">
        <f t="shared" si="106"/>
        <v>CA-2017-140480_FUR-FU-10001057</v>
      </c>
      <c r="E6808" t="str">
        <f>IF(COUNTIF(data2!$D:$D,D6808)=0,"Missing in Data2","Present")</f>
        <v>Present</v>
      </c>
    </row>
    <row r="6809" spans="1:5" x14ac:dyDescent="0.25">
      <c r="A6809" s="2" t="s">
        <v>5309</v>
      </c>
      <c r="B6809" s="2" t="s">
        <v>2369</v>
      </c>
      <c r="C6809" s="2">
        <v>4</v>
      </c>
      <c r="D6809" t="str">
        <f t="shared" si="106"/>
        <v>CA-2017-140480_FUR-FU-10003247</v>
      </c>
      <c r="E6809" t="str">
        <f>IF(COUNTIF(data2!$D:$D,D6809)=0,"Missing in Data2","Present")</f>
        <v>Present</v>
      </c>
    </row>
    <row r="6810" spans="1:5" x14ac:dyDescent="0.25">
      <c r="A6810" s="2" t="s">
        <v>5309</v>
      </c>
      <c r="B6810" s="2" t="s">
        <v>4080</v>
      </c>
      <c r="C6810" s="2">
        <v>7</v>
      </c>
      <c r="D6810" t="str">
        <f t="shared" si="106"/>
        <v>CA-2017-140480_OFF-AR-10001419</v>
      </c>
      <c r="E6810" t="str">
        <f>IF(COUNTIF(data2!$D:$D,D6810)=0,"Missing in Data2","Present")</f>
        <v>Present</v>
      </c>
    </row>
    <row r="6811" spans="1:5" x14ac:dyDescent="0.25">
      <c r="A6811" s="2" t="s">
        <v>5309</v>
      </c>
      <c r="B6811" s="2" t="s">
        <v>322</v>
      </c>
      <c r="C6811" s="2">
        <v>5</v>
      </c>
      <c r="D6811" t="str">
        <f t="shared" si="106"/>
        <v>CA-2017-140480_OFF-AR-10004010</v>
      </c>
      <c r="E6811" t="str">
        <f>IF(COUNTIF(data2!$D:$D,D6811)=0,"Missing in Data2","Present")</f>
        <v>Present</v>
      </c>
    </row>
    <row r="6812" spans="1:5" x14ac:dyDescent="0.25">
      <c r="A6812" s="2" t="s">
        <v>5309</v>
      </c>
      <c r="B6812" s="2" t="s">
        <v>1076</v>
      </c>
      <c r="C6812" s="2">
        <v>5</v>
      </c>
      <c r="D6812" t="str">
        <f t="shared" si="106"/>
        <v>CA-2017-140480_TEC-AC-10002473</v>
      </c>
      <c r="E6812" t="str">
        <f>IF(COUNTIF(data2!$D:$D,D6812)=0,"Missing in Data2","Present")</f>
        <v>Present</v>
      </c>
    </row>
    <row r="6813" spans="1:5" x14ac:dyDescent="0.25">
      <c r="A6813" s="2" t="s">
        <v>5310</v>
      </c>
      <c r="B6813" s="2" t="s">
        <v>2609</v>
      </c>
      <c r="C6813" s="2">
        <v>4</v>
      </c>
      <c r="D6813" t="str">
        <f t="shared" si="106"/>
        <v>CA-2017-140494_TEC-AC-10004568</v>
      </c>
      <c r="E6813" t="str">
        <f>IF(COUNTIF(data2!$D:$D,D6813)=0,"Missing in Data2","Present")</f>
        <v>Present</v>
      </c>
    </row>
    <row r="6814" spans="1:5" x14ac:dyDescent="0.25">
      <c r="A6814" s="2" t="s">
        <v>5311</v>
      </c>
      <c r="B6814" s="2" t="s">
        <v>2236</v>
      </c>
      <c r="C6814" s="2">
        <v>4</v>
      </c>
      <c r="D6814" t="str">
        <f t="shared" si="106"/>
        <v>CA-2017-140508_OFF-EN-10000927</v>
      </c>
      <c r="E6814" t="str">
        <f>IF(COUNTIF(data2!$D:$D,D6814)=0,"Missing in Data2","Present")</f>
        <v>Present</v>
      </c>
    </row>
    <row r="6815" spans="1:5" x14ac:dyDescent="0.25">
      <c r="A6815" s="2" t="s">
        <v>5312</v>
      </c>
      <c r="B6815" s="2" t="s">
        <v>2238</v>
      </c>
      <c r="C6815" s="2">
        <v>7</v>
      </c>
      <c r="D6815" t="str">
        <f t="shared" si="106"/>
        <v>CA-2017-140515_OFF-AP-10001205</v>
      </c>
      <c r="E6815" t="str">
        <f>IF(COUNTIF(data2!$D:$D,D6815)=0,"Missing in Data2","Present")</f>
        <v>Present</v>
      </c>
    </row>
    <row r="6816" spans="1:5" x14ac:dyDescent="0.25">
      <c r="A6816" s="2" t="s">
        <v>5313</v>
      </c>
      <c r="B6816" s="2" t="s">
        <v>5314</v>
      </c>
      <c r="C6816" s="2">
        <v>1</v>
      </c>
      <c r="D6816" t="str">
        <f t="shared" si="106"/>
        <v>CA-2017-140585_FUR-BO-10002206</v>
      </c>
      <c r="E6816" t="str">
        <f>IF(COUNTIF(data2!$D:$D,D6816)=0,"Missing in Data2","Present")</f>
        <v>Present</v>
      </c>
    </row>
    <row r="6817" spans="1:5" x14ac:dyDescent="0.25">
      <c r="A6817" s="2" t="s">
        <v>5313</v>
      </c>
      <c r="B6817" s="2" t="s">
        <v>2638</v>
      </c>
      <c r="C6817" s="2">
        <v>2</v>
      </c>
      <c r="D6817" t="str">
        <f t="shared" si="106"/>
        <v>CA-2017-140585_OFF-BI-10003364</v>
      </c>
      <c r="E6817" t="str">
        <f>IF(COUNTIF(data2!$D:$D,D6817)=0,"Missing in Data2","Present")</f>
        <v>Present</v>
      </c>
    </row>
    <row r="6818" spans="1:5" x14ac:dyDescent="0.25">
      <c r="A6818" s="2" t="s">
        <v>5313</v>
      </c>
      <c r="B6818" s="2" t="s">
        <v>4060</v>
      </c>
      <c r="C6818" s="2">
        <v>2</v>
      </c>
      <c r="D6818" t="str">
        <f t="shared" si="106"/>
        <v>CA-2017-140585_TEC-AC-10003610</v>
      </c>
      <c r="E6818" t="str">
        <f>IF(COUNTIF(data2!$D:$D,D6818)=0,"Missing in Data2","Present")</f>
        <v>Present</v>
      </c>
    </row>
    <row r="6819" spans="1:5" x14ac:dyDescent="0.25">
      <c r="A6819" s="2" t="s">
        <v>5315</v>
      </c>
      <c r="B6819" s="2" t="s">
        <v>1899</v>
      </c>
      <c r="C6819" s="2">
        <v>4</v>
      </c>
      <c r="D6819" t="str">
        <f t="shared" si="106"/>
        <v>CA-2017-140627_FUR-FU-10000087</v>
      </c>
      <c r="E6819" t="str">
        <f>IF(COUNTIF(data2!$D:$D,D6819)=0,"Missing in Data2","Present")</f>
        <v>Present</v>
      </c>
    </row>
    <row r="6820" spans="1:5" x14ac:dyDescent="0.25">
      <c r="A6820" s="2" t="s">
        <v>5315</v>
      </c>
      <c r="B6820" s="2" t="s">
        <v>4683</v>
      </c>
      <c r="C6820" s="2">
        <v>7</v>
      </c>
      <c r="D6820" t="str">
        <f t="shared" si="106"/>
        <v>CA-2017-140627_OFF-AR-10000422</v>
      </c>
      <c r="E6820" t="str">
        <f>IF(COUNTIF(data2!$D:$D,D6820)=0,"Missing in Data2","Present")</f>
        <v>Present</v>
      </c>
    </row>
    <row r="6821" spans="1:5" x14ac:dyDescent="0.25">
      <c r="A6821" s="2" t="s">
        <v>5315</v>
      </c>
      <c r="B6821" s="2" t="s">
        <v>1761</v>
      </c>
      <c r="C6821" s="2">
        <v>3</v>
      </c>
      <c r="D6821" t="str">
        <f t="shared" si="106"/>
        <v>CA-2017-140627_OFF-ST-10004123</v>
      </c>
      <c r="E6821" t="str">
        <f>IF(COUNTIF(data2!$D:$D,D6821)=0,"Missing in Data2","Present")</f>
        <v>Present</v>
      </c>
    </row>
    <row r="6822" spans="1:5" x14ac:dyDescent="0.25">
      <c r="A6822" s="2" t="s">
        <v>5316</v>
      </c>
      <c r="B6822" s="2" t="s">
        <v>796</v>
      </c>
      <c r="C6822" s="2">
        <v>7</v>
      </c>
      <c r="D6822" t="str">
        <f t="shared" si="106"/>
        <v>CA-2017-140676_OFF-AP-10000358</v>
      </c>
      <c r="E6822" t="str">
        <f>IF(COUNTIF(data2!$D:$D,D6822)=0,"Missing in Data2","Present")</f>
        <v>Present</v>
      </c>
    </row>
    <row r="6823" spans="1:5" x14ac:dyDescent="0.25">
      <c r="A6823" s="2" t="s">
        <v>5316</v>
      </c>
      <c r="B6823" s="2" t="s">
        <v>25</v>
      </c>
      <c r="C6823" s="2">
        <v>5</v>
      </c>
      <c r="D6823" t="str">
        <f t="shared" si="106"/>
        <v>CA-2017-140676_OFF-PA-10004082</v>
      </c>
      <c r="E6823" t="str">
        <f>IF(COUNTIF(data2!$D:$D,D6823)=0,"Missing in Data2","Present")</f>
        <v>Present</v>
      </c>
    </row>
    <row r="6824" spans="1:5" x14ac:dyDescent="0.25">
      <c r="A6824" s="2" t="s">
        <v>5316</v>
      </c>
      <c r="B6824" s="2" t="s">
        <v>3954</v>
      </c>
      <c r="C6824" s="2">
        <v>5</v>
      </c>
      <c r="D6824" t="str">
        <f t="shared" si="106"/>
        <v>CA-2017-140676_OFF-PA-10004243</v>
      </c>
      <c r="E6824" t="str">
        <f>IF(COUNTIF(data2!$D:$D,D6824)=0,"Missing in Data2","Present")</f>
        <v>Present</v>
      </c>
    </row>
    <row r="6825" spans="1:5" x14ac:dyDescent="0.25">
      <c r="A6825" s="2" t="s">
        <v>5317</v>
      </c>
      <c r="B6825" s="2" t="s">
        <v>4403</v>
      </c>
      <c r="C6825" s="2">
        <v>5</v>
      </c>
      <c r="D6825" t="str">
        <f t="shared" si="106"/>
        <v>CA-2017-140760_OFF-EN-10001141</v>
      </c>
      <c r="E6825" t="str">
        <f>IF(COUNTIF(data2!$D:$D,D6825)=0,"Missing in Data2","Present")</f>
        <v>Present</v>
      </c>
    </row>
    <row r="6826" spans="1:5" x14ac:dyDescent="0.25">
      <c r="A6826" s="2" t="s">
        <v>5317</v>
      </c>
      <c r="B6826" s="2" t="s">
        <v>682</v>
      </c>
      <c r="C6826" s="2">
        <v>6</v>
      </c>
      <c r="D6826" t="str">
        <f t="shared" si="106"/>
        <v>CA-2017-140760_OFF-PA-10002479</v>
      </c>
      <c r="E6826" t="str">
        <f>IF(COUNTIF(data2!$D:$D,D6826)=0,"Missing in Data2","Present")</f>
        <v>Present</v>
      </c>
    </row>
    <row r="6827" spans="1:5" x14ac:dyDescent="0.25">
      <c r="A6827" s="2" t="s">
        <v>5318</v>
      </c>
      <c r="B6827" s="2" t="s">
        <v>2817</v>
      </c>
      <c r="C6827" s="2">
        <v>3</v>
      </c>
      <c r="D6827" t="str">
        <f t="shared" si="106"/>
        <v>CA-2017-140781_TEC-AC-10000682</v>
      </c>
      <c r="E6827" t="str">
        <f>IF(COUNTIF(data2!$D:$D,D6827)=0,"Missing in Data2","Present")</f>
        <v>Present</v>
      </c>
    </row>
    <row r="6828" spans="1:5" x14ac:dyDescent="0.25">
      <c r="A6828" s="2" t="s">
        <v>5319</v>
      </c>
      <c r="B6828" s="2" t="s">
        <v>4611</v>
      </c>
      <c r="C6828" s="2">
        <v>4</v>
      </c>
      <c r="D6828" t="str">
        <f t="shared" si="106"/>
        <v>CA-2017-140802_OFF-PA-10001534</v>
      </c>
      <c r="E6828" t="str">
        <f>IF(COUNTIF(data2!$D:$D,D6828)=0,"Missing in Data2","Present")</f>
        <v>Present</v>
      </c>
    </row>
    <row r="6829" spans="1:5" x14ac:dyDescent="0.25">
      <c r="A6829" s="2" t="s">
        <v>5319</v>
      </c>
      <c r="B6829" s="2" t="s">
        <v>2525</v>
      </c>
      <c r="C6829" s="2">
        <v>3</v>
      </c>
      <c r="D6829" t="str">
        <f t="shared" si="106"/>
        <v>CA-2017-140802_TEC-AC-10001998</v>
      </c>
      <c r="E6829" t="str">
        <f>IF(COUNTIF(data2!$D:$D,D6829)=0,"Missing in Data2","Present")</f>
        <v>Present</v>
      </c>
    </row>
    <row r="6830" spans="1:5" x14ac:dyDescent="0.25">
      <c r="A6830" s="2" t="s">
        <v>5320</v>
      </c>
      <c r="B6830" s="2" t="s">
        <v>2593</v>
      </c>
      <c r="C6830" s="2">
        <v>2</v>
      </c>
      <c r="D6830" t="str">
        <f t="shared" si="106"/>
        <v>CA-2017-140844_OFF-PA-10003892</v>
      </c>
      <c r="E6830" t="str">
        <f>IF(COUNTIF(data2!$D:$D,D6830)=0,"Missing in Data2","Present")</f>
        <v>Present</v>
      </c>
    </row>
    <row r="6831" spans="1:5" x14ac:dyDescent="0.25">
      <c r="A6831" s="2" t="s">
        <v>5320</v>
      </c>
      <c r="B6831" s="2" t="s">
        <v>496</v>
      </c>
      <c r="C6831" s="2">
        <v>8</v>
      </c>
      <c r="D6831" t="str">
        <f t="shared" si="106"/>
        <v>CA-2017-140844_TEC-AC-10001101</v>
      </c>
      <c r="E6831" t="str">
        <f>IF(COUNTIF(data2!$D:$D,D6831)=0,"Missing in Data2","Present")</f>
        <v>Missing in Data2</v>
      </c>
    </row>
    <row r="6832" spans="1:5" x14ac:dyDescent="0.25">
      <c r="A6832" s="2" t="s">
        <v>5321</v>
      </c>
      <c r="B6832" s="2" t="s">
        <v>2800</v>
      </c>
      <c r="C6832" s="2">
        <v>2</v>
      </c>
      <c r="D6832" t="str">
        <f t="shared" si="106"/>
        <v>CA-2017-140872_FUR-BO-10002824</v>
      </c>
      <c r="E6832" t="str">
        <f>IF(COUNTIF(data2!$D:$D,D6832)=0,"Missing in Data2","Present")</f>
        <v>Present</v>
      </c>
    </row>
    <row r="6833" spans="1:5" x14ac:dyDescent="0.25">
      <c r="A6833" s="2" t="s">
        <v>5321</v>
      </c>
      <c r="B6833" s="2" t="s">
        <v>3600</v>
      </c>
      <c r="C6833" s="2">
        <v>7</v>
      </c>
      <c r="D6833" t="str">
        <f t="shared" si="106"/>
        <v>CA-2017-140872_OFF-AP-10002287</v>
      </c>
      <c r="E6833" t="str">
        <f>IF(COUNTIF(data2!$D:$D,D6833)=0,"Missing in Data2","Present")</f>
        <v>Present</v>
      </c>
    </row>
    <row r="6834" spans="1:5" x14ac:dyDescent="0.25">
      <c r="A6834" s="2" t="s">
        <v>5321</v>
      </c>
      <c r="B6834" s="2" t="s">
        <v>1058</v>
      </c>
      <c r="C6834" s="2">
        <v>2</v>
      </c>
      <c r="D6834" t="str">
        <f t="shared" si="106"/>
        <v>CA-2017-140872_OFF-AP-10003622</v>
      </c>
      <c r="E6834" t="str">
        <f>IF(COUNTIF(data2!$D:$D,D6834)=0,"Missing in Data2","Present")</f>
        <v>Present</v>
      </c>
    </row>
    <row r="6835" spans="1:5" x14ac:dyDescent="0.25">
      <c r="A6835" s="2" t="s">
        <v>5321</v>
      </c>
      <c r="B6835" s="2" t="s">
        <v>1338</v>
      </c>
      <c r="C6835" s="2">
        <v>3</v>
      </c>
      <c r="D6835" t="str">
        <f t="shared" si="106"/>
        <v>CA-2017-140872_OFF-BI-10002432</v>
      </c>
      <c r="E6835" t="str">
        <f>IF(COUNTIF(data2!$D:$D,D6835)=0,"Missing in Data2","Present")</f>
        <v>Present</v>
      </c>
    </row>
    <row r="6836" spans="1:5" x14ac:dyDescent="0.25">
      <c r="A6836" s="2" t="s">
        <v>5321</v>
      </c>
      <c r="B6836" s="2" t="s">
        <v>2165</v>
      </c>
      <c r="C6836" s="2">
        <v>3</v>
      </c>
      <c r="D6836" t="str">
        <f t="shared" si="106"/>
        <v>CA-2017-140872_OFF-PA-10000809</v>
      </c>
      <c r="E6836" t="str">
        <f>IF(COUNTIF(data2!$D:$D,D6836)=0,"Missing in Data2","Present")</f>
        <v>Present</v>
      </c>
    </row>
    <row r="6837" spans="1:5" x14ac:dyDescent="0.25">
      <c r="A6837" s="2" t="s">
        <v>5321</v>
      </c>
      <c r="B6837" s="2" t="s">
        <v>578</v>
      </c>
      <c r="C6837" s="2">
        <v>2</v>
      </c>
      <c r="D6837" t="str">
        <f t="shared" si="106"/>
        <v>CA-2017-140872_TEC-AC-10002942</v>
      </c>
      <c r="E6837" t="str">
        <f>IF(COUNTIF(data2!$D:$D,D6837)=0,"Missing in Data2","Present")</f>
        <v>Present</v>
      </c>
    </row>
    <row r="6838" spans="1:5" x14ac:dyDescent="0.25">
      <c r="A6838" s="2" t="s">
        <v>5321</v>
      </c>
      <c r="B6838" s="2" t="s">
        <v>877</v>
      </c>
      <c r="C6838" s="2">
        <v>1</v>
      </c>
      <c r="D6838" t="str">
        <f t="shared" si="106"/>
        <v>CA-2017-140872_TEC-AC-10003832</v>
      </c>
      <c r="E6838" t="str">
        <f>IF(COUNTIF(data2!$D:$D,D6838)=0,"Missing in Data2","Present")</f>
        <v>Present</v>
      </c>
    </row>
    <row r="6839" spans="1:5" x14ac:dyDescent="0.25">
      <c r="A6839" s="2" t="s">
        <v>5321</v>
      </c>
      <c r="B6839" s="2" t="s">
        <v>1316</v>
      </c>
      <c r="C6839" s="2">
        <v>5</v>
      </c>
      <c r="D6839" t="str">
        <f t="shared" si="106"/>
        <v>CA-2017-140872_TEC-PH-10000441</v>
      </c>
      <c r="E6839" t="str">
        <f>IF(COUNTIF(data2!$D:$D,D6839)=0,"Missing in Data2","Present")</f>
        <v>Present</v>
      </c>
    </row>
    <row r="6840" spans="1:5" x14ac:dyDescent="0.25">
      <c r="A6840" s="2" t="s">
        <v>5322</v>
      </c>
      <c r="B6840" s="2" t="s">
        <v>1327</v>
      </c>
      <c r="C6840" s="2">
        <v>6</v>
      </c>
      <c r="D6840" t="str">
        <f t="shared" si="106"/>
        <v>CA-2017-140949_OFF-AR-10001683</v>
      </c>
      <c r="E6840" t="str">
        <f>IF(COUNTIF(data2!$D:$D,D6840)=0,"Missing in Data2","Present")</f>
        <v>Present</v>
      </c>
    </row>
    <row r="6841" spans="1:5" x14ac:dyDescent="0.25">
      <c r="A6841" s="2" t="s">
        <v>5322</v>
      </c>
      <c r="B6841" s="2" t="s">
        <v>1789</v>
      </c>
      <c r="C6841" s="2">
        <v>3</v>
      </c>
      <c r="D6841" t="str">
        <f t="shared" si="106"/>
        <v>CA-2017-140949_OFF-BI-10000605</v>
      </c>
      <c r="E6841" t="str">
        <f>IF(COUNTIF(data2!$D:$D,D6841)=0,"Missing in Data2","Present")</f>
        <v>Present</v>
      </c>
    </row>
    <row r="6842" spans="1:5" x14ac:dyDescent="0.25">
      <c r="A6842" s="2" t="s">
        <v>5322</v>
      </c>
      <c r="B6842" s="2" t="s">
        <v>3604</v>
      </c>
      <c r="C6842" s="2">
        <v>5</v>
      </c>
      <c r="D6842" t="str">
        <f t="shared" si="106"/>
        <v>CA-2017-140949_OFF-LA-10000081</v>
      </c>
      <c r="E6842" t="str">
        <f>IF(COUNTIF(data2!$D:$D,D6842)=0,"Missing in Data2","Present")</f>
        <v>Missing in Data2</v>
      </c>
    </row>
    <row r="6843" spans="1:5" x14ac:dyDescent="0.25">
      <c r="A6843" s="2" t="s">
        <v>5322</v>
      </c>
      <c r="B6843" s="2" t="s">
        <v>2712</v>
      </c>
      <c r="C6843" s="2">
        <v>1</v>
      </c>
      <c r="D6843" t="str">
        <f t="shared" si="106"/>
        <v>CA-2017-140949_OFF-LA-10004093</v>
      </c>
      <c r="E6843" t="str">
        <f>IF(COUNTIF(data2!$D:$D,D6843)=0,"Missing in Data2","Present")</f>
        <v>Present</v>
      </c>
    </row>
    <row r="6844" spans="1:5" x14ac:dyDescent="0.25">
      <c r="A6844" s="2" t="s">
        <v>5322</v>
      </c>
      <c r="B6844" s="2" t="s">
        <v>2556</v>
      </c>
      <c r="C6844" s="2">
        <v>8</v>
      </c>
      <c r="D6844" t="str">
        <f t="shared" si="106"/>
        <v>CA-2017-140949_OFF-ST-10000344</v>
      </c>
      <c r="E6844" t="str">
        <f>IF(COUNTIF(data2!$D:$D,D6844)=0,"Missing in Data2","Present")</f>
        <v>Present</v>
      </c>
    </row>
    <row r="6845" spans="1:5" x14ac:dyDescent="0.25">
      <c r="A6845" s="2" t="s">
        <v>5322</v>
      </c>
      <c r="B6845" s="2" t="s">
        <v>1433</v>
      </c>
      <c r="C6845" s="2">
        <v>3</v>
      </c>
      <c r="D6845" t="str">
        <f t="shared" si="106"/>
        <v>CA-2017-140949_OFF-ST-10003455</v>
      </c>
      <c r="E6845" t="str">
        <f>IF(COUNTIF(data2!$D:$D,D6845)=0,"Missing in Data2","Present")</f>
        <v>Present</v>
      </c>
    </row>
    <row r="6846" spans="1:5" x14ac:dyDescent="0.25">
      <c r="A6846" s="2" t="s">
        <v>5322</v>
      </c>
      <c r="B6846" s="2" t="s">
        <v>179</v>
      </c>
      <c r="C6846" s="2">
        <v>3</v>
      </c>
      <c r="D6846" t="str">
        <f t="shared" si="106"/>
        <v>CA-2017-140949_TEC-AC-10002399</v>
      </c>
      <c r="E6846" t="str">
        <f>IF(COUNTIF(data2!$D:$D,D6846)=0,"Missing in Data2","Present")</f>
        <v>Present</v>
      </c>
    </row>
    <row r="6847" spans="1:5" x14ac:dyDescent="0.25">
      <c r="A6847" s="2" t="s">
        <v>5322</v>
      </c>
      <c r="B6847" s="2" t="s">
        <v>311</v>
      </c>
      <c r="C6847" s="2">
        <v>8</v>
      </c>
      <c r="D6847" t="str">
        <f t="shared" si="106"/>
        <v>CA-2017-140949_TEC-AC-10003038</v>
      </c>
      <c r="E6847" t="str">
        <f>IF(COUNTIF(data2!$D:$D,D6847)=0,"Missing in Data2","Present")</f>
        <v>Present</v>
      </c>
    </row>
    <row r="6848" spans="1:5" x14ac:dyDescent="0.25">
      <c r="A6848" s="2" t="s">
        <v>5322</v>
      </c>
      <c r="B6848" s="2" t="s">
        <v>783</v>
      </c>
      <c r="C6848" s="2">
        <v>6</v>
      </c>
      <c r="D6848" t="str">
        <f t="shared" si="106"/>
        <v>CA-2017-140949_TEC-PH-10000149</v>
      </c>
      <c r="E6848" t="str">
        <f>IF(COUNTIF(data2!$D:$D,D6848)=0,"Missing in Data2","Present")</f>
        <v>Present</v>
      </c>
    </row>
    <row r="6849" spans="1:5" x14ac:dyDescent="0.25">
      <c r="A6849" s="2" t="s">
        <v>5323</v>
      </c>
      <c r="B6849" s="2" t="s">
        <v>69</v>
      </c>
      <c r="C6849" s="2">
        <v>5</v>
      </c>
      <c r="D6849" t="str">
        <f t="shared" si="106"/>
        <v>CA-2017-140963_FUR-BO-10001337</v>
      </c>
      <c r="E6849" t="str">
        <f>IF(COUNTIF(data2!$D:$D,D6849)=0,"Missing in Data2","Present")</f>
        <v>Present</v>
      </c>
    </row>
    <row r="6850" spans="1:5" x14ac:dyDescent="0.25">
      <c r="A6850" s="2" t="s">
        <v>5323</v>
      </c>
      <c r="B6850" s="2" t="s">
        <v>86</v>
      </c>
      <c r="C6850" s="2">
        <v>2</v>
      </c>
      <c r="D6850" t="str">
        <f t="shared" si="106"/>
        <v>CA-2017-140963_OFF-LA-10003923</v>
      </c>
      <c r="E6850" t="str">
        <f>IF(COUNTIF(data2!$D:$D,D6850)=0,"Missing in Data2","Present")</f>
        <v>Present</v>
      </c>
    </row>
    <row r="6851" spans="1:5" x14ac:dyDescent="0.25">
      <c r="A6851" s="2" t="s">
        <v>5323</v>
      </c>
      <c r="B6851" s="2" t="s">
        <v>4307</v>
      </c>
      <c r="C6851" s="2">
        <v>5</v>
      </c>
      <c r="D6851" t="str">
        <f t="shared" ref="D6851:D6914" si="107">A6851&amp;"_"&amp;B6851</f>
        <v>CA-2017-140963_TEC-PH-10001924</v>
      </c>
      <c r="E6851" t="str">
        <f>IF(COUNTIF(data2!$D:$D,D6851)=0,"Missing in Data2","Present")</f>
        <v>Present</v>
      </c>
    </row>
    <row r="6852" spans="1:5" x14ac:dyDescent="0.25">
      <c r="A6852" s="2" t="s">
        <v>5324</v>
      </c>
      <c r="B6852" s="2" t="s">
        <v>716</v>
      </c>
      <c r="C6852" s="2">
        <v>5</v>
      </c>
      <c r="D6852" t="str">
        <f t="shared" si="107"/>
        <v>CA-2017-141103_TEC-PH-10003589</v>
      </c>
      <c r="E6852" t="str">
        <f>IF(COUNTIF(data2!$D:$D,D6852)=0,"Missing in Data2","Present")</f>
        <v>Present</v>
      </c>
    </row>
    <row r="6853" spans="1:5" x14ac:dyDescent="0.25">
      <c r="A6853" s="2" t="s">
        <v>5325</v>
      </c>
      <c r="B6853" s="2" t="s">
        <v>1343</v>
      </c>
      <c r="C6853" s="2">
        <v>6</v>
      </c>
      <c r="D6853" t="str">
        <f t="shared" si="107"/>
        <v>CA-2017-141117_FUR-BO-10001972</v>
      </c>
      <c r="E6853" t="str">
        <f>IF(COUNTIF(data2!$D:$D,D6853)=0,"Missing in Data2","Present")</f>
        <v>Present</v>
      </c>
    </row>
    <row r="6854" spans="1:5" x14ac:dyDescent="0.25">
      <c r="A6854" s="2" t="s">
        <v>5325</v>
      </c>
      <c r="B6854" s="2" t="s">
        <v>3347</v>
      </c>
      <c r="C6854" s="2">
        <v>7</v>
      </c>
      <c r="D6854" t="str">
        <f t="shared" si="107"/>
        <v>CA-2017-141117_OFF-AR-10003727</v>
      </c>
      <c r="E6854" t="str">
        <f>IF(COUNTIF(data2!$D:$D,D6854)=0,"Missing in Data2","Present")</f>
        <v>Present</v>
      </c>
    </row>
    <row r="6855" spans="1:5" x14ac:dyDescent="0.25">
      <c r="A6855" s="2" t="s">
        <v>5325</v>
      </c>
      <c r="B6855" s="2" t="s">
        <v>206</v>
      </c>
      <c r="C6855" s="2">
        <v>7</v>
      </c>
      <c r="D6855" t="str">
        <f t="shared" si="107"/>
        <v>CA-2017-141117_OFF-BI-10003676</v>
      </c>
      <c r="E6855" t="str">
        <f>IF(COUNTIF(data2!$D:$D,D6855)=0,"Missing in Data2","Present")</f>
        <v>Present</v>
      </c>
    </row>
    <row r="6856" spans="1:5" x14ac:dyDescent="0.25">
      <c r="A6856" s="2" t="s">
        <v>5325</v>
      </c>
      <c r="B6856" s="2" t="s">
        <v>1314</v>
      </c>
      <c r="C6856" s="2">
        <v>6</v>
      </c>
      <c r="D6856" t="str">
        <f t="shared" si="107"/>
        <v>CA-2017-141117_OFF-SU-10004664</v>
      </c>
      <c r="E6856" t="str">
        <f>IF(COUNTIF(data2!$D:$D,D6856)=0,"Missing in Data2","Present")</f>
        <v>Present</v>
      </c>
    </row>
    <row r="6857" spans="1:5" x14ac:dyDescent="0.25">
      <c r="A6857" s="2" t="s">
        <v>5326</v>
      </c>
      <c r="B6857" s="2" t="s">
        <v>1779</v>
      </c>
      <c r="C6857" s="2">
        <v>7</v>
      </c>
      <c r="D6857" t="str">
        <f t="shared" si="107"/>
        <v>CA-2017-141138_TEC-AC-10001772</v>
      </c>
      <c r="E6857" t="str">
        <f>IF(COUNTIF(data2!$D:$D,D6857)=0,"Missing in Data2","Present")</f>
        <v>Present</v>
      </c>
    </row>
    <row r="6858" spans="1:5" x14ac:dyDescent="0.25">
      <c r="A6858" s="2" t="s">
        <v>5327</v>
      </c>
      <c r="B6858" s="2" t="s">
        <v>1852</v>
      </c>
      <c r="C6858" s="2">
        <v>3</v>
      </c>
      <c r="D6858" t="str">
        <f t="shared" si="107"/>
        <v>CA-2017-141201_FUR-BO-10001519</v>
      </c>
      <c r="E6858" t="str">
        <f>IF(COUNTIF(data2!$D:$D,D6858)=0,"Missing in Data2","Present")</f>
        <v>Present</v>
      </c>
    </row>
    <row r="6859" spans="1:5" x14ac:dyDescent="0.25">
      <c r="A6859" s="2" t="s">
        <v>5328</v>
      </c>
      <c r="B6859" s="2" t="s">
        <v>72</v>
      </c>
      <c r="C6859" s="2">
        <v>2</v>
      </c>
      <c r="D6859" t="str">
        <f t="shared" si="107"/>
        <v>CA-2017-141425_OFF-SU-10000646</v>
      </c>
      <c r="E6859" t="str">
        <f>IF(COUNTIF(data2!$D:$D,D6859)=0,"Missing in Data2","Present")</f>
        <v>Present</v>
      </c>
    </row>
    <row r="6860" spans="1:5" x14ac:dyDescent="0.25">
      <c r="A6860" s="2" t="s">
        <v>5329</v>
      </c>
      <c r="B6860" s="2" t="s">
        <v>1083</v>
      </c>
      <c r="C6860" s="2">
        <v>3</v>
      </c>
      <c r="D6860" t="str">
        <f t="shared" si="107"/>
        <v>CA-2017-141439_FUR-CH-10004287</v>
      </c>
      <c r="E6860" t="str">
        <f>IF(COUNTIF(data2!$D:$D,D6860)=0,"Missing in Data2","Present")</f>
        <v>Present</v>
      </c>
    </row>
    <row r="6861" spans="1:5" x14ac:dyDescent="0.25">
      <c r="A6861" s="2" t="s">
        <v>5329</v>
      </c>
      <c r="B6861" s="2" t="s">
        <v>1529</v>
      </c>
      <c r="C6861" s="2">
        <v>2</v>
      </c>
      <c r="D6861" t="str">
        <f t="shared" si="107"/>
        <v>CA-2017-141439_FUR-FU-10001473</v>
      </c>
      <c r="E6861" t="str">
        <f>IF(COUNTIF(data2!$D:$D,D6861)=0,"Missing in Data2","Present")</f>
        <v>Missing in Data2</v>
      </c>
    </row>
    <row r="6862" spans="1:5" x14ac:dyDescent="0.25">
      <c r="A6862" s="2" t="s">
        <v>5329</v>
      </c>
      <c r="B6862" s="2" t="s">
        <v>183</v>
      </c>
      <c r="C6862" s="2">
        <v>3</v>
      </c>
      <c r="D6862" t="str">
        <f t="shared" si="107"/>
        <v>CA-2017-141439_FUR-TA-10001039</v>
      </c>
      <c r="E6862" t="str">
        <f>IF(COUNTIF(data2!$D:$D,D6862)=0,"Missing in Data2","Present")</f>
        <v>Present</v>
      </c>
    </row>
    <row r="6863" spans="1:5" x14ac:dyDescent="0.25">
      <c r="A6863" s="2" t="s">
        <v>5329</v>
      </c>
      <c r="B6863" s="2" t="s">
        <v>1647</v>
      </c>
      <c r="C6863" s="2">
        <v>2</v>
      </c>
      <c r="D6863" t="str">
        <f t="shared" si="107"/>
        <v>CA-2017-141439_TEC-PH-10001819</v>
      </c>
      <c r="E6863" t="str">
        <f>IF(COUNTIF(data2!$D:$D,D6863)=0,"Missing in Data2","Present")</f>
        <v>Present</v>
      </c>
    </row>
    <row r="6864" spans="1:5" x14ac:dyDescent="0.25">
      <c r="A6864" s="2" t="s">
        <v>5329</v>
      </c>
      <c r="B6864" s="2" t="s">
        <v>3339</v>
      </c>
      <c r="C6864" s="2">
        <v>4</v>
      </c>
      <c r="D6864" t="str">
        <f t="shared" si="107"/>
        <v>CA-2017-141439_TEC-PH-10002624</v>
      </c>
      <c r="E6864" t="str">
        <f>IF(COUNTIF(data2!$D:$D,D6864)=0,"Missing in Data2","Present")</f>
        <v>Present</v>
      </c>
    </row>
    <row r="6865" spans="1:5" x14ac:dyDescent="0.25">
      <c r="A6865" s="2" t="s">
        <v>5330</v>
      </c>
      <c r="B6865" s="2" t="s">
        <v>3087</v>
      </c>
      <c r="C6865" s="2">
        <v>1</v>
      </c>
      <c r="D6865" t="str">
        <f t="shared" si="107"/>
        <v>CA-2017-141446_TEC-AC-10002305</v>
      </c>
      <c r="E6865" t="str">
        <f>IF(COUNTIF(data2!$D:$D,D6865)=0,"Missing in Data2","Present")</f>
        <v>Present</v>
      </c>
    </row>
    <row r="6866" spans="1:5" x14ac:dyDescent="0.25">
      <c r="A6866" s="2" t="s">
        <v>5331</v>
      </c>
      <c r="B6866" s="2" t="s">
        <v>3148</v>
      </c>
      <c r="C6866" s="2">
        <v>3</v>
      </c>
      <c r="D6866" t="str">
        <f t="shared" si="107"/>
        <v>CA-2017-141481_OFF-AP-10004532</v>
      </c>
      <c r="E6866" t="str">
        <f>IF(COUNTIF(data2!$D:$D,D6866)=0,"Missing in Data2","Present")</f>
        <v>Present</v>
      </c>
    </row>
    <row r="6867" spans="1:5" x14ac:dyDescent="0.25">
      <c r="A6867" s="2" t="s">
        <v>5332</v>
      </c>
      <c r="B6867" s="2" t="s">
        <v>2600</v>
      </c>
      <c r="C6867" s="2">
        <v>8</v>
      </c>
      <c r="D6867" t="str">
        <f t="shared" si="107"/>
        <v>CA-2017-141572_FUR-FU-10001185</v>
      </c>
      <c r="E6867" t="str">
        <f>IF(COUNTIF(data2!$D:$D,D6867)=0,"Missing in Data2","Present")</f>
        <v>Present</v>
      </c>
    </row>
    <row r="6868" spans="1:5" x14ac:dyDescent="0.25">
      <c r="A6868" s="2" t="s">
        <v>5333</v>
      </c>
      <c r="B6868" s="2" t="s">
        <v>2771</v>
      </c>
      <c r="C6868" s="2">
        <v>4</v>
      </c>
      <c r="D6868" t="str">
        <f t="shared" si="107"/>
        <v>CA-2017-141614_OFF-PA-10002787</v>
      </c>
      <c r="E6868" t="str">
        <f>IF(COUNTIF(data2!$D:$D,D6868)=0,"Missing in Data2","Present")</f>
        <v>Present</v>
      </c>
    </row>
    <row r="6869" spans="1:5" x14ac:dyDescent="0.25">
      <c r="A6869" s="2" t="s">
        <v>5334</v>
      </c>
      <c r="B6869" s="2" t="s">
        <v>3681</v>
      </c>
      <c r="C6869" s="2">
        <v>5</v>
      </c>
      <c r="D6869" t="str">
        <f t="shared" si="107"/>
        <v>CA-2017-141663_OFF-FA-10004076</v>
      </c>
      <c r="E6869" t="str">
        <f>IF(COUNTIF(data2!$D:$D,D6869)=0,"Missing in Data2","Present")</f>
        <v>Missing in Data2</v>
      </c>
    </row>
    <row r="6870" spans="1:5" x14ac:dyDescent="0.25">
      <c r="A6870" s="2" t="s">
        <v>5335</v>
      </c>
      <c r="B6870" s="2" t="s">
        <v>37</v>
      </c>
      <c r="C6870" s="2">
        <v>5</v>
      </c>
      <c r="D6870" t="str">
        <f t="shared" si="107"/>
        <v>CA-2017-141705_FUR-TA-10004607</v>
      </c>
      <c r="E6870" t="str">
        <f>IF(COUNTIF(data2!$D:$D,D6870)=0,"Missing in Data2","Present")</f>
        <v>Present</v>
      </c>
    </row>
    <row r="6871" spans="1:5" x14ac:dyDescent="0.25">
      <c r="A6871" s="2" t="s">
        <v>5336</v>
      </c>
      <c r="B6871" s="2" t="s">
        <v>4060</v>
      </c>
      <c r="C6871" s="2">
        <v>5</v>
      </c>
      <c r="D6871" t="str">
        <f t="shared" si="107"/>
        <v>CA-2017-141719_TEC-AC-10003610</v>
      </c>
      <c r="E6871" t="str">
        <f>IF(COUNTIF(data2!$D:$D,D6871)=0,"Missing in Data2","Present")</f>
        <v>Missing in Data2</v>
      </c>
    </row>
    <row r="6872" spans="1:5" x14ac:dyDescent="0.25">
      <c r="A6872" s="2" t="s">
        <v>5337</v>
      </c>
      <c r="B6872" s="2" t="s">
        <v>1520</v>
      </c>
      <c r="C6872" s="2">
        <v>2</v>
      </c>
      <c r="D6872" t="str">
        <f t="shared" si="107"/>
        <v>CA-2017-141733_FUR-CH-10000595</v>
      </c>
      <c r="E6872" t="str">
        <f>IF(COUNTIF(data2!$D:$D,D6872)=0,"Missing in Data2","Present")</f>
        <v>Present</v>
      </c>
    </row>
    <row r="6873" spans="1:5" x14ac:dyDescent="0.25">
      <c r="A6873" s="2" t="s">
        <v>5337</v>
      </c>
      <c r="B6873" s="2" t="s">
        <v>2633</v>
      </c>
      <c r="C6873" s="2">
        <v>1</v>
      </c>
      <c r="D6873" t="str">
        <f t="shared" si="107"/>
        <v>CA-2017-141733_FUR-CH-10002017</v>
      </c>
      <c r="E6873" t="str">
        <f>IF(COUNTIF(data2!$D:$D,D6873)=0,"Missing in Data2","Present")</f>
        <v>Present</v>
      </c>
    </row>
    <row r="6874" spans="1:5" x14ac:dyDescent="0.25">
      <c r="A6874" s="2" t="s">
        <v>5337</v>
      </c>
      <c r="B6874" s="2" t="s">
        <v>2153</v>
      </c>
      <c r="C6874" s="2">
        <v>5</v>
      </c>
      <c r="D6874" t="str">
        <f t="shared" si="107"/>
        <v>CA-2017-141733_FUR-CH-10004086</v>
      </c>
      <c r="E6874" t="str">
        <f>IF(COUNTIF(data2!$D:$D,D6874)=0,"Missing in Data2","Present")</f>
        <v>Present</v>
      </c>
    </row>
    <row r="6875" spans="1:5" x14ac:dyDescent="0.25">
      <c r="A6875" s="2" t="s">
        <v>5337</v>
      </c>
      <c r="B6875" s="2" t="s">
        <v>675</v>
      </c>
      <c r="C6875" s="2">
        <v>2</v>
      </c>
      <c r="D6875" t="str">
        <f t="shared" si="107"/>
        <v>CA-2017-141733_OFF-AP-10001563</v>
      </c>
      <c r="E6875" t="str">
        <f>IF(COUNTIF(data2!$D:$D,D6875)=0,"Missing in Data2","Present")</f>
        <v>Present</v>
      </c>
    </row>
    <row r="6876" spans="1:5" x14ac:dyDescent="0.25">
      <c r="A6876" s="2" t="s">
        <v>5338</v>
      </c>
      <c r="B6876" s="2" t="s">
        <v>252</v>
      </c>
      <c r="C6876" s="2">
        <v>1</v>
      </c>
      <c r="D6876" t="str">
        <f t="shared" si="107"/>
        <v>CA-2017-141747_OFF-ST-10003996</v>
      </c>
      <c r="E6876" t="str">
        <f>IF(COUNTIF(data2!$D:$D,D6876)=0,"Missing in Data2","Present")</f>
        <v>Present</v>
      </c>
    </row>
    <row r="6877" spans="1:5" x14ac:dyDescent="0.25">
      <c r="A6877" s="2" t="s">
        <v>5339</v>
      </c>
      <c r="B6877" s="2" t="s">
        <v>502</v>
      </c>
      <c r="C6877" s="2">
        <v>2</v>
      </c>
      <c r="D6877" t="str">
        <f t="shared" si="107"/>
        <v>CA-2017-141789_OFF-BI-10001359</v>
      </c>
      <c r="E6877" t="str">
        <f>IF(COUNTIF(data2!$D:$D,D6877)=0,"Missing in Data2","Present")</f>
        <v>Present</v>
      </c>
    </row>
    <row r="6878" spans="1:5" x14ac:dyDescent="0.25">
      <c r="A6878" s="2" t="s">
        <v>5340</v>
      </c>
      <c r="B6878" s="2" t="s">
        <v>1562</v>
      </c>
      <c r="C6878" s="2">
        <v>3</v>
      </c>
      <c r="D6878" t="str">
        <f t="shared" si="107"/>
        <v>CA-2017-141873_FUR-BO-10003034</v>
      </c>
      <c r="E6878" t="str">
        <f>IF(COUNTIF(data2!$D:$D,D6878)=0,"Missing in Data2","Present")</f>
        <v>Present</v>
      </c>
    </row>
    <row r="6879" spans="1:5" x14ac:dyDescent="0.25">
      <c r="A6879" s="2" t="s">
        <v>5340</v>
      </c>
      <c r="B6879" s="2" t="s">
        <v>773</v>
      </c>
      <c r="C6879" s="2">
        <v>3</v>
      </c>
      <c r="D6879" t="str">
        <f t="shared" si="107"/>
        <v>CA-2017-141873_OFF-BI-10001031</v>
      </c>
      <c r="E6879" t="str">
        <f>IF(COUNTIF(data2!$D:$D,D6879)=0,"Missing in Data2","Present")</f>
        <v>Present</v>
      </c>
    </row>
    <row r="6880" spans="1:5" x14ac:dyDescent="0.25">
      <c r="A6880" s="2" t="s">
        <v>5340</v>
      </c>
      <c r="B6880" s="2" t="s">
        <v>2478</v>
      </c>
      <c r="C6880" s="2">
        <v>6</v>
      </c>
      <c r="D6880" t="str">
        <f t="shared" si="107"/>
        <v>CA-2017-141873_OFF-BI-10003655</v>
      </c>
      <c r="E6880" t="str">
        <f>IF(COUNTIF(data2!$D:$D,D6880)=0,"Missing in Data2","Present")</f>
        <v>Present</v>
      </c>
    </row>
    <row r="6881" spans="1:5" x14ac:dyDescent="0.25">
      <c r="A6881" s="2" t="s">
        <v>5341</v>
      </c>
      <c r="B6881" s="2" t="s">
        <v>820</v>
      </c>
      <c r="C6881" s="2">
        <v>2</v>
      </c>
      <c r="D6881" t="str">
        <f t="shared" si="107"/>
        <v>CA-2017-141929_OFF-BI-10004632</v>
      </c>
      <c r="E6881" t="str">
        <f>IF(COUNTIF(data2!$D:$D,D6881)=0,"Missing in Data2","Present")</f>
        <v>Present</v>
      </c>
    </row>
    <row r="6882" spans="1:5" x14ac:dyDescent="0.25">
      <c r="A6882" s="2" t="s">
        <v>5341</v>
      </c>
      <c r="B6882" s="2" t="s">
        <v>1717</v>
      </c>
      <c r="C6882" s="2">
        <v>5</v>
      </c>
      <c r="D6882" t="str">
        <f t="shared" si="107"/>
        <v>CA-2017-141929_OFF-ST-10002974</v>
      </c>
      <c r="E6882" t="str">
        <f>IF(COUNTIF(data2!$D:$D,D6882)=0,"Missing in Data2","Present")</f>
        <v>Present</v>
      </c>
    </row>
    <row r="6883" spans="1:5" x14ac:dyDescent="0.25">
      <c r="A6883" s="2" t="s">
        <v>5341</v>
      </c>
      <c r="B6883" s="2" t="s">
        <v>654</v>
      </c>
      <c r="C6883" s="2">
        <v>1</v>
      </c>
      <c r="D6883" t="str">
        <f t="shared" si="107"/>
        <v>CA-2017-141929_TEC-PH-10002185</v>
      </c>
      <c r="E6883" t="str">
        <f>IF(COUNTIF(data2!$D:$D,D6883)=0,"Missing in Data2","Present")</f>
        <v>Present</v>
      </c>
    </row>
    <row r="6884" spans="1:5" x14ac:dyDescent="0.25">
      <c r="A6884" s="2" t="s">
        <v>5342</v>
      </c>
      <c r="B6884" s="2" t="s">
        <v>2072</v>
      </c>
      <c r="C6884" s="2">
        <v>2</v>
      </c>
      <c r="D6884" t="str">
        <f t="shared" si="107"/>
        <v>CA-2017-141992_OFF-ST-10003656</v>
      </c>
      <c r="E6884" t="str">
        <f>IF(COUNTIF(data2!$D:$D,D6884)=0,"Missing in Data2","Present")</f>
        <v>Present</v>
      </c>
    </row>
    <row r="6885" spans="1:5" x14ac:dyDescent="0.25">
      <c r="A6885" s="2" t="s">
        <v>5342</v>
      </c>
      <c r="B6885" s="2" t="s">
        <v>2539</v>
      </c>
      <c r="C6885" s="2">
        <v>1</v>
      </c>
      <c r="D6885" t="str">
        <f t="shared" si="107"/>
        <v>CA-2017-141992_OFF-SU-10002557</v>
      </c>
      <c r="E6885" t="str">
        <f>IF(COUNTIF(data2!$D:$D,D6885)=0,"Missing in Data2","Present")</f>
        <v>Present</v>
      </c>
    </row>
    <row r="6886" spans="1:5" x14ac:dyDescent="0.25">
      <c r="A6886" s="2" t="s">
        <v>5343</v>
      </c>
      <c r="B6886" s="2" t="s">
        <v>2884</v>
      </c>
      <c r="C6886" s="2">
        <v>4</v>
      </c>
      <c r="D6886" t="str">
        <f t="shared" si="107"/>
        <v>CA-2017-142034_FUR-CH-10000665</v>
      </c>
      <c r="E6886" t="str">
        <f>IF(COUNTIF(data2!$D:$D,D6886)=0,"Missing in Data2","Present")</f>
        <v>Present</v>
      </c>
    </row>
    <row r="6887" spans="1:5" x14ac:dyDescent="0.25">
      <c r="A6887" s="2" t="s">
        <v>5343</v>
      </c>
      <c r="B6887" s="2" t="s">
        <v>2035</v>
      </c>
      <c r="C6887" s="2">
        <v>5</v>
      </c>
      <c r="D6887" t="str">
        <f t="shared" si="107"/>
        <v>CA-2017-142034_TEC-AC-10000990</v>
      </c>
      <c r="E6887" t="str">
        <f>IF(COUNTIF(data2!$D:$D,D6887)=0,"Missing in Data2","Present")</f>
        <v>Missing in Data2</v>
      </c>
    </row>
    <row r="6888" spans="1:5" x14ac:dyDescent="0.25">
      <c r="A6888" s="2" t="s">
        <v>5343</v>
      </c>
      <c r="B6888" s="2" t="s">
        <v>3087</v>
      </c>
      <c r="C6888" s="2">
        <v>4</v>
      </c>
      <c r="D6888" t="str">
        <f t="shared" si="107"/>
        <v>CA-2017-142034_TEC-AC-10002305</v>
      </c>
      <c r="E6888" t="str">
        <f>IF(COUNTIF(data2!$D:$D,D6888)=0,"Missing in Data2","Present")</f>
        <v>Present</v>
      </c>
    </row>
    <row r="6889" spans="1:5" x14ac:dyDescent="0.25">
      <c r="A6889" s="2" t="s">
        <v>5344</v>
      </c>
      <c r="B6889" s="2" t="s">
        <v>1130</v>
      </c>
      <c r="C6889" s="2">
        <v>7</v>
      </c>
      <c r="D6889" t="str">
        <f t="shared" si="107"/>
        <v>CA-2017-142090_FUR-TA-10001889</v>
      </c>
      <c r="E6889" t="str">
        <f>IF(COUNTIF(data2!$D:$D,D6889)=0,"Missing in Data2","Present")</f>
        <v>Present</v>
      </c>
    </row>
    <row r="6890" spans="1:5" x14ac:dyDescent="0.25">
      <c r="A6890" s="2" t="s">
        <v>5344</v>
      </c>
      <c r="B6890" s="2" t="s">
        <v>1823</v>
      </c>
      <c r="C6890" s="2">
        <v>3</v>
      </c>
      <c r="D6890" t="str">
        <f t="shared" si="107"/>
        <v>CA-2017-142090_TEC-AC-10002001</v>
      </c>
      <c r="E6890" t="str">
        <f>IF(COUNTIF(data2!$D:$D,D6890)=0,"Missing in Data2","Present")</f>
        <v>Present</v>
      </c>
    </row>
    <row r="6891" spans="1:5" x14ac:dyDescent="0.25">
      <c r="A6891" s="2" t="s">
        <v>5345</v>
      </c>
      <c r="B6891" s="2" t="s">
        <v>3260</v>
      </c>
      <c r="C6891" s="2">
        <v>6</v>
      </c>
      <c r="D6891" t="str">
        <f t="shared" si="107"/>
        <v>CA-2017-142125_OFF-BI-10000301</v>
      </c>
      <c r="E6891" t="str">
        <f>IF(COUNTIF(data2!$D:$D,D6891)=0,"Missing in Data2","Present")</f>
        <v>Present</v>
      </c>
    </row>
    <row r="6892" spans="1:5" x14ac:dyDescent="0.25">
      <c r="A6892" s="2" t="s">
        <v>5346</v>
      </c>
      <c r="B6892" s="2" t="s">
        <v>2690</v>
      </c>
      <c r="C6892" s="2">
        <v>3</v>
      </c>
      <c r="D6892" t="str">
        <f t="shared" si="107"/>
        <v>CA-2017-142293_TEC-AC-10001109</v>
      </c>
      <c r="E6892" t="str">
        <f>IF(COUNTIF(data2!$D:$D,D6892)=0,"Missing in Data2","Present")</f>
        <v>Present</v>
      </c>
    </row>
    <row r="6893" spans="1:5" x14ac:dyDescent="0.25">
      <c r="A6893" s="2" t="s">
        <v>5347</v>
      </c>
      <c r="B6893" s="2" t="s">
        <v>2655</v>
      </c>
      <c r="C6893" s="2">
        <v>6</v>
      </c>
      <c r="D6893" t="str">
        <f t="shared" si="107"/>
        <v>CA-2017-142328_OFF-PA-10000380</v>
      </c>
      <c r="E6893" t="str">
        <f>IF(COUNTIF(data2!$D:$D,D6893)=0,"Missing in Data2","Present")</f>
        <v>Missing in Data2</v>
      </c>
    </row>
    <row r="6894" spans="1:5" x14ac:dyDescent="0.25">
      <c r="A6894" s="2" t="s">
        <v>5348</v>
      </c>
      <c r="B6894" s="2" t="s">
        <v>1417</v>
      </c>
      <c r="C6894" s="2">
        <v>5</v>
      </c>
      <c r="D6894" t="str">
        <f t="shared" si="107"/>
        <v>CA-2017-142342_FUR-BO-10002613</v>
      </c>
      <c r="E6894" t="str">
        <f>IF(COUNTIF(data2!$D:$D,D6894)=0,"Missing in Data2","Present")</f>
        <v>Present</v>
      </c>
    </row>
    <row r="6895" spans="1:5" x14ac:dyDescent="0.25">
      <c r="A6895" s="2" t="s">
        <v>5348</v>
      </c>
      <c r="B6895" s="2" t="s">
        <v>1204</v>
      </c>
      <c r="C6895" s="2">
        <v>5</v>
      </c>
      <c r="D6895" t="str">
        <f t="shared" si="107"/>
        <v>CA-2017-142342_OFF-EN-10002592</v>
      </c>
      <c r="E6895" t="str">
        <f>IF(COUNTIF(data2!$D:$D,D6895)=0,"Missing in Data2","Present")</f>
        <v>Present</v>
      </c>
    </row>
    <row r="6896" spans="1:5" x14ac:dyDescent="0.25">
      <c r="A6896" s="2" t="s">
        <v>5348</v>
      </c>
      <c r="B6896" s="2" t="s">
        <v>1446</v>
      </c>
      <c r="C6896" s="2">
        <v>5</v>
      </c>
      <c r="D6896" t="str">
        <f t="shared" si="107"/>
        <v>CA-2017-142342_OFF-PA-10004609</v>
      </c>
      <c r="E6896" t="str">
        <f>IF(COUNTIF(data2!$D:$D,D6896)=0,"Missing in Data2","Present")</f>
        <v>Present</v>
      </c>
    </row>
    <row r="6897" spans="1:5" x14ac:dyDescent="0.25">
      <c r="A6897" s="2" t="s">
        <v>5348</v>
      </c>
      <c r="B6897" s="2" t="s">
        <v>1045</v>
      </c>
      <c r="C6897" s="2">
        <v>2</v>
      </c>
      <c r="D6897" t="str">
        <f t="shared" si="107"/>
        <v>CA-2017-142342_OFF-ST-10002957</v>
      </c>
      <c r="E6897" t="str">
        <f>IF(COUNTIF(data2!$D:$D,D6897)=0,"Missing in Data2","Present")</f>
        <v>Present</v>
      </c>
    </row>
    <row r="6898" spans="1:5" x14ac:dyDescent="0.25">
      <c r="A6898" s="2" t="s">
        <v>5349</v>
      </c>
      <c r="B6898" s="2" t="s">
        <v>359</v>
      </c>
      <c r="C6898" s="2">
        <v>10</v>
      </c>
      <c r="D6898" t="str">
        <f t="shared" si="107"/>
        <v>CA-2017-142391_FUR-FU-10002759</v>
      </c>
      <c r="E6898" t="str">
        <f>IF(COUNTIF(data2!$D:$D,D6898)=0,"Missing in Data2","Present")</f>
        <v>Present</v>
      </c>
    </row>
    <row r="6899" spans="1:5" x14ac:dyDescent="0.25">
      <c r="A6899" s="2" t="s">
        <v>5350</v>
      </c>
      <c r="B6899" s="2" t="s">
        <v>2465</v>
      </c>
      <c r="C6899" s="2">
        <v>1</v>
      </c>
      <c r="D6899" t="str">
        <f t="shared" si="107"/>
        <v>CA-2017-142461_FUR-BO-10001811</v>
      </c>
      <c r="E6899" t="str">
        <f>IF(COUNTIF(data2!$D:$D,D6899)=0,"Missing in Data2","Present")</f>
        <v>Present</v>
      </c>
    </row>
    <row r="6900" spans="1:5" x14ac:dyDescent="0.25">
      <c r="A6900" s="2" t="s">
        <v>5351</v>
      </c>
      <c r="B6900" s="2" t="s">
        <v>229</v>
      </c>
      <c r="C6900" s="2">
        <v>5</v>
      </c>
      <c r="D6900" t="str">
        <f t="shared" si="107"/>
        <v>CA-2017-142489_OFF-BI-10003684</v>
      </c>
      <c r="E6900" t="str">
        <f>IF(COUNTIF(data2!$D:$D,D6900)=0,"Missing in Data2","Present")</f>
        <v>Present</v>
      </c>
    </row>
    <row r="6901" spans="1:5" x14ac:dyDescent="0.25">
      <c r="A6901" s="2" t="s">
        <v>5352</v>
      </c>
      <c r="B6901" s="2" t="s">
        <v>246</v>
      </c>
      <c r="C6901" s="2">
        <v>2</v>
      </c>
      <c r="D6901" t="str">
        <f t="shared" si="107"/>
        <v>CA-2017-142622_FUR-CH-10003833</v>
      </c>
      <c r="E6901" t="str">
        <f>IF(COUNTIF(data2!$D:$D,D6901)=0,"Missing in Data2","Present")</f>
        <v>Present</v>
      </c>
    </row>
    <row r="6902" spans="1:5" x14ac:dyDescent="0.25">
      <c r="A6902" s="2" t="s">
        <v>5352</v>
      </c>
      <c r="B6902" s="2" t="s">
        <v>1333</v>
      </c>
      <c r="C6902" s="2">
        <v>8</v>
      </c>
      <c r="D6902" t="str">
        <f t="shared" si="107"/>
        <v>CA-2017-142622_FUR-CH-10004289</v>
      </c>
      <c r="E6902" t="str">
        <f>IF(COUNTIF(data2!$D:$D,D6902)=0,"Missing in Data2","Present")</f>
        <v>Present</v>
      </c>
    </row>
    <row r="6903" spans="1:5" x14ac:dyDescent="0.25">
      <c r="A6903" s="2" t="s">
        <v>5353</v>
      </c>
      <c r="B6903" s="2" t="s">
        <v>415</v>
      </c>
      <c r="C6903" s="2">
        <v>4</v>
      </c>
      <c r="D6903" t="str">
        <f t="shared" si="107"/>
        <v>CA-2017-142636_FUR-CH-10001891</v>
      </c>
      <c r="E6903" t="str">
        <f>IF(COUNTIF(data2!$D:$D,D6903)=0,"Missing in Data2","Present")</f>
        <v>Present</v>
      </c>
    </row>
    <row r="6904" spans="1:5" x14ac:dyDescent="0.25">
      <c r="A6904" s="2" t="s">
        <v>5353</v>
      </c>
      <c r="B6904" s="2" t="s">
        <v>2602</v>
      </c>
      <c r="C6904" s="2">
        <v>7</v>
      </c>
      <c r="D6904" t="str">
        <f t="shared" si="107"/>
        <v>CA-2017-142636_OFF-PA-10000157</v>
      </c>
      <c r="E6904" t="str">
        <f>IF(COUNTIF(data2!$D:$D,D6904)=0,"Missing in Data2","Present")</f>
        <v>Present</v>
      </c>
    </row>
    <row r="6905" spans="1:5" x14ac:dyDescent="0.25">
      <c r="A6905" s="2" t="s">
        <v>5354</v>
      </c>
      <c r="B6905" s="2" t="s">
        <v>1899</v>
      </c>
      <c r="C6905" s="2">
        <v>1</v>
      </c>
      <c r="D6905" t="str">
        <f t="shared" si="107"/>
        <v>CA-2017-142643_FUR-FU-10000087</v>
      </c>
      <c r="E6905" t="str">
        <f>IF(COUNTIF(data2!$D:$D,D6905)=0,"Missing in Data2","Present")</f>
        <v>Present</v>
      </c>
    </row>
    <row r="6906" spans="1:5" x14ac:dyDescent="0.25">
      <c r="A6906" s="2" t="s">
        <v>5354</v>
      </c>
      <c r="B6906" s="2" t="s">
        <v>1125</v>
      </c>
      <c r="C6906" s="2">
        <v>5</v>
      </c>
      <c r="D6906" t="str">
        <f t="shared" si="107"/>
        <v>CA-2017-142643_OFF-LA-10003510</v>
      </c>
      <c r="E6906" t="str">
        <f>IF(COUNTIF(data2!$D:$D,D6906)=0,"Missing in Data2","Present")</f>
        <v>Present</v>
      </c>
    </row>
    <row r="6907" spans="1:5" x14ac:dyDescent="0.25">
      <c r="A6907" s="2" t="s">
        <v>5355</v>
      </c>
      <c r="B6907" s="2" t="s">
        <v>1019</v>
      </c>
      <c r="C6907" s="2">
        <v>5</v>
      </c>
      <c r="D6907" t="str">
        <f t="shared" si="107"/>
        <v>CA-2017-142671_OFF-BI-10004099</v>
      </c>
      <c r="E6907" t="str">
        <f>IF(COUNTIF(data2!$D:$D,D6907)=0,"Missing in Data2","Present")</f>
        <v>Present</v>
      </c>
    </row>
    <row r="6908" spans="1:5" x14ac:dyDescent="0.25">
      <c r="A6908" s="2" t="s">
        <v>5356</v>
      </c>
      <c r="B6908" s="2" t="s">
        <v>1225</v>
      </c>
      <c r="C6908" s="2">
        <v>3</v>
      </c>
      <c r="D6908" t="str">
        <f t="shared" si="107"/>
        <v>CA-2017-142776_OFF-BI-10002012</v>
      </c>
      <c r="E6908" t="str">
        <f>IF(COUNTIF(data2!$D:$D,D6908)=0,"Missing in Data2","Present")</f>
        <v>Present</v>
      </c>
    </row>
    <row r="6909" spans="1:5" x14ac:dyDescent="0.25">
      <c r="A6909" s="2" t="s">
        <v>5356</v>
      </c>
      <c r="B6909" s="2" t="s">
        <v>1010</v>
      </c>
      <c r="C6909" s="2">
        <v>1</v>
      </c>
      <c r="D6909" t="str">
        <f t="shared" si="107"/>
        <v>CA-2017-142776_OFF-EN-10003160</v>
      </c>
      <c r="E6909" t="str">
        <f>IF(COUNTIF(data2!$D:$D,D6909)=0,"Missing in Data2","Present")</f>
        <v>Present</v>
      </c>
    </row>
    <row r="6910" spans="1:5" x14ac:dyDescent="0.25">
      <c r="A6910" s="2" t="s">
        <v>5357</v>
      </c>
      <c r="B6910" s="2" t="s">
        <v>2000</v>
      </c>
      <c r="C6910" s="2">
        <v>6</v>
      </c>
      <c r="D6910" t="str">
        <f t="shared" si="107"/>
        <v>CA-2017-142867_OFF-BI-10003166</v>
      </c>
      <c r="E6910" t="str">
        <f>IF(COUNTIF(data2!$D:$D,D6910)=0,"Missing in Data2","Present")</f>
        <v>Missing in Data2</v>
      </c>
    </row>
    <row r="6911" spans="1:5" x14ac:dyDescent="0.25">
      <c r="A6911" s="2" t="s">
        <v>5357</v>
      </c>
      <c r="B6911" s="2" t="s">
        <v>837</v>
      </c>
      <c r="C6911" s="2">
        <v>3</v>
      </c>
      <c r="D6911" t="str">
        <f t="shared" si="107"/>
        <v>CA-2017-142867_OFF-PA-10004610</v>
      </c>
      <c r="E6911" t="str">
        <f>IF(COUNTIF(data2!$D:$D,D6911)=0,"Missing in Data2","Present")</f>
        <v>Present</v>
      </c>
    </row>
    <row r="6912" spans="1:5" x14ac:dyDescent="0.25">
      <c r="A6912" s="2" t="s">
        <v>5358</v>
      </c>
      <c r="B6912" s="2" t="s">
        <v>597</v>
      </c>
      <c r="C6912" s="2">
        <v>1</v>
      </c>
      <c r="D6912" t="str">
        <f t="shared" si="107"/>
        <v>CA-2017-142888_FUR-TA-10004767</v>
      </c>
      <c r="E6912" t="str">
        <f>IF(COUNTIF(data2!$D:$D,D6912)=0,"Missing in Data2","Present")</f>
        <v>Missing in Data2</v>
      </c>
    </row>
    <row r="6913" spans="1:5" x14ac:dyDescent="0.25">
      <c r="A6913" s="2" t="s">
        <v>5359</v>
      </c>
      <c r="B6913" s="2" t="s">
        <v>770</v>
      </c>
      <c r="C6913" s="2">
        <v>2</v>
      </c>
      <c r="D6913" t="str">
        <f t="shared" si="107"/>
        <v>CA-2017-142909_FUR-TA-10003008</v>
      </c>
      <c r="E6913" t="str">
        <f>IF(COUNTIF(data2!$D:$D,D6913)=0,"Missing in Data2","Present")</f>
        <v>Present</v>
      </c>
    </row>
    <row r="6914" spans="1:5" x14ac:dyDescent="0.25">
      <c r="A6914" s="2" t="s">
        <v>5360</v>
      </c>
      <c r="B6914" s="2" t="s">
        <v>513</v>
      </c>
      <c r="C6914" s="2">
        <v>3</v>
      </c>
      <c r="D6914" t="str">
        <f t="shared" si="107"/>
        <v>CA-2017-143021_FUR-TA-10001676</v>
      </c>
      <c r="E6914" t="str">
        <f>IF(COUNTIF(data2!$D:$D,D6914)=0,"Missing in Data2","Present")</f>
        <v>Present</v>
      </c>
    </row>
    <row r="6915" spans="1:5" x14ac:dyDescent="0.25">
      <c r="A6915" s="2" t="s">
        <v>5360</v>
      </c>
      <c r="B6915" s="2" t="s">
        <v>626</v>
      </c>
      <c r="C6915" s="2">
        <v>7</v>
      </c>
      <c r="D6915" t="str">
        <f t="shared" ref="D6915:D6978" si="108">A6915&amp;"_"&amp;B6915</f>
        <v>CA-2017-143021_OFF-BI-10001628</v>
      </c>
      <c r="E6915" t="str">
        <f>IF(COUNTIF(data2!$D:$D,D6915)=0,"Missing in Data2","Present")</f>
        <v>Present</v>
      </c>
    </row>
    <row r="6916" spans="1:5" x14ac:dyDescent="0.25">
      <c r="A6916" s="2" t="s">
        <v>5361</v>
      </c>
      <c r="B6916" s="2" t="s">
        <v>3457</v>
      </c>
      <c r="C6916" s="2">
        <v>4</v>
      </c>
      <c r="D6916" t="str">
        <f t="shared" si="108"/>
        <v>CA-2017-143035_FUR-FU-10001934</v>
      </c>
      <c r="E6916" t="str">
        <f>IF(COUNTIF(data2!$D:$D,D6916)=0,"Missing in Data2","Present")</f>
        <v>Present</v>
      </c>
    </row>
    <row r="6917" spans="1:5" x14ac:dyDescent="0.25">
      <c r="A6917" s="2" t="s">
        <v>5361</v>
      </c>
      <c r="B6917" s="2" t="s">
        <v>4780</v>
      </c>
      <c r="C6917" s="2">
        <v>3</v>
      </c>
      <c r="D6917" t="str">
        <f t="shared" si="108"/>
        <v>CA-2017-143035_OFF-AR-10001130</v>
      </c>
      <c r="E6917" t="str">
        <f>IF(COUNTIF(data2!$D:$D,D6917)=0,"Missing in Data2","Present")</f>
        <v>Present</v>
      </c>
    </row>
    <row r="6918" spans="1:5" x14ac:dyDescent="0.25">
      <c r="A6918" s="2" t="s">
        <v>5361</v>
      </c>
      <c r="B6918" s="2" t="s">
        <v>1053</v>
      </c>
      <c r="C6918" s="2">
        <v>3</v>
      </c>
      <c r="D6918" t="str">
        <f t="shared" si="108"/>
        <v>CA-2017-143035_TEC-AC-10002049</v>
      </c>
      <c r="E6918" t="str">
        <f>IF(COUNTIF(data2!$D:$D,D6918)=0,"Missing in Data2","Present")</f>
        <v>Present</v>
      </c>
    </row>
    <row r="6919" spans="1:5" x14ac:dyDescent="0.25">
      <c r="A6919" s="2" t="s">
        <v>5362</v>
      </c>
      <c r="B6919" s="2" t="s">
        <v>1768</v>
      </c>
      <c r="C6919" s="2">
        <v>2</v>
      </c>
      <c r="D6919" t="str">
        <f t="shared" si="108"/>
        <v>CA-2017-143063_FUR-FU-10003708</v>
      </c>
      <c r="E6919" t="str">
        <f>IF(COUNTIF(data2!$D:$D,D6919)=0,"Missing in Data2","Present")</f>
        <v>Missing in Data2</v>
      </c>
    </row>
    <row r="6920" spans="1:5" x14ac:dyDescent="0.25">
      <c r="A6920" s="2" t="s">
        <v>5362</v>
      </c>
      <c r="B6920" s="2" t="s">
        <v>860</v>
      </c>
      <c r="C6920" s="2">
        <v>6</v>
      </c>
      <c r="D6920" t="str">
        <f t="shared" si="108"/>
        <v>CA-2017-143063_OFF-EN-10003134</v>
      </c>
      <c r="E6920" t="str">
        <f>IF(COUNTIF(data2!$D:$D,D6920)=0,"Missing in Data2","Present")</f>
        <v>Present</v>
      </c>
    </row>
    <row r="6921" spans="1:5" x14ac:dyDescent="0.25">
      <c r="A6921" s="2" t="s">
        <v>5362</v>
      </c>
      <c r="B6921" s="2" t="s">
        <v>998</v>
      </c>
      <c r="C6921" s="2">
        <v>9</v>
      </c>
      <c r="D6921" t="str">
        <f t="shared" si="108"/>
        <v>CA-2017-143063_TEC-PH-10003645</v>
      </c>
      <c r="E6921" t="str">
        <f>IF(COUNTIF(data2!$D:$D,D6921)=0,"Missing in Data2","Present")</f>
        <v>Present</v>
      </c>
    </row>
    <row r="6922" spans="1:5" x14ac:dyDescent="0.25">
      <c r="A6922" s="2" t="s">
        <v>5363</v>
      </c>
      <c r="B6922" s="2" t="s">
        <v>5364</v>
      </c>
      <c r="C6922" s="2">
        <v>5</v>
      </c>
      <c r="D6922" t="str">
        <f t="shared" si="108"/>
        <v>CA-2017-143084_OFF-AR-10002766</v>
      </c>
      <c r="E6922" t="str">
        <f>IF(COUNTIF(data2!$D:$D,D6922)=0,"Missing in Data2","Present")</f>
        <v>Present</v>
      </c>
    </row>
    <row r="6923" spans="1:5" x14ac:dyDescent="0.25">
      <c r="A6923" s="2" t="s">
        <v>5365</v>
      </c>
      <c r="B6923" s="2" t="s">
        <v>1497</v>
      </c>
      <c r="C6923" s="2">
        <v>2</v>
      </c>
      <c r="D6923" t="str">
        <f t="shared" si="108"/>
        <v>CA-2017-143112_FUR-CH-10002880</v>
      </c>
      <c r="E6923" t="str">
        <f>IF(COUNTIF(data2!$D:$D,D6923)=0,"Missing in Data2","Present")</f>
        <v>Present</v>
      </c>
    </row>
    <row r="6924" spans="1:5" x14ac:dyDescent="0.25">
      <c r="A6924" s="2" t="s">
        <v>5365</v>
      </c>
      <c r="B6924" s="2" t="s">
        <v>5366</v>
      </c>
      <c r="C6924" s="2">
        <v>4</v>
      </c>
      <c r="D6924" t="str">
        <f t="shared" si="108"/>
        <v>CA-2017-143112_TEC-MA-10001047</v>
      </c>
      <c r="E6924" t="str">
        <f>IF(COUNTIF(data2!$D:$D,D6924)=0,"Missing in Data2","Present")</f>
        <v>Present</v>
      </c>
    </row>
    <row r="6925" spans="1:5" x14ac:dyDescent="0.25">
      <c r="A6925" s="2" t="s">
        <v>5367</v>
      </c>
      <c r="B6925" s="2" t="s">
        <v>841</v>
      </c>
      <c r="C6925" s="2">
        <v>2</v>
      </c>
      <c r="D6925" t="str">
        <f t="shared" si="108"/>
        <v>CA-2017-143126_FUR-TA-10002958</v>
      </c>
      <c r="E6925" t="str">
        <f>IF(COUNTIF(data2!$D:$D,D6925)=0,"Missing in Data2","Present")</f>
        <v>Present</v>
      </c>
    </row>
    <row r="6926" spans="1:5" x14ac:dyDescent="0.25">
      <c r="A6926" s="2" t="s">
        <v>5368</v>
      </c>
      <c r="B6926" s="2" t="s">
        <v>1727</v>
      </c>
      <c r="C6926" s="2">
        <v>3</v>
      </c>
      <c r="D6926" t="str">
        <f t="shared" si="108"/>
        <v>CA-2017-143217_OFF-BI-10002949</v>
      </c>
      <c r="E6926" t="str">
        <f>IF(COUNTIF(data2!$D:$D,D6926)=0,"Missing in Data2","Present")</f>
        <v>Present</v>
      </c>
    </row>
    <row r="6927" spans="1:5" x14ac:dyDescent="0.25">
      <c r="A6927" s="2" t="s">
        <v>5369</v>
      </c>
      <c r="B6927" s="2" t="s">
        <v>596</v>
      </c>
      <c r="C6927" s="2">
        <v>3</v>
      </c>
      <c r="D6927" t="str">
        <f t="shared" si="108"/>
        <v>CA-2017-143245_FUR-CH-10000155</v>
      </c>
      <c r="E6927" t="str">
        <f>IF(COUNTIF(data2!$D:$D,D6927)=0,"Missing in Data2","Present")</f>
        <v>Present</v>
      </c>
    </row>
    <row r="6928" spans="1:5" x14ac:dyDescent="0.25">
      <c r="A6928" s="2" t="s">
        <v>5369</v>
      </c>
      <c r="B6928" s="2" t="s">
        <v>1431</v>
      </c>
      <c r="C6928" s="2">
        <v>3</v>
      </c>
      <c r="D6928" t="str">
        <f t="shared" si="108"/>
        <v>CA-2017-143245_OFF-PA-10001972</v>
      </c>
      <c r="E6928" t="str">
        <f>IF(COUNTIF(data2!$D:$D,D6928)=0,"Missing in Data2","Present")</f>
        <v>Present</v>
      </c>
    </row>
    <row r="6929" spans="1:5" x14ac:dyDescent="0.25">
      <c r="A6929" s="2" t="s">
        <v>5370</v>
      </c>
      <c r="B6929" s="2" t="s">
        <v>1692</v>
      </c>
      <c r="C6929" s="2">
        <v>5</v>
      </c>
      <c r="D6929" t="str">
        <f t="shared" si="108"/>
        <v>CA-2017-143252_FUR-FU-10001057</v>
      </c>
      <c r="E6929" t="str">
        <f>IF(COUNTIF(data2!$D:$D,D6929)=0,"Missing in Data2","Present")</f>
        <v>Present</v>
      </c>
    </row>
    <row r="6930" spans="1:5" x14ac:dyDescent="0.25">
      <c r="A6930" s="2" t="s">
        <v>5370</v>
      </c>
      <c r="B6930" s="2" t="s">
        <v>1266</v>
      </c>
      <c r="C6930" s="2">
        <v>3</v>
      </c>
      <c r="D6930" t="str">
        <f t="shared" si="108"/>
        <v>CA-2017-143252_TEC-AC-10002331</v>
      </c>
      <c r="E6930" t="str">
        <f>IF(COUNTIF(data2!$D:$D,D6930)=0,"Missing in Data2","Present")</f>
        <v>Present</v>
      </c>
    </row>
    <row r="6931" spans="1:5" x14ac:dyDescent="0.25">
      <c r="A6931" s="2" t="s">
        <v>5371</v>
      </c>
      <c r="B6931" s="2" t="s">
        <v>3329</v>
      </c>
      <c r="C6931" s="2">
        <v>4</v>
      </c>
      <c r="D6931" t="str">
        <f t="shared" si="108"/>
        <v>CA-2017-143259_FUR-BO-10003441</v>
      </c>
      <c r="E6931" t="str">
        <f>IF(COUNTIF(data2!$D:$D,D6931)=0,"Missing in Data2","Present")</f>
        <v>Present</v>
      </c>
    </row>
    <row r="6932" spans="1:5" x14ac:dyDescent="0.25">
      <c r="A6932" s="2" t="s">
        <v>5371</v>
      </c>
      <c r="B6932" s="2" t="s">
        <v>229</v>
      </c>
      <c r="C6932" s="2">
        <v>3</v>
      </c>
      <c r="D6932" t="str">
        <f t="shared" si="108"/>
        <v>CA-2017-143259_OFF-BI-10003684</v>
      </c>
      <c r="E6932" t="str">
        <f>IF(COUNTIF(data2!$D:$D,D6932)=0,"Missing in Data2","Present")</f>
        <v>Present</v>
      </c>
    </row>
    <row r="6933" spans="1:5" x14ac:dyDescent="0.25">
      <c r="A6933" s="2" t="s">
        <v>5371</v>
      </c>
      <c r="B6933" s="2" t="s">
        <v>2344</v>
      </c>
      <c r="C6933" s="2">
        <v>7</v>
      </c>
      <c r="D6933" t="str">
        <f t="shared" si="108"/>
        <v>CA-2017-143259_TEC-PH-10004774</v>
      </c>
      <c r="E6933" t="str">
        <f>IF(COUNTIF(data2!$D:$D,D6933)=0,"Missing in Data2","Present")</f>
        <v>Present</v>
      </c>
    </row>
    <row r="6934" spans="1:5" x14ac:dyDescent="0.25">
      <c r="A6934" s="2" t="s">
        <v>5372</v>
      </c>
      <c r="B6934" s="2" t="s">
        <v>2493</v>
      </c>
      <c r="C6934" s="2">
        <v>2</v>
      </c>
      <c r="D6934" t="str">
        <f t="shared" si="108"/>
        <v>CA-2017-143294_OFF-PA-10000743</v>
      </c>
      <c r="E6934" t="str">
        <f>IF(COUNTIF(data2!$D:$D,D6934)=0,"Missing in Data2","Present")</f>
        <v>Present</v>
      </c>
    </row>
    <row r="6935" spans="1:5" x14ac:dyDescent="0.25">
      <c r="A6935" s="2" t="s">
        <v>5373</v>
      </c>
      <c r="B6935" s="2" t="s">
        <v>590</v>
      </c>
      <c r="C6935" s="2">
        <v>3</v>
      </c>
      <c r="D6935" t="str">
        <f t="shared" si="108"/>
        <v>CA-2017-143329_FUR-FU-10000629</v>
      </c>
      <c r="E6935" t="str">
        <f>IF(COUNTIF(data2!$D:$D,D6935)=0,"Missing in Data2","Present")</f>
        <v>Present</v>
      </c>
    </row>
    <row r="6936" spans="1:5" x14ac:dyDescent="0.25">
      <c r="A6936" s="2" t="s">
        <v>5374</v>
      </c>
      <c r="B6936" s="2" t="s">
        <v>396</v>
      </c>
      <c r="C6936" s="2">
        <v>5</v>
      </c>
      <c r="D6936" t="str">
        <f t="shared" si="108"/>
        <v>CA-2017-143343_OFF-AR-10002375</v>
      </c>
      <c r="E6936" t="str">
        <f>IF(COUNTIF(data2!$D:$D,D6936)=0,"Missing in Data2","Present")</f>
        <v>Present</v>
      </c>
    </row>
    <row r="6937" spans="1:5" x14ac:dyDescent="0.25">
      <c r="A6937" s="2" t="s">
        <v>5375</v>
      </c>
      <c r="B6937" s="2" t="s">
        <v>1343</v>
      </c>
      <c r="C6937" s="2">
        <v>2</v>
      </c>
      <c r="D6937" t="str">
        <f t="shared" si="108"/>
        <v>CA-2017-143378_FUR-BO-10001972</v>
      </c>
      <c r="E6937" t="str">
        <f>IF(COUNTIF(data2!$D:$D,D6937)=0,"Missing in Data2","Present")</f>
        <v>Present</v>
      </c>
    </row>
    <row r="6938" spans="1:5" x14ac:dyDescent="0.25">
      <c r="A6938" s="2" t="s">
        <v>5375</v>
      </c>
      <c r="B6938" s="2" t="s">
        <v>226</v>
      </c>
      <c r="C6938" s="2">
        <v>8</v>
      </c>
      <c r="D6938" t="str">
        <f t="shared" si="108"/>
        <v>CA-2017-143378_FUR-FU-10004864</v>
      </c>
      <c r="E6938" t="str">
        <f>IF(COUNTIF(data2!$D:$D,D6938)=0,"Missing in Data2","Present")</f>
        <v>Present</v>
      </c>
    </row>
    <row r="6939" spans="1:5" x14ac:dyDescent="0.25">
      <c r="A6939" s="2" t="s">
        <v>5375</v>
      </c>
      <c r="B6939" s="2" t="s">
        <v>1819</v>
      </c>
      <c r="C6939" s="2">
        <v>3</v>
      </c>
      <c r="D6939" t="str">
        <f t="shared" si="108"/>
        <v>CA-2017-143378_OFF-AR-10001915</v>
      </c>
      <c r="E6939" t="str">
        <f>IF(COUNTIF(data2!$D:$D,D6939)=0,"Missing in Data2","Present")</f>
        <v>Present</v>
      </c>
    </row>
    <row r="6940" spans="1:5" x14ac:dyDescent="0.25">
      <c r="A6940" s="2" t="s">
        <v>5375</v>
      </c>
      <c r="B6940" s="2" t="s">
        <v>35</v>
      </c>
      <c r="C6940" s="2">
        <v>3</v>
      </c>
      <c r="D6940" t="str">
        <f t="shared" si="108"/>
        <v>CA-2017-143378_TEC-PH-10001425</v>
      </c>
      <c r="E6940" t="str">
        <f>IF(COUNTIF(data2!$D:$D,D6940)=0,"Missing in Data2","Present")</f>
        <v>Present</v>
      </c>
    </row>
    <row r="6941" spans="1:5" x14ac:dyDescent="0.25">
      <c r="A6941" s="2" t="s">
        <v>5376</v>
      </c>
      <c r="B6941" s="2" t="s">
        <v>3622</v>
      </c>
      <c r="C6941" s="2">
        <v>4</v>
      </c>
      <c r="D6941" t="str">
        <f t="shared" si="108"/>
        <v>CA-2017-143434_FUR-FU-10002597</v>
      </c>
      <c r="E6941" t="str">
        <f>IF(COUNTIF(data2!$D:$D,D6941)=0,"Missing in Data2","Present")</f>
        <v>Present</v>
      </c>
    </row>
    <row r="6942" spans="1:5" x14ac:dyDescent="0.25">
      <c r="A6942" s="2" t="s">
        <v>5377</v>
      </c>
      <c r="B6942" s="2" t="s">
        <v>2683</v>
      </c>
      <c r="C6942" s="2">
        <v>2</v>
      </c>
      <c r="D6942" t="str">
        <f t="shared" si="108"/>
        <v>CA-2017-143455_OFF-PA-10004451</v>
      </c>
      <c r="E6942" t="str">
        <f>IF(COUNTIF(data2!$D:$D,D6942)=0,"Missing in Data2","Present")</f>
        <v>Present</v>
      </c>
    </row>
    <row r="6943" spans="1:5" x14ac:dyDescent="0.25">
      <c r="A6943" s="2" t="s">
        <v>5378</v>
      </c>
      <c r="B6943" s="2" t="s">
        <v>297</v>
      </c>
      <c r="C6943" s="2">
        <v>4</v>
      </c>
      <c r="D6943" t="str">
        <f t="shared" si="108"/>
        <v>CA-2017-143567_FUR-CH-10000454</v>
      </c>
      <c r="E6943" t="str">
        <f>IF(COUNTIF(data2!$D:$D,D6943)=0,"Missing in Data2","Present")</f>
        <v>Present</v>
      </c>
    </row>
    <row r="6944" spans="1:5" x14ac:dyDescent="0.25">
      <c r="A6944" s="2" t="s">
        <v>5378</v>
      </c>
      <c r="B6944" s="2" t="s">
        <v>307</v>
      </c>
      <c r="C6944" s="2">
        <v>2</v>
      </c>
      <c r="D6944" t="str">
        <f t="shared" si="108"/>
        <v>CA-2017-143567_OFF-EN-10004846</v>
      </c>
      <c r="E6944" t="str">
        <f>IF(COUNTIF(data2!$D:$D,D6944)=0,"Missing in Data2","Present")</f>
        <v>Present</v>
      </c>
    </row>
    <row r="6945" spans="1:5" x14ac:dyDescent="0.25">
      <c r="A6945" s="2" t="s">
        <v>5378</v>
      </c>
      <c r="B6945" s="2" t="s">
        <v>3335</v>
      </c>
      <c r="C6945" s="2">
        <v>4</v>
      </c>
      <c r="D6945" t="str">
        <f t="shared" si="108"/>
        <v>CA-2017-143567_OFF-ST-10001580</v>
      </c>
      <c r="E6945" t="str">
        <f>IF(COUNTIF(data2!$D:$D,D6945)=0,"Missing in Data2","Present")</f>
        <v>Present</v>
      </c>
    </row>
    <row r="6946" spans="1:5" x14ac:dyDescent="0.25">
      <c r="A6946" s="2" t="s">
        <v>5378</v>
      </c>
      <c r="B6946" s="2" t="s">
        <v>2603</v>
      </c>
      <c r="C6946" s="2">
        <v>9</v>
      </c>
      <c r="D6946" t="str">
        <f t="shared" si="108"/>
        <v>CA-2017-143567_TEC-AC-10004145</v>
      </c>
      <c r="E6946" t="str">
        <f>IF(COUNTIF(data2!$D:$D,D6946)=0,"Missing in Data2","Present")</f>
        <v>Present</v>
      </c>
    </row>
    <row r="6947" spans="1:5" x14ac:dyDescent="0.25">
      <c r="A6947" s="2" t="s">
        <v>5379</v>
      </c>
      <c r="B6947" s="2" t="s">
        <v>2180</v>
      </c>
      <c r="C6947" s="2">
        <v>9</v>
      </c>
      <c r="D6947" t="str">
        <f t="shared" si="108"/>
        <v>CA-2017-143574_FUR-BO-10002598</v>
      </c>
      <c r="E6947" t="str">
        <f>IF(COUNTIF(data2!$D:$D,D6947)=0,"Missing in Data2","Present")</f>
        <v>Present</v>
      </c>
    </row>
    <row r="6948" spans="1:5" x14ac:dyDescent="0.25">
      <c r="A6948" s="2" t="s">
        <v>5379</v>
      </c>
      <c r="B6948" s="2" t="s">
        <v>3218</v>
      </c>
      <c r="C6948" s="2">
        <v>2</v>
      </c>
      <c r="D6948" t="str">
        <f t="shared" si="108"/>
        <v>CA-2017-143574_FUR-FU-10003976</v>
      </c>
      <c r="E6948" t="str">
        <f>IF(COUNTIF(data2!$D:$D,D6948)=0,"Missing in Data2","Present")</f>
        <v>Present</v>
      </c>
    </row>
    <row r="6949" spans="1:5" x14ac:dyDescent="0.25">
      <c r="A6949" s="2" t="s">
        <v>5379</v>
      </c>
      <c r="B6949" s="2" t="s">
        <v>803</v>
      </c>
      <c r="C6949" s="2">
        <v>3</v>
      </c>
      <c r="D6949" t="str">
        <f t="shared" si="108"/>
        <v>CA-2017-143574_OFF-SU-10002537</v>
      </c>
      <c r="E6949" t="str">
        <f>IF(COUNTIF(data2!$D:$D,D6949)=0,"Missing in Data2","Present")</f>
        <v>Present</v>
      </c>
    </row>
    <row r="6950" spans="1:5" x14ac:dyDescent="0.25">
      <c r="A6950" s="2" t="s">
        <v>5380</v>
      </c>
      <c r="B6950" s="2" t="s">
        <v>2546</v>
      </c>
      <c r="C6950" s="2">
        <v>2</v>
      </c>
      <c r="D6950" t="str">
        <f t="shared" si="108"/>
        <v>CA-2017-143651_OFF-AR-10001446</v>
      </c>
      <c r="E6950" t="str">
        <f>IF(COUNTIF(data2!$D:$D,D6950)=0,"Missing in Data2","Present")</f>
        <v>Missing in Data2</v>
      </c>
    </row>
    <row r="6951" spans="1:5" x14ac:dyDescent="0.25">
      <c r="A6951" s="2" t="s">
        <v>5381</v>
      </c>
      <c r="B6951" s="2" t="s">
        <v>4596</v>
      </c>
      <c r="C6951" s="2">
        <v>5</v>
      </c>
      <c r="D6951" t="str">
        <f t="shared" si="108"/>
        <v>CA-2017-143658_OFF-AR-10002818</v>
      </c>
      <c r="E6951" t="str">
        <f>IF(COUNTIF(data2!$D:$D,D6951)=0,"Missing in Data2","Present")</f>
        <v>Present</v>
      </c>
    </row>
    <row r="6952" spans="1:5" x14ac:dyDescent="0.25">
      <c r="A6952" s="2" t="s">
        <v>5382</v>
      </c>
      <c r="B6952" s="2" t="s">
        <v>3363</v>
      </c>
      <c r="C6952" s="2">
        <v>8</v>
      </c>
      <c r="D6952" t="str">
        <f t="shared" si="108"/>
        <v>CA-2017-143665_OFF-LA-10002034</v>
      </c>
      <c r="E6952" t="str">
        <f>IF(COUNTIF(data2!$D:$D,D6952)=0,"Missing in Data2","Present")</f>
        <v>Present</v>
      </c>
    </row>
    <row r="6953" spans="1:5" x14ac:dyDescent="0.25">
      <c r="A6953" s="2" t="s">
        <v>5382</v>
      </c>
      <c r="B6953" s="2" t="s">
        <v>4498</v>
      </c>
      <c r="C6953" s="2">
        <v>3</v>
      </c>
      <c r="D6953" t="str">
        <f t="shared" si="108"/>
        <v>CA-2017-143665_OFF-PA-10003673</v>
      </c>
      <c r="E6953" t="str">
        <f>IF(COUNTIF(data2!$D:$D,D6953)=0,"Missing in Data2","Present")</f>
        <v>Present</v>
      </c>
    </row>
    <row r="6954" spans="1:5" x14ac:dyDescent="0.25">
      <c r="A6954" s="2" t="s">
        <v>5383</v>
      </c>
      <c r="B6954" s="2" t="s">
        <v>1988</v>
      </c>
      <c r="C6954" s="2">
        <v>2</v>
      </c>
      <c r="D6954" t="str">
        <f t="shared" si="108"/>
        <v>CA-2017-143686_FUR-FU-10000794</v>
      </c>
      <c r="E6954" t="str">
        <f>IF(COUNTIF(data2!$D:$D,D6954)=0,"Missing in Data2","Present")</f>
        <v>Present</v>
      </c>
    </row>
    <row r="6955" spans="1:5" x14ac:dyDescent="0.25">
      <c r="A6955" s="2" t="s">
        <v>5384</v>
      </c>
      <c r="B6955" s="2" t="s">
        <v>658</v>
      </c>
      <c r="C6955" s="2">
        <v>2</v>
      </c>
      <c r="D6955" t="str">
        <f t="shared" si="108"/>
        <v>CA-2017-143756_FUR-CH-10001854</v>
      </c>
      <c r="E6955" t="str">
        <f>IF(COUNTIF(data2!$D:$D,D6955)=0,"Missing in Data2","Present")</f>
        <v>Present</v>
      </c>
    </row>
    <row r="6956" spans="1:5" x14ac:dyDescent="0.25">
      <c r="A6956" s="2" t="s">
        <v>5385</v>
      </c>
      <c r="B6956" s="2" t="s">
        <v>263</v>
      </c>
      <c r="C6956" s="2">
        <v>2</v>
      </c>
      <c r="D6956" t="str">
        <f t="shared" si="108"/>
        <v>CA-2017-143798_FUR-FU-10004306</v>
      </c>
      <c r="E6956" t="str">
        <f>IF(COUNTIF(data2!$D:$D,D6956)=0,"Missing in Data2","Present")</f>
        <v>Present</v>
      </c>
    </row>
    <row r="6957" spans="1:5" x14ac:dyDescent="0.25">
      <c r="A6957" s="2" t="s">
        <v>5385</v>
      </c>
      <c r="B6957" s="2" t="s">
        <v>320</v>
      </c>
      <c r="C6957" s="2">
        <v>2</v>
      </c>
      <c r="D6957" t="str">
        <f t="shared" si="108"/>
        <v>CA-2017-143798_OFF-PA-10000788</v>
      </c>
      <c r="E6957" t="str">
        <f>IF(COUNTIF(data2!$D:$D,D6957)=0,"Missing in Data2","Present")</f>
        <v>Present</v>
      </c>
    </row>
    <row r="6958" spans="1:5" x14ac:dyDescent="0.25">
      <c r="A6958" s="2" t="s">
        <v>5386</v>
      </c>
      <c r="B6958" s="2" t="s">
        <v>643</v>
      </c>
      <c r="C6958" s="2">
        <v>2</v>
      </c>
      <c r="D6958" t="str">
        <f t="shared" si="108"/>
        <v>CA-2017-143861_FUR-FU-10001546</v>
      </c>
      <c r="E6958" t="str">
        <f>IF(COUNTIF(data2!$D:$D,D6958)=0,"Missing in Data2","Present")</f>
        <v>Present</v>
      </c>
    </row>
    <row r="6959" spans="1:5" x14ac:dyDescent="0.25">
      <c r="A6959" s="2" t="s">
        <v>5387</v>
      </c>
      <c r="B6959" s="2" t="s">
        <v>1225</v>
      </c>
      <c r="C6959" s="2">
        <v>9</v>
      </c>
      <c r="D6959" t="str">
        <f t="shared" si="108"/>
        <v>CA-2017-144064_OFF-BI-10002012</v>
      </c>
      <c r="E6959" t="str">
        <f>IF(COUNTIF(data2!$D:$D,D6959)=0,"Missing in Data2","Present")</f>
        <v>Present</v>
      </c>
    </row>
    <row r="6960" spans="1:5" x14ac:dyDescent="0.25">
      <c r="A6960" s="2" t="s">
        <v>5387</v>
      </c>
      <c r="B6960" s="2" t="s">
        <v>2582</v>
      </c>
      <c r="C6960" s="2">
        <v>4</v>
      </c>
      <c r="D6960" t="str">
        <f t="shared" si="108"/>
        <v>CA-2017-144064_OFF-LA-10004544</v>
      </c>
      <c r="E6960" t="str">
        <f>IF(COUNTIF(data2!$D:$D,D6960)=0,"Missing in Data2","Present")</f>
        <v>Present</v>
      </c>
    </row>
    <row r="6961" spans="1:5" x14ac:dyDescent="0.25">
      <c r="A6961" s="2" t="s">
        <v>5387</v>
      </c>
      <c r="B6961" s="2" t="s">
        <v>1772</v>
      </c>
      <c r="C6961" s="2">
        <v>2</v>
      </c>
      <c r="D6961" t="str">
        <f t="shared" si="108"/>
        <v>CA-2017-144064_OFF-ST-10004507</v>
      </c>
      <c r="E6961" t="str">
        <f>IF(COUNTIF(data2!$D:$D,D6961)=0,"Missing in Data2","Present")</f>
        <v>Present</v>
      </c>
    </row>
    <row r="6962" spans="1:5" x14ac:dyDescent="0.25">
      <c r="A6962" s="2" t="s">
        <v>5388</v>
      </c>
      <c r="B6962" s="2" t="s">
        <v>4403</v>
      </c>
      <c r="C6962" s="2">
        <v>2</v>
      </c>
      <c r="D6962" t="str">
        <f t="shared" si="108"/>
        <v>CA-2017-144113_OFF-EN-10001141</v>
      </c>
      <c r="E6962" t="str">
        <f>IF(COUNTIF(data2!$D:$D,D6962)=0,"Missing in Data2","Present")</f>
        <v>Present</v>
      </c>
    </row>
    <row r="6963" spans="1:5" x14ac:dyDescent="0.25">
      <c r="A6963" s="2" t="s">
        <v>5388</v>
      </c>
      <c r="B6963" s="2" t="s">
        <v>777</v>
      </c>
      <c r="C6963" s="2">
        <v>1</v>
      </c>
      <c r="D6963" t="str">
        <f t="shared" si="108"/>
        <v>CA-2017-144113_TEC-PH-10002170</v>
      </c>
      <c r="E6963" t="str">
        <f>IF(COUNTIF(data2!$D:$D,D6963)=0,"Missing in Data2","Present")</f>
        <v>Present</v>
      </c>
    </row>
    <row r="6964" spans="1:5" x14ac:dyDescent="0.25">
      <c r="A6964" s="2" t="s">
        <v>5389</v>
      </c>
      <c r="B6964" s="2" t="s">
        <v>1510</v>
      </c>
      <c r="C6964" s="2">
        <v>3</v>
      </c>
      <c r="D6964" t="str">
        <f t="shared" si="108"/>
        <v>CA-2017-144225_OFF-PA-10000062</v>
      </c>
      <c r="E6964" t="str">
        <f>IF(COUNTIF(data2!$D:$D,D6964)=0,"Missing in Data2","Present")</f>
        <v>Present</v>
      </c>
    </row>
    <row r="6965" spans="1:5" x14ac:dyDescent="0.25">
      <c r="A6965" s="2" t="s">
        <v>5390</v>
      </c>
      <c r="B6965" s="2" t="s">
        <v>308</v>
      </c>
      <c r="C6965" s="2">
        <v>4</v>
      </c>
      <c r="D6965" t="str">
        <f t="shared" si="108"/>
        <v>CA-2017-144365_OFF-FA-10000735</v>
      </c>
      <c r="E6965" t="str">
        <f>IF(COUNTIF(data2!$D:$D,D6965)=0,"Missing in Data2","Present")</f>
        <v>Present</v>
      </c>
    </row>
    <row r="6966" spans="1:5" x14ac:dyDescent="0.25">
      <c r="A6966" s="2" t="s">
        <v>5391</v>
      </c>
      <c r="B6966" s="2" t="s">
        <v>269</v>
      </c>
      <c r="C6966" s="2">
        <v>5</v>
      </c>
      <c r="D6966" t="str">
        <f t="shared" si="108"/>
        <v>CA-2017-144456_OFF-ST-10001321</v>
      </c>
      <c r="E6966" t="str">
        <f>IF(COUNTIF(data2!$D:$D,D6966)=0,"Missing in Data2","Present")</f>
        <v>Present</v>
      </c>
    </row>
    <row r="6967" spans="1:5" x14ac:dyDescent="0.25">
      <c r="A6967" s="2" t="s">
        <v>5391</v>
      </c>
      <c r="B6967" s="2" t="s">
        <v>1092</v>
      </c>
      <c r="C6967" s="2">
        <v>3</v>
      </c>
      <c r="D6967" t="str">
        <f t="shared" si="108"/>
        <v>CA-2017-144456_TEC-PH-10001750</v>
      </c>
      <c r="E6967" t="str">
        <f>IF(COUNTIF(data2!$D:$D,D6967)=0,"Missing in Data2","Present")</f>
        <v>Present</v>
      </c>
    </row>
    <row r="6968" spans="1:5" x14ac:dyDescent="0.25">
      <c r="A6968" s="2" t="s">
        <v>5392</v>
      </c>
      <c r="B6968" s="2" t="s">
        <v>2776</v>
      </c>
      <c r="C6968" s="2">
        <v>11</v>
      </c>
      <c r="D6968" t="str">
        <f t="shared" si="108"/>
        <v>CA-2017-144463_FUR-FU-10001215</v>
      </c>
      <c r="E6968" t="str">
        <f>IF(COUNTIF(data2!$D:$D,D6968)=0,"Missing in Data2","Present")</f>
        <v>Present</v>
      </c>
    </row>
    <row r="6969" spans="1:5" x14ac:dyDescent="0.25">
      <c r="A6969" s="2" t="s">
        <v>5393</v>
      </c>
      <c r="B6969" s="2" t="s">
        <v>3720</v>
      </c>
      <c r="C6969" s="2">
        <v>4</v>
      </c>
      <c r="D6969" t="str">
        <f t="shared" si="108"/>
        <v>CA-2017-144484_FUR-FU-10000260</v>
      </c>
      <c r="E6969" t="str">
        <f>IF(COUNTIF(data2!$D:$D,D6969)=0,"Missing in Data2","Present")</f>
        <v>Missing in Data2</v>
      </c>
    </row>
    <row r="6970" spans="1:5" x14ac:dyDescent="0.25">
      <c r="A6970" s="2" t="s">
        <v>5393</v>
      </c>
      <c r="B6970" s="2" t="s">
        <v>2088</v>
      </c>
      <c r="C6970" s="2">
        <v>5</v>
      </c>
      <c r="D6970" t="str">
        <f t="shared" si="108"/>
        <v>CA-2017-144484_OFF-AP-10004487</v>
      </c>
      <c r="E6970" t="str">
        <f>IF(COUNTIF(data2!$D:$D,D6970)=0,"Missing in Data2","Present")</f>
        <v>Present</v>
      </c>
    </row>
    <row r="6971" spans="1:5" x14ac:dyDescent="0.25">
      <c r="A6971" s="2" t="s">
        <v>5394</v>
      </c>
      <c r="B6971" s="2" t="s">
        <v>2465</v>
      </c>
      <c r="C6971" s="2">
        <v>5</v>
      </c>
      <c r="D6971" t="str">
        <f t="shared" si="108"/>
        <v>CA-2017-144491_FUR-BO-10001811</v>
      </c>
      <c r="E6971" t="str">
        <f>IF(COUNTIF(data2!$D:$D,D6971)=0,"Missing in Data2","Present")</f>
        <v>Present</v>
      </c>
    </row>
    <row r="6972" spans="1:5" x14ac:dyDescent="0.25">
      <c r="A6972" s="2" t="s">
        <v>5394</v>
      </c>
      <c r="B6972" s="2" t="s">
        <v>84</v>
      </c>
      <c r="C6972" s="2">
        <v>2</v>
      </c>
      <c r="D6972" t="str">
        <f t="shared" si="108"/>
        <v>CA-2017-144491_FUR-CH-10001714</v>
      </c>
      <c r="E6972" t="str">
        <f>IF(COUNTIF(data2!$D:$D,D6972)=0,"Missing in Data2","Present")</f>
        <v>Present</v>
      </c>
    </row>
    <row r="6973" spans="1:5" x14ac:dyDescent="0.25">
      <c r="A6973" s="2" t="s">
        <v>5394</v>
      </c>
      <c r="B6973" s="2" t="s">
        <v>181</v>
      </c>
      <c r="C6973" s="2">
        <v>3</v>
      </c>
      <c r="D6973" t="str">
        <f t="shared" si="108"/>
        <v>CA-2017-144491_FUR-CH-10004063</v>
      </c>
      <c r="E6973" t="str">
        <f>IF(COUNTIF(data2!$D:$D,D6973)=0,"Missing in Data2","Present")</f>
        <v>Present</v>
      </c>
    </row>
    <row r="6974" spans="1:5" x14ac:dyDescent="0.25">
      <c r="A6974" s="2" t="s">
        <v>5394</v>
      </c>
      <c r="B6974" s="2" t="s">
        <v>5395</v>
      </c>
      <c r="C6974" s="2">
        <v>1</v>
      </c>
      <c r="D6974" t="str">
        <f t="shared" si="108"/>
        <v>CA-2017-144491_TEC-AC-10004901</v>
      </c>
      <c r="E6974" t="str">
        <f>IF(COUNTIF(data2!$D:$D,D6974)=0,"Missing in Data2","Present")</f>
        <v>Present</v>
      </c>
    </row>
    <row r="6975" spans="1:5" x14ac:dyDescent="0.25">
      <c r="A6975" s="2" t="s">
        <v>5396</v>
      </c>
      <c r="B6975" s="2" t="s">
        <v>1125</v>
      </c>
      <c r="C6975" s="2">
        <v>5</v>
      </c>
      <c r="D6975" t="str">
        <f t="shared" si="108"/>
        <v>CA-2017-144498_OFF-LA-10003510</v>
      </c>
      <c r="E6975" t="str">
        <f>IF(COUNTIF(data2!$D:$D,D6975)=0,"Missing in Data2","Present")</f>
        <v>Present</v>
      </c>
    </row>
    <row r="6976" spans="1:5" x14ac:dyDescent="0.25">
      <c r="A6976" s="2" t="s">
        <v>5396</v>
      </c>
      <c r="B6976" s="2" t="s">
        <v>1113</v>
      </c>
      <c r="C6976" s="2">
        <v>4</v>
      </c>
      <c r="D6976" t="str">
        <f t="shared" si="108"/>
        <v>CA-2017-144498_TEC-PH-10004977</v>
      </c>
      <c r="E6976" t="str">
        <f>IF(COUNTIF(data2!$D:$D,D6976)=0,"Missing in Data2","Present")</f>
        <v>Missing in Data2</v>
      </c>
    </row>
    <row r="6977" spans="1:5" x14ac:dyDescent="0.25">
      <c r="A6977" s="2" t="s">
        <v>5397</v>
      </c>
      <c r="B6977" s="2" t="s">
        <v>955</v>
      </c>
      <c r="C6977" s="2">
        <v>3</v>
      </c>
      <c r="D6977" t="str">
        <f t="shared" si="108"/>
        <v>CA-2017-144526_OFF-BI-10002353</v>
      </c>
      <c r="E6977" t="str">
        <f>IF(COUNTIF(data2!$D:$D,D6977)=0,"Missing in Data2","Present")</f>
        <v>Present</v>
      </c>
    </row>
    <row r="6978" spans="1:5" x14ac:dyDescent="0.25">
      <c r="A6978" s="2" t="s">
        <v>5397</v>
      </c>
      <c r="B6978" s="2" t="s">
        <v>102</v>
      </c>
      <c r="C6978" s="2">
        <v>5</v>
      </c>
      <c r="D6978" t="str">
        <f t="shared" si="108"/>
        <v>CA-2017-144526_TEC-PH-10002549</v>
      </c>
      <c r="E6978" t="str">
        <f>IF(COUNTIF(data2!$D:$D,D6978)=0,"Missing in Data2","Present")</f>
        <v>Present</v>
      </c>
    </row>
    <row r="6979" spans="1:5" x14ac:dyDescent="0.25">
      <c r="A6979" s="2" t="s">
        <v>5398</v>
      </c>
      <c r="B6979" s="2" t="s">
        <v>516</v>
      </c>
      <c r="C6979" s="2">
        <v>5</v>
      </c>
      <c r="D6979" t="str">
        <f t="shared" ref="D6979:D7042" si="109">A6979&amp;"_"&amp;B6979</f>
        <v>CA-2017-144589_OFF-AR-10003631</v>
      </c>
      <c r="E6979" t="str">
        <f>IF(COUNTIF(data2!$D:$D,D6979)=0,"Missing in Data2","Present")</f>
        <v>Present</v>
      </c>
    </row>
    <row r="6980" spans="1:5" x14ac:dyDescent="0.25">
      <c r="A6980" s="2" t="s">
        <v>5398</v>
      </c>
      <c r="B6980" s="2" t="s">
        <v>817</v>
      </c>
      <c r="C6980" s="2">
        <v>3</v>
      </c>
      <c r="D6980" t="str">
        <f t="shared" si="109"/>
        <v>CA-2017-144589_TEC-PH-10003072</v>
      </c>
      <c r="E6980" t="str">
        <f>IF(COUNTIF(data2!$D:$D,D6980)=0,"Missing in Data2","Present")</f>
        <v>Present</v>
      </c>
    </row>
    <row r="6981" spans="1:5" x14ac:dyDescent="0.25">
      <c r="A6981" s="2" t="s">
        <v>5399</v>
      </c>
      <c r="B6981" s="2" t="s">
        <v>1234</v>
      </c>
      <c r="C6981" s="2">
        <v>9</v>
      </c>
      <c r="D6981" t="str">
        <f t="shared" si="109"/>
        <v>CA-2017-144596_OFF-PA-10003302</v>
      </c>
      <c r="E6981" t="str">
        <f>IF(COUNTIF(data2!$D:$D,D6981)=0,"Missing in Data2","Present")</f>
        <v>Present</v>
      </c>
    </row>
    <row r="6982" spans="1:5" x14ac:dyDescent="0.25">
      <c r="A6982" s="2" t="s">
        <v>5400</v>
      </c>
      <c r="B6982" s="2" t="s">
        <v>2746</v>
      </c>
      <c r="C6982" s="2">
        <v>2</v>
      </c>
      <c r="D6982" t="str">
        <f t="shared" si="109"/>
        <v>CA-2017-144638_FUR-FU-10003535</v>
      </c>
      <c r="E6982" t="str">
        <f>IF(COUNTIF(data2!$D:$D,D6982)=0,"Missing in Data2","Present")</f>
        <v>Present</v>
      </c>
    </row>
    <row r="6983" spans="1:5" x14ac:dyDescent="0.25">
      <c r="A6983" s="2" t="s">
        <v>5400</v>
      </c>
      <c r="B6983" s="2" t="s">
        <v>1290</v>
      </c>
      <c r="C6983" s="2">
        <v>1</v>
      </c>
      <c r="D6983" t="str">
        <f t="shared" si="109"/>
        <v>CA-2017-144638_FUR-FU-10003724</v>
      </c>
      <c r="E6983" t="str">
        <f>IF(COUNTIF(data2!$D:$D,D6983)=0,"Missing in Data2","Present")</f>
        <v>Present</v>
      </c>
    </row>
    <row r="6984" spans="1:5" x14ac:dyDescent="0.25">
      <c r="A6984" s="2" t="s">
        <v>5400</v>
      </c>
      <c r="B6984" s="2" t="s">
        <v>3820</v>
      </c>
      <c r="C6984" s="2">
        <v>2</v>
      </c>
      <c r="D6984" t="str">
        <f t="shared" si="109"/>
        <v>CA-2017-144638_OFF-AR-10003958</v>
      </c>
      <c r="E6984" t="str">
        <f>IF(COUNTIF(data2!$D:$D,D6984)=0,"Missing in Data2","Present")</f>
        <v>Present</v>
      </c>
    </row>
    <row r="6985" spans="1:5" x14ac:dyDescent="0.25">
      <c r="A6985" s="2" t="s">
        <v>5400</v>
      </c>
      <c r="B6985" s="2" t="s">
        <v>783</v>
      </c>
      <c r="C6985" s="2">
        <v>3</v>
      </c>
      <c r="D6985" t="str">
        <f t="shared" si="109"/>
        <v>CA-2017-144638_TEC-PH-10000149</v>
      </c>
      <c r="E6985" t="str">
        <f>IF(COUNTIF(data2!$D:$D,D6985)=0,"Missing in Data2","Present")</f>
        <v>Present</v>
      </c>
    </row>
    <row r="6986" spans="1:5" x14ac:dyDescent="0.25">
      <c r="A6986" s="2" t="s">
        <v>5401</v>
      </c>
      <c r="B6986" s="2" t="s">
        <v>2830</v>
      </c>
      <c r="C6986" s="2">
        <v>5</v>
      </c>
      <c r="D6986" t="str">
        <f t="shared" si="109"/>
        <v>CA-2017-144680_OFF-AP-10003040</v>
      </c>
      <c r="E6986" t="str">
        <f>IF(COUNTIF(data2!$D:$D,D6986)=0,"Missing in Data2","Present")</f>
        <v>Present</v>
      </c>
    </row>
    <row r="6987" spans="1:5" x14ac:dyDescent="0.25">
      <c r="A6987" s="2" t="s">
        <v>5402</v>
      </c>
      <c r="B6987" s="2" t="s">
        <v>786</v>
      </c>
      <c r="C6987" s="2">
        <v>3</v>
      </c>
      <c r="D6987" t="str">
        <f t="shared" si="109"/>
        <v>CA-2017-144694_TEC-AC-10002857</v>
      </c>
      <c r="E6987" t="str">
        <f>IF(COUNTIF(data2!$D:$D,D6987)=0,"Missing in Data2","Present")</f>
        <v>Present</v>
      </c>
    </row>
    <row r="6988" spans="1:5" x14ac:dyDescent="0.25">
      <c r="A6988" s="2" t="s">
        <v>5403</v>
      </c>
      <c r="B6988" s="2" t="s">
        <v>1212</v>
      </c>
      <c r="C6988" s="2">
        <v>1</v>
      </c>
      <c r="D6988" t="str">
        <f t="shared" si="109"/>
        <v>CA-2017-144750_OFF-PA-10003395</v>
      </c>
      <c r="E6988" t="str">
        <f>IF(COUNTIF(data2!$D:$D,D6988)=0,"Missing in Data2","Present")</f>
        <v>Present</v>
      </c>
    </row>
    <row r="6989" spans="1:5" x14ac:dyDescent="0.25">
      <c r="A6989" s="2" t="s">
        <v>5404</v>
      </c>
      <c r="B6989" s="2" t="s">
        <v>2349</v>
      </c>
      <c r="C6989" s="2">
        <v>5</v>
      </c>
      <c r="D6989" t="str">
        <f t="shared" si="109"/>
        <v>CA-2017-144820_OFF-AR-10004817</v>
      </c>
      <c r="E6989" t="str">
        <f>IF(COUNTIF(data2!$D:$D,D6989)=0,"Missing in Data2","Present")</f>
        <v>Present</v>
      </c>
    </row>
    <row r="6990" spans="1:5" x14ac:dyDescent="0.25">
      <c r="A6990" s="2" t="s">
        <v>5405</v>
      </c>
      <c r="B6990" s="2" t="s">
        <v>1360</v>
      </c>
      <c r="C6990" s="2">
        <v>2</v>
      </c>
      <c r="D6990" t="str">
        <f t="shared" si="109"/>
        <v>CA-2017-144827_OFF-ST-10004340</v>
      </c>
      <c r="E6990" t="str">
        <f>IF(COUNTIF(data2!$D:$D,D6990)=0,"Missing in Data2","Present")</f>
        <v>Present</v>
      </c>
    </row>
    <row r="6991" spans="1:5" x14ac:dyDescent="0.25">
      <c r="A6991" s="2" t="s">
        <v>5406</v>
      </c>
      <c r="B6991" s="2" t="s">
        <v>72</v>
      </c>
      <c r="C6991" s="2">
        <v>1</v>
      </c>
      <c r="D6991" t="str">
        <f t="shared" si="109"/>
        <v>CA-2017-144848_OFF-SU-10000646</v>
      </c>
      <c r="E6991" t="str">
        <f>IF(COUNTIF(data2!$D:$D,D6991)=0,"Missing in Data2","Present")</f>
        <v>Present</v>
      </c>
    </row>
    <row r="6992" spans="1:5" x14ac:dyDescent="0.25">
      <c r="A6992" s="2" t="s">
        <v>5406</v>
      </c>
      <c r="B6992" s="2" t="s">
        <v>2435</v>
      </c>
      <c r="C6992" s="2">
        <v>2</v>
      </c>
      <c r="D6992" t="str">
        <f t="shared" si="109"/>
        <v>CA-2017-144848_TEC-PH-10002262</v>
      </c>
      <c r="E6992" t="str">
        <f>IF(COUNTIF(data2!$D:$D,D6992)=0,"Missing in Data2","Present")</f>
        <v>Present</v>
      </c>
    </row>
    <row r="6993" spans="1:5" x14ac:dyDescent="0.25">
      <c r="A6993" s="2" t="s">
        <v>5406</v>
      </c>
      <c r="B6993" s="2" t="s">
        <v>4750</v>
      </c>
      <c r="C6993" s="2">
        <v>1</v>
      </c>
      <c r="D6993" t="str">
        <f t="shared" si="109"/>
        <v>CA-2017-144848_TEC-PH-10004006</v>
      </c>
      <c r="E6993" t="str">
        <f>IF(COUNTIF(data2!$D:$D,D6993)=0,"Missing in Data2","Present")</f>
        <v>Present</v>
      </c>
    </row>
    <row r="6994" spans="1:5" x14ac:dyDescent="0.25">
      <c r="A6994" s="2" t="s">
        <v>5407</v>
      </c>
      <c r="B6994" s="2" t="s">
        <v>2340</v>
      </c>
      <c r="C6994" s="2">
        <v>7</v>
      </c>
      <c r="D6994" t="str">
        <f t="shared" si="109"/>
        <v>CA-2017-144862_TEC-PH-10000923</v>
      </c>
      <c r="E6994" t="str">
        <f>IF(COUNTIF(data2!$D:$D,D6994)=0,"Missing in Data2","Present")</f>
        <v>Present</v>
      </c>
    </row>
    <row r="6995" spans="1:5" x14ac:dyDescent="0.25">
      <c r="A6995" s="2" t="s">
        <v>5408</v>
      </c>
      <c r="B6995" s="2" t="s">
        <v>575</v>
      </c>
      <c r="C6995" s="2">
        <v>8</v>
      </c>
      <c r="D6995" t="str">
        <f t="shared" si="109"/>
        <v>CA-2017-144883_OFF-LA-10000305</v>
      </c>
      <c r="E6995" t="str">
        <f>IF(COUNTIF(data2!$D:$D,D6995)=0,"Missing in Data2","Present")</f>
        <v>Present</v>
      </c>
    </row>
    <row r="6996" spans="1:5" x14ac:dyDescent="0.25">
      <c r="A6996" s="2" t="s">
        <v>5409</v>
      </c>
      <c r="B6996" s="2" t="s">
        <v>2213</v>
      </c>
      <c r="C6996" s="2">
        <v>3</v>
      </c>
      <c r="D6996" t="str">
        <f t="shared" si="109"/>
        <v>CA-2017-144904_FUR-CH-10000785</v>
      </c>
      <c r="E6996" t="str">
        <f>IF(COUNTIF(data2!$D:$D,D6996)=0,"Missing in Data2","Present")</f>
        <v>Present</v>
      </c>
    </row>
    <row r="6997" spans="1:5" x14ac:dyDescent="0.25">
      <c r="A6997" s="2" t="s">
        <v>5409</v>
      </c>
      <c r="B6997" s="2" t="s">
        <v>1324</v>
      </c>
      <c r="C6997" s="2">
        <v>8</v>
      </c>
      <c r="D6997" t="str">
        <f t="shared" si="109"/>
        <v>CA-2017-144904_FUR-FU-10000023</v>
      </c>
      <c r="E6997" t="str">
        <f>IF(COUNTIF(data2!$D:$D,D6997)=0,"Missing in Data2","Present")</f>
        <v>Present</v>
      </c>
    </row>
    <row r="6998" spans="1:5" x14ac:dyDescent="0.25">
      <c r="A6998" s="2" t="s">
        <v>5409</v>
      </c>
      <c r="B6998" s="2" t="s">
        <v>1596</v>
      </c>
      <c r="C6998" s="2">
        <v>2</v>
      </c>
      <c r="D6998" t="str">
        <f t="shared" si="109"/>
        <v>CA-2017-144904_OFF-AR-10003732</v>
      </c>
      <c r="E6998" t="str">
        <f>IF(COUNTIF(data2!$D:$D,D6998)=0,"Missing in Data2","Present")</f>
        <v>Present</v>
      </c>
    </row>
    <row r="6999" spans="1:5" x14ac:dyDescent="0.25">
      <c r="A6999" s="2" t="s">
        <v>5409</v>
      </c>
      <c r="B6999" s="2" t="s">
        <v>775</v>
      </c>
      <c r="C6999" s="2">
        <v>2</v>
      </c>
      <c r="D6999" t="str">
        <f t="shared" si="109"/>
        <v>CA-2017-144904_OFF-LA-10001158</v>
      </c>
      <c r="E6999" t="str">
        <f>IF(COUNTIF(data2!$D:$D,D6999)=0,"Missing in Data2","Present")</f>
        <v>Present</v>
      </c>
    </row>
    <row r="7000" spans="1:5" x14ac:dyDescent="0.25">
      <c r="A7000" s="2" t="s">
        <v>5410</v>
      </c>
      <c r="B7000" s="2" t="s">
        <v>2120</v>
      </c>
      <c r="C7000" s="2">
        <v>3</v>
      </c>
      <c r="D7000" t="str">
        <f t="shared" si="109"/>
        <v>CA-2017-144932_OFF-AR-10001468</v>
      </c>
      <c r="E7000" t="str">
        <f>IF(COUNTIF(data2!$D:$D,D7000)=0,"Missing in Data2","Present")</f>
        <v>Present</v>
      </c>
    </row>
    <row r="7001" spans="1:5" x14ac:dyDescent="0.25">
      <c r="A7001" s="2" t="s">
        <v>5410</v>
      </c>
      <c r="B7001" s="2" t="s">
        <v>1535</v>
      </c>
      <c r="C7001" s="2">
        <v>3</v>
      </c>
      <c r="D7001" t="str">
        <f t="shared" si="109"/>
        <v>CA-2017-144932_OFF-AR-10003560</v>
      </c>
      <c r="E7001" t="str">
        <f>IF(COUNTIF(data2!$D:$D,D7001)=0,"Missing in Data2","Present")</f>
        <v>Present</v>
      </c>
    </row>
    <row r="7002" spans="1:5" x14ac:dyDescent="0.25">
      <c r="A7002" s="2" t="s">
        <v>5410</v>
      </c>
      <c r="B7002" s="2" t="s">
        <v>2528</v>
      </c>
      <c r="C7002" s="2">
        <v>3</v>
      </c>
      <c r="D7002" t="str">
        <f t="shared" si="109"/>
        <v>CA-2017-144932_OFF-PA-10004971</v>
      </c>
      <c r="E7002" t="str">
        <f>IF(COUNTIF(data2!$D:$D,D7002)=0,"Missing in Data2","Present")</f>
        <v>Present</v>
      </c>
    </row>
    <row r="7003" spans="1:5" x14ac:dyDescent="0.25">
      <c r="A7003" s="2" t="s">
        <v>5411</v>
      </c>
      <c r="B7003" s="2" t="s">
        <v>2602</v>
      </c>
      <c r="C7003" s="2">
        <v>4</v>
      </c>
      <c r="D7003" t="str">
        <f t="shared" si="109"/>
        <v>CA-2017-145037_OFF-PA-10000157</v>
      </c>
      <c r="E7003" t="str">
        <f>IF(COUNTIF(data2!$D:$D,D7003)=0,"Missing in Data2","Present")</f>
        <v>Present</v>
      </c>
    </row>
    <row r="7004" spans="1:5" x14ac:dyDescent="0.25">
      <c r="A7004" s="2" t="s">
        <v>5411</v>
      </c>
      <c r="B7004" s="2" t="s">
        <v>3109</v>
      </c>
      <c r="C7004" s="2">
        <v>3</v>
      </c>
      <c r="D7004" t="str">
        <f t="shared" si="109"/>
        <v>CA-2017-145037_OFF-PA-10002499</v>
      </c>
      <c r="E7004" t="str">
        <f>IF(COUNTIF(data2!$D:$D,D7004)=0,"Missing in Data2","Present")</f>
        <v>Present</v>
      </c>
    </row>
    <row r="7005" spans="1:5" x14ac:dyDescent="0.25">
      <c r="A7005" s="2" t="s">
        <v>5411</v>
      </c>
      <c r="B7005" s="2" t="s">
        <v>173</v>
      </c>
      <c r="C7005" s="2">
        <v>1</v>
      </c>
      <c r="D7005" t="str">
        <f t="shared" si="109"/>
        <v>CA-2017-145037_OFF-ST-10000918</v>
      </c>
      <c r="E7005" t="str">
        <f>IF(COUNTIF(data2!$D:$D,D7005)=0,"Missing in Data2","Present")</f>
        <v>Present</v>
      </c>
    </row>
    <row r="7006" spans="1:5" x14ac:dyDescent="0.25">
      <c r="A7006" s="2" t="s">
        <v>5412</v>
      </c>
      <c r="B7006" s="2" t="s">
        <v>301</v>
      </c>
      <c r="C7006" s="2">
        <v>2</v>
      </c>
      <c r="D7006" t="str">
        <f t="shared" si="109"/>
        <v>CA-2017-145093_OFF-BI-10001116</v>
      </c>
      <c r="E7006" t="str">
        <f>IF(COUNTIF(data2!$D:$D,D7006)=0,"Missing in Data2","Present")</f>
        <v>Present</v>
      </c>
    </row>
    <row r="7007" spans="1:5" x14ac:dyDescent="0.25">
      <c r="A7007" s="2" t="s">
        <v>5413</v>
      </c>
      <c r="B7007" s="2" t="s">
        <v>5063</v>
      </c>
      <c r="C7007" s="2">
        <v>5</v>
      </c>
      <c r="D7007" t="str">
        <f t="shared" si="109"/>
        <v>CA-2017-145128_FUR-FU-10000293</v>
      </c>
      <c r="E7007" t="str">
        <f>IF(COUNTIF(data2!$D:$D,D7007)=0,"Missing in Data2","Present")</f>
        <v>Present</v>
      </c>
    </row>
    <row r="7008" spans="1:5" x14ac:dyDescent="0.25">
      <c r="A7008" s="2" t="s">
        <v>5414</v>
      </c>
      <c r="B7008" s="2" t="s">
        <v>1837</v>
      </c>
      <c r="C7008" s="2">
        <v>2</v>
      </c>
      <c r="D7008" t="str">
        <f t="shared" si="109"/>
        <v>CA-2017-145142_FUR-TA-10001857</v>
      </c>
      <c r="E7008" t="str">
        <f>IF(COUNTIF(data2!$D:$D,D7008)=0,"Missing in Data2","Present")</f>
        <v>Present</v>
      </c>
    </row>
    <row r="7009" spans="1:5" x14ac:dyDescent="0.25">
      <c r="A7009" s="2" t="s">
        <v>5415</v>
      </c>
      <c r="B7009" s="2" t="s">
        <v>267</v>
      </c>
      <c r="C7009" s="2">
        <v>3</v>
      </c>
      <c r="D7009" t="str">
        <f t="shared" si="109"/>
        <v>CA-2017-145219_OFF-BI-10001670</v>
      </c>
      <c r="E7009" t="str">
        <f>IF(COUNTIF(data2!$D:$D,D7009)=0,"Missing in Data2","Present")</f>
        <v>Present</v>
      </c>
    </row>
    <row r="7010" spans="1:5" x14ac:dyDescent="0.25">
      <c r="A7010" s="2" t="s">
        <v>5415</v>
      </c>
      <c r="B7010" s="2" t="s">
        <v>567</v>
      </c>
      <c r="C7010" s="2">
        <v>6</v>
      </c>
      <c r="D7010" t="str">
        <f t="shared" si="109"/>
        <v>CA-2017-145219_TEC-CO-10001449</v>
      </c>
      <c r="E7010" t="str">
        <f>IF(COUNTIF(data2!$D:$D,D7010)=0,"Missing in Data2","Present")</f>
        <v>Present</v>
      </c>
    </row>
    <row r="7011" spans="1:5" x14ac:dyDescent="0.25">
      <c r="A7011" s="2" t="s">
        <v>5416</v>
      </c>
      <c r="B7011" s="2" t="s">
        <v>1758</v>
      </c>
      <c r="C7011" s="2">
        <v>2</v>
      </c>
      <c r="D7011" t="str">
        <f t="shared" si="109"/>
        <v>CA-2017-145226_FUR-FU-10004952</v>
      </c>
      <c r="E7011" t="str">
        <f>IF(COUNTIF(data2!$D:$D,D7011)=0,"Missing in Data2","Present")</f>
        <v>Present</v>
      </c>
    </row>
    <row r="7012" spans="1:5" x14ac:dyDescent="0.25">
      <c r="A7012" s="2" t="s">
        <v>5416</v>
      </c>
      <c r="B7012" s="2" t="s">
        <v>1909</v>
      </c>
      <c r="C7012" s="2">
        <v>3</v>
      </c>
      <c r="D7012" t="str">
        <f t="shared" si="109"/>
        <v>CA-2017-145226_OFF-PA-10003172</v>
      </c>
      <c r="E7012" t="str">
        <f>IF(COUNTIF(data2!$D:$D,D7012)=0,"Missing in Data2","Present")</f>
        <v>Present</v>
      </c>
    </row>
    <row r="7013" spans="1:5" x14ac:dyDescent="0.25">
      <c r="A7013" s="2" t="s">
        <v>5416</v>
      </c>
      <c r="B7013" s="2" t="s">
        <v>1579</v>
      </c>
      <c r="C7013" s="2">
        <v>4</v>
      </c>
      <c r="D7013" t="str">
        <f t="shared" si="109"/>
        <v>CA-2017-145226_OFF-ST-10002352</v>
      </c>
      <c r="E7013" t="str">
        <f>IF(COUNTIF(data2!$D:$D,D7013)=0,"Missing in Data2","Present")</f>
        <v>Present</v>
      </c>
    </row>
    <row r="7014" spans="1:5" x14ac:dyDescent="0.25">
      <c r="A7014" s="2" t="s">
        <v>5416</v>
      </c>
      <c r="B7014" s="2" t="s">
        <v>1761</v>
      </c>
      <c r="C7014" s="2">
        <v>3</v>
      </c>
      <c r="D7014" t="str">
        <f t="shared" si="109"/>
        <v>CA-2017-145226_OFF-ST-10004123</v>
      </c>
      <c r="E7014" t="str">
        <f>IF(COUNTIF(data2!$D:$D,D7014)=0,"Missing in Data2","Present")</f>
        <v>Present</v>
      </c>
    </row>
    <row r="7015" spans="1:5" x14ac:dyDescent="0.25">
      <c r="A7015" s="2" t="s">
        <v>5417</v>
      </c>
      <c r="B7015" s="2" t="s">
        <v>796</v>
      </c>
      <c r="C7015" s="2">
        <v>3</v>
      </c>
      <c r="D7015" t="str">
        <f t="shared" si="109"/>
        <v>CA-2017-145233_OFF-AP-10000358</v>
      </c>
      <c r="E7015" t="str">
        <f>IF(COUNTIF(data2!$D:$D,D7015)=0,"Missing in Data2","Present")</f>
        <v>Present</v>
      </c>
    </row>
    <row r="7016" spans="1:5" x14ac:dyDescent="0.25">
      <c r="A7016" s="2" t="s">
        <v>5417</v>
      </c>
      <c r="B7016" s="2" t="s">
        <v>735</v>
      </c>
      <c r="C7016" s="2">
        <v>7</v>
      </c>
      <c r="D7016" t="str">
        <f t="shared" si="109"/>
        <v>CA-2017-145233_OFF-BI-10002764</v>
      </c>
      <c r="E7016" t="str">
        <f>IF(COUNTIF(data2!$D:$D,D7016)=0,"Missing in Data2","Present")</f>
        <v>Missing in Data2</v>
      </c>
    </row>
    <row r="7017" spans="1:5" x14ac:dyDescent="0.25">
      <c r="A7017" s="2" t="s">
        <v>5417</v>
      </c>
      <c r="B7017" s="2" t="s">
        <v>383</v>
      </c>
      <c r="C7017" s="2">
        <v>2</v>
      </c>
      <c r="D7017" t="str">
        <f t="shared" si="109"/>
        <v>CA-2017-145233_TEC-PH-10000586</v>
      </c>
      <c r="E7017" t="str">
        <f>IF(COUNTIF(data2!$D:$D,D7017)=0,"Missing in Data2","Present")</f>
        <v>Present</v>
      </c>
    </row>
    <row r="7018" spans="1:5" x14ac:dyDescent="0.25">
      <c r="A7018" s="2" t="s">
        <v>5417</v>
      </c>
      <c r="B7018" s="2" t="s">
        <v>2886</v>
      </c>
      <c r="C7018" s="2">
        <v>4</v>
      </c>
      <c r="D7018" t="str">
        <f t="shared" si="109"/>
        <v>CA-2017-145233_TEC-PH-10001254</v>
      </c>
      <c r="E7018" t="str">
        <f>IF(COUNTIF(data2!$D:$D,D7018)=0,"Missing in Data2","Present")</f>
        <v>Present</v>
      </c>
    </row>
    <row r="7019" spans="1:5" x14ac:dyDescent="0.25">
      <c r="A7019" s="2" t="s">
        <v>5417</v>
      </c>
      <c r="B7019" s="2" t="s">
        <v>1113</v>
      </c>
      <c r="C7019" s="2">
        <v>3</v>
      </c>
      <c r="D7019" t="str">
        <f t="shared" si="109"/>
        <v>CA-2017-145233_TEC-PH-10004977</v>
      </c>
      <c r="E7019" t="str">
        <f>IF(COUNTIF(data2!$D:$D,D7019)=0,"Missing in Data2","Present")</f>
        <v>Present</v>
      </c>
    </row>
    <row r="7020" spans="1:5" x14ac:dyDescent="0.25">
      <c r="A7020" s="2" t="s">
        <v>5418</v>
      </c>
      <c r="B7020" s="2" t="s">
        <v>279</v>
      </c>
      <c r="C7020" s="2">
        <v>3</v>
      </c>
      <c r="D7020" t="str">
        <f t="shared" si="109"/>
        <v>CA-2017-145275_OFF-LA-10001569</v>
      </c>
      <c r="E7020" t="str">
        <f>IF(COUNTIF(data2!$D:$D,D7020)=0,"Missing in Data2","Present")</f>
        <v>Present</v>
      </c>
    </row>
    <row r="7021" spans="1:5" x14ac:dyDescent="0.25">
      <c r="A7021" s="2" t="s">
        <v>5419</v>
      </c>
      <c r="B7021" s="2" t="s">
        <v>1612</v>
      </c>
      <c r="C7021" s="2">
        <v>1</v>
      </c>
      <c r="D7021" t="str">
        <f t="shared" si="109"/>
        <v>CA-2017-145310_OFF-EN-10002621</v>
      </c>
      <c r="E7021" t="str">
        <f>IF(COUNTIF(data2!$D:$D,D7021)=0,"Missing in Data2","Present")</f>
        <v>Present</v>
      </c>
    </row>
    <row r="7022" spans="1:5" x14ac:dyDescent="0.25">
      <c r="A7022" s="2" t="s">
        <v>5420</v>
      </c>
      <c r="B7022" s="2" t="s">
        <v>882</v>
      </c>
      <c r="C7022" s="2">
        <v>2</v>
      </c>
      <c r="D7022" t="str">
        <f t="shared" si="109"/>
        <v>CA-2017-145338_OFF-AR-10002053</v>
      </c>
      <c r="E7022" t="str">
        <f>IF(COUNTIF(data2!$D:$D,D7022)=0,"Missing in Data2","Present")</f>
        <v>Present</v>
      </c>
    </row>
    <row r="7023" spans="1:5" x14ac:dyDescent="0.25">
      <c r="A7023" s="2" t="s">
        <v>5421</v>
      </c>
      <c r="B7023" s="2" t="s">
        <v>221</v>
      </c>
      <c r="C7023" s="2">
        <v>2</v>
      </c>
      <c r="D7023" t="str">
        <f t="shared" si="109"/>
        <v>CA-2017-145429_FUR-CH-10000988</v>
      </c>
      <c r="E7023" t="str">
        <f>IF(COUNTIF(data2!$D:$D,D7023)=0,"Missing in Data2","Present")</f>
        <v>Present</v>
      </c>
    </row>
    <row r="7024" spans="1:5" x14ac:dyDescent="0.25">
      <c r="A7024" s="2" t="s">
        <v>5421</v>
      </c>
      <c r="B7024" s="2" t="s">
        <v>1815</v>
      </c>
      <c r="C7024" s="2">
        <v>3</v>
      </c>
      <c r="D7024" t="str">
        <f t="shared" si="109"/>
        <v>CA-2017-145429_OFF-BI-10001524</v>
      </c>
      <c r="E7024" t="str">
        <f>IF(COUNTIF(data2!$D:$D,D7024)=0,"Missing in Data2","Present")</f>
        <v>Present</v>
      </c>
    </row>
    <row r="7025" spans="1:5" x14ac:dyDescent="0.25">
      <c r="A7025" s="2" t="s">
        <v>5421</v>
      </c>
      <c r="B7025" s="2" t="s">
        <v>5422</v>
      </c>
      <c r="C7025" s="2">
        <v>2</v>
      </c>
      <c r="D7025" t="str">
        <f t="shared" si="109"/>
        <v>CA-2017-145429_OFF-PA-10003205</v>
      </c>
      <c r="E7025" t="str">
        <f>IF(COUNTIF(data2!$D:$D,D7025)=0,"Missing in Data2","Present")</f>
        <v>Missing in Data2</v>
      </c>
    </row>
    <row r="7026" spans="1:5" x14ac:dyDescent="0.25">
      <c r="A7026" s="2" t="s">
        <v>5423</v>
      </c>
      <c r="B7026" s="2" t="s">
        <v>1234</v>
      </c>
      <c r="C7026" s="2">
        <v>5</v>
      </c>
      <c r="D7026" t="str">
        <f t="shared" si="109"/>
        <v>CA-2017-145443_OFF-PA-10003302</v>
      </c>
      <c r="E7026" t="str">
        <f>IF(COUNTIF(data2!$D:$D,D7026)=0,"Missing in Data2","Present")</f>
        <v>Present</v>
      </c>
    </row>
    <row r="7027" spans="1:5" x14ac:dyDescent="0.25">
      <c r="A7027" s="2" t="s">
        <v>5424</v>
      </c>
      <c r="B7027" s="2" t="s">
        <v>167</v>
      </c>
      <c r="C7027" s="2">
        <v>9</v>
      </c>
      <c r="D7027" t="str">
        <f t="shared" si="109"/>
        <v>CA-2017-145506_OFF-ST-10004963</v>
      </c>
      <c r="E7027" t="str">
        <f>IF(COUNTIF(data2!$D:$D,D7027)=0,"Missing in Data2","Present")</f>
        <v>Present</v>
      </c>
    </row>
    <row r="7028" spans="1:5" x14ac:dyDescent="0.25">
      <c r="A7028" s="2" t="s">
        <v>5425</v>
      </c>
      <c r="B7028" s="2" t="s">
        <v>1674</v>
      </c>
      <c r="C7028" s="2">
        <v>7</v>
      </c>
      <c r="D7028" t="str">
        <f t="shared" si="109"/>
        <v>CA-2017-145653_FUR-CH-10004875</v>
      </c>
      <c r="E7028" t="str">
        <f>IF(COUNTIF(data2!$D:$D,D7028)=0,"Missing in Data2","Present")</f>
        <v>Present</v>
      </c>
    </row>
    <row r="7029" spans="1:5" x14ac:dyDescent="0.25">
      <c r="A7029" s="2" t="s">
        <v>5426</v>
      </c>
      <c r="B7029" s="2" t="s">
        <v>2254</v>
      </c>
      <c r="C7029" s="2">
        <v>2</v>
      </c>
      <c r="D7029" t="str">
        <f t="shared" si="109"/>
        <v>CA-2017-145660_FUR-FU-10002885</v>
      </c>
      <c r="E7029" t="str">
        <f>IF(COUNTIF(data2!$D:$D,D7029)=0,"Missing in Data2","Present")</f>
        <v>Present</v>
      </c>
    </row>
    <row r="7030" spans="1:5" x14ac:dyDescent="0.25">
      <c r="A7030" s="2" t="s">
        <v>5427</v>
      </c>
      <c r="B7030" s="2" t="s">
        <v>1375</v>
      </c>
      <c r="C7030" s="2">
        <v>3</v>
      </c>
      <c r="D7030" t="str">
        <f t="shared" si="109"/>
        <v>CA-2017-145702_FUR-CH-10001482</v>
      </c>
      <c r="E7030" t="str">
        <f>IF(COUNTIF(data2!$D:$D,D7030)=0,"Missing in Data2","Present")</f>
        <v>Present</v>
      </c>
    </row>
    <row r="7031" spans="1:5" x14ac:dyDescent="0.25">
      <c r="A7031" s="2" t="s">
        <v>5427</v>
      </c>
      <c r="B7031" s="2" t="s">
        <v>785</v>
      </c>
      <c r="C7031" s="2">
        <v>7</v>
      </c>
      <c r="D7031" t="str">
        <f t="shared" si="109"/>
        <v>CA-2017-145702_OFF-PA-10001526</v>
      </c>
      <c r="E7031" t="str">
        <f>IF(COUNTIF(data2!$D:$D,D7031)=0,"Missing in Data2","Present")</f>
        <v>Present</v>
      </c>
    </row>
    <row r="7032" spans="1:5" x14ac:dyDescent="0.25">
      <c r="A7032" s="2" t="s">
        <v>5428</v>
      </c>
      <c r="B7032" s="2" t="s">
        <v>1435</v>
      </c>
      <c r="C7032" s="2">
        <v>5</v>
      </c>
      <c r="D7032" t="str">
        <f t="shared" si="109"/>
        <v>CA-2017-145737_OFF-PA-10001033</v>
      </c>
      <c r="E7032" t="str">
        <f>IF(COUNTIF(data2!$D:$D,D7032)=0,"Missing in Data2","Present")</f>
        <v>Present</v>
      </c>
    </row>
    <row r="7033" spans="1:5" x14ac:dyDescent="0.25">
      <c r="A7033" s="2" t="s">
        <v>5429</v>
      </c>
      <c r="B7033" s="2" t="s">
        <v>4611</v>
      </c>
      <c r="C7033" s="2">
        <v>3</v>
      </c>
      <c r="D7033" t="str">
        <f t="shared" si="109"/>
        <v>CA-2017-145765_OFF-PA-10001534</v>
      </c>
      <c r="E7033" t="str">
        <f>IF(COUNTIF(data2!$D:$D,D7033)=0,"Missing in Data2","Present")</f>
        <v>Present</v>
      </c>
    </row>
    <row r="7034" spans="1:5" x14ac:dyDescent="0.25">
      <c r="A7034" s="2" t="s">
        <v>5429</v>
      </c>
      <c r="B7034" s="2" t="s">
        <v>265</v>
      </c>
      <c r="C7034" s="2">
        <v>4</v>
      </c>
      <c r="D7034" t="str">
        <f t="shared" si="109"/>
        <v>CA-2017-145765_TEC-AC-10000844</v>
      </c>
      <c r="E7034" t="str">
        <f>IF(COUNTIF(data2!$D:$D,D7034)=0,"Missing in Data2","Present")</f>
        <v>Present</v>
      </c>
    </row>
    <row r="7035" spans="1:5" x14ac:dyDescent="0.25">
      <c r="A7035" s="2" t="s">
        <v>5429</v>
      </c>
      <c r="B7035" s="2" t="s">
        <v>1527</v>
      </c>
      <c r="C7035" s="2">
        <v>5</v>
      </c>
      <c r="D7035" t="str">
        <f t="shared" si="109"/>
        <v>CA-2017-145765_TEC-PH-10001305</v>
      </c>
      <c r="E7035" t="str">
        <f>IF(COUNTIF(data2!$D:$D,D7035)=0,"Missing in Data2","Present")</f>
        <v>Present</v>
      </c>
    </row>
    <row r="7036" spans="1:5" x14ac:dyDescent="0.25">
      <c r="A7036" s="2" t="s">
        <v>5430</v>
      </c>
      <c r="B7036" s="2" t="s">
        <v>1175</v>
      </c>
      <c r="C7036" s="2">
        <v>1</v>
      </c>
      <c r="D7036" t="str">
        <f t="shared" si="109"/>
        <v>CA-2017-145772_OFF-BI-10002049</v>
      </c>
      <c r="E7036" t="str">
        <f>IF(COUNTIF(data2!$D:$D,D7036)=0,"Missing in Data2","Present")</f>
        <v>Present</v>
      </c>
    </row>
    <row r="7037" spans="1:5" x14ac:dyDescent="0.25">
      <c r="A7037" s="2" t="s">
        <v>5430</v>
      </c>
      <c r="B7037" s="2" t="s">
        <v>5431</v>
      </c>
      <c r="C7037" s="2">
        <v>2</v>
      </c>
      <c r="D7037" t="str">
        <f t="shared" si="109"/>
        <v>CA-2017-145772_OFF-PA-10001593</v>
      </c>
      <c r="E7037" t="str">
        <f>IF(COUNTIF(data2!$D:$D,D7037)=0,"Missing in Data2","Present")</f>
        <v>Present</v>
      </c>
    </row>
    <row r="7038" spans="1:5" x14ac:dyDescent="0.25">
      <c r="A7038" s="2" t="s">
        <v>5430</v>
      </c>
      <c r="B7038" s="2" t="s">
        <v>311</v>
      </c>
      <c r="C7038" s="2">
        <v>5</v>
      </c>
      <c r="D7038" t="str">
        <f t="shared" si="109"/>
        <v>CA-2017-145772_TEC-AC-10003038</v>
      </c>
      <c r="E7038" t="str">
        <f>IF(COUNTIF(data2!$D:$D,D7038)=0,"Missing in Data2","Present")</f>
        <v>Present</v>
      </c>
    </row>
    <row r="7039" spans="1:5" x14ac:dyDescent="0.25">
      <c r="A7039" s="2" t="s">
        <v>5432</v>
      </c>
      <c r="B7039" s="2" t="s">
        <v>2264</v>
      </c>
      <c r="C7039" s="2">
        <v>4</v>
      </c>
      <c r="D7039" t="str">
        <f t="shared" si="109"/>
        <v>CA-2017-145779_OFF-PA-10002254</v>
      </c>
      <c r="E7039" t="str">
        <f>IF(COUNTIF(data2!$D:$D,D7039)=0,"Missing in Data2","Present")</f>
        <v>Present</v>
      </c>
    </row>
    <row r="7040" spans="1:5" x14ac:dyDescent="0.25">
      <c r="A7040" s="2" t="s">
        <v>5433</v>
      </c>
      <c r="B7040" s="2" t="s">
        <v>559</v>
      </c>
      <c r="C7040" s="2">
        <v>5</v>
      </c>
      <c r="D7040" t="str">
        <f t="shared" si="109"/>
        <v>CA-2017-145807_OFF-ST-10001370</v>
      </c>
      <c r="E7040" t="str">
        <f>IF(COUNTIF(data2!$D:$D,D7040)=0,"Missing in Data2","Present")</f>
        <v>Present</v>
      </c>
    </row>
    <row r="7041" spans="1:5" x14ac:dyDescent="0.25">
      <c r="A7041" s="2" t="s">
        <v>5434</v>
      </c>
      <c r="B7041" s="2" t="s">
        <v>281</v>
      </c>
      <c r="C7041" s="2">
        <v>5</v>
      </c>
      <c r="D7041" t="str">
        <f t="shared" si="109"/>
        <v>CA-2017-145877_OFF-EN-10001990</v>
      </c>
      <c r="E7041" t="str">
        <f>IF(COUNTIF(data2!$D:$D,D7041)=0,"Missing in Data2","Present")</f>
        <v>Present</v>
      </c>
    </row>
    <row r="7042" spans="1:5" x14ac:dyDescent="0.25">
      <c r="A7042" s="2" t="s">
        <v>5434</v>
      </c>
      <c r="B7042" s="2" t="s">
        <v>2791</v>
      </c>
      <c r="C7042" s="2">
        <v>6</v>
      </c>
      <c r="D7042" t="str">
        <f t="shared" si="109"/>
        <v>CA-2017-145877_OFF-ST-10000649</v>
      </c>
      <c r="E7042" t="str">
        <f>IF(COUNTIF(data2!$D:$D,D7042)=0,"Missing in Data2","Present")</f>
        <v>Present</v>
      </c>
    </row>
    <row r="7043" spans="1:5" x14ac:dyDescent="0.25">
      <c r="A7043" s="2" t="s">
        <v>5435</v>
      </c>
      <c r="B7043" s="2" t="s">
        <v>1439</v>
      </c>
      <c r="C7043" s="2">
        <v>1</v>
      </c>
      <c r="D7043" t="str">
        <f t="shared" ref="D7043:D7106" si="110">A7043&amp;"_"&amp;B7043</f>
        <v>CA-2017-145884_FUR-TA-10002356</v>
      </c>
      <c r="E7043" t="str">
        <f>IF(COUNTIF(data2!$D:$D,D7043)=0,"Missing in Data2","Present")</f>
        <v>Present</v>
      </c>
    </row>
    <row r="7044" spans="1:5" x14ac:dyDescent="0.25">
      <c r="A7044" s="2" t="s">
        <v>5435</v>
      </c>
      <c r="B7044" s="2" t="s">
        <v>148</v>
      </c>
      <c r="C7044" s="2">
        <v>8</v>
      </c>
      <c r="D7044" t="str">
        <f t="shared" si="110"/>
        <v>CA-2017-145884_TEC-PH-10000895</v>
      </c>
      <c r="E7044" t="str">
        <f>IF(COUNTIF(data2!$D:$D,D7044)=0,"Missing in Data2","Present")</f>
        <v>Present</v>
      </c>
    </row>
    <row r="7045" spans="1:5" x14ac:dyDescent="0.25">
      <c r="A7045" s="2" t="s">
        <v>5436</v>
      </c>
      <c r="B7045" s="2" t="s">
        <v>485</v>
      </c>
      <c r="C7045" s="2">
        <v>7</v>
      </c>
      <c r="D7045" t="str">
        <f t="shared" si="110"/>
        <v>CA-2017-146024_OFF-BI-10003291</v>
      </c>
      <c r="E7045" t="str">
        <f>IF(COUNTIF(data2!$D:$D,D7045)=0,"Missing in Data2","Present")</f>
        <v>Present</v>
      </c>
    </row>
    <row r="7046" spans="1:5" x14ac:dyDescent="0.25">
      <c r="A7046" s="2" t="s">
        <v>5436</v>
      </c>
      <c r="B7046" s="2" t="s">
        <v>2150</v>
      </c>
      <c r="C7046" s="2">
        <v>4</v>
      </c>
      <c r="D7046" t="str">
        <f t="shared" si="110"/>
        <v>CA-2017-146024_OFF-SU-10001935</v>
      </c>
      <c r="E7046" t="str">
        <f>IF(COUNTIF(data2!$D:$D,D7046)=0,"Missing in Data2","Present")</f>
        <v>Present</v>
      </c>
    </row>
    <row r="7047" spans="1:5" x14ac:dyDescent="0.25">
      <c r="A7047" s="2" t="s">
        <v>5437</v>
      </c>
      <c r="B7047" s="2" t="s">
        <v>1036</v>
      </c>
      <c r="C7047" s="2">
        <v>9</v>
      </c>
      <c r="D7047" t="str">
        <f t="shared" si="110"/>
        <v>CA-2017-146031_OFF-AR-10002656</v>
      </c>
      <c r="E7047" t="str">
        <f>IF(COUNTIF(data2!$D:$D,D7047)=0,"Missing in Data2","Present")</f>
        <v>Present</v>
      </c>
    </row>
    <row r="7048" spans="1:5" x14ac:dyDescent="0.25">
      <c r="A7048" s="2" t="s">
        <v>5438</v>
      </c>
      <c r="B7048" s="2" t="s">
        <v>909</v>
      </c>
      <c r="C7048" s="2">
        <v>4</v>
      </c>
      <c r="D7048" t="str">
        <f t="shared" si="110"/>
        <v>CA-2017-146136_OFF-EN-10001219</v>
      </c>
      <c r="E7048" t="str">
        <f>IF(COUNTIF(data2!$D:$D,D7048)=0,"Missing in Data2","Present")</f>
        <v>Present</v>
      </c>
    </row>
    <row r="7049" spans="1:5" x14ac:dyDescent="0.25">
      <c r="A7049" s="2" t="s">
        <v>5439</v>
      </c>
      <c r="B7049" s="2" t="s">
        <v>3246</v>
      </c>
      <c r="C7049" s="2">
        <v>2</v>
      </c>
      <c r="D7049" t="str">
        <f t="shared" si="110"/>
        <v>CA-2017-146164_FUR-TA-10004915</v>
      </c>
      <c r="E7049" t="str">
        <f>IF(COUNTIF(data2!$D:$D,D7049)=0,"Missing in Data2","Present")</f>
        <v>Missing in Data2</v>
      </c>
    </row>
    <row r="7050" spans="1:5" x14ac:dyDescent="0.25">
      <c r="A7050" s="2" t="s">
        <v>5439</v>
      </c>
      <c r="B7050" s="2" t="s">
        <v>1024</v>
      </c>
      <c r="C7050" s="2">
        <v>2</v>
      </c>
      <c r="D7050" t="str">
        <f t="shared" si="110"/>
        <v>CA-2017-146164_OFF-ST-10001228</v>
      </c>
      <c r="E7050" t="str">
        <f>IF(COUNTIF(data2!$D:$D,D7050)=0,"Missing in Data2","Present")</f>
        <v>Present</v>
      </c>
    </row>
    <row r="7051" spans="1:5" x14ac:dyDescent="0.25">
      <c r="A7051" s="2" t="s">
        <v>5440</v>
      </c>
      <c r="B7051" s="2" t="s">
        <v>1270</v>
      </c>
      <c r="C7051" s="2">
        <v>2</v>
      </c>
      <c r="D7051" t="str">
        <f t="shared" si="110"/>
        <v>CA-2017-146185_OFF-AR-10002987</v>
      </c>
      <c r="E7051" t="str">
        <f>IF(COUNTIF(data2!$D:$D,D7051)=0,"Missing in Data2","Present")</f>
        <v>Present</v>
      </c>
    </row>
    <row r="7052" spans="1:5" x14ac:dyDescent="0.25">
      <c r="A7052" s="2" t="s">
        <v>5441</v>
      </c>
      <c r="B7052" s="2" t="s">
        <v>495</v>
      </c>
      <c r="C7052" s="2">
        <v>3</v>
      </c>
      <c r="D7052" t="str">
        <f t="shared" si="110"/>
        <v>CA-2017-146192_OFF-ST-10003716</v>
      </c>
      <c r="E7052" t="str">
        <f>IF(COUNTIF(data2!$D:$D,D7052)=0,"Missing in Data2","Present")</f>
        <v>Present</v>
      </c>
    </row>
    <row r="7053" spans="1:5" x14ac:dyDescent="0.25">
      <c r="A7053" s="2" t="s">
        <v>5442</v>
      </c>
      <c r="B7053" s="2" t="s">
        <v>4920</v>
      </c>
      <c r="C7053" s="2">
        <v>2</v>
      </c>
      <c r="D7053" t="str">
        <f t="shared" si="110"/>
        <v>CA-2017-146269_OFF-AR-10004790</v>
      </c>
      <c r="E7053" t="str">
        <f>IF(COUNTIF(data2!$D:$D,D7053)=0,"Missing in Data2","Present")</f>
        <v>Present</v>
      </c>
    </row>
    <row r="7054" spans="1:5" x14ac:dyDescent="0.25">
      <c r="A7054" s="2" t="s">
        <v>5443</v>
      </c>
      <c r="B7054" s="2" t="s">
        <v>2398</v>
      </c>
      <c r="C7054" s="2">
        <v>3</v>
      </c>
      <c r="D7054" t="str">
        <f t="shared" si="110"/>
        <v>CA-2017-146346_OFF-ST-10001418</v>
      </c>
      <c r="E7054" t="str">
        <f>IF(COUNTIF(data2!$D:$D,D7054)=0,"Missing in Data2","Present")</f>
        <v>Present</v>
      </c>
    </row>
    <row r="7055" spans="1:5" x14ac:dyDescent="0.25">
      <c r="A7055" s="2" t="s">
        <v>5444</v>
      </c>
      <c r="B7055" s="2" t="s">
        <v>2468</v>
      </c>
      <c r="C7055" s="2">
        <v>6</v>
      </c>
      <c r="D7055" t="str">
        <f t="shared" si="110"/>
        <v>CA-2017-146360_TEC-AC-10003590</v>
      </c>
      <c r="E7055" t="str">
        <f>IF(COUNTIF(data2!$D:$D,D7055)=0,"Missing in Data2","Present")</f>
        <v>Present</v>
      </c>
    </row>
    <row r="7056" spans="1:5" x14ac:dyDescent="0.25">
      <c r="A7056" s="2" t="s">
        <v>5445</v>
      </c>
      <c r="B7056" s="2" t="s">
        <v>403</v>
      </c>
      <c r="C7056" s="2">
        <v>3</v>
      </c>
      <c r="D7056" t="str">
        <f t="shared" si="110"/>
        <v>CA-2017-146367_OFF-BI-10002827</v>
      </c>
      <c r="E7056" t="str">
        <f>IF(COUNTIF(data2!$D:$D,D7056)=0,"Missing in Data2","Present")</f>
        <v>Present</v>
      </c>
    </row>
    <row r="7057" spans="1:5" x14ac:dyDescent="0.25">
      <c r="A7057" s="2" t="s">
        <v>5446</v>
      </c>
      <c r="B7057" s="2" t="s">
        <v>5447</v>
      </c>
      <c r="C7057" s="2">
        <v>7</v>
      </c>
      <c r="D7057" t="str">
        <f t="shared" si="110"/>
        <v>CA-2017-146458_OFF-AR-10001177</v>
      </c>
      <c r="E7057" t="str">
        <f>IF(COUNTIF(data2!$D:$D,D7057)=0,"Missing in Data2","Present")</f>
        <v>Present</v>
      </c>
    </row>
    <row r="7058" spans="1:5" x14ac:dyDescent="0.25">
      <c r="A7058" s="2" t="s">
        <v>5448</v>
      </c>
      <c r="B7058" s="2" t="s">
        <v>206</v>
      </c>
      <c r="C7058" s="2">
        <v>5</v>
      </c>
      <c r="D7058" t="str">
        <f t="shared" si="110"/>
        <v>CA-2017-146493_OFF-BI-10003676</v>
      </c>
      <c r="E7058" t="str">
        <f>IF(COUNTIF(data2!$D:$D,D7058)=0,"Missing in Data2","Present")</f>
        <v>Present</v>
      </c>
    </row>
    <row r="7059" spans="1:5" x14ac:dyDescent="0.25">
      <c r="A7059" s="2" t="s">
        <v>5449</v>
      </c>
      <c r="B7059" s="2" t="s">
        <v>1636</v>
      </c>
      <c r="C7059" s="2">
        <v>1</v>
      </c>
      <c r="D7059" t="str">
        <f t="shared" si="110"/>
        <v>CA-2017-146535_OFF-BI-10000546</v>
      </c>
      <c r="E7059" t="str">
        <f>IF(COUNTIF(data2!$D:$D,D7059)=0,"Missing in Data2","Present")</f>
        <v>Present</v>
      </c>
    </row>
    <row r="7060" spans="1:5" x14ac:dyDescent="0.25">
      <c r="A7060" s="2" t="s">
        <v>5449</v>
      </c>
      <c r="B7060" s="2" t="s">
        <v>2019</v>
      </c>
      <c r="C7060" s="2">
        <v>12</v>
      </c>
      <c r="D7060" t="str">
        <f t="shared" si="110"/>
        <v>CA-2017-146535_OFF-ST-10001526</v>
      </c>
      <c r="E7060" t="str">
        <f>IF(COUNTIF(data2!$D:$D,D7060)=0,"Missing in Data2","Present")</f>
        <v>Present</v>
      </c>
    </row>
    <row r="7061" spans="1:5" x14ac:dyDescent="0.25">
      <c r="A7061" s="2" t="s">
        <v>5450</v>
      </c>
      <c r="B7061" s="2" t="s">
        <v>5229</v>
      </c>
      <c r="C7061" s="2">
        <v>8</v>
      </c>
      <c r="D7061" t="str">
        <f t="shared" si="110"/>
        <v>CA-2017-146626_FUR-FU-10002501</v>
      </c>
      <c r="E7061" t="str">
        <f>IF(COUNTIF(data2!$D:$D,D7061)=0,"Missing in Data2","Present")</f>
        <v>Present</v>
      </c>
    </row>
    <row r="7062" spans="1:5" x14ac:dyDescent="0.25">
      <c r="A7062" s="2" t="s">
        <v>5451</v>
      </c>
      <c r="B7062" s="2" t="s">
        <v>3069</v>
      </c>
      <c r="C7062" s="2">
        <v>10</v>
      </c>
      <c r="D7062" t="str">
        <f t="shared" si="110"/>
        <v>CA-2017-146724_OFF-AR-10001026</v>
      </c>
      <c r="E7062" t="str">
        <f>IF(COUNTIF(data2!$D:$D,D7062)=0,"Missing in Data2","Present")</f>
        <v>Present</v>
      </c>
    </row>
    <row r="7063" spans="1:5" x14ac:dyDescent="0.25">
      <c r="A7063" s="2" t="s">
        <v>5452</v>
      </c>
      <c r="B7063" s="2" t="s">
        <v>3457</v>
      </c>
      <c r="C7063" s="2">
        <v>2</v>
      </c>
      <c r="D7063" t="str">
        <f t="shared" si="110"/>
        <v>CA-2017-146780_FUR-FU-10001934</v>
      </c>
      <c r="E7063" t="str">
        <f>IF(COUNTIF(data2!$D:$D,D7063)=0,"Missing in Data2","Present")</f>
        <v>Present</v>
      </c>
    </row>
    <row r="7064" spans="1:5" x14ac:dyDescent="0.25">
      <c r="A7064" s="2" t="s">
        <v>5453</v>
      </c>
      <c r="B7064" s="2" t="s">
        <v>4210</v>
      </c>
      <c r="C7064" s="2">
        <v>5</v>
      </c>
      <c r="D7064" t="str">
        <f t="shared" si="110"/>
        <v>CA-2017-146920_OFF-PA-10001461</v>
      </c>
      <c r="E7064" t="str">
        <f>IF(COUNTIF(data2!$D:$D,D7064)=0,"Missing in Data2","Present")</f>
        <v>Present</v>
      </c>
    </row>
    <row r="7065" spans="1:5" x14ac:dyDescent="0.25">
      <c r="A7065" s="2" t="s">
        <v>5453</v>
      </c>
      <c r="B7065" s="2" t="s">
        <v>682</v>
      </c>
      <c r="C7065" s="2">
        <v>6</v>
      </c>
      <c r="D7065" t="str">
        <f t="shared" si="110"/>
        <v>CA-2017-146920_OFF-PA-10002479</v>
      </c>
      <c r="E7065" t="str">
        <f>IF(COUNTIF(data2!$D:$D,D7065)=0,"Missing in Data2","Present")</f>
        <v>Present</v>
      </c>
    </row>
    <row r="7066" spans="1:5" x14ac:dyDescent="0.25">
      <c r="A7066" s="2" t="s">
        <v>5454</v>
      </c>
      <c r="B7066" s="2" t="s">
        <v>1382</v>
      </c>
      <c r="C7066" s="2">
        <v>3</v>
      </c>
      <c r="D7066" t="str">
        <f t="shared" si="110"/>
        <v>CA-2017-146983_OFF-BI-10003650</v>
      </c>
      <c r="E7066" t="str">
        <f>IF(COUNTIF(data2!$D:$D,D7066)=0,"Missing in Data2","Present")</f>
        <v>Present</v>
      </c>
    </row>
    <row r="7067" spans="1:5" x14ac:dyDescent="0.25">
      <c r="A7067" s="2" t="s">
        <v>5455</v>
      </c>
      <c r="B7067" s="2" t="s">
        <v>2204</v>
      </c>
      <c r="C7067" s="2">
        <v>3</v>
      </c>
      <c r="D7067" t="str">
        <f t="shared" si="110"/>
        <v>CA-2017-147032_OFF-BI-10002897</v>
      </c>
      <c r="E7067" t="str">
        <f>IF(COUNTIF(data2!$D:$D,D7067)=0,"Missing in Data2","Present")</f>
        <v>Present</v>
      </c>
    </row>
    <row r="7068" spans="1:5" x14ac:dyDescent="0.25">
      <c r="A7068" s="2" t="s">
        <v>5455</v>
      </c>
      <c r="B7068" s="2" t="s">
        <v>702</v>
      </c>
      <c r="C7068" s="2">
        <v>5</v>
      </c>
      <c r="D7068" t="str">
        <f t="shared" si="110"/>
        <v>CA-2017-147032_OFF-BI-10003656</v>
      </c>
      <c r="E7068" t="str">
        <f>IF(COUNTIF(data2!$D:$D,D7068)=0,"Missing in Data2","Present")</f>
        <v>Present</v>
      </c>
    </row>
    <row r="7069" spans="1:5" x14ac:dyDescent="0.25">
      <c r="A7069" s="2" t="s">
        <v>5456</v>
      </c>
      <c r="B7069" s="2" t="s">
        <v>754</v>
      </c>
      <c r="C7069" s="2">
        <v>3</v>
      </c>
      <c r="D7069" t="str">
        <f t="shared" si="110"/>
        <v>CA-2017-147039_OFF-AP-10000576</v>
      </c>
      <c r="E7069" t="str">
        <f>IF(COUNTIF(data2!$D:$D,D7069)=0,"Missing in Data2","Present")</f>
        <v>Present</v>
      </c>
    </row>
    <row r="7070" spans="1:5" x14ac:dyDescent="0.25">
      <c r="A7070" s="2" t="s">
        <v>5456</v>
      </c>
      <c r="B7070" s="2" t="s">
        <v>483</v>
      </c>
      <c r="C7070" s="2">
        <v>2</v>
      </c>
      <c r="D7070" t="str">
        <f t="shared" si="110"/>
        <v>CA-2017-147039_OFF-BI-10004654</v>
      </c>
      <c r="E7070" t="str">
        <f>IF(COUNTIF(data2!$D:$D,D7070)=0,"Missing in Data2","Present")</f>
        <v>Present</v>
      </c>
    </row>
    <row r="7071" spans="1:5" x14ac:dyDescent="0.25">
      <c r="A7071" s="2" t="s">
        <v>5457</v>
      </c>
      <c r="B7071" s="2" t="s">
        <v>2444</v>
      </c>
      <c r="C7071" s="2">
        <v>1</v>
      </c>
      <c r="D7071" t="str">
        <f t="shared" si="110"/>
        <v>CA-2017-147144_OFF-AR-10004587</v>
      </c>
      <c r="E7071" t="str">
        <f>IF(COUNTIF(data2!$D:$D,D7071)=0,"Missing in Data2","Present")</f>
        <v>Present</v>
      </c>
    </row>
    <row r="7072" spans="1:5" x14ac:dyDescent="0.25">
      <c r="A7072" s="2" t="s">
        <v>5458</v>
      </c>
      <c r="B7072" s="2" t="s">
        <v>841</v>
      </c>
      <c r="C7072" s="2">
        <v>5</v>
      </c>
      <c r="D7072" t="str">
        <f t="shared" si="110"/>
        <v>CA-2017-147207_FUR-TA-10002958</v>
      </c>
      <c r="E7072" t="str">
        <f>IF(COUNTIF(data2!$D:$D,D7072)=0,"Missing in Data2","Present")</f>
        <v>Present</v>
      </c>
    </row>
    <row r="7073" spans="1:5" x14ac:dyDescent="0.25">
      <c r="A7073" s="2" t="s">
        <v>5458</v>
      </c>
      <c r="B7073" s="2" t="s">
        <v>5459</v>
      </c>
      <c r="C7073" s="2">
        <v>2</v>
      </c>
      <c r="D7073" t="str">
        <f t="shared" si="110"/>
        <v>CA-2017-147207_OFF-AP-10000027</v>
      </c>
      <c r="E7073" t="str">
        <f>IF(COUNTIF(data2!$D:$D,D7073)=0,"Missing in Data2","Present")</f>
        <v>Present</v>
      </c>
    </row>
    <row r="7074" spans="1:5" x14ac:dyDescent="0.25">
      <c r="A7074" s="2" t="s">
        <v>5458</v>
      </c>
      <c r="B7074" s="2" t="s">
        <v>1034</v>
      </c>
      <c r="C7074" s="2">
        <v>2</v>
      </c>
      <c r="D7074" t="str">
        <f t="shared" si="110"/>
        <v>CA-2017-147207_OFF-AR-10001955</v>
      </c>
      <c r="E7074" t="str">
        <f>IF(COUNTIF(data2!$D:$D,D7074)=0,"Missing in Data2","Present")</f>
        <v>Present</v>
      </c>
    </row>
    <row r="7075" spans="1:5" x14ac:dyDescent="0.25">
      <c r="A7075" s="2" t="s">
        <v>5458</v>
      </c>
      <c r="B7075" s="2" t="s">
        <v>790</v>
      </c>
      <c r="C7075" s="2">
        <v>3</v>
      </c>
      <c r="D7075" t="str">
        <f t="shared" si="110"/>
        <v>CA-2017-147207_OFF-ST-10002615</v>
      </c>
      <c r="E7075" t="str">
        <f>IF(COUNTIF(data2!$D:$D,D7075)=0,"Missing in Data2","Present")</f>
        <v>Present</v>
      </c>
    </row>
    <row r="7076" spans="1:5" x14ac:dyDescent="0.25">
      <c r="A7076" s="2" t="s">
        <v>5460</v>
      </c>
      <c r="B7076" s="2" t="s">
        <v>1324</v>
      </c>
      <c r="C7076" s="2">
        <v>3</v>
      </c>
      <c r="D7076" t="str">
        <f t="shared" si="110"/>
        <v>CA-2017-147228_FUR-FU-10000023</v>
      </c>
      <c r="E7076" t="str">
        <f>IF(COUNTIF(data2!$D:$D,D7076)=0,"Missing in Data2","Present")</f>
        <v>Present</v>
      </c>
    </row>
    <row r="7077" spans="1:5" x14ac:dyDescent="0.25">
      <c r="A7077" s="2" t="s">
        <v>5460</v>
      </c>
      <c r="B7077" s="2" t="s">
        <v>41</v>
      </c>
      <c r="C7077" s="2">
        <v>4</v>
      </c>
      <c r="D7077" t="str">
        <f t="shared" si="110"/>
        <v>CA-2017-147228_OFF-PA-10000357</v>
      </c>
      <c r="E7077" t="str">
        <f>IF(COUNTIF(data2!$D:$D,D7077)=0,"Missing in Data2","Present")</f>
        <v>Present</v>
      </c>
    </row>
    <row r="7078" spans="1:5" x14ac:dyDescent="0.25">
      <c r="A7078" s="2" t="s">
        <v>5460</v>
      </c>
      <c r="B7078" s="2" t="s">
        <v>435</v>
      </c>
      <c r="C7078" s="2">
        <v>2</v>
      </c>
      <c r="D7078" t="str">
        <f t="shared" si="110"/>
        <v>CA-2017-147228_OFF-ST-10000046</v>
      </c>
      <c r="E7078" t="str">
        <f>IF(COUNTIF(data2!$D:$D,D7078)=0,"Missing in Data2","Present")</f>
        <v>Present</v>
      </c>
    </row>
    <row r="7079" spans="1:5" x14ac:dyDescent="0.25">
      <c r="A7079" s="2" t="s">
        <v>5460</v>
      </c>
      <c r="B7079" s="2" t="s">
        <v>219</v>
      </c>
      <c r="C7079" s="2">
        <v>3</v>
      </c>
      <c r="D7079" t="str">
        <f t="shared" si="110"/>
        <v>CA-2017-147228_OFF-SU-10001225</v>
      </c>
      <c r="E7079" t="str">
        <f>IF(COUNTIF(data2!$D:$D,D7079)=0,"Missing in Data2","Present")</f>
        <v>Present</v>
      </c>
    </row>
    <row r="7080" spans="1:5" x14ac:dyDescent="0.25">
      <c r="A7080" s="2" t="s">
        <v>5461</v>
      </c>
      <c r="B7080" s="2" t="s">
        <v>544</v>
      </c>
      <c r="C7080" s="2">
        <v>2</v>
      </c>
      <c r="D7080" t="str">
        <f t="shared" si="110"/>
        <v>CA-2017-147277_FUR-TA-10001539</v>
      </c>
      <c r="E7080" t="str">
        <f>IF(COUNTIF(data2!$D:$D,D7080)=0,"Missing in Data2","Present")</f>
        <v>Present</v>
      </c>
    </row>
    <row r="7081" spans="1:5" x14ac:dyDescent="0.25">
      <c r="A7081" s="2" t="s">
        <v>5461</v>
      </c>
      <c r="B7081" s="2" t="s">
        <v>2110</v>
      </c>
      <c r="C7081" s="2">
        <v>2</v>
      </c>
      <c r="D7081" t="str">
        <f t="shared" si="110"/>
        <v>CA-2017-147277_OFF-ST-10000142</v>
      </c>
      <c r="E7081" t="str">
        <f>IF(COUNTIF(data2!$D:$D,D7081)=0,"Missing in Data2","Present")</f>
        <v>Present</v>
      </c>
    </row>
    <row r="7082" spans="1:5" x14ac:dyDescent="0.25">
      <c r="A7082" s="2" t="s">
        <v>5462</v>
      </c>
      <c r="B7082" s="2" t="s">
        <v>5266</v>
      </c>
      <c r="C7082" s="2">
        <v>4</v>
      </c>
      <c r="D7082" t="str">
        <f t="shared" si="110"/>
        <v>CA-2017-147291_OFF-BI-10003091</v>
      </c>
      <c r="E7082" t="str">
        <f>IF(COUNTIF(data2!$D:$D,D7082)=0,"Missing in Data2","Present")</f>
        <v>Present</v>
      </c>
    </row>
    <row r="7083" spans="1:5" x14ac:dyDescent="0.25">
      <c r="A7083" s="2" t="s">
        <v>5463</v>
      </c>
      <c r="B7083" s="2" t="s">
        <v>311</v>
      </c>
      <c r="C7083" s="2">
        <v>5</v>
      </c>
      <c r="D7083" t="str">
        <f t="shared" si="110"/>
        <v>CA-2017-147333_TEC-AC-10003038</v>
      </c>
      <c r="E7083" t="str">
        <f>IF(COUNTIF(data2!$D:$D,D7083)=0,"Missing in Data2","Present")</f>
        <v>Present</v>
      </c>
    </row>
    <row r="7084" spans="1:5" x14ac:dyDescent="0.25">
      <c r="A7084" s="2" t="s">
        <v>5463</v>
      </c>
      <c r="B7084" s="2" t="s">
        <v>2802</v>
      </c>
      <c r="C7084" s="2">
        <v>4</v>
      </c>
      <c r="D7084" t="str">
        <f t="shared" si="110"/>
        <v>CA-2017-147333_TEC-AC-10004469</v>
      </c>
      <c r="E7084" t="str">
        <f>IF(COUNTIF(data2!$D:$D,D7084)=0,"Missing in Data2","Present")</f>
        <v>Present</v>
      </c>
    </row>
    <row r="7085" spans="1:5" x14ac:dyDescent="0.25">
      <c r="A7085" s="2" t="s">
        <v>5464</v>
      </c>
      <c r="B7085" s="2" t="s">
        <v>546</v>
      </c>
      <c r="C7085" s="2">
        <v>5</v>
      </c>
      <c r="D7085" t="str">
        <f t="shared" si="110"/>
        <v>CA-2017-147354_OFF-BI-10003910</v>
      </c>
      <c r="E7085" t="str">
        <f>IF(COUNTIF(data2!$D:$D,D7085)=0,"Missing in Data2","Present")</f>
        <v>Present</v>
      </c>
    </row>
    <row r="7086" spans="1:5" x14ac:dyDescent="0.25">
      <c r="A7086" s="2" t="s">
        <v>5464</v>
      </c>
      <c r="B7086" s="2" t="s">
        <v>3908</v>
      </c>
      <c r="C7086" s="2">
        <v>2</v>
      </c>
      <c r="D7086" t="str">
        <f t="shared" si="110"/>
        <v>CA-2017-147354_TEC-CO-10000971</v>
      </c>
      <c r="E7086" t="str">
        <f>IF(COUNTIF(data2!$D:$D,D7086)=0,"Missing in Data2","Present")</f>
        <v>Present</v>
      </c>
    </row>
    <row r="7087" spans="1:5" x14ac:dyDescent="0.25">
      <c r="A7087" s="2" t="s">
        <v>5465</v>
      </c>
      <c r="B7087" s="2" t="s">
        <v>465</v>
      </c>
      <c r="C7087" s="2">
        <v>7</v>
      </c>
      <c r="D7087" t="str">
        <f t="shared" si="110"/>
        <v>CA-2017-147361_OFF-ST-10001809</v>
      </c>
      <c r="E7087" t="str">
        <f>IF(COUNTIF(data2!$D:$D,D7087)=0,"Missing in Data2","Present")</f>
        <v>Present</v>
      </c>
    </row>
    <row r="7088" spans="1:5" x14ac:dyDescent="0.25">
      <c r="A7088" s="2" t="s">
        <v>5465</v>
      </c>
      <c r="B7088" s="2" t="s">
        <v>652</v>
      </c>
      <c r="C7088" s="2">
        <v>5</v>
      </c>
      <c r="D7088" t="str">
        <f t="shared" si="110"/>
        <v>CA-2017-147361_OFF-ST-10002214</v>
      </c>
      <c r="E7088" t="str">
        <f>IF(COUNTIF(data2!$D:$D,D7088)=0,"Missing in Data2","Present")</f>
        <v>Present</v>
      </c>
    </row>
    <row r="7089" spans="1:5" x14ac:dyDescent="0.25">
      <c r="A7089" s="2" t="s">
        <v>5466</v>
      </c>
      <c r="B7089" s="2" t="s">
        <v>1234</v>
      </c>
      <c r="C7089" s="2">
        <v>3</v>
      </c>
      <c r="D7089" t="str">
        <f t="shared" si="110"/>
        <v>CA-2017-147403_OFF-PA-10003302</v>
      </c>
      <c r="E7089" t="str">
        <f>IF(COUNTIF(data2!$D:$D,D7089)=0,"Missing in Data2","Present")</f>
        <v>Present</v>
      </c>
    </row>
    <row r="7090" spans="1:5" x14ac:dyDescent="0.25">
      <c r="A7090" s="2" t="s">
        <v>5467</v>
      </c>
      <c r="B7090" s="2" t="s">
        <v>1127</v>
      </c>
      <c r="C7090" s="2">
        <v>2</v>
      </c>
      <c r="D7090" t="str">
        <f t="shared" si="110"/>
        <v>CA-2017-147410_OFF-ST-10003805</v>
      </c>
      <c r="E7090" t="str">
        <f>IF(COUNTIF(data2!$D:$D,D7090)=0,"Missing in Data2","Present")</f>
        <v>Present</v>
      </c>
    </row>
    <row r="7091" spans="1:5" x14ac:dyDescent="0.25">
      <c r="A7091" s="2" t="s">
        <v>5468</v>
      </c>
      <c r="B7091" s="2" t="s">
        <v>1453</v>
      </c>
      <c r="C7091" s="2">
        <v>1</v>
      </c>
      <c r="D7091" t="str">
        <f t="shared" si="110"/>
        <v>CA-2017-147452_OFF-AP-10001626</v>
      </c>
      <c r="E7091" t="str">
        <f>IF(COUNTIF(data2!$D:$D,D7091)=0,"Missing in Data2","Present")</f>
        <v>Present</v>
      </c>
    </row>
    <row r="7092" spans="1:5" x14ac:dyDescent="0.25">
      <c r="A7092" s="2" t="s">
        <v>5468</v>
      </c>
      <c r="B7092" s="2" t="s">
        <v>309</v>
      </c>
      <c r="C7092" s="2">
        <v>2</v>
      </c>
      <c r="D7092" t="str">
        <f t="shared" si="110"/>
        <v>CA-2017-147452_OFF-PA-10001838</v>
      </c>
      <c r="E7092" t="str">
        <f>IF(COUNTIF(data2!$D:$D,D7092)=0,"Missing in Data2","Present")</f>
        <v>Present</v>
      </c>
    </row>
    <row r="7093" spans="1:5" x14ac:dyDescent="0.25">
      <c r="A7093" s="2" t="s">
        <v>5468</v>
      </c>
      <c r="B7093" s="2" t="s">
        <v>3791</v>
      </c>
      <c r="C7093" s="2">
        <v>3</v>
      </c>
      <c r="D7093" t="str">
        <f t="shared" si="110"/>
        <v>CA-2017-147452_OFF-PA-10004039</v>
      </c>
      <c r="E7093" t="str">
        <f>IF(COUNTIF(data2!$D:$D,D7093)=0,"Missing in Data2","Present")</f>
        <v>Present</v>
      </c>
    </row>
    <row r="7094" spans="1:5" x14ac:dyDescent="0.25">
      <c r="A7094" s="2" t="s">
        <v>5469</v>
      </c>
      <c r="B7094" s="2" t="s">
        <v>1260</v>
      </c>
      <c r="C7094" s="2">
        <v>3</v>
      </c>
      <c r="D7094" t="str">
        <f t="shared" si="110"/>
        <v>CA-2017-147550_FUR-FU-10001918</v>
      </c>
      <c r="E7094" t="str">
        <f>IF(COUNTIF(data2!$D:$D,D7094)=0,"Missing in Data2","Present")</f>
        <v>Present</v>
      </c>
    </row>
    <row r="7095" spans="1:5" x14ac:dyDescent="0.25">
      <c r="A7095" s="2" t="s">
        <v>5470</v>
      </c>
      <c r="B7095" s="2" t="s">
        <v>5280</v>
      </c>
      <c r="C7095" s="2">
        <v>4</v>
      </c>
      <c r="D7095" t="str">
        <f t="shared" si="110"/>
        <v>CA-2017-147564_OFF-PA-10004438</v>
      </c>
      <c r="E7095" t="str">
        <f>IF(COUNTIF(data2!$D:$D,D7095)=0,"Missing in Data2","Present")</f>
        <v>Present</v>
      </c>
    </row>
    <row r="7096" spans="1:5" x14ac:dyDescent="0.25">
      <c r="A7096" s="2" t="s">
        <v>5471</v>
      </c>
      <c r="B7096" s="2" t="s">
        <v>429</v>
      </c>
      <c r="C7096" s="2">
        <v>3</v>
      </c>
      <c r="D7096" t="str">
        <f t="shared" si="110"/>
        <v>CA-2017-147725_OFF-AR-10001725</v>
      </c>
      <c r="E7096" t="str">
        <f>IF(COUNTIF(data2!$D:$D,D7096)=0,"Missing in Data2","Present")</f>
        <v>Present</v>
      </c>
    </row>
    <row r="7097" spans="1:5" x14ac:dyDescent="0.25">
      <c r="A7097" s="2" t="s">
        <v>5472</v>
      </c>
      <c r="B7097" s="2" t="s">
        <v>5473</v>
      </c>
      <c r="C7097" s="2">
        <v>2</v>
      </c>
      <c r="D7097" t="str">
        <f t="shared" si="110"/>
        <v>CA-2017-147753_OFF-LA-10003537</v>
      </c>
      <c r="E7097" t="str">
        <f>IF(COUNTIF(data2!$D:$D,D7097)=0,"Missing in Data2","Present")</f>
        <v>Present</v>
      </c>
    </row>
    <row r="7098" spans="1:5" x14ac:dyDescent="0.25">
      <c r="A7098" s="2" t="s">
        <v>5474</v>
      </c>
      <c r="B7098" s="2" t="s">
        <v>939</v>
      </c>
      <c r="C7098" s="2">
        <v>3</v>
      </c>
      <c r="D7098" t="str">
        <f t="shared" si="110"/>
        <v>CA-2017-147760_FUR-TA-10004575</v>
      </c>
      <c r="E7098" t="str">
        <f>IF(COUNTIF(data2!$D:$D,D7098)=0,"Missing in Data2","Present")</f>
        <v>Present</v>
      </c>
    </row>
    <row r="7099" spans="1:5" x14ac:dyDescent="0.25">
      <c r="A7099" s="2" t="s">
        <v>5475</v>
      </c>
      <c r="B7099" s="2" t="s">
        <v>267</v>
      </c>
      <c r="C7099" s="2">
        <v>6</v>
      </c>
      <c r="D7099" t="str">
        <f t="shared" si="110"/>
        <v>CA-2017-147767_OFF-BI-10001670</v>
      </c>
      <c r="E7099" t="str">
        <f>IF(COUNTIF(data2!$D:$D,D7099)=0,"Missing in Data2","Present")</f>
        <v>Present</v>
      </c>
    </row>
    <row r="7100" spans="1:5" x14ac:dyDescent="0.25">
      <c r="A7100" s="2" t="s">
        <v>5476</v>
      </c>
      <c r="B7100" s="2" t="s">
        <v>1492</v>
      </c>
      <c r="C7100" s="2">
        <v>3</v>
      </c>
      <c r="D7100" t="str">
        <f t="shared" si="110"/>
        <v>CA-2017-147844_OFF-AR-10001615</v>
      </c>
      <c r="E7100" t="str">
        <f>IF(COUNTIF(data2!$D:$D,D7100)=0,"Missing in Data2","Present")</f>
        <v>Present</v>
      </c>
    </row>
    <row r="7101" spans="1:5" x14ac:dyDescent="0.25">
      <c r="A7101" s="2" t="s">
        <v>5476</v>
      </c>
      <c r="B7101" s="2" t="s">
        <v>2748</v>
      </c>
      <c r="C7101" s="2">
        <v>5</v>
      </c>
      <c r="D7101" t="str">
        <f t="shared" si="110"/>
        <v>CA-2017-147844_OFF-PA-10002713</v>
      </c>
      <c r="E7101" t="str">
        <f>IF(COUNTIF(data2!$D:$D,D7101)=0,"Missing in Data2","Present")</f>
        <v>Present</v>
      </c>
    </row>
    <row r="7102" spans="1:5" x14ac:dyDescent="0.25">
      <c r="A7102" s="2" t="s">
        <v>5476</v>
      </c>
      <c r="B7102" s="2" t="s">
        <v>1156</v>
      </c>
      <c r="C7102" s="2">
        <v>5</v>
      </c>
      <c r="D7102" t="str">
        <f t="shared" si="110"/>
        <v>CA-2017-147844_OFF-PA-10003016</v>
      </c>
      <c r="E7102" t="str">
        <f>IF(COUNTIF(data2!$D:$D,D7102)=0,"Missing in Data2","Present")</f>
        <v>Missing in Data2</v>
      </c>
    </row>
    <row r="7103" spans="1:5" x14ac:dyDescent="0.25">
      <c r="A7103" s="2" t="s">
        <v>5477</v>
      </c>
      <c r="B7103" s="2" t="s">
        <v>604</v>
      </c>
      <c r="C7103" s="2">
        <v>13</v>
      </c>
      <c r="D7103" t="str">
        <f t="shared" si="110"/>
        <v>CA-2017-147942_OFF-BI-10001294</v>
      </c>
      <c r="E7103" t="str">
        <f>IF(COUNTIF(data2!$D:$D,D7103)=0,"Missing in Data2","Present")</f>
        <v>Present</v>
      </c>
    </row>
    <row r="7104" spans="1:5" x14ac:dyDescent="0.25">
      <c r="A7104" s="2" t="s">
        <v>5477</v>
      </c>
      <c r="B7104" s="2" t="s">
        <v>3873</v>
      </c>
      <c r="C7104" s="2">
        <v>2</v>
      </c>
      <c r="D7104" t="str">
        <f t="shared" si="110"/>
        <v>CA-2017-147942_OFF-LA-10003663</v>
      </c>
      <c r="E7104" t="str">
        <f>IF(COUNTIF(data2!$D:$D,D7104)=0,"Missing in Data2","Present")</f>
        <v>Present</v>
      </c>
    </row>
    <row r="7105" spans="1:5" x14ac:dyDescent="0.25">
      <c r="A7105" s="2" t="s">
        <v>5478</v>
      </c>
      <c r="B7105" s="2" t="s">
        <v>763</v>
      </c>
      <c r="C7105" s="2">
        <v>6</v>
      </c>
      <c r="D7105" t="str">
        <f t="shared" si="110"/>
        <v>CA-2017-147956_OFF-ST-10001097</v>
      </c>
      <c r="E7105" t="str">
        <f>IF(COUNTIF(data2!$D:$D,D7105)=0,"Missing in Data2","Present")</f>
        <v>Present</v>
      </c>
    </row>
    <row r="7106" spans="1:5" x14ac:dyDescent="0.25">
      <c r="A7106" s="2" t="s">
        <v>5479</v>
      </c>
      <c r="B7106" s="2" t="s">
        <v>58</v>
      </c>
      <c r="C7106" s="2">
        <v>1</v>
      </c>
      <c r="D7106" t="str">
        <f t="shared" si="110"/>
        <v>CA-2017-148012_OFF-AR-10004757</v>
      </c>
      <c r="E7106" t="str">
        <f>IF(COUNTIF(data2!$D:$D,D7106)=0,"Missing in Data2","Present")</f>
        <v>Present</v>
      </c>
    </row>
    <row r="7107" spans="1:5" x14ac:dyDescent="0.25">
      <c r="A7107" s="2" t="s">
        <v>5480</v>
      </c>
      <c r="B7107" s="2" t="s">
        <v>21</v>
      </c>
      <c r="C7107" s="2">
        <v>2</v>
      </c>
      <c r="D7107" t="str">
        <f t="shared" ref="D7107:D7170" si="111">A7107&amp;"_"&amp;B7107</f>
        <v>CA-2017-148068_FUR-FU-10002268</v>
      </c>
      <c r="E7107" t="str">
        <f>IF(COUNTIF(data2!$D:$D,D7107)=0,"Missing in Data2","Present")</f>
        <v>Present</v>
      </c>
    </row>
    <row r="7108" spans="1:5" x14ac:dyDescent="0.25">
      <c r="A7108" s="2" t="s">
        <v>5480</v>
      </c>
      <c r="B7108" s="2" t="s">
        <v>926</v>
      </c>
      <c r="C7108" s="2">
        <v>3</v>
      </c>
      <c r="D7108" t="str">
        <f t="shared" si="111"/>
        <v>CA-2017-148068_OFF-PA-10001639</v>
      </c>
      <c r="E7108" t="str">
        <f>IF(COUNTIF(data2!$D:$D,D7108)=0,"Missing in Data2","Present")</f>
        <v>Present</v>
      </c>
    </row>
    <row r="7109" spans="1:5" x14ac:dyDescent="0.25">
      <c r="A7109" s="2" t="s">
        <v>5481</v>
      </c>
      <c r="B7109" s="2" t="s">
        <v>1339</v>
      </c>
      <c r="C7109" s="2">
        <v>2</v>
      </c>
      <c r="D7109" t="str">
        <f t="shared" si="111"/>
        <v>CA-2017-148138_OFF-ST-10000563</v>
      </c>
      <c r="E7109" t="str">
        <f>IF(COUNTIF(data2!$D:$D,D7109)=0,"Missing in Data2","Present")</f>
        <v>Present</v>
      </c>
    </row>
    <row r="7110" spans="1:5" x14ac:dyDescent="0.25">
      <c r="A7110" s="2" t="s">
        <v>5482</v>
      </c>
      <c r="B7110" s="2" t="s">
        <v>640</v>
      </c>
      <c r="C7110" s="2">
        <v>4</v>
      </c>
      <c r="D7110" t="str">
        <f t="shared" si="111"/>
        <v>CA-2017-148145_OFF-AR-10003752</v>
      </c>
      <c r="E7110" t="str">
        <f>IF(COUNTIF(data2!$D:$D,D7110)=0,"Missing in Data2","Present")</f>
        <v>Missing in Data2</v>
      </c>
    </row>
    <row r="7111" spans="1:5" x14ac:dyDescent="0.25">
      <c r="A7111" s="2" t="s">
        <v>5483</v>
      </c>
      <c r="B7111" s="2" t="s">
        <v>4527</v>
      </c>
      <c r="C7111" s="2">
        <v>4</v>
      </c>
      <c r="D7111" t="str">
        <f t="shared" si="111"/>
        <v>CA-2017-148166_OFF-AR-10004956</v>
      </c>
      <c r="E7111" t="str">
        <f>IF(COUNTIF(data2!$D:$D,D7111)=0,"Missing in Data2","Present")</f>
        <v>Present</v>
      </c>
    </row>
    <row r="7112" spans="1:5" x14ac:dyDescent="0.25">
      <c r="A7112" s="2" t="s">
        <v>5484</v>
      </c>
      <c r="B7112" s="2" t="s">
        <v>1864</v>
      </c>
      <c r="C7112" s="2">
        <v>2</v>
      </c>
      <c r="D7112" t="str">
        <f t="shared" si="111"/>
        <v>CA-2017-148264_FUR-FU-10002703</v>
      </c>
      <c r="E7112" t="str">
        <f>IF(COUNTIF(data2!$D:$D,D7112)=0,"Missing in Data2","Present")</f>
        <v>Present</v>
      </c>
    </row>
    <row r="7113" spans="1:5" x14ac:dyDescent="0.25">
      <c r="A7113" s="2" t="s">
        <v>5484</v>
      </c>
      <c r="B7113" s="2" t="s">
        <v>607</v>
      </c>
      <c r="C7113" s="2">
        <v>3</v>
      </c>
      <c r="D7113" t="str">
        <f t="shared" si="111"/>
        <v>CA-2017-148264_OFF-ST-10003327</v>
      </c>
      <c r="E7113" t="str">
        <f>IF(COUNTIF(data2!$D:$D,D7113)=0,"Missing in Data2","Present")</f>
        <v>Present</v>
      </c>
    </row>
    <row r="7114" spans="1:5" x14ac:dyDescent="0.25">
      <c r="A7114" s="2" t="s">
        <v>5485</v>
      </c>
      <c r="B7114" s="2" t="s">
        <v>1469</v>
      </c>
      <c r="C7114" s="2">
        <v>6</v>
      </c>
      <c r="D7114" t="str">
        <f t="shared" si="111"/>
        <v>CA-2017-148320_OFF-PA-10003022</v>
      </c>
      <c r="E7114" t="str">
        <f>IF(COUNTIF(data2!$D:$D,D7114)=0,"Missing in Data2","Present")</f>
        <v>Present</v>
      </c>
    </row>
    <row r="7115" spans="1:5" x14ac:dyDescent="0.25">
      <c r="A7115" s="2" t="s">
        <v>5486</v>
      </c>
      <c r="B7115" s="2" t="s">
        <v>1384</v>
      </c>
      <c r="C7115" s="2">
        <v>5</v>
      </c>
      <c r="D7115" t="str">
        <f t="shared" si="111"/>
        <v>CA-2017-148355_OFF-BI-10000201</v>
      </c>
      <c r="E7115" t="str">
        <f>IF(COUNTIF(data2!$D:$D,D7115)=0,"Missing in Data2","Present")</f>
        <v>Present</v>
      </c>
    </row>
    <row r="7116" spans="1:5" x14ac:dyDescent="0.25">
      <c r="A7116" s="2" t="s">
        <v>5486</v>
      </c>
      <c r="B7116" s="2" t="s">
        <v>1431</v>
      </c>
      <c r="C7116" s="2">
        <v>3</v>
      </c>
      <c r="D7116" t="str">
        <f t="shared" si="111"/>
        <v>CA-2017-148355_OFF-PA-10001972</v>
      </c>
      <c r="E7116" t="str">
        <f>IF(COUNTIF(data2!$D:$D,D7116)=0,"Missing in Data2","Present")</f>
        <v>Present</v>
      </c>
    </row>
    <row r="7117" spans="1:5" x14ac:dyDescent="0.25">
      <c r="A7117" s="2" t="s">
        <v>5487</v>
      </c>
      <c r="B7117" s="2" t="s">
        <v>183</v>
      </c>
      <c r="C7117" s="2">
        <v>3</v>
      </c>
      <c r="D7117" t="str">
        <f t="shared" si="111"/>
        <v>CA-2017-148404_FUR-TA-10001039</v>
      </c>
      <c r="E7117" t="str">
        <f>IF(COUNTIF(data2!$D:$D,D7117)=0,"Missing in Data2","Present")</f>
        <v>Present</v>
      </c>
    </row>
    <row r="7118" spans="1:5" x14ac:dyDescent="0.25">
      <c r="A7118" s="2" t="s">
        <v>5487</v>
      </c>
      <c r="B7118" s="2" t="s">
        <v>337</v>
      </c>
      <c r="C7118" s="2">
        <v>6</v>
      </c>
      <c r="D7118" t="str">
        <f t="shared" si="111"/>
        <v>CA-2017-148404_OFF-BI-10002854</v>
      </c>
      <c r="E7118" t="str">
        <f>IF(COUNTIF(data2!$D:$D,D7118)=0,"Missing in Data2","Present")</f>
        <v>Present</v>
      </c>
    </row>
    <row r="7119" spans="1:5" x14ac:dyDescent="0.25">
      <c r="A7119" s="2" t="s">
        <v>5487</v>
      </c>
      <c r="B7119" s="2" t="s">
        <v>1320</v>
      </c>
      <c r="C7119" s="2">
        <v>3</v>
      </c>
      <c r="D7119" t="str">
        <f t="shared" si="111"/>
        <v>CA-2017-148404_OFF-FA-10003112</v>
      </c>
      <c r="E7119" t="str">
        <f>IF(COUNTIF(data2!$D:$D,D7119)=0,"Missing in Data2","Present")</f>
        <v>Present</v>
      </c>
    </row>
    <row r="7120" spans="1:5" x14ac:dyDescent="0.25">
      <c r="A7120" s="2" t="s">
        <v>5487</v>
      </c>
      <c r="B7120" s="2" t="s">
        <v>550</v>
      </c>
      <c r="C7120" s="2">
        <v>4</v>
      </c>
      <c r="D7120" t="str">
        <f t="shared" si="111"/>
        <v>CA-2017-148404_OFF-ST-10003208</v>
      </c>
      <c r="E7120" t="str">
        <f>IF(COUNTIF(data2!$D:$D,D7120)=0,"Missing in Data2","Present")</f>
        <v>Present</v>
      </c>
    </row>
    <row r="7121" spans="1:5" x14ac:dyDescent="0.25">
      <c r="A7121" s="2" t="s">
        <v>5487</v>
      </c>
      <c r="B7121" s="2" t="s">
        <v>1205</v>
      </c>
      <c r="C7121" s="2">
        <v>2</v>
      </c>
      <c r="D7121" t="str">
        <f t="shared" si="111"/>
        <v>CA-2017-148404_TEC-PH-10004447</v>
      </c>
      <c r="E7121" t="str">
        <f>IF(COUNTIF(data2!$D:$D,D7121)=0,"Missing in Data2","Present")</f>
        <v>Present</v>
      </c>
    </row>
    <row r="7122" spans="1:5" x14ac:dyDescent="0.25">
      <c r="A7122" s="2" t="s">
        <v>5488</v>
      </c>
      <c r="B7122" s="2" t="s">
        <v>807</v>
      </c>
      <c r="C7122" s="2">
        <v>2</v>
      </c>
      <c r="D7122" t="str">
        <f t="shared" si="111"/>
        <v>CA-2017-148411_FUR-CH-10003973</v>
      </c>
      <c r="E7122" t="str">
        <f>IF(COUNTIF(data2!$D:$D,D7122)=0,"Missing in Data2","Present")</f>
        <v>Present</v>
      </c>
    </row>
    <row r="7123" spans="1:5" x14ac:dyDescent="0.25">
      <c r="A7123" s="2" t="s">
        <v>5488</v>
      </c>
      <c r="B7123" s="2" t="s">
        <v>1126</v>
      </c>
      <c r="C7123" s="2">
        <v>3</v>
      </c>
      <c r="D7123" t="str">
        <f t="shared" si="111"/>
        <v>CA-2017-148411_OFF-PA-10002109</v>
      </c>
      <c r="E7123" t="str">
        <f>IF(COUNTIF(data2!$D:$D,D7123)=0,"Missing in Data2","Present")</f>
        <v>Present</v>
      </c>
    </row>
    <row r="7124" spans="1:5" x14ac:dyDescent="0.25">
      <c r="A7124" s="2" t="s">
        <v>5489</v>
      </c>
      <c r="B7124" s="2" t="s">
        <v>3419</v>
      </c>
      <c r="C7124" s="2">
        <v>4</v>
      </c>
      <c r="D7124" t="str">
        <f t="shared" si="111"/>
        <v>CA-2017-148446_FUR-TA-10004256</v>
      </c>
      <c r="E7124" t="str">
        <f>IF(COUNTIF(data2!$D:$D,D7124)=0,"Missing in Data2","Present")</f>
        <v>Present</v>
      </c>
    </row>
    <row r="7125" spans="1:5" x14ac:dyDescent="0.25">
      <c r="A7125" s="2" t="s">
        <v>5490</v>
      </c>
      <c r="B7125" s="2" t="s">
        <v>1996</v>
      </c>
      <c r="C7125" s="2">
        <v>3</v>
      </c>
      <c r="D7125" t="str">
        <f t="shared" si="111"/>
        <v>CA-2017-148474_FUR-TA-10002530</v>
      </c>
      <c r="E7125" t="str">
        <f>IF(COUNTIF(data2!$D:$D,D7125)=0,"Missing in Data2","Present")</f>
        <v>Present</v>
      </c>
    </row>
    <row r="7126" spans="1:5" x14ac:dyDescent="0.25">
      <c r="A7126" s="2" t="s">
        <v>5490</v>
      </c>
      <c r="B7126" s="2" t="s">
        <v>859</v>
      </c>
      <c r="C7126" s="2">
        <v>3</v>
      </c>
      <c r="D7126" t="str">
        <f t="shared" si="111"/>
        <v>CA-2017-148474_OFF-BI-10000977</v>
      </c>
      <c r="E7126" t="str">
        <f>IF(COUNTIF(data2!$D:$D,D7126)=0,"Missing in Data2","Present")</f>
        <v>Present</v>
      </c>
    </row>
    <row r="7127" spans="1:5" x14ac:dyDescent="0.25">
      <c r="A7127" s="2" t="s">
        <v>5491</v>
      </c>
      <c r="B7127" s="2" t="s">
        <v>1821</v>
      </c>
      <c r="C7127" s="2">
        <v>4</v>
      </c>
      <c r="D7127" t="str">
        <f t="shared" si="111"/>
        <v>CA-2017-148642_OFF-AR-10000588</v>
      </c>
      <c r="E7127" t="str">
        <f>IF(COUNTIF(data2!$D:$D,D7127)=0,"Missing in Data2","Present")</f>
        <v>Present</v>
      </c>
    </row>
    <row r="7128" spans="1:5" x14ac:dyDescent="0.25">
      <c r="A7128" s="2" t="s">
        <v>5491</v>
      </c>
      <c r="B7128" s="2" t="s">
        <v>1874</v>
      </c>
      <c r="C7128" s="2">
        <v>2</v>
      </c>
      <c r="D7128" t="str">
        <f t="shared" si="111"/>
        <v>CA-2017-148642_OFF-LA-10000134</v>
      </c>
      <c r="E7128" t="str">
        <f>IF(COUNTIF(data2!$D:$D,D7128)=0,"Missing in Data2","Present")</f>
        <v>Present</v>
      </c>
    </row>
    <row r="7129" spans="1:5" x14ac:dyDescent="0.25">
      <c r="A7129" s="2" t="s">
        <v>5492</v>
      </c>
      <c r="B7129" s="2" t="s">
        <v>1815</v>
      </c>
      <c r="C7129" s="2">
        <v>5</v>
      </c>
      <c r="D7129" t="str">
        <f t="shared" si="111"/>
        <v>CA-2017-148691_OFF-BI-10001524</v>
      </c>
      <c r="E7129" t="str">
        <f>IF(COUNTIF(data2!$D:$D,D7129)=0,"Missing in Data2","Present")</f>
        <v>Present</v>
      </c>
    </row>
    <row r="7130" spans="1:5" x14ac:dyDescent="0.25">
      <c r="A7130" s="2" t="s">
        <v>5492</v>
      </c>
      <c r="B7130" s="2" t="s">
        <v>1042</v>
      </c>
      <c r="C7130" s="2">
        <v>2</v>
      </c>
      <c r="D7130" t="str">
        <f t="shared" si="111"/>
        <v>CA-2017-148691_OFF-BI-10001553</v>
      </c>
      <c r="E7130" t="str">
        <f>IF(COUNTIF(data2!$D:$D,D7130)=0,"Missing in Data2","Present")</f>
        <v>Present</v>
      </c>
    </row>
    <row r="7131" spans="1:5" x14ac:dyDescent="0.25">
      <c r="A7131" s="2" t="s">
        <v>5492</v>
      </c>
      <c r="B7131" s="2" t="s">
        <v>3116</v>
      </c>
      <c r="C7131" s="2">
        <v>1</v>
      </c>
      <c r="D7131" t="str">
        <f t="shared" si="111"/>
        <v>CA-2017-148691_OFF-LA-10001317</v>
      </c>
      <c r="E7131" t="str">
        <f>IF(COUNTIF(data2!$D:$D,D7131)=0,"Missing in Data2","Present")</f>
        <v>Present</v>
      </c>
    </row>
    <row r="7132" spans="1:5" x14ac:dyDescent="0.25">
      <c r="A7132" s="2" t="s">
        <v>5492</v>
      </c>
      <c r="B7132" s="2" t="s">
        <v>199</v>
      </c>
      <c r="C7132" s="2">
        <v>1</v>
      </c>
      <c r="D7132" t="str">
        <f t="shared" si="111"/>
        <v>CA-2017-148691_TEC-PH-10000576</v>
      </c>
      <c r="E7132" t="str">
        <f>IF(COUNTIF(data2!$D:$D,D7132)=0,"Missing in Data2","Present")</f>
        <v>Present</v>
      </c>
    </row>
    <row r="7133" spans="1:5" x14ac:dyDescent="0.25">
      <c r="A7133" s="2" t="s">
        <v>5493</v>
      </c>
      <c r="B7133" s="2" t="s">
        <v>2710</v>
      </c>
      <c r="C7133" s="2">
        <v>3</v>
      </c>
      <c r="D7133" t="str">
        <f t="shared" si="111"/>
        <v>CA-2017-148810_FUR-CH-10001545</v>
      </c>
      <c r="E7133" t="str">
        <f>IF(COUNTIF(data2!$D:$D,D7133)=0,"Missing in Data2","Present")</f>
        <v>Present</v>
      </c>
    </row>
    <row r="7134" spans="1:5" x14ac:dyDescent="0.25">
      <c r="A7134" s="2" t="s">
        <v>5493</v>
      </c>
      <c r="B7134" s="2" t="s">
        <v>1480</v>
      </c>
      <c r="C7134" s="2">
        <v>6</v>
      </c>
      <c r="D7134" t="str">
        <f t="shared" si="111"/>
        <v>CA-2017-148810_OFF-LA-10004689</v>
      </c>
      <c r="E7134" t="str">
        <f>IF(COUNTIF(data2!$D:$D,D7134)=0,"Missing in Data2","Present")</f>
        <v>Present</v>
      </c>
    </row>
    <row r="7135" spans="1:5" x14ac:dyDescent="0.25">
      <c r="A7135" s="2" t="s">
        <v>5494</v>
      </c>
      <c r="B7135" s="2" t="s">
        <v>609</v>
      </c>
      <c r="C7135" s="2">
        <v>8</v>
      </c>
      <c r="D7135" t="str">
        <f t="shared" si="111"/>
        <v>CA-2017-148922_OFF-BI-10003476</v>
      </c>
      <c r="E7135" t="str">
        <f>IF(COUNTIF(data2!$D:$D,D7135)=0,"Missing in Data2","Present")</f>
        <v>Present</v>
      </c>
    </row>
    <row r="7136" spans="1:5" x14ac:dyDescent="0.25">
      <c r="A7136" s="2" t="s">
        <v>5494</v>
      </c>
      <c r="B7136" s="2" t="s">
        <v>2146</v>
      </c>
      <c r="C7136" s="2">
        <v>3</v>
      </c>
      <c r="D7136" t="str">
        <f t="shared" si="111"/>
        <v>CA-2017-148922_TEC-AC-10001838</v>
      </c>
      <c r="E7136" t="str">
        <f>IF(COUNTIF(data2!$D:$D,D7136)=0,"Missing in Data2","Present")</f>
        <v>Present</v>
      </c>
    </row>
    <row r="7137" spans="1:5" x14ac:dyDescent="0.25">
      <c r="A7137" s="2" t="s">
        <v>5495</v>
      </c>
      <c r="B7137" s="2" t="s">
        <v>2114</v>
      </c>
      <c r="C7137" s="2">
        <v>8</v>
      </c>
      <c r="D7137" t="str">
        <f t="shared" si="111"/>
        <v>CA-2017-148929_OFF-ST-10003282</v>
      </c>
      <c r="E7137" t="str">
        <f>IF(COUNTIF(data2!$D:$D,D7137)=0,"Missing in Data2","Present")</f>
        <v>Present</v>
      </c>
    </row>
    <row r="7138" spans="1:5" x14ac:dyDescent="0.25">
      <c r="A7138" s="2" t="s">
        <v>5496</v>
      </c>
      <c r="B7138" s="2" t="s">
        <v>1071</v>
      </c>
      <c r="C7138" s="2">
        <v>4</v>
      </c>
      <c r="D7138" t="str">
        <f t="shared" si="111"/>
        <v>CA-2017-148985_FUR-FU-10001424</v>
      </c>
      <c r="E7138" t="str">
        <f>IF(COUNTIF(data2!$D:$D,D7138)=0,"Missing in Data2","Present")</f>
        <v>Present</v>
      </c>
    </row>
    <row r="7139" spans="1:5" x14ac:dyDescent="0.25">
      <c r="A7139" s="2" t="s">
        <v>5497</v>
      </c>
      <c r="B7139" s="2" t="s">
        <v>1952</v>
      </c>
      <c r="C7139" s="2">
        <v>2</v>
      </c>
      <c r="D7139" t="str">
        <f t="shared" si="111"/>
        <v>CA-2017-148992_OFF-PA-10004285</v>
      </c>
      <c r="E7139" t="str">
        <f>IF(COUNTIF(data2!$D:$D,D7139)=0,"Missing in Data2","Present")</f>
        <v>Present</v>
      </c>
    </row>
    <row r="7140" spans="1:5" x14ac:dyDescent="0.25">
      <c r="A7140" s="2" t="s">
        <v>5498</v>
      </c>
      <c r="B7140" s="2" t="s">
        <v>2243</v>
      </c>
      <c r="C7140" s="2">
        <v>4</v>
      </c>
      <c r="D7140" t="str">
        <f t="shared" si="111"/>
        <v>CA-2017-148999_FUR-CH-10002044</v>
      </c>
      <c r="E7140" t="str">
        <f>IF(COUNTIF(data2!$D:$D,D7140)=0,"Missing in Data2","Present")</f>
        <v>Present</v>
      </c>
    </row>
    <row r="7141" spans="1:5" x14ac:dyDescent="0.25">
      <c r="A7141" s="2" t="s">
        <v>5499</v>
      </c>
      <c r="B7141" s="2" t="s">
        <v>820</v>
      </c>
      <c r="C7141" s="2">
        <v>3</v>
      </c>
      <c r="D7141" t="str">
        <f t="shared" si="111"/>
        <v>CA-2017-149048_OFF-BI-10004632</v>
      </c>
      <c r="E7141" t="str">
        <f>IF(COUNTIF(data2!$D:$D,D7141)=0,"Missing in Data2","Present")</f>
        <v>Present</v>
      </c>
    </row>
    <row r="7142" spans="1:5" x14ac:dyDescent="0.25">
      <c r="A7142" s="2" t="s">
        <v>5499</v>
      </c>
      <c r="B7142" s="2" t="s">
        <v>2027</v>
      </c>
      <c r="C7142" s="2">
        <v>2</v>
      </c>
      <c r="D7142" t="str">
        <f t="shared" si="111"/>
        <v>CA-2017-149048_OFF-EN-10003296</v>
      </c>
      <c r="E7142" t="str">
        <f>IF(COUNTIF(data2!$D:$D,D7142)=0,"Missing in Data2","Present")</f>
        <v>Present</v>
      </c>
    </row>
    <row r="7143" spans="1:5" x14ac:dyDescent="0.25">
      <c r="A7143" s="2" t="s">
        <v>5499</v>
      </c>
      <c r="B7143" s="2" t="s">
        <v>805</v>
      </c>
      <c r="C7143" s="2">
        <v>3</v>
      </c>
      <c r="D7143" t="str">
        <f t="shared" si="111"/>
        <v>CA-2017-149048_OFF-PA-10001752</v>
      </c>
      <c r="E7143" t="str">
        <f>IF(COUNTIF(data2!$D:$D,D7143)=0,"Missing in Data2","Present")</f>
        <v>Present</v>
      </c>
    </row>
    <row r="7144" spans="1:5" x14ac:dyDescent="0.25">
      <c r="A7144" s="2" t="s">
        <v>5499</v>
      </c>
      <c r="B7144" s="2" t="s">
        <v>835</v>
      </c>
      <c r="C7144" s="2">
        <v>2</v>
      </c>
      <c r="D7144" t="str">
        <f t="shared" si="111"/>
        <v>CA-2017-149048_OFF-ST-10000078</v>
      </c>
      <c r="E7144" t="str">
        <f>IF(COUNTIF(data2!$D:$D,D7144)=0,"Missing in Data2","Present")</f>
        <v>Present</v>
      </c>
    </row>
    <row r="7145" spans="1:5" x14ac:dyDescent="0.25">
      <c r="A7145" s="2" t="s">
        <v>5499</v>
      </c>
      <c r="B7145" s="2" t="s">
        <v>831</v>
      </c>
      <c r="C7145" s="2">
        <v>3</v>
      </c>
      <c r="D7145" t="str">
        <f t="shared" si="111"/>
        <v>CA-2017-149048_TEC-PH-10002310</v>
      </c>
      <c r="E7145" t="str">
        <f>IF(COUNTIF(data2!$D:$D,D7145)=0,"Missing in Data2","Present")</f>
        <v>Present</v>
      </c>
    </row>
    <row r="7146" spans="1:5" x14ac:dyDescent="0.25">
      <c r="A7146" s="2" t="s">
        <v>5500</v>
      </c>
      <c r="B7146" s="2" t="s">
        <v>4140</v>
      </c>
      <c r="C7146" s="2">
        <v>5</v>
      </c>
      <c r="D7146" t="str">
        <f t="shared" si="111"/>
        <v>CA-2017-149076_OFF-PA-10000483</v>
      </c>
      <c r="E7146" t="str">
        <f>IF(COUNTIF(data2!$D:$D,D7146)=0,"Missing in Data2","Present")</f>
        <v>Present</v>
      </c>
    </row>
    <row r="7147" spans="1:5" x14ac:dyDescent="0.25">
      <c r="A7147" s="2" t="s">
        <v>5501</v>
      </c>
      <c r="B7147" s="2" t="s">
        <v>5502</v>
      </c>
      <c r="C7147" s="2">
        <v>2</v>
      </c>
      <c r="D7147" t="str">
        <f t="shared" si="111"/>
        <v>CA-2017-149146_OFF-PA-10003919</v>
      </c>
      <c r="E7147" t="str">
        <f>IF(COUNTIF(data2!$D:$D,D7147)=0,"Missing in Data2","Present")</f>
        <v>Present</v>
      </c>
    </row>
    <row r="7148" spans="1:5" x14ac:dyDescent="0.25">
      <c r="A7148" s="2" t="s">
        <v>5503</v>
      </c>
      <c r="B7148" s="2" t="s">
        <v>2689</v>
      </c>
      <c r="C7148" s="2">
        <v>2</v>
      </c>
      <c r="D7148" t="str">
        <f t="shared" si="111"/>
        <v>CA-2017-149160_FUR-FU-10003347</v>
      </c>
      <c r="E7148" t="str">
        <f>IF(COUNTIF(data2!$D:$D,D7148)=0,"Missing in Data2","Present")</f>
        <v>Present</v>
      </c>
    </row>
    <row r="7149" spans="1:5" x14ac:dyDescent="0.25">
      <c r="A7149" s="2" t="s">
        <v>5503</v>
      </c>
      <c r="B7149" s="2" t="s">
        <v>1413</v>
      </c>
      <c r="C7149" s="2">
        <v>8</v>
      </c>
      <c r="D7149" t="str">
        <f t="shared" si="111"/>
        <v>CA-2017-149160_OFF-BI-10001543</v>
      </c>
      <c r="E7149" t="str">
        <f>IF(COUNTIF(data2!$D:$D,D7149)=0,"Missing in Data2","Present")</f>
        <v>Present</v>
      </c>
    </row>
    <row r="7150" spans="1:5" x14ac:dyDescent="0.25">
      <c r="A7150" s="2" t="s">
        <v>5504</v>
      </c>
      <c r="B7150" s="2" t="s">
        <v>2527</v>
      </c>
      <c r="C7150" s="2">
        <v>2</v>
      </c>
      <c r="D7150" t="str">
        <f t="shared" si="111"/>
        <v>CA-2017-149181_FUR-CH-10004540</v>
      </c>
      <c r="E7150" t="str">
        <f>IF(COUNTIF(data2!$D:$D,D7150)=0,"Missing in Data2","Present")</f>
        <v>Present</v>
      </c>
    </row>
    <row r="7151" spans="1:5" x14ac:dyDescent="0.25">
      <c r="A7151" s="2" t="s">
        <v>5505</v>
      </c>
      <c r="B7151" s="2" t="s">
        <v>824</v>
      </c>
      <c r="C7151" s="2">
        <v>2</v>
      </c>
      <c r="D7151" t="str">
        <f t="shared" si="111"/>
        <v>CA-2017-149468_OFF-BI-10002225</v>
      </c>
      <c r="E7151" t="str">
        <f>IF(COUNTIF(data2!$D:$D,D7151)=0,"Missing in Data2","Present")</f>
        <v>Present</v>
      </c>
    </row>
    <row r="7152" spans="1:5" x14ac:dyDescent="0.25">
      <c r="A7152" s="2" t="s">
        <v>5506</v>
      </c>
      <c r="B7152" s="2" t="s">
        <v>757</v>
      </c>
      <c r="C7152" s="2">
        <v>2</v>
      </c>
      <c r="D7152" t="str">
        <f t="shared" si="111"/>
        <v>CA-2017-149489_OFF-AP-10002495</v>
      </c>
      <c r="E7152" t="str">
        <f>IF(COUNTIF(data2!$D:$D,D7152)=0,"Missing in Data2","Present")</f>
        <v>Present</v>
      </c>
    </row>
    <row r="7153" spans="1:5" x14ac:dyDescent="0.25">
      <c r="A7153" s="2" t="s">
        <v>5506</v>
      </c>
      <c r="B7153" s="2" t="s">
        <v>4005</v>
      </c>
      <c r="C7153" s="2">
        <v>2</v>
      </c>
      <c r="D7153" t="str">
        <f t="shared" si="111"/>
        <v>CA-2017-149489_OFF-BI-10002414</v>
      </c>
      <c r="E7153" t="str">
        <f>IF(COUNTIF(data2!$D:$D,D7153)=0,"Missing in Data2","Present")</f>
        <v>Present</v>
      </c>
    </row>
    <row r="7154" spans="1:5" x14ac:dyDescent="0.25">
      <c r="A7154" s="2" t="s">
        <v>5506</v>
      </c>
      <c r="B7154" s="2" t="s">
        <v>2917</v>
      </c>
      <c r="C7154" s="2">
        <v>2</v>
      </c>
      <c r="D7154" t="str">
        <f t="shared" si="111"/>
        <v>CA-2017-149489_OFF-BI-10002813</v>
      </c>
      <c r="E7154" t="str">
        <f>IF(COUNTIF(data2!$D:$D,D7154)=0,"Missing in Data2","Present")</f>
        <v>Present</v>
      </c>
    </row>
    <row r="7155" spans="1:5" x14ac:dyDescent="0.25">
      <c r="A7155" s="2" t="s">
        <v>5507</v>
      </c>
      <c r="B7155" s="2" t="s">
        <v>120</v>
      </c>
      <c r="C7155" s="2">
        <v>8</v>
      </c>
      <c r="D7155" t="str">
        <f t="shared" si="111"/>
        <v>CA-2017-149559_FUR-CH-10002320</v>
      </c>
      <c r="E7155" t="str">
        <f>IF(COUNTIF(data2!$D:$D,D7155)=0,"Missing in Data2","Present")</f>
        <v>Present</v>
      </c>
    </row>
    <row r="7156" spans="1:5" x14ac:dyDescent="0.25">
      <c r="A7156" s="2" t="s">
        <v>5507</v>
      </c>
      <c r="B7156" s="2" t="s">
        <v>3221</v>
      </c>
      <c r="C7156" s="2">
        <v>2</v>
      </c>
      <c r="D7156" t="str">
        <f t="shared" si="111"/>
        <v>CA-2017-149559_OFF-EN-10002312</v>
      </c>
      <c r="E7156" t="str">
        <f>IF(COUNTIF(data2!$D:$D,D7156)=0,"Missing in Data2","Present")</f>
        <v>Present</v>
      </c>
    </row>
    <row r="7157" spans="1:5" x14ac:dyDescent="0.25">
      <c r="A7157" s="2" t="s">
        <v>5507</v>
      </c>
      <c r="B7157" s="2" t="s">
        <v>1909</v>
      </c>
      <c r="C7157" s="2">
        <v>2</v>
      </c>
      <c r="D7157" t="str">
        <f t="shared" si="111"/>
        <v>CA-2017-149559_OFF-PA-10003172</v>
      </c>
      <c r="E7157" t="str">
        <f>IF(COUNTIF(data2!$D:$D,D7157)=0,"Missing in Data2","Present")</f>
        <v>Present</v>
      </c>
    </row>
    <row r="7158" spans="1:5" x14ac:dyDescent="0.25">
      <c r="A7158" s="2" t="s">
        <v>5508</v>
      </c>
      <c r="B7158" s="2" t="s">
        <v>19</v>
      </c>
      <c r="C7158" s="2">
        <v>5</v>
      </c>
      <c r="D7158" t="str">
        <f t="shared" si="111"/>
        <v>CA-2017-149699_TEC-AC-10000474</v>
      </c>
      <c r="E7158" t="str">
        <f>IF(COUNTIF(data2!$D:$D,D7158)=0,"Missing in Data2","Present")</f>
        <v>Missing in Data2</v>
      </c>
    </row>
    <row r="7159" spans="1:5" x14ac:dyDescent="0.25">
      <c r="A7159" s="2" t="s">
        <v>5509</v>
      </c>
      <c r="B7159" s="2" t="s">
        <v>340</v>
      </c>
      <c r="C7159" s="2">
        <v>7</v>
      </c>
      <c r="D7159" t="str">
        <f t="shared" si="111"/>
        <v>CA-2017-149706_TEC-AC-10001284</v>
      </c>
      <c r="E7159" t="str">
        <f>IF(COUNTIF(data2!$D:$D,D7159)=0,"Missing in Data2","Present")</f>
        <v>Missing in Data2</v>
      </c>
    </row>
    <row r="7160" spans="1:5" x14ac:dyDescent="0.25">
      <c r="A7160" s="2" t="s">
        <v>5510</v>
      </c>
      <c r="B7160" s="2" t="s">
        <v>5229</v>
      </c>
      <c r="C7160" s="2">
        <v>6</v>
      </c>
      <c r="D7160" t="str">
        <f t="shared" si="111"/>
        <v>CA-2017-149720_FUR-FU-10002501</v>
      </c>
      <c r="E7160" t="str">
        <f>IF(COUNTIF(data2!$D:$D,D7160)=0,"Missing in Data2","Present")</f>
        <v>Present</v>
      </c>
    </row>
    <row r="7161" spans="1:5" x14ac:dyDescent="0.25">
      <c r="A7161" s="2" t="s">
        <v>5511</v>
      </c>
      <c r="B7161" s="2" t="s">
        <v>2520</v>
      </c>
      <c r="C7161" s="2">
        <v>5</v>
      </c>
      <c r="D7161" t="str">
        <f t="shared" si="111"/>
        <v>CA-2017-149853_OFF-AP-10000804</v>
      </c>
      <c r="E7161" t="str">
        <f>IF(COUNTIF(data2!$D:$D,D7161)=0,"Missing in Data2","Present")</f>
        <v>Present</v>
      </c>
    </row>
    <row r="7162" spans="1:5" x14ac:dyDescent="0.25">
      <c r="A7162" s="2" t="s">
        <v>5511</v>
      </c>
      <c r="B7162" s="2" t="s">
        <v>2383</v>
      </c>
      <c r="C7162" s="2">
        <v>3</v>
      </c>
      <c r="D7162" t="str">
        <f t="shared" si="111"/>
        <v>CA-2017-149853_OFF-PA-10000556</v>
      </c>
      <c r="E7162" t="str">
        <f>IF(COUNTIF(data2!$D:$D,D7162)=0,"Missing in Data2","Present")</f>
        <v>Missing in Data2</v>
      </c>
    </row>
    <row r="7163" spans="1:5" x14ac:dyDescent="0.25">
      <c r="A7163" s="2" t="s">
        <v>5512</v>
      </c>
      <c r="B7163" s="2" t="s">
        <v>4343</v>
      </c>
      <c r="C7163" s="2">
        <v>8</v>
      </c>
      <c r="D7163" t="str">
        <f t="shared" si="111"/>
        <v>CA-2017-149881_FUR-BO-10003894</v>
      </c>
      <c r="E7163" t="str">
        <f>IF(COUNTIF(data2!$D:$D,D7163)=0,"Missing in Data2","Present")</f>
        <v>Present</v>
      </c>
    </row>
    <row r="7164" spans="1:5" x14ac:dyDescent="0.25">
      <c r="A7164" s="2" t="s">
        <v>5512</v>
      </c>
      <c r="B7164" s="2" t="s">
        <v>2825</v>
      </c>
      <c r="C7164" s="2">
        <v>2</v>
      </c>
      <c r="D7164" t="str">
        <f t="shared" si="111"/>
        <v>CA-2017-149881_TEC-MA-10000418</v>
      </c>
      <c r="E7164" t="str">
        <f>IF(COUNTIF(data2!$D:$D,D7164)=0,"Missing in Data2","Present")</f>
        <v>Present</v>
      </c>
    </row>
    <row r="7165" spans="1:5" x14ac:dyDescent="0.25">
      <c r="A7165" s="2" t="s">
        <v>5513</v>
      </c>
      <c r="B7165" s="2" t="s">
        <v>2715</v>
      </c>
      <c r="C7165" s="2">
        <v>2</v>
      </c>
      <c r="D7165" t="str">
        <f t="shared" si="111"/>
        <v>CA-2017-149895_TEC-PH-10002200</v>
      </c>
      <c r="E7165" t="str">
        <f>IF(COUNTIF(data2!$D:$D,D7165)=0,"Missing in Data2","Present")</f>
        <v>Present</v>
      </c>
    </row>
    <row r="7166" spans="1:5" x14ac:dyDescent="0.25">
      <c r="A7166" s="2" t="s">
        <v>5514</v>
      </c>
      <c r="B7166" s="2" t="s">
        <v>326</v>
      </c>
      <c r="C7166" s="2">
        <v>2</v>
      </c>
      <c r="D7166" t="str">
        <f t="shared" si="111"/>
        <v>CA-2017-149944_OFF-AP-10004708</v>
      </c>
      <c r="E7166" t="str">
        <f>IF(COUNTIF(data2!$D:$D,D7166)=0,"Missing in Data2","Present")</f>
        <v>Present</v>
      </c>
    </row>
    <row r="7167" spans="1:5" x14ac:dyDescent="0.25">
      <c r="A7167" s="2" t="s">
        <v>5514</v>
      </c>
      <c r="B7167" s="2" t="s">
        <v>1499</v>
      </c>
      <c r="C7167" s="2">
        <v>3</v>
      </c>
      <c r="D7167" t="str">
        <f t="shared" si="111"/>
        <v>CA-2017-149944_OFF-FA-10003495</v>
      </c>
      <c r="E7167" t="str">
        <f>IF(COUNTIF(data2!$D:$D,D7167)=0,"Missing in Data2","Present")</f>
        <v>Present</v>
      </c>
    </row>
    <row r="7168" spans="1:5" x14ac:dyDescent="0.25">
      <c r="A7168" s="2" t="s">
        <v>5515</v>
      </c>
      <c r="B7168" s="2" t="s">
        <v>4723</v>
      </c>
      <c r="C7168" s="2">
        <v>5</v>
      </c>
      <c r="D7168" t="str">
        <f t="shared" si="111"/>
        <v>CA-2017-150091_FUR-BO-10003404</v>
      </c>
      <c r="E7168" t="str">
        <f>IF(COUNTIF(data2!$D:$D,D7168)=0,"Missing in Data2","Present")</f>
        <v>Present</v>
      </c>
    </row>
    <row r="7169" spans="1:5" x14ac:dyDescent="0.25">
      <c r="A7169" s="2" t="s">
        <v>5515</v>
      </c>
      <c r="B7169" s="2" t="s">
        <v>3539</v>
      </c>
      <c r="C7169" s="2">
        <v>2</v>
      </c>
      <c r="D7169" t="str">
        <f t="shared" si="111"/>
        <v>CA-2017-150091_FUR-FU-10004053</v>
      </c>
      <c r="E7169" t="str">
        <f>IF(COUNTIF(data2!$D:$D,D7169)=0,"Missing in Data2","Present")</f>
        <v>Present</v>
      </c>
    </row>
    <row r="7170" spans="1:5" x14ac:dyDescent="0.25">
      <c r="A7170" s="2" t="s">
        <v>5515</v>
      </c>
      <c r="B7170" s="2" t="s">
        <v>993</v>
      </c>
      <c r="C7170" s="2">
        <v>5</v>
      </c>
      <c r="D7170" t="str">
        <f t="shared" si="111"/>
        <v>CA-2017-150091_OFF-FA-10000621</v>
      </c>
      <c r="E7170" t="str">
        <f>IF(COUNTIF(data2!$D:$D,D7170)=0,"Missing in Data2","Present")</f>
        <v>Present</v>
      </c>
    </row>
    <row r="7171" spans="1:5" x14ac:dyDescent="0.25">
      <c r="A7171" s="2" t="s">
        <v>5515</v>
      </c>
      <c r="B7171" s="2" t="s">
        <v>1315</v>
      </c>
      <c r="C7171" s="2">
        <v>3</v>
      </c>
      <c r="D7171" t="str">
        <f t="shared" ref="D7171:D7234" si="112">A7171&amp;"_"&amp;B7171</f>
        <v>CA-2017-150091_TEC-AC-10002167</v>
      </c>
      <c r="E7171" t="str">
        <f>IF(COUNTIF(data2!$D:$D,D7171)=0,"Missing in Data2","Present")</f>
        <v>Present</v>
      </c>
    </row>
    <row r="7172" spans="1:5" x14ac:dyDescent="0.25">
      <c r="A7172" s="2" t="s">
        <v>5516</v>
      </c>
      <c r="B7172" s="2" t="s">
        <v>557</v>
      </c>
      <c r="C7172" s="2">
        <v>6</v>
      </c>
      <c r="D7172" t="str">
        <f t="shared" si="112"/>
        <v>CA-2017-150189_OFF-LA-10002762</v>
      </c>
      <c r="E7172" t="str">
        <f>IF(COUNTIF(data2!$D:$D,D7172)=0,"Missing in Data2","Present")</f>
        <v>Present</v>
      </c>
    </row>
    <row r="7173" spans="1:5" x14ac:dyDescent="0.25">
      <c r="A7173" s="2" t="s">
        <v>5517</v>
      </c>
      <c r="B7173" s="2" t="s">
        <v>1641</v>
      </c>
      <c r="C7173" s="2">
        <v>5</v>
      </c>
      <c r="D7173" t="str">
        <f t="shared" si="112"/>
        <v>CA-2017-150266_FUR-CH-10002126</v>
      </c>
      <c r="E7173" t="str">
        <f>IF(COUNTIF(data2!$D:$D,D7173)=0,"Missing in Data2","Present")</f>
        <v>Present</v>
      </c>
    </row>
    <row r="7174" spans="1:5" x14ac:dyDescent="0.25">
      <c r="A7174" s="2" t="s">
        <v>5517</v>
      </c>
      <c r="B7174" s="2" t="s">
        <v>4381</v>
      </c>
      <c r="C7174" s="2">
        <v>5</v>
      </c>
      <c r="D7174" t="str">
        <f t="shared" si="112"/>
        <v>CA-2017-150266_OFF-AP-10002867</v>
      </c>
      <c r="E7174" t="str">
        <f>IF(COUNTIF(data2!$D:$D,D7174)=0,"Missing in Data2","Present")</f>
        <v>Present</v>
      </c>
    </row>
    <row r="7175" spans="1:5" x14ac:dyDescent="0.25">
      <c r="A7175" s="2" t="s">
        <v>5517</v>
      </c>
      <c r="B7175" s="2" t="s">
        <v>3062</v>
      </c>
      <c r="C7175" s="2">
        <v>4</v>
      </c>
      <c r="D7175" t="str">
        <f t="shared" si="112"/>
        <v>CA-2017-150266_OFF-AR-10001761</v>
      </c>
      <c r="E7175" t="str">
        <f>IF(COUNTIF(data2!$D:$D,D7175)=0,"Missing in Data2","Present")</f>
        <v>Present</v>
      </c>
    </row>
    <row r="7176" spans="1:5" x14ac:dyDescent="0.25">
      <c r="A7176" s="2" t="s">
        <v>5517</v>
      </c>
      <c r="B7176" s="2" t="s">
        <v>3212</v>
      </c>
      <c r="C7176" s="2">
        <v>5</v>
      </c>
      <c r="D7176" t="str">
        <f t="shared" si="112"/>
        <v>CA-2017-150266_TEC-PH-10003437</v>
      </c>
      <c r="E7176" t="str">
        <f>IF(COUNTIF(data2!$D:$D,D7176)=0,"Missing in Data2","Present")</f>
        <v>Present</v>
      </c>
    </row>
    <row r="7177" spans="1:5" x14ac:dyDescent="0.25">
      <c r="A7177" s="2" t="s">
        <v>5518</v>
      </c>
      <c r="B7177" s="2" t="s">
        <v>2677</v>
      </c>
      <c r="C7177" s="2">
        <v>10</v>
      </c>
      <c r="D7177" t="str">
        <f t="shared" si="112"/>
        <v>CA-2017-150420_TEC-AC-10004975</v>
      </c>
      <c r="E7177" t="str">
        <f>IF(COUNTIF(data2!$D:$D,D7177)=0,"Missing in Data2","Present")</f>
        <v>Present</v>
      </c>
    </row>
    <row r="7178" spans="1:5" x14ac:dyDescent="0.25">
      <c r="A7178" s="2" t="s">
        <v>5519</v>
      </c>
      <c r="B7178" s="2" t="s">
        <v>11</v>
      </c>
      <c r="C7178" s="2">
        <v>8</v>
      </c>
      <c r="D7178" t="str">
        <f t="shared" si="112"/>
        <v>CA-2017-150469_OFF-FA-10000611</v>
      </c>
      <c r="E7178" t="str">
        <f>IF(COUNTIF(data2!$D:$D,D7178)=0,"Missing in Data2","Present")</f>
        <v>Present</v>
      </c>
    </row>
    <row r="7179" spans="1:5" x14ac:dyDescent="0.25">
      <c r="A7179" s="2" t="s">
        <v>5520</v>
      </c>
      <c r="B7179" s="2" t="s">
        <v>113</v>
      </c>
      <c r="C7179" s="2">
        <v>2</v>
      </c>
      <c r="D7179" t="str">
        <f t="shared" si="112"/>
        <v>CA-2017-150497_OFF-BI-10004600</v>
      </c>
      <c r="E7179" t="str">
        <f>IF(COUNTIF(data2!$D:$D,D7179)=0,"Missing in Data2","Present")</f>
        <v>Present</v>
      </c>
    </row>
    <row r="7180" spans="1:5" x14ac:dyDescent="0.25">
      <c r="A7180" s="2" t="s">
        <v>5521</v>
      </c>
      <c r="B7180" s="2" t="s">
        <v>1443</v>
      </c>
      <c r="C7180" s="2">
        <v>2</v>
      </c>
      <c r="D7180" t="str">
        <f t="shared" si="112"/>
        <v>CA-2017-150504_OFF-ST-10000615</v>
      </c>
      <c r="E7180" t="str">
        <f>IF(COUNTIF(data2!$D:$D,D7180)=0,"Missing in Data2","Present")</f>
        <v>Present</v>
      </c>
    </row>
    <row r="7181" spans="1:5" x14ac:dyDescent="0.25">
      <c r="A7181" s="2" t="s">
        <v>5522</v>
      </c>
      <c r="B7181" s="2" t="s">
        <v>3750</v>
      </c>
      <c r="C7181" s="2">
        <v>3</v>
      </c>
      <c r="D7181" t="str">
        <f t="shared" si="112"/>
        <v>CA-2017-150525_OFF-AP-10000595</v>
      </c>
      <c r="E7181" t="str">
        <f>IF(COUNTIF(data2!$D:$D,D7181)=0,"Missing in Data2","Present")</f>
        <v>Present</v>
      </c>
    </row>
    <row r="7182" spans="1:5" x14ac:dyDescent="0.25">
      <c r="A7182" s="2" t="s">
        <v>5523</v>
      </c>
      <c r="B7182" s="2" t="s">
        <v>2724</v>
      </c>
      <c r="C7182" s="2">
        <v>4</v>
      </c>
      <c r="D7182" t="str">
        <f t="shared" si="112"/>
        <v>CA-2017-150602_FUR-FU-10003142</v>
      </c>
      <c r="E7182" t="str">
        <f>IF(COUNTIF(data2!$D:$D,D7182)=0,"Missing in Data2","Present")</f>
        <v>Present</v>
      </c>
    </row>
    <row r="7183" spans="1:5" x14ac:dyDescent="0.25">
      <c r="A7183" s="2" t="s">
        <v>5524</v>
      </c>
      <c r="B7183" s="2" t="s">
        <v>2262</v>
      </c>
      <c r="C7183" s="2">
        <v>5</v>
      </c>
      <c r="D7183" t="str">
        <f t="shared" si="112"/>
        <v>CA-2017-150609_OFF-BI-10002071</v>
      </c>
      <c r="E7183" t="str">
        <f>IF(COUNTIF(data2!$D:$D,D7183)=0,"Missing in Data2","Present")</f>
        <v>Present</v>
      </c>
    </row>
    <row r="7184" spans="1:5" x14ac:dyDescent="0.25">
      <c r="A7184" s="2" t="s">
        <v>5525</v>
      </c>
      <c r="B7184" s="2" t="s">
        <v>1800</v>
      </c>
      <c r="C7184" s="2">
        <v>5</v>
      </c>
      <c r="D7184" t="str">
        <f t="shared" si="112"/>
        <v>CA-2017-150623_OFF-ST-10003692</v>
      </c>
      <c r="E7184" t="str">
        <f>IF(COUNTIF(data2!$D:$D,D7184)=0,"Missing in Data2","Present")</f>
        <v>Present</v>
      </c>
    </row>
    <row r="7185" spans="1:5" x14ac:dyDescent="0.25">
      <c r="A7185" s="2" t="s">
        <v>5525</v>
      </c>
      <c r="B7185" s="2" t="s">
        <v>1133</v>
      </c>
      <c r="C7185" s="2">
        <v>1</v>
      </c>
      <c r="D7185" t="str">
        <f t="shared" si="112"/>
        <v>CA-2017-150623_TEC-AC-10004571</v>
      </c>
      <c r="E7185" t="str">
        <f>IF(COUNTIF(data2!$D:$D,D7185)=0,"Missing in Data2","Present")</f>
        <v>Present</v>
      </c>
    </row>
    <row r="7186" spans="1:5" x14ac:dyDescent="0.25">
      <c r="A7186" s="2" t="s">
        <v>5526</v>
      </c>
      <c r="B7186" s="2" t="s">
        <v>774</v>
      </c>
      <c r="C7186" s="2">
        <v>7</v>
      </c>
      <c r="D7186" t="str">
        <f t="shared" si="112"/>
        <v>CA-2017-150707_OFF-BI-10001078</v>
      </c>
      <c r="E7186" t="str">
        <f>IF(COUNTIF(data2!$D:$D,D7186)=0,"Missing in Data2","Present")</f>
        <v>Present</v>
      </c>
    </row>
    <row r="7187" spans="1:5" x14ac:dyDescent="0.25">
      <c r="A7187" s="2" t="s">
        <v>5527</v>
      </c>
      <c r="B7187" s="2" t="s">
        <v>1456</v>
      </c>
      <c r="C7187" s="2">
        <v>6</v>
      </c>
      <c r="D7187" t="str">
        <f t="shared" si="112"/>
        <v>CA-2017-150910_FUR-TA-10002903</v>
      </c>
      <c r="E7187" t="str">
        <f>IF(COUNTIF(data2!$D:$D,D7187)=0,"Missing in Data2","Present")</f>
        <v>Present</v>
      </c>
    </row>
    <row r="7188" spans="1:5" x14ac:dyDescent="0.25">
      <c r="A7188" s="2" t="s">
        <v>5527</v>
      </c>
      <c r="B7188" s="2" t="s">
        <v>2038</v>
      </c>
      <c r="C7188" s="2">
        <v>5</v>
      </c>
      <c r="D7188" t="str">
        <f t="shared" si="112"/>
        <v>CA-2017-150910_OFF-AP-10003266</v>
      </c>
      <c r="E7188" t="str">
        <f>IF(COUNTIF(data2!$D:$D,D7188)=0,"Missing in Data2","Present")</f>
        <v>Present</v>
      </c>
    </row>
    <row r="7189" spans="1:5" x14ac:dyDescent="0.25">
      <c r="A7189" s="2" t="s">
        <v>5527</v>
      </c>
      <c r="B7189" s="2" t="s">
        <v>4080</v>
      </c>
      <c r="C7189" s="2">
        <v>7</v>
      </c>
      <c r="D7189" t="str">
        <f t="shared" si="112"/>
        <v>CA-2017-150910_OFF-AR-10001419</v>
      </c>
      <c r="E7189" t="str">
        <f>IF(COUNTIF(data2!$D:$D,D7189)=0,"Missing in Data2","Present")</f>
        <v>Present</v>
      </c>
    </row>
    <row r="7190" spans="1:5" x14ac:dyDescent="0.25">
      <c r="A7190" s="2" t="s">
        <v>5527</v>
      </c>
      <c r="B7190" s="2" t="s">
        <v>173</v>
      </c>
      <c r="C7190" s="2">
        <v>3</v>
      </c>
      <c r="D7190" t="str">
        <f t="shared" si="112"/>
        <v>CA-2017-150910_OFF-ST-10000918</v>
      </c>
      <c r="E7190" t="str">
        <f>IF(COUNTIF(data2!$D:$D,D7190)=0,"Missing in Data2","Present")</f>
        <v>Present</v>
      </c>
    </row>
    <row r="7191" spans="1:5" x14ac:dyDescent="0.25">
      <c r="A7191" s="2" t="s">
        <v>5527</v>
      </c>
      <c r="B7191" s="2" t="s">
        <v>1171</v>
      </c>
      <c r="C7191" s="2">
        <v>2</v>
      </c>
      <c r="D7191" t="str">
        <f t="shared" si="112"/>
        <v>CA-2017-150910_TEC-AC-10001013</v>
      </c>
      <c r="E7191" t="str">
        <f>IF(COUNTIF(data2!$D:$D,D7191)=0,"Missing in Data2","Present")</f>
        <v>Present</v>
      </c>
    </row>
    <row r="7192" spans="1:5" x14ac:dyDescent="0.25">
      <c r="A7192" s="2" t="s">
        <v>5528</v>
      </c>
      <c r="B7192" s="2" t="s">
        <v>1680</v>
      </c>
      <c r="C7192" s="2">
        <v>7</v>
      </c>
      <c r="D7192" t="str">
        <f t="shared" si="112"/>
        <v>CA-2017-150931_OFF-BI-10004728</v>
      </c>
      <c r="E7192" t="str">
        <f>IF(COUNTIF(data2!$D:$D,D7192)=0,"Missing in Data2","Present")</f>
        <v>Present</v>
      </c>
    </row>
    <row r="7193" spans="1:5" x14ac:dyDescent="0.25">
      <c r="A7193" s="2" t="s">
        <v>5529</v>
      </c>
      <c r="B7193" s="2" t="s">
        <v>1954</v>
      </c>
      <c r="C7193" s="2">
        <v>4</v>
      </c>
      <c r="D7193" t="str">
        <f t="shared" si="112"/>
        <v>CA-2017-150959_OFF-BI-10001510</v>
      </c>
      <c r="E7193" t="str">
        <f>IF(COUNTIF(data2!$D:$D,D7193)=0,"Missing in Data2","Present")</f>
        <v>Present</v>
      </c>
    </row>
    <row r="7194" spans="1:5" x14ac:dyDescent="0.25">
      <c r="A7194" s="2" t="s">
        <v>5529</v>
      </c>
      <c r="B7194" s="2" t="s">
        <v>1623</v>
      </c>
      <c r="C7194" s="2">
        <v>5</v>
      </c>
      <c r="D7194" t="str">
        <f t="shared" si="112"/>
        <v>CA-2017-150959_OFF-LA-10001045</v>
      </c>
      <c r="E7194" t="str">
        <f>IF(COUNTIF(data2!$D:$D,D7194)=0,"Missing in Data2","Present")</f>
        <v>Present</v>
      </c>
    </row>
    <row r="7195" spans="1:5" x14ac:dyDescent="0.25">
      <c r="A7195" s="2" t="s">
        <v>5530</v>
      </c>
      <c r="B7195" s="2" t="s">
        <v>425</v>
      </c>
      <c r="C7195" s="2">
        <v>5</v>
      </c>
      <c r="D7195" t="str">
        <f t="shared" si="112"/>
        <v>CA-2017-150987_OFF-PA-10001878</v>
      </c>
      <c r="E7195" t="str">
        <f>IF(COUNTIF(data2!$D:$D,D7195)=0,"Missing in Data2","Present")</f>
        <v>Present</v>
      </c>
    </row>
    <row r="7196" spans="1:5" x14ac:dyDescent="0.25">
      <c r="A7196" s="2" t="s">
        <v>5530</v>
      </c>
      <c r="B7196" s="2" t="s">
        <v>1262</v>
      </c>
      <c r="C7196" s="2">
        <v>4</v>
      </c>
      <c r="D7196" t="str">
        <f t="shared" si="112"/>
        <v>CA-2017-150987_OFF-PA-10002923</v>
      </c>
      <c r="E7196" t="str">
        <f>IF(COUNTIF(data2!$D:$D,D7196)=0,"Missing in Data2","Present")</f>
        <v>Present</v>
      </c>
    </row>
    <row r="7197" spans="1:5" x14ac:dyDescent="0.25">
      <c r="A7197" s="2" t="s">
        <v>5531</v>
      </c>
      <c r="B7197" s="2" t="s">
        <v>2458</v>
      </c>
      <c r="C7197" s="2">
        <v>2</v>
      </c>
      <c r="D7197" t="str">
        <f t="shared" si="112"/>
        <v>CA-2017-151008_FUR-FU-10002396</v>
      </c>
      <c r="E7197" t="str">
        <f>IF(COUNTIF(data2!$D:$D,D7197)=0,"Missing in Data2","Present")</f>
        <v>Present</v>
      </c>
    </row>
    <row r="7198" spans="1:5" x14ac:dyDescent="0.25">
      <c r="A7198" s="2" t="s">
        <v>5531</v>
      </c>
      <c r="B7198" s="2" t="s">
        <v>2306</v>
      </c>
      <c r="C7198" s="2">
        <v>4</v>
      </c>
      <c r="D7198" t="str">
        <f t="shared" si="112"/>
        <v>CA-2017-151008_TEC-PH-10002807</v>
      </c>
      <c r="E7198" t="str">
        <f>IF(COUNTIF(data2!$D:$D,D7198)=0,"Missing in Data2","Present")</f>
        <v>Present</v>
      </c>
    </row>
    <row r="7199" spans="1:5" x14ac:dyDescent="0.25">
      <c r="A7199" s="2" t="s">
        <v>5532</v>
      </c>
      <c r="B7199" s="2" t="s">
        <v>275</v>
      </c>
      <c r="C7199" s="2">
        <v>2</v>
      </c>
      <c r="D7199" t="str">
        <f t="shared" si="112"/>
        <v>CA-2017-151071_OFF-BI-10002103</v>
      </c>
      <c r="E7199" t="str">
        <f>IF(COUNTIF(data2!$D:$D,D7199)=0,"Missing in Data2","Present")</f>
        <v>Present</v>
      </c>
    </row>
    <row r="7200" spans="1:5" x14ac:dyDescent="0.25">
      <c r="A7200" s="2" t="s">
        <v>5533</v>
      </c>
      <c r="B7200" s="2" t="s">
        <v>2841</v>
      </c>
      <c r="C7200" s="2">
        <v>3</v>
      </c>
      <c r="D7200" t="str">
        <f t="shared" si="112"/>
        <v>CA-2017-151176_OFF-AR-10000614</v>
      </c>
      <c r="E7200" t="str">
        <f>IF(COUNTIF(data2!$D:$D,D7200)=0,"Missing in Data2","Present")</f>
        <v>Present</v>
      </c>
    </row>
    <row r="7201" spans="1:5" x14ac:dyDescent="0.25">
      <c r="A7201" s="2" t="s">
        <v>5533</v>
      </c>
      <c r="B7201" s="2" t="s">
        <v>2141</v>
      </c>
      <c r="C7201" s="2">
        <v>3</v>
      </c>
      <c r="D7201" t="str">
        <f t="shared" si="112"/>
        <v>CA-2017-151176_OFF-SU-10001165</v>
      </c>
      <c r="E7201" t="str">
        <f>IF(COUNTIF(data2!$D:$D,D7201)=0,"Missing in Data2","Present")</f>
        <v>Present</v>
      </c>
    </row>
    <row r="7202" spans="1:5" x14ac:dyDescent="0.25">
      <c r="A7202" s="2" t="s">
        <v>5534</v>
      </c>
      <c r="B7202" s="2" t="s">
        <v>1571</v>
      </c>
      <c r="C7202" s="2">
        <v>4</v>
      </c>
      <c r="D7202" t="str">
        <f t="shared" si="112"/>
        <v>CA-2017-151183_TEC-AC-10003614</v>
      </c>
      <c r="E7202" t="str">
        <f>IF(COUNTIF(data2!$D:$D,D7202)=0,"Missing in Data2","Present")</f>
        <v>Present</v>
      </c>
    </row>
    <row r="7203" spans="1:5" x14ac:dyDescent="0.25">
      <c r="A7203" s="2" t="s">
        <v>5535</v>
      </c>
      <c r="B7203" s="2" t="s">
        <v>1707</v>
      </c>
      <c r="C7203" s="2">
        <v>3</v>
      </c>
      <c r="D7203" t="str">
        <f t="shared" si="112"/>
        <v>CA-2017-151190_OFF-PA-10000575</v>
      </c>
      <c r="E7203" t="str">
        <f>IF(COUNTIF(data2!$D:$D,D7203)=0,"Missing in Data2","Present")</f>
        <v>Present</v>
      </c>
    </row>
    <row r="7204" spans="1:5" x14ac:dyDescent="0.25">
      <c r="A7204" s="2" t="s">
        <v>5536</v>
      </c>
      <c r="B7204" s="2" t="s">
        <v>165</v>
      </c>
      <c r="C7204" s="2">
        <v>3</v>
      </c>
      <c r="D7204" t="str">
        <f t="shared" si="112"/>
        <v>CA-2017-151211_OFF-BI-10002735</v>
      </c>
      <c r="E7204" t="str">
        <f>IF(COUNTIF(data2!$D:$D,D7204)=0,"Missing in Data2","Present")</f>
        <v>Present</v>
      </c>
    </row>
    <row r="7205" spans="1:5" x14ac:dyDescent="0.25">
      <c r="A7205" s="2" t="s">
        <v>5536</v>
      </c>
      <c r="B7205" s="2" t="s">
        <v>676</v>
      </c>
      <c r="C7205" s="2">
        <v>6</v>
      </c>
      <c r="D7205" t="str">
        <f t="shared" si="112"/>
        <v>CA-2017-151211_TEC-AC-10004510</v>
      </c>
      <c r="E7205" t="str">
        <f>IF(COUNTIF(data2!$D:$D,D7205)=0,"Missing in Data2","Present")</f>
        <v>Present</v>
      </c>
    </row>
    <row r="7206" spans="1:5" x14ac:dyDescent="0.25">
      <c r="A7206" s="2" t="s">
        <v>5537</v>
      </c>
      <c r="B7206" s="2" t="s">
        <v>4726</v>
      </c>
      <c r="C7206" s="2">
        <v>1</v>
      </c>
      <c r="D7206" t="str">
        <f t="shared" si="112"/>
        <v>CA-2017-151218_OFF-ST-10004835</v>
      </c>
      <c r="E7206" t="str">
        <f>IF(COUNTIF(data2!$D:$D,D7206)=0,"Missing in Data2","Present")</f>
        <v>Present</v>
      </c>
    </row>
    <row r="7207" spans="1:5" x14ac:dyDescent="0.25">
      <c r="A7207" s="2" t="s">
        <v>5538</v>
      </c>
      <c r="B7207" s="2" t="s">
        <v>544</v>
      </c>
      <c r="C7207" s="2">
        <v>1</v>
      </c>
      <c r="D7207" t="str">
        <f t="shared" si="112"/>
        <v>CA-2017-151225_FUR-TA-10001539</v>
      </c>
      <c r="E7207" t="str">
        <f>IF(COUNTIF(data2!$D:$D,D7207)=0,"Missing in Data2","Present")</f>
        <v>Present</v>
      </c>
    </row>
    <row r="7208" spans="1:5" x14ac:dyDescent="0.25">
      <c r="A7208" s="2" t="s">
        <v>5539</v>
      </c>
      <c r="B7208" s="2" t="s">
        <v>1299</v>
      </c>
      <c r="C7208" s="2">
        <v>7</v>
      </c>
      <c r="D7208" t="str">
        <f t="shared" si="112"/>
        <v>CA-2017-151281_FUR-FU-10000397</v>
      </c>
      <c r="E7208" t="str">
        <f>IF(COUNTIF(data2!$D:$D,D7208)=0,"Missing in Data2","Present")</f>
        <v>Present</v>
      </c>
    </row>
    <row r="7209" spans="1:5" x14ac:dyDescent="0.25">
      <c r="A7209" s="2" t="s">
        <v>5540</v>
      </c>
      <c r="B7209" s="2" t="s">
        <v>435</v>
      </c>
      <c r="C7209" s="2">
        <v>2</v>
      </c>
      <c r="D7209" t="str">
        <f t="shared" si="112"/>
        <v>CA-2017-151358_OFF-ST-10000046</v>
      </c>
      <c r="E7209" t="str">
        <f>IF(COUNTIF(data2!$D:$D,D7209)=0,"Missing in Data2","Present")</f>
        <v>Present</v>
      </c>
    </row>
    <row r="7210" spans="1:5" x14ac:dyDescent="0.25">
      <c r="A7210" s="2" t="s">
        <v>5541</v>
      </c>
      <c r="B7210" s="2" t="s">
        <v>1636</v>
      </c>
      <c r="C7210" s="2">
        <v>7</v>
      </c>
      <c r="D7210" t="str">
        <f t="shared" si="112"/>
        <v>CA-2017-151428_OFF-BI-10000546</v>
      </c>
      <c r="E7210" t="str">
        <f>IF(COUNTIF(data2!$D:$D,D7210)=0,"Missing in Data2","Present")</f>
        <v>Present</v>
      </c>
    </row>
    <row r="7211" spans="1:5" x14ac:dyDescent="0.25">
      <c r="A7211" s="2" t="s">
        <v>5542</v>
      </c>
      <c r="B7211" s="2" t="s">
        <v>1163</v>
      </c>
      <c r="C7211" s="2">
        <v>2</v>
      </c>
      <c r="D7211" t="str">
        <f t="shared" si="112"/>
        <v>CA-2017-151484_FUR-FU-10001876</v>
      </c>
      <c r="E7211" t="str">
        <f>IF(COUNTIF(data2!$D:$D,D7211)=0,"Missing in Data2","Present")</f>
        <v>Present</v>
      </c>
    </row>
    <row r="7212" spans="1:5" x14ac:dyDescent="0.25">
      <c r="A7212" s="2" t="s">
        <v>5542</v>
      </c>
      <c r="B7212" s="2" t="s">
        <v>164</v>
      </c>
      <c r="C7212" s="2">
        <v>3</v>
      </c>
      <c r="D7212" t="str">
        <f t="shared" si="112"/>
        <v>CA-2017-151484_FUR-FU-10004671</v>
      </c>
      <c r="E7212" t="str">
        <f>IF(COUNTIF(data2!$D:$D,D7212)=0,"Missing in Data2","Present")</f>
        <v>Present</v>
      </c>
    </row>
    <row r="7213" spans="1:5" x14ac:dyDescent="0.25">
      <c r="A7213" s="2" t="s">
        <v>5542</v>
      </c>
      <c r="B7213" s="2" t="s">
        <v>2110</v>
      </c>
      <c r="C7213" s="2">
        <v>1</v>
      </c>
      <c r="D7213" t="str">
        <f t="shared" si="112"/>
        <v>CA-2017-151484_OFF-ST-10000142</v>
      </c>
      <c r="E7213" t="str">
        <f>IF(COUNTIF(data2!$D:$D,D7213)=0,"Missing in Data2","Present")</f>
        <v>Present</v>
      </c>
    </row>
    <row r="7214" spans="1:5" x14ac:dyDescent="0.25">
      <c r="A7214" s="2" t="s">
        <v>5542</v>
      </c>
      <c r="B7214" s="2" t="s">
        <v>1178</v>
      </c>
      <c r="C7214" s="2">
        <v>3</v>
      </c>
      <c r="D7214" t="str">
        <f t="shared" si="112"/>
        <v>CA-2017-151484_OFF-ST-10002370</v>
      </c>
      <c r="E7214" t="str">
        <f>IF(COUNTIF(data2!$D:$D,D7214)=0,"Missing in Data2","Present")</f>
        <v>Present</v>
      </c>
    </row>
    <row r="7215" spans="1:5" x14ac:dyDescent="0.25">
      <c r="A7215" s="2" t="s">
        <v>5543</v>
      </c>
      <c r="B7215" s="2" t="s">
        <v>1297</v>
      </c>
      <c r="C7215" s="2">
        <v>1</v>
      </c>
      <c r="D7215" t="str">
        <f t="shared" si="112"/>
        <v>CA-2017-151596_OFF-ST-10001837</v>
      </c>
      <c r="E7215" t="str">
        <f>IF(COUNTIF(data2!$D:$D,D7215)=0,"Missing in Data2","Present")</f>
        <v>Present</v>
      </c>
    </row>
    <row r="7216" spans="1:5" x14ac:dyDescent="0.25">
      <c r="A7216" s="2" t="s">
        <v>5544</v>
      </c>
      <c r="B7216" s="2" t="s">
        <v>2190</v>
      </c>
      <c r="C7216" s="2">
        <v>4</v>
      </c>
      <c r="D7216" t="str">
        <f t="shared" si="112"/>
        <v>CA-2017-151750_FUR-CH-10003199</v>
      </c>
      <c r="E7216" t="str">
        <f>IF(COUNTIF(data2!$D:$D,D7216)=0,"Missing in Data2","Present")</f>
        <v>Present</v>
      </c>
    </row>
    <row r="7217" spans="1:5" x14ac:dyDescent="0.25">
      <c r="A7217" s="2" t="s">
        <v>5544</v>
      </c>
      <c r="B7217" s="2" t="s">
        <v>315</v>
      </c>
      <c r="C7217" s="2">
        <v>5</v>
      </c>
      <c r="D7217" t="str">
        <f t="shared" si="112"/>
        <v>CA-2017-151750_FUR-FU-10002116</v>
      </c>
      <c r="E7217" t="str">
        <f>IF(COUNTIF(data2!$D:$D,D7217)=0,"Missing in Data2","Present")</f>
        <v>Present</v>
      </c>
    </row>
    <row r="7218" spans="1:5" x14ac:dyDescent="0.25">
      <c r="A7218" s="2" t="s">
        <v>5544</v>
      </c>
      <c r="B7218" s="2" t="s">
        <v>326</v>
      </c>
      <c r="C7218" s="2">
        <v>2</v>
      </c>
      <c r="D7218" t="str">
        <f t="shared" si="112"/>
        <v>CA-2017-151750_OFF-AP-10004708</v>
      </c>
      <c r="E7218" t="str">
        <f>IF(COUNTIF(data2!$D:$D,D7218)=0,"Missing in Data2","Present")</f>
        <v>Present</v>
      </c>
    </row>
    <row r="7219" spans="1:5" x14ac:dyDescent="0.25">
      <c r="A7219" s="2" t="s">
        <v>5544</v>
      </c>
      <c r="B7219" s="2" t="s">
        <v>1642</v>
      </c>
      <c r="C7219" s="2">
        <v>4</v>
      </c>
      <c r="D7219" t="str">
        <f t="shared" si="112"/>
        <v>CA-2017-151750_OFF-AR-10003158</v>
      </c>
      <c r="E7219" t="str">
        <f>IF(COUNTIF(data2!$D:$D,D7219)=0,"Missing in Data2","Present")</f>
        <v>Present</v>
      </c>
    </row>
    <row r="7220" spans="1:5" x14ac:dyDescent="0.25">
      <c r="A7220" s="2" t="s">
        <v>5544</v>
      </c>
      <c r="B7220" s="2" t="s">
        <v>3260</v>
      </c>
      <c r="C7220" s="2">
        <v>5</v>
      </c>
      <c r="D7220" t="str">
        <f t="shared" si="112"/>
        <v>CA-2017-151750_OFF-BI-10000301</v>
      </c>
      <c r="E7220" t="str">
        <f>IF(COUNTIF(data2!$D:$D,D7220)=0,"Missing in Data2","Present")</f>
        <v>Missing in Data2</v>
      </c>
    </row>
    <row r="7221" spans="1:5" x14ac:dyDescent="0.25">
      <c r="A7221" s="2" t="s">
        <v>5544</v>
      </c>
      <c r="B7221" s="2" t="s">
        <v>9</v>
      </c>
      <c r="C7221" s="2">
        <v>14</v>
      </c>
      <c r="D7221" t="str">
        <f t="shared" si="112"/>
        <v>CA-2017-151750_OFF-BI-10000343</v>
      </c>
      <c r="E7221" t="str">
        <f>IF(COUNTIF(data2!$D:$D,D7221)=0,"Missing in Data2","Present")</f>
        <v>Present</v>
      </c>
    </row>
    <row r="7222" spans="1:5" x14ac:dyDescent="0.25">
      <c r="A7222" s="2" t="s">
        <v>5544</v>
      </c>
      <c r="B7222" s="2" t="s">
        <v>444</v>
      </c>
      <c r="C7222" s="2">
        <v>5</v>
      </c>
      <c r="D7222" t="str">
        <f t="shared" si="112"/>
        <v>CA-2017-151750_OFF-ST-10002743</v>
      </c>
      <c r="E7222" t="str">
        <f>IF(COUNTIF(data2!$D:$D,D7222)=0,"Missing in Data2","Present")</f>
        <v>Present</v>
      </c>
    </row>
    <row r="7223" spans="1:5" x14ac:dyDescent="0.25">
      <c r="A7223" s="2" t="s">
        <v>5545</v>
      </c>
      <c r="B7223" s="2" t="s">
        <v>1806</v>
      </c>
      <c r="C7223" s="2">
        <v>2</v>
      </c>
      <c r="D7223" t="str">
        <f t="shared" si="112"/>
        <v>CA-2017-151799_FUR-TA-10003473</v>
      </c>
      <c r="E7223" t="str">
        <f>IF(COUNTIF(data2!$D:$D,D7223)=0,"Missing in Data2","Present")</f>
        <v>Present</v>
      </c>
    </row>
    <row r="7224" spans="1:5" x14ac:dyDescent="0.25">
      <c r="A7224" s="2" t="s">
        <v>5545</v>
      </c>
      <c r="B7224" s="2" t="s">
        <v>2814</v>
      </c>
      <c r="C7224" s="2">
        <v>6</v>
      </c>
      <c r="D7224" t="str">
        <f t="shared" si="112"/>
        <v>CA-2017-151799_OFF-FA-10001332</v>
      </c>
      <c r="E7224" t="str">
        <f>IF(COUNTIF(data2!$D:$D,D7224)=0,"Missing in Data2","Present")</f>
        <v>Present</v>
      </c>
    </row>
    <row r="7225" spans="1:5" x14ac:dyDescent="0.25">
      <c r="A7225" s="2" t="s">
        <v>5545</v>
      </c>
      <c r="B7225" s="2" t="s">
        <v>3758</v>
      </c>
      <c r="C7225" s="2">
        <v>1</v>
      </c>
      <c r="D7225" t="str">
        <f t="shared" si="112"/>
        <v>CA-2017-151799_OFF-ST-10002790</v>
      </c>
      <c r="E7225" t="str">
        <f>IF(COUNTIF(data2!$D:$D,D7225)=0,"Missing in Data2","Present")</f>
        <v>Present</v>
      </c>
    </row>
    <row r="7226" spans="1:5" x14ac:dyDescent="0.25">
      <c r="A7226" s="2" t="s">
        <v>5545</v>
      </c>
      <c r="B7226" s="2" t="s">
        <v>1352</v>
      </c>
      <c r="C7226" s="2">
        <v>3</v>
      </c>
      <c r="D7226" t="str">
        <f t="shared" si="112"/>
        <v>CA-2017-151799_OFF-SU-10001664</v>
      </c>
      <c r="E7226" t="str">
        <f>IF(COUNTIF(data2!$D:$D,D7226)=0,"Missing in Data2","Present")</f>
        <v>Present</v>
      </c>
    </row>
    <row r="7227" spans="1:5" x14ac:dyDescent="0.25">
      <c r="A7227" s="2" t="s">
        <v>5545</v>
      </c>
      <c r="B7227" s="2" t="s">
        <v>3011</v>
      </c>
      <c r="C7227" s="2">
        <v>2</v>
      </c>
      <c r="D7227" t="str">
        <f t="shared" si="112"/>
        <v>CA-2017-151799_TEC-CO-10002313</v>
      </c>
      <c r="E7227" t="str">
        <f>IF(COUNTIF(data2!$D:$D,D7227)=0,"Missing in Data2","Present")</f>
        <v>Present</v>
      </c>
    </row>
    <row r="7228" spans="1:5" x14ac:dyDescent="0.25">
      <c r="A7228" s="2" t="s">
        <v>5546</v>
      </c>
      <c r="B7228" s="2" t="s">
        <v>248</v>
      </c>
      <c r="C7228" s="2">
        <v>5</v>
      </c>
      <c r="D7228" t="str">
        <f t="shared" si="112"/>
        <v>CA-2017-151855_OFF-BI-10004209</v>
      </c>
      <c r="E7228" t="str">
        <f>IF(COUNTIF(data2!$D:$D,D7228)=0,"Missing in Data2","Present")</f>
        <v>Present</v>
      </c>
    </row>
    <row r="7229" spans="1:5" x14ac:dyDescent="0.25">
      <c r="A7229" s="2" t="s">
        <v>5546</v>
      </c>
      <c r="B7229" s="2" t="s">
        <v>5547</v>
      </c>
      <c r="C7229" s="2">
        <v>3</v>
      </c>
      <c r="D7229" t="str">
        <f t="shared" si="112"/>
        <v>CA-2017-151855_TEC-AC-10002380</v>
      </c>
      <c r="E7229" t="str">
        <f>IF(COUNTIF(data2!$D:$D,D7229)=0,"Missing in Data2","Present")</f>
        <v>Present</v>
      </c>
    </row>
    <row r="7230" spans="1:5" x14ac:dyDescent="0.25">
      <c r="A7230" s="2" t="s">
        <v>5548</v>
      </c>
      <c r="B7230" s="2" t="s">
        <v>2208</v>
      </c>
      <c r="C7230" s="2">
        <v>4</v>
      </c>
      <c r="D7230" t="str">
        <f t="shared" si="112"/>
        <v>CA-2017-151911_OFF-EN-10002986</v>
      </c>
      <c r="E7230" t="str">
        <f>IF(COUNTIF(data2!$D:$D,D7230)=0,"Missing in Data2","Present")</f>
        <v>Present</v>
      </c>
    </row>
    <row r="7231" spans="1:5" x14ac:dyDescent="0.25">
      <c r="A7231" s="2" t="s">
        <v>5549</v>
      </c>
      <c r="B7231" s="2" t="s">
        <v>23</v>
      </c>
      <c r="C7231" s="2">
        <v>6</v>
      </c>
      <c r="D7231" t="str">
        <f t="shared" si="112"/>
        <v>CA-2017-151981_OFF-AR-10000380</v>
      </c>
      <c r="E7231" t="str">
        <f>IF(COUNTIF(data2!$D:$D,D7231)=0,"Missing in Data2","Present")</f>
        <v>Present</v>
      </c>
    </row>
    <row r="7232" spans="1:5" x14ac:dyDescent="0.25">
      <c r="A7232" s="2" t="s">
        <v>5549</v>
      </c>
      <c r="B7232" s="2" t="s">
        <v>945</v>
      </c>
      <c r="C7232" s="2">
        <v>8</v>
      </c>
      <c r="D7232" t="str">
        <f t="shared" si="112"/>
        <v>CA-2017-151981_OFF-LA-10002195</v>
      </c>
      <c r="E7232" t="str">
        <f>IF(COUNTIF(data2!$D:$D,D7232)=0,"Missing in Data2","Present")</f>
        <v>Present</v>
      </c>
    </row>
    <row r="7233" spans="1:5" x14ac:dyDescent="0.25">
      <c r="A7233" s="2" t="s">
        <v>5549</v>
      </c>
      <c r="B7233" s="2" t="s">
        <v>3077</v>
      </c>
      <c r="C7233" s="2">
        <v>5</v>
      </c>
      <c r="D7233" t="str">
        <f t="shared" si="112"/>
        <v>CA-2017-151981_TEC-PH-10003601</v>
      </c>
      <c r="E7233" t="str">
        <f>IF(COUNTIF(data2!$D:$D,D7233)=0,"Missing in Data2","Present")</f>
        <v>Present</v>
      </c>
    </row>
    <row r="7234" spans="1:5" x14ac:dyDescent="0.25">
      <c r="A7234" s="2" t="s">
        <v>5550</v>
      </c>
      <c r="B7234" s="2" t="s">
        <v>776</v>
      </c>
      <c r="C7234" s="2">
        <v>5</v>
      </c>
      <c r="D7234" t="str">
        <f t="shared" si="112"/>
        <v>CA-2017-152079_OFF-LA-10001613</v>
      </c>
      <c r="E7234" t="str">
        <f>IF(COUNTIF(data2!$D:$D,D7234)=0,"Missing in Data2","Present")</f>
        <v>Present</v>
      </c>
    </row>
    <row r="7235" spans="1:5" x14ac:dyDescent="0.25">
      <c r="A7235" s="2" t="s">
        <v>5551</v>
      </c>
      <c r="B7235" s="2" t="s">
        <v>907</v>
      </c>
      <c r="C7235" s="2">
        <v>3</v>
      </c>
      <c r="D7235" t="str">
        <f t="shared" ref="D7235:D7298" si="113">A7235&amp;"_"&amp;B7235</f>
        <v>CA-2017-152093_OFF-BI-10003527</v>
      </c>
      <c r="E7235" t="str">
        <f>IF(COUNTIF(data2!$D:$D,D7235)=0,"Missing in Data2","Present")</f>
        <v>Present</v>
      </c>
    </row>
    <row r="7236" spans="1:5" x14ac:dyDescent="0.25">
      <c r="A7236" s="2" t="s">
        <v>5552</v>
      </c>
      <c r="B7236" s="2" t="s">
        <v>139</v>
      </c>
      <c r="C7236" s="2">
        <v>8</v>
      </c>
      <c r="D7236" t="str">
        <f t="shared" si="113"/>
        <v>CA-2017-152135_TEC-PH-10003505</v>
      </c>
      <c r="E7236" t="str">
        <f>IF(COUNTIF(data2!$D:$D,D7236)=0,"Missing in Data2","Present")</f>
        <v>Present</v>
      </c>
    </row>
    <row r="7237" spans="1:5" x14ac:dyDescent="0.25">
      <c r="A7237" s="2" t="s">
        <v>5553</v>
      </c>
      <c r="B7237" s="2" t="s">
        <v>949</v>
      </c>
      <c r="C7237" s="2">
        <v>2</v>
      </c>
      <c r="D7237" t="str">
        <f t="shared" si="113"/>
        <v>CA-2017-152142_FUR-CH-10002965</v>
      </c>
      <c r="E7237" t="str">
        <f>IF(COUNTIF(data2!$D:$D,D7237)=0,"Missing in Data2","Present")</f>
        <v>Present</v>
      </c>
    </row>
    <row r="7238" spans="1:5" x14ac:dyDescent="0.25">
      <c r="A7238" s="2" t="s">
        <v>5554</v>
      </c>
      <c r="B7238" s="2" t="s">
        <v>626</v>
      </c>
      <c r="C7238" s="2">
        <v>2</v>
      </c>
      <c r="D7238" t="str">
        <f t="shared" si="113"/>
        <v>CA-2017-152198_OFF-BI-10001628</v>
      </c>
      <c r="E7238" t="str">
        <f>IF(COUNTIF(data2!$D:$D,D7238)=0,"Missing in Data2","Present")</f>
        <v>Present</v>
      </c>
    </row>
    <row r="7239" spans="1:5" x14ac:dyDescent="0.25">
      <c r="A7239" s="2" t="s">
        <v>5554</v>
      </c>
      <c r="B7239" s="2" t="s">
        <v>1203</v>
      </c>
      <c r="C7239" s="2">
        <v>3</v>
      </c>
      <c r="D7239" t="str">
        <f t="shared" si="113"/>
        <v>CA-2017-152198_OFF-BI-10003669</v>
      </c>
      <c r="E7239" t="str">
        <f>IF(COUNTIF(data2!$D:$D,D7239)=0,"Missing in Data2","Present")</f>
        <v>Present</v>
      </c>
    </row>
    <row r="7240" spans="1:5" x14ac:dyDescent="0.25">
      <c r="A7240" s="2" t="s">
        <v>5554</v>
      </c>
      <c r="B7240" s="2" t="s">
        <v>172</v>
      </c>
      <c r="C7240" s="2">
        <v>6</v>
      </c>
      <c r="D7240" t="str">
        <f t="shared" si="113"/>
        <v>CA-2017-152198_OFF-LA-10000443</v>
      </c>
      <c r="E7240" t="str">
        <f>IF(COUNTIF(data2!$D:$D,D7240)=0,"Missing in Data2","Present")</f>
        <v>Present</v>
      </c>
    </row>
    <row r="7241" spans="1:5" x14ac:dyDescent="0.25">
      <c r="A7241" s="2" t="s">
        <v>5555</v>
      </c>
      <c r="B7241" s="2" t="s">
        <v>442</v>
      </c>
      <c r="C7241" s="2">
        <v>1</v>
      </c>
      <c r="D7241" t="str">
        <f t="shared" si="113"/>
        <v>CA-2017-152205_OFF-BI-10004094</v>
      </c>
      <c r="E7241" t="str">
        <f>IF(COUNTIF(data2!$D:$D,D7241)=0,"Missing in Data2","Present")</f>
        <v>Present</v>
      </c>
    </row>
    <row r="7242" spans="1:5" x14ac:dyDescent="0.25">
      <c r="A7242" s="2" t="s">
        <v>5556</v>
      </c>
      <c r="B7242" s="2" t="s">
        <v>955</v>
      </c>
      <c r="C7242" s="2">
        <v>4</v>
      </c>
      <c r="D7242" t="str">
        <f t="shared" si="113"/>
        <v>CA-2017-152261_OFF-BI-10002353</v>
      </c>
      <c r="E7242" t="str">
        <f>IF(COUNTIF(data2!$D:$D,D7242)=0,"Missing in Data2","Present")</f>
        <v>Present</v>
      </c>
    </row>
    <row r="7243" spans="1:5" x14ac:dyDescent="0.25">
      <c r="A7243" s="2" t="s">
        <v>5557</v>
      </c>
      <c r="B7243" s="2" t="s">
        <v>2531</v>
      </c>
      <c r="C7243" s="2">
        <v>6</v>
      </c>
      <c r="D7243" t="str">
        <f t="shared" si="113"/>
        <v>CA-2017-152275_OFF-AR-10000369</v>
      </c>
      <c r="E7243" t="str">
        <f>IF(COUNTIF(data2!$D:$D,D7243)=0,"Missing in Data2","Present")</f>
        <v>Present</v>
      </c>
    </row>
    <row r="7244" spans="1:5" x14ac:dyDescent="0.25">
      <c r="A7244" s="2" t="s">
        <v>5558</v>
      </c>
      <c r="B7244" s="2" t="s">
        <v>354</v>
      </c>
      <c r="C7244" s="2">
        <v>6</v>
      </c>
      <c r="D7244" t="str">
        <f t="shared" si="113"/>
        <v>CA-2017-152310_OFF-BI-10004308</v>
      </c>
      <c r="E7244" t="str">
        <f>IF(COUNTIF(data2!$D:$D,D7244)=0,"Missing in Data2","Present")</f>
        <v>Present</v>
      </c>
    </row>
    <row r="7245" spans="1:5" x14ac:dyDescent="0.25">
      <c r="A7245" s="2" t="s">
        <v>5558</v>
      </c>
      <c r="B7245" s="2" t="s">
        <v>5559</v>
      </c>
      <c r="C7245" s="2">
        <v>4</v>
      </c>
      <c r="D7245" t="str">
        <f t="shared" si="113"/>
        <v>CA-2017-152310_OFF-PA-10003134</v>
      </c>
      <c r="E7245" t="str">
        <f>IF(COUNTIF(data2!$D:$D,D7245)=0,"Missing in Data2","Present")</f>
        <v>Present</v>
      </c>
    </row>
    <row r="7246" spans="1:5" x14ac:dyDescent="0.25">
      <c r="A7246" s="2" t="s">
        <v>5558</v>
      </c>
      <c r="B7246" s="2" t="s">
        <v>1024</v>
      </c>
      <c r="C7246" s="2">
        <v>3</v>
      </c>
      <c r="D7246" t="str">
        <f t="shared" si="113"/>
        <v>CA-2017-152310_OFF-ST-10001228</v>
      </c>
      <c r="E7246" t="str">
        <f>IF(COUNTIF(data2!$D:$D,D7246)=0,"Missing in Data2","Present")</f>
        <v>Present</v>
      </c>
    </row>
    <row r="7247" spans="1:5" x14ac:dyDescent="0.25">
      <c r="A7247" s="2" t="s">
        <v>5558</v>
      </c>
      <c r="B7247" s="2" t="s">
        <v>2781</v>
      </c>
      <c r="C7247" s="2">
        <v>5</v>
      </c>
      <c r="D7247" t="str">
        <f t="shared" si="113"/>
        <v>CA-2017-152310_TEC-AC-10000397</v>
      </c>
      <c r="E7247" t="str">
        <f>IF(COUNTIF(data2!$D:$D,D7247)=0,"Missing in Data2","Present")</f>
        <v>Present</v>
      </c>
    </row>
    <row r="7248" spans="1:5" x14ac:dyDescent="0.25">
      <c r="A7248" s="2" t="s">
        <v>5558</v>
      </c>
      <c r="B7248" s="2" t="s">
        <v>3908</v>
      </c>
      <c r="C7248" s="2">
        <v>1</v>
      </c>
      <c r="D7248" t="str">
        <f t="shared" si="113"/>
        <v>CA-2017-152310_TEC-CO-10000971</v>
      </c>
      <c r="E7248" t="str">
        <f>IF(COUNTIF(data2!$D:$D,D7248)=0,"Missing in Data2","Present")</f>
        <v>Missing in Data2</v>
      </c>
    </row>
    <row r="7249" spans="1:5" x14ac:dyDescent="0.25">
      <c r="A7249" s="2" t="s">
        <v>5558</v>
      </c>
      <c r="B7249" s="2" t="s">
        <v>1741</v>
      </c>
      <c r="C7249" s="2">
        <v>8</v>
      </c>
      <c r="D7249" t="str">
        <f t="shared" si="113"/>
        <v>CA-2017-152310_TEC-PH-10002538</v>
      </c>
      <c r="E7249" t="str">
        <f>IF(COUNTIF(data2!$D:$D,D7249)=0,"Missing in Data2","Present")</f>
        <v>Present</v>
      </c>
    </row>
    <row r="7250" spans="1:5" x14ac:dyDescent="0.25">
      <c r="A7250" s="2" t="s">
        <v>5560</v>
      </c>
      <c r="B7250" s="2" t="s">
        <v>357</v>
      </c>
      <c r="C7250" s="2">
        <v>6</v>
      </c>
      <c r="D7250" t="str">
        <f t="shared" si="113"/>
        <v>CA-2017-152436_OFF-ST-10000036</v>
      </c>
      <c r="E7250" t="str">
        <f>IF(COUNTIF(data2!$D:$D,D7250)=0,"Missing in Data2","Present")</f>
        <v>Present</v>
      </c>
    </row>
    <row r="7251" spans="1:5" x14ac:dyDescent="0.25">
      <c r="A7251" s="2" t="s">
        <v>5561</v>
      </c>
      <c r="B7251" s="2" t="s">
        <v>2562</v>
      </c>
      <c r="C7251" s="2">
        <v>5</v>
      </c>
      <c r="D7251" t="str">
        <f t="shared" si="113"/>
        <v>CA-2017-152485_OFF-AR-10001940</v>
      </c>
      <c r="E7251" t="str">
        <f>IF(COUNTIF(data2!$D:$D,D7251)=0,"Missing in Data2","Present")</f>
        <v>Present</v>
      </c>
    </row>
    <row r="7252" spans="1:5" x14ac:dyDescent="0.25">
      <c r="A7252" s="2" t="s">
        <v>5561</v>
      </c>
      <c r="B7252" s="2" t="s">
        <v>2034</v>
      </c>
      <c r="C7252" s="2">
        <v>7</v>
      </c>
      <c r="D7252" t="str">
        <f t="shared" si="113"/>
        <v>CA-2017-152485_OFF-AR-10003759</v>
      </c>
      <c r="E7252" t="str">
        <f>IF(COUNTIF(data2!$D:$D,D7252)=0,"Missing in Data2","Present")</f>
        <v>Present</v>
      </c>
    </row>
    <row r="7253" spans="1:5" x14ac:dyDescent="0.25">
      <c r="A7253" s="2" t="s">
        <v>5561</v>
      </c>
      <c r="B7253" s="2" t="s">
        <v>45</v>
      </c>
      <c r="C7253" s="2">
        <v>1</v>
      </c>
      <c r="D7253" t="str">
        <f t="shared" si="113"/>
        <v>CA-2017-152485_OFF-ST-10004950</v>
      </c>
      <c r="E7253" t="str">
        <f>IF(COUNTIF(data2!$D:$D,D7253)=0,"Missing in Data2","Present")</f>
        <v>Present</v>
      </c>
    </row>
    <row r="7254" spans="1:5" x14ac:dyDescent="0.25">
      <c r="A7254" s="2" t="s">
        <v>5562</v>
      </c>
      <c r="B7254" s="2" t="s">
        <v>886</v>
      </c>
      <c r="C7254" s="2">
        <v>3</v>
      </c>
      <c r="D7254" t="str">
        <f t="shared" si="113"/>
        <v>CA-2017-152499_OFF-AR-10003481</v>
      </c>
      <c r="E7254" t="str">
        <f>IF(COUNTIF(data2!$D:$D,D7254)=0,"Missing in Data2","Present")</f>
        <v>Present</v>
      </c>
    </row>
    <row r="7255" spans="1:5" x14ac:dyDescent="0.25">
      <c r="A7255" s="2" t="s">
        <v>5562</v>
      </c>
      <c r="B7255" s="2" t="s">
        <v>249</v>
      </c>
      <c r="C7255" s="2">
        <v>5</v>
      </c>
      <c r="D7255" t="str">
        <f t="shared" si="113"/>
        <v>CA-2017-152499_OFF-FA-10002975</v>
      </c>
      <c r="E7255" t="str">
        <f>IF(COUNTIF(data2!$D:$D,D7255)=0,"Missing in Data2","Present")</f>
        <v>Present</v>
      </c>
    </row>
    <row r="7256" spans="1:5" x14ac:dyDescent="0.25">
      <c r="A7256" s="2" t="s">
        <v>5563</v>
      </c>
      <c r="B7256" s="2" t="s">
        <v>1503</v>
      </c>
      <c r="C7256" s="2">
        <v>2</v>
      </c>
      <c r="D7256" t="str">
        <f t="shared" si="113"/>
        <v>CA-2017-152583_FUR-FU-10003849</v>
      </c>
      <c r="E7256" t="str">
        <f>IF(COUNTIF(data2!$D:$D,D7256)=0,"Missing in Data2","Present")</f>
        <v>Present</v>
      </c>
    </row>
    <row r="7257" spans="1:5" x14ac:dyDescent="0.25">
      <c r="A7257" s="2" t="s">
        <v>5563</v>
      </c>
      <c r="B7257" s="2" t="s">
        <v>238</v>
      </c>
      <c r="C7257" s="2">
        <v>2</v>
      </c>
      <c r="D7257" t="str">
        <f t="shared" si="113"/>
        <v>CA-2017-152583_FUR-TA-10002041</v>
      </c>
      <c r="E7257" t="str">
        <f>IF(COUNTIF(data2!$D:$D,D7257)=0,"Missing in Data2","Present")</f>
        <v>Present</v>
      </c>
    </row>
    <row r="7258" spans="1:5" x14ac:dyDescent="0.25">
      <c r="A7258" s="2" t="s">
        <v>5563</v>
      </c>
      <c r="B7258" s="2" t="s">
        <v>652</v>
      </c>
      <c r="C7258" s="2">
        <v>6</v>
      </c>
      <c r="D7258" t="str">
        <f t="shared" si="113"/>
        <v>CA-2017-152583_OFF-ST-10002214</v>
      </c>
      <c r="E7258" t="str">
        <f>IF(COUNTIF(data2!$D:$D,D7258)=0,"Missing in Data2","Present")</f>
        <v>Present</v>
      </c>
    </row>
    <row r="7259" spans="1:5" x14ac:dyDescent="0.25">
      <c r="A7259" s="2" t="s">
        <v>5564</v>
      </c>
      <c r="B7259" s="2" t="s">
        <v>51</v>
      </c>
      <c r="C7259" s="2">
        <v>2</v>
      </c>
      <c r="D7259" t="str">
        <f t="shared" si="113"/>
        <v>CA-2017-152660_OFF-ST-10000532</v>
      </c>
      <c r="E7259" t="str">
        <f>IF(COUNTIF(data2!$D:$D,D7259)=0,"Missing in Data2","Present")</f>
        <v>Missing in Data2</v>
      </c>
    </row>
    <row r="7260" spans="1:5" x14ac:dyDescent="0.25">
      <c r="A7260" s="2" t="s">
        <v>5565</v>
      </c>
      <c r="B7260" s="2" t="s">
        <v>1975</v>
      </c>
      <c r="C7260" s="2">
        <v>7</v>
      </c>
      <c r="D7260" t="str">
        <f t="shared" si="113"/>
        <v>CA-2017-152695_OFF-AP-10000026</v>
      </c>
      <c r="E7260" t="str">
        <f>IF(COUNTIF(data2!$D:$D,D7260)=0,"Missing in Data2","Present")</f>
        <v>Present</v>
      </c>
    </row>
    <row r="7261" spans="1:5" x14ac:dyDescent="0.25">
      <c r="A7261" s="2" t="s">
        <v>5565</v>
      </c>
      <c r="B7261" s="2" t="s">
        <v>323</v>
      </c>
      <c r="C7261" s="2">
        <v>3</v>
      </c>
      <c r="D7261" t="str">
        <f t="shared" si="113"/>
        <v>CA-2017-152695_OFF-EN-10004030</v>
      </c>
      <c r="E7261" t="str">
        <f>IF(COUNTIF(data2!$D:$D,D7261)=0,"Missing in Data2","Present")</f>
        <v>Present</v>
      </c>
    </row>
    <row r="7262" spans="1:5" x14ac:dyDescent="0.25">
      <c r="A7262" s="2" t="s">
        <v>5566</v>
      </c>
      <c r="B7262" s="2" t="s">
        <v>1258</v>
      </c>
      <c r="C7262" s="2">
        <v>14</v>
      </c>
      <c r="D7262" t="str">
        <f t="shared" si="113"/>
        <v>CA-2017-152702_FUR-CH-10002304</v>
      </c>
      <c r="E7262" t="str">
        <f>IF(COUNTIF(data2!$D:$D,D7262)=0,"Missing in Data2","Present")</f>
        <v>Present</v>
      </c>
    </row>
    <row r="7263" spans="1:5" x14ac:dyDescent="0.25">
      <c r="A7263" s="2" t="s">
        <v>5567</v>
      </c>
      <c r="B7263" s="2" t="s">
        <v>1297</v>
      </c>
      <c r="C7263" s="2">
        <v>2</v>
      </c>
      <c r="D7263" t="str">
        <f t="shared" si="113"/>
        <v>CA-2017-152709_OFF-ST-10001837</v>
      </c>
      <c r="E7263" t="str">
        <f>IF(COUNTIF(data2!$D:$D,D7263)=0,"Missing in Data2","Present")</f>
        <v>Present</v>
      </c>
    </row>
    <row r="7264" spans="1:5" x14ac:dyDescent="0.25">
      <c r="A7264" s="2" t="s">
        <v>5568</v>
      </c>
      <c r="B7264" s="2" t="s">
        <v>1734</v>
      </c>
      <c r="C7264" s="2">
        <v>4</v>
      </c>
      <c r="D7264" t="str">
        <f t="shared" si="113"/>
        <v>CA-2017-152737_OFF-BI-10002982</v>
      </c>
      <c r="E7264" t="str">
        <f>IF(COUNTIF(data2!$D:$D,D7264)=0,"Missing in Data2","Present")</f>
        <v>Present</v>
      </c>
    </row>
    <row r="7265" spans="1:5" x14ac:dyDescent="0.25">
      <c r="A7265" s="2" t="s">
        <v>5568</v>
      </c>
      <c r="B7265" s="2" t="s">
        <v>2677</v>
      </c>
      <c r="C7265" s="2">
        <v>4</v>
      </c>
      <c r="D7265" t="str">
        <f t="shared" si="113"/>
        <v>CA-2017-152737_TEC-AC-10004975</v>
      </c>
      <c r="E7265" t="str">
        <f>IF(COUNTIF(data2!$D:$D,D7265)=0,"Missing in Data2","Present")</f>
        <v>Present</v>
      </c>
    </row>
    <row r="7266" spans="1:5" x14ac:dyDescent="0.25">
      <c r="A7266" s="2" t="s">
        <v>5569</v>
      </c>
      <c r="B7266" s="2" t="s">
        <v>419</v>
      </c>
      <c r="C7266" s="2">
        <v>9</v>
      </c>
      <c r="D7266" t="str">
        <f t="shared" si="113"/>
        <v>CA-2017-152786_OFF-BI-10000829</v>
      </c>
      <c r="E7266" t="str">
        <f>IF(COUNTIF(data2!$D:$D,D7266)=0,"Missing in Data2","Present")</f>
        <v>Present</v>
      </c>
    </row>
    <row r="7267" spans="1:5" x14ac:dyDescent="0.25">
      <c r="A7267" s="2" t="s">
        <v>5570</v>
      </c>
      <c r="B7267" s="2" t="s">
        <v>746</v>
      </c>
      <c r="C7267" s="2">
        <v>2</v>
      </c>
      <c r="D7267" t="str">
        <f t="shared" si="113"/>
        <v>CA-2017-152807_FUR-FU-10004415</v>
      </c>
      <c r="E7267" t="str">
        <f>IF(COUNTIF(data2!$D:$D,D7267)=0,"Missing in Data2","Present")</f>
        <v>Present</v>
      </c>
    </row>
    <row r="7268" spans="1:5" x14ac:dyDescent="0.25">
      <c r="A7268" s="2" t="s">
        <v>5570</v>
      </c>
      <c r="B7268" s="2" t="s">
        <v>2301</v>
      </c>
      <c r="C7268" s="2">
        <v>4</v>
      </c>
      <c r="D7268" t="str">
        <f t="shared" si="113"/>
        <v>CA-2017-152807_OFF-PA-10004355</v>
      </c>
      <c r="E7268" t="str">
        <f>IF(COUNTIF(data2!$D:$D,D7268)=0,"Missing in Data2","Present")</f>
        <v>Present</v>
      </c>
    </row>
    <row r="7269" spans="1:5" x14ac:dyDescent="0.25">
      <c r="A7269" s="2" t="s">
        <v>5570</v>
      </c>
      <c r="B7269" s="2" t="s">
        <v>2470</v>
      </c>
      <c r="C7269" s="2">
        <v>2</v>
      </c>
      <c r="D7269" t="str">
        <f t="shared" si="113"/>
        <v>CA-2017-152807_OFF-ST-10002486</v>
      </c>
      <c r="E7269" t="str">
        <f>IF(COUNTIF(data2!$D:$D,D7269)=0,"Missing in Data2","Present")</f>
        <v>Present</v>
      </c>
    </row>
    <row r="7270" spans="1:5" x14ac:dyDescent="0.25">
      <c r="A7270" s="2" t="s">
        <v>5570</v>
      </c>
      <c r="B7270" s="2" t="s">
        <v>1112</v>
      </c>
      <c r="C7270" s="2">
        <v>7</v>
      </c>
      <c r="D7270" t="str">
        <f t="shared" si="113"/>
        <v>CA-2017-152807_TEC-AC-10001142</v>
      </c>
      <c r="E7270" t="str">
        <f>IF(COUNTIF(data2!$D:$D,D7270)=0,"Missing in Data2","Present")</f>
        <v>Present</v>
      </c>
    </row>
    <row r="7271" spans="1:5" x14ac:dyDescent="0.25">
      <c r="A7271" s="2" t="s">
        <v>5571</v>
      </c>
      <c r="B7271" s="2" t="s">
        <v>497</v>
      </c>
      <c r="C7271" s="2">
        <v>4</v>
      </c>
      <c r="D7271" t="str">
        <f t="shared" si="113"/>
        <v>CA-2017-152856_TEC-AC-10004864</v>
      </c>
      <c r="E7271" t="str">
        <f>IF(COUNTIF(data2!$D:$D,D7271)=0,"Missing in Data2","Present")</f>
        <v>Missing in Data2</v>
      </c>
    </row>
    <row r="7272" spans="1:5" x14ac:dyDescent="0.25">
      <c r="A7272" s="2" t="s">
        <v>5572</v>
      </c>
      <c r="B7272" s="2" t="s">
        <v>1680</v>
      </c>
      <c r="C7272" s="2">
        <v>2</v>
      </c>
      <c r="D7272" t="str">
        <f t="shared" si="113"/>
        <v>CA-2017-152912_OFF-BI-10004728</v>
      </c>
      <c r="E7272" t="str">
        <f>IF(COUNTIF(data2!$D:$D,D7272)=0,"Missing in Data2","Present")</f>
        <v>Present</v>
      </c>
    </row>
    <row r="7273" spans="1:5" x14ac:dyDescent="0.25">
      <c r="A7273" s="2" t="s">
        <v>5572</v>
      </c>
      <c r="B7273" s="2" t="s">
        <v>550</v>
      </c>
      <c r="C7273" s="2">
        <v>12</v>
      </c>
      <c r="D7273" t="str">
        <f t="shared" si="113"/>
        <v>CA-2017-152912_OFF-ST-10003208</v>
      </c>
      <c r="E7273" t="str">
        <f>IF(COUNTIF(data2!$D:$D,D7273)=0,"Missing in Data2","Present")</f>
        <v>Present</v>
      </c>
    </row>
    <row r="7274" spans="1:5" x14ac:dyDescent="0.25">
      <c r="A7274" s="2" t="s">
        <v>5572</v>
      </c>
      <c r="B7274" s="2" t="s">
        <v>5259</v>
      </c>
      <c r="C7274" s="2">
        <v>3</v>
      </c>
      <c r="D7274" t="str">
        <f t="shared" si="113"/>
        <v>CA-2017-152912_TEC-AC-10004666</v>
      </c>
      <c r="E7274" t="str">
        <f>IF(COUNTIF(data2!$D:$D,D7274)=0,"Missing in Data2","Present")</f>
        <v>Present</v>
      </c>
    </row>
    <row r="7275" spans="1:5" x14ac:dyDescent="0.25">
      <c r="A7275" s="2" t="s">
        <v>5573</v>
      </c>
      <c r="B7275" s="2" t="s">
        <v>2280</v>
      </c>
      <c r="C7275" s="2">
        <v>6</v>
      </c>
      <c r="D7275" t="str">
        <f t="shared" si="113"/>
        <v>CA-2017-152926_OFF-AP-10001947</v>
      </c>
      <c r="E7275" t="str">
        <f>IF(COUNTIF(data2!$D:$D,D7275)=0,"Missing in Data2","Present")</f>
        <v>Present</v>
      </c>
    </row>
    <row r="7276" spans="1:5" x14ac:dyDescent="0.25">
      <c r="A7276" s="2" t="s">
        <v>5573</v>
      </c>
      <c r="B7276" s="2" t="s">
        <v>326</v>
      </c>
      <c r="C7276" s="2">
        <v>2</v>
      </c>
      <c r="D7276" t="str">
        <f t="shared" si="113"/>
        <v>CA-2017-152926_OFF-AP-10004708</v>
      </c>
      <c r="E7276" t="str">
        <f>IF(COUNTIF(data2!$D:$D,D7276)=0,"Missing in Data2","Present")</f>
        <v>Present</v>
      </c>
    </row>
    <row r="7277" spans="1:5" x14ac:dyDescent="0.25">
      <c r="A7277" s="2" t="s">
        <v>5574</v>
      </c>
      <c r="B7277" s="2" t="s">
        <v>3575</v>
      </c>
      <c r="C7277" s="2">
        <v>2</v>
      </c>
      <c r="D7277" t="str">
        <f t="shared" si="113"/>
        <v>CA-2017-152933_OFF-PA-10001934</v>
      </c>
      <c r="E7277" t="str">
        <f>IF(COUNTIF(data2!$D:$D,D7277)=0,"Missing in Data2","Present")</f>
        <v>Present</v>
      </c>
    </row>
    <row r="7278" spans="1:5" x14ac:dyDescent="0.25">
      <c r="A7278" s="2" t="s">
        <v>5574</v>
      </c>
      <c r="B7278" s="2" t="s">
        <v>2361</v>
      </c>
      <c r="C7278" s="2">
        <v>3</v>
      </c>
      <c r="D7278" t="str">
        <f t="shared" si="113"/>
        <v>CA-2017-152933_TEC-AC-10003033</v>
      </c>
      <c r="E7278" t="str">
        <f>IF(COUNTIF(data2!$D:$D,D7278)=0,"Missing in Data2","Present")</f>
        <v>Present</v>
      </c>
    </row>
    <row r="7279" spans="1:5" x14ac:dyDescent="0.25">
      <c r="A7279" s="2" t="s">
        <v>5574</v>
      </c>
      <c r="B7279" s="2" t="s">
        <v>1664</v>
      </c>
      <c r="C7279" s="2">
        <v>7</v>
      </c>
      <c r="D7279" t="str">
        <f t="shared" si="113"/>
        <v>CA-2017-152933_TEC-PH-10002085</v>
      </c>
      <c r="E7279" t="str">
        <f>IF(COUNTIF(data2!$D:$D,D7279)=0,"Missing in Data2","Present")</f>
        <v>Present</v>
      </c>
    </row>
    <row r="7280" spans="1:5" x14ac:dyDescent="0.25">
      <c r="A7280" s="2" t="s">
        <v>5575</v>
      </c>
      <c r="B7280" s="2" t="s">
        <v>4187</v>
      </c>
      <c r="C7280" s="2">
        <v>2</v>
      </c>
      <c r="D7280" t="str">
        <f t="shared" si="113"/>
        <v>CA-2017-152961_OFF-PA-10004675</v>
      </c>
      <c r="E7280" t="str">
        <f>IF(COUNTIF(data2!$D:$D,D7280)=0,"Missing in Data2","Present")</f>
        <v>Present</v>
      </c>
    </row>
    <row r="7281" spans="1:5" x14ac:dyDescent="0.25">
      <c r="A7281" s="2" t="s">
        <v>5576</v>
      </c>
      <c r="B7281" s="2" t="s">
        <v>1976</v>
      </c>
      <c r="C7281" s="2">
        <v>2</v>
      </c>
      <c r="D7281" t="str">
        <f t="shared" si="113"/>
        <v>CA-2017-152968_TEC-AC-10000521</v>
      </c>
      <c r="E7281" t="str">
        <f>IF(COUNTIF(data2!$D:$D,D7281)=0,"Missing in Data2","Present")</f>
        <v>Present</v>
      </c>
    </row>
    <row r="7282" spans="1:5" x14ac:dyDescent="0.25">
      <c r="A7282" s="2" t="s">
        <v>5577</v>
      </c>
      <c r="B7282" s="2" t="s">
        <v>1766</v>
      </c>
      <c r="C7282" s="2">
        <v>5</v>
      </c>
      <c r="D7282" t="str">
        <f t="shared" si="113"/>
        <v>CA-2017-152975_FUR-CH-10003298</v>
      </c>
      <c r="E7282" t="str">
        <f>IF(COUNTIF(data2!$D:$D,D7282)=0,"Missing in Data2","Present")</f>
        <v>Present</v>
      </c>
    </row>
    <row r="7283" spans="1:5" x14ac:dyDescent="0.25">
      <c r="A7283" s="2" t="s">
        <v>5577</v>
      </c>
      <c r="B7283" s="2" t="s">
        <v>5252</v>
      </c>
      <c r="C7283" s="2">
        <v>5</v>
      </c>
      <c r="D7283" t="str">
        <f t="shared" si="113"/>
        <v>CA-2017-152975_OFF-AR-10001988</v>
      </c>
      <c r="E7283" t="str">
        <f>IF(COUNTIF(data2!$D:$D,D7283)=0,"Missing in Data2","Present")</f>
        <v>Present</v>
      </c>
    </row>
    <row r="7284" spans="1:5" x14ac:dyDescent="0.25">
      <c r="A7284" s="2" t="s">
        <v>5577</v>
      </c>
      <c r="B7284" s="2" t="s">
        <v>559</v>
      </c>
      <c r="C7284" s="2">
        <v>1</v>
      </c>
      <c r="D7284" t="str">
        <f t="shared" si="113"/>
        <v>CA-2017-152975_OFF-ST-10001370</v>
      </c>
      <c r="E7284" t="str">
        <f>IF(COUNTIF(data2!$D:$D,D7284)=0,"Missing in Data2","Present")</f>
        <v>Present</v>
      </c>
    </row>
    <row r="7285" spans="1:5" x14ac:dyDescent="0.25">
      <c r="A7285" s="2" t="s">
        <v>5577</v>
      </c>
      <c r="B7285" s="2" t="s">
        <v>1500</v>
      </c>
      <c r="C7285" s="2">
        <v>3</v>
      </c>
      <c r="D7285" t="str">
        <f t="shared" si="113"/>
        <v>CA-2017-152975_TEC-PH-10004586</v>
      </c>
      <c r="E7285" t="str">
        <f>IF(COUNTIF(data2!$D:$D,D7285)=0,"Missing in Data2","Present")</f>
        <v>Present</v>
      </c>
    </row>
    <row r="7286" spans="1:5" x14ac:dyDescent="0.25">
      <c r="A7286" s="2" t="s">
        <v>5578</v>
      </c>
      <c r="B7286" s="2" t="s">
        <v>2351</v>
      </c>
      <c r="C7286" s="2">
        <v>3</v>
      </c>
      <c r="D7286" t="str">
        <f t="shared" si="113"/>
        <v>CA-2017-153045_FUR-CH-10000309</v>
      </c>
      <c r="E7286" t="str">
        <f>IF(COUNTIF(data2!$D:$D,D7286)=0,"Missing in Data2","Present")</f>
        <v>Present</v>
      </c>
    </row>
    <row r="7287" spans="1:5" x14ac:dyDescent="0.25">
      <c r="A7287" s="2" t="s">
        <v>5578</v>
      </c>
      <c r="B7287" s="2" t="s">
        <v>359</v>
      </c>
      <c r="C7287" s="2">
        <v>2</v>
      </c>
      <c r="D7287" t="str">
        <f t="shared" si="113"/>
        <v>CA-2017-153045_FUR-FU-10002759</v>
      </c>
      <c r="E7287" t="str">
        <f>IF(COUNTIF(data2!$D:$D,D7287)=0,"Missing in Data2","Present")</f>
        <v>Present</v>
      </c>
    </row>
    <row r="7288" spans="1:5" x14ac:dyDescent="0.25">
      <c r="A7288" s="2" t="s">
        <v>5578</v>
      </c>
      <c r="B7288" s="2" t="s">
        <v>4498</v>
      </c>
      <c r="C7288" s="2">
        <v>4</v>
      </c>
      <c r="D7288" t="str">
        <f t="shared" si="113"/>
        <v>CA-2017-153045_OFF-PA-10003673</v>
      </c>
      <c r="E7288" t="str">
        <f>IF(COUNTIF(data2!$D:$D,D7288)=0,"Missing in Data2","Present")</f>
        <v>Present</v>
      </c>
    </row>
    <row r="7289" spans="1:5" x14ac:dyDescent="0.25">
      <c r="A7289" s="2" t="s">
        <v>5578</v>
      </c>
      <c r="B7289" s="2" t="s">
        <v>2598</v>
      </c>
      <c r="C7289" s="2">
        <v>2</v>
      </c>
      <c r="D7289" t="str">
        <f t="shared" si="113"/>
        <v>CA-2017-153045_TEC-PH-10001817</v>
      </c>
      <c r="E7289" t="str">
        <f>IF(COUNTIF(data2!$D:$D,D7289)=0,"Missing in Data2","Present")</f>
        <v>Present</v>
      </c>
    </row>
    <row r="7290" spans="1:5" x14ac:dyDescent="0.25">
      <c r="A7290" s="2" t="s">
        <v>5579</v>
      </c>
      <c r="B7290" s="2" t="s">
        <v>1266</v>
      </c>
      <c r="C7290" s="2">
        <v>7</v>
      </c>
      <c r="D7290" t="str">
        <f t="shared" si="113"/>
        <v>CA-2017-153080_TEC-AC-10002331</v>
      </c>
      <c r="E7290" t="str">
        <f>IF(COUNTIF(data2!$D:$D,D7290)=0,"Missing in Data2","Present")</f>
        <v>Present</v>
      </c>
    </row>
    <row r="7291" spans="1:5" x14ac:dyDescent="0.25">
      <c r="A7291" s="2" t="s">
        <v>5580</v>
      </c>
      <c r="B7291" s="2" t="s">
        <v>309</v>
      </c>
      <c r="C7291" s="2">
        <v>2</v>
      </c>
      <c r="D7291" t="str">
        <f t="shared" si="113"/>
        <v>CA-2017-153227_OFF-PA-10001838</v>
      </c>
      <c r="E7291" t="str">
        <f>IF(COUNTIF(data2!$D:$D,D7291)=0,"Missing in Data2","Present")</f>
        <v>Present</v>
      </c>
    </row>
    <row r="7292" spans="1:5" x14ac:dyDescent="0.25">
      <c r="A7292" s="2" t="s">
        <v>5581</v>
      </c>
      <c r="B7292" s="2" t="s">
        <v>3533</v>
      </c>
      <c r="C7292" s="2">
        <v>8</v>
      </c>
      <c r="D7292" t="str">
        <f t="shared" si="113"/>
        <v>CA-2017-153654_OFF-BI-10004465</v>
      </c>
      <c r="E7292" t="str">
        <f>IF(COUNTIF(data2!$D:$D,D7292)=0,"Missing in Data2","Present")</f>
        <v>Present</v>
      </c>
    </row>
    <row r="7293" spans="1:5" x14ac:dyDescent="0.25">
      <c r="A7293" s="2" t="s">
        <v>5582</v>
      </c>
      <c r="B7293" s="2" t="s">
        <v>675</v>
      </c>
      <c r="C7293" s="2">
        <v>2</v>
      </c>
      <c r="D7293" t="str">
        <f t="shared" si="113"/>
        <v>CA-2017-153787_OFF-AP-10001563</v>
      </c>
      <c r="E7293" t="str">
        <f>IF(COUNTIF(data2!$D:$D,D7293)=0,"Missing in Data2","Present")</f>
        <v>Present</v>
      </c>
    </row>
    <row r="7294" spans="1:5" x14ac:dyDescent="0.25">
      <c r="A7294" s="2" t="s">
        <v>5583</v>
      </c>
      <c r="B7294" s="2" t="s">
        <v>1843</v>
      </c>
      <c r="C7294" s="2">
        <v>4</v>
      </c>
      <c r="D7294" t="str">
        <f t="shared" si="113"/>
        <v>CA-2017-153822_OFF-BI-10001460</v>
      </c>
      <c r="E7294" t="str">
        <f>IF(COUNTIF(data2!$D:$D,D7294)=0,"Missing in Data2","Present")</f>
        <v>Present</v>
      </c>
    </row>
    <row r="7295" spans="1:5" x14ac:dyDescent="0.25">
      <c r="A7295" s="2" t="s">
        <v>5583</v>
      </c>
      <c r="B7295" s="2" t="s">
        <v>1423</v>
      </c>
      <c r="C7295" s="2">
        <v>2</v>
      </c>
      <c r="D7295" t="str">
        <f t="shared" si="113"/>
        <v>CA-2017-153822_OFF-ST-10000321</v>
      </c>
      <c r="E7295" t="str">
        <f>IF(COUNTIF(data2!$D:$D,D7295)=0,"Missing in Data2","Present")</f>
        <v>Present</v>
      </c>
    </row>
    <row r="7296" spans="1:5" x14ac:dyDescent="0.25">
      <c r="A7296" s="2" t="s">
        <v>5583</v>
      </c>
      <c r="B7296" s="2" t="s">
        <v>185</v>
      </c>
      <c r="C7296" s="2">
        <v>2</v>
      </c>
      <c r="D7296" t="str">
        <f t="shared" si="113"/>
        <v>CA-2017-153822_TEC-AC-10000109</v>
      </c>
      <c r="E7296" t="str">
        <f>IF(COUNTIF(data2!$D:$D,D7296)=0,"Missing in Data2","Present")</f>
        <v>Present</v>
      </c>
    </row>
    <row r="7297" spans="1:5" x14ac:dyDescent="0.25">
      <c r="A7297" s="2" t="s">
        <v>5583</v>
      </c>
      <c r="B7297" s="2" t="s">
        <v>1566</v>
      </c>
      <c r="C7297" s="2">
        <v>2</v>
      </c>
      <c r="D7297" t="str">
        <f t="shared" si="113"/>
        <v>CA-2017-153822_TEC-PH-10002415</v>
      </c>
      <c r="E7297" t="str">
        <f>IF(COUNTIF(data2!$D:$D,D7297)=0,"Missing in Data2","Present")</f>
        <v>Present</v>
      </c>
    </row>
    <row r="7298" spans="1:5" x14ac:dyDescent="0.25">
      <c r="A7298" s="2" t="s">
        <v>5584</v>
      </c>
      <c r="B7298" s="2" t="s">
        <v>3965</v>
      </c>
      <c r="C7298" s="2">
        <v>2</v>
      </c>
      <c r="D7298" t="str">
        <f t="shared" si="113"/>
        <v>CA-2017-153843_OFF-AP-10001564</v>
      </c>
      <c r="E7298" t="str">
        <f>IF(COUNTIF(data2!$D:$D,D7298)=0,"Missing in Data2","Present")</f>
        <v>Present</v>
      </c>
    </row>
    <row r="7299" spans="1:5" x14ac:dyDescent="0.25">
      <c r="A7299" s="2" t="s">
        <v>5584</v>
      </c>
      <c r="B7299" s="2" t="s">
        <v>955</v>
      </c>
      <c r="C7299" s="2">
        <v>2</v>
      </c>
      <c r="D7299" t="str">
        <f t="shared" ref="D7299:D7362" si="114">A7299&amp;"_"&amp;B7299</f>
        <v>CA-2017-153843_OFF-BI-10002353</v>
      </c>
      <c r="E7299" t="str">
        <f>IF(COUNTIF(data2!$D:$D,D7299)=0,"Missing in Data2","Present")</f>
        <v>Missing in Data2</v>
      </c>
    </row>
    <row r="7300" spans="1:5" x14ac:dyDescent="0.25">
      <c r="A7300" s="2" t="s">
        <v>5584</v>
      </c>
      <c r="B7300" s="2" t="s">
        <v>4498</v>
      </c>
      <c r="C7300" s="2">
        <v>4</v>
      </c>
      <c r="D7300" t="str">
        <f t="shared" si="114"/>
        <v>CA-2017-153843_OFF-PA-10003673</v>
      </c>
      <c r="E7300" t="str">
        <f>IF(COUNTIF(data2!$D:$D,D7300)=0,"Missing in Data2","Present")</f>
        <v>Missing in Data2</v>
      </c>
    </row>
    <row r="7301" spans="1:5" x14ac:dyDescent="0.25">
      <c r="A7301" s="2" t="s">
        <v>5585</v>
      </c>
      <c r="B7301" s="2" t="s">
        <v>1058</v>
      </c>
      <c r="C7301" s="2">
        <v>7</v>
      </c>
      <c r="D7301" t="str">
        <f t="shared" si="114"/>
        <v>CA-2017-153871_OFF-AP-10003622</v>
      </c>
      <c r="E7301" t="str">
        <f>IF(COUNTIF(data2!$D:$D,D7301)=0,"Missing in Data2","Present")</f>
        <v>Missing in Data2</v>
      </c>
    </row>
    <row r="7302" spans="1:5" x14ac:dyDescent="0.25">
      <c r="A7302" s="2" t="s">
        <v>5585</v>
      </c>
      <c r="B7302" s="2" t="s">
        <v>248</v>
      </c>
      <c r="C7302" s="2">
        <v>5</v>
      </c>
      <c r="D7302" t="str">
        <f t="shared" si="114"/>
        <v>CA-2017-153871_OFF-BI-10004209</v>
      </c>
      <c r="E7302" t="str">
        <f>IF(COUNTIF(data2!$D:$D,D7302)=0,"Missing in Data2","Present")</f>
        <v>Present</v>
      </c>
    </row>
    <row r="7303" spans="1:5" x14ac:dyDescent="0.25">
      <c r="A7303" s="2" t="s">
        <v>5585</v>
      </c>
      <c r="B7303" s="2" t="s">
        <v>113</v>
      </c>
      <c r="C7303" s="2">
        <v>2</v>
      </c>
      <c r="D7303" t="str">
        <f t="shared" si="114"/>
        <v>CA-2017-153871_OFF-BI-10004600</v>
      </c>
      <c r="E7303" t="str">
        <f>IF(COUNTIF(data2!$D:$D,D7303)=0,"Missing in Data2","Present")</f>
        <v>Present</v>
      </c>
    </row>
    <row r="7304" spans="1:5" x14ac:dyDescent="0.25">
      <c r="A7304" s="2" t="s">
        <v>5586</v>
      </c>
      <c r="B7304" s="2" t="s">
        <v>1840</v>
      </c>
      <c r="C7304" s="2">
        <v>3</v>
      </c>
      <c r="D7304" t="str">
        <f t="shared" si="114"/>
        <v>CA-2017-154011_FUR-TA-10000688</v>
      </c>
      <c r="E7304" t="str">
        <f>IF(COUNTIF(data2!$D:$D,D7304)=0,"Missing in Data2","Present")</f>
        <v>Present</v>
      </c>
    </row>
    <row r="7305" spans="1:5" x14ac:dyDescent="0.25">
      <c r="A7305" s="2" t="s">
        <v>5586</v>
      </c>
      <c r="B7305" s="2" t="s">
        <v>2000</v>
      </c>
      <c r="C7305" s="2">
        <v>3</v>
      </c>
      <c r="D7305" t="str">
        <f t="shared" si="114"/>
        <v>CA-2017-154011_OFF-BI-10003166</v>
      </c>
      <c r="E7305" t="str">
        <f>IF(COUNTIF(data2!$D:$D,D7305)=0,"Missing in Data2","Present")</f>
        <v>Present</v>
      </c>
    </row>
    <row r="7306" spans="1:5" x14ac:dyDescent="0.25">
      <c r="A7306" s="2" t="s">
        <v>5587</v>
      </c>
      <c r="B7306" s="2" t="s">
        <v>1116</v>
      </c>
      <c r="C7306" s="2">
        <v>3</v>
      </c>
      <c r="D7306" t="str">
        <f t="shared" si="114"/>
        <v>CA-2017-154039_FUR-TA-10001932</v>
      </c>
      <c r="E7306" t="str">
        <f>IF(COUNTIF(data2!$D:$D,D7306)=0,"Missing in Data2","Present")</f>
        <v>Present</v>
      </c>
    </row>
    <row r="7307" spans="1:5" x14ac:dyDescent="0.25">
      <c r="A7307" s="2" t="s">
        <v>5587</v>
      </c>
      <c r="B7307" s="2" t="s">
        <v>5588</v>
      </c>
      <c r="C7307" s="2">
        <v>1</v>
      </c>
      <c r="D7307" t="str">
        <f t="shared" si="114"/>
        <v>CA-2017-154039_TEC-PH-10002789</v>
      </c>
      <c r="E7307" t="str">
        <f>IF(COUNTIF(data2!$D:$D,D7307)=0,"Missing in Data2","Present")</f>
        <v>Present</v>
      </c>
    </row>
    <row r="7308" spans="1:5" x14ac:dyDescent="0.25">
      <c r="A7308" s="2" t="s">
        <v>5589</v>
      </c>
      <c r="B7308" s="2" t="s">
        <v>3451</v>
      </c>
      <c r="C7308" s="2">
        <v>2</v>
      </c>
      <c r="D7308" t="str">
        <f t="shared" si="114"/>
        <v>CA-2017-154074_FUR-CH-10002331</v>
      </c>
      <c r="E7308" t="str">
        <f>IF(COUNTIF(data2!$D:$D,D7308)=0,"Missing in Data2","Present")</f>
        <v>Present</v>
      </c>
    </row>
    <row r="7309" spans="1:5" x14ac:dyDescent="0.25">
      <c r="A7309" s="2" t="s">
        <v>5589</v>
      </c>
      <c r="B7309" s="2" t="s">
        <v>1178</v>
      </c>
      <c r="C7309" s="2">
        <v>7</v>
      </c>
      <c r="D7309" t="str">
        <f t="shared" si="114"/>
        <v>CA-2017-154074_OFF-ST-10002370</v>
      </c>
      <c r="E7309" t="str">
        <f>IF(COUNTIF(data2!$D:$D,D7309)=0,"Missing in Data2","Present")</f>
        <v>Present</v>
      </c>
    </row>
    <row r="7310" spans="1:5" x14ac:dyDescent="0.25">
      <c r="A7310" s="2" t="s">
        <v>5590</v>
      </c>
      <c r="B7310" s="2" t="s">
        <v>4704</v>
      </c>
      <c r="C7310" s="2">
        <v>5</v>
      </c>
      <c r="D7310" t="str">
        <f t="shared" si="114"/>
        <v>CA-2017-154088_OFF-PA-10003651</v>
      </c>
      <c r="E7310" t="str">
        <f>IF(COUNTIF(data2!$D:$D,D7310)=0,"Missing in Data2","Present")</f>
        <v>Present</v>
      </c>
    </row>
    <row r="7311" spans="1:5" x14ac:dyDescent="0.25">
      <c r="A7311" s="2" t="s">
        <v>5591</v>
      </c>
      <c r="B7311" s="2" t="s">
        <v>373</v>
      </c>
      <c r="C7311" s="2">
        <v>2</v>
      </c>
      <c r="D7311" t="str">
        <f t="shared" si="114"/>
        <v>CA-2017-154109_FUR-CH-10003774</v>
      </c>
      <c r="E7311" t="str">
        <f>IF(COUNTIF(data2!$D:$D,D7311)=0,"Missing in Data2","Present")</f>
        <v>Present</v>
      </c>
    </row>
    <row r="7312" spans="1:5" x14ac:dyDescent="0.25">
      <c r="A7312" s="2" t="s">
        <v>5592</v>
      </c>
      <c r="B7312" s="2" t="s">
        <v>5459</v>
      </c>
      <c r="C7312" s="2">
        <v>4</v>
      </c>
      <c r="D7312" t="str">
        <f t="shared" si="114"/>
        <v>CA-2017-154116_OFF-AP-10000027</v>
      </c>
      <c r="E7312" t="str">
        <f>IF(COUNTIF(data2!$D:$D,D7312)=0,"Missing in Data2","Present")</f>
        <v>Present</v>
      </c>
    </row>
    <row r="7313" spans="1:5" x14ac:dyDescent="0.25">
      <c r="A7313" s="2" t="s">
        <v>5592</v>
      </c>
      <c r="B7313" s="2" t="s">
        <v>1184</v>
      </c>
      <c r="C7313" s="2">
        <v>3</v>
      </c>
      <c r="D7313" t="str">
        <f t="shared" si="114"/>
        <v>CA-2017-154116_OFF-PA-10004569</v>
      </c>
      <c r="E7313" t="str">
        <f>IF(COUNTIF(data2!$D:$D,D7313)=0,"Missing in Data2","Present")</f>
        <v>Present</v>
      </c>
    </row>
    <row r="7314" spans="1:5" x14ac:dyDescent="0.25">
      <c r="A7314" s="2" t="s">
        <v>5592</v>
      </c>
      <c r="B7314" s="2" t="s">
        <v>213</v>
      </c>
      <c r="C7314" s="2">
        <v>3</v>
      </c>
      <c r="D7314" t="str">
        <f t="shared" si="114"/>
        <v>CA-2017-154116_TEC-PH-10000675</v>
      </c>
      <c r="E7314" t="str">
        <f>IF(COUNTIF(data2!$D:$D,D7314)=0,"Missing in Data2","Present")</f>
        <v>Present</v>
      </c>
    </row>
    <row r="7315" spans="1:5" x14ac:dyDescent="0.25">
      <c r="A7315" s="2" t="s">
        <v>5593</v>
      </c>
      <c r="B7315" s="2" t="s">
        <v>590</v>
      </c>
      <c r="C7315" s="2">
        <v>2</v>
      </c>
      <c r="D7315" t="str">
        <f t="shared" si="114"/>
        <v>CA-2017-154123_FUR-FU-10000629</v>
      </c>
      <c r="E7315" t="str">
        <f>IF(COUNTIF(data2!$D:$D,D7315)=0,"Missing in Data2","Present")</f>
        <v>Present</v>
      </c>
    </row>
    <row r="7316" spans="1:5" x14ac:dyDescent="0.25">
      <c r="A7316" s="2" t="s">
        <v>5594</v>
      </c>
      <c r="B7316" s="2" t="s">
        <v>3903</v>
      </c>
      <c r="C7316" s="2">
        <v>1</v>
      </c>
      <c r="D7316" t="str">
        <f t="shared" si="114"/>
        <v>CA-2017-154137_OFF-ST-10003324</v>
      </c>
      <c r="E7316" t="str">
        <f>IF(COUNTIF(data2!$D:$D,D7316)=0,"Missing in Data2","Present")</f>
        <v>Present</v>
      </c>
    </row>
    <row r="7317" spans="1:5" x14ac:dyDescent="0.25">
      <c r="A7317" s="2" t="s">
        <v>5595</v>
      </c>
      <c r="B7317" s="2" t="s">
        <v>444</v>
      </c>
      <c r="C7317" s="2">
        <v>8</v>
      </c>
      <c r="D7317" t="str">
        <f t="shared" si="114"/>
        <v>CA-2017-154410_OFF-ST-10002743</v>
      </c>
      <c r="E7317" t="str">
        <f>IF(COUNTIF(data2!$D:$D,D7317)=0,"Missing in Data2","Present")</f>
        <v>Present</v>
      </c>
    </row>
    <row r="7318" spans="1:5" x14ac:dyDescent="0.25">
      <c r="A7318" s="2" t="s">
        <v>5596</v>
      </c>
      <c r="B7318" s="2" t="s">
        <v>1225</v>
      </c>
      <c r="C7318" s="2">
        <v>2</v>
      </c>
      <c r="D7318" t="str">
        <f t="shared" si="114"/>
        <v>CA-2017-154466_OFF-BI-10002012</v>
      </c>
      <c r="E7318" t="str">
        <f>IF(COUNTIF(data2!$D:$D,D7318)=0,"Missing in Data2","Present")</f>
        <v>Present</v>
      </c>
    </row>
    <row r="7319" spans="1:5" x14ac:dyDescent="0.25">
      <c r="A7319" s="2" t="s">
        <v>5597</v>
      </c>
      <c r="B7319" s="2" t="s">
        <v>729</v>
      </c>
      <c r="C7319" s="2">
        <v>2</v>
      </c>
      <c r="D7319" t="str">
        <f t="shared" si="114"/>
        <v>CA-2017-154501_OFF-AR-10002804</v>
      </c>
      <c r="E7319" t="str">
        <f>IF(COUNTIF(data2!$D:$D,D7319)=0,"Missing in Data2","Present")</f>
        <v>Missing in Data2</v>
      </c>
    </row>
    <row r="7320" spans="1:5" x14ac:dyDescent="0.25">
      <c r="A7320" s="2" t="s">
        <v>5598</v>
      </c>
      <c r="B7320" s="2" t="s">
        <v>2144</v>
      </c>
      <c r="C7320" s="2">
        <v>9</v>
      </c>
      <c r="D7320" t="str">
        <f t="shared" si="114"/>
        <v>CA-2017-154676_OFF-ST-10001172</v>
      </c>
      <c r="E7320" t="str">
        <f>IF(COUNTIF(data2!$D:$D,D7320)=0,"Missing in Data2","Present")</f>
        <v>Present</v>
      </c>
    </row>
    <row r="7321" spans="1:5" x14ac:dyDescent="0.25">
      <c r="A7321" s="2" t="s">
        <v>5599</v>
      </c>
      <c r="B7321" s="2" t="s">
        <v>1887</v>
      </c>
      <c r="C7321" s="2">
        <v>2</v>
      </c>
      <c r="D7321" t="str">
        <f t="shared" si="114"/>
        <v>CA-2017-154718_OFF-LA-10003714</v>
      </c>
      <c r="E7321" t="str">
        <f>IF(COUNTIF(data2!$D:$D,D7321)=0,"Missing in Data2","Present")</f>
        <v>Present</v>
      </c>
    </row>
    <row r="7322" spans="1:5" x14ac:dyDescent="0.25">
      <c r="A7322" s="2" t="s">
        <v>5600</v>
      </c>
      <c r="B7322" s="2" t="s">
        <v>606</v>
      </c>
      <c r="C7322" s="2">
        <v>5</v>
      </c>
      <c r="D7322" t="str">
        <f t="shared" si="114"/>
        <v>CA-2017-154732_OFF-BI-10000474</v>
      </c>
      <c r="E7322" t="str">
        <f>IF(COUNTIF(data2!$D:$D,D7322)=0,"Missing in Data2","Present")</f>
        <v>Present</v>
      </c>
    </row>
    <row r="7323" spans="1:5" x14ac:dyDescent="0.25">
      <c r="A7323" s="2" t="s">
        <v>5601</v>
      </c>
      <c r="B7323" s="2" t="s">
        <v>1261</v>
      </c>
      <c r="C7323" s="2">
        <v>8</v>
      </c>
      <c r="D7323" t="str">
        <f t="shared" si="114"/>
        <v>CA-2017-154809_OFF-AP-10004785</v>
      </c>
      <c r="E7323" t="str">
        <f>IF(COUNTIF(data2!$D:$D,D7323)=0,"Missing in Data2","Present")</f>
        <v>Present</v>
      </c>
    </row>
    <row r="7324" spans="1:5" x14ac:dyDescent="0.25">
      <c r="A7324" s="2" t="s">
        <v>5602</v>
      </c>
      <c r="B7324" s="2" t="s">
        <v>208</v>
      </c>
      <c r="C7324" s="2">
        <v>1</v>
      </c>
      <c r="D7324" t="str">
        <f t="shared" si="114"/>
        <v>CA-2017-154816_OFF-PA-10003845</v>
      </c>
      <c r="E7324" t="str">
        <f>IF(COUNTIF(data2!$D:$D,D7324)=0,"Missing in Data2","Present")</f>
        <v>Present</v>
      </c>
    </row>
    <row r="7325" spans="1:5" x14ac:dyDescent="0.25">
      <c r="A7325" s="2" t="s">
        <v>5603</v>
      </c>
      <c r="B7325" s="2" t="s">
        <v>2800</v>
      </c>
      <c r="C7325" s="2">
        <v>2</v>
      </c>
      <c r="D7325" t="str">
        <f t="shared" si="114"/>
        <v>CA-2017-154907_FUR-BO-10002824</v>
      </c>
      <c r="E7325" t="str">
        <f>IF(COUNTIF(data2!$D:$D,D7325)=0,"Missing in Data2","Present")</f>
        <v>Present</v>
      </c>
    </row>
    <row r="7326" spans="1:5" x14ac:dyDescent="0.25">
      <c r="A7326" s="2" t="s">
        <v>5604</v>
      </c>
      <c r="B7326" s="2" t="s">
        <v>227</v>
      </c>
      <c r="C7326" s="2">
        <v>3</v>
      </c>
      <c r="D7326" t="str">
        <f t="shared" si="114"/>
        <v>CA-2017-154935_OFF-BI-10003708</v>
      </c>
      <c r="E7326" t="str">
        <f>IF(COUNTIF(data2!$D:$D,D7326)=0,"Missing in Data2","Present")</f>
        <v>Present</v>
      </c>
    </row>
    <row r="7327" spans="1:5" x14ac:dyDescent="0.25">
      <c r="A7327" s="2" t="s">
        <v>5605</v>
      </c>
      <c r="B7327" s="2" t="s">
        <v>904</v>
      </c>
      <c r="C7327" s="2">
        <v>1</v>
      </c>
      <c r="D7327" t="str">
        <f t="shared" si="114"/>
        <v>CA-2017-155047_OFF-AR-10003338</v>
      </c>
      <c r="E7327" t="str">
        <f>IF(COUNTIF(data2!$D:$D,D7327)=0,"Missing in Data2","Present")</f>
        <v>Present</v>
      </c>
    </row>
    <row r="7328" spans="1:5" x14ac:dyDescent="0.25">
      <c r="A7328" s="2" t="s">
        <v>5606</v>
      </c>
      <c r="B7328" s="2" t="s">
        <v>1382</v>
      </c>
      <c r="C7328" s="2">
        <v>4</v>
      </c>
      <c r="D7328" t="str">
        <f t="shared" si="114"/>
        <v>CA-2017-155075_OFF-BI-10003650</v>
      </c>
      <c r="E7328" t="str">
        <f>IF(COUNTIF(data2!$D:$D,D7328)=0,"Missing in Data2","Present")</f>
        <v>Present</v>
      </c>
    </row>
    <row r="7329" spans="1:5" x14ac:dyDescent="0.25">
      <c r="A7329" s="2" t="s">
        <v>5607</v>
      </c>
      <c r="B7329" s="2" t="s">
        <v>150</v>
      </c>
      <c r="C7329" s="2">
        <v>5</v>
      </c>
      <c r="D7329" t="str">
        <f t="shared" si="114"/>
        <v>CA-2017-155089_OFF-BI-10002429</v>
      </c>
      <c r="E7329" t="str">
        <f>IF(COUNTIF(data2!$D:$D,D7329)=0,"Missing in Data2","Present")</f>
        <v>Present</v>
      </c>
    </row>
    <row r="7330" spans="1:5" x14ac:dyDescent="0.25">
      <c r="A7330" s="2" t="s">
        <v>5608</v>
      </c>
      <c r="B7330" s="2" t="s">
        <v>409</v>
      </c>
      <c r="C7330" s="2">
        <v>4</v>
      </c>
      <c r="D7330" t="str">
        <f t="shared" si="114"/>
        <v>CA-2017-155152_TEC-AC-10004353</v>
      </c>
      <c r="E7330" t="str">
        <f>IF(COUNTIF(data2!$D:$D,D7330)=0,"Missing in Data2","Present")</f>
        <v>Present</v>
      </c>
    </row>
    <row r="7331" spans="1:5" x14ac:dyDescent="0.25">
      <c r="A7331" s="2" t="s">
        <v>5609</v>
      </c>
      <c r="B7331" s="2" t="s">
        <v>1552</v>
      </c>
      <c r="C7331" s="2">
        <v>9</v>
      </c>
      <c r="D7331" t="str">
        <f t="shared" si="114"/>
        <v>CA-2017-155159_OFF-PA-10003724</v>
      </c>
      <c r="E7331" t="str">
        <f>IF(COUNTIF(data2!$D:$D,D7331)=0,"Missing in Data2","Present")</f>
        <v>Present</v>
      </c>
    </row>
    <row r="7332" spans="1:5" x14ac:dyDescent="0.25">
      <c r="A7332" s="2" t="s">
        <v>5610</v>
      </c>
      <c r="B7332" s="2" t="s">
        <v>555</v>
      </c>
      <c r="C7332" s="2">
        <v>1</v>
      </c>
      <c r="D7332" t="str">
        <f t="shared" si="114"/>
        <v>CA-2017-155292_FUR-CH-10000553</v>
      </c>
      <c r="E7332" t="str">
        <f>IF(COUNTIF(data2!$D:$D,D7332)=0,"Missing in Data2","Present")</f>
        <v>Present</v>
      </c>
    </row>
    <row r="7333" spans="1:5" x14ac:dyDescent="0.25">
      <c r="A7333" s="2" t="s">
        <v>5610</v>
      </c>
      <c r="B7333" s="2" t="s">
        <v>27</v>
      </c>
      <c r="C7333" s="2">
        <v>8</v>
      </c>
      <c r="D7333" t="str">
        <f t="shared" si="114"/>
        <v>CA-2017-155292_OFF-LA-10001982</v>
      </c>
      <c r="E7333" t="str">
        <f>IF(COUNTIF(data2!$D:$D,D7333)=0,"Missing in Data2","Present")</f>
        <v>Present</v>
      </c>
    </row>
    <row r="7334" spans="1:5" x14ac:dyDescent="0.25">
      <c r="A7334" s="2" t="s">
        <v>5610</v>
      </c>
      <c r="B7334" s="2" t="s">
        <v>167</v>
      </c>
      <c r="C7334" s="2">
        <v>7</v>
      </c>
      <c r="D7334" t="str">
        <f t="shared" si="114"/>
        <v>CA-2017-155292_OFF-ST-10004963</v>
      </c>
      <c r="E7334" t="str">
        <f>IF(COUNTIF(data2!$D:$D,D7334)=0,"Missing in Data2","Present")</f>
        <v>Present</v>
      </c>
    </row>
    <row r="7335" spans="1:5" x14ac:dyDescent="0.25">
      <c r="A7335" s="2" t="s">
        <v>5610</v>
      </c>
      <c r="B7335" s="2" t="s">
        <v>1948</v>
      </c>
      <c r="C7335" s="2">
        <v>2</v>
      </c>
      <c r="D7335" t="str">
        <f t="shared" si="114"/>
        <v>CA-2017-155292_OFF-SU-10002573</v>
      </c>
      <c r="E7335" t="str">
        <f>IF(COUNTIF(data2!$D:$D,D7335)=0,"Missing in Data2","Present")</f>
        <v>Present</v>
      </c>
    </row>
    <row r="7336" spans="1:5" x14ac:dyDescent="0.25">
      <c r="A7336" s="2" t="s">
        <v>5611</v>
      </c>
      <c r="B7336" s="2" t="s">
        <v>932</v>
      </c>
      <c r="C7336" s="2">
        <v>2</v>
      </c>
      <c r="D7336" t="str">
        <f t="shared" si="114"/>
        <v>CA-2017-155362_OFF-ST-10001031</v>
      </c>
      <c r="E7336" t="str">
        <f>IF(COUNTIF(data2!$D:$D,D7336)=0,"Missing in Data2","Present")</f>
        <v>Present</v>
      </c>
    </row>
    <row r="7337" spans="1:5" x14ac:dyDescent="0.25">
      <c r="A7337" s="2" t="s">
        <v>5612</v>
      </c>
      <c r="B7337" s="2" t="s">
        <v>3770</v>
      </c>
      <c r="C7337" s="2">
        <v>3</v>
      </c>
      <c r="D7337" t="str">
        <f t="shared" si="114"/>
        <v>CA-2017-155376_OFF-AP-10001058</v>
      </c>
      <c r="E7337" t="str">
        <f>IF(COUNTIF(data2!$D:$D,D7337)=0,"Missing in Data2","Present")</f>
        <v>Present</v>
      </c>
    </row>
    <row r="7338" spans="1:5" x14ac:dyDescent="0.25">
      <c r="A7338" s="2" t="s">
        <v>5613</v>
      </c>
      <c r="B7338" s="2" t="s">
        <v>5266</v>
      </c>
      <c r="C7338" s="2">
        <v>5</v>
      </c>
      <c r="D7338" t="str">
        <f t="shared" si="114"/>
        <v>CA-2017-155460_OFF-BI-10003091</v>
      </c>
      <c r="E7338" t="str">
        <f>IF(COUNTIF(data2!$D:$D,D7338)=0,"Missing in Data2","Present")</f>
        <v>Present</v>
      </c>
    </row>
    <row r="7339" spans="1:5" x14ac:dyDescent="0.25">
      <c r="A7339" s="2" t="s">
        <v>5613</v>
      </c>
      <c r="B7339" s="2" t="s">
        <v>682</v>
      </c>
      <c r="C7339" s="2">
        <v>1</v>
      </c>
      <c r="D7339" t="str">
        <f t="shared" si="114"/>
        <v>CA-2017-155460_OFF-PA-10002479</v>
      </c>
      <c r="E7339" t="str">
        <f>IF(COUNTIF(data2!$D:$D,D7339)=0,"Missing in Data2","Present")</f>
        <v>Present</v>
      </c>
    </row>
    <row r="7340" spans="1:5" x14ac:dyDescent="0.25">
      <c r="A7340" s="2" t="s">
        <v>5614</v>
      </c>
      <c r="B7340" s="2" t="s">
        <v>1874</v>
      </c>
      <c r="C7340" s="2">
        <v>2</v>
      </c>
      <c r="D7340" t="str">
        <f t="shared" si="114"/>
        <v>CA-2017-155558_OFF-LA-10000134</v>
      </c>
      <c r="E7340" t="str">
        <f>IF(COUNTIF(data2!$D:$D,D7340)=0,"Missing in Data2","Present")</f>
        <v>Present</v>
      </c>
    </row>
    <row r="7341" spans="1:5" x14ac:dyDescent="0.25">
      <c r="A7341" s="2" t="s">
        <v>5614</v>
      </c>
      <c r="B7341" s="2" t="s">
        <v>2525</v>
      </c>
      <c r="C7341" s="2">
        <v>1</v>
      </c>
      <c r="D7341" t="str">
        <f t="shared" si="114"/>
        <v>CA-2017-155558_TEC-AC-10001998</v>
      </c>
      <c r="E7341" t="str">
        <f>IF(COUNTIF(data2!$D:$D,D7341)=0,"Missing in Data2","Present")</f>
        <v>Present</v>
      </c>
    </row>
    <row r="7342" spans="1:5" x14ac:dyDescent="0.25">
      <c r="A7342" s="2" t="s">
        <v>5615</v>
      </c>
      <c r="B7342" s="2" t="s">
        <v>725</v>
      </c>
      <c r="C7342" s="2">
        <v>7</v>
      </c>
      <c r="D7342" t="str">
        <f t="shared" si="114"/>
        <v>CA-2017-155607_OFF-AP-10001962</v>
      </c>
      <c r="E7342" t="str">
        <f>IF(COUNTIF(data2!$D:$D,D7342)=0,"Missing in Data2","Present")</f>
        <v>Present</v>
      </c>
    </row>
    <row r="7343" spans="1:5" x14ac:dyDescent="0.25">
      <c r="A7343" s="2" t="s">
        <v>5616</v>
      </c>
      <c r="B7343" s="2" t="s">
        <v>2746</v>
      </c>
      <c r="C7343" s="2">
        <v>10</v>
      </c>
      <c r="D7343" t="str">
        <f t="shared" si="114"/>
        <v>CA-2017-155621_FUR-FU-10003535</v>
      </c>
      <c r="E7343" t="str">
        <f>IF(COUNTIF(data2!$D:$D,D7343)=0,"Missing in Data2","Present")</f>
        <v>Present</v>
      </c>
    </row>
    <row r="7344" spans="1:5" x14ac:dyDescent="0.25">
      <c r="A7344" s="2" t="s">
        <v>5617</v>
      </c>
      <c r="B7344" s="2" t="s">
        <v>1260</v>
      </c>
      <c r="C7344" s="2">
        <v>1</v>
      </c>
      <c r="D7344" t="str">
        <f t="shared" si="114"/>
        <v>CA-2017-155642_FUR-FU-10001918</v>
      </c>
      <c r="E7344" t="str">
        <f>IF(COUNTIF(data2!$D:$D,D7344)=0,"Missing in Data2","Present")</f>
        <v>Present</v>
      </c>
    </row>
    <row r="7345" spans="1:5" x14ac:dyDescent="0.25">
      <c r="A7345" s="2" t="s">
        <v>5617</v>
      </c>
      <c r="B7345" s="2" t="s">
        <v>2310</v>
      </c>
      <c r="C7345" s="2">
        <v>3</v>
      </c>
      <c r="D7345" t="str">
        <f t="shared" si="114"/>
        <v>CA-2017-155642_FUR-FU-10004973</v>
      </c>
      <c r="E7345" t="str">
        <f>IF(COUNTIF(data2!$D:$D,D7345)=0,"Missing in Data2","Present")</f>
        <v>Present</v>
      </c>
    </row>
    <row r="7346" spans="1:5" x14ac:dyDescent="0.25">
      <c r="A7346" s="2" t="s">
        <v>5618</v>
      </c>
      <c r="B7346" s="2" t="s">
        <v>5619</v>
      </c>
      <c r="C7346" s="2">
        <v>8</v>
      </c>
      <c r="D7346" t="str">
        <f t="shared" si="114"/>
        <v>CA-2017-155698_OFF-AP-10001124</v>
      </c>
      <c r="E7346" t="str">
        <f>IF(COUNTIF(data2!$D:$D,D7346)=0,"Missing in Data2","Present")</f>
        <v>Present</v>
      </c>
    </row>
    <row r="7347" spans="1:5" x14ac:dyDescent="0.25">
      <c r="A7347" s="2" t="s">
        <v>5618</v>
      </c>
      <c r="B7347" s="2" t="s">
        <v>775</v>
      </c>
      <c r="C7347" s="2">
        <v>2</v>
      </c>
      <c r="D7347" t="str">
        <f t="shared" si="114"/>
        <v>CA-2017-155698_OFF-LA-10001158</v>
      </c>
      <c r="E7347" t="str">
        <f>IF(COUNTIF(data2!$D:$D,D7347)=0,"Missing in Data2","Present")</f>
        <v>Present</v>
      </c>
    </row>
    <row r="7348" spans="1:5" x14ac:dyDescent="0.25">
      <c r="A7348" s="2" t="s">
        <v>5620</v>
      </c>
      <c r="B7348" s="2" t="s">
        <v>1430</v>
      </c>
      <c r="C7348" s="2">
        <v>4</v>
      </c>
      <c r="D7348" t="str">
        <f t="shared" si="114"/>
        <v>CA-2017-155705_FUR-CH-10000015</v>
      </c>
      <c r="E7348" t="str">
        <f>IF(COUNTIF(data2!$D:$D,D7348)=0,"Missing in Data2","Present")</f>
        <v>Present</v>
      </c>
    </row>
    <row r="7349" spans="1:5" x14ac:dyDescent="0.25">
      <c r="A7349" s="2" t="s">
        <v>5621</v>
      </c>
      <c r="B7349" s="2" t="s">
        <v>2608</v>
      </c>
      <c r="C7349" s="2">
        <v>2</v>
      </c>
      <c r="D7349" t="str">
        <f t="shared" si="114"/>
        <v>CA-2017-155712_OFF-BI-10004224</v>
      </c>
      <c r="E7349" t="str">
        <f>IF(COUNTIF(data2!$D:$D,D7349)=0,"Missing in Data2","Present")</f>
        <v>Present</v>
      </c>
    </row>
    <row r="7350" spans="1:5" x14ac:dyDescent="0.25">
      <c r="A7350" s="2" t="s">
        <v>5622</v>
      </c>
      <c r="B7350" s="2" t="s">
        <v>921</v>
      </c>
      <c r="C7350" s="2">
        <v>4</v>
      </c>
      <c r="D7350" t="str">
        <f t="shared" si="114"/>
        <v>CA-2017-155740_OFF-BI-10001071</v>
      </c>
      <c r="E7350" t="str">
        <f>IF(COUNTIF(data2!$D:$D,D7350)=0,"Missing in Data2","Present")</f>
        <v>Present</v>
      </c>
    </row>
    <row r="7351" spans="1:5" x14ac:dyDescent="0.25">
      <c r="A7351" s="2" t="s">
        <v>5623</v>
      </c>
      <c r="B7351" s="2" t="s">
        <v>5624</v>
      </c>
      <c r="C7351" s="2">
        <v>1</v>
      </c>
      <c r="D7351" t="str">
        <f t="shared" si="114"/>
        <v>CA-2017-155824_OFF-AP-10000390</v>
      </c>
      <c r="E7351" t="str">
        <f>IF(COUNTIF(data2!$D:$D,D7351)=0,"Missing in Data2","Present")</f>
        <v>Present</v>
      </c>
    </row>
    <row r="7352" spans="1:5" x14ac:dyDescent="0.25">
      <c r="A7352" s="2" t="s">
        <v>5623</v>
      </c>
      <c r="B7352" s="2" t="s">
        <v>2658</v>
      </c>
      <c r="C7352" s="2">
        <v>4</v>
      </c>
      <c r="D7352" t="str">
        <f t="shared" si="114"/>
        <v>CA-2017-155824_OFF-BI-10000014</v>
      </c>
      <c r="E7352" t="str">
        <f>IF(COUNTIF(data2!$D:$D,D7352)=0,"Missing in Data2","Present")</f>
        <v>Present</v>
      </c>
    </row>
    <row r="7353" spans="1:5" x14ac:dyDescent="0.25">
      <c r="A7353" s="2" t="s">
        <v>5625</v>
      </c>
      <c r="B7353" s="2" t="s">
        <v>3502</v>
      </c>
      <c r="C7353" s="2">
        <v>3</v>
      </c>
      <c r="D7353" t="str">
        <f t="shared" si="114"/>
        <v>CA-2017-155873_OFF-PA-10001246</v>
      </c>
      <c r="E7353" t="str">
        <f>IF(COUNTIF(data2!$D:$D,D7353)=0,"Missing in Data2","Present")</f>
        <v>Present</v>
      </c>
    </row>
    <row r="7354" spans="1:5" x14ac:dyDescent="0.25">
      <c r="A7354" s="2" t="s">
        <v>5625</v>
      </c>
      <c r="B7354" s="2" t="s">
        <v>2423</v>
      </c>
      <c r="C7354" s="2">
        <v>4</v>
      </c>
      <c r="D7354" t="str">
        <f t="shared" si="114"/>
        <v>CA-2017-155873_OFF-PA-10001815</v>
      </c>
      <c r="E7354" t="str">
        <f>IF(COUNTIF(data2!$D:$D,D7354)=0,"Missing in Data2","Present")</f>
        <v>Missing in Data2</v>
      </c>
    </row>
    <row r="7355" spans="1:5" x14ac:dyDescent="0.25">
      <c r="A7355" s="2" t="s">
        <v>5625</v>
      </c>
      <c r="B7355" s="2" t="s">
        <v>2141</v>
      </c>
      <c r="C7355" s="2">
        <v>2</v>
      </c>
      <c r="D7355" t="str">
        <f t="shared" si="114"/>
        <v>CA-2017-155873_OFF-SU-10001165</v>
      </c>
      <c r="E7355" t="str">
        <f>IF(COUNTIF(data2!$D:$D,D7355)=0,"Missing in Data2","Present")</f>
        <v>Present</v>
      </c>
    </row>
    <row r="7356" spans="1:5" x14ac:dyDescent="0.25">
      <c r="A7356" s="2" t="s">
        <v>5626</v>
      </c>
      <c r="B7356" s="2" t="s">
        <v>335</v>
      </c>
      <c r="C7356" s="2">
        <v>1</v>
      </c>
      <c r="D7356" t="str">
        <f t="shared" si="114"/>
        <v>CA-2017-155880_FUR-CH-10000422</v>
      </c>
      <c r="E7356" t="str">
        <f>IF(COUNTIF(data2!$D:$D,D7356)=0,"Missing in Data2","Present")</f>
        <v>Present</v>
      </c>
    </row>
    <row r="7357" spans="1:5" x14ac:dyDescent="0.25">
      <c r="A7357" s="2" t="s">
        <v>5626</v>
      </c>
      <c r="B7357" s="2" t="s">
        <v>1497</v>
      </c>
      <c r="C7357" s="2">
        <v>3</v>
      </c>
      <c r="D7357" t="str">
        <f t="shared" si="114"/>
        <v>CA-2017-155880_FUR-CH-10002880</v>
      </c>
      <c r="E7357" t="str">
        <f>IF(COUNTIF(data2!$D:$D,D7357)=0,"Missing in Data2","Present")</f>
        <v>Present</v>
      </c>
    </row>
    <row r="7358" spans="1:5" x14ac:dyDescent="0.25">
      <c r="A7358" s="2" t="s">
        <v>5626</v>
      </c>
      <c r="B7358" s="2" t="s">
        <v>62</v>
      </c>
      <c r="C7358" s="2">
        <v>7</v>
      </c>
      <c r="D7358" t="str">
        <f t="shared" si="114"/>
        <v>CA-2017-155880_FUR-CH-10004675</v>
      </c>
      <c r="E7358" t="str">
        <f>IF(COUNTIF(data2!$D:$D,D7358)=0,"Missing in Data2","Present")</f>
        <v>Present</v>
      </c>
    </row>
    <row r="7359" spans="1:5" x14ac:dyDescent="0.25">
      <c r="A7359" s="2" t="s">
        <v>5627</v>
      </c>
      <c r="B7359" s="2" t="s">
        <v>1338</v>
      </c>
      <c r="C7359" s="2">
        <v>3</v>
      </c>
      <c r="D7359" t="str">
        <f t="shared" si="114"/>
        <v>CA-2017-155936_OFF-BI-10002432</v>
      </c>
      <c r="E7359" t="str">
        <f>IF(COUNTIF(data2!$D:$D,D7359)=0,"Missing in Data2","Present")</f>
        <v>Present</v>
      </c>
    </row>
    <row r="7360" spans="1:5" x14ac:dyDescent="0.25">
      <c r="A7360" s="2" t="s">
        <v>5628</v>
      </c>
      <c r="B7360" s="2" t="s">
        <v>3152</v>
      </c>
      <c r="C7360" s="2">
        <v>3</v>
      </c>
      <c r="D7360" t="str">
        <f t="shared" si="114"/>
        <v>CA-2017-155957_OFF-AP-10002082</v>
      </c>
      <c r="E7360" t="str">
        <f>IF(COUNTIF(data2!$D:$D,D7360)=0,"Missing in Data2","Present")</f>
        <v>Present</v>
      </c>
    </row>
    <row r="7361" spans="1:5" x14ac:dyDescent="0.25">
      <c r="A7361" s="2" t="s">
        <v>5628</v>
      </c>
      <c r="B7361" s="2" t="s">
        <v>326</v>
      </c>
      <c r="C7361" s="2">
        <v>7</v>
      </c>
      <c r="D7361" t="str">
        <f t="shared" si="114"/>
        <v>CA-2017-155957_OFF-AP-10004708</v>
      </c>
      <c r="E7361" t="str">
        <f>IF(COUNTIF(data2!$D:$D,D7361)=0,"Missing in Data2","Present")</f>
        <v>Present</v>
      </c>
    </row>
    <row r="7362" spans="1:5" x14ac:dyDescent="0.25">
      <c r="A7362" s="2" t="s">
        <v>5629</v>
      </c>
      <c r="B7362" s="2" t="s">
        <v>669</v>
      </c>
      <c r="C7362" s="2">
        <v>8</v>
      </c>
      <c r="D7362" t="str">
        <f t="shared" si="114"/>
        <v>CA-2017-155985_FUR-FU-10000758</v>
      </c>
      <c r="E7362" t="str">
        <f>IF(COUNTIF(data2!$D:$D,D7362)=0,"Missing in Data2","Present")</f>
        <v>Present</v>
      </c>
    </row>
    <row r="7363" spans="1:5" x14ac:dyDescent="0.25">
      <c r="A7363" s="2" t="s">
        <v>5630</v>
      </c>
      <c r="B7363" s="2" t="s">
        <v>137</v>
      </c>
      <c r="C7363" s="2">
        <v>3</v>
      </c>
      <c r="D7363" t="str">
        <f t="shared" ref="D7363:D7426" si="115">A7363&amp;"_"&amp;B7363</f>
        <v>CA-2017-156139_OFF-BI-10004233</v>
      </c>
      <c r="E7363" t="str">
        <f>IF(COUNTIF(data2!$D:$D,D7363)=0,"Missing in Data2","Present")</f>
        <v>Present</v>
      </c>
    </row>
    <row r="7364" spans="1:5" x14ac:dyDescent="0.25">
      <c r="A7364" s="2" t="s">
        <v>5631</v>
      </c>
      <c r="B7364" s="2" t="s">
        <v>733</v>
      </c>
      <c r="C7364" s="2">
        <v>2</v>
      </c>
      <c r="D7364" t="str">
        <f t="shared" si="115"/>
        <v>CA-2017-156237_FUR-CH-10002372</v>
      </c>
      <c r="E7364" t="str">
        <f>IF(COUNTIF(data2!$D:$D,D7364)=0,"Missing in Data2","Present")</f>
        <v>Present</v>
      </c>
    </row>
    <row r="7365" spans="1:5" x14ac:dyDescent="0.25">
      <c r="A7365" s="2" t="s">
        <v>5631</v>
      </c>
      <c r="B7365" s="2" t="s">
        <v>3260</v>
      </c>
      <c r="C7365" s="2">
        <v>2</v>
      </c>
      <c r="D7365" t="str">
        <f t="shared" si="115"/>
        <v>CA-2017-156237_OFF-BI-10000301</v>
      </c>
      <c r="E7365" t="str">
        <f>IF(COUNTIF(data2!$D:$D,D7365)=0,"Missing in Data2","Present")</f>
        <v>Present</v>
      </c>
    </row>
    <row r="7366" spans="1:5" x14ac:dyDescent="0.25">
      <c r="A7366" s="2" t="s">
        <v>5631</v>
      </c>
      <c r="B7366" s="2" t="s">
        <v>2040</v>
      </c>
      <c r="C7366" s="2">
        <v>4</v>
      </c>
      <c r="D7366" t="str">
        <f t="shared" si="115"/>
        <v>CA-2017-156237_OFF-BI-10003707</v>
      </c>
      <c r="E7366" t="str">
        <f>IF(COUNTIF(data2!$D:$D,D7366)=0,"Missing in Data2","Present")</f>
        <v>Present</v>
      </c>
    </row>
    <row r="7367" spans="1:5" x14ac:dyDescent="0.25">
      <c r="A7367" s="2" t="s">
        <v>5631</v>
      </c>
      <c r="B7367" s="2" t="s">
        <v>2036</v>
      </c>
      <c r="C7367" s="2">
        <v>1</v>
      </c>
      <c r="D7367" t="str">
        <f t="shared" si="115"/>
        <v>CA-2017-156237_TEC-MA-10002930</v>
      </c>
      <c r="E7367" t="str">
        <f>IF(COUNTIF(data2!$D:$D,D7367)=0,"Missing in Data2","Present")</f>
        <v>Present</v>
      </c>
    </row>
    <row r="7368" spans="1:5" x14ac:dyDescent="0.25">
      <c r="A7368" s="2" t="s">
        <v>5632</v>
      </c>
      <c r="B7368" s="2" t="s">
        <v>3173</v>
      </c>
      <c r="C7368" s="2">
        <v>1</v>
      </c>
      <c r="D7368" t="str">
        <f t="shared" si="115"/>
        <v>CA-2017-156272_OFF-AP-10001242</v>
      </c>
      <c r="E7368" t="str">
        <f>IF(COUNTIF(data2!$D:$D,D7368)=0,"Missing in Data2","Present")</f>
        <v>Present</v>
      </c>
    </row>
    <row r="7369" spans="1:5" x14ac:dyDescent="0.25">
      <c r="A7369" s="2" t="s">
        <v>5633</v>
      </c>
      <c r="B7369" s="2" t="s">
        <v>2143</v>
      </c>
      <c r="C7369" s="2">
        <v>4</v>
      </c>
      <c r="D7369" t="str">
        <f t="shared" si="115"/>
        <v>CA-2017-156363_OFF-EN-10003068</v>
      </c>
      <c r="E7369" t="str">
        <f>IF(COUNTIF(data2!$D:$D,D7369)=0,"Missing in Data2","Present")</f>
        <v>Present</v>
      </c>
    </row>
    <row r="7370" spans="1:5" x14ac:dyDescent="0.25">
      <c r="A7370" s="2" t="s">
        <v>5633</v>
      </c>
      <c r="B7370" s="2" t="s">
        <v>1616</v>
      </c>
      <c r="C7370" s="2">
        <v>5</v>
      </c>
      <c r="D7370" t="str">
        <f t="shared" si="115"/>
        <v>CA-2017-156363_TEC-PH-10003988</v>
      </c>
      <c r="E7370" t="str">
        <f>IF(COUNTIF(data2!$D:$D,D7370)=0,"Missing in Data2","Present")</f>
        <v>Present</v>
      </c>
    </row>
    <row r="7371" spans="1:5" x14ac:dyDescent="0.25">
      <c r="A7371" s="2" t="s">
        <v>5634</v>
      </c>
      <c r="B7371" s="2" t="s">
        <v>1920</v>
      </c>
      <c r="C7371" s="2">
        <v>1</v>
      </c>
      <c r="D7371" t="str">
        <f t="shared" si="115"/>
        <v>CA-2017-156391_OFF-AR-10003251</v>
      </c>
      <c r="E7371" t="str">
        <f>IF(COUNTIF(data2!$D:$D,D7371)=0,"Missing in Data2","Present")</f>
        <v>Present</v>
      </c>
    </row>
    <row r="7372" spans="1:5" x14ac:dyDescent="0.25">
      <c r="A7372" s="2" t="s">
        <v>5635</v>
      </c>
      <c r="B7372" s="2" t="s">
        <v>432</v>
      </c>
      <c r="C7372" s="2">
        <v>3</v>
      </c>
      <c r="D7372" t="str">
        <f t="shared" si="115"/>
        <v>CA-2017-156412_OFF-BI-10004364</v>
      </c>
      <c r="E7372" t="str">
        <f>IF(COUNTIF(data2!$D:$D,D7372)=0,"Missing in Data2","Present")</f>
        <v>Present</v>
      </c>
    </row>
    <row r="7373" spans="1:5" x14ac:dyDescent="0.25">
      <c r="A7373" s="2" t="s">
        <v>5636</v>
      </c>
      <c r="B7373" s="2" t="s">
        <v>770</v>
      </c>
      <c r="C7373" s="2">
        <v>1</v>
      </c>
      <c r="D7373" t="str">
        <f t="shared" si="115"/>
        <v>CA-2017-156622_FUR-TA-10003008</v>
      </c>
      <c r="E7373" t="str">
        <f>IF(COUNTIF(data2!$D:$D,D7373)=0,"Missing in Data2","Present")</f>
        <v>Present</v>
      </c>
    </row>
    <row r="7374" spans="1:5" x14ac:dyDescent="0.25">
      <c r="A7374" s="2" t="s">
        <v>5636</v>
      </c>
      <c r="B7374" s="2" t="s">
        <v>2040</v>
      </c>
      <c r="C7374" s="2">
        <v>2</v>
      </c>
      <c r="D7374" t="str">
        <f t="shared" si="115"/>
        <v>CA-2017-156622_OFF-BI-10003707</v>
      </c>
      <c r="E7374" t="str">
        <f>IF(COUNTIF(data2!$D:$D,D7374)=0,"Missing in Data2","Present")</f>
        <v>Present</v>
      </c>
    </row>
    <row r="7375" spans="1:5" x14ac:dyDescent="0.25">
      <c r="A7375" s="2" t="s">
        <v>5636</v>
      </c>
      <c r="B7375" s="2" t="s">
        <v>250</v>
      </c>
      <c r="C7375" s="2">
        <v>7</v>
      </c>
      <c r="D7375" t="str">
        <f t="shared" si="115"/>
        <v>CA-2017-156622_OFF-PA-10000477</v>
      </c>
      <c r="E7375" t="str">
        <f>IF(COUNTIF(data2!$D:$D,D7375)=0,"Missing in Data2","Present")</f>
        <v>Present</v>
      </c>
    </row>
    <row r="7376" spans="1:5" x14ac:dyDescent="0.25">
      <c r="A7376" s="2" t="s">
        <v>5636</v>
      </c>
      <c r="B7376" s="2" t="s">
        <v>1262</v>
      </c>
      <c r="C7376" s="2">
        <v>2</v>
      </c>
      <c r="D7376" t="str">
        <f t="shared" si="115"/>
        <v>CA-2017-156622_OFF-PA-10002923</v>
      </c>
      <c r="E7376" t="str">
        <f>IF(COUNTIF(data2!$D:$D,D7376)=0,"Missing in Data2","Present")</f>
        <v>Present</v>
      </c>
    </row>
    <row r="7377" spans="1:5" x14ac:dyDescent="0.25">
      <c r="A7377" s="2" t="s">
        <v>5637</v>
      </c>
      <c r="B7377" s="2" t="s">
        <v>2088</v>
      </c>
      <c r="C7377" s="2">
        <v>2</v>
      </c>
      <c r="D7377" t="str">
        <f t="shared" si="115"/>
        <v>CA-2017-156664_OFF-AP-10004487</v>
      </c>
      <c r="E7377" t="str">
        <f>IF(COUNTIF(data2!$D:$D,D7377)=0,"Missing in Data2","Present")</f>
        <v>Present</v>
      </c>
    </row>
    <row r="7378" spans="1:5" x14ac:dyDescent="0.25">
      <c r="A7378" s="2" t="s">
        <v>5637</v>
      </c>
      <c r="B7378" s="2" t="s">
        <v>248</v>
      </c>
      <c r="C7378" s="2">
        <v>3</v>
      </c>
      <c r="D7378" t="str">
        <f t="shared" si="115"/>
        <v>CA-2017-156664_OFF-BI-10004209</v>
      </c>
      <c r="E7378" t="str">
        <f>IF(COUNTIF(data2!$D:$D,D7378)=0,"Missing in Data2","Present")</f>
        <v>Present</v>
      </c>
    </row>
    <row r="7379" spans="1:5" x14ac:dyDescent="0.25">
      <c r="A7379" s="2" t="s">
        <v>5637</v>
      </c>
      <c r="B7379" s="2" t="s">
        <v>1808</v>
      </c>
      <c r="C7379" s="2">
        <v>3</v>
      </c>
      <c r="D7379" t="str">
        <f t="shared" si="115"/>
        <v>CA-2017-156664_OFF-FA-10002988</v>
      </c>
      <c r="E7379" t="str">
        <f>IF(COUNTIF(data2!$D:$D,D7379)=0,"Missing in Data2","Present")</f>
        <v>Present</v>
      </c>
    </row>
    <row r="7380" spans="1:5" x14ac:dyDescent="0.25">
      <c r="A7380" s="2" t="s">
        <v>5638</v>
      </c>
      <c r="B7380" s="2" t="s">
        <v>1859</v>
      </c>
      <c r="C7380" s="2">
        <v>3</v>
      </c>
      <c r="D7380" t="str">
        <f t="shared" si="115"/>
        <v>CA-2017-156720_OFF-FA-10003472</v>
      </c>
      <c r="E7380" t="str">
        <f>IF(COUNTIF(data2!$D:$D,D7380)=0,"Missing in Data2","Present")</f>
        <v>Present</v>
      </c>
    </row>
    <row r="7381" spans="1:5" x14ac:dyDescent="0.25">
      <c r="A7381" s="2" t="s">
        <v>5639</v>
      </c>
      <c r="B7381" s="2" t="s">
        <v>210</v>
      </c>
      <c r="C7381" s="2">
        <v>6</v>
      </c>
      <c r="D7381" t="str">
        <f t="shared" si="115"/>
        <v>CA-2017-156769_OFF-AR-10003179</v>
      </c>
      <c r="E7381" t="str">
        <f>IF(COUNTIF(data2!$D:$D,D7381)=0,"Missing in Data2","Present")</f>
        <v>Present</v>
      </c>
    </row>
    <row r="7382" spans="1:5" x14ac:dyDescent="0.25">
      <c r="A7382" s="2" t="s">
        <v>5640</v>
      </c>
      <c r="B7382" s="2" t="s">
        <v>5641</v>
      </c>
      <c r="C7382" s="2">
        <v>1</v>
      </c>
      <c r="D7382" t="str">
        <f t="shared" si="115"/>
        <v>CA-2017-156776_FUR-CH-10002317</v>
      </c>
      <c r="E7382" t="str">
        <f>IF(COUNTIF(data2!$D:$D,D7382)=0,"Missing in Data2","Present")</f>
        <v>Present</v>
      </c>
    </row>
    <row r="7383" spans="1:5" x14ac:dyDescent="0.25">
      <c r="A7383" s="2" t="s">
        <v>5640</v>
      </c>
      <c r="B7383" s="2" t="s">
        <v>2725</v>
      </c>
      <c r="C7383" s="2">
        <v>1</v>
      </c>
      <c r="D7383" t="str">
        <f t="shared" si="115"/>
        <v>CA-2017-156776_FUR-FU-10004848</v>
      </c>
      <c r="E7383" t="str">
        <f>IF(COUNTIF(data2!$D:$D,D7383)=0,"Missing in Data2","Present")</f>
        <v>Present</v>
      </c>
    </row>
    <row r="7384" spans="1:5" x14ac:dyDescent="0.25">
      <c r="A7384" s="2" t="s">
        <v>5640</v>
      </c>
      <c r="B7384" s="2" t="s">
        <v>947</v>
      </c>
      <c r="C7384" s="2">
        <v>5</v>
      </c>
      <c r="D7384" t="str">
        <f t="shared" si="115"/>
        <v>CA-2017-156776_OFF-AP-10002534</v>
      </c>
      <c r="E7384" t="str">
        <f>IF(COUNTIF(data2!$D:$D,D7384)=0,"Missing in Data2","Present")</f>
        <v>Present</v>
      </c>
    </row>
    <row r="7385" spans="1:5" x14ac:dyDescent="0.25">
      <c r="A7385" s="2" t="s">
        <v>5640</v>
      </c>
      <c r="B7385" s="2" t="s">
        <v>4685</v>
      </c>
      <c r="C7385" s="2">
        <v>3</v>
      </c>
      <c r="D7385" t="str">
        <f t="shared" si="115"/>
        <v>CA-2017-156776_OFF-BI-10000216</v>
      </c>
      <c r="E7385" t="str">
        <f>IF(COUNTIF(data2!$D:$D,D7385)=0,"Missing in Data2","Present")</f>
        <v>Present</v>
      </c>
    </row>
    <row r="7386" spans="1:5" x14ac:dyDescent="0.25">
      <c r="A7386" s="2" t="s">
        <v>5640</v>
      </c>
      <c r="B7386" s="2" t="s">
        <v>1478</v>
      </c>
      <c r="C7386" s="2">
        <v>3</v>
      </c>
      <c r="D7386" t="str">
        <f t="shared" si="115"/>
        <v>CA-2017-156776_OFF-BI-10003355</v>
      </c>
      <c r="E7386" t="str">
        <f>IF(COUNTIF(data2!$D:$D,D7386)=0,"Missing in Data2","Present")</f>
        <v>Present</v>
      </c>
    </row>
    <row r="7387" spans="1:5" x14ac:dyDescent="0.25">
      <c r="A7387" s="2" t="s">
        <v>5640</v>
      </c>
      <c r="B7387" s="2" t="s">
        <v>1039</v>
      </c>
      <c r="C7387" s="2">
        <v>2</v>
      </c>
      <c r="D7387" t="str">
        <f t="shared" si="115"/>
        <v>CA-2017-156776_OFF-PA-10001970</v>
      </c>
      <c r="E7387" t="str">
        <f>IF(COUNTIF(data2!$D:$D,D7387)=0,"Missing in Data2","Present")</f>
        <v>Present</v>
      </c>
    </row>
    <row r="7388" spans="1:5" x14ac:dyDescent="0.25">
      <c r="A7388" s="2" t="s">
        <v>5640</v>
      </c>
      <c r="B7388" s="2" t="s">
        <v>3958</v>
      </c>
      <c r="C7388" s="2">
        <v>4</v>
      </c>
      <c r="D7388" t="str">
        <f t="shared" si="115"/>
        <v>CA-2017-156776_TEC-AC-10004803</v>
      </c>
      <c r="E7388" t="str">
        <f>IF(COUNTIF(data2!$D:$D,D7388)=0,"Missing in Data2","Present")</f>
        <v>Present</v>
      </c>
    </row>
    <row r="7389" spans="1:5" x14ac:dyDescent="0.25">
      <c r="A7389" s="2" t="s">
        <v>5640</v>
      </c>
      <c r="B7389" s="2" t="s">
        <v>1566</v>
      </c>
      <c r="C7389" s="2">
        <v>3</v>
      </c>
      <c r="D7389" t="str">
        <f t="shared" si="115"/>
        <v>CA-2017-156776_TEC-PH-10002415</v>
      </c>
      <c r="E7389" t="str">
        <f>IF(COUNTIF(data2!$D:$D,D7389)=0,"Missing in Data2","Present")</f>
        <v>Present</v>
      </c>
    </row>
    <row r="7390" spans="1:5" x14ac:dyDescent="0.25">
      <c r="A7390" s="2" t="s">
        <v>5642</v>
      </c>
      <c r="B7390" s="2" t="s">
        <v>731</v>
      </c>
      <c r="C7390" s="2">
        <v>6</v>
      </c>
      <c r="D7390" t="str">
        <f t="shared" si="115"/>
        <v>CA-2017-156818_TEC-AC-10002323</v>
      </c>
      <c r="E7390" t="str">
        <f>IF(COUNTIF(data2!$D:$D,D7390)=0,"Missing in Data2","Present")</f>
        <v>Present</v>
      </c>
    </row>
    <row r="7391" spans="1:5" x14ac:dyDescent="0.25">
      <c r="A7391" s="2" t="s">
        <v>5643</v>
      </c>
      <c r="B7391" s="2" t="s">
        <v>1857</v>
      </c>
      <c r="C7391" s="2">
        <v>3</v>
      </c>
      <c r="D7391" t="str">
        <f t="shared" si="115"/>
        <v>CA-2017-156895_FUR-CH-10003535</v>
      </c>
      <c r="E7391" t="str">
        <f>IF(COUNTIF(data2!$D:$D,D7391)=0,"Missing in Data2","Present")</f>
        <v>Present</v>
      </c>
    </row>
    <row r="7392" spans="1:5" x14ac:dyDescent="0.25">
      <c r="A7392" s="2" t="s">
        <v>5644</v>
      </c>
      <c r="B7392" s="2" t="s">
        <v>680</v>
      </c>
      <c r="C7392" s="2">
        <v>3</v>
      </c>
      <c r="D7392" t="str">
        <f t="shared" si="115"/>
        <v>CA-2017-156951_FUR-CH-10004997</v>
      </c>
      <c r="E7392" t="str">
        <f>IF(COUNTIF(data2!$D:$D,D7392)=0,"Missing in Data2","Present")</f>
        <v>Present</v>
      </c>
    </row>
    <row r="7393" spans="1:5" x14ac:dyDescent="0.25">
      <c r="A7393" s="2" t="s">
        <v>5644</v>
      </c>
      <c r="B7393" s="2" t="s">
        <v>534</v>
      </c>
      <c r="C7393" s="2">
        <v>7</v>
      </c>
      <c r="D7393" t="str">
        <f t="shared" si="115"/>
        <v>CA-2017-156951_OFF-BI-10001107</v>
      </c>
      <c r="E7393" t="str">
        <f>IF(COUNTIF(data2!$D:$D,D7393)=0,"Missing in Data2","Present")</f>
        <v>Present</v>
      </c>
    </row>
    <row r="7394" spans="1:5" x14ac:dyDescent="0.25">
      <c r="A7394" s="2" t="s">
        <v>5644</v>
      </c>
      <c r="B7394" s="2" t="s">
        <v>2683</v>
      </c>
      <c r="C7394" s="2">
        <v>3</v>
      </c>
      <c r="D7394" t="str">
        <f t="shared" si="115"/>
        <v>CA-2017-156951_OFF-PA-10004451</v>
      </c>
      <c r="E7394" t="str">
        <f>IF(COUNTIF(data2!$D:$D,D7394)=0,"Missing in Data2","Present")</f>
        <v>Present</v>
      </c>
    </row>
    <row r="7395" spans="1:5" x14ac:dyDescent="0.25">
      <c r="A7395" s="2" t="s">
        <v>5644</v>
      </c>
      <c r="B7395" s="2" t="s">
        <v>386</v>
      </c>
      <c r="C7395" s="2">
        <v>8</v>
      </c>
      <c r="D7395" t="str">
        <f t="shared" si="115"/>
        <v>CA-2017-156951_OFF-PA-10004530</v>
      </c>
      <c r="E7395" t="str">
        <f>IF(COUNTIF(data2!$D:$D,D7395)=0,"Missing in Data2","Present")</f>
        <v>Present</v>
      </c>
    </row>
    <row r="7396" spans="1:5" x14ac:dyDescent="0.25">
      <c r="A7396" s="2" t="s">
        <v>5645</v>
      </c>
      <c r="B7396" s="2" t="s">
        <v>1781</v>
      </c>
      <c r="C7396" s="2">
        <v>5</v>
      </c>
      <c r="D7396" t="str">
        <f t="shared" si="115"/>
        <v>CA-2017-156958_FUR-FU-10003268</v>
      </c>
      <c r="E7396" t="str">
        <f>IF(COUNTIF(data2!$D:$D,D7396)=0,"Missing in Data2","Present")</f>
        <v>Present</v>
      </c>
    </row>
    <row r="7397" spans="1:5" x14ac:dyDescent="0.25">
      <c r="A7397" s="2" t="s">
        <v>5645</v>
      </c>
      <c r="B7397" s="2" t="s">
        <v>1815</v>
      </c>
      <c r="C7397" s="2">
        <v>5</v>
      </c>
      <c r="D7397" t="str">
        <f t="shared" si="115"/>
        <v>CA-2017-156958_OFF-BI-10001524</v>
      </c>
      <c r="E7397" t="str">
        <f>IF(COUNTIF(data2!$D:$D,D7397)=0,"Missing in Data2","Present")</f>
        <v>Present</v>
      </c>
    </row>
    <row r="7398" spans="1:5" x14ac:dyDescent="0.25">
      <c r="A7398" s="2" t="s">
        <v>5645</v>
      </c>
      <c r="B7398" s="2" t="s">
        <v>1413</v>
      </c>
      <c r="C7398" s="2">
        <v>6</v>
      </c>
      <c r="D7398" t="str">
        <f t="shared" si="115"/>
        <v>CA-2017-156958_OFF-BI-10001543</v>
      </c>
      <c r="E7398" t="str">
        <f>IF(COUNTIF(data2!$D:$D,D7398)=0,"Missing in Data2","Present")</f>
        <v>Present</v>
      </c>
    </row>
    <row r="7399" spans="1:5" x14ac:dyDescent="0.25">
      <c r="A7399" s="2" t="s">
        <v>5645</v>
      </c>
      <c r="B7399" s="2" t="s">
        <v>2262</v>
      </c>
      <c r="C7399" s="2">
        <v>2</v>
      </c>
      <c r="D7399" t="str">
        <f t="shared" si="115"/>
        <v>CA-2017-156958_OFF-BI-10002071</v>
      </c>
      <c r="E7399" t="str">
        <f>IF(COUNTIF(data2!$D:$D,D7399)=0,"Missing in Data2","Present")</f>
        <v>Present</v>
      </c>
    </row>
    <row r="7400" spans="1:5" x14ac:dyDescent="0.25">
      <c r="A7400" s="2" t="s">
        <v>5645</v>
      </c>
      <c r="B7400" s="2" t="s">
        <v>3666</v>
      </c>
      <c r="C7400" s="2">
        <v>3</v>
      </c>
      <c r="D7400" t="str">
        <f t="shared" si="115"/>
        <v>CA-2017-156958_TEC-PH-10000148</v>
      </c>
      <c r="E7400" t="str">
        <f>IF(COUNTIF(data2!$D:$D,D7400)=0,"Missing in Data2","Present")</f>
        <v>Present</v>
      </c>
    </row>
    <row r="7401" spans="1:5" x14ac:dyDescent="0.25">
      <c r="A7401" s="2" t="s">
        <v>5646</v>
      </c>
      <c r="B7401" s="2" t="s">
        <v>5063</v>
      </c>
      <c r="C7401" s="2">
        <v>5</v>
      </c>
      <c r="D7401" t="str">
        <f t="shared" si="115"/>
        <v>CA-2017-157091_FUR-FU-10000293</v>
      </c>
      <c r="E7401" t="str">
        <f>IF(COUNTIF(data2!$D:$D,D7401)=0,"Missing in Data2","Present")</f>
        <v>Present</v>
      </c>
    </row>
    <row r="7402" spans="1:5" x14ac:dyDescent="0.25">
      <c r="A7402" s="2" t="s">
        <v>5647</v>
      </c>
      <c r="B7402" s="2" t="s">
        <v>2994</v>
      </c>
      <c r="C7402" s="2">
        <v>5</v>
      </c>
      <c r="D7402" t="str">
        <f t="shared" si="115"/>
        <v>CA-2017-157112_OFF-BI-10000285</v>
      </c>
      <c r="E7402" t="str">
        <f>IF(COUNTIF(data2!$D:$D,D7402)=0,"Missing in Data2","Present")</f>
        <v>Present</v>
      </c>
    </row>
    <row r="7403" spans="1:5" x14ac:dyDescent="0.25">
      <c r="A7403" s="2" t="s">
        <v>5647</v>
      </c>
      <c r="B7403" s="2" t="s">
        <v>89</v>
      </c>
      <c r="C7403" s="2">
        <v>1</v>
      </c>
      <c r="D7403" t="str">
        <f t="shared" si="115"/>
        <v>CA-2017-157112_OFF-PA-10001804</v>
      </c>
      <c r="E7403" t="str">
        <f>IF(COUNTIF(data2!$D:$D,D7403)=0,"Missing in Data2","Present")</f>
        <v>Present</v>
      </c>
    </row>
    <row r="7404" spans="1:5" x14ac:dyDescent="0.25">
      <c r="A7404" s="2" t="s">
        <v>5648</v>
      </c>
      <c r="B7404" s="2" t="s">
        <v>1909</v>
      </c>
      <c r="C7404" s="2">
        <v>2</v>
      </c>
      <c r="D7404" t="str">
        <f t="shared" si="115"/>
        <v>CA-2017-157196_OFF-PA-10003172</v>
      </c>
      <c r="E7404" t="str">
        <f>IF(COUNTIF(data2!$D:$D,D7404)=0,"Missing in Data2","Present")</f>
        <v>Present</v>
      </c>
    </row>
    <row r="7405" spans="1:5" x14ac:dyDescent="0.25">
      <c r="A7405" s="2" t="s">
        <v>5649</v>
      </c>
      <c r="B7405" s="2" t="s">
        <v>858</v>
      </c>
      <c r="C7405" s="2">
        <v>3</v>
      </c>
      <c r="D7405" t="str">
        <f t="shared" si="115"/>
        <v>CA-2017-157252_FUR-CH-10003396</v>
      </c>
      <c r="E7405" t="str">
        <f>IF(COUNTIF(data2!$D:$D,D7405)=0,"Missing in Data2","Present")</f>
        <v>Present</v>
      </c>
    </row>
    <row r="7406" spans="1:5" x14ac:dyDescent="0.25">
      <c r="A7406" s="2" t="s">
        <v>5650</v>
      </c>
      <c r="B7406" s="2" t="s">
        <v>548</v>
      </c>
      <c r="C7406" s="2">
        <v>4</v>
      </c>
      <c r="D7406" t="str">
        <f t="shared" si="115"/>
        <v>CA-2017-157273_TEC-PH-10002275</v>
      </c>
      <c r="E7406" t="str">
        <f>IF(COUNTIF(data2!$D:$D,D7406)=0,"Missing in Data2","Present")</f>
        <v>Present</v>
      </c>
    </row>
    <row r="7407" spans="1:5" x14ac:dyDescent="0.25">
      <c r="A7407" s="2" t="s">
        <v>5651</v>
      </c>
      <c r="B7407" s="2" t="s">
        <v>2078</v>
      </c>
      <c r="C7407" s="2">
        <v>3</v>
      </c>
      <c r="D7407" t="str">
        <f t="shared" si="115"/>
        <v>CA-2017-157413_OFF-ST-10002756</v>
      </c>
      <c r="E7407" t="str">
        <f>IF(COUNTIF(data2!$D:$D,D7407)=0,"Missing in Data2","Present")</f>
        <v>Present</v>
      </c>
    </row>
    <row r="7408" spans="1:5" x14ac:dyDescent="0.25">
      <c r="A7408" s="2" t="s">
        <v>5652</v>
      </c>
      <c r="B7408" s="2" t="s">
        <v>2452</v>
      </c>
      <c r="C7408" s="2">
        <v>3</v>
      </c>
      <c r="D7408" t="str">
        <f t="shared" si="115"/>
        <v>CA-2017-157420_TEC-PH-10003555</v>
      </c>
      <c r="E7408" t="str">
        <f>IF(COUNTIF(data2!$D:$D,D7408)=0,"Missing in Data2","Present")</f>
        <v>Present</v>
      </c>
    </row>
    <row r="7409" spans="1:5" x14ac:dyDescent="0.25">
      <c r="A7409" s="2" t="s">
        <v>5653</v>
      </c>
      <c r="B7409" s="2" t="s">
        <v>2864</v>
      </c>
      <c r="C7409" s="2">
        <v>3</v>
      </c>
      <c r="D7409" t="str">
        <f t="shared" si="115"/>
        <v>CA-2017-157448_FUR-FU-10001847</v>
      </c>
      <c r="E7409" t="str">
        <f>IF(COUNTIF(data2!$D:$D,D7409)=0,"Missing in Data2","Present")</f>
        <v>Present</v>
      </c>
    </row>
    <row r="7410" spans="1:5" x14ac:dyDescent="0.25">
      <c r="A7410" s="2" t="s">
        <v>5653</v>
      </c>
      <c r="B7410" s="2" t="s">
        <v>1781</v>
      </c>
      <c r="C7410" s="2">
        <v>3</v>
      </c>
      <c r="D7410" t="str">
        <f t="shared" si="115"/>
        <v>CA-2017-157448_FUR-FU-10003268</v>
      </c>
      <c r="E7410" t="str">
        <f>IF(COUNTIF(data2!$D:$D,D7410)=0,"Missing in Data2","Present")</f>
        <v>Present</v>
      </c>
    </row>
    <row r="7411" spans="1:5" x14ac:dyDescent="0.25">
      <c r="A7411" s="2" t="s">
        <v>5654</v>
      </c>
      <c r="B7411" s="2" t="s">
        <v>1776</v>
      </c>
      <c r="C7411" s="2">
        <v>9</v>
      </c>
      <c r="D7411" t="str">
        <f t="shared" si="115"/>
        <v>CA-2017-157469_OFF-AR-10001662</v>
      </c>
      <c r="E7411" t="str">
        <f>IF(COUNTIF(data2!$D:$D,D7411)=0,"Missing in Data2","Present")</f>
        <v>Missing in Data2</v>
      </c>
    </row>
    <row r="7412" spans="1:5" x14ac:dyDescent="0.25">
      <c r="A7412" s="2" t="s">
        <v>5654</v>
      </c>
      <c r="B7412" s="2" t="s">
        <v>365</v>
      </c>
      <c r="C7412" s="2">
        <v>2</v>
      </c>
      <c r="D7412" t="str">
        <f t="shared" si="115"/>
        <v>CA-2017-157469_TEC-PH-10004531</v>
      </c>
      <c r="E7412" t="str">
        <f>IF(COUNTIF(data2!$D:$D,D7412)=0,"Missing in Data2","Present")</f>
        <v>Present</v>
      </c>
    </row>
    <row r="7413" spans="1:5" x14ac:dyDescent="0.25">
      <c r="A7413" s="2" t="s">
        <v>5655</v>
      </c>
      <c r="B7413" s="2" t="s">
        <v>4929</v>
      </c>
      <c r="C7413" s="2">
        <v>7</v>
      </c>
      <c r="D7413" t="str">
        <f t="shared" si="115"/>
        <v>CA-2017-157483_OFF-AR-10004260</v>
      </c>
      <c r="E7413" t="str">
        <f>IF(COUNTIF(data2!$D:$D,D7413)=0,"Missing in Data2","Present")</f>
        <v>Present</v>
      </c>
    </row>
    <row r="7414" spans="1:5" x14ac:dyDescent="0.25">
      <c r="A7414" s="2" t="s">
        <v>5656</v>
      </c>
      <c r="B7414" s="2" t="s">
        <v>1897</v>
      </c>
      <c r="C7414" s="2">
        <v>1</v>
      </c>
      <c r="D7414" t="str">
        <f t="shared" si="115"/>
        <v>CA-2017-157651_TEC-AC-10003116</v>
      </c>
      <c r="E7414" t="str">
        <f>IF(COUNTIF(data2!$D:$D,D7414)=0,"Missing in Data2","Present")</f>
        <v>Present</v>
      </c>
    </row>
    <row r="7415" spans="1:5" x14ac:dyDescent="0.25">
      <c r="A7415" s="2" t="s">
        <v>5657</v>
      </c>
      <c r="B7415" s="2" t="s">
        <v>3408</v>
      </c>
      <c r="C7415" s="2">
        <v>2</v>
      </c>
      <c r="D7415" t="str">
        <f t="shared" si="115"/>
        <v>CA-2017-157672_TEC-AC-10001714</v>
      </c>
      <c r="E7415" t="str">
        <f>IF(COUNTIF(data2!$D:$D,D7415)=0,"Missing in Data2","Present")</f>
        <v>Present</v>
      </c>
    </row>
    <row r="7416" spans="1:5" x14ac:dyDescent="0.25">
      <c r="A7416" s="2" t="s">
        <v>5658</v>
      </c>
      <c r="B7416" s="2" t="s">
        <v>4318</v>
      </c>
      <c r="C7416" s="2">
        <v>3</v>
      </c>
      <c r="D7416" t="str">
        <f t="shared" si="115"/>
        <v>CA-2017-157833_OFF-BI-10001721</v>
      </c>
      <c r="E7416" t="str">
        <f>IF(COUNTIF(data2!$D:$D,D7416)=0,"Missing in Data2","Present")</f>
        <v>Present</v>
      </c>
    </row>
    <row r="7417" spans="1:5" x14ac:dyDescent="0.25">
      <c r="A7417" s="2" t="s">
        <v>5659</v>
      </c>
      <c r="B7417" s="2" t="s">
        <v>2789</v>
      </c>
      <c r="C7417" s="2">
        <v>6</v>
      </c>
      <c r="D7417" t="str">
        <f t="shared" si="115"/>
        <v>CA-2017-157854_FUR-FU-10003832</v>
      </c>
      <c r="E7417" t="str">
        <f>IF(COUNTIF(data2!$D:$D,D7417)=0,"Missing in Data2","Present")</f>
        <v>Present</v>
      </c>
    </row>
    <row r="7418" spans="1:5" x14ac:dyDescent="0.25">
      <c r="A7418" s="2" t="s">
        <v>5659</v>
      </c>
      <c r="B7418" s="2" t="s">
        <v>502</v>
      </c>
      <c r="C7418" s="2">
        <v>3</v>
      </c>
      <c r="D7418" t="str">
        <f t="shared" si="115"/>
        <v>CA-2017-157854_OFF-BI-10001359</v>
      </c>
      <c r="E7418" t="str">
        <f>IF(COUNTIF(data2!$D:$D,D7418)=0,"Missing in Data2","Present")</f>
        <v>Present</v>
      </c>
    </row>
    <row r="7419" spans="1:5" x14ac:dyDescent="0.25">
      <c r="A7419" s="2" t="s">
        <v>5660</v>
      </c>
      <c r="B7419" s="2" t="s">
        <v>2596</v>
      </c>
      <c r="C7419" s="2">
        <v>4</v>
      </c>
      <c r="D7419" t="str">
        <f t="shared" si="115"/>
        <v>CA-2017-157903_TEC-PH-10004345</v>
      </c>
      <c r="E7419" t="str">
        <f>IF(COUNTIF(data2!$D:$D,D7419)=0,"Missing in Data2","Present")</f>
        <v>Present</v>
      </c>
    </row>
    <row r="7420" spans="1:5" x14ac:dyDescent="0.25">
      <c r="A7420" s="2" t="s">
        <v>5661</v>
      </c>
      <c r="B7420" s="2" t="s">
        <v>2213</v>
      </c>
      <c r="C7420" s="2">
        <v>4</v>
      </c>
      <c r="D7420" t="str">
        <f t="shared" si="115"/>
        <v>CA-2017-157931_FUR-CH-10000785</v>
      </c>
      <c r="E7420" t="str">
        <f>IF(COUNTIF(data2!$D:$D,D7420)=0,"Missing in Data2","Present")</f>
        <v>Present</v>
      </c>
    </row>
    <row r="7421" spans="1:5" x14ac:dyDescent="0.25">
      <c r="A7421" s="2" t="s">
        <v>5661</v>
      </c>
      <c r="B7421" s="2" t="s">
        <v>433</v>
      </c>
      <c r="C7421" s="2">
        <v>3</v>
      </c>
      <c r="D7421" t="str">
        <f t="shared" si="115"/>
        <v>CA-2017-157931_OFF-PA-10000474</v>
      </c>
      <c r="E7421" t="str">
        <f>IF(COUNTIF(data2!$D:$D,D7421)=0,"Missing in Data2","Present")</f>
        <v>Present</v>
      </c>
    </row>
    <row r="7422" spans="1:5" x14ac:dyDescent="0.25">
      <c r="A7422" s="2" t="s">
        <v>5662</v>
      </c>
      <c r="B7422" s="2" t="s">
        <v>4203</v>
      </c>
      <c r="C7422" s="2">
        <v>1</v>
      </c>
      <c r="D7422" t="str">
        <f t="shared" si="115"/>
        <v>CA-2017-157966_FUR-CH-10003606</v>
      </c>
      <c r="E7422" t="str">
        <f>IF(COUNTIF(data2!$D:$D,D7422)=0,"Missing in Data2","Present")</f>
        <v>Missing in Data2</v>
      </c>
    </row>
    <row r="7423" spans="1:5" x14ac:dyDescent="0.25">
      <c r="A7423" s="2" t="s">
        <v>5662</v>
      </c>
      <c r="B7423" s="2" t="s">
        <v>5663</v>
      </c>
      <c r="C7423" s="2">
        <v>4</v>
      </c>
      <c r="D7423" t="str">
        <f t="shared" si="115"/>
        <v>CA-2017-157966_OFF-AR-10000799</v>
      </c>
      <c r="E7423" t="str">
        <f>IF(COUNTIF(data2!$D:$D,D7423)=0,"Missing in Data2","Present")</f>
        <v>Present</v>
      </c>
    </row>
    <row r="7424" spans="1:5" x14ac:dyDescent="0.25">
      <c r="A7424" s="2" t="s">
        <v>5662</v>
      </c>
      <c r="B7424" s="2" t="s">
        <v>904</v>
      </c>
      <c r="C7424" s="2">
        <v>5</v>
      </c>
      <c r="D7424" t="str">
        <f t="shared" si="115"/>
        <v>CA-2017-157966_OFF-AR-10003338</v>
      </c>
      <c r="E7424" t="str">
        <f>IF(COUNTIF(data2!$D:$D,D7424)=0,"Missing in Data2","Present")</f>
        <v>Present</v>
      </c>
    </row>
    <row r="7425" spans="1:5" x14ac:dyDescent="0.25">
      <c r="A7425" s="2" t="s">
        <v>5662</v>
      </c>
      <c r="B7425" s="2" t="s">
        <v>3575</v>
      </c>
      <c r="C7425" s="2">
        <v>3</v>
      </c>
      <c r="D7425" t="str">
        <f t="shared" si="115"/>
        <v>CA-2017-157966_OFF-PA-10001934</v>
      </c>
      <c r="E7425" t="str">
        <f>IF(COUNTIF(data2!$D:$D,D7425)=0,"Missing in Data2","Present")</f>
        <v>Present</v>
      </c>
    </row>
    <row r="7426" spans="1:5" x14ac:dyDescent="0.25">
      <c r="A7426" s="2" t="s">
        <v>5662</v>
      </c>
      <c r="B7426" s="2" t="s">
        <v>567</v>
      </c>
      <c r="C7426" s="2">
        <v>2</v>
      </c>
      <c r="D7426" t="str">
        <f t="shared" si="115"/>
        <v>CA-2017-157966_TEC-CO-10001449</v>
      </c>
      <c r="E7426" t="str">
        <f>IF(COUNTIF(data2!$D:$D,D7426)=0,"Missing in Data2","Present")</f>
        <v>Present</v>
      </c>
    </row>
    <row r="7427" spans="1:5" x14ac:dyDescent="0.25">
      <c r="A7427" s="2" t="s">
        <v>5662</v>
      </c>
      <c r="B7427" s="2" t="s">
        <v>5064</v>
      </c>
      <c r="C7427" s="2">
        <v>2</v>
      </c>
      <c r="D7427" t="str">
        <f t="shared" ref="D7427:D7490" si="116">A7427&amp;"_"&amp;B7427</f>
        <v>CA-2017-157966_TEC-MA-10002109</v>
      </c>
      <c r="E7427" t="str">
        <f>IF(COUNTIF(data2!$D:$D,D7427)=0,"Missing in Data2","Present")</f>
        <v>Present</v>
      </c>
    </row>
    <row r="7428" spans="1:5" x14ac:dyDescent="0.25">
      <c r="A7428" s="2" t="s">
        <v>5662</v>
      </c>
      <c r="B7428" s="2" t="s">
        <v>1914</v>
      </c>
      <c r="C7428" s="2">
        <v>1</v>
      </c>
      <c r="D7428" t="str">
        <f t="shared" si="116"/>
        <v>CA-2017-157966_TEC-PH-10001527</v>
      </c>
      <c r="E7428" t="str">
        <f>IF(COUNTIF(data2!$D:$D,D7428)=0,"Missing in Data2","Present")</f>
        <v>Present</v>
      </c>
    </row>
    <row r="7429" spans="1:5" x14ac:dyDescent="0.25">
      <c r="A7429" s="2" t="s">
        <v>5664</v>
      </c>
      <c r="B7429" s="2" t="s">
        <v>710</v>
      </c>
      <c r="C7429" s="2">
        <v>2</v>
      </c>
      <c r="D7429" t="str">
        <f t="shared" si="116"/>
        <v>CA-2017-157980_TEC-AC-10002567</v>
      </c>
      <c r="E7429" t="str">
        <f>IF(COUNTIF(data2!$D:$D,D7429)=0,"Missing in Data2","Present")</f>
        <v>Present</v>
      </c>
    </row>
    <row r="7430" spans="1:5" x14ac:dyDescent="0.25">
      <c r="A7430" s="2" t="s">
        <v>5665</v>
      </c>
      <c r="B7430" s="2" t="s">
        <v>1682</v>
      </c>
      <c r="C7430" s="2">
        <v>5</v>
      </c>
      <c r="D7430" t="str">
        <f t="shared" si="116"/>
        <v>CA-2017-157987_FUR-CH-10003379</v>
      </c>
      <c r="E7430" t="str">
        <f>IF(COUNTIF(data2!$D:$D,D7430)=0,"Missing in Data2","Present")</f>
        <v>Present</v>
      </c>
    </row>
    <row r="7431" spans="1:5" x14ac:dyDescent="0.25">
      <c r="A7431" s="2" t="s">
        <v>5665</v>
      </c>
      <c r="B7431" s="2" t="s">
        <v>577</v>
      </c>
      <c r="C7431" s="2">
        <v>2</v>
      </c>
      <c r="D7431" t="str">
        <f t="shared" si="116"/>
        <v>CA-2017-157987_FUR-FU-10001196</v>
      </c>
      <c r="E7431" t="str">
        <f>IF(COUNTIF(data2!$D:$D,D7431)=0,"Missing in Data2","Present")</f>
        <v>Present</v>
      </c>
    </row>
    <row r="7432" spans="1:5" x14ac:dyDescent="0.25">
      <c r="A7432" s="2" t="s">
        <v>5665</v>
      </c>
      <c r="B7432" s="2" t="s">
        <v>1130</v>
      </c>
      <c r="C7432" s="2">
        <v>1</v>
      </c>
      <c r="D7432" t="str">
        <f t="shared" si="116"/>
        <v>CA-2017-157987_FUR-TA-10001889</v>
      </c>
      <c r="E7432" t="str">
        <f>IF(COUNTIF(data2!$D:$D,D7432)=0,"Missing in Data2","Present")</f>
        <v>Present</v>
      </c>
    </row>
    <row r="7433" spans="1:5" x14ac:dyDescent="0.25">
      <c r="A7433" s="2" t="s">
        <v>5665</v>
      </c>
      <c r="B7433" s="2" t="s">
        <v>1917</v>
      </c>
      <c r="C7433" s="2">
        <v>2</v>
      </c>
      <c r="D7433" t="str">
        <f t="shared" si="116"/>
        <v>CA-2017-157987_OFF-AR-10000658</v>
      </c>
      <c r="E7433" t="str">
        <f>IF(COUNTIF(data2!$D:$D,D7433)=0,"Missing in Data2","Present")</f>
        <v>Present</v>
      </c>
    </row>
    <row r="7434" spans="1:5" x14ac:dyDescent="0.25">
      <c r="A7434" s="2" t="s">
        <v>5665</v>
      </c>
      <c r="B7434" s="2" t="s">
        <v>723</v>
      </c>
      <c r="C7434" s="2">
        <v>3</v>
      </c>
      <c r="D7434" t="str">
        <f t="shared" si="116"/>
        <v>CA-2017-157987_OFF-AR-10004582</v>
      </c>
      <c r="E7434" t="str">
        <f>IF(COUNTIF(data2!$D:$D,D7434)=0,"Missing in Data2","Present")</f>
        <v>Present</v>
      </c>
    </row>
    <row r="7435" spans="1:5" x14ac:dyDescent="0.25">
      <c r="A7435" s="2" t="s">
        <v>5665</v>
      </c>
      <c r="B7435" s="2" t="s">
        <v>651</v>
      </c>
      <c r="C7435" s="2">
        <v>8</v>
      </c>
      <c r="D7435" t="str">
        <f t="shared" si="116"/>
        <v>CA-2017-157987_OFF-BI-10004970</v>
      </c>
      <c r="E7435" t="str">
        <f>IF(COUNTIF(data2!$D:$D,D7435)=0,"Missing in Data2","Present")</f>
        <v>Present</v>
      </c>
    </row>
    <row r="7436" spans="1:5" x14ac:dyDescent="0.25">
      <c r="A7436" s="2" t="s">
        <v>5665</v>
      </c>
      <c r="B7436" s="2" t="s">
        <v>215</v>
      </c>
      <c r="C7436" s="2">
        <v>6</v>
      </c>
      <c r="D7436" t="str">
        <f t="shared" si="116"/>
        <v>CA-2017-157987_OFF-LA-10001641</v>
      </c>
      <c r="E7436" t="str">
        <f>IF(COUNTIF(data2!$D:$D,D7436)=0,"Missing in Data2","Present")</f>
        <v>Present</v>
      </c>
    </row>
    <row r="7437" spans="1:5" x14ac:dyDescent="0.25">
      <c r="A7437" s="2" t="s">
        <v>5665</v>
      </c>
      <c r="B7437" s="2" t="s">
        <v>3013</v>
      </c>
      <c r="C7437" s="2">
        <v>4</v>
      </c>
      <c r="D7437" t="str">
        <f t="shared" si="116"/>
        <v>CA-2017-157987_OFF-PA-10003893</v>
      </c>
      <c r="E7437" t="str">
        <f>IF(COUNTIF(data2!$D:$D,D7437)=0,"Missing in Data2","Present")</f>
        <v>Present</v>
      </c>
    </row>
    <row r="7438" spans="1:5" x14ac:dyDescent="0.25">
      <c r="A7438" s="2" t="s">
        <v>5665</v>
      </c>
      <c r="B7438" s="2" t="s">
        <v>185</v>
      </c>
      <c r="C7438" s="2">
        <v>3</v>
      </c>
      <c r="D7438" t="str">
        <f t="shared" si="116"/>
        <v>CA-2017-157987_TEC-AC-10000109</v>
      </c>
      <c r="E7438" t="str">
        <f>IF(COUNTIF(data2!$D:$D,D7438)=0,"Missing in Data2","Present")</f>
        <v>Present</v>
      </c>
    </row>
    <row r="7439" spans="1:5" x14ac:dyDescent="0.25">
      <c r="A7439" s="2" t="s">
        <v>5665</v>
      </c>
      <c r="B7439" s="2" t="s">
        <v>345</v>
      </c>
      <c r="C7439" s="2">
        <v>2</v>
      </c>
      <c r="D7439" t="str">
        <f t="shared" si="116"/>
        <v>CA-2017-157987_TEC-AC-10002842</v>
      </c>
      <c r="E7439" t="str">
        <f>IF(COUNTIF(data2!$D:$D,D7439)=0,"Missing in Data2","Present")</f>
        <v>Present</v>
      </c>
    </row>
    <row r="7440" spans="1:5" x14ac:dyDescent="0.25">
      <c r="A7440" s="2" t="s">
        <v>5665</v>
      </c>
      <c r="B7440" s="2" t="s">
        <v>1683</v>
      </c>
      <c r="C7440" s="2">
        <v>3</v>
      </c>
      <c r="D7440" t="str">
        <f t="shared" si="116"/>
        <v>CA-2017-157987_TEC-PH-10003885</v>
      </c>
      <c r="E7440" t="str">
        <f>IF(COUNTIF(data2!$D:$D,D7440)=0,"Missing in Data2","Present")</f>
        <v>Present</v>
      </c>
    </row>
    <row r="7441" spans="1:5" x14ac:dyDescent="0.25">
      <c r="A7441" s="2" t="s">
        <v>5666</v>
      </c>
      <c r="B7441" s="2" t="s">
        <v>905</v>
      </c>
      <c r="C7441" s="2">
        <v>1</v>
      </c>
      <c r="D7441" t="str">
        <f t="shared" si="116"/>
        <v>CA-2017-158036_TEC-AC-10002558</v>
      </c>
      <c r="E7441" t="str">
        <f>IF(COUNTIF(data2!$D:$D,D7441)=0,"Missing in Data2","Present")</f>
        <v>Present</v>
      </c>
    </row>
    <row r="7442" spans="1:5" x14ac:dyDescent="0.25">
      <c r="A7442" s="2" t="s">
        <v>5667</v>
      </c>
      <c r="B7442" s="2" t="s">
        <v>1480</v>
      </c>
      <c r="C7442" s="2">
        <v>4</v>
      </c>
      <c r="D7442" t="str">
        <f t="shared" si="116"/>
        <v>CA-2017-158071_OFF-LA-10004689</v>
      </c>
      <c r="E7442" t="str">
        <f>IF(COUNTIF(data2!$D:$D,D7442)=0,"Missing in Data2","Present")</f>
        <v>Missing in Data2</v>
      </c>
    </row>
    <row r="7443" spans="1:5" x14ac:dyDescent="0.25">
      <c r="A7443" s="2" t="s">
        <v>5667</v>
      </c>
      <c r="B7443" s="2" t="s">
        <v>1024</v>
      </c>
      <c r="C7443" s="2">
        <v>1</v>
      </c>
      <c r="D7443" t="str">
        <f t="shared" si="116"/>
        <v>CA-2017-158071_OFF-ST-10001228</v>
      </c>
      <c r="E7443" t="str">
        <f>IF(COUNTIF(data2!$D:$D,D7443)=0,"Missing in Data2","Present")</f>
        <v>Present</v>
      </c>
    </row>
    <row r="7444" spans="1:5" x14ac:dyDescent="0.25">
      <c r="A7444" s="2" t="s">
        <v>5667</v>
      </c>
      <c r="B7444" s="2" t="s">
        <v>82</v>
      </c>
      <c r="C7444" s="2">
        <v>3</v>
      </c>
      <c r="D7444" t="str">
        <f t="shared" si="116"/>
        <v>CA-2017-158071_TEC-PH-10002923</v>
      </c>
      <c r="E7444" t="str">
        <f>IF(COUNTIF(data2!$D:$D,D7444)=0,"Missing in Data2","Present")</f>
        <v>Present</v>
      </c>
    </row>
    <row r="7445" spans="1:5" x14ac:dyDescent="0.25">
      <c r="A7445" s="2" t="s">
        <v>5668</v>
      </c>
      <c r="B7445" s="2" t="s">
        <v>5422</v>
      </c>
      <c r="C7445" s="2">
        <v>3</v>
      </c>
      <c r="D7445" t="str">
        <f t="shared" si="116"/>
        <v>CA-2017-158120_OFF-PA-10003205</v>
      </c>
      <c r="E7445" t="str">
        <f>IF(COUNTIF(data2!$D:$D,D7445)=0,"Missing in Data2","Present")</f>
        <v>Present</v>
      </c>
    </row>
    <row r="7446" spans="1:5" x14ac:dyDescent="0.25">
      <c r="A7446" s="2" t="s">
        <v>5669</v>
      </c>
      <c r="B7446" s="2" t="s">
        <v>1529</v>
      </c>
      <c r="C7446" s="2">
        <v>4</v>
      </c>
      <c r="D7446" t="str">
        <f t="shared" si="116"/>
        <v>CA-2017-158169_FUR-FU-10001473</v>
      </c>
      <c r="E7446" t="str">
        <f>IF(COUNTIF(data2!$D:$D,D7446)=0,"Missing in Data2","Present")</f>
        <v>Present</v>
      </c>
    </row>
    <row r="7447" spans="1:5" x14ac:dyDescent="0.25">
      <c r="A7447" s="2" t="s">
        <v>5669</v>
      </c>
      <c r="B7447" s="2" t="s">
        <v>2407</v>
      </c>
      <c r="C7447" s="2">
        <v>3</v>
      </c>
      <c r="D7447" t="str">
        <f t="shared" si="116"/>
        <v>CA-2017-158169_OFF-AP-10000828</v>
      </c>
      <c r="E7447" t="str">
        <f>IF(COUNTIF(data2!$D:$D,D7447)=0,"Missing in Data2","Present")</f>
        <v>Present</v>
      </c>
    </row>
    <row r="7448" spans="1:5" x14ac:dyDescent="0.25">
      <c r="A7448" s="2" t="s">
        <v>5670</v>
      </c>
      <c r="B7448" s="2" t="s">
        <v>2185</v>
      </c>
      <c r="C7448" s="2">
        <v>3</v>
      </c>
      <c r="D7448" t="str">
        <f t="shared" si="116"/>
        <v>CA-2017-158246_FUR-CH-10003061</v>
      </c>
      <c r="E7448" t="str">
        <f>IF(COUNTIF(data2!$D:$D,D7448)=0,"Missing in Data2","Present")</f>
        <v>Present</v>
      </c>
    </row>
    <row r="7449" spans="1:5" x14ac:dyDescent="0.25">
      <c r="A7449" s="2" t="s">
        <v>5671</v>
      </c>
      <c r="B7449" s="2" t="s">
        <v>1603</v>
      </c>
      <c r="C7449" s="2">
        <v>4</v>
      </c>
      <c r="D7449" t="str">
        <f t="shared" si="116"/>
        <v>CA-2017-158344_TEC-AC-10002006</v>
      </c>
      <c r="E7449" t="str">
        <f>IF(COUNTIF(data2!$D:$D,D7449)=0,"Missing in Data2","Present")</f>
        <v>Present</v>
      </c>
    </row>
    <row r="7450" spans="1:5" x14ac:dyDescent="0.25">
      <c r="A7450" s="2" t="s">
        <v>5672</v>
      </c>
      <c r="B7450" s="2" t="s">
        <v>1564</v>
      </c>
      <c r="C7450" s="2">
        <v>1</v>
      </c>
      <c r="D7450" t="str">
        <f t="shared" si="116"/>
        <v>CA-2017-158379_OFF-BI-10002498</v>
      </c>
      <c r="E7450" t="str">
        <f>IF(COUNTIF(data2!$D:$D,D7450)=0,"Missing in Data2","Present")</f>
        <v>Present</v>
      </c>
    </row>
    <row r="7451" spans="1:5" x14ac:dyDescent="0.25">
      <c r="A7451" s="2" t="s">
        <v>5672</v>
      </c>
      <c r="B7451" s="2" t="s">
        <v>106</v>
      </c>
      <c r="C7451" s="2">
        <v>7</v>
      </c>
      <c r="D7451" t="str">
        <f t="shared" si="116"/>
        <v>CA-2017-158379_OFF-SU-10002881</v>
      </c>
      <c r="E7451" t="str">
        <f>IF(COUNTIF(data2!$D:$D,D7451)=0,"Missing in Data2","Present")</f>
        <v>Present</v>
      </c>
    </row>
    <row r="7452" spans="1:5" x14ac:dyDescent="0.25">
      <c r="A7452" s="2" t="s">
        <v>5672</v>
      </c>
      <c r="B7452" s="2" t="s">
        <v>1406</v>
      </c>
      <c r="C7452" s="2">
        <v>2</v>
      </c>
      <c r="D7452" t="str">
        <f t="shared" si="116"/>
        <v>CA-2017-158379_TEC-AC-10002926</v>
      </c>
      <c r="E7452" t="str">
        <f>IF(COUNTIF(data2!$D:$D,D7452)=0,"Missing in Data2","Present")</f>
        <v>Present</v>
      </c>
    </row>
    <row r="7453" spans="1:5" x14ac:dyDescent="0.25">
      <c r="A7453" s="2" t="s">
        <v>5673</v>
      </c>
      <c r="B7453" s="2" t="s">
        <v>1121</v>
      </c>
      <c r="C7453" s="2">
        <v>5</v>
      </c>
      <c r="D7453" t="str">
        <f t="shared" si="116"/>
        <v>CA-2017-158386_OFF-BI-10003719</v>
      </c>
      <c r="E7453" t="str">
        <f>IF(COUNTIF(data2!$D:$D,D7453)=0,"Missing in Data2","Present")</f>
        <v>Present</v>
      </c>
    </row>
    <row r="7454" spans="1:5" x14ac:dyDescent="0.25">
      <c r="A7454" s="2" t="s">
        <v>5674</v>
      </c>
      <c r="B7454" s="2" t="s">
        <v>1123</v>
      </c>
      <c r="C7454" s="2">
        <v>2</v>
      </c>
      <c r="D7454" t="str">
        <f t="shared" si="116"/>
        <v>CA-2017-158407_FUR-FU-10001967</v>
      </c>
      <c r="E7454" t="str">
        <f>IF(COUNTIF(data2!$D:$D,D7454)=0,"Missing in Data2","Present")</f>
        <v>Present</v>
      </c>
    </row>
    <row r="7455" spans="1:5" x14ac:dyDescent="0.25">
      <c r="A7455" s="2" t="s">
        <v>5674</v>
      </c>
      <c r="B7455" s="2" t="s">
        <v>1647</v>
      </c>
      <c r="C7455" s="2">
        <v>2</v>
      </c>
      <c r="D7455" t="str">
        <f t="shared" si="116"/>
        <v>CA-2017-158407_TEC-PH-10001819</v>
      </c>
      <c r="E7455" t="str">
        <f>IF(COUNTIF(data2!$D:$D,D7455)=0,"Missing in Data2","Present")</f>
        <v>Present</v>
      </c>
    </row>
    <row r="7456" spans="1:5" x14ac:dyDescent="0.25">
      <c r="A7456" s="2" t="s">
        <v>5675</v>
      </c>
      <c r="B7456" s="2" t="s">
        <v>1233</v>
      </c>
      <c r="C7456" s="2">
        <v>5</v>
      </c>
      <c r="D7456" t="str">
        <f t="shared" si="116"/>
        <v>CA-2017-158561_OFF-AP-10002651</v>
      </c>
      <c r="E7456" t="str">
        <f>IF(COUNTIF(data2!$D:$D,D7456)=0,"Missing in Data2","Present")</f>
        <v>Present</v>
      </c>
    </row>
    <row r="7457" spans="1:5" x14ac:dyDescent="0.25">
      <c r="A7457" s="2" t="s">
        <v>5676</v>
      </c>
      <c r="B7457" s="2" t="s">
        <v>2100</v>
      </c>
      <c r="C7457" s="2">
        <v>2</v>
      </c>
      <c r="D7457" t="str">
        <f t="shared" si="116"/>
        <v>CA-2017-158673_OFF-PA-10000994</v>
      </c>
      <c r="E7457" t="str">
        <f>IF(COUNTIF(data2!$D:$D,D7457)=0,"Missing in Data2","Present")</f>
        <v>Present</v>
      </c>
    </row>
    <row r="7458" spans="1:5" x14ac:dyDescent="0.25">
      <c r="A7458" s="2" t="s">
        <v>5677</v>
      </c>
      <c r="B7458" s="2" t="s">
        <v>7</v>
      </c>
      <c r="C7458" s="2">
        <v>3</v>
      </c>
      <c r="D7458" t="str">
        <f t="shared" si="116"/>
        <v>CA-2017-158722_OFF-PA-10000176</v>
      </c>
      <c r="E7458" t="str">
        <f>IF(COUNTIF(data2!$D:$D,D7458)=0,"Missing in Data2","Present")</f>
        <v>Missing in Data2</v>
      </c>
    </row>
    <row r="7459" spans="1:5" x14ac:dyDescent="0.25">
      <c r="A7459" s="2" t="s">
        <v>5678</v>
      </c>
      <c r="B7459" s="2" t="s">
        <v>106</v>
      </c>
      <c r="C7459" s="2">
        <v>2</v>
      </c>
      <c r="D7459" t="str">
        <f t="shared" si="116"/>
        <v>CA-2017-158729_OFF-SU-10002881</v>
      </c>
      <c r="E7459" t="str">
        <f>IF(COUNTIF(data2!$D:$D,D7459)=0,"Missing in Data2","Present")</f>
        <v>Present</v>
      </c>
    </row>
    <row r="7460" spans="1:5" x14ac:dyDescent="0.25">
      <c r="A7460" s="2" t="s">
        <v>5679</v>
      </c>
      <c r="B7460" s="2" t="s">
        <v>1745</v>
      </c>
      <c r="C7460" s="2">
        <v>2</v>
      </c>
      <c r="D7460" t="str">
        <f t="shared" si="116"/>
        <v>CA-2017-158736_OFF-AR-10002578</v>
      </c>
      <c r="E7460" t="str">
        <f>IF(COUNTIF(data2!$D:$D,D7460)=0,"Missing in Data2","Present")</f>
        <v>Present</v>
      </c>
    </row>
    <row r="7461" spans="1:5" x14ac:dyDescent="0.25">
      <c r="A7461" s="2" t="s">
        <v>5680</v>
      </c>
      <c r="B7461" s="2" t="s">
        <v>2005</v>
      </c>
      <c r="C7461" s="2">
        <v>4</v>
      </c>
      <c r="D7461" t="str">
        <f t="shared" si="116"/>
        <v>CA-2017-158743_OFF-AR-10002257</v>
      </c>
      <c r="E7461" t="str">
        <f>IF(COUNTIF(data2!$D:$D,D7461)=0,"Missing in Data2","Present")</f>
        <v>Present</v>
      </c>
    </row>
    <row r="7462" spans="1:5" x14ac:dyDescent="0.25">
      <c r="A7462" s="2" t="s">
        <v>5680</v>
      </c>
      <c r="B7462" s="2" t="s">
        <v>2638</v>
      </c>
      <c r="C7462" s="2">
        <v>5</v>
      </c>
      <c r="D7462" t="str">
        <f t="shared" si="116"/>
        <v>CA-2017-158743_OFF-BI-10003364</v>
      </c>
      <c r="E7462" t="str">
        <f>IF(COUNTIF(data2!$D:$D,D7462)=0,"Missing in Data2","Present")</f>
        <v>Present</v>
      </c>
    </row>
    <row r="7463" spans="1:5" x14ac:dyDescent="0.25">
      <c r="A7463" s="2" t="s">
        <v>5680</v>
      </c>
      <c r="B7463" s="2" t="s">
        <v>802</v>
      </c>
      <c r="C7463" s="2">
        <v>2</v>
      </c>
      <c r="D7463" t="str">
        <f t="shared" si="116"/>
        <v>CA-2017-158743_OFF-PA-10001019</v>
      </c>
      <c r="E7463" t="str">
        <f>IF(COUNTIF(data2!$D:$D,D7463)=0,"Missing in Data2","Present")</f>
        <v>Present</v>
      </c>
    </row>
    <row r="7464" spans="1:5" x14ac:dyDescent="0.25">
      <c r="A7464" s="2" t="s">
        <v>5681</v>
      </c>
      <c r="B7464" s="2" t="s">
        <v>1123</v>
      </c>
      <c r="C7464" s="2">
        <v>2</v>
      </c>
      <c r="D7464" t="str">
        <f t="shared" si="116"/>
        <v>CA-2017-158876_FUR-FU-10001967</v>
      </c>
      <c r="E7464" t="str">
        <f>IF(COUNTIF(data2!$D:$D,D7464)=0,"Missing in Data2","Present")</f>
        <v>Present</v>
      </c>
    </row>
    <row r="7465" spans="1:5" x14ac:dyDescent="0.25">
      <c r="A7465" s="2" t="s">
        <v>5681</v>
      </c>
      <c r="B7465" s="2" t="s">
        <v>1700</v>
      </c>
      <c r="C7465" s="2">
        <v>4</v>
      </c>
      <c r="D7465" t="str">
        <f t="shared" si="116"/>
        <v>CA-2017-158876_OFF-AR-10003373</v>
      </c>
      <c r="E7465" t="str">
        <f>IF(COUNTIF(data2!$D:$D,D7465)=0,"Missing in Data2","Present")</f>
        <v>Present</v>
      </c>
    </row>
    <row r="7466" spans="1:5" x14ac:dyDescent="0.25">
      <c r="A7466" s="2" t="s">
        <v>5681</v>
      </c>
      <c r="B7466" s="2" t="s">
        <v>5682</v>
      </c>
      <c r="C7466" s="2">
        <v>4</v>
      </c>
      <c r="D7466" t="str">
        <f t="shared" si="116"/>
        <v>CA-2017-158876_OFF-PA-10000308</v>
      </c>
      <c r="E7466" t="str">
        <f>IF(COUNTIF(data2!$D:$D,D7466)=0,"Missing in Data2","Present")</f>
        <v>Present</v>
      </c>
    </row>
    <row r="7467" spans="1:5" x14ac:dyDescent="0.25">
      <c r="A7467" s="2" t="s">
        <v>5681</v>
      </c>
      <c r="B7467" s="2" t="s">
        <v>2141</v>
      </c>
      <c r="C7467" s="2">
        <v>1</v>
      </c>
      <c r="D7467" t="str">
        <f t="shared" si="116"/>
        <v>CA-2017-158876_OFF-SU-10001165</v>
      </c>
      <c r="E7467" t="str">
        <f>IF(COUNTIF(data2!$D:$D,D7467)=0,"Missing in Data2","Present")</f>
        <v>Present</v>
      </c>
    </row>
    <row r="7468" spans="1:5" x14ac:dyDescent="0.25">
      <c r="A7468" s="2" t="s">
        <v>5683</v>
      </c>
      <c r="B7468" s="2" t="s">
        <v>12</v>
      </c>
      <c r="C7468" s="2">
        <v>4</v>
      </c>
      <c r="D7468" t="str">
        <f t="shared" si="116"/>
        <v>CA-2017-158883_OFF-PA-10004733</v>
      </c>
      <c r="E7468" t="str">
        <f>IF(COUNTIF(data2!$D:$D,D7468)=0,"Missing in Data2","Present")</f>
        <v>Present</v>
      </c>
    </row>
    <row r="7469" spans="1:5" x14ac:dyDescent="0.25">
      <c r="A7469" s="2" t="s">
        <v>5684</v>
      </c>
      <c r="B7469" s="2" t="s">
        <v>1825</v>
      </c>
      <c r="C7469" s="2">
        <v>7</v>
      </c>
      <c r="D7469" t="str">
        <f t="shared" si="116"/>
        <v>CA-2017-158953_OFF-BI-10002557</v>
      </c>
      <c r="E7469" t="str">
        <f>IF(COUNTIF(data2!$D:$D,D7469)=0,"Missing in Data2","Present")</f>
        <v>Present</v>
      </c>
    </row>
    <row r="7470" spans="1:5" x14ac:dyDescent="0.25">
      <c r="A7470" s="2" t="s">
        <v>5685</v>
      </c>
      <c r="B7470" s="2" t="s">
        <v>661</v>
      </c>
      <c r="C7470" s="2">
        <v>3</v>
      </c>
      <c r="D7470" t="str">
        <f t="shared" si="116"/>
        <v>CA-2017-158967_FUR-FU-10001940</v>
      </c>
      <c r="E7470" t="str">
        <f>IF(COUNTIF(data2!$D:$D,D7470)=0,"Missing in Data2","Present")</f>
        <v>Present</v>
      </c>
    </row>
    <row r="7471" spans="1:5" x14ac:dyDescent="0.25">
      <c r="A7471" s="2" t="s">
        <v>5686</v>
      </c>
      <c r="B7471" s="2" t="s">
        <v>4769</v>
      </c>
      <c r="C7471" s="2">
        <v>7</v>
      </c>
      <c r="D7471" t="str">
        <f t="shared" si="116"/>
        <v>CA-2017-159100_FUR-TA-10001950</v>
      </c>
      <c r="E7471" t="str">
        <f>IF(COUNTIF(data2!$D:$D,D7471)=0,"Missing in Data2","Present")</f>
        <v>Present</v>
      </c>
    </row>
    <row r="7472" spans="1:5" x14ac:dyDescent="0.25">
      <c r="A7472" s="2" t="s">
        <v>5686</v>
      </c>
      <c r="B7472" s="2" t="s">
        <v>4861</v>
      </c>
      <c r="C7472" s="2">
        <v>2</v>
      </c>
      <c r="D7472" t="str">
        <f t="shared" si="116"/>
        <v>CA-2017-159100_TEC-AC-10003499</v>
      </c>
      <c r="E7472" t="str">
        <f>IF(COUNTIF(data2!$D:$D,D7472)=0,"Missing in Data2","Present")</f>
        <v>Present</v>
      </c>
    </row>
    <row r="7473" spans="1:5" x14ac:dyDescent="0.25">
      <c r="A7473" s="2" t="s">
        <v>5687</v>
      </c>
      <c r="B7473" s="2" t="s">
        <v>2814</v>
      </c>
      <c r="C7473" s="2">
        <v>1</v>
      </c>
      <c r="D7473" t="str">
        <f t="shared" si="116"/>
        <v>CA-2017-159107_OFF-FA-10001332</v>
      </c>
      <c r="E7473" t="str">
        <f>IF(COUNTIF(data2!$D:$D,D7473)=0,"Missing in Data2","Present")</f>
        <v>Present</v>
      </c>
    </row>
    <row r="7474" spans="1:5" x14ac:dyDescent="0.25">
      <c r="A7474" s="2" t="s">
        <v>5688</v>
      </c>
      <c r="B7474" s="2" t="s">
        <v>395</v>
      </c>
      <c r="C7474" s="2">
        <v>2</v>
      </c>
      <c r="D7474" t="str">
        <f t="shared" si="116"/>
        <v>CA-2017-159135_OFF-AR-10000657</v>
      </c>
      <c r="E7474" t="str">
        <f>IF(COUNTIF(data2!$D:$D,D7474)=0,"Missing in Data2","Present")</f>
        <v>Present</v>
      </c>
    </row>
    <row r="7475" spans="1:5" x14ac:dyDescent="0.25">
      <c r="A7475" s="2" t="s">
        <v>5689</v>
      </c>
      <c r="B7475" s="2" t="s">
        <v>1306</v>
      </c>
      <c r="C7475" s="2">
        <v>1</v>
      </c>
      <c r="D7475" t="str">
        <f t="shared" si="116"/>
        <v>CA-2017-159149_FUR-BO-10001601</v>
      </c>
      <c r="E7475" t="str">
        <f>IF(COUNTIF(data2!$D:$D,D7475)=0,"Missing in Data2","Present")</f>
        <v>Present</v>
      </c>
    </row>
    <row r="7476" spans="1:5" x14ac:dyDescent="0.25">
      <c r="A7476" s="2" t="s">
        <v>5689</v>
      </c>
      <c r="B7476" s="2" t="s">
        <v>5690</v>
      </c>
      <c r="C7476" s="2">
        <v>6</v>
      </c>
      <c r="D7476" t="str">
        <f t="shared" si="116"/>
        <v>CA-2017-159149_OFF-AR-10000937</v>
      </c>
      <c r="E7476" t="str">
        <f>IF(COUNTIF(data2!$D:$D,D7476)=0,"Missing in Data2","Present")</f>
        <v>Present</v>
      </c>
    </row>
    <row r="7477" spans="1:5" x14ac:dyDescent="0.25">
      <c r="A7477" s="2" t="s">
        <v>5689</v>
      </c>
      <c r="B7477" s="2" t="s">
        <v>1409</v>
      </c>
      <c r="C7477" s="2">
        <v>4</v>
      </c>
      <c r="D7477" t="str">
        <f t="shared" si="116"/>
        <v>CA-2017-159149_TEC-PH-10000038</v>
      </c>
      <c r="E7477" t="str">
        <f>IF(COUNTIF(data2!$D:$D,D7477)=0,"Missing in Data2","Present")</f>
        <v>Present</v>
      </c>
    </row>
    <row r="7478" spans="1:5" x14ac:dyDescent="0.25">
      <c r="A7478" s="2" t="s">
        <v>5691</v>
      </c>
      <c r="B7478" s="2" t="s">
        <v>5692</v>
      </c>
      <c r="C7478" s="2">
        <v>5</v>
      </c>
      <c r="D7478" t="str">
        <f t="shared" si="116"/>
        <v>CA-2017-159156_TEC-PH-10004389</v>
      </c>
      <c r="E7478" t="str">
        <f>IF(COUNTIF(data2!$D:$D,D7478)=0,"Missing in Data2","Present")</f>
        <v>Present</v>
      </c>
    </row>
    <row r="7479" spans="1:5" x14ac:dyDescent="0.25">
      <c r="A7479" s="2" t="s">
        <v>5693</v>
      </c>
      <c r="B7479" s="2" t="s">
        <v>1960</v>
      </c>
      <c r="C7479" s="2">
        <v>7</v>
      </c>
      <c r="D7479" t="str">
        <f t="shared" si="116"/>
        <v>CA-2017-159226_FUR-BO-10004709</v>
      </c>
      <c r="E7479" t="str">
        <f>IF(COUNTIF(data2!$D:$D,D7479)=0,"Missing in Data2","Present")</f>
        <v>Present</v>
      </c>
    </row>
    <row r="7480" spans="1:5" x14ac:dyDescent="0.25">
      <c r="A7480" s="2" t="s">
        <v>5694</v>
      </c>
      <c r="B7480" s="2" t="s">
        <v>3157</v>
      </c>
      <c r="C7480" s="2">
        <v>5</v>
      </c>
      <c r="D7480" t="str">
        <f t="shared" si="116"/>
        <v>CA-2017-159282_TEC-MA-10001148</v>
      </c>
      <c r="E7480" t="str">
        <f>IF(COUNTIF(data2!$D:$D,D7480)=0,"Missing in Data2","Present")</f>
        <v>Present</v>
      </c>
    </row>
    <row r="7481" spans="1:5" x14ac:dyDescent="0.25">
      <c r="A7481" s="2" t="s">
        <v>5695</v>
      </c>
      <c r="B7481" s="2" t="s">
        <v>892</v>
      </c>
      <c r="C7481" s="2">
        <v>7</v>
      </c>
      <c r="D7481" t="str">
        <f t="shared" si="116"/>
        <v>CA-2017-159352_TEC-PH-10004700</v>
      </c>
      <c r="E7481" t="str">
        <f>IF(COUNTIF(data2!$D:$D,D7481)=0,"Missing in Data2","Present")</f>
        <v>Present</v>
      </c>
    </row>
    <row r="7482" spans="1:5" x14ac:dyDescent="0.25">
      <c r="A7482" s="2" t="s">
        <v>5696</v>
      </c>
      <c r="B7482" s="2" t="s">
        <v>1191</v>
      </c>
      <c r="C7482" s="2">
        <v>2</v>
      </c>
      <c r="D7482" t="str">
        <f t="shared" si="116"/>
        <v>CA-2017-159366_TEC-MA-10000822</v>
      </c>
      <c r="E7482" t="str">
        <f>IF(COUNTIF(data2!$D:$D,D7482)=0,"Missing in Data2","Present")</f>
        <v>Present</v>
      </c>
    </row>
    <row r="7483" spans="1:5" x14ac:dyDescent="0.25">
      <c r="A7483" s="2" t="s">
        <v>5697</v>
      </c>
      <c r="B7483" s="2" t="s">
        <v>654</v>
      </c>
      <c r="C7483" s="2">
        <v>3</v>
      </c>
      <c r="D7483" t="str">
        <f t="shared" si="116"/>
        <v>CA-2017-159457_TEC-PH-10002185</v>
      </c>
      <c r="E7483" t="str">
        <f>IF(COUNTIF(data2!$D:$D,D7483)=0,"Missing in Data2","Present")</f>
        <v>Missing in Data2</v>
      </c>
    </row>
    <row r="7484" spans="1:5" x14ac:dyDescent="0.25">
      <c r="A7484" s="2" t="s">
        <v>5698</v>
      </c>
      <c r="B7484" s="2" t="s">
        <v>1678</v>
      </c>
      <c r="C7484" s="2">
        <v>3</v>
      </c>
      <c r="D7484" t="str">
        <f t="shared" si="116"/>
        <v>CA-2017-159464_FUR-BO-10003546</v>
      </c>
      <c r="E7484" t="str">
        <f>IF(COUNTIF(data2!$D:$D,D7484)=0,"Missing in Data2","Present")</f>
        <v>Present</v>
      </c>
    </row>
    <row r="7485" spans="1:5" x14ac:dyDescent="0.25">
      <c r="A7485" s="2" t="s">
        <v>5698</v>
      </c>
      <c r="B7485" s="2" t="s">
        <v>1310</v>
      </c>
      <c r="C7485" s="2">
        <v>2</v>
      </c>
      <c r="D7485" t="str">
        <f t="shared" si="116"/>
        <v>CA-2017-159464_OFF-AP-10001492</v>
      </c>
      <c r="E7485" t="str">
        <f>IF(COUNTIF(data2!$D:$D,D7485)=0,"Missing in Data2","Present")</f>
        <v>Present</v>
      </c>
    </row>
    <row r="7486" spans="1:5" x14ac:dyDescent="0.25">
      <c r="A7486" s="2" t="s">
        <v>5698</v>
      </c>
      <c r="B7486" s="2" t="s">
        <v>1386</v>
      </c>
      <c r="C7486" s="2">
        <v>6</v>
      </c>
      <c r="D7486" t="str">
        <f t="shared" si="116"/>
        <v>CA-2017-159464_OFF-BI-10000315</v>
      </c>
      <c r="E7486" t="str">
        <f>IF(COUNTIF(data2!$D:$D,D7486)=0,"Missing in Data2","Present")</f>
        <v>Present</v>
      </c>
    </row>
    <row r="7487" spans="1:5" x14ac:dyDescent="0.25">
      <c r="A7487" s="2" t="s">
        <v>5698</v>
      </c>
      <c r="B7487" s="2" t="s">
        <v>654</v>
      </c>
      <c r="C7487" s="2">
        <v>5</v>
      </c>
      <c r="D7487" t="str">
        <f t="shared" si="116"/>
        <v>CA-2017-159464_TEC-PH-10002185</v>
      </c>
      <c r="E7487" t="str">
        <f>IF(COUNTIF(data2!$D:$D,D7487)=0,"Missing in Data2","Present")</f>
        <v>Present</v>
      </c>
    </row>
    <row r="7488" spans="1:5" x14ac:dyDescent="0.25">
      <c r="A7488" s="2" t="s">
        <v>5698</v>
      </c>
      <c r="B7488" s="2" t="s">
        <v>2782</v>
      </c>
      <c r="C7488" s="2">
        <v>2</v>
      </c>
      <c r="D7488" t="str">
        <f t="shared" si="116"/>
        <v>CA-2017-159464_TEC-PH-10002350</v>
      </c>
      <c r="E7488" t="str">
        <f>IF(COUNTIF(data2!$D:$D,D7488)=0,"Missing in Data2","Present")</f>
        <v>Present</v>
      </c>
    </row>
    <row r="7489" spans="1:5" x14ac:dyDescent="0.25">
      <c r="A7489" s="2" t="s">
        <v>5699</v>
      </c>
      <c r="B7489" s="2" t="s">
        <v>1989</v>
      </c>
      <c r="C7489" s="2">
        <v>3</v>
      </c>
      <c r="D7489" t="str">
        <f t="shared" si="116"/>
        <v>CA-2017-159506_OFF-BI-10004519</v>
      </c>
      <c r="E7489" t="str">
        <f>IF(COUNTIF(data2!$D:$D,D7489)=0,"Missing in Data2","Present")</f>
        <v>Present</v>
      </c>
    </row>
    <row r="7490" spans="1:5" x14ac:dyDescent="0.25">
      <c r="A7490" s="2" t="s">
        <v>5699</v>
      </c>
      <c r="B7490" s="2" t="s">
        <v>884</v>
      </c>
      <c r="C7490" s="2">
        <v>6</v>
      </c>
      <c r="D7490" t="str">
        <f t="shared" si="116"/>
        <v>CA-2017-159506_OFF-PA-10003641</v>
      </c>
      <c r="E7490" t="str">
        <f>IF(COUNTIF(data2!$D:$D,D7490)=0,"Missing in Data2","Present")</f>
        <v>Present</v>
      </c>
    </row>
    <row r="7491" spans="1:5" x14ac:dyDescent="0.25">
      <c r="A7491" s="2" t="s">
        <v>5700</v>
      </c>
      <c r="B7491" s="2" t="s">
        <v>830</v>
      </c>
      <c r="C7491" s="2">
        <v>2</v>
      </c>
      <c r="D7491" t="str">
        <f t="shared" ref="D7491:D7554" si="117">A7491&amp;"_"&amp;B7491</f>
        <v>CA-2017-159597_OFF-ST-10002289</v>
      </c>
      <c r="E7491" t="str">
        <f>IF(COUNTIF(data2!$D:$D,D7491)=0,"Missing in Data2","Present")</f>
        <v>Present</v>
      </c>
    </row>
    <row r="7492" spans="1:5" x14ac:dyDescent="0.25">
      <c r="A7492" s="2" t="s">
        <v>5700</v>
      </c>
      <c r="B7492" s="2" t="s">
        <v>457</v>
      </c>
      <c r="C7492" s="2">
        <v>1</v>
      </c>
      <c r="D7492" t="str">
        <f t="shared" si="117"/>
        <v>CA-2017-159597_TEC-AC-10004171</v>
      </c>
      <c r="E7492" t="str">
        <f>IF(COUNTIF(data2!$D:$D,D7492)=0,"Missing in Data2","Present")</f>
        <v>Present</v>
      </c>
    </row>
    <row r="7493" spans="1:5" x14ac:dyDescent="0.25">
      <c r="A7493" s="2" t="s">
        <v>5701</v>
      </c>
      <c r="B7493" s="2" t="s">
        <v>2342</v>
      </c>
      <c r="C7493" s="2">
        <v>2</v>
      </c>
      <c r="D7493" t="str">
        <f t="shared" si="117"/>
        <v>CA-2017-159604_OFF-BI-10003460</v>
      </c>
      <c r="E7493" t="str">
        <f>IF(COUNTIF(data2!$D:$D,D7493)=0,"Missing in Data2","Present")</f>
        <v>Present</v>
      </c>
    </row>
    <row r="7494" spans="1:5" x14ac:dyDescent="0.25">
      <c r="A7494" s="2" t="s">
        <v>5702</v>
      </c>
      <c r="B7494" s="2" t="s">
        <v>710</v>
      </c>
      <c r="C7494" s="2">
        <v>3</v>
      </c>
      <c r="D7494" t="str">
        <f t="shared" si="117"/>
        <v>CA-2017-159667_TEC-AC-10002567</v>
      </c>
      <c r="E7494" t="str">
        <f>IF(COUNTIF(data2!$D:$D,D7494)=0,"Missing in Data2","Present")</f>
        <v>Present</v>
      </c>
    </row>
    <row r="7495" spans="1:5" x14ac:dyDescent="0.25">
      <c r="A7495" s="2" t="s">
        <v>5702</v>
      </c>
      <c r="B7495" s="2" t="s">
        <v>2421</v>
      </c>
      <c r="C7495" s="2">
        <v>4</v>
      </c>
      <c r="D7495" t="str">
        <f t="shared" si="117"/>
        <v>CA-2017-159667_TEC-PH-10004094</v>
      </c>
      <c r="E7495" t="str">
        <f>IF(COUNTIF(data2!$D:$D,D7495)=0,"Missing in Data2","Present")</f>
        <v>Present</v>
      </c>
    </row>
    <row r="7496" spans="1:5" x14ac:dyDescent="0.25">
      <c r="A7496" s="2" t="s">
        <v>5703</v>
      </c>
      <c r="B7496" s="2" t="s">
        <v>440</v>
      </c>
      <c r="C7496" s="2">
        <v>1</v>
      </c>
      <c r="D7496" t="str">
        <f t="shared" si="117"/>
        <v>CA-2017-159688_TEC-AC-10000736</v>
      </c>
      <c r="E7496" t="str">
        <f>IF(COUNTIF(data2!$D:$D,D7496)=0,"Missing in Data2","Present")</f>
        <v>Present</v>
      </c>
    </row>
    <row r="7497" spans="1:5" x14ac:dyDescent="0.25">
      <c r="A7497" s="2" t="s">
        <v>5704</v>
      </c>
      <c r="B7497" s="2" t="s">
        <v>3509</v>
      </c>
      <c r="C7497" s="2">
        <v>2</v>
      </c>
      <c r="D7497" t="str">
        <f t="shared" si="117"/>
        <v>CA-2017-159793_FUR-BO-10001798</v>
      </c>
      <c r="E7497" t="str">
        <f>IF(COUNTIF(data2!$D:$D,D7497)=0,"Missing in Data2","Present")</f>
        <v>Present</v>
      </c>
    </row>
    <row r="7498" spans="1:5" x14ac:dyDescent="0.25">
      <c r="A7498" s="2" t="s">
        <v>5705</v>
      </c>
      <c r="B7498" s="2" t="s">
        <v>685</v>
      </c>
      <c r="C7498" s="2">
        <v>3</v>
      </c>
      <c r="D7498" t="str">
        <f t="shared" si="117"/>
        <v>CA-2017-159884_OFF-FA-10000585</v>
      </c>
      <c r="E7498" t="str">
        <f>IF(COUNTIF(data2!$D:$D,D7498)=0,"Missing in Data2","Present")</f>
        <v>Present</v>
      </c>
    </row>
    <row r="7499" spans="1:5" x14ac:dyDescent="0.25">
      <c r="A7499" s="2" t="s">
        <v>5705</v>
      </c>
      <c r="B7499" s="2" t="s">
        <v>2556</v>
      </c>
      <c r="C7499" s="2">
        <v>1</v>
      </c>
      <c r="D7499" t="str">
        <f t="shared" si="117"/>
        <v>CA-2017-159884_OFF-ST-10000344</v>
      </c>
      <c r="E7499" t="str">
        <f>IF(COUNTIF(data2!$D:$D,D7499)=0,"Missing in Data2","Present")</f>
        <v>Present</v>
      </c>
    </row>
    <row r="7500" spans="1:5" x14ac:dyDescent="0.25">
      <c r="A7500" s="2" t="s">
        <v>5706</v>
      </c>
      <c r="B7500" s="2" t="s">
        <v>1380</v>
      </c>
      <c r="C7500" s="2">
        <v>1</v>
      </c>
      <c r="D7500" t="str">
        <f t="shared" si="117"/>
        <v>CA-2017-159954_OFF-BI-10004876</v>
      </c>
      <c r="E7500" t="str">
        <f>IF(COUNTIF(data2!$D:$D,D7500)=0,"Missing in Data2","Present")</f>
        <v>Present</v>
      </c>
    </row>
    <row r="7501" spans="1:5" x14ac:dyDescent="0.25">
      <c r="A7501" s="2" t="s">
        <v>5707</v>
      </c>
      <c r="B7501" s="2" t="s">
        <v>854</v>
      </c>
      <c r="C7501" s="2">
        <v>2</v>
      </c>
      <c r="D7501" t="str">
        <f t="shared" si="117"/>
        <v>CA-2017-160017_OFF-PA-10001800</v>
      </c>
      <c r="E7501" t="str">
        <f>IF(COUNTIF(data2!$D:$D,D7501)=0,"Missing in Data2","Present")</f>
        <v>Present</v>
      </c>
    </row>
    <row r="7502" spans="1:5" x14ac:dyDescent="0.25">
      <c r="A7502" s="2" t="s">
        <v>5708</v>
      </c>
      <c r="B7502" s="2" t="s">
        <v>3168</v>
      </c>
      <c r="C7502" s="2">
        <v>3</v>
      </c>
      <c r="D7502" t="str">
        <f t="shared" si="117"/>
        <v>CA-2017-160031_OFF-PA-10000241</v>
      </c>
      <c r="E7502" t="str">
        <f>IF(COUNTIF(data2!$D:$D,D7502)=0,"Missing in Data2","Present")</f>
        <v>Present</v>
      </c>
    </row>
    <row r="7503" spans="1:5" x14ac:dyDescent="0.25">
      <c r="A7503" s="2" t="s">
        <v>5709</v>
      </c>
      <c r="B7503" s="2" t="s">
        <v>856</v>
      </c>
      <c r="C7503" s="2">
        <v>1</v>
      </c>
      <c r="D7503" t="str">
        <f t="shared" si="117"/>
        <v>CA-2017-160045_FUR-FU-10000010</v>
      </c>
      <c r="E7503" t="str">
        <f>IF(COUNTIF(data2!$D:$D,D7503)=0,"Missing in Data2","Present")</f>
        <v>Present</v>
      </c>
    </row>
    <row r="7504" spans="1:5" x14ac:dyDescent="0.25">
      <c r="A7504" s="2" t="s">
        <v>5710</v>
      </c>
      <c r="B7504" s="2" t="s">
        <v>1819</v>
      </c>
      <c r="C7504" s="2">
        <v>3</v>
      </c>
      <c r="D7504" t="str">
        <f t="shared" si="117"/>
        <v>CA-2017-160087_OFF-AR-10001915</v>
      </c>
      <c r="E7504" t="str">
        <f>IF(COUNTIF(data2!$D:$D,D7504)=0,"Missing in Data2","Present")</f>
        <v>Present</v>
      </c>
    </row>
    <row r="7505" spans="1:5" x14ac:dyDescent="0.25">
      <c r="A7505" s="2" t="s">
        <v>5711</v>
      </c>
      <c r="B7505" s="2" t="s">
        <v>335</v>
      </c>
      <c r="C7505" s="2">
        <v>2</v>
      </c>
      <c r="D7505" t="str">
        <f t="shared" si="117"/>
        <v>CA-2017-160122_FUR-CH-10000422</v>
      </c>
      <c r="E7505" t="str">
        <f>IF(COUNTIF(data2!$D:$D,D7505)=0,"Missing in Data2","Present")</f>
        <v>Present</v>
      </c>
    </row>
    <row r="7506" spans="1:5" x14ac:dyDescent="0.25">
      <c r="A7506" s="2" t="s">
        <v>5711</v>
      </c>
      <c r="B7506" s="2" t="s">
        <v>1204</v>
      </c>
      <c r="C7506" s="2">
        <v>6</v>
      </c>
      <c r="D7506" t="str">
        <f t="shared" si="117"/>
        <v>CA-2017-160122_OFF-EN-10002592</v>
      </c>
      <c r="E7506" t="str">
        <f>IF(COUNTIF(data2!$D:$D,D7506)=0,"Missing in Data2","Present")</f>
        <v>Present</v>
      </c>
    </row>
    <row r="7507" spans="1:5" x14ac:dyDescent="0.25">
      <c r="A7507" s="2" t="s">
        <v>5712</v>
      </c>
      <c r="B7507" s="2" t="s">
        <v>520</v>
      </c>
      <c r="C7507" s="2">
        <v>2</v>
      </c>
      <c r="D7507" t="str">
        <f t="shared" si="117"/>
        <v>CA-2017-160325_TEC-PH-10000984</v>
      </c>
      <c r="E7507" t="str">
        <f>IF(COUNTIF(data2!$D:$D,D7507)=0,"Missing in Data2","Present")</f>
        <v>Present</v>
      </c>
    </row>
    <row r="7508" spans="1:5" x14ac:dyDescent="0.25">
      <c r="A7508" s="2" t="s">
        <v>5712</v>
      </c>
      <c r="B7508" s="2" t="s">
        <v>1663</v>
      </c>
      <c r="C7508" s="2">
        <v>3</v>
      </c>
      <c r="D7508" t="str">
        <f t="shared" si="117"/>
        <v>CA-2017-160325_TEC-PH-10001944</v>
      </c>
      <c r="E7508" t="str">
        <f>IF(COUNTIF(data2!$D:$D,D7508)=0,"Missing in Data2","Present")</f>
        <v>Present</v>
      </c>
    </row>
    <row r="7509" spans="1:5" x14ac:dyDescent="0.25">
      <c r="A7509" s="2" t="s">
        <v>5713</v>
      </c>
      <c r="B7509" s="2" t="s">
        <v>2034</v>
      </c>
      <c r="C7509" s="2">
        <v>2</v>
      </c>
      <c r="D7509" t="str">
        <f t="shared" si="117"/>
        <v>CA-2017-160395_OFF-AR-10003759</v>
      </c>
      <c r="E7509" t="str">
        <f>IF(COUNTIF(data2!$D:$D,D7509)=0,"Missing in Data2","Present")</f>
        <v>Present</v>
      </c>
    </row>
    <row r="7510" spans="1:5" x14ac:dyDescent="0.25">
      <c r="A7510" s="2" t="s">
        <v>5713</v>
      </c>
      <c r="B7510" s="2" t="s">
        <v>49</v>
      </c>
      <c r="C7510" s="2">
        <v>7</v>
      </c>
      <c r="D7510" t="str">
        <f t="shared" si="117"/>
        <v>CA-2017-160395_OFF-BI-10003984</v>
      </c>
      <c r="E7510" t="str">
        <f>IF(COUNTIF(data2!$D:$D,D7510)=0,"Missing in Data2","Present")</f>
        <v>Present</v>
      </c>
    </row>
    <row r="7511" spans="1:5" x14ac:dyDescent="0.25">
      <c r="A7511" s="2" t="s">
        <v>5714</v>
      </c>
      <c r="B7511" s="2" t="s">
        <v>1252</v>
      </c>
      <c r="C7511" s="2">
        <v>4</v>
      </c>
      <c r="D7511" t="str">
        <f t="shared" si="117"/>
        <v>CA-2017-160416_TEC-AC-10004114</v>
      </c>
      <c r="E7511" t="str">
        <f>IF(COUNTIF(data2!$D:$D,D7511)=0,"Missing in Data2","Present")</f>
        <v>Missing in Data2</v>
      </c>
    </row>
    <row r="7512" spans="1:5" x14ac:dyDescent="0.25">
      <c r="A7512" s="2" t="s">
        <v>5715</v>
      </c>
      <c r="B7512" s="2" t="s">
        <v>2450</v>
      </c>
      <c r="C7512" s="2">
        <v>7</v>
      </c>
      <c r="D7512" t="str">
        <f t="shared" si="117"/>
        <v>CA-2017-160423_OFF-BI-10004001</v>
      </c>
      <c r="E7512" t="str">
        <f>IF(COUNTIF(data2!$D:$D,D7512)=0,"Missing in Data2","Present")</f>
        <v>Present</v>
      </c>
    </row>
    <row r="7513" spans="1:5" x14ac:dyDescent="0.25">
      <c r="A7513" s="2" t="s">
        <v>5715</v>
      </c>
      <c r="B7513" s="2" t="s">
        <v>1360</v>
      </c>
      <c r="C7513" s="2">
        <v>7</v>
      </c>
      <c r="D7513" t="str">
        <f t="shared" si="117"/>
        <v>CA-2017-160423_OFF-ST-10004340</v>
      </c>
      <c r="E7513" t="str">
        <f>IF(COUNTIF(data2!$D:$D,D7513)=0,"Missing in Data2","Present")</f>
        <v>Present</v>
      </c>
    </row>
    <row r="7514" spans="1:5" x14ac:dyDescent="0.25">
      <c r="A7514" s="2" t="s">
        <v>5716</v>
      </c>
      <c r="B7514" s="2" t="s">
        <v>1378</v>
      </c>
      <c r="C7514" s="2">
        <v>5</v>
      </c>
      <c r="D7514" t="str">
        <f t="shared" si="117"/>
        <v>CA-2017-160458_OFF-PA-10001166</v>
      </c>
      <c r="E7514" t="str">
        <f>IF(COUNTIF(data2!$D:$D,D7514)=0,"Missing in Data2","Present")</f>
        <v>Present</v>
      </c>
    </row>
    <row r="7515" spans="1:5" x14ac:dyDescent="0.25">
      <c r="A7515" s="2" t="s">
        <v>5717</v>
      </c>
      <c r="B7515" s="2" t="s">
        <v>682</v>
      </c>
      <c r="C7515" s="2">
        <v>2</v>
      </c>
      <c r="D7515" t="str">
        <f t="shared" si="117"/>
        <v>CA-2017-160514_OFF-PA-10002479</v>
      </c>
      <c r="E7515" t="str">
        <f>IF(COUNTIF(data2!$D:$D,D7515)=0,"Missing in Data2","Present")</f>
        <v>Missing in Data2</v>
      </c>
    </row>
    <row r="7516" spans="1:5" x14ac:dyDescent="0.25">
      <c r="A7516" s="2" t="s">
        <v>5718</v>
      </c>
      <c r="B7516" s="2" t="s">
        <v>3047</v>
      </c>
      <c r="C7516" s="2">
        <v>3</v>
      </c>
      <c r="D7516" t="str">
        <f t="shared" si="117"/>
        <v>CA-2017-160633_OFF-AR-10004022</v>
      </c>
      <c r="E7516" t="str">
        <f>IF(COUNTIF(data2!$D:$D,D7516)=0,"Missing in Data2","Present")</f>
        <v>Present</v>
      </c>
    </row>
    <row r="7517" spans="1:5" x14ac:dyDescent="0.25">
      <c r="A7517" s="2" t="s">
        <v>5718</v>
      </c>
      <c r="B7517" s="2" t="s">
        <v>3487</v>
      </c>
      <c r="C7517" s="2">
        <v>5</v>
      </c>
      <c r="D7517" t="str">
        <f t="shared" si="117"/>
        <v>CA-2017-160633_TEC-AC-10002335</v>
      </c>
      <c r="E7517" t="str">
        <f>IF(COUNTIF(data2!$D:$D,D7517)=0,"Missing in Data2","Present")</f>
        <v>Present</v>
      </c>
    </row>
    <row r="7518" spans="1:5" x14ac:dyDescent="0.25">
      <c r="A7518" s="2" t="s">
        <v>5718</v>
      </c>
      <c r="B7518" s="2" t="s">
        <v>1688</v>
      </c>
      <c r="C7518" s="2">
        <v>3</v>
      </c>
      <c r="D7518" t="str">
        <f t="shared" si="117"/>
        <v>CA-2017-160633_TEC-CO-10002095</v>
      </c>
      <c r="E7518" t="str">
        <f>IF(COUNTIF(data2!$D:$D,D7518)=0,"Missing in Data2","Present")</f>
        <v>Present</v>
      </c>
    </row>
    <row r="7519" spans="1:5" x14ac:dyDescent="0.25">
      <c r="A7519" s="2" t="s">
        <v>5719</v>
      </c>
      <c r="B7519" s="2" t="s">
        <v>77</v>
      </c>
      <c r="C7519" s="2">
        <v>3</v>
      </c>
      <c r="D7519" t="str">
        <f t="shared" si="117"/>
        <v>CA-2017-160661_OFF-LA-10002475</v>
      </c>
      <c r="E7519" t="str">
        <f>IF(COUNTIF(data2!$D:$D,D7519)=0,"Missing in Data2","Present")</f>
        <v>Present</v>
      </c>
    </row>
    <row r="7520" spans="1:5" x14ac:dyDescent="0.25">
      <c r="A7520" s="2" t="s">
        <v>5720</v>
      </c>
      <c r="B7520" s="2" t="s">
        <v>1686</v>
      </c>
      <c r="C7520" s="2">
        <v>3</v>
      </c>
      <c r="D7520" t="str">
        <f t="shared" si="117"/>
        <v>CA-2017-160724_OFF-BI-10004965</v>
      </c>
      <c r="E7520" t="str">
        <f>IF(COUNTIF(data2!$D:$D,D7520)=0,"Missing in Data2","Present")</f>
        <v>Present</v>
      </c>
    </row>
    <row r="7521" spans="1:5" x14ac:dyDescent="0.25">
      <c r="A7521" s="2" t="s">
        <v>5721</v>
      </c>
      <c r="B7521" s="2" t="s">
        <v>930</v>
      </c>
      <c r="C7521" s="2">
        <v>3</v>
      </c>
      <c r="D7521" t="str">
        <f t="shared" si="117"/>
        <v>CA-2017-160801_OFF-BI-10001132</v>
      </c>
      <c r="E7521" t="str">
        <f>IF(COUNTIF(data2!$D:$D,D7521)=0,"Missing in Data2","Present")</f>
        <v>Present</v>
      </c>
    </row>
    <row r="7522" spans="1:5" x14ac:dyDescent="0.25">
      <c r="A7522" s="2" t="s">
        <v>5722</v>
      </c>
      <c r="B7522" s="2" t="s">
        <v>1081</v>
      </c>
      <c r="C7522" s="2">
        <v>4</v>
      </c>
      <c r="D7522" t="str">
        <f t="shared" si="117"/>
        <v>CA-2017-160885_TEC-PH-10001795</v>
      </c>
      <c r="E7522" t="str">
        <f>IF(COUNTIF(data2!$D:$D,D7522)=0,"Missing in Data2","Present")</f>
        <v>Present</v>
      </c>
    </row>
    <row r="7523" spans="1:5" x14ac:dyDescent="0.25">
      <c r="A7523" s="2" t="s">
        <v>5723</v>
      </c>
      <c r="B7523" s="2" t="s">
        <v>740</v>
      </c>
      <c r="C7523" s="2">
        <v>11</v>
      </c>
      <c r="D7523" t="str">
        <f t="shared" si="117"/>
        <v>CA-2017-160899_OFF-BI-10000632</v>
      </c>
      <c r="E7523" t="str">
        <f>IF(COUNTIF(data2!$D:$D,D7523)=0,"Missing in Data2","Present")</f>
        <v>Present</v>
      </c>
    </row>
    <row r="7524" spans="1:5" x14ac:dyDescent="0.25">
      <c r="A7524" s="2" t="s">
        <v>5724</v>
      </c>
      <c r="B7524" s="2" t="s">
        <v>856</v>
      </c>
      <c r="C7524" s="2">
        <v>3</v>
      </c>
      <c r="D7524" t="str">
        <f t="shared" si="117"/>
        <v>CA-2017-160927_FUR-FU-10000010</v>
      </c>
      <c r="E7524" t="str">
        <f>IF(COUNTIF(data2!$D:$D,D7524)=0,"Missing in Data2","Present")</f>
        <v>Present</v>
      </c>
    </row>
    <row r="7525" spans="1:5" x14ac:dyDescent="0.25">
      <c r="A7525" s="2" t="s">
        <v>5724</v>
      </c>
      <c r="B7525" s="2" t="s">
        <v>7</v>
      </c>
      <c r="C7525" s="2">
        <v>5</v>
      </c>
      <c r="D7525" t="str">
        <f t="shared" si="117"/>
        <v>CA-2017-160927_OFF-PA-10000176</v>
      </c>
      <c r="E7525" t="str">
        <f>IF(COUNTIF(data2!$D:$D,D7525)=0,"Missing in Data2","Present")</f>
        <v>Present</v>
      </c>
    </row>
    <row r="7526" spans="1:5" x14ac:dyDescent="0.25">
      <c r="A7526" s="2" t="s">
        <v>5724</v>
      </c>
      <c r="B7526" s="2" t="s">
        <v>2011</v>
      </c>
      <c r="C7526" s="2">
        <v>2</v>
      </c>
      <c r="D7526" t="str">
        <f t="shared" si="117"/>
        <v>CA-2017-160927_OFF-PA-10003848</v>
      </c>
      <c r="E7526" t="str">
        <f>IF(COUNTIF(data2!$D:$D,D7526)=0,"Missing in Data2","Present")</f>
        <v>Present</v>
      </c>
    </row>
    <row r="7527" spans="1:5" x14ac:dyDescent="0.25">
      <c r="A7527" s="2" t="s">
        <v>5724</v>
      </c>
      <c r="B7527" s="2" t="s">
        <v>2282</v>
      </c>
      <c r="C7527" s="2">
        <v>1</v>
      </c>
      <c r="D7527" t="str">
        <f t="shared" si="117"/>
        <v>CA-2017-160927_OFF-ST-10001590</v>
      </c>
      <c r="E7527" t="str">
        <f>IF(COUNTIF(data2!$D:$D,D7527)=0,"Missing in Data2","Present")</f>
        <v>Present</v>
      </c>
    </row>
    <row r="7528" spans="1:5" x14ac:dyDescent="0.25">
      <c r="A7528" s="2" t="s">
        <v>5725</v>
      </c>
      <c r="B7528" s="2" t="s">
        <v>574</v>
      </c>
      <c r="C7528" s="2">
        <v>5</v>
      </c>
      <c r="D7528" t="str">
        <f t="shared" si="117"/>
        <v>CA-2017-160934_OFF-AR-10003504</v>
      </c>
      <c r="E7528" t="str">
        <f>IF(COUNTIF(data2!$D:$D,D7528)=0,"Missing in Data2","Present")</f>
        <v>Present</v>
      </c>
    </row>
    <row r="7529" spans="1:5" x14ac:dyDescent="0.25">
      <c r="A7529" s="2" t="s">
        <v>5726</v>
      </c>
      <c r="B7529" s="2" t="s">
        <v>1278</v>
      </c>
      <c r="C7529" s="2">
        <v>2</v>
      </c>
      <c r="D7529" t="str">
        <f t="shared" si="117"/>
        <v>CA-2017-160962_OFF-AR-10003056</v>
      </c>
      <c r="E7529" t="str">
        <f>IF(COUNTIF(data2!$D:$D,D7529)=0,"Missing in Data2","Present")</f>
        <v>Present</v>
      </c>
    </row>
    <row r="7530" spans="1:5" x14ac:dyDescent="0.25">
      <c r="A7530" s="2" t="s">
        <v>5726</v>
      </c>
      <c r="B7530" s="2" t="s">
        <v>2467</v>
      </c>
      <c r="C7530" s="2">
        <v>1</v>
      </c>
      <c r="D7530" t="str">
        <f t="shared" si="117"/>
        <v>CA-2017-160962_OFF-ST-10001325</v>
      </c>
      <c r="E7530" t="str">
        <f>IF(COUNTIF(data2!$D:$D,D7530)=0,"Missing in Data2","Present")</f>
        <v>Present</v>
      </c>
    </row>
    <row r="7531" spans="1:5" x14ac:dyDescent="0.25">
      <c r="A7531" s="2" t="s">
        <v>5727</v>
      </c>
      <c r="B7531" s="2" t="s">
        <v>2694</v>
      </c>
      <c r="C7531" s="2">
        <v>8</v>
      </c>
      <c r="D7531" t="str">
        <f t="shared" si="117"/>
        <v>CA-2017-160983_OFF-PA-10002250</v>
      </c>
      <c r="E7531" t="str">
        <f>IF(COUNTIF(data2!$D:$D,D7531)=0,"Missing in Data2","Present")</f>
        <v>Present</v>
      </c>
    </row>
    <row r="7532" spans="1:5" x14ac:dyDescent="0.25">
      <c r="A7532" s="2" t="s">
        <v>5728</v>
      </c>
      <c r="B7532" s="2" t="s">
        <v>590</v>
      </c>
      <c r="C7532" s="2">
        <v>7</v>
      </c>
      <c r="D7532" t="str">
        <f t="shared" si="117"/>
        <v>CA-2017-161018_FUR-FU-10000629</v>
      </c>
      <c r="E7532" t="str">
        <f>IF(COUNTIF(data2!$D:$D,D7532)=0,"Missing in Data2","Present")</f>
        <v>Present</v>
      </c>
    </row>
    <row r="7533" spans="1:5" x14ac:dyDescent="0.25">
      <c r="A7533" s="2" t="s">
        <v>5729</v>
      </c>
      <c r="B7533" s="2" t="s">
        <v>3826</v>
      </c>
      <c r="C7533" s="2">
        <v>2</v>
      </c>
      <c r="D7533" t="str">
        <f t="shared" si="117"/>
        <v>CA-2017-161046_OFF-AP-10000891</v>
      </c>
      <c r="E7533" t="str">
        <f>IF(COUNTIF(data2!$D:$D,D7533)=0,"Missing in Data2","Present")</f>
        <v>Present</v>
      </c>
    </row>
    <row r="7534" spans="1:5" x14ac:dyDescent="0.25">
      <c r="A7534" s="2" t="s">
        <v>5729</v>
      </c>
      <c r="B7534" s="2" t="s">
        <v>637</v>
      </c>
      <c r="C7534" s="2">
        <v>6</v>
      </c>
      <c r="D7534" t="str">
        <f t="shared" si="117"/>
        <v>CA-2017-161046_OFF-BI-10002026</v>
      </c>
      <c r="E7534" t="str">
        <f>IF(COUNTIF(data2!$D:$D,D7534)=0,"Missing in Data2","Present")</f>
        <v>Missing in Data2</v>
      </c>
    </row>
    <row r="7535" spans="1:5" x14ac:dyDescent="0.25">
      <c r="A7535" s="2" t="s">
        <v>5729</v>
      </c>
      <c r="B7535" s="2" t="s">
        <v>2178</v>
      </c>
      <c r="C7535" s="2">
        <v>4</v>
      </c>
      <c r="D7535" t="str">
        <f t="shared" si="117"/>
        <v>CA-2017-161046_OFF-EN-10003862</v>
      </c>
      <c r="E7535" t="str">
        <f>IF(COUNTIF(data2!$D:$D,D7535)=0,"Missing in Data2","Present")</f>
        <v>Present</v>
      </c>
    </row>
    <row r="7536" spans="1:5" x14ac:dyDescent="0.25">
      <c r="A7536" s="2" t="s">
        <v>5729</v>
      </c>
      <c r="B7536" s="2" t="s">
        <v>1133</v>
      </c>
      <c r="C7536" s="2">
        <v>3</v>
      </c>
      <c r="D7536" t="str">
        <f t="shared" si="117"/>
        <v>CA-2017-161046_TEC-AC-10004571</v>
      </c>
      <c r="E7536" t="str">
        <f>IF(COUNTIF(data2!$D:$D,D7536)=0,"Missing in Data2","Present")</f>
        <v>Present</v>
      </c>
    </row>
    <row r="7537" spans="1:5" x14ac:dyDescent="0.25">
      <c r="A7537" s="2" t="s">
        <v>5730</v>
      </c>
      <c r="B7537" s="2" t="s">
        <v>3214</v>
      </c>
      <c r="C7537" s="2">
        <v>4</v>
      </c>
      <c r="D7537" t="str">
        <f t="shared" si="117"/>
        <v>CA-2017-161053_OFF-BI-10004318</v>
      </c>
      <c r="E7537" t="str">
        <f>IF(COUNTIF(data2!$D:$D,D7537)=0,"Missing in Data2","Present")</f>
        <v>Present</v>
      </c>
    </row>
    <row r="7538" spans="1:5" x14ac:dyDescent="0.25">
      <c r="A7538" s="2" t="s">
        <v>5730</v>
      </c>
      <c r="B7538" s="2" t="s">
        <v>1007</v>
      </c>
      <c r="C7538" s="2">
        <v>5</v>
      </c>
      <c r="D7538" t="str">
        <f t="shared" si="117"/>
        <v>CA-2017-161053_TEC-AC-10004633</v>
      </c>
      <c r="E7538" t="str">
        <f>IF(COUNTIF(data2!$D:$D,D7538)=0,"Missing in Data2","Present")</f>
        <v>Present</v>
      </c>
    </row>
    <row r="7539" spans="1:5" x14ac:dyDescent="0.25">
      <c r="A7539" s="2" t="s">
        <v>5731</v>
      </c>
      <c r="B7539" s="2" t="s">
        <v>524</v>
      </c>
      <c r="C7539" s="2">
        <v>1</v>
      </c>
      <c r="D7539" t="str">
        <f t="shared" si="117"/>
        <v>CA-2017-161067_FUR-CH-10004626</v>
      </c>
      <c r="E7539" t="str">
        <f>IF(COUNTIF(data2!$D:$D,D7539)=0,"Missing in Data2","Present")</f>
        <v>Present</v>
      </c>
    </row>
    <row r="7540" spans="1:5" x14ac:dyDescent="0.25">
      <c r="A7540" s="2" t="s">
        <v>5731</v>
      </c>
      <c r="B7540" s="2" t="s">
        <v>1162</v>
      </c>
      <c r="C7540" s="2">
        <v>2</v>
      </c>
      <c r="D7540" t="str">
        <f t="shared" si="117"/>
        <v>CA-2017-161067_FUR-CH-10004860</v>
      </c>
      <c r="E7540" t="str">
        <f>IF(COUNTIF(data2!$D:$D,D7540)=0,"Missing in Data2","Present")</f>
        <v>Present</v>
      </c>
    </row>
    <row r="7541" spans="1:5" x14ac:dyDescent="0.25">
      <c r="A7541" s="2" t="s">
        <v>5731</v>
      </c>
      <c r="B7541" s="2" t="s">
        <v>1920</v>
      </c>
      <c r="C7541" s="2">
        <v>2</v>
      </c>
      <c r="D7541" t="str">
        <f t="shared" si="117"/>
        <v>CA-2017-161067_OFF-AR-10003251</v>
      </c>
      <c r="E7541" t="str">
        <f>IF(COUNTIF(data2!$D:$D,D7541)=0,"Missing in Data2","Present")</f>
        <v>Present</v>
      </c>
    </row>
    <row r="7542" spans="1:5" x14ac:dyDescent="0.25">
      <c r="A7542" s="2" t="s">
        <v>5731</v>
      </c>
      <c r="B7542" s="2" t="s">
        <v>1243</v>
      </c>
      <c r="C7542" s="2">
        <v>4</v>
      </c>
      <c r="D7542" t="str">
        <f t="shared" si="117"/>
        <v>CA-2017-161067_OFF-PA-10000418</v>
      </c>
      <c r="E7542" t="str">
        <f>IF(COUNTIF(data2!$D:$D,D7542)=0,"Missing in Data2","Present")</f>
        <v>Present</v>
      </c>
    </row>
    <row r="7543" spans="1:5" x14ac:dyDescent="0.25">
      <c r="A7543" s="2" t="s">
        <v>5732</v>
      </c>
      <c r="B7543" s="2" t="s">
        <v>1255</v>
      </c>
      <c r="C7543" s="2">
        <v>2</v>
      </c>
      <c r="D7543" t="str">
        <f t="shared" si="117"/>
        <v>CA-2017-161088_OFF-BI-10002824</v>
      </c>
      <c r="E7543" t="str">
        <f>IF(COUNTIF(data2!$D:$D,D7543)=0,"Missing in Data2","Present")</f>
        <v>Present</v>
      </c>
    </row>
    <row r="7544" spans="1:5" x14ac:dyDescent="0.25">
      <c r="A7544" s="2" t="s">
        <v>5733</v>
      </c>
      <c r="B7544" s="2" t="s">
        <v>2724</v>
      </c>
      <c r="C7544" s="2">
        <v>7</v>
      </c>
      <c r="D7544" t="str">
        <f t="shared" si="117"/>
        <v>CA-2017-161102_FUR-FU-10003142</v>
      </c>
      <c r="E7544" t="str">
        <f>IF(COUNTIF(data2!$D:$D,D7544)=0,"Missing in Data2","Present")</f>
        <v>Present</v>
      </c>
    </row>
    <row r="7545" spans="1:5" x14ac:dyDescent="0.25">
      <c r="A7545" s="2" t="s">
        <v>5733</v>
      </c>
      <c r="B7545" s="2" t="s">
        <v>71</v>
      </c>
      <c r="C7545" s="2">
        <v>2</v>
      </c>
      <c r="D7545" t="str">
        <f t="shared" si="117"/>
        <v>CA-2017-161102_OFF-ST-10003442</v>
      </c>
      <c r="E7545" t="str">
        <f>IF(COUNTIF(data2!$D:$D,D7545)=0,"Missing in Data2","Present")</f>
        <v>Present</v>
      </c>
    </row>
    <row r="7546" spans="1:5" x14ac:dyDescent="0.25">
      <c r="A7546" s="2" t="s">
        <v>5734</v>
      </c>
      <c r="B7546" s="2" t="s">
        <v>102</v>
      </c>
      <c r="C7546" s="2">
        <v>2</v>
      </c>
      <c r="D7546" t="str">
        <f t="shared" si="117"/>
        <v>CA-2017-161130_TEC-PH-10002549</v>
      </c>
      <c r="E7546" t="str">
        <f>IF(COUNTIF(data2!$D:$D,D7546)=0,"Missing in Data2","Present")</f>
        <v>Present</v>
      </c>
    </row>
    <row r="7547" spans="1:5" x14ac:dyDescent="0.25">
      <c r="A7547" s="2" t="s">
        <v>5735</v>
      </c>
      <c r="B7547" s="2" t="s">
        <v>2847</v>
      </c>
      <c r="C7547" s="2">
        <v>6</v>
      </c>
      <c r="D7547" t="str">
        <f t="shared" si="117"/>
        <v>CA-2017-161172_FUR-FU-10003424</v>
      </c>
      <c r="E7547" t="str">
        <f>IF(COUNTIF(data2!$D:$D,D7547)=0,"Missing in Data2","Present")</f>
        <v>Present</v>
      </c>
    </row>
    <row r="7548" spans="1:5" x14ac:dyDescent="0.25">
      <c r="A7548" s="2" t="s">
        <v>5735</v>
      </c>
      <c r="B7548" s="2" t="s">
        <v>483</v>
      </c>
      <c r="C7548" s="2">
        <v>3</v>
      </c>
      <c r="D7548" t="str">
        <f t="shared" si="117"/>
        <v>CA-2017-161172_OFF-BI-10004654</v>
      </c>
      <c r="E7548" t="str">
        <f>IF(COUNTIF(data2!$D:$D,D7548)=0,"Missing in Data2","Present")</f>
        <v>Present</v>
      </c>
    </row>
    <row r="7549" spans="1:5" x14ac:dyDescent="0.25">
      <c r="A7549" s="2" t="s">
        <v>5735</v>
      </c>
      <c r="B7549" s="2" t="s">
        <v>1584</v>
      </c>
      <c r="C7549" s="2">
        <v>2</v>
      </c>
      <c r="D7549" t="str">
        <f t="shared" si="117"/>
        <v>CA-2017-161172_OFF-ST-10000675</v>
      </c>
      <c r="E7549" t="str">
        <f>IF(COUNTIF(data2!$D:$D,D7549)=0,"Missing in Data2","Present")</f>
        <v>Present</v>
      </c>
    </row>
    <row r="7550" spans="1:5" x14ac:dyDescent="0.25">
      <c r="A7550" s="2" t="s">
        <v>5735</v>
      </c>
      <c r="B7550" s="2" t="s">
        <v>1133</v>
      </c>
      <c r="C7550" s="2">
        <v>2</v>
      </c>
      <c r="D7550" t="str">
        <f t="shared" si="117"/>
        <v>CA-2017-161172_TEC-AC-10004571</v>
      </c>
      <c r="E7550" t="str">
        <f>IF(COUNTIF(data2!$D:$D,D7550)=0,"Missing in Data2","Present")</f>
        <v>Present</v>
      </c>
    </row>
    <row r="7551" spans="1:5" x14ac:dyDescent="0.25">
      <c r="A7551" s="2" t="s">
        <v>5735</v>
      </c>
      <c r="B7551" s="2" t="s">
        <v>2794</v>
      </c>
      <c r="C7551" s="2">
        <v>2</v>
      </c>
      <c r="D7551" t="str">
        <f t="shared" si="117"/>
        <v>CA-2017-161172_TEC-PH-10004348</v>
      </c>
      <c r="E7551" t="str">
        <f>IF(COUNTIF(data2!$D:$D,D7551)=0,"Missing in Data2","Present")</f>
        <v>Present</v>
      </c>
    </row>
    <row r="7552" spans="1:5" x14ac:dyDescent="0.25">
      <c r="A7552" s="2" t="s">
        <v>5736</v>
      </c>
      <c r="B7552" s="2" t="s">
        <v>1559</v>
      </c>
      <c r="C7552" s="2">
        <v>3</v>
      </c>
      <c r="D7552" t="str">
        <f t="shared" si="117"/>
        <v>CA-2017-161200_FUR-BO-10000468</v>
      </c>
      <c r="E7552" t="str">
        <f>IF(COUNTIF(data2!$D:$D,D7552)=0,"Missing in Data2","Present")</f>
        <v>Present</v>
      </c>
    </row>
    <row r="7553" spans="1:5" x14ac:dyDescent="0.25">
      <c r="A7553" s="2" t="s">
        <v>5736</v>
      </c>
      <c r="B7553" s="2" t="s">
        <v>456</v>
      </c>
      <c r="C7553" s="2">
        <v>5</v>
      </c>
      <c r="D7553" t="str">
        <f t="shared" si="117"/>
        <v>CA-2017-161200_FUR-FU-10001706</v>
      </c>
      <c r="E7553" t="str">
        <f>IF(COUNTIF(data2!$D:$D,D7553)=0,"Missing in Data2","Present")</f>
        <v>Present</v>
      </c>
    </row>
    <row r="7554" spans="1:5" x14ac:dyDescent="0.25">
      <c r="A7554" s="2" t="s">
        <v>5737</v>
      </c>
      <c r="B7554" s="2" t="s">
        <v>2933</v>
      </c>
      <c r="C7554" s="2">
        <v>2</v>
      </c>
      <c r="D7554" t="str">
        <f t="shared" si="117"/>
        <v>CA-2017-161333_FUR-FU-10003039</v>
      </c>
      <c r="E7554" t="str">
        <f>IF(COUNTIF(data2!$D:$D,D7554)=0,"Missing in Data2","Present")</f>
        <v>Present</v>
      </c>
    </row>
    <row r="7555" spans="1:5" x14ac:dyDescent="0.25">
      <c r="A7555" s="2" t="s">
        <v>5737</v>
      </c>
      <c r="B7555" s="2" t="s">
        <v>3697</v>
      </c>
      <c r="C7555" s="2">
        <v>4</v>
      </c>
      <c r="D7555" t="str">
        <f t="shared" ref="D7555:D7618" si="118">A7555&amp;"_"&amp;B7555</f>
        <v>CA-2017-161333_OFF-AP-10000252</v>
      </c>
      <c r="E7555" t="str">
        <f>IF(COUNTIF(data2!$D:$D,D7555)=0,"Missing in Data2","Present")</f>
        <v>Present</v>
      </c>
    </row>
    <row r="7556" spans="1:5" x14ac:dyDescent="0.25">
      <c r="A7556" s="2" t="s">
        <v>5737</v>
      </c>
      <c r="B7556" s="2" t="s">
        <v>1471</v>
      </c>
      <c r="C7556" s="2">
        <v>4</v>
      </c>
      <c r="D7556" t="str">
        <f t="shared" si="118"/>
        <v>CA-2017-161333_OFF-ST-10000464</v>
      </c>
      <c r="E7556" t="str">
        <f>IF(COUNTIF(data2!$D:$D,D7556)=0,"Missing in Data2","Present")</f>
        <v>Present</v>
      </c>
    </row>
    <row r="7557" spans="1:5" x14ac:dyDescent="0.25">
      <c r="A7557" s="2" t="s">
        <v>5738</v>
      </c>
      <c r="B7557" s="2" t="s">
        <v>1960</v>
      </c>
      <c r="C7557" s="2">
        <v>4</v>
      </c>
      <c r="D7557" t="str">
        <f t="shared" si="118"/>
        <v>CA-2017-161340_FUR-BO-10004709</v>
      </c>
      <c r="E7557" t="str">
        <f>IF(COUNTIF(data2!$D:$D,D7557)=0,"Missing in Data2","Present")</f>
        <v>Present</v>
      </c>
    </row>
    <row r="7558" spans="1:5" x14ac:dyDescent="0.25">
      <c r="A7558" s="2" t="s">
        <v>5738</v>
      </c>
      <c r="B7558" s="2" t="s">
        <v>1883</v>
      </c>
      <c r="C7558" s="2">
        <v>3</v>
      </c>
      <c r="D7558" t="str">
        <f t="shared" si="118"/>
        <v>CA-2017-161340_OFF-PA-10002464</v>
      </c>
      <c r="E7558" t="str">
        <f>IF(COUNTIF(data2!$D:$D,D7558)=0,"Missing in Data2","Present")</f>
        <v>Present</v>
      </c>
    </row>
    <row r="7559" spans="1:5" x14ac:dyDescent="0.25">
      <c r="A7559" s="2" t="s">
        <v>5739</v>
      </c>
      <c r="B7559" s="2" t="s">
        <v>863</v>
      </c>
      <c r="C7559" s="2">
        <v>14</v>
      </c>
      <c r="D7559" t="str">
        <f t="shared" si="118"/>
        <v>CA-2017-161410_TEC-PH-10000673</v>
      </c>
      <c r="E7559" t="str">
        <f>IF(COUNTIF(data2!$D:$D,D7559)=0,"Missing in Data2","Present")</f>
        <v>Present</v>
      </c>
    </row>
    <row r="7560" spans="1:5" x14ac:dyDescent="0.25">
      <c r="A7560" s="2" t="s">
        <v>5739</v>
      </c>
      <c r="B7560" s="2" t="s">
        <v>313</v>
      </c>
      <c r="C7560" s="2">
        <v>3</v>
      </c>
      <c r="D7560" t="str">
        <f t="shared" si="118"/>
        <v>CA-2017-161410_TEC-PH-10001760</v>
      </c>
      <c r="E7560" t="str">
        <f>IF(COUNTIF(data2!$D:$D,D7560)=0,"Missing in Data2","Present")</f>
        <v>Present</v>
      </c>
    </row>
    <row r="7561" spans="1:5" x14ac:dyDescent="0.25">
      <c r="A7561" s="2" t="s">
        <v>5740</v>
      </c>
      <c r="B7561" s="2" t="s">
        <v>592</v>
      </c>
      <c r="C7561" s="2">
        <v>6</v>
      </c>
      <c r="D7561" t="str">
        <f t="shared" si="118"/>
        <v>CA-2017-161459_OFF-PA-10002377</v>
      </c>
      <c r="E7561" t="str">
        <f>IF(COUNTIF(data2!$D:$D,D7561)=0,"Missing in Data2","Present")</f>
        <v>Present</v>
      </c>
    </row>
    <row r="7562" spans="1:5" x14ac:dyDescent="0.25">
      <c r="A7562" s="2" t="s">
        <v>5740</v>
      </c>
      <c r="B7562" s="2" t="s">
        <v>3348</v>
      </c>
      <c r="C7562" s="2">
        <v>5</v>
      </c>
      <c r="D7562" t="str">
        <f t="shared" si="118"/>
        <v>CA-2017-161459_TEC-PH-10004071</v>
      </c>
      <c r="E7562" t="str">
        <f>IF(COUNTIF(data2!$D:$D,D7562)=0,"Missing in Data2","Present")</f>
        <v>Present</v>
      </c>
    </row>
    <row r="7563" spans="1:5" x14ac:dyDescent="0.25">
      <c r="A7563" s="2" t="s">
        <v>5741</v>
      </c>
      <c r="B7563" s="2" t="s">
        <v>631</v>
      </c>
      <c r="C7563" s="2">
        <v>2</v>
      </c>
      <c r="D7563" t="str">
        <f t="shared" si="118"/>
        <v>CA-2017-161480_FUR-BO-10004015</v>
      </c>
      <c r="E7563" t="str">
        <f>IF(COUNTIF(data2!$D:$D,D7563)=0,"Missing in Data2","Present")</f>
        <v>Present</v>
      </c>
    </row>
    <row r="7564" spans="1:5" x14ac:dyDescent="0.25">
      <c r="A7564" s="2" t="s">
        <v>5742</v>
      </c>
      <c r="B7564" s="2" t="s">
        <v>47</v>
      </c>
      <c r="C7564" s="2">
        <v>2</v>
      </c>
      <c r="D7564" t="str">
        <f t="shared" si="118"/>
        <v>CA-2017-161578_OFF-PA-10002986</v>
      </c>
      <c r="E7564" t="str">
        <f>IF(COUNTIF(data2!$D:$D,D7564)=0,"Missing in Data2","Present")</f>
        <v>Present</v>
      </c>
    </row>
    <row r="7565" spans="1:5" x14ac:dyDescent="0.25">
      <c r="A7565" s="2" t="s">
        <v>5742</v>
      </c>
      <c r="B7565" s="2" t="s">
        <v>830</v>
      </c>
      <c r="C7565" s="2">
        <v>5</v>
      </c>
      <c r="D7565" t="str">
        <f t="shared" si="118"/>
        <v>CA-2017-161578_OFF-ST-10002289</v>
      </c>
      <c r="E7565" t="str">
        <f>IF(COUNTIF(data2!$D:$D,D7565)=0,"Missing in Data2","Present")</f>
        <v>Present</v>
      </c>
    </row>
    <row r="7566" spans="1:5" x14ac:dyDescent="0.25">
      <c r="A7566" s="2" t="s">
        <v>5743</v>
      </c>
      <c r="B7566" s="2" t="s">
        <v>1203</v>
      </c>
      <c r="C7566" s="2">
        <v>5</v>
      </c>
      <c r="D7566" t="str">
        <f t="shared" si="118"/>
        <v>CA-2017-161592_OFF-BI-10003669</v>
      </c>
      <c r="E7566" t="str">
        <f>IF(COUNTIF(data2!$D:$D,D7566)=0,"Missing in Data2","Present")</f>
        <v>Present</v>
      </c>
    </row>
    <row r="7567" spans="1:5" x14ac:dyDescent="0.25">
      <c r="A7567" s="2" t="s">
        <v>5744</v>
      </c>
      <c r="B7567" s="2" t="s">
        <v>1961</v>
      </c>
      <c r="C7567" s="2">
        <v>9</v>
      </c>
      <c r="D7567" t="str">
        <f t="shared" si="118"/>
        <v>CA-2017-161655_OFF-BI-10002082</v>
      </c>
      <c r="E7567" t="str">
        <f>IF(COUNTIF(data2!$D:$D,D7567)=0,"Missing in Data2","Present")</f>
        <v>Present</v>
      </c>
    </row>
    <row r="7568" spans="1:5" x14ac:dyDescent="0.25">
      <c r="A7568" s="2" t="s">
        <v>5745</v>
      </c>
      <c r="B7568" s="2" t="s">
        <v>494</v>
      </c>
      <c r="C7568" s="2">
        <v>5</v>
      </c>
      <c r="D7568" t="str">
        <f t="shared" si="118"/>
        <v>CA-2017-161739_FUR-FU-10001468</v>
      </c>
      <c r="E7568" t="str">
        <f>IF(COUNTIF(data2!$D:$D,D7568)=0,"Missing in Data2","Present")</f>
        <v>Present</v>
      </c>
    </row>
    <row r="7569" spans="1:5" x14ac:dyDescent="0.25">
      <c r="A7569" s="2" t="s">
        <v>5746</v>
      </c>
      <c r="B7569" s="2" t="s">
        <v>1296</v>
      </c>
      <c r="C7569" s="2">
        <v>5</v>
      </c>
      <c r="D7569" t="str">
        <f t="shared" si="118"/>
        <v>CA-2017-161774_FUR-CH-10003981</v>
      </c>
      <c r="E7569" t="str">
        <f>IF(COUNTIF(data2!$D:$D,D7569)=0,"Missing in Data2","Present")</f>
        <v>Missing in Data2</v>
      </c>
    </row>
    <row r="7570" spans="1:5" x14ac:dyDescent="0.25">
      <c r="A7570" s="2" t="s">
        <v>5746</v>
      </c>
      <c r="B7570" s="2" t="s">
        <v>2546</v>
      </c>
      <c r="C7570" s="2">
        <v>5</v>
      </c>
      <c r="D7570" t="str">
        <f t="shared" si="118"/>
        <v>CA-2017-161774_OFF-AR-10001446</v>
      </c>
      <c r="E7570" t="str">
        <f>IF(COUNTIF(data2!$D:$D,D7570)=0,"Missing in Data2","Present")</f>
        <v>Present</v>
      </c>
    </row>
    <row r="7571" spans="1:5" x14ac:dyDescent="0.25">
      <c r="A7571" s="2" t="s">
        <v>5746</v>
      </c>
      <c r="B7571" s="2" t="s">
        <v>3056</v>
      </c>
      <c r="C7571" s="2">
        <v>3</v>
      </c>
      <c r="D7571" t="str">
        <f t="shared" si="118"/>
        <v>CA-2017-161774_OFF-PA-10000300</v>
      </c>
      <c r="E7571" t="str">
        <f>IF(COUNTIF(data2!$D:$D,D7571)=0,"Missing in Data2","Present")</f>
        <v>Present</v>
      </c>
    </row>
    <row r="7572" spans="1:5" x14ac:dyDescent="0.25">
      <c r="A7572" s="2" t="s">
        <v>5746</v>
      </c>
      <c r="B7572" s="2" t="s">
        <v>5559</v>
      </c>
      <c r="C7572" s="2">
        <v>2</v>
      </c>
      <c r="D7572" t="str">
        <f t="shared" si="118"/>
        <v>CA-2017-161774_OFF-PA-10003134</v>
      </c>
      <c r="E7572" t="str">
        <f>IF(COUNTIF(data2!$D:$D,D7572)=0,"Missing in Data2","Present")</f>
        <v>Present</v>
      </c>
    </row>
    <row r="7573" spans="1:5" x14ac:dyDescent="0.25">
      <c r="A7573" s="2" t="s">
        <v>5746</v>
      </c>
      <c r="B7573" s="2" t="s">
        <v>3348</v>
      </c>
      <c r="C7573" s="2">
        <v>1</v>
      </c>
      <c r="D7573" t="str">
        <f t="shared" si="118"/>
        <v>CA-2017-161774_TEC-PH-10004071</v>
      </c>
      <c r="E7573" t="str">
        <f>IF(COUNTIF(data2!$D:$D,D7573)=0,"Missing in Data2","Present")</f>
        <v>Present</v>
      </c>
    </row>
    <row r="7574" spans="1:5" x14ac:dyDescent="0.25">
      <c r="A7574" s="2" t="s">
        <v>5747</v>
      </c>
      <c r="B7574" s="2" t="s">
        <v>29</v>
      </c>
      <c r="C7574" s="2">
        <v>3</v>
      </c>
      <c r="D7574" t="str">
        <f t="shared" si="118"/>
        <v>CA-2017-161809_TEC-PH-10004922</v>
      </c>
      <c r="E7574" t="str">
        <f>IF(COUNTIF(data2!$D:$D,D7574)=0,"Missing in Data2","Present")</f>
        <v>Present</v>
      </c>
    </row>
    <row r="7575" spans="1:5" x14ac:dyDescent="0.25">
      <c r="A7575" s="2" t="s">
        <v>5748</v>
      </c>
      <c r="B7575" s="2" t="s">
        <v>882</v>
      </c>
      <c r="C7575" s="2">
        <v>2</v>
      </c>
      <c r="D7575" t="str">
        <f t="shared" si="118"/>
        <v>CA-2017-161823_OFF-AR-10002053</v>
      </c>
      <c r="E7575" t="str">
        <f>IF(COUNTIF(data2!$D:$D,D7575)=0,"Missing in Data2","Present")</f>
        <v>Present</v>
      </c>
    </row>
    <row r="7576" spans="1:5" x14ac:dyDescent="0.25">
      <c r="A7576" s="2" t="s">
        <v>5749</v>
      </c>
      <c r="B7576" s="2" t="s">
        <v>483</v>
      </c>
      <c r="C7576" s="2">
        <v>3</v>
      </c>
      <c r="D7576" t="str">
        <f t="shared" si="118"/>
        <v>CA-2017-161851_OFF-BI-10004654</v>
      </c>
      <c r="E7576" t="str">
        <f>IF(COUNTIF(data2!$D:$D,D7576)=0,"Missing in Data2","Present")</f>
        <v>Missing in Data2</v>
      </c>
    </row>
    <row r="7577" spans="1:5" x14ac:dyDescent="0.25">
      <c r="A7577" s="2" t="s">
        <v>5750</v>
      </c>
      <c r="B7577" s="2" t="s">
        <v>1463</v>
      </c>
      <c r="C7577" s="2">
        <v>2</v>
      </c>
      <c r="D7577" t="str">
        <f t="shared" si="118"/>
        <v>CA-2017-161893_OFF-BI-10004506</v>
      </c>
      <c r="E7577" t="str">
        <f>IF(COUNTIF(data2!$D:$D,D7577)=0,"Missing in Data2","Present")</f>
        <v>Present</v>
      </c>
    </row>
    <row r="7578" spans="1:5" x14ac:dyDescent="0.25">
      <c r="A7578" s="2" t="s">
        <v>5750</v>
      </c>
      <c r="B7578" s="2" t="s">
        <v>3004</v>
      </c>
      <c r="C7578" s="2">
        <v>2</v>
      </c>
      <c r="D7578" t="str">
        <f t="shared" si="118"/>
        <v>CA-2017-161893_TEC-AC-10001874</v>
      </c>
      <c r="E7578" t="str">
        <f>IF(COUNTIF(data2!$D:$D,D7578)=0,"Missing in Data2","Present")</f>
        <v>Missing in Data2</v>
      </c>
    </row>
    <row r="7579" spans="1:5" x14ac:dyDescent="0.25">
      <c r="A7579" s="2" t="s">
        <v>5751</v>
      </c>
      <c r="B7579" s="2" t="s">
        <v>1368</v>
      </c>
      <c r="C7579" s="2">
        <v>3</v>
      </c>
      <c r="D7579" t="str">
        <f t="shared" si="118"/>
        <v>CA-2017-161956_FUR-CH-10004886</v>
      </c>
      <c r="E7579" t="str">
        <f>IF(COUNTIF(data2!$D:$D,D7579)=0,"Missing in Data2","Present")</f>
        <v>Present</v>
      </c>
    </row>
    <row r="7580" spans="1:5" x14ac:dyDescent="0.25">
      <c r="A7580" s="2" t="s">
        <v>5751</v>
      </c>
      <c r="B7580" s="2" t="s">
        <v>2850</v>
      </c>
      <c r="C7580" s="2">
        <v>2</v>
      </c>
      <c r="D7580" t="str">
        <f t="shared" si="118"/>
        <v>CA-2017-161956_FUR-FU-10002937</v>
      </c>
      <c r="E7580" t="str">
        <f>IF(COUNTIF(data2!$D:$D,D7580)=0,"Missing in Data2","Present")</f>
        <v>Present</v>
      </c>
    </row>
    <row r="7581" spans="1:5" x14ac:dyDescent="0.25">
      <c r="A7581" s="2" t="s">
        <v>5751</v>
      </c>
      <c r="B7581" s="2" t="s">
        <v>3173</v>
      </c>
      <c r="C7581" s="2">
        <v>4</v>
      </c>
      <c r="D7581" t="str">
        <f t="shared" si="118"/>
        <v>CA-2017-161956_OFF-AP-10001242</v>
      </c>
      <c r="E7581" t="str">
        <f>IF(COUNTIF(data2!$D:$D,D7581)=0,"Missing in Data2","Present")</f>
        <v>Present</v>
      </c>
    </row>
    <row r="7582" spans="1:5" x14ac:dyDescent="0.25">
      <c r="A7582" s="2" t="s">
        <v>5751</v>
      </c>
      <c r="B7582" s="2" t="s">
        <v>1382</v>
      </c>
      <c r="C7582" s="2">
        <v>2</v>
      </c>
      <c r="D7582" t="str">
        <f t="shared" si="118"/>
        <v>CA-2017-161956_OFF-BI-10003650</v>
      </c>
      <c r="E7582" t="str">
        <f>IF(COUNTIF(data2!$D:$D,D7582)=0,"Missing in Data2","Present")</f>
        <v>Present</v>
      </c>
    </row>
    <row r="7583" spans="1:5" x14ac:dyDescent="0.25">
      <c r="A7583" s="2" t="s">
        <v>5751</v>
      </c>
      <c r="B7583" s="2" t="s">
        <v>789</v>
      </c>
      <c r="C7583" s="2">
        <v>3</v>
      </c>
      <c r="D7583" t="str">
        <f t="shared" si="118"/>
        <v>CA-2017-161956_OFF-PA-10001289</v>
      </c>
      <c r="E7583" t="str">
        <f>IF(COUNTIF(data2!$D:$D,D7583)=0,"Missing in Data2","Present")</f>
        <v>Present</v>
      </c>
    </row>
    <row r="7584" spans="1:5" x14ac:dyDescent="0.25">
      <c r="A7584" s="2" t="s">
        <v>5751</v>
      </c>
      <c r="B7584" s="2" t="s">
        <v>4297</v>
      </c>
      <c r="C7584" s="2">
        <v>5</v>
      </c>
      <c r="D7584" t="str">
        <f t="shared" si="118"/>
        <v>CA-2017-161956_OFF-SU-10002503</v>
      </c>
      <c r="E7584" t="str">
        <f>IF(COUNTIF(data2!$D:$D,D7584)=0,"Missing in Data2","Present")</f>
        <v>Present</v>
      </c>
    </row>
    <row r="7585" spans="1:5" x14ac:dyDescent="0.25">
      <c r="A7585" s="2" t="s">
        <v>5751</v>
      </c>
      <c r="B7585" s="2" t="s">
        <v>759</v>
      </c>
      <c r="C7585" s="2">
        <v>2</v>
      </c>
      <c r="D7585" t="str">
        <f t="shared" si="118"/>
        <v>CA-2017-161956_TEC-CO-10001571</v>
      </c>
      <c r="E7585" t="str">
        <f>IF(COUNTIF(data2!$D:$D,D7585)=0,"Missing in Data2","Present")</f>
        <v>Present</v>
      </c>
    </row>
    <row r="7586" spans="1:5" x14ac:dyDescent="0.25">
      <c r="A7586" s="2" t="s">
        <v>5752</v>
      </c>
      <c r="B7586" s="2" t="s">
        <v>2579</v>
      </c>
      <c r="C7586" s="2">
        <v>2</v>
      </c>
      <c r="D7586" t="str">
        <f t="shared" si="118"/>
        <v>CA-2017-161970_OFF-PA-10004255</v>
      </c>
      <c r="E7586" t="str">
        <f>IF(COUNTIF(data2!$D:$D,D7586)=0,"Missing in Data2","Present")</f>
        <v>Present</v>
      </c>
    </row>
    <row r="7587" spans="1:5" x14ac:dyDescent="0.25">
      <c r="A7587" s="2" t="s">
        <v>5753</v>
      </c>
      <c r="B7587" s="2" t="s">
        <v>1303</v>
      </c>
      <c r="C7587" s="2">
        <v>2</v>
      </c>
      <c r="D7587" t="str">
        <f t="shared" si="118"/>
        <v>CA-2017-161984_OFF-FA-10000624</v>
      </c>
      <c r="E7587" t="str">
        <f>IF(COUNTIF(data2!$D:$D,D7587)=0,"Missing in Data2","Present")</f>
        <v>Present</v>
      </c>
    </row>
    <row r="7588" spans="1:5" x14ac:dyDescent="0.25">
      <c r="A7588" s="2" t="s">
        <v>5753</v>
      </c>
      <c r="B7588" s="2" t="s">
        <v>1184</v>
      </c>
      <c r="C7588" s="2">
        <v>1</v>
      </c>
      <c r="D7588" t="str">
        <f t="shared" si="118"/>
        <v>CA-2017-161984_OFF-PA-10004569</v>
      </c>
      <c r="E7588" t="str">
        <f>IF(COUNTIF(data2!$D:$D,D7588)=0,"Missing in Data2","Present")</f>
        <v>Present</v>
      </c>
    </row>
    <row r="7589" spans="1:5" x14ac:dyDescent="0.25">
      <c r="A7589" s="2" t="s">
        <v>5754</v>
      </c>
      <c r="B7589" s="2" t="s">
        <v>2830</v>
      </c>
      <c r="C7589" s="2">
        <v>5</v>
      </c>
      <c r="D7589" t="str">
        <f t="shared" si="118"/>
        <v>CA-2017-162015_OFF-AP-10003040</v>
      </c>
      <c r="E7589" t="str">
        <f>IF(COUNTIF(data2!$D:$D,D7589)=0,"Missing in Data2","Present")</f>
        <v>Present</v>
      </c>
    </row>
    <row r="7590" spans="1:5" x14ac:dyDescent="0.25">
      <c r="A7590" s="2" t="s">
        <v>5754</v>
      </c>
      <c r="B7590" s="2" t="s">
        <v>877</v>
      </c>
      <c r="C7590" s="2">
        <v>5</v>
      </c>
      <c r="D7590" t="str">
        <f t="shared" si="118"/>
        <v>CA-2017-162015_TEC-AC-10003832</v>
      </c>
      <c r="E7590" t="str">
        <f>IF(COUNTIF(data2!$D:$D,D7590)=0,"Missing in Data2","Present")</f>
        <v>Present</v>
      </c>
    </row>
    <row r="7591" spans="1:5" x14ac:dyDescent="0.25">
      <c r="A7591" s="2" t="s">
        <v>5755</v>
      </c>
      <c r="B7591" s="2" t="s">
        <v>96</v>
      </c>
      <c r="C7591" s="2">
        <v>2</v>
      </c>
      <c r="D7591" t="str">
        <f t="shared" si="118"/>
        <v>CA-2017-162033_OFF-FA-10003021</v>
      </c>
      <c r="E7591" t="str">
        <f>IF(COUNTIF(data2!$D:$D,D7591)=0,"Missing in Data2","Present")</f>
        <v>Present</v>
      </c>
    </row>
    <row r="7592" spans="1:5" x14ac:dyDescent="0.25">
      <c r="A7592" s="2" t="s">
        <v>5755</v>
      </c>
      <c r="B7592" s="2" t="s">
        <v>1897</v>
      </c>
      <c r="C7592" s="2">
        <v>3</v>
      </c>
      <c r="D7592" t="str">
        <f t="shared" si="118"/>
        <v>CA-2017-162033_TEC-AC-10003116</v>
      </c>
      <c r="E7592" t="str">
        <f>IF(COUNTIF(data2!$D:$D,D7592)=0,"Missing in Data2","Present")</f>
        <v>Present</v>
      </c>
    </row>
    <row r="7593" spans="1:5" x14ac:dyDescent="0.25">
      <c r="A7593" s="2" t="s">
        <v>5756</v>
      </c>
      <c r="B7593" s="2" t="s">
        <v>312</v>
      </c>
      <c r="C7593" s="2">
        <v>7</v>
      </c>
      <c r="D7593" t="str">
        <f t="shared" si="118"/>
        <v>CA-2017-162075_TEC-PH-10001557</v>
      </c>
      <c r="E7593" t="str">
        <f>IF(COUNTIF(data2!$D:$D,D7593)=0,"Missing in Data2","Present")</f>
        <v>Present</v>
      </c>
    </row>
    <row r="7594" spans="1:5" x14ac:dyDescent="0.25">
      <c r="A7594" s="2" t="s">
        <v>5757</v>
      </c>
      <c r="B7594" s="2" t="s">
        <v>3586</v>
      </c>
      <c r="C7594" s="2">
        <v>3</v>
      </c>
      <c r="D7594" t="str">
        <f t="shared" si="118"/>
        <v>CA-2017-162096_OFF-AR-10002221</v>
      </c>
      <c r="E7594" t="str">
        <f>IF(COUNTIF(data2!$D:$D,D7594)=0,"Missing in Data2","Present")</f>
        <v>Present</v>
      </c>
    </row>
    <row r="7595" spans="1:5" x14ac:dyDescent="0.25">
      <c r="A7595" s="2" t="s">
        <v>5758</v>
      </c>
      <c r="B7595" s="2" t="s">
        <v>2601</v>
      </c>
      <c r="C7595" s="2">
        <v>5</v>
      </c>
      <c r="D7595" t="str">
        <f t="shared" si="118"/>
        <v>CA-2017-162173_FUR-TA-10001520</v>
      </c>
      <c r="E7595" t="str">
        <f>IF(COUNTIF(data2!$D:$D,D7595)=0,"Missing in Data2","Present")</f>
        <v>Present</v>
      </c>
    </row>
    <row r="7596" spans="1:5" x14ac:dyDescent="0.25">
      <c r="A7596" s="2" t="s">
        <v>5758</v>
      </c>
      <c r="B7596" s="2" t="s">
        <v>4125</v>
      </c>
      <c r="C7596" s="2">
        <v>7</v>
      </c>
      <c r="D7596" t="str">
        <f t="shared" si="118"/>
        <v>CA-2017-162173_OFF-EN-10002831</v>
      </c>
      <c r="E7596" t="str">
        <f>IF(COUNTIF(data2!$D:$D,D7596)=0,"Missing in Data2","Present")</f>
        <v>Present</v>
      </c>
    </row>
    <row r="7597" spans="1:5" x14ac:dyDescent="0.25">
      <c r="A7597" s="2" t="s">
        <v>5759</v>
      </c>
      <c r="B7597" s="2" t="s">
        <v>1590</v>
      </c>
      <c r="C7597" s="2">
        <v>1</v>
      </c>
      <c r="D7597" t="str">
        <f t="shared" si="118"/>
        <v>CA-2017-162250_OFF-PA-10002137</v>
      </c>
      <c r="E7597" t="str">
        <f>IF(COUNTIF(data2!$D:$D,D7597)=0,"Missing in Data2","Present")</f>
        <v>Present</v>
      </c>
    </row>
    <row r="7598" spans="1:5" x14ac:dyDescent="0.25">
      <c r="A7598" s="2" t="s">
        <v>5760</v>
      </c>
      <c r="B7598" s="2" t="s">
        <v>892</v>
      </c>
      <c r="C7598" s="2">
        <v>1</v>
      </c>
      <c r="D7598" t="str">
        <f t="shared" si="118"/>
        <v>CA-2017-162474_TEC-PH-10004700</v>
      </c>
      <c r="E7598" t="str">
        <f>IF(COUNTIF(data2!$D:$D,D7598)=0,"Missing in Data2","Present")</f>
        <v>Present</v>
      </c>
    </row>
    <row r="7599" spans="1:5" x14ac:dyDescent="0.25">
      <c r="A7599" s="2" t="s">
        <v>5761</v>
      </c>
      <c r="B7599" s="2" t="s">
        <v>1582</v>
      </c>
      <c r="C7599" s="2">
        <v>2</v>
      </c>
      <c r="D7599" t="str">
        <f t="shared" si="118"/>
        <v>CA-2017-162481_OFF-BI-10002976</v>
      </c>
      <c r="E7599" t="str">
        <f>IF(COUNTIF(data2!$D:$D,D7599)=0,"Missing in Data2","Present")</f>
        <v>Present</v>
      </c>
    </row>
    <row r="7600" spans="1:5" x14ac:dyDescent="0.25">
      <c r="A7600" s="2" t="s">
        <v>5762</v>
      </c>
      <c r="B7600" s="2" t="s">
        <v>807</v>
      </c>
      <c r="C7600" s="2">
        <v>2</v>
      </c>
      <c r="D7600" t="str">
        <f t="shared" si="118"/>
        <v>CA-2017-162565_FUR-CH-10003973</v>
      </c>
      <c r="E7600" t="str">
        <f>IF(COUNTIF(data2!$D:$D,D7600)=0,"Missing in Data2","Present")</f>
        <v>Present</v>
      </c>
    </row>
    <row r="7601" spans="1:5" x14ac:dyDescent="0.25">
      <c r="A7601" s="2" t="s">
        <v>5762</v>
      </c>
      <c r="B7601" s="2" t="s">
        <v>263</v>
      </c>
      <c r="C7601" s="2">
        <v>1</v>
      </c>
      <c r="D7601" t="str">
        <f t="shared" si="118"/>
        <v>CA-2017-162565_FUR-FU-10004306</v>
      </c>
      <c r="E7601" t="str">
        <f>IF(COUNTIF(data2!$D:$D,D7601)=0,"Missing in Data2","Present")</f>
        <v>Present</v>
      </c>
    </row>
    <row r="7602" spans="1:5" x14ac:dyDescent="0.25">
      <c r="A7602" s="2" t="s">
        <v>5762</v>
      </c>
      <c r="B7602" s="2" t="s">
        <v>1785</v>
      </c>
      <c r="C7602" s="2">
        <v>2</v>
      </c>
      <c r="D7602" t="str">
        <f t="shared" si="118"/>
        <v>CA-2017-162565_OFF-PA-10001937</v>
      </c>
      <c r="E7602" t="str">
        <f>IF(COUNTIF(data2!$D:$D,D7602)=0,"Missing in Data2","Present")</f>
        <v>Present</v>
      </c>
    </row>
    <row r="7603" spans="1:5" x14ac:dyDescent="0.25">
      <c r="A7603" s="2" t="s">
        <v>5763</v>
      </c>
      <c r="B7603" s="2" t="s">
        <v>2227</v>
      </c>
      <c r="C7603" s="2">
        <v>6</v>
      </c>
      <c r="D7603" t="str">
        <f t="shared" si="118"/>
        <v>CA-2017-162572_OFF-AR-10001547</v>
      </c>
      <c r="E7603" t="str">
        <f>IF(COUNTIF(data2!$D:$D,D7603)=0,"Missing in Data2","Present")</f>
        <v>Missing in Data2</v>
      </c>
    </row>
    <row r="7604" spans="1:5" x14ac:dyDescent="0.25">
      <c r="A7604" s="2" t="s">
        <v>5763</v>
      </c>
      <c r="B7604" s="2" t="s">
        <v>131</v>
      </c>
      <c r="C7604" s="2">
        <v>5</v>
      </c>
      <c r="D7604" t="str">
        <f t="shared" si="118"/>
        <v>CA-2017-162572_TEC-AC-10003628</v>
      </c>
      <c r="E7604" t="str">
        <f>IF(COUNTIF(data2!$D:$D,D7604)=0,"Missing in Data2","Present")</f>
        <v>Present</v>
      </c>
    </row>
    <row r="7605" spans="1:5" x14ac:dyDescent="0.25">
      <c r="A7605" s="2" t="s">
        <v>5764</v>
      </c>
      <c r="B7605" s="2" t="s">
        <v>129</v>
      </c>
      <c r="C7605" s="2">
        <v>4</v>
      </c>
      <c r="D7605" t="str">
        <f t="shared" si="118"/>
        <v>CA-2017-162635_OFF-PA-10002659</v>
      </c>
      <c r="E7605" t="str">
        <f>IF(COUNTIF(data2!$D:$D,D7605)=0,"Missing in Data2","Present")</f>
        <v>Present</v>
      </c>
    </row>
    <row r="7606" spans="1:5" x14ac:dyDescent="0.25">
      <c r="A7606" s="2" t="s">
        <v>5765</v>
      </c>
      <c r="B7606" s="2" t="s">
        <v>4962</v>
      </c>
      <c r="C7606" s="2">
        <v>7</v>
      </c>
      <c r="D7606" t="str">
        <f t="shared" si="118"/>
        <v>CA-2017-162691_OFF-PA-10003729</v>
      </c>
      <c r="E7606" t="str">
        <f>IF(COUNTIF(data2!$D:$D,D7606)=0,"Missing in Data2","Present")</f>
        <v>Present</v>
      </c>
    </row>
    <row r="7607" spans="1:5" x14ac:dyDescent="0.25">
      <c r="A7607" s="2" t="s">
        <v>5765</v>
      </c>
      <c r="B7607" s="2" t="s">
        <v>2298</v>
      </c>
      <c r="C7607" s="2">
        <v>3</v>
      </c>
      <c r="D7607" t="str">
        <f t="shared" si="118"/>
        <v>CA-2017-162691_TEC-MA-10000488</v>
      </c>
      <c r="E7607" t="str">
        <f>IF(COUNTIF(data2!$D:$D,D7607)=0,"Missing in Data2","Present")</f>
        <v>Present</v>
      </c>
    </row>
    <row r="7608" spans="1:5" x14ac:dyDescent="0.25">
      <c r="A7608" s="2" t="s">
        <v>5766</v>
      </c>
      <c r="B7608" s="2" t="s">
        <v>1273</v>
      </c>
      <c r="C7608" s="2">
        <v>3</v>
      </c>
      <c r="D7608" t="str">
        <f t="shared" si="118"/>
        <v>CA-2017-162712_OFF-PA-10000167</v>
      </c>
      <c r="E7608" t="str">
        <f>IF(COUNTIF(data2!$D:$D,D7608)=0,"Missing in Data2","Present")</f>
        <v>Present</v>
      </c>
    </row>
    <row r="7609" spans="1:5" x14ac:dyDescent="0.25">
      <c r="A7609" s="2" t="s">
        <v>5767</v>
      </c>
      <c r="B7609" s="2" t="s">
        <v>226</v>
      </c>
      <c r="C7609" s="2">
        <v>1</v>
      </c>
      <c r="D7609" t="str">
        <f t="shared" si="118"/>
        <v>CA-2017-162789_FUR-FU-10004864</v>
      </c>
      <c r="E7609" t="str">
        <f>IF(COUNTIF(data2!$D:$D,D7609)=0,"Missing in Data2","Present")</f>
        <v>Present</v>
      </c>
    </row>
    <row r="7610" spans="1:5" x14ac:dyDescent="0.25">
      <c r="A7610" s="2" t="s">
        <v>5767</v>
      </c>
      <c r="B7610" s="2" t="s">
        <v>345</v>
      </c>
      <c r="C7610" s="2">
        <v>9</v>
      </c>
      <c r="D7610" t="str">
        <f t="shared" si="118"/>
        <v>CA-2017-162789_TEC-AC-10002842</v>
      </c>
      <c r="E7610" t="str">
        <f>IF(COUNTIF(data2!$D:$D,D7610)=0,"Missing in Data2","Present")</f>
        <v>Present</v>
      </c>
    </row>
    <row r="7611" spans="1:5" x14ac:dyDescent="0.25">
      <c r="A7611" s="2" t="s">
        <v>5768</v>
      </c>
      <c r="B7611" s="2" t="s">
        <v>940</v>
      </c>
      <c r="C7611" s="2">
        <v>1</v>
      </c>
      <c r="D7611" t="str">
        <f t="shared" si="118"/>
        <v>CA-2017-162880_OFF-BI-10003314</v>
      </c>
      <c r="E7611" t="str">
        <f>IF(COUNTIF(data2!$D:$D,D7611)=0,"Missing in Data2","Present")</f>
        <v>Present</v>
      </c>
    </row>
    <row r="7612" spans="1:5" x14ac:dyDescent="0.25">
      <c r="A7612" s="2" t="s">
        <v>5769</v>
      </c>
      <c r="B7612" s="2" t="s">
        <v>2875</v>
      </c>
      <c r="C7612" s="2">
        <v>6</v>
      </c>
      <c r="D7612" t="str">
        <f t="shared" si="118"/>
        <v>CA-2017-162929_OFF-BI-10000404</v>
      </c>
      <c r="E7612" t="str">
        <f>IF(COUNTIF(data2!$D:$D,D7612)=0,"Missing in Data2","Present")</f>
        <v>Present</v>
      </c>
    </row>
    <row r="7613" spans="1:5" x14ac:dyDescent="0.25">
      <c r="A7613" s="2" t="s">
        <v>5769</v>
      </c>
      <c r="B7613" s="2" t="s">
        <v>47</v>
      </c>
      <c r="C7613" s="2">
        <v>2</v>
      </c>
      <c r="D7613" t="str">
        <f t="shared" si="118"/>
        <v>CA-2017-162929_OFF-PA-10002986</v>
      </c>
      <c r="E7613" t="str">
        <f>IF(COUNTIF(data2!$D:$D,D7613)=0,"Missing in Data2","Present")</f>
        <v>Present</v>
      </c>
    </row>
    <row r="7614" spans="1:5" x14ac:dyDescent="0.25">
      <c r="A7614" s="2" t="s">
        <v>5770</v>
      </c>
      <c r="B7614" s="2" t="s">
        <v>1571</v>
      </c>
      <c r="C7614" s="2">
        <v>2</v>
      </c>
      <c r="D7614" t="str">
        <f t="shared" si="118"/>
        <v>CA-2017-162936_TEC-AC-10003614</v>
      </c>
      <c r="E7614" t="str">
        <f>IF(COUNTIF(data2!$D:$D,D7614)=0,"Missing in Data2","Present")</f>
        <v>Missing in Data2</v>
      </c>
    </row>
    <row r="7615" spans="1:5" x14ac:dyDescent="0.25">
      <c r="A7615" s="2" t="s">
        <v>5771</v>
      </c>
      <c r="B7615" s="2" t="s">
        <v>1806</v>
      </c>
      <c r="C7615" s="2">
        <v>1</v>
      </c>
      <c r="D7615" t="str">
        <f t="shared" si="118"/>
        <v>CA-2017-162978_FUR-TA-10003473</v>
      </c>
      <c r="E7615" t="str">
        <f>IF(COUNTIF(data2!$D:$D,D7615)=0,"Missing in Data2","Present")</f>
        <v>Present</v>
      </c>
    </row>
    <row r="7616" spans="1:5" x14ac:dyDescent="0.25">
      <c r="A7616" s="2" t="s">
        <v>5771</v>
      </c>
      <c r="B7616" s="2" t="s">
        <v>2694</v>
      </c>
      <c r="C7616" s="2">
        <v>3</v>
      </c>
      <c r="D7616" t="str">
        <f t="shared" si="118"/>
        <v>CA-2017-162978_OFF-PA-10002250</v>
      </c>
      <c r="E7616" t="str">
        <f>IF(COUNTIF(data2!$D:$D,D7616)=0,"Missing in Data2","Present")</f>
        <v>Present</v>
      </c>
    </row>
    <row r="7617" spans="1:5" x14ac:dyDescent="0.25">
      <c r="A7617" s="2" t="s">
        <v>5772</v>
      </c>
      <c r="B7617" s="2" t="s">
        <v>1578</v>
      </c>
      <c r="C7617" s="2">
        <v>3</v>
      </c>
      <c r="D7617" t="str">
        <f t="shared" si="118"/>
        <v>CA-2017-163006_FUR-CH-10000229</v>
      </c>
      <c r="E7617" t="str">
        <f>IF(COUNTIF(data2!$D:$D,D7617)=0,"Missing in Data2","Present")</f>
        <v>Present</v>
      </c>
    </row>
    <row r="7618" spans="1:5" x14ac:dyDescent="0.25">
      <c r="A7618" s="2" t="s">
        <v>5772</v>
      </c>
      <c r="B7618" s="2" t="s">
        <v>2021</v>
      </c>
      <c r="C7618" s="2">
        <v>2</v>
      </c>
      <c r="D7618" t="str">
        <f t="shared" si="118"/>
        <v>CA-2017-163006_FUR-FU-10003799</v>
      </c>
      <c r="E7618" t="str">
        <f>IF(COUNTIF(data2!$D:$D,D7618)=0,"Missing in Data2","Present")</f>
        <v>Present</v>
      </c>
    </row>
    <row r="7619" spans="1:5" x14ac:dyDescent="0.25">
      <c r="A7619" s="2" t="s">
        <v>5772</v>
      </c>
      <c r="B7619" s="2" t="s">
        <v>1486</v>
      </c>
      <c r="C7619" s="2">
        <v>2</v>
      </c>
      <c r="D7619" t="str">
        <f t="shared" ref="D7619:D7682" si="119">A7619&amp;"_"&amp;B7619</f>
        <v>CA-2017-163006_TEC-PH-10002584</v>
      </c>
      <c r="E7619" t="str">
        <f>IF(COUNTIF(data2!$D:$D,D7619)=0,"Missing in Data2","Present")</f>
        <v>Present</v>
      </c>
    </row>
    <row r="7620" spans="1:5" x14ac:dyDescent="0.25">
      <c r="A7620" s="2" t="s">
        <v>5773</v>
      </c>
      <c r="B7620" s="2" t="s">
        <v>339</v>
      </c>
      <c r="C7620" s="2">
        <v>7</v>
      </c>
      <c r="D7620" t="str">
        <f t="shared" si="119"/>
        <v>CA-2017-163020_FUR-FU-10000221</v>
      </c>
      <c r="E7620" t="str">
        <f>IF(COUNTIF(data2!$D:$D,D7620)=0,"Missing in Data2","Present")</f>
        <v>Present</v>
      </c>
    </row>
    <row r="7621" spans="1:5" x14ac:dyDescent="0.25">
      <c r="A7621" s="2" t="s">
        <v>5774</v>
      </c>
      <c r="B7621" s="2" t="s">
        <v>4080</v>
      </c>
      <c r="C7621" s="2">
        <v>3</v>
      </c>
      <c r="D7621" t="str">
        <f t="shared" si="119"/>
        <v>CA-2017-163069_OFF-AR-10001419</v>
      </c>
      <c r="E7621" t="str">
        <f>IF(COUNTIF(data2!$D:$D,D7621)=0,"Missing in Data2","Present")</f>
        <v>Present</v>
      </c>
    </row>
    <row r="7622" spans="1:5" x14ac:dyDescent="0.25">
      <c r="A7622" s="2" t="s">
        <v>5775</v>
      </c>
      <c r="B7622" s="2" t="s">
        <v>2310</v>
      </c>
      <c r="C7622" s="2">
        <v>8</v>
      </c>
      <c r="D7622" t="str">
        <f t="shared" si="119"/>
        <v>CA-2017-163097_FUR-FU-10004973</v>
      </c>
      <c r="E7622" t="str">
        <f>IF(COUNTIF(data2!$D:$D,D7622)=0,"Missing in Data2","Present")</f>
        <v>Present</v>
      </c>
    </row>
    <row r="7623" spans="1:5" x14ac:dyDescent="0.25">
      <c r="A7623" s="2" t="s">
        <v>5776</v>
      </c>
      <c r="B7623" s="2" t="s">
        <v>3277</v>
      </c>
      <c r="C7623" s="2">
        <v>3</v>
      </c>
      <c r="D7623" t="str">
        <f t="shared" si="119"/>
        <v>CA-2017-163125_FUR-CH-10001802</v>
      </c>
      <c r="E7623" t="str">
        <f>IF(COUNTIF(data2!$D:$D,D7623)=0,"Missing in Data2","Present")</f>
        <v>Present</v>
      </c>
    </row>
    <row r="7624" spans="1:5" x14ac:dyDescent="0.25">
      <c r="A7624" s="2" t="s">
        <v>5776</v>
      </c>
      <c r="B7624" s="2" t="s">
        <v>1544</v>
      </c>
      <c r="C7624" s="2">
        <v>7</v>
      </c>
      <c r="D7624" t="str">
        <f t="shared" si="119"/>
        <v>CA-2017-163125_OFF-AR-10004344</v>
      </c>
      <c r="E7624" t="str">
        <f>IF(COUNTIF(data2!$D:$D,D7624)=0,"Missing in Data2","Present")</f>
        <v>Present</v>
      </c>
    </row>
    <row r="7625" spans="1:5" x14ac:dyDescent="0.25">
      <c r="A7625" s="2" t="s">
        <v>5777</v>
      </c>
      <c r="B7625" s="2" t="s">
        <v>2342</v>
      </c>
      <c r="C7625" s="2">
        <v>5</v>
      </c>
      <c r="D7625" t="str">
        <f t="shared" si="119"/>
        <v>CA-2017-163139_OFF-BI-10003460</v>
      </c>
      <c r="E7625" t="str">
        <f>IF(COUNTIF(data2!$D:$D,D7625)=0,"Missing in Data2","Present")</f>
        <v>Present</v>
      </c>
    </row>
    <row r="7626" spans="1:5" x14ac:dyDescent="0.25">
      <c r="A7626" s="2" t="s">
        <v>5777</v>
      </c>
      <c r="B7626" s="2" t="s">
        <v>3758</v>
      </c>
      <c r="C7626" s="2">
        <v>3</v>
      </c>
      <c r="D7626" t="str">
        <f t="shared" si="119"/>
        <v>CA-2017-163139_OFF-ST-10002790</v>
      </c>
      <c r="E7626" t="str">
        <f>IF(COUNTIF(data2!$D:$D,D7626)=0,"Missing in Data2","Present")</f>
        <v>Present</v>
      </c>
    </row>
    <row r="7627" spans="1:5" x14ac:dyDescent="0.25">
      <c r="A7627" s="2" t="s">
        <v>5777</v>
      </c>
      <c r="B7627" s="2" t="s">
        <v>406</v>
      </c>
      <c r="C7627" s="2">
        <v>3</v>
      </c>
      <c r="D7627" t="str">
        <f t="shared" si="119"/>
        <v>CA-2017-163139_TEC-AC-10000290</v>
      </c>
      <c r="E7627" t="str">
        <f>IF(COUNTIF(data2!$D:$D,D7627)=0,"Missing in Data2","Present")</f>
        <v>Present</v>
      </c>
    </row>
    <row r="7628" spans="1:5" x14ac:dyDescent="0.25">
      <c r="A7628" s="2" t="s">
        <v>5778</v>
      </c>
      <c r="B7628" s="2" t="s">
        <v>1071</v>
      </c>
      <c r="C7628" s="2">
        <v>3</v>
      </c>
      <c r="D7628" t="str">
        <f t="shared" si="119"/>
        <v>CA-2017-163160_FUR-FU-10001424</v>
      </c>
      <c r="E7628" t="str">
        <f>IF(COUNTIF(data2!$D:$D,D7628)=0,"Missing in Data2","Present")</f>
        <v>Present</v>
      </c>
    </row>
    <row r="7629" spans="1:5" x14ac:dyDescent="0.25">
      <c r="A7629" s="2" t="s">
        <v>5778</v>
      </c>
      <c r="B7629" s="2" t="s">
        <v>2358</v>
      </c>
      <c r="C7629" s="2">
        <v>4</v>
      </c>
      <c r="D7629" t="str">
        <f t="shared" si="119"/>
        <v>CA-2017-163160_OFF-BI-10000778</v>
      </c>
      <c r="E7629" t="str">
        <f>IF(COUNTIF(data2!$D:$D,D7629)=0,"Missing in Data2","Present")</f>
        <v>Present</v>
      </c>
    </row>
    <row r="7630" spans="1:5" x14ac:dyDescent="0.25">
      <c r="A7630" s="2" t="s">
        <v>5778</v>
      </c>
      <c r="B7630" s="2" t="s">
        <v>4712</v>
      </c>
      <c r="C7630" s="2">
        <v>3</v>
      </c>
      <c r="D7630" t="str">
        <f t="shared" si="119"/>
        <v>CA-2017-163160_OFF-PA-10003127</v>
      </c>
      <c r="E7630" t="str">
        <f>IF(COUNTIF(data2!$D:$D,D7630)=0,"Missing in Data2","Present")</f>
        <v>Present</v>
      </c>
    </row>
    <row r="7631" spans="1:5" x14ac:dyDescent="0.25">
      <c r="A7631" s="2" t="s">
        <v>5779</v>
      </c>
      <c r="B7631" s="2" t="s">
        <v>1651</v>
      </c>
      <c r="C7631" s="2">
        <v>9</v>
      </c>
      <c r="D7631" t="str">
        <f t="shared" si="119"/>
        <v>CA-2017-163188_OFF-BI-10000756</v>
      </c>
      <c r="E7631" t="str">
        <f>IF(COUNTIF(data2!$D:$D,D7631)=0,"Missing in Data2","Present")</f>
        <v>Present</v>
      </c>
    </row>
    <row r="7632" spans="1:5" x14ac:dyDescent="0.25">
      <c r="A7632" s="2" t="s">
        <v>5780</v>
      </c>
      <c r="B7632" s="2" t="s">
        <v>971</v>
      </c>
      <c r="C7632" s="2">
        <v>7</v>
      </c>
      <c r="D7632" t="str">
        <f t="shared" si="119"/>
        <v>CA-2017-163209_OFF-AR-10003651</v>
      </c>
      <c r="E7632" t="str">
        <f>IF(COUNTIF(data2!$D:$D,D7632)=0,"Missing in Data2","Present")</f>
        <v>Present</v>
      </c>
    </row>
    <row r="7633" spans="1:5" x14ac:dyDescent="0.25">
      <c r="A7633" s="2" t="s">
        <v>5780</v>
      </c>
      <c r="B7633" s="2" t="s">
        <v>1378</v>
      </c>
      <c r="C7633" s="2">
        <v>4</v>
      </c>
      <c r="D7633" t="str">
        <f t="shared" si="119"/>
        <v>CA-2017-163209_OFF-PA-10001166</v>
      </c>
      <c r="E7633" t="str">
        <f>IF(COUNTIF(data2!$D:$D,D7633)=0,"Missing in Data2","Present")</f>
        <v>Present</v>
      </c>
    </row>
    <row r="7634" spans="1:5" x14ac:dyDescent="0.25">
      <c r="A7634" s="2" t="s">
        <v>5781</v>
      </c>
      <c r="B7634" s="2" t="s">
        <v>181</v>
      </c>
      <c r="C7634" s="2">
        <v>3</v>
      </c>
      <c r="D7634" t="str">
        <f t="shared" si="119"/>
        <v>CA-2017-163265_FUR-CH-10004063</v>
      </c>
      <c r="E7634" t="str">
        <f>IF(COUNTIF(data2!$D:$D,D7634)=0,"Missing in Data2","Present")</f>
        <v>Missing in Data2</v>
      </c>
    </row>
    <row r="7635" spans="1:5" x14ac:dyDescent="0.25">
      <c r="A7635" s="2" t="s">
        <v>5781</v>
      </c>
      <c r="B7635" s="2" t="s">
        <v>461</v>
      </c>
      <c r="C7635" s="2">
        <v>1</v>
      </c>
      <c r="D7635" t="str">
        <f t="shared" si="119"/>
        <v>CA-2017-163265_FUR-FU-10004270</v>
      </c>
      <c r="E7635" t="str">
        <f>IF(COUNTIF(data2!$D:$D,D7635)=0,"Missing in Data2","Present")</f>
        <v>Present</v>
      </c>
    </row>
    <row r="7636" spans="1:5" x14ac:dyDescent="0.25">
      <c r="A7636" s="2" t="s">
        <v>5781</v>
      </c>
      <c r="B7636" s="2" t="s">
        <v>1096</v>
      </c>
      <c r="C7636" s="2">
        <v>6</v>
      </c>
      <c r="D7636" t="str">
        <f t="shared" si="119"/>
        <v>CA-2017-163265_OFF-AR-10004078</v>
      </c>
      <c r="E7636" t="str">
        <f>IF(COUNTIF(data2!$D:$D,D7636)=0,"Missing in Data2","Present")</f>
        <v>Present</v>
      </c>
    </row>
    <row r="7637" spans="1:5" x14ac:dyDescent="0.25">
      <c r="A7637" s="2" t="s">
        <v>5781</v>
      </c>
      <c r="B7637" s="2" t="s">
        <v>417</v>
      </c>
      <c r="C7637" s="2">
        <v>2</v>
      </c>
      <c r="D7637" t="str">
        <f t="shared" si="119"/>
        <v>CA-2017-163265_OFF-FA-10004854</v>
      </c>
      <c r="E7637" t="str">
        <f>IF(COUNTIF(data2!$D:$D,D7637)=0,"Missing in Data2","Present")</f>
        <v>Present</v>
      </c>
    </row>
    <row r="7638" spans="1:5" x14ac:dyDescent="0.25">
      <c r="A7638" s="2" t="s">
        <v>5781</v>
      </c>
      <c r="B7638" s="2" t="s">
        <v>2500</v>
      </c>
      <c r="C7638" s="2">
        <v>3</v>
      </c>
      <c r="D7638" t="str">
        <f t="shared" si="119"/>
        <v>CA-2017-163265_OFF-ST-10000642</v>
      </c>
      <c r="E7638" t="str">
        <f>IF(COUNTIF(data2!$D:$D,D7638)=0,"Missing in Data2","Present")</f>
        <v>Present</v>
      </c>
    </row>
    <row r="7639" spans="1:5" x14ac:dyDescent="0.25">
      <c r="A7639" s="2" t="s">
        <v>5782</v>
      </c>
      <c r="B7639" s="2" t="s">
        <v>1133</v>
      </c>
      <c r="C7639" s="2">
        <v>1</v>
      </c>
      <c r="D7639" t="str">
        <f t="shared" si="119"/>
        <v>CA-2017-163321_TEC-AC-10004571</v>
      </c>
      <c r="E7639" t="str">
        <f>IF(COUNTIF(data2!$D:$D,D7639)=0,"Missing in Data2","Present")</f>
        <v>Present</v>
      </c>
    </row>
    <row r="7640" spans="1:5" x14ac:dyDescent="0.25">
      <c r="A7640" s="2" t="s">
        <v>5783</v>
      </c>
      <c r="B7640" s="2" t="s">
        <v>403</v>
      </c>
      <c r="C7640" s="2">
        <v>7</v>
      </c>
      <c r="D7640" t="str">
        <f t="shared" si="119"/>
        <v>CA-2017-163335_OFF-BI-10002827</v>
      </c>
      <c r="E7640" t="str">
        <f>IF(COUNTIF(data2!$D:$D,D7640)=0,"Missing in Data2","Present")</f>
        <v>Present</v>
      </c>
    </row>
    <row r="7641" spans="1:5" x14ac:dyDescent="0.25">
      <c r="A7641" s="2" t="s">
        <v>5783</v>
      </c>
      <c r="B7641" s="2" t="s">
        <v>1229</v>
      </c>
      <c r="C7641" s="2">
        <v>3</v>
      </c>
      <c r="D7641" t="str">
        <f t="shared" si="119"/>
        <v>CA-2017-163335_OFF-ST-10000885</v>
      </c>
      <c r="E7641" t="str">
        <f>IF(COUNTIF(data2!$D:$D,D7641)=0,"Missing in Data2","Present")</f>
        <v>Present</v>
      </c>
    </row>
    <row r="7642" spans="1:5" x14ac:dyDescent="0.25">
      <c r="A7642" s="2" t="s">
        <v>5784</v>
      </c>
      <c r="B7642" s="2" t="s">
        <v>2156</v>
      </c>
      <c r="C7642" s="2">
        <v>2</v>
      </c>
      <c r="D7642" t="str">
        <f t="shared" si="119"/>
        <v>CA-2017-163405_OFF-AR-10001246</v>
      </c>
      <c r="E7642" t="str">
        <f>IF(COUNTIF(data2!$D:$D,D7642)=0,"Missing in Data2","Present")</f>
        <v>Present</v>
      </c>
    </row>
    <row r="7643" spans="1:5" x14ac:dyDescent="0.25">
      <c r="A7643" s="2" t="s">
        <v>5784</v>
      </c>
      <c r="B7643" s="2" t="s">
        <v>4063</v>
      </c>
      <c r="C7643" s="2">
        <v>3</v>
      </c>
      <c r="D7643" t="str">
        <f t="shared" si="119"/>
        <v>CA-2017-163405_OFF-AR-10003811</v>
      </c>
      <c r="E7643" t="str">
        <f>IF(COUNTIF(data2!$D:$D,D7643)=0,"Missing in Data2","Present")</f>
        <v>Present</v>
      </c>
    </row>
    <row r="7644" spans="1:5" x14ac:dyDescent="0.25">
      <c r="A7644" s="2" t="s">
        <v>5785</v>
      </c>
      <c r="B7644" s="2" t="s">
        <v>370</v>
      </c>
      <c r="C7644" s="2">
        <v>5</v>
      </c>
      <c r="D7644" t="str">
        <f t="shared" si="119"/>
        <v>CA-2017-163510_FUR-CH-10001146</v>
      </c>
      <c r="E7644" t="str">
        <f>IF(COUNTIF(data2!$D:$D,D7644)=0,"Missing in Data2","Present")</f>
        <v>Present</v>
      </c>
    </row>
    <row r="7645" spans="1:5" x14ac:dyDescent="0.25">
      <c r="A7645" s="2" t="s">
        <v>5785</v>
      </c>
      <c r="B7645" s="2" t="s">
        <v>1339</v>
      </c>
      <c r="C7645" s="2">
        <v>3</v>
      </c>
      <c r="D7645" t="str">
        <f t="shared" si="119"/>
        <v>CA-2017-163510_OFF-ST-10000563</v>
      </c>
      <c r="E7645" t="str">
        <f>IF(COUNTIF(data2!$D:$D,D7645)=0,"Missing in Data2","Present")</f>
        <v>Present</v>
      </c>
    </row>
    <row r="7646" spans="1:5" x14ac:dyDescent="0.25">
      <c r="A7646" s="2" t="s">
        <v>5786</v>
      </c>
      <c r="B7646" s="2" t="s">
        <v>35</v>
      </c>
      <c r="C7646" s="2">
        <v>3</v>
      </c>
      <c r="D7646" t="str">
        <f t="shared" si="119"/>
        <v>CA-2017-163531_TEC-PH-10001425</v>
      </c>
      <c r="E7646" t="str">
        <f>IF(COUNTIF(data2!$D:$D,D7646)=0,"Missing in Data2","Present")</f>
        <v>Present</v>
      </c>
    </row>
    <row r="7647" spans="1:5" x14ac:dyDescent="0.25">
      <c r="A7647" s="2" t="s">
        <v>5787</v>
      </c>
      <c r="B7647" s="2" t="s">
        <v>1711</v>
      </c>
      <c r="C7647" s="2">
        <v>5</v>
      </c>
      <c r="D7647" t="str">
        <f t="shared" si="119"/>
        <v>CA-2017-163566_OFF-LA-10004484</v>
      </c>
      <c r="E7647" t="str">
        <f>IF(COUNTIF(data2!$D:$D,D7647)=0,"Missing in Data2","Present")</f>
        <v>Present</v>
      </c>
    </row>
    <row r="7648" spans="1:5" x14ac:dyDescent="0.25">
      <c r="A7648" s="2" t="s">
        <v>5788</v>
      </c>
      <c r="B7648" s="2" t="s">
        <v>1217</v>
      </c>
      <c r="C7648" s="2">
        <v>1</v>
      </c>
      <c r="D7648" t="str">
        <f t="shared" si="119"/>
        <v>CA-2017-163629_TEC-AC-10001539</v>
      </c>
      <c r="E7648" t="str">
        <f>IF(COUNTIF(data2!$D:$D,D7648)=0,"Missing in Data2","Present")</f>
        <v>Present</v>
      </c>
    </row>
    <row r="7649" spans="1:5" x14ac:dyDescent="0.25">
      <c r="A7649" s="2" t="s">
        <v>5788</v>
      </c>
      <c r="B7649" s="2" t="s">
        <v>4750</v>
      </c>
      <c r="C7649" s="2">
        <v>5</v>
      </c>
      <c r="D7649" t="str">
        <f t="shared" si="119"/>
        <v>CA-2017-163629_TEC-PH-10004006</v>
      </c>
      <c r="E7649" t="str">
        <f>IF(COUNTIF(data2!$D:$D,D7649)=0,"Missing in Data2","Present")</f>
        <v>Present</v>
      </c>
    </row>
    <row r="7650" spans="1:5" x14ac:dyDescent="0.25">
      <c r="A7650" s="2" t="s">
        <v>5789</v>
      </c>
      <c r="B7650" s="2" t="s">
        <v>1816</v>
      </c>
      <c r="C7650" s="2">
        <v>3</v>
      </c>
      <c r="D7650" t="str">
        <f t="shared" si="119"/>
        <v>CA-2017-163671_OFF-BI-10001679</v>
      </c>
      <c r="E7650" t="str">
        <f>IF(COUNTIF(data2!$D:$D,D7650)=0,"Missing in Data2","Present")</f>
        <v>Present</v>
      </c>
    </row>
    <row r="7651" spans="1:5" x14ac:dyDescent="0.25">
      <c r="A7651" s="2" t="s">
        <v>5790</v>
      </c>
      <c r="B7651" s="2" t="s">
        <v>485</v>
      </c>
      <c r="C7651" s="2">
        <v>3</v>
      </c>
      <c r="D7651" t="str">
        <f t="shared" si="119"/>
        <v>CA-2017-163692_OFF-BI-10003291</v>
      </c>
      <c r="E7651" t="str">
        <f>IF(COUNTIF(data2!$D:$D,D7651)=0,"Missing in Data2","Present")</f>
        <v>Present</v>
      </c>
    </row>
    <row r="7652" spans="1:5" x14ac:dyDescent="0.25">
      <c r="A7652" s="2" t="s">
        <v>5791</v>
      </c>
      <c r="B7652" s="2" t="s">
        <v>3486</v>
      </c>
      <c r="C7652" s="2">
        <v>1</v>
      </c>
      <c r="D7652" t="str">
        <f t="shared" si="119"/>
        <v>CA-2017-163818_FUR-FU-10000076</v>
      </c>
      <c r="E7652" t="str">
        <f>IF(COUNTIF(data2!$D:$D,D7652)=0,"Missing in Data2","Present")</f>
        <v>Present</v>
      </c>
    </row>
    <row r="7653" spans="1:5" x14ac:dyDescent="0.25">
      <c r="A7653" s="2" t="s">
        <v>5792</v>
      </c>
      <c r="B7653" s="2" t="s">
        <v>472</v>
      </c>
      <c r="C7653" s="2">
        <v>2</v>
      </c>
      <c r="D7653" t="str">
        <f t="shared" si="119"/>
        <v>CA-2017-163860_FUR-CH-10004698</v>
      </c>
      <c r="E7653" t="str">
        <f>IF(COUNTIF(data2!$D:$D,D7653)=0,"Missing in Data2","Present")</f>
        <v>Present</v>
      </c>
    </row>
    <row r="7654" spans="1:5" x14ac:dyDescent="0.25">
      <c r="A7654" s="2" t="s">
        <v>5792</v>
      </c>
      <c r="B7654" s="2" t="s">
        <v>2317</v>
      </c>
      <c r="C7654" s="2">
        <v>2</v>
      </c>
      <c r="D7654" t="str">
        <f t="shared" si="119"/>
        <v>CA-2017-163860_FUR-FU-10001935</v>
      </c>
      <c r="E7654" t="str">
        <f>IF(COUNTIF(data2!$D:$D,D7654)=0,"Missing in Data2","Present")</f>
        <v>Present</v>
      </c>
    </row>
    <row r="7655" spans="1:5" x14ac:dyDescent="0.25">
      <c r="A7655" s="2" t="s">
        <v>5792</v>
      </c>
      <c r="B7655" s="2" t="s">
        <v>111</v>
      </c>
      <c r="C7655" s="2">
        <v>3</v>
      </c>
      <c r="D7655" t="str">
        <f t="shared" si="119"/>
        <v>CA-2017-163860_FUR-FU-10004586</v>
      </c>
      <c r="E7655" t="str">
        <f>IF(COUNTIF(data2!$D:$D,D7655)=0,"Missing in Data2","Present")</f>
        <v>Present</v>
      </c>
    </row>
    <row r="7656" spans="1:5" x14ac:dyDescent="0.25">
      <c r="A7656" s="2" t="s">
        <v>5792</v>
      </c>
      <c r="B7656" s="2" t="s">
        <v>1272</v>
      </c>
      <c r="C7656" s="2">
        <v>5</v>
      </c>
      <c r="D7656" t="str">
        <f t="shared" si="119"/>
        <v>CA-2017-163860_OFF-BI-10003784</v>
      </c>
      <c r="E7656" t="str">
        <f>IF(COUNTIF(data2!$D:$D,D7656)=0,"Missing in Data2","Present")</f>
        <v>Present</v>
      </c>
    </row>
    <row r="7657" spans="1:5" x14ac:dyDescent="0.25">
      <c r="A7657" s="2" t="s">
        <v>5793</v>
      </c>
      <c r="B7657" s="2" t="s">
        <v>2140</v>
      </c>
      <c r="C7657" s="2">
        <v>3</v>
      </c>
      <c r="D7657" t="str">
        <f t="shared" si="119"/>
        <v>CA-2017-163874_OFF-BI-10000088</v>
      </c>
      <c r="E7657" t="str">
        <f>IF(COUNTIF(data2!$D:$D,D7657)=0,"Missing in Data2","Present")</f>
        <v>Present</v>
      </c>
    </row>
    <row r="7658" spans="1:5" x14ac:dyDescent="0.25">
      <c r="A7658" s="2" t="s">
        <v>5794</v>
      </c>
      <c r="B7658" s="2" t="s">
        <v>3543</v>
      </c>
      <c r="C7658" s="2">
        <v>6</v>
      </c>
      <c r="D7658" t="str">
        <f t="shared" si="119"/>
        <v>CA-2017-163902_TEC-AC-10000580</v>
      </c>
      <c r="E7658" t="str">
        <f>IF(COUNTIF(data2!$D:$D,D7658)=0,"Missing in Data2","Present")</f>
        <v>Present</v>
      </c>
    </row>
    <row r="7659" spans="1:5" x14ac:dyDescent="0.25">
      <c r="A7659" s="2" t="s">
        <v>5794</v>
      </c>
      <c r="B7659" s="2" t="s">
        <v>213</v>
      </c>
      <c r="C7659" s="2">
        <v>3</v>
      </c>
      <c r="D7659" t="str">
        <f t="shared" si="119"/>
        <v>CA-2017-163902_TEC-PH-10000675</v>
      </c>
      <c r="E7659" t="str">
        <f>IF(COUNTIF(data2!$D:$D,D7659)=0,"Missing in Data2","Present")</f>
        <v>Present</v>
      </c>
    </row>
    <row r="7660" spans="1:5" x14ac:dyDescent="0.25">
      <c r="A7660" s="2" t="s">
        <v>5795</v>
      </c>
      <c r="B7660" s="2" t="s">
        <v>550</v>
      </c>
      <c r="C7660" s="2">
        <v>4</v>
      </c>
      <c r="D7660" t="str">
        <f t="shared" si="119"/>
        <v>CA-2017-163979_OFF-ST-10003208</v>
      </c>
      <c r="E7660" t="str">
        <f>IF(COUNTIF(data2!$D:$D,D7660)=0,"Missing in Data2","Present")</f>
        <v>Present</v>
      </c>
    </row>
    <row r="7661" spans="1:5" x14ac:dyDescent="0.25">
      <c r="A7661" s="2" t="s">
        <v>5796</v>
      </c>
      <c r="B7661" s="2" t="s">
        <v>1319</v>
      </c>
      <c r="C7661" s="2">
        <v>7</v>
      </c>
      <c r="D7661" t="str">
        <f t="shared" si="119"/>
        <v>CA-2017-164000_OFF-AR-10003183</v>
      </c>
      <c r="E7661" t="str">
        <f>IF(COUNTIF(data2!$D:$D,D7661)=0,"Missing in Data2","Present")</f>
        <v>Present</v>
      </c>
    </row>
    <row r="7662" spans="1:5" x14ac:dyDescent="0.25">
      <c r="A7662" s="2" t="s">
        <v>5797</v>
      </c>
      <c r="B7662" s="2" t="s">
        <v>1779</v>
      </c>
      <c r="C7662" s="2">
        <v>14</v>
      </c>
      <c r="D7662" t="str">
        <f t="shared" si="119"/>
        <v>CA-2017-164028_TEC-AC-10001772</v>
      </c>
      <c r="E7662" t="str">
        <f>IF(COUNTIF(data2!$D:$D,D7662)=0,"Missing in Data2","Present")</f>
        <v>Missing in Data2</v>
      </c>
    </row>
    <row r="7663" spans="1:5" x14ac:dyDescent="0.25">
      <c r="A7663" s="2" t="s">
        <v>5798</v>
      </c>
      <c r="B7663" s="2" t="s">
        <v>2280</v>
      </c>
      <c r="C7663" s="2">
        <v>5</v>
      </c>
      <c r="D7663" t="str">
        <f t="shared" si="119"/>
        <v>CA-2017-164042_OFF-AP-10001947</v>
      </c>
      <c r="E7663" t="str">
        <f>IF(COUNTIF(data2!$D:$D,D7663)=0,"Missing in Data2","Present")</f>
        <v>Present</v>
      </c>
    </row>
    <row r="7664" spans="1:5" x14ac:dyDescent="0.25">
      <c r="A7664" s="2" t="s">
        <v>5798</v>
      </c>
      <c r="B7664" s="2" t="s">
        <v>2648</v>
      </c>
      <c r="C7664" s="2">
        <v>1</v>
      </c>
      <c r="D7664" t="str">
        <f t="shared" si="119"/>
        <v>CA-2017-164042_OFF-BI-10001922</v>
      </c>
      <c r="E7664" t="str">
        <f>IF(COUNTIF(data2!$D:$D,D7664)=0,"Missing in Data2","Present")</f>
        <v>Present</v>
      </c>
    </row>
    <row r="7665" spans="1:5" x14ac:dyDescent="0.25">
      <c r="A7665" s="2" t="s">
        <v>5798</v>
      </c>
      <c r="B7665" s="2" t="s">
        <v>430</v>
      </c>
      <c r="C7665" s="2">
        <v>2</v>
      </c>
      <c r="D7665" t="str">
        <f t="shared" si="119"/>
        <v>CA-2017-164042_OFF-FA-10000840</v>
      </c>
      <c r="E7665" t="str">
        <f>IF(COUNTIF(data2!$D:$D,D7665)=0,"Missing in Data2","Present")</f>
        <v>Present</v>
      </c>
    </row>
    <row r="7666" spans="1:5" x14ac:dyDescent="0.25">
      <c r="A7666" s="2" t="s">
        <v>5798</v>
      </c>
      <c r="B7666" s="2" t="s">
        <v>1585</v>
      </c>
      <c r="C7666" s="2">
        <v>3</v>
      </c>
      <c r="D7666" t="str">
        <f t="shared" si="119"/>
        <v>CA-2017-164042_OFF-ST-10002301</v>
      </c>
      <c r="E7666" t="str">
        <f>IF(COUNTIF(data2!$D:$D,D7666)=0,"Missing in Data2","Present")</f>
        <v>Present</v>
      </c>
    </row>
    <row r="7667" spans="1:5" x14ac:dyDescent="0.25">
      <c r="A7667" s="2" t="s">
        <v>5799</v>
      </c>
      <c r="B7667" s="2" t="s">
        <v>3814</v>
      </c>
      <c r="C7667" s="2">
        <v>5</v>
      </c>
      <c r="D7667" t="str">
        <f t="shared" si="119"/>
        <v>CA-2017-164049_OFF-PA-10000791</v>
      </c>
      <c r="E7667" t="str">
        <f>IF(COUNTIF(data2!$D:$D,D7667)=0,"Missing in Data2","Present")</f>
        <v>Present</v>
      </c>
    </row>
    <row r="7668" spans="1:5" x14ac:dyDescent="0.25">
      <c r="A7668" s="2" t="s">
        <v>5800</v>
      </c>
      <c r="B7668" s="2" t="s">
        <v>1443</v>
      </c>
      <c r="C7668" s="2">
        <v>2</v>
      </c>
      <c r="D7668" t="str">
        <f t="shared" si="119"/>
        <v>CA-2017-164098_OFF-ST-10000615</v>
      </c>
      <c r="E7668" t="str">
        <f>IF(COUNTIF(data2!$D:$D,D7668)=0,"Missing in Data2","Present")</f>
        <v>Present</v>
      </c>
    </row>
    <row r="7669" spans="1:5" x14ac:dyDescent="0.25">
      <c r="A7669" s="2" t="s">
        <v>5801</v>
      </c>
      <c r="B7669" s="2" t="s">
        <v>790</v>
      </c>
      <c r="C7669" s="2">
        <v>7</v>
      </c>
      <c r="D7669" t="str">
        <f t="shared" si="119"/>
        <v>CA-2017-164112_OFF-ST-10002615</v>
      </c>
      <c r="E7669" t="str">
        <f>IF(COUNTIF(data2!$D:$D,D7669)=0,"Missing in Data2","Present")</f>
        <v>Present</v>
      </c>
    </row>
    <row r="7670" spans="1:5" x14ac:dyDescent="0.25">
      <c r="A7670" s="2" t="s">
        <v>5802</v>
      </c>
      <c r="B7670" s="2" t="s">
        <v>1411</v>
      </c>
      <c r="C7670" s="2">
        <v>3</v>
      </c>
      <c r="D7670" t="str">
        <f t="shared" si="119"/>
        <v>CA-2017-164168_FUR-FU-10001756</v>
      </c>
      <c r="E7670" t="str">
        <f>IF(COUNTIF(data2!$D:$D,D7670)=0,"Missing in Data2","Present")</f>
        <v>Present</v>
      </c>
    </row>
    <row r="7671" spans="1:5" x14ac:dyDescent="0.25">
      <c r="A7671" s="2" t="s">
        <v>5802</v>
      </c>
      <c r="B7671" s="2" t="s">
        <v>687</v>
      </c>
      <c r="C7671" s="2">
        <v>5</v>
      </c>
      <c r="D7671" t="str">
        <f t="shared" si="119"/>
        <v>CA-2017-164168_OFF-BI-10000666</v>
      </c>
      <c r="E7671" t="str">
        <f>IF(COUNTIF(data2!$D:$D,D7671)=0,"Missing in Data2","Present")</f>
        <v>Present</v>
      </c>
    </row>
    <row r="7672" spans="1:5" x14ac:dyDescent="0.25">
      <c r="A7672" s="2" t="s">
        <v>5802</v>
      </c>
      <c r="B7672" s="2" t="s">
        <v>909</v>
      </c>
      <c r="C7672" s="2">
        <v>2</v>
      </c>
      <c r="D7672" t="str">
        <f t="shared" si="119"/>
        <v>CA-2017-164168_OFF-EN-10001219</v>
      </c>
      <c r="E7672" t="str">
        <f>IF(COUNTIF(data2!$D:$D,D7672)=0,"Missing in Data2","Present")</f>
        <v>Present</v>
      </c>
    </row>
    <row r="7673" spans="1:5" x14ac:dyDescent="0.25">
      <c r="A7673" s="2" t="s">
        <v>5802</v>
      </c>
      <c r="B7673" s="2" t="s">
        <v>1268</v>
      </c>
      <c r="C7673" s="2">
        <v>3</v>
      </c>
      <c r="D7673" t="str">
        <f t="shared" si="119"/>
        <v>CA-2017-164168_OFF-ST-10002583</v>
      </c>
      <c r="E7673" t="str">
        <f>IF(COUNTIF(data2!$D:$D,D7673)=0,"Missing in Data2","Present")</f>
        <v>Present</v>
      </c>
    </row>
    <row r="7674" spans="1:5" x14ac:dyDescent="0.25">
      <c r="A7674" s="2" t="s">
        <v>5802</v>
      </c>
      <c r="B7674" s="2" t="s">
        <v>2609</v>
      </c>
      <c r="C7674" s="2">
        <v>2</v>
      </c>
      <c r="D7674" t="str">
        <f t="shared" si="119"/>
        <v>CA-2017-164168_TEC-AC-10004568</v>
      </c>
      <c r="E7674" t="str">
        <f>IF(COUNTIF(data2!$D:$D,D7674)=0,"Missing in Data2","Present")</f>
        <v>Missing in Data2</v>
      </c>
    </row>
    <row r="7675" spans="1:5" x14ac:dyDescent="0.25">
      <c r="A7675" s="2" t="s">
        <v>5802</v>
      </c>
      <c r="B7675" s="2" t="s">
        <v>2563</v>
      </c>
      <c r="C7675" s="2">
        <v>1</v>
      </c>
      <c r="D7675" t="str">
        <f t="shared" si="119"/>
        <v>CA-2017-164168_TEC-PH-10004908</v>
      </c>
      <c r="E7675" t="str">
        <f>IF(COUNTIF(data2!$D:$D,D7675)=0,"Missing in Data2","Present")</f>
        <v>Present</v>
      </c>
    </row>
    <row r="7676" spans="1:5" x14ac:dyDescent="0.25">
      <c r="A7676" s="2" t="s">
        <v>5803</v>
      </c>
      <c r="B7676" s="2" t="s">
        <v>81</v>
      </c>
      <c r="C7676" s="2">
        <v>2</v>
      </c>
      <c r="D7676" t="str">
        <f t="shared" si="119"/>
        <v>CA-2017-164329_OFF-ST-10001511</v>
      </c>
      <c r="E7676" t="str">
        <f>IF(COUNTIF(data2!$D:$D,D7676)=0,"Missing in Data2","Present")</f>
        <v>Present</v>
      </c>
    </row>
    <row r="7677" spans="1:5" x14ac:dyDescent="0.25">
      <c r="A7677" s="2" t="s">
        <v>5804</v>
      </c>
      <c r="B7677" s="2" t="s">
        <v>4152</v>
      </c>
      <c r="C7677" s="2">
        <v>3</v>
      </c>
      <c r="D7677" t="str">
        <f t="shared" si="119"/>
        <v>CA-2017-164364_OFF-AR-10000315</v>
      </c>
      <c r="E7677" t="str">
        <f>IF(COUNTIF(data2!$D:$D,D7677)=0,"Missing in Data2","Present")</f>
        <v>Present</v>
      </c>
    </row>
    <row r="7678" spans="1:5" x14ac:dyDescent="0.25">
      <c r="A7678" s="2" t="s">
        <v>5804</v>
      </c>
      <c r="B7678" s="2" t="s">
        <v>1803</v>
      </c>
      <c r="C7678" s="2">
        <v>2</v>
      </c>
      <c r="D7678" t="str">
        <f t="shared" si="119"/>
        <v>CA-2017-164364_OFF-LA-10004853</v>
      </c>
      <c r="E7678" t="str">
        <f>IF(COUNTIF(data2!$D:$D,D7678)=0,"Missing in Data2","Present")</f>
        <v>Present</v>
      </c>
    </row>
    <row r="7679" spans="1:5" x14ac:dyDescent="0.25">
      <c r="A7679" s="2" t="s">
        <v>5804</v>
      </c>
      <c r="B7679" s="2" t="s">
        <v>1822</v>
      </c>
      <c r="C7679" s="2">
        <v>3</v>
      </c>
      <c r="D7679" t="str">
        <f t="shared" si="119"/>
        <v>CA-2017-164364_OFF-SU-10000381</v>
      </c>
      <c r="E7679" t="str">
        <f>IF(COUNTIF(data2!$D:$D,D7679)=0,"Missing in Data2","Present")</f>
        <v>Present</v>
      </c>
    </row>
    <row r="7680" spans="1:5" x14ac:dyDescent="0.25">
      <c r="A7680" s="2" t="s">
        <v>5805</v>
      </c>
      <c r="B7680" s="2" t="s">
        <v>1978</v>
      </c>
      <c r="C7680" s="2">
        <v>6</v>
      </c>
      <c r="D7680" t="str">
        <f t="shared" si="119"/>
        <v>CA-2017-164378_FUR-CH-10002084</v>
      </c>
      <c r="E7680" t="str">
        <f>IF(COUNTIF(data2!$D:$D,D7680)=0,"Missing in Data2","Present")</f>
        <v>Present</v>
      </c>
    </row>
    <row r="7681" spans="1:5" x14ac:dyDescent="0.25">
      <c r="A7681" s="2" t="s">
        <v>5805</v>
      </c>
      <c r="B7681" s="2" t="s">
        <v>5447</v>
      </c>
      <c r="C7681" s="2">
        <v>2</v>
      </c>
      <c r="D7681" t="str">
        <f t="shared" si="119"/>
        <v>CA-2017-164378_OFF-AR-10001177</v>
      </c>
      <c r="E7681" t="str">
        <f>IF(COUNTIF(data2!$D:$D,D7681)=0,"Missing in Data2","Present")</f>
        <v>Present</v>
      </c>
    </row>
    <row r="7682" spans="1:5" x14ac:dyDescent="0.25">
      <c r="A7682" s="2" t="s">
        <v>5805</v>
      </c>
      <c r="B7682" s="2" t="s">
        <v>1504</v>
      </c>
      <c r="C7682" s="2">
        <v>3</v>
      </c>
      <c r="D7682" t="str">
        <f t="shared" si="119"/>
        <v>CA-2017-164378_OFF-LA-10000634</v>
      </c>
      <c r="E7682" t="str">
        <f>IF(COUNTIF(data2!$D:$D,D7682)=0,"Missing in Data2","Present")</f>
        <v>Present</v>
      </c>
    </row>
    <row r="7683" spans="1:5" x14ac:dyDescent="0.25">
      <c r="A7683" s="2" t="s">
        <v>5805</v>
      </c>
      <c r="B7683" s="2" t="s">
        <v>588</v>
      </c>
      <c r="C7683" s="2">
        <v>2</v>
      </c>
      <c r="D7683" t="str">
        <f t="shared" ref="D7683:D7746" si="120">A7683&amp;"_"&amp;B7683</f>
        <v>CA-2017-164378_OFF-PA-10004519</v>
      </c>
      <c r="E7683" t="str">
        <f>IF(COUNTIF(data2!$D:$D,D7683)=0,"Missing in Data2","Present")</f>
        <v>Present</v>
      </c>
    </row>
    <row r="7684" spans="1:5" x14ac:dyDescent="0.25">
      <c r="A7684" s="2" t="s">
        <v>5806</v>
      </c>
      <c r="B7684" s="2" t="s">
        <v>3232</v>
      </c>
      <c r="C7684" s="2">
        <v>2</v>
      </c>
      <c r="D7684" t="str">
        <f t="shared" si="120"/>
        <v>CA-2017-164707_OFF-LA-10004345</v>
      </c>
      <c r="E7684" t="str">
        <f>IF(COUNTIF(data2!$D:$D,D7684)=0,"Missing in Data2","Present")</f>
        <v>Present</v>
      </c>
    </row>
    <row r="7685" spans="1:5" x14ac:dyDescent="0.25">
      <c r="A7685" s="2" t="s">
        <v>5806</v>
      </c>
      <c r="B7685" s="2" t="s">
        <v>497</v>
      </c>
      <c r="C7685" s="2">
        <v>3</v>
      </c>
      <c r="D7685" t="str">
        <f t="shared" si="120"/>
        <v>CA-2017-164707_TEC-AC-10004864</v>
      </c>
      <c r="E7685" t="str">
        <f>IF(COUNTIF(data2!$D:$D,D7685)=0,"Missing in Data2","Present")</f>
        <v>Present</v>
      </c>
    </row>
    <row r="7686" spans="1:5" x14ac:dyDescent="0.25">
      <c r="A7686" s="2" t="s">
        <v>5806</v>
      </c>
      <c r="B7686" s="2" t="s">
        <v>4307</v>
      </c>
      <c r="C7686" s="2">
        <v>3</v>
      </c>
      <c r="D7686" t="str">
        <f t="shared" si="120"/>
        <v>CA-2017-164707_TEC-PH-10001924</v>
      </c>
      <c r="E7686" t="str">
        <f>IF(COUNTIF(data2!$D:$D,D7686)=0,"Missing in Data2","Present")</f>
        <v>Present</v>
      </c>
    </row>
    <row r="7687" spans="1:5" x14ac:dyDescent="0.25">
      <c r="A7687" s="2" t="s">
        <v>5807</v>
      </c>
      <c r="B7687" s="2" t="s">
        <v>2472</v>
      </c>
      <c r="C7687" s="2">
        <v>4</v>
      </c>
      <c r="D7687" t="str">
        <f t="shared" si="120"/>
        <v>CA-2017-164756_FUR-FU-10002963</v>
      </c>
      <c r="E7687" t="str">
        <f>IF(COUNTIF(data2!$D:$D,D7687)=0,"Missing in Data2","Present")</f>
        <v>Present</v>
      </c>
    </row>
    <row r="7688" spans="1:5" x14ac:dyDescent="0.25">
      <c r="A7688" s="2" t="s">
        <v>5807</v>
      </c>
      <c r="B7688" s="2" t="s">
        <v>23</v>
      </c>
      <c r="C7688" s="2">
        <v>3</v>
      </c>
      <c r="D7688" t="str">
        <f t="shared" si="120"/>
        <v>CA-2017-164756_OFF-AR-10000380</v>
      </c>
      <c r="E7688" t="str">
        <f>IF(COUNTIF(data2!$D:$D,D7688)=0,"Missing in Data2","Present")</f>
        <v>Present</v>
      </c>
    </row>
    <row r="7689" spans="1:5" x14ac:dyDescent="0.25">
      <c r="A7689" s="2" t="s">
        <v>5807</v>
      </c>
      <c r="B7689" s="2" t="s">
        <v>5161</v>
      </c>
      <c r="C7689" s="2">
        <v>7</v>
      </c>
      <c r="D7689" t="str">
        <f t="shared" si="120"/>
        <v>CA-2017-164756_OFF-PA-10000673</v>
      </c>
      <c r="E7689" t="str">
        <f>IF(COUNTIF(data2!$D:$D,D7689)=0,"Missing in Data2","Present")</f>
        <v>Present</v>
      </c>
    </row>
    <row r="7690" spans="1:5" x14ac:dyDescent="0.25">
      <c r="A7690" s="2" t="s">
        <v>5807</v>
      </c>
      <c r="B7690" s="2" t="s">
        <v>1052</v>
      </c>
      <c r="C7690" s="2">
        <v>5</v>
      </c>
      <c r="D7690" t="str">
        <f t="shared" si="120"/>
        <v>CA-2017-164756_OFF-PA-10003228</v>
      </c>
      <c r="E7690" t="str">
        <f>IF(COUNTIF(data2!$D:$D,D7690)=0,"Missing in Data2","Present")</f>
        <v>Present</v>
      </c>
    </row>
    <row r="7691" spans="1:5" x14ac:dyDescent="0.25">
      <c r="A7691" s="2" t="s">
        <v>5807</v>
      </c>
      <c r="B7691" s="2" t="s">
        <v>3048</v>
      </c>
      <c r="C7691" s="2">
        <v>2</v>
      </c>
      <c r="D7691" t="str">
        <f t="shared" si="120"/>
        <v>CA-2017-164756_OFF-SU-10004261</v>
      </c>
      <c r="E7691" t="str">
        <f>IF(COUNTIF(data2!$D:$D,D7691)=0,"Missing in Data2","Present")</f>
        <v>Missing in Data2</v>
      </c>
    </row>
    <row r="7692" spans="1:5" x14ac:dyDescent="0.25">
      <c r="A7692" s="2" t="s">
        <v>5807</v>
      </c>
      <c r="B7692" s="2" t="s">
        <v>924</v>
      </c>
      <c r="C7692" s="2">
        <v>8</v>
      </c>
      <c r="D7692" t="str">
        <f t="shared" si="120"/>
        <v>CA-2017-164756_TEC-PH-10001552</v>
      </c>
      <c r="E7692" t="str">
        <f>IF(COUNTIF(data2!$D:$D,D7692)=0,"Missing in Data2","Present")</f>
        <v>Present</v>
      </c>
    </row>
    <row r="7693" spans="1:5" x14ac:dyDescent="0.25">
      <c r="A7693" s="2" t="s">
        <v>5807</v>
      </c>
      <c r="B7693" s="2" t="s">
        <v>3279</v>
      </c>
      <c r="C7693" s="2">
        <v>2</v>
      </c>
      <c r="D7693" t="str">
        <f t="shared" si="120"/>
        <v>CA-2017-164756_TEC-PH-10002447</v>
      </c>
      <c r="E7693" t="str">
        <f>IF(COUNTIF(data2!$D:$D,D7693)=0,"Missing in Data2","Present")</f>
        <v>Present</v>
      </c>
    </row>
    <row r="7694" spans="1:5" x14ac:dyDescent="0.25">
      <c r="A7694" s="2" t="s">
        <v>5808</v>
      </c>
      <c r="B7694" s="2" t="s">
        <v>1623</v>
      </c>
      <c r="C7694" s="2">
        <v>5</v>
      </c>
      <c r="D7694" t="str">
        <f t="shared" si="120"/>
        <v>CA-2017-164819_OFF-LA-10001045</v>
      </c>
      <c r="E7694" t="str">
        <f>IF(COUNTIF(data2!$D:$D,D7694)=0,"Missing in Data2","Present")</f>
        <v>Present</v>
      </c>
    </row>
    <row r="7695" spans="1:5" x14ac:dyDescent="0.25">
      <c r="A7695" s="2" t="s">
        <v>5809</v>
      </c>
      <c r="B7695" s="2" t="s">
        <v>2648</v>
      </c>
      <c r="C7695" s="2">
        <v>7</v>
      </c>
      <c r="D7695" t="str">
        <f t="shared" si="120"/>
        <v>CA-2017-164826_OFF-BI-10001922</v>
      </c>
      <c r="E7695" t="str">
        <f>IF(COUNTIF(data2!$D:$D,D7695)=0,"Missing in Data2","Present")</f>
        <v>Present</v>
      </c>
    </row>
    <row r="7696" spans="1:5" x14ac:dyDescent="0.25">
      <c r="A7696" s="2" t="s">
        <v>5809</v>
      </c>
      <c r="B7696" s="2" t="s">
        <v>685</v>
      </c>
      <c r="C7696" s="2">
        <v>4</v>
      </c>
      <c r="D7696" t="str">
        <f t="shared" si="120"/>
        <v>CA-2017-164826_OFF-FA-10000585</v>
      </c>
      <c r="E7696" t="str">
        <f>IF(COUNTIF(data2!$D:$D,D7696)=0,"Missing in Data2","Present")</f>
        <v>Present</v>
      </c>
    </row>
    <row r="7697" spans="1:5" x14ac:dyDescent="0.25">
      <c r="A7697" s="2" t="s">
        <v>5809</v>
      </c>
      <c r="B7697" s="2" t="s">
        <v>3420</v>
      </c>
      <c r="C7697" s="2">
        <v>7</v>
      </c>
      <c r="D7697" t="str">
        <f t="shared" si="120"/>
        <v>CA-2017-164826_OFF-LA-10001297</v>
      </c>
      <c r="E7697" t="str">
        <f>IF(COUNTIF(data2!$D:$D,D7697)=0,"Missing in Data2","Present")</f>
        <v>Present</v>
      </c>
    </row>
    <row r="7698" spans="1:5" x14ac:dyDescent="0.25">
      <c r="A7698" s="2" t="s">
        <v>5809</v>
      </c>
      <c r="B7698" s="2" t="s">
        <v>1918</v>
      </c>
      <c r="C7698" s="2">
        <v>3</v>
      </c>
      <c r="D7698" t="str">
        <f t="shared" si="120"/>
        <v>CA-2017-164826_TEC-PH-10000347</v>
      </c>
      <c r="E7698" t="str">
        <f>IF(COUNTIF(data2!$D:$D,D7698)=0,"Missing in Data2","Present")</f>
        <v>Present</v>
      </c>
    </row>
    <row r="7699" spans="1:5" x14ac:dyDescent="0.25">
      <c r="A7699" s="2" t="s">
        <v>5810</v>
      </c>
      <c r="B7699" s="2" t="s">
        <v>1544</v>
      </c>
      <c r="C7699" s="2">
        <v>5</v>
      </c>
      <c r="D7699" t="str">
        <f t="shared" si="120"/>
        <v>CA-2017-164917_OFF-AR-10004344</v>
      </c>
      <c r="E7699" t="str">
        <f>IF(COUNTIF(data2!$D:$D,D7699)=0,"Missing in Data2","Present")</f>
        <v>Present</v>
      </c>
    </row>
    <row r="7700" spans="1:5" x14ac:dyDescent="0.25">
      <c r="A7700" s="2" t="s">
        <v>5811</v>
      </c>
      <c r="B7700" s="2" t="s">
        <v>5812</v>
      </c>
      <c r="C7700" s="2">
        <v>3</v>
      </c>
      <c r="D7700" t="str">
        <f t="shared" si="120"/>
        <v>CA-2017-164959_OFF-LA-10004272</v>
      </c>
      <c r="E7700" t="str">
        <f>IF(COUNTIF(data2!$D:$D,D7700)=0,"Missing in Data2","Present")</f>
        <v>Present</v>
      </c>
    </row>
    <row r="7701" spans="1:5" x14ac:dyDescent="0.25">
      <c r="A7701" s="2" t="s">
        <v>5813</v>
      </c>
      <c r="B7701" s="2" t="s">
        <v>1483</v>
      </c>
      <c r="C7701" s="2">
        <v>9</v>
      </c>
      <c r="D7701" t="str">
        <f t="shared" si="120"/>
        <v>CA-2017-165008_OFF-BI-10002794</v>
      </c>
      <c r="E7701" t="str">
        <f>IF(COUNTIF(data2!$D:$D,D7701)=0,"Missing in Data2","Present")</f>
        <v>Present</v>
      </c>
    </row>
    <row r="7702" spans="1:5" x14ac:dyDescent="0.25">
      <c r="A7702" s="2" t="s">
        <v>5814</v>
      </c>
      <c r="B7702" s="2" t="s">
        <v>574</v>
      </c>
      <c r="C7702" s="2">
        <v>3</v>
      </c>
      <c r="D7702" t="str">
        <f t="shared" si="120"/>
        <v>CA-2017-165029_OFF-AR-10003504</v>
      </c>
      <c r="E7702" t="str">
        <f>IF(COUNTIF(data2!$D:$D,D7702)=0,"Missing in Data2","Present")</f>
        <v>Present</v>
      </c>
    </row>
    <row r="7703" spans="1:5" x14ac:dyDescent="0.25">
      <c r="A7703" s="2" t="s">
        <v>5815</v>
      </c>
      <c r="B7703" s="2" t="s">
        <v>526</v>
      </c>
      <c r="C7703" s="2">
        <v>2</v>
      </c>
      <c r="D7703" t="str">
        <f t="shared" si="120"/>
        <v>CA-2017-165099_OFF-AP-10001634</v>
      </c>
      <c r="E7703" t="str">
        <f>IF(COUNTIF(data2!$D:$D,D7703)=0,"Missing in Data2","Present")</f>
        <v>Present</v>
      </c>
    </row>
    <row r="7704" spans="1:5" x14ac:dyDescent="0.25">
      <c r="A7704" s="2" t="s">
        <v>5816</v>
      </c>
      <c r="B7704" s="2" t="s">
        <v>45</v>
      </c>
      <c r="C7704" s="2">
        <v>1</v>
      </c>
      <c r="D7704" t="str">
        <f t="shared" si="120"/>
        <v>CA-2017-165155_OFF-ST-10004950</v>
      </c>
      <c r="E7704" t="str">
        <f>IF(COUNTIF(data2!$D:$D,D7704)=0,"Missing in Data2","Present")</f>
        <v>Present</v>
      </c>
    </row>
    <row r="7705" spans="1:5" x14ac:dyDescent="0.25">
      <c r="A7705" s="2" t="s">
        <v>5817</v>
      </c>
      <c r="B7705" s="2" t="s">
        <v>4970</v>
      </c>
      <c r="C7705" s="2">
        <v>3</v>
      </c>
      <c r="D7705" t="str">
        <f t="shared" si="120"/>
        <v>CA-2017-165204_OFF-PA-10003424</v>
      </c>
      <c r="E7705" t="str">
        <f>IF(COUNTIF(data2!$D:$D,D7705)=0,"Missing in Data2","Present")</f>
        <v>Present</v>
      </c>
    </row>
    <row r="7706" spans="1:5" x14ac:dyDescent="0.25">
      <c r="A7706" s="2" t="s">
        <v>5817</v>
      </c>
      <c r="B7706" s="2" t="s">
        <v>495</v>
      </c>
      <c r="C7706" s="2">
        <v>4</v>
      </c>
      <c r="D7706" t="str">
        <f t="shared" si="120"/>
        <v>CA-2017-165204_OFF-ST-10003716</v>
      </c>
      <c r="E7706" t="str">
        <f>IF(COUNTIF(data2!$D:$D,D7706)=0,"Missing in Data2","Present")</f>
        <v>Present</v>
      </c>
    </row>
    <row r="7707" spans="1:5" x14ac:dyDescent="0.25">
      <c r="A7707" s="2" t="s">
        <v>5818</v>
      </c>
      <c r="B7707" s="2" t="s">
        <v>5819</v>
      </c>
      <c r="C7707" s="2">
        <v>3</v>
      </c>
      <c r="D7707" t="str">
        <f t="shared" si="120"/>
        <v>CA-2017-165323_TEC-AC-10004992</v>
      </c>
      <c r="E7707" t="str">
        <f>IF(COUNTIF(data2!$D:$D,D7707)=0,"Missing in Data2","Present")</f>
        <v>Present</v>
      </c>
    </row>
    <row r="7708" spans="1:5" x14ac:dyDescent="0.25">
      <c r="A7708" s="2" t="s">
        <v>5818</v>
      </c>
      <c r="B7708" s="2" t="s">
        <v>5820</v>
      </c>
      <c r="C7708" s="2">
        <v>5</v>
      </c>
      <c r="D7708" t="str">
        <f t="shared" si="120"/>
        <v>CA-2017-165323_TEC-MA-10003673</v>
      </c>
      <c r="E7708" t="str">
        <f>IF(COUNTIF(data2!$D:$D,D7708)=0,"Missing in Data2","Present")</f>
        <v>Missing in Data2</v>
      </c>
    </row>
    <row r="7709" spans="1:5" x14ac:dyDescent="0.25">
      <c r="A7709" s="2" t="s">
        <v>5821</v>
      </c>
      <c r="B7709" s="2" t="s">
        <v>1562</v>
      </c>
      <c r="C7709" s="2">
        <v>2</v>
      </c>
      <c r="D7709" t="str">
        <f t="shared" si="120"/>
        <v>CA-2017-165386_FUR-BO-10003034</v>
      </c>
      <c r="E7709" t="str">
        <f>IF(COUNTIF(data2!$D:$D,D7709)=0,"Missing in Data2","Present")</f>
        <v>Present</v>
      </c>
    </row>
    <row r="7710" spans="1:5" x14ac:dyDescent="0.25">
      <c r="A7710" s="2" t="s">
        <v>5822</v>
      </c>
      <c r="B7710" s="2" t="s">
        <v>2665</v>
      </c>
      <c r="C7710" s="2">
        <v>7</v>
      </c>
      <c r="D7710" t="str">
        <f t="shared" si="120"/>
        <v>CA-2017-165491_TEC-AC-10000358</v>
      </c>
      <c r="E7710" t="str">
        <f>IF(COUNTIF(data2!$D:$D,D7710)=0,"Missing in Data2","Present")</f>
        <v>Present</v>
      </c>
    </row>
    <row r="7711" spans="1:5" x14ac:dyDescent="0.25">
      <c r="A7711" s="2" t="s">
        <v>5823</v>
      </c>
      <c r="B7711" s="2" t="s">
        <v>3176</v>
      </c>
      <c r="C7711" s="2">
        <v>2</v>
      </c>
      <c r="D7711" t="str">
        <f t="shared" si="120"/>
        <v>CA-2017-165603_OFF-PA-10002552</v>
      </c>
      <c r="E7711" t="str">
        <f>IF(COUNTIF(data2!$D:$D,D7711)=0,"Missing in Data2","Present")</f>
        <v>Present</v>
      </c>
    </row>
    <row r="7712" spans="1:5" x14ac:dyDescent="0.25">
      <c r="A7712" s="2" t="s">
        <v>5823</v>
      </c>
      <c r="B7712" s="2" t="s">
        <v>295</v>
      </c>
      <c r="C7712" s="2">
        <v>2</v>
      </c>
      <c r="D7712" t="str">
        <f t="shared" si="120"/>
        <v>CA-2017-165603_OFF-ST-10000798</v>
      </c>
      <c r="E7712" t="str">
        <f>IF(COUNTIF(data2!$D:$D,D7712)=0,"Missing in Data2","Present")</f>
        <v>Present</v>
      </c>
    </row>
    <row r="7713" spans="1:5" x14ac:dyDescent="0.25">
      <c r="A7713" s="2" t="s">
        <v>5824</v>
      </c>
      <c r="B7713" s="2" t="s">
        <v>3906</v>
      </c>
      <c r="C7713" s="2">
        <v>2</v>
      </c>
      <c r="D7713" t="str">
        <f t="shared" si="120"/>
        <v>CA-2017-165687_OFF-AP-10004036</v>
      </c>
      <c r="E7713" t="str">
        <f>IF(COUNTIF(data2!$D:$D,D7713)=0,"Missing in Data2","Present")</f>
        <v>Present</v>
      </c>
    </row>
    <row r="7714" spans="1:5" x14ac:dyDescent="0.25">
      <c r="A7714" s="2" t="s">
        <v>5825</v>
      </c>
      <c r="B7714" s="2" t="s">
        <v>2903</v>
      </c>
      <c r="C7714" s="2">
        <v>1</v>
      </c>
      <c r="D7714" t="str">
        <f t="shared" si="120"/>
        <v>CA-2017-165715_OFF-AR-10003903</v>
      </c>
      <c r="E7714" t="str">
        <f>IF(COUNTIF(data2!$D:$D,D7714)=0,"Missing in Data2","Present")</f>
        <v>Present</v>
      </c>
    </row>
    <row r="7715" spans="1:5" x14ac:dyDescent="0.25">
      <c r="A7715" s="2" t="s">
        <v>5826</v>
      </c>
      <c r="B7715" s="2" t="s">
        <v>2000</v>
      </c>
      <c r="C7715" s="2">
        <v>3</v>
      </c>
      <c r="D7715" t="str">
        <f t="shared" si="120"/>
        <v>CA-2017-165757_OFF-BI-10003166</v>
      </c>
      <c r="E7715" t="str">
        <f>IF(COUNTIF(data2!$D:$D,D7715)=0,"Missing in Data2","Present")</f>
        <v>Present</v>
      </c>
    </row>
    <row r="7716" spans="1:5" x14ac:dyDescent="0.25">
      <c r="A7716" s="2" t="s">
        <v>5826</v>
      </c>
      <c r="B7716" s="2" t="s">
        <v>1117</v>
      </c>
      <c r="C7716" s="2">
        <v>5</v>
      </c>
      <c r="D7716" t="str">
        <f t="shared" si="120"/>
        <v>CA-2017-165757_OFF-BI-10003982</v>
      </c>
      <c r="E7716" t="str">
        <f>IF(COUNTIF(data2!$D:$D,D7716)=0,"Missing in Data2","Present")</f>
        <v>Present</v>
      </c>
    </row>
    <row r="7717" spans="1:5" x14ac:dyDescent="0.25">
      <c r="A7717" s="2" t="s">
        <v>5826</v>
      </c>
      <c r="B7717" s="2" t="s">
        <v>4726</v>
      </c>
      <c r="C7717" s="2">
        <v>2</v>
      </c>
      <c r="D7717" t="str">
        <f t="shared" si="120"/>
        <v>CA-2017-165757_OFF-ST-10004835</v>
      </c>
      <c r="E7717" t="str">
        <f>IF(COUNTIF(data2!$D:$D,D7717)=0,"Missing in Data2","Present")</f>
        <v>Present</v>
      </c>
    </row>
    <row r="7718" spans="1:5" x14ac:dyDescent="0.25">
      <c r="A7718" s="2" t="s">
        <v>5827</v>
      </c>
      <c r="B7718" s="2" t="s">
        <v>623</v>
      </c>
      <c r="C7718" s="2">
        <v>3</v>
      </c>
      <c r="D7718" t="str">
        <f t="shared" si="120"/>
        <v>CA-2017-165841_OFF-PA-10001144</v>
      </c>
      <c r="E7718" t="str">
        <f>IF(COUNTIF(data2!$D:$D,D7718)=0,"Missing in Data2","Present")</f>
        <v>Present</v>
      </c>
    </row>
    <row r="7719" spans="1:5" x14ac:dyDescent="0.25">
      <c r="A7719" s="2" t="s">
        <v>5827</v>
      </c>
      <c r="B7719" s="2" t="s">
        <v>1850</v>
      </c>
      <c r="C7719" s="2">
        <v>5</v>
      </c>
      <c r="D7719" t="str">
        <f t="shared" si="120"/>
        <v>CA-2017-165841_OFF-SU-10000898</v>
      </c>
      <c r="E7719" t="str">
        <f>IF(COUNTIF(data2!$D:$D,D7719)=0,"Missing in Data2","Present")</f>
        <v>Present</v>
      </c>
    </row>
    <row r="7720" spans="1:5" x14ac:dyDescent="0.25">
      <c r="A7720" s="2" t="s">
        <v>5827</v>
      </c>
      <c r="B7720" s="2" t="s">
        <v>1425</v>
      </c>
      <c r="C7720" s="2">
        <v>3</v>
      </c>
      <c r="D7720" t="str">
        <f t="shared" si="120"/>
        <v>CA-2017-165841_TEC-PH-10002103</v>
      </c>
      <c r="E7720" t="str">
        <f>IF(COUNTIF(data2!$D:$D,D7720)=0,"Missing in Data2","Present")</f>
        <v>Present</v>
      </c>
    </row>
    <row r="7721" spans="1:5" x14ac:dyDescent="0.25">
      <c r="A7721" s="2" t="s">
        <v>5828</v>
      </c>
      <c r="B7721" s="2" t="s">
        <v>222</v>
      </c>
      <c r="C7721" s="2">
        <v>2</v>
      </c>
      <c r="D7721" t="str">
        <f t="shared" si="120"/>
        <v>CA-2017-165904_OFF-AR-10003156</v>
      </c>
      <c r="E7721" t="str">
        <f>IF(COUNTIF(data2!$D:$D,D7721)=0,"Missing in Data2","Present")</f>
        <v>Present</v>
      </c>
    </row>
    <row r="7722" spans="1:5" x14ac:dyDescent="0.25">
      <c r="A7722" s="2" t="s">
        <v>5828</v>
      </c>
      <c r="B7722" s="2" t="s">
        <v>199</v>
      </c>
      <c r="C7722" s="2">
        <v>2</v>
      </c>
      <c r="D7722" t="str">
        <f t="shared" si="120"/>
        <v>CA-2017-165904_TEC-PH-10000576</v>
      </c>
      <c r="E7722" t="str">
        <f>IF(COUNTIF(data2!$D:$D,D7722)=0,"Missing in Data2","Present")</f>
        <v>Present</v>
      </c>
    </row>
    <row r="7723" spans="1:5" x14ac:dyDescent="0.25">
      <c r="A7723" s="2" t="s">
        <v>5829</v>
      </c>
      <c r="B7723" s="2" t="s">
        <v>3770</v>
      </c>
      <c r="C7723" s="2">
        <v>9</v>
      </c>
      <c r="D7723" t="str">
        <f t="shared" si="120"/>
        <v>CA-2017-166093_OFF-AP-10001058</v>
      </c>
      <c r="E7723" t="str">
        <f>IF(COUNTIF(data2!$D:$D,D7723)=0,"Missing in Data2","Present")</f>
        <v>Present</v>
      </c>
    </row>
    <row r="7724" spans="1:5" x14ac:dyDescent="0.25">
      <c r="A7724" s="2" t="s">
        <v>5829</v>
      </c>
      <c r="B7724" s="2" t="s">
        <v>423</v>
      </c>
      <c r="C7724" s="2">
        <v>3</v>
      </c>
      <c r="D7724" t="str">
        <f t="shared" si="120"/>
        <v>CA-2017-166093_OFF-BI-10000174</v>
      </c>
      <c r="E7724" t="str">
        <f>IF(COUNTIF(data2!$D:$D,D7724)=0,"Missing in Data2","Present")</f>
        <v>Present</v>
      </c>
    </row>
    <row r="7725" spans="1:5" x14ac:dyDescent="0.25">
      <c r="A7725" s="2" t="s">
        <v>5829</v>
      </c>
      <c r="B7725" s="2" t="s">
        <v>271</v>
      </c>
      <c r="C7725" s="2">
        <v>8</v>
      </c>
      <c r="D7725" t="str">
        <f t="shared" si="120"/>
        <v>CA-2017-166093_OFF-BI-10004230</v>
      </c>
      <c r="E7725" t="str">
        <f>IF(COUNTIF(data2!$D:$D,D7725)=0,"Missing in Data2","Present")</f>
        <v>Present</v>
      </c>
    </row>
    <row r="7726" spans="1:5" x14ac:dyDescent="0.25">
      <c r="A7726" s="2" t="s">
        <v>5829</v>
      </c>
      <c r="B7726" s="2" t="s">
        <v>860</v>
      </c>
      <c r="C7726" s="2">
        <v>2</v>
      </c>
      <c r="D7726" t="str">
        <f t="shared" si="120"/>
        <v>CA-2017-166093_OFF-EN-10003134</v>
      </c>
      <c r="E7726" t="str">
        <f>IF(COUNTIF(data2!$D:$D,D7726)=0,"Missing in Data2","Present")</f>
        <v>Present</v>
      </c>
    </row>
    <row r="7727" spans="1:5" x14ac:dyDescent="0.25">
      <c r="A7727" s="2" t="s">
        <v>5829</v>
      </c>
      <c r="B7727" s="2" t="s">
        <v>3013</v>
      </c>
      <c r="C7727" s="2">
        <v>2</v>
      </c>
      <c r="D7727" t="str">
        <f t="shared" si="120"/>
        <v>CA-2017-166093_OFF-PA-10003893</v>
      </c>
      <c r="E7727" t="str">
        <f>IF(COUNTIF(data2!$D:$D,D7727)=0,"Missing in Data2","Present")</f>
        <v>Present</v>
      </c>
    </row>
    <row r="7728" spans="1:5" x14ac:dyDescent="0.25">
      <c r="A7728" s="2" t="s">
        <v>5829</v>
      </c>
      <c r="B7728" s="2" t="s">
        <v>258</v>
      </c>
      <c r="C7728" s="2">
        <v>3</v>
      </c>
      <c r="D7728" t="str">
        <f t="shared" si="120"/>
        <v>CA-2017-166093_OFF-ST-10001496</v>
      </c>
      <c r="E7728" t="str">
        <f>IF(COUNTIF(data2!$D:$D,D7728)=0,"Missing in Data2","Present")</f>
        <v>Present</v>
      </c>
    </row>
    <row r="7729" spans="1:5" x14ac:dyDescent="0.25">
      <c r="A7729" s="2" t="s">
        <v>5829</v>
      </c>
      <c r="B7729" s="2" t="s">
        <v>2159</v>
      </c>
      <c r="C7729" s="2">
        <v>3</v>
      </c>
      <c r="D7729" t="str">
        <f t="shared" si="120"/>
        <v>CA-2017-166093_TEC-PH-10002564</v>
      </c>
      <c r="E7729" t="str">
        <f>IF(COUNTIF(data2!$D:$D,D7729)=0,"Missing in Data2","Present")</f>
        <v>Present</v>
      </c>
    </row>
    <row r="7730" spans="1:5" x14ac:dyDescent="0.25">
      <c r="A7730" s="2" t="s">
        <v>5830</v>
      </c>
      <c r="B7730" s="2" t="s">
        <v>5831</v>
      </c>
      <c r="C7730" s="2">
        <v>7</v>
      </c>
      <c r="D7730" t="str">
        <f t="shared" si="120"/>
        <v>CA-2017-166128_OFF-AR-10001221</v>
      </c>
      <c r="E7730" t="str">
        <f>IF(COUNTIF(data2!$D:$D,D7730)=0,"Missing in Data2","Present")</f>
        <v>Present</v>
      </c>
    </row>
    <row r="7731" spans="1:5" x14ac:dyDescent="0.25">
      <c r="A7731" s="2" t="s">
        <v>5830</v>
      </c>
      <c r="B7731" s="2" t="s">
        <v>1904</v>
      </c>
      <c r="C7731" s="2">
        <v>5</v>
      </c>
      <c r="D7731" t="str">
        <f t="shared" si="120"/>
        <v>CA-2017-166128_TEC-AC-10001767</v>
      </c>
      <c r="E7731" t="str">
        <f>IF(COUNTIF(data2!$D:$D,D7731)=0,"Missing in Data2","Present")</f>
        <v>Present</v>
      </c>
    </row>
    <row r="7732" spans="1:5" x14ac:dyDescent="0.25">
      <c r="A7732" s="2" t="s">
        <v>5832</v>
      </c>
      <c r="B7732" s="2" t="s">
        <v>37</v>
      </c>
      <c r="C7732" s="2">
        <v>3</v>
      </c>
      <c r="D7732" t="str">
        <f t="shared" si="120"/>
        <v>CA-2017-166142_FUR-TA-10004607</v>
      </c>
      <c r="E7732" t="str">
        <f>IF(COUNTIF(data2!$D:$D,D7732)=0,"Missing in Data2","Present")</f>
        <v>Present</v>
      </c>
    </row>
    <row r="7733" spans="1:5" x14ac:dyDescent="0.25">
      <c r="A7733" s="2" t="s">
        <v>5832</v>
      </c>
      <c r="B7733" s="2" t="s">
        <v>442</v>
      </c>
      <c r="C7733" s="2">
        <v>3</v>
      </c>
      <c r="D7733" t="str">
        <f t="shared" si="120"/>
        <v>CA-2017-166142_OFF-BI-10004094</v>
      </c>
      <c r="E7733" t="str">
        <f>IF(COUNTIF(data2!$D:$D,D7733)=0,"Missing in Data2","Present")</f>
        <v>Present</v>
      </c>
    </row>
    <row r="7734" spans="1:5" x14ac:dyDescent="0.25">
      <c r="A7734" s="2" t="s">
        <v>5833</v>
      </c>
      <c r="B7734" s="2" t="s">
        <v>858</v>
      </c>
      <c r="C7734" s="2">
        <v>3</v>
      </c>
      <c r="D7734" t="str">
        <f t="shared" si="120"/>
        <v>CA-2017-166184_FUR-CH-10003396</v>
      </c>
      <c r="E7734" t="str">
        <f>IF(COUNTIF(data2!$D:$D,D7734)=0,"Missing in Data2","Present")</f>
        <v>Present</v>
      </c>
    </row>
    <row r="7735" spans="1:5" x14ac:dyDescent="0.25">
      <c r="A7735" s="2" t="s">
        <v>5833</v>
      </c>
      <c r="B7735" s="2" t="s">
        <v>1494</v>
      </c>
      <c r="C7735" s="2">
        <v>3</v>
      </c>
      <c r="D7735" t="str">
        <f t="shared" si="120"/>
        <v>CA-2017-166184_OFF-EN-10004483</v>
      </c>
      <c r="E7735" t="str">
        <f>IF(COUNTIF(data2!$D:$D,D7735)=0,"Missing in Data2","Present")</f>
        <v>Present</v>
      </c>
    </row>
    <row r="7736" spans="1:5" x14ac:dyDescent="0.25">
      <c r="A7736" s="2" t="s">
        <v>5833</v>
      </c>
      <c r="B7736" s="2" t="s">
        <v>3339</v>
      </c>
      <c r="C7736" s="2">
        <v>1</v>
      </c>
      <c r="D7736" t="str">
        <f t="shared" si="120"/>
        <v>CA-2017-166184_TEC-PH-10002624</v>
      </c>
      <c r="E7736" t="str">
        <f>IF(COUNTIF(data2!$D:$D,D7736)=0,"Missing in Data2","Present")</f>
        <v>Present</v>
      </c>
    </row>
    <row r="7737" spans="1:5" x14ac:dyDescent="0.25">
      <c r="A7737" s="2" t="s">
        <v>5834</v>
      </c>
      <c r="B7737" s="2" t="s">
        <v>5835</v>
      </c>
      <c r="C7737" s="2">
        <v>3</v>
      </c>
      <c r="D7737" t="str">
        <f t="shared" si="120"/>
        <v>CA-2017-166198_FUR-FU-10004622</v>
      </c>
      <c r="E7737" t="str">
        <f>IF(COUNTIF(data2!$D:$D,D7737)=0,"Missing in Data2","Present")</f>
        <v>Present</v>
      </c>
    </row>
    <row r="7738" spans="1:5" x14ac:dyDescent="0.25">
      <c r="A7738" s="2" t="s">
        <v>5834</v>
      </c>
      <c r="B7738" s="2" t="s">
        <v>1976</v>
      </c>
      <c r="C7738" s="2">
        <v>1</v>
      </c>
      <c r="D7738" t="str">
        <f t="shared" si="120"/>
        <v>CA-2017-166198_TEC-AC-10000521</v>
      </c>
      <c r="E7738" t="str">
        <f>IF(COUNTIF(data2!$D:$D,D7738)=0,"Missing in Data2","Present")</f>
        <v>Missing in Data2</v>
      </c>
    </row>
    <row r="7739" spans="1:5" x14ac:dyDescent="0.25">
      <c r="A7739" s="2" t="s">
        <v>5836</v>
      </c>
      <c r="B7739" s="2" t="s">
        <v>80</v>
      </c>
      <c r="C7739" s="2">
        <v>3</v>
      </c>
      <c r="D7739" t="str">
        <f t="shared" si="120"/>
        <v>CA-2017-166296_OFF-PA-10004359</v>
      </c>
      <c r="E7739" t="str">
        <f>IF(COUNTIF(data2!$D:$D,D7739)=0,"Missing in Data2","Present")</f>
        <v>Present</v>
      </c>
    </row>
    <row r="7740" spans="1:5" x14ac:dyDescent="0.25">
      <c r="A7740" s="2" t="s">
        <v>5837</v>
      </c>
      <c r="B7740" s="2" t="s">
        <v>1582</v>
      </c>
      <c r="C7740" s="2">
        <v>8</v>
      </c>
      <c r="D7740" t="str">
        <f t="shared" si="120"/>
        <v>CA-2017-166317_OFF-BI-10002976</v>
      </c>
      <c r="E7740" t="str">
        <f>IF(COUNTIF(data2!$D:$D,D7740)=0,"Missing in Data2","Present")</f>
        <v>Missing in Data2</v>
      </c>
    </row>
    <row r="7741" spans="1:5" x14ac:dyDescent="0.25">
      <c r="A7741" s="2" t="s">
        <v>5837</v>
      </c>
      <c r="B7741" s="2" t="s">
        <v>1103</v>
      </c>
      <c r="C7741" s="2">
        <v>4</v>
      </c>
      <c r="D7741" t="str">
        <f t="shared" si="120"/>
        <v>CA-2017-166317_OFF-PA-10004475</v>
      </c>
      <c r="E7741" t="str">
        <f>IF(COUNTIF(data2!$D:$D,D7741)=0,"Missing in Data2","Present")</f>
        <v>Present</v>
      </c>
    </row>
    <row r="7742" spans="1:5" x14ac:dyDescent="0.25">
      <c r="A7742" s="2" t="s">
        <v>5837</v>
      </c>
      <c r="B7742" s="2" t="s">
        <v>676</v>
      </c>
      <c r="C7742" s="2">
        <v>6</v>
      </c>
      <c r="D7742" t="str">
        <f t="shared" si="120"/>
        <v>CA-2017-166317_TEC-AC-10004510</v>
      </c>
      <c r="E7742" t="str">
        <f>IF(COUNTIF(data2!$D:$D,D7742)=0,"Missing in Data2","Present")</f>
        <v>Present</v>
      </c>
    </row>
    <row r="7743" spans="1:5" x14ac:dyDescent="0.25">
      <c r="A7743" s="2" t="s">
        <v>5837</v>
      </c>
      <c r="B7743" s="2" t="s">
        <v>107</v>
      </c>
      <c r="C7743" s="2">
        <v>3</v>
      </c>
      <c r="D7743" t="str">
        <f t="shared" si="120"/>
        <v>CA-2017-166317_TEC-PH-10001615</v>
      </c>
      <c r="E7743" t="str">
        <f>IF(COUNTIF(data2!$D:$D,D7743)=0,"Missing in Data2","Present")</f>
        <v>Present</v>
      </c>
    </row>
    <row r="7744" spans="1:5" x14ac:dyDescent="0.25">
      <c r="A7744" s="2" t="s">
        <v>5838</v>
      </c>
      <c r="B7744" s="2" t="s">
        <v>2834</v>
      </c>
      <c r="C7744" s="2">
        <v>3</v>
      </c>
      <c r="D7744" t="str">
        <f t="shared" si="120"/>
        <v>CA-2017-166415_OFF-FA-10004968</v>
      </c>
      <c r="E7744" t="str">
        <f>IF(COUNTIF(data2!$D:$D,D7744)=0,"Missing in Data2","Present")</f>
        <v>Present</v>
      </c>
    </row>
    <row r="7745" spans="1:5" x14ac:dyDescent="0.25">
      <c r="A7745" s="2" t="s">
        <v>5839</v>
      </c>
      <c r="B7745" s="2" t="s">
        <v>2213</v>
      </c>
      <c r="C7745" s="2">
        <v>6</v>
      </c>
      <c r="D7745" t="str">
        <f t="shared" si="120"/>
        <v>CA-2017-166436_FUR-CH-10000785</v>
      </c>
      <c r="E7745" t="str">
        <f>IF(COUNTIF(data2!$D:$D,D7745)=0,"Missing in Data2","Present")</f>
        <v>Present</v>
      </c>
    </row>
    <row r="7746" spans="1:5" x14ac:dyDescent="0.25">
      <c r="A7746" s="2" t="s">
        <v>5839</v>
      </c>
      <c r="B7746" s="2" t="s">
        <v>309</v>
      </c>
      <c r="C7746" s="2">
        <v>1</v>
      </c>
      <c r="D7746" t="str">
        <f t="shared" si="120"/>
        <v>CA-2017-166436_OFF-PA-10001838</v>
      </c>
      <c r="E7746" t="str">
        <f>IF(COUNTIF(data2!$D:$D,D7746)=0,"Missing in Data2","Present")</f>
        <v>Present</v>
      </c>
    </row>
    <row r="7747" spans="1:5" x14ac:dyDescent="0.25">
      <c r="A7747" s="2" t="s">
        <v>5840</v>
      </c>
      <c r="B7747" s="2" t="s">
        <v>1903</v>
      </c>
      <c r="C7747" s="2">
        <v>3</v>
      </c>
      <c r="D7747" t="str">
        <f t="shared" ref="D7747:D7810" si="121">A7747&amp;"_"&amp;B7747</f>
        <v>CA-2017-166499_OFF-AR-10002467</v>
      </c>
      <c r="E7747" t="str">
        <f>IF(COUNTIF(data2!$D:$D,D7747)=0,"Missing in Data2","Present")</f>
        <v>Present</v>
      </c>
    </row>
    <row r="7748" spans="1:5" x14ac:dyDescent="0.25">
      <c r="A7748" s="2" t="s">
        <v>5841</v>
      </c>
      <c r="B7748" s="2" t="s">
        <v>116</v>
      </c>
      <c r="C7748" s="2">
        <v>2</v>
      </c>
      <c r="D7748" t="str">
        <f t="shared" si="121"/>
        <v>CA-2017-166576_OFF-ST-10002574</v>
      </c>
      <c r="E7748" t="str">
        <f>IF(COUNTIF(data2!$D:$D,D7748)=0,"Missing in Data2","Present")</f>
        <v>Present</v>
      </c>
    </row>
    <row r="7749" spans="1:5" x14ac:dyDescent="0.25">
      <c r="A7749" s="2" t="s">
        <v>5842</v>
      </c>
      <c r="B7749" s="2" t="s">
        <v>1119</v>
      </c>
      <c r="C7749" s="2">
        <v>8</v>
      </c>
      <c r="D7749" t="str">
        <f t="shared" si="121"/>
        <v>CA-2017-166695_FUR-CH-10000225</v>
      </c>
      <c r="E7749" t="str">
        <f>IF(COUNTIF(data2!$D:$D,D7749)=0,"Missing in Data2","Present")</f>
        <v>Missing in Data2</v>
      </c>
    </row>
    <row r="7750" spans="1:5" x14ac:dyDescent="0.25">
      <c r="A7750" s="2" t="s">
        <v>5842</v>
      </c>
      <c r="B7750" s="2" t="s">
        <v>1452</v>
      </c>
      <c r="C7750" s="2">
        <v>1</v>
      </c>
      <c r="D7750" t="str">
        <f t="shared" si="121"/>
        <v>CA-2017-166695_FUR-FU-10002191</v>
      </c>
      <c r="E7750" t="str">
        <f>IF(COUNTIF(data2!$D:$D,D7750)=0,"Missing in Data2","Present")</f>
        <v>Present</v>
      </c>
    </row>
    <row r="7751" spans="1:5" x14ac:dyDescent="0.25">
      <c r="A7751" s="2" t="s">
        <v>5842</v>
      </c>
      <c r="B7751" s="2" t="s">
        <v>4237</v>
      </c>
      <c r="C7751" s="2">
        <v>1</v>
      </c>
      <c r="D7751" t="str">
        <f t="shared" si="121"/>
        <v>CA-2017-166695_TEC-MA-10003176</v>
      </c>
      <c r="E7751" t="str">
        <f>IF(COUNTIF(data2!$D:$D,D7751)=0,"Missing in Data2","Present")</f>
        <v>Present</v>
      </c>
    </row>
    <row r="7752" spans="1:5" x14ac:dyDescent="0.25">
      <c r="A7752" s="2" t="s">
        <v>5843</v>
      </c>
      <c r="B7752" s="2" t="s">
        <v>3527</v>
      </c>
      <c r="C7752" s="2">
        <v>3</v>
      </c>
      <c r="D7752" t="str">
        <f t="shared" si="121"/>
        <v>CA-2017-166709_TEC-CO-10004722</v>
      </c>
      <c r="E7752" t="str">
        <f>IF(COUNTIF(data2!$D:$D,D7752)=0,"Missing in Data2","Present")</f>
        <v>Present</v>
      </c>
    </row>
    <row r="7753" spans="1:5" x14ac:dyDescent="0.25">
      <c r="A7753" s="2" t="s">
        <v>5844</v>
      </c>
      <c r="B7753" s="2" t="s">
        <v>116</v>
      </c>
      <c r="C7753" s="2">
        <v>2</v>
      </c>
      <c r="D7753" t="str">
        <f t="shared" si="121"/>
        <v>CA-2017-166835_OFF-ST-10002574</v>
      </c>
      <c r="E7753" t="str">
        <f>IF(COUNTIF(data2!$D:$D,D7753)=0,"Missing in Data2","Present")</f>
        <v>Present</v>
      </c>
    </row>
    <row r="7754" spans="1:5" x14ac:dyDescent="0.25">
      <c r="A7754" s="2" t="s">
        <v>5845</v>
      </c>
      <c r="B7754" s="2" t="s">
        <v>2559</v>
      </c>
      <c r="C7754" s="2">
        <v>2</v>
      </c>
      <c r="D7754" t="str">
        <f t="shared" si="121"/>
        <v>CA-2017-166849_FUR-FU-10004597</v>
      </c>
      <c r="E7754" t="str">
        <f>IF(COUNTIF(data2!$D:$D,D7754)=0,"Missing in Data2","Present")</f>
        <v>Present</v>
      </c>
    </row>
    <row r="7755" spans="1:5" x14ac:dyDescent="0.25">
      <c r="A7755" s="2" t="s">
        <v>5846</v>
      </c>
      <c r="B7755" s="2" t="s">
        <v>1225</v>
      </c>
      <c r="C7755" s="2">
        <v>7</v>
      </c>
      <c r="D7755" t="str">
        <f t="shared" si="121"/>
        <v>CA-2017-166856_OFF-BI-10002012</v>
      </c>
      <c r="E7755" t="str">
        <f>IF(COUNTIF(data2!$D:$D,D7755)=0,"Missing in Data2","Present")</f>
        <v>Present</v>
      </c>
    </row>
    <row r="7756" spans="1:5" x14ac:dyDescent="0.25">
      <c r="A7756" s="2" t="s">
        <v>5846</v>
      </c>
      <c r="B7756" s="2" t="s">
        <v>5819</v>
      </c>
      <c r="C7756" s="2">
        <v>3</v>
      </c>
      <c r="D7756" t="str">
        <f t="shared" si="121"/>
        <v>CA-2017-166856_TEC-AC-10004992</v>
      </c>
      <c r="E7756" t="str">
        <f>IF(COUNTIF(data2!$D:$D,D7756)=0,"Missing in Data2","Present")</f>
        <v>Present</v>
      </c>
    </row>
    <row r="7757" spans="1:5" x14ac:dyDescent="0.25">
      <c r="A7757" s="2" t="s">
        <v>5847</v>
      </c>
      <c r="B7757" s="2" t="s">
        <v>1644</v>
      </c>
      <c r="C7757" s="2">
        <v>3</v>
      </c>
      <c r="D7757" t="str">
        <f t="shared" si="121"/>
        <v>CA-2017-166898_OFF-PA-10002262</v>
      </c>
      <c r="E7757" t="str">
        <f>IF(COUNTIF(data2!$D:$D,D7757)=0,"Missing in Data2","Present")</f>
        <v>Present</v>
      </c>
    </row>
    <row r="7758" spans="1:5" x14ac:dyDescent="0.25">
      <c r="A7758" s="2" t="s">
        <v>5848</v>
      </c>
      <c r="B7758" s="2" t="s">
        <v>1527</v>
      </c>
      <c r="C7758" s="2">
        <v>5</v>
      </c>
      <c r="D7758" t="str">
        <f t="shared" si="121"/>
        <v>CA-2017-166919_TEC-PH-10001305</v>
      </c>
      <c r="E7758" t="str">
        <f>IF(COUNTIF(data2!$D:$D,D7758)=0,"Missing in Data2","Present")</f>
        <v>Present</v>
      </c>
    </row>
    <row r="7759" spans="1:5" x14ac:dyDescent="0.25">
      <c r="A7759" s="2" t="s">
        <v>5849</v>
      </c>
      <c r="B7759" s="2" t="s">
        <v>2180</v>
      </c>
      <c r="C7759" s="2">
        <v>2</v>
      </c>
      <c r="D7759" t="str">
        <f t="shared" si="121"/>
        <v>CA-2017-166926_FUR-BO-10002598</v>
      </c>
      <c r="E7759" t="str">
        <f>IF(COUNTIF(data2!$D:$D,D7759)=0,"Missing in Data2","Present")</f>
        <v>Present</v>
      </c>
    </row>
    <row r="7760" spans="1:5" x14ac:dyDescent="0.25">
      <c r="A7760" s="2" t="s">
        <v>5849</v>
      </c>
      <c r="B7760" s="2" t="s">
        <v>5431</v>
      </c>
      <c r="C7760" s="2">
        <v>7</v>
      </c>
      <c r="D7760" t="str">
        <f t="shared" si="121"/>
        <v>CA-2017-166926_OFF-PA-10001593</v>
      </c>
      <c r="E7760" t="str">
        <f>IF(COUNTIF(data2!$D:$D,D7760)=0,"Missing in Data2","Present")</f>
        <v>Present</v>
      </c>
    </row>
    <row r="7761" spans="1:5" x14ac:dyDescent="0.25">
      <c r="A7761" s="2" t="s">
        <v>5850</v>
      </c>
      <c r="B7761" s="2" t="s">
        <v>420</v>
      </c>
      <c r="C7761" s="2">
        <v>1</v>
      </c>
      <c r="D7761" t="str">
        <f t="shared" si="121"/>
        <v>CA-2017-166933_OFF-FA-10002676</v>
      </c>
      <c r="E7761" t="str">
        <f>IF(COUNTIF(data2!$D:$D,D7761)=0,"Missing in Data2","Present")</f>
        <v>Present</v>
      </c>
    </row>
    <row r="7762" spans="1:5" x14ac:dyDescent="0.25">
      <c r="A7762" s="2" t="s">
        <v>5851</v>
      </c>
      <c r="B7762" s="2" t="s">
        <v>2601</v>
      </c>
      <c r="C7762" s="2">
        <v>3</v>
      </c>
      <c r="D7762" t="str">
        <f t="shared" si="121"/>
        <v>CA-2017-167003_FUR-TA-10001520</v>
      </c>
      <c r="E7762" t="str">
        <f>IF(COUNTIF(data2!$D:$D,D7762)=0,"Missing in Data2","Present")</f>
        <v>Present</v>
      </c>
    </row>
    <row r="7763" spans="1:5" x14ac:dyDescent="0.25">
      <c r="A7763" s="2" t="s">
        <v>5852</v>
      </c>
      <c r="B7763" s="2" t="s">
        <v>2150</v>
      </c>
      <c r="C7763" s="2">
        <v>2</v>
      </c>
      <c r="D7763" t="str">
        <f t="shared" si="121"/>
        <v>CA-2017-167017_OFF-SU-10001935</v>
      </c>
      <c r="E7763" t="str">
        <f>IF(COUNTIF(data2!$D:$D,D7763)=0,"Missing in Data2","Present")</f>
        <v>Present</v>
      </c>
    </row>
    <row r="7764" spans="1:5" x14ac:dyDescent="0.25">
      <c r="A7764" s="2" t="s">
        <v>5853</v>
      </c>
      <c r="B7764" s="2" t="s">
        <v>17</v>
      </c>
      <c r="C7764" s="2">
        <v>5</v>
      </c>
      <c r="D7764" t="str">
        <f t="shared" si="121"/>
        <v>CA-2017-167080_OFF-AR-10001868</v>
      </c>
      <c r="E7764" t="str">
        <f>IF(COUNTIF(data2!$D:$D,D7764)=0,"Missing in Data2","Present")</f>
        <v>Present</v>
      </c>
    </row>
    <row r="7765" spans="1:5" x14ac:dyDescent="0.25">
      <c r="A7765" s="2" t="s">
        <v>5854</v>
      </c>
      <c r="B7765" s="2" t="s">
        <v>596</v>
      </c>
      <c r="C7765" s="2">
        <v>2</v>
      </c>
      <c r="D7765" t="str">
        <f t="shared" si="121"/>
        <v>CA-2017-167094_FUR-CH-10000155</v>
      </c>
      <c r="E7765" t="str">
        <f>IF(COUNTIF(data2!$D:$D,D7765)=0,"Missing in Data2","Present")</f>
        <v>Present</v>
      </c>
    </row>
    <row r="7766" spans="1:5" x14ac:dyDescent="0.25">
      <c r="A7766" s="2" t="s">
        <v>5854</v>
      </c>
      <c r="B7766" s="2" t="s">
        <v>3471</v>
      </c>
      <c r="C7766" s="2">
        <v>1</v>
      </c>
      <c r="D7766" t="str">
        <f t="shared" si="121"/>
        <v>CA-2017-167094_OFF-PA-10003953</v>
      </c>
      <c r="E7766" t="str">
        <f>IF(COUNTIF(data2!$D:$D,D7766)=0,"Missing in Data2","Present")</f>
        <v>Present</v>
      </c>
    </row>
    <row r="7767" spans="1:5" x14ac:dyDescent="0.25">
      <c r="A7767" s="2" t="s">
        <v>5854</v>
      </c>
      <c r="B7767" s="2" t="s">
        <v>1897</v>
      </c>
      <c r="C7767" s="2">
        <v>2</v>
      </c>
      <c r="D7767" t="str">
        <f t="shared" si="121"/>
        <v>CA-2017-167094_TEC-AC-10003116</v>
      </c>
      <c r="E7767" t="str">
        <f>IF(COUNTIF(data2!$D:$D,D7767)=0,"Missing in Data2","Present")</f>
        <v>Present</v>
      </c>
    </row>
    <row r="7768" spans="1:5" x14ac:dyDescent="0.25">
      <c r="A7768" s="2" t="s">
        <v>5855</v>
      </c>
      <c r="B7768" s="2" t="s">
        <v>41</v>
      </c>
      <c r="C7768" s="2">
        <v>4</v>
      </c>
      <c r="D7768" t="str">
        <f t="shared" si="121"/>
        <v>CA-2017-167101_OFF-PA-10000357</v>
      </c>
      <c r="E7768" t="str">
        <f>IF(COUNTIF(data2!$D:$D,D7768)=0,"Missing in Data2","Present")</f>
        <v>Present</v>
      </c>
    </row>
    <row r="7769" spans="1:5" x14ac:dyDescent="0.25">
      <c r="A7769" s="2" t="s">
        <v>5855</v>
      </c>
      <c r="B7769" s="2" t="s">
        <v>1097</v>
      </c>
      <c r="C7769" s="2">
        <v>2</v>
      </c>
      <c r="D7769" t="str">
        <f t="shared" si="121"/>
        <v>CA-2017-167101_TEC-AC-10001266</v>
      </c>
      <c r="E7769" t="str">
        <f>IF(COUNTIF(data2!$D:$D,D7769)=0,"Missing in Data2","Present")</f>
        <v>Present</v>
      </c>
    </row>
    <row r="7770" spans="1:5" x14ac:dyDescent="0.25">
      <c r="A7770" s="2" t="s">
        <v>5856</v>
      </c>
      <c r="B7770" s="2" t="s">
        <v>65</v>
      </c>
      <c r="C7770" s="2">
        <v>4</v>
      </c>
      <c r="D7770" t="str">
        <f t="shared" si="121"/>
        <v>CA-2017-167150_OFF-BI-10001097</v>
      </c>
      <c r="E7770" t="str">
        <f>IF(COUNTIF(data2!$D:$D,D7770)=0,"Missing in Data2","Present")</f>
        <v>Present</v>
      </c>
    </row>
    <row r="7771" spans="1:5" x14ac:dyDescent="0.25">
      <c r="A7771" s="2" t="s">
        <v>5856</v>
      </c>
      <c r="B7771" s="2" t="s">
        <v>5</v>
      </c>
      <c r="C7771" s="2">
        <v>2</v>
      </c>
      <c r="D7771" t="str">
        <f t="shared" si="121"/>
        <v>CA-2017-167150_OFF-BI-10001597</v>
      </c>
      <c r="E7771" t="str">
        <f>IF(COUNTIF(data2!$D:$D,D7771)=0,"Missing in Data2","Present")</f>
        <v>Present</v>
      </c>
    </row>
    <row r="7772" spans="1:5" x14ac:dyDescent="0.25">
      <c r="A7772" s="2" t="s">
        <v>5857</v>
      </c>
      <c r="B7772" s="2" t="s">
        <v>309</v>
      </c>
      <c r="C7772" s="2">
        <v>2</v>
      </c>
      <c r="D7772" t="str">
        <f t="shared" si="121"/>
        <v>CA-2017-167227_OFF-PA-10001838</v>
      </c>
      <c r="E7772" t="str">
        <f>IF(COUNTIF(data2!$D:$D,D7772)=0,"Missing in Data2","Present")</f>
        <v>Present</v>
      </c>
    </row>
    <row r="7773" spans="1:5" x14ac:dyDescent="0.25">
      <c r="A7773" s="2" t="s">
        <v>5858</v>
      </c>
      <c r="B7773" s="2" t="s">
        <v>1343</v>
      </c>
      <c r="C7773" s="2">
        <v>2</v>
      </c>
      <c r="D7773" t="str">
        <f t="shared" si="121"/>
        <v>CA-2017-167381_FUR-BO-10001972</v>
      </c>
      <c r="E7773" t="str">
        <f>IF(COUNTIF(data2!$D:$D,D7773)=0,"Missing in Data2","Present")</f>
        <v>Present</v>
      </c>
    </row>
    <row r="7774" spans="1:5" x14ac:dyDescent="0.25">
      <c r="A7774" s="2" t="s">
        <v>5858</v>
      </c>
      <c r="B7774" s="2" t="s">
        <v>1874</v>
      </c>
      <c r="C7774" s="2">
        <v>9</v>
      </c>
      <c r="D7774" t="str">
        <f t="shared" si="121"/>
        <v>CA-2017-167381_OFF-LA-10000134</v>
      </c>
      <c r="E7774" t="str">
        <f>IF(COUNTIF(data2!$D:$D,D7774)=0,"Missing in Data2","Present")</f>
        <v>Present</v>
      </c>
    </row>
    <row r="7775" spans="1:5" x14ac:dyDescent="0.25">
      <c r="A7775" s="2" t="s">
        <v>5859</v>
      </c>
      <c r="B7775" s="2" t="s">
        <v>650</v>
      </c>
      <c r="C7775" s="2">
        <v>7</v>
      </c>
      <c r="D7775" t="str">
        <f t="shared" si="121"/>
        <v>CA-2017-167395_OFF-AP-10001293</v>
      </c>
      <c r="E7775" t="str">
        <f>IF(COUNTIF(data2!$D:$D,D7775)=0,"Missing in Data2","Present")</f>
        <v>Present</v>
      </c>
    </row>
    <row r="7776" spans="1:5" x14ac:dyDescent="0.25">
      <c r="A7776" s="2" t="s">
        <v>5859</v>
      </c>
      <c r="B7776" s="2" t="s">
        <v>2150</v>
      </c>
      <c r="C7776" s="2">
        <v>2</v>
      </c>
      <c r="D7776" t="str">
        <f t="shared" si="121"/>
        <v>CA-2017-167395_OFF-SU-10001935</v>
      </c>
      <c r="E7776" t="str">
        <f>IF(COUNTIF(data2!$D:$D,D7776)=0,"Missing in Data2","Present")</f>
        <v>Missing in Data2</v>
      </c>
    </row>
    <row r="7777" spans="1:5" x14ac:dyDescent="0.25">
      <c r="A7777" s="2" t="s">
        <v>5860</v>
      </c>
      <c r="B7777" s="2" t="s">
        <v>2712</v>
      </c>
      <c r="C7777" s="2">
        <v>3</v>
      </c>
      <c r="D7777" t="str">
        <f t="shared" si="121"/>
        <v>CA-2017-167542_OFF-LA-10004093</v>
      </c>
      <c r="E7777" t="str">
        <f>IF(COUNTIF(data2!$D:$D,D7777)=0,"Missing in Data2","Present")</f>
        <v>Present</v>
      </c>
    </row>
    <row r="7778" spans="1:5" x14ac:dyDescent="0.25">
      <c r="A7778" s="2" t="s">
        <v>5861</v>
      </c>
      <c r="B7778" s="2" t="s">
        <v>597</v>
      </c>
      <c r="C7778" s="2">
        <v>6</v>
      </c>
      <c r="D7778" t="str">
        <f t="shared" si="121"/>
        <v>CA-2017-167549_FUR-TA-10004767</v>
      </c>
      <c r="E7778" t="str">
        <f>IF(COUNTIF(data2!$D:$D,D7778)=0,"Missing in Data2","Present")</f>
        <v>Present</v>
      </c>
    </row>
    <row r="7779" spans="1:5" x14ac:dyDescent="0.25">
      <c r="A7779" s="2" t="s">
        <v>5862</v>
      </c>
      <c r="B7779" s="2" t="s">
        <v>4970</v>
      </c>
      <c r="C7779" s="2">
        <v>3</v>
      </c>
      <c r="D7779" t="str">
        <f t="shared" si="121"/>
        <v>CA-2017-167626_OFF-PA-10003424</v>
      </c>
      <c r="E7779" t="str">
        <f>IF(COUNTIF(data2!$D:$D,D7779)=0,"Missing in Data2","Present")</f>
        <v>Present</v>
      </c>
    </row>
    <row r="7780" spans="1:5" x14ac:dyDescent="0.25">
      <c r="A7780" s="2" t="s">
        <v>5862</v>
      </c>
      <c r="B7780" s="2" t="s">
        <v>409</v>
      </c>
      <c r="C7780" s="2">
        <v>2</v>
      </c>
      <c r="D7780" t="str">
        <f t="shared" si="121"/>
        <v>CA-2017-167626_TEC-AC-10004353</v>
      </c>
      <c r="E7780" t="str">
        <f>IF(COUNTIF(data2!$D:$D,D7780)=0,"Missing in Data2","Present")</f>
        <v>Present</v>
      </c>
    </row>
    <row r="7781" spans="1:5" x14ac:dyDescent="0.25">
      <c r="A7781" s="2" t="s">
        <v>5863</v>
      </c>
      <c r="B7781" s="2" t="s">
        <v>1642</v>
      </c>
      <c r="C7781" s="2">
        <v>6</v>
      </c>
      <c r="D7781" t="str">
        <f t="shared" si="121"/>
        <v>CA-2017-167640_OFF-AR-10003158</v>
      </c>
      <c r="E7781" t="str">
        <f>IF(COUNTIF(data2!$D:$D,D7781)=0,"Missing in Data2","Present")</f>
        <v>Present</v>
      </c>
    </row>
    <row r="7782" spans="1:5" x14ac:dyDescent="0.25">
      <c r="A7782" s="2" t="s">
        <v>5863</v>
      </c>
      <c r="B7782" s="2" t="s">
        <v>486</v>
      </c>
      <c r="C7782" s="2">
        <v>4</v>
      </c>
      <c r="D7782" t="str">
        <f t="shared" si="121"/>
        <v>CA-2017-167640_OFF-LA-10004559</v>
      </c>
      <c r="E7782" t="str">
        <f>IF(COUNTIF(data2!$D:$D,D7782)=0,"Missing in Data2","Present")</f>
        <v>Present</v>
      </c>
    </row>
    <row r="7783" spans="1:5" x14ac:dyDescent="0.25">
      <c r="A7783" s="2" t="s">
        <v>5863</v>
      </c>
      <c r="B7783" s="2" t="s">
        <v>1435</v>
      </c>
      <c r="C7783" s="2">
        <v>7</v>
      </c>
      <c r="D7783" t="str">
        <f t="shared" si="121"/>
        <v>CA-2017-167640_OFF-PA-10001033</v>
      </c>
      <c r="E7783" t="str">
        <f>IF(COUNTIF(data2!$D:$D,D7783)=0,"Missing in Data2","Present")</f>
        <v>Present</v>
      </c>
    </row>
    <row r="7784" spans="1:5" x14ac:dyDescent="0.25">
      <c r="A7784" s="2" t="s">
        <v>5863</v>
      </c>
      <c r="B7784" s="2" t="s">
        <v>292</v>
      </c>
      <c r="C7784" s="2">
        <v>2</v>
      </c>
      <c r="D7784" t="str">
        <f t="shared" si="121"/>
        <v>CA-2017-167640_TEC-PH-10001336</v>
      </c>
      <c r="E7784" t="str">
        <f>IF(COUNTIF(data2!$D:$D,D7784)=0,"Missing in Data2","Present")</f>
        <v>Present</v>
      </c>
    </row>
    <row r="7785" spans="1:5" x14ac:dyDescent="0.25">
      <c r="A7785" s="2" t="s">
        <v>5864</v>
      </c>
      <c r="B7785" s="2" t="s">
        <v>65</v>
      </c>
      <c r="C7785" s="2">
        <v>4</v>
      </c>
      <c r="D7785" t="str">
        <f t="shared" si="121"/>
        <v>CA-2017-167661_OFF-BI-10001097</v>
      </c>
      <c r="E7785" t="str">
        <f>IF(COUNTIF(data2!$D:$D,D7785)=0,"Missing in Data2","Present")</f>
        <v>Present</v>
      </c>
    </row>
    <row r="7786" spans="1:5" x14ac:dyDescent="0.25">
      <c r="A7786" s="2" t="s">
        <v>5864</v>
      </c>
      <c r="B7786" s="2" t="s">
        <v>247</v>
      </c>
      <c r="C7786" s="2">
        <v>5</v>
      </c>
      <c r="D7786" t="str">
        <f t="shared" si="121"/>
        <v>CA-2017-167661_OFF-BI-10002571</v>
      </c>
      <c r="E7786" t="str">
        <f>IF(COUNTIF(data2!$D:$D,D7786)=0,"Missing in Data2","Present")</f>
        <v>Present</v>
      </c>
    </row>
    <row r="7787" spans="1:5" x14ac:dyDescent="0.25">
      <c r="A7787" s="2" t="s">
        <v>5864</v>
      </c>
      <c r="B7787" s="2" t="s">
        <v>1376</v>
      </c>
      <c r="C7787" s="2">
        <v>2</v>
      </c>
      <c r="D7787" t="str">
        <f t="shared" si="121"/>
        <v>CA-2017-167661_OFF-PA-10002581</v>
      </c>
      <c r="E7787" t="str">
        <f>IF(COUNTIF(data2!$D:$D,D7787)=0,"Missing in Data2","Present")</f>
        <v>Present</v>
      </c>
    </row>
    <row r="7788" spans="1:5" x14ac:dyDescent="0.25">
      <c r="A7788" s="2" t="s">
        <v>5865</v>
      </c>
      <c r="B7788" s="2" t="s">
        <v>2582</v>
      </c>
      <c r="C7788" s="2">
        <v>4</v>
      </c>
      <c r="D7788" t="str">
        <f t="shared" si="121"/>
        <v>CA-2017-167668_OFF-LA-10004544</v>
      </c>
      <c r="E7788" t="str">
        <f>IF(COUNTIF(data2!$D:$D,D7788)=0,"Missing in Data2","Present")</f>
        <v>Present</v>
      </c>
    </row>
    <row r="7789" spans="1:5" x14ac:dyDescent="0.25">
      <c r="A7789" s="2" t="s">
        <v>5866</v>
      </c>
      <c r="B7789" s="2" t="s">
        <v>2262</v>
      </c>
      <c r="C7789" s="2">
        <v>3</v>
      </c>
      <c r="D7789" t="str">
        <f t="shared" si="121"/>
        <v>CA-2017-167703_OFF-BI-10002071</v>
      </c>
      <c r="E7789" t="str">
        <f>IF(COUNTIF(data2!$D:$D,D7789)=0,"Missing in Data2","Present")</f>
        <v>Missing in Data2</v>
      </c>
    </row>
    <row r="7790" spans="1:5" x14ac:dyDescent="0.25">
      <c r="A7790" s="2" t="s">
        <v>5866</v>
      </c>
      <c r="B7790" s="2" t="s">
        <v>34</v>
      </c>
      <c r="C7790" s="2">
        <v>2</v>
      </c>
      <c r="D7790" t="str">
        <f t="shared" si="121"/>
        <v>CA-2017-167703_OFF-ST-10001490</v>
      </c>
      <c r="E7790" t="str">
        <f>IF(COUNTIF(data2!$D:$D,D7790)=0,"Missing in Data2","Present")</f>
        <v>Present</v>
      </c>
    </row>
    <row r="7791" spans="1:5" x14ac:dyDescent="0.25">
      <c r="A7791" s="2" t="s">
        <v>5867</v>
      </c>
      <c r="B7791" s="2" t="s">
        <v>3299</v>
      </c>
      <c r="C7791" s="2">
        <v>1</v>
      </c>
      <c r="D7791" t="str">
        <f t="shared" si="121"/>
        <v>CA-2017-167752_OFF-AP-10000159</v>
      </c>
      <c r="E7791" t="str">
        <f>IF(COUNTIF(data2!$D:$D,D7791)=0,"Missing in Data2","Present")</f>
        <v>Present</v>
      </c>
    </row>
    <row r="7792" spans="1:5" x14ac:dyDescent="0.25">
      <c r="A7792" s="2" t="s">
        <v>5867</v>
      </c>
      <c r="B7792" s="2" t="s">
        <v>1000</v>
      </c>
      <c r="C7792" s="2">
        <v>8</v>
      </c>
      <c r="D7792" t="str">
        <f t="shared" si="121"/>
        <v>CA-2017-167752_OFF-AP-10002945</v>
      </c>
      <c r="E7792" t="str">
        <f>IF(COUNTIF(data2!$D:$D,D7792)=0,"Missing in Data2","Present")</f>
        <v>Present</v>
      </c>
    </row>
    <row r="7793" spans="1:5" x14ac:dyDescent="0.25">
      <c r="A7793" s="2" t="s">
        <v>5868</v>
      </c>
      <c r="B7793" s="2" t="s">
        <v>92</v>
      </c>
      <c r="C7793" s="2">
        <v>1</v>
      </c>
      <c r="D7793" t="str">
        <f t="shared" si="121"/>
        <v>CA-2017-167871_OFF-PA-10001977</v>
      </c>
      <c r="E7793" t="str">
        <f>IF(COUNTIF(data2!$D:$D,D7793)=0,"Missing in Data2","Present")</f>
        <v>Missing in Data2</v>
      </c>
    </row>
    <row r="7794" spans="1:5" x14ac:dyDescent="0.25">
      <c r="A7794" s="2" t="s">
        <v>5868</v>
      </c>
      <c r="B7794" s="2" t="s">
        <v>219</v>
      </c>
      <c r="C7794" s="2">
        <v>1</v>
      </c>
      <c r="D7794" t="str">
        <f t="shared" si="121"/>
        <v>CA-2017-167871_OFF-SU-10001225</v>
      </c>
      <c r="E7794" t="str">
        <f>IF(COUNTIF(data2!$D:$D,D7794)=0,"Missing in Data2","Present")</f>
        <v>Present</v>
      </c>
    </row>
    <row r="7795" spans="1:5" x14ac:dyDescent="0.25">
      <c r="A7795" s="2" t="s">
        <v>5869</v>
      </c>
      <c r="B7795" s="2" t="s">
        <v>4399</v>
      </c>
      <c r="C7795" s="2">
        <v>5</v>
      </c>
      <c r="D7795" t="str">
        <f t="shared" si="121"/>
        <v>CA-2017-167899_FUR-FU-10004071</v>
      </c>
      <c r="E7795" t="str">
        <f>IF(COUNTIF(data2!$D:$D,D7795)=0,"Missing in Data2","Present")</f>
        <v>Present</v>
      </c>
    </row>
    <row r="7796" spans="1:5" x14ac:dyDescent="0.25">
      <c r="A7796" s="2" t="s">
        <v>5869</v>
      </c>
      <c r="B7796" s="2" t="s">
        <v>5252</v>
      </c>
      <c r="C7796" s="2">
        <v>3</v>
      </c>
      <c r="D7796" t="str">
        <f t="shared" si="121"/>
        <v>CA-2017-167899_OFF-AR-10001988</v>
      </c>
      <c r="E7796" t="str">
        <f>IF(COUNTIF(data2!$D:$D,D7796)=0,"Missing in Data2","Present")</f>
        <v>Present</v>
      </c>
    </row>
    <row r="7797" spans="1:5" x14ac:dyDescent="0.25">
      <c r="A7797" s="2" t="s">
        <v>5870</v>
      </c>
      <c r="B7797" s="2" t="s">
        <v>997</v>
      </c>
      <c r="C7797" s="2">
        <v>7</v>
      </c>
      <c r="D7797" t="str">
        <f t="shared" si="121"/>
        <v>CA-2017-167913_OFF-LA-10002787</v>
      </c>
      <c r="E7797" t="str">
        <f>IF(COUNTIF(data2!$D:$D,D7797)=0,"Missing in Data2","Present")</f>
        <v>Present</v>
      </c>
    </row>
    <row r="7798" spans="1:5" x14ac:dyDescent="0.25">
      <c r="A7798" s="2" t="s">
        <v>5870</v>
      </c>
      <c r="B7798" s="2" t="s">
        <v>254</v>
      </c>
      <c r="C7798" s="2">
        <v>2</v>
      </c>
      <c r="D7798" t="str">
        <f t="shared" si="121"/>
        <v>CA-2017-167913_OFF-ST-10000585</v>
      </c>
      <c r="E7798" t="str">
        <f>IF(COUNTIF(data2!$D:$D,D7798)=0,"Missing in Data2","Present")</f>
        <v>Present</v>
      </c>
    </row>
    <row r="7799" spans="1:5" x14ac:dyDescent="0.25">
      <c r="A7799" s="2" t="s">
        <v>5871</v>
      </c>
      <c r="B7799" s="2" t="s">
        <v>164</v>
      </c>
      <c r="C7799" s="2">
        <v>2</v>
      </c>
      <c r="D7799" t="str">
        <f t="shared" si="121"/>
        <v>CA-2017-167941_FUR-FU-10004671</v>
      </c>
      <c r="E7799" t="str">
        <f>IF(COUNTIF(data2!$D:$D,D7799)=0,"Missing in Data2","Present")</f>
        <v>Present</v>
      </c>
    </row>
    <row r="7800" spans="1:5" x14ac:dyDescent="0.25">
      <c r="A7800" s="2" t="s">
        <v>5871</v>
      </c>
      <c r="B7800" s="2" t="s">
        <v>563</v>
      </c>
      <c r="C7800" s="2">
        <v>3</v>
      </c>
      <c r="D7800" t="str">
        <f t="shared" si="121"/>
        <v>CA-2017-167941_OFF-AP-10002118</v>
      </c>
      <c r="E7800" t="str">
        <f>IF(COUNTIF(data2!$D:$D,D7800)=0,"Missing in Data2","Present")</f>
        <v>Present</v>
      </c>
    </row>
    <row r="7801" spans="1:5" x14ac:dyDescent="0.25">
      <c r="A7801" s="2" t="s">
        <v>5871</v>
      </c>
      <c r="B7801" s="2" t="s">
        <v>403</v>
      </c>
      <c r="C7801" s="2">
        <v>8</v>
      </c>
      <c r="D7801" t="str">
        <f t="shared" si="121"/>
        <v>CA-2017-167941_OFF-BI-10002827</v>
      </c>
      <c r="E7801" t="str">
        <f>IF(COUNTIF(data2!$D:$D,D7801)=0,"Missing in Data2","Present")</f>
        <v>Present</v>
      </c>
    </row>
    <row r="7802" spans="1:5" x14ac:dyDescent="0.25">
      <c r="A7802" s="2" t="s">
        <v>5871</v>
      </c>
      <c r="B7802" s="2" t="s">
        <v>854</v>
      </c>
      <c r="C7802" s="2">
        <v>6</v>
      </c>
      <c r="D7802" t="str">
        <f t="shared" si="121"/>
        <v>CA-2017-167941_OFF-PA-10001800</v>
      </c>
      <c r="E7802" t="str">
        <f>IF(COUNTIF(data2!$D:$D,D7802)=0,"Missing in Data2","Present")</f>
        <v>Present</v>
      </c>
    </row>
    <row r="7803" spans="1:5" x14ac:dyDescent="0.25">
      <c r="A7803" s="2" t="s">
        <v>5871</v>
      </c>
      <c r="B7803" s="2" t="s">
        <v>299</v>
      </c>
      <c r="C7803" s="2">
        <v>4</v>
      </c>
      <c r="D7803" t="str">
        <f t="shared" si="121"/>
        <v>CA-2017-167941_OFF-ST-10000736</v>
      </c>
      <c r="E7803" t="str">
        <f>IF(COUNTIF(data2!$D:$D,D7803)=0,"Missing in Data2","Present")</f>
        <v>Present</v>
      </c>
    </row>
    <row r="7804" spans="1:5" x14ac:dyDescent="0.25">
      <c r="A7804" s="2" t="s">
        <v>5872</v>
      </c>
      <c r="B7804" s="2" t="s">
        <v>559</v>
      </c>
      <c r="C7804" s="2">
        <v>2</v>
      </c>
      <c r="D7804" t="str">
        <f t="shared" si="121"/>
        <v>CA-2017-168102_OFF-ST-10001370</v>
      </c>
      <c r="E7804" t="str">
        <f>IF(COUNTIF(data2!$D:$D,D7804)=0,"Missing in Data2","Present")</f>
        <v>Present</v>
      </c>
    </row>
    <row r="7805" spans="1:5" x14ac:dyDescent="0.25">
      <c r="A7805" s="2" t="s">
        <v>5873</v>
      </c>
      <c r="B7805" s="2" t="s">
        <v>1053</v>
      </c>
      <c r="C7805" s="2">
        <v>4</v>
      </c>
      <c r="D7805" t="str">
        <f t="shared" si="121"/>
        <v>CA-2017-168109_TEC-AC-10002049</v>
      </c>
      <c r="E7805" t="str">
        <f>IF(COUNTIF(data2!$D:$D,D7805)=0,"Missing in Data2","Present")</f>
        <v>Present</v>
      </c>
    </row>
    <row r="7806" spans="1:5" x14ac:dyDescent="0.25">
      <c r="A7806" s="2" t="s">
        <v>5873</v>
      </c>
      <c r="B7806" s="2" t="s">
        <v>131</v>
      </c>
      <c r="C7806" s="2">
        <v>2</v>
      </c>
      <c r="D7806" t="str">
        <f t="shared" si="121"/>
        <v>CA-2017-168109_TEC-AC-10003628</v>
      </c>
      <c r="E7806" t="str">
        <f>IF(COUNTIF(data2!$D:$D,D7806)=0,"Missing in Data2","Present")</f>
        <v>Present</v>
      </c>
    </row>
    <row r="7807" spans="1:5" x14ac:dyDescent="0.25">
      <c r="A7807" s="2" t="s">
        <v>5873</v>
      </c>
      <c r="B7807" s="2" t="s">
        <v>3157</v>
      </c>
      <c r="C7807" s="2">
        <v>6</v>
      </c>
      <c r="D7807" t="str">
        <f t="shared" si="121"/>
        <v>CA-2017-168109_TEC-MA-10001148</v>
      </c>
      <c r="E7807" t="str">
        <f>IF(COUNTIF(data2!$D:$D,D7807)=0,"Missing in Data2","Present")</f>
        <v>Present</v>
      </c>
    </row>
    <row r="7808" spans="1:5" x14ac:dyDescent="0.25">
      <c r="A7808" s="2" t="s">
        <v>5873</v>
      </c>
      <c r="B7808" s="2" t="s">
        <v>704</v>
      </c>
      <c r="C7808" s="2">
        <v>1</v>
      </c>
      <c r="D7808" t="str">
        <f t="shared" si="121"/>
        <v>CA-2017-168109_TEC-PH-10000702</v>
      </c>
      <c r="E7808" t="str">
        <f>IF(COUNTIF(data2!$D:$D,D7808)=0,"Missing in Data2","Present")</f>
        <v>Present</v>
      </c>
    </row>
    <row r="7809" spans="1:5" x14ac:dyDescent="0.25">
      <c r="A7809" s="2" t="s">
        <v>5874</v>
      </c>
      <c r="B7809" s="2" t="s">
        <v>921</v>
      </c>
      <c r="C7809" s="2">
        <v>2</v>
      </c>
      <c r="D7809" t="str">
        <f t="shared" si="121"/>
        <v>CA-2017-168123_OFF-BI-10001071</v>
      </c>
      <c r="E7809" t="str">
        <f>IF(COUNTIF(data2!$D:$D,D7809)=0,"Missing in Data2","Present")</f>
        <v>Present</v>
      </c>
    </row>
    <row r="7810" spans="1:5" x14ac:dyDescent="0.25">
      <c r="A7810" s="2" t="s">
        <v>5874</v>
      </c>
      <c r="B7810" s="2" t="s">
        <v>65</v>
      </c>
      <c r="C7810" s="2">
        <v>3</v>
      </c>
      <c r="D7810" t="str">
        <f t="shared" si="121"/>
        <v>CA-2017-168123_OFF-BI-10001097</v>
      </c>
      <c r="E7810" t="str">
        <f>IF(COUNTIF(data2!$D:$D,D7810)=0,"Missing in Data2","Present")</f>
        <v>Present</v>
      </c>
    </row>
    <row r="7811" spans="1:5" x14ac:dyDescent="0.25">
      <c r="A7811" s="2" t="s">
        <v>5874</v>
      </c>
      <c r="B7811" s="2" t="s">
        <v>454</v>
      </c>
      <c r="C7811" s="2">
        <v>2</v>
      </c>
      <c r="D7811" t="str">
        <f t="shared" ref="D7811:D7874" si="122">A7811&amp;"_"&amp;B7811</f>
        <v>CA-2017-168123_OFF-FA-10002763</v>
      </c>
      <c r="E7811" t="str">
        <f>IF(COUNTIF(data2!$D:$D,D7811)=0,"Missing in Data2","Present")</f>
        <v>Present</v>
      </c>
    </row>
    <row r="7812" spans="1:5" x14ac:dyDescent="0.25">
      <c r="A7812" s="2" t="s">
        <v>5874</v>
      </c>
      <c r="B7812" s="2" t="s">
        <v>628</v>
      </c>
      <c r="C7812" s="2">
        <v>4</v>
      </c>
      <c r="D7812" t="str">
        <f t="shared" si="122"/>
        <v>CA-2017-168123_OFF-ST-10000877</v>
      </c>
      <c r="E7812" t="str">
        <f>IF(COUNTIF(data2!$D:$D,D7812)=0,"Missing in Data2","Present")</f>
        <v>Present</v>
      </c>
    </row>
    <row r="7813" spans="1:5" x14ac:dyDescent="0.25">
      <c r="A7813" s="2" t="s">
        <v>5875</v>
      </c>
      <c r="B7813" s="2" t="s">
        <v>1948</v>
      </c>
      <c r="C7813" s="2">
        <v>4</v>
      </c>
      <c r="D7813" t="str">
        <f t="shared" si="122"/>
        <v>CA-2017-168172_OFF-SU-10002573</v>
      </c>
      <c r="E7813" t="str">
        <f>IF(COUNTIF(data2!$D:$D,D7813)=0,"Missing in Data2","Present")</f>
        <v>Present</v>
      </c>
    </row>
    <row r="7814" spans="1:5" x14ac:dyDescent="0.25">
      <c r="A7814" s="2" t="s">
        <v>5876</v>
      </c>
      <c r="B7814" s="2" t="s">
        <v>854</v>
      </c>
      <c r="C7814" s="2">
        <v>3</v>
      </c>
      <c r="D7814" t="str">
        <f t="shared" si="122"/>
        <v>CA-2017-168179_OFF-PA-10001800</v>
      </c>
      <c r="E7814" t="str">
        <f>IF(COUNTIF(data2!$D:$D,D7814)=0,"Missing in Data2","Present")</f>
        <v>Present</v>
      </c>
    </row>
    <row r="7815" spans="1:5" x14ac:dyDescent="0.25">
      <c r="A7815" s="2" t="s">
        <v>5877</v>
      </c>
      <c r="B7815" s="2" t="s">
        <v>2577</v>
      </c>
      <c r="C7815" s="2">
        <v>3</v>
      </c>
      <c r="D7815" t="str">
        <f t="shared" si="122"/>
        <v>CA-2017-168193_FUR-FU-10002554</v>
      </c>
      <c r="E7815" t="str">
        <f>IF(COUNTIF(data2!$D:$D,D7815)=0,"Missing in Data2","Present")</f>
        <v>Present</v>
      </c>
    </row>
    <row r="7816" spans="1:5" x14ac:dyDescent="0.25">
      <c r="A7816" s="2" t="s">
        <v>5877</v>
      </c>
      <c r="B7816" s="2" t="s">
        <v>2264</v>
      </c>
      <c r="C7816" s="2">
        <v>1</v>
      </c>
      <c r="D7816" t="str">
        <f t="shared" si="122"/>
        <v>CA-2017-168193_OFF-PA-10002254</v>
      </c>
      <c r="E7816" t="str">
        <f>IF(COUNTIF(data2!$D:$D,D7816)=0,"Missing in Data2","Present")</f>
        <v>Missing in Data2</v>
      </c>
    </row>
    <row r="7817" spans="1:5" x14ac:dyDescent="0.25">
      <c r="A7817" s="2" t="s">
        <v>5878</v>
      </c>
      <c r="B7817" s="2" t="s">
        <v>194</v>
      </c>
      <c r="C7817" s="2">
        <v>3</v>
      </c>
      <c r="D7817" t="str">
        <f t="shared" si="122"/>
        <v>CA-2017-168228_OFF-AR-10000390</v>
      </c>
      <c r="E7817" t="str">
        <f>IF(COUNTIF(data2!$D:$D,D7817)=0,"Missing in Data2","Present")</f>
        <v>Present</v>
      </c>
    </row>
    <row r="7818" spans="1:5" x14ac:dyDescent="0.25">
      <c r="A7818" s="2" t="s">
        <v>5878</v>
      </c>
      <c r="B7818" s="2" t="s">
        <v>429</v>
      </c>
      <c r="C7818" s="2">
        <v>2</v>
      </c>
      <c r="D7818" t="str">
        <f t="shared" si="122"/>
        <v>CA-2017-168228_OFF-AR-10001725</v>
      </c>
      <c r="E7818" t="str">
        <f>IF(COUNTIF(data2!$D:$D,D7818)=0,"Missing in Data2","Present")</f>
        <v>Present</v>
      </c>
    </row>
    <row r="7819" spans="1:5" x14ac:dyDescent="0.25">
      <c r="A7819" s="2" t="s">
        <v>5878</v>
      </c>
      <c r="B7819" s="2" t="s">
        <v>1700</v>
      </c>
      <c r="C7819" s="2">
        <v>4</v>
      </c>
      <c r="D7819" t="str">
        <f t="shared" si="122"/>
        <v>CA-2017-168228_OFF-AR-10003373</v>
      </c>
      <c r="E7819" t="str">
        <f>IF(COUNTIF(data2!$D:$D,D7819)=0,"Missing in Data2","Present")</f>
        <v>Present</v>
      </c>
    </row>
    <row r="7820" spans="1:5" x14ac:dyDescent="0.25">
      <c r="A7820" s="2" t="s">
        <v>5879</v>
      </c>
      <c r="B7820" s="2" t="s">
        <v>1119</v>
      </c>
      <c r="C7820" s="2">
        <v>1</v>
      </c>
      <c r="D7820" t="str">
        <f t="shared" si="122"/>
        <v>CA-2017-168389_FUR-CH-10000225</v>
      </c>
      <c r="E7820" t="str">
        <f>IF(COUNTIF(data2!$D:$D,D7820)=0,"Missing in Data2","Present")</f>
        <v>Present</v>
      </c>
    </row>
    <row r="7821" spans="1:5" x14ac:dyDescent="0.25">
      <c r="A7821" s="2" t="s">
        <v>5879</v>
      </c>
      <c r="B7821" s="2" t="s">
        <v>1057</v>
      </c>
      <c r="C7821" s="2">
        <v>6</v>
      </c>
      <c r="D7821" t="str">
        <f t="shared" si="122"/>
        <v>CA-2017-168389_FUR-TA-10004289</v>
      </c>
      <c r="E7821" t="str">
        <f>IF(COUNTIF(data2!$D:$D,D7821)=0,"Missing in Data2","Present")</f>
        <v>Present</v>
      </c>
    </row>
    <row r="7822" spans="1:5" x14ac:dyDescent="0.25">
      <c r="A7822" s="2" t="s">
        <v>5879</v>
      </c>
      <c r="B7822" s="2" t="s">
        <v>3156</v>
      </c>
      <c r="C7822" s="2">
        <v>1</v>
      </c>
      <c r="D7822" t="str">
        <f t="shared" si="122"/>
        <v>CA-2017-168389_OFF-AR-10001958</v>
      </c>
      <c r="E7822" t="str">
        <f>IF(COUNTIF(data2!$D:$D,D7822)=0,"Missing in Data2","Present")</f>
        <v>Present</v>
      </c>
    </row>
    <row r="7823" spans="1:5" x14ac:dyDescent="0.25">
      <c r="A7823" s="2" t="s">
        <v>5879</v>
      </c>
      <c r="B7823" s="2" t="s">
        <v>2452</v>
      </c>
      <c r="C7823" s="2">
        <v>4</v>
      </c>
      <c r="D7823" t="str">
        <f t="shared" si="122"/>
        <v>CA-2017-168389_TEC-PH-10003555</v>
      </c>
      <c r="E7823" t="str">
        <f>IF(COUNTIF(data2!$D:$D,D7823)=0,"Missing in Data2","Present")</f>
        <v>Present</v>
      </c>
    </row>
    <row r="7824" spans="1:5" x14ac:dyDescent="0.25">
      <c r="A7824" s="2" t="s">
        <v>5880</v>
      </c>
      <c r="B7824" s="2" t="s">
        <v>160</v>
      </c>
      <c r="C7824" s="2">
        <v>3</v>
      </c>
      <c r="D7824" t="str">
        <f t="shared" si="122"/>
        <v>CA-2017-168396_FUR-FU-10000723</v>
      </c>
      <c r="E7824" t="str">
        <f>IF(COUNTIF(data2!$D:$D,D7824)=0,"Missing in Data2","Present")</f>
        <v>Present</v>
      </c>
    </row>
    <row r="7825" spans="1:5" x14ac:dyDescent="0.25">
      <c r="A7825" s="2" t="s">
        <v>5880</v>
      </c>
      <c r="B7825" s="2" t="s">
        <v>3420</v>
      </c>
      <c r="C7825" s="2">
        <v>5</v>
      </c>
      <c r="D7825" t="str">
        <f t="shared" si="122"/>
        <v>CA-2017-168396_OFF-LA-10001297</v>
      </c>
      <c r="E7825" t="str">
        <f>IF(COUNTIF(data2!$D:$D,D7825)=0,"Missing in Data2","Present")</f>
        <v>Present</v>
      </c>
    </row>
    <row r="7826" spans="1:5" x14ac:dyDescent="0.25">
      <c r="A7826" s="2" t="s">
        <v>5881</v>
      </c>
      <c r="B7826" s="2" t="s">
        <v>1027</v>
      </c>
      <c r="C7826" s="2">
        <v>1</v>
      </c>
      <c r="D7826" t="str">
        <f t="shared" si="122"/>
        <v>CA-2017-168403_OFF-AP-10003278</v>
      </c>
      <c r="E7826" t="str">
        <f>IF(COUNTIF(data2!$D:$D,D7826)=0,"Missing in Data2","Present")</f>
        <v>Present</v>
      </c>
    </row>
    <row r="7827" spans="1:5" x14ac:dyDescent="0.25">
      <c r="A7827" s="2" t="s">
        <v>5881</v>
      </c>
      <c r="B7827" s="2" t="s">
        <v>2410</v>
      </c>
      <c r="C7827" s="2">
        <v>6</v>
      </c>
      <c r="D7827" t="str">
        <f t="shared" si="122"/>
        <v>CA-2017-168403_OFF-PA-10002036</v>
      </c>
      <c r="E7827" t="str">
        <f>IF(COUNTIF(data2!$D:$D,D7827)=0,"Missing in Data2","Present")</f>
        <v>Present</v>
      </c>
    </row>
    <row r="7828" spans="1:5" x14ac:dyDescent="0.25">
      <c r="A7828" s="2" t="s">
        <v>5882</v>
      </c>
      <c r="B7828" s="2" t="s">
        <v>5249</v>
      </c>
      <c r="C7828" s="2">
        <v>2</v>
      </c>
      <c r="D7828" t="str">
        <f t="shared" si="122"/>
        <v>CA-2017-168641_FUR-BO-10000780</v>
      </c>
      <c r="E7828" t="str">
        <f>IF(COUNTIF(data2!$D:$D,D7828)=0,"Missing in Data2","Present")</f>
        <v>Present</v>
      </c>
    </row>
    <row r="7829" spans="1:5" x14ac:dyDescent="0.25">
      <c r="A7829" s="2" t="s">
        <v>5882</v>
      </c>
      <c r="B7829" s="2" t="s">
        <v>2034</v>
      </c>
      <c r="C7829" s="2">
        <v>9</v>
      </c>
      <c r="D7829" t="str">
        <f t="shared" si="122"/>
        <v>CA-2017-168641_OFF-AR-10003759</v>
      </c>
      <c r="E7829" t="str">
        <f>IF(COUNTIF(data2!$D:$D,D7829)=0,"Missing in Data2","Present")</f>
        <v>Present</v>
      </c>
    </row>
    <row r="7830" spans="1:5" x14ac:dyDescent="0.25">
      <c r="A7830" s="2" t="s">
        <v>5882</v>
      </c>
      <c r="B7830" s="2" t="s">
        <v>917</v>
      </c>
      <c r="C7830" s="2">
        <v>2</v>
      </c>
      <c r="D7830" t="str">
        <f t="shared" si="122"/>
        <v>CA-2017-168641_OFF-EN-10003001</v>
      </c>
      <c r="E7830" t="str">
        <f>IF(COUNTIF(data2!$D:$D,D7830)=0,"Missing in Data2","Present")</f>
        <v>Present</v>
      </c>
    </row>
    <row r="7831" spans="1:5" x14ac:dyDescent="0.25">
      <c r="A7831" s="2" t="s">
        <v>5882</v>
      </c>
      <c r="B7831" s="2" t="s">
        <v>1431</v>
      </c>
      <c r="C7831" s="2">
        <v>2</v>
      </c>
      <c r="D7831" t="str">
        <f t="shared" si="122"/>
        <v>CA-2017-168641_OFF-PA-10001972</v>
      </c>
      <c r="E7831" t="str">
        <f>IF(COUNTIF(data2!$D:$D,D7831)=0,"Missing in Data2","Present")</f>
        <v>Present</v>
      </c>
    </row>
    <row r="7832" spans="1:5" x14ac:dyDescent="0.25">
      <c r="A7832" s="2" t="s">
        <v>5883</v>
      </c>
      <c r="B7832" s="2" t="s">
        <v>1961</v>
      </c>
      <c r="C7832" s="2">
        <v>3</v>
      </c>
      <c r="D7832" t="str">
        <f t="shared" si="122"/>
        <v>CA-2017-168655_OFF-BI-10002082</v>
      </c>
      <c r="E7832" t="str">
        <f>IF(COUNTIF(data2!$D:$D,D7832)=0,"Missing in Data2","Present")</f>
        <v>Present</v>
      </c>
    </row>
    <row r="7833" spans="1:5" x14ac:dyDescent="0.25">
      <c r="A7833" s="2" t="s">
        <v>5883</v>
      </c>
      <c r="B7833" s="2" t="s">
        <v>345</v>
      </c>
      <c r="C7833" s="2">
        <v>5</v>
      </c>
      <c r="D7833" t="str">
        <f t="shared" si="122"/>
        <v>CA-2017-168655_TEC-AC-10002842</v>
      </c>
      <c r="E7833" t="str">
        <f>IF(COUNTIF(data2!$D:$D,D7833)=0,"Missing in Data2","Present")</f>
        <v>Present</v>
      </c>
    </row>
    <row r="7834" spans="1:5" x14ac:dyDescent="0.25">
      <c r="A7834" s="2" t="s">
        <v>5884</v>
      </c>
      <c r="B7834" s="2" t="s">
        <v>3207</v>
      </c>
      <c r="C7834" s="2">
        <v>4</v>
      </c>
      <c r="D7834" t="str">
        <f t="shared" si="122"/>
        <v>CA-2017-168739_FUR-FU-10003919</v>
      </c>
      <c r="E7834" t="str">
        <f>IF(COUNTIF(data2!$D:$D,D7834)=0,"Missing in Data2","Present")</f>
        <v>Present</v>
      </c>
    </row>
    <row r="7835" spans="1:5" x14ac:dyDescent="0.25">
      <c r="A7835" s="2" t="s">
        <v>5885</v>
      </c>
      <c r="B7835" s="2" t="s">
        <v>1260</v>
      </c>
      <c r="C7835" s="2">
        <v>2</v>
      </c>
      <c r="D7835" t="str">
        <f t="shared" si="122"/>
        <v>CA-2017-168837_FUR-FU-10001918</v>
      </c>
      <c r="E7835" t="str">
        <f>IF(COUNTIF(data2!$D:$D,D7835)=0,"Missing in Data2","Present")</f>
        <v>Present</v>
      </c>
    </row>
    <row r="7836" spans="1:5" x14ac:dyDescent="0.25">
      <c r="A7836" s="2" t="s">
        <v>5886</v>
      </c>
      <c r="B7836" s="2" t="s">
        <v>2130</v>
      </c>
      <c r="C7836" s="2">
        <v>7</v>
      </c>
      <c r="D7836" t="str">
        <f t="shared" si="122"/>
        <v>CA-2017-168858_OFF-AP-10003849</v>
      </c>
      <c r="E7836" t="str">
        <f>IF(COUNTIF(data2!$D:$D,D7836)=0,"Missing in Data2","Present")</f>
        <v>Present</v>
      </c>
    </row>
    <row r="7837" spans="1:5" x14ac:dyDescent="0.25">
      <c r="A7837" s="2" t="s">
        <v>5886</v>
      </c>
      <c r="B7837" s="2" t="s">
        <v>439</v>
      </c>
      <c r="C7837" s="2">
        <v>3</v>
      </c>
      <c r="D7837" t="str">
        <f t="shared" si="122"/>
        <v>CA-2017-168858_OFF-EN-10001415</v>
      </c>
      <c r="E7837" t="str">
        <f>IF(COUNTIF(data2!$D:$D,D7837)=0,"Missing in Data2","Present")</f>
        <v>Present</v>
      </c>
    </row>
    <row r="7838" spans="1:5" x14ac:dyDescent="0.25">
      <c r="A7838" s="2" t="s">
        <v>5887</v>
      </c>
      <c r="B7838" s="2" t="s">
        <v>546</v>
      </c>
      <c r="C7838" s="2">
        <v>1</v>
      </c>
      <c r="D7838" t="str">
        <f t="shared" si="122"/>
        <v>CA-2017-168900_OFF-BI-10003910</v>
      </c>
      <c r="E7838" t="str">
        <f>IF(COUNTIF(data2!$D:$D,D7838)=0,"Missing in Data2","Present")</f>
        <v>Present</v>
      </c>
    </row>
    <row r="7839" spans="1:5" x14ac:dyDescent="0.25">
      <c r="A7839" s="2" t="s">
        <v>5888</v>
      </c>
      <c r="B7839" s="2" t="s">
        <v>1360</v>
      </c>
      <c r="C7839" s="2">
        <v>3</v>
      </c>
      <c r="D7839" t="str">
        <f t="shared" si="122"/>
        <v>CA-2017-168942_OFF-ST-10004340</v>
      </c>
      <c r="E7839" t="str">
        <f>IF(COUNTIF(data2!$D:$D,D7839)=0,"Missing in Data2","Present")</f>
        <v>Present</v>
      </c>
    </row>
    <row r="7840" spans="1:5" x14ac:dyDescent="0.25">
      <c r="A7840" s="2" t="s">
        <v>5889</v>
      </c>
      <c r="B7840" s="2" t="s">
        <v>3864</v>
      </c>
      <c r="C7840" s="2">
        <v>2</v>
      </c>
      <c r="D7840" t="str">
        <f t="shared" si="122"/>
        <v>CA-2017-169005_OFF-AR-10000246</v>
      </c>
      <c r="E7840" t="str">
        <f>IF(COUNTIF(data2!$D:$D,D7840)=0,"Missing in Data2","Present")</f>
        <v>Present</v>
      </c>
    </row>
    <row r="7841" spans="1:5" x14ac:dyDescent="0.25">
      <c r="A7841" s="2" t="s">
        <v>5890</v>
      </c>
      <c r="B7841" s="2" t="s">
        <v>1027</v>
      </c>
      <c r="C7841" s="2">
        <v>3</v>
      </c>
      <c r="D7841" t="str">
        <f t="shared" si="122"/>
        <v>CA-2017-169012_OFF-AP-10003278</v>
      </c>
      <c r="E7841" t="str">
        <f>IF(COUNTIF(data2!$D:$D,D7841)=0,"Missing in Data2","Present")</f>
        <v>Missing in Data2</v>
      </c>
    </row>
    <row r="7842" spans="1:5" x14ac:dyDescent="0.25">
      <c r="A7842" s="2" t="s">
        <v>5891</v>
      </c>
      <c r="B7842" s="2" t="s">
        <v>3455</v>
      </c>
      <c r="C7842" s="2">
        <v>3</v>
      </c>
      <c r="D7842" t="str">
        <f t="shared" si="122"/>
        <v>CA-2017-169054_FUR-FU-10001488</v>
      </c>
      <c r="E7842" t="str">
        <f>IF(COUNTIF(data2!$D:$D,D7842)=0,"Missing in Data2","Present")</f>
        <v>Present</v>
      </c>
    </row>
    <row r="7843" spans="1:5" x14ac:dyDescent="0.25">
      <c r="A7843" s="2" t="s">
        <v>5892</v>
      </c>
      <c r="B7843" s="2" t="s">
        <v>2776</v>
      </c>
      <c r="C7843" s="2">
        <v>3</v>
      </c>
      <c r="D7843" t="str">
        <f t="shared" si="122"/>
        <v>CA-2017-169124_FUR-FU-10001215</v>
      </c>
      <c r="E7843" t="str">
        <f>IF(COUNTIF(data2!$D:$D,D7843)=0,"Missing in Data2","Present")</f>
        <v>Present</v>
      </c>
    </row>
    <row r="7844" spans="1:5" x14ac:dyDescent="0.25">
      <c r="A7844" s="2" t="s">
        <v>5893</v>
      </c>
      <c r="B7844" s="2" t="s">
        <v>3864</v>
      </c>
      <c r="C7844" s="2">
        <v>6</v>
      </c>
      <c r="D7844" t="str">
        <f t="shared" si="122"/>
        <v>CA-2017-169264_OFF-AR-10000246</v>
      </c>
      <c r="E7844" t="str">
        <f>IF(COUNTIF(data2!$D:$D,D7844)=0,"Missing in Data2","Present")</f>
        <v>Present</v>
      </c>
    </row>
    <row r="7845" spans="1:5" x14ac:dyDescent="0.25">
      <c r="A7845" s="2" t="s">
        <v>5894</v>
      </c>
      <c r="B7845" s="2" t="s">
        <v>477</v>
      </c>
      <c r="C7845" s="2">
        <v>5</v>
      </c>
      <c r="D7845" t="str">
        <f t="shared" si="122"/>
        <v>CA-2017-169285_OFF-PA-10004071</v>
      </c>
      <c r="E7845" t="str">
        <f>IF(COUNTIF(data2!$D:$D,D7845)=0,"Missing in Data2","Present")</f>
        <v>Present</v>
      </c>
    </row>
    <row r="7846" spans="1:5" x14ac:dyDescent="0.25">
      <c r="A7846" s="2" t="s">
        <v>5894</v>
      </c>
      <c r="B7846" s="2" t="s">
        <v>2528</v>
      </c>
      <c r="C7846" s="2">
        <v>1</v>
      </c>
      <c r="D7846" t="str">
        <f t="shared" si="122"/>
        <v>CA-2017-169285_OFF-PA-10004971</v>
      </c>
      <c r="E7846" t="str">
        <f>IF(COUNTIF(data2!$D:$D,D7846)=0,"Missing in Data2","Present")</f>
        <v>Present</v>
      </c>
    </row>
    <row r="7847" spans="1:5" x14ac:dyDescent="0.25">
      <c r="A7847" s="2" t="s">
        <v>5895</v>
      </c>
      <c r="B7847" s="2" t="s">
        <v>1357</v>
      </c>
      <c r="C7847" s="2">
        <v>5</v>
      </c>
      <c r="D7847" t="str">
        <f t="shared" si="122"/>
        <v>CA-2017-169327_FUR-FU-10004188</v>
      </c>
      <c r="E7847" t="str">
        <f>IF(COUNTIF(data2!$D:$D,D7847)=0,"Missing in Data2","Present")</f>
        <v>Present</v>
      </c>
    </row>
    <row r="7848" spans="1:5" x14ac:dyDescent="0.25">
      <c r="A7848" s="2" t="s">
        <v>5895</v>
      </c>
      <c r="B7848" s="2" t="s">
        <v>1310</v>
      </c>
      <c r="C7848" s="2">
        <v>5</v>
      </c>
      <c r="D7848" t="str">
        <f t="shared" si="122"/>
        <v>CA-2017-169327_OFF-AP-10001492</v>
      </c>
      <c r="E7848" t="str">
        <f>IF(COUNTIF(data2!$D:$D,D7848)=0,"Missing in Data2","Present")</f>
        <v>Present</v>
      </c>
    </row>
    <row r="7849" spans="1:5" x14ac:dyDescent="0.25">
      <c r="A7849" s="2" t="s">
        <v>5895</v>
      </c>
      <c r="B7849" s="2" t="s">
        <v>2193</v>
      </c>
      <c r="C7849" s="2">
        <v>5</v>
      </c>
      <c r="D7849" t="str">
        <f t="shared" si="122"/>
        <v>CA-2017-169327_OFF-BI-10004330</v>
      </c>
      <c r="E7849" t="str">
        <f>IF(COUNTIF(data2!$D:$D,D7849)=0,"Missing in Data2","Present")</f>
        <v>Present</v>
      </c>
    </row>
    <row r="7850" spans="1:5" x14ac:dyDescent="0.25">
      <c r="A7850" s="2" t="s">
        <v>5896</v>
      </c>
      <c r="B7850" s="2" t="s">
        <v>1017</v>
      </c>
      <c r="C7850" s="2">
        <v>2</v>
      </c>
      <c r="D7850" t="str">
        <f t="shared" si="122"/>
        <v>CA-2017-169362_TEC-AC-10001383</v>
      </c>
      <c r="E7850" t="str">
        <f>IF(COUNTIF(data2!$D:$D,D7850)=0,"Missing in Data2","Present")</f>
        <v>Present</v>
      </c>
    </row>
    <row r="7851" spans="1:5" x14ac:dyDescent="0.25">
      <c r="A7851" s="2" t="s">
        <v>5897</v>
      </c>
      <c r="B7851" s="2" t="s">
        <v>2041</v>
      </c>
      <c r="C7851" s="2">
        <v>4</v>
      </c>
      <c r="D7851" t="str">
        <f t="shared" si="122"/>
        <v>CA-2017-169404_OFF-BI-10004492</v>
      </c>
      <c r="E7851" t="str">
        <f>IF(COUNTIF(data2!$D:$D,D7851)=0,"Missing in Data2","Present")</f>
        <v>Present</v>
      </c>
    </row>
    <row r="7852" spans="1:5" x14ac:dyDescent="0.25">
      <c r="A7852" s="2" t="s">
        <v>5897</v>
      </c>
      <c r="B7852" s="2" t="s">
        <v>1435</v>
      </c>
      <c r="C7852" s="2">
        <v>2</v>
      </c>
      <c r="D7852" t="str">
        <f t="shared" si="122"/>
        <v>CA-2017-169404_OFF-PA-10001033</v>
      </c>
      <c r="E7852" t="str">
        <f>IF(COUNTIF(data2!$D:$D,D7852)=0,"Missing in Data2","Present")</f>
        <v>Present</v>
      </c>
    </row>
    <row r="7853" spans="1:5" x14ac:dyDescent="0.25">
      <c r="A7853" s="2" t="s">
        <v>5898</v>
      </c>
      <c r="B7853" s="2" t="s">
        <v>160</v>
      </c>
      <c r="C7853" s="2">
        <v>2</v>
      </c>
      <c r="D7853" t="str">
        <f t="shared" si="122"/>
        <v>CA-2017-169439_FUR-FU-10000723</v>
      </c>
      <c r="E7853" t="str">
        <f>IF(COUNTIF(data2!$D:$D,D7853)=0,"Missing in Data2","Present")</f>
        <v>Present</v>
      </c>
    </row>
    <row r="7854" spans="1:5" x14ac:dyDescent="0.25">
      <c r="A7854" s="2" t="s">
        <v>5899</v>
      </c>
      <c r="B7854" s="2" t="s">
        <v>2346</v>
      </c>
      <c r="C7854" s="2">
        <v>3</v>
      </c>
      <c r="D7854" t="str">
        <f t="shared" si="122"/>
        <v>CA-2017-169474_OFF-AP-10003971</v>
      </c>
      <c r="E7854" t="str">
        <f>IF(COUNTIF(data2!$D:$D,D7854)=0,"Missing in Data2","Present")</f>
        <v>Present</v>
      </c>
    </row>
    <row r="7855" spans="1:5" x14ac:dyDescent="0.25">
      <c r="A7855" s="2" t="s">
        <v>5900</v>
      </c>
      <c r="B7855" s="2" t="s">
        <v>1044</v>
      </c>
      <c r="C7855" s="2">
        <v>3</v>
      </c>
      <c r="D7855" t="str">
        <f t="shared" si="122"/>
        <v>CA-2017-169691_OFF-LA-10002312</v>
      </c>
      <c r="E7855" t="str">
        <f>IF(COUNTIF(data2!$D:$D,D7855)=0,"Missing in Data2","Present")</f>
        <v>Present</v>
      </c>
    </row>
    <row r="7856" spans="1:5" x14ac:dyDescent="0.25">
      <c r="A7856" s="2" t="s">
        <v>5900</v>
      </c>
      <c r="B7856" s="2" t="s">
        <v>1469</v>
      </c>
      <c r="C7856" s="2">
        <v>3</v>
      </c>
      <c r="D7856" t="str">
        <f t="shared" si="122"/>
        <v>CA-2017-169691_OFF-PA-10003022</v>
      </c>
      <c r="E7856" t="str">
        <f>IF(COUNTIF(data2!$D:$D,D7856)=0,"Missing in Data2","Present")</f>
        <v>Present</v>
      </c>
    </row>
    <row r="7857" spans="1:5" x14ac:dyDescent="0.25">
      <c r="A7857" s="2" t="s">
        <v>5900</v>
      </c>
      <c r="B7857" s="2" t="s">
        <v>2068</v>
      </c>
      <c r="C7857" s="2">
        <v>5</v>
      </c>
      <c r="D7857" t="str">
        <f t="shared" si="122"/>
        <v>CA-2017-169691_OFF-ST-10001291</v>
      </c>
      <c r="E7857" t="str">
        <f>IF(COUNTIF(data2!$D:$D,D7857)=0,"Missing in Data2","Present")</f>
        <v>Missing in Data2</v>
      </c>
    </row>
    <row r="7858" spans="1:5" x14ac:dyDescent="0.25">
      <c r="A7858" s="2" t="s">
        <v>5901</v>
      </c>
      <c r="B7858" s="2" t="s">
        <v>3873</v>
      </c>
      <c r="C7858" s="2">
        <v>7</v>
      </c>
      <c r="D7858" t="str">
        <f t="shared" si="122"/>
        <v>CA-2017-169810_OFF-LA-10003663</v>
      </c>
      <c r="E7858" t="str">
        <f>IF(COUNTIF(data2!$D:$D,D7858)=0,"Missing in Data2","Present")</f>
        <v>Present</v>
      </c>
    </row>
    <row r="7859" spans="1:5" x14ac:dyDescent="0.25">
      <c r="A7859" s="2" t="s">
        <v>5902</v>
      </c>
      <c r="B7859" s="2" t="s">
        <v>3616</v>
      </c>
      <c r="C7859" s="2">
        <v>3</v>
      </c>
      <c r="D7859" t="str">
        <f t="shared" si="122"/>
        <v>CA-2017-169859_FUR-FU-10004963</v>
      </c>
      <c r="E7859" t="str">
        <f>IF(COUNTIF(data2!$D:$D,D7859)=0,"Missing in Data2","Present")</f>
        <v>Present</v>
      </c>
    </row>
    <row r="7860" spans="1:5" x14ac:dyDescent="0.25">
      <c r="A7860" s="2" t="s">
        <v>5902</v>
      </c>
      <c r="B7860" s="2" t="s">
        <v>423</v>
      </c>
      <c r="C7860" s="2">
        <v>14</v>
      </c>
      <c r="D7860" t="str">
        <f t="shared" si="122"/>
        <v>CA-2017-169859_OFF-BI-10000174</v>
      </c>
      <c r="E7860" t="str">
        <f>IF(COUNTIF(data2!$D:$D,D7860)=0,"Missing in Data2","Present")</f>
        <v>Present</v>
      </c>
    </row>
    <row r="7861" spans="1:5" x14ac:dyDescent="0.25">
      <c r="A7861" s="2" t="s">
        <v>5902</v>
      </c>
      <c r="B7861" s="2" t="s">
        <v>1855</v>
      </c>
      <c r="C7861" s="2">
        <v>5</v>
      </c>
      <c r="D7861" t="str">
        <f t="shared" si="122"/>
        <v>CA-2017-169859_OFF-EN-10000461</v>
      </c>
      <c r="E7861" t="str">
        <f>IF(COUNTIF(data2!$D:$D,D7861)=0,"Missing in Data2","Present")</f>
        <v>Present</v>
      </c>
    </row>
    <row r="7862" spans="1:5" x14ac:dyDescent="0.25">
      <c r="A7862" s="2" t="s">
        <v>5903</v>
      </c>
      <c r="B7862" s="2" t="s">
        <v>271</v>
      </c>
      <c r="C7862" s="2">
        <v>2</v>
      </c>
      <c r="D7862" t="str">
        <f t="shared" si="122"/>
        <v>CA-2017-169894_OFF-BI-10004230</v>
      </c>
      <c r="E7862" t="str">
        <f>IF(COUNTIF(data2!$D:$D,D7862)=0,"Missing in Data2","Present")</f>
        <v>Missing in Data2</v>
      </c>
    </row>
    <row r="7863" spans="1:5" x14ac:dyDescent="0.25">
      <c r="A7863" s="2" t="s">
        <v>5903</v>
      </c>
      <c r="B7863" s="2" t="s">
        <v>2918</v>
      </c>
      <c r="C7863" s="2">
        <v>8</v>
      </c>
      <c r="D7863" t="str">
        <f t="shared" si="122"/>
        <v>CA-2017-169894_OFF-ST-10000060</v>
      </c>
      <c r="E7863" t="str">
        <f>IF(COUNTIF(data2!$D:$D,D7863)=0,"Missing in Data2","Present")</f>
        <v>Present</v>
      </c>
    </row>
    <row r="7864" spans="1:5" x14ac:dyDescent="0.25">
      <c r="A7864" s="2" t="s">
        <v>5904</v>
      </c>
      <c r="B7864" s="2" t="s">
        <v>3106</v>
      </c>
      <c r="C7864" s="2">
        <v>3</v>
      </c>
      <c r="D7864" t="str">
        <f t="shared" si="122"/>
        <v>CA-2017-169901_TEC-PH-10002293</v>
      </c>
      <c r="E7864" t="str">
        <f>IF(COUNTIF(data2!$D:$D,D7864)=0,"Missing in Data2","Present")</f>
        <v>Present</v>
      </c>
    </row>
    <row r="7865" spans="1:5" x14ac:dyDescent="0.25">
      <c r="A7865" s="2" t="s">
        <v>5905</v>
      </c>
      <c r="B7865" s="2" t="s">
        <v>1579</v>
      </c>
      <c r="C7865" s="2">
        <v>5</v>
      </c>
      <c r="D7865" t="str">
        <f t="shared" si="122"/>
        <v>CA-2017-169929_OFF-ST-10002352</v>
      </c>
      <c r="E7865" t="str">
        <f>IF(COUNTIF(data2!$D:$D,D7865)=0,"Missing in Data2","Present")</f>
        <v>Present</v>
      </c>
    </row>
    <row r="7866" spans="1:5" x14ac:dyDescent="0.25">
      <c r="A7866" s="2" t="s">
        <v>5906</v>
      </c>
      <c r="B7866" s="2" t="s">
        <v>16</v>
      </c>
      <c r="C7866" s="2">
        <v>2</v>
      </c>
      <c r="D7866" t="str">
        <f t="shared" si="122"/>
        <v>CA-2017-169978_FUR-CH-10002602</v>
      </c>
      <c r="E7866" t="str">
        <f>IF(COUNTIF(data2!$D:$D,D7866)=0,"Missing in Data2","Present")</f>
        <v>Present</v>
      </c>
    </row>
    <row r="7867" spans="1:5" x14ac:dyDescent="0.25">
      <c r="A7867" s="2" t="s">
        <v>5906</v>
      </c>
      <c r="B7867" s="2" t="s">
        <v>2483</v>
      </c>
      <c r="C7867" s="2">
        <v>3</v>
      </c>
      <c r="D7867" t="str">
        <f t="shared" si="122"/>
        <v>CA-2017-169978_OFF-BI-10001900</v>
      </c>
      <c r="E7867" t="str">
        <f>IF(COUNTIF(data2!$D:$D,D7867)=0,"Missing in Data2","Present")</f>
        <v>Present</v>
      </c>
    </row>
    <row r="7868" spans="1:5" x14ac:dyDescent="0.25">
      <c r="A7868" s="2" t="s">
        <v>5907</v>
      </c>
      <c r="B7868" s="2" t="s">
        <v>1680</v>
      </c>
      <c r="C7868" s="2">
        <v>3</v>
      </c>
      <c r="D7868" t="str">
        <f t="shared" si="122"/>
        <v>CA-2017-169999_OFF-BI-10004728</v>
      </c>
      <c r="E7868" t="str">
        <f>IF(COUNTIF(data2!$D:$D,D7868)=0,"Missing in Data2","Present")</f>
        <v>Present</v>
      </c>
    </row>
    <row r="7869" spans="1:5" x14ac:dyDescent="0.25">
      <c r="A7869" s="2" t="s">
        <v>5907</v>
      </c>
      <c r="B7869" s="2" t="s">
        <v>81</v>
      </c>
      <c r="C7869" s="2">
        <v>2</v>
      </c>
      <c r="D7869" t="str">
        <f t="shared" si="122"/>
        <v>CA-2017-169999_OFF-ST-10001511</v>
      </c>
      <c r="E7869" t="str">
        <f>IF(COUNTIF(data2!$D:$D,D7869)=0,"Missing in Data2","Present")</f>
        <v>Present</v>
      </c>
    </row>
    <row r="7870" spans="1:5" x14ac:dyDescent="0.25">
      <c r="A7870" s="2" t="s">
        <v>5908</v>
      </c>
      <c r="B7870" s="2" t="s">
        <v>1336</v>
      </c>
      <c r="C7870" s="2">
        <v>2</v>
      </c>
      <c r="D7870" t="str">
        <f t="shared" si="122"/>
        <v>US-2014-100279_OFF-PA-10002259</v>
      </c>
      <c r="E7870" t="str">
        <f>IF(COUNTIF(data2!$D:$D,D7870)=0,"Missing in Data2","Present")</f>
        <v>Present</v>
      </c>
    </row>
    <row r="7871" spans="1:5" x14ac:dyDescent="0.25">
      <c r="A7871" s="2" t="s">
        <v>5909</v>
      </c>
      <c r="B7871" s="2" t="s">
        <v>3826</v>
      </c>
      <c r="C7871" s="2">
        <v>2</v>
      </c>
      <c r="D7871" t="str">
        <f t="shared" si="122"/>
        <v>US-2014-100853_OFF-AP-10000891</v>
      </c>
      <c r="E7871" t="str">
        <f>IF(COUNTIF(data2!$D:$D,D7871)=0,"Missing in Data2","Present")</f>
        <v>Present</v>
      </c>
    </row>
    <row r="7872" spans="1:5" x14ac:dyDescent="0.25">
      <c r="A7872" s="2" t="s">
        <v>5909</v>
      </c>
      <c r="B7872" s="2" t="s">
        <v>1570</v>
      </c>
      <c r="C7872" s="2">
        <v>4</v>
      </c>
      <c r="D7872" t="str">
        <f t="shared" si="122"/>
        <v>US-2014-100853_OFF-LA-10003148</v>
      </c>
      <c r="E7872" t="str">
        <f>IF(COUNTIF(data2!$D:$D,D7872)=0,"Missing in Data2","Present")</f>
        <v>Present</v>
      </c>
    </row>
    <row r="7873" spans="1:5" x14ac:dyDescent="0.25">
      <c r="A7873" s="2" t="s">
        <v>5910</v>
      </c>
      <c r="B7873" s="2" t="s">
        <v>185</v>
      </c>
      <c r="C7873" s="2">
        <v>3</v>
      </c>
      <c r="D7873" t="str">
        <f t="shared" si="122"/>
        <v>US-2014-102071_TEC-AC-10000109</v>
      </c>
      <c r="E7873" t="str">
        <f>IF(COUNTIF(data2!$D:$D,D7873)=0,"Missing in Data2","Present")</f>
        <v>Present</v>
      </c>
    </row>
    <row r="7874" spans="1:5" x14ac:dyDescent="0.25">
      <c r="A7874" s="2" t="s">
        <v>5910</v>
      </c>
      <c r="B7874" s="2" t="s">
        <v>1841</v>
      </c>
      <c r="C7874" s="2">
        <v>4</v>
      </c>
      <c r="D7874" t="str">
        <f t="shared" si="122"/>
        <v>US-2014-102071_TEC-AC-10003441</v>
      </c>
      <c r="E7874" t="str">
        <f>IF(COUNTIF(data2!$D:$D,D7874)=0,"Missing in Data2","Present")</f>
        <v>Present</v>
      </c>
    </row>
    <row r="7875" spans="1:5" x14ac:dyDescent="0.25">
      <c r="A7875" s="2" t="s">
        <v>5911</v>
      </c>
      <c r="B7875" s="2" t="s">
        <v>3123</v>
      </c>
      <c r="C7875" s="2">
        <v>3</v>
      </c>
      <c r="D7875" t="str">
        <f t="shared" ref="D7875:D7938" si="123">A7875&amp;"_"&amp;B7875</f>
        <v>US-2014-102631_FUR-FU-10003930</v>
      </c>
      <c r="E7875" t="str">
        <f>IF(COUNTIF(data2!$D:$D,D7875)=0,"Missing in Data2","Present")</f>
        <v>Present</v>
      </c>
    </row>
    <row r="7876" spans="1:5" x14ac:dyDescent="0.25">
      <c r="A7876" s="2" t="s">
        <v>5912</v>
      </c>
      <c r="B7876" s="2" t="s">
        <v>2814</v>
      </c>
      <c r="C7876" s="2">
        <v>3</v>
      </c>
      <c r="D7876" t="str">
        <f t="shared" si="123"/>
        <v>US-2014-102715_OFF-FA-10001332</v>
      </c>
      <c r="E7876" t="str">
        <f>IF(COUNTIF(data2!$D:$D,D7876)=0,"Missing in Data2","Present")</f>
        <v>Present</v>
      </c>
    </row>
    <row r="7877" spans="1:5" x14ac:dyDescent="0.25">
      <c r="A7877" s="2" t="s">
        <v>5912</v>
      </c>
      <c r="B7877" s="2" t="s">
        <v>3004</v>
      </c>
      <c r="C7877" s="2">
        <v>7</v>
      </c>
      <c r="D7877" t="str">
        <f t="shared" si="123"/>
        <v>US-2014-102715_TEC-AC-10001874</v>
      </c>
      <c r="E7877" t="str">
        <f>IF(COUNTIF(data2!$D:$D,D7877)=0,"Missing in Data2","Present")</f>
        <v>Present</v>
      </c>
    </row>
    <row r="7878" spans="1:5" x14ac:dyDescent="0.25">
      <c r="A7878" s="2" t="s">
        <v>5912</v>
      </c>
      <c r="B7878" s="2" t="s">
        <v>1823</v>
      </c>
      <c r="C7878" s="2">
        <v>3</v>
      </c>
      <c r="D7878" t="str">
        <f t="shared" si="123"/>
        <v>US-2014-102715_TEC-AC-10002001</v>
      </c>
      <c r="E7878" t="str">
        <f>IF(COUNTIF(data2!$D:$D,D7878)=0,"Missing in Data2","Present")</f>
        <v>Present</v>
      </c>
    </row>
    <row r="7879" spans="1:5" x14ac:dyDescent="0.25">
      <c r="A7879" s="2" t="s">
        <v>5913</v>
      </c>
      <c r="B7879" s="2" t="s">
        <v>3813</v>
      </c>
      <c r="C7879" s="2">
        <v>3</v>
      </c>
      <c r="D7879" t="str">
        <f t="shared" si="123"/>
        <v>US-2014-103338_OFF-AR-10001770</v>
      </c>
      <c r="E7879" t="str">
        <f>IF(COUNTIF(data2!$D:$D,D7879)=0,"Missing in Data2","Present")</f>
        <v>Present</v>
      </c>
    </row>
    <row r="7880" spans="1:5" x14ac:dyDescent="0.25">
      <c r="A7880" s="2" t="s">
        <v>5914</v>
      </c>
      <c r="B7880" s="2" t="s">
        <v>2048</v>
      </c>
      <c r="C7880" s="2">
        <v>7</v>
      </c>
      <c r="D7880" t="str">
        <f t="shared" si="123"/>
        <v>US-2014-103905_OFF-BI-10001098</v>
      </c>
      <c r="E7880" t="str">
        <f>IF(COUNTIF(data2!$D:$D,D7880)=0,"Missing in Data2","Present")</f>
        <v>Present</v>
      </c>
    </row>
    <row r="7881" spans="1:5" x14ac:dyDescent="0.25">
      <c r="A7881" s="2" t="s">
        <v>5914</v>
      </c>
      <c r="B7881" s="2" t="s">
        <v>924</v>
      </c>
      <c r="C7881" s="2">
        <v>4</v>
      </c>
      <c r="D7881" t="str">
        <f t="shared" si="123"/>
        <v>US-2014-103905_TEC-PH-10001552</v>
      </c>
      <c r="E7881" t="str">
        <f>IF(COUNTIF(data2!$D:$D,D7881)=0,"Missing in Data2","Present")</f>
        <v>Present</v>
      </c>
    </row>
    <row r="7882" spans="1:5" x14ac:dyDescent="0.25">
      <c r="A7882" s="2" t="s">
        <v>5915</v>
      </c>
      <c r="B7882" s="2" t="s">
        <v>2262</v>
      </c>
      <c r="C7882" s="2">
        <v>7</v>
      </c>
      <c r="D7882" t="str">
        <f t="shared" si="123"/>
        <v>US-2014-104759_OFF-BI-10002071</v>
      </c>
      <c r="E7882" t="str">
        <f>IF(COUNTIF(data2!$D:$D,D7882)=0,"Missing in Data2","Present")</f>
        <v>Present</v>
      </c>
    </row>
    <row r="7883" spans="1:5" x14ac:dyDescent="0.25">
      <c r="A7883" s="2" t="s">
        <v>5915</v>
      </c>
      <c r="B7883" s="2" t="s">
        <v>5395</v>
      </c>
      <c r="C7883" s="2">
        <v>2</v>
      </c>
      <c r="D7883" t="str">
        <f t="shared" si="123"/>
        <v>US-2014-104759_TEC-AC-10004901</v>
      </c>
      <c r="E7883" t="str">
        <f>IF(COUNTIF(data2!$D:$D,D7883)=0,"Missing in Data2","Present")</f>
        <v>Present</v>
      </c>
    </row>
    <row r="7884" spans="1:5" x14ac:dyDescent="0.25">
      <c r="A7884" s="2" t="s">
        <v>5916</v>
      </c>
      <c r="B7884" s="2" t="s">
        <v>150</v>
      </c>
      <c r="C7884" s="2">
        <v>2</v>
      </c>
      <c r="D7884" t="str">
        <f t="shared" si="123"/>
        <v>US-2014-105137_OFF-BI-10002429</v>
      </c>
      <c r="E7884" t="str">
        <f>IF(COUNTIF(data2!$D:$D,D7884)=0,"Missing in Data2","Present")</f>
        <v>Missing in Data2</v>
      </c>
    </row>
    <row r="7885" spans="1:5" x14ac:dyDescent="0.25">
      <c r="A7885" s="2" t="s">
        <v>5916</v>
      </c>
      <c r="B7885" s="2" t="s">
        <v>5917</v>
      </c>
      <c r="C7885" s="2">
        <v>2</v>
      </c>
      <c r="D7885" t="str">
        <f t="shared" si="123"/>
        <v>US-2014-105137_TEC-MA-10002694</v>
      </c>
      <c r="E7885" t="str">
        <f>IF(COUNTIF(data2!$D:$D,D7885)=0,"Missing in Data2","Present")</f>
        <v>Present</v>
      </c>
    </row>
    <row r="7886" spans="1:5" x14ac:dyDescent="0.25">
      <c r="A7886" s="2" t="s">
        <v>5918</v>
      </c>
      <c r="B7886" s="2" t="s">
        <v>3834</v>
      </c>
      <c r="C7886" s="2">
        <v>5</v>
      </c>
      <c r="D7886" t="str">
        <f t="shared" si="123"/>
        <v>US-2014-105151_OFF-AR-10001231</v>
      </c>
      <c r="E7886" t="str">
        <f>IF(COUNTIF(data2!$D:$D,D7886)=0,"Missing in Data2","Present")</f>
        <v>Present</v>
      </c>
    </row>
    <row r="7887" spans="1:5" x14ac:dyDescent="0.25">
      <c r="A7887" s="2" t="s">
        <v>5919</v>
      </c>
      <c r="B7887" s="2" t="s">
        <v>2156</v>
      </c>
      <c r="C7887" s="2">
        <v>9</v>
      </c>
      <c r="D7887" t="str">
        <f t="shared" si="123"/>
        <v>US-2014-105767_OFF-AR-10001246</v>
      </c>
      <c r="E7887" t="str">
        <f>IF(COUNTIF(data2!$D:$D,D7887)=0,"Missing in Data2","Present")</f>
        <v>Present</v>
      </c>
    </row>
    <row r="7888" spans="1:5" x14ac:dyDescent="0.25">
      <c r="A7888" s="2" t="s">
        <v>5919</v>
      </c>
      <c r="B7888" s="2" t="s">
        <v>1906</v>
      </c>
      <c r="C7888" s="2">
        <v>2</v>
      </c>
      <c r="D7888" t="str">
        <f t="shared" si="123"/>
        <v>US-2014-105767_OFF-BI-10000848</v>
      </c>
      <c r="E7888" t="str">
        <f>IF(COUNTIF(data2!$D:$D,D7888)=0,"Missing in Data2","Present")</f>
        <v>Present</v>
      </c>
    </row>
    <row r="7889" spans="1:5" x14ac:dyDescent="0.25">
      <c r="A7889" s="2" t="s">
        <v>5919</v>
      </c>
      <c r="B7889" s="2" t="s">
        <v>4072</v>
      </c>
      <c r="C7889" s="2">
        <v>2</v>
      </c>
      <c r="D7889" t="str">
        <f t="shared" si="123"/>
        <v>US-2014-105767_TEC-PH-10003092</v>
      </c>
      <c r="E7889" t="str">
        <f>IF(COUNTIF(data2!$D:$D,D7889)=0,"Missing in Data2","Present")</f>
        <v>Present</v>
      </c>
    </row>
    <row r="7890" spans="1:5" x14ac:dyDescent="0.25">
      <c r="A7890" s="2" t="s">
        <v>5920</v>
      </c>
      <c r="B7890" s="2" t="s">
        <v>619</v>
      </c>
      <c r="C7890" s="2">
        <v>5</v>
      </c>
      <c r="D7890" t="str">
        <f t="shared" si="123"/>
        <v>US-2014-106299_OFF-BI-10001758</v>
      </c>
      <c r="E7890" t="str">
        <f>IF(COUNTIF(data2!$D:$D,D7890)=0,"Missing in Data2","Present")</f>
        <v>Present</v>
      </c>
    </row>
    <row r="7891" spans="1:5" x14ac:dyDescent="0.25">
      <c r="A7891" s="2" t="s">
        <v>5920</v>
      </c>
      <c r="B7891" s="2" t="s">
        <v>641</v>
      </c>
      <c r="C7891" s="2">
        <v>2</v>
      </c>
      <c r="D7891" t="str">
        <f t="shared" si="123"/>
        <v>US-2014-106299_OFF-ST-10002011</v>
      </c>
      <c r="E7891" t="str">
        <f>IF(COUNTIF(data2!$D:$D,D7891)=0,"Missing in Data2","Present")</f>
        <v>Present</v>
      </c>
    </row>
    <row r="7892" spans="1:5" x14ac:dyDescent="0.25">
      <c r="A7892" s="2" t="s">
        <v>5920</v>
      </c>
      <c r="B7892" s="2" t="s">
        <v>2128</v>
      </c>
      <c r="C7892" s="2">
        <v>2</v>
      </c>
      <c r="D7892" t="str">
        <f t="shared" si="123"/>
        <v>US-2014-106299_TEC-AC-10003237</v>
      </c>
      <c r="E7892" t="str">
        <f>IF(COUNTIF(data2!$D:$D,D7892)=0,"Missing in Data2","Present")</f>
        <v>Present</v>
      </c>
    </row>
    <row r="7893" spans="1:5" x14ac:dyDescent="0.25">
      <c r="A7893" s="2" t="s">
        <v>5921</v>
      </c>
      <c r="B7893" s="2" t="s">
        <v>1368</v>
      </c>
      <c r="C7893" s="2">
        <v>3</v>
      </c>
      <c r="D7893" t="str">
        <f t="shared" si="123"/>
        <v>US-2014-106334_FUR-CH-10004886</v>
      </c>
      <c r="E7893" t="str">
        <f>IF(COUNTIF(data2!$D:$D,D7893)=0,"Missing in Data2","Present")</f>
        <v>Present</v>
      </c>
    </row>
    <row r="7894" spans="1:5" x14ac:dyDescent="0.25">
      <c r="A7894" s="2" t="s">
        <v>5921</v>
      </c>
      <c r="B7894" s="2" t="s">
        <v>2768</v>
      </c>
      <c r="C7894" s="2">
        <v>3</v>
      </c>
      <c r="D7894" t="str">
        <f t="shared" si="123"/>
        <v>US-2014-106334_OFF-PA-10003657</v>
      </c>
      <c r="E7894" t="str">
        <f>IF(COUNTIF(data2!$D:$D,D7894)=0,"Missing in Data2","Present")</f>
        <v>Present</v>
      </c>
    </row>
    <row r="7895" spans="1:5" x14ac:dyDescent="0.25">
      <c r="A7895" s="2" t="s">
        <v>5922</v>
      </c>
      <c r="B7895" s="2" t="s">
        <v>1191</v>
      </c>
      <c r="C7895" s="2">
        <v>3</v>
      </c>
      <c r="D7895" t="str">
        <f t="shared" si="123"/>
        <v>US-2014-106992_TEC-MA-10000822</v>
      </c>
      <c r="E7895" t="str">
        <f>IF(COUNTIF(data2!$D:$D,D7895)=0,"Missing in Data2","Present")</f>
        <v>Present</v>
      </c>
    </row>
    <row r="7896" spans="1:5" x14ac:dyDescent="0.25">
      <c r="A7896" s="2" t="s">
        <v>5922</v>
      </c>
      <c r="B7896" s="2" t="s">
        <v>5923</v>
      </c>
      <c r="C7896" s="2">
        <v>7</v>
      </c>
      <c r="D7896" t="str">
        <f t="shared" si="123"/>
        <v>US-2014-106992_TEC-MA-10003353</v>
      </c>
      <c r="E7896" t="str">
        <f>IF(COUNTIF(data2!$D:$D,D7896)=0,"Missing in Data2","Present")</f>
        <v>Present</v>
      </c>
    </row>
    <row r="7897" spans="1:5" x14ac:dyDescent="0.25">
      <c r="A7897" s="2" t="s">
        <v>5924</v>
      </c>
      <c r="B7897" s="2" t="s">
        <v>1585</v>
      </c>
      <c r="C7897" s="2">
        <v>1</v>
      </c>
      <c r="D7897" t="str">
        <f t="shared" si="123"/>
        <v>US-2014-107405_OFF-ST-10002301</v>
      </c>
      <c r="E7897" t="str">
        <f>IF(COUNTIF(data2!$D:$D,D7897)=0,"Missing in Data2","Present")</f>
        <v>Present</v>
      </c>
    </row>
    <row r="7898" spans="1:5" x14ac:dyDescent="0.25">
      <c r="A7898" s="2" t="s">
        <v>5925</v>
      </c>
      <c r="B7898" s="2" t="s">
        <v>210</v>
      </c>
      <c r="C7898" s="2">
        <v>7</v>
      </c>
      <c r="D7898" t="str">
        <f t="shared" si="123"/>
        <v>US-2014-107993_OFF-AR-10003179</v>
      </c>
      <c r="E7898" t="str">
        <f>IF(COUNTIF(data2!$D:$D,D7898)=0,"Missing in Data2","Present")</f>
        <v>Present</v>
      </c>
    </row>
    <row r="7899" spans="1:5" x14ac:dyDescent="0.25">
      <c r="A7899" s="2" t="s">
        <v>5926</v>
      </c>
      <c r="B7899" s="2" t="s">
        <v>218</v>
      </c>
      <c r="C7899" s="2">
        <v>3</v>
      </c>
      <c r="D7899" t="str">
        <f t="shared" si="123"/>
        <v>US-2014-109036_OFF-LA-10002043</v>
      </c>
      <c r="E7899" t="str">
        <f>IF(COUNTIF(data2!$D:$D,D7899)=0,"Missing in Data2","Present")</f>
        <v>Present</v>
      </c>
    </row>
    <row r="7900" spans="1:5" x14ac:dyDescent="0.25">
      <c r="A7900" s="2" t="s">
        <v>5927</v>
      </c>
      <c r="B7900" s="2" t="s">
        <v>1419</v>
      </c>
      <c r="C7900" s="2">
        <v>3</v>
      </c>
      <c r="D7900" t="str">
        <f t="shared" si="123"/>
        <v>US-2014-109162_FUR-CH-10002647</v>
      </c>
      <c r="E7900" t="str">
        <f>IF(COUNTIF(data2!$D:$D,D7900)=0,"Missing in Data2","Present")</f>
        <v>Present</v>
      </c>
    </row>
    <row r="7901" spans="1:5" x14ac:dyDescent="0.25">
      <c r="A7901" s="2" t="s">
        <v>5928</v>
      </c>
      <c r="B7901" s="2" t="s">
        <v>618</v>
      </c>
      <c r="C7901" s="2">
        <v>3</v>
      </c>
      <c r="D7901" t="str">
        <f t="shared" si="123"/>
        <v>US-2014-109456_OFF-BI-10000136</v>
      </c>
      <c r="E7901" t="str">
        <f>IF(COUNTIF(data2!$D:$D,D7901)=0,"Missing in Data2","Present")</f>
        <v>Present</v>
      </c>
    </row>
    <row r="7902" spans="1:5" x14ac:dyDescent="0.25">
      <c r="A7902" s="2" t="s">
        <v>5928</v>
      </c>
      <c r="B7902" s="2" t="s">
        <v>4060</v>
      </c>
      <c r="C7902" s="2">
        <v>3</v>
      </c>
      <c r="D7902" t="str">
        <f t="shared" si="123"/>
        <v>US-2014-109456_TEC-AC-10003610</v>
      </c>
      <c r="E7902" t="str">
        <f>IF(COUNTIF(data2!$D:$D,D7902)=0,"Missing in Data2","Present")</f>
        <v>Present</v>
      </c>
    </row>
    <row r="7903" spans="1:5" x14ac:dyDescent="0.25">
      <c r="A7903" s="2" t="s">
        <v>5929</v>
      </c>
      <c r="B7903" s="2" t="s">
        <v>1119</v>
      </c>
      <c r="C7903" s="2">
        <v>2</v>
      </c>
      <c r="D7903" t="str">
        <f t="shared" si="123"/>
        <v>US-2014-110674_FUR-CH-10000225</v>
      </c>
      <c r="E7903" t="str">
        <f>IF(COUNTIF(data2!$D:$D,D7903)=0,"Missing in Data2","Present")</f>
        <v>Present</v>
      </c>
    </row>
    <row r="7904" spans="1:5" x14ac:dyDescent="0.25">
      <c r="A7904" s="2" t="s">
        <v>5930</v>
      </c>
      <c r="B7904" s="2" t="s">
        <v>275</v>
      </c>
      <c r="C7904" s="2">
        <v>5</v>
      </c>
      <c r="D7904" t="str">
        <f t="shared" si="123"/>
        <v>US-2014-111171_OFF-BI-10002103</v>
      </c>
      <c r="E7904" t="str">
        <f>IF(COUNTIF(data2!$D:$D,D7904)=0,"Missing in Data2","Present")</f>
        <v>Present</v>
      </c>
    </row>
    <row r="7905" spans="1:5" x14ac:dyDescent="0.25">
      <c r="A7905" s="2" t="s">
        <v>5931</v>
      </c>
      <c r="B7905" s="2" t="s">
        <v>557</v>
      </c>
      <c r="C7905" s="2">
        <v>2</v>
      </c>
      <c r="D7905" t="str">
        <f t="shared" si="123"/>
        <v>US-2014-111353_OFF-LA-10002762</v>
      </c>
      <c r="E7905" t="str">
        <f>IF(COUNTIF(data2!$D:$D,D7905)=0,"Missing in Data2","Present")</f>
        <v>Present</v>
      </c>
    </row>
    <row r="7906" spans="1:5" x14ac:dyDescent="0.25">
      <c r="A7906" s="2" t="s">
        <v>5932</v>
      </c>
      <c r="B7906" s="2" t="s">
        <v>247</v>
      </c>
      <c r="C7906" s="2">
        <v>5</v>
      </c>
      <c r="D7906" t="str">
        <f t="shared" si="123"/>
        <v>US-2014-112200_OFF-BI-10002571</v>
      </c>
      <c r="E7906" t="str">
        <f>IF(COUNTIF(data2!$D:$D,D7906)=0,"Missing in Data2","Present")</f>
        <v>Present</v>
      </c>
    </row>
    <row r="7907" spans="1:5" x14ac:dyDescent="0.25">
      <c r="A7907" s="2" t="s">
        <v>5933</v>
      </c>
      <c r="B7907" s="2" t="s">
        <v>1380</v>
      </c>
      <c r="C7907" s="2">
        <v>3</v>
      </c>
      <c r="D7907" t="str">
        <f t="shared" si="123"/>
        <v>US-2014-112564_OFF-BI-10004876</v>
      </c>
      <c r="E7907" t="str">
        <f>IF(COUNTIF(data2!$D:$D,D7907)=0,"Missing in Data2","Present")</f>
        <v>Present</v>
      </c>
    </row>
    <row r="7908" spans="1:5" x14ac:dyDescent="0.25">
      <c r="A7908" s="2" t="s">
        <v>5934</v>
      </c>
      <c r="B7908" s="2" t="s">
        <v>3575</v>
      </c>
      <c r="C7908" s="2">
        <v>3</v>
      </c>
      <c r="D7908" t="str">
        <f t="shared" si="123"/>
        <v>US-2014-112795_OFF-PA-10001934</v>
      </c>
      <c r="E7908" t="str">
        <f>IF(COUNTIF(data2!$D:$D,D7908)=0,"Missing in Data2","Present")</f>
        <v>Present</v>
      </c>
    </row>
    <row r="7909" spans="1:5" x14ac:dyDescent="0.25">
      <c r="A7909" s="2" t="s">
        <v>5935</v>
      </c>
      <c r="B7909" s="2" t="s">
        <v>1326</v>
      </c>
      <c r="C7909" s="2">
        <v>1</v>
      </c>
      <c r="D7909" t="str">
        <f t="shared" si="123"/>
        <v>US-2014-112872_FUR-TA-10003238</v>
      </c>
      <c r="E7909" t="str">
        <f>IF(COUNTIF(data2!$D:$D,D7909)=0,"Missing in Data2","Present")</f>
        <v>Present</v>
      </c>
    </row>
    <row r="7910" spans="1:5" x14ac:dyDescent="0.25">
      <c r="A7910" s="2" t="s">
        <v>5935</v>
      </c>
      <c r="B7910" s="2" t="s">
        <v>3266</v>
      </c>
      <c r="C7910" s="2">
        <v>3</v>
      </c>
      <c r="D7910" t="str">
        <f t="shared" si="123"/>
        <v>US-2014-112872_OFF-ST-10002205</v>
      </c>
      <c r="E7910" t="str">
        <f>IF(COUNTIF(data2!$D:$D,D7910)=0,"Missing in Data2","Present")</f>
        <v>Present</v>
      </c>
    </row>
    <row r="7911" spans="1:5" x14ac:dyDescent="0.25">
      <c r="A7911" s="2" t="s">
        <v>5936</v>
      </c>
      <c r="B7911" s="2" t="s">
        <v>437</v>
      </c>
      <c r="C7911" s="2">
        <v>2</v>
      </c>
      <c r="D7911" t="str">
        <f t="shared" si="123"/>
        <v>US-2014-112914_FUR-BO-10003272</v>
      </c>
      <c r="E7911" t="str">
        <f>IF(COUNTIF(data2!$D:$D,D7911)=0,"Missing in Data2","Present")</f>
        <v>Present</v>
      </c>
    </row>
    <row r="7912" spans="1:5" x14ac:dyDescent="0.25">
      <c r="A7912" s="2" t="s">
        <v>5936</v>
      </c>
      <c r="B7912" s="2" t="s">
        <v>1734</v>
      </c>
      <c r="C7912" s="2">
        <v>2</v>
      </c>
      <c r="D7912" t="str">
        <f t="shared" si="123"/>
        <v>US-2014-112914_OFF-BI-10002982</v>
      </c>
      <c r="E7912" t="str">
        <f>IF(COUNTIF(data2!$D:$D,D7912)=0,"Missing in Data2","Present")</f>
        <v>Present</v>
      </c>
    </row>
    <row r="7913" spans="1:5" x14ac:dyDescent="0.25">
      <c r="A7913" s="2" t="s">
        <v>5936</v>
      </c>
      <c r="B7913" s="2" t="s">
        <v>2505</v>
      </c>
      <c r="C7913" s="2">
        <v>2</v>
      </c>
      <c r="D7913" t="str">
        <f t="shared" si="123"/>
        <v>US-2014-112914_OFF-EN-10001509</v>
      </c>
      <c r="E7913" t="str">
        <f>IF(COUNTIF(data2!$D:$D,D7913)=0,"Missing in Data2","Present")</f>
        <v>Present</v>
      </c>
    </row>
    <row r="7914" spans="1:5" x14ac:dyDescent="0.25">
      <c r="A7914" s="2" t="s">
        <v>5936</v>
      </c>
      <c r="B7914" s="2" t="s">
        <v>1164</v>
      </c>
      <c r="C7914" s="2">
        <v>8</v>
      </c>
      <c r="D7914" t="str">
        <f t="shared" si="123"/>
        <v>US-2014-112914_OFF-PA-10003270</v>
      </c>
      <c r="E7914" t="str">
        <f>IF(COUNTIF(data2!$D:$D,D7914)=0,"Missing in Data2","Present")</f>
        <v>Present</v>
      </c>
    </row>
    <row r="7915" spans="1:5" x14ac:dyDescent="0.25">
      <c r="A7915" s="2" t="s">
        <v>5937</v>
      </c>
      <c r="B7915" s="2" t="s">
        <v>136</v>
      </c>
      <c r="C7915" s="2">
        <v>6</v>
      </c>
      <c r="D7915" t="str">
        <f t="shared" si="123"/>
        <v>US-2014-112949_OFF-AP-10001005</v>
      </c>
      <c r="E7915" t="str">
        <f>IF(COUNTIF(data2!$D:$D,D7915)=0,"Missing in Data2","Present")</f>
        <v>Present</v>
      </c>
    </row>
    <row r="7916" spans="1:5" x14ac:dyDescent="0.25">
      <c r="A7916" s="2" t="s">
        <v>5937</v>
      </c>
      <c r="B7916" s="2" t="s">
        <v>719</v>
      </c>
      <c r="C7916" s="2">
        <v>2</v>
      </c>
      <c r="D7916" t="str">
        <f t="shared" si="123"/>
        <v>US-2014-112949_OFF-AR-10003469</v>
      </c>
      <c r="E7916" t="str">
        <f>IF(COUNTIF(data2!$D:$D,D7916)=0,"Missing in Data2","Present")</f>
        <v>Present</v>
      </c>
    </row>
    <row r="7917" spans="1:5" x14ac:dyDescent="0.25">
      <c r="A7917" s="2" t="s">
        <v>5938</v>
      </c>
      <c r="B7917" s="2" t="s">
        <v>2229</v>
      </c>
      <c r="C7917" s="2">
        <v>3</v>
      </c>
      <c r="D7917" t="str">
        <f t="shared" si="123"/>
        <v>US-2014-112991_FUR-CH-10001708</v>
      </c>
      <c r="E7917" t="str">
        <f>IF(COUNTIF(data2!$D:$D,D7917)=0,"Missing in Data2","Present")</f>
        <v>Present</v>
      </c>
    </row>
    <row r="7918" spans="1:5" x14ac:dyDescent="0.25">
      <c r="A7918" s="2" t="s">
        <v>5938</v>
      </c>
      <c r="B7918" s="2" t="s">
        <v>780</v>
      </c>
      <c r="C7918" s="2">
        <v>4</v>
      </c>
      <c r="D7918" t="str">
        <f t="shared" si="123"/>
        <v>US-2014-112991_OFF-PA-10000019</v>
      </c>
      <c r="E7918" t="str">
        <f>IF(COUNTIF(data2!$D:$D,D7918)=0,"Missing in Data2","Present")</f>
        <v>Present</v>
      </c>
    </row>
    <row r="7919" spans="1:5" x14ac:dyDescent="0.25">
      <c r="A7919" s="2" t="s">
        <v>5938</v>
      </c>
      <c r="B7919" s="2" t="s">
        <v>2628</v>
      </c>
      <c r="C7919" s="2">
        <v>4</v>
      </c>
      <c r="D7919" t="str">
        <f t="shared" si="123"/>
        <v>US-2014-112991_OFF-PA-10002222</v>
      </c>
      <c r="E7919" t="str">
        <f>IF(COUNTIF(data2!$D:$D,D7919)=0,"Missing in Data2","Present")</f>
        <v>Present</v>
      </c>
    </row>
    <row r="7920" spans="1:5" x14ac:dyDescent="0.25">
      <c r="A7920" s="2" t="s">
        <v>5939</v>
      </c>
      <c r="B7920" s="2" t="s">
        <v>81</v>
      </c>
      <c r="C7920" s="2">
        <v>2</v>
      </c>
      <c r="D7920" t="str">
        <f t="shared" si="123"/>
        <v>US-2014-113124_OFF-ST-10001511</v>
      </c>
      <c r="E7920" t="str">
        <f>IF(COUNTIF(data2!$D:$D,D7920)=0,"Missing in Data2","Present")</f>
        <v>Present</v>
      </c>
    </row>
    <row r="7921" spans="1:5" x14ac:dyDescent="0.25">
      <c r="A7921" s="2" t="s">
        <v>5940</v>
      </c>
      <c r="B7921" s="2" t="s">
        <v>3486</v>
      </c>
      <c r="C7921" s="2">
        <v>7</v>
      </c>
      <c r="D7921" t="str">
        <f t="shared" si="123"/>
        <v>US-2014-114188_FUR-FU-10000076</v>
      </c>
      <c r="E7921" t="str">
        <f>IF(COUNTIF(data2!$D:$D,D7921)=0,"Missing in Data2","Present")</f>
        <v>Present</v>
      </c>
    </row>
    <row r="7922" spans="1:5" x14ac:dyDescent="0.25">
      <c r="A7922" s="2" t="s">
        <v>5940</v>
      </c>
      <c r="B7922" s="2" t="s">
        <v>5941</v>
      </c>
      <c r="C7922" s="2">
        <v>4</v>
      </c>
      <c r="D7922" t="str">
        <f t="shared" si="123"/>
        <v>US-2014-114188_OFF-AP-10000124</v>
      </c>
      <c r="E7922" t="str">
        <f>IF(COUNTIF(data2!$D:$D,D7922)=0,"Missing in Data2","Present")</f>
        <v>Present</v>
      </c>
    </row>
    <row r="7923" spans="1:5" x14ac:dyDescent="0.25">
      <c r="A7923" s="2" t="s">
        <v>5940</v>
      </c>
      <c r="B7923" s="2" t="s">
        <v>33</v>
      </c>
      <c r="C7923" s="2">
        <v>9</v>
      </c>
      <c r="D7923" t="str">
        <f t="shared" si="123"/>
        <v>US-2014-114188_OFF-AR-10004511</v>
      </c>
      <c r="E7923" t="str">
        <f>IF(COUNTIF(data2!$D:$D,D7923)=0,"Missing in Data2","Present")</f>
        <v>Present</v>
      </c>
    </row>
    <row r="7924" spans="1:5" x14ac:dyDescent="0.25">
      <c r="A7924" s="2" t="s">
        <v>5942</v>
      </c>
      <c r="B7924" s="2" t="s">
        <v>1502</v>
      </c>
      <c r="C7924" s="2">
        <v>5</v>
      </c>
      <c r="D7924" t="str">
        <f t="shared" si="123"/>
        <v>US-2014-114377_FUR-CH-10004754</v>
      </c>
      <c r="E7924" t="str">
        <f>IF(COUNTIF(data2!$D:$D,D7924)=0,"Missing in Data2","Present")</f>
        <v>Present</v>
      </c>
    </row>
    <row r="7925" spans="1:5" x14ac:dyDescent="0.25">
      <c r="A7925" s="2" t="s">
        <v>5943</v>
      </c>
      <c r="B7925" s="2" t="s">
        <v>939</v>
      </c>
      <c r="C7925" s="2">
        <v>3</v>
      </c>
      <c r="D7925" t="str">
        <f t="shared" si="123"/>
        <v>US-2014-115189_FUR-TA-10004575</v>
      </c>
      <c r="E7925" t="str">
        <f>IF(COUNTIF(data2!$D:$D,D7925)=0,"Missing in Data2","Present")</f>
        <v>Present</v>
      </c>
    </row>
    <row r="7926" spans="1:5" x14ac:dyDescent="0.25">
      <c r="A7926" s="2" t="s">
        <v>5943</v>
      </c>
      <c r="B7926" s="2" t="s">
        <v>777</v>
      </c>
      <c r="C7926" s="2">
        <v>6</v>
      </c>
      <c r="D7926" t="str">
        <f t="shared" si="123"/>
        <v>US-2014-115189_TEC-PH-10002170</v>
      </c>
      <c r="E7926" t="str">
        <f>IF(COUNTIF(data2!$D:$D,D7926)=0,"Missing in Data2","Present")</f>
        <v>Present</v>
      </c>
    </row>
    <row r="7927" spans="1:5" x14ac:dyDescent="0.25">
      <c r="A7927" s="2" t="s">
        <v>5944</v>
      </c>
      <c r="B7927" s="2" t="s">
        <v>4687</v>
      </c>
      <c r="C7927" s="2">
        <v>2</v>
      </c>
      <c r="D7927" t="str">
        <f t="shared" si="123"/>
        <v>US-2014-115196_TEC-MA-10002073</v>
      </c>
      <c r="E7927" t="str">
        <f>IF(COUNTIF(data2!$D:$D,D7927)=0,"Missing in Data2","Present")</f>
        <v>Present</v>
      </c>
    </row>
    <row r="7928" spans="1:5" x14ac:dyDescent="0.25">
      <c r="A7928" s="2" t="s">
        <v>5945</v>
      </c>
      <c r="B7928" s="2" t="s">
        <v>3416</v>
      </c>
      <c r="C7928" s="2">
        <v>3</v>
      </c>
      <c r="D7928" t="str">
        <f t="shared" si="123"/>
        <v>US-2014-115413_OFF-AR-10003770</v>
      </c>
      <c r="E7928" t="str">
        <f>IF(COUNTIF(data2!$D:$D,D7928)=0,"Missing in Data2","Present")</f>
        <v>Present</v>
      </c>
    </row>
    <row r="7929" spans="1:5" x14ac:dyDescent="0.25">
      <c r="A7929" s="2" t="s">
        <v>5945</v>
      </c>
      <c r="B7929" s="2" t="s">
        <v>507</v>
      </c>
      <c r="C7929" s="2">
        <v>3</v>
      </c>
      <c r="D7929" t="str">
        <f t="shared" si="123"/>
        <v>US-2014-115413_TEC-AC-10002800</v>
      </c>
      <c r="E7929" t="str">
        <f>IF(COUNTIF(data2!$D:$D,D7929)=0,"Missing in Data2","Present")</f>
        <v>Present</v>
      </c>
    </row>
    <row r="7930" spans="1:5" x14ac:dyDescent="0.25">
      <c r="A7930" s="2" t="s">
        <v>5946</v>
      </c>
      <c r="B7930" s="2" t="s">
        <v>921</v>
      </c>
      <c r="C7930" s="2">
        <v>4</v>
      </c>
      <c r="D7930" t="str">
        <f t="shared" si="123"/>
        <v>US-2014-115987_OFF-BI-10001071</v>
      </c>
      <c r="E7930" t="str">
        <f>IF(COUNTIF(data2!$D:$D,D7930)=0,"Missing in Data2","Present")</f>
        <v>Present</v>
      </c>
    </row>
    <row r="7931" spans="1:5" x14ac:dyDescent="0.25">
      <c r="A7931" s="2" t="s">
        <v>5947</v>
      </c>
      <c r="B7931" s="2" t="s">
        <v>2680</v>
      </c>
      <c r="C7931" s="2">
        <v>6</v>
      </c>
      <c r="D7931" t="str">
        <f t="shared" si="123"/>
        <v>US-2014-117058_OFF-BI-10004139</v>
      </c>
      <c r="E7931" t="str">
        <f>IF(COUNTIF(data2!$D:$D,D7931)=0,"Missing in Data2","Present")</f>
        <v>Present</v>
      </c>
    </row>
    <row r="7932" spans="1:5" x14ac:dyDescent="0.25">
      <c r="A7932" s="2" t="s">
        <v>5948</v>
      </c>
      <c r="B7932" s="2" t="s">
        <v>4399</v>
      </c>
      <c r="C7932" s="2">
        <v>1</v>
      </c>
      <c r="D7932" t="str">
        <f t="shared" si="123"/>
        <v>US-2014-117135_FUR-FU-10004071</v>
      </c>
      <c r="E7932" t="str">
        <f>IF(COUNTIF(data2!$D:$D,D7932)=0,"Missing in Data2","Present")</f>
        <v>Present</v>
      </c>
    </row>
    <row r="7933" spans="1:5" x14ac:dyDescent="0.25">
      <c r="A7933" s="2" t="s">
        <v>5948</v>
      </c>
      <c r="B7933" s="2" t="s">
        <v>260</v>
      </c>
      <c r="C7933" s="2">
        <v>3</v>
      </c>
      <c r="D7933" t="str">
        <f t="shared" si="123"/>
        <v>US-2014-117135_OFF-ST-10002444</v>
      </c>
      <c r="E7933" t="str">
        <f>IF(COUNTIF(data2!$D:$D,D7933)=0,"Missing in Data2","Present")</f>
        <v>Present</v>
      </c>
    </row>
    <row r="7934" spans="1:5" x14ac:dyDescent="0.25">
      <c r="A7934" s="2" t="s">
        <v>5948</v>
      </c>
      <c r="B7934" s="2" t="s">
        <v>547</v>
      </c>
      <c r="C7934" s="2">
        <v>1</v>
      </c>
      <c r="D7934" t="str">
        <f t="shared" si="123"/>
        <v>US-2014-117135_TEC-PH-10002033</v>
      </c>
      <c r="E7934" t="str">
        <f>IF(COUNTIF(data2!$D:$D,D7934)=0,"Missing in Data2","Present")</f>
        <v>Present</v>
      </c>
    </row>
    <row r="7935" spans="1:5" x14ac:dyDescent="0.25">
      <c r="A7935" s="2" t="s">
        <v>5949</v>
      </c>
      <c r="B7935" s="2" t="s">
        <v>1744</v>
      </c>
      <c r="C7935" s="2">
        <v>3</v>
      </c>
      <c r="D7935" t="str">
        <f t="shared" si="123"/>
        <v>US-2014-117163_FUR-TA-10003469</v>
      </c>
      <c r="E7935" t="str">
        <f>IF(COUNTIF(data2!$D:$D,D7935)=0,"Missing in Data2","Present")</f>
        <v>Present</v>
      </c>
    </row>
    <row r="7936" spans="1:5" x14ac:dyDescent="0.25">
      <c r="A7936" s="2" t="s">
        <v>5949</v>
      </c>
      <c r="B7936" s="2" t="s">
        <v>210</v>
      </c>
      <c r="C7936" s="2">
        <v>4</v>
      </c>
      <c r="D7936" t="str">
        <f t="shared" si="123"/>
        <v>US-2014-117163_OFF-AR-10003179</v>
      </c>
      <c r="E7936" t="str">
        <f>IF(COUNTIF(data2!$D:$D,D7936)=0,"Missing in Data2","Present")</f>
        <v>Present</v>
      </c>
    </row>
    <row r="7937" spans="1:5" x14ac:dyDescent="0.25">
      <c r="A7937" s="2" t="s">
        <v>5949</v>
      </c>
      <c r="B7937" s="2" t="s">
        <v>1800</v>
      </c>
      <c r="C7937" s="2">
        <v>1</v>
      </c>
      <c r="D7937" t="str">
        <f t="shared" si="123"/>
        <v>US-2014-117163_OFF-ST-10003692</v>
      </c>
      <c r="E7937" t="str">
        <f>IF(COUNTIF(data2!$D:$D,D7937)=0,"Missing in Data2","Present")</f>
        <v>Present</v>
      </c>
    </row>
    <row r="7938" spans="1:5" x14ac:dyDescent="0.25">
      <c r="A7938" s="2" t="s">
        <v>5950</v>
      </c>
      <c r="B7938" s="2" t="s">
        <v>3999</v>
      </c>
      <c r="C7938" s="2">
        <v>1</v>
      </c>
      <c r="D7938" t="str">
        <f t="shared" si="123"/>
        <v>US-2014-117170_OFF-PA-10000682</v>
      </c>
      <c r="E7938" t="str">
        <f>IF(COUNTIF(data2!$D:$D,D7938)=0,"Missing in Data2","Present")</f>
        <v>Present</v>
      </c>
    </row>
    <row r="7939" spans="1:5" x14ac:dyDescent="0.25">
      <c r="A7939" s="2" t="s">
        <v>5950</v>
      </c>
      <c r="B7939" s="2" t="s">
        <v>2690</v>
      </c>
      <c r="C7939" s="2">
        <v>2</v>
      </c>
      <c r="D7939" t="str">
        <f t="shared" ref="D7939:D8002" si="124">A7939&amp;"_"&amp;B7939</f>
        <v>US-2014-117170_TEC-AC-10001109</v>
      </c>
      <c r="E7939" t="str">
        <f>IF(COUNTIF(data2!$D:$D,D7939)=0,"Missing in Data2","Present")</f>
        <v>Present</v>
      </c>
    </row>
    <row r="7940" spans="1:5" x14ac:dyDescent="0.25">
      <c r="A7940" s="2" t="s">
        <v>5951</v>
      </c>
      <c r="B7940" s="2" t="s">
        <v>2199</v>
      </c>
      <c r="C7940" s="2">
        <v>1</v>
      </c>
      <c r="D7940" t="str">
        <f t="shared" si="124"/>
        <v>US-2014-117380_FUR-TA-10000198</v>
      </c>
      <c r="E7940" t="str">
        <f>IF(COUNTIF(data2!$D:$D,D7940)=0,"Missing in Data2","Present")</f>
        <v>Missing in Data2</v>
      </c>
    </row>
    <row r="7941" spans="1:5" x14ac:dyDescent="0.25">
      <c r="A7941" s="2" t="s">
        <v>5952</v>
      </c>
      <c r="B7941" s="2" t="s">
        <v>678</v>
      </c>
      <c r="C7941" s="2">
        <v>5</v>
      </c>
      <c r="D7941" t="str">
        <f t="shared" si="124"/>
        <v>US-2014-117744_FUR-FU-10001588</v>
      </c>
      <c r="E7941" t="str">
        <f>IF(COUNTIF(data2!$D:$D,D7941)=0,"Missing in Data2","Present")</f>
        <v>Present</v>
      </c>
    </row>
    <row r="7942" spans="1:5" x14ac:dyDescent="0.25">
      <c r="A7942" s="2" t="s">
        <v>5952</v>
      </c>
      <c r="B7942" s="2" t="s">
        <v>359</v>
      </c>
      <c r="C7942" s="2">
        <v>5</v>
      </c>
      <c r="D7942" t="str">
        <f t="shared" si="124"/>
        <v>US-2014-117744_FUR-FU-10002759</v>
      </c>
      <c r="E7942" t="str">
        <f>IF(COUNTIF(data2!$D:$D,D7942)=0,"Missing in Data2","Present")</f>
        <v>Present</v>
      </c>
    </row>
    <row r="7943" spans="1:5" x14ac:dyDescent="0.25">
      <c r="A7943" s="2" t="s">
        <v>5952</v>
      </c>
      <c r="B7943" s="2" t="s">
        <v>3171</v>
      </c>
      <c r="C7943" s="2">
        <v>7</v>
      </c>
      <c r="D7943" t="str">
        <f t="shared" si="124"/>
        <v>US-2014-117744_OFF-AR-10000940</v>
      </c>
      <c r="E7943" t="str">
        <f>IF(COUNTIF(data2!$D:$D,D7943)=0,"Missing in Data2","Present")</f>
        <v>Present</v>
      </c>
    </row>
    <row r="7944" spans="1:5" x14ac:dyDescent="0.25">
      <c r="A7944" s="2" t="s">
        <v>5953</v>
      </c>
      <c r="B7944" s="2" t="s">
        <v>2767</v>
      </c>
      <c r="C7944" s="2">
        <v>5</v>
      </c>
      <c r="D7944" t="str">
        <f t="shared" si="124"/>
        <v>US-2014-117968_FUR-CH-10002335</v>
      </c>
      <c r="E7944" t="str">
        <f>IF(COUNTIF(data2!$D:$D,D7944)=0,"Missing in Data2","Present")</f>
        <v>Present</v>
      </c>
    </row>
    <row r="7945" spans="1:5" x14ac:dyDescent="0.25">
      <c r="A7945" s="2" t="s">
        <v>5953</v>
      </c>
      <c r="B7945" s="2" t="s">
        <v>894</v>
      </c>
      <c r="C7945" s="2">
        <v>3</v>
      </c>
      <c r="D7945" t="str">
        <f t="shared" si="124"/>
        <v>US-2014-117968_OFF-AP-10002765</v>
      </c>
      <c r="E7945" t="str">
        <f>IF(COUNTIF(data2!$D:$D,D7945)=0,"Missing in Data2","Present")</f>
        <v>Present</v>
      </c>
    </row>
    <row r="7946" spans="1:5" x14ac:dyDescent="0.25">
      <c r="A7946" s="2" t="s">
        <v>5953</v>
      </c>
      <c r="B7946" s="2" t="s">
        <v>361</v>
      </c>
      <c r="C7946" s="2">
        <v>2</v>
      </c>
      <c r="D7946" t="str">
        <f t="shared" si="124"/>
        <v>US-2014-117968_OFF-AR-10004165</v>
      </c>
      <c r="E7946" t="str">
        <f>IF(COUNTIF(data2!$D:$D,D7946)=0,"Missing in Data2","Present")</f>
        <v>Present</v>
      </c>
    </row>
    <row r="7947" spans="1:5" x14ac:dyDescent="0.25">
      <c r="A7947" s="2" t="s">
        <v>5954</v>
      </c>
      <c r="B7947" s="2" t="s">
        <v>183</v>
      </c>
      <c r="C7947" s="2">
        <v>3</v>
      </c>
      <c r="D7947" t="str">
        <f t="shared" si="124"/>
        <v>US-2014-118486_FUR-TA-10001039</v>
      </c>
      <c r="E7947" t="str">
        <f>IF(COUNTIF(data2!$D:$D,D7947)=0,"Missing in Data2","Present")</f>
        <v>Present</v>
      </c>
    </row>
    <row r="7948" spans="1:5" x14ac:dyDescent="0.25">
      <c r="A7948" s="2" t="s">
        <v>5954</v>
      </c>
      <c r="B7948" s="2" t="s">
        <v>2537</v>
      </c>
      <c r="C7948" s="2">
        <v>1</v>
      </c>
      <c r="D7948" t="str">
        <f t="shared" si="124"/>
        <v>US-2014-118486_OFF-SU-10004498</v>
      </c>
      <c r="E7948" t="str">
        <f>IF(COUNTIF(data2!$D:$D,D7948)=0,"Missing in Data2","Present")</f>
        <v>Present</v>
      </c>
    </row>
    <row r="7949" spans="1:5" x14ac:dyDescent="0.25">
      <c r="A7949" s="2" t="s">
        <v>5955</v>
      </c>
      <c r="B7949" s="2" t="s">
        <v>2848</v>
      </c>
      <c r="C7949" s="2">
        <v>8</v>
      </c>
      <c r="D7949" t="str">
        <f t="shared" si="124"/>
        <v>US-2014-118997_FUR-TA-10001086</v>
      </c>
      <c r="E7949" t="str">
        <f>IF(COUNTIF(data2!$D:$D,D7949)=0,"Missing in Data2","Present")</f>
        <v>Present</v>
      </c>
    </row>
    <row r="7950" spans="1:5" x14ac:dyDescent="0.25">
      <c r="A7950" s="2" t="s">
        <v>5956</v>
      </c>
      <c r="B7950" s="2" t="s">
        <v>2291</v>
      </c>
      <c r="C7950" s="2">
        <v>2</v>
      </c>
      <c r="D7950" t="str">
        <f t="shared" si="124"/>
        <v>US-2014-119081_FUR-FU-10003464</v>
      </c>
      <c r="E7950" t="str">
        <f>IF(COUNTIF(data2!$D:$D,D7950)=0,"Missing in Data2","Present")</f>
        <v>Present</v>
      </c>
    </row>
    <row r="7951" spans="1:5" x14ac:dyDescent="0.25">
      <c r="A7951" s="2" t="s">
        <v>5956</v>
      </c>
      <c r="B7951" s="2" t="s">
        <v>1989</v>
      </c>
      <c r="C7951" s="2">
        <v>2</v>
      </c>
      <c r="D7951" t="str">
        <f t="shared" si="124"/>
        <v>US-2014-119081_OFF-BI-10004519</v>
      </c>
      <c r="E7951" t="str">
        <f>IF(COUNTIF(data2!$D:$D,D7951)=0,"Missing in Data2","Present")</f>
        <v>Missing in Data2</v>
      </c>
    </row>
    <row r="7952" spans="1:5" x14ac:dyDescent="0.25">
      <c r="A7952" s="2" t="s">
        <v>5956</v>
      </c>
      <c r="B7952" s="2" t="s">
        <v>695</v>
      </c>
      <c r="C7952" s="2">
        <v>3</v>
      </c>
      <c r="D7952" t="str">
        <f t="shared" si="124"/>
        <v>US-2014-119081_OFF-SU-10000157</v>
      </c>
      <c r="E7952" t="str">
        <f>IF(COUNTIF(data2!$D:$D,D7952)=0,"Missing in Data2","Present")</f>
        <v>Present</v>
      </c>
    </row>
    <row r="7953" spans="1:5" x14ac:dyDescent="0.25">
      <c r="A7953" s="2" t="s">
        <v>5956</v>
      </c>
      <c r="B7953" s="2" t="s">
        <v>1012</v>
      </c>
      <c r="C7953" s="2">
        <v>5</v>
      </c>
      <c r="D7953" t="str">
        <f t="shared" si="124"/>
        <v>US-2014-119081_TEC-AC-10001542</v>
      </c>
      <c r="E7953" t="str">
        <f>IF(COUNTIF(data2!$D:$D,D7953)=0,"Missing in Data2","Present")</f>
        <v>Present</v>
      </c>
    </row>
    <row r="7954" spans="1:5" x14ac:dyDescent="0.25">
      <c r="A7954" s="2" t="s">
        <v>5957</v>
      </c>
      <c r="B7954" s="2" t="s">
        <v>1917</v>
      </c>
      <c r="C7954" s="2">
        <v>1</v>
      </c>
      <c r="D7954" t="str">
        <f t="shared" si="124"/>
        <v>US-2014-119137_OFF-AR-10000658</v>
      </c>
      <c r="E7954" t="str">
        <f>IF(COUNTIF(data2!$D:$D,D7954)=0,"Missing in Data2","Present")</f>
        <v>Present</v>
      </c>
    </row>
    <row r="7955" spans="1:5" x14ac:dyDescent="0.25">
      <c r="A7955" s="2" t="s">
        <v>5957</v>
      </c>
      <c r="B7955" s="2" t="s">
        <v>274</v>
      </c>
      <c r="C7955" s="2">
        <v>5</v>
      </c>
      <c r="D7955" t="str">
        <f t="shared" si="124"/>
        <v>US-2014-119137_OFF-BI-10001982</v>
      </c>
      <c r="E7955" t="str">
        <f>IF(COUNTIF(data2!$D:$D,D7955)=0,"Missing in Data2","Present")</f>
        <v>Present</v>
      </c>
    </row>
    <row r="7956" spans="1:5" x14ac:dyDescent="0.25">
      <c r="A7956" s="2" t="s">
        <v>5957</v>
      </c>
      <c r="B7956" s="2" t="s">
        <v>1817</v>
      </c>
      <c r="C7956" s="2">
        <v>10</v>
      </c>
      <c r="D7956" t="str">
        <f t="shared" si="124"/>
        <v>US-2014-119137_TEC-AC-10002076</v>
      </c>
      <c r="E7956" t="str">
        <f>IF(COUNTIF(data2!$D:$D,D7956)=0,"Missing in Data2","Present")</f>
        <v>Present</v>
      </c>
    </row>
    <row r="7957" spans="1:5" x14ac:dyDescent="0.25">
      <c r="A7957" s="2" t="s">
        <v>5957</v>
      </c>
      <c r="B7957" s="2" t="s">
        <v>1574</v>
      </c>
      <c r="C7957" s="2">
        <v>8</v>
      </c>
      <c r="D7957" t="str">
        <f t="shared" si="124"/>
        <v>US-2014-119137_TEC-AC-10003911</v>
      </c>
      <c r="E7957" t="str">
        <f>IF(COUNTIF(data2!$D:$D,D7957)=0,"Missing in Data2","Present")</f>
        <v>Present</v>
      </c>
    </row>
    <row r="7958" spans="1:5" x14ac:dyDescent="0.25">
      <c r="A7958" s="2" t="s">
        <v>5958</v>
      </c>
      <c r="B7958" s="2" t="s">
        <v>2178</v>
      </c>
      <c r="C7958" s="2">
        <v>6</v>
      </c>
      <c r="D7958" t="str">
        <f t="shared" si="124"/>
        <v>US-2014-120175_OFF-EN-10003862</v>
      </c>
      <c r="E7958" t="str">
        <f>IF(COUNTIF(data2!$D:$D,D7958)=0,"Missing in Data2","Present")</f>
        <v>Present</v>
      </c>
    </row>
    <row r="7959" spans="1:5" x14ac:dyDescent="0.25">
      <c r="A7959" s="2" t="s">
        <v>5959</v>
      </c>
      <c r="B7959" s="2" t="s">
        <v>1019</v>
      </c>
      <c r="C7959" s="2">
        <v>5</v>
      </c>
      <c r="D7959" t="str">
        <f t="shared" si="124"/>
        <v>US-2014-120236_OFF-BI-10004099</v>
      </c>
      <c r="E7959" t="str">
        <f>IF(COUNTIF(data2!$D:$D,D7959)=0,"Missing in Data2","Present")</f>
        <v>Present</v>
      </c>
    </row>
    <row r="7960" spans="1:5" x14ac:dyDescent="0.25">
      <c r="A7960" s="2" t="s">
        <v>5960</v>
      </c>
      <c r="B7960" s="2" t="s">
        <v>4072</v>
      </c>
      <c r="C7960" s="2">
        <v>2</v>
      </c>
      <c r="D7960" t="str">
        <f t="shared" si="124"/>
        <v>US-2014-120313_TEC-PH-10003092</v>
      </c>
      <c r="E7960" t="str">
        <f>IF(COUNTIF(data2!$D:$D,D7960)=0,"Missing in Data2","Present")</f>
        <v>Present</v>
      </c>
    </row>
    <row r="7961" spans="1:5" x14ac:dyDescent="0.25">
      <c r="A7961" s="2" t="s">
        <v>5961</v>
      </c>
      <c r="B7961" s="2" t="s">
        <v>118</v>
      </c>
      <c r="C7961" s="2">
        <v>4</v>
      </c>
      <c r="D7961" t="str">
        <f t="shared" si="124"/>
        <v>US-2014-120740_FUR-FU-10004091</v>
      </c>
      <c r="E7961" t="str">
        <f>IF(COUNTIF(data2!$D:$D,D7961)=0,"Missing in Data2","Present")</f>
        <v>Present</v>
      </c>
    </row>
    <row r="7962" spans="1:5" x14ac:dyDescent="0.25">
      <c r="A7962" s="2" t="s">
        <v>5961</v>
      </c>
      <c r="B7962" s="2" t="s">
        <v>1457</v>
      </c>
      <c r="C7962" s="2">
        <v>2</v>
      </c>
      <c r="D7962" t="str">
        <f t="shared" si="124"/>
        <v>US-2014-120740_OFF-AP-10000240</v>
      </c>
      <c r="E7962" t="str">
        <f>IF(COUNTIF(data2!$D:$D,D7962)=0,"Missing in Data2","Present")</f>
        <v>Present</v>
      </c>
    </row>
    <row r="7963" spans="1:5" x14ac:dyDescent="0.25">
      <c r="A7963" s="2" t="s">
        <v>5962</v>
      </c>
      <c r="B7963" s="2" t="s">
        <v>3069</v>
      </c>
      <c r="C7963" s="2">
        <v>3</v>
      </c>
      <c r="D7963" t="str">
        <f t="shared" si="124"/>
        <v>US-2014-121566_OFF-AR-10001026</v>
      </c>
      <c r="E7963" t="str">
        <f>IF(COUNTIF(data2!$D:$D,D7963)=0,"Missing in Data2","Present")</f>
        <v>Present</v>
      </c>
    </row>
    <row r="7964" spans="1:5" x14ac:dyDescent="0.25">
      <c r="A7964" s="2" t="s">
        <v>5962</v>
      </c>
      <c r="B7964" s="2" t="s">
        <v>2806</v>
      </c>
      <c r="C7964" s="2">
        <v>1</v>
      </c>
      <c r="D7964" t="str">
        <f t="shared" si="124"/>
        <v>US-2014-121566_OFF-BI-10004528</v>
      </c>
      <c r="E7964" t="str">
        <f>IF(COUNTIF(data2!$D:$D,D7964)=0,"Missing in Data2","Present")</f>
        <v>Present</v>
      </c>
    </row>
    <row r="7965" spans="1:5" x14ac:dyDescent="0.25">
      <c r="A7965" s="2" t="s">
        <v>5963</v>
      </c>
      <c r="B7965" s="2" t="s">
        <v>1950</v>
      </c>
      <c r="C7965" s="2">
        <v>1</v>
      </c>
      <c r="D7965" t="str">
        <f t="shared" si="124"/>
        <v>US-2014-121734_OFF-BI-10004817</v>
      </c>
      <c r="E7965" t="str">
        <f>IF(COUNTIF(data2!$D:$D,D7965)=0,"Missing in Data2","Present")</f>
        <v>Present</v>
      </c>
    </row>
    <row r="7966" spans="1:5" x14ac:dyDescent="0.25">
      <c r="A7966" s="2" t="s">
        <v>5964</v>
      </c>
      <c r="B7966" s="2" t="s">
        <v>833</v>
      </c>
      <c r="C7966" s="2">
        <v>2</v>
      </c>
      <c r="D7966" t="str">
        <f t="shared" si="124"/>
        <v>US-2014-122021_FUR-CH-10003761</v>
      </c>
      <c r="E7966" t="str">
        <f>IF(COUNTIF(data2!$D:$D,D7966)=0,"Missing in Data2","Present")</f>
        <v>Present</v>
      </c>
    </row>
    <row r="7967" spans="1:5" x14ac:dyDescent="0.25">
      <c r="A7967" s="2" t="s">
        <v>5964</v>
      </c>
      <c r="B7967" s="2" t="s">
        <v>1244</v>
      </c>
      <c r="C7967" s="2">
        <v>2</v>
      </c>
      <c r="D7967" t="str">
        <f t="shared" si="124"/>
        <v>US-2014-122021_OFF-PA-10002230</v>
      </c>
      <c r="E7967" t="str">
        <f>IF(COUNTIF(data2!$D:$D,D7967)=0,"Missing in Data2","Present")</f>
        <v>Present</v>
      </c>
    </row>
    <row r="7968" spans="1:5" x14ac:dyDescent="0.25">
      <c r="A7968" s="2" t="s">
        <v>5965</v>
      </c>
      <c r="B7968" s="2" t="s">
        <v>1382</v>
      </c>
      <c r="C7968" s="2">
        <v>2</v>
      </c>
      <c r="D7968" t="str">
        <f t="shared" si="124"/>
        <v>US-2014-122959_OFF-BI-10003650</v>
      </c>
      <c r="E7968" t="str">
        <f>IF(COUNTIF(data2!$D:$D,D7968)=0,"Missing in Data2","Present")</f>
        <v>Present</v>
      </c>
    </row>
    <row r="7969" spans="1:5" x14ac:dyDescent="0.25">
      <c r="A7969" s="2" t="s">
        <v>5966</v>
      </c>
      <c r="B7969" s="2" t="s">
        <v>1049</v>
      </c>
      <c r="C7969" s="2">
        <v>6</v>
      </c>
      <c r="D7969" t="str">
        <f t="shared" si="124"/>
        <v>US-2014-123183_FUR-BO-10000362</v>
      </c>
      <c r="E7969" t="str">
        <f>IF(COUNTIF(data2!$D:$D,D7969)=0,"Missing in Data2","Present")</f>
        <v>Present</v>
      </c>
    </row>
    <row r="7970" spans="1:5" x14ac:dyDescent="0.25">
      <c r="A7970" s="2" t="s">
        <v>5966</v>
      </c>
      <c r="B7970" s="2" t="s">
        <v>150</v>
      </c>
      <c r="C7970" s="2">
        <v>7</v>
      </c>
      <c r="D7970" t="str">
        <f t="shared" si="124"/>
        <v>US-2014-123183_OFF-BI-10002429</v>
      </c>
      <c r="E7970" t="str">
        <f>IF(COUNTIF(data2!$D:$D,D7970)=0,"Missing in Data2","Present")</f>
        <v>Present</v>
      </c>
    </row>
    <row r="7971" spans="1:5" x14ac:dyDescent="0.25">
      <c r="A7971" s="2" t="s">
        <v>5966</v>
      </c>
      <c r="B7971" s="2" t="s">
        <v>279</v>
      </c>
      <c r="C7971" s="2">
        <v>2</v>
      </c>
      <c r="D7971" t="str">
        <f t="shared" si="124"/>
        <v>US-2014-123183_OFF-LA-10001569</v>
      </c>
      <c r="E7971" t="str">
        <f>IF(COUNTIF(data2!$D:$D,D7971)=0,"Missing in Data2","Present")</f>
        <v>Present</v>
      </c>
    </row>
    <row r="7972" spans="1:5" x14ac:dyDescent="0.25">
      <c r="A7972" s="2" t="s">
        <v>5966</v>
      </c>
      <c r="B7972" s="2" t="s">
        <v>997</v>
      </c>
      <c r="C7972" s="2">
        <v>6</v>
      </c>
      <c r="D7972" t="str">
        <f t="shared" si="124"/>
        <v>US-2014-123183_OFF-LA-10002787</v>
      </c>
      <c r="E7972" t="str">
        <f>IF(COUNTIF(data2!$D:$D,D7972)=0,"Missing in Data2","Present")</f>
        <v>Present</v>
      </c>
    </row>
    <row r="7973" spans="1:5" x14ac:dyDescent="0.25">
      <c r="A7973" s="2" t="s">
        <v>5967</v>
      </c>
      <c r="B7973" s="2" t="s">
        <v>2366</v>
      </c>
      <c r="C7973" s="2">
        <v>1</v>
      </c>
      <c r="D7973" t="str">
        <f t="shared" si="124"/>
        <v>US-2014-123519_FUR-TA-10002645</v>
      </c>
      <c r="E7973" t="str">
        <f>IF(COUNTIF(data2!$D:$D,D7973)=0,"Missing in Data2","Present")</f>
        <v>Present</v>
      </c>
    </row>
    <row r="7974" spans="1:5" x14ac:dyDescent="0.25">
      <c r="A7974" s="2" t="s">
        <v>5967</v>
      </c>
      <c r="B7974" s="2" t="s">
        <v>617</v>
      </c>
      <c r="C7974" s="2">
        <v>1</v>
      </c>
      <c r="D7974" t="str">
        <f t="shared" si="124"/>
        <v>US-2014-123519_OFF-AR-10003829</v>
      </c>
      <c r="E7974" t="str">
        <f>IF(COUNTIF(data2!$D:$D,D7974)=0,"Missing in Data2","Present")</f>
        <v>Present</v>
      </c>
    </row>
    <row r="7975" spans="1:5" x14ac:dyDescent="0.25">
      <c r="A7975" s="2" t="s">
        <v>5968</v>
      </c>
      <c r="B7975" s="2" t="s">
        <v>1870</v>
      </c>
      <c r="C7975" s="2">
        <v>3</v>
      </c>
      <c r="D7975" t="str">
        <f t="shared" si="124"/>
        <v>US-2014-124625_TEC-AC-10003280</v>
      </c>
      <c r="E7975" t="str">
        <f>IF(COUNTIF(data2!$D:$D,D7975)=0,"Missing in Data2","Present")</f>
        <v>Present</v>
      </c>
    </row>
    <row r="7976" spans="1:5" x14ac:dyDescent="0.25">
      <c r="A7976" s="2" t="s">
        <v>5969</v>
      </c>
      <c r="B7976" s="2" t="s">
        <v>1682</v>
      </c>
      <c r="C7976" s="2">
        <v>4</v>
      </c>
      <c r="D7976" t="str">
        <f t="shared" si="124"/>
        <v>US-2014-125521_FUR-CH-10003379</v>
      </c>
      <c r="E7976" t="str">
        <f>IF(COUNTIF(data2!$D:$D,D7976)=0,"Missing in Data2","Present")</f>
        <v>Present</v>
      </c>
    </row>
    <row r="7977" spans="1:5" x14ac:dyDescent="0.25">
      <c r="A7977" s="2" t="s">
        <v>5970</v>
      </c>
      <c r="B7977" s="2" t="s">
        <v>1205</v>
      </c>
      <c r="C7977" s="2">
        <v>3</v>
      </c>
      <c r="D7977" t="str">
        <f t="shared" si="124"/>
        <v>US-2014-126340_TEC-PH-10004447</v>
      </c>
      <c r="E7977" t="str">
        <f>IF(COUNTIF(data2!$D:$D,D7977)=0,"Missing in Data2","Present")</f>
        <v>Present</v>
      </c>
    </row>
    <row r="7978" spans="1:5" x14ac:dyDescent="0.25">
      <c r="A7978" s="2" t="s">
        <v>5971</v>
      </c>
      <c r="B7978" s="2" t="s">
        <v>1646</v>
      </c>
      <c r="C7978" s="2">
        <v>3</v>
      </c>
      <c r="D7978" t="str">
        <f t="shared" si="124"/>
        <v>US-2014-126571_OFF-EN-10002230</v>
      </c>
      <c r="E7978" t="str">
        <f>IF(COUNTIF(data2!$D:$D,D7978)=0,"Missing in Data2","Present")</f>
        <v>Present</v>
      </c>
    </row>
    <row r="7979" spans="1:5" x14ac:dyDescent="0.25">
      <c r="A7979" s="2" t="s">
        <v>5971</v>
      </c>
      <c r="B7979" s="2" t="s">
        <v>2294</v>
      </c>
      <c r="C7979" s="2">
        <v>2</v>
      </c>
      <c r="D7979" t="str">
        <f t="shared" si="124"/>
        <v>US-2014-126571_OFF-ST-10003816</v>
      </c>
      <c r="E7979" t="str">
        <f>IF(COUNTIF(data2!$D:$D,D7979)=0,"Missing in Data2","Present")</f>
        <v>Present</v>
      </c>
    </row>
    <row r="7980" spans="1:5" x14ac:dyDescent="0.25">
      <c r="A7980" s="2" t="s">
        <v>5972</v>
      </c>
      <c r="B7980" s="2" t="s">
        <v>388</v>
      </c>
      <c r="C7980" s="2">
        <v>5</v>
      </c>
      <c r="D7980" t="str">
        <f t="shared" si="124"/>
        <v>US-2014-127635_FUR-FU-10000550</v>
      </c>
      <c r="E7980" t="str">
        <f>IF(COUNTIF(data2!$D:$D,D7980)=0,"Missing in Data2","Present")</f>
        <v>Present</v>
      </c>
    </row>
    <row r="7981" spans="1:5" x14ac:dyDescent="0.25">
      <c r="A7981" s="2" t="s">
        <v>5972</v>
      </c>
      <c r="B7981" s="2" t="s">
        <v>4318</v>
      </c>
      <c r="C7981" s="2">
        <v>2</v>
      </c>
      <c r="D7981" t="str">
        <f t="shared" si="124"/>
        <v>US-2014-127635_OFF-BI-10001721</v>
      </c>
      <c r="E7981" t="str">
        <f>IF(COUNTIF(data2!$D:$D,D7981)=0,"Missing in Data2","Present")</f>
        <v>Present</v>
      </c>
    </row>
    <row r="7982" spans="1:5" x14ac:dyDescent="0.25">
      <c r="A7982" s="2" t="s">
        <v>5972</v>
      </c>
      <c r="B7982" s="2" t="s">
        <v>2305</v>
      </c>
      <c r="C7982" s="2">
        <v>4</v>
      </c>
      <c r="D7982" t="str">
        <f t="shared" si="124"/>
        <v>US-2014-127635_OFF-FA-10000053</v>
      </c>
      <c r="E7982" t="str">
        <f>IF(COUNTIF(data2!$D:$D,D7982)=0,"Missing in Data2","Present")</f>
        <v>Missing in Data2</v>
      </c>
    </row>
    <row r="7983" spans="1:5" x14ac:dyDescent="0.25">
      <c r="A7983" s="2" t="s">
        <v>5972</v>
      </c>
      <c r="B7983" s="2" t="s">
        <v>837</v>
      </c>
      <c r="C7983" s="2">
        <v>2</v>
      </c>
      <c r="D7983" t="str">
        <f t="shared" si="124"/>
        <v>US-2014-127635_OFF-PA-10004610</v>
      </c>
      <c r="E7983" t="str">
        <f>IF(COUNTIF(data2!$D:$D,D7983)=0,"Missing in Data2","Present")</f>
        <v>Missing in Data2</v>
      </c>
    </row>
    <row r="7984" spans="1:5" x14ac:dyDescent="0.25">
      <c r="A7984" s="2" t="s">
        <v>5973</v>
      </c>
      <c r="B7984" s="2" t="s">
        <v>1343</v>
      </c>
      <c r="C7984" s="2">
        <v>5</v>
      </c>
      <c r="D7984" t="str">
        <f t="shared" si="124"/>
        <v>US-2014-127978_FUR-BO-10001972</v>
      </c>
      <c r="E7984" t="str">
        <f>IF(COUNTIF(data2!$D:$D,D7984)=0,"Missing in Data2","Present")</f>
        <v>Present</v>
      </c>
    </row>
    <row r="7985" spans="1:5" x14ac:dyDescent="0.25">
      <c r="A7985" s="2" t="s">
        <v>5973</v>
      </c>
      <c r="B7985" s="2" t="s">
        <v>575</v>
      </c>
      <c r="C7985" s="2">
        <v>3</v>
      </c>
      <c r="D7985" t="str">
        <f t="shared" si="124"/>
        <v>US-2014-127978_OFF-LA-10000305</v>
      </c>
      <c r="E7985" t="str">
        <f>IF(COUNTIF(data2!$D:$D,D7985)=0,"Missing in Data2","Present")</f>
        <v>Present</v>
      </c>
    </row>
    <row r="7986" spans="1:5" x14ac:dyDescent="0.25">
      <c r="A7986" s="2" t="s">
        <v>5973</v>
      </c>
      <c r="B7986" s="2" t="s">
        <v>2470</v>
      </c>
      <c r="C7986" s="2">
        <v>8</v>
      </c>
      <c r="D7986" t="str">
        <f t="shared" si="124"/>
        <v>US-2014-127978_OFF-ST-10002486</v>
      </c>
      <c r="E7986" t="str">
        <f>IF(COUNTIF(data2!$D:$D,D7986)=0,"Missing in Data2","Present")</f>
        <v>Present</v>
      </c>
    </row>
    <row r="7987" spans="1:5" x14ac:dyDescent="0.25">
      <c r="A7987" s="2" t="s">
        <v>5974</v>
      </c>
      <c r="B7987" s="2" t="s">
        <v>70</v>
      </c>
      <c r="C7987" s="2">
        <v>2</v>
      </c>
      <c r="D7987" t="str">
        <f t="shared" si="124"/>
        <v>US-2014-128685_OFF-BI-10004140</v>
      </c>
      <c r="E7987" t="str">
        <f>IF(COUNTIF(data2!$D:$D,D7987)=0,"Missing in Data2","Present")</f>
        <v>Present</v>
      </c>
    </row>
    <row r="7988" spans="1:5" x14ac:dyDescent="0.25">
      <c r="A7988" s="2" t="s">
        <v>5975</v>
      </c>
      <c r="B7988" s="2" t="s">
        <v>1246</v>
      </c>
      <c r="C7988" s="2">
        <v>2</v>
      </c>
      <c r="D7988" t="str">
        <f t="shared" si="124"/>
        <v>US-2014-129609_OFF-AR-10003478</v>
      </c>
      <c r="E7988" t="str">
        <f>IF(COUNTIF(data2!$D:$D,D7988)=0,"Missing in Data2","Present")</f>
        <v>Missing in Data2</v>
      </c>
    </row>
    <row r="7989" spans="1:5" x14ac:dyDescent="0.25">
      <c r="A7989" s="2" t="s">
        <v>5976</v>
      </c>
      <c r="B7989" s="2" t="s">
        <v>5364</v>
      </c>
      <c r="C7989" s="2">
        <v>9</v>
      </c>
      <c r="D7989" t="str">
        <f t="shared" si="124"/>
        <v>US-2014-130358_OFF-AR-10002766</v>
      </c>
      <c r="E7989" t="str">
        <f>IF(COUNTIF(data2!$D:$D,D7989)=0,"Missing in Data2","Present")</f>
        <v>Present</v>
      </c>
    </row>
    <row r="7990" spans="1:5" x14ac:dyDescent="0.25">
      <c r="A7990" s="2" t="s">
        <v>5976</v>
      </c>
      <c r="B7990" s="2" t="s">
        <v>1341</v>
      </c>
      <c r="C7990" s="2">
        <v>1</v>
      </c>
      <c r="D7990" t="str">
        <f t="shared" si="124"/>
        <v>US-2014-130358_OFF-SU-10002522</v>
      </c>
      <c r="E7990" t="str">
        <f>IF(COUNTIF(data2!$D:$D,D7990)=0,"Missing in Data2","Present")</f>
        <v>Present</v>
      </c>
    </row>
    <row r="7991" spans="1:5" x14ac:dyDescent="0.25">
      <c r="A7991" s="2" t="s">
        <v>5977</v>
      </c>
      <c r="B7991" s="2" t="s">
        <v>748</v>
      </c>
      <c r="C7991" s="2">
        <v>2</v>
      </c>
      <c r="D7991" t="str">
        <f t="shared" si="124"/>
        <v>US-2014-130379_FUR-FU-10002553</v>
      </c>
      <c r="E7991" t="str">
        <f>IF(COUNTIF(data2!$D:$D,D7991)=0,"Missing in Data2","Present")</f>
        <v>Present</v>
      </c>
    </row>
    <row r="7992" spans="1:5" x14ac:dyDescent="0.25">
      <c r="A7992" s="2" t="s">
        <v>5977</v>
      </c>
      <c r="B7992" s="2" t="s">
        <v>2622</v>
      </c>
      <c r="C7992" s="2">
        <v>2</v>
      </c>
      <c r="D7992" t="str">
        <f t="shared" si="124"/>
        <v>US-2014-130379_OFF-AP-10001394</v>
      </c>
      <c r="E7992" t="str">
        <f>IF(COUNTIF(data2!$D:$D,D7992)=0,"Missing in Data2","Present")</f>
        <v>Present</v>
      </c>
    </row>
    <row r="7993" spans="1:5" x14ac:dyDescent="0.25">
      <c r="A7993" s="2" t="s">
        <v>5978</v>
      </c>
      <c r="B7993" s="2" t="s">
        <v>2559</v>
      </c>
      <c r="C7993" s="2">
        <v>2</v>
      </c>
      <c r="D7993" t="str">
        <f t="shared" si="124"/>
        <v>US-2014-131275_FUR-FU-10004597</v>
      </c>
      <c r="E7993" t="str">
        <f>IF(COUNTIF(data2!$D:$D,D7993)=0,"Missing in Data2","Present")</f>
        <v>Missing in Data2</v>
      </c>
    </row>
    <row r="7994" spans="1:5" x14ac:dyDescent="0.25">
      <c r="A7994" s="2" t="s">
        <v>5978</v>
      </c>
      <c r="B7994" s="2" t="s">
        <v>835</v>
      </c>
      <c r="C7994" s="2">
        <v>7</v>
      </c>
      <c r="D7994" t="str">
        <f t="shared" si="124"/>
        <v>US-2014-131275_OFF-ST-10000078</v>
      </c>
      <c r="E7994" t="str">
        <f>IF(COUNTIF(data2!$D:$D,D7994)=0,"Missing in Data2","Present")</f>
        <v>Present</v>
      </c>
    </row>
    <row r="7995" spans="1:5" x14ac:dyDescent="0.25">
      <c r="A7995" s="2" t="s">
        <v>5978</v>
      </c>
      <c r="B7995" s="2" t="s">
        <v>3157</v>
      </c>
      <c r="C7995" s="2">
        <v>4</v>
      </c>
      <c r="D7995" t="str">
        <f t="shared" si="124"/>
        <v>US-2014-131275_TEC-MA-10001148</v>
      </c>
      <c r="E7995" t="str">
        <f>IF(COUNTIF(data2!$D:$D,D7995)=0,"Missing in Data2","Present")</f>
        <v>Present</v>
      </c>
    </row>
    <row r="7996" spans="1:5" x14ac:dyDescent="0.25">
      <c r="A7996" s="2" t="s">
        <v>5979</v>
      </c>
      <c r="B7996" s="2" t="s">
        <v>5229</v>
      </c>
      <c r="C7996" s="2">
        <v>6</v>
      </c>
      <c r="D7996" t="str">
        <f t="shared" si="124"/>
        <v>US-2014-131870_FUR-FU-10002501</v>
      </c>
      <c r="E7996" t="str">
        <f>IF(COUNTIF(data2!$D:$D,D7996)=0,"Missing in Data2","Present")</f>
        <v>Present</v>
      </c>
    </row>
    <row r="7997" spans="1:5" x14ac:dyDescent="0.25">
      <c r="A7997" s="2" t="s">
        <v>5979</v>
      </c>
      <c r="B7997" s="2" t="s">
        <v>95</v>
      </c>
      <c r="C7997" s="2">
        <v>9</v>
      </c>
      <c r="D7997" t="str">
        <f t="shared" si="124"/>
        <v>US-2014-131870_OFF-AR-10000634</v>
      </c>
      <c r="E7997" t="str">
        <f>IF(COUNTIF(data2!$D:$D,D7997)=0,"Missing in Data2","Present")</f>
        <v>Present</v>
      </c>
    </row>
    <row r="7998" spans="1:5" x14ac:dyDescent="0.25">
      <c r="A7998" s="2" t="s">
        <v>5980</v>
      </c>
      <c r="B7998" s="2" t="s">
        <v>2608</v>
      </c>
      <c r="C7998" s="2">
        <v>2</v>
      </c>
      <c r="D7998" t="str">
        <f t="shared" si="124"/>
        <v>US-2014-131982_OFF-BI-10004224</v>
      </c>
      <c r="E7998" t="str">
        <f>IF(COUNTIF(data2!$D:$D,D7998)=0,"Missing in Data2","Present")</f>
        <v>Present</v>
      </c>
    </row>
    <row r="7999" spans="1:5" x14ac:dyDescent="0.25">
      <c r="A7999" s="2" t="s">
        <v>5981</v>
      </c>
      <c r="B7999" s="2" t="s">
        <v>670</v>
      </c>
      <c r="C7999" s="2">
        <v>1</v>
      </c>
      <c r="D7999" t="str">
        <f t="shared" si="124"/>
        <v>US-2014-132745_OFF-FA-10000254</v>
      </c>
      <c r="E7999" t="str">
        <f>IF(COUNTIF(data2!$D:$D,D7999)=0,"Missing in Data2","Present")</f>
        <v>Present</v>
      </c>
    </row>
    <row r="8000" spans="1:5" x14ac:dyDescent="0.25">
      <c r="A8000" s="2" t="s">
        <v>5982</v>
      </c>
      <c r="B8000" s="2" t="s">
        <v>16</v>
      </c>
      <c r="C8000" s="2">
        <v>5</v>
      </c>
      <c r="D8000" t="str">
        <f t="shared" si="124"/>
        <v>US-2014-133130_FUR-CH-10002602</v>
      </c>
      <c r="E8000" t="str">
        <f>IF(COUNTIF(data2!$D:$D,D8000)=0,"Missing in Data2","Present")</f>
        <v>Present</v>
      </c>
    </row>
    <row r="8001" spans="1:5" x14ac:dyDescent="0.25">
      <c r="A8001" s="2" t="s">
        <v>5982</v>
      </c>
      <c r="B8001" s="2" t="s">
        <v>1670</v>
      </c>
      <c r="C8001" s="2">
        <v>2</v>
      </c>
      <c r="D8001" t="str">
        <f t="shared" si="124"/>
        <v>US-2014-133130_OFF-PA-10000675</v>
      </c>
      <c r="E8001" t="str">
        <f>IF(COUNTIF(data2!$D:$D,D8001)=0,"Missing in Data2","Present")</f>
        <v>Present</v>
      </c>
    </row>
    <row r="8002" spans="1:5" x14ac:dyDescent="0.25">
      <c r="A8002" s="2" t="s">
        <v>5983</v>
      </c>
      <c r="B8002" s="2" t="s">
        <v>2563</v>
      </c>
      <c r="C8002" s="2">
        <v>7</v>
      </c>
      <c r="D8002" t="str">
        <f t="shared" si="124"/>
        <v>US-2014-133949_TEC-PH-10004908</v>
      </c>
      <c r="E8002" t="str">
        <f>IF(COUNTIF(data2!$D:$D,D8002)=0,"Missing in Data2","Present")</f>
        <v>Present</v>
      </c>
    </row>
    <row r="8003" spans="1:5" x14ac:dyDescent="0.25">
      <c r="A8003" s="2" t="s">
        <v>5984</v>
      </c>
      <c r="B8003" s="2" t="s">
        <v>5690</v>
      </c>
      <c r="C8003" s="2">
        <v>7</v>
      </c>
      <c r="D8003" t="str">
        <f t="shared" ref="D8003:D8066" si="125">A8003&amp;"_"&amp;B8003</f>
        <v>US-2014-134054_OFF-AR-10000937</v>
      </c>
      <c r="E8003" t="str">
        <f>IF(COUNTIF(data2!$D:$D,D8003)=0,"Missing in Data2","Present")</f>
        <v>Present</v>
      </c>
    </row>
    <row r="8004" spans="1:5" x14ac:dyDescent="0.25">
      <c r="A8004" s="2" t="s">
        <v>5985</v>
      </c>
      <c r="B8004" s="2" t="s">
        <v>3171</v>
      </c>
      <c r="C8004" s="2">
        <v>1</v>
      </c>
      <c r="D8004" t="str">
        <f t="shared" si="125"/>
        <v>US-2014-134187_OFF-AR-10000940</v>
      </c>
      <c r="E8004" t="str">
        <f>IF(COUNTIF(data2!$D:$D,D8004)=0,"Missing in Data2","Present")</f>
        <v>Present</v>
      </c>
    </row>
    <row r="8005" spans="1:5" x14ac:dyDescent="0.25">
      <c r="A8005" s="2" t="s">
        <v>5986</v>
      </c>
      <c r="B8005" s="2" t="s">
        <v>1021</v>
      </c>
      <c r="C8005" s="2">
        <v>6</v>
      </c>
      <c r="D8005" t="str">
        <f t="shared" si="125"/>
        <v>US-2014-134614_FUR-TA-10004534</v>
      </c>
      <c r="E8005" t="str">
        <f>IF(COUNTIF(data2!$D:$D,D8005)=0,"Missing in Data2","Present")</f>
        <v>Present</v>
      </c>
    </row>
    <row r="8006" spans="1:5" x14ac:dyDescent="0.25">
      <c r="A8006" s="2" t="s">
        <v>5987</v>
      </c>
      <c r="B8006" s="2" t="s">
        <v>1320</v>
      </c>
      <c r="C8006" s="2">
        <v>2</v>
      </c>
      <c r="D8006" t="str">
        <f t="shared" si="125"/>
        <v>US-2014-134712_OFF-FA-10003112</v>
      </c>
      <c r="E8006" t="str">
        <f>IF(COUNTIF(data2!$D:$D,D8006)=0,"Missing in Data2","Present")</f>
        <v>Present</v>
      </c>
    </row>
    <row r="8007" spans="1:5" x14ac:dyDescent="0.25">
      <c r="A8007" s="2" t="s">
        <v>5988</v>
      </c>
      <c r="B8007" s="2" t="s">
        <v>411</v>
      </c>
      <c r="C8007" s="2">
        <v>3</v>
      </c>
      <c r="D8007" t="str">
        <f t="shared" si="125"/>
        <v>US-2014-134733_FUR-BO-10002916</v>
      </c>
      <c r="E8007" t="str">
        <f>IF(COUNTIF(data2!$D:$D,D8007)=0,"Missing in Data2","Present")</f>
        <v>Present</v>
      </c>
    </row>
    <row r="8008" spans="1:5" x14ac:dyDescent="0.25">
      <c r="A8008" s="2" t="s">
        <v>5988</v>
      </c>
      <c r="B8008" s="2" t="s">
        <v>244</v>
      </c>
      <c r="C8008" s="2">
        <v>2</v>
      </c>
      <c r="D8008" t="str">
        <f t="shared" si="125"/>
        <v>US-2014-134733_TEC-PH-10002726</v>
      </c>
      <c r="E8008" t="str">
        <f>IF(COUNTIF(data2!$D:$D,D8008)=0,"Missing in Data2","Present")</f>
        <v>Present</v>
      </c>
    </row>
    <row r="8009" spans="1:5" x14ac:dyDescent="0.25">
      <c r="A8009" s="2" t="s">
        <v>5989</v>
      </c>
      <c r="B8009" s="2" t="s">
        <v>1117</v>
      </c>
      <c r="C8009" s="2">
        <v>3</v>
      </c>
      <c r="D8009" t="str">
        <f t="shared" si="125"/>
        <v>US-2014-134971_OFF-BI-10003982</v>
      </c>
      <c r="E8009" t="str">
        <f>IF(COUNTIF(data2!$D:$D,D8009)=0,"Missing in Data2","Present")</f>
        <v>Present</v>
      </c>
    </row>
    <row r="8010" spans="1:5" x14ac:dyDescent="0.25">
      <c r="A8010" s="2" t="s">
        <v>5990</v>
      </c>
      <c r="B8010" s="2" t="s">
        <v>563</v>
      </c>
      <c r="C8010" s="2">
        <v>1</v>
      </c>
      <c r="D8010" t="str">
        <f t="shared" si="125"/>
        <v>US-2014-135881_OFF-AP-10002118</v>
      </c>
      <c r="E8010" t="str">
        <f>IF(COUNTIF(data2!$D:$D,D8010)=0,"Missing in Data2","Present")</f>
        <v>Present</v>
      </c>
    </row>
    <row r="8011" spans="1:5" x14ac:dyDescent="0.25">
      <c r="A8011" s="2" t="s">
        <v>5990</v>
      </c>
      <c r="B8011" s="2" t="s">
        <v>419</v>
      </c>
      <c r="C8011" s="2">
        <v>5</v>
      </c>
      <c r="D8011" t="str">
        <f t="shared" si="125"/>
        <v>US-2014-135881_OFF-BI-10000829</v>
      </c>
      <c r="E8011" t="str">
        <f>IF(COUNTIF(data2!$D:$D,D8011)=0,"Missing in Data2","Present")</f>
        <v>Present</v>
      </c>
    </row>
    <row r="8012" spans="1:5" x14ac:dyDescent="0.25">
      <c r="A8012" s="2" t="s">
        <v>5990</v>
      </c>
      <c r="B8012" s="2" t="s">
        <v>3949</v>
      </c>
      <c r="C8012" s="2">
        <v>2</v>
      </c>
      <c r="D8012" t="str">
        <f t="shared" si="125"/>
        <v>US-2014-135881_OFF-SU-10003002</v>
      </c>
      <c r="E8012" t="str">
        <f>IF(COUNTIF(data2!$D:$D,D8012)=0,"Missing in Data2","Present")</f>
        <v>Present</v>
      </c>
    </row>
    <row r="8013" spans="1:5" x14ac:dyDescent="0.25">
      <c r="A8013" s="2" t="s">
        <v>5991</v>
      </c>
      <c r="B8013" s="2" t="s">
        <v>3011</v>
      </c>
      <c r="C8013" s="2">
        <v>3</v>
      </c>
      <c r="D8013" t="str">
        <f t="shared" si="125"/>
        <v>US-2014-135972_TEC-CO-10002313</v>
      </c>
      <c r="E8013" t="str">
        <f>IF(COUNTIF(data2!$D:$D,D8013)=0,"Missing in Data2","Present")</f>
        <v>Present</v>
      </c>
    </row>
    <row r="8014" spans="1:5" x14ac:dyDescent="0.25">
      <c r="A8014" s="2" t="s">
        <v>5991</v>
      </c>
      <c r="B8014" s="2" t="s">
        <v>1980</v>
      </c>
      <c r="C8014" s="2">
        <v>2</v>
      </c>
      <c r="D8014" t="str">
        <f t="shared" si="125"/>
        <v>US-2014-135972_TEC-PH-10003012</v>
      </c>
      <c r="E8014" t="str">
        <f>IF(COUNTIF(data2!$D:$D,D8014)=0,"Missing in Data2","Present")</f>
        <v>Present</v>
      </c>
    </row>
    <row r="8015" spans="1:5" x14ac:dyDescent="0.25">
      <c r="A8015" s="2" t="s">
        <v>5992</v>
      </c>
      <c r="B8015" s="2" t="s">
        <v>2724</v>
      </c>
      <c r="C8015" s="2">
        <v>6</v>
      </c>
      <c r="D8015" t="str">
        <f t="shared" si="125"/>
        <v>US-2014-137155_FUR-FU-10003142</v>
      </c>
      <c r="E8015" t="str">
        <f>IF(COUNTIF(data2!$D:$D,D8015)=0,"Missing in Data2","Present")</f>
        <v>Present</v>
      </c>
    </row>
    <row r="8016" spans="1:5" x14ac:dyDescent="0.25">
      <c r="A8016" s="2" t="s">
        <v>5992</v>
      </c>
      <c r="B8016" s="2" t="s">
        <v>1189</v>
      </c>
      <c r="C8016" s="2">
        <v>3</v>
      </c>
      <c r="D8016" t="str">
        <f t="shared" si="125"/>
        <v>US-2014-137155_OFF-AP-10002518</v>
      </c>
      <c r="E8016" t="str">
        <f>IF(COUNTIF(data2!$D:$D,D8016)=0,"Missing in Data2","Present")</f>
        <v>Present</v>
      </c>
    </row>
    <row r="8017" spans="1:5" x14ac:dyDescent="0.25">
      <c r="A8017" s="2" t="s">
        <v>5993</v>
      </c>
      <c r="B8017" s="2" t="s">
        <v>2029</v>
      </c>
      <c r="C8017" s="2">
        <v>3</v>
      </c>
      <c r="D8017" t="str">
        <f t="shared" si="125"/>
        <v>US-2014-137680_OFF-PA-10000069</v>
      </c>
      <c r="E8017" t="str">
        <f>IF(COUNTIF(data2!$D:$D,D8017)=0,"Missing in Data2","Present")</f>
        <v>Present</v>
      </c>
    </row>
    <row r="8018" spans="1:5" x14ac:dyDescent="0.25">
      <c r="A8018" s="2" t="s">
        <v>5993</v>
      </c>
      <c r="B8018" s="2" t="s">
        <v>155</v>
      </c>
      <c r="C8018" s="2">
        <v>4</v>
      </c>
      <c r="D8018" t="str">
        <f t="shared" si="125"/>
        <v>US-2014-137680_OFF-PA-10000174</v>
      </c>
      <c r="E8018" t="str">
        <f>IF(COUNTIF(data2!$D:$D,D8018)=0,"Missing in Data2","Present")</f>
        <v>Present</v>
      </c>
    </row>
    <row r="8019" spans="1:5" x14ac:dyDescent="0.25">
      <c r="A8019" s="2" t="s">
        <v>5994</v>
      </c>
      <c r="B8019" s="2" t="s">
        <v>318</v>
      </c>
      <c r="C8019" s="2">
        <v>4</v>
      </c>
      <c r="D8019" t="str">
        <f t="shared" si="125"/>
        <v>US-2014-137869_FUR-TA-10003954</v>
      </c>
      <c r="E8019" t="str">
        <f>IF(COUNTIF(data2!$D:$D,D8019)=0,"Missing in Data2","Present")</f>
        <v>Present</v>
      </c>
    </row>
    <row r="8020" spans="1:5" x14ac:dyDescent="0.25">
      <c r="A8020" s="2" t="s">
        <v>5994</v>
      </c>
      <c r="B8020" s="2" t="s">
        <v>2505</v>
      </c>
      <c r="C8020" s="2">
        <v>3</v>
      </c>
      <c r="D8020" t="str">
        <f t="shared" si="125"/>
        <v>US-2014-137869_OFF-EN-10001509</v>
      </c>
      <c r="E8020" t="str">
        <f>IF(COUNTIF(data2!$D:$D,D8020)=0,"Missing in Data2","Present")</f>
        <v>Present</v>
      </c>
    </row>
    <row r="8021" spans="1:5" x14ac:dyDescent="0.25">
      <c r="A8021" s="2" t="s">
        <v>5995</v>
      </c>
      <c r="B8021" s="2" t="s">
        <v>2577</v>
      </c>
      <c r="C8021" s="2">
        <v>1</v>
      </c>
      <c r="D8021" t="str">
        <f t="shared" si="125"/>
        <v>US-2014-138247_FUR-FU-10002554</v>
      </c>
      <c r="E8021" t="str">
        <f>IF(COUNTIF(data2!$D:$D,D8021)=0,"Missing in Data2","Present")</f>
        <v>Present</v>
      </c>
    </row>
    <row r="8022" spans="1:5" x14ac:dyDescent="0.25">
      <c r="A8022" s="2" t="s">
        <v>5995</v>
      </c>
      <c r="B8022" s="2" t="s">
        <v>2407</v>
      </c>
      <c r="C8022" s="2">
        <v>2</v>
      </c>
      <c r="D8022" t="str">
        <f t="shared" si="125"/>
        <v>US-2014-138247_OFF-AP-10000828</v>
      </c>
      <c r="E8022" t="str">
        <f>IF(COUNTIF(data2!$D:$D,D8022)=0,"Missing in Data2","Present")</f>
        <v>Present</v>
      </c>
    </row>
    <row r="8023" spans="1:5" x14ac:dyDescent="0.25">
      <c r="A8023" s="2" t="s">
        <v>5995</v>
      </c>
      <c r="B8023" s="2" t="s">
        <v>1585</v>
      </c>
      <c r="C8023" s="2">
        <v>1</v>
      </c>
      <c r="D8023" t="str">
        <f t="shared" si="125"/>
        <v>US-2014-138247_OFF-ST-10002301</v>
      </c>
      <c r="E8023" t="str">
        <f>IF(COUNTIF(data2!$D:$D,D8023)=0,"Missing in Data2","Present")</f>
        <v>Present</v>
      </c>
    </row>
    <row r="8024" spans="1:5" x14ac:dyDescent="0.25">
      <c r="A8024" s="2" t="s">
        <v>5995</v>
      </c>
      <c r="B8024" s="2" t="s">
        <v>2373</v>
      </c>
      <c r="C8024" s="2">
        <v>3</v>
      </c>
      <c r="D8024" t="str">
        <f t="shared" si="125"/>
        <v>US-2014-138247_TEC-AC-10004708</v>
      </c>
      <c r="E8024" t="str">
        <f>IF(COUNTIF(data2!$D:$D,D8024)=0,"Missing in Data2","Present")</f>
        <v>Present</v>
      </c>
    </row>
    <row r="8025" spans="1:5" x14ac:dyDescent="0.25">
      <c r="A8025" s="2" t="s">
        <v>5995</v>
      </c>
      <c r="B8025" s="2" t="s">
        <v>4758</v>
      </c>
      <c r="C8025" s="2">
        <v>7</v>
      </c>
      <c r="D8025" t="str">
        <f t="shared" si="125"/>
        <v>US-2014-138247_TEC-PH-10000213</v>
      </c>
      <c r="E8025" t="str">
        <f>IF(COUNTIF(data2!$D:$D,D8025)=0,"Missing in Data2","Present")</f>
        <v>Present</v>
      </c>
    </row>
    <row r="8026" spans="1:5" x14ac:dyDescent="0.25">
      <c r="A8026" s="2" t="s">
        <v>5995</v>
      </c>
      <c r="B8026" s="2" t="s">
        <v>602</v>
      </c>
      <c r="C8026" s="2">
        <v>3</v>
      </c>
      <c r="D8026" t="str">
        <f t="shared" si="125"/>
        <v>US-2014-138247_TEC-PH-10001530</v>
      </c>
      <c r="E8026" t="str">
        <f>IF(COUNTIF(data2!$D:$D,D8026)=0,"Missing in Data2","Present")</f>
        <v>Present</v>
      </c>
    </row>
    <row r="8027" spans="1:5" x14ac:dyDescent="0.25">
      <c r="A8027" s="2" t="s">
        <v>5996</v>
      </c>
      <c r="B8027" s="2" t="s">
        <v>1497</v>
      </c>
      <c r="C8027" s="2">
        <v>2</v>
      </c>
      <c r="D8027" t="str">
        <f t="shared" si="125"/>
        <v>US-2014-138758_FUR-CH-10002880</v>
      </c>
      <c r="E8027" t="str">
        <f>IF(COUNTIF(data2!$D:$D,D8027)=0,"Missing in Data2","Present")</f>
        <v>Present</v>
      </c>
    </row>
    <row r="8028" spans="1:5" x14ac:dyDescent="0.25">
      <c r="A8028" s="2" t="s">
        <v>5996</v>
      </c>
      <c r="B8028" s="2" t="s">
        <v>2933</v>
      </c>
      <c r="C8028" s="2">
        <v>2</v>
      </c>
      <c r="D8028" t="str">
        <f t="shared" si="125"/>
        <v>US-2014-138758_FUR-FU-10003039</v>
      </c>
      <c r="E8028" t="str">
        <f>IF(COUNTIF(data2!$D:$D,D8028)=0,"Missing in Data2","Present")</f>
        <v>Present</v>
      </c>
    </row>
    <row r="8029" spans="1:5" x14ac:dyDescent="0.25">
      <c r="A8029" s="2" t="s">
        <v>5997</v>
      </c>
      <c r="B8029" s="2" t="s">
        <v>1917</v>
      </c>
      <c r="C8029" s="2">
        <v>5</v>
      </c>
      <c r="D8029" t="str">
        <f t="shared" si="125"/>
        <v>US-2014-138828_OFF-AR-10000658</v>
      </c>
      <c r="E8029" t="str">
        <f>IF(COUNTIF(data2!$D:$D,D8029)=0,"Missing in Data2","Present")</f>
        <v>Present</v>
      </c>
    </row>
    <row r="8030" spans="1:5" x14ac:dyDescent="0.25">
      <c r="A8030" s="2" t="s">
        <v>5997</v>
      </c>
      <c r="B8030" s="2" t="s">
        <v>1140</v>
      </c>
      <c r="C8030" s="2">
        <v>3</v>
      </c>
      <c r="D8030" t="str">
        <f t="shared" si="125"/>
        <v>US-2014-138828_OFF-PA-10000349</v>
      </c>
      <c r="E8030" t="str">
        <f>IF(COUNTIF(data2!$D:$D,D8030)=0,"Missing in Data2","Present")</f>
        <v>Present</v>
      </c>
    </row>
    <row r="8031" spans="1:5" x14ac:dyDescent="0.25">
      <c r="A8031" s="2" t="s">
        <v>5998</v>
      </c>
      <c r="B8031" s="2" t="s">
        <v>940</v>
      </c>
      <c r="C8031" s="2">
        <v>2</v>
      </c>
      <c r="D8031" t="str">
        <f t="shared" si="125"/>
        <v>US-2014-138835_OFF-BI-10003314</v>
      </c>
      <c r="E8031" t="str">
        <f>IF(COUNTIF(data2!$D:$D,D8031)=0,"Missing in Data2","Present")</f>
        <v>Present</v>
      </c>
    </row>
    <row r="8032" spans="1:5" x14ac:dyDescent="0.25">
      <c r="A8032" s="2" t="s">
        <v>5999</v>
      </c>
      <c r="B8032" s="2" t="s">
        <v>2633</v>
      </c>
      <c r="C8032" s="2">
        <v>2</v>
      </c>
      <c r="D8032" t="str">
        <f t="shared" si="125"/>
        <v>US-2014-139500_FUR-CH-10002017</v>
      </c>
      <c r="E8032" t="str">
        <f>IF(COUNTIF(data2!$D:$D,D8032)=0,"Missing in Data2","Present")</f>
        <v>Present</v>
      </c>
    </row>
    <row r="8033" spans="1:5" x14ac:dyDescent="0.25">
      <c r="A8033" s="2" t="s">
        <v>6000</v>
      </c>
      <c r="B8033" s="2" t="s">
        <v>1219</v>
      </c>
      <c r="C8033" s="2">
        <v>5</v>
      </c>
      <c r="D8033" t="str">
        <f t="shared" si="125"/>
        <v>US-2014-139640_OFF-PA-10000304</v>
      </c>
      <c r="E8033" t="str">
        <f>IF(COUNTIF(data2!$D:$D,D8033)=0,"Missing in Data2","Present")</f>
        <v>Present</v>
      </c>
    </row>
    <row r="8034" spans="1:5" x14ac:dyDescent="0.25">
      <c r="A8034" s="2" t="s">
        <v>6001</v>
      </c>
      <c r="B8034" s="2" t="s">
        <v>1693</v>
      </c>
      <c r="C8034" s="2">
        <v>4</v>
      </c>
      <c r="D8034" t="str">
        <f t="shared" si="125"/>
        <v>US-2014-140116_OFF-AR-10001044</v>
      </c>
      <c r="E8034" t="str">
        <f>IF(COUNTIF(data2!$D:$D,D8034)=0,"Missing in Data2","Present")</f>
        <v>Present</v>
      </c>
    </row>
    <row r="8035" spans="1:5" x14ac:dyDescent="0.25">
      <c r="A8035" s="2" t="s">
        <v>6001</v>
      </c>
      <c r="B8035" s="2" t="s">
        <v>835</v>
      </c>
      <c r="C8035" s="2">
        <v>3</v>
      </c>
      <c r="D8035" t="str">
        <f t="shared" si="125"/>
        <v>US-2014-140116_OFF-ST-10000078</v>
      </c>
      <c r="E8035" t="str">
        <f>IF(COUNTIF(data2!$D:$D,D8035)=0,"Missing in Data2","Present")</f>
        <v>Present</v>
      </c>
    </row>
    <row r="8036" spans="1:5" x14ac:dyDescent="0.25">
      <c r="A8036" s="2" t="s">
        <v>6002</v>
      </c>
      <c r="B8036" s="2" t="s">
        <v>756</v>
      </c>
      <c r="C8036" s="2">
        <v>3</v>
      </c>
      <c r="D8036" t="str">
        <f t="shared" si="125"/>
        <v>US-2014-140452_FUR-FU-10002088</v>
      </c>
      <c r="E8036" t="str">
        <f>IF(COUNTIF(data2!$D:$D,D8036)=0,"Missing in Data2","Present")</f>
        <v>Present</v>
      </c>
    </row>
    <row r="8037" spans="1:5" x14ac:dyDescent="0.25">
      <c r="A8037" s="2" t="s">
        <v>6002</v>
      </c>
      <c r="B8037" s="2" t="s">
        <v>1100</v>
      </c>
      <c r="C8037" s="2">
        <v>5</v>
      </c>
      <c r="D8037" t="str">
        <f t="shared" si="125"/>
        <v>US-2014-140452_FUR-TA-10004086</v>
      </c>
      <c r="E8037" t="str">
        <f>IF(COUNTIF(data2!$D:$D,D8037)=0,"Missing in Data2","Present")</f>
        <v>Present</v>
      </c>
    </row>
    <row r="8038" spans="1:5" x14ac:dyDescent="0.25">
      <c r="A8038" s="2" t="s">
        <v>6002</v>
      </c>
      <c r="B8038" s="2" t="s">
        <v>3906</v>
      </c>
      <c r="C8038" s="2">
        <v>4</v>
      </c>
      <c r="D8038" t="str">
        <f t="shared" si="125"/>
        <v>US-2014-140452_OFF-AP-10004036</v>
      </c>
      <c r="E8038" t="str">
        <f>IF(COUNTIF(data2!$D:$D,D8038)=0,"Missing in Data2","Present")</f>
        <v>Present</v>
      </c>
    </row>
    <row r="8039" spans="1:5" x14ac:dyDescent="0.25">
      <c r="A8039" s="2" t="s">
        <v>6002</v>
      </c>
      <c r="B8039" s="2" t="s">
        <v>1686</v>
      </c>
      <c r="C8039" s="2">
        <v>2</v>
      </c>
      <c r="D8039" t="str">
        <f t="shared" si="125"/>
        <v>US-2014-140452_OFF-BI-10004965</v>
      </c>
      <c r="E8039" t="str">
        <f>IF(COUNTIF(data2!$D:$D,D8039)=0,"Missing in Data2","Present")</f>
        <v>Present</v>
      </c>
    </row>
    <row r="8040" spans="1:5" x14ac:dyDescent="0.25">
      <c r="A8040" s="2" t="s">
        <v>6002</v>
      </c>
      <c r="B8040" s="2" t="s">
        <v>3070</v>
      </c>
      <c r="C8040" s="2">
        <v>2</v>
      </c>
      <c r="D8040" t="str">
        <f t="shared" si="125"/>
        <v>US-2014-140452_OFF-ST-10002485</v>
      </c>
      <c r="E8040" t="str">
        <f>IF(COUNTIF(data2!$D:$D,D8040)=0,"Missing in Data2","Present")</f>
        <v>Present</v>
      </c>
    </row>
    <row r="8041" spans="1:5" x14ac:dyDescent="0.25">
      <c r="A8041" s="2" t="s">
        <v>6002</v>
      </c>
      <c r="B8041" s="2" t="s">
        <v>2131</v>
      </c>
      <c r="C8041" s="2">
        <v>4</v>
      </c>
      <c r="D8041" t="str">
        <f t="shared" si="125"/>
        <v>US-2014-140452_TEC-PH-10000307</v>
      </c>
      <c r="E8041" t="str">
        <f>IF(COUNTIF(data2!$D:$D,D8041)=0,"Missing in Data2","Present")</f>
        <v>Present</v>
      </c>
    </row>
    <row r="8042" spans="1:5" x14ac:dyDescent="0.25">
      <c r="A8042" s="2" t="s">
        <v>6003</v>
      </c>
      <c r="B8042" s="2" t="s">
        <v>1682</v>
      </c>
      <c r="C8042" s="2">
        <v>4</v>
      </c>
      <c r="D8042" t="str">
        <f t="shared" si="125"/>
        <v>US-2014-140914_FUR-CH-10003379</v>
      </c>
      <c r="E8042" t="str">
        <f>IF(COUNTIF(data2!$D:$D,D8042)=0,"Missing in Data2","Present")</f>
        <v>Present</v>
      </c>
    </row>
    <row r="8043" spans="1:5" x14ac:dyDescent="0.25">
      <c r="A8043" s="2" t="s">
        <v>6003</v>
      </c>
      <c r="B8043" s="2" t="s">
        <v>4530</v>
      </c>
      <c r="C8043" s="2">
        <v>2</v>
      </c>
      <c r="D8043" t="str">
        <f t="shared" si="125"/>
        <v>US-2014-140914_FUR-FU-10000175</v>
      </c>
      <c r="E8043" t="str">
        <f>IF(COUNTIF(data2!$D:$D,D8043)=0,"Missing in Data2","Present")</f>
        <v>Present</v>
      </c>
    </row>
    <row r="8044" spans="1:5" x14ac:dyDescent="0.25">
      <c r="A8044" s="2" t="s">
        <v>6004</v>
      </c>
      <c r="B8044" s="2" t="s">
        <v>1682</v>
      </c>
      <c r="C8044" s="2">
        <v>4</v>
      </c>
      <c r="D8044" t="str">
        <f t="shared" si="125"/>
        <v>US-2014-141215_FUR-CH-10003379</v>
      </c>
      <c r="E8044" t="str">
        <f>IF(COUNTIF(data2!$D:$D,D8044)=0,"Missing in Data2","Present")</f>
        <v>Present</v>
      </c>
    </row>
    <row r="8045" spans="1:5" x14ac:dyDescent="0.25">
      <c r="A8045" s="2" t="s">
        <v>6004</v>
      </c>
      <c r="B8045" s="2" t="s">
        <v>2601</v>
      </c>
      <c r="C8045" s="2">
        <v>2</v>
      </c>
      <c r="D8045" t="str">
        <f t="shared" si="125"/>
        <v>US-2014-141215_FUR-TA-10001520</v>
      </c>
      <c r="E8045" t="str">
        <f>IF(COUNTIF(data2!$D:$D,D8045)=0,"Missing in Data2","Present")</f>
        <v>Present</v>
      </c>
    </row>
    <row r="8046" spans="1:5" x14ac:dyDescent="0.25">
      <c r="A8046" s="2" t="s">
        <v>6004</v>
      </c>
      <c r="B8046" s="2" t="s">
        <v>965</v>
      </c>
      <c r="C8046" s="2">
        <v>3</v>
      </c>
      <c r="D8046" t="str">
        <f t="shared" si="125"/>
        <v>US-2014-141215_OFF-BI-10002706</v>
      </c>
      <c r="E8046" t="str">
        <f>IF(COUNTIF(data2!$D:$D,D8046)=0,"Missing in Data2","Present")</f>
        <v>Present</v>
      </c>
    </row>
    <row r="8047" spans="1:5" x14ac:dyDescent="0.25">
      <c r="A8047" s="2" t="s">
        <v>6005</v>
      </c>
      <c r="B8047" s="2" t="s">
        <v>5229</v>
      </c>
      <c r="C8047" s="2">
        <v>5</v>
      </c>
      <c r="D8047" t="str">
        <f t="shared" si="125"/>
        <v>US-2014-143231_FUR-FU-10002501</v>
      </c>
      <c r="E8047" t="str">
        <f>IF(COUNTIF(data2!$D:$D,D8047)=0,"Missing in Data2","Present")</f>
        <v>Present</v>
      </c>
    </row>
    <row r="8048" spans="1:5" x14ac:dyDescent="0.25">
      <c r="A8048" s="2" t="s">
        <v>6005</v>
      </c>
      <c r="B8048" s="2" t="s">
        <v>2665</v>
      </c>
      <c r="C8048" s="2">
        <v>3</v>
      </c>
      <c r="D8048" t="str">
        <f t="shared" si="125"/>
        <v>US-2014-143231_TEC-AC-10000358</v>
      </c>
      <c r="E8048" t="str">
        <f>IF(COUNTIF(data2!$D:$D,D8048)=0,"Missing in Data2","Present")</f>
        <v>Present</v>
      </c>
    </row>
    <row r="8049" spans="1:5" x14ac:dyDescent="0.25">
      <c r="A8049" s="2" t="s">
        <v>6006</v>
      </c>
      <c r="B8049" s="2" t="s">
        <v>3791</v>
      </c>
      <c r="C8049" s="2">
        <v>4</v>
      </c>
      <c r="D8049" t="str">
        <f t="shared" si="125"/>
        <v>US-2014-143287_OFF-PA-10004039</v>
      </c>
      <c r="E8049" t="str">
        <f>IF(COUNTIF(data2!$D:$D,D8049)=0,"Missing in Data2","Present")</f>
        <v>Present</v>
      </c>
    </row>
    <row r="8050" spans="1:5" x14ac:dyDescent="0.25">
      <c r="A8050" s="2" t="s">
        <v>6006</v>
      </c>
      <c r="B8050" s="2" t="s">
        <v>911</v>
      </c>
      <c r="C8050" s="2">
        <v>2</v>
      </c>
      <c r="D8050" t="str">
        <f t="shared" si="125"/>
        <v>US-2014-143287_OFF-SU-10001574</v>
      </c>
      <c r="E8050" t="str">
        <f>IF(COUNTIF(data2!$D:$D,D8050)=0,"Missing in Data2","Present")</f>
        <v>Present</v>
      </c>
    </row>
    <row r="8051" spans="1:5" x14ac:dyDescent="0.25">
      <c r="A8051" s="2" t="s">
        <v>6007</v>
      </c>
      <c r="B8051" s="2" t="s">
        <v>632</v>
      </c>
      <c r="C8051" s="2">
        <v>3</v>
      </c>
      <c r="D8051" t="str">
        <f t="shared" si="125"/>
        <v>US-2014-143581_OFF-ST-10000991</v>
      </c>
      <c r="E8051" t="str">
        <f>IF(COUNTIF(data2!$D:$D,D8051)=0,"Missing in Data2","Present")</f>
        <v>Present</v>
      </c>
    </row>
    <row r="8052" spans="1:5" x14ac:dyDescent="0.25">
      <c r="A8052" s="2" t="s">
        <v>6008</v>
      </c>
      <c r="B8052" s="2" t="s">
        <v>5278</v>
      </c>
      <c r="C8052" s="2">
        <v>3</v>
      </c>
      <c r="D8052" t="str">
        <f t="shared" si="125"/>
        <v>US-2014-143707_TEC-PH-10003655</v>
      </c>
      <c r="E8052" t="str">
        <f>IF(COUNTIF(data2!$D:$D,D8052)=0,"Missing in Data2","Present")</f>
        <v>Present</v>
      </c>
    </row>
    <row r="8053" spans="1:5" x14ac:dyDescent="0.25">
      <c r="A8053" s="2" t="s">
        <v>6009</v>
      </c>
      <c r="B8053" s="2" t="s">
        <v>2314</v>
      </c>
      <c r="C8053" s="2">
        <v>2</v>
      </c>
      <c r="D8053" t="str">
        <f t="shared" si="125"/>
        <v>US-2014-143721_FUR-CH-10001973</v>
      </c>
      <c r="E8053" t="str">
        <f>IF(COUNTIF(data2!$D:$D,D8053)=0,"Missing in Data2","Present")</f>
        <v>Present</v>
      </c>
    </row>
    <row r="8054" spans="1:5" x14ac:dyDescent="0.25">
      <c r="A8054" s="2" t="s">
        <v>6010</v>
      </c>
      <c r="B8054" s="2" t="s">
        <v>2767</v>
      </c>
      <c r="C8054" s="2">
        <v>4</v>
      </c>
      <c r="D8054" t="str">
        <f t="shared" si="125"/>
        <v>US-2014-144078_FUR-CH-10002335</v>
      </c>
      <c r="E8054" t="str">
        <f>IF(COUNTIF(data2!$D:$D,D8054)=0,"Missing in Data2","Present")</f>
        <v>Present</v>
      </c>
    </row>
    <row r="8055" spans="1:5" x14ac:dyDescent="0.25">
      <c r="A8055" s="2" t="s">
        <v>6010</v>
      </c>
      <c r="B8055" s="2" t="s">
        <v>5208</v>
      </c>
      <c r="C8055" s="2">
        <v>3</v>
      </c>
      <c r="D8055" t="str">
        <f t="shared" si="125"/>
        <v>US-2014-144078_OFF-AR-10004707</v>
      </c>
      <c r="E8055" t="str">
        <f>IF(COUNTIF(data2!$D:$D,D8055)=0,"Missing in Data2","Present")</f>
        <v>Present</v>
      </c>
    </row>
    <row r="8056" spans="1:5" x14ac:dyDescent="0.25">
      <c r="A8056" s="2" t="s">
        <v>6010</v>
      </c>
      <c r="B8056" s="2" t="s">
        <v>3446</v>
      </c>
      <c r="C8056" s="2">
        <v>5</v>
      </c>
      <c r="D8056" t="str">
        <f t="shared" si="125"/>
        <v>US-2014-144078_TEC-PH-10001580</v>
      </c>
      <c r="E8056" t="str">
        <f>IF(COUNTIF(data2!$D:$D,D8056)=0,"Missing in Data2","Present")</f>
        <v>Present</v>
      </c>
    </row>
    <row r="8057" spans="1:5" x14ac:dyDescent="0.25">
      <c r="A8057" s="2" t="s">
        <v>6011</v>
      </c>
      <c r="B8057" s="2" t="s">
        <v>609</v>
      </c>
      <c r="C8057" s="2">
        <v>4</v>
      </c>
      <c r="D8057" t="str">
        <f t="shared" si="125"/>
        <v>US-2014-146353_OFF-BI-10003476</v>
      </c>
      <c r="E8057" t="str">
        <f>IF(COUNTIF(data2!$D:$D,D8057)=0,"Missing in Data2","Present")</f>
        <v>Present</v>
      </c>
    </row>
    <row r="8058" spans="1:5" x14ac:dyDescent="0.25">
      <c r="A8058" s="2" t="s">
        <v>6011</v>
      </c>
      <c r="B8058" s="2" t="s">
        <v>764</v>
      </c>
      <c r="C8058" s="2">
        <v>5</v>
      </c>
      <c r="D8058" t="str">
        <f t="shared" si="125"/>
        <v>US-2014-146353_OFF-ST-10001469</v>
      </c>
      <c r="E8058" t="str">
        <f>IF(COUNTIF(data2!$D:$D,D8058)=0,"Missing in Data2","Present")</f>
        <v>Present</v>
      </c>
    </row>
    <row r="8059" spans="1:5" x14ac:dyDescent="0.25">
      <c r="A8059" s="2" t="s">
        <v>6012</v>
      </c>
      <c r="B8059" s="2" t="s">
        <v>1390</v>
      </c>
      <c r="C8059" s="2">
        <v>5</v>
      </c>
      <c r="D8059" t="str">
        <f t="shared" si="125"/>
        <v>US-2014-147606_FUR-FU-10003194</v>
      </c>
      <c r="E8059" t="str">
        <f>IF(COUNTIF(data2!$D:$D,D8059)=0,"Missing in Data2","Present")</f>
        <v>Present</v>
      </c>
    </row>
    <row r="8060" spans="1:5" x14ac:dyDescent="0.25">
      <c r="A8060" s="2" t="s">
        <v>6013</v>
      </c>
      <c r="B8060" s="2" t="s">
        <v>3451</v>
      </c>
      <c r="C8060" s="2">
        <v>3</v>
      </c>
      <c r="D8060" t="str">
        <f t="shared" si="125"/>
        <v>US-2014-147627_FUR-CH-10002331</v>
      </c>
      <c r="E8060" t="str">
        <f>IF(COUNTIF(data2!$D:$D,D8060)=0,"Missing in Data2","Present")</f>
        <v>Present</v>
      </c>
    </row>
    <row r="8061" spans="1:5" x14ac:dyDescent="0.25">
      <c r="A8061" s="2" t="s">
        <v>6013</v>
      </c>
      <c r="B8061" s="2" t="s">
        <v>1390</v>
      </c>
      <c r="C8061" s="2">
        <v>4</v>
      </c>
      <c r="D8061" t="str">
        <f t="shared" si="125"/>
        <v>US-2014-147627_FUR-FU-10003194</v>
      </c>
      <c r="E8061" t="str">
        <f>IF(COUNTIF(data2!$D:$D,D8061)=0,"Missing in Data2","Present")</f>
        <v>Present</v>
      </c>
    </row>
    <row r="8062" spans="1:5" x14ac:dyDescent="0.25">
      <c r="A8062" s="2" t="s">
        <v>6013</v>
      </c>
      <c r="B8062" s="2" t="s">
        <v>396</v>
      </c>
      <c r="C8062" s="2">
        <v>7</v>
      </c>
      <c r="D8062" t="str">
        <f t="shared" si="125"/>
        <v>US-2014-147627_OFF-AR-10002375</v>
      </c>
      <c r="E8062" t="str">
        <f>IF(COUNTIF(data2!$D:$D,D8062)=0,"Missing in Data2","Present")</f>
        <v>Present</v>
      </c>
    </row>
    <row r="8063" spans="1:5" x14ac:dyDescent="0.25">
      <c r="A8063" s="2" t="s">
        <v>6013</v>
      </c>
      <c r="B8063" s="2" t="s">
        <v>4063</v>
      </c>
      <c r="C8063" s="2">
        <v>3</v>
      </c>
      <c r="D8063" t="str">
        <f t="shared" si="125"/>
        <v>US-2014-147627_OFF-AR-10003811</v>
      </c>
      <c r="E8063" t="str">
        <f>IF(COUNTIF(data2!$D:$D,D8063)=0,"Missing in Data2","Present")</f>
        <v>Present</v>
      </c>
    </row>
    <row r="8064" spans="1:5" x14ac:dyDescent="0.25">
      <c r="A8064" s="2" t="s">
        <v>6013</v>
      </c>
      <c r="B8064" s="2" t="s">
        <v>1493</v>
      </c>
      <c r="C8064" s="2">
        <v>3</v>
      </c>
      <c r="D8064" t="str">
        <f t="shared" si="125"/>
        <v>US-2014-147627_OFF-EN-10001539</v>
      </c>
      <c r="E8064" t="str">
        <f>IF(COUNTIF(data2!$D:$D,D8064)=0,"Missing in Data2","Present")</f>
        <v>Present</v>
      </c>
    </row>
    <row r="8065" spans="1:5" x14ac:dyDescent="0.25">
      <c r="A8065" s="2" t="s">
        <v>6013</v>
      </c>
      <c r="B8065" s="2" t="s">
        <v>3567</v>
      </c>
      <c r="C8065" s="2">
        <v>7</v>
      </c>
      <c r="D8065" t="str">
        <f t="shared" si="125"/>
        <v>US-2014-147627_TEC-PH-10001061</v>
      </c>
      <c r="E8065" t="str">
        <f>IF(COUNTIF(data2!$D:$D,D8065)=0,"Missing in Data2","Present")</f>
        <v>Present</v>
      </c>
    </row>
    <row r="8066" spans="1:5" x14ac:dyDescent="0.25">
      <c r="A8066" s="2" t="s">
        <v>6014</v>
      </c>
      <c r="B8066" s="2" t="s">
        <v>1435</v>
      </c>
      <c r="C8066" s="2">
        <v>2</v>
      </c>
      <c r="D8066" t="str">
        <f t="shared" si="125"/>
        <v>US-2014-147648_OFF-PA-10001033</v>
      </c>
      <c r="E8066" t="str">
        <f>IF(COUNTIF(data2!$D:$D,D8066)=0,"Missing in Data2","Present")</f>
        <v>Present</v>
      </c>
    </row>
    <row r="8067" spans="1:5" x14ac:dyDescent="0.25">
      <c r="A8067" s="2" t="s">
        <v>6015</v>
      </c>
      <c r="B8067" s="2" t="s">
        <v>3393</v>
      </c>
      <c r="C8067" s="2">
        <v>4</v>
      </c>
      <c r="D8067" t="str">
        <f t="shared" ref="D8067:D8130" si="126">A8067&amp;"_"&amp;B8067</f>
        <v>US-2014-147704_OFF-BI-10001634</v>
      </c>
      <c r="E8067" t="str">
        <f>IF(COUNTIF(data2!$D:$D,D8067)=0,"Missing in Data2","Present")</f>
        <v>Present</v>
      </c>
    </row>
    <row r="8068" spans="1:5" x14ac:dyDescent="0.25">
      <c r="A8068" s="2" t="s">
        <v>6015</v>
      </c>
      <c r="B8068" s="2" t="s">
        <v>1494</v>
      </c>
      <c r="C8068" s="2">
        <v>5</v>
      </c>
      <c r="D8068" t="str">
        <f t="shared" si="126"/>
        <v>US-2014-147704_OFF-EN-10004483</v>
      </c>
      <c r="E8068" t="str">
        <f>IF(COUNTIF(data2!$D:$D,D8068)=0,"Missing in Data2","Present")</f>
        <v>Present</v>
      </c>
    </row>
    <row r="8069" spans="1:5" x14ac:dyDescent="0.25">
      <c r="A8069" s="2" t="s">
        <v>6015</v>
      </c>
      <c r="B8069" s="2" t="s">
        <v>1164</v>
      </c>
      <c r="C8069" s="2">
        <v>6</v>
      </c>
      <c r="D8069" t="str">
        <f t="shared" si="126"/>
        <v>US-2014-147704_OFF-PA-10003270</v>
      </c>
      <c r="E8069" t="str">
        <f>IF(COUNTIF(data2!$D:$D,D8069)=0,"Missing in Data2","Present")</f>
        <v>Present</v>
      </c>
    </row>
    <row r="8070" spans="1:5" x14ac:dyDescent="0.25">
      <c r="A8070" s="2" t="s">
        <v>6015</v>
      </c>
      <c r="B8070" s="2" t="s">
        <v>1584</v>
      </c>
      <c r="C8070" s="2">
        <v>5</v>
      </c>
      <c r="D8070" t="str">
        <f t="shared" si="126"/>
        <v>US-2014-147704_OFF-ST-10000675</v>
      </c>
      <c r="E8070" t="str">
        <f>IF(COUNTIF(data2!$D:$D,D8070)=0,"Missing in Data2","Present")</f>
        <v>Present</v>
      </c>
    </row>
    <row r="8071" spans="1:5" x14ac:dyDescent="0.25">
      <c r="A8071" s="2" t="s">
        <v>6016</v>
      </c>
      <c r="B8071" s="2" t="s">
        <v>5266</v>
      </c>
      <c r="C8071" s="2">
        <v>1</v>
      </c>
      <c r="D8071" t="str">
        <f t="shared" si="126"/>
        <v>US-2014-147774_OFF-BI-10003091</v>
      </c>
      <c r="E8071" t="str">
        <f>IF(COUNTIF(data2!$D:$D,D8071)=0,"Missing in Data2","Present")</f>
        <v>Present</v>
      </c>
    </row>
    <row r="8072" spans="1:5" x14ac:dyDescent="0.25">
      <c r="A8072" s="2" t="s">
        <v>6017</v>
      </c>
      <c r="B8072" s="2" t="s">
        <v>240</v>
      </c>
      <c r="C8072" s="2">
        <v>7</v>
      </c>
      <c r="D8072" t="str">
        <f t="shared" si="126"/>
        <v>US-2014-148194_FUR-FU-10001852</v>
      </c>
      <c r="E8072" t="str">
        <f>IF(COUNTIF(data2!$D:$D,D8072)=0,"Missing in Data2","Present")</f>
        <v>Present</v>
      </c>
    </row>
    <row r="8073" spans="1:5" x14ac:dyDescent="0.25">
      <c r="A8073" s="2" t="s">
        <v>6017</v>
      </c>
      <c r="B8073" s="2" t="s">
        <v>1221</v>
      </c>
      <c r="C8073" s="2">
        <v>4</v>
      </c>
      <c r="D8073" t="str">
        <f t="shared" si="126"/>
        <v>US-2014-148194_OFF-AP-10000696</v>
      </c>
      <c r="E8073" t="str">
        <f>IF(COUNTIF(data2!$D:$D,D8073)=0,"Missing in Data2","Present")</f>
        <v>Present</v>
      </c>
    </row>
    <row r="8074" spans="1:5" x14ac:dyDescent="0.25">
      <c r="A8074" s="2" t="s">
        <v>6018</v>
      </c>
      <c r="B8074" s="2" t="s">
        <v>4769</v>
      </c>
      <c r="C8074" s="2">
        <v>4</v>
      </c>
      <c r="D8074" t="str">
        <f t="shared" si="126"/>
        <v>US-2014-148838_FUR-TA-10001950</v>
      </c>
      <c r="E8074" t="str">
        <f>IF(COUNTIF(data2!$D:$D,D8074)=0,"Missing in Data2","Present")</f>
        <v>Present</v>
      </c>
    </row>
    <row r="8075" spans="1:5" x14ac:dyDescent="0.25">
      <c r="A8075" s="2" t="s">
        <v>6018</v>
      </c>
      <c r="B8075" s="2" t="s">
        <v>1806</v>
      </c>
      <c r="C8075" s="2">
        <v>7</v>
      </c>
      <c r="D8075" t="str">
        <f t="shared" si="126"/>
        <v>US-2014-148838_FUR-TA-10003473</v>
      </c>
      <c r="E8075" t="str">
        <f>IF(COUNTIF(data2!$D:$D,D8075)=0,"Missing in Data2","Present")</f>
        <v>Present</v>
      </c>
    </row>
    <row r="8076" spans="1:5" x14ac:dyDescent="0.25">
      <c r="A8076" s="2" t="s">
        <v>6018</v>
      </c>
      <c r="B8076" s="2" t="s">
        <v>584</v>
      </c>
      <c r="C8076" s="2">
        <v>3</v>
      </c>
      <c r="D8076" t="str">
        <f t="shared" si="126"/>
        <v>US-2014-148838_FUR-TA-10004175</v>
      </c>
      <c r="E8076" t="str">
        <f>IF(COUNTIF(data2!$D:$D,D8076)=0,"Missing in Data2","Present")</f>
        <v>Present</v>
      </c>
    </row>
    <row r="8077" spans="1:5" x14ac:dyDescent="0.25">
      <c r="A8077" s="2" t="s">
        <v>6018</v>
      </c>
      <c r="B8077" s="2" t="s">
        <v>6019</v>
      </c>
      <c r="C8077" s="2">
        <v>4</v>
      </c>
      <c r="D8077" t="str">
        <f t="shared" si="126"/>
        <v>US-2014-148838_OFF-PA-10000919</v>
      </c>
      <c r="E8077" t="str">
        <f>IF(COUNTIF(data2!$D:$D,D8077)=0,"Missing in Data2","Present")</f>
        <v>Present</v>
      </c>
    </row>
    <row r="8078" spans="1:5" x14ac:dyDescent="0.25">
      <c r="A8078" s="2" t="s">
        <v>6018</v>
      </c>
      <c r="B8078" s="2" t="s">
        <v>6020</v>
      </c>
      <c r="C8078" s="2">
        <v>7</v>
      </c>
      <c r="D8078" t="str">
        <f t="shared" si="126"/>
        <v>US-2014-148838_OFF-PA-10002960</v>
      </c>
      <c r="E8078" t="str">
        <f>IF(COUNTIF(data2!$D:$D,D8078)=0,"Missing in Data2","Present")</f>
        <v>Present</v>
      </c>
    </row>
    <row r="8079" spans="1:5" x14ac:dyDescent="0.25">
      <c r="A8079" s="2" t="s">
        <v>6021</v>
      </c>
      <c r="B8079" s="2" t="s">
        <v>324</v>
      </c>
      <c r="C8079" s="2">
        <v>1</v>
      </c>
      <c r="D8079" t="str">
        <f t="shared" si="126"/>
        <v>US-2014-149034_TEC-AC-10003023</v>
      </c>
      <c r="E8079" t="str">
        <f>IF(COUNTIF(data2!$D:$D,D8079)=0,"Missing in Data2","Present")</f>
        <v>Present</v>
      </c>
    </row>
    <row r="8080" spans="1:5" x14ac:dyDescent="0.25">
      <c r="A8080" s="2" t="s">
        <v>6022</v>
      </c>
      <c r="B8080" s="2" t="s">
        <v>949</v>
      </c>
      <c r="C8080" s="2">
        <v>4</v>
      </c>
      <c r="D8080" t="str">
        <f t="shared" si="126"/>
        <v>US-2014-150119_FUR-CH-10002965</v>
      </c>
      <c r="E8080" t="str">
        <f>IF(COUNTIF(data2!$D:$D,D8080)=0,"Missing in Data2","Present")</f>
        <v>Missing in Data2</v>
      </c>
    </row>
    <row r="8081" spans="1:5" x14ac:dyDescent="0.25">
      <c r="A8081" s="2" t="s">
        <v>6022</v>
      </c>
      <c r="B8081" s="2" t="s">
        <v>1452</v>
      </c>
      <c r="C8081" s="2">
        <v>4</v>
      </c>
      <c r="D8081" t="str">
        <f t="shared" si="126"/>
        <v>US-2014-150119_FUR-FU-10002191</v>
      </c>
      <c r="E8081" t="str">
        <f>IF(COUNTIF(data2!$D:$D,D8081)=0,"Missing in Data2","Present")</f>
        <v>Present</v>
      </c>
    </row>
    <row r="8082" spans="1:5" x14ac:dyDescent="0.25">
      <c r="A8082" s="2" t="s">
        <v>6022</v>
      </c>
      <c r="B8082" s="2" t="s">
        <v>1152</v>
      </c>
      <c r="C8082" s="2">
        <v>8</v>
      </c>
      <c r="D8082" t="str">
        <f t="shared" si="126"/>
        <v>US-2014-150119_OFF-BI-10000145</v>
      </c>
      <c r="E8082" t="str">
        <f>IF(COUNTIF(data2!$D:$D,D8082)=0,"Missing in Data2","Present")</f>
        <v>Present</v>
      </c>
    </row>
    <row r="8083" spans="1:5" x14ac:dyDescent="0.25">
      <c r="A8083" s="2" t="s">
        <v>6023</v>
      </c>
      <c r="B8083" s="2" t="s">
        <v>4826</v>
      </c>
      <c r="C8083" s="2">
        <v>11</v>
      </c>
      <c r="D8083" t="str">
        <f t="shared" si="126"/>
        <v>US-2014-150126_OFF-PA-10002709</v>
      </c>
      <c r="E8083" t="str">
        <f>IF(COUNTIF(data2!$D:$D,D8083)=0,"Missing in Data2","Present")</f>
        <v>Present</v>
      </c>
    </row>
    <row r="8084" spans="1:5" x14ac:dyDescent="0.25">
      <c r="A8084" s="2" t="s">
        <v>6024</v>
      </c>
      <c r="B8084" s="2" t="s">
        <v>1939</v>
      </c>
      <c r="C8084" s="2">
        <v>1</v>
      </c>
      <c r="D8084" t="str">
        <f t="shared" si="126"/>
        <v>US-2014-150434_FUR-TA-10004152</v>
      </c>
      <c r="E8084" t="str">
        <f>IF(COUNTIF(data2!$D:$D,D8084)=0,"Missing in Data2","Present")</f>
        <v>Present</v>
      </c>
    </row>
    <row r="8085" spans="1:5" x14ac:dyDescent="0.25">
      <c r="A8085" s="2" t="s">
        <v>6024</v>
      </c>
      <c r="B8085" s="2" t="s">
        <v>197</v>
      </c>
      <c r="C8085" s="2">
        <v>1</v>
      </c>
      <c r="D8085" t="str">
        <f t="shared" si="126"/>
        <v>US-2014-150434_OFF-BI-10002160</v>
      </c>
      <c r="E8085" t="str">
        <f>IF(COUNTIF(data2!$D:$D,D8085)=0,"Missing in Data2","Present")</f>
        <v>Present</v>
      </c>
    </row>
    <row r="8086" spans="1:5" x14ac:dyDescent="0.25">
      <c r="A8086" s="2" t="s">
        <v>6024</v>
      </c>
      <c r="B8086" s="2" t="s">
        <v>2516</v>
      </c>
      <c r="C8086" s="2">
        <v>2</v>
      </c>
      <c r="D8086" t="str">
        <f t="shared" si="126"/>
        <v>US-2014-150434_OFF-BI-10003694</v>
      </c>
      <c r="E8086" t="str">
        <f>IF(COUNTIF(data2!$D:$D,D8086)=0,"Missing in Data2","Present")</f>
        <v>Present</v>
      </c>
    </row>
    <row r="8087" spans="1:5" x14ac:dyDescent="0.25">
      <c r="A8087" s="2" t="s">
        <v>6024</v>
      </c>
      <c r="B8087" s="2" t="s">
        <v>148</v>
      </c>
      <c r="C8087" s="2">
        <v>2</v>
      </c>
      <c r="D8087" t="str">
        <f t="shared" si="126"/>
        <v>US-2014-150434_TEC-PH-10000895</v>
      </c>
      <c r="E8087" t="str">
        <f>IF(COUNTIF(data2!$D:$D,D8087)=0,"Missing in Data2","Present")</f>
        <v>Present</v>
      </c>
    </row>
    <row r="8088" spans="1:5" x14ac:dyDescent="0.25">
      <c r="A8088" s="2" t="s">
        <v>6025</v>
      </c>
      <c r="B8088" s="2" t="s">
        <v>1790</v>
      </c>
      <c r="C8088" s="2">
        <v>5</v>
      </c>
      <c r="D8088" t="str">
        <f t="shared" si="126"/>
        <v>US-2014-150532_OFF-ST-10000760</v>
      </c>
      <c r="E8088" t="str">
        <f>IF(COUNTIF(data2!$D:$D,D8088)=0,"Missing in Data2","Present")</f>
        <v>Present</v>
      </c>
    </row>
    <row r="8089" spans="1:5" x14ac:dyDescent="0.25">
      <c r="A8089" s="2" t="s">
        <v>6026</v>
      </c>
      <c r="B8089" s="2" t="s">
        <v>2501</v>
      </c>
      <c r="C8089" s="2">
        <v>5</v>
      </c>
      <c r="D8089" t="str">
        <f t="shared" si="126"/>
        <v>US-2014-150574_TEC-AC-10002600</v>
      </c>
      <c r="E8089" t="str">
        <f>IF(COUNTIF(data2!$D:$D,D8089)=0,"Missing in Data2","Present")</f>
        <v>Present</v>
      </c>
    </row>
    <row r="8090" spans="1:5" x14ac:dyDescent="0.25">
      <c r="A8090" s="2" t="s">
        <v>6027</v>
      </c>
      <c r="B8090" s="2" t="s">
        <v>2891</v>
      </c>
      <c r="C8090" s="2">
        <v>5</v>
      </c>
      <c r="D8090" t="str">
        <f t="shared" si="126"/>
        <v>US-2014-150924_OFF-BI-10004040</v>
      </c>
      <c r="E8090" t="str">
        <f>IF(COUNTIF(data2!$D:$D,D8090)=0,"Missing in Data2","Present")</f>
        <v>Present</v>
      </c>
    </row>
    <row r="8091" spans="1:5" x14ac:dyDescent="0.25">
      <c r="A8091" s="2" t="s">
        <v>6028</v>
      </c>
      <c r="B8091" s="2" t="s">
        <v>9</v>
      </c>
      <c r="C8091" s="2">
        <v>3</v>
      </c>
      <c r="D8091" t="str">
        <f t="shared" si="126"/>
        <v>US-2014-151015_OFF-BI-10000343</v>
      </c>
      <c r="E8091" t="str">
        <f>IF(COUNTIF(data2!$D:$D,D8091)=0,"Missing in Data2","Present")</f>
        <v>Present</v>
      </c>
    </row>
    <row r="8092" spans="1:5" x14ac:dyDescent="0.25">
      <c r="A8092" s="2" t="s">
        <v>6028</v>
      </c>
      <c r="B8092" s="2" t="s">
        <v>2955</v>
      </c>
      <c r="C8092" s="2">
        <v>4</v>
      </c>
      <c r="D8092" t="str">
        <f t="shared" si="126"/>
        <v>US-2014-151015_OFF-PA-10001184</v>
      </c>
      <c r="E8092" t="str">
        <f>IF(COUNTIF(data2!$D:$D,D8092)=0,"Missing in Data2","Present")</f>
        <v>Present</v>
      </c>
    </row>
    <row r="8093" spans="1:5" x14ac:dyDescent="0.25">
      <c r="A8093" s="2" t="s">
        <v>6028</v>
      </c>
      <c r="B8093" s="2" t="s">
        <v>1376</v>
      </c>
      <c r="C8093" s="2">
        <v>13</v>
      </c>
      <c r="D8093" t="str">
        <f t="shared" si="126"/>
        <v>US-2014-151015_OFF-PA-10002581</v>
      </c>
      <c r="E8093" t="str">
        <f>IF(COUNTIF(data2!$D:$D,D8093)=0,"Missing in Data2","Present")</f>
        <v>Present</v>
      </c>
    </row>
    <row r="8094" spans="1:5" x14ac:dyDescent="0.25">
      <c r="A8094" s="2" t="s">
        <v>6029</v>
      </c>
      <c r="B8094" s="2" t="s">
        <v>181</v>
      </c>
      <c r="C8094" s="2">
        <v>3</v>
      </c>
      <c r="D8094" t="str">
        <f t="shared" si="126"/>
        <v>US-2014-152030_FUR-CH-10004063</v>
      </c>
      <c r="E8094" t="str">
        <f>IF(COUNTIF(data2!$D:$D,D8094)=0,"Missing in Data2","Present")</f>
        <v>Present</v>
      </c>
    </row>
    <row r="8095" spans="1:5" x14ac:dyDescent="0.25">
      <c r="A8095" s="2" t="s">
        <v>6030</v>
      </c>
      <c r="B8095" s="2" t="s">
        <v>2342</v>
      </c>
      <c r="C8095" s="2">
        <v>1</v>
      </c>
      <c r="D8095" t="str">
        <f t="shared" si="126"/>
        <v>US-2014-152723_OFF-BI-10003460</v>
      </c>
      <c r="E8095" t="str">
        <f>IF(COUNTIF(data2!$D:$D,D8095)=0,"Missing in Data2","Present")</f>
        <v>Present</v>
      </c>
    </row>
    <row r="8096" spans="1:5" x14ac:dyDescent="0.25">
      <c r="A8096" s="2" t="s">
        <v>6031</v>
      </c>
      <c r="B8096" s="2" t="s">
        <v>1850</v>
      </c>
      <c r="C8096" s="2">
        <v>2</v>
      </c>
      <c r="D8096" t="str">
        <f t="shared" si="126"/>
        <v>US-2014-154655_OFF-SU-10000898</v>
      </c>
      <c r="E8096" t="str">
        <f>IF(COUNTIF(data2!$D:$D,D8096)=0,"Missing in Data2","Present")</f>
        <v>Present</v>
      </c>
    </row>
    <row r="8097" spans="1:5" x14ac:dyDescent="0.25">
      <c r="A8097" s="2" t="s">
        <v>6032</v>
      </c>
      <c r="B8097" s="2" t="s">
        <v>1080</v>
      </c>
      <c r="C8097" s="2">
        <v>6</v>
      </c>
      <c r="D8097" t="str">
        <f t="shared" si="126"/>
        <v>US-2014-154879_OFF-AR-10001897</v>
      </c>
      <c r="E8097" t="str">
        <f>IF(COUNTIF(data2!$D:$D,D8097)=0,"Missing in Data2","Present")</f>
        <v>Present</v>
      </c>
    </row>
    <row r="8098" spans="1:5" x14ac:dyDescent="0.25">
      <c r="A8098" s="2" t="s">
        <v>6032</v>
      </c>
      <c r="B8098" s="2" t="s">
        <v>153</v>
      </c>
      <c r="C8098" s="2">
        <v>2</v>
      </c>
      <c r="D8098" t="str">
        <f t="shared" si="126"/>
        <v>US-2014-154879_OFF-LA-10004425</v>
      </c>
      <c r="E8098" t="str">
        <f>IF(COUNTIF(data2!$D:$D,D8098)=0,"Missing in Data2","Present")</f>
        <v>Missing in Data2</v>
      </c>
    </row>
    <row r="8099" spans="1:5" x14ac:dyDescent="0.25">
      <c r="A8099" s="2" t="s">
        <v>6033</v>
      </c>
      <c r="B8099" s="2" t="s">
        <v>2864</v>
      </c>
      <c r="C8099" s="2">
        <v>3</v>
      </c>
      <c r="D8099" t="str">
        <f t="shared" si="126"/>
        <v>US-2014-155502_FUR-FU-10001847</v>
      </c>
      <c r="E8099" t="str">
        <f>IF(COUNTIF(data2!$D:$D,D8099)=0,"Missing in Data2","Present")</f>
        <v>Present</v>
      </c>
    </row>
    <row r="8100" spans="1:5" x14ac:dyDescent="0.25">
      <c r="A8100" s="2" t="s">
        <v>6033</v>
      </c>
      <c r="B8100" s="2" t="s">
        <v>709</v>
      </c>
      <c r="C8100" s="2">
        <v>3</v>
      </c>
      <c r="D8100" t="str">
        <f t="shared" si="126"/>
        <v>US-2014-155502_FUR-FU-10004587</v>
      </c>
      <c r="E8100" t="str">
        <f>IF(COUNTIF(data2!$D:$D,D8100)=0,"Missing in Data2","Present")</f>
        <v>Present</v>
      </c>
    </row>
    <row r="8101" spans="1:5" x14ac:dyDescent="0.25">
      <c r="A8101" s="2" t="s">
        <v>6033</v>
      </c>
      <c r="B8101" s="2" t="s">
        <v>2655</v>
      </c>
      <c r="C8101" s="2">
        <v>2</v>
      </c>
      <c r="D8101" t="str">
        <f t="shared" si="126"/>
        <v>US-2014-155502_OFF-PA-10000380</v>
      </c>
      <c r="E8101" t="str">
        <f>IF(COUNTIF(data2!$D:$D,D8101)=0,"Missing in Data2","Present")</f>
        <v>Present</v>
      </c>
    </row>
    <row r="8102" spans="1:5" x14ac:dyDescent="0.25">
      <c r="A8102" s="2" t="s">
        <v>6033</v>
      </c>
      <c r="B8102" s="2" t="s">
        <v>1724</v>
      </c>
      <c r="C8102" s="2">
        <v>3</v>
      </c>
      <c r="D8102" t="str">
        <f t="shared" si="126"/>
        <v>US-2014-155502_OFF-PA-10003072</v>
      </c>
      <c r="E8102" t="str">
        <f>IF(COUNTIF(data2!$D:$D,D8102)=0,"Missing in Data2","Present")</f>
        <v>Present</v>
      </c>
    </row>
    <row r="8103" spans="1:5" x14ac:dyDescent="0.25">
      <c r="A8103" s="2" t="s">
        <v>6033</v>
      </c>
      <c r="B8103" s="2" t="s">
        <v>184</v>
      </c>
      <c r="C8103" s="2">
        <v>8</v>
      </c>
      <c r="D8103" t="str">
        <f t="shared" si="126"/>
        <v>US-2014-155502_OFF-ST-10004337</v>
      </c>
      <c r="E8103" t="str">
        <f>IF(COUNTIF(data2!$D:$D,D8103)=0,"Missing in Data2","Present")</f>
        <v>Present</v>
      </c>
    </row>
    <row r="8104" spans="1:5" x14ac:dyDescent="0.25">
      <c r="A8104" s="2" t="s">
        <v>6033</v>
      </c>
      <c r="B8104" s="2" t="s">
        <v>1425</v>
      </c>
      <c r="C8104" s="2">
        <v>2</v>
      </c>
      <c r="D8104" t="str">
        <f t="shared" si="126"/>
        <v>US-2014-155502_TEC-PH-10002103</v>
      </c>
      <c r="E8104" t="str">
        <f>IF(COUNTIF(data2!$D:$D,D8104)=0,"Missing in Data2","Present")</f>
        <v>Present</v>
      </c>
    </row>
    <row r="8105" spans="1:5" x14ac:dyDescent="0.25">
      <c r="A8105" s="2" t="s">
        <v>6033</v>
      </c>
      <c r="B8105" s="2" t="s">
        <v>3748</v>
      </c>
      <c r="C8105" s="2">
        <v>13</v>
      </c>
      <c r="D8105" t="str">
        <f t="shared" si="126"/>
        <v>US-2014-155502_TEC-PH-10004833</v>
      </c>
      <c r="E8105" t="str">
        <f>IF(COUNTIF(data2!$D:$D,D8105)=0,"Missing in Data2","Present")</f>
        <v>Present</v>
      </c>
    </row>
    <row r="8106" spans="1:5" x14ac:dyDescent="0.25">
      <c r="A8106" s="2" t="s">
        <v>6034</v>
      </c>
      <c r="B8106" s="2" t="s">
        <v>335</v>
      </c>
      <c r="C8106" s="2">
        <v>3</v>
      </c>
      <c r="D8106" t="str">
        <f t="shared" si="126"/>
        <v>US-2014-155544_FUR-CH-10000422</v>
      </c>
      <c r="E8106" t="str">
        <f>IF(COUNTIF(data2!$D:$D,D8106)=0,"Missing in Data2","Present")</f>
        <v>Present</v>
      </c>
    </row>
    <row r="8107" spans="1:5" x14ac:dyDescent="0.25">
      <c r="A8107" s="2" t="s">
        <v>6034</v>
      </c>
      <c r="B8107" s="2" t="s">
        <v>1529</v>
      </c>
      <c r="C8107" s="2">
        <v>3</v>
      </c>
      <c r="D8107" t="str">
        <f t="shared" si="126"/>
        <v>US-2014-155544_FUR-FU-10001473</v>
      </c>
      <c r="E8107" t="str">
        <f>IF(COUNTIF(data2!$D:$D,D8107)=0,"Missing in Data2","Present")</f>
        <v>Present</v>
      </c>
    </row>
    <row r="8108" spans="1:5" x14ac:dyDescent="0.25">
      <c r="A8108" s="2" t="s">
        <v>6034</v>
      </c>
      <c r="B8108" s="2" t="s">
        <v>2582</v>
      </c>
      <c r="C8108" s="2">
        <v>5</v>
      </c>
      <c r="D8108" t="str">
        <f t="shared" si="126"/>
        <v>US-2014-155544_OFF-LA-10004544</v>
      </c>
      <c r="E8108" t="str">
        <f>IF(COUNTIF(data2!$D:$D,D8108)=0,"Missing in Data2","Present")</f>
        <v>Present</v>
      </c>
    </row>
    <row r="8109" spans="1:5" x14ac:dyDescent="0.25">
      <c r="A8109" s="2" t="s">
        <v>6035</v>
      </c>
      <c r="B8109" s="2" t="s">
        <v>1628</v>
      </c>
      <c r="C8109" s="2">
        <v>3</v>
      </c>
      <c r="D8109" t="str">
        <f t="shared" si="126"/>
        <v>US-2014-155817_OFF-AR-10002335</v>
      </c>
      <c r="E8109" t="str">
        <f>IF(COUNTIF(data2!$D:$D,D8109)=0,"Missing in Data2","Present")</f>
        <v>Present</v>
      </c>
    </row>
    <row r="8110" spans="1:5" x14ac:dyDescent="0.25">
      <c r="A8110" s="2" t="s">
        <v>6035</v>
      </c>
      <c r="B8110" s="2" t="s">
        <v>51</v>
      </c>
      <c r="C8110" s="2">
        <v>2</v>
      </c>
      <c r="D8110" t="str">
        <f t="shared" si="126"/>
        <v>US-2014-155817_OFF-ST-10000532</v>
      </c>
      <c r="E8110" t="str">
        <f>IF(COUNTIF(data2!$D:$D,D8110)=0,"Missing in Data2","Present")</f>
        <v>Present</v>
      </c>
    </row>
    <row r="8111" spans="1:5" x14ac:dyDescent="0.25">
      <c r="A8111" s="2" t="s">
        <v>6036</v>
      </c>
      <c r="B8111" s="2" t="s">
        <v>2460</v>
      </c>
      <c r="C8111" s="2">
        <v>3</v>
      </c>
      <c r="D8111" t="str">
        <f t="shared" si="126"/>
        <v>US-2014-155894_OFF-ST-10004804</v>
      </c>
      <c r="E8111" t="str">
        <f>IF(COUNTIF(data2!$D:$D,D8111)=0,"Missing in Data2","Present")</f>
        <v>Present</v>
      </c>
    </row>
    <row r="8112" spans="1:5" x14ac:dyDescent="0.25">
      <c r="A8112" s="2" t="s">
        <v>6037</v>
      </c>
      <c r="B8112" s="2" t="s">
        <v>1816</v>
      </c>
      <c r="C8112" s="2">
        <v>7</v>
      </c>
      <c r="D8112" t="str">
        <f t="shared" si="126"/>
        <v>US-2014-156216_OFF-BI-10001679</v>
      </c>
      <c r="E8112" t="str">
        <f>IF(COUNTIF(data2!$D:$D,D8112)=0,"Missing in Data2","Present")</f>
        <v>Present</v>
      </c>
    </row>
    <row r="8113" spans="1:5" x14ac:dyDescent="0.25">
      <c r="A8113" s="2" t="s">
        <v>6038</v>
      </c>
      <c r="B8113" s="2" t="s">
        <v>1210</v>
      </c>
      <c r="C8113" s="2">
        <v>9</v>
      </c>
      <c r="D8113" t="str">
        <f t="shared" si="126"/>
        <v>US-2014-156559_FUR-BO-10000711</v>
      </c>
      <c r="E8113" t="str">
        <f>IF(COUNTIF(data2!$D:$D,D8113)=0,"Missing in Data2","Present")</f>
        <v>Present</v>
      </c>
    </row>
    <row r="8114" spans="1:5" x14ac:dyDescent="0.25">
      <c r="A8114" s="2" t="s">
        <v>6039</v>
      </c>
      <c r="B8114" s="2" t="s">
        <v>1886</v>
      </c>
      <c r="C8114" s="2">
        <v>4</v>
      </c>
      <c r="D8114" t="str">
        <f t="shared" si="126"/>
        <v>US-2014-157021_OFF-BI-10000042</v>
      </c>
      <c r="E8114" t="str">
        <f>IF(COUNTIF(data2!$D:$D,D8114)=0,"Missing in Data2","Present")</f>
        <v>Present</v>
      </c>
    </row>
    <row r="8115" spans="1:5" x14ac:dyDescent="0.25">
      <c r="A8115" s="2" t="s">
        <v>6039</v>
      </c>
      <c r="B8115" s="2" t="s">
        <v>1044</v>
      </c>
      <c r="C8115" s="2">
        <v>2</v>
      </c>
      <c r="D8115" t="str">
        <f t="shared" si="126"/>
        <v>US-2014-157021_OFF-LA-10002312</v>
      </c>
      <c r="E8115" t="str">
        <f>IF(COUNTIF(data2!$D:$D,D8115)=0,"Missing in Data2","Present")</f>
        <v>Present</v>
      </c>
    </row>
    <row r="8116" spans="1:5" x14ac:dyDescent="0.25">
      <c r="A8116" s="2" t="s">
        <v>6040</v>
      </c>
      <c r="B8116" s="2" t="s">
        <v>1618</v>
      </c>
      <c r="C8116" s="2">
        <v>5</v>
      </c>
      <c r="D8116" t="str">
        <f t="shared" si="126"/>
        <v>US-2014-157070_OFF-AP-10004859</v>
      </c>
      <c r="E8116" t="str">
        <f>IF(COUNTIF(data2!$D:$D,D8116)=0,"Missing in Data2","Present")</f>
        <v>Present</v>
      </c>
    </row>
    <row r="8117" spans="1:5" x14ac:dyDescent="0.25">
      <c r="A8117" s="2" t="s">
        <v>6040</v>
      </c>
      <c r="B8117" s="2" t="s">
        <v>224</v>
      </c>
      <c r="C8117" s="2">
        <v>4</v>
      </c>
      <c r="D8117" t="str">
        <f t="shared" si="126"/>
        <v>US-2014-157070_OFF-BI-10001765</v>
      </c>
      <c r="E8117" t="str">
        <f>IF(COUNTIF(data2!$D:$D,D8117)=0,"Missing in Data2","Present")</f>
        <v>Present</v>
      </c>
    </row>
    <row r="8118" spans="1:5" x14ac:dyDescent="0.25">
      <c r="A8118" s="2" t="s">
        <v>6041</v>
      </c>
      <c r="B8118" s="2" t="s">
        <v>480</v>
      </c>
      <c r="C8118" s="2">
        <v>7</v>
      </c>
      <c r="D8118" t="str">
        <f t="shared" si="126"/>
        <v>US-2014-157231_OFF-BI-10002852</v>
      </c>
      <c r="E8118" t="str">
        <f>IF(COUNTIF(data2!$D:$D,D8118)=0,"Missing in Data2","Present")</f>
        <v>Present</v>
      </c>
    </row>
    <row r="8119" spans="1:5" x14ac:dyDescent="0.25">
      <c r="A8119" s="2" t="s">
        <v>6042</v>
      </c>
      <c r="B8119" s="2" t="s">
        <v>1520</v>
      </c>
      <c r="C8119" s="2">
        <v>2</v>
      </c>
      <c r="D8119" t="str">
        <f t="shared" si="126"/>
        <v>US-2014-157385_FUR-CH-10000595</v>
      </c>
      <c r="E8119" t="str">
        <f>IF(COUNTIF(data2!$D:$D,D8119)=0,"Missing in Data2","Present")</f>
        <v>Present</v>
      </c>
    </row>
    <row r="8120" spans="1:5" x14ac:dyDescent="0.25">
      <c r="A8120" s="2" t="s">
        <v>6042</v>
      </c>
      <c r="B8120" s="2" t="s">
        <v>474</v>
      </c>
      <c r="C8120" s="2">
        <v>5</v>
      </c>
      <c r="D8120" t="str">
        <f t="shared" si="126"/>
        <v>US-2014-157385_FUR-CH-10000863</v>
      </c>
      <c r="E8120" t="str">
        <f>IF(COUNTIF(data2!$D:$D,D8120)=0,"Missing in Data2","Present")</f>
        <v>Present</v>
      </c>
    </row>
    <row r="8121" spans="1:5" x14ac:dyDescent="0.25">
      <c r="A8121" s="2" t="s">
        <v>6042</v>
      </c>
      <c r="B8121" s="2" t="s">
        <v>1010</v>
      </c>
      <c r="C8121" s="2">
        <v>3</v>
      </c>
      <c r="D8121" t="str">
        <f t="shared" si="126"/>
        <v>US-2014-157385_OFF-EN-10003160</v>
      </c>
      <c r="E8121" t="str">
        <f>IF(COUNTIF(data2!$D:$D,D8121)=0,"Missing in Data2","Present")</f>
        <v>Present</v>
      </c>
    </row>
    <row r="8122" spans="1:5" x14ac:dyDescent="0.25">
      <c r="A8122" s="2" t="s">
        <v>6042</v>
      </c>
      <c r="B8122" s="2" t="s">
        <v>1870</v>
      </c>
      <c r="C8122" s="2">
        <v>1</v>
      </c>
      <c r="D8122" t="str">
        <f t="shared" si="126"/>
        <v>US-2014-157385_TEC-AC-10003280</v>
      </c>
      <c r="E8122" t="str">
        <f>IF(COUNTIF(data2!$D:$D,D8122)=0,"Missing in Data2","Present")</f>
        <v>Present</v>
      </c>
    </row>
    <row r="8123" spans="1:5" x14ac:dyDescent="0.25">
      <c r="A8123" s="2" t="s">
        <v>6043</v>
      </c>
      <c r="B8123" s="2" t="s">
        <v>3586</v>
      </c>
      <c r="C8123" s="2">
        <v>3</v>
      </c>
      <c r="D8123" t="str">
        <f t="shared" si="126"/>
        <v>US-2014-157406_OFF-AR-10002221</v>
      </c>
      <c r="E8123" t="str">
        <f>IF(COUNTIF(data2!$D:$D,D8123)=0,"Missing in Data2","Present")</f>
        <v>Present</v>
      </c>
    </row>
    <row r="8124" spans="1:5" x14ac:dyDescent="0.25">
      <c r="A8124" s="2" t="s">
        <v>6043</v>
      </c>
      <c r="B8124" s="2" t="s">
        <v>1029</v>
      </c>
      <c r="C8124" s="2">
        <v>2</v>
      </c>
      <c r="D8124" t="str">
        <f t="shared" si="126"/>
        <v>US-2014-157406_OFF-PA-10003543</v>
      </c>
      <c r="E8124" t="str">
        <f>IF(COUNTIF(data2!$D:$D,D8124)=0,"Missing in Data2","Present")</f>
        <v>Present</v>
      </c>
    </row>
    <row r="8125" spans="1:5" x14ac:dyDescent="0.25">
      <c r="A8125" s="2" t="s">
        <v>6044</v>
      </c>
      <c r="B8125" s="2" t="s">
        <v>47</v>
      </c>
      <c r="C8125" s="2">
        <v>5</v>
      </c>
      <c r="D8125" t="str">
        <f t="shared" si="126"/>
        <v>US-2014-157847_OFF-PA-10002986</v>
      </c>
      <c r="E8125" t="str">
        <f>IF(COUNTIF(data2!$D:$D,D8125)=0,"Missing in Data2","Present")</f>
        <v>Present</v>
      </c>
    </row>
    <row r="8126" spans="1:5" x14ac:dyDescent="0.25">
      <c r="A8126" s="2" t="s">
        <v>6045</v>
      </c>
      <c r="B8126" s="2" t="s">
        <v>165</v>
      </c>
      <c r="C8126" s="2">
        <v>5</v>
      </c>
      <c r="D8126" t="str">
        <f t="shared" si="126"/>
        <v>US-2014-158057_OFF-BI-10002735</v>
      </c>
      <c r="E8126" t="str">
        <f>IF(COUNTIF(data2!$D:$D,D8126)=0,"Missing in Data2","Present")</f>
        <v>Present</v>
      </c>
    </row>
    <row r="8127" spans="1:5" x14ac:dyDescent="0.25">
      <c r="A8127" s="2" t="s">
        <v>6046</v>
      </c>
      <c r="B8127" s="2" t="s">
        <v>961</v>
      </c>
      <c r="C8127" s="2">
        <v>5</v>
      </c>
      <c r="D8127" t="str">
        <f t="shared" si="126"/>
        <v>US-2014-158365_OFF-PA-10000289</v>
      </c>
      <c r="E8127" t="str">
        <f>IF(COUNTIF(data2!$D:$D,D8127)=0,"Missing in Data2","Present")</f>
        <v>Present</v>
      </c>
    </row>
    <row r="8128" spans="1:5" x14ac:dyDescent="0.25">
      <c r="A8128" s="2" t="s">
        <v>6047</v>
      </c>
      <c r="B8128" s="2" t="s">
        <v>955</v>
      </c>
      <c r="C8128" s="2">
        <v>4</v>
      </c>
      <c r="D8128" t="str">
        <f t="shared" si="126"/>
        <v>US-2014-158400_OFF-BI-10002353</v>
      </c>
      <c r="E8128" t="str">
        <f>IF(COUNTIF(data2!$D:$D,D8128)=0,"Missing in Data2","Present")</f>
        <v>Present</v>
      </c>
    </row>
    <row r="8129" spans="1:5" x14ac:dyDescent="0.25">
      <c r="A8129" s="2" t="s">
        <v>6048</v>
      </c>
      <c r="B8129" s="2" t="s">
        <v>688</v>
      </c>
      <c r="C8129" s="2">
        <v>4</v>
      </c>
      <c r="D8129" t="str">
        <f t="shared" si="126"/>
        <v>US-2014-158638_OFF-BI-10003712</v>
      </c>
      <c r="E8129" t="str">
        <f>IF(COUNTIF(data2!$D:$D,D8129)=0,"Missing in Data2","Present")</f>
        <v>Present</v>
      </c>
    </row>
    <row r="8130" spans="1:5" x14ac:dyDescent="0.25">
      <c r="A8130" s="2" t="s">
        <v>6049</v>
      </c>
      <c r="B8130" s="2" t="s">
        <v>2459</v>
      </c>
      <c r="C8130" s="2">
        <v>3</v>
      </c>
      <c r="D8130" t="str">
        <f t="shared" si="126"/>
        <v>US-2014-159611_FUR-FU-10004904</v>
      </c>
      <c r="E8130" t="str">
        <f>IF(COUNTIF(data2!$D:$D,D8130)=0,"Missing in Data2","Present")</f>
        <v>Present</v>
      </c>
    </row>
    <row r="8131" spans="1:5" x14ac:dyDescent="0.25">
      <c r="A8131" s="2" t="s">
        <v>6049</v>
      </c>
      <c r="B8131" s="2" t="s">
        <v>3758</v>
      </c>
      <c r="C8131" s="2">
        <v>2</v>
      </c>
      <c r="D8131" t="str">
        <f t="shared" ref="D8131:D8194" si="127">A8131&amp;"_"&amp;B8131</f>
        <v>US-2014-159611_OFF-ST-10002790</v>
      </c>
      <c r="E8131" t="str">
        <f>IF(COUNTIF(data2!$D:$D,D8131)=0,"Missing in Data2","Present")</f>
        <v>Present</v>
      </c>
    </row>
    <row r="8132" spans="1:5" x14ac:dyDescent="0.25">
      <c r="A8132" s="2" t="s">
        <v>6050</v>
      </c>
      <c r="B8132" s="2" t="s">
        <v>489</v>
      </c>
      <c r="C8132" s="2">
        <v>1</v>
      </c>
      <c r="D8132" t="str">
        <f t="shared" si="127"/>
        <v>US-2014-159618_FUR-BO-10004467</v>
      </c>
      <c r="E8132" t="str">
        <f>IF(COUNTIF(data2!$D:$D,D8132)=0,"Missing in Data2","Present")</f>
        <v>Present</v>
      </c>
    </row>
    <row r="8133" spans="1:5" x14ac:dyDescent="0.25">
      <c r="A8133" s="2" t="s">
        <v>6050</v>
      </c>
      <c r="B8133" s="2" t="s">
        <v>1319</v>
      </c>
      <c r="C8133" s="2">
        <v>1</v>
      </c>
      <c r="D8133" t="str">
        <f t="shared" si="127"/>
        <v>US-2014-159618_OFF-AR-10003183</v>
      </c>
      <c r="E8133" t="str">
        <f>IF(COUNTIF(data2!$D:$D,D8133)=0,"Missing in Data2","Present")</f>
        <v>Missing in Data2</v>
      </c>
    </row>
    <row r="8134" spans="1:5" x14ac:dyDescent="0.25">
      <c r="A8134" s="2" t="s">
        <v>6050</v>
      </c>
      <c r="B8134" s="2" t="s">
        <v>1728</v>
      </c>
      <c r="C8134" s="2">
        <v>7</v>
      </c>
      <c r="D8134" t="str">
        <f t="shared" si="127"/>
        <v>US-2014-159618_OFF-PA-10004100</v>
      </c>
      <c r="E8134" t="str">
        <f>IF(COUNTIF(data2!$D:$D,D8134)=0,"Missing in Data2","Present")</f>
        <v>Present</v>
      </c>
    </row>
    <row r="8135" spans="1:5" x14ac:dyDescent="0.25">
      <c r="A8135" s="2" t="s">
        <v>6050</v>
      </c>
      <c r="B8135" s="2" t="s">
        <v>933</v>
      </c>
      <c r="C8135" s="2">
        <v>6</v>
      </c>
      <c r="D8135" t="str">
        <f t="shared" si="127"/>
        <v>US-2014-159618_OFF-SU-10000432</v>
      </c>
      <c r="E8135" t="str">
        <f>IF(COUNTIF(data2!$D:$D,D8135)=0,"Missing in Data2","Present")</f>
        <v>Present</v>
      </c>
    </row>
    <row r="8136" spans="1:5" x14ac:dyDescent="0.25">
      <c r="A8136" s="2" t="s">
        <v>6050</v>
      </c>
      <c r="B8136" s="2" t="s">
        <v>877</v>
      </c>
      <c r="C8136" s="2">
        <v>3</v>
      </c>
      <c r="D8136" t="str">
        <f t="shared" si="127"/>
        <v>US-2014-159618_TEC-AC-10003832</v>
      </c>
      <c r="E8136" t="str">
        <f>IF(COUNTIF(data2!$D:$D,D8136)=0,"Missing in Data2","Present")</f>
        <v>Present</v>
      </c>
    </row>
    <row r="8137" spans="1:5" x14ac:dyDescent="0.25">
      <c r="A8137" s="2" t="s">
        <v>6051</v>
      </c>
      <c r="B8137" s="2" t="s">
        <v>1529</v>
      </c>
      <c r="C8137" s="2">
        <v>3</v>
      </c>
      <c r="D8137" t="str">
        <f t="shared" si="127"/>
        <v>US-2014-159926_FUR-FU-10001473</v>
      </c>
      <c r="E8137" t="str">
        <f>IF(COUNTIF(data2!$D:$D,D8137)=0,"Missing in Data2","Present")</f>
        <v>Present</v>
      </c>
    </row>
    <row r="8138" spans="1:5" x14ac:dyDescent="0.25">
      <c r="A8138" s="2" t="s">
        <v>6051</v>
      </c>
      <c r="B8138" s="2" t="s">
        <v>702</v>
      </c>
      <c r="C8138" s="2">
        <v>1</v>
      </c>
      <c r="D8138" t="str">
        <f t="shared" si="127"/>
        <v>US-2014-159926_OFF-BI-10003656</v>
      </c>
      <c r="E8138" t="str">
        <f>IF(COUNTIF(data2!$D:$D,D8138)=0,"Missing in Data2","Present")</f>
        <v>Present</v>
      </c>
    </row>
    <row r="8139" spans="1:5" x14ac:dyDescent="0.25">
      <c r="A8139" s="2" t="s">
        <v>6051</v>
      </c>
      <c r="B8139" s="2" t="s">
        <v>853</v>
      </c>
      <c r="C8139" s="2">
        <v>3</v>
      </c>
      <c r="D8139" t="str">
        <f t="shared" si="127"/>
        <v>US-2014-159926_OFF-BI-10004656</v>
      </c>
      <c r="E8139" t="str">
        <f>IF(COUNTIF(data2!$D:$D,D8139)=0,"Missing in Data2","Present")</f>
        <v>Present</v>
      </c>
    </row>
    <row r="8140" spans="1:5" x14ac:dyDescent="0.25">
      <c r="A8140" s="2" t="s">
        <v>6051</v>
      </c>
      <c r="B8140" s="2" t="s">
        <v>2072</v>
      </c>
      <c r="C8140" s="2">
        <v>1</v>
      </c>
      <c r="D8140" t="str">
        <f t="shared" si="127"/>
        <v>US-2014-159926_OFF-ST-10003656</v>
      </c>
      <c r="E8140" t="str">
        <f>IF(COUNTIF(data2!$D:$D,D8140)=0,"Missing in Data2","Present")</f>
        <v>Present</v>
      </c>
    </row>
    <row r="8141" spans="1:5" x14ac:dyDescent="0.25">
      <c r="A8141" s="2" t="s">
        <v>6051</v>
      </c>
      <c r="B8141" s="2" t="s">
        <v>141</v>
      </c>
      <c r="C8141" s="2">
        <v>6</v>
      </c>
      <c r="D8141" t="str">
        <f t="shared" si="127"/>
        <v>US-2014-159926_TEC-PH-10001128</v>
      </c>
      <c r="E8141" t="str">
        <f>IF(COUNTIF(data2!$D:$D,D8141)=0,"Missing in Data2","Present")</f>
        <v>Present</v>
      </c>
    </row>
    <row r="8142" spans="1:5" x14ac:dyDescent="0.25">
      <c r="A8142" s="2" t="s">
        <v>6052</v>
      </c>
      <c r="B8142" s="2" t="s">
        <v>1339</v>
      </c>
      <c r="C8142" s="2">
        <v>11</v>
      </c>
      <c r="D8142" t="str">
        <f t="shared" si="127"/>
        <v>US-2014-160444_OFF-ST-10000563</v>
      </c>
      <c r="E8142" t="str">
        <f>IF(COUNTIF(data2!$D:$D,D8142)=0,"Missing in Data2","Present")</f>
        <v>Present</v>
      </c>
    </row>
    <row r="8143" spans="1:5" x14ac:dyDescent="0.25">
      <c r="A8143" s="2" t="s">
        <v>6052</v>
      </c>
      <c r="B8143" s="2" t="s">
        <v>374</v>
      </c>
      <c r="C8143" s="2">
        <v>3</v>
      </c>
      <c r="D8143" t="str">
        <f t="shared" si="127"/>
        <v>US-2014-160444_OFF-ST-10001522</v>
      </c>
      <c r="E8143" t="str">
        <f>IF(COUNTIF(data2!$D:$D,D8143)=0,"Missing in Data2","Present")</f>
        <v>Present</v>
      </c>
    </row>
    <row r="8144" spans="1:5" x14ac:dyDescent="0.25">
      <c r="A8144" s="2" t="s">
        <v>6053</v>
      </c>
      <c r="B8144" s="2" t="s">
        <v>1227</v>
      </c>
      <c r="C8144" s="2">
        <v>2</v>
      </c>
      <c r="D8144" t="str">
        <f t="shared" si="127"/>
        <v>US-2014-160780_OFF-BI-10002931</v>
      </c>
      <c r="E8144" t="str">
        <f>IF(COUNTIF(data2!$D:$D,D8144)=0,"Missing in Data2","Present")</f>
        <v>Present</v>
      </c>
    </row>
    <row r="8145" spans="1:5" x14ac:dyDescent="0.25">
      <c r="A8145" s="2" t="s">
        <v>6054</v>
      </c>
      <c r="B8145" s="2" t="s">
        <v>1483</v>
      </c>
      <c r="C8145" s="2">
        <v>3</v>
      </c>
      <c r="D8145" t="str">
        <f t="shared" si="127"/>
        <v>US-2014-161305_OFF-BI-10002794</v>
      </c>
      <c r="E8145" t="str">
        <f>IF(COUNTIF(data2!$D:$D,D8145)=0,"Missing in Data2","Present")</f>
        <v>Present</v>
      </c>
    </row>
    <row r="8146" spans="1:5" x14ac:dyDescent="0.25">
      <c r="A8146" s="2" t="s">
        <v>6054</v>
      </c>
      <c r="B8146" s="2" t="s">
        <v>1855</v>
      </c>
      <c r="C8146" s="2">
        <v>2</v>
      </c>
      <c r="D8146" t="str">
        <f t="shared" si="127"/>
        <v>US-2014-161305_OFF-EN-10000461</v>
      </c>
      <c r="E8146" t="str">
        <f>IF(COUNTIF(data2!$D:$D,D8146)=0,"Missing in Data2","Present")</f>
        <v>Present</v>
      </c>
    </row>
    <row r="8147" spans="1:5" x14ac:dyDescent="0.25">
      <c r="A8147" s="2" t="s">
        <v>6055</v>
      </c>
      <c r="B8147" s="2" t="s">
        <v>2170</v>
      </c>
      <c r="C8147" s="2">
        <v>3</v>
      </c>
      <c r="D8147" t="str">
        <f t="shared" si="127"/>
        <v>US-2014-161613_FUR-CH-10003746</v>
      </c>
      <c r="E8147" t="str">
        <f>IF(COUNTIF(data2!$D:$D,D8147)=0,"Missing in Data2","Present")</f>
        <v>Present</v>
      </c>
    </row>
    <row r="8148" spans="1:5" x14ac:dyDescent="0.25">
      <c r="A8148" s="2" t="s">
        <v>6056</v>
      </c>
      <c r="B8148" s="2" t="s">
        <v>2645</v>
      </c>
      <c r="C8148" s="2">
        <v>3</v>
      </c>
      <c r="D8148" t="str">
        <f t="shared" si="127"/>
        <v>US-2014-163146_TEC-AC-10002217</v>
      </c>
      <c r="E8148" t="str">
        <f>IF(COUNTIF(data2!$D:$D,D8148)=0,"Missing in Data2","Present")</f>
        <v>Present</v>
      </c>
    </row>
    <row r="8149" spans="1:5" x14ac:dyDescent="0.25">
      <c r="A8149" s="2" t="s">
        <v>6057</v>
      </c>
      <c r="B8149" s="2" t="s">
        <v>1777</v>
      </c>
      <c r="C8149" s="2">
        <v>8</v>
      </c>
      <c r="D8149" t="str">
        <f t="shared" si="127"/>
        <v>US-2014-163797_OFF-FA-10001883</v>
      </c>
      <c r="E8149" t="str">
        <f>IF(COUNTIF(data2!$D:$D,D8149)=0,"Missing in Data2","Present")</f>
        <v>Present</v>
      </c>
    </row>
    <row r="8150" spans="1:5" x14ac:dyDescent="0.25">
      <c r="A8150" s="2" t="s">
        <v>6058</v>
      </c>
      <c r="B8150" s="2" t="s">
        <v>246</v>
      </c>
      <c r="C8150" s="2">
        <v>4</v>
      </c>
      <c r="D8150" t="str">
        <f t="shared" si="127"/>
        <v>US-2014-164406_FUR-CH-10003833</v>
      </c>
      <c r="E8150" t="str">
        <f>IF(COUNTIF(data2!$D:$D,D8150)=0,"Missing in Data2","Present")</f>
        <v>Present</v>
      </c>
    </row>
    <row r="8151" spans="1:5" x14ac:dyDescent="0.25">
      <c r="A8151" s="2" t="s">
        <v>6058</v>
      </c>
      <c r="B8151" s="2" t="s">
        <v>1183</v>
      </c>
      <c r="C8151" s="2">
        <v>3</v>
      </c>
      <c r="D8151" t="str">
        <f t="shared" si="127"/>
        <v>US-2014-164406_OFF-AP-10003287</v>
      </c>
      <c r="E8151" t="str">
        <f>IF(COUNTIF(data2!$D:$D,D8151)=0,"Missing in Data2","Present")</f>
        <v>Present</v>
      </c>
    </row>
    <row r="8152" spans="1:5" x14ac:dyDescent="0.25">
      <c r="A8152" s="2" t="s">
        <v>6058</v>
      </c>
      <c r="B8152" s="2" t="s">
        <v>3655</v>
      </c>
      <c r="C8152" s="2">
        <v>4</v>
      </c>
      <c r="D8152" t="str">
        <f t="shared" si="127"/>
        <v>US-2014-164406_OFF-BI-10002309</v>
      </c>
      <c r="E8152" t="str">
        <f>IF(COUNTIF(data2!$D:$D,D8152)=0,"Missing in Data2","Present")</f>
        <v>Present</v>
      </c>
    </row>
    <row r="8153" spans="1:5" x14ac:dyDescent="0.25">
      <c r="A8153" s="2" t="s">
        <v>6058</v>
      </c>
      <c r="B8153" s="2" t="s">
        <v>1137</v>
      </c>
      <c r="C8153" s="2">
        <v>3</v>
      </c>
      <c r="D8153" t="str">
        <f t="shared" si="127"/>
        <v>US-2014-164406_OFF-BI-10003638</v>
      </c>
      <c r="E8153" t="str">
        <f>IF(COUNTIF(data2!$D:$D,D8153)=0,"Missing in Data2","Present")</f>
        <v>Present</v>
      </c>
    </row>
    <row r="8154" spans="1:5" x14ac:dyDescent="0.25">
      <c r="A8154" s="2" t="s">
        <v>6058</v>
      </c>
      <c r="B8154" s="2" t="s">
        <v>1273</v>
      </c>
      <c r="C8154" s="2">
        <v>3</v>
      </c>
      <c r="D8154" t="str">
        <f t="shared" si="127"/>
        <v>US-2014-164406_OFF-PA-10000167</v>
      </c>
      <c r="E8154" t="str">
        <f>IF(COUNTIF(data2!$D:$D,D8154)=0,"Missing in Data2","Present")</f>
        <v>Present</v>
      </c>
    </row>
    <row r="8155" spans="1:5" x14ac:dyDescent="0.25">
      <c r="A8155" s="2" t="s">
        <v>6059</v>
      </c>
      <c r="B8155" s="2" t="s">
        <v>2324</v>
      </c>
      <c r="C8155" s="2">
        <v>4</v>
      </c>
      <c r="D8155" t="str">
        <f t="shared" si="127"/>
        <v>US-2014-164616_OFF-BI-10001718</v>
      </c>
      <c r="E8155" t="str">
        <f>IF(COUNTIF(data2!$D:$D,D8155)=0,"Missing in Data2","Present")</f>
        <v>Present</v>
      </c>
    </row>
    <row r="8156" spans="1:5" x14ac:dyDescent="0.25">
      <c r="A8156" s="2" t="s">
        <v>6059</v>
      </c>
      <c r="B8156" s="2" t="s">
        <v>6060</v>
      </c>
      <c r="C8156" s="2">
        <v>2</v>
      </c>
      <c r="D8156" t="str">
        <f t="shared" si="127"/>
        <v>US-2014-164616_OFF-SU-10004768</v>
      </c>
      <c r="E8156" t="str">
        <f>IF(COUNTIF(data2!$D:$D,D8156)=0,"Missing in Data2","Present")</f>
        <v>Present</v>
      </c>
    </row>
    <row r="8157" spans="1:5" x14ac:dyDescent="0.25">
      <c r="A8157" s="2" t="s">
        <v>6061</v>
      </c>
      <c r="B8157" s="2" t="s">
        <v>1465</v>
      </c>
      <c r="C8157" s="2">
        <v>1</v>
      </c>
      <c r="D8157" t="str">
        <f t="shared" si="127"/>
        <v>US-2014-164644_OFF-ST-10003123</v>
      </c>
      <c r="E8157" t="str">
        <f>IF(COUNTIF(data2!$D:$D,D8157)=0,"Missing in Data2","Present")</f>
        <v>Present</v>
      </c>
    </row>
    <row r="8158" spans="1:5" x14ac:dyDescent="0.25">
      <c r="A8158" s="2" t="s">
        <v>6062</v>
      </c>
      <c r="B8158" s="2" t="s">
        <v>2346</v>
      </c>
      <c r="C8158" s="2">
        <v>3</v>
      </c>
      <c r="D8158" t="str">
        <f t="shared" si="127"/>
        <v>US-2014-164763_OFF-AP-10003971</v>
      </c>
      <c r="E8158" t="str">
        <f>IF(COUNTIF(data2!$D:$D,D8158)=0,"Missing in Data2","Present")</f>
        <v>Present</v>
      </c>
    </row>
    <row r="8159" spans="1:5" x14ac:dyDescent="0.25">
      <c r="A8159" s="2" t="s">
        <v>6062</v>
      </c>
      <c r="B8159" s="2" t="s">
        <v>59</v>
      </c>
      <c r="C8159" s="2">
        <v>2</v>
      </c>
      <c r="D8159" t="str">
        <f t="shared" si="127"/>
        <v>US-2014-164763_OFF-BI-10000309</v>
      </c>
      <c r="E8159" t="str">
        <f>IF(COUNTIF(data2!$D:$D,D8159)=0,"Missing in Data2","Present")</f>
        <v>Present</v>
      </c>
    </row>
    <row r="8160" spans="1:5" x14ac:dyDescent="0.25">
      <c r="A8160" s="2" t="s">
        <v>6062</v>
      </c>
      <c r="B8160" s="2" t="s">
        <v>1789</v>
      </c>
      <c r="C8160" s="2">
        <v>3</v>
      </c>
      <c r="D8160" t="str">
        <f t="shared" si="127"/>
        <v>US-2014-164763_OFF-BI-10000605</v>
      </c>
      <c r="E8160" t="str">
        <f>IF(COUNTIF(data2!$D:$D,D8160)=0,"Missing in Data2","Present")</f>
        <v>Present</v>
      </c>
    </row>
    <row r="8161" spans="1:5" x14ac:dyDescent="0.25">
      <c r="A8161" s="2" t="s">
        <v>6062</v>
      </c>
      <c r="B8161" s="2" t="s">
        <v>470</v>
      </c>
      <c r="C8161" s="2">
        <v>4</v>
      </c>
      <c r="D8161" t="str">
        <f t="shared" si="127"/>
        <v>US-2014-164763_OFF-PA-10003063</v>
      </c>
      <c r="E8161" t="str">
        <f>IF(COUNTIF(data2!$D:$D,D8161)=0,"Missing in Data2","Present")</f>
        <v>Present</v>
      </c>
    </row>
    <row r="8162" spans="1:5" x14ac:dyDescent="0.25">
      <c r="A8162" s="2" t="s">
        <v>6062</v>
      </c>
      <c r="B8162" s="2" t="s">
        <v>105</v>
      </c>
      <c r="C8162" s="2">
        <v>2</v>
      </c>
      <c r="D8162" t="str">
        <f t="shared" si="127"/>
        <v>US-2014-164763_OFF-PA-10003349</v>
      </c>
      <c r="E8162" t="str">
        <f>IF(COUNTIF(data2!$D:$D,D8162)=0,"Missing in Data2","Present")</f>
        <v>Present</v>
      </c>
    </row>
    <row r="8163" spans="1:5" x14ac:dyDescent="0.25">
      <c r="A8163" s="2" t="s">
        <v>6063</v>
      </c>
      <c r="B8163" s="2" t="s">
        <v>2458</v>
      </c>
      <c r="C8163" s="2">
        <v>5</v>
      </c>
      <c r="D8163" t="str">
        <f t="shared" si="127"/>
        <v>US-2014-165589_FUR-FU-10002396</v>
      </c>
      <c r="E8163" t="str">
        <f>IF(COUNTIF(data2!$D:$D,D8163)=0,"Missing in Data2","Present")</f>
        <v>Present</v>
      </c>
    </row>
    <row r="8164" spans="1:5" x14ac:dyDescent="0.25">
      <c r="A8164" s="2" t="s">
        <v>6064</v>
      </c>
      <c r="B8164" s="2" t="s">
        <v>2317</v>
      </c>
      <c r="C8164" s="2">
        <v>6</v>
      </c>
      <c r="D8164" t="str">
        <f t="shared" si="127"/>
        <v>US-2014-165659_FUR-FU-10001935</v>
      </c>
      <c r="E8164" t="str">
        <f>IF(COUNTIF(data2!$D:$D,D8164)=0,"Missing in Data2","Present")</f>
        <v>Present</v>
      </c>
    </row>
    <row r="8165" spans="1:5" x14ac:dyDescent="0.25">
      <c r="A8165" s="2" t="s">
        <v>6064</v>
      </c>
      <c r="B8165" s="2" t="s">
        <v>3735</v>
      </c>
      <c r="C8165" s="2">
        <v>7</v>
      </c>
      <c r="D8165" t="str">
        <f t="shared" si="127"/>
        <v>US-2014-165659_TEC-PH-10002563</v>
      </c>
      <c r="E8165" t="str">
        <f>IF(COUNTIF(data2!$D:$D,D8165)=0,"Missing in Data2","Present")</f>
        <v>Present</v>
      </c>
    </row>
    <row r="8166" spans="1:5" x14ac:dyDescent="0.25">
      <c r="A8166" s="2" t="s">
        <v>6065</v>
      </c>
      <c r="B8166" s="2" t="s">
        <v>2413</v>
      </c>
      <c r="C8166" s="2">
        <v>3</v>
      </c>
      <c r="D8166" t="str">
        <f t="shared" si="127"/>
        <v>US-2014-165862_FUR-TA-10002855</v>
      </c>
      <c r="E8166" t="str">
        <f>IF(COUNTIF(data2!$D:$D,D8166)=0,"Missing in Data2","Present")</f>
        <v>Present</v>
      </c>
    </row>
    <row r="8167" spans="1:5" x14ac:dyDescent="0.25">
      <c r="A8167" s="2" t="s">
        <v>6066</v>
      </c>
      <c r="B8167" s="2" t="s">
        <v>643</v>
      </c>
      <c r="C8167" s="2">
        <v>2</v>
      </c>
      <c r="D8167" t="str">
        <f t="shared" si="127"/>
        <v>US-2014-166310_FUR-FU-10001546</v>
      </c>
      <c r="E8167" t="str">
        <f>IF(COUNTIF(data2!$D:$D,D8167)=0,"Missing in Data2","Present")</f>
        <v>Present</v>
      </c>
    </row>
    <row r="8168" spans="1:5" x14ac:dyDescent="0.25">
      <c r="A8168" s="2" t="s">
        <v>6067</v>
      </c>
      <c r="B8168" s="2" t="s">
        <v>2752</v>
      </c>
      <c r="C8168" s="2">
        <v>2</v>
      </c>
      <c r="D8168" t="str">
        <f t="shared" si="127"/>
        <v>US-2014-166828_OFF-PA-10001846</v>
      </c>
      <c r="E8168" t="str">
        <f>IF(COUNTIF(data2!$D:$D,D8168)=0,"Missing in Data2","Present")</f>
        <v>Present</v>
      </c>
    </row>
    <row r="8169" spans="1:5" x14ac:dyDescent="0.25">
      <c r="A8169" s="2" t="s">
        <v>6068</v>
      </c>
      <c r="B8169" s="2" t="s">
        <v>1173</v>
      </c>
      <c r="C8169" s="2">
        <v>8</v>
      </c>
      <c r="D8169" t="str">
        <f t="shared" si="127"/>
        <v>US-2014-167262_TEC-PH-10000486</v>
      </c>
      <c r="E8169" t="str">
        <f>IF(COUNTIF(data2!$D:$D,D8169)=0,"Missing in Data2","Present")</f>
        <v>Present</v>
      </c>
    </row>
    <row r="8170" spans="1:5" x14ac:dyDescent="0.25">
      <c r="A8170" s="2" t="s">
        <v>6069</v>
      </c>
      <c r="B8170" s="2" t="s">
        <v>581</v>
      </c>
      <c r="C8170" s="2">
        <v>3</v>
      </c>
      <c r="D8170" t="str">
        <f t="shared" si="127"/>
        <v>US-2014-167633_OFF-PA-10004888</v>
      </c>
      <c r="E8170" t="str">
        <f>IF(COUNTIF(data2!$D:$D,D8170)=0,"Missing in Data2","Present")</f>
        <v>Present</v>
      </c>
    </row>
    <row r="8171" spans="1:5" x14ac:dyDescent="0.25">
      <c r="A8171" s="2" t="s">
        <v>6070</v>
      </c>
      <c r="B8171" s="2" t="s">
        <v>370</v>
      </c>
      <c r="C8171" s="2">
        <v>6</v>
      </c>
      <c r="D8171" t="str">
        <f t="shared" si="127"/>
        <v>US-2014-167738_FUR-CH-10001146</v>
      </c>
      <c r="E8171" t="str">
        <f>IF(COUNTIF(data2!$D:$D,D8171)=0,"Missing in Data2","Present")</f>
        <v>Present</v>
      </c>
    </row>
    <row r="8172" spans="1:5" x14ac:dyDescent="0.25">
      <c r="A8172" s="2" t="s">
        <v>6070</v>
      </c>
      <c r="B8172" s="2" t="s">
        <v>1291</v>
      </c>
      <c r="C8172" s="2">
        <v>1</v>
      </c>
      <c r="D8172" t="str">
        <f t="shared" si="127"/>
        <v>US-2014-167738_OFF-ST-10003306</v>
      </c>
      <c r="E8172" t="str">
        <f>IF(COUNTIF(data2!$D:$D,D8172)=0,"Missing in Data2","Present")</f>
        <v>Present</v>
      </c>
    </row>
    <row r="8173" spans="1:5" x14ac:dyDescent="0.25">
      <c r="A8173" s="2" t="s">
        <v>6071</v>
      </c>
      <c r="B8173" s="2" t="s">
        <v>29</v>
      </c>
      <c r="C8173" s="2">
        <v>5</v>
      </c>
      <c r="D8173" t="str">
        <f t="shared" si="127"/>
        <v>US-2014-168501_TEC-PH-10004922</v>
      </c>
      <c r="E8173" t="str">
        <f>IF(COUNTIF(data2!$D:$D,D8173)=0,"Missing in Data2","Present")</f>
        <v>Present</v>
      </c>
    </row>
    <row r="8174" spans="1:5" x14ac:dyDescent="0.25">
      <c r="A8174" s="2" t="s">
        <v>6072</v>
      </c>
      <c r="B8174" s="2" t="s">
        <v>1735</v>
      </c>
      <c r="C8174" s="2">
        <v>4</v>
      </c>
      <c r="D8174" t="str">
        <f t="shared" si="127"/>
        <v>US-2014-169390_OFF-ST-10001558</v>
      </c>
      <c r="E8174" t="str">
        <f>IF(COUNTIF(data2!$D:$D,D8174)=0,"Missing in Data2","Present")</f>
        <v>Present</v>
      </c>
    </row>
    <row r="8175" spans="1:5" x14ac:dyDescent="0.25">
      <c r="A8175" s="2" t="s">
        <v>6073</v>
      </c>
      <c r="B8175" s="2" t="s">
        <v>113</v>
      </c>
      <c r="C8175" s="2">
        <v>5</v>
      </c>
      <c r="D8175" t="str">
        <f t="shared" si="127"/>
        <v>US-2014-169789_OFF-BI-10004600</v>
      </c>
      <c r="E8175" t="str">
        <f>IF(COUNTIF(data2!$D:$D,D8175)=0,"Missing in Data2","Present")</f>
        <v>Present</v>
      </c>
    </row>
    <row r="8176" spans="1:5" x14ac:dyDescent="0.25">
      <c r="A8176" s="2" t="s">
        <v>6074</v>
      </c>
      <c r="B8176" s="2" t="s">
        <v>142</v>
      </c>
      <c r="C8176" s="2">
        <v>2</v>
      </c>
      <c r="D8176" t="str">
        <f t="shared" si="127"/>
        <v>US-2015-100069_TEC-PH-10004667</v>
      </c>
      <c r="E8176" t="str">
        <f>IF(COUNTIF(data2!$D:$D,D8176)=0,"Missing in Data2","Present")</f>
        <v>Present</v>
      </c>
    </row>
    <row r="8177" spans="1:5" x14ac:dyDescent="0.25">
      <c r="A8177" s="2" t="s">
        <v>6075</v>
      </c>
      <c r="B8177" s="2" t="s">
        <v>1078</v>
      </c>
      <c r="C8177" s="2">
        <v>5</v>
      </c>
      <c r="D8177" t="str">
        <f t="shared" si="127"/>
        <v>US-2015-100377_TEC-CO-10001046</v>
      </c>
      <c r="E8177" t="str">
        <f>IF(COUNTIF(data2!$D:$D,D8177)=0,"Missing in Data2","Present")</f>
        <v>Present</v>
      </c>
    </row>
    <row r="8178" spans="1:5" x14ac:dyDescent="0.25">
      <c r="A8178" s="2" t="s">
        <v>6076</v>
      </c>
      <c r="B8178" s="2" t="s">
        <v>1503</v>
      </c>
      <c r="C8178" s="2">
        <v>3</v>
      </c>
      <c r="D8178" t="str">
        <f t="shared" si="127"/>
        <v>US-2015-100531_FUR-FU-10003849</v>
      </c>
      <c r="E8178" t="str">
        <f>IF(COUNTIF(data2!$D:$D,D8178)=0,"Missing in Data2","Present")</f>
        <v>Present</v>
      </c>
    </row>
    <row r="8179" spans="1:5" x14ac:dyDescent="0.25">
      <c r="A8179" s="2" t="s">
        <v>6076</v>
      </c>
      <c r="B8179" s="2" t="s">
        <v>267</v>
      </c>
      <c r="C8179" s="2">
        <v>2</v>
      </c>
      <c r="D8179" t="str">
        <f t="shared" si="127"/>
        <v>US-2015-100531_OFF-BI-10001670</v>
      </c>
      <c r="E8179" t="str">
        <f>IF(COUNTIF(data2!$D:$D,D8179)=0,"Missing in Data2","Present")</f>
        <v>Present</v>
      </c>
    </row>
    <row r="8180" spans="1:5" x14ac:dyDescent="0.25">
      <c r="A8180" s="2" t="s">
        <v>6077</v>
      </c>
      <c r="B8180" s="2" t="s">
        <v>416</v>
      </c>
      <c r="C8180" s="2">
        <v>7</v>
      </c>
      <c r="D8180" t="str">
        <f t="shared" si="127"/>
        <v>US-2015-101399_FUR-FU-10002918</v>
      </c>
      <c r="E8180" t="str">
        <f>IF(COUNTIF(data2!$D:$D,D8180)=0,"Missing in Data2","Present")</f>
        <v>Present</v>
      </c>
    </row>
    <row r="8181" spans="1:5" x14ac:dyDescent="0.25">
      <c r="A8181" s="2" t="s">
        <v>6078</v>
      </c>
      <c r="B8181" s="2" t="s">
        <v>472</v>
      </c>
      <c r="C8181" s="2">
        <v>7</v>
      </c>
      <c r="D8181" t="str">
        <f t="shared" si="127"/>
        <v>US-2015-101511_FUR-CH-10004698</v>
      </c>
      <c r="E8181" t="str">
        <f>IF(COUNTIF(data2!$D:$D,D8181)=0,"Missing in Data2","Present")</f>
        <v>Present</v>
      </c>
    </row>
    <row r="8182" spans="1:5" x14ac:dyDescent="0.25">
      <c r="A8182" s="2" t="s">
        <v>6078</v>
      </c>
      <c r="B8182" s="2" t="s">
        <v>241</v>
      </c>
      <c r="C8182" s="2">
        <v>5</v>
      </c>
      <c r="D8182" t="str">
        <f t="shared" si="127"/>
        <v>US-2015-101511_OFF-SU-10002189</v>
      </c>
      <c r="E8182" t="str">
        <f>IF(COUNTIF(data2!$D:$D,D8182)=0,"Missing in Data2","Present")</f>
        <v>Present</v>
      </c>
    </row>
    <row r="8183" spans="1:5" x14ac:dyDescent="0.25">
      <c r="A8183" s="2" t="s">
        <v>6079</v>
      </c>
      <c r="B8183" s="2" t="s">
        <v>1417</v>
      </c>
      <c r="C8183" s="2">
        <v>7</v>
      </c>
      <c r="D8183" t="str">
        <f t="shared" si="127"/>
        <v>US-2015-103471_FUR-BO-10002613</v>
      </c>
      <c r="E8183" t="str">
        <f>IF(COUNTIF(data2!$D:$D,D8183)=0,"Missing in Data2","Present")</f>
        <v>Missing in Data2</v>
      </c>
    </row>
    <row r="8184" spans="1:5" x14ac:dyDescent="0.25">
      <c r="A8184" s="2" t="s">
        <v>6079</v>
      </c>
      <c r="B8184" s="2" t="s">
        <v>1739</v>
      </c>
      <c r="C8184" s="2">
        <v>3</v>
      </c>
      <c r="D8184" t="str">
        <f t="shared" si="127"/>
        <v>US-2015-103471_OFF-AR-10003405</v>
      </c>
      <c r="E8184" t="str">
        <f>IF(COUNTIF(data2!$D:$D,D8184)=0,"Missing in Data2","Present")</f>
        <v>Present</v>
      </c>
    </row>
    <row r="8185" spans="1:5" x14ac:dyDescent="0.25">
      <c r="A8185" s="2" t="s">
        <v>6080</v>
      </c>
      <c r="B8185" s="2" t="s">
        <v>111</v>
      </c>
      <c r="C8185" s="2">
        <v>3</v>
      </c>
      <c r="D8185" t="str">
        <f t="shared" si="127"/>
        <v>US-2015-103996_FUR-FU-10004586</v>
      </c>
      <c r="E8185" t="str">
        <f>IF(COUNTIF(data2!$D:$D,D8185)=0,"Missing in Data2","Present")</f>
        <v>Present</v>
      </c>
    </row>
    <row r="8186" spans="1:5" x14ac:dyDescent="0.25">
      <c r="A8186" s="2" t="s">
        <v>6080</v>
      </c>
      <c r="B8186" s="2" t="s">
        <v>1517</v>
      </c>
      <c r="C8186" s="2">
        <v>3</v>
      </c>
      <c r="D8186" t="str">
        <f t="shared" si="127"/>
        <v>US-2015-103996_OFF-PA-10001609</v>
      </c>
      <c r="E8186" t="str">
        <f>IF(COUNTIF(data2!$D:$D,D8186)=0,"Missing in Data2","Present")</f>
        <v>Present</v>
      </c>
    </row>
    <row r="8187" spans="1:5" x14ac:dyDescent="0.25">
      <c r="A8187" s="2" t="s">
        <v>6080</v>
      </c>
      <c r="B8187" s="2" t="s">
        <v>3291</v>
      </c>
      <c r="C8187" s="2">
        <v>6</v>
      </c>
      <c r="D8187" t="str">
        <f t="shared" si="127"/>
        <v>US-2015-103996_OFF-PA-10001736</v>
      </c>
      <c r="E8187" t="str">
        <f>IF(COUNTIF(data2!$D:$D,D8187)=0,"Missing in Data2","Present")</f>
        <v>Present</v>
      </c>
    </row>
    <row r="8188" spans="1:5" x14ac:dyDescent="0.25">
      <c r="A8188" s="2" t="s">
        <v>6080</v>
      </c>
      <c r="B8188" s="2" t="s">
        <v>1897</v>
      </c>
      <c r="C8188" s="2">
        <v>3</v>
      </c>
      <c r="D8188" t="str">
        <f t="shared" si="127"/>
        <v>US-2015-103996_TEC-AC-10003116</v>
      </c>
      <c r="E8188" t="str">
        <f>IF(COUNTIF(data2!$D:$D,D8188)=0,"Missing in Data2","Present")</f>
        <v>Present</v>
      </c>
    </row>
    <row r="8189" spans="1:5" x14ac:dyDescent="0.25">
      <c r="A8189" s="2" t="s">
        <v>6081</v>
      </c>
      <c r="B8189" s="2" t="s">
        <v>2019</v>
      </c>
      <c r="C8189" s="2">
        <v>1</v>
      </c>
      <c r="D8189" t="str">
        <f t="shared" si="127"/>
        <v>US-2015-104185_OFF-ST-10001526</v>
      </c>
      <c r="E8189" t="str">
        <f>IF(COUNTIF(data2!$D:$D,D8189)=0,"Missing in Data2","Present")</f>
        <v>Present</v>
      </c>
    </row>
    <row r="8190" spans="1:5" x14ac:dyDescent="0.25">
      <c r="A8190" s="2" t="s">
        <v>6082</v>
      </c>
      <c r="B8190" s="2" t="s">
        <v>3260</v>
      </c>
      <c r="C8190" s="2">
        <v>4</v>
      </c>
      <c r="D8190" t="str">
        <f t="shared" si="127"/>
        <v>US-2015-104430_OFF-BI-10000301</v>
      </c>
      <c r="E8190" t="str">
        <f>IF(COUNTIF(data2!$D:$D,D8190)=0,"Missing in Data2","Present")</f>
        <v>Present</v>
      </c>
    </row>
    <row r="8191" spans="1:5" x14ac:dyDescent="0.25">
      <c r="A8191" s="2" t="s">
        <v>6083</v>
      </c>
      <c r="B8191" s="2" t="s">
        <v>461</v>
      </c>
      <c r="C8191" s="2">
        <v>4</v>
      </c>
      <c r="D8191" t="str">
        <f t="shared" si="127"/>
        <v>US-2015-105676_FUR-FU-10004270</v>
      </c>
      <c r="E8191" t="str">
        <f>IF(COUNTIF(data2!$D:$D,D8191)=0,"Missing in Data2","Present")</f>
        <v>Present</v>
      </c>
    </row>
    <row r="8192" spans="1:5" x14ac:dyDescent="0.25">
      <c r="A8192" s="2" t="s">
        <v>6084</v>
      </c>
      <c r="B8192" s="2" t="s">
        <v>212</v>
      </c>
      <c r="C8192" s="2">
        <v>1</v>
      </c>
      <c r="D8192" t="str">
        <f t="shared" si="127"/>
        <v>US-2015-106495_TEC-AC-10002718</v>
      </c>
      <c r="E8192" t="str">
        <f>IF(COUNTIF(data2!$D:$D,D8192)=0,"Missing in Data2","Present")</f>
        <v>Present</v>
      </c>
    </row>
    <row r="8193" spans="1:5" x14ac:dyDescent="0.25">
      <c r="A8193" s="2" t="s">
        <v>6085</v>
      </c>
      <c r="B8193" s="2" t="s">
        <v>2156</v>
      </c>
      <c r="C8193" s="2">
        <v>7</v>
      </c>
      <c r="D8193" t="str">
        <f t="shared" si="127"/>
        <v>US-2015-106873_OFF-AR-10001246</v>
      </c>
      <c r="E8193" t="str">
        <f>IF(COUNTIF(data2!$D:$D,D8193)=0,"Missing in Data2","Present")</f>
        <v>Missing in Data2</v>
      </c>
    </row>
    <row r="8194" spans="1:5" x14ac:dyDescent="0.25">
      <c r="A8194" s="2" t="s">
        <v>6085</v>
      </c>
      <c r="B8194" s="2" t="s">
        <v>210</v>
      </c>
      <c r="C8194" s="2">
        <v>2</v>
      </c>
      <c r="D8194" t="str">
        <f t="shared" si="127"/>
        <v>US-2015-106873_OFF-AR-10003179</v>
      </c>
      <c r="E8194" t="str">
        <f>IF(COUNTIF(data2!$D:$D,D8194)=0,"Missing in Data2","Present")</f>
        <v>Present</v>
      </c>
    </row>
    <row r="8195" spans="1:5" x14ac:dyDescent="0.25">
      <c r="A8195" s="2" t="s">
        <v>6085</v>
      </c>
      <c r="B8195" s="2" t="s">
        <v>1587</v>
      </c>
      <c r="C8195" s="2">
        <v>2</v>
      </c>
      <c r="D8195" t="str">
        <f t="shared" ref="D8195:D8258" si="128">A8195&amp;"_"&amp;B8195</f>
        <v>US-2015-106873_TEC-AC-10002345</v>
      </c>
      <c r="E8195" t="str">
        <f>IF(COUNTIF(data2!$D:$D,D8195)=0,"Missing in Data2","Present")</f>
        <v>Present</v>
      </c>
    </row>
    <row r="8196" spans="1:5" x14ac:dyDescent="0.25">
      <c r="A8196" s="2" t="s">
        <v>6086</v>
      </c>
      <c r="B8196" s="2" t="s">
        <v>224</v>
      </c>
      <c r="C8196" s="2">
        <v>6</v>
      </c>
      <c r="D8196" t="str">
        <f t="shared" si="128"/>
        <v>US-2015-107349_OFF-BI-10001765</v>
      </c>
      <c r="E8196" t="str">
        <f>IF(COUNTIF(data2!$D:$D,D8196)=0,"Missing in Data2","Present")</f>
        <v>Present</v>
      </c>
    </row>
    <row r="8197" spans="1:5" x14ac:dyDescent="0.25">
      <c r="A8197" s="2" t="s">
        <v>6087</v>
      </c>
      <c r="B8197" s="2" t="s">
        <v>622</v>
      </c>
      <c r="C8197" s="2">
        <v>11</v>
      </c>
      <c r="D8197" t="str">
        <f t="shared" si="128"/>
        <v>US-2015-107944_OFF-PA-10000659</v>
      </c>
      <c r="E8197" t="str">
        <f>IF(COUNTIF(data2!$D:$D,D8197)=0,"Missing in Data2","Present")</f>
        <v>Present</v>
      </c>
    </row>
    <row r="8198" spans="1:5" x14ac:dyDescent="0.25">
      <c r="A8198" s="2" t="s">
        <v>6087</v>
      </c>
      <c r="B8198" s="2" t="s">
        <v>440</v>
      </c>
      <c r="C8198" s="2">
        <v>3</v>
      </c>
      <c r="D8198" t="str">
        <f t="shared" si="128"/>
        <v>US-2015-107944_TEC-AC-10000736</v>
      </c>
      <c r="E8198" t="str">
        <f>IF(COUNTIF(data2!$D:$D,D8198)=0,"Missing in Data2","Present")</f>
        <v>Present</v>
      </c>
    </row>
    <row r="8199" spans="1:5" x14ac:dyDescent="0.25">
      <c r="A8199" s="2" t="s">
        <v>6088</v>
      </c>
      <c r="B8199" s="2" t="s">
        <v>869</v>
      </c>
      <c r="C8199" s="2">
        <v>5</v>
      </c>
      <c r="D8199" t="str">
        <f t="shared" si="128"/>
        <v>US-2015-108966_FUR-TA-10000577</v>
      </c>
      <c r="E8199" t="str">
        <f>IF(COUNTIF(data2!$D:$D,D8199)=0,"Missing in Data2","Present")</f>
        <v>Present</v>
      </c>
    </row>
    <row r="8200" spans="1:5" x14ac:dyDescent="0.25">
      <c r="A8200" s="2" t="s">
        <v>6088</v>
      </c>
      <c r="B8200" s="2" t="s">
        <v>1790</v>
      </c>
      <c r="C8200" s="2">
        <v>2</v>
      </c>
      <c r="D8200" t="str">
        <f t="shared" si="128"/>
        <v>US-2015-108966_OFF-ST-10000760</v>
      </c>
      <c r="E8200" t="str">
        <f>IF(COUNTIF(data2!$D:$D,D8200)=0,"Missing in Data2","Present")</f>
        <v>Present</v>
      </c>
    </row>
    <row r="8201" spans="1:5" x14ac:dyDescent="0.25">
      <c r="A8201" s="2" t="s">
        <v>6089</v>
      </c>
      <c r="B8201" s="2" t="s">
        <v>725</v>
      </c>
      <c r="C8201" s="2">
        <v>1</v>
      </c>
      <c r="D8201" t="str">
        <f t="shared" si="128"/>
        <v>US-2015-109015_OFF-AP-10001962</v>
      </c>
      <c r="E8201" t="str">
        <f>IF(COUNTIF(data2!$D:$D,D8201)=0,"Missing in Data2","Present")</f>
        <v>Present</v>
      </c>
    </row>
    <row r="8202" spans="1:5" x14ac:dyDescent="0.25">
      <c r="A8202" s="2" t="s">
        <v>6089</v>
      </c>
      <c r="B8202" s="2" t="s">
        <v>2066</v>
      </c>
      <c r="C8202" s="2">
        <v>2</v>
      </c>
      <c r="D8202" t="str">
        <f t="shared" si="128"/>
        <v>US-2015-109015_TEC-PH-10002922</v>
      </c>
      <c r="E8202" t="str">
        <f>IF(COUNTIF(data2!$D:$D,D8202)=0,"Missing in Data2","Present")</f>
        <v>Present</v>
      </c>
    </row>
    <row r="8203" spans="1:5" x14ac:dyDescent="0.25">
      <c r="A8203" s="2" t="s">
        <v>6090</v>
      </c>
      <c r="B8203" s="2" t="s">
        <v>1327</v>
      </c>
      <c r="C8203" s="2">
        <v>1</v>
      </c>
      <c r="D8203" t="str">
        <f t="shared" si="128"/>
        <v>US-2015-110163_OFF-AR-10001683</v>
      </c>
      <c r="E8203" t="str">
        <f>IF(COUNTIF(data2!$D:$D,D8203)=0,"Missing in Data2","Present")</f>
        <v>Present</v>
      </c>
    </row>
    <row r="8204" spans="1:5" x14ac:dyDescent="0.25">
      <c r="A8204" s="2" t="s">
        <v>6091</v>
      </c>
      <c r="B8204" s="2" t="s">
        <v>1092</v>
      </c>
      <c r="C8204" s="2">
        <v>3</v>
      </c>
      <c r="D8204" t="str">
        <f t="shared" si="128"/>
        <v>US-2015-110261_TEC-PH-10001750</v>
      </c>
      <c r="E8204" t="str">
        <f>IF(COUNTIF(data2!$D:$D,D8204)=0,"Missing in Data2","Present")</f>
        <v>Present</v>
      </c>
    </row>
    <row r="8205" spans="1:5" x14ac:dyDescent="0.25">
      <c r="A8205" s="2" t="s">
        <v>6092</v>
      </c>
      <c r="B8205" s="2" t="s">
        <v>326</v>
      </c>
      <c r="C8205" s="2">
        <v>4</v>
      </c>
      <c r="D8205" t="str">
        <f t="shared" si="128"/>
        <v>US-2015-110569_OFF-AP-10004708</v>
      </c>
      <c r="E8205" t="str">
        <f>IF(COUNTIF(data2!$D:$D,D8205)=0,"Missing in Data2","Present")</f>
        <v>Present</v>
      </c>
    </row>
    <row r="8206" spans="1:5" x14ac:dyDescent="0.25">
      <c r="A8206" s="2" t="s">
        <v>6092</v>
      </c>
      <c r="B8206" s="2" t="s">
        <v>811</v>
      </c>
      <c r="C8206" s="2">
        <v>7</v>
      </c>
      <c r="D8206" t="str">
        <f t="shared" si="128"/>
        <v>US-2015-110569_OFF-BI-10001036</v>
      </c>
      <c r="E8206" t="str">
        <f>IF(COUNTIF(data2!$D:$D,D8206)=0,"Missing in Data2","Present")</f>
        <v>Present</v>
      </c>
    </row>
    <row r="8207" spans="1:5" x14ac:dyDescent="0.25">
      <c r="A8207" s="2" t="s">
        <v>6093</v>
      </c>
      <c r="B8207" s="2" t="s">
        <v>247</v>
      </c>
      <c r="C8207" s="2">
        <v>2</v>
      </c>
      <c r="D8207" t="str">
        <f t="shared" si="128"/>
        <v>US-2015-111927_OFF-BI-10002571</v>
      </c>
      <c r="E8207" t="str">
        <f>IF(COUNTIF(data2!$D:$D,D8207)=0,"Missing in Data2","Present")</f>
        <v>Present</v>
      </c>
    </row>
    <row r="8208" spans="1:5" x14ac:dyDescent="0.25">
      <c r="A8208" s="2" t="s">
        <v>6094</v>
      </c>
      <c r="B8208" s="2" t="s">
        <v>3600</v>
      </c>
      <c r="C8208" s="2">
        <v>2</v>
      </c>
      <c r="D8208" t="str">
        <f t="shared" si="128"/>
        <v>US-2015-112508_OFF-AP-10002287</v>
      </c>
      <c r="E8208" t="str">
        <f>IF(COUNTIF(data2!$D:$D,D8208)=0,"Missing in Data2","Present")</f>
        <v>Present</v>
      </c>
    </row>
    <row r="8209" spans="1:5" x14ac:dyDescent="0.25">
      <c r="A8209" s="2" t="s">
        <v>6095</v>
      </c>
      <c r="B8209" s="2" t="s">
        <v>1231</v>
      </c>
      <c r="C8209" s="2">
        <v>2</v>
      </c>
      <c r="D8209" t="str">
        <f t="shared" si="128"/>
        <v>US-2015-113327_OFF-EN-10004459</v>
      </c>
      <c r="E8209" t="str">
        <f>IF(COUNTIF(data2!$D:$D,D8209)=0,"Missing in Data2","Present")</f>
        <v>Present</v>
      </c>
    </row>
    <row r="8210" spans="1:5" x14ac:dyDescent="0.25">
      <c r="A8210" s="2" t="s">
        <v>6095</v>
      </c>
      <c r="B8210" s="2" t="s">
        <v>5559</v>
      </c>
      <c r="C8210" s="2">
        <v>4</v>
      </c>
      <c r="D8210" t="str">
        <f t="shared" si="128"/>
        <v>US-2015-113327_OFF-PA-10003134</v>
      </c>
      <c r="E8210" t="str">
        <f>IF(COUNTIF(data2!$D:$D,D8210)=0,"Missing in Data2","Present")</f>
        <v>Present</v>
      </c>
    </row>
    <row r="8211" spans="1:5" x14ac:dyDescent="0.25">
      <c r="A8211" s="2" t="s">
        <v>6095</v>
      </c>
      <c r="B8211" s="2" t="s">
        <v>2045</v>
      </c>
      <c r="C8211" s="2">
        <v>1</v>
      </c>
      <c r="D8211" t="str">
        <f t="shared" si="128"/>
        <v>US-2015-113327_OFF-PA-10003790</v>
      </c>
      <c r="E8211" t="str">
        <f>IF(COUNTIF(data2!$D:$D,D8211)=0,"Missing in Data2","Present")</f>
        <v>Missing in Data2</v>
      </c>
    </row>
    <row r="8212" spans="1:5" x14ac:dyDescent="0.25">
      <c r="A8212" s="2" t="s">
        <v>6095</v>
      </c>
      <c r="B8212" s="2" t="s">
        <v>131</v>
      </c>
      <c r="C8212" s="2">
        <v>7</v>
      </c>
      <c r="D8212" t="str">
        <f t="shared" si="128"/>
        <v>US-2015-113327_TEC-AC-10003628</v>
      </c>
      <c r="E8212" t="str">
        <f>IF(COUNTIF(data2!$D:$D,D8212)=0,"Missing in Data2","Present")</f>
        <v>Present</v>
      </c>
    </row>
    <row r="8213" spans="1:5" x14ac:dyDescent="0.25">
      <c r="A8213" s="2" t="s">
        <v>6096</v>
      </c>
      <c r="B8213" s="2" t="s">
        <v>51</v>
      </c>
      <c r="C8213" s="2">
        <v>3</v>
      </c>
      <c r="D8213" t="str">
        <f t="shared" si="128"/>
        <v>US-2015-113593_OFF-ST-10000532</v>
      </c>
      <c r="E8213" t="str">
        <f>IF(COUNTIF(data2!$D:$D,D8213)=0,"Missing in Data2","Present")</f>
        <v>Present</v>
      </c>
    </row>
    <row r="8214" spans="1:5" x14ac:dyDescent="0.25">
      <c r="A8214" s="2" t="s">
        <v>6097</v>
      </c>
      <c r="B8214" s="2" t="s">
        <v>1803</v>
      </c>
      <c r="C8214" s="2">
        <v>3</v>
      </c>
      <c r="D8214" t="str">
        <f t="shared" si="128"/>
        <v>US-2015-114741_OFF-LA-10004853</v>
      </c>
      <c r="E8214" t="str">
        <f>IF(COUNTIF(data2!$D:$D,D8214)=0,"Missing in Data2","Present")</f>
        <v>Missing in Data2</v>
      </c>
    </row>
    <row r="8215" spans="1:5" x14ac:dyDescent="0.25">
      <c r="A8215" s="2" t="s">
        <v>6097</v>
      </c>
      <c r="B8215" s="2" t="s">
        <v>6098</v>
      </c>
      <c r="C8215" s="2">
        <v>1</v>
      </c>
      <c r="D8215" t="str">
        <f t="shared" si="128"/>
        <v>US-2015-114741_OFF-PA-10000048</v>
      </c>
      <c r="E8215" t="str">
        <f>IF(COUNTIF(data2!$D:$D,D8215)=0,"Missing in Data2","Present")</f>
        <v>Present</v>
      </c>
    </row>
    <row r="8216" spans="1:5" x14ac:dyDescent="0.25">
      <c r="A8216" s="2" t="s">
        <v>6097</v>
      </c>
      <c r="B8216" s="2" t="s">
        <v>835</v>
      </c>
      <c r="C8216" s="2">
        <v>5</v>
      </c>
      <c r="D8216" t="str">
        <f t="shared" si="128"/>
        <v>US-2015-114741_OFF-ST-10000078</v>
      </c>
      <c r="E8216" t="str">
        <f>IF(COUNTIF(data2!$D:$D,D8216)=0,"Missing in Data2","Present")</f>
        <v>Present</v>
      </c>
    </row>
    <row r="8217" spans="1:5" x14ac:dyDescent="0.25">
      <c r="A8217" s="2" t="s">
        <v>6099</v>
      </c>
      <c r="B8217" s="2" t="s">
        <v>2153</v>
      </c>
      <c r="C8217" s="2">
        <v>2</v>
      </c>
      <c r="D8217" t="str">
        <f t="shared" si="128"/>
        <v>US-2015-114839_FUR-CH-10004086</v>
      </c>
      <c r="E8217" t="str">
        <f>IF(COUNTIF(data2!$D:$D,D8217)=0,"Missing in Data2","Present")</f>
        <v>Present</v>
      </c>
    </row>
    <row r="8218" spans="1:5" x14ac:dyDescent="0.25">
      <c r="A8218" s="2" t="s">
        <v>6100</v>
      </c>
      <c r="B8218" s="2" t="s">
        <v>2908</v>
      </c>
      <c r="C8218" s="2">
        <v>5</v>
      </c>
      <c r="D8218" t="str">
        <f t="shared" si="128"/>
        <v>US-2015-115238_FUR-FU-10001025</v>
      </c>
      <c r="E8218" t="str">
        <f>IF(COUNTIF(data2!$D:$D,D8218)=0,"Missing in Data2","Present")</f>
        <v>Present</v>
      </c>
    </row>
    <row r="8219" spans="1:5" x14ac:dyDescent="0.25">
      <c r="A8219" s="2" t="s">
        <v>6100</v>
      </c>
      <c r="B8219" s="2" t="s">
        <v>3041</v>
      </c>
      <c r="C8219" s="2">
        <v>1</v>
      </c>
      <c r="D8219" t="str">
        <f t="shared" si="128"/>
        <v>US-2015-115238_FUR-FU-10002445</v>
      </c>
      <c r="E8219" t="str">
        <f>IF(COUNTIF(data2!$D:$D,D8219)=0,"Missing in Data2","Present")</f>
        <v>Present</v>
      </c>
    </row>
    <row r="8220" spans="1:5" x14ac:dyDescent="0.25">
      <c r="A8220" s="2" t="s">
        <v>6100</v>
      </c>
      <c r="B8220" s="2" t="s">
        <v>1485</v>
      </c>
      <c r="C8220" s="2">
        <v>5</v>
      </c>
      <c r="D8220" t="str">
        <f t="shared" si="128"/>
        <v>US-2015-115238_FUR-FU-10002960</v>
      </c>
      <c r="E8220" t="str">
        <f>IF(COUNTIF(data2!$D:$D,D8220)=0,"Missing in Data2","Present")</f>
        <v>Present</v>
      </c>
    </row>
    <row r="8221" spans="1:5" x14ac:dyDescent="0.25">
      <c r="A8221" s="2" t="s">
        <v>6100</v>
      </c>
      <c r="B8221" s="2" t="s">
        <v>1085</v>
      </c>
      <c r="C8221" s="2">
        <v>1</v>
      </c>
      <c r="D8221" t="str">
        <f t="shared" si="128"/>
        <v>US-2015-115238_OFF-PA-10002689</v>
      </c>
      <c r="E8221" t="str">
        <f>IF(COUNTIF(data2!$D:$D,D8221)=0,"Missing in Data2","Present")</f>
        <v>Present</v>
      </c>
    </row>
    <row r="8222" spans="1:5" x14ac:dyDescent="0.25">
      <c r="A8222" s="2" t="s">
        <v>6100</v>
      </c>
      <c r="B8222" s="2" t="s">
        <v>3178</v>
      </c>
      <c r="C8222" s="2">
        <v>10</v>
      </c>
      <c r="D8222" t="str">
        <f t="shared" si="128"/>
        <v>US-2015-115238_TEC-PH-10001300</v>
      </c>
      <c r="E8222" t="str">
        <f>IF(COUNTIF(data2!$D:$D,D8222)=0,"Missing in Data2","Present")</f>
        <v>Present</v>
      </c>
    </row>
    <row r="8223" spans="1:5" x14ac:dyDescent="0.25">
      <c r="A8223" s="2" t="s">
        <v>6101</v>
      </c>
      <c r="B8223" s="2" t="s">
        <v>1850</v>
      </c>
      <c r="C8223" s="2">
        <v>5</v>
      </c>
      <c r="D8223" t="str">
        <f t="shared" si="128"/>
        <v>US-2015-115343_OFF-SU-10000898</v>
      </c>
      <c r="E8223" t="str">
        <f>IF(COUNTIF(data2!$D:$D,D8223)=0,"Missing in Data2","Present")</f>
        <v>Present</v>
      </c>
    </row>
    <row r="8224" spans="1:5" x14ac:dyDescent="0.25">
      <c r="A8224" s="2" t="s">
        <v>6101</v>
      </c>
      <c r="B8224" s="2" t="s">
        <v>877</v>
      </c>
      <c r="C8224" s="2">
        <v>3</v>
      </c>
      <c r="D8224" t="str">
        <f t="shared" si="128"/>
        <v>US-2015-115343_TEC-AC-10003832</v>
      </c>
      <c r="E8224" t="str">
        <f>IF(COUNTIF(data2!$D:$D,D8224)=0,"Missing in Data2","Present")</f>
        <v>Present</v>
      </c>
    </row>
    <row r="8225" spans="1:5" x14ac:dyDescent="0.25">
      <c r="A8225" s="2" t="s">
        <v>6102</v>
      </c>
      <c r="B8225" s="2" t="s">
        <v>3750</v>
      </c>
      <c r="C8225" s="2">
        <v>3</v>
      </c>
      <c r="D8225" t="str">
        <f t="shared" si="128"/>
        <v>US-2015-116981_OFF-AP-10000595</v>
      </c>
      <c r="E8225" t="str">
        <f>IF(COUNTIF(data2!$D:$D,D8225)=0,"Missing in Data2","Present")</f>
        <v>Present</v>
      </c>
    </row>
    <row r="8226" spans="1:5" x14ac:dyDescent="0.25">
      <c r="A8226" s="2" t="s">
        <v>6102</v>
      </c>
      <c r="B8226" s="2" t="s">
        <v>790</v>
      </c>
      <c r="C8226" s="2">
        <v>7</v>
      </c>
      <c r="D8226" t="str">
        <f t="shared" si="128"/>
        <v>US-2015-116981_OFF-ST-10002615</v>
      </c>
      <c r="E8226" t="str">
        <f>IF(COUNTIF(data2!$D:$D,D8226)=0,"Missing in Data2","Present")</f>
        <v>Present</v>
      </c>
    </row>
    <row r="8227" spans="1:5" x14ac:dyDescent="0.25">
      <c r="A8227" s="2" t="s">
        <v>6103</v>
      </c>
      <c r="B8227" s="2" t="s">
        <v>1961</v>
      </c>
      <c r="C8227" s="2">
        <v>5</v>
      </c>
      <c r="D8227" t="str">
        <f t="shared" si="128"/>
        <v>US-2015-117184_OFF-BI-10002082</v>
      </c>
      <c r="E8227" t="str">
        <f>IF(COUNTIF(data2!$D:$D,D8227)=0,"Missing in Data2","Present")</f>
        <v>Missing in Data2</v>
      </c>
    </row>
    <row r="8228" spans="1:5" x14ac:dyDescent="0.25">
      <c r="A8228" s="2" t="s">
        <v>6103</v>
      </c>
      <c r="B8228" s="2" t="s">
        <v>2694</v>
      </c>
      <c r="C8228" s="2">
        <v>3</v>
      </c>
      <c r="D8228" t="str">
        <f t="shared" si="128"/>
        <v>US-2015-117184_OFF-PA-10002250</v>
      </c>
      <c r="E8228" t="str">
        <f>IF(COUNTIF(data2!$D:$D,D8228)=0,"Missing in Data2","Present")</f>
        <v>Present</v>
      </c>
    </row>
    <row r="8229" spans="1:5" x14ac:dyDescent="0.25">
      <c r="A8229" s="2" t="s">
        <v>6104</v>
      </c>
      <c r="B8229" s="2" t="s">
        <v>1310</v>
      </c>
      <c r="C8229" s="2">
        <v>9</v>
      </c>
      <c r="D8229" t="str">
        <f t="shared" si="128"/>
        <v>US-2015-117492_OFF-AP-10001492</v>
      </c>
      <c r="E8229" t="str">
        <f>IF(COUNTIF(data2!$D:$D,D8229)=0,"Missing in Data2","Present")</f>
        <v>Present</v>
      </c>
    </row>
    <row r="8230" spans="1:5" x14ac:dyDescent="0.25">
      <c r="A8230" s="2" t="s">
        <v>6105</v>
      </c>
      <c r="B8230" s="2" t="s">
        <v>2917</v>
      </c>
      <c r="C8230" s="2">
        <v>10</v>
      </c>
      <c r="D8230" t="str">
        <f t="shared" si="128"/>
        <v>US-2015-118766_OFF-BI-10002813</v>
      </c>
      <c r="E8230" t="str">
        <f>IF(COUNTIF(data2!$D:$D,D8230)=0,"Missing in Data2","Present")</f>
        <v>Present</v>
      </c>
    </row>
    <row r="8231" spans="1:5" x14ac:dyDescent="0.25">
      <c r="A8231" s="2" t="s">
        <v>6105</v>
      </c>
      <c r="B8231" s="2" t="s">
        <v>439</v>
      </c>
      <c r="C8231" s="2">
        <v>1</v>
      </c>
      <c r="D8231" t="str">
        <f t="shared" si="128"/>
        <v>US-2015-118766_OFF-EN-10001415</v>
      </c>
      <c r="E8231" t="str">
        <f>IF(COUNTIF(data2!$D:$D,D8231)=0,"Missing in Data2","Present")</f>
        <v>Present</v>
      </c>
    </row>
    <row r="8232" spans="1:5" x14ac:dyDescent="0.25">
      <c r="A8232" s="2" t="s">
        <v>6106</v>
      </c>
      <c r="B8232" s="2" t="s">
        <v>1809</v>
      </c>
      <c r="C8232" s="2">
        <v>6</v>
      </c>
      <c r="D8232" t="str">
        <f t="shared" si="128"/>
        <v>US-2015-118906_OFF-ST-10002406</v>
      </c>
      <c r="E8232" t="str">
        <f>IF(COUNTIF(data2!$D:$D,D8232)=0,"Missing in Data2","Present")</f>
        <v>Present</v>
      </c>
    </row>
    <row r="8233" spans="1:5" x14ac:dyDescent="0.25">
      <c r="A8233" s="2" t="s">
        <v>6107</v>
      </c>
      <c r="B8233" s="2" t="s">
        <v>1787</v>
      </c>
      <c r="C8233" s="2">
        <v>5</v>
      </c>
      <c r="D8233" t="str">
        <f t="shared" si="128"/>
        <v>US-2015-118983_OFF-AP-10002311</v>
      </c>
      <c r="E8233" t="str">
        <f>IF(COUNTIF(data2!$D:$D,D8233)=0,"Missing in Data2","Present")</f>
        <v>Present</v>
      </c>
    </row>
    <row r="8234" spans="1:5" x14ac:dyDescent="0.25">
      <c r="A8234" s="2" t="s">
        <v>6107</v>
      </c>
      <c r="B8234" s="2" t="s">
        <v>1651</v>
      </c>
      <c r="C8234" s="2">
        <v>3</v>
      </c>
      <c r="D8234" t="str">
        <f t="shared" si="128"/>
        <v>US-2015-118983_OFF-BI-10000756</v>
      </c>
      <c r="E8234" t="str">
        <f>IF(COUNTIF(data2!$D:$D,D8234)=0,"Missing in Data2","Present")</f>
        <v>Present</v>
      </c>
    </row>
    <row r="8235" spans="1:5" x14ac:dyDescent="0.25">
      <c r="A8235" s="2" t="s">
        <v>6108</v>
      </c>
      <c r="B8235" s="2" t="s">
        <v>166</v>
      </c>
      <c r="C8235" s="2">
        <v>14</v>
      </c>
      <c r="D8235" t="str">
        <f t="shared" si="128"/>
        <v>US-2015-119312_OFF-ST-10000943</v>
      </c>
      <c r="E8235" t="str">
        <f>IF(COUNTIF(data2!$D:$D,D8235)=0,"Missing in Data2","Present")</f>
        <v>Present</v>
      </c>
    </row>
    <row r="8236" spans="1:5" x14ac:dyDescent="0.25">
      <c r="A8236" s="2" t="s">
        <v>6109</v>
      </c>
      <c r="B8236" s="2" t="s">
        <v>465</v>
      </c>
      <c r="C8236" s="2">
        <v>9</v>
      </c>
      <c r="D8236" t="str">
        <f t="shared" si="128"/>
        <v>US-2015-120161_OFF-ST-10001809</v>
      </c>
      <c r="E8236" t="str">
        <f>IF(COUNTIF(data2!$D:$D,D8236)=0,"Missing in Data2","Present")</f>
        <v>Present</v>
      </c>
    </row>
    <row r="8237" spans="1:5" x14ac:dyDescent="0.25">
      <c r="A8237" s="2" t="s">
        <v>6110</v>
      </c>
      <c r="B8237" s="2" t="s">
        <v>2310</v>
      </c>
      <c r="C8237" s="2">
        <v>2</v>
      </c>
      <c r="D8237" t="str">
        <f t="shared" si="128"/>
        <v>US-2015-120502_FUR-FU-10004973</v>
      </c>
      <c r="E8237" t="str">
        <f>IF(COUNTIF(data2!$D:$D,D8237)=0,"Missing in Data2","Present")</f>
        <v>Present</v>
      </c>
    </row>
    <row r="8238" spans="1:5" x14ac:dyDescent="0.25">
      <c r="A8238" s="2" t="s">
        <v>6110</v>
      </c>
      <c r="B8238" s="2" t="s">
        <v>1992</v>
      </c>
      <c r="C8238" s="2">
        <v>2</v>
      </c>
      <c r="D8238" t="str">
        <f t="shared" si="128"/>
        <v>US-2015-120502_OFF-AP-10004980</v>
      </c>
      <c r="E8238" t="str">
        <f>IF(COUNTIF(data2!$D:$D,D8238)=0,"Missing in Data2","Present")</f>
        <v>Present</v>
      </c>
    </row>
    <row r="8239" spans="1:5" x14ac:dyDescent="0.25">
      <c r="A8239" s="2" t="s">
        <v>6110</v>
      </c>
      <c r="B8239" s="2" t="s">
        <v>998</v>
      </c>
      <c r="C8239" s="2">
        <v>2</v>
      </c>
      <c r="D8239" t="str">
        <f t="shared" si="128"/>
        <v>US-2015-120502_TEC-PH-10003645</v>
      </c>
      <c r="E8239" t="str">
        <f>IF(COUNTIF(data2!$D:$D,D8239)=0,"Missing in Data2","Present")</f>
        <v>Present</v>
      </c>
    </row>
    <row r="8240" spans="1:5" x14ac:dyDescent="0.25">
      <c r="A8240" s="2" t="s">
        <v>6111</v>
      </c>
      <c r="B8240" s="2" t="s">
        <v>2048</v>
      </c>
      <c r="C8240" s="2">
        <v>2</v>
      </c>
      <c r="D8240" t="str">
        <f t="shared" si="128"/>
        <v>US-2015-120572_OFF-BI-10001098</v>
      </c>
      <c r="E8240" t="str">
        <f>IF(COUNTIF(data2!$D:$D,D8240)=0,"Missing in Data2","Present")</f>
        <v>Present</v>
      </c>
    </row>
    <row r="8241" spans="1:5" x14ac:dyDescent="0.25">
      <c r="A8241" s="2" t="s">
        <v>6112</v>
      </c>
      <c r="B8241" s="2" t="s">
        <v>367</v>
      </c>
      <c r="C8241" s="2">
        <v>4</v>
      </c>
      <c r="D8241" t="str">
        <f t="shared" si="128"/>
        <v>US-2015-120712_OFF-ST-10000107</v>
      </c>
      <c r="E8241" t="str">
        <f>IF(COUNTIF(data2!$D:$D,D8241)=0,"Missing in Data2","Present")</f>
        <v>Present</v>
      </c>
    </row>
    <row r="8242" spans="1:5" x14ac:dyDescent="0.25">
      <c r="A8242" s="2" t="s">
        <v>6113</v>
      </c>
      <c r="B8242" s="2" t="s">
        <v>3471</v>
      </c>
      <c r="C8242" s="2">
        <v>2</v>
      </c>
      <c r="D8242" t="str">
        <f t="shared" si="128"/>
        <v>US-2015-120957_OFF-PA-10003953</v>
      </c>
      <c r="E8242" t="str">
        <f>IF(COUNTIF(data2!$D:$D,D8242)=0,"Missing in Data2","Present")</f>
        <v>Present</v>
      </c>
    </row>
    <row r="8243" spans="1:5" x14ac:dyDescent="0.25">
      <c r="A8243" s="2" t="s">
        <v>6114</v>
      </c>
      <c r="B8243" s="2" t="s">
        <v>3173</v>
      </c>
      <c r="C8243" s="2">
        <v>2</v>
      </c>
      <c r="D8243" t="str">
        <f t="shared" si="128"/>
        <v>US-2015-122140_OFF-AP-10001242</v>
      </c>
      <c r="E8243" t="str">
        <f>IF(COUNTIF(data2!$D:$D,D8243)=0,"Missing in Data2","Present")</f>
        <v>Present</v>
      </c>
    </row>
    <row r="8244" spans="1:5" x14ac:dyDescent="0.25">
      <c r="A8244" s="2" t="s">
        <v>6114</v>
      </c>
      <c r="B8244" s="2" t="s">
        <v>311</v>
      </c>
      <c r="C8244" s="2">
        <v>7</v>
      </c>
      <c r="D8244" t="str">
        <f t="shared" si="128"/>
        <v>US-2015-122140_TEC-AC-10003038</v>
      </c>
      <c r="E8244" t="str">
        <f>IF(COUNTIF(data2!$D:$D,D8244)=0,"Missing in Data2","Present")</f>
        <v>Present</v>
      </c>
    </row>
    <row r="8245" spans="1:5" x14ac:dyDescent="0.25">
      <c r="A8245" s="2" t="s">
        <v>6114</v>
      </c>
      <c r="B8245" s="2" t="s">
        <v>1912</v>
      </c>
      <c r="C8245" s="2">
        <v>3</v>
      </c>
      <c r="D8245" t="str">
        <f t="shared" si="128"/>
        <v>US-2015-122140_TEC-AC-10003289</v>
      </c>
      <c r="E8245" t="str">
        <f>IF(COUNTIF(data2!$D:$D,D8245)=0,"Missing in Data2","Present")</f>
        <v>Present</v>
      </c>
    </row>
    <row r="8246" spans="1:5" x14ac:dyDescent="0.25">
      <c r="A8246" s="2" t="s">
        <v>6115</v>
      </c>
      <c r="B8246" s="2" t="s">
        <v>1533</v>
      </c>
      <c r="C8246" s="2">
        <v>5</v>
      </c>
      <c r="D8246" t="str">
        <f t="shared" si="128"/>
        <v>US-2015-122784_FUR-BO-10002545</v>
      </c>
      <c r="E8246" t="str">
        <f>IF(COUNTIF(data2!$D:$D,D8246)=0,"Missing in Data2","Present")</f>
        <v>Present</v>
      </c>
    </row>
    <row r="8247" spans="1:5" x14ac:dyDescent="0.25">
      <c r="A8247" s="2" t="s">
        <v>6115</v>
      </c>
      <c r="B8247" s="2" t="s">
        <v>1929</v>
      </c>
      <c r="C8247" s="2">
        <v>4</v>
      </c>
      <c r="D8247" t="str">
        <f t="shared" si="128"/>
        <v>US-2015-122784_FUR-BO-10004690</v>
      </c>
      <c r="E8247" t="str">
        <f>IF(COUNTIF(data2!$D:$D,D8247)=0,"Missing in Data2","Present")</f>
        <v>Present</v>
      </c>
    </row>
    <row r="8248" spans="1:5" x14ac:dyDescent="0.25">
      <c r="A8248" s="2" t="s">
        <v>6115</v>
      </c>
      <c r="B8248" s="2" t="s">
        <v>1636</v>
      </c>
      <c r="C8248" s="2">
        <v>5</v>
      </c>
      <c r="D8248" t="str">
        <f t="shared" si="128"/>
        <v>US-2015-122784_OFF-BI-10000546</v>
      </c>
      <c r="E8248" t="str">
        <f>IF(COUNTIF(data2!$D:$D,D8248)=0,"Missing in Data2","Present")</f>
        <v>Present</v>
      </c>
    </row>
    <row r="8249" spans="1:5" x14ac:dyDescent="0.25">
      <c r="A8249" s="2" t="s">
        <v>6115</v>
      </c>
      <c r="B8249" s="2" t="s">
        <v>312</v>
      </c>
      <c r="C8249" s="2">
        <v>2</v>
      </c>
      <c r="D8249" t="str">
        <f t="shared" si="128"/>
        <v>US-2015-122784_TEC-PH-10001557</v>
      </c>
      <c r="E8249" t="str">
        <f>IF(COUNTIF(data2!$D:$D,D8249)=0,"Missing in Data2","Present")</f>
        <v>Present</v>
      </c>
    </row>
    <row r="8250" spans="1:5" x14ac:dyDescent="0.25">
      <c r="A8250" s="2" t="s">
        <v>6116</v>
      </c>
      <c r="B8250" s="2" t="s">
        <v>1316</v>
      </c>
      <c r="C8250" s="2">
        <v>2</v>
      </c>
      <c r="D8250" t="str">
        <f t="shared" si="128"/>
        <v>US-2015-122910_TEC-PH-10000441</v>
      </c>
      <c r="E8250" t="str">
        <f>IF(COUNTIF(data2!$D:$D,D8250)=0,"Missing in Data2","Present")</f>
        <v>Present</v>
      </c>
    </row>
    <row r="8251" spans="1:5" x14ac:dyDescent="0.25">
      <c r="A8251" s="2" t="s">
        <v>6117</v>
      </c>
      <c r="B8251" s="2" t="s">
        <v>440</v>
      </c>
      <c r="C8251" s="2">
        <v>4</v>
      </c>
      <c r="D8251" t="str">
        <f t="shared" si="128"/>
        <v>US-2015-123218_TEC-AC-10000736</v>
      </c>
      <c r="E8251" t="str">
        <f>IF(COUNTIF(data2!$D:$D,D8251)=0,"Missing in Data2","Present")</f>
        <v>Present</v>
      </c>
    </row>
    <row r="8252" spans="1:5" x14ac:dyDescent="0.25">
      <c r="A8252" s="2" t="s">
        <v>6117</v>
      </c>
      <c r="B8252" s="2" t="s">
        <v>3567</v>
      </c>
      <c r="C8252" s="2">
        <v>2</v>
      </c>
      <c r="D8252" t="str">
        <f t="shared" si="128"/>
        <v>US-2015-123218_TEC-PH-10001061</v>
      </c>
      <c r="E8252" t="str">
        <f>IF(COUNTIF(data2!$D:$D,D8252)=0,"Missing in Data2","Present")</f>
        <v>Present</v>
      </c>
    </row>
    <row r="8253" spans="1:5" x14ac:dyDescent="0.25">
      <c r="A8253" s="2" t="s">
        <v>6118</v>
      </c>
      <c r="B8253" s="2" t="s">
        <v>1758</v>
      </c>
      <c r="C8253" s="2">
        <v>6</v>
      </c>
      <c r="D8253" t="str">
        <f t="shared" si="128"/>
        <v>US-2015-123918_FUR-FU-10004952</v>
      </c>
      <c r="E8253" t="str">
        <f>IF(COUNTIF(data2!$D:$D,D8253)=0,"Missing in Data2","Present")</f>
        <v>Present</v>
      </c>
    </row>
    <row r="8254" spans="1:5" x14ac:dyDescent="0.25">
      <c r="A8254" s="2" t="s">
        <v>6118</v>
      </c>
      <c r="B8254" s="2" t="s">
        <v>1102</v>
      </c>
      <c r="C8254" s="2">
        <v>1</v>
      </c>
      <c r="D8254" t="str">
        <f t="shared" si="128"/>
        <v>US-2015-123918_OFF-PA-10003001</v>
      </c>
      <c r="E8254" t="str">
        <f>IF(COUNTIF(data2!$D:$D,D8254)=0,"Missing in Data2","Present")</f>
        <v>Present</v>
      </c>
    </row>
    <row r="8255" spans="1:5" x14ac:dyDescent="0.25">
      <c r="A8255" s="2" t="s">
        <v>6119</v>
      </c>
      <c r="B8255" s="2" t="s">
        <v>1814</v>
      </c>
      <c r="C8255" s="2">
        <v>2</v>
      </c>
      <c r="D8255" t="str">
        <f t="shared" si="128"/>
        <v>US-2015-123960_FUR-FU-10004666</v>
      </c>
      <c r="E8255" t="str">
        <f>IF(COUNTIF(data2!$D:$D,D8255)=0,"Missing in Data2","Present")</f>
        <v>Present</v>
      </c>
    </row>
    <row r="8256" spans="1:5" x14ac:dyDescent="0.25">
      <c r="A8256" s="2" t="s">
        <v>6119</v>
      </c>
      <c r="B8256" s="2" t="s">
        <v>2183</v>
      </c>
      <c r="C8256" s="2">
        <v>2</v>
      </c>
      <c r="D8256" t="str">
        <f t="shared" si="128"/>
        <v>US-2015-123960_OFF-AR-10003582</v>
      </c>
      <c r="E8256" t="str">
        <f>IF(COUNTIF(data2!$D:$D,D8256)=0,"Missing in Data2","Present")</f>
        <v>Present</v>
      </c>
    </row>
    <row r="8257" spans="1:5" x14ac:dyDescent="0.25">
      <c r="A8257" s="2" t="s">
        <v>6119</v>
      </c>
      <c r="B8257" s="2" t="s">
        <v>256</v>
      </c>
      <c r="C8257" s="2">
        <v>7</v>
      </c>
      <c r="D8257" t="str">
        <f t="shared" si="128"/>
        <v>US-2015-123960_OFF-BI-10002799</v>
      </c>
      <c r="E8257" t="str">
        <f>IF(COUNTIF(data2!$D:$D,D8257)=0,"Missing in Data2","Present")</f>
        <v>Present</v>
      </c>
    </row>
    <row r="8258" spans="1:5" x14ac:dyDescent="0.25">
      <c r="A8258" s="2" t="s">
        <v>6119</v>
      </c>
      <c r="B8258" s="2" t="s">
        <v>2683</v>
      </c>
      <c r="C8258" s="2">
        <v>5</v>
      </c>
      <c r="D8258" t="str">
        <f t="shared" si="128"/>
        <v>US-2015-123960_OFF-PA-10004451</v>
      </c>
      <c r="E8258" t="str">
        <f>IF(COUNTIF(data2!$D:$D,D8258)=0,"Missing in Data2","Present")</f>
        <v>Present</v>
      </c>
    </row>
    <row r="8259" spans="1:5" x14ac:dyDescent="0.25">
      <c r="A8259" s="2" t="s">
        <v>6119</v>
      </c>
      <c r="B8259" s="2" t="s">
        <v>311</v>
      </c>
      <c r="C8259" s="2">
        <v>6</v>
      </c>
      <c r="D8259" t="str">
        <f t="shared" ref="D8259:D8322" si="129">A8259&amp;"_"&amp;B8259</f>
        <v>US-2015-123960_TEC-AC-10003038</v>
      </c>
      <c r="E8259" t="str">
        <f>IF(COUNTIF(data2!$D:$D,D8259)=0,"Missing in Data2","Present")</f>
        <v>Present</v>
      </c>
    </row>
    <row r="8260" spans="1:5" x14ac:dyDescent="0.25">
      <c r="A8260" s="2" t="s">
        <v>6120</v>
      </c>
      <c r="B8260" s="2" t="s">
        <v>2896</v>
      </c>
      <c r="C8260" s="2">
        <v>3</v>
      </c>
      <c r="D8260" t="str">
        <f t="shared" si="129"/>
        <v>US-2015-124219_FUR-FU-10000305</v>
      </c>
      <c r="E8260" t="str">
        <f>IF(COUNTIF(data2!$D:$D,D8260)=0,"Missing in Data2","Present")</f>
        <v>Missing in Data2</v>
      </c>
    </row>
    <row r="8261" spans="1:5" x14ac:dyDescent="0.25">
      <c r="A8261" s="2" t="s">
        <v>6120</v>
      </c>
      <c r="B8261" s="2" t="s">
        <v>1279</v>
      </c>
      <c r="C8261" s="2">
        <v>4</v>
      </c>
      <c r="D8261" t="str">
        <f t="shared" si="129"/>
        <v>US-2015-124219_OFF-BI-10002215</v>
      </c>
      <c r="E8261" t="str">
        <f>IF(COUNTIF(data2!$D:$D,D8261)=0,"Missing in Data2","Present")</f>
        <v>Present</v>
      </c>
    </row>
    <row r="8262" spans="1:5" x14ac:dyDescent="0.25">
      <c r="A8262" s="2" t="s">
        <v>6121</v>
      </c>
      <c r="B8262" s="2" t="s">
        <v>858</v>
      </c>
      <c r="C8262" s="2">
        <v>2</v>
      </c>
      <c r="D8262" t="str">
        <f t="shared" si="129"/>
        <v>US-2015-125374_FUR-CH-10003396</v>
      </c>
      <c r="E8262" t="str">
        <f>IF(COUNTIF(data2!$D:$D,D8262)=0,"Missing in Data2","Present")</f>
        <v>Present</v>
      </c>
    </row>
    <row r="8263" spans="1:5" x14ac:dyDescent="0.25">
      <c r="A8263" s="2" t="s">
        <v>6122</v>
      </c>
      <c r="B8263" s="2" t="s">
        <v>1427</v>
      </c>
      <c r="C8263" s="2">
        <v>13</v>
      </c>
      <c r="D8263" t="str">
        <f t="shared" si="129"/>
        <v>US-2015-126214_FUR-TA-10003748</v>
      </c>
      <c r="E8263" t="str">
        <f>IF(COUNTIF(data2!$D:$D,D8263)=0,"Missing in Data2","Present")</f>
        <v>Present</v>
      </c>
    </row>
    <row r="8264" spans="1:5" x14ac:dyDescent="0.25">
      <c r="A8264" s="2" t="s">
        <v>6122</v>
      </c>
      <c r="B8264" s="2" t="s">
        <v>1476</v>
      </c>
      <c r="C8264" s="2">
        <v>1</v>
      </c>
      <c r="D8264" t="str">
        <f t="shared" si="129"/>
        <v>US-2015-126214_TEC-AC-10003198</v>
      </c>
      <c r="E8264" t="str">
        <f>IF(COUNTIF(data2!$D:$D,D8264)=0,"Missing in Data2","Present")</f>
        <v>Present</v>
      </c>
    </row>
    <row r="8265" spans="1:5" x14ac:dyDescent="0.25">
      <c r="A8265" s="2" t="s">
        <v>6123</v>
      </c>
      <c r="B8265" s="2" t="s">
        <v>556</v>
      </c>
      <c r="C8265" s="2">
        <v>2</v>
      </c>
      <c r="D8265" t="str">
        <f t="shared" si="129"/>
        <v>US-2015-126235_FUR-FU-10000719</v>
      </c>
      <c r="E8265" t="str">
        <f>IF(COUNTIF(data2!$D:$D,D8265)=0,"Missing in Data2","Present")</f>
        <v>Present</v>
      </c>
    </row>
    <row r="8266" spans="1:5" x14ac:dyDescent="0.25">
      <c r="A8266" s="2" t="s">
        <v>6124</v>
      </c>
      <c r="B8266" s="2" t="s">
        <v>3455</v>
      </c>
      <c r="C8266" s="2">
        <v>3</v>
      </c>
      <c r="D8266" t="str">
        <f t="shared" si="129"/>
        <v>US-2015-126753_FUR-FU-10001488</v>
      </c>
      <c r="E8266" t="str">
        <f>IF(COUNTIF(data2!$D:$D,D8266)=0,"Missing in Data2","Present")</f>
        <v>Present</v>
      </c>
    </row>
    <row r="8267" spans="1:5" x14ac:dyDescent="0.25">
      <c r="A8267" s="2" t="s">
        <v>6124</v>
      </c>
      <c r="B8267" s="2" t="s">
        <v>1526</v>
      </c>
      <c r="C8267" s="2">
        <v>3</v>
      </c>
      <c r="D8267" t="str">
        <f t="shared" si="129"/>
        <v>US-2015-126753_OFF-BI-10003727</v>
      </c>
      <c r="E8267" t="str">
        <f>IF(COUNTIF(data2!$D:$D,D8267)=0,"Missing in Data2","Present")</f>
        <v>Present</v>
      </c>
    </row>
    <row r="8268" spans="1:5" x14ac:dyDescent="0.25">
      <c r="A8268" s="2" t="s">
        <v>6124</v>
      </c>
      <c r="B8268" s="2" t="s">
        <v>1105</v>
      </c>
      <c r="C8268" s="2">
        <v>2</v>
      </c>
      <c r="D8268" t="str">
        <f t="shared" si="129"/>
        <v>US-2015-126753_OFF-BI-10003981</v>
      </c>
      <c r="E8268" t="str">
        <f>IF(COUNTIF(data2!$D:$D,D8268)=0,"Missing in Data2","Present")</f>
        <v>Present</v>
      </c>
    </row>
    <row r="8269" spans="1:5" x14ac:dyDescent="0.25">
      <c r="A8269" s="2" t="s">
        <v>6124</v>
      </c>
      <c r="B8269" s="2" t="s">
        <v>6125</v>
      </c>
      <c r="C8269" s="2">
        <v>3</v>
      </c>
      <c r="D8269" t="str">
        <f t="shared" si="129"/>
        <v>US-2015-126753_OFF-PA-10000130</v>
      </c>
      <c r="E8269" t="str">
        <f>IF(COUNTIF(data2!$D:$D,D8269)=0,"Missing in Data2","Present")</f>
        <v>Present</v>
      </c>
    </row>
    <row r="8270" spans="1:5" x14ac:dyDescent="0.25">
      <c r="A8270" s="2" t="s">
        <v>6124</v>
      </c>
      <c r="B8270" s="2" t="s">
        <v>2771</v>
      </c>
      <c r="C8270" s="2">
        <v>2</v>
      </c>
      <c r="D8270" t="str">
        <f t="shared" si="129"/>
        <v>US-2015-126753_OFF-PA-10002787</v>
      </c>
      <c r="E8270" t="str">
        <f>IF(COUNTIF(data2!$D:$D,D8270)=0,"Missing in Data2","Present")</f>
        <v>Present</v>
      </c>
    </row>
    <row r="8271" spans="1:5" x14ac:dyDescent="0.25">
      <c r="A8271" s="2" t="s">
        <v>6124</v>
      </c>
      <c r="B8271" s="2" t="s">
        <v>963</v>
      </c>
      <c r="C8271" s="2">
        <v>3</v>
      </c>
      <c r="D8271" t="str">
        <f t="shared" si="129"/>
        <v>US-2015-126753_TEC-AC-10004227</v>
      </c>
      <c r="E8271" t="str">
        <f>IF(COUNTIF(data2!$D:$D,D8271)=0,"Missing in Data2","Present")</f>
        <v>Missing in Data2</v>
      </c>
    </row>
    <row r="8272" spans="1:5" x14ac:dyDescent="0.25">
      <c r="A8272" s="2" t="s">
        <v>6124</v>
      </c>
      <c r="B8272" s="2" t="s">
        <v>2691</v>
      </c>
      <c r="C8272" s="2">
        <v>4</v>
      </c>
      <c r="D8272" t="str">
        <f t="shared" si="129"/>
        <v>US-2015-126753_TEC-PH-10003580</v>
      </c>
      <c r="E8272" t="str">
        <f>IF(COUNTIF(data2!$D:$D,D8272)=0,"Missing in Data2","Present")</f>
        <v>Present</v>
      </c>
    </row>
    <row r="8273" spans="1:5" x14ac:dyDescent="0.25">
      <c r="A8273" s="2" t="s">
        <v>6126</v>
      </c>
      <c r="B8273" s="2" t="s">
        <v>815</v>
      </c>
      <c r="C8273" s="2">
        <v>5</v>
      </c>
      <c r="D8273" t="str">
        <f t="shared" si="129"/>
        <v>US-2015-126977_FUR-BO-10002213</v>
      </c>
      <c r="E8273" t="str">
        <f>IF(COUNTIF(data2!$D:$D,D8273)=0,"Missing in Data2","Present")</f>
        <v>Present</v>
      </c>
    </row>
    <row r="8274" spans="1:5" x14ac:dyDescent="0.25">
      <c r="A8274" s="2" t="s">
        <v>6126</v>
      </c>
      <c r="B8274" s="2" t="s">
        <v>2206</v>
      </c>
      <c r="C8274" s="2">
        <v>6</v>
      </c>
      <c r="D8274" t="str">
        <f t="shared" si="129"/>
        <v>US-2015-126977_FUR-BO-10004834</v>
      </c>
      <c r="E8274" t="str">
        <f>IF(COUNTIF(data2!$D:$D,D8274)=0,"Missing in Data2","Present")</f>
        <v>Missing in Data2</v>
      </c>
    </row>
    <row r="8275" spans="1:5" x14ac:dyDescent="0.25">
      <c r="A8275" s="2" t="s">
        <v>6126</v>
      </c>
      <c r="B8275" s="2" t="s">
        <v>2314</v>
      </c>
      <c r="C8275" s="2">
        <v>2</v>
      </c>
      <c r="D8275" t="str">
        <f t="shared" si="129"/>
        <v>US-2015-126977_FUR-CH-10001973</v>
      </c>
      <c r="E8275" t="str">
        <f>IF(COUNTIF(data2!$D:$D,D8275)=0,"Missing in Data2","Present")</f>
        <v>Present</v>
      </c>
    </row>
    <row r="8276" spans="1:5" x14ac:dyDescent="0.25">
      <c r="A8276" s="2" t="s">
        <v>6126</v>
      </c>
      <c r="B8276" s="2" t="s">
        <v>557</v>
      </c>
      <c r="C8276" s="2">
        <v>7</v>
      </c>
      <c r="D8276" t="str">
        <f t="shared" si="129"/>
        <v>US-2015-126977_OFF-LA-10002762</v>
      </c>
      <c r="E8276" t="str">
        <f>IF(COUNTIF(data2!$D:$D,D8276)=0,"Missing in Data2","Present")</f>
        <v>Present</v>
      </c>
    </row>
    <row r="8277" spans="1:5" x14ac:dyDescent="0.25">
      <c r="A8277" s="2" t="s">
        <v>6126</v>
      </c>
      <c r="B8277" s="2" t="s">
        <v>477</v>
      </c>
      <c r="C8277" s="2">
        <v>2</v>
      </c>
      <c r="D8277" t="str">
        <f t="shared" si="129"/>
        <v>US-2015-126977_OFF-PA-10004071</v>
      </c>
      <c r="E8277" t="str">
        <f>IF(COUNTIF(data2!$D:$D,D8277)=0,"Missing in Data2","Present")</f>
        <v>Present</v>
      </c>
    </row>
    <row r="8278" spans="1:5" x14ac:dyDescent="0.25">
      <c r="A8278" s="2" t="s">
        <v>6126</v>
      </c>
      <c r="B8278" s="2" t="s">
        <v>462</v>
      </c>
      <c r="C8278" s="2">
        <v>5</v>
      </c>
      <c r="D8278" t="str">
        <f t="shared" si="129"/>
        <v>US-2015-126977_OFF-ST-10000617</v>
      </c>
      <c r="E8278" t="str">
        <f>IF(COUNTIF(data2!$D:$D,D8278)=0,"Missing in Data2","Present")</f>
        <v>Present</v>
      </c>
    </row>
    <row r="8279" spans="1:5" x14ac:dyDescent="0.25">
      <c r="A8279" s="2" t="s">
        <v>6126</v>
      </c>
      <c r="B8279" s="2" t="s">
        <v>599</v>
      </c>
      <c r="C8279" s="2">
        <v>4</v>
      </c>
      <c r="D8279" t="str">
        <f t="shared" si="129"/>
        <v>US-2015-126977_OFF-ST-10003058</v>
      </c>
      <c r="E8279" t="str">
        <f>IF(COUNTIF(data2!$D:$D,D8279)=0,"Missing in Data2","Present")</f>
        <v>Present</v>
      </c>
    </row>
    <row r="8280" spans="1:5" x14ac:dyDescent="0.25">
      <c r="A8280" s="2" t="s">
        <v>6126</v>
      </c>
      <c r="B8280" s="2" t="s">
        <v>2361</v>
      </c>
      <c r="C8280" s="2">
        <v>2</v>
      </c>
      <c r="D8280" t="str">
        <f t="shared" si="129"/>
        <v>US-2015-126977_TEC-AC-10003033</v>
      </c>
      <c r="E8280" t="str">
        <f>IF(COUNTIF(data2!$D:$D,D8280)=0,"Missing in Data2","Present")</f>
        <v>Present</v>
      </c>
    </row>
    <row r="8281" spans="1:5" x14ac:dyDescent="0.25">
      <c r="A8281" s="2" t="s">
        <v>6126</v>
      </c>
      <c r="B8281" s="2" t="s">
        <v>63</v>
      </c>
      <c r="C8281" s="2">
        <v>4</v>
      </c>
      <c r="D8281" t="str">
        <f t="shared" si="129"/>
        <v>US-2015-126977_TEC-PH-10000169</v>
      </c>
      <c r="E8281" t="str">
        <f>IF(COUNTIF(data2!$D:$D,D8281)=0,"Missing in Data2","Present")</f>
        <v>Present</v>
      </c>
    </row>
    <row r="8282" spans="1:5" x14ac:dyDescent="0.25">
      <c r="A8282" s="2" t="s">
        <v>6126</v>
      </c>
      <c r="B8282" s="2" t="s">
        <v>777</v>
      </c>
      <c r="C8282" s="2">
        <v>3</v>
      </c>
      <c r="D8282" t="str">
        <f t="shared" si="129"/>
        <v>US-2015-126977_TEC-PH-10002170</v>
      </c>
      <c r="E8282" t="str">
        <f>IF(COUNTIF(data2!$D:$D,D8282)=0,"Missing in Data2","Present")</f>
        <v>Present</v>
      </c>
    </row>
    <row r="8283" spans="1:5" x14ac:dyDescent="0.25">
      <c r="A8283" s="2" t="s">
        <v>6127</v>
      </c>
      <c r="B8283" s="2" t="s">
        <v>349</v>
      </c>
      <c r="C8283" s="2">
        <v>4</v>
      </c>
      <c r="D8283" t="str">
        <f t="shared" si="129"/>
        <v>US-2015-127040_FUR-FU-10002878</v>
      </c>
      <c r="E8283" t="str">
        <f>IF(COUNTIF(data2!$D:$D,D8283)=0,"Missing in Data2","Present")</f>
        <v>Present</v>
      </c>
    </row>
    <row r="8284" spans="1:5" x14ac:dyDescent="0.25">
      <c r="A8284" s="2" t="s">
        <v>6127</v>
      </c>
      <c r="B8284" s="2" t="s">
        <v>2955</v>
      </c>
      <c r="C8284" s="2">
        <v>7</v>
      </c>
      <c r="D8284" t="str">
        <f t="shared" si="129"/>
        <v>US-2015-127040_OFF-PA-10001184</v>
      </c>
      <c r="E8284" t="str">
        <f>IF(COUNTIF(data2!$D:$D,D8284)=0,"Missing in Data2","Present")</f>
        <v>Present</v>
      </c>
    </row>
    <row r="8285" spans="1:5" x14ac:dyDescent="0.25">
      <c r="A8285" s="2" t="s">
        <v>6127</v>
      </c>
      <c r="B8285" s="2" t="s">
        <v>2579</v>
      </c>
      <c r="C8285" s="2">
        <v>1</v>
      </c>
      <c r="D8285" t="str">
        <f t="shared" si="129"/>
        <v>US-2015-127040_OFF-PA-10004255</v>
      </c>
      <c r="E8285" t="str">
        <f>IF(COUNTIF(data2!$D:$D,D8285)=0,"Missing in Data2","Present")</f>
        <v>Present</v>
      </c>
    </row>
    <row r="8286" spans="1:5" x14ac:dyDescent="0.25">
      <c r="A8286" s="2" t="s">
        <v>6127</v>
      </c>
      <c r="B8286" s="2" t="s">
        <v>2808</v>
      </c>
      <c r="C8286" s="2">
        <v>9</v>
      </c>
      <c r="D8286" t="str">
        <f t="shared" si="129"/>
        <v>US-2015-127040_TEC-AC-10002637</v>
      </c>
      <c r="E8286" t="str">
        <f>IF(COUNTIF(data2!$D:$D,D8286)=0,"Missing in Data2","Present")</f>
        <v>Present</v>
      </c>
    </row>
    <row r="8287" spans="1:5" x14ac:dyDescent="0.25">
      <c r="A8287" s="2" t="s">
        <v>6128</v>
      </c>
      <c r="B8287" s="2" t="s">
        <v>3307</v>
      </c>
      <c r="C8287" s="2">
        <v>1</v>
      </c>
      <c r="D8287" t="str">
        <f t="shared" si="129"/>
        <v>US-2015-128090_OFF-AR-10002255</v>
      </c>
      <c r="E8287" t="str">
        <f>IF(COUNTIF(data2!$D:$D,D8287)=0,"Missing in Data2","Present")</f>
        <v>Present</v>
      </c>
    </row>
    <row r="8288" spans="1:5" x14ac:dyDescent="0.25">
      <c r="A8288" s="2" t="s">
        <v>6128</v>
      </c>
      <c r="B8288" s="2" t="s">
        <v>627</v>
      </c>
      <c r="C8288" s="2">
        <v>2</v>
      </c>
      <c r="D8288" t="str">
        <f t="shared" si="129"/>
        <v>US-2015-128090_OFF-LA-10000452</v>
      </c>
      <c r="E8288" t="str">
        <f>IF(COUNTIF(data2!$D:$D,D8288)=0,"Missing in Data2","Present")</f>
        <v>Present</v>
      </c>
    </row>
    <row r="8289" spans="1:5" x14ac:dyDescent="0.25">
      <c r="A8289" s="2" t="s">
        <v>6128</v>
      </c>
      <c r="B8289" s="2" t="s">
        <v>425</v>
      </c>
      <c r="C8289" s="2">
        <v>8</v>
      </c>
      <c r="D8289" t="str">
        <f t="shared" si="129"/>
        <v>US-2015-128090_OFF-PA-10001878</v>
      </c>
      <c r="E8289" t="str">
        <f>IF(COUNTIF(data2!$D:$D,D8289)=0,"Missing in Data2","Present")</f>
        <v>Present</v>
      </c>
    </row>
    <row r="8290" spans="1:5" x14ac:dyDescent="0.25">
      <c r="A8290" s="2" t="s">
        <v>6128</v>
      </c>
      <c r="B8290" s="2" t="s">
        <v>3339</v>
      </c>
      <c r="C8290" s="2">
        <v>5</v>
      </c>
      <c r="D8290" t="str">
        <f t="shared" si="129"/>
        <v>US-2015-128090_TEC-PH-10002624</v>
      </c>
      <c r="E8290" t="str">
        <f>IF(COUNTIF(data2!$D:$D,D8290)=0,"Missing in Data2","Present")</f>
        <v>Present</v>
      </c>
    </row>
    <row r="8291" spans="1:5" x14ac:dyDescent="0.25">
      <c r="A8291" s="2" t="s">
        <v>6129</v>
      </c>
      <c r="B8291" s="2" t="s">
        <v>6130</v>
      </c>
      <c r="C8291" s="2">
        <v>2</v>
      </c>
      <c r="D8291" t="str">
        <f t="shared" si="129"/>
        <v>US-2015-128587_FUR-FU-10003026</v>
      </c>
      <c r="E8291" t="str">
        <f>IF(COUNTIF(data2!$D:$D,D8291)=0,"Missing in Data2","Present")</f>
        <v>Present</v>
      </c>
    </row>
    <row r="8292" spans="1:5" x14ac:dyDescent="0.25">
      <c r="A8292" s="2" t="s">
        <v>6129</v>
      </c>
      <c r="B8292" s="2" t="s">
        <v>2743</v>
      </c>
      <c r="C8292" s="2">
        <v>7</v>
      </c>
      <c r="D8292" t="str">
        <f t="shared" si="129"/>
        <v>US-2015-128587_TEC-CO-10003763</v>
      </c>
      <c r="E8292" t="str">
        <f>IF(COUNTIF(data2!$D:$D,D8292)=0,"Missing in Data2","Present")</f>
        <v>Present</v>
      </c>
    </row>
    <row r="8293" spans="1:5" x14ac:dyDescent="0.25">
      <c r="A8293" s="2" t="s">
        <v>6131</v>
      </c>
      <c r="B8293" s="2" t="s">
        <v>596</v>
      </c>
      <c r="C8293" s="2">
        <v>3</v>
      </c>
      <c r="D8293" t="str">
        <f t="shared" si="129"/>
        <v>US-2015-129007_FUR-CH-10000155</v>
      </c>
      <c r="E8293" t="str">
        <f>IF(COUNTIF(data2!$D:$D,D8293)=0,"Missing in Data2","Present")</f>
        <v>Present</v>
      </c>
    </row>
    <row r="8294" spans="1:5" x14ac:dyDescent="0.25">
      <c r="A8294" s="2" t="s">
        <v>6131</v>
      </c>
      <c r="B8294" s="2" t="s">
        <v>639</v>
      </c>
      <c r="C8294" s="2">
        <v>5</v>
      </c>
      <c r="D8294" t="str">
        <f t="shared" si="129"/>
        <v>US-2015-129007_FUR-FU-10002379</v>
      </c>
      <c r="E8294" t="str">
        <f>IF(COUNTIF(data2!$D:$D,D8294)=0,"Missing in Data2","Present")</f>
        <v>Present</v>
      </c>
    </row>
    <row r="8295" spans="1:5" x14ac:dyDescent="0.25">
      <c r="A8295" s="2" t="s">
        <v>6131</v>
      </c>
      <c r="B8295" s="2" t="s">
        <v>278</v>
      </c>
      <c r="C8295" s="2">
        <v>3</v>
      </c>
      <c r="D8295" t="str">
        <f t="shared" si="129"/>
        <v>US-2015-129007_FUR-FU-10004018</v>
      </c>
      <c r="E8295" t="str">
        <f>IF(COUNTIF(data2!$D:$D,D8295)=0,"Missing in Data2","Present")</f>
        <v>Present</v>
      </c>
    </row>
    <row r="8296" spans="1:5" x14ac:dyDescent="0.25">
      <c r="A8296" s="2" t="s">
        <v>6131</v>
      </c>
      <c r="B8296" s="2" t="s">
        <v>2310</v>
      </c>
      <c r="C8296" s="2">
        <v>7</v>
      </c>
      <c r="D8296" t="str">
        <f t="shared" si="129"/>
        <v>US-2015-129007_FUR-FU-10004973</v>
      </c>
      <c r="E8296" t="str">
        <f>IF(COUNTIF(data2!$D:$D,D8296)=0,"Missing in Data2","Present")</f>
        <v>Present</v>
      </c>
    </row>
    <row r="8297" spans="1:5" x14ac:dyDescent="0.25">
      <c r="A8297" s="2" t="s">
        <v>6131</v>
      </c>
      <c r="B8297" s="2" t="s">
        <v>626</v>
      </c>
      <c r="C8297" s="2">
        <v>3</v>
      </c>
      <c r="D8297" t="str">
        <f t="shared" si="129"/>
        <v>US-2015-129007_OFF-BI-10001628</v>
      </c>
      <c r="E8297" t="str">
        <f>IF(COUNTIF(data2!$D:$D,D8297)=0,"Missing in Data2","Present")</f>
        <v>Present</v>
      </c>
    </row>
    <row r="8298" spans="1:5" x14ac:dyDescent="0.25">
      <c r="A8298" s="2" t="s">
        <v>6132</v>
      </c>
      <c r="B8298" s="2" t="s">
        <v>1466</v>
      </c>
      <c r="C8298" s="2">
        <v>3</v>
      </c>
      <c r="D8298" t="str">
        <f t="shared" si="129"/>
        <v>US-2015-129553_TEC-PH-10004897</v>
      </c>
      <c r="E8298" t="str">
        <f>IF(COUNTIF(data2!$D:$D,D8298)=0,"Missing in Data2","Present")</f>
        <v>Present</v>
      </c>
    </row>
    <row r="8299" spans="1:5" x14ac:dyDescent="0.25">
      <c r="A8299" s="2" t="s">
        <v>6133</v>
      </c>
      <c r="B8299" s="2" t="s">
        <v>1397</v>
      </c>
      <c r="C8299" s="2">
        <v>2</v>
      </c>
      <c r="D8299" t="str">
        <f t="shared" si="129"/>
        <v>US-2015-129637_FUR-FU-10000965</v>
      </c>
      <c r="E8299" t="str">
        <f>IF(COUNTIF(data2!$D:$D,D8299)=0,"Missing in Data2","Present")</f>
        <v>Present</v>
      </c>
    </row>
    <row r="8300" spans="1:5" x14ac:dyDescent="0.25">
      <c r="A8300" s="2" t="s">
        <v>6133</v>
      </c>
      <c r="B8300" s="2" t="s">
        <v>617</v>
      </c>
      <c r="C8300" s="2">
        <v>5</v>
      </c>
      <c r="D8300" t="str">
        <f t="shared" si="129"/>
        <v>US-2015-129637_OFF-AR-10003829</v>
      </c>
      <c r="E8300" t="str">
        <f>IF(COUNTIF(data2!$D:$D,D8300)=0,"Missing in Data2","Present")</f>
        <v>Present</v>
      </c>
    </row>
    <row r="8301" spans="1:5" x14ac:dyDescent="0.25">
      <c r="A8301" s="2" t="s">
        <v>6133</v>
      </c>
      <c r="B8301" s="2" t="s">
        <v>495</v>
      </c>
      <c r="C8301" s="2">
        <v>1</v>
      </c>
      <c r="D8301" t="str">
        <f t="shared" si="129"/>
        <v>US-2015-129637_OFF-ST-10003716</v>
      </c>
      <c r="E8301" t="str">
        <f>IF(COUNTIF(data2!$D:$D,D8301)=0,"Missing in Data2","Present")</f>
        <v>Present</v>
      </c>
    </row>
    <row r="8302" spans="1:5" x14ac:dyDescent="0.25">
      <c r="A8302" s="2" t="s">
        <v>6134</v>
      </c>
      <c r="B8302" s="2" t="s">
        <v>681</v>
      </c>
      <c r="C8302" s="2">
        <v>2</v>
      </c>
      <c r="D8302" t="str">
        <f t="shared" si="129"/>
        <v>US-2015-130491_OFF-AR-10001149</v>
      </c>
      <c r="E8302" t="str">
        <f>IF(COUNTIF(data2!$D:$D,D8302)=0,"Missing in Data2","Present")</f>
        <v>Present</v>
      </c>
    </row>
    <row r="8303" spans="1:5" x14ac:dyDescent="0.25">
      <c r="A8303" s="2" t="s">
        <v>6134</v>
      </c>
      <c r="B8303" s="2" t="s">
        <v>397</v>
      </c>
      <c r="C8303" s="2">
        <v>1</v>
      </c>
      <c r="D8303" t="str">
        <f t="shared" si="129"/>
        <v>US-2015-130491_OFF-FA-10000134</v>
      </c>
      <c r="E8303" t="str">
        <f>IF(COUNTIF(data2!$D:$D,D8303)=0,"Missing in Data2","Present")</f>
        <v>Present</v>
      </c>
    </row>
    <row r="8304" spans="1:5" x14ac:dyDescent="0.25">
      <c r="A8304" s="2" t="s">
        <v>6134</v>
      </c>
      <c r="B8304" s="2" t="s">
        <v>3814</v>
      </c>
      <c r="C8304" s="2">
        <v>2</v>
      </c>
      <c r="D8304" t="str">
        <f t="shared" si="129"/>
        <v>US-2015-130491_OFF-PA-10000791</v>
      </c>
      <c r="E8304" t="str">
        <f>IF(COUNTIF(data2!$D:$D,D8304)=0,"Missing in Data2","Present")</f>
        <v>Present</v>
      </c>
    </row>
    <row r="8305" spans="1:5" x14ac:dyDescent="0.25">
      <c r="A8305" s="2" t="s">
        <v>6135</v>
      </c>
      <c r="B8305" s="2" t="s">
        <v>1989</v>
      </c>
      <c r="C8305" s="2">
        <v>2</v>
      </c>
      <c r="D8305" t="str">
        <f t="shared" si="129"/>
        <v>US-2015-130512_OFF-BI-10004519</v>
      </c>
      <c r="E8305" t="str">
        <f>IF(COUNTIF(data2!$D:$D,D8305)=0,"Missing in Data2","Present")</f>
        <v>Present</v>
      </c>
    </row>
    <row r="8306" spans="1:5" x14ac:dyDescent="0.25">
      <c r="A8306" s="2" t="s">
        <v>6135</v>
      </c>
      <c r="B8306" s="2" t="s">
        <v>1214</v>
      </c>
      <c r="C8306" s="2">
        <v>2</v>
      </c>
      <c r="D8306" t="str">
        <f t="shared" si="129"/>
        <v>US-2015-130512_OFF-PA-10003625</v>
      </c>
      <c r="E8306" t="str">
        <f>IF(COUNTIF(data2!$D:$D,D8306)=0,"Missing in Data2","Present")</f>
        <v>Present</v>
      </c>
    </row>
    <row r="8307" spans="1:5" x14ac:dyDescent="0.25">
      <c r="A8307" s="2" t="s">
        <v>6135</v>
      </c>
      <c r="B8307" s="2" t="s">
        <v>116</v>
      </c>
      <c r="C8307" s="2">
        <v>6</v>
      </c>
      <c r="D8307" t="str">
        <f t="shared" si="129"/>
        <v>US-2015-130512_OFF-ST-10002574</v>
      </c>
      <c r="E8307" t="str">
        <f>IF(COUNTIF(data2!$D:$D,D8307)=0,"Missing in Data2","Present")</f>
        <v>Present</v>
      </c>
    </row>
    <row r="8308" spans="1:5" x14ac:dyDescent="0.25">
      <c r="A8308" s="2" t="s">
        <v>6135</v>
      </c>
      <c r="B8308" s="2" t="s">
        <v>2150</v>
      </c>
      <c r="C8308" s="2">
        <v>2</v>
      </c>
      <c r="D8308" t="str">
        <f t="shared" si="129"/>
        <v>US-2015-130512_OFF-SU-10001935</v>
      </c>
      <c r="E8308" t="str">
        <f>IF(COUNTIF(data2!$D:$D,D8308)=0,"Missing in Data2","Present")</f>
        <v>Present</v>
      </c>
    </row>
    <row r="8309" spans="1:5" x14ac:dyDescent="0.25">
      <c r="A8309" s="2" t="s">
        <v>6135</v>
      </c>
      <c r="B8309" s="2" t="s">
        <v>406</v>
      </c>
      <c r="C8309" s="2">
        <v>4</v>
      </c>
      <c r="D8309" t="str">
        <f t="shared" si="129"/>
        <v>US-2015-130512_TEC-AC-10000290</v>
      </c>
      <c r="E8309" t="str">
        <f>IF(COUNTIF(data2!$D:$D,D8309)=0,"Missing in Data2","Present")</f>
        <v>Present</v>
      </c>
    </row>
    <row r="8310" spans="1:5" x14ac:dyDescent="0.25">
      <c r="A8310" s="2" t="s">
        <v>6136</v>
      </c>
      <c r="B8310" s="2" t="s">
        <v>21</v>
      </c>
      <c r="C8310" s="2">
        <v>4</v>
      </c>
      <c r="D8310" t="str">
        <f t="shared" si="129"/>
        <v>US-2015-130519_FUR-FU-10002268</v>
      </c>
      <c r="E8310" t="str">
        <f>IF(COUNTIF(data2!$D:$D,D8310)=0,"Missing in Data2","Present")</f>
        <v>Present</v>
      </c>
    </row>
    <row r="8311" spans="1:5" x14ac:dyDescent="0.25">
      <c r="A8311" s="2" t="s">
        <v>6136</v>
      </c>
      <c r="B8311" s="2" t="s">
        <v>2009</v>
      </c>
      <c r="C8311" s="2">
        <v>1</v>
      </c>
      <c r="D8311" t="str">
        <f t="shared" si="129"/>
        <v>US-2015-130519_FUR-FU-10003394</v>
      </c>
      <c r="E8311" t="str">
        <f>IF(COUNTIF(data2!$D:$D,D8311)=0,"Missing in Data2","Present")</f>
        <v>Present</v>
      </c>
    </row>
    <row r="8312" spans="1:5" x14ac:dyDescent="0.25">
      <c r="A8312" s="2" t="s">
        <v>6136</v>
      </c>
      <c r="B8312" s="2" t="s">
        <v>1785</v>
      </c>
      <c r="C8312" s="2">
        <v>3</v>
      </c>
      <c r="D8312" t="str">
        <f t="shared" si="129"/>
        <v>US-2015-130519_OFF-PA-10001937</v>
      </c>
      <c r="E8312" t="str">
        <f>IF(COUNTIF(data2!$D:$D,D8312)=0,"Missing in Data2","Present")</f>
        <v>Present</v>
      </c>
    </row>
    <row r="8313" spans="1:5" x14ac:dyDescent="0.25">
      <c r="A8313" s="2" t="s">
        <v>6136</v>
      </c>
      <c r="B8313" s="2" t="s">
        <v>269</v>
      </c>
      <c r="C8313" s="2">
        <v>2</v>
      </c>
      <c r="D8313" t="str">
        <f t="shared" si="129"/>
        <v>US-2015-130519_OFF-ST-10001321</v>
      </c>
      <c r="E8313" t="str">
        <f>IF(COUNTIF(data2!$D:$D,D8313)=0,"Missing in Data2","Present")</f>
        <v>Present</v>
      </c>
    </row>
    <row r="8314" spans="1:5" x14ac:dyDescent="0.25">
      <c r="A8314" s="2" t="s">
        <v>6137</v>
      </c>
      <c r="B8314" s="2" t="s">
        <v>6130</v>
      </c>
      <c r="C8314" s="2">
        <v>4</v>
      </c>
      <c r="D8314" t="str">
        <f t="shared" si="129"/>
        <v>US-2015-131359_FUR-FU-10003026</v>
      </c>
      <c r="E8314" t="str">
        <f>IF(COUNTIF(data2!$D:$D,D8314)=0,"Missing in Data2","Present")</f>
        <v>Present</v>
      </c>
    </row>
    <row r="8315" spans="1:5" x14ac:dyDescent="0.25">
      <c r="A8315" s="2" t="s">
        <v>6137</v>
      </c>
      <c r="B8315" s="2" t="s">
        <v>759</v>
      </c>
      <c r="C8315" s="2">
        <v>1</v>
      </c>
      <c r="D8315" t="str">
        <f t="shared" si="129"/>
        <v>US-2015-131359_TEC-CO-10001571</v>
      </c>
      <c r="E8315" t="str">
        <f>IF(COUNTIF(data2!$D:$D,D8315)=0,"Missing in Data2","Present")</f>
        <v>Present</v>
      </c>
    </row>
    <row r="8316" spans="1:5" x14ac:dyDescent="0.25">
      <c r="A8316" s="2" t="s">
        <v>6137</v>
      </c>
      <c r="B8316" s="2" t="s">
        <v>2104</v>
      </c>
      <c r="C8316" s="2">
        <v>2</v>
      </c>
      <c r="D8316" t="str">
        <f t="shared" si="129"/>
        <v>US-2015-131359_TEC-MA-10000597</v>
      </c>
      <c r="E8316" t="str">
        <f>IF(COUNTIF(data2!$D:$D,D8316)=0,"Missing in Data2","Present")</f>
        <v>Present</v>
      </c>
    </row>
    <row r="8317" spans="1:5" x14ac:dyDescent="0.25">
      <c r="A8317" s="2" t="s">
        <v>6137</v>
      </c>
      <c r="B8317" s="2" t="s">
        <v>365</v>
      </c>
      <c r="C8317" s="2">
        <v>5</v>
      </c>
      <c r="D8317" t="str">
        <f t="shared" si="129"/>
        <v>US-2015-131359_TEC-PH-10004531</v>
      </c>
      <c r="E8317" t="str">
        <f>IF(COUNTIF(data2!$D:$D,D8317)=0,"Missing in Data2","Present")</f>
        <v>Present</v>
      </c>
    </row>
    <row r="8318" spans="1:5" x14ac:dyDescent="0.25">
      <c r="A8318" s="2" t="s">
        <v>6138</v>
      </c>
      <c r="B8318" s="2" t="s">
        <v>1554</v>
      </c>
      <c r="C8318" s="2">
        <v>2</v>
      </c>
      <c r="D8318" t="str">
        <f t="shared" si="129"/>
        <v>US-2015-131842_FUR-CH-10004477</v>
      </c>
      <c r="E8318" t="str">
        <f>IF(COUNTIF(data2!$D:$D,D8318)=0,"Missing in Data2","Present")</f>
        <v>Present</v>
      </c>
    </row>
    <row r="8319" spans="1:5" x14ac:dyDescent="0.25">
      <c r="A8319" s="2" t="s">
        <v>6139</v>
      </c>
      <c r="B8319" s="2" t="s">
        <v>2608</v>
      </c>
      <c r="C8319" s="2">
        <v>6</v>
      </c>
      <c r="D8319" t="str">
        <f t="shared" si="129"/>
        <v>US-2015-132836_OFF-BI-10004224</v>
      </c>
      <c r="E8319" t="str">
        <f>IF(COUNTIF(data2!$D:$D,D8319)=0,"Missing in Data2","Present")</f>
        <v>Present</v>
      </c>
    </row>
    <row r="8320" spans="1:5" x14ac:dyDescent="0.25">
      <c r="A8320" s="2" t="s">
        <v>6139</v>
      </c>
      <c r="B8320" s="2" t="s">
        <v>4931</v>
      </c>
      <c r="C8320" s="2">
        <v>7</v>
      </c>
      <c r="D8320" t="str">
        <f t="shared" si="129"/>
        <v>US-2015-132836_OFF-LA-10004178</v>
      </c>
      <c r="E8320" t="str">
        <f>IF(COUNTIF(data2!$D:$D,D8320)=0,"Missing in Data2","Present")</f>
        <v>Present</v>
      </c>
    </row>
    <row r="8321" spans="1:5" x14ac:dyDescent="0.25">
      <c r="A8321" s="2" t="s">
        <v>6139</v>
      </c>
      <c r="B8321" s="2" t="s">
        <v>923</v>
      </c>
      <c r="C8321" s="2">
        <v>2</v>
      </c>
      <c r="D8321" t="str">
        <f t="shared" si="129"/>
        <v>US-2015-132836_TEC-PH-10001299</v>
      </c>
      <c r="E8321" t="str">
        <f>IF(COUNTIF(data2!$D:$D,D8321)=0,"Missing in Data2","Present")</f>
        <v>Missing in Data2</v>
      </c>
    </row>
    <row r="8322" spans="1:5" x14ac:dyDescent="0.25">
      <c r="A8322" s="2" t="s">
        <v>6139</v>
      </c>
      <c r="B8322" s="2" t="s">
        <v>3178</v>
      </c>
      <c r="C8322" s="2">
        <v>2</v>
      </c>
      <c r="D8322" t="str">
        <f t="shared" si="129"/>
        <v>US-2015-132836_TEC-PH-10001300</v>
      </c>
      <c r="E8322" t="str">
        <f>IF(COUNTIF(data2!$D:$D,D8322)=0,"Missing in Data2","Present")</f>
        <v>Present</v>
      </c>
    </row>
    <row r="8323" spans="1:5" x14ac:dyDescent="0.25">
      <c r="A8323" s="2" t="s">
        <v>6140</v>
      </c>
      <c r="B8323" s="2" t="s">
        <v>665</v>
      </c>
      <c r="C8323" s="2">
        <v>8</v>
      </c>
      <c r="D8323" t="str">
        <f t="shared" ref="D8323:D8386" si="130">A8323&amp;"_"&amp;B8323</f>
        <v>US-2015-134026_FUR-CH-10000513</v>
      </c>
      <c r="E8323" t="str">
        <f>IF(COUNTIF(data2!$D:$D,D8323)=0,"Missing in Data2","Present")</f>
        <v>Present</v>
      </c>
    </row>
    <row r="8324" spans="1:5" x14ac:dyDescent="0.25">
      <c r="A8324" s="2" t="s">
        <v>6140</v>
      </c>
      <c r="B8324" s="2" t="s">
        <v>1768</v>
      </c>
      <c r="C8324" s="2">
        <v>2</v>
      </c>
      <c r="D8324" t="str">
        <f t="shared" si="130"/>
        <v>US-2015-134026_FUR-FU-10003708</v>
      </c>
      <c r="E8324" t="str">
        <f>IF(COUNTIF(data2!$D:$D,D8324)=0,"Missing in Data2","Present")</f>
        <v>Present</v>
      </c>
    </row>
    <row r="8325" spans="1:5" x14ac:dyDescent="0.25">
      <c r="A8325" s="2" t="s">
        <v>6140</v>
      </c>
      <c r="B8325" s="2" t="s">
        <v>1761</v>
      </c>
      <c r="C8325" s="2">
        <v>1</v>
      </c>
      <c r="D8325" t="str">
        <f t="shared" si="130"/>
        <v>US-2015-134026_OFF-ST-10004123</v>
      </c>
      <c r="E8325" t="str">
        <f>IF(COUNTIF(data2!$D:$D,D8325)=0,"Missing in Data2","Present")</f>
        <v>Present</v>
      </c>
    </row>
    <row r="8326" spans="1:5" x14ac:dyDescent="0.25">
      <c r="A8326" s="2" t="s">
        <v>6141</v>
      </c>
      <c r="B8326" s="2" t="s">
        <v>2712</v>
      </c>
      <c r="C8326" s="2">
        <v>3</v>
      </c>
      <c r="D8326" t="str">
        <f t="shared" si="130"/>
        <v>US-2015-134271_OFF-LA-10004093</v>
      </c>
      <c r="E8326" t="str">
        <f>IF(COUNTIF(data2!$D:$D,D8326)=0,"Missing in Data2","Present")</f>
        <v>Present</v>
      </c>
    </row>
    <row r="8327" spans="1:5" x14ac:dyDescent="0.25">
      <c r="A8327" s="2" t="s">
        <v>6142</v>
      </c>
      <c r="B8327" s="2" t="s">
        <v>1806</v>
      </c>
      <c r="C8327" s="2">
        <v>4</v>
      </c>
      <c r="D8327" t="str">
        <f t="shared" si="130"/>
        <v>US-2015-134558_FUR-TA-10003473</v>
      </c>
      <c r="E8327" t="str">
        <f>IF(COUNTIF(data2!$D:$D,D8327)=0,"Missing in Data2","Present")</f>
        <v>Present</v>
      </c>
    </row>
    <row r="8328" spans="1:5" x14ac:dyDescent="0.25">
      <c r="A8328" s="2" t="s">
        <v>6142</v>
      </c>
      <c r="B8328" s="2" t="s">
        <v>2955</v>
      </c>
      <c r="C8328" s="2">
        <v>5</v>
      </c>
      <c r="D8328" t="str">
        <f t="shared" si="130"/>
        <v>US-2015-134558_OFF-PA-10001184</v>
      </c>
      <c r="E8328" t="str">
        <f>IF(COUNTIF(data2!$D:$D,D8328)=0,"Missing in Data2","Present")</f>
        <v>Present</v>
      </c>
    </row>
    <row r="8329" spans="1:5" x14ac:dyDescent="0.25">
      <c r="A8329" s="2" t="s">
        <v>6142</v>
      </c>
      <c r="B8329" s="2" t="s">
        <v>2603</v>
      </c>
      <c r="C8329" s="2">
        <v>9</v>
      </c>
      <c r="D8329" t="str">
        <f t="shared" si="130"/>
        <v>US-2015-134558_TEC-AC-10004145</v>
      </c>
      <c r="E8329" t="str">
        <f>IF(COUNTIF(data2!$D:$D,D8329)=0,"Missing in Data2","Present")</f>
        <v>Present</v>
      </c>
    </row>
    <row r="8330" spans="1:5" x14ac:dyDescent="0.25">
      <c r="A8330" s="2" t="s">
        <v>6143</v>
      </c>
      <c r="B8330" s="2" t="s">
        <v>1412</v>
      </c>
      <c r="C8330" s="2">
        <v>3</v>
      </c>
      <c r="D8330" t="str">
        <f t="shared" si="130"/>
        <v>US-2015-136259_OFF-BI-10000773</v>
      </c>
      <c r="E8330" t="str">
        <f>IF(COUNTIF(data2!$D:$D,D8330)=0,"Missing in Data2","Present")</f>
        <v>Missing in Data2</v>
      </c>
    </row>
    <row r="8331" spans="1:5" x14ac:dyDescent="0.25">
      <c r="A8331" s="2" t="s">
        <v>6143</v>
      </c>
      <c r="B8331" s="2" t="s">
        <v>656</v>
      </c>
      <c r="C8331" s="2">
        <v>4</v>
      </c>
      <c r="D8331" t="str">
        <f t="shared" si="130"/>
        <v>US-2015-136259_OFF-SU-10004661</v>
      </c>
      <c r="E8331" t="str">
        <f>IF(COUNTIF(data2!$D:$D,D8331)=0,"Missing in Data2","Present")</f>
        <v>Present</v>
      </c>
    </row>
    <row r="8332" spans="1:5" x14ac:dyDescent="0.25">
      <c r="A8332" s="2" t="s">
        <v>6144</v>
      </c>
      <c r="B8332" s="2" t="s">
        <v>1694</v>
      </c>
      <c r="C8332" s="2">
        <v>7</v>
      </c>
      <c r="D8332" t="str">
        <f t="shared" si="130"/>
        <v>US-2015-136427_TEC-PH-10002070</v>
      </c>
      <c r="E8332" t="str">
        <f>IF(COUNTIF(data2!$D:$D,D8332)=0,"Missing in Data2","Present")</f>
        <v>Present</v>
      </c>
    </row>
    <row r="8333" spans="1:5" x14ac:dyDescent="0.25">
      <c r="A8333" s="2" t="s">
        <v>6145</v>
      </c>
      <c r="B8333" s="2" t="s">
        <v>1382</v>
      </c>
      <c r="C8333" s="2">
        <v>1</v>
      </c>
      <c r="D8333" t="str">
        <f t="shared" si="130"/>
        <v>US-2015-136476_OFF-BI-10003650</v>
      </c>
      <c r="E8333" t="str">
        <f>IF(COUNTIF(data2!$D:$D,D8333)=0,"Missing in Data2","Present")</f>
        <v>Present</v>
      </c>
    </row>
    <row r="8334" spans="1:5" x14ac:dyDescent="0.25">
      <c r="A8334" s="2" t="s">
        <v>6146</v>
      </c>
      <c r="B8334" s="2" t="s">
        <v>91</v>
      </c>
      <c r="C8334" s="2">
        <v>6</v>
      </c>
      <c r="D8334" t="str">
        <f t="shared" si="130"/>
        <v>US-2015-136749_FUR-FU-10000747</v>
      </c>
      <c r="E8334" t="str">
        <f>IF(COUNTIF(data2!$D:$D,D8334)=0,"Missing in Data2","Present")</f>
        <v>Present</v>
      </c>
    </row>
    <row r="8335" spans="1:5" x14ac:dyDescent="0.25">
      <c r="A8335" s="2" t="s">
        <v>6146</v>
      </c>
      <c r="B8335" s="2" t="s">
        <v>2041</v>
      </c>
      <c r="C8335" s="2">
        <v>5</v>
      </c>
      <c r="D8335" t="str">
        <f t="shared" si="130"/>
        <v>US-2015-136749_OFF-BI-10004492</v>
      </c>
      <c r="E8335" t="str">
        <f>IF(COUNTIF(data2!$D:$D,D8335)=0,"Missing in Data2","Present")</f>
        <v>Present</v>
      </c>
    </row>
    <row r="8336" spans="1:5" x14ac:dyDescent="0.25">
      <c r="A8336" s="2" t="s">
        <v>6147</v>
      </c>
      <c r="B8336" s="2" t="s">
        <v>4712</v>
      </c>
      <c r="C8336" s="2">
        <v>2</v>
      </c>
      <c r="D8336" t="str">
        <f t="shared" si="130"/>
        <v>US-2015-136987_OFF-PA-10003127</v>
      </c>
      <c r="E8336" t="str">
        <f>IF(COUNTIF(data2!$D:$D,D8336)=0,"Missing in Data2","Present")</f>
        <v>Present</v>
      </c>
    </row>
    <row r="8337" spans="1:5" x14ac:dyDescent="0.25">
      <c r="A8337" s="2" t="s">
        <v>6147</v>
      </c>
      <c r="B8337" s="2" t="s">
        <v>2030</v>
      </c>
      <c r="C8337" s="2">
        <v>4</v>
      </c>
      <c r="D8337" t="str">
        <f t="shared" si="130"/>
        <v>US-2015-136987_TEC-CO-10001943</v>
      </c>
      <c r="E8337" t="str">
        <f>IF(COUNTIF(data2!$D:$D,D8337)=0,"Missing in Data2","Present")</f>
        <v>Present</v>
      </c>
    </row>
    <row r="8338" spans="1:5" x14ac:dyDescent="0.25">
      <c r="A8338" s="2" t="s">
        <v>6148</v>
      </c>
      <c r="B8338" s="2" t="s">
        <v>758</v>
      </c>
      <c r="C8338" s="2">
        <v>4</v>
      </c>
      <c r="D8338" t="str">
        <f t="shared" si="130"/>
        <v>US-2015-137008_OFF-EN-10002500</v>
      </c>
      <c r="E8338" t="str">
        <f>IF(COUNTIF(data2!$D:$D,D8338)=0,"Missing in Data2","Present")</f>
        <v>Present</v>
      </c>
    </row>
    <row r="8339" spans="1:5" x14ac:dyDescent="0.25">
      <c r="A8339" s="2" t="s">
        <v>6148</v>
      </c>
      <c r="B8339" s="2" t="s">
        <v>1506</v>
      </c>
      <c r="C8339" s="2">
        <v>5</v>
      </c>
      <c r="D8339" t="str">
        <f t="shared" si="130"/>
        <v>US-2015-137008_OFF-PA-10001295</v>
      </c>
      <c r="E8339" t="str">
        <f>IF(COUNTIF(data2!$D:$D,D8339)=0,"Missing in Data2","Present")</f>
        <v>Present</v>
      </c>
    </row>
    <row r="8340" spans="1:5" x14ac:dyDescent="0.25">
      <c r="A8340" s="2" t="s">
        <v>6148</v>
      </c>
      <c r="B8340" s="2" t="s">
        <v>1718</v>
      </c>
      <c r="C8340" s="2">
        <v>1</v>
      </c>
      <c r="D8340" t="str">
        <f t="shared" si="130"/>
        <v>US-2015-137008_TEC-AC-10000892</v>
      </c>
      <c r="E8340" t="str">
        <f>IF(COUNTIF(data2!$D:$D,D8340)=0,"Missing in Data2","Present")</f>
        <v>Present</v>
      </c>
    </row>
    <row r="8341" spans="1:5" x14ac:dyDescent="0.25">
      <c r="A8341" s="2" t="s">
        <v>6149</v>
      </c>
      <c r="B8341" s="2" t="s">
        <v>1737</v>
      </c>
      <c r="C8341" s="2">
        <v>4</v>
      </c>
      <c r="D8341" t="str">
        <f t="shared" si="130"/>
        <v>US-2015-137533_OFF-PA-10003441</v>
      </c>
      <c r="E8341" t="str">
        <f>IF(COUNTIF(data2!$D:$D,D8341)=0,"Missing in Data2","Present")</f>
        <v>Present</v>
      </c>
    </row>
    <row r="8342" spans="1:5" x14ac:dyDescent="0.25">
      <c r="A8342" s="2" t="s">
        <v>6150</v>
      </c>
      <c r="B8342" s="2" t="s">
        <v>2507</v>
      </c>
      <c r="C8342" s="2">
        <v>1</v>
      </c>
      <c r="D8342" t="str">
        <f t="shared" si="130"/>
        <v>US-2015-137960_TEC-AC-10002253</v>
      </c>
      <c r="E8342" t="str">
        <f>IF(COUNTIF(data2!$D:$D,D8342)=0,"Missing in Data2","Present")</f>
        <v>Present</v>
      </c>
    </row>
    <row r="8343" spans="1:5" x14ac:dyDescent="0.25">
      <c r="A8343" s="2" t="s">
        <v>6151</v>
      </c>
      <c r="B8343" s="2" t="s">
        <v>2213</v>
      </c>
      <c r="C8343" s="2">
        <v>3</v>
      </c>
      <c r="D8343" t="str">
        <f t="shared" si="130"/>
        <v>US-2015-138093_FUR-CH-10000785</v>
      </c>
      <c r="E8343" t="str">
        <f>IF(COUNTIF(data2!$D:$D,D8343)=0,"Missing in Data2","Present")</f>
        <v>Present</v>
      </c>
    </row>
    <row r="8344" spans="1:5" x14ac:dyDescent="0.25">
      <c r="A8344" s="2" t="s">
        <v>6151</v>
      </c>
      <c r="B8344" s="2" t="s">
        <v>2616</v>
      </c>
      <c r="C8344" s="2">
        <v>9</v>
      </c>
      <c r="D8344" t="str">
        <f t="shared" si="130"/>
        <v>US-2015-138093_OFF-AR-10000817</v>
      </c>
      <c r="E8344" t="str">
        <f>IF(COUNTIF(data2!$D:$D,D8344)=0,"Missing in Data2","Present")</f>
        <v>Present</v>
      </c>
    </row>
    <row r="8345" spans="1:5" x14ac:dyDescent="0.25">
      <c r="A8345" s="2" t="s">
        <v>6151</v>
      </c>
      <c r="B8345" s="2" t="s">
        <v>1833</v>
      </c>
      <c r="C8345" s="2">
        <v>5</v>
      </c>
      <c r="D8345" t="str">
        <f t="shared" si="130"/>
        <v>US-2015-138093_OFF-PA-10000143</v>
      </c>
      <c r="E8345" t="str">
        <f>IF(COUNTIF(data2!$D:$D,D8345)=0,"Missing in Data2","Present")</f>
        <v>Present</v>
      </c>
    </row>
    <row r="8346" spans="1:5" x14ac:dyDescent="0.25">
      <c r="A8346" s="2" t="s">
        <v>6151</v>
      </c>
      <c r="B8346" s="2" t="s">
        <v>1307</v>
      </c>
      <c r="C8346" s="2">
        <v>5</v>
      </c>
      <c r="D8346" t="str">
        <f t="shared" si="130"/>
        <v>US-2015-138093_OFF-PA-10001509</v>
      </c>
      <c r="E8346" t="str">
        <f>IF(COUNTIF(data2!$D:$D,D8346)=0,"Missing in Data2","Present")</f>
        <v>Present</v>
      </c>
    </row>
    <row r="8347" spans="1:5" x14ac:dyDescent="0.25">
      <c r="A8347" s="2" t="s">
        <v>6151</v>
      </c>
      <c r="B8347" s="2" t="s">
        <v>142</v>
      </c>
      <c r="C8347" s="2">
        <v>1</v>
      </c>
      <c r="D8347" t="str">
        <f t="shared" si="130"/>
        <v>US-2015-138093_TEC-PH-10004667</v>
      </c>
      <c r="E8347" t="str">
        <f>IF(COUNTIF(data2!$D:$D,D8347)=0,"Missing in Data2","Present")</f>
        <v>Present</v>
      </c>
    </row>
    <row r="8348" spans="1:5" x14ac:dyDescent="0.25">
      <c r="A8348" s="2" t="s">
        <v>6152</v>
      </c>
      <c r="B8348" s="2" t="s">
        <v>621</v>
      </c>
      <c r="C8348" s="2">
        <v>9</v>
      </c>
      <c r="D8348" t="str">
        <f t="shared" si="130"/>
        <v>US-2015-138121_FUR-CH-10003817</v>
      </c>
      <c r="E8348" t="str">
        <f>IF(COUNTIF(data2!$D:$D,D8348)=0,"Missing in Data2","Present")</f>
        <v>Present</v>
      </c>
    </row>
    <row r="8349" spans="1:5" x14ac:dyDescent="0.25">
      <c r="A8349" s="2" t="s">
        <v>6152</v>
      </c>
      <c r="B8349" s="2" t="s">
        <v>3939</v>
      </c>
      <c r="C8349" s="2">
        <v>3</v>
      </c>
      <c r="D8349" t="str">
        <f t="shared" si="130"/>
        <v>US-2015-138121_FUR-CH-10003846</v>
      </c>
      <c r="E8349" t="str">
        <f>IF(COUNTIF(data2!$D:$D,D8349)=0,"Missing in Data2","Present")</f>
        <v>Present</v>
      </c>
    </row>
    <row r="8350" spans="1:5" x14ac:dyDescent="0.25">
      <c r="A8350" s="2" t="s">
        <v>6152</v>
      </c>
      <c r="B8350" s="2" t="s">
        <v>1674</v>
      </c>
      <c r="C8350" s="2">
        <v>2</v>
      </c>
      <c r="D8350" t="str">
        <f t="shared" si="130"/>
        <v>US-2015-138121_FUR-CH-10004875</v>
      </c>
      <c r="E8350" t="str">
        <f>IF(COUNTIF(data2!$D:$D,D8350)=0,"Missing in Data2","Present")</f>
        <v>Present</v>
      </c>
    </row>
    <row r="8351" spans="1:5" x14ac:dyDescent="0.25">
      <c r="A8351" s="2" t="s">
        <v>6152</v>
      </c>
      <c r="B8351" s="2" t="s">
        <v>315</v>
      </c>
      <c r="C8351" s="2">
        <v>3</v>
      </c>
      <c r="D8351" t="str">
        <f t="shared" si="130"/>
        <v>US-2015-138121_FUR-FU-10002116</v>
      </c>
      <c r="E8351" t="str">
        <f>IF(COUNTIF(data2!$D:$D,D8351)=0,"Missing in Data2","Present")</f>
        <v>Missing in Data2</v>
      </c>
    </row>
    <row r="8352" spans="1:5" x14ac:dyDescent="0.25">
      <c r="A8352" s="2" t="s">
        <v>6152</v>
      </c>
      <c r="B8352" s="2" t="s">
        <v>152</v>
      </c>
      <c r="C8352" s="2">
        <v>4</v>
      </c>
      <c r="D8352" t="str">
        <f t="shared" si="130"/>
        <v>US-2015-138121_OFF-BI-10000320</v>
      </c>
      <c r="E8352" t="str">
        <f>IF(COUNTIF(data2!$D:$D,D8352)=0,"Missing in Data2","Present")</f>
        <v>Present</v>
      </c>
    </row>
    <row r="8353" spans="1:5" x14ac:dyDescent="0.25">
      <c r="A8353" s="2" t="s">
        <v>6153</v>
      </c>
      <c r="B8353" s="2" t="s">
        <v>1155</v>
      </c>
      <c r="C8353" s="2">
        <v>6</v>
      </c>
      <c r="D8353" t="str">
        <f t="shared" si="130"/>
        <v>US-2015-138303_OFF-EN-10001335</v>
      </c>
      <c r="E8353" t="str">
        <f>IF(COUNTIF(data2!$D:$D,D8353)=0,"Missing in Data2","Present")</f>
        <v>Present</v>
      </c>
    </row>
    <row r="8354" spans="1:5" x14ac:dyDescent="0.25">
      <c r="A8354" s="2" t="s">
        <v>6153</v>
      </c>
      <c r="B8354" s="2" t="s">
        <v>167</v>
      </c>
      <c r="C8354" s="2">
        <v>3</v>
      </c>
      <c r="D8354" t="str">
        <f t="shared" si="130"/>
        <v>US-2015-138303_OFF-ST-10004963</v>
      </c>
      <c r="E8354" t="str">
        <f>IF(COUNTIF(data2!$D:$D,D8354)=0,"Missing in Data2","Present")</f>
        <v>Present</v>
      </c>
    </row>
    <row r="8355" spans="1:5" x14ac:dyDescent="0.25">
      <c r="A8355" s="2" t="s">
        <v>6153</v>
      </c>
      <c r="B8355" s="2" t="s">
        <v>106</v>
      </c>
      <c r="C8355" s="2">
        <v>1</v>
      </c>
      <c r="D8355" t="str">
        <f t="shared" si="130"/>
        <v>US-2015-138303_OFF-SU-10002881</v>
      </c>
      <c r="E8355" t="str">
        <f>IF(COUNTIF(data2!$D:$D,D8355)=0,"Missing in Data2","Present")</f>
        <v>Present</v>
      </c>
    </row>
    <row r="8356" spans="1:5" x14ac:dyDescent="0.25">
      <c r="A8356" s="2" t="s">
        <v>6154</v>
      </c>
      <c r="B8356" s="2" t="s">
        <v>626</v>
      </c>
      <c r="C8356" s="2">
        <v>3</v>
      </c>
      <c r="D8356" t="str">
        <f t="shared" si="130"/>
        <v>US-2015-138716_OFF-BI-10001628</v>
      </c>
      <c r="E8356" t="str">
        <f>IF(COUNTIF(data2!$D:$D,D8356)=0,"Missing in Data2","Present")</f>
        <v>Missing in Data2</v>
      </c>
    </row>
    <row r="8357" spans="1:5" x14ac:dyDescent="0.25">
      <c r="A8357" s="2" t="s">
        <v>6155</v>
      </c>
      <c r="B8357" s="2" t="s">
        <v>1879</v>
      </c>
      <c r="C8357" s="2">
        <v>2</v>
      </c>
      <c r="D8357" t="str">
        <f t="shared" si="130"/>
        <v>US-2015-138919_FUR-TA-10004154</v>
      </c>
      <c r="E8357" t="str">
        <f>IF(COUNTIF(data2!$D:$D,D8357)=0,"Missing in Data2","Present")</f>
        <v>Present</v>
      </c>
    </row>
    <row r="8358" spans="1:5" x14ac:dyDescent="0.25">
      <c r="A8358" s="2" t="s">
        <v>6156</v>
      </c>
      <c r="B8358" s="2" t="s">
        <v>181</v>
      </c>
      <c r="C8358" s="2">
        <v>4</v>
      </c>
      <c r="D8358" t="str">
        <f t="shared" si="130"/>
        <v>US-2015-139675_FUR-CH-10004063</v>
      </c>
      <c r="E8358" t="str">
        <f>IF(COUNTIF(data2!$D:$D,D8358)=0,"Missing in Data2","Present")</f>
        <v>Present</v>
      </c>
    </row>
    <row r="8359" spans="1:5" x14ac:dyDescent="0.25">
      <c r="A8359" s="2" t="s">
        <v>6156</v>
      </c>
      <c r="B8359" s="2" t="s">
        <v>1845</v>
      </c>
      <c r="C8359" s="2">
        <v>8</v>
      </c>
      <c r="D8359" t="str">
        <f t="shared" si="130"/>
        <v>US-2015-139675_FUR-FU-10001979</v>
      </c>
      <c r="E8359" t="str">
        <f>IF(COUNTIF(data2!$D:$D,D8359)=0,"Missing in Data2","Present")</f>
        <v>Present</v>
      </c>
    </row>
    <row r="8360" spans="1:5" x14ac:dyDescent="0.25">
      <c r="A8360" s="2" t="s">
        <v>6157</v>
      </c>
      <c r="B8360" s="2" t="s">
        <v>894</v>
      </c>
      <c r="C8360" s="2">
        <v>4</v>
      </c>
      <c r="D8360" t="str">
        <f t="shared" si="130"/>
        <v>US-2015-139759_OFF-AP-10002765</v>
      </c>
      <c r="E8360" t="str">
        <f>IF(COUNTIF(data2!$D:$D,D8360)=0,"Missing in Data2","Present")</f>
        <v>Present</v>
      </c>
    </row>
    <row r="8361" spans="1:5" x14ac:dyDescent="0.25">
      <c r="A8361" s="2" t="s">
        <v>6158</v>
      </c>
      <c r="B8361" s="2" t="s">
        <v>1439</v>
      </c>
      <c r="C8361" s="2">
        <v>3</v>
      </c>
      <c r="D8361" t="str">
        <f t="shared" si="130"/>
        <v>US-2015-140200_FUR-TA-10002356</v>
      </c>
      <c r="E8361" t="str">
        <f>IF(COUNTIF(data2!$D:$D,D8361)=0,"Missing in Data2","Present")</f>
        <v>Present</v>
      </c>
    </row>
    <row r="8362" spans="1:5" x14ac:dyDescent="0.25">
      <c r="A8362" s="2" t="s">
        <v>6159</v>
      </c>
      <c r="B8362" s="2" t="s">
        <v>780</v>
      </c>
      <c r="C8362" s="2">
        <v>6</v>
      </c>
      <c r="D8362" t="str">
        <f t="shared" si="130"/>
        <v>US-2015-140851_OFF-PA-10000019</v>
      </c>
      <c r="E8362" t="str">
        <f>IF(COUNTIF(data2!$D:$D,D8362)=0,"Missing in Data2","Present")</f>
        <v>Present</v>
      </c>
    </row>
    <row r="8363" spans="1:5" x14ac:dyDescent="0.25">
      <c r="A8363" s="2" t="s">
        <v>6160</v>
      </c>
      <c r="B8363" s="2" t="s">
        <v>3260</v>
      </c>
      <c r="C8363" s="2">
        <v>3</v>
      </c>
      <c r="D8363" t="str">
        <f t="shared" si="130"/>
        <v>US-2015-141453_OFF-BI-10000301</v>
      </c>
      <c r="E8363" t="str">
        <f>IF(COUNTIF(data2!$D:$D,D8363)=0,"Missing in Data2","Present")</f>
        <v>Present</v>
      </c>
    </row>
    <row r="8364" spans="1:5" x14ac:dyDescent="0.25">
      <c r="A8364" s="2" t="s">
        <v>6161</v>
      </c>
      <c r="B8364" s="2" t="s">
        <v>3976</v>
      </c>
      <c r="C8364" s="2">
        <v>4</v>
      </c>
      <c r="D8364" t="str">
        <f t="shared" si="130"/>
        <v>US-2015-141684_OFF-PA-10002870</v>
      </c>
      <c r="E8364" t="str">
        <f>IF(COUNTIF(data2!$D:$D,D8364)=0,"Missing in Data2","Present")</f>
        <v>Present</v>
      </c>
    </row>
    <row r="8365" spans="1:5" x14ac:dyDescent="0.25">
      <c r="A8365" s="2" t="s">
        <v>6162</v>
      </c>
      <c r="B8365" s="2" t="s">
        <v>389</v>
      </c>
      <c r="C8365" s="2">
        <v>3</v>
      </c>
      <c r="D8365" t="str">
        <f t="shared" si="130"/>
        <v>US-2015-142020_FUR-FU-10000672</v>
      </c>
      <c r="E8365" t="str">
        <f>IF(COUNTIF(data2!$D:$D,D8365)=0,"Missing in Data2","Present")</f>
        <v>Present</v>
      </c>
    </row>
    <row r="8366" spans="1:5" x14ac:dyDescent="0.25">
      <c r="A8366" s="2" t="s">
        <v>6162</v>
      </c>
      <c r="B8366" s="2" t="s">
        <v>1184</v>
      </c>
      <c r="C8366" s="2">
        <v>4</v>
      </c>
      <c r="D8366" t="str">
        <f t="shared" si="130"/>
        <v>US-2015-142020_OFF-PA-10004569</v>
      </c>
      <c r="E8366" t="str">
        <f>IF(COUNTIF(data2!$D:$D,D8366)=0,"Missing in Data2","Present")</f>
        <v>Present</v>
      </c>
    </row>
    <row r="8367" spans="1:5" x14ac:dyDescent="0.25">
      <c r="A8367" s="2" t="s">
        <v>6163</v>
      </c>
      <c r="B8367" s="2" t="s">
        <v>934</v>
      </c>
      <c r="C8367" s="2">
        <v>5</v>
      </c>
      <c r="D8367" t="str">
        <f t="shared" si="130"/>
        <v>US-2015-142811_TEC-PH-10003095</v>
      </c>
      <c r="E8367" t="str">
        <f>IF(COUNTIF(data2!$D:$D,D8367)=0,"Missing in Data2","Present")</f>
        <v>Present</v>
      </c>
    </row>
    <row r="8368" spans="1:5" x14ac:dyDescent="0.25">
      <c r="A8368" s="2" t="s">
        <v>6164</v>
      </c>
      <c r="B8368" s="2" t="s">
        <v>590</v>
      </c>
      <c r="C8368" s="2">
        <v>1</v>
      </c>
      <c r="D8368" t="str">
        <f t="shared" si="130"/>
        <v>US-2015-144771_FUR-FU-10000629</v>
      </c>
      <c r="E8368" t="str">
        <f>IF(COUNTIF(data2!$D:$D,D8368)=0,"Missing in Data2","Present")</f>
        <v>Present</v>
      </c>
    </row>
    <row r="8369" spans="1:5" x14ac:dyDescent="0.25">
      <c r="A8369" s="2" t="s">
        <v>6164</v>
      </c>
      <c r="B8369" s="2" t="s">
        <v>731</v>
      </c>
      <c r="C8369" s="2">
        <v>3</v>
      </c>
      <c r="D8369" t="str">
        <f t="shared" si="130"/>
        <v>US-2015-144771_TEC-AC-10002323</v>
      </c>
      <c r="E8369" t="str">
        <f>IF(COUNTIF(data2!$D:$D,D8369)=0,"Missing in Data2","Present")</f>
        <v>Present</v>
      </c>
    </row>
    <row r="8370" spans="1:5" x14ac:dyDescent="0.25">
      <c r="A8370" s="2" t="s">
        <v>6165</v>
      </c>
      <c r="B8370" s="2" t="s">
        <v>774</v>
      </c>
      <c r="C8370" s="2">
        <v>5</v>
      </c>
      <c r="D8370" t="str">
        <f t="shared" si="130"/>
        <v>US-2015-145121_OFF-BI-10001078</v>
      </c>
      <c r="E8370" t="str">
        <f>IF(COUNTIF(data2!$D:$D,D8370)=0,"Missing in Data2","Present")</f>
        <v>Present</v>
      </c>
    </row>
    <row r="8371" spans="1:5" x14ac:dyDescent="0.25">
      <c r="A8371" s="2" t="s">
        <v>6166</v>
      </c>
      <c r="B8371" s="2" t="s">
        <v>1554</v>
      </c>
      <c r="C8371" s="2">
        <v>8</v>
      </c>
      <c r="D8371" t="str">
        <f t="shared" si="130"/>
        <v>US-2015-145436_FUR-CH-10004477</v>
      </c>
      <c r="E8371" t="str">
        <f>IF(COUNTIF(data2!$D:$D,D8371)=0,"Missing in Data2","Present")</f>
        <v>Present</v>
      </c>
    </row>
    <row r="8372" spans="1:5" x14ac:dyDescent="0.25">
      <c r="A8372" s="2" t="s">
        <v>6166</v>
      </c>
      <c r="B8372" s="2" t="s">
        <v>1162</v>
      </c>
      <c r="C8372" s="2">
        <v>2</v>
      </c>
      <c r="D8372" t="str">
        <f t="shared" si="130"/>
        <v>US-2015-145436_FUR-CH-10004860</v>
      </c>
      <c r="E8372" t="str">
        <f>IF(COUNTIF(data2!$D:$D,D8372)=0,"Missing in Data2","Present")</f>
        <v>Present</v>
      </c>
    </row>
    <row r="8373" spans="1:5" x14ac:dyDescent="0.25">
      <c r="A8373" s="2" t="s">
        <v>6167</v>
      </c>
      <c r="B8373" s="2" t="s">
        <v>733</v>
      </c>
      <c r="C8373" s="2">
        <v>2</v>
      </c>
      <c r="D8373" t="str">
        <f t="shared" si="130"/>
        <v>US-2015-146745_FUR-CH-10002372</v>
      </c>
      <c r="E8373" t="str">
        <f>IF(COUNTIF(data2!$D:$D,D8373)=0,"Missing in Data2","Present")</f>
        <v>Present</v>
      </c>
    </row>
    <row r="8374" spans="1:5" x14ac:dyDescent="0.25">
      <c r="A8374" s="2" t="s">
        <v>6167</v>
      </c>
      <c r="B8374" s="2" t="s">
        <v>1311</v>
      </c>
      <c r="C8374" s="2">
        <v>2</v>
      </c>
      <c r="D8374" t="str">
        <f t="shared" si="130"/>
        <v>US-2015-146745_OFF-BI-10003274</v>
      </c>
      <c r="E8374" t="str">
        <f>IF(COUNTIF(data2!$D:$D,D8374)=0,"Missing in Data2","Present")</f>
        <v>Present</v>
      </c>
    </row>
    <row r="8375" spans="1:5" x14ac:dyDescent="0.25">
      <c r="A8375" s="2" t="s">
        <v>6168</v>
      </c>
      <c r="B8375" s="2" t="s">
        <v>2278</v>
      </c>
      <c r="C8375" s="2">
        <v>2</v>
      </c>
      <c r="D8375" t="str">
        <f t="shared" si="130"/>
        <v>US-2015-147242_FUR-BO-10004695</v>
      </c>
      <c r="E8375" t="str">
        <f>IF(COUNTIF(data2!$D:$D,D8375)=0,"Missing in Data2","Present")</f>
        <v>Present</v>
      </c>
    </row>
    <row r="8376" spans="1:5" x14ac:dyDescent="0.25">
      <c r="A8376" s="2" t="s">
        <v>6168</v>
      </c>
      <c r="B8376" s="2" t="s">
        <v>816</v>
      </c>
      <c r="C8376" s="2">
        <v>2</v>
      </c>
      <c r="D8376" t="str">
        <f t="shared" si="130"/>
        <v>US-2015-147242_OFF-AP-10003842</v>
      </c>
      <c r="E8376" t="str">
        <f>IF(COUNTIF(data2!$D:$D,D8376)=0,"Missing in Data2","Present")</f>
        <v>Present</v>
      </c>
    </row>
    <row r="8377" spans="1:5" x14ac:dyDescent="0.25">
      <c r="A8377" s="2" t="s">
        <v>6168</v>
      </c>
      <c r="B8377" s="2" t="s">
        <v>1006</v>
      </c>
      <c r="C8377" s="2">
        <v>9</v>
      </c>
      <c r="D8377" t="str">
        <f t="shared" si="130"/>
        <v>US-2015-147242_OFF-PA-10003039</v>
      </c>
      <c r="E8377" t="str">
        <f>IF(COUNTIF(data2!$D:$D,D8377)=0,"Missing in Data2","Present")</f>
        <v>Missing in Data2</v>
      </c>
    </row>
    <row r="8378" spans="1:5" x14ac:dyDescent="0.25">
      <c r="A8378" s="2" t="s">
        <v>6169</v>
      </c>
      <c r="B8378" s="2" t="s">
        <v>352</v>
      </c>
      <c r="C8378" s="2">
        <v>3</v>
      </c>
      <c r="D8378" t="str">
        <f t="shared" si="130"/>
        <v>US-2015-147662_OFF-AR-10004999</v>
      </c>
      <c r="E8378" t="str">
        <f>IF(COUNTIF(data2!$D:$D,D8378)=0,"Missing in Data2","Present")</f>
        <v>Present</v>
      </c>
    </row>
    <row r="8379" spans="1:5" x14ac:dyDescent="0.25">
      <c r="A8379" s="2" t="s">
        <v>6169</v>
      </c>
      <c r="B8379" s="2" t="s">
        <v>190</v>
      </c>
      <c r="C8379" s="2">
        <v>2</v>
      </c>
      <c r="D8379" t="str">
        <f t="shared" si="130"/>
        <v>US-2015-147662_OFF-BI-10001658</v>
      </c>
      <c r="E8379" t="str">
        <f>IF(COUNTIF(data2!$D:$D,D8379)=0,"Missing in Data2","Present")</f>
        <v>Present</v>
      </c>
    </row>
    <row r="8380" spans="1:5" x14ac:dyDescent="0.25">
      <c r="A8380" s="2" t="s">
        <v>6169</v>
      </c>
      <c r="B8380" s="2" t="s">
        <v>197</v>
      </c>
      <c r="C8380" s="2">
        <v>2</v>
      </c>
      <c r="D8380" t="str">
        <f t="shared" si="130"/>
        <v>US-2015-147662_OFF-BI-10002160</v>
      </c>
      <c r="E8380" t="str">
        <f>IF(COUNTIF(data2!$D:$D,D8380)=0,"Missing in Data2","Present")</f>
        <v>Present</v>
      </c>
    </row>
    <row r="8381" spans="1:5" x14ac:dyDescent="0.25">
      <c r="A8381" s="2" t="s">
        <v>6169</v>
      </c>
      <c r="B8381" s="2" t="s">
        <v>1870</v>
      </c>
      <c r="C8381" s="2">
        <v>3</v>
      </c>
      <c r="D8381" t="str">
        <f t="shared" si="130"/>
        <v>US-2015-147662_TEC-AC-10003280</v>
      </c>
      <c r="E8381" t="str">
        <f>IF(COUNTIF(data2!$D:$D,D8381)=0,"Missing in Data2","Present")</f>
        <v>Present</v>
      </c>
    </row>
    <row r="8382" spans="1:5" x14ac:dyDescent="0.25">
      <c r="A8382" s="2" t="s">
        <v>6169</v>
      </c>
      <c r="B8382" s="2" t="s">
        <v>4776</v>
      </c>
      <c r="C8382" s="2">
        <v>3</v>
      </c>
      <c r="D8382" t="str">
        <f t="shared" si="130"/>
        <v>US-2015-147662_TEC-PH-10002834</v>
      </c>
      <c r="E8382" t="str">
        <f>IF(COUNTIF(data2!$D:$D,D8382)=0,"Missing in Data2","Present")</f>
        <v>Present</v>
      </c>
    </row>
    <row r="8383" spans="1:5" x14ac:dyDescent="0.25">
      <c r="A8383" s="2" t="s">
        <v>6170</v>
      </c>
      <c r="B8383" s="2" t="s">
        <v>494</v>
      </c>
      <c r="C8383" s="2">
        <v>4</v>
      </c>
      <c r="D8383" t="str">
        <f t="shared" si="130"/>
        <v>US-2015-147739_FUR-FU-10001468</v>
      </c>
      <c r="E8383" t="str">
        <f>IF(COUNTIF(data2!$D:$D,D8383)=0,"Missing in Data2","Present")</f>
        <v>Present</v>
      </c>
    </row>
    <row r="8384" spans="1:5" x14ac:dyDescent="0.25">
      <c r="A8384" s="2" t="s">
        <v>6171</v>
      </c>
      <c r="B8384" s="2" t="s">
        <v>137</v>
      </c>
      <c r="C8384" s="2">
        <v>4</v>
      </c>
      <c r="D8384" t="str">
        <f t="shared" si="130"/>
        <v>US-2015-148817_OFF-BI-10004233</v>
      </c>
      <c r="E8384" t="str">
        <f>IF(COUNTIF(data2!$D:$D,D8384)=0,"Missing in Data2","Present")</f>
        <v>Present</v>
      </c>
    </row>
    <row r="8385" spans="1:5" x14ac:dyDescent="0.25">
      <c r="A8385" s="2" t="s">
        <v>6171</v>
      </c>
      <c r="B8385" s="2" t="s">
        <v>269</v>
      </c>
      <c r="C8385" s="2">
        <v>4</v>
      </c>
      <c r="D8385" t="str">
        <f t="shared" si="130"/>
        <v>US-2015-148817_OFF-ST-10001321</v>
      </c>
      <c r="E8385" t="str">
        <f>IF(COUNTIF(data2!$D:$D,D8385)=0,"Missing in Data2","Present")</f>
        <v>Present</v>
      </c>
    </row>
    <row r="8386" spans="1:5" x14ac:dyDescent="0.25">
      <c r="A8386" s="2" t="s">
        <v>6172</v>
      </c>
      <c r="B8386" s="2" t="s">
        <v>1960</v>
      </c>
      <c r="C8386" s="2">
        <v>5</v>
      </c>
      <c r="D8386" t="str">
        <f t="shared" si="130"/>
        <v>US-2015-149629_FUR-BO-10004709</v>
      </c>
      <c r="E8386" t="str">
        <f>IF(COUNTIF(data2!$D:$D,D8386)=0,"Missing in Data2","Present")</f>
        <v>Present</v>
      </c>
    </row>
    <row r="8387" spans="1:5" x14ac:dyDescent="0.25">
      <c r="A8387" s="2" t="s">
        <v>6173</v>
      </c>
      <c r="B8387" s="2" t="s">
        <v>2917</v>
      </c>
      <c r="C8387" s="2">
        <v>7</v>
      </c>
      <c r="D8387" t="str">
        <f t="shared" ref="D8387:D8450" si="131">A8387&amp;"_"&amp;B8387</f>
        <v>US-2015-149692_OFF-BI-10002813</v>
      </c>
      <c r="E8387" t="str">
        <f>IF(COUNTIF(data2!$D:$D,D8387)=0,"Missing in Data2","Present")</f>
        <v>Present</v>
      </c>
    </row>
    <row r="8388" spans="1:5" x14ac:dyDescent="0.25">
      <c r="A8388" s="2" t="s">
        <v>6174</v>
      </c>
      <c r="B8388" s="2" t="s">
        <v>1815</v>
      </c>
      <c r="C8388" s="2">
        <v>4</v>
      </c>
      <c r="D8388" t="str">
        <f t="shared" si="131"/>
        <v>US-2015-150161_OFF-BI-10001524</v>
      </c>
      <c r="E8388" t="str">
        <f>IF(COUNTIF(data2!$D:$D,D8388)=0,"Missing in Data2","Present")</f>
        <v>Present</v>
      </c>
    </row>
    <row r="8389" spans="1:5" x14ac:dyDescent="0.25">
      <c r="A8389" s="2" t="s">
        <v>6175</v>
      </c>
      <c r="B8389" s="2" t="s">
        <v>3062</v>
      </c>
      <c r="C8389" s="2">
        <v>3</v>
      </c>
      <c r="D8389" t="str">
        <f t="shared" si="131"/>
        <v>US-2015-150231_OFF-AR-10001761</v>
      </c>
      <c r="E8389" t="str">
        <f>IF(COUNTIF(data2!$D:$D,D8389)=0,"Missing in Data2","Present")</f>
        <v>Present</v>
      </c>
    </row>
    <row r="8390" spans="1:5" x14ac:dyDescent="0.25">
      <c r="A8390" s="2" t="s">
        <v>6176</v>
      </c>
      <c r="B8390" s="2" t="s">
        <v>2206</v>
      </c>
      <c r="C8390" s="2">
        <v>7</v>
      </c>
      <c r="D8390" t="str">
        <f t="shared" si="131"/>
        <v>US-2015-150630_FUR-BO-10004834</v>
      </c>
      <c r="E8390" t="str">
        <f>IF(COUNTIF(data2!$D:$D,D8390)=0,"Missing in Data2","Present")</f>
        <v>Present</v>
      </c>
    </row>
    <row r="8391" spans="1:5" x14ac:dyDescent="0.25">
      <c r="A8391" s="2" t="s">
        <v>6176</v>
      </c>
      <c r="B8391" s="2" t="s">
        <v>2725</v>
      </c>
      <c r="C8391" s="2">
        <v>3</v>
      </c>
      <c r="D8391" t="str">
        <f t="shared" si="131"/>
        <v>US-2015-150630_FUR-FU-10004848</v>
      </c>
      <c r="E8391" t="str">
        <f>IF(COUNTIF(data2!$D:$D,D8391)=0,"Missing in Data2","Present")</f>
        <v>Present</v>
      </c>
    </row>
    <row r="8392" spans="1:5" x14ac:dyDescent="0.25">
      <c r="A8392" s="2" t="s">
        <v>6176</v>
      </c>
      <c r="B8392" s="2" t="s">
        <v>839</v>
      </c>
      <c r="C8392" s="2">
        <v>6</v>
      </c>
      <c r="D8392" t="str">
        <f t="shared" si="131"/>
        <v>US-2015-150630_OFF-AR-10004042</v>
      </c>
      <c r="E8392" t="str">
        <f>IF(COUNTIF(data2!$D:$D,D8392)=0,"Missing in Data2","Present")</f>
        <v>Present</v>
      </c>
    </row>
    <row r="8393" spans="1:5" x14ac:dyDescent="0.25">
      <c r="A8393" s="2" t="s">
        <v>6176</v>
      </c>
      <c r="B8393" s="2" t="s">
        <v>606</v>
      </c>
      <c r="C8393" s="2">
        <v>2</v>
      </c>
      <c r="D8393" t="str">
        <f t="shared" si="131"/>
        <v>US-2015-150630_OFF-BI-10000474</v>
      </c>
      <c r="E8393" t="str">
        <f>IF(COUNTIF(data2!$D:$D,D8393)=0,"Missing in Data2","Present")</f>
        <v>Present</v>
      </c>
    </row>
    <row r="8394" spans="1:5" x14ac:dyDescent="0.25">
      <c r="A8394" s="2" t="s">
        <v>6176</v>
      </c>
      <c r="B8394" s="2" t="s">
        <v>1369</v>
      </c>
      <c r="C8394" s="2">
        <v>6</v>
      </c>
      <c r="D8394" t="str">
        <f t="shared" si="131"/>
        <v>US-2015-150630_OFF-BI-10001525</v>
      </c>
      <c r="E8394" t="str">
        <f>IF(COUNTIF(data2!$D:$D,D8394)=0,"Missing in Data2","Present")</f>
        <v>Present</v>
      </c>
    </row>
    <row r="8395" spans="1:5" x14ac:dyDescent="0.25">
      <c r="A8395" s="2" t="s">
        <v>6176</v>
      </c>
      <c r="B8395" s="2" t="s">
        <v>2505</v>
      </c>
      <c r="C8395" s="2">
        <v>2</v>
      </c>
      <c r="D8395" t="str">
        <f t="shared" si="131"/>
        <v>US-2015-150630_OFF-EN-10001509</v>
      </c>
      <c r="E8395" t="str">
        <f>IF(COUNTIF(data2!$D:$D,D8395)=0,"Missing in Data2","Present")</f>
        <v>Present</v>
      </c>
    </row>
    <row r="8396" spans="1:5" x14ac:dyDescent="0.25">
      <c r="A8396" s="2" t="s">
        <v>6177</v>
      </c>
      <c r="B8396" s="2" t="s">
        <v>1683</v>
      </c>
      <c r="C8396" s="2">
        <v>4</v>
      </c>
      <c r="D8396" t="str">
        <f t="shared" si="131"/>
        <v>US-2015-151407_TEC-PH-10003885</v>
      </c>
      <c r="E8396" t="str">
        <f>IF(COUNTIF(data2!$D:$D,D8396)=0,"Missing in Data2","Present")</f>
        <v>Present</v>
      </c>
    </row>
    <row r="8397" spans="1:5" x14ac:dyDescent="0.25">
      <c r="A8397" s="2" t="s">
        <v>6178</v>
      </c>
      <c r="B8397" s="2" t="s">
        <v>183</v>
      </c>
      <c r="C8397" s="2">
        <v>1</v>
      </c>
      <c r="D8397" t="str">
        <f t="shared" si="131"/>
        <v>US-2015-151435_FUR-TA-10001039</v>
      </c>
      <c r="E8397" t="str">
        <f>IF(COUNTIF(data2!$D:$D,D8397)=0,"Missing in Data2","Present")</f>
        <v>Present</v>
      </c>
    </row>
    <row r="8398" spans="1:5" x14ac:dyDescent="0.25">
      <c r="A8398" s="2" t="s">
        <v>6179</v>
      </c>
      <c r="B8398" s="2" t="s">
        <v>889</v>
      </c>
      <c r="C8398" s="2">
        <v>3</v>
      </c>
      <c r="D8398" t="str">
        <f t="shared" si="131"/>
        <v>US-2015-152128_OFF-AR-10002445</v>
      </c>
      <c r="E8398" t="str">
        <f>IF(COUNTIF(data2!$D:$D,D8398)=0,"Missing in Data2","Present")</f>
        <v>Present</v>
      </c>
    </row>
    <row r="8399" spans="1:5" x14ac:dyDescent="0.25">
      <c r="A8399" s="2" t="s">
        <v>6179</v>
      </c>
      <c r="B8399" s="2" t="s">
        <v>2324</v>
      </c>
      <c r="C8399" s="2">
        <v>2</v>
      </c>
      <c r="D8399" t="str">
        <f t="shared" si="131"/>
        <v>US-2015-152128_OFF-BI-10001718</v>
      </c>
      <c r="E8399" t="str">
        <f>IF(COUNTIF(data2!$D:$D,D8399)=0,"Missing in Data2","Present")</f>
        <v>Present</v>
      </c>
    </row>
    <row r="8400" spans="1:5" x14ac:dyDescent="0.25">
      <c r="A8400" s="2" t="s">
        <v>6180</v>
      </c>
      <c r="B8400" s="2" t="s">
        <v>1493</v>
      </c>
      <c r="C8400" s="2">
        <v>2</v>
      </c>
      <c r="D8400" t="str">
        <f t="shared" si="131"/>
        <v>US-2015-153283_OFF-EN-10001539</v>
      </c>
      <c r="E8400" t="str">
        <f>IF(COUNTIF(data2!$D:$D,D8400)=0,"Missing in Data2","Present")</f>
        <v>Present</v>
      </c>
    </row>
    <row r="8401" spans="1:5" x14ac:dyDescent="0.25">
      <c r="A8401" s="2" t="s">
        <v>6181</v>
      </c>
      <c r="B8401" s="2" t="s">
        <v>1428</v>
      </c>
      <c r="C8401" s="2">
        <v>6</v>
      </c>
      <c r="D8401" t="str">
        <f t="shared" si="131"/>
        <v>US-2015-153374_TEC-AC-10001908</v>
      </c>
      <c r="E8401" t="str">
        <f>IF(COUNTIF(data2!$D:$D,D8401)=0,"Missing in Data2","Present")</f>
        <v>Present</v>
      </c>
    </row>
    <row r="8402" spans="1:5" x14ac:dyDescent="0.25">
      <c r="A8402" s="2" t="s">
        <v>6182</v>
      </c>
      <c r="B8402" s="2" t="s">
        <v>5063</v>
      </c>
      <c r="C8402" s="2">
        <v>2</v>
      </c>
      <c r="D8402" t="str">
        <f t="shared" si="131"/>
        <v>US-2015-153500_FUR-FU-10000293</v>
      </c>
      <c r="E8402" t="str">
        <f>IF(COUNTIF(data2!$D:$D,D8402)=0,"Missing in Data2","Present")</f>
        <v>Present</v>
      </c>
    </row>
    <row r="8403" spans="1:5" x14ac:dyDescent="0.25">
      <c r="A8403" s="2" t="s">
        <v>6182</v>
      </c>
      <c r="B8403" s="2" t="s">
        <v>4856</v>
      </c>
      <c r="C8403" s="2">
        <v>9</v>
      </c>
      <c r="D8403" t="str">
        <f t="shared" si="131"/>
        <v>US-2015-153500_FUR-FU-10004460</v>
      </c>
      <c r="E8403" t="str">
        <f>IF(COUNTIF(data2!$D:$D,D8403)=0,"Missing in Data2","Present")</f>
        <v>Missing in Data2</v>
      </c>
    </row>
    <row r="8404" spans="1:5" x14ac:dyDescent="0.25">
      <c r="A8404" s="2" t="s">
        <v>6182</v>
      </c>
      <c r="B8404" s="2" t="s">
        <v>2108</v>
      </c>
      <c r="C8404" s="2">
        <v>2</v>
      </c>
      <c r="D8404" t="str">
        <f t="shared" si="131"/>
        <v>US-2015-153500_OFF-PA-10001307</v>
      </c>
      <c r="E8404" t="str">
        <f>IF(COUNTIF(data2!$D:$D,D8404)=0,"Missing in Data2","Present")</f>
        <v>Present</v>
      </c>
    </row>
    <row r="8405" spans="1:5" x14ac:dyDescent="0.25">
      <c r="A8405" s="2" t="s">
        <v>6183</v>
      </c>
      <c r="B8405" s="2" t="s">
        <v>5588</v>
      </c>
      <c r="C8405" s="2">
        <v>8</v>
      </c>
      <c r="D8405" t="str">
        <f t="shared" si="131"/>
        <v>US-2015-154389_TEC-PH-10002789</v>
      </c>
      <c r="E8405" t="str">
        <f>IF(COUNTIF(data2!$D:$D,D8405)=0,"Missing in Data2","Present")</f>
        <v>Present</v>
      </c>
    </row>
    <row r="8406" spans="1:5" x14ac:dyDescent="0.25">
      <c r="A8406" s="2" t="s">
        <v>6184</v>
      </c>
      <c r="B8406" s="2" t="s">
        <v>518</v>
      </c>
      <c r="C8406" s="2">
        <v>2</v>
      </c>
      <c r="D8406" t="str">
        <f t="shared" si="131"/>
        <v>US-2015-155369_OFF-AP-10002578</v>
      </c>
      <c r="E8406" t="str">
        <f>IF(COUNTIF(data2!$D:$D,D8406)=0,"Missing in Data2","Present")</f>
        <v>Present</v>
      </c>
    </row>
    <row r="8407" spans="1:5" x14ac:dyDescent="0.25">
      <c r="A8407" s="2" t="s">
        <v>6184</v>
      </c>
      <c r="B8407" s="2" t="s">
        <v>601</v>
      </c>
      <c r="C8407" s="2">
        <v>4</v>
      </c>
      <c r="D8407" t="str">
        <f t="shared" si="131"/>
        <v>US-2015-155369_OFF-BI-10003925</v>
      </c>
      <c r="E8407" t="str">
        <f>IF(COUNTIF(data2!$D:$D,D8407)=0,"Missing in Data2","Present")</f>
        <v>Present</v>
      </c>
    </row>
    <row r="8408" spans="1:5" x14ac:dyDescent="0.25">
      <c r="A8408" s="2" t="s">
        <v>6185</v>
      </c>
      <c r="B8408" s="2" t="s">
        <v>1160</v>
      </c>
      <c r="C8408" s="2">
        <v>4</v>
      </c>
      <c r="D8408" t="str">
        <f t="shared" si="131"/>
        <v>US-2015-156496_OFF-AP-10001469</v>
      </c>
      <c r="E8408" t="str">
        <f>IF(COUNTIF(data2!$D:$D,D8408)=0,"Missing in Data2","Present")</f>
        <v>Missing in Data2</v>
      </c>
    </row>
    <row r="8409" spans="1:5" x14ac:dyDescent="0.25">
      <c r="A8409" s="2" t="s">
        <v>6185</v>
      </c>
      <c r="B8409" s="2" t="s">
        <v>199</v>
      </c>
      <c r="C8409" s="2">
        <v>4</v>
      </c>
      <c r="D8409" t="str">
        <f t="shared" si="131"/>
        <v>US-2015-156496_TEC-PH-10000576</v>
      </c>
      <c r="E8409" t="str">
        <f>IF(COUNTIF(data2!$D:$D,D8409)=0,"Missing in Data2","Present")</f>
        <v>Present</v>
      </c>
    </row>
    <row r="8410" spans="1:5" x14ac:dyDescent="0.25">
      <c r="A8410" s="2" t="s">
        <v>6185</v>
      </c>
      <c r="B8410" s="2" t="s">
        <v>633</v>
      </c>
      <c r="C8410" s="2">
        <v>7</v>
      </c>
      <c r="D8410" t="str">
        <f t="shared" si="131"/>
        <v>US-2015-156496_TEC-PH-10004188</v>
      </c>
      <c r="E8410" t="str">
        <f>IF(COUNTIF(data2!$D:$D,D8410)=0,"Missing in Data2","Present")</f>
        <v>Present</v>
      </c>
    </row>
    <row r="8411" spans="1:5" x14ac:dyDescent="0.25">
      <c r="A8411" s="2" t="s">
        <v>6186</v>
      </c>
      <c r="B8411" s="2" t="s">
        <v>1555</v>
      </c>
      <c r="C8411" s="2">
        <v>2</v>
      </c>
      <c r="D8411" t="str">
        <f t="shared" si="131"/>
        <v>US-2015-156797_OFF-AR-10001427</v>
      </c>
      <c r="E8411" t="str">
        <f>IF(COUNTIF(data2!$D:$D,D8411)=0,"Missing in Data2","Present")</f>
        <v>Present</v>
      </c>
    </row>
    <row r="8412" spans="1:5" x14ac:dyDescent="0.25">
      <c r="A8412" s="2" t="s">
        <v>6186</v>
      </c>
      <c r="B8412" s="2" t="s">
        <v>541</v>
      </c>
      <c r="C8412" s="2">
        <v>2</v>
      </c>
      <c r="D8412" t="str">
        <f t="shared" si="131"/>
        <v>US-2015-156797_TEC-PH-10004614</v>
      </c>
      <c r="E8412" t="str">
        <f>IF(COUNTIF(data2!$D:$D,D8412)=0,"Missing in Data2","Present")</f>
        <v>Present</v>
      </c>
    </row>
    <row r="8413" spans="1:5" x14ac:dyDescent="0.25">
      <c r="A8413" s="2" t="s">
        <v>6187</v>
      </c>
      <c r="B8413" s="2" t="s">
        <v>450</v>
      </c>
      <c r="C8413" s="2">
        <v>3</v>
      </c>
      <c r="D8413" t="str">
        <f t="shared" si="131"/>
        <v>US-2015-156867_FUR-FU-10004006</v>
      </c>
      <c r="E8413" t="str">
        <f>IF(COUNTIF(data2!$D:$D,D8413)=0,"Missing in Data2","Present")</f>
        <v>Present</v>
      </c>
    </row>
    <row r="8414" spans="1:5" x14ac:dyDescent="0.25">
      <c r="A8414" s="2" t="s">
        <v>6187</v>
      </c>
      <c r="B8414" s="2" t="s">
        <v>1483</v>
      </c>
      <c r="C8414" s="2">
        <v>3</v>
      </c>
      <c r="D8414" t="str">
        <f t="shared" si="131"/>
        <v>US-2015-156867_OFF-BI-10002794</v>
      </c>
      <c r="E8414" t="str">
        <f>IF(COUNTIF(data2!$D:$D,D8414)=0,"Missing in Data2","Present")</f>
        <v>Present</v>
      </c>
    </row>
    <row r="8415" spans="1:5" x14ac:dyDescent="0.25">
      <c r="A8415" s="2" t="s">
        <v>6187</v>
      </c>
      <c r="B8415" s="2" t="s">
        <v>2375</v>
      </c>
      <c r="C8415" s="2">
        <v>6</v>
      </c>
      <c r="D8415" t="str">
        <f t="shared" si="131"/>
        <v>US-2015-156867_TEC-AC-10001552</v>
      </c>
      <c r="E8415" t="str">
        <f>IF(COUNTIF(data2!$D:$D,D8415)=0,"Missing in Data2","Present")</f>
        <v>Present</v>
      </c>
    </row>
    <row r="8416" spans="1:5" x14ac:dyDescent="0.25">
      <c r="A8416" s="2" t="s">
        <v>6188</v>
      </c>
      <c r="B8416" s="2" t="s">
        <v>2048</v>
      </c>
      <c r="C8416" s="2">
        <v>5</v>
      </c>
      <c r="D8416" t="str">
        <f t="shared" si="131"/>
        <v>US-2015-157014_OFF-BI-10001098</v>
      </c>
      <c r="E8416" t="str">
        <f>IF(COUNTIF(data2!$D:$D,D8416)=0,"Missing in Data2","Present")</f>
        <v>Missing in Data2</v>
      </c>
    </row>
    <row r="8417" spans="1:5" x14ac:dyDescent="0.25">
      <c r="A8417" s="2" t="s">
        <v>6188</v>
      </c>
      <c r="B8417" s="2" t="s">
        <v>4216</v>
      </c>
      <c r="C8417" s="2">
        <v>2</v>
      </c>
      <c r="D8417" t="str">
        <f t="shared" si="131"/>
        <v>US-2015-157014_TEC-AC-10000057</v>
      </c>
      <c r="E8417" t="str">
        <f>IF(COUNTIF(data2!$D:$D,D8417)=0,"Missing in Data2","Present")</f>
        <v>Present</v>
      </c>
    </row>
    <row r="8418" spans="1:5" x14ac:dyDescent="0.25">
      <c r="A8418" s="2" t="s">
        <v>6188</v>
      </c>
      <c r="B8418" s="2" t="s">
        <v>1315</v>
      </c>
      <c r="C8418" s="2">
        <v>2</v>
      </c>
      <c r="D8418" t="str">
        <f t="shared" si="131"/>
        <v>US-2015-157014_TEC-AC-10002167</v>
      </c>
      <c r="E8418" t="str">
        <f>IF(COUNTIF(data2!$D:$D,D8418)=0,"Missing in Data2","Present")</f>
        <v>Present</v>
      </c>
    </row>
    <row r="8419" spans="1:5" x14ac:dyDescent="0.25">
      <c r="A8419" s="2" t="s">
        <v>6189</v>
      </c>
      <c r="B8419" s="2" t="s">
        <v>1130</v>
      </c>
      <c r="C8419" s="2">
        <v>4</v>
      </c>
      <c r="D8419" t="str">
        <f t="shared" si="131"/>
        <v>US-2015-157154_FUR-TA-10001889</v>
      </c>
      <c r="E8419" t="str">
        <f>IF(COUNTIF(data2!$D:$D,D8419)=0,"Missing in Data2","Present")</f>
        <v>Present</v>
      </c>
    </row>
    <row r="8420" spans="1:5" x14ac:dyDescent="0.25">
      <c r="A8420" s="2" t="s">
        <v>6190</v>
      </c>
      <c r="B8420" s="2" t="s">
        <v>643</v>
      </c>
      <c r="C8420" s="2">
        <v>3</v>
      </c>
      <c r="D8420" t="str">
        <f t="shared" si="131"/>
        <v>US-2015-158589_FUR-FU-10001546</v>
      </c>
      <c r="E8420" t="str">
        <f>IF(COUNTIF(data2!$D:$D,D8420)=0,"Missing in Data2","Present")</f>
        <v>Present</v>
      </c>
    </row>
    <row r="8421" spans="1:5" x14ac:dyDescent="0.25">
      <c r="A8421" s="2" t="s">
        <v>6191</v>
      </c>
      <c r="B8421" s="2" t="s">
        <v>569</v>
      </c>
      <c r="C8421" s="2">
        <v>2</v>
      </c>
      <c r="D8421" t="str">
        <f t="shared" si="131"/>
        <v>US-2015-158911_FUR-FU-10003829</v>
      </c>
      <c r="E8421" t="str">
        <f>IF(COUNTIF(data2!$D:$D,D8421)=0,"Missing in Data2","Present")</f>
        <v>Present</v>
      </c>
    </row>
    <row r="8422" spans="1:5" x14ac:dyDescent="0.25">
      <c r="A8422" s="2" t="s">
        <v>6191</v>
      </c>
      <c r="B8422" s="2" t="s">
        <v>443</v>
      </c>
      <c r="C8422" s="2">
        <v>3</v>
      </c>
      <c r="D8422" t="str">
        <f t="shared" si="131"/>
        <v>US-2015-158911_OFF-LA-10003223</v>
      </c>
      <c r="E8422" t="str">
        <f>IF(COUNTIF(data2!$D:$D,D8422)=0,"Missing in Data2","Present")</f>
        <v>Present</v>
      </c>
    </row>
    <row r="8423" spans="1:5" x14ac:dyDescent="0.25">
      <c r="A8423" s="2" t="s">
        <v>6192</v>
      </c>
      <c r="B8423" s="2" t="s">
        <v>4381</v>
      </c>
      <c r="C8423" s="2">
        <v>6</v>
      </c>
      <c r="D8423" t="str">
        <f t="shared" si="131"/>
        <v>US-2015-159499_OFF-AP-10002867</v>
      </c>
      <c r="E8423" t="str">
        <f>IF(COUNTIF(data2!$D:$D,D8423)=0,"Missing in Data2","Present")</f>
        <v>Present</v>
      </c>
    </row>
    <row r="8424" spans="1:5" x14ac:dyDescent="0.25">
      <c r="A8424" s="2" t="s">
        <v>6192</v>
      </c>
      <c r="B8424" s="2" t="s">
        <v>1601</v>
      </c>
      <c r="C8424" s="2">
        <v>5</v>
      </c>
      <c r="D8424" t="str">
        <f t="shared" si="131"/>
        <v>US-2015-159499_OFF-LA-10003121</v>
      </c>
      <c r="E8424" t="str">
        <f>IF(COUNTIF(data2!$D:$D,D8424)=0,"Missing in Data2","Present")</f>
        <v>Present</v>
      </c>
    </row>
    <row r="8425" spans="1:5" x14ac:dyDescent="0.25">
      <c r="A8425" s="2" t="s">
        <v>6192</v>
      </c>
      <c r="B8425" s="2" t="s">
        <v>212</v>
      </c>
      <c r="C8425" s="2">
        <v>2</v>
      </c>
      <c r="D8425" t="str">
        <f t="shared" si="131"/>
        <v>US-2015-159499_TEC-AC-10002718</v>
      </c>
      <c r="E8425" t="str">
        <f>IF(COUNTIF(data2!$D:$D,D8425)=0,"Missing in Data2","Present")</f>
        <v>Present</v>
      </c>
    </row>
    <row r="8426" spans="1:5" x14ac:dyDescent="0.25">
      <c r="A8426" s="2" t="s">
        <v>6193</v>
      </c>
      <c r="B8426" s="2" t="s">
        <v>6194</v>
      </c>
      <c r="C8426" s="2">
        <v>3</v>
      </c>
      <c r="D8426" t="str">
        <f t="shared" si="131"/>
        <v>US-2015-159513_TEC-MA-10003329</v>
      </c>
      <c r="E8426" t="str">
        <f>IF(COUNTIF(data2!$D:$D,D8426)=0,"Missing in Data2","Present")</f>
        <v>Present</v>
      </c>
    </row>
    <row r="8427" spans="1:5" x14ac:dyDescent="0.25">
      <c r="A8427" s="2" t="s">
        <v>6195</v>
      </c>
      <c r="B8427" s="2" t="s">
        <v>876</v>
      </c>
      <c r="C8427" s="2">
        <v>9</v>
      </c>
      <c r="D8427" t="str">
        <f t="shared" si="131"/>
        <v>US-2015-159982_FUR-FU-10002505</v>
      </c>
      <c r="E8427" t="str">
        <f>IF(COUNTIF(data2!$D:$D,D8427)=0,"Missing in Data2","Present")</f>
        <v>Present</v>
      </c>
    </row>
    <row r="8428" spans="1:5" x14ac:dyDescent="0.25">
      <c r="A8428" s="2" t="s">
        <v>6195</v>
      </c>
      <c r="B8428" s="2" t="s">
        <v>2282</v>
      </c>
      <c r="C8428" s="2">
        <v>5</v>
      </c>
      <c r="D8428" t="str">
        <f t="shared" si="131"/>
        <v>US-2015-159982_OFF-ST-10001590</v>
      </c>
      <c r="E8428" t="str">
        <f>IF(COUNTIF(data2!$D:$D,D8428)=0,"Missing in Data2","Present")</f>
        <v>Present</v>
      </c>
    </row>
    <row r="8429" spans="1:5" x14ac:dyDescent="0.25">
      <c r="A8429" s="2" t="s">
        <v>6195</v>
      </c>
      <c r="B8429" s="2" t="s">
        <v>2460</v>
      </c>
      <c r="C8429" s="2">
        <v>2</v>
      </c>
      <c r="D8429" t="str">
        <f t="shared" si="131"/>
        <v>US-2015-159982_OFF-ST-10004804</v>
      </c>
      <c r="E8429" t="str">
        <f>IF(COUNTIF(data2!$D:$D,D8429)=0,"Missing in Data2","Present")</f>
        <v>Missing in Data2</v>
      </c>
    </row>
    <row r="8430" spans="1:5" x14ac:dyDescent="0.25">
      <c r="A8430" s="2" t="s">
        <v>6195</v>
      </c>
      <c r="B8430" s="2" t="s">
        <v>3446</v>
      </c>
      <c r="C8430" s="2">
        <v>6</v>
      </c>
      <c r="D8430" t="str">
        <f t="shared" si="131"/>
        <v>US-2015-159982_TEC-PH-10001580</v>
      </c>
      <c r="E8430" t="str">
        <f>IF(COUNTIF(data2!$D:$D,D8430)=0,"Missing in Data2","Present")</f>
        <v>Present</v>
      </c>
    </row>
    <row r="8431" spans="1:5" x14ac:dyDescent="0.25">
      <c r="A8431" s="2" t="s">
        <v>6196</v>
      </c>
      <c r="B8431" s="2" t="s">
        <v>3797</v>
      </c>
      <c r="C8431" s="2">
        <v>1</v>
      </c>
      <c r="D8431" t="str">
        <f t="shared" si="131"/>
        <v>US-2015-160150_OFF-BI-10004352</v>
      </c>
      <c r="E8431" t="str">
        <f>IF(COUNTIF(data2!$D:$D,D8431)=0,"Missing in Data2","Present")</f>
        <v>Present</v>
      </c>
    </row>
    <row r="8432" spans="1:5" x14ac:dyDescent="0.25">
      <c r="A8432" s="2" t="s">
        <v>6197</v>
      </c>
      <c r="B8432" s="2" t="s">
        <v>128</v>
      </c>
      <c r="C8432" s="2">
        <v>6</v>
      </c>
      <c r="D8432" t="str">
        <f t="shared" si="131"/>
        <v>US-2015-160563_FUR-FU-10001731</v>
      </c>
      <c r="E8432" t="str">
        <f>IF(COUNTIF(data2!$D:$D,D8432)=0,"Missing in Data2","Present")</f>
        <v>Present</v>
      </c>
    </row>
    <row r="8433" spans="1:5" x14ac:dyDescent="0.25">
      <c r="A8433" s="2" t="s">
        <v>6197</v>
      </c>
      <c r="B8433" s="2" t="s">
        <v>710</v>
      </c>
      <c r="C8433" s="2">
        <v>3</v>
      </c>
      <c r="D8433" t="str">
        <f t="shared" si="131"/>
        <v>US-2015-160563_TEC-AC-10002567</v>
      </c>
      <c r="E8433" t="str">
        <f>IF(COUNTIF(data2!$D:$D,D8433)=0,"Missing in Data2","Present")</f>
        <v>Present</v>
      </c>
    </row>
    <row r="8434" spans="1:5" x14ac:dyDescent="0.25">
      <c r="A8434" s="2" t="s">
        <v>6198</v>
      </c>
      <c r="B8434" s="2" t="s">
        <v>1419</v>
      </c>
      <c r="C8434" s="2">
        <v>2</v>
      </c>
      <c r="D8434" t="str">
        <f t="shared" si="131"/>
        <v>US-2015-160857_FUR-CH-10002647</v>
      </c>
      <c r="E8434" t="str">
        <f>IF(COUNTIF(data2!$D:$D,D8434)=0,"Missing in Data2","Present")</f>
        <v>Present</v>
      </c>
    </row>
    <row r="8435" spans="1:5" x14ac:dyDescent="0.25">
      <c r="A8435" s="2" t="s">
        <v>6198</v>
      </c>
      <c r="B8435" s="2" t="s">
        <v>538</v>
      </c>
      <c r="C8435" s="2">
        <v>3</v>
      </c>
      <c r="D8435" t="str">
        <f t="shared" si="131"/>
        <v>US-2015-160857_FUR-FU-10001095</v>
      </c>
      <c r="E8435" t="str">
        <f>IF(COUNTIF(data2!$D:$D,D8435)=0,"Missing in Data2","Present")</f>
        <v>Present</v>
      </c>
    </row>
    <row r="8436" spans="1:5" x14ac:dyDescent="0.25">
      <c r="A8436" s="2" t="s">
        <v>6198</v>
      </c>
      <c r="B8436" s="2" t="s">
        <v>1714</v>
      </c>
      <c r="C8436" s="2">
        <v>3</v>
      </c>
      <c r="D8436" t="str">
        <f t="shared" si="131"/>
        <v>US-2015-160857_OFF-PA-10003363</v>
      </c>
      <c r="E8436" t="str">
        <f>IF(COUNTIF(data2!$D:$D,D8436)=0,"Missing in Data2","Present")</f>
        <v>Present</v>
      </c>
    </row>
    <row r="8437" spans="1:5" x14ac:dyDescent="0.25">
      <c r="A8437" s="2" t="s">
        <v>6198</v>
      </c>
      <c r="B8437" s="2" t="s">
        <v>695</v>
      </c>
      <c r="C8437" s="2">
        <v>3</v>
      </c>
      <c r="D8437" t="str">
        <f t="shared" si="131"/>
        <v>US-2015-160857_OFF-SU-10000157</v>
      </c>
      <c r="E8437" t="str">
        <f>IF(COUNTIF(data2!$D:$D,D8437)=0,"Missing in Data2","Present")</f>
        <v>Present</v>
      </c>
    </row>
    <row r="8438" spans="1:5" x14ac:dyDescent="0.25">
      <c r="A8438" s="2" t="s">
        <v>6198</v>
      </c>
      <c r="B8438" s="2" t="s">
        <v>986</v>
      </c>
      <c r="C8438" s="2">
        <v>7</v>
      </c>
      <c r="D8438" t="str">
        <f t="shared" si="131"/>
        <v>US-2015-160857_TEC-CO-10004115</v>
      </c>
      <c r="E8438" t="str">
        <f>IF(COUNTIF(data2!$D:$D,D8438)=0,"Missing in Data2","Present")</f>
        <v>Present</v>
      </c>
    </row>
    <row r="8439" spans="1:5" x14ac:dyDescent="0.25">
      <c r="A8439" s="2" t="s">
        <v>6199</v>
      </c>
      <c r="B8439" s="2" t="s">
        <v>248</v>
      </c>
      <c r="C8439" s="2">
        <v>1</v>
      </c>
      <c r="D8439" t="str">
        <f t="shared" si="131"/>
        <v>US-2015-161347_OFF-BI-10004209</v>
      </c>
      <c r="E8439" t="str">
        <f>IF(COUNTIF(data2!$D:$D,D8439)=0,"Missing in Data2","Present")</f>
        <v>Present</v>
      </c>
    </row>
    <row r="8440" spans="1:5" x14ac:dyDescent="0.25">
      <c r="A8440" s="2" t="s">
        <v>6200</v>
      </c>
      <c r="B8440" s="2" t="s">
        <v>95</v>
      </c>
      <c r="C8440" s="2">
        <v>2</v>
      </c>
      <c r="D8440" t="str">
        <f t="shared" si="131"/>
        <v>US-2015-161466_OFF-AR-10000634</v>
      </c>
      <c r="E8440" t="str">
        <f>IF(COUNTIF(data2!$D:$D,D8440)=0,"Missing in Data2","Present")</f>
        <v>Present</v>
      </c>
    </row>
    <row r="8441" spans="1:5" x14ac:dyDescent="0.25">
      <c r="A8441" s="2" t="s">
        <v>6201</v>
      </c>
      <c r="B8441" s="2" t="s">
        <v>3452</v>
      </c>
      <c r="C8441" s="2">
        <v>5</v>
      </c>
      <c r="D8441" t="str">
        <f t="shared" si="131"/>
        <v>US-2015-161991_OFF-BI-10004967</v>
      </c>
      <c r="E8441" t="str">
        <f>IF(COUNTIF(data2!$D:$D,D8441)=0,"Missing in Data2","Present")</f>
        <v>Present</v>
      </c>
    </row>
    <row r="8442" spans="1:5" x14ac:dyDescent="0.25">
      <c r="A8442" s="2" t="s">
        <v>6201</v>
      </c>
      <c r="B8442" s="2" t="s">
        <v>313</v>
      </c>
      <c r="C8442" s="2">
        <v>7</v>
      </c>
      <c r="D8442" t="str">
        <f t="shared" si="131"/>
        <v>US-2015-161991_TEC-PH-10001760</v>
      </c>
      <c r="E8442" t="str">
        <f>IF(COUNTIF(data2!$D:$D,D8442)=0,"Missing in Data2","Present")</f>
        <v>Present</v>
      </c>
    </row>
    <row r="8443" spans="1:5" x14ac:dyDescent="0.25">
      <c r="A8443" s="2" t="s">
        <v>6202</v>
      </c>
      <c r="B8443" s="2" t="s">
        <v>91</v>
      </c>
      <c r="C8443" s="2">
        <v>2</v>
      </c>
      <c r="D8443" t="str">
        <f t="shared" si="131"/>
        <v>US-2015-163279_FUR-FU-10000747</v>
      </c>
      <c r="E8443" t="str">
        <f>IF(COUNTIF(data2!$D:$D,D8443)=0,"Missing in Data2","Present")</f>
        <v>Present</v>
      </c>
    </row>
    <row r="8444" spans="1:5" x14ac:dyDescent="0.25">
      <c r="A8444" s="2" t="s">
        <v>6202</v>
      </c>
      <c r="B8444" s="2" t="s">
        <v>4712</v>
      </c>
      <c r="C8444" s="2">
        <v>4</v>
      </c>
      <c r="D8444" t="str">
        <f t="shared" si="131"/>
        <v>US-2015-163279_OFF-PA-10003127</v>
      </c>
      <c r="E8444" t="str">
        <f>IF(COUNTIF(data2!$D:$D,D8444)=0,"Missing in Data2","Present")</f>
        <v>Present</v>
      </c>
    </row>
    <row r="8445" spans="1:5" x14ac:dyDescent="0.25">
      <c r="A8445" s="2" t="s">
        <v>6202</v>
      </c>
      <c r="B8445" s="2" t="s">
        <v>1081</v>
      </c>
      <c r="C8445" s="2">
        <v>3</v>
      </c>
      <c r="D8445" t="str">
        <f t="shared" si="131"/>
        <v>US-2015-163279_TEC-PH-10001795</v>
      </c>
      <c r="E8445" t="str">
        <f>IF(COUNTIF(data2!$D:$D,D8445)=0,"Missing in Data2","Present")</f>
        <v>Present</v>
      </c>
    </row>
    <row r="8446" spans="1:5" x14ac:dyDescent="0.25">
      <c r="A8446" s="2" t="s">
        <v>6203</v>
      </c>
      <c r="B8446" s="2" t="s">
        <v>1119</v>
      </c>
      <c r="C8446" s="2">
        <v>1</v>
      </c>
      <c r="D8446" t="str">
        <f t="shared" si="131"/>
        <v>US-2015-163433_FUR-CH-10000225</v>
      </c>
      <c r="E8446" t="str">
        <f>IF(COUNTIF(data2!$D:$D,D8446)=0,"Missing in Data2","Present")</f>
        <v>Present</v>
      </c>
    </row>
    <row r="8447" spans="1:5" x14ac:dyDescent="0.25">
      <c r="A8447" s="2" t="s">
        <v>6203</v>
      </c>
      <c r="B8447" s="2" t="s">
        <v>1700</v>
      </c>
      <c r="C8447" s="2">
        <v>3</v>
      </c>
      <c r="D8447" t="str">
        <f t="shared" si="131"/>
        <v>US-2015-163433_OFF-AR-10003373</v>
      </c>
      <c r="E8447" t="str">
        <f>IF(COUNTIF(data2!$D:$D,D8447)=0,"Missing in Data2","Present")</f>
        <v>Present</v>
      </c>
    </row>
    <row r="8448" spans="1:5" x14ac:dyDescent="0.25">
      <c r="A8448" s="2" t="s">
        <v>6203</v>
      </c>
      <c r="B8448" s="2" t="s">
        <v>886</v>
      </c>
      <c r="C8448" s="2">
        <v>3</v>
      </c>
      <c r="D8448" t="str">
        <f t="shared" si="131"/>
        <v>US-2015-163433_OFF-AR-10003481</v>
      </c>
      <c r="E8448" t="str">
        <f>IF(COUNTIF(data2!$D:$D,D8448)=0,"Missing in Data2","Present")</f>
        <v>Present</v>
      </c>
    </row>
    <row r="8449" spans="1:5" x14ac:dyDescent="0.25">
      <c r="A8449" s="2" t="s">
        <v>6203</v>
      </c>
      <c r="B8449" s="2" t="s">
        <v>152</v>
      </c>
      <c r="C8449" s="2">
        <v>1</v>
      </c>
      <c r="D8449" t="str">
        <f t="shared" si="131"/>
        <v>US-2015-163433_OFF-BI-10000320</v>
      </c>
      <c r="E8449" t="str">
        <f>IF(COUNTIF(data2!$D:$D,D8449)=0,"Missing in Data2","Present")</f>
        <v>Present</v>
      </c>
    </row>
    <row r="8450" spans="1:5" x14ac:dyDescent="0.25">
      <c r="A8450" s="2" t="s">
        <v>6203</v>
      </c>
      <c r="B8450" s="2" t="s">
        <v>206</v>
      </c>
      <c r="C8450" s="2">
        <v>2</v>
      </c>
      <c r="D8450" t="str">
        <f t="shared" si="131"/>
        <v>US-2015-163433_OFF-BI-10003676</v>
      </c>
      <c r="E8450" t="str">
        <f>IF(COUNTIF(data2!$D:$D,D8450)=0,"Missing in Data2","Present")</f>
        <v>Present</v>
      </c>
    </row>
    <row r="8451" spans="1:5" x14ac:dyDescent="0.25">
      <c r="A8451" s="2" t="s">
        <v>6203</v>
      </c>
      <c r="B8451" s="2" t="s">
        <v>385</v>
      </c>
      <c r="C8451" s="2">
        <v>3</v>
      </c>
      <c r="D8451" t="str">
        <f t="shared" ref="D8451:D8514" si="132">A8451&amp;"_"&amp;B8451</f>
        <v>US-2015-163433_OFF-PA-10003936</v>
      </c>
      <c r="E8451" t="str">
        <f>IF(COUNTIF(data2!$D:$D,D8451)=0,"Missing in Data2","Present")</f>
        <v>Present</v>
      </c>
    </row>
    <row r="8452" spans="1:5" x14ac:dyDescent="0.25">
      <c r="A8452" s="2" t="s">
        <v>6203</v>
      </c>
      <c r="B8452" s="2" t="s">
        <v>2468</v>
      </c>
      <c r="C8452" s="2">
        <v>2</v>
      </c>
      <c r="D8452" t="str">
        <f t="shared" si="132"/>
        <v>US-2015-163433_TEC-AC-10003590</v>
      </c>
      <c r="E8452" t="str">
        <f>IF(COUNTIF(data2!$D:$D,D8452)=0,"Missing in Data2","Present")</f>
        <v>Present</v>
      </c>
    </row>
    <row r="8453" spans="1:5" x14ac:dyDescent="0.25">
      <c r="A8453" s="2" t="s">
        <v>6203</v>
      </c>
      <c r="B8453" s="2" t="s">
        <v>1437</v>
      </c>
      <c r="C8453" s="2">
        <v>2</v>
      </c>
      <c r="D8453" t="str">
        <f t="shared" si="132"/>
        <v>US-2015-163433_TEC-PH-10001870</v>
      </c>
      <c r="E8453" t="str">
        <f>IF(COUNTIF(data2!$D:$D,D8453)=0,"Missing in Data2","Present")</f>
        <v>Present</v>
      </c>
    </row>
    <row r="8454" spans="1:5" x14ac:dyDescent="0.25">
      <c r="A8454" s="2" t="s">
        <v>6203</v>
      </c>
      <c r="B8454" s="2" t="s">
        <v>2256</v>
      </c>
      <c r="C8454" s="2">
        <v>4</v>
      </c>
      <c r="D8454" t="str">
        <f t="shared" si="132"/>
        <v>US-2015-163433_TEC-PH-10003357</v>
      </c>
      <c r="E8454" t="str">
        <f>IF(COUNTIF(data2!$D:$D,D8454)=0,"Missing in Data2","Present")</f>
        <v>Present</v>
      </c>
    </row>
    <row r="8455" spans="1:5" x14ac:dyDescent="0.25">
      <c r="A8455" s="2" t="s">
        <v>6204</v>
      </c>
      <c r="B8455" s="2" t="s">
        <v>1605</v>
      </c>
      <c r="C8455" s="2">
        <v>8</v>
      </c>
      <c r="D8455" t="str">
        <f t="shared" si="132"/>
        <v>US-2015-163685_OFF-BI-10001890</v>
      </c>
      <c r="E8455" t="str">
        <f>IF(COUNTIF(data2!$D:$D,D8455)=0,"Missing in Data2","Present")</f>
        <v>Present</v>
      </c>
    </row>
    <row r="8456" spans="1:5" x14ac:dyDescent="0.25">
      <c r="A8456" s="2" t="s">
        <v>6204</v>
      </c>
      <c r="B8456" s="2" t="s">
        <v>3051</v>
      </c>
      <c r="C8456" s="2">
        <v>10</v>
      </c>
      <c r="D8456" t="str">
        <f t="shared" si="132"/>
        <v>US-2015-163685_OFF-PA-10002606</v>
      </c>
      <c r="E8456" t="str">
        <f>IF(COUNTIF(data2!$D:$D,D8456)=0,"Missing in Data2","Present")</f>
        <v>Present</v>
      </c>
    </row>
    <row r="8457" spans="1:5" x14ac:dyDescent="0.25">
      <c r="A8457" s="2" t="s">
        <v>6205</v>
      </c>
      <c r="B8457" s="2" t="s">
        <v>1045</v>
      </c>
      <c r="C8457" s="2">
        <v>3</v>
      </c>
      <c r="D8457" t="str">
        <f t="shared" si="132"/>
        <v>US-2015-163783_OFF-ST-10002957</v>
      </c>
      <c r="E8457" t="str">
        <f>IF(COUNTIF(data2!$D:$D,D8457)=0,"Missing in Data2","Present")</f>
        <v>Present</v>
      </c>
    </row>
    <row r="8458" spans="1:5" x14ac:dyDescent="0.25">
      <c r="A8458" s="2" t="s">
        <v>6206</v>
      </c>
      <c r="B8458" s="2" t="s">
        <v>907</v>
      </c>
      <c r="C8458" s="2">
        <v>3</v>
      </c>
      <c r="D8458" t="str">
        <f t="shared" si="132"/>
        <v>US-2015-163825_OFF-BI-10003527</v>
      </c>
      <c r="E8458" t="str">
        <f>IF(COUNTIF(data2!$D:$D,D8458)=0,"Missing in Data2","Present")</f>
        <v>Present</v>
      </c>
    </row>
    <row r="8459" spans="1:5" x14ac:dyDescent="0.25">
      <c r="A8459" s="2" t="s">
        <v>6206</v>
      </c>
      <c r="B8459" s="2" t="s">
        <v>29</v>
      </c>
      <c r="C8459" s="2">
        <v>2</v>
      </c>
      <c r="D8459" t="str">
        <f t="shared" si="132"/>
        <v>US-2015-163825_TEC-PH-10004922</v>
      </c>
      <c r="E8459" t="str">
        <f>IF(COUNTIF(data2!$D:$D,D8459)=0,"Missing in Data2","Present")</f>
        <v>Present</v>
      </c>
    </row>
    <row r="8460" spans="1:5" x14ac:dyDescent="0.25">
      <c r="A8460" s="2" t="s">
        <v>6207</v>
      </c>
      <c r="B8460" s="2" t="s">
        <v>370</v>
      </c>
      <c r="C8460" s="2">
        <v>5</v>
      </c>
      <c r="D8460" t="str">
        <f t="shared" si="132"/>
        <v>US-2015-164175_FUR-CH-10001146</v>
      </c>
      <c r="E8460" t="str">
        <f>IF(COUNTIF(data2!$D:$D,D8460)=0,"Missing in Data2","Present")</f>
        <v>Present</v>
      </c>
    </row>
    <row r="8461" spans="1:5" x14ac:dyDescent="0.25">
      <c r="A8461" s="2" t="s">
        <v>6208</v>
      </c>
      <c r="B8461" s="2" t="s">
        <v>5249</v>
      </c>
      <c r="C8461" s="2">
        <v>3</v>
      </c>
      <c r="D8461" t="str">
        <f t="shared" si="132"/>
        <v>US-2015-164238_FUR-BO-10000780</v>
      </c>
      <c r="E8461" t="str">
        <f>IF(COUNTIF(data2!$D:$D,D8461)=0,"Missing in Data2","Present")</f>
        <v>Present</v>
      </c>
    </row>
    <row r="8462" spans="1:5" x14ac:dyDescent="0.25">
      <c r="A8462" s="2" t="s">
        <v>6208</v>
      </c>
      <c r="B8462" s="2" t="s">
        <v>1579</v>
      </c>
      <c r="C8462" s="2">
        <v>7</v>
      </c>
      <c r="D8462" t="str">
        <f t="shared" si="132"/>
        <v>US-2015-164238_OFF-ST-10002352</v>
      </c>
      <c r="E8462" t="str">
        <f>IF(COUNTIF(data2!$D:$D,D8462)=0,"Missing in Data2","Present")</f>
        <v>Present</v>
      </c>
    </row>
    <row r="8463" spans="1:5" x14ac:dyDescent="0.25">
      <c r="A8463" s="2" t="s">
        <v>6209</v>
      </c>
      <c r="B8463" s="2" t="s">
        <v>3715</v>
      </c>
      <c r="C8463" s="2">
        <v>6</v>
      </c>
      <c r="D8463" t="str">
        <f t="shared" si="132"/>
        <v>US-2015-164308_TEC-PH-10004120</v>
      </c>
      <c r="E8463" t="str">
        <f>IF(COUNTIF(data2!$D:$D,D8463)=0,"Missing in Data2","Present")</f>
        <v>Present</v>
      </c>
    </row>
    <row r="8464" spans="1:5" x14ac:dyDescent="0.25">
      <c r="A8464" s="2" t="s">
        <v>6210</v>
      </c>
      <c r="B8464" s="2" t="s">
        <v>5447</v>
      </c>
      <c r="C8464" s="2">
        <v>5</v>
      </c>
      <c r="D8464" t="str">
        <f t="shared" si="132"/>
        <v>US-2015-164357_OFF-AR-10001177</v>
      </c>
      <c r="E8464" t="str">
        <f>IF(COUNTIF(data2!$D:$D,D8464)=0,"Missing in Data2","Present")</f>
        <v>Present</v>
      </c>
    </row>
    <row r="8465" spans="1:5" x14ac:dyDescent="0.25">
      <c r="A8465" s="2" t="s">
        <v>6211</v>
      </c>
      <c r="B8465" s="2" t="s">
        <v>1727</v>
      </c>
      <c r="C8465" s="2">
        <v>2</v>
      </c>
      <c r="D8465" t="str">
        <f t="shared" si="132"/>
        <v>US-2015-164448_OFF-BI-10002949</v>
      </c>
      <c r="E8465" t="str">
        <f>IF(COUNTIF(data2!$D:$D,D8465)=0,"Missing in Data2","Present")</f>
        <v>Present</v>
      </c>
    </row>
    <row r="8466" spans="1:5" x14ac:dyDescent="0.25">
      <c r="A8466" s="2" t="s">
        <v>6211</v>
      </c>
      <c r="B8466" s="2" t="s">
        <v>227</v>
      </c>
      <c r="C8466" s="2">
        <v>5</v>
      </c>
      <c r="D8466" t="str">
        <f t="shared" si="132"/>
        <v>US-2015-164448_OFF-BI-10003708</v>
      </c>
      <c r="E8466" t="str">
        <f>IF(COUNTIF(data2!$D:$D,D8466)=0,"Missing in Data2","Present")</f>
        <v>Present</v>
      </c>
    </row>
    <row r="8467" spans="1:5" x14ac:dyDescent="0.25">
      <c r="A8467" s="2" t="s">
        <v>6211</v>
      </c>
      <c r="B8467" s="2" t="s">
        <v>532</v>
      </c>
      <c r="C8467" s="2">
        <v>5</v>
      </c>
      <c r="D8467" t="str">
        <f t="shared" si="132"/>
        <v>US-2015-164448_OFF-EN-10002600</v>
      </c>
      <c r="E8467" t="str">
        <f>IF(COUNTIF(data2!$D:$D,D8467)=0,"Missing in Data2","Present")</f>
        <v>Present</v>
      </c>
    </row>
    <row r="8468" spans="1:5" x14ac:dyDescent="0.25">
      <c r="A8468" s="2" t="s">
        <v>6211</v>
      </c>
      <c r="B8468" s="2" t="s">
        <v>1125</v>
      </c>
      <c r="C8468" s="2">
        <v>14</v>
      </c>
      <c r="D8468" t="str">
        <f t="shared" si="132"/>
        <v>US-2015-164448_OFF-LA-10003510</v>
      </c>
      <c r="E8468" t="str">
        <f>IF(COUNTIF(data2!$D:$D,D8468)=0,"Missing in Data2","Present")</f>
        <v>Present</v>
      </c>
    </row>
    <row r="8469" spans="1:5" x14ac:dyDescent="0.25">
      <c r="A8469" s="2" t="s">
        <v>6212</v>
      </c>
      <c r="B8469" s="2" t="s">
        <v>6213</v>
      </c>
      <c r="C8469" s="2">
        <v>4</v>
      </c>
      <c r="D8469" t="str">
        <f t="shared" si="132"/>
        <v>US-2015-165449_TEC-AC-10004127</v>
      </c>
      <c r="E8469" t="str">
        <f>IF(COUNTIF(data2!$D:$D,D8469)=0,"Missing in Data2","Present")</f>
        <v>Present</v>
      </c>
    </row>
    <row r="8470" spans="1:5" x14ac:dyDescent="0.25">
      <c r="A8470" s="2" t="s">
        <v>6214</v>
      </c>
      <c r="B8470" s="2" t="s">
        <v>1497</v>
      </c>
      <c r="C8470" s="2">
        <v>7</v>
      </c>
      <c r="D8470" t="str">
        <f t="shared" si="132"/>
        <v>US-2015-165512_FUR-CH-10002880</v>
      </c>
      <c r="E8470" t="str">
        <f>IF(COUNTIF(data2!$D:$D,D8470)=0,"Missing in Data2","Present")</f>
        <v>Missing in Data2</v>
      </c>
    </row>
    <row r="8471" spans="1:5" x14ac:dyDescent="0.25">
      <c r="A8471" s="2" t="s">
        <v>6214</v>
      </c>
      <c r="B8471" s="2" t="s">
        <v>819</v>
      </c>
      <c r="C8471" s="2">
        <v>6</v>
      </c>
      <c r="D8471" t="str">
        <f t="shared" si="132"/>
        <v>US-2015-165512_OFF-BI-10001249</v>
      </c>
      <c r="E8471" t="str">
        <f>IF(COUNTIF(data2!$D:$D,D8471)=0,"Missing in Data2","Present")</f>
        <v>Present</v>
      </c>
    </row>
    <row r="8472" spans="1:5" x14ac:dyDescent="0.25">
      <c r="A8472" s="2" t="s">
        <v>6215</v>
      </c>
      <c r="B8472" s="2" t="s">
        <v>3882</v>
      </c>
      <c r="C8472" s="2">
        <v>6</v>
      </c>
      <c r="D8472" t="str">
        <f t="shared" si="132"/>
        <v>US-2015-165743_FUR-BO-10002268</v>
      </c>
      <c r="E8472" t="str">
        <f>IF(COUNTIF(data2!$D:$D,D8472)=0,"Missing in Data2","Present")</f>
        <v>Present</v>
      </c>
    </row>
    <row r="8473" spans="1:5" x14ac:dyDescent="0.25">
      <c r="A8473" s="2" t="s">
        <v>6215</v>
      </c>
      <c r="B8473" s="2" t="s">
        <v>619</v>
      </c>
      <c r="C8473" s="2">
        <v>6</v>
      </c>
      <c r="D8473" t="str">
        <f t="shared" si="132"/>
        <v>US-2015-165743_OFF-BI-10001758</v>
      </c>
      <c r="E8473" t="str">
        <f>IF(COUNTIF(data2!$D:$D,D8473)=0,"Missing in Data2","Present")</f>
        <v>Present</v>
      </c>
    </row>
    <row r="8474" spans="1:5" x14ac:dyDescent="0.25">
      <c r="A8474" s="2" t="s">
        <v>6215</v>
      </c>
      <c r="B8474" s="2" t="s">
        <v>274</v>
      </c>
      <c r="C8474" s="2">
        <v>3</v>
      </c>
      <c r="D8474" t="str">
        <f t="shared" si="132"/>
        <v>US-2015-165743_OFF-BI-10001982</v>
      </c>
      <c r="E8474" t="str">
        <f>IF(COUNTIF(data2!$D:$D,D8474)=0,"Missing in Data2","Present")</f>
        <v>Present</v>
      </c>
    </row>
    <row r="8475" spans="1:5" x14ac:dyDescent="0.25">
      <c r="A8475" s="2" t="s">
        <v>6216</v>
      </c>
      <c r="B8475" s="2" t="s">
        <v>2359</v>
      </c>
      <c r="C8475" s="2">
        <v>3</v>
      </c>
      <c r="D8475" t="str">
        <f t="shared" si="132"/>
        <v>US-2015-166520_OFF-PA-10000501</v>
      </c>
      <c r="E8475" t="str">
        <f>IF(COUNTIF(data2!$D:$D,D8475)=0,"Missing in Data2","Present")</f>
        <v>Present</v>
      </c>
    </row>
    <row r="8476" spans="1:5" x14ac:dyDescent="0.25">
      <c r="A8476" s="2" t="s">
        <v>6216</v>
      </c>
      <c r="B8476" s="2" t="s">
        <v>3755</v>
      </c>
      <c r="C8476" s="2">
        <v>10</v>
      </c>
      <c r="D8476" t="str">
        <f t="shared" si="132"/>
        <v>US-2015-166520_TEC-AC-10001990</v>
      </c>
      <c r="E8476" t="str">
        <f>IF(COUNTIF(data2!$D:$D,D8476)=0,"Missing in Data2","Present")</f>
        <v>Present</v>
      </c>
    </row>
    <row r="8477" spans="1:5" x14ac:dyDescent="0.25">
      <c r="A8477" s="2" t="s">
        <v>6217</v>
      </c>
      <c r="B8477" s="2" t="s">
        <v>2124</v>
      </c>
      <c r="C8477" s="2">
        <v>4</v>
      </c>
      <c r="D8477" t="str">
        <f t="shared" si="132"/>
        <v>US-2015-167220_TEC-AC-10002018</v>
      </c>
      <c r="E8477" t="str">
        <f>IF(COUNTIF(data2!$D:$D,D8477)=0,"Missing in Data2","Present")</f>
        <v>Present</v>
      </c>
    </row>
    <row r="8478" spans="1:5" x14ac:dyDescent="0.25">
      <c r="A8478" s="2" t="s">
        <v>6218</v>
      </c>
      <c r="B8478" s="2" t="s">
        <v>1840</v>
      </c>
      <c r="C8478" s="2">
        <v>4</v>
      </c>
      <c r="D8478" t="str">
        <f t="shared" si="132"/>
        <v>US-2015-168704_FUR-TA-10000688</v>
      </c>
      <c r="E8478" t="str">
        <f>IF(COUNTIF(data2!$D:$D,D8478)=0,"Missing in Data2","Present")</f>
        <v>Present</v>
      </c>
    </row>
    <row r="8479" spans="1:5" x14ac:dyDescent="0.25">
      <c r="A8479" s="2" t="s">
        <v>6218</v>
      </c>
      <c r="B8479" s="2" t="s">
        <v>1996</v>
      </c>
      <c r="C8479" s="2">
        <v>2</v>
      </c>
      <c r="D8479" t="str">
        <f t="shared" si="132"/>
        <v>US-2015-168704_FUR-TA-10002530</v>
      </c>
      <c r="E8479" t="str">
        <f>IF(COUNTIF(data2!$D:$D,D8479)=0,"Missing in Data2","Present")</f>
        <v>Present</v>
      </c>
    </row>
    <row r="8480" spans="1:5" x14ac:dyDescent="0.25">
      <c r="A8480" s="2" t="s">
        <v>6218</v>
      </c>
      <c r="B8480" s="2" t="s">
        <v>3567</v>
      </c>
      <c r="C8480" s="2">
        <v>3</v>
      </c>
      <c r="D8480" t="str">
        <f t="shared" si="132"/>
        <v>US-2015-168704_TEC-PH-10001061</v>
      </c>
      <c r="E8480" t="str">
        <f>IF(COUNTIF(data2!$D:$D,D8480)=0,"Missing in Data2","Present")</f>
        <v>Missing in Data2</v>
      </c>
    </row>
    <row r="8481" spans="1:5" x14ac:dyDescent="0.25">
      <c r="A8481" s="2" t="s">
        <v>6219</v>
      </c>
      <c r="B8481" s="2" t="s">
        <v>5127</v>
      </c>
      <c r="C8481" s="2">
        <v>1</v>
      </c>
      <c r="D8481" t="str">
        <f t="shared" si="132"/>
        <v>US-2015-168732_OFF-AR-10003087</v>
      </c>
      <c r="E8481" t="str">
        <f>IF(COUNTIF(data2!$D:$D,D8481)=0,"Missing in Data2","Present")</f>
        <v>Present</v>
      </c>
    </row>
    <row r="8482" spans="1:5" x14ac:dyDescent="0.25">
      <c r="A8482" s="2" t="s">
        <v>6219</v>
      </c>
      <c r="B8482" s="2" t="s">
        <v>3228</v>
      </c>
      <c r="C8482" s="2">
        <v>4</v>
      </c>
      <c r="D8482" t="str">
        <f t="shared" si="132"/>
        <v>US-2015-168732_OFF-PA-10000520</v>
      </c>
      <c r="E8482" t="str">
        <f>IF(COUNTIF(data2!$D:$D,D8482)=0,"Missing in Data2","Present")</f>
        <v>Present</v>
      </c>
    </row>
    <row r="8483" spans="1:5" x14ac:dyDescent="0.25">
      <c r="A8483" s="2" t="s">
        <v>6219</v>
      </c>
      <c r="B8483" s="2" t="s">
        <v>1180</v>
      </c>
      <c r="C8483" s="2">
        <v>6</v>
      </c>
      <c r="D8483" t="str">
        <f t="shared" si="132"/>
        <v>US-2015-168732_TEC-AC-10001553</v>
      </c>
      <c r="E8483" t="str">
        <f>IF(COUNTIF(data2!$D:$D,D8483)=0,"Missing in Data2","Present")</f>
        <v>Present</v>
      </c>
    </row>
    <row r="8484" spans="1:5" x14ac:dyDescent="0.25">
      <c r="A8484" s="2" t="s">
        <v>6220</v>
      </c>
      <c r="B8484" s="2" t="s">
        <v>796</v>
      </c>
      <c r="C8484" s="2">
        <v>8</v>
      </c>
      <c r="D8484" t="str">
        <f t="shared" si="132"/>
        <v>US-2015-168914_OFF-AP-10000358</v>
      </c>
      <c r="E8484" t="str">
        <f>IF(COUNTIF(data2!$D:$D,D8484)=0,"Missing in Data2","Present")</f>
        <v>Present</v>
      </c>
    </row>
    <row r="8485" spans="1:5" x14ac:dyDescent="0.25">
      <c r="A8485" s="2" t="s">
        <v>6221</v>
      </c>
      <c r="B8485" s="2" t="s">
        <v>1115</v>
      </c>
      <c r="C8485" s="2">
        <v>3</v>
      </c>
      <c r="D8485" t="str">
        <f t="shared" si="132"/>
        <v>US-2015-168935_FUR-TA-10000617</v>
      </c>
      <c r="E8485" t="str">
        <f>IF(COUNTIF(data2!$D:$D,D8485)=0,"Missing in Data2","Present")</f>
        <v>Present</v>
      </c>
    </row>
    <row r="8486" spans="1:5" x14ac:dyDescent="0.25">
      <c r="A8486" s="2" t="s">
        <v>6221</v>
      </c>
      <c r="B8486" s="2" t="s">
        <v>3487</v>
      </c>
      <c r="C8486" s="2">
        <v>3</v>
      </c>
      <c r="D8486" t="str">
        <f t="shared" si="132"/>
        <v>US-2015-168935_TEC-AC-10002335</v>
      </c>
      <c r="E8486" t="str">
        <f>IF(COUNTIF(data2!$D:$D,D8486)=0,"Missing in Data2","Present")</f>
        <v>Present</v>
      </c>
    </row>
    <row r="8487" spans="1:5" x14ac:dyDescent="0.25">
      <c r="A8487" s="2" t="s">
        <v>6222</v>
      </c>
      <c r="B8487" s="2" t="s">
        <v>194</v>
      </c>
      <c r="C8487" s="2">
        <v>2</v>
      </c>
      <c r="D8487" t="str">
        <f t="shared" si="132"/>
        <v>US-2016-100405_OFF-AR-10000390</v>
      </c>
      <c r="E8487" t="str">
        <f>IF(COUNTIF(data2!$D:$D,D8487)=0,"Missing in Data2","Present")</f>
        <v>Present</v>
      </c>
    </row>
    <row r="8488" spans="1:5" x14ac:dyDescent="0.25">
      <c r="A8488" s="2" t="s">
        <v>6223</v>
      </c>
      <c r="B8488" s="2" t="s">
        <v>2006</v>
      </c>
      <c r="C8488" s="2">
        <v>3</v>
      </c>
      <c r="D8488" t="str">
        <f t="shared" si="132"/>
        <v>US-2016-100419_OFF-BI-10002194</v>
      </c>
      <c r="E8488" t="str">
        <f>IF(COUNTIF(data2!$D:$D,D8488)=0,"Missing in Data2","Present")</f>
        <v>Present</v>
      </c>
    </row>
    <row r="8489" spans="1:5" x14ac:dyDescent="0.25">
      <c r="A8489" s="2" t="s">
        <v>6224</v>
      </c>
      <c r="B8489" s="2" t="s">
        <v>1533</v>
      </c>
      <c r="C8489" s="2">
        <v>6</v>
      </c>
      <c r="D8489" t="str">
        <f t="shared" si="132"/>
        <v>US-2016-100461_FUR-BO-10002545</v>
      </c>
      <c r="E8489" t="str">
        <f>IF(COUNTIF(data2!$D:$D,D8489)=0,"Missing in Data2","Present")</f>
        <v>Present</v>
      </c>
    </row>
    <row r="8490" spans="1:5" x14ac:dyDescent="0.25">
      <c r="A8490" s="2" t="s">
        <v>6224</v>
      </c>
      <c r="B8490" s="2" t="s">
        <v>1843</v>
      </c>
      <c r="C8490" s="2">
        <v>7</v>
      </c>
      <c r="D8490" t="str">
        <f t="shared" si="132"/>
        <v>US-2016-100461_OFF-BI-10001460</v>
      </c>
      <c r="E8490" t="str">
        <f>IF(COUNTIF(data2!$D:$D,D8490)=0,"Missing in Data2","Present")</f>
        <v>Present</v>
      </c>
    </row>
    <row r="8491" spans="1:5" x14ac:dyDescent="0.25">
      <c r="A8491" s="2" t="s">
        <v>6225</v>
      </c>
      <c r="B8491" s="2" t="s">
        <v>2009</v>
      </c>
      <c r="C8491" s="2">
        <v>3</v>
      </c>
      <c r="D8491" t="str">
        <f t="shared" si="132"/>
        <v>US-2016-100566_FUR-FU-10003394</v>
      </c>
      <c r="E8491" t="str">
        <f>IF(COUNTIF(data2!$D:$D,D8491)=0,"Missing in Data2","Present")</f>
        <v>Present</v>
      </c>
    </row>
    <row r="8492" spans="1:5" x14ac:dyDescent="0.25">
      <c r="A8492" s="2" t="s">
        <v>6226</v>
      </c>
      <c r="B8492" s="2" t="s">
        <v>911</v>
      </c>
      <c r="C8492" s="2">
        <v>2</v>
      </c>
      <c r="D8492" t="str">
        <f t="shared" si="132"/>
        <v>US-2016-100720_OFF-SU-10001574</v>
      </c>
      <c r="E8492" t="str">
        <f>IF(COUNTIF(data2!$D:$D,D8492)=0,"Missing in Data2","Present")</f>
        <v>Present</v>
      </c>
    </row>
    <row r="8493" spans="1:5" x14ac:dyDescent="0.25">
      <c r="A8493" s="2" t="s">
        <v>6226</v>
      </c>
      <c r="B8493" s="2" t="s">
        <v>35</v>
      </c>
      <c r="C8493" s="2">
        <v>3</v>
      </c>
      <c r="D8493" t="str">
        <f t="shared" si="132"/>
        <v>US-2016-100720_TEC-PH-10001425</v>
      </c>
      <c r="E8493" t="str">
        <f>IF(COUNTIF(data2!$D:$D,D8493)=0,"Missing in Data2","Present")</f>
        <v>Present</v>
      </c>
    </row>
    <row r="8494" spans="1:5" x14ac:dyDescent="0.25">
      <c r="A8494" s="2" t="s">
        <v>6226</v>
      </c>
      <c r="B8494" s="2" t="s">
        <v>958</v>
      </c>
      <c r="C8494" s="2">
        <v>4</v>
      </c>
      <c r="D8494" t="str">
        <f t="shared" si="132"/>
        <v>US-2016-100720_TEC-PH-10003963</v>
      </c>
      <c r="E8494" t="str">
        <f>IF(COUNTIF(data2!$D:$D,D8494)=0,"Missing in Data2","Present")</f>
        <v>Present</v>
      </c>
    </row>
    <row r="8495" spans="1:5" x14ac:dyDescent="0.25">
      <c r="A8495" s="2" t="s">
        <v>6227</v>
      </c>
      <c r="B8495" s="2" t="s">
        <v>3867</v>
      </c>
      <c r="C8495" s="2">
        <v>3</v>
      </c>
      <c r="D8495" t="str">
        <f t="shared" si="132"/>
        <v>US-2016-100839_FUR-FU-10001617</v>
      </c>
      <c r="E8495" t="str">
        <f>IF(COUNTIF(data2!$D:$D,D8495)=0,"Missing in Data2","Present")</f>
        <v>Present</v>
      </c>
    </row>
    <row r="8496" spans="1:5" x14ac:dyDescent="0.25">
      <c r="A8496" s="2" t="s">
        <v>6227</v>
      </c>
      <c r="B8496" s="2" t="s">
        <v>939</v>
      </c>
      <c r="C8496" s="2">
        <v>5</v>
      </c>
      <c r="D8496" t="str">
        <f t="shared" si="132"/>
        <v>US-2016-100839_FUR-TA-10004575</v>
      </c>
      <c r="E8496" t="str">
        <f>IF(COUNTIF(data2!$D:$D,D8496)=0,"Missing in Data2","Present")</f>
        <v>Present</v>
      </c>
    </row>
    <row r="8497" spans="1:5" x14ac:dyDescent="0.25">
      <c r="A8497" s="2" t="s">
        <v>6228</v>
      </c>
      <c r="B8497" s="2" t="s">
        <v>2460</v>
      </c>
      <c r="C8497" s="2">
        <v>2</v>
      </c>
      <c r="D8497" t="str">
        <f t="shared" si="132"/>
        <v>US-2016-101196_OFF-ST-10004804</v>
      </c>
      <c r="E8497" t="str">
        <f>IF(COUNTIF(data2!$D:$D,D8497)=0,"Missing in Data2","Present")</f>
        <v>Present</v>
      </c>
    </row>
    <row r="8498" spans="1:5" x14ac:dyDescent="0.25">
      <c r="A8498" s="2" t="s">
        <v>6229</v>
      </c>
      <c r="B8498" s="2" t="s">
        <v>7</v>
      </c>
      <c r="C8498" s="2">
        <v>1</v>
      </c>
      <c r="D8498" t="str">
        <f t="shared" si="132"/>
        <v>US-2016-101497_OFF-PA-10000176</v>
      </c>
      <c r="E8498" t="str">
        <f>IF(COUNTIF(data2!$D:$D,D8498)=0,"Missing in Data2","Present")</f>
        <v>Present</v>
      </c>
    </row>
    <row r="8499" spans="1:5" x14ac:dyDescent="0.25">
      <c r="A8499" s="2" t="s">
        <v>6230</v>
      </c>
      <c r="B8499" s="2" t="s">
        <v>2658</v>
      </c>
      <c r="C8499" s="2">
        <v>8</v>
      </c>
      <c r="D8499" t="str">
        <f t="shared" si="132"/>
        <v>US-2016-101616_OFF-BI-10000014</v>
      </c>
      <c r="E8499" t="str">
        <f>IF(COUNTIF(data2!$D:$D,D8499)=0,"Missing in Data2","Present")</f>
        <v>Present</v>
      </c>
    </row>
    <row r="8500" spans="1:5" x14ac:dyDescent="0.25">
      <c r="A8500" s="2" t="s">
        <v>6231</v>
      </c>
      <c r="B8500" s="2" t="s">
        <v>1954</v>
      </c>
      <c r="C8500" s="2">
        <v>8</v>
      </c>
      <c r="D8500" t="str">
        <f t="shared" si="132"/>
        <v>US-2016-102141_OFF-BI-10001510</v>
      </c>
      <c r="E8500" t="str">
        <f>IF(COUNTIF(data2!$D:$D,D8500)=0,"Missing in Data2","Present")</f>
        <v>Present</v>
      </c>
    </row>
    <row r="8501" spans="1:5" x14ac:dyDescent="0.25">
      <c r="A8501" s="2" t="s">
        <v>6232</v>
      </c>
      <c r="B8501" s="2" t="s">
        <v>1922</v>
      </c>
      <c r="C8501" s="2">
        <v>7</v>
      </c>
      <c r="D8501" t="str">
        <f t="shared" si="132"/>
        <v>US-2016-102232_OFF-AR-10000538</v>
      </c>
      <c r="E8501" t="str">
        <f>IF(COUNTIF(data2!$D:$D,D8501)=0,"Missing in Data2","Present")</f>
        <v>Present</v>
      </c>
    </row>
    <row r="8502" spans="1:5" x14ac:dyDescent="0.25">
      <c r="A8502" s="2" t="s">
        <v>6233</v>
      </c>
      <c r="B8502" s="2" t="s">
        <v>4195</v>
      </c>
      <c r="C8502" s="2">
        <v>6</v>
      </c>
      <c r="D8502" t="str">
        <f t="shared" si="132"/>
        <v>US-2016-102239_FUR-TA-10003392</v>
      </c>
      <c r="E8502" t="str">
        <f>IF(COUNTIF(data2!$D:$D,D8502)=0,"Missing in Data2","Present")</f>
        <v>Present</v>
      </c>
    </row>
    <row r="8503" spans="1:5" x14ac:dyDescent="0.25">
      <c r="A8503" s="2" t="s">
        <v>6233</v>
      </c>
      <c r="B8503" s="2" t="s">
        <v>1605</v>
      </c>
      <c r="C8503" s="2">
        <v>2</v>
      </c>
      <c r="D8503" t="str">
        <f t="shared" si="132"/>
        <v>US-2016-102239_OFF-BI-10001890</v>
      </c>
      <c r="E8503" t="str">
        <f>IF(COUNTIF(data2!$D:$D,D8503)=0,"Missing in Data2","Present")</f>
        <v>Missing in Data2</v>
      </c>
    </row>
    <row r="8504" spans="1:5" x14ac:dyDescent="0.25">
      <c r="A8504" s="2" t="s">
        <v>6234</v>
      </c>
      <c r="B8504" s="2" t="s">
        <v>2088</v>
      </c>
      <c r="C8504" s="2">
        <v>3</v>
      </c>
      <c r="D8504" t="str">
        <f t="shared" si="132"/>
        <v>US-2016-103646_OFF-AP-10004487</v>
      </c>
      <c r="E8504" t="str">
        <f>IF(COUNTIF(data2!$D:$D,D8504)=0,"Missing in Data2","Present")</f>
        <v>Present</v>
      </c>
    </row>
    <row r="8505" spans="1:5" x14ac:dyDescent="0.25">
      <c r="A8505" s="2" t="s">
        <v>6234</v>
      </c>
      <c r="B8505" s="2" t="s">
        <v>337</v>
      </c>
      <c r="C8505" s="2">
        <v>8</v>
      </c>
      <c r="D8505" t="str">
        <f t="shared" si="132"/>
        <v>US-2016-103646_OFF-BI-10002854</v>
      </c>
      <c r="E8505" t="str">
        <f>IF(COUNTIF(data2!$D:$D,D8505)=0,"Missing in Data2","Present")</f>
        <v>Present</v>
      </c>
    </row>
    <row r="8506" spans="1:5" x14ac:dyDescent="0.25">
      <c r="A8506" s="2" t="s">
        <v>6234</v>
      </c>
      <c r="B8506" s="2" t="s">
        <v>1339</v>
      </c>
      <c r="C8506" s="2">
        <v>4</v>
      </c>
      <c r="D8506" t="str">
        <f t="shared" si="132"/>
        <v>US-2016-103646_OFF-ST-10000563</v>
      </c>
      <c r="E8506" t="str">
        <f>IF(COUNTIF(data2!$D:$D,D8506)=0,"Missing in Data2","Present")</f>
        <v>Present</v>
      </c>
    </row>
    <row r="8507" spans="1:5" x14ac:dyDescent="0.25">
      <c r="A8507" s="2" t="s">
        <v>6235</v>
      </c>
      <c r="B8507" s="2" t="s">
        <v>625</v>
      </c>
      <c r="C8507" s="2">
        <v>7</v>
      </c>
      <c r="D8507" t="str">
        <f t="shared" si="132"/>
        <v>US-2016-103674_OFF-AR-10004752</v>
      </c>
      <c r="E8507" t="str">
        <f>IF(COUNTIF(data2!$D:$D,D8507)=0,"Missing in Data2","Present")</f>
        <v>Present</v>
      </c>
    </row>
    <row r="8508" spans="1:5" x14ac:dyDescent="0.25">
      <c r="A8508" s="2" t="s">
        <v>6235</v>
      </c>
      <c r="B8508" s="2" t="s">
        <v>637</v>
      </c>
      <c r="C8508" s="2">
        <v>14</v>
      </c>
      <c r="D8508" t="str">
        <f t="shared" si="132"/>
        <v>US-2016-103674_OFF-BI-10002026</v>
      </c>
      <c r="E8508" t="str">
        <f>IF(COUNTIF(data2!$D:$D,D8508)=0,"Missing in Data2","Present")</f>
        <v>Present</v>
      </c>
    </row>
    <row r="8509" spans="1:5" x14ac:dyDescent="0.25">
      <c r="A8509" s="2" t="s">
        <v>6235</v>
      </c>
      <c r="B8509" s="2" t="s">
        <v>1526</v>
      </c>
      <c r="C8509" s="2">
        <v>4</v>
      </c>
      <c r="D8509" t="str">
        <f t="shared" si="132"/>
        <v>US-2016-103674_OFF-BI-10003727</v>
      </c>
      <c r="E8509" t="str">
        <f>IF(COUNTIF(data2!$D:$D,D8509)=0,"Missing in Data2","Present")</f>
        <v>Present</v>
      </c>
    </row>
    <row r="8510" spans="1:5" x14ac:dyDescent="0.25">
      <c r="A8510" s="2" t="s">
        <v>6235</v>
      </c>
      <c r="B8510" s="2" t="s">
        <v>1364</v>
      </c>
      <c r="C8510" s="2">
        <v>7</v>
      </c>
      <c r="D8510" t="str">
        <f t="shared" si="132"/>
        <v>US-2016-103674_OFF-FA-10003467</v>
      </c>
      <c r="E8510" t="str">
        <f>IF(COUNTIF(data2!$D:$D,D8510)=0,"Missing in Data2","Present")</f>
        <v>Present</v>
      </c>
    </row>
    <row r="8511" spans="1:5" x14ac:dyDescent="0.25">
      <c r="A8511" s="2" t="s">
        <v>6235</v>
      </c>
      <c r="B8511" s="2" t="s">
        <v>2493</v>
      </c>
      <c r="C8511" s="2">
        <v>2</v>
      </c>
      <c r="D8511" t="str">
        <f t="shared" si="132"/>
        <v>US-2016-103674_OFF-PA-10000743</v>
      </c>
      <c r="E8511" t="str">
        <f>IF(COUNTIF(data2!$D:$D,D8511)=0,"Missing in Data2","Present")</f>
        <v>Missing in Data2</v>
      </c>
    </row>
    <row r="8512" spans="1:5" x14ac:dyDescent="0.25">
      <c r="A8512" s="2" t="s">
        <v>6235</v>
      </c>
      <c r="B8512" s="2" t="s">
        <v>2176</v>
      </c>
      <c r="C8512" s="2">
        <v>2</v>
      </c>
      <c r="D8512" t="str">
        <f t="shared" si="132"/>
        <v>US-2016-103674_TEC-PH-10002496</v>
      </c>
      <c r="E8512" t="str">
        <f>IF(COUNTIF(data2!$D:$D,D8512)=0,"Missing in Data2","Present")</f>
        <v>Present</v>
      </c>
    </row>
    <row r="8513" spans="1:5" x14ac:dyDescent="0.25">
      <c r="A8513" s="2" t="s">
        <v>6235</v>
      </c>
      <c r="B8513" s="2" t="s">
        <v>3970</v>
      </c>
      <c r="C8513" s="2">
        <v>5</v>
      </c>
      <c r="D8513" t="str">
        <f t="shared" si="132"/>
        <v>US-2016-103674_TEC-PH-10004080</v>
      </c>
      <c r="E8513" t="str">
        <f>IF(COUNTIF(data2!$D:$D,D8513)=0,"Missing in Data2","Present")</f>
        <v>Present</v>
      </c>
    </row>
    <row r="8514" spans="1:5" x14ac:dyDescent="0.25">
      <c r="A8514" s="2" t="s">
        <v>6236</v>
      </c>
      <c r="B8514" s="2" t="s">
        <v>6237</v>
      </c>
      <c r="C8514" s="2">
        <v>2</v>
      </c>
      <c r="D8514" t="str">
        <f t="shared" si="132"/>
        <v>US-2016-104794_OFF-FA-10001754</v>
      </c>
      <c r="E8514" t="str">
        <f>IF(COUNTIF(data2!$D:$D,D8514)=0,"Missing in Data2","Present")</f>
        <v>Present</v>
      </c>
    </row>
    <row r="8515" spans="1:5" x14ac:dyDescent="0.25">
      <c r="A8515" s="2" t="s">
        <v>6238</v>
      </c>
      <c r="B8515" s="2" t="s">
        <v>4343</v>
      </c>
      <c r="C8515" s="2">
        <v>4</v>
      </c>
      <c r="D8515" t="str">
        <f t="shared" ref="D8515:D8578" si="133">A8515&amp;"_"&amp;B8515</f>
        <v>US-2016-104815_FUR-BO-10003894</v>
      </c>
      <c r="E8515" t="str">
        <f>IF(COUNTIF(data2!$D:$D,D8515)=0,"Missing in Data2","Present")</f>
        <v>Present</v>
      </c>
    </row>
    <row r="8516" spans="1:5" x14ac:dyDescent="0.25">
      <c r="A8516" s="2" t="s">
        <v>6239</v>
      </c>
      <c r="B8516" s="2" t="s">
        <v>851</v>
      </c>
      <c r="C8516" s="2">
        <v>5</v>
      </c>
      <c r="D8516" t="str">
        <f t="shared" si="133"/>
        <v>US-2016-105452_FUR-FU-10003691</v>
      </c>
      <c r="E8516" t="str">
        <f>IF(COUNTIF(data2!$D:$D,D8516)=0,"Missing in Data2","Present")</f>
        <v>Present</v>
      </c>
    </row>
    <row r="8517" spans="1:5" x14ac:dyDescent="0.25">
      <c r="A8517" s="2" t="s">
        <v>6239</v>
      </c>
      <c r="B8517" s="2" t="s">
        <v>3558</v>
      </c>
      <c r="C8517" s="2">
        <v>5</v>
      </c>
      <c r="D8517" t="str">
        <f t="shared" si="133"/>
        <v>US-2016-105452_FUR-FU-10003806</v>
      </c>
      <c r="E8517" t="str">
        <f>IF(COUNTIF(data2!$D:$D,D8517)=0,"Missing in Data2","Present")</f>
        <v>Present</v>
      </c>
    </row>
    <row r="8518" spans="1:5" x14ac:dyDescent="0.25">
      <c r="A8518" s="2" t="s">
        <v>6240</v>
      </c>
      <c r="B8518" s="2" t="s">
        <v>583</v>
      </c>
      <c r="C8518" s="2">
        <v>2</v>
      </c>
      <c r="D8518" t="str">
        <f t="shared" si="133"/>
        <v>US-2016-105578_FUR-CH-10001215</v>
      </c>
      <c r="E8518" t="str">
        <f>IF(COUNTIF(data2!$D:$D,D8518)=0,"Missing in Data2","Present")</f>
        <v>Present</v>
      </c>
    </row>
    <row r="8519" spans="1:5" x14ac:dyDescent="0.25">
      <c r="A8519" s="2" t="s">
        <v>6240</v>
      </c>
      <c r="B8519" s="2" t="s">
        <v>3699</v>
      </c>
      <c r="C8519" s="2">
        <v>3</v>
      </c>
      <c r="D8519" t="str">
        <f t="shared" si="133"/>
        <v>US-2016-105578_OFF-BI-10000831</v>
      </c>
      <c r="E8519" t="str">
        <f>IF(COUNTIF(data2!$D:$D,D8519)=0,"Missing in Data2","Present")</f>
        <v>Present</v>
      </c>
    </row>
    <row r="8520" spans="1:5" x14ac:dyDescent="0.25">
      <c r="A8520" s="2" t="s">
        <v>6240</v>
      </c>
      <c r="B8520" s="2" t="s">
        <v>190</v>
      </c>
      <c r="C8520" s="2">
        <v>2</v>
      </c>
      <c r="D8520" t="str">
        <f t="shared" si="133"/>
        <v>US-2016-105578_OFF-BI-10001658</v>
      </c>
      <c r="E8520" t="str">
        <f>IF(COUNTIF(data2!$D:$D,D8520)=0,"Missing in Data2","Present")</f>
        <v>Present</v>
      </c>
    </row>
    <row r="8521" spans="1:5" x14ac:dyDescent="0.25">
      <c r="A8521" s="2" t="s">
        <v>6240</v>
      </c>
      <c r="B8521" s="2" t="s">
        <v>267</v>
      </c>
      <c r="C8521" s="2">
        <v>2</v>
      </c>
      <c r="D8521" t="str">
        <f t="shared" si="133"/>
        <v>US-2016-105578_OFF-BI-10001670</v>
      </c>
      <c r="E8521" t="str">
        <f>IF(COUNTIF(data2!$D:$D,D8521)=0,"Missing in Data2","Present")</f>
        <v>Present</v>
      </c>
    </row>
    <row r="8522" spans="1:5" x14ac:dyDescent="0.25">
      <c r="A8522" s="2" t="s">
        <v>6240</v>
      </c>
      <c r="B8522" s="2" t="s">
        <v>41</v>
      </c>
      <c r="C8522" s="2">
        <v>1</v>
      </c>
      <c r="D8522" t="str">
        <f t="shared" si="133"/>
        <v>US-2016-105578_OFF-PA-10000357</v>
      </c>
      <c r="E8522" t="str">
        <f>IF(COUNTIF(data2!$D:$D,D8522)=0,"Missing in Data2","Present")</f>
        <v>Present</v>
      </c>
    </row>
    <row r="8523" spans="1:5" x14ac:dyDescent="0.25">
      <c r="A8523" s="2" t="s">
        <v>6241</v>
      </c>
      <c r="B8523" s="2" t="s">
        <v>2631</v>
      </c>
      <c r="C8523" s="2">
        <v>3</v>
      </c>
      <c r="D8523" t="str">
        <f t="shared" si="133"/>
        <v>US-2016-106313_OFF-PA-10001870</v>
      </c>
      <c r="E8523" t="str">
        <f>IF(COUNTIF(data2!$D:$D,D8523)=0,"Missing in Data2","Present")</f>
        <v>Present</v>
      </c>
    </row>
    <row r="8524" spans="1:5" x14ac:dyDescent="0.25">
      <c r="A8524" s="2" t="s">
        <v>6242</v>
      </c>
      <c r="B8524" s="2" t="s">
        <v>1760</v>
      </c>
      <c r="C8524" s="2">
        <v>5</v>
      </c>
      <c r="D8524" t="str">
        <f t="shared" si="133"/>
        <v>US-2016-106600_FUR-BO-10001608</v>
      </c>
      <c r="E8524" t="str">
        <f>IF(COUNTIF(data2!$D:$D,D8524)=0,"Missing in Data2","Present")</f>
        <v>Present</v>
      </c>
    </row>
    <row r="8525" spans="1:5" x14ac:dyDescent="0.25">
      <c r="A8525" s="2" t="s">
        <v>6243</v>
      </c>
      <c r="B8525" s="2" t="s">
        <v>1895</v>
      </c>
      <c r="C8525" s="2">
        <v>2</v>
      </c>
      <c r="D8525" t="str">
        <f t="shared" si="133"/>
        <v>US-2016-106677_TEC-PH-10003187</v>
      </c>
      <c r="E8525" t="str">
        <f>IF(COUNTIF(data2!$D:$D,D8525)=0,"Missing in Data2","Present")</f>
        <v>Present</v>
      </c>
    </row>
    <row r="8526" spans="1:5" x14ac:dyDescent="0.25">
      <c r="A8526" s="2" t="s">
        <v>6244</v>
      </c>
      <c r="B8526" s="2" t="s">
        <v>388</v>
      </c>
      <c r="C8526" s="2">
        <v>2</v>
      </c>
      <c r="D8526" t="str">
        <f t="shared" si="133"/>
        <v>US-2016-107440_FUR-FU-10000550</v>
      </c>
      <c r="E8526" t="str">
        <f>IF(COUNTIF(data2!$D:$D,D8526)=0,"Missing in Data2","Present")</f>
        <v>Present</v>
      </c>
    </row>
    <row r="8527" spans="1:5" x14ac:dyDescent="0.25">
      <c r="A8527" s="2" t="s">
        <v>6244</v>
      </c>
      <c r="B8527" s="2" t="s">
        <v>1338</v>
      </c>
      <c r="C8527" s="2">
        <v>5</v>
      </c>
      <c r="D8527" t="str">
        <f t="shared" si="133"/>
        <v>US-2016-107440_OFF-BI-10002432</v>
      </c>
      <c r="E8527" t="str">
        <f>IF(COUNTIF(data2!$D:$D,D8527)=0,"Missing in Data2","Present")</f>
        <v>Present</v>
      </c>
    </row>
    <row r="8528" spans="1:5" x14ac:dyDescent="0.25">
      <c r="A8528" s="2" t="s">
        <v>6245</v>
      </c>
      <c r="B8528" s="2" t="s">
        <v>1263</v>
      </c>
      <c r="C8528" s="2">
        <v>3</v>
      </c>
      <c r="D8528" t="str">
        <f t="shared" si="133"/>
        <v>US-2016-108098_TEC-AC-10000865</v>
      </c>
      <c r="E8528" t="str">
        <f>IF(COUNTIF(data2!$D:$D,D8528)=0,"Missing in Data2","Present")</f>
        <v>Present</v>
      </c>
    </row>
    <row r="8529" spans="1:5" x14ac:dyDescent="0.25">
      <c r="A8529" s="2" t="s">
        <v>6246</v>
      </c>
      <c r="B8529" s="2" t="s">
        <v>1644</v>
      </c>
      <c r="C8529" s="2">
        <v>4</v>
      </c>
      <c r="D8529" t="str">
        <f t="shared" si="133"/>
        <v>US-2016-108455_OFF-PA-10002262</v>
      </c>
      <c r="E8529" t="str">
        <f>IF(COUNTIF(data2!$D:$D,D8529)=0,"Missing in Data2","Present")</f>
        <v>Present</v>
      </c>
    </row>
    <row r="8530" spans="1:5" x14ac:dyDescent="0.25">
      <c r="A8530" s="2" t="s">
        <v>6246</v>
      </c>
      <c r="B8530" s="2" t="s">
        <v>1883</v>
      </c>
      <c r="C8530" s="2">
        <v>7</v>
      </c>
      <c r="D8530" t="str">
        <f t="shared" si="133"/>
        <v>US-2016-108455_OFF-PA-10002464</v>
      </c>
      <c r="E8530" t="str">
        <f>IF(COUNTIF(data2!$D:$D,D8530)=0,"Missing in Data2","Present")</f>
        <v>Present</v>
      </c>
    </row>
    <row r="8531" spans="1:5" x14ac:dyDescent="0.25">
      <c r="A8531" s="2" t="s">
        <v>6246</v>
      </c>
      <c r="B8531" s="2" t="s">
        <v>652</v>
      </c>
      <c r="C8531" s="2">
        <v>3</v>
      </c>
      <c r="D8531" t="str">
        <f t="shared" si="133"/>
        <v>US-2016-108455_OFF-ST-10002214</v>
      </c>
      <c r="E8531" t="str">
        <f>IF(COUNTIF(data2!$D:$D,D8531)=0,"Missing in Data2","Present")</f>
        <v>Present</v>
      </c>
    </row>
    <row r="8532" spans="1:5" x14ac:dyDescent="0.25">
      <c r="A8532" s="2" t="s">
        <v>6247</v>
      </c>
      <c r="B8532" s="2" t="s">
        <v>427</v>
      </c>
      <c r="C8532" s="2">
        <v>5</v>
      </c>
      <c r="D8532" t="str">
        <f t="shared" si="133"/>
        <v>US-2016-108497_FUR-BO-10004218</v>
      </c>
      <c r="E8532" t="str">
        <f>IF(COUNTIF(data2!$D:$D,D8532)=0,"Missing in Data2","Present")</f>
        <v>Present</v>
      </c>
    </row>
    <row r="8533" spans="1:5" x14ac:dyDescent="0.25">
      <c r="A8533" s="2" t="s">
        <v>6248</v>
      </c>
      <c r="B8533" s="2" t="s">
        <v>631</v>
      </c>
      <c r="C8533" s="2">
        <v>2</v>
      </c>
      <c r="D8533" t="str">
        <f t="shared" si="133"/>
        <v>US-2016-108504_FUR-BO-10004015</v>
      </c>
      <c r="E8533" t="str">
        <f>IF(COUNTIF(data2!$D:$D,D8533)=0,"Missing in Data2","Present")</f>
        <v>Present</v>
      </c>
    </row>
    <row r="8534" spans="1:5" x14ac:dyDescent="0.25">
      <c r="A8534" s="2" t="s">
        <v>6248</v>
      </c>
      <c r="B8534" s="2" t="s">
        <v>118</v>
      </c>
      <c r="C8534" s="2">
        <v>3</v>
      </c>
      <c r="D8534" t="str">
        <f t="shared" si="133"/>
        <v>US-2016-108504_FUR-FU-10004091</v>
      </c>
      <c r="E8534" t="str">
        <f>IF(COUNTIF(data2!$D:$D,D8534)=0,"Missing in Data2","Present")</f>
        <v>Present</v>
      </c>
    </row>
    <row r="8535" spans="1:5" x14ac:dyDescent="0.25">
      <c r="A8535" s="2" t="s">
        <v>6248</v>
      </c>
      <c r="B8535" s="2" t="s">
        <v>917</v>
      </c>
      <c r="C8535" s="2">
        <v>2</v>
      </c>
      <c r="D8535" t="str">
        <f t="shared" si="133"/>
        <v>US-2016-108504_OFF-EN-10003001</v>
      </c>
      <c r="E8535" t="str">
        <f>IF(COUNTIF(data2!$D:$D,D8535)=0,"Missing in Data2","Present")</f>
        <v>Present</v>
      </c>
    </row>
    <row r="8536" spans="1:5" x14ac:dyDescent="0.25">
      <c r="A8536" s="2" t="s">
        <v>6248</v>
      </c>
      <c r="B8536" s="2" t="s">
        <v>2305</v>
      </c>
      <c r="C8536" s="2">
        <v>5</v>
      </c>
      <c r="D8536" t="str">
        <f t="shared" si="133"/>
        <v>US-2016-108504_OFF-FA-10000053</v>
      </c>
      <c r="E8536" t="str">
        <f>IF(COUNTIF(data2!$D:$D,D8536)=0,"Missing in Data2","Present")</f>
        <v>Present</v>
      </c>
    </row>
    <row r="8537" spans="1:5" x14ac:dyDescent="0.25">
      <c r="A8537" s="2" t="s">
        <v>6248</v>
      </c>
      <c r="B8537" s="2" t="s">
        <v>41</v>
      </c>
      <c r="C8537" s="2">
        <v>3</v>
      </c>
      <c r="D8537" t="str">
        <f t="shared" si="133"/>
        <v>US-2016-108504_OFF-PA-10000357</v>
      </c>
      <c r="E8537" t="str">
        <f>IF(COUNTIF(data2!$D:$D,D8537)=0,"Missing in Data2","Present")</f>
        <v>Present</v>
      </c>
    </row>
    <row r="8538" spans="1:5" x14ac:dyDescent="0.25">
      <c r="A8538" s="2" t="s">
        <v>6248</v>
      </c>
      <c r="B8538" s="2" t="s">
        <v>789</v>
      </c>
      <c r="C8538" s="2">
        <v>9</v>
      </c>
      <c r="D8538" t="str">
        <f t="shared" si="133"/>
        <v>US-2016-108504_OFF-PA-10001289</v>
      </c>
      <c r="E8538" t="str">
        <f>IF(COUNTIF(data2!$D:$D,D8538)=0,"Missing in Data2","Present")</f>
        <v>Present</v>
      </c>
    </row>
    <row r="8539" spans="1:5" x14ac:dyDescent="0.25">
      <c r="A8539" s="2" t="s">
        <v>6248</v>
      </c>
      <c r="B8539" s="2" t="s">
        <v>2593</v>
      </c>
      <c r="C8539" s="2">
        <v>7</v>
      </c>
      <c r="D8539" t="str">
        <f t="shared" si="133"/>
        <v>US-2016-108504_OFF-PA-10003892</v>
      </c>
      <c r="E8539" t="str">
        <f>IF(COUNTIF(data2!$D:$D,D8539)=0,"Missing in Data2","Present")</f>
        <v>Present</v>
      </c>
    </row>
    <row r="8540" spans="1:5" x14ac:dyDescent="0.25">
      <c r="A8540" s="2" t="s">
        <v>6248</v>
      </c>
      <c r="B8540" s="2" t="s">
        <v>715</v>
      </c>
      <c r="C8540" s="2">
        <v>1</v>
      </c>
      <c r="D8540" t="str">
        <f t="shared" si="133"/>
        <v>US-2016-108504_OFF-ST-10002344</v>
      </c>
      <c r="E8540" t="str">
        <f>IF(COUNTIF(data2!$D:$D,D8540)=0,"Missing in Data2","Present")</f>
        <v>Present</v>
      </c>
    </row>
    <row r="8541" spans="1:5" x14ac:dyDescent="0.25">
      <c r="A8541" s="2" t="s">
        <v>6248</v>
      </c>
      <c r="B8541" s="2" t="s">
        <v>2460</v>
      </c>
      <c r="C8541" s="2">
        <v>3</v>
      </c>
      <c r="D8541" t="str">
        <f t="shared" si="133"/>
        <v>US-2016-108504_OFF-ST-10004804</v>
      </c>
      <c r="E8541" t="str">
        <f>IF(COUNTIF(data2!$D:$D,D8541)=0,"Missing in Data2","Present")</f>
        <v>Present</v>
      </c>
    </row>
    <row r="8542" spans="1:5" x14ac:dyDescent="0.25">
      <c r="A8542" s="2" t="s">
        <v>6248</v>
      </c>
      <c r="B8542" s="2" t="s">
        <v>742</v>
      </c>
      <c r="C8542" s="2">
        <v>3</v>
      </c>
      <c r="D8542" t="str">
        <f t="shared" si="133"/>
        <v>US-2016-108504_TEC-PH-10000215</v>
      </c>
      <c r="E8542" t="str">
        <f>IF(COUNTIF(data2!$D:$D,D8542)=0,"Missing in Data2","Present")</f>
        <v>Present</v>
      </c>
    </row>
    <row r="8543" spans="1:5" x14ac:dyDescent="0.25">
      <c r="A8543" s="2" t="s">
        <v>6248</v>
      </c>
      <c r="B8543" s="2" t="s">
        <v>998</v>
      </c>
      <c r="C8543" s="2">
        <v>3</v>
      </c>
      <c r="D8543" t="str">
        <f t="shared" si="133"/>
        <v>US-2016-108504_TEC-PH-10003645</v>
      </c>
      <c r="E8543" t="str">
        <f>IF(COUNTIF(data2!$D:$D,D8543)=0,"Missing in Data2","Present")</f>
        <v>Present</v>
      </c>
    </row>
    <row r="8544" spans="1:5" x14ac:dyDescent="0.25">
      <c r="A8544" s="2" t="s">
        <v>6249</v>
      </c>
      <c r="B8544" s="2" t="s">
        <v>226</v>
      </c>
      <c r="C8544" s="2">
        <v>2</v>
      </c>
      <c r="D8544" t="str">
        <f t="shared" si="133"/>
        <v>US-2016-108637_FUR-FU-10004864</v>
      </c>
      <c r="E8544" t="str">
        <f>IF(COUNTIF(data2!$D:$D,D8544)=0,"Missing in Data2","Present")</f>
        <v>Present</v>
      </c>
    </row>
    <row r="8545" spans="1:5" x14ac:dyDescent="0.25">
      <c r="A8545" s="2" t="s">
        <v>6249</v>
      </c>
      <c r="B8545" s="2" t="s">
        <v>5216</v>
      </c>
      <c r="C8545" s="2">
        <v>2</v>
      </c>
      <c r="D8545" t="str">
        <f t="shared" si="133"/>
        <v>US-2016-108637_OFF-AP-10004540</v>
      </c>
      <c r="E8545" t="str">
        <f>IF(COUNTIF(data2!$D:$D,D8545)=0,"Missing in Data2","Present")</f>
        <v>Present</v>
      </c>
    </row>
    <row r="8546" spans="1:5" x14ac:dyDescent="0.25">
      <c r="A8546" s="2" t="s">
        <v>6249</v>
      </c>
      <c r="B8546" s="2" t="s">
        <v>1686</v>
      </c>
      <c r="C8546" s="2">
        <v>4</v>
      </c>
      <c r="D8546" t="str">
        <f t="shared" si="133"/>
        <v>US-2016-108637_OFF-BI-10004965</v>
      </c>
      <c r="E8546" t="str">
        <f>IF(COUNTIF(data2!$D:$D,D8546)=0,"Missing in Data2","Present")</f>
        <v>Present</v>
      </c>
    </row>
    <row r="8547" spans="1:5" x14ac:dyDescent="0.25">
      <c r="A8547" s="2" t="s">
        <v>6250</v>
      </c>
      <c r="B8547" s="2" t="s">
        <v>1117</v>
      </c>
      <c r="C8547" s="2">
        <v>3</v>
      </c>
      <c r="D8547" t="str">
        <f t="shared" si="133"/>
        <v>US-2016-108777_OFF-BI-10003982</v>
      </c>
      <c r="E8547" t="str">
        <f>IF(COUNTIF(data2!$D:$D,D8547)=0,"Missing in Data2","Present")</f>
        <v>Present</v>
      </c>
    </row>
    <row r="8548" spans="1:5" x14ac:dyDescent="0.25">
      <c r="A8548" s="2" t="s">
        <v>6250</v>
      </c>
      <c r="B8548" s="2" t="s">
        <v>710</v>
      </c>
      <c r="C8548" s="2">
        <v>6</v>
      </c>
      <c r="D8548" t="str">
        <f t="shared" si="133"/>
        <v>US-2016-108777_TEC-AC-10002567</v>
      </c>
      <c r="E8548" t="str">
        <f>IF(COUNTIF(data2!$D:$D,D8548)=0,"Missing in Data2","Present")</f>
        <v>Present</v>
      </c>
    </row>
    <row r="8549" spans="1:5" x14ac:dyDescent="0.25">
      <c r="A8549" s="2" t="s">
        <v>6251</v>
      </c>
      <c r="B8549" s="2" t="s">
        <v>2808</v>
      </c>
      <c r="C8549" s="2">
        <v>3</v>
      </c>
      <c r="D8549" t="str">
        <f t="shared" si="133"/>
        <v>US-2016-109260_TEC-AC-10002637</v>
      </c>
      <c r="E8549" t="str">
        <f>IF(COUNTIF(data2!$D:$D,D8549)=0,"Missing in Data2","Present")</f>
        <v>Missing in Data2</v>
      </c>
    </row>
    <row r="8550" spans="1:5" x14ac:dyDescent="0.25">
      <c r="A8550" s="2" t="s">
        <v>6252</v>
      </c>
      <c r="B8550" s="2" t="s">
        <v>3306</v>
      </c>
      <c r="C8550" s="2">
        <v>2</v>
      </c>
      <c r="D8550" t="str">
        <f t="shared" si="133"/>
        <v>US-2016-110156_FUR-FU-10000206</v>
      </c>
      <c r="E8550" t="str">
        <f>IF(COUNTIF(data2!$D:$D,D8550)=0,"Missing in Data2","Present")</f>
        <v>Present</v>
      </c>
    </row>
    <row r="8551" spans="1:5" x14ac:dyDescent="0.25">
      <c r="A8551" s="2" t="s">
        <v>6252</v>
      </c>
      <c r="B8551" s="2" t="s">
        <v>459</v>
      </c>
      <c r="C8551" s="2">
        <v>2</v>
      </c>
      <c r="D8551" t="str">
        <f t="shared" si="133"/>
        <v>US-2016-110156_OFF-BI-10002609</v>
      </c>
      <c r="E8551" t="str">
        <f>IF(COUNTIF(data2!$D:$D,D8551)=0,"Missing in Data2","Present")</f>
        <v>Present</v>
      </c>
    </row>
    <row r="8552" spans="1:5" x14ac:dyDescent="0.25">
      <c r="A8552" s="2" t="s">
        <v>6252</v>
      </c>
      <c r="B8552" s="2" t="s">
        <v>206</v>
      </c>
      <c r="C8552" s="2">
        <v>5</v>
      </c>
      <c r="D8552" t="str">
        <f t="shared" si="133"/>
        <v>US-2016-110156_OFF-BI-10003676</v>
      </c>
      <c r="E8552" t="str">
        <f>IF(COUNTIF(data2!$D:$D,D8552)=0,"Missing in Data2","Present")</f>
        <v>Present</v>
      </c>
    </row>
    <row r="8553" spans="1:5" x14ac:dyDescent="0.25">
      <c r="A8553" s="2" t="s">
        <v>6252</v>
      </c>
      <c r="B8553" s="2" t="s">
        <v>2127</v>
      </c>
      <c r="C8553" s="2">
        <v>3</v>
      </c>
      <c r="D8553" t="str">
        <f t="shared" si="133"/>
        <v>US-2016-110156_OFF-EN-10003798</v>
      </c>
      <c r="E8553" t="str">
        <f>IF(COUNTIF(data2!$D:$D,D8553)=0,"Missing in Data2","Present")</f>
        <v>Present</v>
      </c>
    </row>
    <row r="8554" spans="1:5" x14ac:dyDescent="0.25">
      <c r="A8554" s="2" t="s">
        <v>6252</v>
      </c>
      <c r="B8554" s="2" t="s">
        <v>4374</v>
      </c>
      <c r="C8554" s="2">
        <v>2</v>
      </c>
      <c r="D8554" t="str">
        <f t="shared" si="133"/>
        <v>US-2016-110156_OFF-PA-10004735</v>
      </c>
      <c r="E8554" t="str">
        <f>IF(COUNTIF(data2!$D:$D,D8554)=0,"Missing in Data2","Present")</f>
        <v>Present</v>
      </c>
    </row>
    <row r="8555" spans="1:5" x14ac:dyDescent="0.25">
      <c r="A8555" s="2" t="s">
        <v>6252</v>
      </c>
      <c r="B8555" s="2" t="s">
        <v>2500</v>
      </c>
      <c r="C8555" s="2">
        <v>6</v>
      </c>
      <c r="D8555" t="str">
        <f t="shared" si="133"/>
        <v>US-2016-110156_OFF-ST-10000642</v>
      </c>
      <c r="E8555" t="str">
        <f>IF(COUNTIF(data2!$D:$D,D8555)=0,"Missing in Data2","Present")</f>
        <v>Present</v>
      </c>
    </row>
    <row r="8556" spans="1:5" x14ac:dyDescent="0.25">
      <c r="A8556" s="2" t="s">
        <v>6252</v>
      </c>
      <c r="B8556" s="2" t="s">
        <v>716</v>
      </c>
      <c r="C8556" s="2">
        <v>5</v>
      </c>
      <c r="D8556" t="str">
        <f t="shared" si="133"/>
        <v>US-2016-110156_TEC-PH-10003589</v>
      </c>
      <c r="E8556" t="str">
        <f>IF(COUNTIF(data2!$D:$D,D8556)=0,"Missing in Data2","Present")</f>
        <v>Present</v>
      </c>
    </row>
    <row r="8557" spans="1:5" x14ac:dyDescent="0.25">
      <c r="A8557" s="2" t="s">
        <v>6253</v>
      </c>
      <c r="B8557" s="2" t="s">
        <v>5249</v>
      </c>
      <c r="C8557" s="2">
        <v>7</v>
      </c>
      <c r="D8557" t="str">
        <f t="shared" si="133"/>
        <v>US-2016-110170_FUR-BO-10000780</v>
      </c>
      <c r="E8557" t="str">
        <f>IF(COUNTIF(data2!$D:$D,D8557)=0,"Missing in Data2","Present")</f>
        <v>Present</v>
      </c>
    </row>
    <row r="8558" spans="1:5" x14ac:dyDescent="0.25">
      <c r="A8558" s="2" t="s">
        <v>6254</v>
      </c>
      <c r="B8558" s="2" t="s">
        <v>3062</v>
      </c>
      <c r="C8558" s="2">
        <v>5</v>
      </c>
      <c r="D8558" t="str">
        <f t="shared" si="133"/>
        <v>US-2016-111290_OFF-AR-10001761</v>
      </c>
      <c r="E8558" t="str">
        <f>IF(COUNTIF(data2!$D:$D,D8558)=0,"Missing in Data2","Present")</f>
        <v>Missing in Data2</v>
      </c>
    </row>
    <row r="8559" spans="1:5" x14ac:dyDescent="0.25">
      <c r="A8559" s="2" t="s">
        <v>6254</v>
      </c>
      <c r="B8559" s="2" t="s">
        <v>1644</v>
      </c>
      <c r="C8559" s="2">
        <v>5</v>
      </c>
      <c r="D8559" t="str">
        <f t="shared" si="133"/>
        <v>US-2016-111290_OFF-PA-10002262</v>
      </c>
      <c r="E8559" t="str">
        <f>IF(COUNTIF(data2!$D:$D,D8559)=0,"Missing in Data2","Present")</f>
        <v>Present</v>
      </c>
    </row>
    <row r="8560" spans="1:5" x14ac:dyDescent="0.25">
      <c r="A8560" s="2" t="s">
        <v>6254</v>
      </c>
      <c r="B8560" s="2" t="s">
        <v>342</v>
      </c>
      <c r="C8560" s="2">
        <v>5</v>
      </c>
      <c r="D8560" t="str">
        <f t="shared" si="133"/>
        <v>US-2016-111290_OFF-ST-10001932</v>
      </c>
      <c r="E8560" t="str">
        <f>IF(COUNTIF(data2!$D:$D,D8560)=0,"Missing in Data2","Present")</f>
        <v>Present</v>
      </c>
    </row>
    <row r="8561" spans="1:5" x14ac:dyDescent="0.25">
      <c r="A8561" s="2" t="s">
        <v>6254</v>
      </c>
      <c r="B8561" s="2" t="s">
        <v>2677</v>
      </c>
      <c r="C8561" s="2">
        <v>1</v>
      </c>
      <c r="D8561" t="str">
        <f t="shared" si="133"/>
        <v>US-2016-111290_TEC-AC-10004975</v>
      </c>
      <c r="E8561" t="str">
        <f>IF(COUNTIF(data2!$D:$D,D8561)=0,"Missing in Data2","Present")</f>
        <v>Missing in Data2</v>
      </c>
    </row>
    <row r="8562" spans="1:5" x14ac:dyDescent="0.25">
      <c r="A8562" s="2" t="s">
        <v>6255</v>
      </c>
      <c r="B8562" s="2" t="s">
        <v>2006</v>
      </c>
      <c r="C8562" s="2">
        <v>1</v>
      </c>
      <c r="D8562" t="str">
        <f t="shared" si="133"/>
        <v>US-2016-111528_OFF-BI-10002194</v>
      </c>
      <c r="E8562" t="str">
        <f>IF(COUNTIF(data2!$D:$D,D8562)=0,"Missing in Data2","Present")</f>
        <v>Present</v>
      </c>
    </row>
    <row r="8563" spans="1:5" x14ac:dyDescent="0.25">
      <c r="A8563" s="2" t="s">
        <v>6255</v>
      </c>
      <c r="B8563" s="2" t="s">
        <v>2019</v>
      </c>
      <c r="C8563" s="2">
        <v>4</v>
      </c>
      <c r="D8563" t="str">
        <f t="shared" si="133"/>
        <v>US-2016-111528_OFF-ST-10001526</v>
      </c>
      <c r="E8563" t="str">
        <f>IF(COUNTIF(data2!$D:$D,D8563)=0,"Missing in Data2","Present")</f>
        <v>Present</v>
      </c>
    </row>
    <row r="8564" spans="1:5" x14ac:dyDescent="0.25">
      <c r="A8564" s="2" t="s">
        <v>6256</v>
      </c>
      <c r="B8564" s="2" t="s">
        <v>160</v>
      </c>
      <c r="C8564" s="2">
        <v>4</v>
      </c>
      <c r="D8564" t="str">
        <f t="shared" si="133"/>
        <v>US-2016-111563_FUR-FU-10000723</v>
      </c>
      <c r="E8564" t="str">
        <f>IF(COUNTIF(data2!$D:$D,D8564)=0,"Missing in Data2","Present")</f>
        <v>Present</v>
      </c>
    </row>
    <row r="8565" spans="1:5" x14ac:dyDescent="0.25">
      <c r="A8565" s="2" t="s">
        <v>6256</v>
      </c>
      <c r="B8565" s="2" t="s">
        <v>3041</v>
      </c>
      <c r="C8565" s="2">
        <v>3</v>
      </c>
      <c r="D8565" t="str">
        <f t="shared" si="133"/>
        <v>US-2016-111563_FUR-FU-10002445</v>
      </c>
      <c r="E8565" t="str">
        <f>IF(COUNTIF(data2!$D:$D,D8565)=0,"Missing in Data2","Present")</f>
        <v>Present</v>
      </c>
    </row>
    <row r="8566" spans="1:5" x14ac:dyDescent="0.25">
      <c r="A8566" s="2" t="s">
        <v>6257</v>
      </c>
      <c r="B8566" s="2" t="s">
        <v>131</v>
      </c>
      <c r="C8566" s="2">
        <v>3</v>
      </c>
      <c r="D8566" t="str">
        <f t="shared" si="133"/>
        <v>US-2016-112396_TEC-AC-10003628</v>
      </c>
      <c r="E8566" t="str">
        <f>IF(COUNTIF(data2!$D:$D,D8566)=0,"Missing in Data2","Present")</f>
        <v>Present</v>
      </c>
    </row>
    <row r="8567" spans="1:5" x14ac:dyDescent="0.25">
      <c r="A8567" s="2" t="s">
        <v>6257</v>
      </c>
      <c r="B8567" s="2" t="s">
        <v>2025</v>
      </c>
      <c r="C8567" s="2">
        <v>2</v>
      </c>
      <c r="D8567" t="str">
        <f t="shared" si="133"/>
        <v>US-2016-112396_TEC-AC-10004761</v>
      </c>
      <c r="E8567" t="str">
        <f>IF(COUNTIF(data2!$D:$D,D8567)=0,"Missing in Data2","Present")</f>
        <v>Present</v>
      </c>
    </row>
    <row r="8568" spans="1:5" x14ac:dyDescent="0.25">
      <c r="A8568" s="2" t="s">
        <v>6258</v>
      </c>
      <c r="B8568" s="2" t="s">
        <v>617</v>
      </c>
      <c r="C8568" s="2">
        <v>3</v>
      </c>
      <c r="D8568" t="str">
        <f t="shared" si="133"/>
        <v>US-2016-112970_OFF-AR-10003829</v>
      </c>
      <c r="E8568" t="str">
        <f>IF(COUNTIF(data2!$D:$D,D8568)=0,"Missing in Data2","Present")</f>
        <v>Missing in Data2</v>
      </c>
    </row>
    <row r="8569" spans="1:5" x14ac:dyDescent="0.25">
      <c r="A8569" s="2" t="s">
        <v>6259</v>
      </c>
      <c r="B8569" s="2" t="s">
        <v>437</v>
      </c>
      <c r="C8569" s="2">
        <v>1</v>
      </c>
      <c r="D8569" t="str">
        <f t="shared" si="133"/>
        <v>US-2016-112977_FUR-BO-10003272</v>
      </c>
      <c r="E8569" t="str">
        <f>IF(COUNTIF(data2!$D:$D,D8569)=0,"Missing in Data2","Present")</f>
        <v>Present</v>
      </c>
    </row>
    <row r="8570" spans="1:5" x14ac:dyDescent="0.25">
      <c r="A8570" s="2" t="s">
        <v>6260</v>
      </c>
      <c r="B8570" s="2" t="s">
        <v>3648</v>
      </c>
      <c r="C8570" s="2">
        <v>3</v>
      </c>
      <c r="D8570" t="str">
        <f t="shared" si="133"/>
        <v>US-2016-113509_TEC-AC-10004855</v>
      </c>
      <c r="E8570" t="str">
        <f>IF(COUNTIF(data2!$D:$D,D8570)=0,"Missing in Data2","Present")</f>
        <v>Present</v>
      </c>
    </row>
    <row r="8571" spans="1:5" x14ac:dyDescent="0.25">
      <c r="A8571" s="2" t="s">
        <v>6261</v>
      </c>
      <c r="B8571" s="2" t="s">
        <v>1189</v>
      </c>
      <c r="C8571" s="2">
        <v>4</v>
      </c>
      <c r="D8571" t="str">
        <f t="shared" si="133"/>
        <v>US-2016-113649_OFF-AP-10002518</v>
      </c>
      <c r="E8571" t="str">
        <f>IF(COUNTIF(data2!$D:$D,D8571)=0,"Missing in Data2","Present")</f>
        <v>Present</v>
      </c>
    </row>
    <row r="8572" spans="1:5" x14ac:dyDescent="0.25">
      <c r="A8572" s="2" t="s">
        <v>6261</v>
      </c>
      <c r="B8572" s="2" t="s">
        <v>6125</v>
      </c>
      <c r="C8572" s="2">
        <v>9</v>
      </c>
      <c r="D8572" t="str">
        <f t="shared" si="133"/>
        <v>US-2016-113649_OFF-PA-10000130</v>
      </c>
      <c r="E8572" t="str">
        <f>IF(COUNTIF(data2!$D:$D,D8572)=0,"Missing in Data2","Present")</f>
        <v>Present</v>
      </c>
    </row>
    <row r="8573" spans="1:5" x14ac:dyDescent="0.25">
      <c r="A8573" s="2" t="s">
        <v>6261</v>
      </c>
      <c r="B8573" s="2" t="s">
        <v>2782</v>
      </c>
      <c r="C8573" s="2">
        <v>2</v>
      </c>
      <c r="D8573" t="str">
        <f t="shared" si="133"/>
        <v>US-2016-113649_TEC-PH-10002350</v>
      </c>
      <c r="E8573" t="str">
        <f>IF(COUNTIF(data2!$D:$D,D8573)=0,"Missing in Data2","Present")</f>
        <v>Present</v>
      </c>
    </row>
    <row r="8574" spans="1:5" x14ac:dyDescent="0.25">
      <c r="A8574" s="2" t="s">
        <v>6262</v>
      </c>
      <c r="B8574" s="2" t="s">
        <v>279</v>
      </c>
      <c r="C8574" s="2">
        <v>3</v>
      </c>
      <c r="D8574" t="str">
        <f t="shared" si="133"/>
        <v>US-2016-113677_OFF-LA-10001569</v>
      </c>
      <c r="E8574" t="str">
        <f>IF(COUNTIF(data2!$D:$D,D8574)=0,"Missing in Data2","Present")</f>
        <v>Present</v>
      </c>
    </row>
    <row r="8575" spans="1:5" x14ac:dyDescent="0.25">
      <c r="A8575" s="2" t="s">
        <v>6262</v>
      </c>
      <c r="B8575" s="2" t="s">
        <v>6263</v>
      </c>
      <c r="C8575" s="2">
        <v>4</v>
      </c>
      <c r="D8575" t="str">
        <f t="shared" si="133"/>
        <v>US-2016-113677_TEC-PH-10002114</v>
      </c>
      <c r="E8575" t="str">
        <f>IF(COUNTIF(data2!$D:$D,D8575)=0,"Missing in Data2","Present")</f>
        <v>Present</v>
      </c>
    </row>
    <row r="8576" spans="1:5" x14ac:dyDescent="0.25">
      <c r="A8576" s="2" t="s">
        <v>6264</v>
      </c>
      <c r="B8576" s="2" t="s">
        <v>6130</v>
      </c>
      <c r="C8576" s="2">
        <v>3</v>
      </c>
      <c r="D8576" t="str">
        <f t="shared" si="133"/>
        <v>US-2016-113985_FUR-FU-10003026</v>
      </c>
      <c r="E8576" t="str">
        <f>IF(COUNTIF(data2!$D:$D,D8576)=0,"Missing in Data2","Present")</f>
        <v>Present</v>
      </c>
    </row>
    <row r="8577" spans="1:5" x14ac:dyDescent="0.25">
      <c r="A8577" s="2" t="s">
        <v>6264</v>
      </c>
      <c r="B8577" s="2" t="s">
        <v>706</v>
      </c>
      <c r="C8577" s="2">
        <v>3</v>
      </c>
      <c r="D8577" t="str">
        <f t="shared" si="133"/>
        <v>US-2016-113985_OFF-AP-10001303</v>
      </c>
      <c r="E8577" t="str">
        <f>IF(COUNTIF(data2!$D:$D,D8577)=0,"Missing in Data2","Present")</f>
        <v>Present</v>
      </c>
    </row>
    <row r="8578" spans="1:5" x14ac:dyDescent="0.25">
      <c r="A8578" s="2" t="s">
        <v>6264</v>
      </c>
      <c r="B8578" s="2" t="s">
        <v>740</v>
      </c>
      <c r="C8578" s="2">
        <v>3</v>
      </c>
      <c r="D8578" t="str">
        <f t="shared" si="133"/>
        <v>US-2016-113985_OFF-BI-10000632</v>
      </c>
      <c r="E8578" t="str">
        <f>IF(COUNTIF(data2!$D:$D,D8578)=0,"Missing in Data2","Present")</f>
        <v>Present</v>
      </c>
    </row>
    <row r="8579" spans="1:5" x14ac:dyDescent="0.25">
      <c r="A8579" s="2" t="s">
        <v>6264</v>
      </c>
      <c r="B8579" s="2" t="s">
        <v>955</v>
      </c>
      <c r="C8579" s="2">
        <v>2</v>
      </c>
      <c r="D8579" t="str">
        <f t="shared" ref="D8579:D8642" si="134">A8579&amp;"_"&amp;B8579</f>
        <v>US-2016-113985_OFF-BI-10002353</v>
      </c>
      <c r="E8579" t="str">
        <f>IF(COUNTIF(data2!$D:$D,D8579)=0,"Missing in Data2","Present")</f>
        <v>Present</v>
      </c>
    </row>
    <row r="8580" spans="1:5" x14ac:dyDescent="0.25">
      <c r="A8580" s="2" t="s">
        <v>6265</v>
      </c>
      <c r="B8580" s="2" t="s">
        <v>1083</v>
      </c>
      <c r="C8580" s="2">
        <v>2</v>
      </c>
      <c r="D8580" t="str">
        <f t="shared" si="134"/>
        <v>US-2016-114013_FUR-CH-10004287</v>
      </c>
      <c r="E8580" t="str">
        <f>IF(COUNTIF(data2!$D:$D,D8580)=0,"Missing in Data2","Present")</f>
        <v>Present</v>
      </c>
    </row>
    <row r="8581" spans="1:5" x14ac:dyDescent="0.25">
      <c r="A8581" s="2" t="s">
        <v>6265</v>
      </c>
      <c r="B8581" s="2" t="s">
        <v>3214</v>
      </c>
      <c r="C8581" s="2">
        <v>1</v>
      </c>
      <c r="D8581" t="str">
        <f t="shared" si="134"/>
        <v>US-2016-114013_OFF-BI-10004318</v>
      </c>
      <c r="E8581" t="str">
        <f>IF(COUNTIF(data2!$D:$D,D8581)=0,"Missing in Data2","Present")</f>
        <v>Present</v>
      </c>
    </row>
    <row r="8582" spans="1:5" x14ac:dyDescent="0.25">
      <c r="A8582" s="2" t="s">
        <v>6265</v>
      </c>
      <c r="B8582" s="2" t="s">
        <v>2240</v>
      </c>
      <c r="C8582" s="2">
        <v>5</v>
      </c>
      <c r="D8582" t="str">
        <f t="shared" si="134"/>
        <v>US-2016-114013_OFF-PA-10004996</v>
      </c>
      <c r="E8582" t="str">
        <f>IF(COUNTIF(data2!$D:$D,D8582)=0,"Missing in Data2","Present")</f>
        <v>Present</v>
      </c>
    </row>
    <row r="8583" spans="1:5" x14ac:dyDescent="0.25">
      <c r="A8583" s="2" t="s">
        <v>6265</v>
      </c>
      <c r="B8583" s="2" t="s">
        <v>116</v>
      </c>
      <c r="C8583" s="2">
        <v>5</v>
      </c>
      <c r="D8583" t="str">
        <f t="shared" si="134"/>
        <v>US-2016-114013_OFF-ST-10002574</v>
      </c>
      <c r="E8583" t="str">
        <f>IF(COUNTIF(data2!$D:$D,D8583)=0,"Missing in Data2","Present")</f>
        <v>Present</v>
      </c>
    </row>
    <row r="8584" spans="1:5" x14ac:dyDescent="0.25">
      <c r="A8584" s="2" t="s">
        <v>6265</v>
      </c>
      <c r="B8584" s="2" t="s">
        <v>1011</v>
      </c>
      <c r="C8584" s="2">
        <v>2</v>
      </c>
      <c r="D8584" t="str">
        <f t="shared" si="134"/>
        <v>US-2016-114013_OFF-ST-10003641</v>
      </c>
      <c r="E8584" t="str">
        <f>IF(COUNTIF(data2!$D:$D,D8584)=0,"Missing in Data2","Present")</f>
        <v>Present</v>
      </c>
    </row>
    <row r="8585" spans="1:5" x14ac:dyDescent="0.25">
      <c r="A8585" s="2" t="s">
        <v>6265</v>
      </c>
      <c r="B8585" s="2" t="s">
        <v>19</v>
      </c>
      <c r="C8585" s="2">
        <v>5</v>
      </c>
      <c r="D8585" t="str">
        <f t="shared" si="134"/>
        <v>US-2016-114013_TEC-AC-10000474</v>
      </c>
      <c r="E8585" t="str">
        <f>IF(COUNTIF(data2!$D:$D,D8585)=0,"Missing in Data2","Present")</f>
        <v>Present</v>
      </c>
    </row>
    <row r="8586" spans="1:5" x14ac:dyDescent="0.25">
      <c r="A8586" s="2" t="s">
        <v>6265</v>
      </c>
      <c r="B8586" s="2" t="s">
        <v>3157</v>
      </c>
      <c r="C8586" s="2">
        <v>3</v>
      </c>
      <c r="D8586" t="str">
        <f t="shared" si="134"/>
        <v>US-2016-114013_TEC-MA-10001148</v>
      </c>
      <c r="E8586" t="str">
        <f>IF(COUNTIF(data2!$D:$D,D8586)=0,"Missing in Data2","Present")</f>
        <v>Present</v>
      </c>
    </row>
    <row r="8587" spans="1:5" x14ac:dyDescent="0.25">
      <c r="A8587" s="2" t="s">
        <v>6265</v>
      </c>
      <c r="B8587" s="2" t="s">
        <v>1997</v>
      </c>
      <c r="C8587" s="2">
        <v>3</v>
      </c>
      <c r="D8587" t="str">
        <f t="shared" si="134"/>
        <v>US-2016-114013_TEC-PH-10001494</v>
      </c>
      <c r="E8587" t="str">
        <f>IF(COUNTIF(data2!$D:$D,D8587)=0,"Missing in Data2","Present")</f>
        <v>Missing in Data2</v>
      </c>
    </row>
    <row r="8588" spans="1:5" x14ac:dyDescent="0.25">
      <c r="A8588" s="2" t="s">
        <v>6266</v>
      </c>
      <c r="B8588" s="2" t="s">
        <v>1944</v>
      </c>
      <c r="C8588" s="2">
        <v>3</v>
      </c>
      <c r="D8588" t="str">
        <f t="shared" si="134"/>
        <v>US-2016-114174_FUR-BO-10003450</v>
      </c>
      <c r="E8588" t="str">
        <f>IF(COUNTIF(data2!$D:$D,D8588)=0,"Missing in Data2","Present")</f>
        <v>Present</v>
      </c>
    </row>
    <row r="8589" spans="1:5" x14ac:dyDescent="0.25">
      <c r="A8589" s="2" t="s">
        <v>6266</v>
      </c>
      <c r="B8589" s="2" t="s">
        <v>870</v>
      </c>
      <c r="C8589" s="2">
        <v>4</v>
      </c>
      <c r="D8589" t="str">
        <f t="shared" si="134"/>
        <v>US-2016-114174_OFF-LA-10000248</v>
      </c>
      <c r="E8589" t="str">
        <f>IF(COUNTIF(data2!$D:$D,D8589)=0,"Missing in Data2","Present")</f>
        <v>Present</v>
      </c>
    </row>
    <row r="8590" spans="1:5" x14ac:dyDescent="0.25">
      <c r="A8590" s="2" t="s">
        <v>6267</v>
      </c>
      <c r="B8590" s="2" t="s">
        <v>381</v>
      </c>
      <c r="C8590" s="2">
        <v>4</v>
      </c>
      <c r="D8590" t="str">
        <f t="shared" si="134"/>
        <v>US-2016-114230_OFF-ST-10000876</v>
      </c>
      <c r="E8590" t="str">
        <f>IF(COUNTIF(data2!$D:$D,D8590)=0,"Missing in Data2","Present")</f>
        <v>Present</v>
      </c>
    </row>
    <row r="8591" spans="1:5" x14ac:dyDescent="0.25">
      <c r="A8591" s="2" t="s">
        <v>6268</v>
      </c>
      <c r="B8591" s="2" t="s">
        <v>246</v>
      </c>
      <c r="C8591" s="2">
        <v>4</v>
      </c>
      <c r="D8591" t="str">
        <f t="shared" si="134"/>
        <v>US-2016-114293_FUR-CH-10003833</v>
      </c>
      <c r="E8591" t="str">
        <f>IF(COUNTIF(data2!$D:$D,D8591)=0,"Missing in Data2","Present")</f>
        <v>Present</v>
      </c>
    </row>
    <row r="8592" spans="1:5" x14ac:dyDescent="0.25">
      <c r="A8592" s="2" t="s">
        <v>6269</v>
      </c>
      <c r="B8592" s="2" t="s">
        <v>344</v>
      </c>
      <c r="C8592" s="2">
        <v>2</v>
      </c>
      <c r="D8592" t="str">
        <f t="shared" si="134"/>
        <v>US-2016-114622_OFF-BI-10004716</v>
      </c>
      <c r="E8592" t="str">
        <f>IF(COUNTIF(data2!$D:$D,D8592)=0,"Missing in Data2","Present")</f>
        <v>Present</v>
      </c>
    </row>
    <row r="8593" spans="1:5" x14ac:dyDescent="0.25">
      <c r="A8593" s="2" t="s">
        <v>6270</v>
      </c>
      <c r="B8593" s="2" t="s">
        <v>1728</v>
      </c>
      <c r="C8593" s="2">
        <v>3</v>
      </c>
      <c r="D8593" t="str">
        <f t="shared" si="134"/>
        <v>US-2016-114776_OFF-PA-10004100</v>
      </c>
      <c r="E8593" t="str">
        <f>IF(COUNTIF(data2!$D:$D,D8593)=0,"Missing in Data2","Present")</f>
        <v>Present</v>
      </c>
    </row>
    <row r="8594" spans="1:5" x14ac:dyDescent="0.25">
      <c r="A8594" s="2" t="s">
        <v>6271</v>
      </c>
      <c r="B8594" s="2" t="s">
        <v>1478</v>
      </c>
      <c r="C8594" s="2">
        <v>3</v>
      </c>
      <c r="D8594" t="str">
        <f t="shared" si="134"/>
        <v>US-2016-114888_OFF-BI-10003355</v>
      </c>
      <c r="E8594" t="str">
        <f>IF(COUNTIF(data2!$D:$D,D8594)=0,"Missing in Data2","Present")</f>
        <v>Missing in Data2</v>
      </c>
    </row>
    <row r="8595" spans="1:5" x14ac:dyDescent="0.25">
      <c r="A8595" s="2" t="s">
        <v>6272</v>
      </c>
      <c r="B8595" s="2" t="s">
        <v>524</v>
      </c>
      <c r="C8595" s="2">
        <v>4</v>
      </c>
      <c r="D8595" t="str">
        <f t="shared" si="134"/>
        <v>US-2016-115441_FUR-CH-10004626</v>
      </c>
      <c r="E8595" t="str">
        <f>IF(COUNTIF(data2!$D:$D,D8595)=0,"Missing in Data2","Present")</f>
        <v>Present</v>
      </c>
    </row>
    <row r="8596" spans="1:5" x14ac:dyDescent="0.25">
      <c r="A8596" s="2" t="s">
        <v>6272</v>
      </c>
      <c r="B8596" s="2" t="s">
        <v>2240</v>
      </c>
      <c r="C8596" s="2">
        <v>2</v>
      </c>
      <c r="D8596" t="str">
        <f t="shared" si="134"/>
        <v>US-2016-115441_OFF-PA-10004996</v>
      </c>
      <c r="E8596" t="str">
        <f>IF(COUNTIF(data2!$D:$D,D8596)=0,"Missing in Data2","Present")</f>
        <v>Present</v>
      </c>
    </row>
    <row r="8597" spans="1:5" x14ac:dyDescent="0.25">
      <c r="A8597" s="2" t="s">
        <v>6272</v>
      </c>
      <c r="B8597" s="2" t="s">
        <v>1897</v>
      </c>
      <c r="C8597" s="2">
        <v>7</v>
      </c>
      <c r="D8597" t="str">
        <f t="shared" si="134"/>
        <v>US-2016-115441_TEC-AC-10003116</v>
      </c>
      <c r="E8597" t="str">
        <f>IF(COUNTIF(data2!$D:$D,D8597)=0,"Missing in Data2","Present")</f>
        <v>Missing in Data2</v>
      </c>
    </row>
    <row r="8598" spans="1:5" x14ac:dyDescent="0.25">
      <c r="A8598" s="2" t="s">
        <v>6272</v>
      </c>
      <c r="B8598" s="2" t="s">
        <v>2435</v>
      </c>
      <c r="C8598" s="2">
        <v>5</v>
      </c>
      <c r="D8598" t="str">
        <f t="shared" si="134"/>
        <v>US-2016-115441_TEC-PH-10002262</v>
      </c>
      <c r="E8598" t="str">
        <f>IF(COUNTIF(data2!$D:$D,D8598)=0,"Missing in Data2","Present")</f>
        <v>Present</v>
      </c>
    </row>
    <row r="8599" spans="1:5" x14ac:dyDescent="0.25">
      <c r="A8599" s="2" t="s">
        <v>6273</v>
      </c>
      <c r="B8599" s="2" t="s">
        <v>164</v>
      </c>
      <c r="C8599" s="2">
        <v>2</v>
      </c>
      <c r="D8599" t="str">
        <f t="shared" si="134"/>
        <v>US-2016-115455_FUR-FU-10004671</v>
      </c>
      <c r="E8599" t="str">
        <f>IF(COUNTIF(data2!$D:$D,D8599)=0,"Missing in Data2","Present")</f>
        <v>Present</v>
      </c>
    </row>
    <row r="8600" spans="1:5" x14ac:dyDescent="0.25">
      <c r="A8600" s="2" t="s">
        <v>6273</v>
      </c>
      <c r="B8600" s="2" t="s">
        <v>766</v>
      </c>
      <c r="C8600" s="2">
        <v>3</v>
      </c>
      <c r="D8600" t="str">
        <f t="shared" si="134"/>
        <v>US-2016-115455_FUR-TA-10003569</v>
      </c>
      <c r="E8600" t="str">
        <f>IF(COUNTIF(data2!$D:$D,D8600)=0,"Missing in Data2","Present")</f>
        <v>Present</v>
      </c>
    </row>
    <row r="8601" spans="1:5" x14ac:dyDescent="0.25">
      <c r="A8601" s="2" t="s">
        <v>6274</v>
      </c>
      <c r="B8601" s="2" t="s">
        <v>2061</v>
      </c>
      <c r="C8601" s="2">
        <v>3</v>
      </c>
      <c r="D8601" t="str">
        <f t="shared" si="134"/>
        <v>US-2016-115819_OFF-AR-10000823</v>
      </c>
      <c r="E8601" t="str">
        <f>IF(COUNTIF(data2!$D:$D,D8601)=0,"Missing in Data2","Present")</f>
        <v>Present</v>
      </c>
    </row>
    <row r="8602" spans="1:5" x14ac:dyDescent="0.25">
      <c r="A8602" s="2" t="s">
        <v>6274</v>
      </c>
      <c r="B8602" s="2" t="s">
        <v>1788</v>
      </c>
      <c r="C8602" s="2">
        <v>5</v>
      </c>
      <c r="D8602" t="str">
        <f t="shared" si="134"/>
        <v>US-2016-115819_OFF-AR-10004456</v>
      </c>
      <c r="E8602" t="str">
        <f>IF(COUNTIF(data2!$D:$D,D8602)=0,"Missing in Data2","Present")</f>
        <v>Present</v>
      </c>
    </row>
    <row r="8603" spans="1:5" x14ac:dyDescent="0.25">
      <c r="A8603" s="2" t="s">
        <v>6274</v>
      </c>
      <c r="B8603" s="2" t="s">
        <v>448</v>
      </c>
      <c r="C8603" s="2">
        <v>3</v>
      </c>
      <c r="D8603" t="str">
        <f t="shared" si="134"/>
        <v>US-2016-115819_OFF-BI-10000591</v>
      </c>
      <c r="E8603" t="str">
        <f>IF(COUNTIF(data2!$D:$D,D8603)=0,"Missing in Data2","Present")</f>
        <v>Present</v>
      </c>
    </row>
    <row r="8604" spans="1:5" x14ac:dyDescent="0.25">
      <c r="A8604" s="2" t="s">
        <v>6274</v>
      </c>
      <c r="B8604" s="2" t="s">
        <v>592</v>
      </c>
      <c r="C8604" s="2">
        <v>4</v>
      </c>
      <c r="D8604" t="str">
        <f t="shared" si="134"/>
        <v>US-2016-115819_OFF-PA-10002377</v>
      </c>
      <c r="E8604" t="str">
        <f>IF(COUNTIF(data2!$D:$D,D8604)=0,"Missing in Data2","Present")</f>
        <v>Present</v>
      </c>
    </row>
    <row r="8605" spans="1:5" x14ac:dyDescent="0.25">
      <c r="A8605" s="2" t="s">
        <v>6274</v>
      </c>
      <c r="B8605" s="2" t="s">
        <v>892</v>
      </c>
      <c r="C8605" s="2">
        <v>5</v>
      </c>
      <c r="D8605" t="str">
        <f t="shared" si="134"/>
        <v>US-2016-115819_TEC-PH-10004700</v>
      </c>
      <c r="E8605" t="str">
        <f>IF(COUNTIF(data2!$D:$D,D8605)=0,"Missing in Data2","Present")</f>
        <v>Present</v>
      </c>
    </row>
    <row r="8606" spans="1:5" x14ac:dyDescent="0.25">
      <c r="A8606" s="2" t="s">
        <v>6275</v>
      </c>
      <c r="B8606" s="2" t="s">
        <v>483</v>
      </c>
      <c r="C8606" s="2">
        <v>5</v>
      </c>
      <c r="D8606" t="str">
        <f t="shared" si="134"/>
        <v>US-2016-115952_OFF-BI-10004654</v>
      </c>
      <c r="E8606" t="str">
        <f>IF(COUNTIF(data2!$D:$D,D8606)=0,"Missing in Data2","Present")</f>
        <v>Present</v>
      </c>
    </row>
    <row r="8607" spans="1:5" x14ac:dyDescent="0.25">
      <c r="A8607" s="2" t="s">
        <v>6276</v>
      </c>
      <c r="B8607" s="2" t="s">
        <v>2645</v>
      </c>
      <c r="C8607" s="2">
        <v>2</v>
      </c>
      <c r="D8607" t="str">
        <f t="shared" si="134"/>
        <v>US-2016-116365_TEC-AC-10002217</v>
      </c>
      <c r="E8607" t="str">
        <f>IF(COUNTIF(data2!$D:$D,D8607)=0,"Missing in Data2","Present")</f>
        <v>Present</v>
      </c>
    </row>
    <row r="8608" spans="1:5" x14ac:dyDescent="0.25">
      <c r="A8608" s="2" t="s">
        <v>6276</v>
      </c>
      <c r="B8608" s="2" t="s">
        <v>737</v>
      </c>
      <c r="C8608" s="2">
        <v>5</v>
      </c>
      <c r="D8608" t="str">
        <f t="shared" si="134"/>
        <v>US-2016-116365_TEC-PH-10002890</v>
      </c>
      <c r="E8608" t="str">
        <f>IF(COUNTIF(data2!$D:$D,D8608)=0,"Missing in Data2","Present")</f>
        <v>Present</v>
      </c>
    </row>
    <row r="8609" spans="1:5" x14ac:dyDescent="0.25">
      <c r="A8609" s="2" t="s">
        <v>6277</v>
      </c>
      <c r="B8609" s="2" t="s">
        <v>3538</v>
      </c>
      <c r="C8609" s="2">
        <v>4</v>
      </c>
      <c r="D8609" t="str">
        <f t="shared" si="134"/>
        <v>US-2016-116400_FUR-FU-10003731</v>
      </c>
      <c r="E8609" t="str">
        <f>IF(COUNTIF(data2!$D:$D,D8609)=0,"Missing in Data2","Present")</f>
        <v>Present</v>
      </c>
    </row>
    <row r="8610" spans="1:5" x14ac:dyDescent="0.25">
      <c r="A8610" s="2" t="s">
        <v>6278</v>
      </c>
      <c r="B8610" s="2" t="s">
        <v>1325</v>
      </c>
      <c r="C8610" s="2">
        <v>2</v>
      </c>
      <c r="D8610" t="str">
        <f t="shared" si="134"/>
        <v>US-2016-116442_FUR-FU-10002364</v>
      </c>
      <c r="E8610" t="str">
        <f>IF(COUNTIF(data2!$D:$D,D8610)=0,"Missing in Data2","Present")</f>
        <v>Present</v>
      </c>
    </row>
    <row r="8611" spans="1:5" x14ac:dyDescent="0.25">
      <c r="A8611" s="2" t="s">
        <v>6279</v>
      </c>
      <c r="B8611" s="2" t="s">
        <v>572</v>
      </c>
      <c r="C8611" s="2">
        <v>7</v>
      </c>
      <c r="D8611" t="str">
        <f t="shared" si="134"/>
        <v>US-2016-116729_OFF-PA-10002005</v>
      </c>
      <c r="E8611" t="str">
        <f>IF(COUNTIF(data2!$D:$D,D8611)=0,"Missing in Data2","Present")</f>
        <v>Present</v>
      </c>
    </row>
    <row r="8612" spans="1:5" x14ac:dyDescent="0.25">
      <c r="A8612" s="2" t="s">
        <v>6279</v>
      </c>
      <c r="B8612" s="2" t="s">
        <v>161</v>
      </c>
      <c r="C8612" s="2">
        <v>7</v>
      </c>
      <c r="D8612" t="str">
        <f t="shared" si="134"/>
        <v>US-2016-116729_TEC-AC-10001465</v>
      </c>
      <c r="E8612" t="str">
        <f>IF(COUNTIF(data2!$D:$D,D8612)=0,"Missing in Data2","Present")</f>
        <v>Present</v>
      </c>
    </row>
    <row r="8613" spans="1:5" x14ac:dyDescent="0.25">
      <c r="A8613" s="2" t="s">
        <v>6279</v>
      </c>
      <c r="B8613" s="2" t="s">
        <v>2715</v>
      </c>
      <c r="C8613" s="2">
        <v>7</v>
      </c>
      <c r="D8613" t="str">
        <f t="shared" si="134"/>
        <v>US-2016-116729_TEC-PH-10002200</v>
      </c>
      <c r="E8613" t="str">
        <f>IF(COUNTIF(data2!$D:$D,D8613)=0,"Missing in Data2","Present")</f>
        <v>Present</v>
      </c>
    </row>
    <row r="8614" spans="1:5" x14ac:dyDescent="0.25">
      <c r="A8614" s="2" t="s">
        <v>6280</v>
      </c>
      <c r="B8614" s="2" t="s">
        <v>2310</v>
      </c>
      <c r="C8614" s="2">
        <v>3</v>
      </c>
      <c r="D8614" t="str">
        <f t="shared" si="134"/>
        <v>US-2016-117037_FUR-FU-10004973</v>
      </c>
      <c r="E8614" t="str">
        <f>IF(COUNTIF(data2!$D:$D,D8614)=0,"Missing in Data2","Present")</f>
        <v>Missing in Data2</v>
      </c>
    </row>
    <row r="8615" spans="1:5" x14ac:dyDescent="0.25">
      <c r="A8615" s="2" t="s">
        <v>6280</v>
      </c>
      <c r="B8615" s="2" t="s">
        <v>3711</v>
      </c>
      <c r="C8615" s="2">
        <v>1</v>
      </c>
      <c r="D8615" t="str">
        <f t="shared" si="134"/>
        <v>US-2016-117037_OFF-BI-10000279</v>
      </c>
      <c r="E8615" t="str">
        <f>IF(COUNTIF(data2!$D:$D,D8615)=0,"Missing in Data2","Present")</f>
        <v>Present</v>
      </c>
    </row>
    <row r="8616" spans="1:5" x14ac:dyDescent="0.25">
      <c r="A8616" s="2" t="s">
        <v>6280</v>
      </c>
      <c r="B8616" s="2" t="s">
        <v>821</v>
      </c>
      <c r="C8616" s="2">
        <v>3</v>
      </c>
      <c r="D8616" t="str">
        <f t="shared" si="134"/>
        <v>US-2016-117037_OFF-FA-10000936</v>
      </c>
      <c r="E8616" t="str">
        <f>IF(COUNTIF(data2!$D:$D,D8616)=0,"Missing in Data2","Present")</f>
        <v>Present</v>
      </c>
    </row>
    <row r="8617" spans="1:5" x14ac:dyDescent="0.25">
      <c r="A8617" s="2" t="s">
        <v>6280</v>
      </c>
      <c r="B8617" s="2" t="s">
        <v>3814</v>
      </c>
      <c r="C8617" s="2">
        <v>8</v>
      </c>
      <c r="D8617" t="str">
        <f t="shared" si="134"/>
        <v>US-2016-117037_OFF-PA-10000791</v>
      </c>
      <c r="E8617" t="str">
        <f>IF(COUNTIF(data2!$D:$D,D8617)=0,"Missing in Data2","Present")</f>
        <v>Present</v>
      </c>
    </row>
    <row r="8618" spans="1:5" x14ac:dyDescent="0.25">
      <c r="A8618" s="2" t="s">
        <v>6281</v>
      </c>
      <c r="B8618" s="2" t="s">
        <v>354</v>
      </c>
      <c r="C8618" s="2">
        <v>4</v>
      </c>
      <c r="D8618" t="str">
        <f t="shared" si="134"/>
        <v>US-2016-117387_OFF-BI-10004308</v>
      </c>
      <c r="E8618" t="str">
        <f>IF(COUNTIF(data2!$D:$D,D8618)=0,"Missing in Data2","Present")</f>
        <v>Present</v>
      </c>
    </row>
    <row r="8619" spans="1:5" x14ac:dyDescent="0.25">
      <c r="A8619" s="2" t="s">
        <v>6282</v>
      </c>
      <c r="B8619" s="2" t="s">
        <v>1517</v>
      </c>
      <c r="C8619" s="2">
        <v>5</v>
      </c>
      <c r="D8619" t="str">
        <f t="shared" si="134"/>
        <v>US-2016-117541_OFF-PA-10001609</v>
      </c>
      <c r="E8619" t="str">
        <f>IF(COUNTIF(data2!$D:$D,D8619)=0,"Missing in Data2","Present")</f>
        <v>Present</v>
      </c>
    </row>
    <row r="8620" spans="1:5" x14ac:dyDescent="0.25">
      <c r="A8620" s="2" t="s">
        <v>6283</v>
      </c>
      <c r="B8620" s="2" t="s">
        <v>720</v>
      </c>
      <c r="C8620" s="2">
        <v>4</v>
      </c>
      <c r="D8620" t="str">
        <f t="shared" si="134"/>
        <v>US-2016-117793_OFF-LA-10002945</v>
      </c>
      <c r="E8620" t="str">
        <f>IF(COUNTIF(data2!$D:$D,D8620)=0,"Missing in Data2","Present")</f>
        <v>Present</v>
      </c>
    </row>
    <row r="8621" spans="1:5" x14ac:dyDescent="0.25">
      <c r="A8621" s="2" t="s">
        <v>6283</v>
      </c>
      <c r="B8621" s="2" t="s">
        <v>5473</v>
      </c>
      <c r="C8621" s="2">
        <v>3</v>
      </c>
      <c r="D8621" t="str">
        <f t="shared" si="134"/>
        <v>US-2016-117793_OFF-LA-10003537</v>
      </c>
      <c r="E8621" t="str">
        <f>IF(COUNTIF(data2!$D:$D,D8621)=0,"Missing in Data2","Present")</f>
        <v>Present</v>
      </c>
    </row>
    <row r="8622" spans="1:5" x14ac:dyDescent="0.25">
      <c r="A8622" s="2" t="s">
        <v>6283</v>
      </c>
      <c r="B8622" s="2" t="s">
        <v>1809</v>
      </c>
      <c r="C8622" s="2">
        <v>1</v>
      </c>
      <c r="D8622" t="str">
        <f t="shared" si="134"/>
        <v>US-2016-117793_OFF-ST-10002406</v>
      </c>
      <c r="E8622" t="str">
        <f>IF(COUNTIF(data2!$D:$D,D8622)=0,"Missing in Data2","Present")</f>
        <v>Present</v>
      </c>
    </row>
    <row r="8623" spans="1:5" x14ac:dyDescent="0.25">
      <c r="A8623" s="2" t="s">
        <v>6283</v>
      </c>
      <c r="B8623" s="2" t="s">
        <v>1753</v>
      </c>
      <c r="C8623" s="2">
        <v>2</v>
      </c>
      <c r="D8623" t="str">
        <f t="shared" si="134"/>
        <v>US-2016-117793_TEC-AC-10003433</v>
      </c>
      <c r="E8623" t="str">
        <f>IF(COUNTIF(data2!$D:$D,D8623)=0,"Missing in Data2","Present")</f>
        <v>Present</v>
      </c>
    </row>
    <row r="8624" spans="1:5" x14ac:dyDescent="0.25">
      <c r="A8624" s="2" t="s">
        <v>6284</v>
      </c>
      <c r="B8624" s="2" t="s">
        <v>1707</v>
      </c>
      <c r="C8624" s="2">
        <v>1</v>
      </c>
      <c r="D8624" t="str">
        <f t="shared" si="134"/>
        <v>US-2016-118780_OFF-PA-10000575</v>
      </c>
      <c r="E8624" t="str">
        <f>IF(COUNTIF(data2!$D:$D,D8624)=0,"Missing in Data2","Present")</f>
        <v>Present</v>
      </c>
    </row>
    <row r="8625" spans="1:5" x14ac:dyDescent="0.25">
      <c r="A8625" s="2" t="s">
        <v>6284</v>
      </c>
      <c r="B8625" s="2" t="s">
        <v>4144</v>
      </c>
      <c r="C8625" s="2">
        <v>2</v>
      </c>
      <c r="D8625" t="str">
        <f t="shared" si="134"/>
        <v>US-2016-118780_OFF-ST-10000352</v>
      </c>
      <c r="E8625" t="str">
        <f>IF(COUNTIF(data2!$D:$D,D8625)=0,"Missing in Data2","Present")</f>
        <v>Present</v>
      </c>
    </row>
    <row r="8626" spans="1:5" x14ac:dyDescent="0.25">
      <c r="A8626" s="2" t="s">
        <v>6285</v>
      </c>
      <c r="B8626" s="2" t="s">
        <v>1490</v>
      </c>
      <c r="C8626" s="2">
        <v>3</v>
      </c>
      <c r="D8626" t="str">
        <f t="shared" si="134"/>
        <v>US-2016-119046_OFF-BI-10000138</v>
      </c>
      <c r="E8626" t="str">
        <f>IF(COUNTIF(data2!$D:$D,D8626)=0,"Missing in Data2","Present")</f>
        <v>Present</v>
      </c>
    </row>
    <row r="8627" spans="1:5" x14ac:dyDescent="0.25">
      <c r="A8627" s="2" t="s">
        <v>6285</v>
      </c>
      <c r="B8627" s="2" t="s">
        <v>774</v>
      </c>
      <c r="C8627" s="2">
        <v>12</v>
      </c>
      <c r="D8627" t="str">
        <f t="shared" si="134"/>
        <v>US-2016-119046_OFF-BI-10001078</v>
      </c>
      <c r="E8627" t="str">
        <f>IF(COUNTIF(data2!$D:$D,D8627)=0,"Missing in Data2","Present")</f>
        <v>Present</v>
      </c>
    </row>
    <row r="8628" spans="1:5" x14ac:dyDescent="0.25">
      <c r="A8628" s="2" t="s">
        <v>6285</v>
      </c>
      <c r="B8628" s="2" t="s">
        <v>503</v>
      </c>
      <c r="C8628" s="2">
        <v>3</v>
      </c>
      <c r="D8628" t="str">
        <f t="shared" si="134"/>
        <v>US-2016-119046_OFF-PA-10000246</v>
      </c>
      <c r="E8628" t="str">
        <f>IF(COUNTIF(data2!$D:$D,D8628)=0,"Missing in Data2","Present")</f>
        <v>Present</v>
      </c>
    </row>
    <row r="8629" spans="1:5" x14ac:dyDescent="0.25">
      <c r="A8629" s="2" t="s">
        <v>6286</v>
      </c>
      <c r="B8629" s="2" t="s">
        <v>4225</v>
      </c>
      <c r="C8629" s="2">
        <v>2</v>
      </c>
      <c r="D8629" t="str">
        <f t="shared" si="134"/>
        <v>US-2016-119270_OFF-PA-10004022</v>
      </c>
      <c r="E8629" t="str">
        <f>IF(COUNTIF(data2!$D:$D,D8629)=0,"Missing in Data2","Present")</f>
        <v>Present</v>
      </c>
    </row>
    <row r="8630" spans="1:5" x14ac:dyDescent="0.25">
      <c r="A8630" s="2" t="s">
        <v>6287</v>
      </c>
      <c r="B8630" s="2" t="s">
        <v>2159</v>
      </c>
      <c r="C8630" s="2">
        <v>2</v>
      </c>
      <c r="D8630" t="str">
        <f t="shared" si="134"/>
        <v>US-2016-119298_TEC-PH-10002564</v>
      </c>
      <c r="E8630" t="str">
        <f>IF(COUNTIF(data2!$D:$D,D8630)=0,"Missing in Data2","Present")</f>
        <v>Missing in Data2</v>
      </c>
    </row>
    <row r="8631" spans="1:5" x14ac:dyDescent="0.25">
      <c r="A8631" s="2" t="s">
        <v>6288</v>
      </c>
      <c r="B8631" s="2" t="s">
        <v>2310</v>
      </c>
      <c r="C8631" s="2">
        <v>3</v>
      </c>
      <c r="D8631" t="str">
        <f t="shared" si="134"/>
        <v>US-2016-120460_FUR-FU-10004973</v>
      </c>
      <c r="E8631" t="str">
        <f>IF(COUNTIF(data2!$D:$D,D8631)=0,"Missing in Data2","Present")</f>
        <v>Present</v>
      </c>
    </row>
    <row r="8632" spans="1:5" x14ac:dyDescent="0.25">
      <c r="A8632" s="2" t="s">
        <v>6289</v>
      </c>
      <c r="B8632" s="2" t="s">
        <v>1837</v>
      </c>
      <c r="C8632" s="2">
        <v>3</v>
      </c>
      <c r="D8632" t="str">
        <f t="shared" si="134"/>
        <v>US-2016-120929_FUR-TA-10001857</v>
      </c>
      <c r="E8632" t="str">
        <f>IF(COUNTIF(data2!$D:$D,D8632)=0,"Missing in Data2","Present")</f>
        <v>Present</v>
      </c>
    </row>
    <row r="8633" spans="1:5" x14ac:dyDescent="0.25">
      <c r="A8633" s="2" t="s">
        <v>6290</v>
      </c>
      <c r="B8633" s="2" t="s">
        <v>1326</v>
      </c>
      <c r="C8633" s="2">
        <v>3</v>
      </c>
      <c r="D8633" t="str">
        <f t="shared" si="134"/>
        <v>US-2016-121013_FUR-TA-10003238</v>
      </c>
      <c r="E8633" t="str">
        <f>IF(COUNTIF(data2!$D:$D,D8633)=0,"Missing in Data2","Present")</f>
        <v>Present</v>
      </c>
    </row>
    <row r="8634" spans="1:5" x14ac:dyDescent="0.25">
      <c r="A8634" s="2" t="s">
        <v>6290</v>
      </c>
      <c r="B8634" s="2" t="s">
        <v>3076</v>
      </c>
      <c r="C8634" s="2">
        <v>2</v>
      </c>
      <c r="D8634" t="str">
        <f t="shared" si="134"/>
        <v>US-2016-121013_OFF-LA-10004545</v>
      </c>
      <c r="E8634" t="str">
        <f>IF(COUNTIF(data2!$D:$D,D8634)=0,"Missing in Data2","Present")</f>
        <v>Present</v>
      </c>
    </row>
    <row r="8635" spans="1:5" x14ac:dyDescent="0.25">
      <c r="A8635" s="2" t="s">
        <v>6291</v>
      </c>
      <c r="B8635" s="2" t="s">
        <v>507</v>
      </c>
      <c r="C8635" s="2">
        <v>1</v>
      </c>
      <c r="D8635" t="str">
        <f t="shared" si="134"/>
        <v>US-2016-122182_TEC-AC-10002800</v>
      </c>
      <c r="E8635" t="str">
        <f>IF(COUNTIF(data2!$D:$D,D8635)=0,"Missing in Data2","Present")</f>
        <v>Present</v>
      </c>
    </row>
    <row r="8636" spans="1:5" x14ac:dyDescent="0.25">
      <c r="A8636" s="2" t="s">
        <v>6292</v>
      </c>
      <c r="B8636" s="2" t="s">
        <v>1439</v>
      </c>
      <c r="C8636" s="2">
        <v>3</v>
      </c>
      <c r="D8636" t="str">
        <f t="shared" si="134"/>
        <v>US-2016-122245_FUR-TA-10002356</v>
      </c>
      <c r="E8636" t="str">
        <f>IF(COUNTIF(data2!$D:$D,D8636)=0,"Missing in Data2","Present")</f>
        <v>Present</v>
      </c>
    </row>
    <row r="8637" spans="1:5" x14ac:dyDescent="0.25">
      <c r="A8637" s="2" t="s">
        <v>6293</v>
      </c>
      <c r="B8637" s="2" t="s">
        <v>1183</v>
      </c>
      <c r="C8637" s="2">
        <v>3</v>
      </c>
      <c r="D8637" t="str">
        <f t="shared" si="134"/>
        <v>US-2016-123470_OFF-AP-10003287</v>
      </c>
      <c r="E8637" t="str">
        <f>IF(COUNTIF(data2!$D:$D,D8637)=0,"Missing in Data2","Present")</f>
        <v>Present</v>
      </c>
    </row>
    <row r="8638" spans="1:5" x14ac:dyDescent="0.25">
      <c r="A8638" s="2" t="s">
        <v>6293</v>
      </c>
      <c r="B8638" s="2" t="s">
        <v>1223</v>
      </c>
      <c r="C8638" s="2">
        <v>3</v>
      </c>
      <c r="D8638" t="str">
        <f t="shared" si="134"/>
        <v>US-2016-123470_OFF-BI-10001989</v>
      </c>
      <c r="E8638" t="str">
        <f>IF(COUNTIF(data2!$D:$D,D8638)=0,"Missing in Data2","Present")</f>
        <v>Present</v>
      </c>
    </row>
    <row r="8639" spans="1:5" x14ac:dyDescent="0.25">
      <c r="A8639" s="2" t="s">
        <v>6294</v>
      </c>
      <c r="B8639" s="2" t="s">
        <v>2910</v>
      </c>
      <c r="C8639" s="2">
        <v>1</v>
      </c>
      <c r="D8639" t="str">
        <f t="shared" si="134"/>
        <v>US-2016-123610_OFF-AP-10002222</v>
      </c>
      <c r="E8639" t="str">
        <f>IF(COUNTIF(data2!$D:$D,D8639)=0,"Missing in Data2","Present")</f>
        <v>Present</v>
      </c>
    </row>
    <row r="8640" spans="1:5" x14ac:dyDescent="0.25">
      <c r="A8640" s="2" t="s">
        <v>6294</v>
      </c>
      <c r="B8640" s="2" t="s">
        <v>4438</v>
      </c>
      <c r="C8640" s="2">
        <v>6</v>
      </c>
      <c r="D8640" t="str">
        <f t="shared" si="134"/>
        <v>US-2016-123610_TEC-AC-10004518</v>
      </c>
      <c r="E8640" t="str">
        <f>IF(COUNTIF(data2!$D:$D,D8640)=0,"Missing in Data2","Present")</f>
        <v>Present</v>
      </c>
    </row>
    <row r="8641" spans="1:5" x14ac:dyDescent="0.25">
      <c r="A8641" s="2" t="s">
        <v>6295</v>
      </c>
      <c r="B8641" s="2" t="s">
        <v>3778</v>
      </c>
      <c r="C8641" s="2">
        <v>2</v>
      </c>
      <c r="D8641" t="str">
        <f t="shared" si="134"/>
        <v>US-2016-123750_OFF-BI-10004584</v>
      </c>
      <c r="E8641" t="str">
        <f>IF(COUNTIF(data2!$D:$D,D8641)=0,"Missing in Data2","Present")</f>
        <v>Present</v>
      </c>
    </row>
    <row r="8642" spans="1:5" x14ac:dyDescent="0.25">
      <c r="A8642" s="2" t="s">
        <v>6295</v>
      </c>
      <c r="B8642" s="2" t="s">
        <v>462</v>
      </c>
      <c r="C8642" s="2">
        <v>2</v>
      </c>
      <c r="D8642" t="str">
        <f t="shared" si="134"/>
        <v>US-2016-123750_OFF-ST-10000617</v>
      </c>
      <c r="E8642" t="str">
        <f>IF(COUNTIF(data2!$D:$D,D8642)=0,"Missing in Data2","Present")</f>
        <v>Present</v>
      </c>
    </row>
    <row r="8643" spans="1:5" x14ac:dyDescent="0.25">
      <c r="A8643" s="2" t="s">
        <v>6295</v>
      </c>
      <c r="B8643" s="2" t="s">
        <v>1747</v>
      </c>
      <c r="C8643" s="2">
        <v>12</v>
      </c>
      <c r="D8643" t="str">
        <f t="shared" ref="D8643:D8706" si="135">A8643&amp;"_"&amp;B8643</f>
        <v>US-2016-123750_TEC-AC-10004659</v>
      </c>
      <c r="E8643" t="str">
        <f>IF(COUNTIF(data2!$D:$D,D8643)=0,"Missing in Data2","Present")</f>
        <v>Present</v>
      </c>
    </row>
    <row r="8644" spans="1:5" x14ac:dyDescent="0.25">
      <c r="A8644" s="2" t="s">
        <v>6296</v>
      </c>
      <c r="B8644" s="2" t="s">
        <v>3894</v>
      </c>
      <c r="C8644" s="2">
        <v>11</v>
      </c>
      <c r="D8644" t="str">
        <f t="shared" si="135"/>
        <v>US-2016-124163_FUR-FU-10000755</v>
      </c>
      <c r="E8644" t="str">
        <f>IF(COUNTIF(data2!$D:$D,D8644)=0,"Missing in Data2","Present")</f>
        <v>Present</v>
      </c>
    </row>
    <row r="8645" spans="1:5" x14ac:dyDescent="0.25">
      <c r="A8645" s="2" t="s">
        <v>6296</v>
      </c>
      <c r="B8645" s="2" t="s">
        <v>2616</v>
      </c>
      <c r="C8645" s="2">
        <v>1</v>
      </c>
      <c r="D8645" t="str">
        <f t="shared" si="135"/>
        <v>US-2016-124163_OFF-AR-10000817</v>
      </c>
      <c r="E8645" t="str">
        <f>IF(COUNTIF(data2!$D:$D,D8645)=0,"Missing in Data2","Present")</f>
        <v>Present</v>
      </c>
    </row>
    <row r="8646" spans="1:5" x14ac:dyDescent="0.25">
      <c r="A8646" s="2" t="s">
        <v>6296</v>
      </c>
      <c r="B8646" s="2" t="s">
        <v>1428</v>
      </c>
      <c r="C8646" s="2">
        <v>5</v>
      </c>
      <c r="D8646" t="str">
        <f t="shared" si="135"/>
        <v>US-2016-124163_TEC-AC-10001908</v>
      </c>
      <c r="E8646" t="str">
        <f>IF(COUNTIF(data2!$D:$D,D8646)=0,"Missing in Data2","Present")</f>
        <v>Present</v>
      </c>
    </row>
    <row r="8647" spans="1:5" x14ac:dyDescent="0.25">
      <c r="A8647" s="2" t="s">
        <v>6297</v>
      </c>
      <c r="B8647" s="2" t="s">
        <v>2884</v>
      </c>
      <c r="C8647" s="2">
        <v>4</v>
      </c>
      <c r="D8647" t="str">
        <f t="shared" si="135"/>
        <v>US-2016-125402_FUR-CH-10000665</v>
      </c>
      <c r="E8647" t="str">
        <f>IF(COUNTIF(data2!$D:$D,D8647)=0,"Missing in Data2","Present")</f>
        <v>Present</v>
      </c>
    </row>
    <row r="8648" spans="1:5" x14ac:dyDescent="0.25">
      <c r="A8648" s="2" t="s">
        <v>6297</v>
      </c>
      <c r="B8648" s="2" t="s">
        <v>3307</v>
      </c>
      <c r="C8648" s="2">
        <v>2</v>
      </c>
      <c r="D8648" t="str">
        <f t="shared" si="135"/>
        <v>US-2016-125402_OFF-AR-10002255</v>
      </c>
      <c r="E8648" t="str">
        <f>IF(COUNTIF(data2!$D:$D,D8648)=0,"Missing in Data2","Present")</f>
        <v>Present</v>
      </c>
    </row>
    <row r="8649" spans="1:5" x14ac:dyDescent="0.25">
      <c r="A8649" s="2" t="s">
        <v>6297</v>
      </c>
      <c r="B8649" s="2" t="s">
        <v>97</v>
      </c>
      <c r="C8649" s="2">
        <v>1</v>
      </c>
      <c r="D8649" t="str">
        <f t="shared" si="135"/>
        <v>US-2016-125402_OFF-LA-10001771</v>
      </c>
      <c r="E8649" t="str">
        <f>IF(COUNTIF(data2!$D:$D,D8649)=0,"Missing in Data2","Present")</f>
        <v>Present</v>
      </c>
    </row>
    <row r="8650" spans="1:5" x14ac:dyDescent="0.25">
      <c r="A8650" s="2" t="s">
        <v>6297</v>
      </c>
      <c r="B8650" s="2" t="s">
        <v>86</v>
      </c>
      <c r="C8650" s="2">
        <v>2</v>
      </c>
      <c r="D8650" t="str">
        <f t="shared" si="135"/>
        <v>US-2016-125402_OFF-LA-10003923</v>
      </c>
      <c r="E8650" t="str">
        <f>IF(COUNTIF(data2!$D:$D,D8650)=0,"Missing in Data2","Present")</f>
        <v>Present</v>
      </c>
    </row>
    <row r="8651" spans="1:5" x14ac:dyDescent="0.25">
      <c r="A8651" s="2" t="s">
        <v>6297</v>
      </c>
      <c r="B8651" s="2" t="s">
        <v>1349</v>
      </c>
      <c r="C8651" s="2">
        <v>5</v>
      </c>
      <c r="D8651" t="str">
        <f t="shared" si="135"/>
        <v>US-2016-125402_OFF-PA-10000141</v>
      </c>
      <c r="E8651" t="str">
        <f>IF(COUNTIF(data2!$D:$D,D8651)=0,"Missing in Data2","Present")</f>
        <v>Present</v>
      </c>
    </row>
    <row r="8652" spans="1:5" x14ac:dyDescent="0.25">
      <c r="A8652" s="2" t="s">
        <v>6297</v>
      </c>
      <c r="B8652" s="2" t="s">
        <v>2030</v>
      </c>
      <c r="C8652" s="2">
        <v>3</v>
      </c>
      <c r="D8652" t="str">
        <f t="shared" si="135"/>
        <v>US-2016-125402_TEC-CO-10001943</v>
      </c>
      <c r="E8652" t="str">
        <f>IF(COUNTIF(data2!$D:$D,D8652)=0,"Missing in Data2","Present")</f>
        <v>Missing in Data2</v>
      </c>
    </row>
    <row r="8653" spans="1:5" x14ac:dyDescent="0.25">
      <c r="A8653" s="2" t="s">
        <v>6297</v>
      </c>
      <c r="B8653" s="2" t="s">
        <v>2952</v>
      </c>
      <c r="C8653" s="2">
        <v>8</v>
      </c>
      <c r="D8653" t="str">
        <f t="shared" si="135"/>
        <v>US-2016-125402_TEC-PH-10003356</v>
      </c>
      <c r="E8653" t="str">
        <f>IF(COUNTIF(data2!$D:$D,D8653)=0,"Missing in Data2","Present")</f>
        <v>Present</v>
      </c>
    </row>
    <row r="8654" spans="1:5" x14ac:dyDescent="0.25">
      <c r="A8654" s="2" t="s">
        <v>6298</v>
      </c>
      <c r="B8654" s="2" t="s">
        <v>370</v>
      </c>
      <c r="C8654" s="2">
        <v>2</v>
      </c>
      <c r="D8654" t="str">
        <f t="shared" si="135"/>
        <v>US-2016-125969_FUR-CH-10001146</v>
      </c>
      <c r="E8654" t="str">
        <f>IF(COUNTIF(data2!$D:$D,D8654)=0,"Missing in Data2","Present")</f>
        <v>Present</v>
      </c>
    </row>
    <row r="8655" spans="1:5" x14ac:dyDescent="0.25">
      <c r="A8655" s="2" t="s">
        <v>6298</v>
      </c>
      <c r="B8655" s="2" t="s">
        <v>57</v>
      </c>
      <c r="C8655" s="2">
        <v>3</v>
      </c>
      <c r="D8655" t="str">
        <f t="shared" si="135"/>
        <v>US-2016-125969_FUR-FU-10003773</v>
      </c>
      <c r="E8655" t="str">
        <f>IF(COUNTIF(data2!$D:$D,D8655)=0,"Missing in Data2","Present")</f>
        <v>Present</v>
      </c>
    </row>
    <row r="8656" spans="1:5" x14ac:dyDescent="0.25">
      <c r="A8656" s="2" t="s">
        <v>6299</v>
      </c>
      <c r="B8656" s="2" t="s">
        <v>391</v>
      </c>
      <c r="C8656" s="2">
        <v>1</v>
      </c>
      <c r="D8656" t="str">
        <f t="shared" si="135"/>
        <v>US-2016-126431_OFF-LA-10001474</v>
      </c>
      <c r="E8656" t="str">
        <f>IF(COUNTIF(data2!$D:$D,D8656)=0,"Missing in Data2","Present")</f>
        <v>Present</v>
      </c>
    </row>
    <row r="8657" spans="1:5" x14ac:dyDescent="0.25">
      <c r="A8657" s="2" t="s">
        <v>6299</v>
      </c>
      <c r="B8657" s="2" t="s">
        <v>2363</v>
      </c>
      <c r="C8657" s="2">
        <v>9</v>
      </c>
      <c r="D8657" t="str">
        <f t="shared" si="135"/>
        <v>US-2016-126431_OFF-PA-10001950</v>
      </c>
      <c r="E8657" t="str">
        <f>IF(COUNTIF(data2!$D:$D,D8657)=0,"Missing in Data2","Present")</f>
        <v>Present</v>
      </c>
    </row>
    <row r="8658" spans="1:5" x14ac:dyDescent="0.25">
      <c r="A8658" s="2" t="s">
        <v>6299</v>
      </c>
      <c r="B8658" s="2" t="s">
        <v>872</v>
      </c>
      <c r="C8658" s="2">
        <v>3</v>
      </c>
      <c r="D8658" t="str">
        <f t="shared" si="135"/>
        <v>US-2016-126431_TEC-AC-10001635</v>
      </c>
      <c r="E8658" t="str">
        <f>IF(COUNTIF(data2!$D:$D,D8658)=0,"Missing in Data2","Present")</f>
        <v>Present</v>
      </c>
    </row>
    <row r="8659" spans="1:5" x14ac:dyDescent="0.25">
      <c r="A8659" s="2" t="s">
        <v>6300</v>
      </c>
      <c r="B8659" s="2" t="s">
        <v>766</v>
      </c>
      <c r="C8659" s="2">
        <v>9</v>
      </c>
      <c r="D8659" t="str">
        <f t="shared" si="135"/>
        <v>US-2016-126452_FUR-TA-10003569</v>
      </c>
      <c r="E8659" t="str">
        <f>IF(COUNTIF(data2!$D:$D,D8659)=0,"Missing in Data2","Present")</f>
        <v>Present</v>
      </c>
    </row>
    <row r="8660" spans="1:5" x14ac:dyDescent="0.25">
      <c r="A8660" s="2" t="s">
        <v>6300</v>
      </c>
      <c r="B8660" s="2" t="s">
        <v>3533</v>
      </c>
      <c r="C8660" s="2">
        <v>2</v>
      </c>
      <c r="D8660" t="str">
        <f t="shared" si="135"/>
        <v>US-2016-126452_OFF-BI-10004465</v>
      </c>
      <c r="E8660" t="str">
        <f>IF(COUNTIF(data2!$D:$D,D8660)=0,"Missing in Data2","Present")</f>
        <v>Present</v>
      </c>
    </row>
    <row r="8661" spans="1:5" x14ac:dyDescent="0.25">
      <c r="A8661" s="2" t="s">
        <v>6300</v>
      </c>
      <c r="B8661" s="2" t="s">
        <v>3051</v>
      </c>
      <c r="C8661" s="2">
        <v>9</v>
      </c>
      <c r="D8661" t="str">
        <f t="shared" si="135"/>
        <v>US-2016-126452_OFF-PA-10002606</v>
      </c>
      <c r="E8661" t="str">
        <f>IF(COUNTIF(data2!$D:$D,D8661)=0,"Missing in Data2","Present")</f>
        <v>Present</v>
      </c>
    </row>
    <row r="8662" spans="1:5" x14ac:dyDescent="0.25">
      <c r="A8662" s="2" t="s">
        <v>6300</v>
      </c>
      <c r="B8662" s="2" t="s">
        <v>2011</v>
      </c>
      <c r="C8662" s="2">
        <v>2</v>
      </c>
      <c r="D8662" t="str">
        <f t="shared" si="135"/>
        <v>US-2016-126452_OFF-PA-10003848</v>
      </c>
      <c r="E8662" t="str">
        <f>IF(COUNTIF(data2!$D:$D,D8662)=0,"Missing in Data2","Present")</f>
        <v>Present</v>
      </c>
    </row>
    <row r="8663" spans="1:5" x14ac:dyDescent="0.25">
      <c r="A8663" s="2" t="s">
        <v>6300</v>
      </c>
      <c r="B8663" s="2" t="s">
        <v>265</v>
      </c>
      <c r="C8663" s="2">
        <v>3</v>
      </c>
      <c r="D8663" t="str">
        <f t="shared" si="135"/>
        <v>US-2016-126452_TEC-AC-10000844</v>
      </c>
      <c r="E8663" t="str">
        <f>IF(COUNTIF(data2!$D:$D,D8663)=0,"Missing in Data2","Present")</f>
        <v>Present</v>
      </c>
    </row>
    <row r="8664" spans="1:5" x14ac:dyDescent="0.25">
      <c r="A8664" s="2" t="s">
        <v>6300</v>
      </c>
      <c r="B8664" s="2" t="s">
        <v>1895</v>
      </c>
      <c r="C8664" s="2">
        <v>2</v>
      </c>
      <c r="D8664" t="str">
        <f t="shared" si="135"/>
        <v>US-2016-126452_TEC-PH-10003187</v>
      </c>
      <c r="E8664" t="str">
        <f>IF(COUNTIF(data2!$D:$D,D8664)=0,"Missing in Data2","Present")</f>
        <v>Present</v>
      </c>
    </row>
    <row r="8665" spans="1:5" x14ac:dyDescent="0.25">
      <c r="A8665" s="2" t="s">
        <v>6300</v>
      </c>
      <c r="B8665" s="2" t="s">
        <v>2452</v>
      </c>
      <c r="C8665" s="2">
        <v>5</v>
      </c>
      <c r="D8665" t="str">
        <f t="shared" si="135"/>
        <v>US-2016-126452_TEC-PH-10003555</v>
      </c>
      <c r="E8665" t="str">
        <f>IF(COUNTIF(data2!$D:$D,D8665)=0,"Missing in Data2","Present")</f>
        <v>Present</v>
      </c>
    </row>
    <row r="8666" spans="1:5" x14ac:dyDescent="0.25">
      <c r="A8666" s="2" t="s">
        <v>6301</v>
      </c>
      <c r="B8666" s="2" t="s">
        <v>3138</v>
      </c>
      <c r="C8666" s="2">
        <v>8</v>
      </c>
      <c r="D8666" t="str">
        <f t="shared" si="135"/>
        <v>US-2016-126844_FUR-FU-10004909</v>
      </c>
      <c r="E8666" t="str">
        <f>IF(COUNTIF(data2!$D:$D,D8666)=0,"Missing in Data2","Present")</f>
        <v>Present</v>
      </c>
    </row>
    <row r="8667" spans="1:5" x14ac:dyDescent="0.25">
      <c r="A8667" s="2" t="s">
        <v>6302</v>
      </c>
      <c r="B8667" s="2" t="s">
        <v>1806</v>
      </c>
      <c r="C8667" s="2">
        <v>3</v>
      </c>
      <c r="D8667" t="str">
        <f t="shared" si="135"/>
        <v>US-2016-127334_FUR-TA-10003473</v>
      </c>
      <c r="E8667" t="str">
        <f>IF(COUNTIF(data2!$D:$D,D8667)=0,"Missing in Data2","Present")</f>
        <v>Present</v>
      </c>
    </row>
    <row r="8668" spans="1:5" x14ac:dyDescent="0.25">
      <c r="A8668" s="2" t="s">
        <v>6302</v>
      </c>
      <c r="B8668" s="2" t="s">
        <v>2238</v>
      </c>
      <c r="C8668" s="2">
        <v>2</v>
      </c>
      <c r="D8668" t="str">
        <f t="shared" si="135"/>
        <v>US-2016-127334_OFF-AP-10001205</v>
      </c>
      <c r="E8668" t="str">
        <f>IF(COUNTIF(data2!$D:$D,D8668)=0,"Missing in Data2","Present")</f>
        <v>Present</v>
      </c>
    </row>
    <row r="8669" spans="1:5" x14ac:dyDescent="0.25">
      <c r="A8669" s="2" t="s">
        <v>6303</v>
      </c>
      <c r="B8669" s="2" t="s">
        <v>507</v>
      </c>
      <c r="C8669" s="2">
        <v>5</v>
      </c>
      <c r="D8669" t="str">
        <f t="shared" si="135"/>
        <v>US-2016-127425_TEC-AC-10002800</v>
      </c>
      <c r="E8669" t="str">
        <f>IF(COUNTIF(data2!$D:$D,D8669)=0,"Missing in Data2","Present")</f>
        <v>Present</v>
      </c>
    </row>
    <row r="8670" spans="1:5" x14ac:dyDescent="0.25">
      <c r="A8670" s="2" t="s">
        <v>6303</v>
      </c>
      <c r="B8670" s="2" t="s">
        <v>3626</v>
      </c>
      <c r="C8670" s="2">
        <v>6</v>
      </c>
      <c r="D8670" t="str">
        <f t="shared" si="135"/>
        <v>US-2016-127425_TEC-PH-10003442</v>
      </c>
      <c r="E8670" t="str">
        <f>IF(COUNTIF(data2!$D:$D,D8670)=0,"Missing in Data2","Present")</f>
        <v>Present</v>
      </c>
    </row>
    <row r="8671" spans="1:5" x14ac:dyDescent="0.25">
      <c r="A8671" s="2" t="s">
        <v>6304</v>
      </c>
      <c r="B8671" s="2" t="s">
        <v>373</v>
      </c>
      <c r="C8671" s="2">
        <v>5</v>
      </c>
      <c r="D8671" t="str">
        <f t="shared" si="135"/>
        <v>US-2016-127971_FUR-CH-10003774</v>
      </c>
      <c r="E8671" t="str">
        <f>IF(COUNTIF(data2!$D:$D,D8671)=0,"Missing in Data2","Present")</f>
        <v>Present</v>
      </c>
    </row>
    <row r="8672" spans="1:5" x14ac:dyDescent="0.25">
      <c r="A8672" s="2" t="s">
        <v>6304</v>
      </c>
      <c r="B8672" s="2" t="s">
        <v>1324</v>
      </c>
      <c r="C8672" s="2">
        <v>3</v>
      </c>
      <c r="D8672" t="str">
        <f t="shared" si="135"/>
        <v>US-2016-127971_FUR-FU-10000023</v>
      </c>
      <c r="E8672" t="str">
        <f>IF(COUNTIF(data2!$D:$D,D8672)=0,"Missing in Data2","Present")</f>
        <v>Present</v>
      </c>
    </row>
    <row r="8673" spans="1:5" x14ac:dyDescent="0.25">
      <c r="A8673" s="2" t="s">
        <v>6304</v>
      </c>
      <c r="B8673" s="2" t="s">
        <v>934</v>
      </c>
      <c r="C8673" s="2">
        <v>7</v>
      </c>
      <c r="D8673" t="str">
        <f t="shared" si="135"/>
        <v>US-2016-127971_TEC-PH-10003095</v>
      </c>
      <c r="E8673" t="str">
        <f>IF(COUNTIF(data2!$D:$D,D8673)=0,"Missing in Data2","Present")</f>
        <v>Present</v>
      </c>
    </row>
    <row r="8674" spans="1:5" x14ac:dyDescent="0.25">
      <c r="A8674" s="2" t="s">
        <v>6305</v>
      </c>
      <c r="B8674" s="2" t="s">
        <v>2819</v>
      </c>
      <c r="C8674" s="2">
        <v>5</v>
      </c>
      <c r="D8674" t="str">
        <f t="shared" si="135"/>
        <v>US-2016-128195_OFF-BI-10002003</v>
      </c>
      <c r="E8674" t="str">
        <f>IF(COUNTIF(data2!$D:$D,D8674)=0,"Missing in Data2","Present")</f>
        <v>Present</v>
      </c>
    </row>
    <row r="8675" spans="1:5" x14ac:dyDescent="0.25">
      <c r="A8675" s="2" t="s">
        <v>6306</v>
      </c>
      <c r="B8675" s="2" t="s">
        <v>275</v>
      </c>
      <c r="C8675" s="2">
        <v>7</v>
      </c>
      <c r="D8675" t="str">
        <f t="shared" si="135"/>
        <v>US-2016-128678_OFF-BI-10002103</v>
      </c>
      <c r="E8675" t="str">
        <f>IF(COUNTIF(data2!$D:$D,D8675)=0,"Missing in Data2","Present")</f>
        <v>Present</v>
      </c>
    </row>
    <row r="8676" spans="1:5" x14ac:dyDescent="0.25">
      <c r="A8676" s="2" t="s">
        <v>6306</v>
      </c>
      <c r="B8676" s="2" t="s">
        <v>3624</v>
      </c>
      <c r="C8676" s="2">
        <v>5</v>
      </c>
      <c r="D8676" t="str">
        <f t="shared" si="135"/>
        <v>US-2016-128678_OFF-PA-10000807</v>
      </c>
      <c r="E8676" t="str">
        <f>IF(COUNTIF(data2!$D:$D,D8676)=0,"Missing in Data2","Present")</f>
        <v>Present</v>
      </c>
    </row>
    <row r="8677" spans="1:5" x14ac:dyDescent="0.25">
      <c r="A8677" s="2" t="s">
        <v>6307</v>
      </c>
      <c r="B8677" s="2" t="s">
        <v>2635</v>
      </c>
      <c r="C8677" s="2">
        <v>2</v>
      </c>
      <c r="D8677" t="str">
        <f t="shared" si="135"/>
        <v>US-2016-128902_FUR-TA-10001095</v>
      </c>
      <c r="E8677" t="str">
        <f>IF(COUNTIF(data2!$D:$D,D8677)=0,"Missing in Data2","Present")</f>
        <v>Present</v>
      </c>
    </row>
    <row r="8678" spans="1:5" x14ac:dyDescent="0.25">
      <c r="A8678" s="2" t="s">
        <v>6308</v>
      </c>
      <c r="B8678" s="2" t="s">
        <v>4399</v>
      </c>
      <c r="C8678" s="2">
        <v>4</v>
      </c>
      <c r="D8678" t="str">
        <f t="shared" si="135"/>
        <v>US-2016-128909_FUR-FU-10004071</v>
      </c>
      <c r="E8678" t="str">
        <f>IF(COUNTIF(data2!$D:$D,D8678)=0,"Missing in Data2","Present")</f>
        <v>Present</v>
      </c>
    </row>
    <row r="8679" spans="1:5" x14ac:dyDescent="0.25">
      <c r="A8679" s="2" t="s">
        <v>6308</v>
      </c>
      <c r="B8679" s="2" t="s">
        <v>5431</v>
      </c>
      <c r="C8679" s="2">
        <v>4</v>
      </c>
      <c r="D8679" t="str">
        <f t="shared" si="135"/>
        <v>US-2016-128909_OFF-PA-10001593</v>
      </c>
      <c r="E8679" t="str">
        <f>IF(COUNTIF(data2!$D:$D,D8679)=0,"Missing in Data2","Present")</f>
        <v>Present</v>
      </c>
    </row>
    <row r="8680" spans="1:5" x14ac:dyDescent="0.25">
      <c r="A8680" s="2" t="s">
        <v>6309</v>
      </c>
      <c r="B8680" s="2" t="s">
        <v>1802</v>
      </c>
      <c r="C8680" s="2">
        <v>6</v>
      </c>
      <c r="D8680" t="str">
        <f t="shared" si="135"/>
        <v>US-2016-129469_FUR-FU-10002298</v>
      </c>
      <c r="E8680" t="str">
        <f>IF(COUNTIF(data2!$D:$D,D8680)=0,"Missing in Data2","Present")</f>
        <v>Present</v>
      </c>
    </row>
    <row r="8681" spans="1:5" x14ac:dyDescent="0.25">
      <c r="A8681" s="2" t="s">
        <v>6309</v>
      </c>
      <c r="B8681" s="2" t="s">
        <v>4152</v>
      </c>
      <c r="C8681" s="2">
        <v>2</v>
      </c>
      <c r="D8681" t="str">
        <f t="shared" si="135"/>
        <v>US-2016-129469_OFF-AR-10000315</v>
      </c>
      <c r="E8681" t="str">
        <f>IF(COUNTIF(data2!$D:$D,D8681)=0,"Missing in Data2","Present")</f>
        <v>Present</v>
      </c>
    </row>
    <row r="8682" spans="1:5" x14ac:dyDescent="0.25">
      <c r="A8682" s="2" t="s">
        <v>6310</v>
      </c>
      <c r="B8682" s="2" t="s">
        <v>776</v>
      </c>
      <c r="C8682" s="2">
        <v>7</v>
      </c>
      <c r="D8682" t="str">
        <f t="shared" si="135"/>
        <v>US-2016-131058_OFF-LA-10001613</v>
      </c>
      <c r="E8682" t="str">
        <f>IF(COUNTIF(data2!$D:$D,D8682)=0,"Missing in Data2","Present")</f>
        <v>Present</v>
      </c>
    </row>
    <row r="8683" spans="1:5" x14ac:dyDescent="0.25">
      <c r="A8683" s="2" t="s">
        <v>6311</v>
      </c>
      <c r="B8683" s="2" t="s">
        <v>2346</v>
      </c>
      <c r="C8683" s="2">
        <v>2</v>
      </c>
      <c r="D8683" t="str">
        <f t="shared" si="135"/>
        <v>US-2016-131114_OFF-AP-10003971</v>
      </c>
      <c r="E8683" t="str">
        <f>IF(COUNTIF(data2!$D:$D,D8683)=0,"Missing in Data2","Present")</f>
        <v>Present</v>
      </c>
    </row>
    <row r="8684" spans="1:5" x14ac:dyDescent="0.25">
      <c r="A8684" s="2" t="s">
        <v>6311</v>
      </c>
      <c r="B8684" s="2" t="s">
        <v>1352</v>
      </c>
      <c r="C8684" s="2">
        <v>3</v>
      </c>
      <c r="D8684" t="str">
        <f t="shared" si="135"/>
        <v>US-2016-131114_OFF-SU-10001664</v>
      </c>
      <c r="E8684" t="str">
        <f>IF(COUNTIF(data2!$D:$D,D8684)=0,"Missing in Data2","Present")</f>
        <v>Present</v>
      </c>
    </row>
    <row r="8685" spans="1:5" x14ac:dyDescent="0.25">
      <c r="A8685" s="2" t="s">
        <v>6312</v>
      </c>
      <c r="B8685" s="2" t="s">
        <v>400</v>
      </c>
      <c r="C8685" s="2">
        <v>4</v>
      </c>
      <c r="D8685" t="str">
        <f t="shared" si="135"/>
        <v>US-2016-131149_OFF-AR-10002135</v>
      </c>
      <c r="E8685" t="str">
        <f>IF(COUNTIF(data2!$D:$D,D8685)=0,"Missing in Data2","Present")</f>
        <v>Present</v>
      </c>
    </row>
    <row r="8686" spans="1:5" x14ac:dyDescent="0.25">
      <c r="A8686" s="2" t="s">
        <v>6312</v>
      </c>
      <c r="B8686" s="2" t="s">
        <v>1235</v>
      </c>
      <c r="C8686" s="2">
        <v>3</v>
      </c>
      <c r="D8686" t="str">
        <f t="shared" si="135"/>
        <v>US-2016-131149_OFF-ST-10000689</v>
      </c>
      <c r="E8686" t="str">
        <f>IF(COUNTIF(data2!$D:$D,D8686)=0,"Missing in Data2","Present")</f>
        <v>Present</v>
      </c>
    </row>
    <row r="8687" spans="1:5" x14ac:dyDescent="0.25">
      <c r="A8687" s="2" t="s">
        <v>6313</v>
      </c>
      <c r="B8687" s="2" t="s">
        <v>5249</v>
      </c>
      <c r="C8687" s="2">
        <v>7</v>
      </c>
      <c r="D8687" t="str">
        <f t="shared" si="135"/>
        <v>US-2016-131611_FUR-BO-10000780</v>
      </c>
      <c r="E8687" t="str">
        <f>IF(COUNTIF(data2!$D:$D,D8687)=0,"Missing in Data2","Present")</f>
        <v>Present</v>
      </c>
    </row>
    <row r="8688" spans="1:5" x14ac:dyDescent="0.25">
      <c r="A8688" s="2" t="s">
        <v>6313</v>
      </c>
      <c r="B8688" s="2" t="s">
        <v>2718</v>
      </c>
      <c r="C8688" s="2">
        <v>8</v>
      </c>
      <c r="D8688" t="str">
        <f t="shared" si="135"/>
        <v>US-2016-131611_FUR-TA-10002774</v>
      </c>
      <c r="E8688" t="str">
        <f>IF(COUNTIF(data2!$D:$D,D8688)=0,"Missing in Data2","Present")</f>
        <v>Present</v>
      </c>
    </row>
    <row r="8689" spans="1:5" x14ac:dyDescent="0.25">
      <c r="A8689" s="2" t="s">
        <v>6313</v>
      </c>
      <c r="B8689" s="2" t="s">
        <v>1223</v>
      </c>
      <c r="C8689" s="2">
        <v>3</v>
      </c>
      <c r="D8689" t="str">
        <f t="shared" si="135"/>
        <v>US-2016-131611_OFF-BI-10001989</v>
      </c>
      <c r="E8689" t="str">
        <f>IF(COUNTIF(data2!$D:$D,D8689)=0,"Missing in Data2","Present")</f>
        <v>Present</v>
      </c>
    </row>
    <row r="8690" spans="1:5" x14ac:dyDescent="0.25">
      <c r="A8690" s="2" t="s">
        <v>6313</v>
      </c>
      <c r="B8690" s="2" t="s">
        <v>432</v>
      </c>
      <c r="C8690" s="2">
        <v>3</v>
      </c>
      <c r="D8690" t="str">
        <f t="shared" si="135"/>
        <v>US-2016-131611_OFF-BI-10004364</v>
      </c>
      <c r="E8690" t="str">
        <f>IF(COUNTIF(data2!$D:$D,D8690)=0,"Missing in Data2","Present")</f>
        <v>Present</v>
      </c>
    </row>
    <row r="8691" spans="1:5" x14ac:dyDescent="0.25">
      <c r="A8691" s="2" t="s">
        <v>6313</v>
      </c>
      <c r="B8691" s="2" t="s">
        <v>4612</v>
      </c>
      <c r="C8691" s="2">
        <v>5</v>
      </c>
      <c r="D8691" t="str">
        <f t="shared" si="135"/>
        <v>US-2016-131611_TEC-AC-10004001</v>
      </c>
      <c r="E8691" t="str">
        <f>IF(COUNTIF(data2!$D:$D,D8691)=0,"Missing in Data2","Present")</f>
        <v>Present</v>
      </c>
    </row>
    <row r="8692" spans="1:5" x14ac:dyDescent="0.25">
      <c r="A8692" s="2" t="s">
        <v>6314</v>
      </c>
      <c r="B8692" s="2" t="s">
        <v>497</v>
      </c>
      <c r="C8692" s="2">
        <v>2</v>
      </c>
      <c r="D8692" t="str">
        <f t="shared" si="135"/>
        <v>US-2016-131674_TEC-AC-10004864</v>
      </c>
      <c r="E8692" t="str">
        <f>IF(COUNTIF(data2!$D:$D,D8692)=0,"Missing in Data2","Present")</f>
        <v>Present</v>
      </c>
    </row>
    <row r="8693" spans="1:5" x14ac:dyDescent="0.25">
      <c r="A8693" s="2" t="s">
        <v>6315</v>
      </c>
      <c r="B8693" s="2" t="s">
        <v>1384</v>
      </c>
      <c r="C8693" s="2">
        <v>3</v>
      </c>
      <c r="D8693" t="str">
        <f t="shared" si="135"/>
        <v>US-2016-131891_OFF-BI-10000201</v>
      </c>
      <c r="E8693" t="str">
        <f>IF(COUNTIF(data2!$D:$D,D8693)=0,"Missing in Data2","Present")</f>
        <v>Present</v>
      </c>
    </row>
    <row r="8694" spans="1:5" x14ac:dyDescent="0.25">
      <c r="A8694" s="2" t="s">
        <v>6316</v>
      </c>
      <c r="B8694" s="2" t="s">
        <v>2913</v>
      </c>
      <c r="C8694" s="2">
        <v>1</v>
      </c>
      <c r="D8694" t="str">
        <f t="shared" si="135"/>
        <v>US-2016-131912_OFF-BI-10004236</v>
      </c>
      <c r="E8694" t="str">
        <f>IF(COUNTIF(data2!$D:$D,D8694)=0,"Missing in Data2","Present")</f>
        <v>Present</v>
      </c>
    </row>
    <row r="8695" spans="1:5" x14ac:dyDescent="0.25">
      <c r="A8695" s="2" t="s">
        <v>6317</v>
      </c>
      <c r="B8695" s="2" t="s">
        <v>5831</v>
      </c>
      <c r="C8695" s="2">
        <v>7</v>
      </c>
      <c r="D8695" t="str">
        <f t="shared" si="135"/>
        <v>US-2016-132423_OFF-AR-10001221</v>
      </c>
      <c r="E8695" t="str">
        <f>IF(COUNTIF(data2!$D:$D,D8695)=0,"Missing in Data2","Present")</f>
        <v>Missing in Data2</v>
      </c>
    </row>
    <row r="8696" spans="1:5" x14ac:dyDescent="0.25">
      <c r="A8696" s="2" t="s">
        <v>6317</v>
      </c>
      <c r="B8696" s="2" t="s">
        <v>1808</v>
      </c>
      <c r="C8696" s="2">
        <v>5</v>
      </c>
      <c r="D8696" t="str">
        <f t="shared" si="135"/>
        <v>US-2016-132423_OFF-FA-10002988</v>
      </c>
      <c r="E8696" t="str">
        <f>IF(COUNTIF(data2!$D:$D,D8696)=0,"Missing in Data2","Present")</f>
        <v>Present</v>
      </c>
    </row>
    <row r="8697" spans="1:5" x14ac:dyDescent="0.25">
      <c r="A8697" s="2" t="s">
        <v>6318</v>
      </c>
      <c r="B8697" s="2" t="s">
        <v>886</v>
      </c>
      <c r="C8697" s="2">
        <v>9</v>
      </c>
      <c r="D8697" t="str">
        <f t="shared" si="135"/>
        <v>US-2016-132577_OFF-AR-10003481</v>
      </c>
      <c r="E8697" t="str">
        <f>IF(COUNTIF(data2!$D:$D,D8697)=0,"Missing in Data2","Present")</f>
        <v>Present</v>
      </c>
    </row>
    <row r="8698" spans="1:5" x14ac:dyDescent="0.25">
      <c r="A8698" s="2" t="s">
        <v>6318</v>
      </c>
      <c r="B8698" s="2" t="s">
        <v>1525</v>
      </c>
      <c r="C8698" s="2">
        <v>6</v>
      </c>
      <c r="D8698" t="str">
        <f t="shared" si="135"/>
        <v>US-2016-132577_OFF-BI-10003196</v>
      </c>
      <c r="E8698" t="str">
        <f>IF(COUNTIF(data2!$D:$D,D8698)=0,"Missing in Data2","Present")</f>
        <v>Present</v>
      </c>
    </row>
    <row r="8699" spans="1:5" x14ac:dyDescent="0.25">
      <c r="A8699" s="2" t="s">
        <v>6318</v>
      </c>
      <c r="B8699" s="2" t="s">
        <v>2891</v>
      </c>
      <c r="C8699" s="2">
        <v>6</v>
      </c>
      <c r="D8699" t="str">
        <f t="shared" si="135"/>
        <v>US-2016-132577_OFF-BI-10004040</v>
      </c>
      <c r="E8699" t="str">
        <f>IF(COUNTIF(data2!$D:$D,D8699)=0,"Missing in Data2","Present")</f>
        <v>Present</v>
      </c>
    </row>
    <row r="8700" spans="1:5" x14ac:dyDescent="0.25">
      <c r="A8700" s="2" t="s">
        <v>6318</v>
      </c>
      <c r="B8700" s="2" t="s">
        <v>379</v>
      </c>
      <c r="C8700" s="2">
        <v>1</v>
      </c>
      <c r="D8700" t="str">
        <f t="shared" si="135"/>
        <v>US-2016-132577_OFF-LA-10000262</v>
      </c>
      <c r="E8700" t="str">
        <f>IF(COUNTIF(data2!$D:$D,D8700)=0,"Missing in Data2","Present")</f>
        <v>Present</v>
      </c>
    </row>
    <row r="8701" spans="1:5" x14ac:dyDescent="0.25">
      <c r="A8701" s="2" t="s">
        <v>6318</v>
      </c>
      <c r="B8701" s="2" t="s">
        <v>2069</v>
      </c>
      <c r="C8701" s="2">
        <v>2</v>
      </c>
      <c r="D8701" t="str">
        <f t="shared" si="135"/>
        <v>US-2016-132577_TEC-AC-10000387</v>
      </c>
      <c r="E8701" t="str">
        <f>IF(COUNTIF(data2!$D:$D,D8701)=0,"Missing in Data2","Present")</f>
        <v>Present</v>
      </c>
    </row>
    <row r="8702" spans="1:5" x14ac:dyDescent="0.25">
      <c r="A8702" s="2" t="s">
        <v>6319</v>
      </c>
      <c r="B8702" s="2" t="s">
        <v>1920</v>
      </c>
      <c r="C8702" s="2">
        <v>3</v>
      </c>
      <c r="D8702" t="str">
        <f t="shared" si="135"/>
        <v>US-2016-132857_OFF-AR-10003251</v>
      </c>
      <c r="E8702" t="str">
        <f>IF(COUNTIF(data2!$D:$D,D8702)=0,"Missing in Data2","Present")</f>
        <v>Present</v>
      </c>
    </row>
    <row r="8703" spans="1:5" x14ac:dyDescent="0.25">
      <c r="A8703" s="2" t="s">
        <v>6320</v>
      </c>
      <c r="B8703" s="2" t="s">
        <v>397</v>
      </c>
      <c r="C8703" s="2">
        <v>5</v>
      </c>
      <c r="D8703" t="str">
        <f t="shared" si="135"/>
        <v>US-2016-133508_OFF-FA-10000134</v>
      </c>
      <c r="E8703" t="str">
        <f>IF(COUNTIF(data2!$D:$D,D8703)=0,"Missing in Data2","Present")</f>
        <v>Present</v>
      </c>
    </row>
    <row r="8704" spans="1:5" x14ac:dyDescent="0.25">
      <c r="A8704" s="2" t="s">
        <v>6321</v>
      </c>
      <c r="B8704" s="2" t="s">
        <v>2884</v>
      </c>
      <c r="C8704" s="2">
        <v>5</v>
      </c>
      <c r="D8704" t="str">
        <f t="shared" si="135"/>
        <v>US-2016-133879_FUR-CH-10000665</v>
      </c>
      <c r="E8704" t="str">
        <f>IF(COUNTIF(data2!$D:$D,D8704)=0,"Missing in Data2","Present")</f>
        <v>Present</v>
      </c>
    </row>
    <row r="8705" spans="1:5" x14ac:dyDescent="0.25">
      <c r="A8705" s="2" t="s">
        <v>6321</v>
      </c>
      <c r="B8705" s="2" t="s">
        <v>4527</v>
      </c>
      <c r="C8705" s="2">
        <v>3</v>
      </c>
      <c r="D8705" t="str">
        <f t="shared" si="135"/>
        <v>US-2016-133879_OFF-AR-10004956</v>
      </c>
      <c r="E8705" t="str">
        <f>IF(COUNTIF(data2!$D:$D,D8705)=0,"Missing in Data2","Present")</f>
        <v>Present</v>
      </c>
    </row>
    <row r="8706" spans="1:5" x14ac:dyDescent="0.25">
      <c r="A8706" s="2" t="s">
        <v>6321</v>
      </c>
      <c r="B8706" s="2" t="s">
        <v>3533</v>
      </c>
      <c r="C8706" s="2">
        <v>2</v>
      </c>
      <c r="D8706" t="str">
        <f t="shared" si="135"/>
        <v>US-2016-133879_OFF-BI-10004465</v>
      </c>
      <c r="E8706" t="str">
        <f>IF(COUNTIF(data2!$D:$D,D8706)=0,"Missing in Data2","Present")</f>
        <v>Present</v>
      </c>
    </row>
    <row r="8707" spans="1:5" x14ac:dyDescent="0.25">
      <c r="A8707" s="2" t="s">
        <v>6322</v>
      </c>
      <c r="B8707" s="2" t="s">
        <v>157</v>
      </c>
      <c r="C8707" s="2">
        <v>2</v>
      </c>
      <c r="D8707" t="str">
        <f t="shared" ref="D8707:D8770" si="136">A8707&amp;"_"&amp;B8707</f>
        <v>US-2016-134369_OFF-PA-10002195</v>
      </c>
      <c r="E8707" t="str">
        <f>IF(COUNTIF(data2!$D:$D,D8707)=0,"Missing in Data2","Present")</f>
        <v>Present</v>
      </c>
    </row>
    <row r="8708" spans="1:5" x14ac:dyDescent="0.25">
      <c r="A8708" s="2" t="s">
        <v>6323</v>
      </c>
      <c r="B8708" s="2" t="s">
        <v>2190</v>
      </c>
      <c r="C8708" s="2">
        <v>2</v>
      </c>
      <c r="D8708" t="str">
        <f t="shared" si="136"/>
        <v>US-2016-134488_FUR-CH-10003199</v>
      </c>
      <c r="E8708" t="str">
        <f>IF(COUNTIF(data2!$D:$D,D8708)=0,"Missing in Data2","Present")</f>
        <v>Present</v>
      </c>
    </row>
    <row r="8709" spans="1:5" x14ac:dyDescent="0.25">
      <c r="A8709" s="2" t="s">
        <v>6324</v>
      </c>
      <c r="B8709" s="2" t="s">
        <v>1006</v>
      </c>
      <c r="C8709" s="2">
        <v>4</v>
      </c>
      <c r="D8709" t="str">
        <f t="shared" si="136"/>
        <v>US-2016-134656_OFF-PA-10003039</v>
      </c>
      <c r="E8709" t="str">
        <f>IF(COUNTIF(data2!$D:$D,D8709)=0,"Missing in Data2","Present")</f>
        <v>Present</v>
      </c>
    </row>
    <row r="8710" spans="1:5" x14ac:dyDescent="0.25">
      <c r="A8710" s="2" t="s">
        <v>6325</v>
      </c>
      <c r="B8710" s="2" t="s">
        <v>737</v>
      </c>
      <c r="C8710" s="2">
        <v>1</v>
      </c>
      <c r="D8710" t="str">
        <f t="shared" si="136"/>
        <v>US-2016-134761_TEC-PH-10002890</v>
      </c>
      <c r="E8710" t="str">
        <f>IF(COUNTIF(data2!$D:$D,D8710)=0,"Missing in Data2","Present")</f>
        <v>Present</v>
      </c>
    </row>
    <row r="8711" spans="1:5" x14ac:dyDescent="0.25">
      <c r="A8711" s="2" t="s">
        <v>6326</v>
      </c>
      <c r="B8711" s="2" t="s">
        <v>3249</v>
      </c>
      <c r="C8711" s="2">
        <v>3</v>
      </c>
      <c r="D8711" t="str">
        <f t="shared" si="136"/>
        <v>US-2016-134908_OFF-LA-10000973</v>
      </c>
      <c r="E8711" t="str">
        <f>IF(COUNTIF(data2!$D:$D,D8711)=0,"Missing in Data2","Present")</f>
        <v>Present</v>
      </c>
    </row>
    <row r="8712" spans="1:5" x14ac:dyDescent="0.25">
      <c r="A8712" s="2" t="s">
        <v>6326</v>
      </c>
      <c r="B8712" s="2" t="s">
        <v>39</v>
      </c>
      <c r="C8712" s="2">
        <v>4</v>
      </c>
      <c r="D8712" t="str">
        <f t="shared" si="136"/>
        <v>US-2016-134908_OFF-ST-10003479</v>
      </c>
      <c r="E8712" t="str">
        <f>IF(COUNTIF(data2!$D:$D,D8712)=0,"Missing in Data2","Present")</f>
        <v>Present</v>
      </c>
    </row>
    <row r="8713" spans="1:5" x14ac:dyDescent="0.25">
      <c r="A8713" s="2" t="s">
        <v>6327</v>
      </c>
      <c r="B8713" s="2" t="s">
        <v>1833</v>
      </c>
      <c r="C8713" s="2">
        <v>6</v>
      </c>
      <c r="D8713" t="str">
        <f t="shared" si="136"/>
        <v>US-2016-135209_OFF-PA-10000143</v>
      </c>
      <c r="E8713" t="str">
        <f>IF(COUNTIF(data2!$D:$D,D8713)=0,"Missing in Data2","Present")</f>
        <v>Present</v>
      </c>
    </row>
    <row r="8714" spans="1:5" x14ac:dyDescent="0.25">
      <c r="A8714" s="2" t="s">
        <v>6328</v>
      </c>
      <c r="B8714" s="2" t="s">
        <v>251</v>
      </c>
      <c r="C8714" s="2">
        <v>3</v>
      </c>
      <c r="D8714" t="str">
        <f t="shared" si="136"/>
        <v>US-2016-135720_OFF-ST-10001963</v>
      </c>
      <c r="E8714" t="str">
        <f>IF(COUNTIF(data2!$D:$D,D8714)=0,"Missing in Data2","Present")</f>
        <v>Present</v>
      </c>
    </row>
    <row r="8715" spans="1:5" x14ac:dyDescent="0.25">
      <c r="A8715" s="2" t="s">
        <v>6328</v>
      </c>
      <c r="B8715" s="2" t="s">
        <v>261</v>
      </c>
      <c r="C8715" s="2">
        <v>5</v>
      </c>
      <c r="D8715" t="str">
        <f t="shared" si="136"/>
        <v>US-2016-135720_TEC-AC-10001267</v>
      </c>
      <c r="E8715" t="str">
        <f>IF(COUNTIF(data2!$D:$D,D8715)=0,"Missing in Data2","Present")</f>
        <v>Present</v>
      </c>
    </row>
    <row r="8716" spans="1:5" x14ac:dyDescent="0.25">
      <c r="A8716" s="2" t="s">
        <v>6328</v>
      </c>
      <c r="B8716" s="2" t="s">
        <v>1425</v>
      </c>
      <c r="C8716" s="2">
        <v>4</v>
      </c>
      <c r="D8716" t="str">
        <f t="shared" si="136"/>
        <v>US-2016-135720_TEC-PH-10002103</v>
      </c>
      <c r="E8716" t="str">
        <f>IF(COUNTIF(data2!$D:$D,D8716)=0,"Missing in Data2","Present")</f>
        <v>Present</v>
      </c>
    </row>
    <row r="8717" spans="1:5" x14ac:dyDescent="0.25">
      <c r="A8717" s="2" t="s">
        <v>6329</v>
      </c>
      <c r="B8717" s="2" t="s">
        <v>815</v>
      </c>
      <c r="C8717" s="2">
        <v>4</v>
      </c>
      <c r="D8717" t="str">
        <f t="shared" si="136"/>
        <v>US-2016-135923_FUR-BO-10002213</v>
      </c>
      <c r="E8717" t="str">
        <f>IF(COUNTIF(data2!$D:$D,D8717)=0,"Missing in Data2","Present")</f>
        <v>Present</v>
      </c>
    </row>
    <row r="8718" spans="1:5" x14ac:dyDescent="0.25">
      <c r="A8718" s="2" t="s">
        <v>6329</v>
      </c>
      <c r="B8718" s="2" t="s">
        <v>499</v>
      </c>
      <c r="C8718" s="2">
        <v>8</v>
      </c>
      <c r="D8718" t="str">
        <f t="shared" si="136"/>
        <v>US-2016-135923_FUR-FU-10002107</v>
      </c>
      <c r="E8718" t="str">
        <f>IF(COUNTIF(data2!$D:$D,D8718)=0,"Missing in Data2","Present")</f>
        <v>Present</v>
      </c>
    </row>
    <row r="8719" spans="1:5" x14ac:dyDescent="0.25">
      <c r="A8719" s="2" t="s">
        <v>6329</v>
      </c>
      <c r="B8719" s="2" t="s">
        <v>647</v>
      </c>
      <c r="C8719" s="2">
        <v>4</v>
      </c>
      <c r="D8719" t="str">
        <f t="shared" si="136"/>
        <v>US-2016-135923_OFF-AP-10000692</v>
      </c>
      <c r="E8719" t="str">
        <f>IF(COUNTIF(data2!$D:$D,D8719)=0,"Missing in Data2","Present")</f>
        <v>Present</v>
      </c>
    </row>
    <row r="8720" spans="1:5" x14ac:dyDescent="0.25">
      <c r="A8720" s="2" t="s">
        <v>6330</v>
      </c>
      <c r="B8720" s="2" t="s">
        <v>2771</v>
      </c>
      <c r="C8720" s="2">
        <v>6</v>
      </c>
      <c r="D8720" t="str">
        <f t="shared" si="136"/>
        <v>US-2016-136581_OFF-PA-10002787</v>
      </c>
      <c r="E8720" t="str">
        <f>IF(COUNTIF(data2!$D:$D,D8720)=0,"Missing in Data2","Present")</f>
        <v>Missing in Data2</v>
      </c>
    </row>
    <row r="8721" spans="1:5" x14ac:dyDescent="0.25">
      <c r="A8721" s="2" t="s">
        <v>6331</v>
      </c>
      <c r="B8721" s="2" t="s">
        <v>1034</v>
      </c>
      <c r="C8721" s="2">
        <v>3</v>
      </c>
      <c r="D8721" t="str">
        <f t="shared" si="136"/>
        <v>US-2016-137295_OFF-AR-10001955</v>
      </c>
      <c r="E8721" t="str">
        <f>IF(COUNTIF(data2!$D:$D,D8721)=0,"Missing in Data2","Present")</f>
        <v>Present</v>
      </c>
    </row>
    <row r="8722" spans="1:5" x14ac:dyDescent="0.25">
      <c r="A8722" s="2" t="s">
        <v>6331</v>
      </c>
      <c r="B8722" s="2" t="s">
        <v>2913</v>
      </c>
      <c r="C8722" s="2">
        <v>7</v>
      </c>
      <c r="D8722" t="str">
        <f t="shared" si="136"/>
        <v>US-2016-137295_OFF-BI-10004236</v>
      </c>
      <c r="E8722" t="str">
        <f>IF(COUNTIF(data2!$D:$D,D8722)=0,"Missing in Data2","Present")</f>
        <v>Present</v>
      </c>
    </row>
    <row r="8723" spans="1:5" x14ac:dyDescent="0.25">
      <c r="A8723" s="2" t="s">
        <v>6331</v>
      </c>
      <c r="B8723" s="2" t="s">
        <v>3970</v>
      </c>
      <c r="C8723" s="2">
        <v>2</v>
      </c>
      <c r="D8723" t="str">
        <f t="shared" si="136"/>
        <v>US-2016-137295_TEC-PH-10004080</v>
      </c>
      <c r="E8723" t="str">
        <f>IF(COUNTIF(data2!$D:$D,D8723)=0,"Missing in Data2","Present")</f>
        <v>Present</v>
      </c>
    </row>
    <row r="8724" spans="1:5" x14ac:dyDescent="0.25">
      <c r="A8724" s="2" t="s">
        <v>6332</v>
      </c>
      <c r="B8724" s="2" t="s">
        <v>3483</v>
      </c>
      <c r="C8724" s="2">
        <v>3</v>
      </c>
      <c r="D8724" t="str">
        <f t="shared" si="136"/>
        <v>US-2016-137547_TEC-PH-10002365</v>
      </c>
      <c r="E8724" t="str">
        <f>IF(COUNTIF(data2!$D:$D,D8724)=0,"Missing in Data2","Present")</f>
        <v>Present</v>
      </c>
    </row>
    <row r="8725" spans="1:5" x14ac:dyDescent="0.25">
      <c r="A8725" s="2" t="s">
        <v>6333</v>
      </c>
      <c r="B8725" s="2" t="s">
        <v>3005</v>
      </c>
      <c r="C8725" s="2">
        <v>4</v>
      </c>
      <c r="D8725" t="str">
        <f t="shared" si="136"/>
        <v>US-2016-138408_TEC-AC-10003870</v>
      </c>
      <c r="E8725" t="str">
        <f>IF(COUNTIF(data2!$D:$D,D8725)=0,"Missing in Data2","Present")</f>
        <v>Present</v>
      </c>
    </row>
    <row r="8726" spans="1:5" x14ac:dyDescent="0.25">
      <c r="A8726" s="2" t="s">
        <v>6334</v>
      </c>
      <c r="B8726" s="2" t="s">
        <v>2864</v>
      </c>
      <c r="C8726" s="2">
        <v>3</v>
      </c>
      <c r="D8726" t="str">
        <f t="shared" si="136"/>
        <v>US-2016-139087_FUR-FU-10001847</v>
      </c>
      <c r="E8726" t="str">
        <f>IF(COUNTIF(data2!$D:$D,D8726)=0,"Missing in Data2","Present")</f>
        <v>Present</v>
      </c>
    </row>
    <row r="8727" spans="1:5" x14ac:dyDescent="0.25">
      <c r="A8727" s="2" t="s">
        <v>6334</v>
      </c>
      <c r="B8727" s="2" t="s">
        <v>6335</v>
      </c>
      <c r="C8727" s="2">
        <v>5</v>
      </c>
      <c r="D8727" t="str">
        <f t="shared" si="136"/>
        <v>US-2016-139087_FUR-FU-10004164</v>
      </c>
      <c r="E8727" t="str">
        <f>IF(COUNTIF(data2!$D:$D,D8727)=0,"Missing in Data2","Present")</f>
        <v>Present</v>
      </c>
    </row>
    <row r="8728" spans="1:5" x14ac:dyDescent="0.25">
      <c r="A8728" s="2" t="s">
        <v>6334</v>
      </c>
      <c r="B8728" s="2" t="s">
        <v>1886</v>
      </c>
      <c r="C8728" s="2">
        <v>3</v>
      </c>
      <c r="D8728" t="str">
        <f t="shared" si="136"/>
        <v>US-2016-139087_OFF-BI-10000042</v>
      </c>
      <c r="E8728" t="str">
        <f>IF(COUNTIF(data2!$D:$D,D8728)=0,"Missing in Data2","Present")</f>
        <v>Missing in Data2</v>
      </c>
    </row>
    <row r="8729" spans="1:5" x14ac:dyDescent="0.25">
      <c r="A8729" s="2" t="s">
        <v>6334</v>
      </c>
      <c r="B8729" s="2" t="s">
        <v>540</v>
      </c>
      <c r="C8729" s="2">
        <v>7</v>
      </c>
      <c r="D8729" t="str">
        <f t="shared" si="136"/>
        <v>US-2016-139087_OFF-LA-10001074</v>
      </c>
      <c r="E8729" t="str">
        <f>IF(COUNTIF(data2!$D:$D,D8729)=0,"Missing in Data2","Present")</f>
        <v>Present</v>
      </c>
    </row>
    <row r="8730" spans="1:5" x14ac:dyDescent="0.25">
      <c r="A8730" s="2" t="s">
        <v>6334</v>
      </c>
      <c r="B8730" s="2" t="s">
        <v>2149</v>
      </c>
      <c r="C8730" s="2">
        <v>2</v>
      </c>
      <c r="D8730" t="str">
        <f t="shared" si="136"/>
        <v>US-2016-139087_OFF-ST-10000604</v>
      </c>
      <c r="E8730" t="str">
        <f>IF(COUNTIF(data2!$D:$D,D8730)=0,"Missing in Data2","Present")</f>
        <v>Present</v>
      </c>
    </row>
    <row r="8731" spans="1:5" x14ac:dyDescent="0.25">
      <c r="A8731" s="2" t="s">
        <v>6334</v>
      </c>
      <c r="B8731" s="2" t="s">
        <v>6336</v>
      </c>
      <c r="C8731" s="2">
        <v>3</v>
      </c>
      <c r="D8731" t="str">
        <f t="shared" si="136"/>
        <v>US-2016-139087_TEC-AC-10004595</v>
      </c>
      <c r="E8731" t="str">
        <f>IF(COUNTIF(data2!$D:$D,D8731)=0,"Missing in Data2","Present")</f>
        <v>Present</v>
      </c>
    </row>
    <row r="8732" spans="1:5" x14ac:dyDescent="0.25">
      <c r="A8732" s="2" t="s">
        <v>6337</v>
      </c>
      <c r="B8732" s="2" t="s">
        <v>637</v>
      </c>
      <c r="C8732" s="2">
        <v>2</v>
      </c>
      <c r="D8732" t="str">
        <f t="shared" si="136"/>
        <v>US-2016-139262_OFF-BI-10002026</v>
      </c>
      <c r="E8732" t="str">
        <f>IF(COUNTIF(data2!$D:$D,D8732)=0,"Missing in Data2","Present")</f>
        <v>Present</v>
      </c>
    </row>
    <row r="8733" spans="1:5" x14ac:dyDescent="0.25">
      <c r="A8733" s="2" t="s">
        <v>6337</v>
      </c>
      <c r="B8733" s="2" t="s">
        <v>1526</v>
      </c>
      <c r="C8733" s="2">
        <v>3</v>
      </c>
      <c r="D8733" t="str">
        <f t="shared" si="136"/>
        <v>US-2016-139262_OFF-BI-10003727</v>
      </c>
      <c r="E8733" t="str">
        <f>IF(COUNTIF(data2!$D:$D,D8733)=0,"Missing in Data2","Present")</f>
        <v>Present</v>
      </c>
    </row>
    <row r="8734" spans="1:5" x14ac:dyDescent="0.25">
      <c r="A8734" s="2" t="s">
        <v>6337</v>
      </c>
      <c r="B8734" s="2" t="s">
        <v>258</v>
      </c>
      <c r="C8734" s="2">
        <v>3</v>
      </c>
      <c r="D8734" t="str">
        <f t="shared" si="136"/>
        <v>US-2016-139262_OFF-ST-10001496</v>
      </c>
      <c r="E8734" t="str">
        <f>IF(COUNTIF(data2!$D:$D,D8734)=0,"Missing in Data2","Present")</f>
        <v>Present</v>
      </c>
    </row>
    <row r="8735" spans="1:5" x14ac:dyDescent="0.25">
      <c r="A8735" s="2" t="s">
        <v>6338</v>
      </c>
      <c r="B8735" s="2" t="s">
        <v>877</v>
      </c>
      <c r="C8735" s="2">
        <v>2</v>
      </c>
      <c r="D8735" t="str">
        <f t="shared" si="136"/>
        <v>US-2016-139486_TEC-AC-10003832</v>
      </c>
      <c r="E8735" t="str">
        <f>IF(COUNTIF(data2!$D:$D,D8735)=0,"Missing in Data2","Present")</f>
        <v>Present</v>
      </c>
    </row>
    <row r="8736" spans="1:5" x14ac:dyDescent="0.25">
      <c r="A8736" s="2" t="s">
        <v>6339</v>
      </c>
      <c r="B8736" s="2" t="s">
        <v>2968</v>
      </c>
      <c r="C8736" s="2">
        <v>3</v>
      </c>
      <c r="D8736" t="str">
        <f t="shared" si="136"/>
        <v>US-2016-139710_TEC-PH-10001198</v>
      </c>
      <c r="E8736" t="str">
        <f>IF(COUNTIF(data2!$D:$D,D8736)=0,"Missing in Data2","Present")</f>
        <v>Present</v>
      </c>
    </row>
    <row r="8737" spans="1:5" x14ac:dyDescent="0.25">
      <c r="A8737" s="2" t="s">
        <v>6340</v>
      </c>
      <c r="B8737" s="2" t="s">
        <v>859</v>
      </c>
      <c r="C8737" s="2">
        <v>1</v>
      </c>
      <c r="D8737" t="str">
        <f t="shared" si="136"/>
        <v>US-2016-140158_OFF-BI-10000977</v>
      </c>
      <c r="E8737" t="str">
        <f>IF(COUNTIF(data2!$D:$D,D8737)=0,"Missing in Data2","Present")</f>
        <v>Present</v>
      </c>
    </row>
    <row r="8738" spans="1:5" x14ac:dyDescent="0.25">
      <c r="A8738" s="2" t="s">
        <v>6340</v>
      </c>
      <c r="B8738" s="2" t="s">
        <v>6341</v>
      </c>
      <c r="C8738" s="2">
        <v>3</v>
      </c>
      <c r="D8738" t="str">
        <f t="shared" si="136"/>
        <v>US-2016-140158_OFF-ST-10000136</v>
      </c>
      <c r="E8738" t="str">
        <f>IF(COUNTIF(data2!$D:$D,D8738)=0,"Missing in Data2","Present")</f>
        <v>Present</v>
      </c>
    </row>
    <row r="8739" spans="1:5" x14ac:dyDescent="0.25">
      <c r="A8739" s="2" t="s">
        <v>6340</v>
      </c>
      <c r="B8739" s="2" t="s">
        <v>567</v>
      </c>
      <c r="C8739" s="2">
        <v>9</v>
      </c>
      <c r="D8739" t="str">
        <f t="shared" si="136"/>
        <v>US-2016-140158_TEC-CO-10001449</v>
      </c>
      <c r="E8739" t="str">
        <f>IF(COUNTIF(data2!$D:$D,D8739)=0,"Missing in Data2","Present")</f>
        <v>Present</v>
      </c>
    </row>
    <row r="8740" spans="1:5" x14ac:dyDescent="0.25">
      <c r="A8740" s="2" t="s">
        <v>6342</v>
      </c>
      <c r="B8740" s="2" t="s">
        <v>4428</v>
      </c>
      <c r="C8740" s="2">
        <v>3</v>
      </c>
      <c r="D8740" t="str">
        <f t="shared" si="136"/>
        <v>US-2016-140172_OFF-AP-10004233</v>
      </c>
      <c r="E8740" t="str">
        <f>IF(COUNTIF(data2!$D:$D,D8740)=0,"Missing in Data2","Present")</f>
        <v>Missing in Data2</v>
      </c>
    </row>
    <row r="8741" spans="1:5" x14ac:dyDescent="0.25">
      <c r="A8741" s="2" t="s">
        <v>6342</v>
      </c>
      <c r="B8741" s="2" t="s">
        <v>5364</v>
      </c>
      <c r="C8741" s="2">
        <v>5</v>
      </c>
      <c r="D8741" t="str">
        <f t="shared" si="136"/>
        <v>US-2016-140172_OFF-AR-10002766</v>
      </c>
      <c r="E8741" t="str">
        <f>IF(COUNTIF(data2!$D:$D,D8741)=0,"Missing in Data2","Present")</f>
        <v>Present</v>
      </c>
    </row>
    <row r="8742" spans="1:5" x14ac:dyDescent="0.25">
      <c r="A8742" s="2" t="s">
        <v>6343</v>
      </c>
      <c r="B8742" s="2" t="s">
        <v>652</v>
      </c>
      <c r="C8742" s="2">
        <v>5</v>
      </c>
      <c r="D8742" t="str">
        <f t="shared" si="136"/>
        <v>US-2016-140809_OFF-ST-10002214</v>
      </c>
      <c r="E8742" t="str">
        <f>IF(COUNTIF(data2!$D:$D,D8742)=0,"Missing in Data2","Present")</f>
        <v>Present</v>
      </c>
    </row>
    <row r="8743" spans="1:5" x14ac:dyDescent="0.25">
      <c r="A8743" s="2" t="s">
        <v>6344</v>
      </c>
      <c r="B8743" s="2" t="s">
        <v>947</v>
      </c>
      <c r="C8743" s="2">
        <v>1</v>
      </c>
      <c r="D8743" t="str">
        <f t="shared" si="136"/>
        <v>US-2016-141264_OFF-AP-10002534</v>
      </c>
      <c r="E8743" t="str">
        <f>IF(COUNTIF(data2!$D:$D,D8743)=0,"Missing in Data2","Present")</f>
        <v>Present</v>
      </c>
    </row>
    <row r="8744" spans="1:5" x14ac:dyDescent="0.25">
      <c r="A8744" s="2" t="s">
        <v>6344</v>
      </c>
      <c r="B8744" s="2" t="s">
        <v>3354</v>
      </c>
      <c r="C8744" s="2">
        <v>2</v>
      </c>
      <c r="D8744" t="str">
        <f t="shared" si="136"/>
        <v>US-2016-141264_OFF-SU-10003505</v>
      </c>
      <c r="E8744" t="str">
        <f>IF(COUNTIF(data2!$D:$D,D8744)=0,"Missing in Data2","Present")</f>
        <v>Present</v>
      </c>
    </row>
    <row r="8745" spans="1:5" x14ac:dyDescent="0.25">
      <c r="A8745" s="2" t="s">
        <v>6345</v>
      </c>
      <c r="B8745" s="2" t="s">
        <v>2290</v>
      </c>
      <c r="C8745" s="2">
        <v>4</v>
      </c>
      <c r="D8745" t="str">
        <f t="shared" si="136"/>
        <v>US-2016-141544_FUR-CH-10003312</v>
      </c>
      <c r="E8745" t="str">
        <f>IF(COUNTIF(data2!$D:$D,D8745)=0,"Missing in Data2","Present")</f>
        <v>Present</v>
      </c>
    </row>
    <row r="8746" spans="1:5" x14ac:dyDescent="0.25">
      <c r="A8746" s="2" t="s">
        <v>6345</v>
      </c>
      <c r="B8746" s="2" t="s">
        <v>1815</v>
      </c>
      <c r="C8746" s="2">
        <v>6</v>
      </c>
      <c r="D8746" t="str">
        <f t="shared" si="136"/>
        <v>US-2016-141544_OFF-BI-10001524</v>
      </c>
      <c r="E8746" t="str">
        <f>IF(COUNTIF(data2!$D:$D,D8746)=0,"Missing in Data2","Present")</f>
        <v>Present</v>
      </c>
    </row>
    <row r="8747" spans="1:5" x14ac:dyDescent="0.25">
      <c r="A8747" s="2" t="s">
        <v>6345</v>
      </c>
      <c r="B8747" s="2" t="s">
        <v>540</v>
      </c>
      <c r="C8747" s="2">
        <v>10</v>
      </c>
      <c r="D8747" t="str">
        <f t="shared" si="136"/>
        <v>US-2016-141544_OFF-LA-10001074</v>
      </c>
      <c r="E8747" t="str">
        <f>IF(COUNTIF(data2!$D:$D,D8747)=0,"Missing in Data2","Present")</f>
        <v>Present</v>
      </c>
    </row>
    <row r="8748" spans="1:5" x14ac:dyDescent="0.25">
      <c r="A8748" s="2" t="s">
        <v>6345</v>
      </c>
      <c r="B8748" s="2" t="s">
        <v>1584</v>
      </c>
      <c r="C8748" s="2">
        <v>2</v>
      </c>
      <c r="D8748" t="str">
        <f t="shared" si="136"/>
        <v>US-2016-141544_OFF-ST-10000675</v>
      </c>
      <c r="E8748" t="str">
        <f>IF(COUNTIF(data2!$D:$D,D8748)=0,"Missing in Data2","Present")</f>
        <v>Present</v>
      </c>
    </row>
    <row r="8749" spans="1:5" x14ac:dyDescent="0.25">
      <c r="A8749" s="2" t="s">
        <v>6345</v>
      </c>
      <c r="B8749" s="2" t="s">
        <v>998</v>
      </c>
      <c r="C8749" s="2">
        <v>3</v>
      </c>
      <c r="D8749" t="str">
        <f t="shared" si="136"/>
        <v>US-2016-141544_TEC-PH-10003645</v>
      </c>
      <c r="E8749" t="str">
        <f>IF(COUNTIF(data2!$D:$D,D8749)=0,"Missing in Data2","Present")</f>
        <v>Present</v>
      </c>
    </row>
    <row r="8750" spans="1:5" x14ac:dyDescent="0.25">
      <c r="A8750" s="2" t="s">
        <v>6346</v>
      </c>
      <c r="B8750" s="2" t="s">
        <v>1845</v>
      </c>
      <c r="C8750" s="2">
        <v>3</v>
      </c>
      <c r="D8750" t="str">
        <f t="shared" si="136"/>
        <v>US-2016-141880_FUR-FU-10001979</v>
      </c>
      <c r="E8750" t="str">
        <f>IF(COUNTIF(data2!$D:$D,D8750)=0,"Missing in Data2","Present")</f>
        <v>Present</v>
      </c>
    </row>
    <row r="8751" spans="1:5" x14ac:dyDescent="0.25">
      <c r="A8751" s="2" t="s">
        <v>6347</v>
      </c>
      <c r="B8751" s="2" t="s">
        <v>47</v>
      </c>
      <c r="C8751" s="2">
        <v>6</v>
      </c>
      <c r="D8751" t="str">
        <f t="shared" si="136"/>
        <v>US-2016-142251_OFF-PA-10002986</v>
      </c>
      <c r="E8751" t="str">
        <f>IF(COUNTIF(data2!$D:$D,D8751)=0,"Missing in Data2","Present")</f>
        <v>Present</v>
      </c>
    </row>
    <row r="8752" spans="1:5" x14ac:dyDescent="0.25">
      <c r="A8752" s="2" t="s">
        <v>6348</v>
      </c>
      <c r="B8752" s="2" t="s">
        <v>695</v>
      </c>
      <c r="C8752" s="2">
        <v>7</v>
      </c>
      <c r="D8752" t="str">
        <f t="shared" si="136"/>
        <v>US-2016-142685_OFF-SU-10000157</v>
      </c>
      <c r="E8752" t="str">
        <f>IF(COUNTIF(data2!$D:$D,D8752)=0,"Missing in Data2","Present")</f>
        <v>Present</v>
      </c>
    </row>
    <row r="8753" spans="1:5" x14ac:dyDescent="0.25">
      <c r="A8753" s="2" t="s">
        <v>6349</v>
      </c>
      <c r="B8753" s="2" t="s">
        <v>1653</v>
      </c>
      <c r="C8753" s="2">
        <v>3</v>
      </c>
      <c r="D8753" t="str">
        <f t="shared" si="136"/>
        <v>US-2016-143280_OFF-FA-10000992</v>
      </c>
      <c r="E8753" t="str">
        <f>IF(COUNTIF(data2!$D:$D,D8753)=0,"Missing in Data2","Present")</f>
        <v>Missing in Data2</v>
      </c>
    </row>
    <row r="8754" spans="1:5" x14ac:dyDescent="0.25">
      <c r="A8754" s="2" t="s">
        <v>6349</v>
      </c>
      <c r="B8754" s="2" t="s">
        <v>382</v>
      </c>
      <c r="C8754" s="2">
        <v>1</v>
      </c>
      <c r="D8754" t="str">
        <f t="shared" si="136"/>
        <v>US-2016-143280_TEC-AC-10003399</v>
      </c>
      <c r="E8754" t="str">
        <f>IF(COUNTIF(data2!$D:$D,D8754)=0,"Missing in Data2","Present")</f>
        <v>Present</v>
      </c>
    </row>
    <row r="8755" spans="1:5" x14ac:dyDescent="0.25">
      <c r="A8755" s="2" t="s">
        <v>6349</v>
      </c>
      <c r="B8755" s="2" t="s">
        <v>987</v>
      </c>
      <c r="C8755" s="2">
        <v>5</v>
      </c>
      <c r="D8755" t="str">
        <f t="shared" si="136"/>
        <v>US-2016-143280_TEC-PH-10002398</v>
      </c>
      <c r="E8755" t="str">
        <f>IF(COUNTIF(data2!$D:$D,D8755)=0,"Missing in Data2","Present")</f>
        <v>Present</v>
      </c>
    </row>
    <row r="8756" spans="1:5" x14ac:dyDescent="0.25">
      <c r="A8756" s="2" t="s">
        <v>6350</v>
      </c>
      <c r="B8756" s="2" t="s">
        <v>1682</v>
      </c>
      <c r="C8756" s="2">
        <v>5</v>
      </c>
      <c r="D8756" t="str">
        <f t="shared" si="136"/>
        <v>US-2016-143448_FUR-CH-10003379</v>
      </c>
      <c r="E8756" t="str">
        <f>IF(COUNTIF(data2!$D:$D,D8756)=0,"Missing in Data2","Present")</f>
        <v>Present</v>
      </c>
    </row>
    <row r="8757" spans="1:5" x14ac:dyDescent="0.25">
      <c r="A8757" s="2" t="s">
        <v>6351</v>
      </c>
      <c r="B8757" s="2" t="s">
        <v>2635</v>
      </c>
      <c r="C8757" s="2">
        <v>8</v>
      </c>
      <c r="D8757" t="str">
        <f t="shared" si="136"/>
        <v>US-2016-143819_FUR-TA-10001095</v>
      </c>
      <c r="E8757" t="str">
        <f>IF(COUNTIF(data2!$D:$D,D8757)=0,"Missing in Data2","Present")</f>
        <v>Present</v>
      </c>
    </row>
    <row r="8758" spans="1:5" x14ac:dyDescent="0.25">
      <c r="A8758" s="2" t="s">
        <v>6351</v>
      </c>
      <c r="B8758" s="2" t="s">
        <v>4712</v>
      </c>
      <c r="C8758" s="2">
        <v>1</v>
      </c>
      <c r="D8758" t="str">
        <f t="shared" si="136"/>
        <v>US-2016-143819_OFF-PA-10003127</v>
      </c>
      <c r="E8758" t="str">
        <f>IF(COUNTIF(data2!$D:$D,D8758)=0,"Missing in Data2","Present")</f>
        <v>Present</v>
      </c>
    </row>
    <row r="8759" spans="1:5" x14ac:dyDescent="0.25">
      <c r="A8759" s="2" t="s">
        <v>6351</v>
      </c>
      <c r="B8759" s="2" t="s">
        <v>550</v>
      </c>
      <c r="C8759" s="2">
        <v>2</v>
      </c>
      <c r="D8759" t="str">
        <f t="shared" si="136"/>
        <v>US-2016-143819_OFF-ST-10003208</v>
      </c>
      <c r="E8759" t="str">
        <f>IF(COUNTIF(data2!$D:$D,D8759)=0,"Missing in Data2","Present")</f>
        <v>Present</v>
      </c>
    </row>
    <row r="8760" spans="1:5" x14ac:dyDescent="0.25">
      <c r="A8760" s="2" t="s">
        <v>6351</v>
      </c>
      <c r="B8760" s="2" t="s">
        <v>1632</v>
      </c>
      <c r="C8760" s="2">
        <v>7</v>
      </c>
      <c r="D8760" t="str">
        <f t="shared" si="136"/>
        <v>US-2016-143819_TEC-MA-10003979</v>
      </c>
      <c r="E8760" t="str">
        <f>IF(COUNTIF(data2!$D:$D,D8760)=0,"Missing in Data2","Present")</f>
        <v>Present</v>
      </c>
    </row>
    <row r="8761" spans="1:5" x14ac:dyDescent="0.25">
      <c r="A8761" s="2" t="s">
        <v>6352</v>
      </c>
      <c r="B8761" s="2" t="s">
        <v>5624</v>
      </c>
      <c r="C8761" s="2">
        <v>4</v>
      </c>
      <c r="D8761" t="str">
        <f t="shared" si="136"/>
        <v>US-2016-144057_OFF-AP-10000390</v>
      </c>
      <c r="E8761" t="str">
        <f>IF(COUNTIF(data2!$D:$D,D8761)=0,"Missing in Data2","Present")</f>
        <v>Present</v>
      </c>
    </row>
    <row r="8762" spans="1:5" x14ac:dyDescent="0.25">
      <c r="A8762" s="2" t="s">
        <v>6352</v>
      </c>
      <c r="B8762" s="2" t="s">
        <v>955</v>
      </c>
      <c r="C8762" s="2">
        <v>6</v>
      </c>
      <c r="D8762" t="str">
        <f t="shared" si="136"/>
        <v>US-2016-144057_OFF-BI-10002353</v>
      </c>
      <c r="E8762" t="str">
        <f>IF(COUNTIF(data2!$D:$D,D8762)=0,"Missing in Data2","Present")</f>
        <v>Present</v>
      </c>
    </row>
    <row r="8763" spans="1:5" x14ac:dyDescent="0.25">
      <c r="A8763" s="2" t="s">
        <v>6352</v>
      </c>
      <c r="B8763" s="2" t="s">
        <v>480</v>
      </c>
      <c r="C8763" s="2">
        <v>4</v>
      </c>
      <c r="D8763" t="str">
        <f t="shared" si="136"/>
        <v>US-2016-144057_OFF-BI-10002852</v>
      </c>
      <c r="E8763" t="str">
        <f>IF(COUNTIF(data2!$D:$D,D8763)=0,"Missing in Data2","Present")</f>
        <v>Present</v>
      </c>
    </row>
    <row r="8764" spans="1:5" x14ac:dyDescent="0.25">
      <c r="A8764" s="2" t="s">
        <v>6352</v>
      </c>
      <c r="B8764" s="2" t="s">
        <v>3511</v>
      </c>
      <c r="C8764" s="2">
        <v>2</v>
      </c>
      <c r="D8764" t="str">
        <f t="shared" si="136"/>
        <v>US-2016-144057_OFF-PA-10004327</v>
      </c>
      <c r="E8764" t="str">
        <f>IF(COUNTIF(data2!$D:$D,D8764)=0,"Missing in Data2","Present")</f>
        <v>Present</v>
      </c>
    </row>
    <row r="8765" spans="1:5" x14ac:dyDescent="0.25">
      <c r="A8765" s="2" t="s">
        <v>6353</v>
      </c>
      <c r="B8765" s="2" t="s">
        <v>1495</v>
      </c>
      <c r="C8765" s="2">
        <v>3</v>
      </c>
      <c r="D8765" t="str">
        <f t="shared" si="136"/>
        <v>US-2016-144211_OFF-PA-10002246</v>
      </c>
      <c r="E8765" t="str">
        <f>IF(COUNTIF(data2!$D:$D,D8765)=0,"Missing in Data2","Present")</f>
        <v>Present</v>
      </c>
    </row>
    <row r="8766" spans="1:5" x14ac:dyDescent="0.25">
      <c r="A8766" s="2" t="s">
        <v>6353</v>
      </c>
      <c r="B8766" s="2" t="s">
        <v>737</v>
      </c>
      <c r="C8766" s="2">
        <v>3</v>
      </c>
      <c r="D8766" t="str">
        <f t="shared" si="136"/>
        <v>US-2016-144211_TEC-PH-10002890</v>
      </c>
      <c r="E8766" t="str">
        <f>IF(COUNTIF(data2!$D:$D,D8766)=0,"Missing in Data2","Present")</f>
        <v>Present</v>
      </c>
    </row>
    <row r="8767" spans="1:5" x14ac:dyDescent="0.25">
      <c r="A8767" s="2" t="s">
        <v>6354</v>
      </c>
      <c r="B8767" s="2" t="s">
        <v>989</v>
      </c>
      <c r="C8767" s="2">
        <v>3</v>
      </c>
      <c r="D8767" t="str">
        <f t="shared" si="136"/>
        <v>US-2016-144351_TEC-PH-10001644</v>
      </c>
      <c r="E8767" t="str">
        <f>IF(COUNTIF(data2!$D:$D,D8767)=0,"Missing in Data2","Present")</f>
        <v>Present</v>
      </c>
    </row>
    <row r="8768" spans="1:5" x14ac:dyDescent="0.25">
      <c r="A8768" s="2" t="s">
        <v>6355</v>
      </c>
      <c r="B8768" s="2" t="s">
        <v>2913</v>
      </c>
      <c r="C8768" s="2">
        <v>4</v>
      </c>
      <c r="D8768" t="str">
        <f t="shared" si="136"/>
        <v>US-2016-144393_OFF-BI-10004236</v>
      </c>
      <c r="E8768" t="str">
        <f>IF(COUNTIF(data2!$D:$D,D8768)=0,"Missing in Data2","Present")</f>
        <v>Present</v>
      </c>
    </row>
    <row r="8769" spans="1:5" x14ac:dyDescent="0.25">
      <c r="A8769" s="2" t="s">
        <v>6356</v>
      </c>
      <c r="B8769" s="2" t="s">
        <v>3945</v>
      </c>
      <c r="C8769" s="2">
        <v>4</v>
      </c>
      <c r="D8769" t="str">
        <f t="shared" si="136"/>
        <v>US-2016-144477_OFF-AR-10000914</v>
      </c>
      <c r="E8769" t="str">
        <f>IF(COUNTIF(data2!$D:$D,D8769)=0,"Missing in Data2","Present")</f>
        <v>Present</v>
      </c>
    </row>
    <row r="8770" spans="1:5" x14ac:dyDescent="0.25">
      <c r="A8770" s="2" t="s">
        <v>6357</v>
      </c>
      <c r="B8770" s="2" t="s">
        <v>5395</v>
      </c>
      <c r="C8770" s="2">
        <v>7</v>
      </c>
      <c r="D8770" t="str">
        <f t="shared" si="136"/>
        <v>US-2016-144547_TEC-AC-10004901</v>
      </c>
      <c r="E8770" t="str">
        <f>IF(COUNTIF(data2!$D:$D,D8770)=0,"Missing in Data2","Present")</f>
        <v>Present</v>
      </c>
    </row>
    <row r="8771" spans="1:5" x14ac:dyDescent="0.25">
      <c r="A8771" s="2" t="s">
        <v>6358</v>
      </c>
      <c r="B8771" s="2" t="s">
        <v>1996</v>
      </c>
      <c r="C8771" s="2">
        <v>9</v>
      </c>
      <c r="D8771" t="str">
        <f t="shared" ref="D8771:D8834" si="137">A8771&amp;"_"&amp;B8771</f>
        <v>US-2016-146066_FUR-TA-10002530</v>
      </c>
      <c r="E8771" t="str">
        <f>IF(COUNTIF(data2!$D:$D,D8771)=0,"Missing in Data2","Present")</f>
        <v>Present</v>
      </c>
    </row>
    <row r="8772" spans="1:5" x14ac:dyDescent="0.25">
      <c r="A8772" s="2" t="s">
        <v>6359</v>
      </c>
      <c r="B8772" s="2" t="s">
        <v>2785</v>
      </c>
      <c r="C8772" s="2">
        <v>3</v>
      </c>
      <c r="D8772" t="str">
        <f t="shared" si="137"/>
        <v>US-2016-146570_OFF-AR-10003856</v>
      </c>
      <c r="E8772" t="str">
        <f>IF(COUNTIF(data2!$D:$D,D8772)=0,"Missing in Data2","Present")</f>
        <v>Present</v>
      </c>
    </row>
    <row r="8773" spans="1:5" x14ac:dyDescent="0.25">
      <c r="A8773" s="2" t="s">
        <v>6359</v>
      </c>
      <c r="B8773" s="2" t="s">
        <v>2324</v>
      </c>
      <c r="C8773" s="2">
        <v>8</v>
      </c>
      <c r="D8773" t="str">
        <f t="shared" si="137"/>
        <v>US-2016-146570_OFF-BI-10001718</v>
      </c>
      <c r="E8773" t="str">
        <f>IF(COUNTIF(data2!$D:$D,D8773)=0,"Missing in Data2","Present")</f>
        <v>Present</v>
      </c>
    </row>
    <row r="8774" spans="1:5" x14ac:dyDescent="0.25">
      <c r="A8774" s="2" t="s">
        <v>6360</v>
      </c>
      <c r="B8774" s="2" t="s">
        <v>1968</v>
      </c>
      <c r="C8774" s="2">
        <v>1</v>
      </c>
      <c r="D8774" t="str">
        <f t="shared" si="137"/>
        <v>US-2016-146710_OFF-PA-10002615</v>
      </c>
      <c r="E8774" t="str">
        <f>IF(COUNTIF(data2!$D:$D,D8774)=0,"Missing in Data2","Present")</f>
        <v>Present</v>
      </c>
    </row>
    <row r="8775" spans="1:5" x14ac:dyDescent="0.25">
      <c r="A8775" s="2" t="s">
        <v>6360</v>
      </c>
      <c r="B8775" s="2" t="s">
        <v>2528</v>
      </c>
      <c r="C8775" s="2">
        <v>1</v>
      </c>
      <c r="D8775" t="str">
        <f t="shared" si="137"/>
        <v>US-2016-146710_OFF-PA-10004971</v>
      </c>
      <c r="E8775" t="str">
        <f>IF(COUNTIF(data2!$D:$D,D8775)=0,"Missing in Data2","Present")</f>
        <v>Present</v>
      </c>
    </row>
    <row r="8776" spans="1:5" x14ac:dyDescent="0.25">
      <c r="A8776" s="2" t="s">
        <v>6360</v>
      </c>
      <c r="B8776" s="2" t="s">
        <v>3048</v>
      </c>
      <c r="C8776" s="2">
        <v>4</v>
      </c>
      <c r="D8776" t="str">
        <f t="shared" si="137"/>
        <v>US-2016-146710_OFF-SU-10004261</v>
      </c>
      <c r="E8776" t="str">
        <f>IF(COUNTIF(data2!$D:$D,D8776)=0,"Missing in Data2","Present")</f>
        <v>Present</v>
      </c>
    </row>
    <row r="8777" spans="1:5" x14ac:dyDescent="0.25">
      <c r="A8777" s="2" t="s">
        <v>6360</v>
      </c>
      <c r="B8777" s="2" t="s">
        <v>2537</v>
      </c>
      <c r="C8777" s="2">
        <v>5</v>
      </c>
      <c r="D8777" t="str">
        <f t="shared" si="137"/>
        <v>US-2016-146710_OFF-SU-10004498</v>
      </c>
      <c r="E8777" t="str">
        <f>IF(COUNTIF(data2!$D:$D,D8777)=0,"Missing in Data2","Present")</f>
        <v>Present</v>
      </c>
    </row>
    <row r="8778" spans="1:5" x14ac:dyDescent="0.25">
      <c r="A8778" s="2" t="s">
        <v>6361</v>
      </c>
      <c r="B8778" s="2" t="s">
        <v>489</v>
      </c>
      <c r="C8778" s="2">
        <v>5</v>
      </c>
      <c r="D8778" t="str">
        <f t="shared" si="137"/>
        <v>US-2016-146794_FUR-BO-10004467</v>
      </c>
      <c r="E8778" t="str">
        <f>IF(COUNTIF(data2!$D:$D,D8778)=0,"Missing in Data2","Present")</f>
        <v>Present</v>
      </c>
    </row>
    <row r="8779" spans="1:5" x14ac:dyDescent="0.25">
      <c r="A8779" s="2" t="s">
        <v>6362</v>
      </c>
      <c r="B8779" s="2" t="s">
        <v>2238</v>
      </c>
      <c r="C8779" s="2">
        <v>1</v>
      </c>
      <c r="D8779" t="str">
        <f t="shared" si="137"/>
        <v>US-2016-146857_OFF-AP-10001205</v>
      </c>
      <c r="E8779" t="str">
        <f>IF(COUNTIF(data2!$D:$D,D8779)=0,"Missing in Data2","Present")</f>
        <v>Present</v>
      </c>
    </row>
    <row r="8780" spans="1:5" x14ac:dyDescent="0.25">
      <c r="A8780" s="2" t="s">
        <v>6363</v>
      </c>
      <c r="B8780" s="2" t="s">
        <v>635</v>
      </c>
      <c r="C8780" s="2">
        <v>3</v>
      </c>
      <c r="D8780" t="str">
        <f t="shared" si="137"/>
        <v>US-2016-147711_FUR-BO-10003159</v>
      </c>
      <c r="E8780" t="str">
        <f>IF(COUNTIF(data2!$D:$D,D8780)=0,"Missing in Data2","Present")</f>
        <v>Present</v>
      </c>
    </row>
    <row r="8781" spans="1:5" x14ac:dyDescent="0.25">
      <c r="A8781" s="2" t="s">
        <v>6363</v>
      </c>
      <c r="B8781" s="2" t="s">
        <v>1325</v>
      </c>
      <c r="C8781" s="2">
        <v>2</v>
      </c>
      <c r="D8781" t="str">
        <f t="shared" si="137"/>
        <v>US-2016-147711_FUR-FU-10002364</v>
      </c>
      <c r="E8781" t="str">
        <f>IF(COUNTIF(data2!$D:$D,D8781)=0,"Missing in Data2","Present")</f>
        <v>Present</v>
      </c>
    </row>
    <row r="8782" spans="1:5" x14ac:dyDescent="0.25">
      <c r="A8782" s="2" t="s">
        <v>6363</v>
      </c>
      <c r="B8782" s="2" t="s">
        <v>413</v>
      </c>
      <c r="C8782" s="2">
        <v>2</v>
      </c>
      <c r="D8782" t="str">
        <f t="shared" si="137"/>
        <v>US-2016-147711_OFF-BI-10003350</v>
      </c>
      <c r="E8782" t="str">
        <f>IF(COUNTIF(data2!$D:$D,D8782)=0,"Missing in Data2","Present")</f>
        <v>Present</v>
      </c>
    </row>
    <row r="8783" spans="1:5" x14ac:dyDescent="0.25">
      <c r="A8783" s="2" t="s">
        <v>6363</v>
      </c>
      <c r="B8783" s="2" t="s">
        <v>2712</v>
      </c>
      <c r="C8783" s="2">
        <v>8</v>
      </c>
      <c r="D8783" t="str">
        <f t="shared" si="137"/>
        <v>US-2016-147711_OFF-LA-10004093</v>
      </c>
      <c r="E8783" t="str">
        <f>IF(COUNTIF(data2!$D:$D,D8783)=0,"Missing in Data2","Present")</f>
        <v>Present</v>
      </c>
    </row>
    <row r="8784" spans="1:5" x14ac:dyDescent="0.25">
      <c r="A8784" s="2" t="s">
        <v>6364</v>
      </c>
      <c r="B8784" s="2" t="s">
        <v>461</v>
      </c>
      <c r="C8784" s="2">
        <v>5</v>
      </c>
      <c r="D8784" t="str">
        <f t="shared" si="137"/>
        <v>US-2016-147991_FUR-FU-10004270</v>
      </c>
      <c r="E8784" t="str">
        <f>IF(COUNTIF(data2!$D:$D,D8784)=0,"Missing in Data2","Present")</f>
        <v>Present</v>
      </c>
    </row>
    <row r="8785" spans="1:5" x14ac:dyDescent="0.25">
      <c r="A8785" s="2" t="s">
        <v>6365</v>
      </c>
      <c r="B8785" s="2" t="s">
        <v>1419</v>
      </c>
      <c r="C8785" s="2">
        <v>7</v>
      </c>
      <c r="D8785" t="str">
        <f t="shared" si="137"/>
        <v>US-2016-148110_FUR-CH-10002647</v>
      </c>
      <c r="E8785" t="str">
        <f>IF(COUNTIF(data2!$D:$D,D8785)=0,"Missing in Data2","Present")</f>
        <v>Present</v>
      </c>
    </row>
    <row r="8786" spans="1:5" x14ac:dyDescent="0.25">
      <c r="A8786" s="2" t="s">
        <v>6366</v>
      </c>
      <c r="B8786" s="2" t="s">
        <v>206</v>
      </c>
      <c r="C8786" s="2">
        <v>2</v>
      </c>
      <c r="D8786" t="str">
        <f t="shared" si="137"/>
        <v>US-2016-148334_OFF-BI-10003676</v>
      </c>
      <c r="E8786" t="str">
        <f>IF(COUNTIF(data2!$D:$D,D8786)=0,"Missing in Data2","Present")</f>
        <v>Present</v>
      </c>
    </row>
    <row r="8787" spans="1:5" x14ac:dyDescent="0.25">
      <c r="A8787" s="2" t="s">
        <v>6367</v>
      </c>
      <c r="B8787" s="2" t="s">
        <v>2565</v>
      </c>
      <c r="C8787" s="2">
        <v>3</v>
      </c>
      <c r="D8787" t="str">
        <f t="shared" si="137"/>
        <v>US-2016-148803_OFF-ST-10001476</v>
      </c>
      <c r="E8787" t="str">
        <f>IF(COUNTIF(data2!$D:$D,D8787)=0,"Missing in Data2","Present")</f>
        <v>Present</v>
      </c>
    </row>
    <row r="8788" spans="1:5" x14ac:dyDescent="0.25">
      <c r="A8788" s="2" t="s">
        <v>6368</v>
      </c>
      <c r="B8788" s="2" t="s">
        <v>2458</v>
      </c>
      <c r="C8788" s="2">
        <v>3</v>
      </c>
      <c r="D8788" t="str">
        <f t="shared" si="137"/>
        <v>US-2016-148901_FUR-FU-10002396</v>
      </c>
      <c r="E8788" t="str">
        <f>IF(COUNTIF(data2!$D:$D,D8788)=0,"Missing in Data2","Present")</f>
        <v>Present</v>
      </c>
    </row>
    <row r="8789" spans="1:5" x14ac:dyDescent="0.25">
      <c r="A8789" s="2" t="s">
        <v>6368</v>
      </c>
      <c r="B8789" s="2" t="s">
        <v>1903</v>
      </c>
      <c r="C8789" s="2">
        <v>2</v>
      </c>
      <c r="D8789" t="str">
        <f t="shared" si="137"/>
        <v>US-2016-148901_OFF-AR-10002467</v>
      </c>
      <c r="E8789" t="str">
        <f>IF(COUNTIF(data2!$D:$D,D8789)=0,"Missing in Data2","Present")</f>
        <v>Present</v>
      </c>
    </row>
    <row r="8790" spans="1:5" x14ac:dyDescent="0.25">
      <c r="A8790" s="2" t="s">
        <v>6368</v>
      </c>
      <c r="B8790" s="2" t="s">
        <v>2324</v>
      </c>
      <c r="C8790" s="2">
        <v>3</v>
      </c>
      <c r="D8790" t="str">
        <f t="shared" si="137"/>
        <v>US-2016-148901_OFF-BI-10001718</v>
      </c>
      <c r="E8790" t="str">
        <f>IF(COUNTIF(data2!$D:$D,D8790)=0,"Missing in Data2","Present")</f>
        <v>Present</v>
      </c>
    </row>
    <row r="8791" spans="1:5" x14ac:dyDescent="0.25">
      <c r="A8791" s="2" t="s">
        <v>6368</v>
      </c>
      <c r="B8791" s="2" t="s">
        <v>3655</v>
      </c>
      <c r="C8791" s="2">
        <v>8</v>
      </c>
      <c r="D8791" t="str">
        <f t="shared" si="137"/>
        <v>US-2016-148901_OFF-BI-10002309</v>
      </c>
      <c r="E8791" t="str">
        <f>IF(COUNTIF(data2!$D:$D,D8791)=0,"Missing in Data2","Present")</f>
        <v>Present</v>
      </c>
    </row>
    <row r="8792" spans="1:5" x14ac:dyDescent="0.25">
      <c r="A8792" s="2" t="s">
        <v>6368</v>
      </c>
      <c r="B8792" s="2" t="s">
        <v>2543</v>
      </c>
      <c r="C8792" s="2">
        <v>2</v>
      </c>
      <c r="D8792" t="str">
        <f t="shared" si="137"/>
        <v>US-2016-148901_OFF-BI-10004002</v>
      </c>
      <c r="E8792" t="str">
        <f>IF(COUNTIF(data2!$D:$D,D8792)=0,"Missing in Data2","Present")</f>
        <v>Present</v>
      </c>
    </row>
    <row r="8793" spans="1:5" x14ac:dyDescent="0.25">
      <c r="A8793" s="2" t="s">
        <v>6368</v>
      </c>
      <c r="B8793" s="2" t="s">
        <v>177</v>
      </c>
      <c r="C8793" s="2">
        <v>6</v>
      </c>
      <c r="D8793" t="str">
        <f t="shared" si="137"/>
        <v>US-2016-148901_OFF-PA-10004983</v>
      </c>
      <c r="E8793" t="str">
        <f>IF(COUNTIF(data2!$D:$D,D8793)=0,"Missing in Data2","Present")</f>
        <v>Present</v>
      </c>
    </row>
    <row r="8794" spans="1:5" x14ac:dyDescent="0.25">
      <c r="A8794" s="2" t="s">
        <v>6368</v>
      </c>
      <c r="B8794" s="2" t="s">
        <v>1616</v>
      </c>
      <c r="C8794" s="2">
        <v>5</v>
      </c>
      <c r="D8794" t="str">
        <f t="shared" si="137"/>
        <v>US-2016-148901_TEC-PH-10003988</v>
      </c>
      <c r="E8794" t="str">
        <f>IF(COUNTIF(data2!$D:$D,D8794)=0,"Missing in Data2","Present")</f>
        <v>Present</v>
      </c>
    </row>
    <row r="8795" spans="1:5" x14ac:dyDescent="0.25">
      <c r="A8795" s="2" t="s">
        <v>6369</v>
      </c>
      <c r="B8795" s="2" t="s">
        <v>945</v>
      </c>
      <c r="C8795" s="2">
        <v>4</v>
      </c>
      <c r="D8795" t="str">
        <f t="shared" si="137"/>
        <v>US-2016-148957_OFF-LA-10002195</v>
      </c>
      <c r="E8795" t="str">
        <f>IF(COUNTIF(data2!$D:$D,D8795)=0,"Missing in Data2","Present")</f>
        <v>Present</v>
      </c>
    </row>
    <row r="8796" spans="1:5" x14ac:dyDescent="0.25">
      <c r="A8796" s="2" t="s">
        <v>6370</v>
      </c>
      <c r="B8796" s="2" t="s">
        <v>637</v>
      </c>
      <c r="C8796" s="2">
        <v>2</v>
      </c>
      <c r="D8796" t="str">
        <f t="shared" si="137"/>
        <v>US-2016-149790_OFF-BI-10002026</v>
      </c>
      <c r="E8796" t="str">
        <f>IF(COUNTIF(data2!$D:$D,D8796)=0,"Missing in Data2","Present")</f>
        <v>Present</v>
      </c>
    </row>
    <row r="8797" spans="1:5" x14ac:dyDescent="0.25">
      <c r="A8797" s="2" t="s">
        <v>6371</v>
      </c>
      <c r="B8797" s="2" t="s">
        <v>1290</v>
      </c>
      <c r="C8797" s="2">
        <v>2</v>
      </c>
      <c r="D8797" t="str">
        <f t="shared" si="137"/>
        <v>US-2016-150035_FUR-FU-10003724</v>
      </c>
      <c r="E8797" t="str">
        <f>IF(COUNTIF(data2!$D:$D,D8797)=0,"Missing in Data2","Present")</f>
        <v>Present</v>
      </c>
    </row>
    <row r="8798" spans="1:5" x14ac:dyDescent="0.25">
      <c r="A8798" s="2" t="s">
        <v>6372</v>
      </c>
      <c r="B8798" s="2" t="s">
        <v>3146</v>
      </c>
      <c r="C8798" s="2">
        <v>5</v>
      </c>
      <c r="D8798" t="str">
        <f t="shared" si="137"/>
        <v>US-2016-150140_TEC-PH-10002555</v>
      </c>
      <c r="E8798" t="str">
        <f>IF(COUNTIF(data2!$D:$D,D8798)=0,"Missing in Data2","Present")</f>
        <v>Present</v>
      </c>
    </row>
    <row r="8799" spans="1:5" x14ac:dyDescent="0.25">
      <c r="A8799" s="2" t="s">
        <v>6373</v>
      </c>
      <c r="B8799" s="2" t="s">
        <v>2708</v>
      </c>
      <c r="C8799" s="2">
        <v>2</v>
      </c>
      <c r="D8799" t="str">
        <f t="shared" si="137"/>
        <v>US-2016-150147_OFF-BI-10001153</v>
      </c>
      <c r="E8799" t="str">
        <f>IF(COUNTIF(data2!$D:$D,D8799)=0,"Missing in Data2","Present")</f>
        <v>Present</v>
      </c>
    </row>
    <row r="8800" spans="1:5" x14ac:dyDescent="0.25">
      <c r="A8800" s="2" t="s">
        <v>6373</v>
      </c>
      <c r="B8800" s="2" t="s">
        <v>274</v>
      </c>
      <c r="C8800" s="2">
        <v>3</v>
      </c>
      <c r="D8800" t="str">
        <f t="shared" si="137"/>
        <v>US-2016-150147_OFF-BI-10001982</v>
      </c>
      <c r="E8800" t="str">
        <f>IF(COUNTIF(data2!$D:$D,D8800)=0,"Missing in Data2","Present")</f>
        <v>Present</v>
      </c>
    </row>
    <row r="8801" spans="1:5" x14ac:dyDescent="0.25">
      <c r="A8801" s="2" t="s">
        <v>6373</v>
      </c>
      <c r="B8801" s="2" t="s">
        <v>541</v>
      </c>
      <c r="C8801" s="2">
        <v>2</v>
      </c>
      <c r="D8801" t="str">
        <f t="shared" si="137"/>
        <v>US-2016-150147_TEC-PH-10004614</v>
      </c>
      <c r="E8801" t="str">
        <f>IF(COUNTIF(data2!$D:$D,D8801)=0,"Missing in Data2","Present")</f>
        <v>Present</v>
      </c>
    </row>
    <row r="8802" spans="1:5" x14ac:dyDescent="0.25">
      <c r="A8802" s="2" t="s">
        <v>6374</v>
      </c>
      <c r="B8802" s="2" t="s">
        <v>1825</v>
      </c>
      <c r="C8802" s="2">
        <v>3</v>
      </c>
      <c r="D8802" t="str">
        <f t="shared" si="137"/>
        <v>US-2016-150357_OFF-BI-10002557</v>
      </c>
      <c r="E8802" t="str">
        <f>IF(COUNTIF(data2!$D:$D,D8802)=0,"Missing in Data2","Present")</f>
        <v>Present</v>
      </c>
    </row>
    <row r="8803" spans="1:5" x14ac:dyDescent="0.25">
      <c r="A8803" s="2" t="s">
        <v>6374</v>
      </c>
      <c r="B8803" s="2" t="s">
        <v>2537</v>
      </c>
      <c r="C8803" s="2">
        <v>2</v>
      </c>
      <c r="D8803" t="str">
        <f t="shared" si="137"/>
        <v>US-2016-150357_OFF-SU-10004498</v>
      </c>
      <c r="E8803" t="str">
        <f>IF(COUNTIF(data2!$D:$D,D8803)=0,"Missing in Data2","Present")</f>
        <v>Present</v>
      </c>
    </row>
    <row r="8804" spans="1:5" x14ac:dyDescent="0.25">
      <c r="A8804" s="2" t="s">
        <v>6375</v>
      </c>
      <c r="B8804" s="2" t="s">
        <v>1149</v>
      </c>
      <c r="C8804" s="2">
        <v>6</v>
      </c>
      <c r="D8804" t="str">
        <f t="shared" si="137"/>
        <v>US-2016-150567_OFF-BI-10000069</v>
      </c>
      <c r="E8804" t="str">
        <f>IF(COUNTIF(data2!$D:$D,D8804)=0,"Missing in Data2","Present")</f>
        <v>Present</v>
      </c>
    </row>
    <row r="8805" spans="1:5" x14ac:dyDescent="0.25">
      <c r="A8805" s="2" t="s">
        <v>6375</v>
      </c>
      <c r="B8805" s="2" t="s">
        <v>1065</v>
      </c>
      <c r="C8805" s="2">
        <v>2</v>
      </c>
      <c r="D8805" t="str">
        <f t="shared" si="137"/>
        <v>US-2016-150567_OFF-BI-10001757</v>
      </c>
      <c r="E8805" t="str">
        <f>IF(COUNTIF(data2!$D:$D,D8805)=0,"Missing in Data2","Present")</f>
        <v>Present</v>
      </c>
    </row>
    <row r="8806" spans="1:5" x14ac:dyDescent="0.25">
      <c r="A8806" s="2" t="s">
        <v>6376</v>
      </c>
      <c r="B8806" s="2" t="s">
        <v>949</v>
      </c>
      <c r="C8806" s="2">
        <v>3</v>
      </c>
      <c r="D8806" t="str">
        <f t="shared" si="137"/>
        <v>US-2016-150861_FUR-CH-10002965</v>
      </c>
      <c r="E8806" t="str">
        <f>IF(COUNTIF(data2!$D:$D,D8806)=0,"Missing in Data2","Present")</f>
        <v>Present</v>
      </c>
    </row>
    <row r="8807" spans="1:5" x14ac:dyDescent="0.25">
      <c r="A8807" s="2" t="s">
        <v>6376</v>
      </c>
      <c r="B8807" s="2" t="s">
        <v>3116</v>
      </c>
      <c r="C8807" s="2">
        <v>2</v>
      </c>
      <c r="D8807" t="str">
        <f t="shared" si="137"/>
        <v>US-2016-150861_OFF-LA-10001317</v>
      </c>
      <c r="E8807" t="str">
        <f>IF(COUNTIF(data2!$D:$D,D8807)=0,"Missing in Data2","Present")</f>
        <v>Present</v>
      </c>
    </row>
    <row r="8808" spans="1:5" x14ac:dyDescent="0.25">
      <c r="A8808" s="2" t="s">
        <v>6376</v>
      </c>
      <c r="B8808" s="2" t="s">
        <v>2512</v>
      </c>
      <c r="C8808" s="2">
        <v>8</v>
      </c>
      <c r="D8808" t="str">
        <f t="shared" si="137"/>
        <v>US-2016-150861_OFF-PA-10001954</v>
      </c>
      <c r="E8808" t="str">
        <f>IF(COUNTIF(data2!$D:$D,D8808)=0,"Missing in Data2","Present")</f>
        <v>Present</v>
      </c>
    </row>
    <row r="8809" spans="1:5" x14ac:dyDescent="0.25">
      <c r="A8809" s="2" t="s">
        <v>6376</v>
      </c>
      <c r="B8809" s="2" t="s">
        <v>1087</v>
      </c>
      <c r="C8809" s="2">
        <v>3</v>
      </c>
      <c r="D8809" t="str">
        <f t="shared" si="137"/>
        <v>US-2016-150861_OFF-ST-10004634</v>
      </c>
      <c r="E8809" t="str">
        <f>IF(COUNTIF(data2!$D:$D,D8809)=0,"Missing in Data2","Present")</f>
        <v>Present</v>
      </c>
    </row>
    <row r="8810" spans="1:5" x14ac:dyDescent="0.25">
      <c r="A8810" s="2" t="s">
        <v>6377</v>
      </c>
      <c r="B8810" s="2" t="s">
        <v>545</v>
      </c>
      <c r="C8810" s="2">
        <v>4</v>
      </c>
      <c r="D8810" t="str">
        <f t="shared" si="137"/>
        <v>US-2016-151260_OFF-AP-10002892</v>
      </c>
      <c r="E8810" t="str">
        <f>IF(COUNTIF(data2!$D:$D,D8810)=0,"Missing in Data2","Present")</f>
        <v>Present</v>
      </c>
    </row>
    <row r="8811" spans="1:5" x14ac:dyDescent="0.25">
      <c r="A8811" s="2" t="s">
        <v>6378</v>
      </c>
      <c r="B8811" s="2" t="s">
        <v>1912</v>
      </c>
      <c r="C8811" s="2">
        <v>2</v>
      </c>
      <c r="D8811" t="str">
        <f t="shared" si="137"/>
        <v>US-2016-151827_TEC-AC-10003289</v>
      </c>
      <c r="E8811" t="str">
        <f>IF(COUNTIF(data2!$D:$D,D8811)=0,"Missing in Data2","Present")</f>
        <v>Present</v>
      </c>
    </row>
    <row r="8812" spans="1:5" x14ac:dyDescent="0.25">
      <c r="A8812" s="2" t="s">
        <v>6379</v>
      </c>
      <c r="B8812" s="2" t="s">
        <v>6380</v>
      </c>
      <c r="C8812" s="2">
        <v>2</v>
      </c>
      <c r="D8812" t="str">
        <f t="shared" si="137"/>
        <v>US-2016-151862_TEC-PH-10003535</v>
      </c>
      <c r="E8812" t="str">
        <f>IF(COUNTIF(data2!$D:$D,D8812)=0,"Missing in Data2","Present")</f>
        <v>Present</v>
      </c>
    </row>
    <row r="8813" spans="1:5" x14ac:dyDescent="0.25">
      <c r="A8813" s="2" t="s">
        <v>6381</v>
      </c>
      <c r="B8813" s="2" t="s">
        <v>949</v>
      </c>
      <c r="C8813" s="2">
        <v>3</v>
      </c>
      <c r="D8813" t="str">
        <f t="shared" si="137"/>
        <v>US-2016-152051_FUR-CH-10002965</v>
      </c>
      <c r="E8813" t="str">
        <f>IF(COUNTIF(data2!$D:$D,D8813)=0,"Missing in Data2","Present")</f>
        <v>Present</v>
      </c>
    </row>
    <row r="8814" spans="1:5" x14ac:dyDescent="0.25">
      <c r="A8814" s="2" t="s">
        <v>6381</v>
      </c>
      <c r="B8814" s="2" t="s">
        <v>1907</v>
      </c>
      <c r="C8814" s="2">
        <v>4</v>
      </c>
      <c r="D8814" t="str">
        <f t="shared" si="137"/>
        <v>US-2016-152051_OFF-BI-10004781</v>
      </c>
      <c r="E8814" t="str">
        <f>IF(COUNTIF(data2!$D:$D,D8814)=0,"Missing in Data2","Present")</f>
        <v>Present</v>
      </c>
    </row>
    <row r="8815" spans="1:5" x14ac:dyDescent="0.25">
      <c r="A8815" s="2" t="s">
        <v>6381</v>
      </c>
      <c r="B8815" s="2" t="s">
        <v>1347</v>
      </c>
      <c r="C8815" s="2">
        <v>6</v>
      </c>
      <c r="D8815" t="str">
        <f t="shared" si="137"/>
        <v>US-2016-152051_OFF-ST-10001713</v>
      </c>
      <c r="E8815" t="str">
        <f>IF(COUNTIF(data2!$D:$D,D8815)=0,"Missing in Data2","Present")</f>
        <v>Present</v>
      </c>
    </row>
    <row r="8816" spans="1:5" x14ac:dyDescent="0.25">
      <c r="A8816" s="2" t="s">
        <v>6382</v>
      </c>
      <c r="B8816" s="2" t="s">
        <v>39</v>
      </c>
      <c r="C8816" s="2">
        <v>3</v>
      </c>
      <c r="D8816" t="str">
        <f t="shared" si="137"/>
        <v>US-2016-152373_OFF-ST-10003479</v>
      </c>
      <c r="E8816" t="str">
        <f>IF(COUNTIF(data2!$D:$D,D8816)=0,"Missing in Data2","Present")</f>
        <v>Present</v>
      </c>
    </row>
    <row r="8817" spans="1:5" x14ac:dyDescent="0.25">
      <c r="A8817" s="2" t="s">
        <v>6383</v>
      </c>
      <c r="B8817" s="2" t="s">
        <v>3622</v>
      </c>
      <c r="C8817" s="2">
        <v>3</v>
      </c>
      <c r="D8817" t="str">
        <f t="shared" si="137"/>
        <v>US-2016-152415_FUR-FU-10002597</v>
      </c>
      <c r="E8817" t="str">
        <f>IF(COUNTIF(data2!$D:$D,D8817)=0,"Missing in Data2","Present")</f>
        <v>Present</v>
      </c>
    </row>
    <row r="8818" spans="1:5" x14ac:dyDescent="0.25">
      <c r="A8818" s="2" t="s">
        <v>6383</v>
      </c>
      <c r="B8818" s="2" t="s">
        <v>226</v>
      </c>
      <c r="C8818" s="2">
        <v>3</v>
      </c>
      <c r="D8818" t="str">
        <f t="shared" si="137"/>
        <v>US-2016-152415_FUR-FU-10004864</v>
      </c>
      <c r="E8818" t="str">
        <f>IF(COUNTIF(data2!$D:$D,D8818)=0,"Missing in Data2","Present")</f>
        <v>Present</v>
      </c>
    </row>
    <row r="8819" spans="1:5" x14ac:dyDescent="0.25">
      <c r="A8819" s="2" t="s">
        <v>6384</v>
      </c>
      <c r="B8819" s="2" t="s">
        <v>1278</v>
      </c>
      <c r="C8819" s="2">
        <v>5</v>
      </c>
      <c r="D8819" t="str">
        <f t="shared" si="137"/>
        <v>US-2016-152835_OFF-AR-10003056</v>
      </c>
      <c r="E8819" t="str">
        <f>IF(COUNTIF(data2!$D:$D,D8819)=0,"Missing in Data2","Present")</f>
        <v>Present</v>
      </c>
    </row>
    <row r="8820" spans="1:5" x14ac:dyDescent="0.25">
      <c r="A8820" s="2" t="s">
        <v>6385</v>
      </c>
      <c r="B8820" s="2" t="s">
        <v>4498</v>
      </c>
      <c r="C8820" s="2">
        <v>5</v>
      </c>
      <c r="D8820" t="str">
        <f t="shared" si="137"/>
        <v>US-2016-153129_OFF-PA-10003673</v>
      </c>
      <c r="E8820" t="str">
        <f>IF(COUNTIF(data2!$D:$D,D8820)=0,"Missing in Data2","Present")</f>
        <v>Present</v>
      </c>
    </row>
    <row r="8821" spans="1:5" x14ac:dyDescent="0.25">
      <c r="A8821" s="2" t="s">
        <v>6386</v>
      </c>
      <c r="B8821" s="2" t="s">
        <v>665</v>
      </c>
      <c r="C8821" s="2">
        <v>2</v>
      </c>
      <c r="D8821" t="str">
        <f t="shared" si="137"/>
        <v>US-2016-153815_FUR-CH-10000513</v>
      </c>
      <c r="E8821" t="str">
        <f>IF(COUNTIF(data2!$D:$D,D8821)=0,"Missing in Data2","Present")</f>
        <v>Present</v>
      </c>
    </row>
    <row r="8822" spans="1:5" x14ac:dyDescent="0.25">
      <c r="A8822" s="2" t="s">
        <v>6386</v>
      </c>
      <c r="B8822" s="2" t="s">
        <v>1111</v>
      </c>
      <c r="C8822" s="2">
        <v>2</v>
      </c>
      <c r="D8822" t="str">
        <f t="shared" si="137"/>
        <v>US-2016-153815_FUR-FU-10004090</v>
      </c>
      <c r="E8822" t="str">
        <f>IF(COUNTIF(data2!$D:$D,D8822)=0,"Missing in Data2","Present")</f>
        <v>Present</v>
      </c>
    </row>
    <row r="8823" spans="1:5" x14ac:dyDescent="0.25">
      <c r="A8823" s="2" t="s">
        <v>6386</v>
      </c>
      <c r="B8823" s="2" t="s">
        <v>3620</v>
      </c>
      <c r="C8823" s="2">
        <v>2</v>
      </c>
      <c r="D8823" t="str">
        <f t="shared" si="137"/>
        <v>US-2016-153815_OFF-PA-10002421</v>
      </c>
      <c r="E8823" t="str">
        <f>IF(COUNTIF(data2!$D:$D,D8823)=0,"Missing in Data2","Present")</f>
        <v>Present</v>
      </c>
    </row>
    <row r="8824" spans="1:5" x14ac:dyDescent="0.25">
      <c r="A8824" s="2" t="s">
        <v>6386</v>
      </c>
      <c r="B8824" s="2" t="s">
        <v>477</v>
      </c>
      <c r="C8824" s="2">
        <v>2</v>
      </c>
      <c r="D8824" t="str">
        <f t="shared" si="137"/>
        <v>US-2016-153815_OFF-PA-10004071</v>
      </c>
      <c r="E8824" t="str">
        <f>IF(COUNTIF(data2!$D:$D,D8824)=0,"Missing in Data2","Present")</f>
        <v>Present</v>
      </c>
    </row>
    <row r="8825" spans="1:5" x14ac:dyDescent="0.25">
      <c r="A8825" s="2" t="s">
        <v>6387</v>
      </c>
      <c r="B8825" s="2" t="s">
        <v>114</v>
      </c>
      <c r="C8825" s="2">
        <v>7</v>
      </c>
      <c r="D8825" t="str">
        <f t="shared" si="137"/>
        <v>US-2016-154256_OFF-LA-10003720</v>
      </c>
      <c r="E8825" t="str">
        <f>IF(COUNTIF(data2!$D:$D,D8825)=0,"Missing in Data2","Present")</f>
        <v>Present</v>
      </c>
    </row>
    <row r="8826" spans="1:5" x14ac:dyDescent="0.25">
      <c r="A8826" s="2" t="s">
        <v>6388</v>
      </c>
      <c r="B8826" s="2" t="s">
        <v>1033</v>
      </c>
      <c r="C8826" s="2">
        <v>5</v>
      </c>
      <c r="D8826" t="str">
        <f t="shared" si="137"/>
        <v>US-2016-154361_FUR-FU-10004020</v>
      </c>
      <c r="E8826" t="str">
        <f>IF(COUNTIF(data2!$D:$D,D8826)=0,"Missing in Data2","Present")</f>
        <v>Present</v>
      </c>
    </row>
    <row r="8827" spans="1:5" x14ac:dyDescent="0.25">
      <c r="A8827" s="2" t="s">
        <v>6389</v>
      </c>
      <c r="B8827" s="2" t="s">
        <v>2913</v>
      </c>
      <c r="C8827" s="2">
        <v>3</v>
      </c>
      <c r="D8827" t="str">
        <f t="shared" si="137"/>
        <v>US-2016-155103_OFF-BI-10004236</v>
      </c>
      <c r="E8827" t="str">
        <f>IF(COUNTIF(data2!$D:$D,D8827)=0,"Missing in Data2","Present")</f>
        <v>Present</v>
      </c>
    </row>
    <row r="8828" spans="1:5" x14ac:dyDescent="0.25">
      <c r="A8828" s="2" t="s">
        <v>6389</v>
      </c>
      <c r="B8828" s="2" t="s">
        <v>3214</v>
      </c>
      <c r="C8828" s="2">
        <v>3</v>
      </c>
      <c r="D8828" t="str">
        <f t="shared" si="137"/>
        <v>US-2016-155103_OFF-BI-10004318</v>
      </c>
      <c r="E8828" t="str">
        <f>IF(COUNTIF(data2!$D:$D,D8828)=0,"Missing in Data2","Present")</f>
        <v>Present</v>
      </c>
    </row>
    <row r="8829" spans="1:5" x14ac:dyDescent="0.25">
      <c r="A8829" s="2" t="s">
        <v>6389</v>
      </c>
      <c r="B8829" s="2" t="s">
        <v>1510</v>
      </c>
      <c r="C8829" s="2">
        <v>1</v>
      </c>
      <c r="D8829" t="str">
        <f t="shared" si="137"/>
        <v>US-2016-155103_OFF-PA-10000062</v>
      </c>
      <c r="E8829" t="str">
        <f>IF(COUNTIF(data2!$D:$D,D8829)=0,"Missing in Data2","Present")</f>
        <v>Present</v>
      </c>
    </row>
    <row r="8830" spans="1:5" x14ac:dyDescent="0.25">
      <c r="A8830" s="2" t="s">
        <v>6390</v>
      </c>
      <c r="B8830" s="2" t="s">
        <v>1734</v>
      </c>
      <c r="C8830" s="2">
        <v>1</v>
      </c>
      <c r="D8830" t="str">
        <f t="shared" si="137"/>
        <v>US-2016-155173_OFF-BI-10002982</v>
      </c>
      <c r="E8830" t="str">
        <f>IF(COUNTIF(data2!$D:$D,D8830)=0,"Missing in Data2","Present")</f>
        <v>Present</v>
      </c>
    </row>
    <row r="8831" spans="1:5" x14ac:dyDescent="0.25">
      <c r="A8831" s="2" t="s">
        <v>6390</v>
      </c>
      <c r="B8831" s="2" t="s">
        <v>1741</v>
      </c>
      <c r="C8831" s="2">
        <v>3</v>
      </c>
      <c r="D8831" t="str">
        <f t="shared" si="137"/>
        <v>US-2016-155173_TEC-PH-10002538</v>
      </c>
      <c r="E8831" t="str">
        <f>IF(COUNTIF(data2!$D:$D,D8831)=0,"Missing in Data2","Present")</f>
        <v>Present</v>
      </c>
    </row>
    <row r="8832" spans="1:5" x14ac:dyDescent="0.25">
      <c r="A8832" s="2" t="s">
        <v>6390</v>
      </c>
      <c r="B8832" s="2" t="s">
        <v>1500</v>
      </c>
      <c r="C8832" s="2">
        <v>2</v>
      </c>
      <c r="D8832" t="str">
        <f t="shared" si="137"/>
        <v>US-2016-155173_TEC-PH-10004586</v>
      </c>
      <c r="E8832" t="str">
        <f>IF(COUNTIF(data2!$D:$D,D8832)=0,"Missing in Data2","Present")</f>
        <v>Present</v>
      </c>
    </row>
    <row r="8833" spans="1:5" x14ac:dyDescent="0.25">
      <c r="A8833" s="2" t="s">
        <v>6391</v>
      </c>
      <c r="B8833" s="2" t="s">
        <v>1463</v>
      </c>
      <c r="C8833" s="2">
        <v>4</v>
      </c>
      <c r="D8833" t="str">
        <f t="shared" si="137"/>
        <v>US-2016-155180_OFF-BI-10004506</v>
      </c>
      <c r="E8833" t="str">
        <f>IF(COUNTIF(data2!$D:$D,D8833)=0,"Missing in Data2","Present")</f>
        <v>Present</v>
      </c>
    </row>
    <row r="8834" spans="1:5" x14ac:dyDescent="0.25">
      <c r="A8834" s="2" t="s">
        <v>6392</v>
      </c>
      <c r="B8834" s="2" t="s">
        <v>111</v>
      </c>
      <c r="C8834" s="2">
        <v>2</v>
      </c>
      <c r="D8834" t="str">
        <f t="shared" si="137"/>
        <v>US-2016-155404_FUR-FU-10004586</v>
      </c>
      <c r="E8834" t="str">
        <f>IF(COUNTIF(data2!$D:$D,D8834)=0,"Missing in Data2","Present")</f>
        <v>Present</v>
      </c>
    </row>
    <row r="8835" spans="1:5" x14ac:dyDescent="0.25">
      <c r="A8835" s="2" t="s">
        <v>6393</v>
      </c>
      <c r="B8835" s="2" t="s">
        <v>1649</v>
      </c>
      <c r="C8835" s="2">
        <v>2</v>
      </c>
      <c r="D8835" t="str">
        <f t="shared" ref="D8835:D8898" si="138">A8835&amp;"_"&amp;B8835</f>
        <v>US-2016-155768_FUR-FU-10000448</v>
      </c>
      <c r="E8835" t="str">
        <f>IF(COUNTIF(data2!$D:$D,D8835)=0,"Missing in Data2","Present")</f>
        <v>Present</v>
      </c>
    </row>
    <row r="8836" spans="1:5" x14ac:dyDescent="0.25">
      <c r="A8836" s="2" t="s">
        <v>6393</v>
      </c>
      <c r="B8836" s="2" t="s">
        <v>909</v>
      </c>
      <c r="C8836" s="2">
        <v>3</v>
      </c>
      <c r="D8836" t="str">
        <f t="shared" si="138"/>
        <v>US-2016-155768_OFF-EN-10001219</v>
      </c>
      <c r="E8836" t="str">
        <f>IF(COUNTIF(data2!$D:$D,D8836)=0,"Missing in Data2","Present")</f>
        <v>Present</v>
      </c>
    </row>
    <row r="8837" spans="1:5" x14ac:dyDescent="0.25">
      <c r="A8837" s="2" t="s">
        <v>6393</v>
      </c>
      <c r="B8837" s="2" t="s">
        <v>2394</v>
      </c>
      <c r="C8837" s="2">
        <v>1</v>
      </c>
      <c r="D8837" t="str">
        <f t="shared" si="138"/>
        <v>US-2016-155768_OFF-PA-10001357</v>
      </c>
      <c r="E8837" t="str">
        <f>IF(COUNTIF(data2!$D:$D,D8837)=0,"Missing in Data2","Present")</f>
        <v>Present</v>
      </c>
    </row>
    <row r="8838" spans="1:5" x14ac:dyDescent="0.25">
      <c r="A8838" s="2" t="s">
        <v>6393</v>
      </c>
      <c r="B8838" s="2" t="s">
        <v>3453</v>
      </c>
      <c r="C8838" s="2">
        <v>3</v>
      </c>
      <c r="D8838" t="str">
        <f t="shared" si="138"/>
        <v>US-2016-155768_OFF-ST-10002292</v>
      </c>
      <c r="E8838" t="str">
        <f>IF(COUNTIF(data2!$D:$D,D8838)=0,"Missing in Data2","Present")</f>
        <v>Missing in Data2</v>
      </c>
    </row>
    <row r="8839" spans="1:5" x14ac:dyDescent="0.25">
      <c r="A8839" s="2" t="s">
        <v>6394</v>
      </c>
      <c r="B8839" s="2" t="s">
        <v>627</v>
      </c>
      <c r="C8839" s="2">
        <v>7</v>
      </c>
      <c r="D8839" t="str">
        <f t="shared" si="138"/>
        <v>US-2016-155971_OFF-LA-10000452</v>
      </c>
      <c r="E8839" t="str">
        <f>IF(COUNTIF(data2!$D:$D,D8839)=0,"Missing in Data2","Present")</f>
        <v>Missing in Data2</v>
      </c>
    </row>
    <row r="8840" spans="1:5" x14ac:dyDescent="0.25">
      <c r="A8840" s="2" t="s">
        <v>6394</v>
      </c>
      <c r="B8840" s="2" t="s">
        <v>6395</v>
      </c>
      <c r="C8840" s="2">
        <v>5</v>
      </c>
      <c r="D8840" t="str">
        <f t="shared" si="138"/>
        <v>US-2016-155971_OFF-PA-10000210</v>
      </c>
      <c r="E8840" t="str">
        <f>IF(COUNTIF(data2!$D:$D,D8840)=0,"Missing in Data2","Present")</f>
        <v>Present</v>
      </c>
    </row>
    <row r="8841" spans="1:5" x14ac:dyDescent="0.25">
      <c r="A8841" s="2" t="s">
        <v>6396</v>
      </c>
      <c r="B8841" s="2" t="s">
        <v>583</v>
      </c>
      <c r="C8841" s="2">
        <v>2</v>
      </c>
      <c r="D8841" t="str">
        <f t="shared" si="138"/>
        <v>US-2016-156097_FUR-CH-10001215</v>
      </c>
      <c r="E8841" t="str">
        <f>IF(COUNTIF(data2!$D:$D,D8841)=0,"Missing in Data2","Present")</f>
        <v>Present</v>
      </c>
    </row>
    <row r="8842" spans="1:5" x14ac:dyDescent="0.25">
      <c r="A8842" s="2" t="s">
        <v>6396</v>
      </c>
      <c r="B8842" s="2" t="s">
        <v>483</v>
      </c>
      <c r="C8842" s="2">
        <v>2</v>
      </c>
      <c r="D8842" t="str">
        <f t="shared" si="138"/>
        <v>US-2016-156097_OFF-BI-10004654</v>
      </c>
      <c r="E8842" t="str">
        <f>IF(COUNTIF(data2!$D:$D,D8842)=0,"Missing in Data2","Present")</f>
        <v>Present</v>
      </c>
    </row>
    <row r="8843" spans="1:5" x14ac:dyDescent="0.25">
      <c r="A8843" s="2" t="s">
        <v>6397</v>
      </c>
      <c r="B8843" s="2" t="s">
        <v>2910</v>
      </c>
      <c r="C8843" s="2">
        <v>2</v>
      </c>
      <c r="D8843" t="str">
        <f t="shared" si="138"/>
        <v>US-2016-156692_OFF-AP-10002222</v>
      </c>
      <c r="E8843" t="str">
        <f>IF(COUNTIF(data2!$D:$D,D8843)=0,"Missing in Data2","Present")</f>
        <v>Present</v>
      </c>
    </row>
    <row r="8844" spans="1:5" x14ac:dyDescent="0.25">
      <c r="A8844" s="2" t="s">
        <v>6397</v>
      </c>
      <c r="B8844" s="2" t="s">
        <v>2371</v>
      </c>
      <c r="C8844" s="2">
        <v>2</v>
      </c>
      <c r="D8844" t="str">
        <f t="shared" si="138"/>
        <v>US-2016-156692_TEC-AC-10000158</v>
      </c>
      <c r="E8844" t="str">
        <f>IF(COUNTIF(data2!$D:$D,D8844)=0,"Missing in Data2","Present")</f>
        <v>Present</v>
      </c>
    </row>
    <row r="8845" spans="1:5" x14ac:dyDescent="0.25">
      <c r="A8845" s="2" t="s">
        <v>6398</v>
      </c>
      <c r="B8845" s="2" t="s">
        <v>1564</v>
      </c>
      <c r="C8845" s="2">
        <v>3</v>
      </c>
      <c r="D8845" t="str">
        <f t="shared" si="138"/>
        <v>US-2016-156986_OFF-BI-10002498</v>
      </c>
      <c r="E8845" t="str">
        <f>IF(COUNTIF(data2!$D:$D,D8845)=0,"Missing in Data2","Present")</f>
        <v>Present</v>
      </c>
    </row>
    <row r="8846" spans="1:5" x14ac:dyDescent="0.25">
      <c r="A8846" s="2" t="s">
        <v>6398</v>
      </c>
      <c r="B8846" s="2" t="s">
        <v>572</v>
      </c>
      <c r="C8846" s="2">
        <v>4</v>
      </c>
      <c r="D8846" t="str">
        <f t="shared" si="138"/>
        <v>US-2016-156986_OFF-PA-10002005</v>
      </c>
      <c r="E8846" t="str">
        <f>IF(COUNTIF(data2!$D:$D,D8846)=0,"Missing in Data2","Present")</f>
        <v>Present</v>
      </c>
    </row>
    <row r="8847" spans="1:5" x14ac:dyDescent="0.25">
      <c r="A8847" s="2" t="s">
        <v>6398</v>
      </c>
      <c r="B8847" s="2" t="s">
        <v>2051</v>
      </c>
      <c r="C8847" s="2">
        <v>2</v>
      </c>
      <c r="D8847" t="str">
        <f t="shared" si="138"/>
        <v>US-2016-156986_OFF-PA-10004101</v>
      </c>
      <c r="E8847" t="str">
        <f>IF(COUNTIF(data2!$D:$D,D8847)=0,"Missing in Data2","Present")</f>
        <v>Present</v>
      </c>
    </row>
    <row r="8848" spans="1:5" x14ac:dyDescent="0.25">
      <c r="A8848" s="2" t="s">
        <v>6398</v>
      </c>
      <c r="B8848" s="2" t="s">
        <v>1940</v>
      </c>
      <c r="C8848" s="2">
        <v>2</v>
      </c>
      <c r="D8848" t="str">
        <f t="shared" si="138"/>
        <v>US-2016-156986_TEC-PH-10003800</v>
      </c>
      <c r="E8848" t="str">
        <f>IF(COUNTIF(data2!$D:$D,D8848)=0,"Missing in Data2","Present")</f>
        <v>Present</v>
      </c>
    </row>
    <row r="8849" spans="1:5" x14ac:dyDescent="0.25">
      <c r="A8849" s="2" t="s">
        <v>6399</v>
      </c>
      <c r="B8849" s="2" t="s">
        <v>688</v>
      </c>
      <c r="C8849" s="2">
        <v>4</v>
      </c>
      <c r="D8849" t="str">
        <f t="shared" si="138"/>
        <v>US-2016-157308_OFF-BI-10003712</v>
      </c>
      <c r="E8849" t="str">
        <f>IF(COUNTIF(data2!$D:$D,D8849)=0,"Missing in Data2","Present")</f>
        <v>Present</v>
      </c>
    </row>
    <row r="8850" spans="1:5" x14ac:dyDescent="0.25">
      <c r="A8850" s="2" t="s">
        <v>6400</v>
      </c>
      <c r="B8850" s="2" t="s">
        <v>247</v>
      </c>
      <c r="C8850" s="2">
        <v>4</v>
      </c>
      <c r="D8850" t="str">
        <f t="shared" si="138"/>
        <v>US-2016-157490_OFF-BI-10002571</v>
      </c>
      <c r="E8850" t="str">
        <f>IF(COUNTIF(data2!$D:$D,D8850)=0,"Missing in Data2","Present")</f>
        <v>Present</v>
      </c>
    </row>
    <row r="8851" spans="1:5" x14ac:dyDescent="0.25">
      <c r="A8851" s="2" t="s">
        <v>6400</v>
      </c>
      <c r="B8851" s="2" t="s">
        <v>1255</v>
      </c>
      <c r="C8851" s="2">
        <v>4</v>
      </c>
      <c r="D8851" t="str">
        <f t="shared" si="138"/>
        <v>US-2016-157490_OFF-BI-10002824</v>
      </c>
      <c r="E8851" t="str">
        <f>IF(COUNTIF(data2!$D:$D,D8851)=0,"Missing in Data2","Present")</f>
        <v>Present</v>
      </c>
    </row>
    <row r="8852" spans="1:5" x14ac:dyDescent="0.25">
      <c r="A8852" s="2" t="s">
        <v>6400</v>
      </c>
      <c r="B8852" s="2" t="s">
        <v>1180</v>
      </c>
      <c r="C8852" s="2">
        <v>5</v>
      </c>
      <c r="D8852" t="str">
        <f t="shared" si="138"/>
        <v>US-2016-157490_TEC-AC-10001553</v>
      </c>
      <c r="E8852" t="str">
        <f>IF(COUNTIF(data2!$D:$D,D8852)=0,"Missing in Data2","Present")</f>
        <v>Present</v>
      </c>
    </row>
    <row r="8853" spans="1:5" x14ac:dyDescent="0.25">
      <c r="A8853" s="2" t="s">
        <v>6400</v>
      </c>
      <c r="B8853" s="2" t="s">
        <v>6401</v>
      </c>
      <c r="C8853" s="2">
        <v>6</v>
      </c>
      <c r="D8853" t="str">
        <f t="shared" si="138"/>
        <v>US-2016-157490_TEC-MA-10001695</v>
      </c>
      <c r="E8853" t="str">
        <f>IF(COUNTIF(data2!$D:$D,D8853)=0,"Missing in Data2","Present")</f>
        <v>Present</v>
      </c>
    </row>
    <row r="8854" spans="1:5" x14ac:dyDescent="0.25">
      <c r="A8854" s="2" t="s">
        <v>6402</v>
      </c>
      <c r="B8854" s="2" t="s">
        <v>157</v>
      </c>
      <c r="C8854" s="2">
        <v>7</v>
      </c>
      <c r="D8854" t="str">
        <f t="shared" si="138"/>
        <v>US-2016-157728_OFF-PA-10002195</v>
      </c>
      <c r="E8854" t="str">
        <f>IF(COUNTIF(data2!$D:$D,D8854)=0,"Missing in Data2","Present")</f>
        <v>Present</v>
      </c>
    </row>
    <row r="8855" spans="1:5" x14ac:dyDescent="0.25">
      <c r="A8855" s="2" t="s">
        <v>6402</v>
      </c>
      <c r="B8855" s="2" t="s">
        <v>1527</v>
      </c>
      <c r="C8855" s="2">
        <v>2</v>
      </c>
      <c r="D8855" t="str">
        <f t="shared" si="138"/>
        <v>US-2016-157728_TEC-PH-10001305</v>
      </c>
      <c r="E8855" t="str">
        <f>IF(COUNTIF(data2!$D:$D,D8855)=0,"Missing in Data2","Present")</f>
        <v>Present</v>
      </c>
    </row>
    <row r="8856" spans="1:5" x14ac:dyDescent="0.25">
      <c r="A8856" s="2" t="s">
        <v>6403</v>
      </c>
      <c r="B8856" s="2" t="s">
        <v>4498</v>
      </c>
      <c r="C8856" s="2">
        <v>5</v>
      </c>
      <c r="D8856" t="str">
        <f t="shared" si="138"/>
        <v>US-2016-157840_OFF-PA-10003673</v>
      </c>
      <c r="E8856" t="str">
        <f>IF(COUNTIF(data2!$D:$D,D8856)=0,"Missing in Data2","Present")</f>
        <v>Present</v>
      </c>
    </row>
    <row r="8857" spans="1:5" x14ac:dyDescent="0.25">
      <c r="A8857" s="2" t="s">
        <v>6404</v>
      </c>
      <c r="B8857" s="2" t="s">
        <v>3451</v>
      </c>
      <c r="C8857" s="2">
        <v>3</v>
      </c>
      <c r="D8857" t="str">
        <f t="shared" si="138"/>
        <v>US-2016-157945_FUR-CH-10002331</v>
      </c>
      <c r="E8857" t="str">
        <f>IF(COUNTIF(data2!$D:$D,D8857)=0,"Missing in Data2","Present")</f>
        <v>Present</v>
      </c>
    </row>
    <row r="8858" spans="1:5" x14ac:dyDescent="0.25">
      <c r="A8858" s="2" t="s">
        <v>6404</v>
      </c>
      <c r="B8858" s="2" t="s">
        <v>439</v>
      </c>
      <c r="C8858" s="2">
        <v>2</v>
      </c>
      <c r="D8858" t="str">
        <f t="shared" si="138"/>
        <v>US-2016-157945_OFF-EN-10001415</v>
      </c>
      <c r="E8858" t="str">
        <f>IF(COUNTIF(data2!$D:$D,D8858)=0,"Missing in Data2","Present")</f>
        <v>Present</v>
      </c>
    </row>
    <row r="8859" spans="1:5" x14ac:dyDescent="0.25">
      <c r="A8859" s="2" t="s">
        <v>6405</v>
      </c>
      <c r="B8859" s="2" t="s">
        <v>2638</v>
      </c>
      <c r="C8859" s="2">
        <v>9</v>
      </c>
      <c r="D8859" t="str">
        <f t="shared" si="138"/>
        <v>US-2016-158288_OFF-BI-10003364</v>
      </c>
      <c r="E8859" t="str">
        <f>IF(COUNTIF(data2!$D:$D,D8859)=0,"Missing in Data2","Present")</f>
        <v>Present</v>
      </c>
    </row>
    <row r="8860" spans="1:5" x14ac:dyDescent="0.25">
      <c r="A8860" s="2" t="s">
        <v>6406</v>
      </c>
      <c r="B8860" s="2" t="s">
        <v>1152</v>
      </c>
      <c r="C8860" s="2">
        <v>4</v>
      </c>
      <c r="D8860" t="str">
        <f t="shared" si="138"/>
        <v>US-2016-158309_OFF-BI-10000145</v>
      </c>
      <c r="E8860" t="str">
        <f>IF(COUNTIF(data2!$D:$D,D8860)=0,"Missing in Data2","Present")</f>
        <v>Present</v>
      </c>
    </row>
    <row r="8861" spans="1:5" x14ac:dyDescent="0.25">
      <c r="A8861" s="2" t="s">
        <v>6407</v>
      </c>
      <c r="B8861" s="2" t="s">
        <v>1152</v>
      </c>
      <c r="C8861" s="2">
        <v>1</v>
      </c>
      <c r="D8861" t="str">
        <f t="shared" si="138"/>
        <v>US-2016-158680_OFF-BI-10000145</v>
      </c>
      <c r="E8861" t="str">
        <f>IF(COUNTIF(data2!$D:$D,D8861)=0,"Missing in Data2","Present")</f>
        <v>Present</v>
      </c>
    </row>
    <row r="8862" spans="1:5" x14ac:dyDescent="0.25">
      <c r="A8862" s="2" t="s">
        <v>6408</v>
      </c>
      <c r="B8862" s="2" t="s">
        <v>6409</v>
      </c>
      <c r="C8862" s="2">
        <v>2</v>
      </c>
      <c r="D8862" t="str">
        <f t="shared" si="138"/>
        <v>US-2016-158708_TEC-AC-10003133</v>
      </c>
      <c r="E8862" t="str">
        <f>IF(COUNTIF(data2!$D:$D,D8862)=0,"Missing in Data2","Present")</f>
        <v>Present</v>
      </c>
    </row>
    <row r="8863" spans="1:5" x14ac:dyDescent="0.25">
      <c r="A8863" s="2" t="s">
        <v>6410</v>
      </c>
      <c r="B8863" s="2" t="s">
        <v>5270</v>
      </c>
      <c r="C8863" s="2">
        <v>4</v>
      </c>
      <c r="D8863" t="str">
        <f t="shared" si="138"/>
        <v>US-2016-159093_OFF-PA-10001260</v>
      </c>
      <c r="E8863" t="str">
        <f>IF(COUNTIF(data2!$D:$D,D8863)=0,"Missing in Data2","Present")</f>
        <v>Present</v>
      </c>
    </row>
    <row r="8864" spans="1:5" x14ac:dyDescent="0.25">
      <c r="A8864" s="2" t="s">
        <v>6411</v>
      </c>
      <c r="B8864" s="2" t="s">
        <v>5046</v>
      </c>
      <c r="C8864" s="2">
        <v>5</v>
      </c>
      <c r="D8864" t="str">
        <f t="shared" si="138"/>
        <v>US-2016-159415_FUR-FU-10003798</v>
      </c>
      <c r="E8864" t="str">
        <f>IF(COUNTIF(data2!$D:$D,D8864)=0,"Missing in Data2","Present")</f>
        <v>Present</v>
      </c>
    </row>
    <row r="8865" spans="1:5" x14ac:dyDescent="0.25">
      <c r="A8865" s="2" t="s">
        <v>6412</v>
      </c>
      <c r="B8865" s="2" t="s">
        <v>858</v>
      </c>
      <c r="C8865" s="2">
        <v>5</v>
      </c>
      <c r="D8865" t="str">
        <f t="shared" si="138"/>
        <v>US-2016-159856_FUR-CH-10003396</v>
      </c>
      <c r="E8865" t="str">
        <f>IF(COUNTIF(data2!$D:$D,D8865)=0,"Missing in Data2","Present")</f>
        <v>Present</v>
      </c>
    </row>
    <row r="8866" spans="1:5" x14ac:dyDescent="0.25">
      <c r="A8866" s="2" t="s">
        <v>6413</v>
      </c>
      <c r="B8866" s="2" t="s">
        <v>3666</v>
      </c>
      <c r="C8866" s="2">
        <v>1</v>
      </c>
      <c r="D8866" t="str">
        <f t="shared" si="138"/>
        <v>US-2016-160206_TEC-PH-10000148</v>
      </c>
      <c r="E8866" t="str">
        <f>IF(COUNTIF(data2!$D:$D,D8866)=0,"Missing in Data2","Present")</f>
        <v>Present</v>
      </c>
    </row>
    <row r="8867" spans="1:5" x14ac:dyDescent="0.25">
      <c r="A8867" s="2" t="s">
        <v>6414</v>
      </c>
      <c r="B8867" s="2" t="s">
        <v>2310</v>
      </c>
      <c r="C8867" s="2">
        <v>3</v>
      </c>
      <c r="D8867" t="str">
        <f t="shared" si="138"/>
        <v>US-2016-160528_FUR-FU-10004973</v>
      </c>
      <c r="E8867" t="str">
        <f>IF(COUNTIF(data2!$D:$D,D8867)=0,"Missing in Data2","Present")</f>
        <v>Present</v>
      </c>
    </row>
    <row r="8868" spans="1:5" x14ac:dyDescent="0.25">
      <c r="A8868" s="2" t="s">
        <v>6414</v>
      </c>
      <c r="B8868" s="2" t="s">
        <v>444</v>
      </c>
      <c r="C8868" s="2">
        <v>8</v>
      </c>
      <c r="D8868" t="str">
        <f t="shared" si="138"/>
        <v>US-2016-160528_OFF-ST-10002743</v>
      </c>
      <c r="E8868" t="str">
        <f>IF(COUNTIF(data2!$D:$D,D8868)=0,"Missing in Data2","Present")</f>
        <v>Present</v>
      </c>
    </row>
    <row r="8869" spans="1:5" x14ac:dyDescent="0.25">
      <c r="A8869" s="2" t="s">
        <v>6414</v>
      </c>
      <c r="B8869" s="2" t="s">
        <v>345</v>
      </c>
      <c r="C8869" s="2">
        <v>7</v>
      </c>
      <c r="D8869" t="str">
        <f t="shared" si="138"/>
        <v>US-2016-160528_TEC-AC-10002842</v>
      </c>
      <c r="E8869" t="str">
        <f>IF(COUNTIF(data2!$D:$D,D8869)=0,"Missing in Data2","Present")</f>
        <v>Present</v>
      </c>
    </row>
    <row r="8870" spans="1:5" x14ac:dyDescent="0.25">
      <c r="A8870" s="2" t="s">
        <v>6415</v>
      </c>
      <c r="B8870" s="2" t="s">
        <v>2707</v>
      </c>
      <c r="C8870" s="2">
        <v>2</v>
      </c>
      <c r="D8870" t="str">
        <f t="shared" si="138"/>
        <v>US-2016-161396_FUR-TA-10002622</v>
      </c>
      <c r="E8870" t="str">
        <f>IF(COUNTIF(data2!$D:$D,D8870)=0,"Missing in Data2","Present")</f>
        <v>Present</v>
      </c>
    </row>
    <row r="8871" spans="1:5" x14ac:dyDescent="0.25">
      <c r="A8871" s="2" t="s">
        <v>6415</v>
      </c>
      <c r="B8871" s="2" t="s">
        <v>1243</v>
      </c>
      <c r="C8871" s="2">
        <v>5</v>
      </c>
      <c r="D8871" t="str">
        <f t="shared" si="138"/>
        <v>US-2016-161396_OFF-PA-10000418</v>
      </c>
      <c r="E8871" t="str">
        <f>IF(COUNTIF(data2!$D:$D,D8871)=0,"Missing in Data2","Present")</f>
        <v>Present</v>
      </c>
    </row>
    <row r="8872" spans="1:5" x14ac:dyDescent="0.25">
      <c r="A8872" s="2" t="s">
        <v>6416</v>
      </c>
      <c r="B8872" s="2" t="s">
        <v>401</v>
      </c>
      <c r="C8872" s="2">
        <v>4</v>
      </c>
      <c r="D8872" t="str">
        <f t="shared" si="138"/>
        <v>US-2016-161683_OFF-BI-10001072</v>
      </c>
      <c r="E8872" t="str">
        <f>IF(COUNTIF(data2!$D:$D,D8872)=0,"Missing in Data2","Present")</f>
        <v>Present</v>
      </c>
    </row>
    <row r="8873" spans="1:5" x14ac:dyDescent="0.25">
      <c r="A8873" s="2" t="s">
        <v>6417</v>
      </c>
      <c r="B8873" s="2" t="s">
        <v>513</v>
      </c>
      <c r="C8873" s="2">
        <v>3</v>
      </c>
      <c r="D8873" t="str">
        <f t="shared" si="138"/>
        <v>US-2016-161844_FUR-TA-10001676</v>
      </c>
      <c r="E8873" t="str">
        <f>IF(COUNTIF(data2!$D:$D,D8873)=0,"Missing in Data2","Present")</f>
        <v>Present</v>
      </c>
    </row>
    <row r="8874" spans="1:5" x14ac:dyDescent="0.25">
      <c r="A8874" s="2" t="s">
        <v>6417</v>
      </c>
      <c r="B8874" s="2" t="s">
        <v>688</v>
      </c>
      <c r="C8874" s="2">
        <v>2</v>
      </c>
      <c r="D8874" t="str">
        <f t="shared" si="138"/>
        <v>US-2016-161844_OFF-BI-10003712</v>
      </c>
      <c r="E8874" t="str">
        <f>IF(COUNTIF(data2!$D:$D,D8874)=0,"Missing in Data2","Present")</f>
        <v>Present</v>
      </c>
    </row>
    <row r="8875" spans="1:5" x14ac:dyDescent="0.25">
      <c r="A8875" s="2" t="s">
        <v>6418</v>
      </c>
      <c r="B8875" s="2" t="s">
        <v>1273</v>
      </c>
      <c r="C8875" s="2">
        <v>2</v>
      </c>
      <c r="D8875" t="str">
        <f t="shared" si="138"/>
        <v>US-2016-162026_OFF-PA-10000167</v>
      </c>
      <c r="E8875" t="str">
        <f>IF(COUNTIF(data2!$D:$D,D8875)=0,"Missing in Data2","Present")</f>
        <v>Present</v>
      </c>
    </row>
    <row r="8876" spans="1:5" x14ac:dyDescent="0.25">
      <c r="A8876" s="2" t="s">
        <v>6419</v>
      </c>
      <c r="B8876" s="2" t="s">
        <v>2994</v>
      </c>
      <c r="C8876" s="2">
        <v>2</v>
      </c>
      <c r="D8876" t="str">
        <f t="shared" si="138"/>
        <v>US-2016-162103_OFF-BI-10000285</v>
      </c>
      <c r="E8876" t="str">
        <f>IF(COUNTIF(data2!$D:$D,D8876)=0,"Missing in Data2","Present")</f>
        <v>Present</v>
      </c>
    </row>
    <row r="8877" spans="1:5" x14ac:dyDescent="0.25">
      <c r="A8877" s="2" t="s">
        <v>6420</v>
      </c>
      <c r="B8877" s="2" t="s">
        <v>2068</v>
      </c>
      <c r="C8877" s="2">
        <v>5</v>
      </c>
      <c r="D8877" t="str">
        <f t="shared" si="138"/>
        <v>US-2016-162677_OFF-ST-10001291</v>
      </c>
      <c r="E8877" t="str">
        <f>IF(COUNTIF(data2!$D:$D,D8877)=0,"Missing in Data2","Present")</f>
        <v>Present</v>
      </c>
    </row>
    <row r="8878" spans="1:5" x14ac:dyDescent="0.25">
      <c r="A8878" s="2" t="s">
        <v>6420</v>
      </c>
      <c r="B8878" s="2" t="s">
        <v>109</v>
      </c>
      <c r="C8878" s="2">
        <v>3</v>
      </c>
      <c r="D8878" t="str">
        <f t="shared" si="138"/>
        <v>US-2016-162677_TEC-AC-10001314</v>
      </c>
      <c r="E8878" t="str">
        <f>IF(COUNTIF(data2!$D:$D,D8878)=0,"Missing in Data2","Present")</f>
        <v>Missing in Data2</v>
      </c>
    </row>
    <row r="8879" spans="1:5" x14ac:dyDescent="0.25">
      <c r="A8879" s="2" t="s">
        <v>6421</v>
      </c>
      <c r="B8879" s="2" t="s">
        <v>1894</v>
      </c>
      <c r="C8879" s="2">
        <v>8</v>
      </c>
      <c r="D8879" t="str">
        <f t="shared" si="138"/>
        <v>US-2016-162852_FUR-CH-10004853</v>
      </c>
      <c r="E8879" t="str">
        <f>IF(COUNTIF(data2!$D:$D,D8879)=0,"Missing in Data2","Present")</f>
        <v>Present</v>
      </c>
    </row>
    <row r="8880" spans="1:5" x14ac:dyDescent="0.25">
      <c r="A8880" s="2" t="s">
        <v>6422</v>
      </c>
      <c r="B8880" s="2" t="s">
        <v>1989</v>
      </c>
      <c r="C8880" s="2">
        <v>3</v>
      </c>
      <c r="D8880" t="str">
        <f t="shared" si="138"/>
        <v>US-2016-162859_OFF-BI-10004519</v>
      </c>
      <c r="E8880" t="str">
        <f>IF(COUNTIF(data2!$D:$D,D8880)=0,"Missing in Data2","Present")</f>
        <v>Missing in Data2</v>
      </c>
    </row>
    <row r="8881" spans="1:5" x14ac:dyDescent="0.25">
      <c r="A8881" s="2" t="s">
        <v>6422</v>
      </c>
      <c r="B8881" s="2" t="s">
        <v>552</v>
      </c>
      <c r="C8881" s="2">
        <v>4</v>
      </c>
      <c r="D8881" t="str">
        <f t="shared" si="138"/>
        <v>US-2016-162859_OFF-FA-10000304</v>
      </c>
      <c r="E8881" t="str">
        <f>IF(COUNTIF(data2!$D:$D,D8881)=0,"Missing in Data2","Present")</f>
        <v>Present</v>
      </c>
    </row>
    <row r="8882" spans="1:5" x14ac:dyDescent="0.25">
      <c r="A8882" s="2" t="s">
        <v>6423</v>
      </c>
      <c r="B8882" s="2" t="s">
        <v>5559</v>
      </c>
      <c r="C8882" s="2">
        <v>2</v>
      </c>
      <c r="D8882" t="str">
        <f t="shared" si="138"/>
        <v>US-2016-163461_OFF-PA-10003134</v>
      </c>
      <c r="E8882" t="str">
        <f>IF(COUNTIF(data2!$D:$D,D8882)=0,"Missing in Data2","Present")</f>
        <v>Present</v>
      </c>
    </row>
    <row r="8883" spans="1:5" x14ac:dyDescent="0.25">
      <c r="A8883" s="2" t="s">
        <v>6424</v>
      </c>
      <c r="B8883" s="2" t="s">
        <v>1603</v>
      </c>
      <c r="C8883" s="2">
        <v>3</v>
      </c>
      <c r="D8883" t="str">
        <f t="shared" si="138"/>
        <v>US-2016-163538_TEC-AC-10002006</v>
      </c>
      <c r="E8883" t="str">
        <f>IF(COUNTIF(data2!$D:$D,D8883)=0,"Missing in Data2","Present")</f>
        <v>Present</v>
      </c>
    </row>
    <row r="8884" spans="1:5" x14ac:dyDescent="0.25">
      <c r="A8884" s="2" t="s">
        <v>6425</v>
      </c>
      <c r="B8884" s="2" t="s">
        <v>294</v>
      </c>
      <c r="C8884" s="2">
        <v>6</v>
      </c>
      <c r="D8884" t="str">
        <f t="shared" si="138"/>
        <v>US-2016-163881_FUR-CH-10001394</v>
      </c>
      <c r="E8884" t="str">
        <f>IF(COUNTIF(data2!$D:$D,D8884)=0,"Missing in Data2","Present")</f>
        <v>Present</v>
      </c>
    </row>
    <row r="8885" spans="1:5" x14ac:dyDescent="0.25">
      <c r="A8885" s="2" t="s">
        <v>6425</v>
      </c>
      <c r="B8885" s="2" t="s">
        <v>3325</v>
      </c>
      <c r="C8885" s="2">
        <v>8</v>
      </c>
      <c r="D8885" t="str">
        <f t="shared" si="138"/>
        <v>US-2016-163881_TEC-AC-10000420</v>
      </c>
      <c r="E8885" t="str">
        <f>IF(COUNTIF(data2!$D:$D,D8885)=0,"Missing in Data2","Present")</f>
        <v>Present</v>
      </c>
    </row>
    <row r="8886" spans="1:5" x14ac:dyDescent="0.25">
      <c r="A8886" s="2" t="s">
        <v>6425</v>
      </c>
      <c r="B8886" s="2" t="s">
        <v>2361</v>
      </c>
      <c r="C8886" s="2">
        <v>2</v>
      </c>
      <c r="D8886" t="str">
        <f t="shared" si="138"/>
        <v>US-2016-163881_TEC-AC-10003033</v>
      </c>
      <c r="E8886" t="str">
        <f>IF(COUNTIF(data2!$D:$D,D8886)=0,"Missing in Data2","Present")</f>
        <v>Present</v>
      </c>
    </row>
    <row r="8887" spans="1:5" x14ac:dyDescent="0.25">
      <c r="A8887" s="2" t="s">
        <v>6426</v>
      </c>
      <c r="B8887" s="2" t="s">
        <v>350</v>
      </c>
      <c r="C8887" s="2">
        <v>4</v>
      </c>
      <c r="D8887" t="str">
        <f t="shared" si="138"/>
        <v>US-2016-164189_TEC-PH-10003691</v>
      </c>
      <c r="E8887" t="str">
        <f>IF(COUNTIF(data2!$D:$D,D8887)=0,"Missing in Data2","Present")</f>
        <v>Present</v>
      </c>
    </row>
    <row r="8888" spans="1:5" x14ac:dyDescent="0.25">
      <c r="A8888" s="2" t="s">
        <v>6427</v>
      </c>
      <c r="B8888" s="2" t="s">
        <v>1278</v>
      </c>
      <c r="C8888" s="2">
        <v>3</v>
      </c>
      <c r="D8888" t="str">
        <f t="shared" si="138"/>
        <v>US-2016-164588_OFF-AR-10003056</v>
      </c>
      <c r="E8888" t="str">
        <f>IF(COUNTIF(data2!$D:$D,D8888)=0,"Missing in Data2","Present")</f>
        <v>Present</v>
      </c>
    </row>
    <row r="8889" spans="1:5" x14ac:dyDescent="0.25">
      <c r="A8889" s="2" t="s">
        <v>6428</v>
      </c>
      <c r="B8889" s="2" t="s">
        <v>3908</v>
      </c>
      <c r="C8889" s="2">
        <v>4</v>
      </c>
      <c r="D8889" t="str">
        <f t="shared" si="138"/>
        <v>US-2016-164630_TEC-CO-10000971</v>
      </c>
      <c r="E8889" t="str">
        <f>IF(COUNTIF(data2!$D:$D,D8889)=0,"Missing in Data2","Present")</f>
        <v>Present</v>
      </c>
    </row>
    <row r="8890" spans="1:5" x14ac:dyDescent="0.25">
      <c r="A8890" s="2" t="s">
        <v>6429</v>
      </c>
      <c r="B8890" s="2" t="s">
        <v>1270</v>
      </c>
      <c r="C8890" s="2">
        <v>2</v>
      </c>
      <c r="D8890" t="str">
        <f t="shared" si="138"/>
        <v>US-2016-165078_OFF-AR-10002987</v>
      </c>
      <c r="E8890" t="str">
        <f>IF(COUNTIF(data2!$D:$D,D8890)=0,"Missing in Data2","Present")</f>
        <v>Present</v>
      </c>
    </row>
    <row r="8891" spans="1:5" x14ac:dyDescent="0.25">
      <c r="A8891" s="2" t="s">
        <v>6429</v>
      </c>
      <c r="B8891" s="2" t="s">
        <v>1223</v>
      </c>
      <c r="C8891" s="2">
        <v>5</v>
      </c>
      <c r="D8891" t="str">
        <f t="shared" si="138"/>
        <v>US-2016-165078_OFF-BI-10001989</v>
      </c>
      <c r="E8891" t="str">
        <f>IF(COUNTIF(data2!$D:$D,D8891)=0,"Missing in Data2","Present")</f>
        <v>Present</v>
      </c>
    </row>
    <row r="8892" spans="1:5" x14ac:dyDescent="0.25">
      <c r="A8892" s="2" t="s">
        <v>6429</v>
      </c>
      <c r="B8892" s="2" t="s">
        <v>2382</v>
      </c>
      <c r="C8892" s="2">
        <v>5</v>
      </c>
      <c r="D8892" t="str">
        <f t="shared" si="138"/>
        <v>US-2016-165078_OFF-LA-10000414</v>
      </c>
      <c r="E8892" t="str">
        <f>IF(COUNTIF(data2!$D:$D,D8892)=0,"Missing in Data2","Present")</f>
        <v>Present</v>
      </c>
    </row>
    <row r="8893" spans="1:5" x14ac:dyDescent="0.25">
      <c r="A8893" s="2" t="s">
        <v>6430</v>
      </c>
      <c r="B8893" s="2" t="s">
        <v>2019</v>
      </c>
      <c r="C8893" s="2">
        <v>13</v>
      </c>
      <c r="D8893" t="str">
        <f t="shared" si="138"/>
        <v>US-2016-165505_OFF-ST-10001526</v>
      </c>
      <c r="E8893" t="str">
        <f>IF(COUNTIF(data2!$D:$D,D8893)=0,"Missing in Data2","Present")</f>
        <v>Present</v>
      </c>
    </row>
    <row r="8894" spans="1:5" x14ac:dyDescent="0.25">
      <c r="A8894" s="2" t="s">
        <v>6430</v>
      </c>
      <c r="B8894" s="2" t="s">
        <v>1406</v>
      </c>
      <c r="C8894" s="2">
        <v>2</v>
      </c>
      <c r="D8894" t="str">
        <f t="shared" si="138"/>
        <v>US-2016-165505_TEC-AC-10002926</v>
      </c>
      <c r="E8894" t="str">
        <f>IF(COUNTIF(data2!$D:$D,D8894)=0,"Missing in Data2","Present")</f>
        <v>Present</v>
      </c>
    </row>
    <row r="8895" spans="1:5" x14ac:dyDescent="0.25">
      <c r="A8895" s="2" t="s">
        <v>6431</v>
      </c>
      <c r="B8895" s="2" t="s">
        <v>1559</v>
      </c>
      <c r="C8895" s="2">
        <v>1</v>
      </c>
      <c r="D8895" t="str">
        <f t="shared" si="138"/>
        <v>US-2016-166660_FUR-BO-10000468</v>
      </c>
      <c r="E8895" t="str">
        <f>IF(COUNTIF(data2!$D:$D,D8895)=0,"Missing in Data2","Present")</f>
        <v>Present</v>
      </c>
    </row>
    <row r="8896" spans="1:5" x14ac:dyDescent="0.25">
      <c r="A8896" s="2" t="s">
        <v>6432</v>
      </c>
      <c r="B8896" s="2" t="s">
        <v>2213</v>
      </c>
      <c r="C8896" s="2">
        <v>7</v>
      </c>
      <c r="D8896" t="str">
        <f t="shared" si="138"/>
        <v>US-2016-167339_FUR-CH-10000785</v>
      </c>
      <c r="E8896" t="str">
        <f>IF(COUNTIF(data2!$D:$D,D8896)=0,"Missing in Data2","Present")</f>
        <v>Present</v>
      </c>
    </row>
    <row r="8897" spans="1:5" x14ac:dyDescent="0.25">
      <c r="A8897" s="2" t="s">
        <v>6432</v>
      </c>
      <c r="B8897" s="2" t="s">
        <v>1333</v>
      </c>
      <c r="C8897" s="2">
        <v>2</v>
      </c>
      <c r="D8897" t="str">
        <f t="shared" si="138"/>
        <v>US-2016-167339_FUR-CH-10004289</v>
      </c>
      <c r="E8897" t="str">
        <f>IF(COUNTIF(data2!$D:$D,D8897)=0,"Missing in Data2","Present")</f>
        <v>Present</v>
      </c>
    </row>
    <row r="8898" spans="1:5" x14ac:dyDescent="0.25">
      <c r="A8898" s="2" t="s">
        <v>6433</v>
      </c>
      <c r="B8898" s="2" t="s">
        <v>448</v>
      </c>
      <c r="C8898" s="2">
        <v>3</v>
      </c>
      <c r="D8898" t="str">
        <f t="shared" si="138"/>
        <v>US-2016-167472_OFF-BI-10000591</v>
      </c>
      <c r="E8898" t="str">
        <f>IF(COUNTIF(data2!$D:$D,D8898)=0,"Missing in Data2","Present")</f>
        <v>Present</v>
      </c>
    </row>
    <row r="8899" spans="1:5" x14ac:dyDescent="0.25">
      <c r="A8899" s="2" t="s">
        <v>6433</v>
      </c>
      <c r="B8899" s="2" t="s">
        <v>4318</v>
      </c>
      <c r="C8899" s="2">
        <v>3</v>
      </c>
      <c r="D8899" t="str">
        <f t="shared" ref="D8899:D8962" si="139">A8899&amp;"_"&amp;B8899</f>
        <v>US-2016-167472_OFF-BI-10001721</v>
      </c>
      <c r="E8899" t="str">
        <f>IF(COUNTIF(data2!$D:$D,D8899)=0,"Missing in Data2","Present")</f>
        <v>Present</v>
      </c>
    </row>
    <row r="8900" spans="1:5" x14ac:dyDescent="0.25">
      <c r="A8900" s="2" t="s">
        <v>6433</v>
      </c>
      <c r="B8900" s="2" t="s">
        <v>2602</v>
      </c>
      <c r="C8900" s="2">
        <v>3</v>
      </c>
      <c r="D8900" t="str">
        <f t="shared" si="139"/>
        <v>US-2016-167472_OFF-PA-10000157</v>
      </c>
      <c r="E8900" t="str">
        <f>IF(COUNTIF(data2!$D:$D,D8900)=0,"Missing in Data2","Present")</f>
        <v>Present</v>
      </c>
    </row>
    <row r="8901" spans="1:5" x14ac:dyDescent="0.25">
      <c r="A8901" s="2" t="s">
        <v>6433</v>
      </c>
      <c r="B8901" s="2" t="s">
        <v>4611</v>
      </c>
      <c r="C8901" s="2">
        <v>2</v>
      </c>
      <c r="D8901" t="str">
        <f t="shared" si="139"/>
        <v>US-2016-167472_OFF-PA-10001534</v>
      </c>
      <c r="E8901" t="str">
        <f>IF(COUNTIF(data2!$D:$D,D8901)=0,"Missing in Data2","Present")</f>
        <v>Present</v>
      </c>
    </row>
    <row r="8902" spans="1:5" x14ac:dyDescent="0.25">
      <c r="A8902" s="2" t="s">
        <v>6433</v>
      </c>
      <c r="B8902" s="2" t="s">
        <v>311</v>
      </c>
      <c r="C8902" s="2">
        <v>3</v>
      </c>
      <c r="D8902" t="str">
        <f t="shared" si="139"/>
        <v>US-2016-167472_TEC-AC-10003038</v>
      </c>
      <c r="E8902" t="str">
        <f>IF(COUNTIF(data2!$D:$D,D8902)=0,"Missing in Data2","Present")</f>
        <v>Present</v>
      </c>
    </row>
    <row r="8903" spans="1:5" x14ac:dyDescent="0.25">
      <c r="A8903" s="2" t="s">
        <v>6433</v>
      </c>
      <c r="B8903" s="2" t="s">
        <v>1658</v>
      </c>
      <c r="C8903" s="2">
        <v>3</v>
      </c>
      <c r="D8903" t="str">
        <f t="shared" si="139"/>
        <v>US-2016-167472_TEC-AC-10003174</v>
      </c>
      <c r="E8903" t="str">
        <f>IF(COUNTIF(data2!$D:$D,D8903)=0,"Missing in Data2","Present")</f>
        <v>Present</v>
      </c>
    </row>
    <row r="8904" spans="1:5" x14ac:dyDescent="0.25">
      <c r="A8904" s="2" t="s">
        <v>6434</v>
      </c>
      <c r="B8904" s="2" t="s">
        <v>1368</v>
      </c>
      <c r="C8904" s="2">
        <v>3</v>
      </c>
      <c r="D8904" t="str">
        <f t="shared" si="139"/>
        <v>US-2016-168095_FUR-CH-10004886</v>
      </c>
      <c r="E8904" t="str">
        <f>IF(COUNTIF(data2!$D:$D,D8904)=0,"Missing in Data2","Present")</f>
        <v>Present</v>
      </c>
    </row>
    <row r="8905" spans="1:5" x14ac:dyDescent="0.25">
      <c r="A8905" s="2" t="s">
        <v>6434</v>
      </c>
      <c r="B8905" s="2" t="s">
        <v>884</v>
      </c>
      <c r="C8905" s="2">
        <v>5</v>
      </c>
      <c r="D8905" t="str">
        <f t="shared" si="139"/>
        <v>US-2016-168095_OFF-PA-10003641</v>
      </c>
      <c r="E8905" t="str">
        <f>IF(COUNTIF(data2!$D:$D,D8905)=0,"Missing in Data2","Present")</f>
        <v>Present</v>
      </c>
    </row>
    <row r="8906" spans="1:5" x14ac:dyDescent="0.25">
      <c r="A8906" s="2" t="s">
        <v>6435</v>
      </c>
      <c r="B8906" s="2" t="s">
        <v>590</v>
      </c>
      <c r="C8906" s="2">
        <v>5</v>
      </c>
      <c r="D8906" t="str">
        <f t="shared" si="139"/>
        <v>US-2016-168410_FUR-FU-10000629</v>
      </c>
      <c r="E8906" t="str">
        <f>IF(COUNTIF(data2!$D:$D,D8906)=0,"Missing in Data2","Present")</f>
        <v>Present</v>
      </c>
    </row>
    <row r="8907" spans="1:5" x14ac:dyDescent="0.25">
      <c r="A8907" s="2" t="s">
        <v>6435</v>
      </c>
      <c r="B8907" s="2" t="s">
        <v>357</v>
      </c>
      <c r="C8907" s="2">
        <v>3</v>
      </c>
      <c r="D8907" t="str">
        <f t="shared" si="139"/>
        <v>US-2016-168410_OFF-ST-10000036</v>
      </c>
      <c r="E8907" t="str">
        <f>IF(COUNTIF(data2!$D:$D,D8907)=0,"Missing in Data2","Present")</f>
        <v>Present</v>
      </c>
    </row>
    <row r="8908" spans="1:5" x14ac:dyDescent="0.25">
      <c r="A8908" s="2" t="s">
        <v>6435</v>
      </c>
      <c r="B8908" s="2" t="s">
        <v>1145</v>
      </c>
      <c r="C8908" s="2">
        <v>2</v>
      </c>
      <c r="D8908" t="str">
        <f t="shared" si="139"/>
        <v>US-2016-168410_TEC-PH-10002583</v>
      </c>
      <c r="E8908" t="str">
        <f>IF(COUNTIF(data2!$D:$D,D8908)=0,"Missing in Data2","Present")</f>
        <v>Missing in Data2</v>
      </c>
    </row>
    <row r="8909" spans="1:5" x14ac:dyDescent="0.25">
      <c r="A8909" s="2" t="s">
        <v>6436</v>
      </c>
      <c r="B8909" s="2" t="s">
        <v>539</v>
      </c>
      <c r="C8909" s="2">
        <v>3</v>
      </c>
      <c r="D8909" t="str">
        <f t="shared" si="139"/>
        <v>US-2016-168620_OFF-BI-10001575</v>
      </c>
      <c r="E8909" t="str">
        <f>IF(COUNTIF(data2!$D:$D,D8909)=0,"Missing in Data2","Present")</f>
        <v>Present</v>
      </c>
    </row>
    <row r="8910" spans="1:5" x14ac:dyDescent="0.25">
      <c r="A8910" s="2" t="s">
        <v>6436</v>
      </c>
      <c r="B8910" s="2" t="s">
        <v>495</v>
      </c>
      <c r="C8910" s="2">
        <v>3</v>
      </c>
      <c r="D8910" t="str">
        <f t="shared" si="139"/>
        <v>US-2016-168620_OFF-ST-10003716</v>
      </c>
      <c r="E8910" t="str">
        <f>IF(COUNTIF(data2!$D:$D,D8910)=0,"Missing in Data2","Present")</f>
        <v>Present</v>
      </c>
    </row>
    <row r="8911" spans="1:5" x14ac:dyDescent="0.25">
      <c r="A8911" s="2" t="s">
        <v>6436</v>
      </c>
      <c r="B8911" s="2" t="s">
        <v>2802</v>
      </c>
      <c r="C8911" s="2">
        <v>8</v>
      </c>
      <c r="D8911" t="str">
        <f t="shared" si="139"/>
        <v>US-2016-168620_TEC-AC-10004469</v>
      </c>
      <c r="E8911" t="str">
        <f>IF(COUNTIF(data2!$D:$D,D8911)=0,"Missing in Data2","Present")</f>
        <v>Present</v>
      </c>
    </row>
    <row r="8912" spans="1:5" x14ac:dyDescent="0.25">
      <c r="A8912" s="2" t="s">
        <v>6437</v>
      </c>
      <c r="B8912" s="2" t="s">
        <v>951</v>
      </c>
      <c r="C8912" s="2">
        <v>7</v>
      </c>
      <c r="D8912" t="str">
        <f t="shared" si="139"/>
        <v>US-2016-169040_OFF-BI-10001636</v>
      </c>
      <c r="E8912" t="str">
        <f>IF(COUNTIF(data2!$D:$D,D8912)=0,"Missing in Data2","Present")</f>
        <v>Present</v>
      </c>
    </row>
    <row r="8913" spans="1:5" x14ac:dyDescent="0.25">
      <c r="A8913" s="2" t="s">
        <v>6437</v>
      </c>
      <c r="B8913" s="2" t="s">
        <v>2236</v>
      </c>
      <c r="C8913" s="2">
        <v>1</v>
      </c>
      <c r="D8913" t="str">
        <f t="shared" si="139"/>
        <v>US-2016-169040_OFF-EN-10000927</v>
      </c>
      <c r="E8913" t="str">
        <f>IF(COUNTIF(data2!$D:$D,D8913)=0,"Missing in Data2","Present")</f>
        <v>Present</v>
      </c>
    </row>
    <row r="8914" spans="1:5" x14ac:dyDescent="0.25">
      <c r="A8914" s="2" t="s">
        <v>6437</v>
      </c>
      <c r="B8914" s="2" t="s">
        <v>1335</v>
      </c>
      <c r="C8914" s="2">
        <v>5</v>
      </c>
      <c r="D8914" t="str">
        <f t="shared" si="139"/>
        <v>US-2016-169040_OFF-PA-10000482</v>
      </c>
      <c r="E8914" t="str">
        <f>IF(COUNTIF(data2!$D:$D,D8914)=0,"Missing in Data2","Present")</f>
        <v>Present</v>
      </c>
    </row>
    <row r="8915" spans="1:5" x14ac:dyDescent="0.25">
      <c r="A8915" s="2" t="s">
        <v>6437</v>
      </c>
      <c r="B8915" s="2" t="s">
        <v>3291</v>
      </c>
      <c r="C8915" s="2">
        <v>7</v>
      </c>
      <c r="D8915" t="str">
        <f t="shared" si="139"/>
        <v>US-2016-169040_OFF-PA-10001736</v>
      </c>
      <c r="E8915" t="str">
        <f>IF(COUNTIF(data2!$D:$D,D8915)=0,"Missing in Data2","Present")</f>
        <v>Present</v>
      </c>
    </row>
    <row r="8916" spans="1:5" x14ac:dyDescent="0.25">
      <c r="A8916" s="2" t="s">
        <v>6437</v>
      </c>
      <c r="B8916" s="2" t="s">
        <v>831</v>
      </c>
      <c r="C8916" s="2">
        <v>1</v>
      </c>
      <c r="D8916" t="str">
        <f t="shared" si="139"/>
        <v>US-2016-169040_TEC-PH-10002310</v>
      </c>
      <c r="E8916" t="str">
        <f>IF(COUNTIF(data2!$D:$D,D8916)=0,"Missing in Data2","Present")</f>
        <v>Present</v>
      </c>
    </row>
    <row r="8917" spans="1:5" x14ac:dyDescent="0.25">
      <c r="A8917" s="2" t="s">
        <v>6437</v>
      </c>
      <c r="B8917" s="2" t="s">
        <v>4776</v>
      </c>
      <c r="C8917" s="2">
        <v>3</v>
      </c>
      <c r="D8917" t="str">
        <f t="shared" si="139"/>
        <v>US-2016-169040_TEC-PH-10002834</v>
      </c>
      <c r="E8917" t="str">
        <f>IF(COUNTIF(data2!$D:$D,D8917)=0,"Missing in Data2","Present")</f>
        <v>Present</v>
      </c>
    </row>
    <row r="8918" spans="1:5" x14ac:dyDescent="0.25">
      <c r="A8918" s="2" t="s">
        <v>6438</v>
      </c>
      <c r="B8918" s="2" t="s">
        <v>5280</v>
      </c>
      <c r="C8918" s="2">
        <v>4</v>
      </c>
      <c r="D8918" t="str">
        <f t="shared" si="139"/>
        <v>US-2016-169369_OFF-PA-10004438</v>
      </c>
      <c r="E8918" t="str">
        <f>IF(COUNTIF(data2!$D:$D,D8918)=0,"Missing in Data2","Present")</f>
        <v>Missing in Data2</v>
      </c>
    </row>
    <row r="8919" spans="1:5" x14ac:dyDescent="0.25">
      <c r="A8919" s="2" t="s">
        <v>6438</v>
      </c>
      <c r="B8919" s="2" t="s">
        <v>109</v>
      </c>
      <c r="C8919" s="2">
        <v>5</v>
      </c>
      <c r="D8919" t="str">
        <f t="shared" si="139"/>
        <v>US-2016-169369_TEC-AC-10001314</v>
      </c>
      <c r="E8919" t="str">
        <f>IF(COUNTIF(data2!$D:$D,D8919)=0,"Missing in Data2","Present")</f>
        <v>Present</v>
      </c>
    </row>
    <row r="8920" spans="1:5" x14ac:dyDescent="0.25">
      <c r="A8920" s="2" t="s">
        <v>6439</v>
      </c>
      <c r="B8920" s="2" t="s">
        <v>616</v>
      </c>
      <c r="C8920" s="2">
        <v>6</v>
      </c>
      <c r="D8920" t="str">
        <f t="shared" si="139"/>
        <v>US-2017-100048_OFF-AP-10001154</v>
      </c>
      <c r="E8920" t="str">
        <f>IF(COUNTIF(data2!$D:$D,D8920)=0,"Missing in Data2","Present")</f>
        <v>Present</v>
      </c>
    </row>
    <row r="8921" spans="1:5" x14ac:dyDescent="0.25">
      <c r="A8921" s="2" t="s">
        <v>6439</v>
      </c>
      <c r="B8921" s="2" t="s">
        <v>1128</v>
      </c>
      <c r="C8921" s="2">
        <v>3</v>
      </c>
      <c r="D8921" t="str">
        <f t="shared" si="139"/>
        <v>US-2017-100048_TEC-AC-10001606</v>
      </c>
      <c r="E8921" t="str">
        <f>IF(COUNTIF(data2!$D:$D,D8921)=0,"Missing in Data2","Present")</f>
        <v>Present</v>
      </c>
    </row>
    <row r="8922" spans="1:5" x14ac:dyDescent="0.25">
      <c r="A8922" s="2" t="s">
        <v>6439</v>
      </c>
      <c r="B8922" s="2" t="s">
        <v>1980</v>
      </c>
      <c r="C8922" s="2">
        <v>2</v>
      </c>
      <c r="D8922" t="str">
        <f t="shared" si="139"/>
        <v>US-2017-100048_TEC-PH-10003012</v>
      </c>
      <c r="E8922" t="str">
        <f>IF(COUNTIF(data2!$D:$D,D8922)=0,"Missing in Data2","Present")</f>
        <v>Present</v>
      </c>
    </row>
    <row r="8923" spans="1:5" x14ac:dyDescent="0.25">
      <c r="A8923" s="2" t="s">
        <v>6440</v>
      </c>
      <c r="B8923" s="2" t="s">
        <v>1225</v>
      </c>
      <c r="C8923" s="2">
        <v>2</v>
      </c>
      <c r="D8923" t="str">
        <f t="shared" si="139"/>
        <v>US-2017-100209_OFF-BI-10002012</v>
      </c>
      <c r="E8923" t="str">
        <f>IF(COUNTIF(data2!$D:$D,D8923)=0,"Missing in Data2","Present")</f>
        <v>Present</v>
      </c>
    </row>
    <row r="8924" spans="1:5" x14ac:dyDescent="0.25">
      <c r="A8924" s="2" t="s">
        <v>6441</v>
      </c>
      <c r="B8924" s="2" t="s">
        <v>823</v>
      </c>
      <c r="C8924" s="2">
        <v>3</v>
      </c>
      <c r="D8924" t="str">
        <f t="shared" si="139"/>
        <v>US-2017-100398_OFF-BI-10002133</v>
      </c>
      <c r="E8924" t="str">
        <f>IF(COUNTIF(data2!$D:$D,D8924)=0,"Missing in Data2","Present")</f>
        <v>Present</v>
      </c>
    </row>
    <row r="8925" spans="1:5" x14ac:dyDescent="0.25">
      <c r="A8925" s="2" t="s">
        <v>6442</v>
      </c>
      <c r="B8925" s="2" t="s">
        <v>2467</v>
      </c>
      <c r="C8925" s="2">
        <v>2</v>
      </c>
      <c r="D8925" t="str">
        <f t="shared" si="139"/>
        <v>US-2017-100482_OFF-ST-10001325</v>
      </c>
      <c r="E8925" t="str">
        <f>IF(COUNTIF(data2!$D:$D,D8925)=0,"Missing in Data2","Present")</f>
        <v>Present</v>
      </c>
    </row>
    <row r="8926" spans="1:5" x14ac:dyDescent="0.25">
      <c r="A8926" s="2" t="s">
        <v>6443</v>
      </c>
      <c r="B8926" s="2" t="s">
        <v>1830</v>
      </c>
      <c r="C8926" s="2">
        <v>3</v>
      </c>
      <c r="D8926" t="str">
        <f t="shared" si="139"/>
        <v>US-2017-100930_FUR-FU-10004017</v>
      </c>
      <c r="E8926" t="str">
        <f>IF(COUNTIF(data2!$D:$D,D8926)=0,"Missing in Data2","Present")</f>
        <v>Present</v>
      </c>
    </row>
    <row r="8927" spans="1:5" x14ac:dyDescent="0.25">
      <c r="A8927" s="2" t="s">
        <v>6443</v>
      </c>
      <c r="B8927" s="2" t="s">
        <v>2627</v>
      </c>
      <c r="C8927" s="2">
        <v>2</v>
      </c>
      <c r="D8927" t="str">
        <f t="shared" si="139"/>
        <v>US-2017-100930_FUR-TA-10001705</v>
      </c>
      <c r="E8927" t="str">
        <f>IF(COUNTIF(data2!$D:$D,D8927)=0,"Missing in Data2","Present")</f>
        <v>Present</v>
      </c>
    </row>
    <row r="8928" spans="1:5" x14ac:dyDescent="0.25">
      <c r="A8928" s="2" t="s">
        <v>6443</v>
      </c>
      <c r="B8928" s="2" t="s">
        <v>1806</v>
      </c>
      <c r="C8928" s="2">
        <v>3</v>
      </c>
      <c r="D8928" t="str">
        <f t="shared" si="139"/>
        <v>US-2017-100930_FUR-TA-10003473</v>
      </c>
      <c r="E8928" t="str">
        <f>IF(COUNTIF(data2!$D:$D,D8928)=0,"Missing in Data2","Present")</f>
        <v>Present</v>
      </c>
    </row>
    <row r="8929" spans="1:5" x14ac:dyDescent="0.25">
      <c r="A8929" s="2" t="s">
        <v>6443</v>
      </c>
      <c r="B8929" s="2" t="s">
        <v>877</v>
      </c>
      <c r="C8929" s="2">
        <v>3</v>
      </c>
      <c r="D8929" t="str">
        <f t="shared" si="139"/>
        <v>US-2017-100930_TEC-AC-10003832</v>
      </c>
      <c r="E8929" t="str">
        <f>IF(COUNTIF(data2!$D:$D,D8929)=0,"Missing in Data2","Present")</f>
        <v>Present</v>
      </c>
    </row>
    <row r="8930" spans="1:5" x14ac:dyDescent="0.25">
      <c r="A8930" s="2" t="s">
        <v>6444</v>
      </c>
      <c r="B8930" s="2" t="s">
        <v>1180</v>
      </c>
      <c r="C8930" s="2">
        <v>3</v>
      </c>
      <c r="D8930" t="str">
        <f t="shared" si="139"/>
        <v>US-2017-101518_TEC-AC-10001553</v>
      </c>
      <c r="E8930" t="str">
        <f>IF(COUNTIF(data2!$D:$D,D8930)=0,"Missing in Data2","Present")</f>
        <v>Present</v>
      </c>
    </row>
    <row r="8931" spans="1:5" x14ac:dyDescent="0.25">
      <c r="A8931" s="2" t="s">
        <v>6445</v>
      </c>
      <c r="B8931" s="2" t="s">
        <v>1431</v>
      </c>
      <c r="C8931" s="2">
        <v>1</v>
      </c>
      <c r="D8931" t="str">
        <f t="shared" si="139"/>
        <v>US-2017-101539_OFF-PA-10001972</v>
      </c>
      <c r="E8931" t="str">
        <f>IF(COUNTIF(data2!$D:$D,D8931)=0,"Missing in Data2","Present")</f>
        <v>Present</v>
      </c>
    </row>
    <row r="8932" spans="1:5" x14ac:dyDescent="0.25">
      <c r="A8932" s="2" t="s">
        <v>6445</v>
      </c>
      <c r="B8932" s="2" t="s">
        <v>3191</v>
      </c>
      <c r="C8932" s="2">
        <v>1</v>
      </c>
      <c r="D8932" t="str">
        <f t="shared" si="139"/>
        <v>US-2017-101539_OFF-ST-10004180</v>
      </c>
      <c r="E8932" t="str">
        <f>IF(COUNTIF(data2!$D:$D,D8932)=0,"Missing in Data2","Present")</f>
        <v>Present</v>
      </c>
    </row>
    <row r="8933" spans="1:5" x14ac:dyDescent="0.25">
      <c r="A8933" s="2" t="s">
        <v>6445</v>
      </c>
      <c r="B8933" s="2" t="s">
        <v>2074</v>
      </c>
      <c r="C8933" s="2">
        <v>3</v>
      </c>
      <c r="D8933" t="str">
        <f t="shared" si="139"/>
        <v>US-2017-101539_TEC-PH-10004165</v>
      </c>
      <c r="E8933" t="str">
        <f>IF(COUNTIF(data2!$D:$D,D8933)=0,"Missing in Data2","Present")</f>
        <v>Present</v>
      </c>
    </row>
    <row r="8934" spans="1:5" x14ac:dyDescent="0.25">
      <c r="A8934" s="2" t="s">
        <v>6446</v>
      </c>
      <c r="B8934" s="2" t="s">
        <v>884</v>
      </c>
      <c r="C8934" s="2">
        <v>3</v>
      </c>
      <c r="D8934" t="str">
        <f t="shared" si="139"/>
        <v>US-2017-101721_OFF-PA-10003641</v>
      </c>
      <c r="E8934" t="str">
        <f>IF(COUNTIF(data2!$D:$D,D8934)=0,"Missing in Data2","Present")</f>
        <v>Present</v>
      </c>
    </row>
    <row r="8935" spans="1:5" x14ac:dyDescent="0.25">
      <c r="A8935" s="2" t="s">
        <v>6447</v>
      </c>
      <c r="B8935" s="2" t="s">
        <v>370</v>
      </c>
      <c r="C8935" s="2">
        <v>3</v>
      </c>
      <c r="D8935" t="str">
        <f t="shared" si="139"/>
        <v>US-2017-101784_FUR-CH-10001146</v>
      </c>
      <c r="E8935" t="str">
        <f>IF(COUNTIF(data2!$D:$D,D8935)=0,"Missing in Data2","Present")</f>
        <v>Present</v>
      </c>
    </row>
    <row r="8936" spans="1:5" x14ac:dyDescent="0.25">
      <c r="A8936" s="2" t="s">
        <v>6448</v>
      </c>
      <c r="B8936" s="2" t="s">
        <v>3711</v>
      </c>
      <c r="C8936" s="2">
        <v>4</v>
      </c>
      <c r="D8936" t="str">
        <f t="shared" si="139"/>
        <v>US-2017-101840_OFF-BI-10000279</v>
      </c>
      <c r="E8936" t="str">
        <f>IF(COUNTIF(data2!$D:$D,D8936)=0,"Missing in Data2","Present")</f>
        <v>Present</v>
      </c>
    </row>
    <row r="8937" spans="1:5" x14ac:dyDescent="0.25">
      <c r="A8937" s="2" t="s">
        <v>6448</v>
      </c>
      <c r="B8937" s="2" t="s">
        <v>1741</v>
      </c>
      <c r="C8937" s="2">
        <v>6</v>
      </c>
      <c r="D8937" t="str">
        <f t="shared" si="139"/>
        <v>US-2017-101840_TEC-PH-10002538</v>
      </c>
      <c r="E8937" t="str">
        <f>IF(COUNTIF(data2!$D:$D,D8937)=0,"Missing in Data2","Present")</f>
        <v>Present</v>
      </c>
    </row>
    <row r="8938" spans="1:5" x14ac:dyDescent="0.25">
      <c r="A8938" s="2" t="s">
        <v>6449</v>
      </c>
      <c r="B8938" s="2" t="s">
        <v>502</v>
      </c>
      <c r="C8938" s="2">
        <v>6</v>
      </c>
      <c r="D8938" t="str">
        <f t="shared" si="139"/>
        <v>US-2017-102183_OFF-BI-10001359</v>
      </c>
      <c r="E8938" t="str">
        <f>IF(COUNTIF(data2!$D:$D,D8938)=0,"Missing in Data2","Present")</f>
        <v>Present</v>
      </c>
    </row>
    <row r="8939" spans="1:5" x14ac:dyDescent="0.25">
      <c r="A8939" s="2" t="s">
        <v>6449</v>
      </c>
      <c r="B8939" s="2" t="s">
        <v>609</v>
      </c>
      <c r="C8939" s="2">
        <v>7</v>
      </c>
      <c r="D8939" t="str">
        <f t="shared" si="139"/>
        <v>US-2017-102183_OFF-BI-10003476</v>
      </c>
      <c r="E8939" t="str">
        <f>IF(COUNTIF(data2!$D:$D,D8939)=0,"Missing in Data2","Present")</f>
        <v>Present</v>
      </c>
    </row>
    <row r="8940" spans="1:5" x14ac:dyDescent="0.25">
      <c r="A8940" s="2" t="s">
        <v>6450</v>
      </c>
      <c r="B8940" s="2" t="s">
        <v>2408</v>
      </c>
      <c r="C8940" s="2">
        <v>1</v>
      </c>
      <c r="D8940" t="str">
        <f t="shared" si="139"/>
        <v>US-2017-102288_OFF-AP-10002906</v>
      </c>
      <c r="E8940" t="str">
        <f>IF(COUNTIF(data2!$D:$D,D8940)=0,"Missing in Data2","Present")</f>
        <v>Present</v>
      </c>
    </row>
    <row r="8941" spans="1:5" x14ac:dyDescent="0.25">
      <c r="A8941" s="2" t="s">
        <v>6450</v>
      </c>
      <c r="B8941" s="2" t="s">
        <v>3093</v>
      </c>
      <c r="C8941" s="2">
        <v>1</v>
      </c>
      <c r="D8941" t="str">
        <f t="shared" si="139"/>
        <v>US-2017-102288_OFF-AP-10004655</v>
      </c>
      <c r="E8941" t="str">
        <f>IF(COUNTIF(data2!$D:$D,D8941)=0,"Missing in Data2","Present")</f>
        <v>Present</v>
      </c>
    </row>
    <row r="8942" spans="1:5" x14ac:dyDescent="0.25">
      <c r="A8942" s="2" t="s">
        <v>6450</v>
      </c>
      <c r="B8942" s="2" t="s">
        <v>3651</v>
      </c>
      <c r="C8942" s="2">
        <v>8</v>
      </c>
      <c r="D8942" t="str">
        <f t="shared" si="139"/>
        <v>US-2017-102288_OFF-PA-10000740</v>
      </c>
      <c r="E8942" t="str">
        <f>IF(COUNTIF(data2!$D:$D,D8942)=0,"Missing in Data2","Present")</f>
        <v>Present</v>
      </c>
    </row>
    <row r="8943" spans="1:5" x14ac:dyDescent="0.25">
      <c r="A8943" s="2" t="s">
        <v>6451</v>
      </c>
      <c r="B8943" s="2" t="s">
        <v>1808</v>
      </c>
      <c r="C8943" s="2">
        <v>3</v>
      </c>
      <c r="D8943" t="str">
        <f t="shared" si="139"/>
        <v>US-2017-102638_OFF-FA-10002988</v>
      </c>
      <c r="E8943" t="str">
        <f>IF(COUNTIF(data2!$D:$D,D8943)=0,"Missing in Data2","Present")</f>
        <v>Missing in Data2</v>
      </c>
    </row>
    <row r="8944" spans="1:5" x14ac:dyDescent="0.25">
      <c r="A8944" s="2" t="s">
        <v>6452</v>
      </c>
      <c r="B8944" s="2" t="s">
        <v>869</v>
      </c>
      <c r="C8944" s="2">
        <v>5</v>
      </c>
      <c r="D8944" t="str">
        <f t="shared" si="139"/>
        <v>US-2017-102890_FUR-TA-10000577</v>
      </c>
      <c r="E8944" t="str">
        <f>IF(COUNTIF(data2!$D:$D,D8944)=0,"Missing in Data2","Present")</f>
        <v>Present</v>
      </c>
    </row>
    <row r="8945" spans="1:5" x14ac:dyDescent="0.25">
      <c r="A8945" s="2" t="s">
        <v>6453</v>
      </c>
      <c r="B8945" s="2" t="s">
        <v>3164</v>
      </c>
      <c r="C8945" s="2">
        <v>8</v>
      </c>
      <c r="D8945" t="str">
        <f t="shared" si="139"/>
        <v>US-2017-102904_TEC-AC-10000927</v>
      </c>
      <c r="E8945" t="str">
        <f>IF(COUNTIF(data2!$D:$D,D8945)=0,"Missing in Data2","Present")</f>
        <v>Present</v>
      </c>
    </row>
    <row r="8946" spans="1:5" x14ac:dyDescent="0.25">
      <c r="A8946" s="2" t="s">
        <v>6454</v>
      </c>
      <c r="B8946" s="2" t="s">
        <v>3730</v>
      </c>
      <c r="C8946" s="2">
        <v>3</v>
      </c>
      <c r="D8946" t="str">
        <f t="shared" si="139"/>
        <v>US-2017-103226_OFF-PA-10002666</v>
      </c>
      <c r="E8946" t="str">
        <f>IF(COUNTIF(data2!$D:$D,D8946)=0,"Missing in Data2","Present")</f>
        <v>Present</v>
      </c>
    </row>
    <row r="8947" spans="1:5" x14ac:dyDescent="0.25">
      <c r="A8947" s="2" t="s">
        <v>6455</v>
      </c>
      <c r="B8947" s="2" t="s">
        <v>2041</v>
      </c>
      <c r="C8947" s="2">
        <v>3</v>
      </c>
      <c r="D8947" t="str">
        <f t="shared" si="139"/>
        <v>US-2017-103247_OFF-BI-10004492</v>
      </c>
      <c r="E8947" t="str">
        <f>IF(COUNTIF(data2!$D:$D,D8947)=0,"Missing in Data2","Present")</f>
        <v>Present</v>
      </c>
    </row>
    <row r="8948" spans="1:5" x14ac:dyDescent="0.25">
      <c r="A8948" s="2" t="s">
        <v>6455</v>
      </c>
      <c r="B8948" s="2" t="s">
        <v>2452</v>
      </c>
      <c r="C8948" s="2">
        <v>7</v>
      </c>
      <c r="D8948" t="str">
        <f t="shared" si="139"/>
        <v>US-2017-103247_TEC-PH-10003555</v>
      </c>
      <c r="E8948" t="str">
        <f>IF(COUNTIF(data2!$D:$D,D8948)=0,"Missing in Data2","Present")</f>
        <v>Present</v>
      </c>
    </row>
    <row r="8949" spans="1:5" x14ac:dyDescent="0.25">
      <c r="A8949" s="2" t="s">
        <v>6456</v>
      </c>
      <c r="B8949" s="2" t="s">
        <v>802</v>
      </c>
      <c r="C8949" s="2">
        <v>9</v>
      </c>
      <c r="D8949" t="str">
        <f t="shared" si="139"/>
        <v>US-2017-103814_OFF-PA-10001019</v>
      </c>
      <c r="E8949" t="str">
        <f>IF(COUNTIF(data2!$D:$D,D8949)=0,"Missing in Data2","Present")</f>
        <v>Present</v>
      </c>
    </row>
    <row r="8950" spans="1:5" x14ac:dyDescent="0.25">
      <c r="A8950" s="2" t="s">
        <v>6457</v>
      </c>
      <c r="B8950" s="2" t="s">
        <v>43</v>
      </c>
      <c r="C8950" s="2">
        <v>7</v>
      </c>
      <c r="D8950" t="str">
        <f t="shared" si="139"/>
        <v>US-2017-103828_OFF-AP-10004249</v>
      </c>
      <c r="E8950" t="str">
        <f>IF(COUNTIF(data2!$D:$D,D8950)=0,"Missing in Data2","Present")</f>
        <v>Present</v>
      </c>
    </row>
    <row r="8951" spans="1:5" x14ac:dyDescent="0.25">
      <c r="A8951" s="2" t="s">
        <v>6457</v>
      </c>
      <c r="B8951" s="2" t="s">
        <v>1821</v>
      </c>
      <c r="C8951" s="2">
        <v>3</v>
      </c>
      <c r="D8951" t="str">
        <f t="shared" si="139"/>
        <v>US-2017-103828_OFF-AR-10000588</v>
      </c>
      <c r="E8951" t="str">
        <f>IF(COUNTIF(data2!$D:$D,D8951)=0,"Missing in Data2","Present")</f>
        <v>Present</v>
      </c>
    </row>
    <row r="8952" spans="1:5" x14ac:dyDescent="0.25">
      <c r="A8952" s="2" t="s">
        <v>6457</v>
      </c>
      <c r="B8952" s="2" t="s">
        <v>2467</v>
      </c>
      <c r="C8952" s="2">
        <v>3</v>
      </c>
      <c r="D8952" t="str">
        <f t="shared" si="139"/>
        <v>US-2017-103828_OFF-ST-10001325</v>
      </c>
      <c r="E8952" t="str">
        <f>IF(COUNTIF(data2!$D:$D,D8952)=0,"Missing in Data2","Present")</f>
        <v>Present</v>
      </c>
    </row>
    <row r="8953" spans="1:5" x14ac:dyDescent="0.25">
      <c r="A8953" s="2" t="s">
        <v>6457</v>
      </c>
      <c r="B8953" s="2" t="s">
        <v>3376</v>
      </c>
      <c r="C8953" s="2">
        <v>4</v>
      </c>
      <c r="D8953" t="str">
        <f t="shared" si="139"/>
        <v>US-2017-103828_OFF-SU-10000946</v>
      </c>
      <c r="E8953" t="str">
        <f>IF(COUNTIF(data2!$D:$D,D8953)=0,"Missing in Data2","Present")</f>
        <v>Present</v>
      </c>
    </row>
    <row r="8954" spans="1:5" x14ac:dyDescent="0.25">
      <c r="A8954" s="2" t="s">
        <v>6458</v>
      </c>
      <c r="B8954" s="2" t="s">
        <v>101</v>
      </c>
      <c r="C8954" s="2">
        <v>1</v>
      </c>
      <c r="D8954" t="str">
        <f t="shared" si="139"/>
        <v>US-2017-104094_TEC-AC-10002134</v>
      </c>
      <c r="E8954" t="str">
        <f>IF(COUNTIF(data2!$D:$D,D8954)=0,"Missing in Data2","Present")</f>
        <v>Present</v>
      </c>
    </row>
    <row r="8955" spans="1:5" x14ac:dyDescent="0.25">
      <c r="A8955" s="2" t="s">
        <v>6459</v>
      </c>
      <c r="B8955" s="2" t="s">
        <v>2225</v>
      </c>
      <c r="C8955" s="2">
        <v>3</v>
      </c>
      <c r="D8955" t="str">
        <f t="shared" si="139"/>
        <v>US-2017-104437_TEC-PH-10000193</v>
      </c>
      <c r="E8955" t="str">
        <f>IF(COUNTIF(data2!$D:$D,D8955)=0,"Missing in Data2","Present")</f>
        <v>Present</v>
      </c>
    </row>
    <row r="8956" spans="1:5" x14ac:dyDescent="0.25">
      <c r="A8956" s="2" t="s">
        <v>6460</v>
      </c>
      <c r="B8956" s="2" t="s">
        <v>647</v>
      </c>
      <c r="C8956" s="2">
        <v>4</v>
      </c>
      <c r="D8956" t="str">
        <f t="shared" si="139"/>
        <v>US-2017-104451_OFF-AP-10000692</v>
      </c>
      <c r="E8956" t="str">
        <f>IF(COUNTIF(data2!$D:$D,D8956)=0,"Missing in Data2","Present")</f>
        <v>Present</v>
      </c>
    </row>
    <row r="8957" spans="1:5" x14ac:dyDescent="0.25">
      <c r="A8957" s="2" t="s">
        <v>6461</v>
      </c>
      <c r="B8957" s="2" t="s">
        <v>2048</v>
      </c>
      <c r="C8957" s="2">
        <v>1</v>
      </c>
      <c r="D8957" t="str">
        <f t="shared" si="139"/>
        <v>US-2017-104661_OFF-BI-10001098</v>
      </c>
      <c r="E8957" t="str">
        <f>IF(COUNTIF(data2!$D:$D,D8957)=0,"Missing in Data2","Present")</f>
        <v>Present</v>
      </c>
    </row>
    <row r="8958" spans="1:5" x14ac:dyDescent="0.25">
      <c r="A8958" s="2" t="s">
        <v>6461</v>
      </c>
      <c r="B8958" s="2" t="s">
        <v>5</v>
      </c>
      <c r="C8958" s="2">
        <v>4</v>
      </c>
      <c r="D8958" t="str">
        <f t="shared" si="139"/>
        <v>US-2017-104661_OFF-BI-10001597</v>
      </c>
      <c r="E8958" t="str">
        <f>IF(COUNTIF(data2!$D:$D,D8958)=0,"Missing in Data2","Present")</f>
        <v>Present</v>
      </c>
    </row>
    <row r="8959" spans="1:5" x14ac:dyDescent="0.25">
      <c r="A8959" s="2" t="s">
        <v>6461</v>
      </c>
      <c r="B8959" s="2" t="s">
        <v>1266</v>
      </c>
      <c r="C8959" s="2">
        <v>8</v>
      </c>
      <c r="D8959" t="str">
        <f t="shared" si="139"/>
        <v>US-2017-104661_TEC-AC-10002331</v>
      </c>
      <c r="E8959" t="str">
        <f>IF(COUNTIF(data2!$D:$D,D8959)=0,"Missing in Data2","Present")</f>
        <v>Present</v>
      </c>
    </row>
    <row r="8960" spans="1:5" x14ac:dyDescent="0.25">
      <c r="A8960" s="2" t="s">
        <v>6461</v>
      </c>
      <c r="B8960" s="2" t="s">
        <v>131</v>
      </c>
      <c r="C8960" s="2">
        <v>2</v>
      </c>
      <c r="D8960" t="str">
        <f t="shared" si="139"/>
        <v>US-2017-104661_TEC-AC-10003628</v>
      </c>
      <c r="E8960" t="str">
        <f>IF(COUNTIF(data2!$D:$D,D8960)=0,"Missing in Data2","Present")</f>
        <v>Present</v>
      </c>
    </row>
    <row r="8961" spans="1:5" x14ac:dyDescent="0.25">
      <c r="A8961" s="2" t="s">
        <v>6462</v>
      </c>
      <c r="B8961" s="2" t="s">
        <v>1601</v>
      </c>
      <c r="C8961" s="2">
        <v>7</v>
      </c>
      <c r="D8961" t="str">
        <f t="shared" si="139"/>
        <v>US-2017-104955_OFF-LA-10003121</v>
      </c>
      <c r="E8961" t="str">
        <f>IF(COUNTIF(data2!$D:$D,D8961)=0,"Missing in Data2","Present")</f>
        <v>Present</v>
      </c>
    </row>
    <row r="8962" spans="1:5" x14ac:dyDescent="0.25">
      <c r="A8962" s="2" t="s">
        <v>6463</v>
      </c>
      <c r="B8962" s="2" t="s">
        <v>2725</v>
      </c>
      <c r="C8962" s="2">
        <v>4</v>
      </c>
      <c r="D8962" t="str">
        <f t="shared" si="139"/>
        <v>US-2017-105046_FUR-FU-10004848</v>
      </c>
      <c r="E8962" t="str">
        <f>IF(COUNTIF(data2!$D:$D,D8962)=0,"Missing in Data2","Present")</f>
        <v>Present</v>
      </c>
    </row>
    <row r="8963" spans="1:5" x14ac:dyDescent="0.25">
      <c r="A8963" s="2" t="s">
        <v>6463</v>
      </c>
      <c r="B8963" s="2" t="s">
        <v>121</v>
      </c>
      <c r="C8963" s="2">
        <v>5</v>
      </c>
      <c r="D8963" t="str">
        <f t="shared" ref="D8963:D9026" si="140">A8963&amp;"_"&amp;B8963</f>
        <v>US-2017-105046_OFF-PA-10004353</v>
      </c>
      <c r="E8963" t="str">
        <f>IF(COUNTIF(data2!$D:$D,D8963)=0,"Missing in Data2","Present")</f>
        <v>Present</v>
      </c>
    </row>
    <row r="8964" spans="1:5" x14ac:dyDescent="0.25">
      <c r="A8964" s="2" t="s">
        <v>6463</v>
      </c>
      <c r="B8964" s="2" t="s">
        <v>3440</v>
      </c>
      <c r="C8964" s="2">
        <v>2</v>
      </c>
      <c r="D8964" t="str">
        <f t="shared" si="140"/>
        <v>US-2017-105046_TEC-PH-10004536</v>
      </c>
      <c r="E8964" t="str">
        <f>IF(COUNTIF(data2!$D:$D,D8964)=0,"Missing in Data2","Present")</f>
        <v>Present</v>
      </c>
    </row>
    <row r="8965" spans="1:5" x14ac:dyDescent="0.25">
      <c r="A8965" s="2" t="s">
        <v>6464</v>
      </c>
      <c r="B8965" s="2" t="s">
        <v>95</v>
      </c>
      <c r="C8965" s="2">
        <v>3</v>
      </c>
      <c r="D8965" t="str">
        <f t="shared" si="140"/>
        <v>US-2017-105389_OFF-AR-10000634</v>
      </c>
      <c r="E8965" t="str">
        <f>IF(COUNTIF(data2!$D:$D,D8965)=0,"Missing in Data2","Present")</f>
        <v>Present</v>
      </c>
    </row>
    <row r="8966" spans="1:5" x14ac:dyDescent="0.25">
      <c r="A8966" s="2" t="s">
        <v>6464</v>
      </c>
      <c r="B8966" s="2" t="s">
        <v>432</v>
      </c>
      <c r="C8966" s="2">
        <v>3</v>
      </c>
      <c r="D8966" t="str">
        <f t="shared" si="140"/>
        <v>US-2017-105389_OFF-BI-10004364</v>
      </c>
      <c r="E8966" t="str">
        <f>IF(COUNTIF(data2!$D:$D,D8966)=0,"Missing in Data2","Present")</f>
        <v>Present</v>
      </c>
    </row>
    <row r="8967" spans="1:5" x14ac:dyDescent="0.25">
      <c r="A8967" s="2" t="s">
        <v>6465</v>
      </c>
      <c r="B8967" s="2" t="s">
        <v>252</v>
      </c>
      <c r="C8967" s="2">
        <v>2</v>
      </c>
      <c r="D8967" t="str">
        <f t="shared" si="140"/>
        <v>US-2017-105697_OFF-ST-10003996</v>
      </c>
      <c r="E8967" t="str">
        <f>IF(COUNTIF(data2!$D:$D,D8967)=0,"Missing in Data2","Present")</f>
        <v>Present</v>
      </c>
    </row>
    <row r="8968" spans="1:5" x14ac:dyDescent="0.25">
      <c r="A8968" s="2" t="s">
        <v>6466</v>
      </c>
      <c r="B8968" s="2" t="s">
        <v>1756</v>
      </c>
      <c r="C8968" s="2">
        <v>4</v>
      </c>
      <c r="D8968" t="str">
        <f t="shared" si="140"/>
        <v>US-2017-105830_OFF-ST-10002554</v>
      </c>
      <c r="E8968" t="str">
        <f>IF(COUNTIF(data2!$D:$D,D8968)=0,"Missing in Data2","Present")</f>
        <v>Present</v>
      </c>
    </row>
    <row r="8969" spans="1:5" x14ac:dyDescent="0.25">
      <c r="A8969" s="2" t="s">
        <v>6467</v>
      </c>
      <c r="B8969" s="2" t="s">
        <v>2498</v>
      </c>
      <c r="C8969" s="2">
        <v>4</v>
      </c>
      <c r="D8969" t="str">
        <f t="shared" si="140"/>
        <v>US-2017-105935_FUR-FU-10002157</v>
      </c>
      <c r="E8969" t="str">
        <f>IF(COUNTIF(data2!$D:$D,D8969)=0,"Missing in Data2","Present")</f>
        <v>Present</v>
      </c>
    </row>
    <row r="8970" spans="1:5" x14ac:dyDescent="0.25">
      <c r="A8970" s="2" t="s">
        <v>6467</v>
      </c>
      <c r="B8970" s="2" t="s">
        <v>984</v>
      </c>
      <c r="C8970" s="2">
        <v>7</v>
      </c>
      <c r="D8970" t="str">
        <f t="shared" si="140"/>
        <v>US-2017-105935_TEC-PH-10001459</v>
      </c>
      <c r="E8970" t="str">
        <f>IF(COUNTIF(data2!$D:$D,D8970)=0,"Missing in Data2","Present")</f>
        <v>Present</v>
      </c>
    </row>
    <row r="8971" spans="1:5" x14ac:dyDescent="0.25">
      <c r="A8971" s="2" t="s">
        <v>6468</v>
      </c>
      <c r="B8971" s="2" t="s">
        <v>2635</v>
      </c>
      <c r="C8971" s="2">
        <v>12</v>
      </c>
      <c r="D8971" t="str">
        <f t="shared" si="140"/>
        <v>US-2017-105998_FUR-TA-10001095</v>
      </c>
      <c r="E8971" t="str">
        <f>IF(COUNTIF(data2!$D:$D,D8971)=0,"Missing in Data2","Present")</f>
        <v>Present</v>
      </c>
    </row>
    <row r="8972" spans="1:5" x14ac:dyDescent="0.25">
      <c r="A8972" s="2" t="s">
        <v>6468</v>
      </c>
      <c r="B8972" s="2" t="s">
        <v>2802</v>
      </c>
      <c r="C8972" s="2">
        <v>5</v>
      </c>
      <c r="D8972" t="str">
        <f t="shared" si="140"/>
        <v>US-2017-105998_TEC-AC-10004469</v>
      </c>
      <c r="E8972" t="str">
        <f>IF(COUNTIF(data2!$D:$D,D8972)=0,"Missing in Data2","Present")</f>
        <v>Present</v>
      </c>
    </row>
    <row r="8973" spans="1:5" x14ac:dyDescent="0.25">
      <c r="A8973" s="2" t="s">
        <v>6469</v>
      </c>
      <c r="B8973" s="2" t="s">
        <v>2732</v>
      </c>
      <c r="C8973" s="2">
        <v>9</v>
      </c>
      <c r="D8973" t="str">
        <f t="shared" si="140"/>
        <v>US-2017-106131_OFF-ST-10003638</v>
      </c>
      <c r="E8973" t="str">
        <f>IF(COUNTIF(data2!$D:$D,D8973)=0,"Missing in Data2","Present")</f>
        <v>Present</v>
      </c>
    </row>
    <row r="8974" spans="1:5" x14ac:dyDescent="0.25">
      <c r="A8974" s="2" t="s">
        <v>6469</v>
      </c>
      <c r="B8974" s="2" t="s">
        <v>6470</v>
      </c>
      <c r="C8974" s="2">
        <v>7</v>
      </c>
      <c r="D8974" t="str">
        <f t="shared" si="140"/>
        <v>US-2017-106131_TEC-AC-10003027</v>
      </c>
      <c r="E8974" t="str">
        <f>IF(COUNTIF(data2!$D:$D,D8974)=0,"Missing in Data2","Present")</f>
        <v>Present</v>
      </c>
    </row>
    <row r="8975" spans="1:5" x14ac:dyDescent="0.25">
      <c r="A8975" s="2" t="s">
        <v>6471</v>
      </c>
      <c r="B8975" s="2" t="s">
        <v>569</v>
      </c>
      <c r="C8975" s="2">
        <v>3</v>
      </c>
      <c r="D8975" t="str">
        <f t="shared" si="140"/>
        <v>US-2017-106145_FUR-FU-10003829</v>
      </c>
      <c r="E8975" t="str">
        <f>IF(COUNTIF(data2!$D:$D,D8975)=0,"Missing in Data2","Present")</f>
        <v>Present</v>
      </c>
    </row>
    <row r="8976" spans="1:5" x14ac:dyDescent="0.25">
      <c r="A8976" s="2" t="s">
        <v>6471</v>
      </c>
      <c r="B8976" s="2" t="s">
        <v>1279</v>
      </c>
      <c r="C8976" s="2">
        <v>3</v>
      </c>
      <c r="D8976" t="str">
        <f t="shared" si="140"/>
        <v>US-2017-106145_OFF-BI-10002215</v>
      </c>
      <c r="E8976" t="str">
        <f>IF(COUNTIF(data2!$D:$D,D8976)=0,"Missing in Data2","Present")</f>
        <v>Present</v>
      </c>
    </row>
    <row r="8977" spans="1:5" x14ac:dyDescent="0.25">
      <c r="A8977" s="2" t="s">
        <v>6471</v>
      </c>
      <c r="B8977" s="2" t="s">
        <v>601</v>
      </c>
      <c r="C8977" s="2">
        <v>3</v>
      </c>
      <c r="D8977" t="str">
        <f t="shared" si="140"/>
        <v>US-2017-106145_OFF-BI-10003925</v>
      </c>
      <c r="E8977" t="str">
        <f>IF(COUNTIF(data2!$D:$D,D8977)=0,"Missing in Data2","Present")</f>
        <v>Present</v>
      </c>
    </row>
    <row r="8978" spans="1:5" x14ac:dyDescent="0.25">
      <c r="A8978" s="2" t="s">
        <v>6471</v>
      </c>
      <c r="B8978" s="2" t="s">
        <v>2230</v>
      </c>
      <c r="C8978" s="2">
        <v>6</v>
      </c>
      <c r="D8978" t="str">
        <f t="shared" si="140"/>
        <v>US-2017-106145_OFF-EN-10001028</v>
      </c>
      <c r="E8978" t="str">
        <f>IF(COUNTIF(data2!$D:$D,D8978)=0,"Missing in Data2","Present")</f>
        <v>Present</v>
      </c>
    </row>
    <row r="8979" spans="1:5" x14ac:dyDescent="0.25">
      <c r="A8979" s="2" t="s">
        <v>6471</v>
      </c>
      <c r="B8979" s="2" t="s">
        <v>1094</v>
      </c>
      <c r="C8979" s="2">
        <v>6</v>
      </c>
      <c r="D8979" t="str">
        <f t="shared" si="140"/>
        <v>US-2017-106145_OFF-PA-10002245</v>
      </c>
      <c r="E8979" t="str">
        <f>IF(COUNTIF(data2!$D:$D,D8979)=0,"Missing in Data2","Present")</f>
        <v>Present</v>
      </c>
    </row>
    <row r="8980" spans="1:5" x14ac:dyDescent="0.25">
      <c r="A8980" s="2" t="s">
        <v>6472</v>
      </c>
      <c r="B8980" s="2" t="s">
        <v>680</v>
      </c>
      <c r="C8980" s="2">
        <v>4</v>
      </c>
      <c r="D8980" t="str">
        <f t="shared" si="140"/>
        <v>US-2017-106551_FUR-CH-10004997</v>
      </c>
      <c r="E8980" t="str">
        <f>IF(COUNTIF(data2!$D:$D,D8980)=0,"Missing in Data2","Present")</f>
        <v>Present</v>
      </c>
    </row>
    <row r="8981" spans="1:5" x14ac:dyDescent="0.25">
      <c r="A8981" s="2" t="s">
        <v>6473</v>
      </c>
      <c r="B8981" s="2" t="s">
        <v>59</v>
      </c>
      <c r="C8981" s="2">
        <v>4</v>
      </c>
      <c r="D8981" t="str">
        <f t="shared" si="140"/>
        <v>US-2017-106579_OFF-BI-10000309</v>
      </c>
      <c r="E8981" t="str">
        <f>IF(COUNTIF(data2!$D:$D,D8981)=0,"Missing in Data2","Present")</f>
        <v>Present</v>
      </c>
    </row>
    <row r="8982" spans="1:5" x14ac:dyDescent="0.25">
      <c r="A8982" s="2" t="s">
        <v>6474</v>
      </c>
      <c r="B8982" s="2" t="s">
        <v>359</v>
      </c>
      <c r="C8982" s="2">
        <v>3</v>
      </c>
      <c r="D8982" t="str">
        <f t="shared" si="140"/>
        <v>US-2017-106663_FUR-FU-10002759</v>
      </c>
      <c r="E8982" t="str">
        <f>IF(COUNTIF(data2!$D:$D,D8982)=0,"Missing in Data2","Present")</f>
        <v>Present</v>
      </c>
    </row>
    <row r="8983" spans="1:5" x14ac:dyDescent="0.25">
      <c r="A8983" s="2" t="s">
        <v>6474</v>
      </c>
      <c r="B8983" s="2" t="s">
        <v>1840</v>
      </c>
      <c r="C8983" s="2">
        <v>1</v>
      </c>
      <c r="D8983" t="str">
        <f t="shared" si="140"/>
        <v>US-2017-106663_FUR-TA-10000688</v>
      </c>
      <c r="E8983" t="str">
        <f>IF(COUNTIF(data2!$D:$D,D8983)=0,"Missing in Data2","Present")</f>
        <v>Present</v>
      </c>
    </row>
    <row r="8984" spans="1:5" x14ac:dyDescent="0.25">
      <c r="A8984" s="2" t="s">
        <v>6474</v>
      </c>
      <c r="B8984" s="2" t="s">
        <v>592</v>
      </c>
      <c r="C8984" s="2">
        <v>8</v>
      </c>
      <c r="D8984" t="str">
        <f t="shared" si="140"/>
        <v>US-2017-106663_OFF-PA-10002377</v>
      </c>
      <c r="E8984" t="str">
        <f>IF(COUNTIF(data2!$D:$D,D8984)=0,"Missing in Data2","Present")</f>
        <v>Present</v>
      </c>
    </row>
    <row r="8985" spans="1:5" x14ac:dyDescent="0.25">
      <c r="A8985" s="2" t="s">
        <v>6475</v>
      </c>
      <c r="B8985" s="2" t="s">
        <v>1307</v>
      </c>
      <c r="C8985" s="2">
        <v>5</v>
      </c>
      <c r="D8985" t="str">
        <f t="shared" si="140"/>
        <v>US-2017-106705_OFF-PA-10001509</v>
      </c>
      <c r="E8985" t="str">
        <f>IF(COUNTIF(data2!$D:$D,D8985)=0,"Missing in Data2","Present")</f>
        <v>Present</v>
      </c>
    </row>
    <row r="8986" spans="1:5" x14ac:dyDescent="0.25">
      <c r="A8986" s="2" t="s">
        <v>6476</v>
      </c>
      <c r="B8986" s="2" t="s">
        <v>574</v>
      </c>
      <c r="C8986" s="2">
        <v>3</v>
      </c>
      <c r="D8986" t="str">
        <f t="shared" si="140"/>
        <v>US-2017-106796_OFF-AR-10003504</v>
      </c>
      <c r="E8986" t="str">
        <f>IF(COUNTIF(data2!$D:$D,D8986)=0,"Missing in Data2","Present")</f>
        <v>Present</v>
      </c>
    </row>
    <row r="8987" spans="1:5" x14ac:dyDescent="0.25">
      <c r="A8987" s="2" t="s">
        <v>6477</v>
      </c>
      <c r="B8987" s="2" t="s">
        <v>1311</v>
      </c>
      <c r="C8987" s="2">
        <v>2</v>
      </c>
      <c r="D8987" t="str">
        <f t="shared" si="140"/>
        <v>US-2017-107272_OFF-BI-10003274</v>
      </c>
      <c r="E8987" t="str">
        <f>IF(COUNTIF(data2!$D:$D,D8987)=0,"Missing in Data2","Present")</f>
        <v>Missing in Data2</v>
      </c>
    </row>
    <row r="8988" spans="1:5" x14ac:dyDescent="0.25">
      <c r="A8988" s="2" t="s">
        <v>6477</v>
      </c>
      <c r="B8988" s="2" t="s">
        <v>1717</v>
      </c>
      <c r="C8988" s="2">
        <v>7</v>
      </c>
      <c r="D8988" t="str">
        <f t="shared" si="140"/>
        <v>US-2017-107272_OFF-ST-10002974</v>
      </c>
      <c r="E8988" t="str">
        <f>IF(COUNTIF(data2!$D:$D,D8988)=0,"Missing in Data2","Present")</f>
        <v>Present</v>
      </c>
    </row>
    <row r="8989" spans="1:5" x14ac:dyDescent="0.25">
      <c r="A8989" s="2" t="s">
        <v>6478</v>
      </c>
      <c r="B8989" s="2" t="s">
        <v>564</v>
      </c>
      <c r="C8989" s="2">
        <v>5</v>
      </c>
      <c r="D8989" t="str">
        <f t="shared" si="140"/>
        <v>US-2017-107384_OFF-AR-10001315</v>
      </c>
      <c r="E8989" t="str">
        <f>IF(COUNTIF(data2!$D:$D,D8989)=0,"Missing in Data2","Present")</f>
        <v>Present</v>
      </c>
    </row>
    <row r="8990" spans="1:5" x14ac:dyDescent="0.25">
      <c r="A8990" s="2" t="s">
        <v>6478</v>
      </c>
      <c r="B8990" s="2" t="s">
        <v>1217</v>
      </c>
      <c r="C8990" s="2">
        <v>5</v>
      </c>
      <c r="D8990" t="str">
        <f t="shared" si="140"/>
        <v>US-2017-107384_TEC-AC-10001539</v>
      </c>
      <c r="E8990" t="str">
        <f>IF(COUNTIF(data2!$D:$D,D8990)=0,"Missing in Data2","Present")</f>
        <v>Present</v>
      </c>
    </row>
    <row r="8991" spans="1:5" x14ac:dyDescent="0.25">
      <c r="A8991" s="2" t="s">
        <v>6478</v>
      </c>
      <c r="B8991" s="2" t="s">
        <v>6336</v>
      </c>
      <c r="C8991" s="2">
        <v>1</v>
      </c>
      <c r="D8991" t="str">
        <f t="shared" si="140"/>
        <v>US-2017-107384_TEC-AC-10004595</v>
      </c>
      <c r="E8991" t="str">
        <f>IF(COUNTIF(data2!$D:$D,D8991)=0,"Missing in Data2","Present")</f>
        <v>Present</v>
      </c>
    </row>
    <row r="8992" spans="1:5" x14ac:dyDescent="0.25">
      <c r="A8992" s="2" t="s">
        <v>6479</v>
      </c>
      <c r="B8992" s="2" t="s">
        <v>6480</v>
      </c>
      <c r="C8992" s="2">
        <v>2</v>
      </c>
      <c r="D8992" t="str">
        <f t="shared" si="140"/>
        <v>US-2017-107636_OFF-LA-10003388</v>
      </c>
      <c r="E8992" t="str">
        <f>IF(COUNTIF(data2!$D:$D,D8992)=0,"Missing in Data2","Present")</f>
        <v>Present</v>
      </c>
    </row>
    <row r="8993" spans="1:5" x14ac:dyDescent="0.25">
      <c r="A8993" s="2" t="s">
        <v>6481</v>
      </c>
      <c r="B8993" s="2" t="s">
        <v>2009</v>
      </c>
      <c r="C8993" s="2">
        <v>2</v>
      </c>
      <c r="D8993" t="str">
        <f t="shared" si="140"/>
        <v>US-2017-107888_FUR-FU-10003394</v>
      </c>
      <c r="E8993" t="str">
        <f>IF(COUNTIF(data2!$D:$D,D8993)=0,"Missing in Data2","Present")</f>
        <v>Present</v>
      </c>
    </row>
    <row r="8994" spans="1:5" x14ac:dyDescent="0.25">
      <c r="A8994" s="2" t="s">
        <v>6481</v>
      </c>
      <c r="B8994" s="2" t="s">
        <v>60</v>
      </c>
      <c r="C8994" s="2">
        <v>6</v>
      </c>
      <c r="D8994" t="str">
        <f t="shared" si="140"/>
        <v>US-2017-107888_OFF-PA-10001363</v>
      </c>
      <c r="E8994" t="str">
        <f>IF(COUNTIF(data2!$D:$D,D8994)=0,"Missing in Data2","Present")</f>
        <v>Present</v>
      </c>
    </row>
    <row r="8995" spans="1:5" x14ac:dyDescent="0.25">
      <c r="A8995" s="2" t="s">
        <v>6481</v>
      </c>
      <c r="B8995" s="2" t="s">
        <v>1465</v>
      </c>
      <c r="C8995" s="2">
        <v>1</v>
      </c>
      <c r="D8995" t="str">
        <f t="shared" si="140"/>
        <v>US-2017-107888_OFF-ST-10003123</v>
      </c>
      <c r="E8995" t="str">
        <f>IF(COUNTIF(data2!$D:$D,D8995)=0,"Missing in Data2","Present")</f>
        <v>Present</v>
      </c>
    </row>
    <row r="8996" spans="1:5" x14ac:dyDescent="0.25">
      <c r="A8996" s="2" t="s">
        <v>6481</v>
      </c>
      <c r="B8996" s="2" t="s">
        <v>1288</v>
      </c>
      <c r="C8996" s="2">
        <v>3</v>
      </c>
      <c r="D8996" t="str">
        <f t="shared" si="140"/>
        <v>US-2017-107888_TEC-PH-10003171</v>
      </c>
      <c r="E8996" t="str">
        <f>IF(COUNTIF(data2!$D:$D,D8996)=0,"Missing in Data2","Present")</f>
        <v>Present</v>
      </c>
    </row>
    <row r="8997" spans="1:5" x14ac:dyDescent="0.25">
      <c r="A8997" s="2" t="s">
        <v>6482</v>
      </c>
      <c r="B8997" s="2" t="s">
        <v>2358</v>
      </c>
      <c r="C8997" s="2">
        <v>2</v>
      </c>
      <c r="D8997" t="str">
        <f t="shared" si="140"/>
        <v>US-2017-107979_OFF-BI-10000778</v>
      </c>
      <c r="E8997" t="str">
        <f>IF(COUNTIF(data2!$D:$D,D8997)=0,"Missing in Data2","Present")</f>
        <v>Missing in Data2</v>
      </c>
    </row>
    <row r="8998" spans="1:5" x14ac:dyDescent="0.25">
      <c r="A8998" s="2" t="s">
        <v>6482</v>
      </c>
      <c r="B8998" s="2" t="s">
        <v>3070</v>
      </c>
      <c r="C8998" s="2">
        <v>2</v>
      </c>
      <c r="D8998" t="str">
        <f t="shared" si="140"/>
        <v>US-2017-107979_OFF-ST-10002485</v>
      </c>
      <c r="E8998" t="str">
        <f>IF(COUNTIF(data2!$D:$D,D8998)=0,"Missing in Data2","Present")</f>
        <v>Present</v>
      </c>
    </row>
    <row r="8999" spans="1:5" x14ac:dyDescent="0.25">
      <c r="A8999" s="2" t="s">
        <v>6482</v>
      </c>
      <c r="B8999" s="2" t="s">
        <v>1603</v>
      </c>
      <c r="C8999" s="2">
        <v>7</v>
      </c>
      <c r="D8999" t="str">
        <f t="shared" si="140"/>
        <v>US-2017-107979_TEC-AC-10002006</v>
      </c>
      <c r="E8999" t="str">
        <f>IF(COUNTIF(data2!$D:$D,D8999)=0,"Missing in Data2","Present")</f>
        <v>Present</v>
      </c>
    </row>
    <row r="9000" spans="1:5" x14ac:dyDescent="0.25">
      <c r="A9000" s="2" t="s">
        <v>6483</v>
      </c>
      <c r="B9000" s="2" t="s">
        <v>49</v>
      </c>
      <c r="C9000" s="2">
        <v>7</v>
      </c>
      <c r="D9000" t="str">
        <f t="shared" si="140"/>
        <v>US-2017-108014_OFF-BI-10003984</v>
      </c>
      <c r="E9000" t="str">
        <f>IF(COUNTIF(data2!$D:$D,D9000)=0,"Missing in Data2","Present")</f>
        <v>Present</v>
      </c>
    </row>
    <row r="9001" spans="1:5" x14ac:dyDescent="0.25">
      <c r="A9001" s="2" t="s">
        <v>6484</v>
      </c>
      <c r="B9001" s="2" t="s">
        <v>2546</v>
      </c>
      <c r="C9001" s="2">
        <v>3</v>
      </c>
      <c r="D9001" t="str">
        <f t="shared" si="140"/>
        <v>US-2017-108063_OFF-AR-10001446</v>
      </c>
      <c r="E9001" t="str">
        <f>IF(COUNTIF(data2!$D:$D,D9001)=0,"Missing in Data2","Present")</f>
        <v>Present</v>
      </c>
    </row>
    <row r="9002" spans="1:5" x14ac:dyDescent="0.25">
      <c r="A9002" s="2" t="s">
        <v>6485</v>
      </c>
      <c r="B9002" s="2" t="s">
        <v>1412</v>
      </c>
      <c r="C9002" s="2">
        <v>7</v>
      </c>
      <c r="D9002" t="str">
        <f t="shared" si="140"/>
        <v>US-2017-108245_OFF-BI-10000773</v>
      </c>
      <c r="E9002" t="str">
        <f>IF(COUNTIF(data2!$D:$D,D9002)=0,"Missing in Data2","Present")</f>
        <v>Present</v>
      </c>
    </row>
    <row r="9003" spans="1:5" x14ac:dyDescent="0.25">
      <c r="A9003" s="2" t="s">
        <v>6485</v>
      </c>
      <c r="B9003" s="2" t="s">
        <v>439</v>
      </c>
      <c r="C9003" s="2">
        <v>3</v>
      </c>
      <c r="D9003" t="str">
        <f t="shared" si="140"/>
        <v>US-2017-108245_OFF-EN-10001415</v>
      </c>
      <c r="E9003" t="str">
        <f>IF(COUNTIF(data2!$D:$D,D9003)=0,"Missing in Data2","Present")</f>
        <v>Present</v>
      </c>
    </row>
    <row r="9004" spans="1:5" x14ac:dyDescent="0.25">
      <c r="A9004" s="2" t="s">
        <v>6486</v>
      </c>
      <c r="B9004" s="2" t="s">
        <v>91</v>
      </c>
      <c r="C9004" s="2">
        <v>6</v>
      </c>
      <c r="D9004" t="str">
        <f t="shared" si="140"/>
        <v>US-2017-108315_FUR-FU-10000747</v>
      </c>
      <c r="E9004" t="str">
        <f>IF(COUNTIF(data2!$D:$D,D9004)=0,"Missing in Data2","Present")</f>
        <v>Present</v>
      </c>
    </row>
    <row r="9005" spans="1:5" x14ac:dyDescent="0.25">
      <c r="A9005" s="2" t="s">
        <v>6486</v>
      </c>
      <c r="B9005" s="2" t="s">
        <v>1196</v>
      </c>
      <c r="C9005" s="2">
        <v>3</v>
      </c>
      <c r="D9005" t="str">
        <f t="shared" si="140"/>
        <v>US-2017-108315_OFF-BI-10000822</v>
      </c>
      <c r="E9005" t="str">
        <f>IF(COUNTIF(data2!$D:$D,D9005)=0,"Missing in Data2","Present")</f>
        <v>Present</v>
      </c>
    </row>
    <row r="9006" spans="1:5" x14ac:dyDescent="0.25">
      <c r="A9006" s="2" t="s">
        <v>6487</v>
      </c>
      <c r="B9006" s="2" t="s">
        <v>192</v>
      </c>
      <c r="C9006" s="2">
        <v>2</v>
      </c>
      <c r="D9006" t="str">
        <f t="shared" si="140"/>
        <v>US-2017-108343_FUR-CH-10002780</v>
      </c>
      <c r="E9006" t="str">
        <f>IF(COUNTIF(data2!$D:$D,D9006)=0,"Missing in Data2","Present")</f>
        <v>Missing in Data2</v>
      </c>
    </row>
    <row r="9007" spans="1:5" x14ac:dyDescent="0.25">
      <c r="A9007" s="2" t="s">
        <v>6487</v>
      </c>
      <c r="B9007" s="2" t="s">
        <v>91</v>
      </c>
      <c r="C9007" s="2">
        <v>4</v>
      </c>
      <c r="D9007" t="str">
        <f t="shared" si="140"/>
        <v>US-2017-108343_FUR-FU-10000747</v>
      </c>
      <c r="E9007" t="str">
        <f>IF(COUNTIF(data2!$D:$D,D9007)=0,"Missing in Data2","Present")</f>
        <v>Present</v>
      </c>
    </row>
    <row r="9008" spans="1:5" x14ac:dyDescent="0.25">
      <c r="A9008" s="2" t="s">
        <v>6487</v>
      </c>
      <c r="B9008" s="2" t="s">
        <v>2493</v>
      </c>
      <c r="C9008" s="2">
        <v>2</v>
      </c>
      <c r="D9008" t="str">
        <f t="shared" si="140"/>
        <v>US-2017-108343_OFF-PA-10000743</v>
      </c>
      <c r="E9008" t="str">
        <f>IF(COUNTIF(data2!$D:$D,D9008)=0,"Missing in Data2","Present")</f>
        <v>Present</v>
      </c>
    </row>
    <row r="9009" spans="1:5" x14ac:dyDescent="0.25">
      <c r="A9009" s="2" t="s">
        <v>6488</v>
      </c>
      <c r="B9009" s="2" t="s">
        <v>12</v>
      </c>
      <c r="C9009" s="2">
        <v>6</v>
      </c>
      <c r="D9009" t="str">
        <f t="shared" si="140"/>
        <v>US-2017-108700_OFF-PA-10004733</v>
      </c>
      <c r="E9009" t="str">
        <f>IF(COUNTIF(data2!$D:$D,D9009)=0,"Missing in Data2","Present")</f>
        <v>Present</v>
      </c>
    </row>
    <row r="9010" spans="1:5" x14ac:dyDescent="0.25">
      <c r="A9010" s="2" t="s">
        <v>6489</v>
      </c>
      <c r="B9010" s="2" t="s">
        <v>846</v>
      </c>
      <c r="C9010" s="2">
        <v>4</v>
      </c>
      <c r="D9010" t="str">
        <f t="shared" si="140"/>
        <v>US-2017-109253_FUR-FU-10000193</v>
      </c>
      <c r="E9010" t="str">
        <f>IF(COUNTIF(data2!$D:$D,D9010)=0,"Missing in Data2","Present")</f>
        <v>Present</v>
      </c>
    </row>
    <row r="9011" spans="1:5" x14ac:dyDescent="0.25">
      <c r="A9011" s="2" t="s">
        <v>6489</v>
      </c>
      <c r="B9011" s="2" t="s">
        <v>544</v>
      </c>
      <c r="C9011" s="2">
        <v>3</v>
      </c>
      <c r="D9011" t="str">
        <f t="shared" si="140"/>
        <v>US-2017-109253_FUR-TA-10001539</v>
      </c>
      <c r="E9011" t="str">
        <f>IF(COUNTIF(data2!$D:$D,D9011)=0,"Missing in Data2","Present")</f>
        <v>Present</v>
      </c>
    </row>
    <row r="9012" spans="1:5" x14ac:dyDescent="0.25">
      <c r="A9012" s="2" t="s">
        <v>6489</v>
      </c>
      <c r="B9012" s="2" t="s">
        <v>4381</v>
      </c>
      <c r="C9012" s="2">
        <v>3</v>
      </c>
      <c r="D9012" t="str">
        <f t="shared" si="140"/>
        <v>US-2017-109253_OFF-AP-10002867</v>
      </c>
      <c r="E9012" t="str">
        <f>IF(COUNTIF(data2!$D:$D,D9012)=0,"Missing in Data2","Present")</f>
        <v>Present</v>
      </c>
    </row>
    <row r="9013" spans="1:5" x14ac:dyDescent="0.25">
      <c r="A9013" s="2" t="s">
        <v>6489</v>
      </c>
      <c r="B9013" s="2" t="s">
        <v>4919</v>
      </c>
      <c r="C9013" s="2">
        <v>4</v>
      </c>
      <c r="D9013" t="str">
        <f t="shared" si="140"/>
        <v>US-2017-109253_OFF-AR-10000203</v>
      </c>
      <c r="E9013" t="str">
        <f>IF(COUNTIF(data2!$D:$D,D9013)=0,"Missing in Data2","Present")</f>
        <v>Present</v>
      </c>
    </row>
    <row r="9014" spans="1:5" x14ac:dyDescent="0.25">
      <c r="A9014" s="2" t="s">
        <v>6489</v>
      </c>
      <c r="B9014" s="2" t="s">
        <v>1014</v>
      </c>
      <c r="C9014" s="2">
        <v>9</v>
      </c>
      <c r="D9014" t="str">
        <f t="shared" si="140"/>
        <v>US-2017-109253_OFF-BI-10000962</v>
      </c>
      <c r="E9014" t="str">
        <f>IF(COUNTIF(data2!$D:$D,D9014)=0,"Missing in Data2","Present")</f>
        <v>Present</v>
      </c>
    </row>
    <row r="9015" spans="1:5" x14ac:dyDescent="0.25">
      <c r="A9015" s="2" t="s">
        <v>6489</v>
      </c>
      <c r="B9015" s="2" t="s">
        <v>775</v>
      </c>
      <c r="C9015" s="2">
        <v>5</v>
      </c>
      <c r="D9015" t="str">
        <f t="shared" si="140"/>
        <v>US-2017-109253_OFF-LA-10001158</v>
      </c>
      <c r="E9015" t="str">
        <f>IF(COUNTIF(data2!$D:$D,D9015)=0,"Missing in Data2","Present")</f>
        <v>Present</v>
      </c>
    </row>
    <row r="9016" spans="1:5" x14ac:dyDescent="0.25">
      <c r="A9016" s="2" t="s">
        <v>6489</v>
      </c>
      <c r="B9016" s="2" t="s">
        <v>142</v>
      </c>
      <c r="C9016" s="2">
        <v>4</v>
      </c>
      <c r="D9016" t="str">
        <f t="shared" si="140"/>
        <v>US-2017-109253_TEC-PH-10004667</v>
      </c>
      <c r="E9016" t="str">
        <f>IF(COUNTIF(data2!$D:$D,D9016)=0,"Missing in Data2","Present")</f>
        <v>Present</v>
      </c>
    </row>
    <row r="9017" spans="1:5" x14ac:dyDescent="0.25">
      <c r="A9017" s="2" t="s">
        <v>6490</v>
      </c>
      <c r="B9017" s="2" t="s">
        <v>2206</v>
      </c>
      <c r="C9017" s="2">
        <v>2</v>
      </c>
      <c r="D9017" t="str">
        <f t="shared" si="140"/>
        <v>US-2017-109316_FUR-BO-10004834</v>
      </c>
      <c r="E9017" t="str">
        <f>IF(COUNTIF(data2!$D:$D,D9017)=0,"Missing in Data2","Present")</f>
        <v>Present</v>
      </c>
    </row>
    <row r="9018" spans="1:5" x14ac:dyDescent="0.25">
      <c r="A9018" s="2" t="s">
        <v>6490</v>
      </c>
      <c r="B9018" s="2" t="s">
        <v>2131</v>
      </c>
      <c r="C9018" s="2">
        <v>2</v>
      </c>
      <c r="D9018" t="str">
        <f t="shared" si="140"/>
        <v>US-2017-109316_TEC-PH-10000307</v>
      </c>
      <c r="E9018" t="str">
        <f>IF(COUNTIF(data2!$D:$D,D9018)=0,"Missing in Data2","Present")</f>
        <v>Present</v>
      </c>
    </row>
    <row r="9019" spans="1:5" x14ac:dyDescent="0.25">
      <c r="A9019" s="2" t="s">
        <v>6491</v>
      </c>
      <c r="B9019" s="2" t="s">
        <v>1709</v>
      </c>
      <c r="C9019" s="2">
        <v>1</v>
      </c>
      <c r="D9019" t="str">
        <f t="shared" si="140"/>
        <v>US-2017-109484_OFF-BI-10004738</v>
      </c>
      <c r="E9019" t="str">
        <f>IF(COUNTIF(data2!$D:$D,D9019)=0,"Missing in Data2","Present")</f>
        <v>Present</v>
      </c>
    </row>
    <row r="9020" spans="1:5" x14ac:dyDescent="0.25">
      <c r="A9020" s="2" t="s">
        <v>6492</v>
      </c>
      <c r="B9020" s="2" t="s">
        <v>477</v>
      </c>
      <c r="C9020" s="2">
        <v>3</v>
      </c>
      <c r="D9020" t="str">
        <f t="shared" si="140"/>
        <v>US-2017-109582_OFF-PA-10004071</v>
      </c>
      <c r="E9020" t="str">
        <f>IF(COUNTIF(data2!$D:$D,D9020)=0,"Missing in Data2","Present")</f>
        <v>Present</v>
      </c>
    </row>
    <row r="9021" spans="1:5" x14ac:dyDescent="0.25">
      <c r="A9021" s="2" t="s">
        <v>6493</v>
      </c>
      <c r="B9021" s="2" t="s">
        <v>658</v>
      </c>
      <c r="C9021" s="2">
        <v>2</v>
      </c>
      <c r="D9021" t="str">
        <f t="shared" si="140"/>
        <v>US-2017-109610_FUR-CH-10001854</v>
      </c>
      <c r="E9021" t="str">
        <f>IF(COUNTIF(data2!$D:$D,D9021)=0,"Missing in Data2","Present")</f>
        <v>Present</v>
      </c>
    </row>
    <row r="9022" spans="1:5" x14ac:dyDescent="0.25">
      <c r="A9022" s="2" t="s">
        <v>6494</v>
      </c>
      <c r="B9022" s="2" t="s">
        <v>1690</v>
      </c>
      <c r="C9022" s="2">
        <v>5</v>
      </c>
      <c r="D9022" t="str">
        <f t="shared" si="140"/>
        <v>US-2017-110149_FUR-FU-10001475</v>
      </c>
      <c r="E9022" t="str">
        <f>IF(COUNTIF(data2!$D:$D,D9022)=0,"Missing in Data2","Present")</f>
        <v>Present</v>
      </c>
    </row>
    <row r="9023" spans="1:5" x14ac:dyDescent="0.25">
      <c r="A9023" s="2" t="s">
        <v>6494</v>
      </c>
      <c r="B9023" s="2" t="s">
        <v>2658</v>
      </c>
      <c r="C9023" s="2">
        <v>1</v>
      </c>
      <c r="D9023" t="str">
        <f t="shared" si="140"/>
        <v>US-2017-110149_OFF-BI-10000014</v>
      </c>
      <c r="E9023" t="str">
        <f>IF(COUNTIF(data2!$D:$D,D9023)=0,"Missing in Data2","Present")</f>
        <v>Present</v>
      </c>
    </row>
    <row r="9024" spans="1:5" x14ac:dyDescent="0.25">
      <c r="A9024" s="2" t="s">
        <v>6495</v>
      </c>
      <c r="B9024" s="2" t="s">
        <v>2704</v>
      </c>
      <c r="C9024" s="2">
        <v>6</v>
      </c>
      <c r="D9024" t="str">
        <f t="shared" si="140"/>
        <v>US-2017-110576_FUR-FU-10000576</v>
      </c>
      <c r="E9024" t="str">
        <f>IF(COUNTIF(data2!$D:$D,D9024)=0,"Missing in Data2","Present")</f>
        <v>Missing in Data2</v>
      </c>
    </row>
    <row r="9025" spans="1:5" x14ac:dyDescent="0.25">
      <c r="A9025" s="2" t="s">
        <v>6495</v>
      </c>
      <c r="B9025" s="2" t="s">
        <v>3987</v>
      </c>
      <c r="C9025" s="2">
        <v>7</v>
      </c>
      <c r="D9025" t="str">
        <f t="shared" si="140"/>
        <v>US-2017-110576_FUR-FU-10003601</v>
      </c>
      <c r="E9025" t="str">
        <f>IF(COUNTIF(data2!$D:$D,D9025)=0,"Missing in Data2","Present")</f>
        <v>Present</v>
      </c>
    </row>
    <row r="9026" spans="1:5" x14ac:dyDescent="0.25">
      <c r="A9026" s="2" t="s">
        <v>6495</v>
      </c>
      <c r="B9026" s="2" t="s">
        <v>1879</v>
      </c>
      <c r="C9026" s="2">
        <v>12</v>
      </c>
      <c r="D9026" t="str">
        <f t="shared" si="140"/>
        <v>US-2017-110576_FUR-TA-10004154</v>
      </c>
      <c r="E9026" t="str">
        <f>IF(COUNTIF(data2!$D:$D,D9026)=0,"Missing in Data2","Present")</f>
        <v>Present</v>
      </c>
    </row>
    <row r="9027" spans="1:5" x14ac:dyDescent="0.25">
      <c r="A9027" s="2" t="s">
        <v>6495</v>
      </c>
      <c r="B9027" s="2" t="s">
        <v>320</v>
      </c>
      <c r="C9027" s="2">
        <v>3</v>
      </c>
      <c r="D9027" t="str">
        <f t="shared" ref="D9027:D9090" si="141">A9027&amp;"_"&amp;B9027</f>
        <v>US-2017-110576_OFF-PA-10000788</v>
      </c>
      <c r="E9027" t="str">
        <f>IF(COUNTIF(data2!$D:$D,D9027)=0,"Missing in Data2","Present")</f>
        <v>Present</v>
      </c>
    </row>
    <row r="9028" spans="1:5" x14ac:dyDescent="0.25">
      <c r="A9028" s="2" t="s">
        <v>6495</v>
      </c>
      <c r="B9028" s="2" t="s">
        <v>682</v>
      </c>
      <c r="C9028" s="2">
        <v>6</v>
      </c>
      <c r="D9028" t="str">
        <f t="shared" si="141"/>
        <v>US-2017-110576_OFF-PA-10002479</v>
      </c>
      <c r="E9028" t="str">
        <f>IF(COUNTIF(data2!$D:$D,D9028)=0,"Missing in Data2","Present")</f>
        <v>Present</v>
      </c>
    </row>
    <row r="9029" spans="1:5" x14ac:dyDescent="0.25">
      <c r="A9029" s="2" t="s">
        <v>6496</v>
      </c>
      <c r="B9029" s="2" t="s">
        <v>1083</v>
      </c>
      <c r="C9029" s="2">
        <v>1</v>
      </c>
      <c r="D9029" t="str">
        <f t="shared" si="141"/>
        <v>US-2017-110604_FUR-CH-10004287</v>
      </c>
      <c r="E9029" t="str">
        <f>IF(COUNTIF(data2!$D:$D,D9029)=0,"Missing in Data2","Present")</f>
        <v>Present</v>
      </c>
    </row>
    <row r="9030" spans="1:5" x14ac:dyDescent="0.25">
      <c r="A9030" s="2" t="s">
        <v>6496</v>
      </c>
      <c r="B9030" s="2" t="s">
        <v>3486</v>
      </c>
      <c r="C9030" s="2">
        <v>2</v>
      </c>
      <c r="D9030" t="str">
        <f t="shared" si="141"/>
        <v>US-2017-110604_FUR-FU-10000076</v>
      </c>
      <c r="E9030" t="str">
        <f>IF(COUNTIF(data2!$D:$D,D9030)=0,"Missing in Data2","Present")</f>
        <v>Missing in Data2</v>
      </c>
    </row>
    <row r="9031" spans="1:5" x14ac:dyDescent="0.25">
      <c r="A9031" s="2" t="s">
        <v>6497</v>
      </c>
      <c r="B9031" s="2" t="s">
        <v>2193</v>
      </c>
      <c r="C9031" s="2">
        <v>3</v>
      </c>
      <c r="D9031" t="str">
        <f t="shared" si="141"/>
        <v>US-2017-110646_OFF-BI-10004330</v>
      </c>
      <c r="E9031" t="str">
        <f>IF(COUNTIF(data2!$D:$D,D9031)=0,"Missing in Data2","Present")</f>
        <v>Missing in Data2</v>
      </c>
    </row>
    <row r="9032" spans="1:5" x14ac:dyDescent="0.25">
      <c r="A9032" s="2" t="s">
        <v>6497</v>
      </c>
      <c r="B9032" s="2" t="s">
        <v>3936</v>
      </c>
      <c r="C9032" s="2">
        <v>5</v>
      </c>
      <c r="D9032" t="str">
        <f t="shared" si="141"/>
        <v>US-2017-110646_OFF-LA-10001404</v>
      </c>
      <c r="E9032" t="str">
        <f>IF(COUNTIF(data2!$D:$D,D9032)=0,"Missing in Data2","Present")</f>
        <v>Present</v>
      </c>
    </row>
    <row r="9033" spans="1:5" x14ac:dyDescent="0.25">
      <c r="A9033" s="2" t="s">
        <v>6497</v>
      </c>
      <c r="B9033" s="2" t="s">
        <v>2306</v>
      </c>
      <c r="C9033" s="2">
        <v>5</v>
      </c>
      <c r="D9033" t="str">
        <f t="shared" si="141"/>
        <v>US-2017-110646_TEC-PH-10002807</v>
      </c>
      <c r="E9033" t="str">
        <f>IF(COUNTIF(data2!$D:$D,D9033)=0,"Missing in Data2","Present")</f>
        <v>Present</v>
      </c>
    </row>
    <row r="9034" spans="1:5" x14ac:dyDescent="0.25">
      <c r="A9034" s="2" t="s">
        <v>6498</v>
      </c>
      <c r="B9034" s="2" t="s">
        <v>1587</v>
      </c>
      <c r="C9034" s="2">
        <v>3</v>
      </c>
      <c r="D9034" t="str">
        <f t="shared" si="141"/>
        <v>US-2017-110989_TEC-AC-10002345</v>
      </c>
      <c r="E9034" t="str">
        <f>IF(COUNTIF(data2!$D:$D,D9034)=0,"Missing in Data2","Present")</f>
        <v>Present</v>
      </c>
    </row>
    <row r="9035" spans="1:5" x14ac:dyDescent="0.25">
      <c r="A9035" s="2" t="s">
        <v>6499</v>
      </c>
      <c r="B9035" s="2" t="s">
        <v>2429</v>
      </c>
      <c r="C9035" s="2">
        <v>5</v>
      </c>
      <c r="D9035" t="str">
        <f t="shared" si="141"/>
        <v>US-2017-110996_FUR-CH-10003956</v>
      </c>
      <c r="E9035" t="str">
        <f>IF(COUNTIF(data2!$D:$D,D9035)=0,"Missing in Data2","Present")</f>
        <v>Present</v>
      </c>
    </row>
    <row r="9036" spans="1:5" x14ac:dyDescent="0.25">
      <c r="A9036" s="2" t="s">
        <v>6500</v>
      </c>
      <c r="B9036" s="2" t="s">
        <v>238</v>
      </c>
      <c r="C9036" s="2">
        <v>2</v>
      </c>
      <c r="D9036" t="str">
        <f t="shared" si="141"/>
        <v>US-2017-111024_FUR-TA-10002041</v>
      </c>
      <c r="E9036" t="str">
        <f>IF(COUNTIF(data2!$D:$D,D9036)=0,"Missing in Data2","Present")</f>
        <v>Present</v>
      </c>
    </row>
    <row r="9037" spans="1:5" x14ac:dyDescent="0.25">
      <c r="A9037" s="2" t="s">
        <v>6500</v>
      </c>
      <c r="B9037" s="2" t="s">
        <v>155</v>
      </c>
      <c r="C9037" s="2">
        <v>4</v>
      </c>
      <c r="D9037" t="str">
        <f t="shared" si="141"/>
        <v>US-2017-111024_OFF-PA-10000174</v>
      </c>
      <c r="E9037" t="str">
        <f>IF(COUNTIF(data2!$D:$D,D9037)=0,"Missing in Data2","Present")</f>
        <v>Present</v>
      </c>
    </row>
    <row r="9038" spans="1:5" x14ac:dyDescent="0.25">
      <c r="A9038" s="2" t="s">
        <v>6500</v>
      </c>
      <c r="B9038" s="2" t="s">
        <v>1495</v>
      </c>
      <c r="C9038" s="2">
        <v>6</v>
      </c>
      <c r="D9038" t="str">
        <f t="shared" si="141"/>
        <v>US-2017-111024_OFF-PA-10002246</v>
      </c>
      <c r="E9038" t="str">
        <f>IF(COUNTIF(data2!$D:$D,D9038)=0,"Missing in Data2","Present")</f>
        <v>Present</v>
      </c>
    </row>
    <row r="9039" spans="1:5" x14ac:dyDescent="0.25">
      <c r="A9039" s="2" t="s">
        <v>6501</v>
      </c>
      <c r="B9039" s="2" t="s">
        <v>1345</v>
      </c>
      <c r="C9039" s="2">
        <v>5</v>
      </c>
      <c r="D9039" t="str">
        <f t="shared" si="141"/>
        <v>US-2017-111241_OFF-BI-10002867</v>
      </c>
      <c r="E9039" t="str">
        <f>IF(COUNTIF(data2!$D:$D,D9039)=0,"Missing in Data2","Present")</f>
        <v>Present</v>
      </c>
    </row>
    <row r="9040" spans="1:5" x14ac:dyDescent="0.25">
      <c r="A9040" s="2" t="s">
        <v>6502</v>
      </c>
      <c r="B9040" s="2" t="s">
        <v>1296</v>
      </c>
      <c r="C9040" s="2">
        <v>2</v>
      </c>
      <c r="D9040" t="str">
        <f t="shared" si="141"/>
        <v>US-2017-111423_FUR-CH-10003981</v>
      </c>
      <c r="E9040" t="str">
        <f>IF(COUNTIF(data2!$D:$D,D9040)=0,"Missing in Data2","Present")</f>
        <v>Present</v>
      </c>
    </row>
    <row r="9041" spans="1:5" x14ac:dyDescent="0.25">
      <c r="A9041" s="2" t="s">
        <v>6502</v>
      </c>
      <c r="B9041" s="2" t="s">
        <v>5266</v>
      </c>
      <c r="C9041" s="2">
        <v>5</v>
      </c>
      <c r="D9041" t="str">
        <f t="shared" si="141"/>
        <v>US-2017-111423_OFF-BI-10003091</v>
      </c>
      <c r="E9041" t="str">
        <f>IF(COUNTIF(data2!$D:$D,D9041)=0,"Missing in Data2","Present")</f>
        <v>Present</v>
      </c>
    </row>
    <row r="9042" spans="1:5" x14ac:dyDescent="0.25">
      <c r="A9042" s="2" t="s">
        <v>6503</v>
      </c>
      <c r="B9042" s="2" t="s">
        <v>1574</v>
      </c>
      <c r="C9042" s="2">
        <v>1</v>
      </c>
      <c r="D9042" t="str">
        <f t="shared" si="141"/>
        <v>US-2017-111745_TEC-AC-10003911</v>
      </c>
      <c r="E9042" t="str">
        <f>IF(COUNTIF(data2!$D:$D,D9042)=0,"Missing in Data2","Present")</f>
        <v>Present</v>
      </c>
    </row>
    <row r="9043" spans="1:5" x14ac:dyDescent="0.25">
      <c r="A9043" s="2" t="s">
        <v>6504</v>
      </c>
      <c r="B9043" s="2" t="s">
        <v>210</v>
      </c>
      <c r="C9043" s="2">
        <v>4</v>
      </c>
      <c r="D9043" t="str">
        <f t="shared" si="141"/>
        <v>US-2017-111920_OFF-AR-10003179</v>
      </c>
      <c r="E9043" t="str">
        <f>IF(COUNTIF(data2!$D:$D,D9043)=0,"Missing in Data2","Present")</f>
        <v>Present</v>
      </c>
    </row>
    <row r="9044" spans="1:5" x14ac:dyDescent="0.25">
      <c r="A9044" s="2" t="s">
        <v>6505</v>
      </c>
      <c r="B9044" s="2" t="s">
        <v>1678</v>
      </c>
      <c r="C9044" s="2">
        <v>8</v>
      </c>
      <c r="D9044" t="str">
        <f t="shared" si="141"/>
        <v>US-2017-112347_FUR-BO-10003546</v>
      </c>
      <c r="E9044" t="str">
        <f>IF(COUNTIF(data2!$D:$D,D9044)=0,"Missing in Data2","Present")</f>
        <v>Present</v>
      </c>
    </row>
    <row r="9045" spans="1:5" x14ac:dyDescent="0.25">
      <c r="A9045" s="2" t="s">
        <v>6505</v>
      </c>
      <c r="B9045" s="2" t="s">
        <v>2767</v>
      </c>
      <c r="C9045" s="2">
        <v>5</v>
      </c>
      <c r="D9045" t="str">
        <f t="shared" si="141"/>
        <v>US-2017-112347_FUR-CH-10002335</v>
      </c>
      <c r="E9045" t="str">
        <f>IF(COUNTIF(data2!$D:$D,D9045)=0,"Missing in Data2","Present")</f>
        <v>Present</v>
      </c>
    </row>
    <row r="9046" spans="1:5" x14ac:dyDescent="0.25">
      <c r="A9046" s="2" t="s">
        <v>6505</v>
      </c>
      <c r="B9046" s="2" t="s">
        <v>3455</v>
      </c>
      <c r="C9046" s="2">
        <v>6</v>
      </c>
      <c r="D9046" t="str">
        <f t="shared" si="141"/>
        <v>US-2017-112347_FUR-FU-10001488</v>
      </c>
      <c r="E9046" t="str">
        <f>IF(COUNTIF(data2!$D:$D,D9046)=0,"Missing in Data2","Present")</f>
        <v>Present</v>
      </c>
    </row>
    <row r="9047" spans="1:5" x14ac:dyDescent="0.25">
      <c r="A9047" s="2" t="s">
        <v>6505</v>
      </c>
      <c r="B9047" s="2" t="s">
        <v>2040</v>
      </c>
      <c r="C9047" s="2">
        <v>8</v>
      </c>
      <c r="D9047" t="str">
        <f t="shared" si="141"/>
        <v>US-2017-112347_OFF-BI-10003707</v>
      </c>
      <c r="E9047" t="str">
        <f>IF(COUNTIF(data2!$D:$D,D9047)=0,"Missing in Data2","Present")</f>
        <v>Present</v>
      </c>
    </row>
    <row r="9048" spans="1:5" x14ac:dyDescent="0.25">
      <c r="A9048" s="2" t="s">
        <v>6505</v>
      </c>
      <c r="B9048" s="2" t="s">
        <v>1291</v>
      </c>
      <c r="C9048" s="2">
        <v>1</v>
      </c>
      <c r="D9048" t="str">
        <f t="shared" si="141"/>
        <v>US-2017-112347_OFF-ST-10003306</v>
      </c>
      <c r="E9048" t="str">
        <f>IF(COUNTIF(data2!$D:$D,D9048)=0,"Missing in Data2","Present")</f>
        <v>Present</v>
      </c>
    </row>
    <row r="9049" spans="1:5" x14ac:dyDescent="0.25">
      <c r="A9049" s="2" t="s">
        <v>6505</v>
      </c>
      <c r="B9049" s="2" t="s">
        <v>4758</v>
      </c>
      <c r="C9049" s="2">
        <v>2</v>
      </c>
      <c r="D9049" t="str">
        <f t="shared" si="141"/>
        <v>US-2017-112347_TEC-PH-10000213</v>
      </c>
      <c r="E9049" t="str">
        <f>IF(COUNTIF(data2!$D:$D,D9049)=0,"Missing in Data2","Present")</f>
        <v>Present</v>
      </c>
    </row>
    <row r="9050" spans="1:5" x14ac:dyDescent="0.25">
      <c r="A9050" s="2" t="s">
        <v>6505</v>
      </c>
      <c r="B9050" s="2" t="s">
        <v>3748</v>
      </c>
      <c r="C9050" s="2">
        <v>6</v>
      </c>
      <c r="D9050" t="str">
        <f t="shared" si="141"/>
        <v>US-2017-112347_TEC-PH-10004833</v>
      </c>
      <c r="E9050" t="str">
        <f>IF(COUNTIF(data2!$D:$D,D9050)=0,"Missing in Data2","Present")</f>
        <v>Present</v>
      </c>
    </row>
    <row r="9051" spans="1:5" x14ac:dyDescent="0.25">
      <c r="A9051" s="2" t="s">
        <v>6506</v>
      </c>
      <c r="B9051" s="2" t="s">
        <v>1634</v>
      </c>
      <c r="C9051" s="2">
        <v>4</v>
      </c>
      <c r="D9051" t="str">
        <f t="shared" si="141"/>
        <v>US-2017-112613_TEC-PH-10001536</v>
      </c>
      <c r="E9051" t="str">
        <f>IF(COUNTIF(data2!$D:$D,D9051)=0,"Missing in Data2","Present")</f>
        <v>Present</v>
      </c>
    </row>
    <row r="9052" spans="1:5" x14ac:dyDescent="0.25">
      <c r="A9052" s="2" t="s">
        <v>6507</v>
      </c>
      <c r="B9052" s="2" t="s">
        <v>3600</v>
      </c>
      <c r="C9052" s="2">
        <v>5</v>
      </c>
      <c r="D9052" t="str">
        <f t="shared" si="141"/>
        <v>US-2017-112928_OFF-AP-10002287</v>
      </c>
      <c r="E9052" t="str">
        <f>IF(COUNTIF(data2!$D:$D,D9052)=0,"Missing in Data2","Present")</f>
        <v>Present</v>
      </c>
    </row>
    <row r="9053" spans="1:5" x14ac:dyDescent="0.25">
      <c r="A9053" s="2" t="s">
        <v>6508</v>
      </c>
      <c r="B9053" s="2" t="s">
        <v>1670</v>
      </c>
      <c r="C9053" s="2">
        <v>5</v>
      </c>
      <c r="D9053" t="str">
        <f t="shared" si="141"/>
        <v>US-2017-113201_OFF-PA-10000675</v>
      </c>
      <c r="E9053" t="str">
        <f>IF(COUNTIF(data2!$D:$D,D9053)=0,"Missing in Data2","Present")</f>
        <v>Present</v>
      </c>
    </row>
    <row r="9054" spans="1:5" x14ac:dyDescent="0.25">
      <c r="A9054" s="2" t="s">
        <v>6509</v>
      </c>
      <c r="B9054" s="2" t="s">
        <v>6470</v>
      </c>
      <c r="C9054" s="2">
        <v>3</v>
      </c>
      <c r="D9054" t="str">
        <f t="shared" si="141"/>
        <v>US-2017-113852_TEC-AC-10003027</v>
      </c>
      <c r="E9054" t="str">
        <f>IF(COUNTIF(data2!$D:$D,D9054)=0,"Missing in Data2","Present")</f>
        <v>Present</v>
      </c>
    </row>
    <row r="9055" spans="1:5" x14ac:dyDescent="0.25">
      <c r="A9055" s="2" t="s">
        <v>6510</v>
      </c>
      <c r="B9055" s="2" t="s">
        <v>869</v>
      </c>
      <c r="C9055" s="2">
        <v>4</v>
      </c>
      <c r="D9055" t="str">
        <f t="shared" si="141"/>
        <v>US-2017-113992_FUR-TA-10000577</v>
      </c>
      <c r="E9055" t="str">
        <f>IF(COUNTIF(data2!$D:$D,D9055)=0,"Missing in Data2","Present")</f>
        <v>Present</v>
      </c>
    </row>
    <row r="9056" spans="1:5" x14ac:dyDescent="0.25">
      <c r="A9056" s="2" t="s">
        <v>6511</v>
      </c>
      <c r="B9056" s="2" t="s">
        <v>4374</v>
      </c>
      <c r="C9056" s="2">
        <v>6</v>
      </c>
      <c r="D9056" t="str">
        <f t="shared" si="141"/>
        <v>US-2017-114034_OFF-PA-10004735</v>
      </c>
      <c r="E9056" t="str">
        <f>IF(COUNTIF(data2!$D:$D,D9056)=0,"Missing in Data2","Present")</f>
        <v>Present</v>
      </c>
    </row>
    <row r="9057" spans="1:5" x14ac:dyDescent="0.25">
      <c r="A9057" s="2" t="s">
        <v>6512</v>
      </c>
      <c r="B9057" s="2" t="s">
        <v>1288</v>
      </c>
      <c r="C9057" s="2">
        <v>1</v>
      </c>
      <c r="D9057" t="str">
        <f t="shared" si="141"/>
        <v>US-2017-114356_TEC-PH-10003171</v>
      </c>
      <c r="E9057" t="str">
        <f>IF(COUNTIF(data2!$D:$D,D9057)=0,"Missing in Data2","Present")</f>
        <v>Present</v>
      </c>
    </row>
    <row r="9058" spans="1:5" x14ac:dyDescent="0.25">
      <c r="A9058" s="2" t="s">
        <v>6513</v>
      </c>
      <c r="B9058" s="2" t="s">
        <v>4753</v>
      </c>
      <c r="C9058" s="2">
        <v>4</v>
      </c>
      <c r="D9058" t="str">
        <f t="shared" si="141"/>
        <v>US-2017-114657_TEC-MA-10003173</v>
      </c>
      <c r="E9058" t="str">
        <f>IF(COUNTIF(data2!$D:$D,D9058)=0,"Missing in Data2","Present")</f>
        <v>Present</v>
      </c>
    </row>
    <row r="9059" spans="1:5" x14ac:dyDescent="0.25">
      <c r="A9059" s="2" t="s">
        <v>6514</v>
      </c>
      <c r="B9059" s="2" t="s">
        <v>1250</v>
      </c>
      <c r="C9059" s="2">
        <v>3</v>
      </c>
      <c r="D9059" t="str">
        <f t="shared" si="141"/>
        <v>US-2017-115252_OFF-PA-10001667</v>
      </c>
      <c r="E9059" t="str">
        <f>IF(COUNTIF(data2!$D:$D,D9059)=0,"Missing in Data2","Present")</f>
        <v>Present</v>
      </c>
    </row>
    <row r="9060" spans="1:5" x14ac:dyDescent="0.25">
      <c r="A9060" s="2" t="s">
        <v>6514</v>
      </c>
      <c r="B9060" s="2" t="s">
        <v>3348</v>
      </c>
      <c r="C9060" s="2">
        <v>2</v>
      </c>
      <c r="D9060" t="str">
        <f t="shared" si="141"/>
        <v>US-2017-115252_TEC-PH-10004071</v>
      </c>
      <c r="E9060" t="str">
        <f>IF(COUNTIF(data2!$D:$D,D9060)=0,"Missing in Data2","Present")</f>
        <v>Present</v>
      </c>
    </row>
    <row r="9061" spans="1:5" x14ac:dyDescent="0.25">
      <c r="A9061" s="2" t="s">
        <v>6515</v>
      </c>
      <c r="B9061" s="2" t="s">
        <v>1960</v>
      </c>
      <c r="C9061" s="2">
        <v>2</v>
      </c>
      <c r="D9061" t="str">
        <f t="shared" si="141"/>
        <v>US-2017-115301_FUR-BO-10004709</v>
      </c>
      <c r="E9061" t="str">
        <f>IF(COUNTIF(data2!$D:$D,D9061)=0,"Missing in Data2","Present")</f>
        <v>Present</v>
      </c>
    </row>
    <row r="9062" spans="1:5" x14ac:dyDescent="0.25">
      <c r="A9062" s="2" t="s">
        <v>6516</v>
      </c>
      <c r="B9062" s="2" t="s">
        <v>3913</v>
      </c>
      <c r="C9062" s="2">
        <v>5</v>
      </c>
      <c r="D9062" t="str">
        <f t="shared" si="141"/>
        <v>US-2017-115595_OFF-PA-10001745</v>
      </c>
      <c r="E9062" t="str">
        <f>IF(COUNTIF(data2!$D:$D,D9062)=0,"Missing in Data2","Present")</f>
        <v>Present</v>
      </c>
    </row>
    <row r="9063" spans="1:5" x14ac:dyDescent="0.25">
      <c r="A9063" s="2" t="s">
        <v>6517</v>
      </c>
      <c r="B9063" s="2" t="s">
        <v>2830</v>
      </c>
      <c r="C9063" s="2">
        <v>5</v>
      </c>
      <c r="D9063" t="str">
        <f t="shared" si="141"/>
        <v>US-2017-115609_OFF-AP-10003040</v>
      </c>
      <c r="E9063" t="str">
        <f>IF(COUNTIF(data2!$D:$D,D9063)=0,"Missing in Data2","Present")</f>
        <v>Present</v>
      </c>
    </row>
    <row r="9064" spans="1:5" x14ac:dyDescent="0.25">
      <c r="A9064" s="2" t="s">
        <v>6518</v>
      </c>
      <c r="B9064" s="2" t="s">
        <v>365</v>
      </c>
      <c r="C9064" s="2">
        <v>2</v>
      </c>
      <c r="D9064" t="str">
        <f t="shared" si="141"/>
        <v>US-2017-116491_TEC-PH-10004531</v>
      </c>
      <c r="E9064" t="str">
        <f>IF(COUNTIF(data2!$D:$D,D9064)=0,"Missing in Data2","Present")</f>
        <v>Present</v>
      </c>
    </row>
    <row r="9065" spans="1:5" x14ac:dyDescent="0.25">
      <c r="A9065" s="2" t="s">
        <v>6519</v>
      </c>
      <c r="B9065" s="2" t="s">
        <v>211</v>
      </c>
      <c r="C9065" s="2">
        <v>6</v>
      </c>
      <c r="D9065" t="str">
        <f t="shared" si="141"/>
        <v>US-2017-116505_OFF-BI-10000050</v>
      </c>
      <c r="E9065" t="str">
        <f>IF(COUNTIF(data2!$D:$D,D9065)=0,"Missing in Data2","Present")</f>
        <v>Present</v>
      </c>
    </row>
    <row r="9066" spans="1:5" x14ac:dyDescent="0.25">
      <c r="A9066" s="2" t="s">
        <v>6520</v>
      </c>
      <c r="B9066" s="2" t="s">
        <v>3591</v>
      </c>
      <c r="C9066" s="2">
        <v>3</v>
      </c>
      <c r="D9066" t="str">
        <f t="shared" si="141"/>
        <v>US-2017-116652_FUR-CH-10002961</v>
      </c>
      <c r="E9066" t="str">
        <f>IF(COUNTIF(data2!$D:$D,D9066)=0,"Missing in Data2","Present")</f>
        <v>Present</v>
      </c>
    </row>
    <row r="9067" spans="1:5" x14ac:dyDescent="0.25">
      <c r="A9067" s="2" t="s">
        <v>6520</v>
      </c>
      <c r="B9067" s="2" t="s">
        <v>3455</v>
      </c>
      <c r="C9067" s="2">
        <v>5</v>
      </c>
      <c r="D9067" t="str">
        <f t="shared" si="141"/>
        <v>US-2017-116652_FUR-FU-10001488</v>
      </c>
      <c r="E9067" t="str">
        <f>IF(COUNTIF(data2!$D:$D,D9067)=0,"Missing in Data2","Present")</f>
        <v>Present</v>
      </c>
    </row>
    <row r="9068" spans="1:5" x14ac:dyDescent="0.25">
      <c r="A9068" s="2" t="s">
        <v>6520</v>
      </c>
      <c r="B9068" s="2" t="s">
        <v>2238</v>
      </c>
      <c r="C9068" s="2">
        <v>2</v>
      </c>
      <c r="D9068" t="str">
        <f t="shared" si="141"/>
        <v>US-2017-116652_OFF-AP-10001205</v>
      </c>
      <c r="E9068" t="str">
        <f>IF(COUNTIF(data2!$D:$D,D9068)=0,"Missing in Data2","Present")</f>
        <v>Present</v>
      </c>
    </row>
    <row r="9069" spans="1:5" x14ac:dyDescent="0.25">
      <c r="A9069" s="2" t="s">
        <v>6520</v>
      </c>
      <c r="B9069" s="2" t="s">
        <v>1819</v>
      </c>
      <c r="C9069" s="2">
        <v>10</v>
      </c>
      <c r="D9069" t="str">
        <f t="shared" si="141"/>
        <v>US-2017-116652_OFF-AR-10001915</v>
      </c>
      <c r="E9069" t="str">
        <f>IF(COUNTIF(data2!$D:$D,D9069)=0,"Missing in Data2","Present")</f>
        <v>Present</v>
      </c>
    </row>
    <row r="9070" spans="1:5" x14ac:dyDescent="0.25">
      <c r="A9070" s="2" t="s">
        <v>6520</v>
      </c>
      <c r="B9070" s="2" t="s">
        <v>2806</v>
      </c>
      <c r="C9070" s="2">
        <v>1</v>
      </c>
      <c r="D9070" t="str">
        <f t="shared" si="141"/>
        <v>US-2017-116652_OFF-BI-10004528</v>
      </c>
      <c r="E9070" t="str">
        <f>IF(COUNTIF(data2!$D:$D,D9070)=0,"Missing in Data2","Present")</f>
        <v>Present</v>
      </c>
    </row>
    <row r="9071" spans="1:5" x14ac:dyDescent="0.25">
      <c r="A9071" s="2" t="s">
        <v>6521</v>
      </c>
      <c r="B9071" s="2" t="s">
        <v>1240</v>
      </c>
      <c r="C9071" s="2">
        <v>2</v>
      </c>
      <c r="D9071" t="str">
        <f t="shared" si="141"/>
        <v>US-2017-116701_OFF-AP-10003217</v>
      </c>
      <c r="E9071" t="str">
        <f>IF(COUNTIF(data2!$D:$D,D9071)=0,"Missing in Data2","Present")</f>
        <v>Present</v>
      </c>
    </row>
    <row r="9072" spans="1:5" x14ac:dyDescent="0.25">
      <c r="A9072" s="2" t="s">
        <v>6522</v>
      </c>
      <c r="B9072" s="2" t="s">
        <v>3616</v>
      </c>
      <c r="C9072" s="2">
        <v>4</v>
      </c>
      <c r="D9072" t="str">
        <f t="shared" si="141"/>
        <v>US-2017-116897_FUR-FU-10004963</v>
      </c>
      <c r="E9072" t="str">
        <f>IF(COUNTIF(data2!$D:$D,D9072)=0,"Missing in Data2","Present")</f>
        <v>Present</v>
      </c>
    </row>
    <row r="9073" spans="1:5" x14ac:dyDescent="0.25">
      <c r="A9073" s="2" t="s">
        <v>6522</v>
      </c>
      <c r="B9073" s="2" t="s">
        <v>1657</v>
      </c>
      <c r="C9073" s="2">
        <v>5</v>
      </c>
      <c r="D9073" t="str">
        <f t="shared" si="141"/>
        <v>US-2017-116897_OFF-ST-10000025</v>
      </c>
      <c r="E9073" t="str">
        <f>IF(COUNTIF(data2!$D:$D,D9073)=0,"Missing in Data2","Present")</f>
        <v>Present</v>
      </c>
    </row>
    <row r="9074" spans="1:5" x14ac:dyDescent="0.25">
      <c r="A9074" s="2" t="s">
        <v>6522</v>
      </c>
      <c r="B9074" s="2" t="s">
        <v>5692</v>
      </c>
      <c r="C9074" s="2">
        <v>3</v>
      </c>
      <c r="D9074" t="str">
        <f t="shared" si="141"/>
        <v>US-2017-116897_TEC-PH-10004389</v>
      </c>
      <c r="E9074" t="str">
        <f>IF(COUNTIF(data2!$D:$D,D9074)=0,"Missing in Data2","Present")</f>
        <v>Present</v>
      </c>
    </row>
    <row r="9075" spans="1:5" x14ac:dyDescent="0.25">
      <c r="A9075" s="2" t="s">
        <v>6523</v>
      </c>
      <c r="B9075" s="2" t="s">
        <v>513</v>
      </c>
      <c r="C9075" s="2">
        <v>3</v>
      </c>
      <c r="D9075" t="str">
        <f t="shared" si="141"/>
        <v>US-2017-117247_FUR-TA-10001676</v>
      </c>
      <c r="E9075" t="str">
        <f>IF(COUNTIF(data2!$D:$D,D9075)=0,"Missing in Data2","Present")</f>
        <v>Present</v>
      </c>
    </row>
    <row r="9076" spans="1:5" x14ac:dyDescent="0.25">
      <c r="A9076" s="2" t="s">
        <v>6523</v>
      </c>
      <c r="B9076" s="2" t="s">
        <v>841</v>
      </c>
      <c r="C9076" s="2">
        <v>5</v>
      </c>
      <c r="D9076" t="str">
        <f t="shared" si="141"/>
        <v>US-2017-117247_FUR-TA-10002958</v>
      </c>
      <c r="E9076" t="str">
        <f>IF(COUNTIF(data2!$D:$D,D9076)=0,"Missing in Data2","Present")</f>
        <v>Present</v>
      </c>
    </row>
    <row r="9077" spans="1:5" x14ac:dyDescent="0.25">
      <c r="A9077" s="2" t="s">
        <v>6524</v>
      </c>
      <c r="B9077" s="2" t="s">
        <v>49</v>
      </c>
      <c r="C9077" s="2">
        <v>1</v>
      </c>
      <c r="D9077" t="str">
        <f t="shared" si="141"/>
        <v>US-2017-117331_OFF-BI-10003984</v>
      </c>
      <c r="E9077" t="str">
        <f>IF(COUNTIF(data2!$D:$D,D9077)=0,"Missing in Data2","Present")</f>
        <v>Present</v>
      </c>
    </row>
    <row r="9078" spans="1:5" x14ac:dyDescent="0.25">
      <c r="A9078" s="2" t="s">
        <v>6525</v>
      </c>
      <c r="B9078" s="2" t="s">
        <v>621</v>
      </c>
      <c r="C9078" s="2">
        <v>2</v>
      </c>
      <c r="D9078" t="str">
        <f t="shared" si="141"/>
        <v>US-2017-117450_FUR-CH-10003817</v>
      </c>
      <c r="E9078" t="str">
        <f>IF(COUNTIF(data2!$D:$D,D9078)=0,"Missing in Data2","Present")</f>
        <v>Present</v>
      </c>
    </row>
    <row r="9079" spans="1:5" x14ac:dyDescent="0.25">
      <c r="A9079" s="2" t="s">
        <v>6525</v>
      </c>
      <c r="B9079" s="2" t="s">
        <v>961</v>
      </c>
      <c r="C9079" s="2">
        <v>2</v>
      </c>
      <c r="D9079" t="str">
        <f t="shared" si="141"/>
        <v>US-2017-117450_OFF-PA-10000289</v>
      </c>
      <c r="E9079" t="str">
        <f>IF(COUNTIF(data2!$D:$D,D9079)=0,"Missing in Data2","Present")</f>
        <v>Present</v>
      </c>
    </row>
    <row r="9080" spans="1:5" x14ac:dyDescent="0.25">
      <c r="A9080" s="2" t="s">
        <v>6526</v>
      </c>
      <c r="B9080" s="2" t="s">
        <v>1543</v>
      </c>
      <c r="C9080" s="2">
        <v>4</v>
      </c>
      <c r="D9080" t="str">
        <f t="shared" si="141"/>
        <v>US-2017-117534_OFF-AP-10002403</v>
      </c>
      <c r="E9080" t="str">
        <f>IF(COUNTIF(data2!$D:$D,D9080)=0,"Missing in Data2","Present")</f>
        <v>Present</v>
      </c>
    </row>
    <row r="9081" spans="1:5" x14ac:dyDescent="0.25">
      <c r="A9081" s="2" t="s">
        <v>6526</v>
      </c>
      <c r="B9081" s="2" t="s">
        <v>637</v>
      </c>
      <c r="C9081" s="2">
        <v>4</v>
      </c>
      <c r="D9081" t="str">
        <f t="shared" si="141"/>
        <v>US-2017-117534_OFF-BI-10002026</v>
      </c>
      <c r="E9081" t="str">
        <f>IF(COUNTIF(data2!$D:$D,D9081)=0,"Missing in Data2","Present")</f>
        <v>Present</v>
      </c>
    </row>
    <row r="9082" spans="1:5" x14ac:dyDescent="0.25">
      <c r="A9082" s="2" t="s">
        <v>6526</v>
      </c>
      <c r="B9082" s="2" t="s">
        <v>3679</v>
      </c>
      <c r="C9082" s="2">
        <v>4</v>
      </c>
      <c r="D9082" t="str">
        <f t="shared" si="141"/>
        <v>US-2017-117534_TEC-PH-10000141</v>
      </c>
      <c r="E9082" t="str">
        <f>IF(COUNTIF(data2!$D:$D,D9082)=0,"Missing in Data2","Present")</f>
        <v>Present</v>
      </c>
    </row>
    <row r="9083" spans="1:5" x14ac:dyDescent="0.25">
      <c r="A9083" s="2" t="s">
        <v>6527</v>
      </c>
      <c r="B9083" s="2" t="s">
        <v>1514</v>
      </c>
      <c r="C9083" s="2">
        <v>6</v>
      </c>
      <c r="D9083" t="str">
        <f t="shared" si="141"/>
        <v>US-2017-117723_OFF-ST-10004459</v>
      </c>
      <c r="E9083" t="str">
        <f>IF(COUNTIF(data2!$D:$D,D9083)=0,"Missing in Data2","Present")</f>
        <v>Present</v>
      </c>
    </row>
    <row r="9084" spans="1:5" x14ac:dyDescent="0.25">
      <c r="A9084" s="2" t="s">
        <v>6528</v>
      </c>
      <c r="B9084" s="2" t="s">
        <v>3720</v>
      </c>
      <c r="C9084" s="2">
        <v>3</v>
      </c>
      <c r="D9084" t="str">
        <f t="shared" si="141"/>
        <v>US-2017-118038_FUR-FU-10000260</v>
      </c>
      <c r="E9084" t="str">
        <f>IF(COUNTIF(data2!$D:$D,D9084)=0,"Missing in Data2","Present")</f>
        <v>Present</v>
      </c>
    </row>
    <row r="9085" spans="1:5" x14ac:dyDescent="0.25">
      <c r="A9085" s="2" t="s">
        <v>6528</v>
      </c>
      <c r="B9085" s="2" t="s">
        <v>2322</v>
      </c>
      <c r="C9085" s="2">
        <v>3</v>
      </c>
      <c r="D9085" t="str">
        <f t="shared" si="141"/>
        <v>US-2017-118038_OFF-BI-10004182</v>
      </c>
      <c r="E9085" t="str">
        <f>IF(COUNTIF(data2!$D:$D,D9085)=0,"Missing in Data2","Present")</f>
        <v>Present</v>
      </c>
    </row>
    <row r="9086" spans="1:5" x14ac:dyDescent="0.25">
      <c r="A9086" s="2" t="s">
        <v>6528</v>
      </c>
      <c r="B9086" s="2" t="s">
        <v>1443</v>
      </c>
      <c r="C9086" s="2">
        <v>3</v>
      </c>
      <c r="D9086" t="str">
        <f t="shared" si="141"/>
        <v>US-2017-118038_OFF-ST-10000615</v>
      </c>
      <c r="E9086" t="str">
        <f>IF(COUNTIF(data2!$D:$D,D9086)=0,"Missing in Data2","Present")</f>
        <v>Present</v>
      </c>
    </row>
    <row r="9087" spans="1:5" x14ac:dyDescent="0.25">
      <c r="A9087" s="2" t="s">
        <v>6529</v>
      </c>
      <c r="B9087" s="2" t="s">
        <v>1162</v>
      </c>
      <c r="C9087" s="2">
        <v>2</v>
      </c>
      <c r="D9087" t="str">
        <f t="shared" si="141"/>
        <v>US-2017-118087_FUR-CH-10004860</v>
      </c>
      <c r="E9087" t="str">
        <f>IF(COUNTIF(data2!$D:$D,D9087)=0,"Missing in Data2","Present")</f>
        <v>Present</v>
      </c>
    </row>
    <row r="9088" spans="1:5" x14ac:dyDescent="0.25">
      <c r="A9088" s="2" t="s">
        <v>6529</v>
      </c>
      <c r="B9088" s="2" t="s">
        <v>1592</v>
      </c>
      <c r="C9088" s="2">
        <v>2</v>
      </c>
      <c r="D9088" t="str">
        <f t="shared" si="141"/>
        <v>US-2017-118087_FUR-FU-10001867</v>
      </c>
      <c r="E9088" t="str">
        <f>IF(COUNTIF(data2!$D:$D,D9088)=0,"Missing in Data2","Present")</f>
        <v>Present</v>
      </c>
    </row>
    <row r="9089" spans="1:5" x14ac:dyDescent="0.25">
      <c r="A9089" s="2" t="s">
        <v>6529</v>
      </c>
      <c r="B9089" s="2" t="s">
        <v>2303</v>
      </c>
      <c r="C9089" s="2">
        <v>1</v>
      </c>
      <c r="D9089" t="str">
        <f t="shared" si="141"/>
        <v>US-2017-118087_OFF-AR-10003602</v>
      </c>
      <c r="E9089" t="str">
        <f>IF(COUNTIF(data2!$D:$D,D9089)=0,"Missing in Data2","Present")</f>
        <v>Present</v>
      </c>
    </row>
    <row r="9090" spans="1:5" x14ac:dyDescent="0.25">
      <c r="A9090" s="2" t="s">
        <v>6529</v>
      </c>
      <c r="B9090" s="2" t="s">
        <v>1149</v>
      </c>
      <c r="C9090" s="2">
        <v>1</v>
      </c>
      <c r="D9090" t="str">
        <f t="shared" si="141"/>
        <v>US-2017-118087_OFF-BI-10000069</v>
      </c>
      <c r="E9090" t="str">
        <f>IF(COUNTIF(data2!$D:$D,D9090)=0,"Missing in Data2","Present")</f>
        <v>Missing in Data2</v>
      </c>
    </row>
    <row r="9091" spans="1:5" x14ac:dyDescent="0.25">
      <c r="A9091" s="2" t="s">
        <v>6529</v>
      </c>
      <c r="B9091" s="2" t="s">
        <v>1338</v>
      </c>
      <c r="C9091" s="2">
        <v>2</v>
      </c>
      <c r="D9091" t="str">
        <f t="shared" ref="D9091:D9154" si="142">A9091&amp;"_"&amp;B9091</f>
        <v>US-2017-118087_OFF-BI-10002432</v>
      </c>
      <c r="E9091" t="str">
        <f>IF(COUNTIF(data2!$D:$D,D9091)=0,"Missing in Data2","Present")</f>
        <v>Present</v>
      </c>
    </row>
    <row r="9092" spans="1:5" x14ac:dyDescent="0.25">
      <c r="A9092" s="2" t="s">
        <v>6529</v>
      </c>
      <c r="B9092" s="2" t="s">
        <v>1658</v>
      </c>
      <c r="C9092" s="2">
        <v>3</v>
      </c>
      <c r="D9092" t="str">
        <f t="shared" si="142"/>
        <v>US-2017-118087_TEC-AC-10003174</v>
      </c>
      <c r="E9092" t="str">
        <f>IF(COUNTIF(data2!$D:$D,D9092)=0,"Missing in Data2","Present")</f>
        <v>Present</v>
      </c>
    </row>
    <row r="9093" spans="1:5" x14ac:dyDescent="0.25">
      <c r="A9093" s="2" t="s">
        <v>6529</v>
      </c>
      <c r="B9093" s="2" t="s">
        <v>2802</v>
      </c>
      <c r="C9093" s="2">
        <v>3</v>
      </c>
      <c r="D9093" t="str">
        <f t="shared" si="142"/>
        <v>US-2017-118087_TEC-AC-10004469</v>
      </c>
      <c r="E9093" t="str">
        <f>IF(COUNTIF(data2!$D:$D,D9093)=0,"Missing in Data2","Present")</f>
        <v>Present</v>
      </c>
    </row>
    <row r="9094" spans="1:5" x14ac:dyDescent="0.25">
      <c r="A9094" s="2" t="s">
        <v>6529</v>
      </c>
      <c r="B9094" s="2" t="s">
        <v>2715</v>
      </c>
      <c r="C9094" s="2">
        <v>7</v>
      </c>
      <c r="D9094" t="str">
        <f t="shared" si="142"/>
        <v>US-2017-118087_TEC-PH-10002200</v>
      </c>
      <c r="E9094" t="str">
        <f>IF(COUNTIF(data2!$D:$D,D9094)=0,"Missing in Data2","Present")</f>
        <v>Present</v>
      </c>
    </row>
    <row r="9095" spans="1:5" x14ac:dyDescent="0.25">
      <c r="A9095" s="2" t="s">
        <v>6530</v>
      </c>
      <c r="B9095" s="2" t="s">
        <v>3420</v>
      </c>
      <c r="C9095" s="2">
        <v>2</v>
      </c>
      <c r="D9095" t="str">
        <f t="shared" si="142"/>
        <v>US-2017-118535_OFF-LA-10001297</v>
      </c>
      <c r="E9095" t="str">
        <f>IF(COUNTIF(data2!$D:$D,D9095)=0,"Missing in Data2","Present")</f>
        <v>Present</v>
      </c>
    </row>
    <row r="9096" spans="1:5" x14ac:dyDescent="0.25">
      <c r="A9096" s="2" t="s">
        <v>6531</v>
      </c>
      <c r="B9096" s="2" t="s">
        <v>370</v>
      </c>
      <c r="C9096" s="2">
        <v>3</v>
      </c>
      <c r="D9096" t="str">
        <f t="shared" si="142"/>
        <v>US-2017-118556_FUR-CH-10001146</v>
      </c>
      <c r="E9096" t="str">
        <f>IF(COUNTIF(data2!$D:$D,D9096)=0,"Missing in Data2","Present")</f>
        <v>Present</v>
      </c>
    </row>
    <row r="9097" spans="1:5" x14ac:dyDescent="0.25">
      <c r="A9097" s="2" t="s">
        <v>6531</v>
      </c>
      <c r="B9097" s="2" t="s">
        <v>432</v>
      </c>
      <c r="C9097" s="2">
        <v>3</v>
      </c>
      <c r="D9097" t="str">
        <f t="shared" si="142"/>
        <v>US-2017-118556_OFF-BI-10004364</v>
      </c>
      <c r="E9097" t="str">
        <f>IF(COUNTIF(data2!$D:$D,D9097)=0,"Missing in Data2","Present")</f>
        <v>Present</v>
      </c>
    </row>
    <row r="9098" spans="1:5" x14ac:dyDescent="0.25">
      <c r="A9098" s="2" t="s">
        <v>6532</v>
      </c>
      <c r="B9098" s="2" t="s">
        <v>1145</v>
      </c>
      <c r="C9098" s="2">
        <v>6</v>
      </c>
      <c r="D9098" t="str">
        <f t="shared" si="142"/>
        <v>US-2017-118598_TEC-PH-10002583</v>
      </c>
      <c r="E9098" t="str">
        <f>IF(COUNTIF(data2!$D:$D,D9098)=0,"Missing in Data2","Present")</f>
        <v>Present</v>
      </c>
    </row>
    <row r="9099" spans="1:5" x14ac:dyDescent="0.25">
      <c r="A9099" s="2" t="s">
        <v>6533</v>
      </c>
      <c r="B9099" s="2" t="s">
        <v>3451</v>
      </c>
      <c r="C9099" s="2">
        <v>5</v>
      </c>
      <c r="D9099" t="str">
        <f t="shared" si="142"/>
        <v>US-2017-118941_FUR-CH-10002331</v>
      </c>
      <c r="E9099" t="str">
        <f>IF(COUNTIF(data2!$D:$D,D9099)=0,"Missing in Data2","Present")</f>
        <v>Present</v>
      </c>
    </row>
    <row r="9100" spans="1:5" x14ac:dyDescent="0.25">
      <c r="A9100" s="2" t="s">
        <v>6533</v>
      </c>
      <c r="B9100" s="2" t="s">
        <v>1062</v>
      </c>
      <c r="C9100" s="2">
        <v>5</v>
      </c>
      <c r="D9100" t="str">
        <f t="shared" si="142"/>
        <v>US-2017-118941_OFF-AR-10001953</v>
      </c>
      <c r="E9100" t="str">
        <f>IF(COUNTIF(data2!$D:$D,D9100)=0,"Missing in Data2","Present")</f>
        <v>Present</v>
      </c>
    </row>
    <row r="9101" spans="1:5" x14ac:dyDescent="0.25">
      <c r="A9101" s="2" t="s">
        <v>6533</v>
      </c>
      <c r="B9101" s="2" t="s">
        <v>1096</v>
      </c>
      <c r="C9101" s="2">
        <v>3</v>
      </c>
      <c r="D9101" t="str">
        <f t="shared" si="142"/>
        <v>US-2017-118941_OFF-AR-10004078</v>
      </c>
      <c r="E9101" t="str">
        <f>IF(COUNTIF(data2!$D:$D,D9101)=0,"Missing in Data2","Present")</f>
        <v>Present</v>
      </c>
    </row>
    <row r="9102" spans="1:5" x14ac:dyDescent="0.25">
      <c r="A9102" s="2" t="s">
        <v>6534</v>
      </c>
      <c r="B9102" s="2" t="s">
        <v>2322</v>
      </c>
      <c r="C9102" s="2">
        <v>9</v>
      </c>
      <c r="D9102" t="str">
        <f t="shared" si="142"/>
        <v>US-2017-119039_OFF-BI-10004182</v>
      </c>
      <c r="E9102" t="str">
        <f>IF(COUNTIF(data2!$D:$D,D9102)=0,"Missing in Data2","Present")</f>
        <v>Present</v>
      </c>
    </row>
    <row r="9103" spans="1:5" x14ac:dyDescent="0.25">
      <c r="A9103" s="2" t="s">
        <v>6535</v>
      </c>
      <c r="B9103" s="2" t="s">
        <v>1276</v>
      </c>
      <c r="C9103" s="2">
        <v>5</v>
      </c>
      <c r="D9103" t="str">
        <f t="shared" si="142"/>
        <v>US-2017-119319_FUR-FU-10003878</v>
      </c>
      <c r="E9103" t="str">
        <f>IF(COUNTIF(data2!$D:$D,D9103)=0,"Missing in Data2","Present")</f>
        <v>Present</v>
      </c>
    </row>
    <row r="9104" spans="1:5" x14ac:dyDescent="0.25">
      <c r="A9104" s="2" t="s">
        <v>6536</v>
      </c>
      <c r="B9104" s="2" t="s">
        <v>769</v>
      </c>
      <c r="C9104" s="2">
        <v>3</v>
      </c>
      <c r="D9104" t="str">
        <f t="shared" si="142"/>
        <v>US-2017-119438_FUR-FU-10003553</v>
      </c>
      <c r="E9104" t="str">
        <f>IF(COUNTIF(data2!$D:$D,D9104)=0,"Missing in Data2","Present")</f>
        <v>Present</v>
      </c>
    </row>
    <row r="9105" spans="1:5" x14ac:dyDescent="0.25">
      <c r="A9105" s="2" t="s">
        <v>6536</v>
      </c>
      <c r="B9105" s="2" t="s">
        <v>2520</v>
      </c>
      <c r="C9105" s="2">
        <v>3</v>
      </c>
      <c r="D9105" t="str">
        <f t="shared" si="142"/>
        <v>US-2017-119438_OFF-AP-10000804</v>
      </c>
      <c r="E9105" t="str">
        <f>IF(COUNTIF(data2!$D:$D,D9105)=0,"Missing in Data2","Present")</f>
        <v>Present</v>
      </c>
    </row>
    <row r="9106" spans="1:5" x14ac:dyDescent="0.25">
      <c r="A9106" s="2" t="s">
        <v>6536</v>
      </c>
      <c r="B9106" s="2" t="s">
        <v>820</v>
      </c>
      <c r="C9106" s="2">
        <v>3</v>
      </c>
      <c r="D9106" t="str">
        <f t="shared" si="142"/>
        <v>US-2017-119438_OFF-BI-10004632</v>
      </c>
      <c r="E9106" t="str">
        <f>IF(COUNTIF(data2!$D:$D,D9106)=0,"Missing in Data2","Present")</f>
        <v>Present</v>
      </c>
    </row>
    <row r="9107" spans="1:5" x14ac:dyDescent="0.25">
      <c r="A9107" s="2" t="s">
        <v>6536</v>
      </c>
      <c r="B9107" s="2" t="s">
        <v>1571</v>
      </c>
      <c r="C9107" s="2">
        <v>3</v>
      </c>
      <c r="D9107" t="str">
        <f t="shared" si="142"/>
        <v>US-2017-119438_TEC-AC-10003614</v>
      </c>
      <c r="E9107" t="str">
        <f>IF(COUNTIF(data2!$D:$D,D9107)=0,"Missing in Data2","Present")</f>
        <v>Present</v>
      </c>
    </row>
    <row r="9108" spans="1:5" x14ac:dyDescent="0.25">
      <c r="A9108" s="2" t="s">
        <v>6537</v>
      </c>
      <c r="B9108" s="2" t="s">
        <v>2072</v>
      </c>
      <c r="C9108" s="2">
        <v>3</v>
      </c>
      <c r="D9108" t="str">
        <f t="shared" si="142"/>
        <v>US-2017-119662_OFF-ST-10003656</v>
      </c>
      <c r="E9108" t="str">
        <f>IF(COUNTIF(data2!$D:$D,D9108)=0,"Missing in Data2","Present")</f>
        <v>Present</v>
      </c>
    </row>
    <row r="9109" spans="1:5" x14ac:dyDescent="0.25">
      <c r="A9109" s="2" t="s">
        <v>6538</v>
      </c>
      <c r="B9109" s="2" t="s">
        <v>2725</v>
      </c>
      <c r="C9109" s="2">
        <v>5</v>
      </c>
      <c r="D9109" t="str">
        <f t="shared" si="142"/>
        <v>US-2017-119816_FUR-FU-10004848</v>
      </c>
      <c r="E9109" t="str">
        <f>IF(COUNTIF(data2!$D:$D,D9109)=0,"Missing in Data2","Present")</f>
        <v>Present</v>
      </c>
    </row>
    <row r="9110" spans="1:5" x14ac:dyDescent="0.25">
      <c r="A9110" s="2" t="s">
        <v>6538</v>
      </c>
      <c r="B9110" s="2" t="s">
        <v>2832</v>
      </c>
      <c r="C9110" s="2">
        <v>1</v>
      </c>
      <c r="D9110" t="str">
        <f t="shared" si="142"/>
        <v>US-2017-119816_OFF-LA-10002381</v>
      </c>
      <c r="E9110" t="str">
        <f>IF(COUNTIF(data2!$D:$D,D9110)=0,"Missing in Data2","Present")</f>
        <v>Present</v>
      </c>
    </row>
    <row r="9111" spans="1:5" x14ac:dyDescent="0.25">
      <c r="A9111" s="2" t="s">
        <v>6538</v>
      </c>
      <c r="B9111" s="2" t="s">
        <v>173</v>
      </c>
      <c r="C9111" s="2">
        <v>1</v>
      </c>
      <c r="D9111" t="str">
        <f t="shared" si="142"/>
        <v>US-2017-119816_OFF-ST-10000918</v>
      </c>
      <c r="E9111" t="str">
        <f>IF(COUNTIF(data2!$D:$D,D9111)=0,"Missing in Data2","Present")</f>
        <v>Present</v>
      </c>
    </row>
    <row r="9112" spans="1:5" x14ac:dyDescent="0.25">
      <c r="A9112" s="2" t="s">
        <v>6539</v>
      </c>
      <c r="B9112" s="2" t="s">
        <v>2267</v>
      </c>
      <c r="C9112" s="2">
        <v>4</v>
      </c>
      <c r="D9112" t="str">
        <f t="shared" si="142"/>
        <v>US-2017-120089_OFF-AP-10003779</v>
      </c>
      <c r="E9112" t="str">
        <f>IF(COUNTIF(data2!$D:$D,D9112)=0,"Missing in Data2","Present")</f>
        <v>Present</v>
      </c>
    </row>
    <row r="9113" spans="1:5" x14ac:dyDescent="0.25">
      <c r="A9113" s="2" t="s">
        <v>6540</v>
      </c>
      <c r="B9113" s="2" t="s">
        <v>2616</v>
      </c>
      <c r="C9113" s="2">
        <v>2</v>
      </c>
      <c r="D9113" t="str">
        <f t="shared" si="142"/>
        <v>US-2017-120147_OFF-AR-10000817</v>
      </c>
      <c r="E9113" t="str">
        <f>IF(COUNTIF(data2!$D:$D,D9113)=0,"Missing in Data2","Present")</f>
        <v>Present</v>
      </c>
    </row>
    <row r="9114" spans="1:5" x14ac:dyDescent="0.25">
      <c r="A9114" s="2" t="s">
        <v>6540</v>
      </c>
      <c r="B9114" s="2" t="s">
        <v>3279</v>
      </c>
      <c r="C9114" s="2">
        <v>1</v>
      </c>
      <c r="D9114" t="str">
        <f t="shared" si="142"/>
        <v>US-2017-120147_TEC-PH-10002447</v>
      </c>
      <c r="E9114" t="str">
        <f>IF(COUNTIF(data2!$D:$D,D9114)=0,"Missing in Data2","Present")</f>
        <v>Present</v>
      </c>
    </row>
    <row r="9115" spans="1:5" x14ac:dyDescent="0.25">
      <c r="A9115" s="2" t="s">
        <v>6541</v>
      </c>
      <c r="B9115" s="2" t="s">
        <v>1302</v>
      </c>
      <c r="C9115" s="2">
        <v>4</v>
      </c>
      <c r="D9115" t="str">
        <f t="shared" si="142"/>
        <v>US-2017-120390_OFF-BI-10004995</v>
      </c>
      <c r="E9115" t="str">
        <f>IF(COUNTIF(data2!$D:$D,D9115)=0,"Missing in Data2","Present")</f>
        <v>Present</v>
      </c>
    </row>
    <row r="9116" spans="1:5" x14ac:dyDescent="0.25">
      <c r="A9116" s="2" t="s">
        <v>6542</v>
      </c>
      <c r="B9116" s="2" t="s">
        <v>294</v>
      </c>
      <c r="C9116" s="2">
        <v>1</v>
      </c>
      <c r="D9116" t="str">
        <f t="shared" si="142"/>
        <v>US-2017-120418_FUR-CH-10001394</v>
      </c>
      <c r="E9116" t="str">
        <f>IF(COUNTIF(data2!$D:$D,D9116)=0,"Missing in Data2","Present")</f>
        <v>Present</v>
      </c>
    </row>
    <row r="9117" spans="1:5" x14ac:dyDescent="0.25">
      <c r="A9117" s="2" t="s">
        <v>6542</v>
      </c>
      <c r="B9117" s="2" t="s">
        <v>1034</v>
      </c>
      <c r="C9117" s="2">
        <v>1</v>
      </c>
      <c r="D9117" t="str">
        <f t="shared" si="142"/>
        <v>US-2017-120418_OFF-AR-10001955</v>
      </c>
      <c r="E9117" t="str">
        <f>IF(COUNTIF(data2!$D:$D,D9117)=0,"Missing in Data2","Present")</f>
        <v>Present</v>
      </c>
    </row>
    <row r="9118" spans="1:5" x14ac:dyDescent="0.25">
      <c r="A9118" s="2" t="s">
        <v>6542</v>
      </c>
      <c r="B9118" s="2" t="s">
        <v>4092</v>
      </c>
      <c r="C9118" s="2">
        <v>5</v>
      </c>
      <c r="D9118" t="str">
        <f t="shared" si="142"/>
        <v>US-2017-120418_OFF-AR-10002956</v>
      </c>
      <c r="E9118" t="str">
        <f>IF(COUNTIF(data2!$D:$D,D9118)=0,"Missing in Data2","Present")</f>
        <v>Present</v>
      </c>
    </row>
    <row r="9119" spans="1:5" x14ac:dyDescent="0.25">
      <c r="A9119" s="2" t="s">
        <v>6542</v>
      </c>
      <c r="B9119" s="2" t="s">
        <v>465</v>
      </c>
      <c r="C9119" s="2">
        <v>3</v>
      </c>
      <c r="D9119" t="str">
        <f t="shared" si="142"/>
        <v>US-2017-120418_OFF-ST-10001809</v>
      </c>
      <c r="E9119" t="str">
        <f>IF(COUNTIF(data2!$D:$D,D9119)=0,"Missing in Data2","Present")</f>
        <v>Present</v>
      </c>
    </row>
    <row r="9120" spans="1:5" x14ac:dyDescent="0.25">
      <c r="A9120" s="2" t="s">
        <v>6542</v>
      </c>
      <c r="B9120" s="2" t="s">
        <v>1178</v>
      </c>
      <c r="C9120" s="2">
        <v>4</v>
      </c>
      <c r="D9120" t="str">
        <f t="shared" si="142"/>
        <v>US-2017-120418_OFF-ST-10002370</v>
      </c>
      <c r="E9120" t="str">
        <f>IF(COUNTIF(data2!$D:$D,D9120)=0,"Missing in Data2","Present")</f>
        <v>Present</v>
      </c>
    </row>
    <row r="9121" spans="1:5" x14ac:dyDescent="0.25">
      <c r="A9121" s="2" t="s">
        <v>6543</v>
      </c>
      <c r="B9121" s="2" t="s">
        <v>3027</v>
      </c>
      <c r="C9121" s="2">
        <v>4</v>
      </c>
      <c r="D9121" t="str">
        <f t="shared" si="142"/>
        <v>US-2017-120607_OFF-PA-10003129</v>
      </c>
      <c r="E9121" t="str">
        <f>IF(COUNTIF(data2!$D:$D,D9121)=0,"Missing in Data2","Present")</f>
        <v>Present</v>
      </c>
    </row>
    <row r="9122" spans="1:5" x14ac:dyDescent="0.25">
      <c r="A9122" s="2" t="s">
        <v>6544</v>
      </c>
      <c r="B9122" s="2" t="s">
        <v>1945</v>
      </c>
      <c r="C9122" s="2">
        <v>2</v>
      </c>
      <c r="D9122" t="str">
        <f t="shared" si="142"/>
        <v>US-2017-120649_OFF-AR-10001545</v>
      </c>
      <c r="E9122" t="str">
        <f>IF(COUNTIF(data2!$D:$D,D9122)=0,"Missing in Data2","Present")</f>
        <v>Present</v>
      </c>
    </row>
    <row r="9123" spans="1:5" x14ac:dyDescent="0.25">
      <c r="A9123" s="2" t="s">
        <v>6545</v>
      </c>
      <c r="B9123" s="2" t="s">
        <v>2112</v>
      </c>
      <c r="C9123" s="2">
        <v>7</v>
      </c>
      <c r="D9123" t="str">
        <f t="shared" si="142"/>
        <v>US-2017-120908_OFF-LA-10004677</v>
      </c>
      <c r="E9123" t="str">
        <f>IF(COUNTIF(data2!$D:$D,D9123)=0,"Missing in Data2","Present")</f>
        <v>Present</v>
      </c>
    </row>
    <row r="9124" spans="1:5" x14ac:dyDescent="0.25">
      <c r="A9124" s="2" t="s">
        <v>6546</v>
      </c>
      <c r="B9124" s="2" t="s">
        <v>3066</v>
      </c>
      <c r="C9124" s="2">
        <v>2</v>
      </c>
      <c r="D9124" t="str">
        <f t="shared" si="142"/>
        <v>US-2017-121251_FUR-BO-10001918</v>
      </c>
      <c r="E9124" t="str">
        <f>IF(COUNTIF(data2!$D:$D,D9124)=0,"Missing in Data2","Present")</f>
        <v>Present</v>
      </c>
    </row>
    <row r="9125" spans="1:5" x14ac:dyDescent="0.25">
      <c r="A9125" s="2" t="s">
        <v>6546</v>
      </c>
      <c r="B9125" s="2" t="s">
        <v>1588</v>
      </c>
      <c r="C9125" s="2">
        <v>4</v>
      </c>
      <c r="D9125" t="str">
        <f t="shared" si="142"/>
        <v>US-2017-121251_TEC-PH-10004896</v>
      </c>
      <c r="E9125" t="str">
        <f>IF(COUNTIF(data2!$D:$D,D9125)=0,"Missing in Data2","Present")</f>
        <v>Present</v>
      </c>
    </row>
    <row r="9126" spans="1:5" x14ac:dyDescent="0.25">
      <c r="A9126" s="2" t="s">
        <v>6547</v>
      </c>
      <c r="B9126" s="2" t="s">
        <v>150</v>
      </c>
      <c r="C9126" s="2">
        <v>7</v>
      </c>
      <c r="D9126" t="str">
        <f t="shared" si="142"/>
        <v>US-2017-122637_OFF-BI-10002429</v>
      </c>
      <c r="E9126" t="str">
        <f>IF(COUNTIF(data2!$D:$D,D9126)=0,"Missing in Data2","Present")</f>
        <v>Present</v>
      </c>
    </row>
    <row r="9127" spans="1:5" x14ac:dyDescent="0.25">
      <c r="A9127" s="2" t="s">
        <v>6548</v>
      </c>
      <c r="B9127" s="2" t="s">
        <v>715</v>
      </c>
      <c r="C9127" s="2">
        <v>3</v>
      </c>
      <c r="D9127" t="str">
        <f t="shared" si="142"/>
        <v>US-2017-122672_OFF-ST-10002344</v>
      </c>
      <c r="E9127" t="str">
        <f>IF(COUNTIF(data2!$D:$D,D9127)=0,"Missing in Data2","Present")</f>
        <v>Present</v>
      </c>
    </row>
    <row r="9128" spans="1:5" x14ac:dyDescent="0.25">
      <c r="A9128" s="2" t="s">
        <v>6548</v>
      </c>
      <c r="B9128" s="2" t="s">
        <v>731</v>
      </c>
      <c r="C9128" s="2">
        <v>4</v>
      </c>
      <c r="D9128" t="str">
        <f t="shared" si="142"/>
        <v>US-2017-122672_TEC-AC-10002323</v>
      </c>
      <c r="E9128" t="str">
        <f>IF(COUNTIF(data2!$D:$D,D9128)=0,"Missing in Data2","Present")</f>
        <v>Present</v>
      </c>
    </row>
    <row r="9129" spans="1:5" x14ac:dyDescent="0.25">
      <c r="A9129" s="2" t="s">
        <v>6549</v>
      </c>
      <c r="B9129" s="2" t="s">
        <v>580</v>
      </c>
      <c r="C9129" s="2">
        <v>5</v>
      </c>
      <c r="D9129" t="str">
        <f t="shared" si="142"/>
        <v>US-2017-122714_OFF-BI-10001120</v>
      </c>
      <c r="E9129" t="str">
        <f>IF(COUNTIF(data2!$D:$D,D9129)=0,"Missing in Data2","Present")</f>
        <v>Present</v>
      </c>
    </row>
    <row r="9130" spans="1:5" x14ac:dyDescent="0.25">
      <c r="A9130" s="2" t="s">
        <v>6550</v>
      </c>
      <c r="B9130" s="2" t="s">
        <v>3600</v>
      </c>
      <c r="C9130" s="2">
        <v>4</v>
      </c>
      <c r="D9130" t="str">
        <f t="shared" si="142"/>
        <v>US-2017-123204_OFF-AP-10002287</v>
      </c>
      <c r="E9130" t="str">
        <f>IF(COUNTIF(data2!$D:$D,D9130)=0,"Missing in Data2","Present")</f>
        <v>Present</v>
      </c>
    </row>
    <row r="9131" spans="1:5" x14ac:dyDescent="0.25">
      <c r="A9131" s="2" t="s">
        <v>6551</v>
      </c>
      <c r="B9131" s="2" t="s">
        <v>1290</v>
      </c>
      <c r="C9131" s="2">
        <v>3</v>
      </c>
      <c r="D9131" t="str">
        <f t="shared" si="142"/>
        <v>US-2017-123281_FUR-FU-10003724</v>
      </c>
      <c r="E9131" t="str">
        <f>IF(COUNTIF(data2!$D:$D,D9131)=0,"Missing in Data2","Present")</f>
        <v>Present</v>
      </c>
    </row>
    <row r="9132" spans="1:5" x14ac:dyDescent="0.25">
      <c r="A9132" s="2" t="s">
        <v>6552</v>
      </c>
      <c r="B9132" s="2" t="s">
        <v>2235</v>
      </c>
      <c r="C9132" s="2">
        <v>4</v>
      </c>
      <c r="D9132" t="str">
        <f t="shared" si="142"/>
        <v>US-2017-123463_OFF-AR-10001118</v>
      </c>
      <c r="E9132" t="str">
        <f>IF(COUNTIF(data2!$D:$D,D9132)=0,"Missing in Data2","Present")</f>
        <v>Present</v>
      </c>
    </row>
    <row r="9133" spans="1:5" x14ac:dyDescent="0.25">
      <c r="A9133" s="2" t="s">
        <v>6553</v>
      </c>
      <c r="B9133" s="2" t="s">
        <v>513</v>
      </c>
      <c r="C9133" s="2">
        <v>4</v>
      </c>
      <c r="D9133" t="str">
        <f t="shared" si="142"/>
        <v>US-2017-123834_FUR-TA-10001676</v>
      </c>
      <c r="E9133" t="str">
        <f>IF(COUNTIF(data2!$D:$D,D9133)=0,"Missing in Data2","Present")</f>
        <v>Present</v>
      </c>
    </row>
    <row r="9134" spans="1:5" x14ac:dyDescent="0.25">
      <c r="A9134" s="2" t="s">
        <v>6554</v>
      </c>
      <c r="B9134" s="2" t="s">
        <v>1320</v>
      </c>
      <c r="C9134" s="2">
        <v>1</v>
      </c>
      <c r="D9134" t="str">
        <f t="shared" si="142"/>
        <v>US-2017-123862_OFF-FA-10003112</v>
      </c>
      <c r="E9134" t="str">
        <f>IF(COUNTIF(data2!$D:$D,D9134)=0,"Missing in Data2","Present")</f>
        <v>Missing in Data2</v>
      </c>
    </row>
    <row r="9135" spans="1:5" x14ac:dyDescent="0.25">
      <c r="A9135" s="2" t="s">
        <v>6554</v>
      </c>
      <c r="B9135" s="2" t="s">
        <v>1790</v>
      </c>
      <c r="C9135" s="2">
        <v>11</v>
      </c>
      <c r="D9135" t="str">
        <f t="shared" si="142"/>
        <v>US-2017-123862_OFF-ST-10000760</v>
      </c>
      <c r="E9135" t="str">
        <f>IF(COUNTIF(data2!$D:$D,D9135)=0,"Missing in Data2","Present")</f>
        <v>Present</v>
      </c>
    </row>
    <row r="9136" spans="1:5" x14ac:dyDescent="0.25">
      <c r="A9136" s="2" t="s">
        <v>6554</v>
      </c>
      <c r="B9136" s="2" t="s">
        <v>1585</v>
      </c>
      <c r="C9136" s="2">
        <v>3</v>
      </c>
      <c r="D9136" t="str">
        <f t="shared" si="142"/>
        <v>US-2017-123862_OFF-ST-10002301</v>
      </c>
      <c r="E9136" t="str">
        <f>IF(COUNTIF(data2!$D:$D,D9136)=0,"Missing in Data2","Present")</f>
        <v>Present</v>
      </c>
    </row>
    <row r="9137" spans="1:5" x14ac:dyDescent="0.25">
      <c r="A9137" s="2" t="s">
        <v>6554</v>
      </c>
      <c r="B9137" s="2" t="s">
        <v>2451</v>
      </c>
      <c r="C9137" s="2">
        <v>7</v>
      </c>
      <c r="D9137" t="str">
        <f t="shared" si="142"/>
        <v>US-2017-123862_OFF-SU-10004884</v>
      </c>
      <c r="E9137" t="str">
        <f>IF(COUNTIF(data2!$D:$D,D9137)=0,"Missing in Data2","Present")</f>
        <v>Present</v>
      </c>
    </row>
    <row r="9138" spans="1:5" x14ac:dyDescent="0.25">
      <c r="A9138" s="2" t="s">
        <v>6555</v>
      </c>
      <c r="B9138" s="2" t="s">
        <v>9</v>
      </c>
      <c r="C9138" s="2">
        <v>2</v>
      </c>
      <c r="D9138" t="str">
        <f t="shared" si="142"/>
        <v>US-2017-124303_OFF-BI-10000343</v>
      </c>
      <c r="E9138" t="str">
        <f>IF(COUNTIF(data2!$D:$D,D9138)=0,"Missing in Data2","Present")</f>
        <v>Present</v>
      </c>
    </row>
    <row r="9139" spans="1:5" x14ac:dyDescent="0.25">
      <c r="A9139" s="2" t="s">
        <v>6555</v>
      </c>
      <c r="B9139" s="2" t="s">
        <v>5108</v>
      </c>
      <c r="C9139" s="2">
        <v>3</v>
      </c>
      <c r="D9139" t="str">
        <f t="shared" si="142"/>
        <v>US-2017-124303_OFF-PA-10002749</v>
      </c>
      <c r="E9139" t="str">
        <f>IF(COUNTIF(data2!$D:$D,D9139)=0,"Missing in Data2","Present")</f>
        <v>Present</v>
      </c>
    </row>
    <row r="9140" spans="1:5" x14ac:dyDescent="0.25">
      <c r="A9140" s="2" t="s">
        <v>6556</v>
      </c>
      <c r="B9140" s="2" t="s">
        <v>1857</v>
      </c>
      <c r="C9140" s="2">
        <v>5</v>
      </c>
      <c r="D9140" t="str">
        <f t="shared" si="142"/>
        <v>US-2017-124779_FUR-CH-10003535</v>
      </c>
      <c r="E9140" t="str">
        <f>IF(COUNTIF(data2!$D:$D,D9140)=0,"Missing in Data2","Present")</f>
        <v>Present</v>
      </c>
    </row>
    <row r="9141" spans="1:5" x14ac:dyDescent="0.25">
      <c r="A9141" s="2" t="s">
        <v>6556</v>
      </c>
      <c r="B9141" s="2" t="s">
        <v>538</v>
      </c>
      <c r="C9141" s="2">
        <v>2</v>
      </c>
      <c r="D9141" t="str">
        <f t="shared" si="142"/>
        <v>US-2017-124779_FUR-FU-10001095</v>
      </c>
      <c r="E9141" t="str">
        <f>IF(COUNTIF(data2!$D:$D,D9141)=0,"Missing in Data2","Present")</f>
        <v>Present</v>
      </c>
    </row>
    <row r="9142" spans="1:5" x14ac:dyDescent="0.25">
      <c r="A9142" s="2" t="s">
        <v>6556</v>
      </c>
      <c r="B9142" s="2" t="s">
        <v>150</v>
      </c>
      <c r="C9142" s="2">
        <v>7</v>
      </c>
      <c r="D9142" t="str">
        <f t="shared" si="142"/>
        <v>US-2017-124779_OFF-BI-10002429</v>
      </c>
      <c r="E9142" t="str">
        <f>IF(COUNTIF(data2!$D:$D,D9142)=0,"Missing in Data2","Present")</f>
        <v>Present</v>
      </c>
    </row>
    <row r="9143" spans="1:5" x14ac:dyDescent="0.25">
      <c r="A9143" s="2" t="s">
        <v>6556</v>
      </c>
      <c r="B9143" s="2" t="s">
        <v>417</v>
      </c>
      <c r="C9143" s="2">
        <v>5</v>
      </c>
      <c r="D9143" t="str">
        <f t="shared" si="142"/>
        <v>US-2017-124779_OFF-FA-10004854</v>
      </c>
      <c r="E9143" t="str">
        <f>IF(COUNTIF(data2!$D:$D,D9143)=0,"Missing in Data2","Present")</f>
        <v>Present</v>
      </c>
    </row>
    <row r="9144" spans="1:5" x14ac:dyDescent="0.25">
      <c r="A9144" s="2" t="s">
        <v>6556</v>
      </c>
      <c r="B9144" s="2" t="s">
        <v>1001</v>
      </c>
      <c r="C9144" s="2">
        <v>4</v>
      </c>
      <c r="D9144" t="str">
        <f t="shared" si="142"/>
        <v>US-2017-124779_OFF-PA-10000061</v>
      </c>
      <c r="E9144" t="str">
        <f>IF(COUNTIF(data2!$D:$D,D9144)=0,"Missing in Data2","Present")</f>
        <v>Present</v>
      </c>
    </row>
    <row r="9145" spans="1:5" x14ac:dyDescent="0.25">
      <c r="A9145" s="2" t="s">
        <v>6556</v>
      </c>
      <c r="B9145" s="2" t="s">
        <v>2030</v>
      </c>
      <c r="C9145" s="2">
        <v>2</v>
      </c>
      <c r="D9145" t="str">
        <f t="shared" si="142"/>
        <v>US-2017-124779_TEC-CO-10001943</v>
      </c>
      <c r="E9145" t="str">
        <f>IF(COUNTIF(data2!$D:$D,D9145)=0,"Missing in Data2","Present")</f>
        <v>Present</v>
      </c>
    </row>
    <row r="9146" spans="1:5" x14ac:dyDescent="0.25">
      <c r="A9146" s="2" t="s">
        <v>6557</v>
      </c>
      <c r="B9146" s="2" t="s">
        <v>1840</v>
      </c>
      <c r="C9146" s="2">
        <v>4</v>
      </c>
      <c r="D9146" t="str">
        <f t="shared" si="142"/>
        <v>US-2017-124821_FUR-TA-10000688</v>
      </c>
      <c r="E9146" t="str">
        <f>IF(COUNTIF(data2!$D:$D,D9146)=0,"Missing in Data2","Present")</f>
        <v>Present</v>
      </c>
    </row>
    <row r="9147" spans="1:5" x14ac:dyDescent="0.25">
      <c r="A9147" s="2" t="s">
        <v>6558</v>
      </c>
      <c r="B9147" s="2" t="s">
        <v>1084</v>
      </c>
      <c r="C9147" s="2">
        <v>6</v>
      </c>
      <c r="D9147" t="str">
        <f t="shared" si="142"/>
        <v>US-2017-124926_OFF-AP-10004868</v>
      </c>
      <c r="E9147" t="str">
        <f>IF(COUNTIF(data2!$D:$D,D9147)=0,"Missing in Data2","Present")</f>
        <v>Present</v>
      </c>
    </row>
    <row r="9148" spans="1:5" x14ac:dyDescent="0.25">
      <c r="A9148" s="2" t="s">
        <v>6559</v>
      </c>
      <c r="B9148" s="2" t="s">
        <v>1057</v>
      </c>
      <c r="C9148" s="2">
        <v>7</v>
      </c>
      <c r="D9148" t="str">
        <f t="shared" si="142"/>
        <v>US-2017-124968_FUR-TA-10004289</v>
      </c>
      <c r="E9148" t="str">
        <f>IF(COUNTIF(data2!$D:$D,D9148)=0,"Missing in Data2","Present")</f>
        <v>Present</v>
      </c>
    </row>
    <row r="9149" spans="1:5" x14ac:dyDescent="0.25">
      <c r="A9149" s="2" t="s">
        <v>6560</v>
      </c>
      <c r="B9149" s="2" t="s">
        <v>1358</v>
      </c>
      <c r="C9149" s="2">
        <v>3</v>
      </c>
      <c r="D9149" t="str">
        <f t="shared" si="142"/>
        <v>US-2017-125213_OFF-FA-10001561</v>
      </c>
      <c r="E9149" t="str">
        <f>IF(COUNTIF(data2!$D:$D,D9149)=0,"Missing in Data2","Present")</f>
        <v>Present</v>
      </c>
    </row>
    <row r="9150" spans="1:5" x14ac:dyDescent="0.25">
      <c r="A9150" s="2" t="s">
        <v>6561</v>
      </c>
      <c r="B9150" s="2" t="s">
        <v>5624</v>
      </c>
      <c r="C9150" s="2">
        <v>6</v>
      </c>
      <c r="D9150" t="str">
        <f t="shared" si="142"/>
        <v>US-2017-125647_OFF-AP-10000390</v>
      </c>
      <c r="E9150" t="str">
        <f>IF(COUNTIF(data2!$D:$D,D9150)=0,"Missing in Data2","Present")</f>
        <v>Present</v>
      </c>
    </row>
    <row r="9151" spans="1:5" x14ac:dyDescent="0.25">
      <c r="A9151" s="2" t="s">
        <v>6561</v>
      </c>
      <c r="B9151" s="2" t="s">
        <v>581</v>
      </c>
      <c r="C9151" s="2">
        <v>4</v>
      </c>
      <c r="D9151" t="str">
        <f t="shared" si="142"/>
        <v>US-2017-125647_OFF-PA-10004888</v>
      </c>
      <c r="E9151" t="str">
        <f>IF(COUNTIF(data2!$D:$D,D9151)=0,"Missing in Data2","Present")</f>
        <v>Present</v>
      </c>
    </row>
    <row r="9152" spans="1:5" x14ac:dyDescent="0.25">
      <c r="A9152" s="2" t="s">
        <v>6561</v>
      </c>
      <c r="B9152" s="2" t="s">
        <v>633</v>
      </c>
      <c r="C9152" s="2">
        <v>2</v>
      </c>
      <c r="D9152" t="str">
        <f t="shared" si="142"/>
        <v>US-2017-125647_TEC-PH-10004188</v>
      </c>
      <c r="E9152" t="str">
        <f>IF(COUNTIF(data2!$D:$D,D9152)=0,"Missing in Data2","Present")</f>
        <v>Present</v>
      </c>
    </row>
    <row r="9153" spans="1:5" x14ac:dyDescent="0.25">
      <c r="A9153" s="2" t="s">
        <v>6562</v>
      </c>
      <c r="B9153" s="2" t="s">
        <v>1845</v>
      </c>
      <c r="C9153" s="2">
        <v>1</v>
      </c>
      <c r="D9153" t="str">
        <f t="shared" si="142"/>
        <v>US-2017-125717_FUR-FU-10001979</v>
      </c>
      <c r="E9153" t="str">
        <f>IF(COUNTIF(data2!$D:$D,D9153)=0,"Missing in Data2","Present")</f>
        <v>Present</v>
      </c>
    </row>
    <row r="9154" spans="1:5" x14ac:dyDescent="0.25">
      <c r="A9154" s="2" t="s">
        <v>6562</v>
      </c>
      <c r="B9154" s="2" t="s">
        <v>3826</v>
      </c>
      <c r="C9154" s="2">
        <v>2</v>
      </c>
      <c r="D9154" t="str">
        <f t="shared" si="142"/>
        <v>US-2017-125717_OFF-AP-10000891</v>
      </c>
      <c r="E9154" t="str">
        <f>IF(COUNTIF(data2!$D:$D,D9154)=0,"Missing in Data2","Present")</f>
        <v>Present</v>
      </c>
    </row>
    <row r="9155" spans="1:5" x14ac:dyDescent="0.25">
      <c r="A9155" s="2" t="s">
        <v>6562</v>
      </c>
      <c r="B9155" s="2" t="s">
        <v>2324</v>
      </c>
      <c r="C9155" s="2">
        <v>4</v>
      </c>
      <c r="D9155" t="str">
        <f t="shared" ref="D9155:D9218" si="143">A9155&amp;"_"&amp;B9155</f>
        <v>US-2017-125717_OFF-BI-10001718</v>
      </c>
      <c r="E9155" t="str">
        <f>IF(COUNTIF(data2!$D:$D,D9155)=0,"Missing in Data2","Present")</f>
        <v>Present</v>
      </c>
    </row>
    <row r="9156" spans="1:5" x14ac:dyDescent="0.25">
      <c r="A9156" s="2" t="s">
        <v>6562</v>
      </c>
      <c r="B9156" s="2" t="s">
        <v>1469</v>
      </c>
      <c r="C9156" s="2">
        <v>3</v>
      </c>
      <c r="D9156" t="str">
        <f t="shared" si="143"/>
        <v>US-2017-125717_OFF-PA-10003022</v>
      </c>
      <c r="E9156" t="str">
        <f>IF(COUNTIF(data2!$D:$D,D9156)=0,"Missing in Data2","Present")</f>
        <v>Present</v>
      </c>
    </row>
    <row r="9157" spans="1:5" x14ac:dyDescent="0.25">
      <c r="A9157" s="2" t="s">
        <v>6562</v>
      </c>
      <c r="B9157" s="2" t="s">
        <v>374</v>
      </c>
      <c r="C9157" s="2">
        <v>2</v>
      </c>
      <c r="D9157" t="str">
        <f t="shared" si="143"/>
        <v>US-2017-125717_OFF-ST-10001522</v>
      </c>
      <c r="E9157" t="str">
        <f>IF(COUNTIF(data2!$D:$D,D9157)=0,"Missing in Data2","Present")</f>
        <v>Present</v>
      </c>
    </row>
    <row r="9158" spans="1:5" x14ac:dyDescent="0.25">
      <c r="A9158" s="2" t="s">
        <v>6562</v>
      </c>
      <c r="B9158" s="2" t="s">
        <v>2249</v>
      </c>
      <c r="C9158" s="2">
        <v>2</v>
      </c>
      <c r="D9158" t="str">
        <f t="shared" si="143"/>
        <v>US-2017-125717_TEC-AC-10003657</v>
      </c>
      <c r="E9158" t="str">
        <f>IF(COUNTIF(data2!$D:$D,D9158)=0,"Missing in Data2","Present")</f>
        <v>Missing in Data2</v>
      </c>
    </row>
    <row r="9159" spans="1:5" x14ac:dyDescent="0.25">
      <c r="A9159" s="2" t="s">
        <v>6563</v>
      </c>
      <c r="B9159" s="2" t="s">
        <v>2752</v>
      </c>
      <c r="C9159" s="2">
        <v>2</v>
      </c>
      <c r="D9159" t="str">
        <f t="shared" si="143"/>
        <v>US-2017-125808_OFF-PA-10001846</v>
      </c>
      <c r="E9159" t="str">
        <f>IF(COUNTIF(data2!$D:$D,D9159)=0,"Missing in Data2","Present")</f>
        <v>Present</v>
      </c>
    </row>
    <row r="9160" spans="1:5" x14ac:dyDescent="0.25">
      <c r="A9160" s="2" t="s">
        <v>6564</v>
      </c>
      <c r="B9160" s="2" t="s">
        <v>3457</v>
      </c>
      <c r="C9160" s="2">
        <v>2</v>
      </c>
      <c r="D9160" t="str">
        <f t="shared" si="143"/>
        <v>US-2017-126053_FUR-FU-10001934</v>
      </c>
      <c r="E9160" t="str">
        <f>IF(COUNTIF(data2!$D:$D,D9160)=0,"Missing in Data2","Present")</f>
        <v>Present</v>
      </c>
    </row>
    <row r="9161" spans="1:5" x14ac:dyDescent="0.25">
      <c r="A9161" s="2" t="s">
        <v>6564</v>
      </c>
      <c r="B9161" s="2" t="s">
        <v>1849</v>
      </c>
      <c r="C9161" s="2">
        <v>3</v>
      </c>
      <c r="D9161" t="str">
        <f t="shared" si="143"/>
        <v>US-2017-126053_OFF-LA-10003766</v>
      </c>
      <c r="E9161" t="str">
        <f>IF(COUNTIF(data2!$D:$D,D9161)=0,"Missing in Data2","Present")</f>
        <v>Present</v>
      </c>
    </row>
    <row r="9162" spans="1:5" x14ac:dyDescent="0.25">
      <c r="A9162" s="2" t="s">
        <v>6565</v>
      </c>
      <c r="B9162" s="2" t="s">
        <v>1403</v>
      </c>
      <c r="C9162" s="2">
        <v>8</v>
      </c>
      <c r="D9162" t="str">
        <f t="shared" si="143"/>
        <v>US-2017-126060_FUR-BO-10003433</v>
      </c>
      <c r="E9162" t="str">
        <f>IF(COUNTIF(data2!$D:$D,D9162)=0,"Missing in Data2","Present")</f>
        <v>Present</v>
      </c>
    </row>
    <row r="9163" spans="1:5" x14ac:dyDescent="0.25">
      <c r="A9163" s="2" t="s">
        <v>6566</v>
      </c>
      <c r="B9163" s="2" t="s">
        <v>3471</v>
      </c>
      <c r="C9163" s="2">
        <v>1</v>
      </c>
      <c r="D9163" t="str">
        <f t="shared" si="143"/>
        <v>US-2017-126081_OFF-PA-10003953</v>
      </c>
      <c r="E9163" t="str">
        <f>IF(COUNTIF(data2!$D:$D,D9163)=0,"Missing in Data2","Present")</f>
        <v>Present</v>
      </c>
    </row>
    <row r="9164" spans="1:5" x14ac:dyDescent="0.25">
      <c r="A9164" s="2" t="s">
        <v>6567</v>
      </c>
      <c r="B9164" s="2" t="s">
        <v>2577</v>
      </c>
      <c r="C9164" s="2">
        <v>1</v>
      </c>
      <c r="D9164" t="str">
        <f t="shared" si="143"/>
        <v>US-2017-126179_FUR-FU-10002554</v>
      </c>
      <c r="E9164" t="str">
        <f>IF(COUNTIF(data2!$D:$D,D9164)=0,"Missing in Data2","Present")</f>
        <v>Present</v>
      </c>
    </row>
    <row r="9165" spans="1:5" x14ac:dyDescent="0.25">
      <c r="A9165" s="2" t="s">
        <v>6567</v>
      </c>
      <c r="B9165" s="2" t="s">
        <v>312</v>
      </c>
      <c r="C9165" s="2">
        <v>3</v>
      </c>
      <c r="D9165" t="str">
        <f t="shared" si="143"/>
        <v>US-2017-126179_TEC-PH-10001557</v>
      </c>
      <c r="E9165" t="str">
        <f>IF(COUNTIF(data2!$D:$D,D9165)=0,"Missing in Data2","Present")</f>
        <v>Present</v>
      </c>
    </row>
    <row r="9166" spans="1:5" x14ac:dyDescent="0.25">
      <c r="A9166" s="2" t="s">
        <v>6568</v>
      </c>
      <c r="B9166" s="2" t="s">
        <v>2407</v>
      </c>
      <c r="C9166" s="2">
        <v>3</v>
      </c>
      <c r="D9166" t="str">
        <f t="shared" si="143"/>
        <v>US-2017-127292_OFF-AP-10000828</v>
      </c>
      <c r="E9166" t="str">
        <f>IF(COUNTIF(data2!$D:$D,D9166)=0,"Missing in Data2","Present")</f>
        <v>Present</v>
      </c>
    </row>
    <row r="9167" spans="1:5" x14ac:dyDescent="0.25">
      <c r="A9167" s="2" t="s">
        <v>6568</v>
      </c>
      <c r="B9167" s="2" t="s">
        <v>2505</v>
      </c>
      <c r="C9167" s="2">
        <v>1</v>
      </c>
      <c r="D9167" t="str">
        <f t="shared" si="143"/>
        <v>US-2017-127292_OFF-EN-10001509</v>
      </c>
      <c r="E9167" t="str">
        <f>IF(COUNTIF(data2!$D:$D,D9167)=0,"Missing in Data2","Present")</f>
        <v>Present</v>
      </c>
    </row>
    <row r="9168" spans="1:5" x14ac:dyDescent="0.25">
      <c r="A9168" s="2" t="s">
        <v>6568</v>
      </c>
      <c r="B9168" s="2" t="s">
        <v>2602</v>
      </c>
      <c r="C9168" s="2">
        <v>4</v>
      </c>
      <c r="D9168" t="str">
        <f t="shared" si="143"/>
        <v>US-2017-127292_OFF-PA-10000157</v>
      </c>
      <c r="E9168" t="str">
        <f>IF(COUNTIF(data2!$D:$D,D9168)=0,"Missing in Data2","Present")</f>
        <v>Present</v>
      </c>
    </row>
    <row r="9169" spans="1:5" x14ac:dyDescent="0.25">
      <c r="A9169" s="2" t="s">
        <v>6568</v>
      </c>
      <c r="B9169" s="2" t="s">
        <v>1039</v>
      </c>
      <c r="C9169" s="2">
        <v>1</v>
      </c>
      <c r="D9169" t="str">
        <f t="shared" si="143"/>
        <v>US-2017-127292_OFF-PA-10001970</v>
      </c>
      <c r="E9169" t="str">
        <f>IF(COUNTIF(data2!$D:$D,D9169)=0,"Missing in Data2","Present")</f>
        <v>Present</v>
      </c>
    </row>
    <row r="9170" spans="1:5" x14ac:dyDescent="0.25">
      <c r="A9170" s="2" t="s">
        <v>6569</v>
      </c>
      <c r="B9170" s="2" t="s">
        <v>401</v>
      </c>
      <c r="C9170" s="2">
        <v>4</v>
      </c>
      <c r="D9170" t="str">
        <f t="shared" si="143"/>
        <v>US-2017-127341_OFF-BI-10001072</v>
      </c>
      <c r="E9170" t="str">
        <f>IF(COUNTIF(data2!$D:$D,D9170)=0,"Missing in Data2","Present")</f>
        <v>Present</v>
      </c>
    </row>
    <row r="9171" spans="1:5" x14ac:dyDescent="0.25">
      <c r="A9171" s="2" t="s">
        <v>6570</v>
      </c>
      <c r="B9171" s="2" t="s">
        <v>3575</v>
      </c>
      <c r="C9171" s="2">
        <v>1</v>
      </c>
      <c r="D9171" t="str">
        <f t="shared" si="143"/>
        <v>US-2017-127719_OFF-PA-10001934</v>
      </c>
      <c r="E9171" t="str">
        <f>IF(COUNTIF(data2!$D:$D,D9171)=0,"Missing in Data2","Present")</f>
        <v>Present</v>
      </c>
    </row>
    <row r="9172" spans="1:5" x14ac:dyDescent="0.25">
      <c r="A9172" s="2" t="s">
        <v>6571</v>
      </c>
      <c r="B9172" s="2" t="s">
        <v>4685</v>
      </c>
      <c r="C9172" s="2">
        <v>3</v>
      </c>
      <c r="D9172" t="str">
        <f t="shared" si="143"/>
        <v>US-2017-128118_OFF-BI-10000216</v>
      </c>
      <c r="E9172" t="str">
        <f>IF(COUNTIF(data2!$D:$D,D9172)=0,"Missing in Data2","Present")</f>
        <v>Present</v>
      </c>
    </row>
    <row r="9173" spans="1:5" x14ac:dyDescent="0.25">
      <c r="A9173" s="2" t="s">
        <v>6571</v>
      </c>
      <c r="B9173" s="2" t="s">
        <v>6572</v>
      </c>
      <c r="C9173" s="2">
        <v>7</v>
      </c>
      <c r="D9173" t="str">
        <f t="shared" si="143"/>
        <v>US-2017-128118_OFF-EN-10003448</v>
      </c>
      <c r="E9173" t="str">
        <f>IF(COUNTIF(data2!$D:$D,D9173)=0,"Missing in Data2","Present")</f>
        <v>Present</v>
      </c>
    </row>
    <row r="9174" spans="1:5" x14ac:dyDescent="0.25">
      <c r="A9174" s="2" t="s">
        <v>6573</v>
      </c>
      <c r="B9174" s="2" t="s">
        <v>3408</v>
      </c>
      <c r="C9174" s="2">
        <v>4</v>
      </c>
      <c r="D9174" t="str">
        <f t="shared" si="143"/>
        <v>US-2017-128398_TEC-AC-10001714</v>
      </c>
      <c r="E9174" t="str">
        <f>IF(COUNTIF(data2!$D:$D,D9174)=0,"Missing in Data2","Present")</f>
        <v>Present</v>
      </c>
    </row>
    <row r="9175" spans="1:5" x14ac:dyDescent="0.25">
      <c r="A9175" s="2" t="s">
        <v>6574</v>
      </c>
      <c r="B9175" s="2" t="s">
        <v>5216</v>
      </c>
      <c r="C9175" s="2">
        <v>5</v>
      </c>
      <c r="D9175" t="str">
        <f t="shared" si="143"/>
        <v>US-2017-128447_OFF-AP-10004540</v>
      </c>
      <c r="E9175" t="str">
        <f>IF(COUNTIF(data2!$D:$D,D9175)=0,"Missing in Data2","Present")</f>
        <v>Present</v>
      </c>
    </row>
    <row r="9176" spans="1:5" x14ac:dyDescent="0.25">
      <c r="A9176" s="2" t="s">
        <v>6574</v>
      </c>
      <c r="B9176" s="2" t="s">
        <v>1413</v>
      </c>
      <c r="C9176" s="2">
        <v>1</v>
      </c>
      <c r="D9176" t="str">
        <f t="shared" si="143"/>
        <v>US-2017-128447_OFF-BI-10001543</v>
      </c>
      <c r="E9176" t="str">
        <f>IF(COUNTIF(data2!$D:$D,D9176)=0,"Missing in Data2","Present")</f>
        <v>Present</v>
      </c>
    </row>
    <row r="9177" spans="1:5" x14ac:dyDescent="0.25">
      <c r="A9177" s="2" t="s">
        <v>6575</v>
      </c>
      <c r="B9177" s="2" t="s">
        <v>3648</v>
      </c>
      <c r="C9177" s="2">
        <v>2</v>
      </c>
      <c r="D9177" t="str">
        <f t="shared" si="143"/>
        <v>US-2017-128832_TEC-AC-10004855</v>
      </c>
      <c r="E9177" t="str">
        <f>IF(COUNTIF(data2!$D:$D,D9177)=0,"Missing in Data2","Present")</f>
        <v>Present</v>
      </c>
    </row>
    <row r="9178" spans="1:5" x14ac:dyDescent="0.25">
      <c r="A9178" s="2" t="s">
        <v>6576</v>
      </c>
      <c r="B9178" s="2" t="s">
        <v>939</v>
      </c>
      <c r="C9178" s="2">
        <v>3</v>
      </c>
      <c r="D9178" t="str">
        <f t="shared" si="143"/>
        <v>US-2017-128951_FUR-TA-10004575</v>
      </c>
      <c r="E9178" t="str">
        <f>IF(COUNTIF(data2!$D:$D,D9178)=0,"Missing in Data2","Present")</f>
        <v>Present</v>
      </c>
    </row>
    <row r="9179" spans="1:5" x14ac:dyDescent="0.25">
      <c r="A9179" s="2" t="s">
        <v>6576</v>
      </c>
      <c r="B9179" s="2" t="s">
        <v>1704</v>
      </c>
      <c r="C9179" s="2">
        <v>3</v>
      </c>
      <c r="D9179" t="str">
        <f t="shared" si="143"/>
        <v>US-2017-128951_OFF-AP-10002191</v>
      </c>
      <c r="E9179" t="str">
        <f>IF(COUNTIF(data2!$D:$D,D9179)=0,"Missing in Data2","Present")</f>
        <v>Present</v>
      </c>
    </row>
    <row r="9180" spans="1:5" x14ac:dyDescent="0.25">
      <c r="A9180" s="2" t="s">
        <v>6576</v>
      </c>
      <c r="B9180" s="2" t="s">
        <v>1158</v>
      </c>
      <c r="C9180" s="2">
        <v>2</v>
      </c>
      <c r="D9180" t="str">
        <f t="shared" si="143"/>
        <v>US-2017-128951_OFF-PA-10003177</v>
      </c>
      <c r="E9180" t="str">
        <f>IF(COUNTIF(data2!$D:$D,D9180)=0,"Missing in Data2","Present")</f>
        <v>Present</v>
      </c>
    </row>
    <row r="9181" spans="1:5" x14ac:dyDescent="0.25">
      <c r="A9181" s="2" t="s">
        <v>6577</v>
      </c>
      <c r="B9181" s="2" t="s">
        <v>2398</v>
      </c>
      <c r="C9181" s="2">
        <v>4</v>
      </c>
      <c r="D9181" t="str">
        <f t="shared" si="143"/>
        <v>US-2017-129203_OFF-ST-10001418</v>
      </c>
      <c r="E9181" t="str">
        <f>IF(COUNTIF(data2!$D:$D,D9181)=0,"Missing in Data2","Present")</f>
        <v>Present</v>
      </c>
    </row>
    <row r="9182" spans="1:5" x14ac:dyDescent="0.25">
      <c r="A9182" s="2" t="s">
        <v>6578</v>
      </c>
      <c r="B9182" s="2" t="s">
        <v>2339</v>
      </c>
      <c r="C9182" s="2">
        <v>2</v>
      </c>
      <c r="D9182" t="str">
        <f t="shared" si="143"/>
        <v>US-2017-129224_OFF-LA-10003190</v>
      </c>
      <c r="E9182" t="str">
        <f>IF(COUNTIF(data2!$D:$D,D9182)=0,"Missing in Data2","Present")</f>
        <v>Present</v>
      </c>
    </row>
    <row r="9183" spans="1:5" x14ac:dyDescent="0.25">
      <c r="A9183" s="2" t="s">
        <v>6579</v>
      </c>
      <c r="B9183" s="2" t="s">
        <v>1649</v>
      </c>
      <c r="C9183" s="2">
        <v>3</v>
      </c>
      <c r="D9183" t="str">
        <f t="shared" si="143"/>
        <v>US-2017-129441_FUR-FU-10000448</v>
      </c>
      <c r="E9183" t="str">
        <f>IF(COUNTIF(data2!$D:$D,D9183)=0,"Missing in Data2","Present")</f>
        <v>Present</v>
      </c>
    </row>
    <row r="9184" spans="1:5" x14ac:dyDescent="0.25">
      <c r="A9184" s="2" t="s">
        <v>6580</v>
      </c>
      <c r="B9184" s="2" t="s">
        <v>2468</v>
      </c>
      <c r="C9184" s="2">
        <v>10</v>
      </c>
      <c r="D9184" t="str">
        <f t="shared" si="143"/>
        <v>US-2017-129777_TEC-AC-10003590</v>
      </c>
      <c r="E9184" t="str">
        <f>IF(COUNTIF(data2!$D:$D,D9184)=0,"Missing in Data2","Present")</f>
        <v>Present</v>
      </c>
    </row>
    <row r="9185" spans="1:5" x14ac:dyDescent="0.25">
      <c r="A9185" s="2" t="s">
        <v>6581</v>
      </c>
      <c r="B9185" s="2" t="s">
        <v>3260</v>
      </c>
      <c r="C9185" s="2">
        <v>9</v>
      </c>
      <c r="D9185" t="str">
        <f t="shared" si="143"/>
        <v>US-2017-130603_OFF-BI-10000301</v>
      </c>
      <c r="E9185" t="str">
        <f>IF(COUNTIF(data2!$D:$D,D9185)=0,"Missing in Data2","Present")</f>
        <v>Present</v>
      </c>
    </row>
    <row r="9186" spans="1:5" x14ac:dyDescent="0.25">
      <c r="A9186" s="2" t="s">
        <v>6582</v>
      </c>
      <c r="B9186" s="2" t="s">
        <v>3539</v>
      </c>
      <c r="C9186" s="2">
        <v>4</v>
      </c>
      <c r="D9186" t="str">
        <f t="shared" si="143"/>
        <v>US-2017-130687_FUR-FU-10004053</v>
      </c>
      <c r="E9186" t="str">
        <f>IF(COUNTIF(data2!$D:$D,D9186)=0,"Missing in Data2","Present")</f>
        <v>Present</v>
      </c>
    </row>
    <row r="9187" spans="1:5" x14ac:dyDescent="0.25">
      <c r="A9187" s="2" t="s">
        <v>6582</v>
      </c>
      <c r="B9187" s="2" t="s">
        <v>4929</v>
      </c>
      <c r="C9187" s="2">
        <v>1</v>
      </c>
      <c r="D9187" t="str">
        <f t="shared" si="143"/>
        <v>US-2017-130687_OFF-AR-10004260</v>
      </c>
      <c r="E9187" t="str">
        <f>IF(COUNTIF(data2!$D:$D,D9187)=0,"Missing in Data2","Present")</f>
        <v>Present</v>
      </c>
    </row>
    <row r="9188" spans="1:5" x14ac:dyDescent="0.25">
      <c r="A9188" s="2" t="s">
        <v>6582</v>
      </c>
      <c r="B9188" s="2" t="s">
        <v>547</v>
      </c>
      <c r="C9188" s="2">
        <v>2</v>
      </c>
      <c r="D9188" t="str">
        <f t="shared" si="143"/>
        <v>US-2017-130687_TEC-PH-10002033</v>
      </c>
      <c r="E9188" t="str">
        <f>IF(COUNTIF(data2!$D:$D,D9188)=0,"Missing in Data2","Present")</f>
        <v>Present</v>
      </c>
    </row>
    <row r="9189" spans="1:5" x14ac:dyDescent="0.25">
      <c r="A9189" s="2" t="s">
        <v>6583</v>
      </c>
      <c r="B9189" s="2" t="s">
        <v>524</v>
      </c>
      <c r="C9189" s="2">
        <v>3</v>
      </c>
      <c r="D9189" t="str">
        <f t="shared" si="143"/>
        <v>US-2017-130953_FUR-CH-10004626</v>
      </c>
      <c r="E9189" t="str">
        <f>IF(COUNTIF(data2!$D:$D,D9189)=0,"Missing in Data2","Present")</f>
        <v>Present</v>
      </c>
    </row>
    <row r="9190" spans="1:5" x14ac:dyDescent="0.25">
      <c r="A9190" s="2" t="s">
        <v>6583</v>
      </c>
      <c r="B9190" s="2" t="s">
        <v>1787</v>
      </c>
      <c r="C9190" s="2">
        <v>2</v>
      </c>
      <c r="D9190" t="str">
        <f t="shared" si="143"/>
        <v>US-2017-130953_OFF-AP-10002311</v>
      </c>
      <c r="E9190" t="str">
        <f>IF(COUNTIF(data2!$D:$D,D9190)=0,"Missing in Data2","Present")</f>
        <v>Present</v>
      </c>
    </row>
    <row r="9191" spans="1:5" x14ac:dyDescent="0.25">
      <c r="A9191" s="2" t="s">
        <v>6583</v>
      </c>
      <c r="B9191" s="2" t="s">
        <v>1980</v>
      </c>
      <c r="C9191" s="2">
        <v>3</v>
      </c>
      <c r="D9191" t="str">
        <f t="shared" si="143"/>
        <v>US-2017-130953_TEC-PH-10003012</v>
      </c>
      <c r="E9191" t="str">
        <f>IF(COUNTIF(data2!$D:$D,D9191)=0,"Missing in Data2","Present")</f>
        <v>Present</v>
      </c>
    </row>
    <row r="9192" spans="1:5" x14ac:dyDescent="0.25">
      <c r="A9192" s="2" t="s">
        <v>6584</v>
      </c>
      <c r="B9192" s="2" t="s">
        <v>2655</v>
      </c>
      <c r="C9192" s="2">
        <v>6</v>
      </c>
      <c r="D9192" t="str">
        <f t="shared" si="143"/>
        <v>US-2017-131583_OFF-PA-10000380</v>
      </c>
      <c r="E9192" t="str">
        <f>IF(COUNTIF(data2!$D:$D,D9192)=0,"Missing in Data2","Present")</f>
        <v>Present</v>
      </c>
    </row>
    <row r="9193" spans="1:5" x14ac:dyDescent="0.25">
      <c r="A9193" s="2" t="s">
        <v>6585</v>
      </c>
      <c r="B9193" s="2" t="s">
        <v>6335</v>
      </c>
      <c r="C9193" s="2">
        <v>1</v>
      </c>
      <c r="D9193" t="str">
        <f t="shared" si="143"/>
        <v>US-2017-131849_FUR-FU-10004164</v>
      </c>
      <c r="E9193" t="str">
        <f>IF(COUNTIF(data2!$D:$D,D9193)=0,"Missing in Data2","Present")</f>
        <v>Present</v>
      </c>
    </row>
    <row r="9194" spans="1:5" x14ac:dyDescent="0.25">
      <c r="A9194" s="2" t="s">
        <v>6585</v>
      </c>
      <c r="B9194" s="2" t="s">
        <v>1045</v>
      </c>
      <c r="C9194" s="2">
        <v>5</v>
      </c>
      <c r="D9194" t="str">
        <f t="shared" si="143"/>
        <v>US-2017-131849_OFF-ST-10002957</v>
      </c>
      <c r="E9194" t="str">
        <f>IF(COUNTIF(data2!$D:$D,D9194)=0,"Missing in Data2","Present")</f>
        <v>Present</v>
      </c>
    </row>
    <row r="9195" spans="1:5" x14ac:dyDescent="0.25">
      <c r="A9195" s="2" t="s">
        <v>6586</v>
      </c>
      <c r="B9195" s="2" t="s">
        <v>1190</v>
      </c>
      <c r="C9195" s="2">
        <v>4</v>
      </c>
      <c r="D9195" t="str">
        <f t="shared" si="143"/>
        <v>US-2017-131961_OFF-AR-10004441</v>
      </c>
      <c r="E9195" t="str">
        <f>IF(COUNTIF(data2!$D:$D,D9195)=0,"Missing in Data2","Present")</f>
        <v>Present</v>
      </c>
    </row>
    <row r="9196" spans="1:5" x14ac:dyDescent="0.25">
      <c r="A9196" s="2" t="s">
        <v>6586</v>
      </c>
      <c r="B9196" s="2" t="s">
        <v>4307</v>
      </c>
      <c r="C9196" s="2">
        <v>2</v>
      </c>
      <c r="D9196" t="str">
        <f t="shared" si="143"/>
        <v>US-2017-131961_TEC-PH-10001924</v>
      </c>
      <c r="E9196" t="str">
        <f>IF(COUNTIF(data2!$D:$D,D9196)=0,"Missing in Data2","Present")</f>
        <v>Present</v>
      </c>
    </row>
    <row r="9197" spans="1:5" x14ac:dyDescent="0.25">
      <c r="A9197" s="2" t="s">
        <v>6587</v>
      </c>
      <c r="B9197" s="2" t="s">
        <v>1343</v>
      </c>
      <c r="C9197" s="2">
        <v>4</v>
      </c>
      <c r="D9197" t="str">
        <f t="shared" si="143"/>
        <v>US-2017-132031_FUR-BO-10001972</v>
      </c>
      <c r="E9197" t="str">
        <f>IF(COUNTIF(data2!$D:$D,D9197)=0,"Missing in Data2","Present")</f>
        <v>Present</v>
      </c>
    </row>
    <row r="9198" spans="1:5" x14ac:dyDescent="0.25">
      <c r="A9198" s="2" t="s">
        <v>6587</v>
      </c>
      <c r="B9198" s="2" t="s">
        <v>846</v>
      </c>
      <c r="C9198" s="2">
        <v>3</v>
      </c>
      <c r="D9198" t="str">
        <f t="shared" si="143"/>
        <v>US-2017-132031_FUR-FU-10000193</v>
      </c>
      <c r="E9198" t="str">
        <f>IF(COUNTIF(data2!$D:$D,D9198)=0,"Missing in Data2","Present")</f>
        <v>Present</v>
      </c>
    </row>
    <row r="9199" spans="1:5" x14ac:dyDescent="0.25">
      <c r="A9199" s="2" t="s">
        <v>6587</v>
      </c>
      <c r="B9199" s="2" t="s">
        <v>3604</v>
      </c>
      <c r="C9199" s="2">
        <v>1</v>
      </c>
      <c r="D9199" t="str">
        <f t="shared" si="143"/>
        <v>US-2017-132031_OFF-LA-10000081</v>
      </c>
      <c r="E9199" t="str">
        <f>IF(COUNTIF(data2!$D:$D,D9199)=0,"Missing in Data2","Present")</f>
        <v>Present</v>
      </c>
    </row>
    <row r="9200" spans="1:5" x14ac:dyDescent="0.25">
      <c r="A9200" s="2" t="s">
        <v>6587</v>
      </c>
      <c r="B9200" s="2" t="s">
        <v>1076</v>
      </c>
      <c r="C9200" s="2">
        <v>2</v>
      </c>
      <c r="D9200" t="str">
        <f t="shared" si="143"/>
        <v>US-2017-132031_TEC-AC-10002473</v>
      </c>
      <c r="E9200" t="str">
        <f>IF(COUNTIF(data2!$D:$D,D9200)=0,"Missing in Data2","Present")</f>
        <v>Present</v>
      </c>
    </row>
    <row r="9201" spans="1:5" x14ac:dyDescent="0.25">
      <c r="A9201" s="2" t="s">
        <v>6588</v>
      </c>
      <c r="B9201" s="2" t="s">
        <v>2465</v>
      </c>
      <c r="C9201" s="2">
        <v>2</v>
      </c>
      <c r="D9201" t="str">
        <f t="shared" si="143"/>
        <v>US-2017-132059_FUR-BO-10001811</v>
      </c>
      <c r="E9201" t="str">
        <f>IF(COUNTIF(data2!$D:$D,D9201)=0,"Missing in Data2","Present")</f>
        <v>Present</v>
      </c>
    </row>
    <row r="9202" spans="1:5" x14ac:dyDescent="0.25">
      <c r="A9202" s="2" t="s">
        <v>6588</v>
      </c>
      <c r="B9202" s="2" t="s">
        <v>1870</v>
      </c>
      <c r="C9202" s="2">
        <v>2</v>
      </c>
      <c r="D9202" t="str">
        <f t="shared" si="143"/>
        <v>US-2017-132059_TEC-AC-10003280</v>
      </c>
      <c r="E9202" t="str">
        <f>IF(COUNTIF(data2!$D:$D,D9202)=0,"Missing in Data2","Present")</f>
        <v>Present</v>
      </c>
    </row>
    <row r="9203" spans="1:5" x14ac:dyDescent="0.25">
      <c r="A9203" s="2" t="s">
        <v>6589</v>
      </c>
      <c r="B9203" s="2" t="s">
        <v>1651</v>
      </c>
      <c r="C9203" s="2">
        <v>7</v>
      </c>
      <c r="D9203" t="str">
        <f t="shared" si="143"/>
        <v>US-2017-132206_OFF-BI-10000756</v>
      </c>
      <c r="E9203" t="str">
        <f>IF(COUNTIF(data2!$D:$D,D9203)=0,"Missing in Data2","Present")</f>
        <v>Present</v>
      </c>
    </row>
    <row r="9204" spans="1:5" x14ac:dyDescent="0.25">
      <c r="A9204" s="2" t="s">
        <v>6590</v>
      </c>
      <c r="B9204" s="2" t="s">
        <v>963</v>
      </c>
      <c r="C9204" s="2">
        <v>6</v>
      </c>
      <c r="D9204" t="str">
        <f t="shared" si="143"/>
        <v>US-2017-132220_TEC-AC-10004227</v>
      </c>
      <c r="E9204" t="str">
        <f>IF(COUNTIF(data2!$D:$D,D9204)=0,"Missing in Data2","Present")</f>
        <v>Present</v>
      </c>
    </row>
    <row r="9205" spans="1:5" x14ac:dyDescent="0.25">
      <c r="A9205" s="2" t="s">
        <v>6591</v>
      </c>
      <c r="B9205" s="2" t="s">
        <v>2638</v>
      </c>
      <c r="C9205" s="2">
        <v>2</v>
      </c>
      <c r="D9205" t="str">
        <f t="shared" si="143"/>
        <v>US-2017-132297_OFF-BI-10003364</v>
      </c>
      <c r="E9205" t="str">
        <f>IF(COUNTIF(data2!$D:$D,D9205)=0,"Missing in Data2","Present")</f>
        <v>Present</v>
      </c>
    </row>
    <row r="9206" spans="1:5" x14ac:dyDescent="0.25">
      <c r="A9206" s="2" t="s">
        <v>6591</v>
      </c>
      <c r="B9206" s="2" t="s">
        <v>4776</v>
      </c>
      <c r="C9206" s="2">
        <v>3</v>
      </c>
      <c r="D9206" t="str">
        <f t="shared" si="143"/>
        <v>US-2017-132297_TEC-PH-10002834</v>
      </c>
      <c r="E9206" t="str">
        <f>IF(COUNTIF(data2!$D:$D,D9206)=0,"Missing in Data2","Present")</f>
        <v>Present</v>
      </c>
    </row>
    <row r="9207" spans="1:5" x14ac:dyDescent="0.25">
      <c r="A9207" s="2" t="s">
        <v>6592</v>
      </c>
      <c r="B9207" s="2" t="s">
        <v>1439</v>
      </c>
      <c r="C9207" s="2">
        <v>2</v>
      </c>
      <c r="D9207" t="str">
        <f t="shared" si="143"/>
        <v>US-2017-132381_FUR-TA-10002356</v>
      </c>
      <c r="E9207" t="str">
        <f>IF(COUNTIF(data2!$D:$D,D9207)=0,"Missing in Data2","Present")</f>
        <v>Missing in Data2</v>
      </c>
    </row>
    <row r="9208" spans="1:5" x14ac:dyDescent="0.25">
      <c r="A9208" s="2" t="s">
        <v>6593</v>
      </c>
      <c r="B9208" s="2" t="s">
        <v>301</v>
      </c>
      <c r="C9208" s="2">
        <v>2</v>
      </c>
      <c r="D9208" t="str">
        <f t="shared" si="143"/>
        <v>US-2017-132444_OFF-BI-10001116</v>
      </c>
      <c r="E9208" t="str">
        <f>IF(COUNTIF(data2!$D:$D,D9208)=0,"Missing in Data2","Present")</f>
        <v>Present</v>
      </c>
    </row>
    <row r="9209" spans="1:5" x14ac:dyDescent="0.25">
      <c r="A9209" s="2" t="s">
        <v>6593</v>
      </c>
      <c r="B9209" s="2" t="s">
        <v>11</v>
      </c>
      <c r="C9209" s="2">
        <v>2</v>
      </c>
      <c r="D9209" t="str">
        <f t="shared" si="143"/>
        <v>US-2017-132444_OFF-FA-10000611</v>
      </c>
      <c r="E9209" t="str">
        <f>IF(COUNTIF(data2!$D:$D,D9209)=0,"Missing in Data2","Present")</f>
        <v>Present</v>
      </c>
    </row>
    <row r="9210" spans="1:5" x14ac:dyDescent="0.25">
      <c r="A9210" s="2" t="s">
        <v>6593</v>
      </c>
      <c r="B9210" s="2" t="s">
        <v>1339</v>
      </c>
      <c r="C9210" s="2">
        <v>3</v>
      </c>
      <c r="D9210" t="str">
        <f t="shared" si="143"/>
        <v>US-2017-132444_OFF-ST-10000563</v>
      </c>
      <c r="E9210" t="str">
        <f>IF(COUNTIF(data2!$D:$D,D9210)=0,"Missing in Data2","Present")</f>
        <v>Present</v>
      </c>
    </row>
    <row r="9211" spans="1:5" x14ac:dyDescent="0.25">
      <c r="A9211" s="2" t="s">
        <v>6593</v>
      </c>
      <c r="B9211" s="2" t="s">
        <v>71</v>
      </c>
      <c r="C9211" s="2">
        <v>6</v>
      </c>
      <c r="D9211" t="str">
        <f t="shared" si="143"/>
        <v>US-2017-132444_OFF-ST-10003442</v>
      </c>
      <c r="E9211" t="str">
        <f>IF(COUNTIF(data2!$D:$D,D9211)=0,"Missing in Data2","Present")</f>
        <v>Present</v>
      </c>
    </row>
    <row r="9212" spans="1:5" x14ac:dyDescent="0.25">
      <c r="A9212" s="2" t="s">
        <v>6593</v>
      </c>
      <c r="B9212" s="2" t="s">
        <v>877</v>
      </c>
      <c r="C9212" s="2">
        <v>4</v>
      </c>
      <c r="D9212" t="str">
        <f t="shared" si="143"/>
        <v>US-2017-132444_TEC-AC-10003832</v>
      </c>
      <c r="E9212" t="str">
        <f>IF(COUNTIF(data2!$D:$D,D9212)=0,"Missing in Data2","Present")</f>
        <v>Present</v>
      </c>
    </row>
    <row r="9213" spans="1:5" x14ac:dyDescent="0.25">
      <c r="A9213" s="2" t="s">
        <v>6594</v>
      </c>
      <c r="B9213" s="2" t="s">
        <v>903</v>
      </c>
      <c r="C9213" s="2">
        <v>3</v>
      </c>
      <c r="D9213" t="str">
        <f t="shared" si="143"/>
        <v>US-2017-132675_OFF-AR-10000034</v>
      </c>
      <c r="E9213" t="str">
        <f>IF(COUNTIF(data2!$D:$D,D9213)=0,"Missing in Data2","Present")</f>
        <v>Present</v>
      </c>
    </row>
    <row r="9214" spans="1:5" x14ac:dyDescent="0.25">
      <c r="A9214" s="2" t="s">
        <v>6594</v>
      </c>
      <c r="B9214" s="2" t="s">
        <v>2841</v>
      </c>
      <c r="C9214" s="2">
        <v>4</v>
      </c>
      <c r="D9214" t="str">
        <f t="shared" si="143"/>
        <v>US-2017-132675_OFF-AR-10000614</v>
      </c>
      <c r="E9214" t="str">
        <f>IF(COUNTIF(data2!$D:$D,D9214)=0,"Missing in Data2","Present")</f>
        <v>Present</v>
      </c>
    </row>
    <row r="9215" spans="1:5" x14ac:dyDescent="0.25">
      <c r="A9215" s="2" t="s">
        <v>6594</v>
      </c>
      <c r="B9215" s="2" t="s">
        <v>1849</v>
      </c>
      <c r="C9215" s="2">
        <v>5</v>
      </c>
      <c r="D9215" t="str">
        <f t="shared" si="143"/>
        <v>US-2017-132675_OFF-LA-10003766</v>
      </c>
      <c r="E9215" t="str">
        <f>IF(COUNTIF(data2!$D:$D,D9215)=0,"Missing in Data2","Present")</f>
        <v>Present</v>
      </c>
    </row>
    <row r="9216" spans="1:5" x14ac:dyDescent="0.25">
      <c r="A9216" s="2" t="s">
        <v>6594</v>
      </c>
      <c r="B9216" s="2" t="s">
        <v>45</v>
      </c>
      <c r="C9216" s="2">
        <v>1</v>
      </c>
      <c r="D9216" t="str">
        <f t="shared" si="143"/>
        <v>US-2017-132675_OFF-ST-10004950</v>
      </c>
      <c r="E9216" t="str">
        <f>IF(COUNTIF(data2!$D:$D,D9216)=0,"Missing in Data2","Present")</f>
        <v>Present</v>
      </c>
    </row>
    <row r="9217" spans="1:5" x14ac:dyDescent="0.25">
      <c r="A9217" s="2" t="s">
        <v>6594</v>
      </c>
      <c r="B9217" s="2" t="s">
        <v>1288</v>
      </c>
      <c r="C9217" s="2">
        <v>2</v>
      </c>
      <c r="D9217" t="str">
        <f t="shared" si="143"/>
        <v>US-2017-132675_TEC-PH-10003171</v>
      </c>
      <c r="E9217" t="str">
        <f>IF(COUNTIF(data2!$D:$D,D9217)=0,"Missing in Data2","Present")</f>
        <v>Present</v>
      </c>
    </row>
    <row r="9218" spans="1:5" x14ac:dyDescent="0.25">
      <c r="A9218" s="2" t="s">
        <v>6595</v>
      </c>
      <c r="B9218" s="2" t="s">
        <v>301</v>
      </c>
      <c r="C9218" s="2">
        <v>7</v>
      </c>
      <c r="D9218" t="str">
        <f t="shared" si="143"/>
        <v>US-2017-132927_OFF-BI-10001116</v>
      </c>
      <c r="E9218" t="str">
        <f>IF(COUNTIF(data2!$D:$D,D9218)=0,"Missing in Data2","Present")</f>
        <v>Present</v>
      </c>
    </row>
    <row r="9219" spans="1:5" x14ac:dyDescent="0.25">
      <c r="A9219" s="2" t="s">
        <v>6596</v>
      </c>
      <c r="B9219" s="2" t="s">
        <v>4103</v>
      </c>
      <c r="C9219" s="2">
        <v>1</v>
      </c>
      <c r="D9219" t="str">
        <f t="shared" ref="D9219:D9282" si="144">A9219&amp;"_"&amp;B9219</f>
        <v>US-2017-133081_FUR-FU-10001379</v>
      </c>
      <c r="E9219" t="str">
        <f>IF(COUNTIF(data2!$D:$D,D9219)=0,"Missing in Data2","Present")</f>
        <v>Present</v>
      </c>
    </row>
    <row r="9220" spans="1:5" x14ac:dyDescent="0.25">
      <c r="A9220" s="2" t="s">
        <v>6596</v>
      </c>
      <c r="B9220" s="2" t="s">
        <v>1779</v>
      </c>
      <c r="C9220" s="2">
        <v>4</v>
      </c>
      <c r="D9220" t="str">
        <f t="shared" si="144"/>
        <v>US-2017-133081_TEC-AC-10001772</v>
      </c>
      <c r="E9220" t="str">
        <f>IF(COUNTIF(data2!$D:$D,D9220)=0,"Missing in Data2","Present")</f>
        <v>Present</v>
      </c>
    </row>
    <row r="9221" spans="1:5" x14ac:dyDescent="0.25">
      <c r="A9221" s="2" t="s">
        <v>6597</v>
      </c>
      <c r="B9221" s="2" t="s">
        <v>1306</v>
      </c>
      <c r="C9221" s="2">
        <v>7</v>
      </c>
      <c r="D9221" t="str">
        <f t="shared" si="144"/>
        <v>US-2017-133200_FUR-BO-10001601</v>
      </c>
      <c r="E9221" t="str">
        <f>IF(COUNTIF(data2!$D:$D,D9221)=0,"Missing in Data2","Present")</f>
        <v>Present</v>
      </c>
    </row>
    <row r="9222" spans="1:5" x14ac:dyDescent="0.25">
      <c r="A9222" s="2" t="s">
        <v>6597</v>
      </c>
      <c r="B9222" s="2" t="s">
        <v>403</v>
      </c>
      <c r="C9222" s="2">
        <v>10</v>
      </c>
      <c r="D9222" t="str">
        <f t="shared" si="144"/>
        <v>US-2017-133200_OFF-BI-10002827</v>
      </c>
      <c r="E9222" t="str">
        <f>IF(COUNTIF(data2!$D:$D,D9222)=0,"Missing in Data2","Present")</f>
        <v>Present</v>
      </c>
    </row>
    <row r="9223" spans="1:5" x14ac:dyDescent="0.25">
      <c r="A9223" s="2" t="s">
        <v>6597</v>
      </c>
      <c r="B9223" s="2" t="s">
        <v>342</v>
      </c>
      <c r="C9223" s="2">
        <v>5</v>
      </c>
      <c r="D9223" t="str">
        <f t="shared" si="144"/>
        <v>US-2017-133200_OFF-ST-10001932</v>
      </c>
      <c r="E9223" t="str">
        <f>IF(COUNTIF(data2!$D:$D,D9223)=0,"Missing in Data2","Present")</f>
        <v>Present</v>
      </c>
    </row>
    <row r="9224" spans="1:5" x14ac:dyDescent="0.25">
      <c r="A9224" s="2" t="s">
        <v>6598</v>
      </c>
      <c r="B9224" s="2" t="s">
        <v>815</v>
      </c>
      <c r="C9224" s="2">
        <v>3</v>
      </c>
      <c r="D9224" t="str">
        <f t="shared" si="144"/>
        <v>US-2017-133312_FUR-BO-10002213</v>
      </c>
      <c r="E9224" t="str">
        <f>IF(COUNTIF(data2!$D:$D,D9224)=0,"Missing in Data2","Present")</f>
        <v>Present</v>
      </c>
    </row>
    <row r="9225" spans="1:5" x14ac:dyDescent="0.25">
      <c r="A9225" s="2" t="s">
        <v>6598</v>
      </c>
      <c r="B9225" s="2" t="s">
        <v>2467</v>
      </c>
      <c r="C9225" s="2">
        <v>1</v>
      </c>
      <c r="D9225" t="str">
        <f t="shared" si="144"/>
        <v>US-2017-133312_OFF-ST-10001325</v>
      </c>
      <c r="E9225" t="str">
        <f>IF(COUNTIF(data2!$D:$D,D9225)=0,"Missing in Data2","Present")</f>
        <v>Present</v>
      </c>
    </row>
    <row r="9226" spans="1:5" x14ac:dyDescent="0.25">
      <c r="A9226" s="2" t="s">
        <v>6599</v>
      </c>
      <c r="B9226" s="2" t="s">
        <v>1766</v>
      </c>
      <c r="C9226" s="2">
        <v>2</v>
      </c>
      <c r="D9226" t="str">
        <f t="shared" si="144"/>
        <v>US-2017-133361_FUR-CH-10003298</v>
      </c>
      <c r="E9226" t="str">
        <f>IF(COUNTIF(data2!$D:$D,D9226)=0,"Missing in Data2","Present")</f>
        <v>Present</v>
      </c>
    </row>
    <row r="9227" spans="1:5" x14ac:dyDescent="0.25">
      <c r="A9227" s="2" t="s">
        <v>6599</v>
      </c>
      <c r="B9227" s="2" t="s">
        <v>899</v>
      </c>
      <c r="C9227" s="2">
        <v>2</v>
      </c>
      <c r="D9227" t="str">
        <f t="shared" si="144"/>
        <v>US-2017-133361_OFF-AR-10001919</v>
      </c>
      <c r="E9227" t="str">
        <f>IF(COUNTIF(data2!$D:$D,D9227)=0,"Missing in Data2","Present")</f>
        <v>Present</v>
      </c>
    </row>
    <row r="9228" spans="1:5" x14ac:dyDescent="0.25">
      <c r="A9228" s="2" t="s">
        <v>6599</v>
      </c>
      <c r="B9228" s="2" t="s">
        <v>298</v>
      </c>
      <c r="C9228" s="2">
        <v>5</v>
      </c>
      <c r="D9228" t="str">
        <f t="shared" si="144"/>
        <v>US-2017-133361_OFF-AR-10003045</v>
      </c>
      <c r="E9228" t="str">
        <f>IF(COUNTIF(data2!$D:$D,D9228)=0,"Missing in Data2","Present")</f>
        <v>Present</v>
      </c>
    </row>
    <row r="9229" spans="1:5" x14ac:dyDescent="0.25">
      <c r="A9229" s="2" t="s">
        <v>6599</v>
      </c>
      <c r="B9229" s="2" t="s">
        <v>904</v>
      </c>
      <c r="C9229" s="2">
        <v>5</v>
      </c>
      <c r="D9229" t="str">
        <f t="shared" si="144"/>
        <v>US-2017-133361_OFF-AR-10003338</v>
      </c>
      <c r="E9229" t="str">
        <f>IF(COUNTIF(data2!$D:$D,D9229)=0,"Missing in Data2","Present")</f>
        <v>Present</v>
      </c>
    </row>
    <row r="9230" spans="1:5" x14ac:dyDescent="0.25">
      <c r="A9230" s="2" t="s">
        <v>6599</v>
      </c>
      <c r="B9230" s="2" t="s">
        <v>2582</v>
      </c>
      <c r="C9230" s="2">
        <v>5</v>
      </c>
      <c r="D9230" t="str">
        <f t="shared" si="144"/>
        <v>US-2017-133361_OFF-LA-10004544</v>
      </c>
      <c r="E9230" t="str">
        <f>IF(COUNTIF(data2!$D:$D,D9230)=0,"Missing in Data2","Present")</f>
        <v>Present</v>
      </c>
    </row>
    <row r="9231" spans="1:5" x14ac:dyDescent="0.25">
      <c r="A9231" s="2" t="s">
        <v>6600</v>
      </c>
      <c r="B9231" s="2" t="s">
        <v>3246</v>
      </c>
      <c r="C9231" s="2">
        <v>7</v>
      </c>
      <c r="D9231" t="str">
        <f t="shared" si="144"/>
        <v>US-2017-134481_FUR-TA-10004915</v>
      </c>
      <c r="E9231" t="str">
        <f>IF(COUNTIF(data2!$D:$D,D9231)=0,"Missing in Data2","Present")</f>
        <v>Present</v>
      </c>
    </row>
    <row r="9232" spans="1:5" x14ac:dyDescent="0.25">
      <c r="A9232" s="2" t="s">
        <v>6601</v>
      </c>
      <c r="B9232" s="2" t="s">
        <v>1960</v>
      </c>
      <c r="C9232" s="2">
        <v>5</v>
      </c>
      <c r="D9232" t="str">
        <f t="shared" si="144"/>
        <v>US-2017-134642_FUR-BO-10004709</v>
      </c>
      <c r="E9232" t="str">
        <f>IF(COUNTIF(data2!$D:$D,D9232)=0,"Missing in Data2","Present")</f>
        <v>Present</v>
      </c>
    </row>
    <row r="9233" spans="1:5" x14ac:dyDescent="0.25">
      <c r="A9233" s="2" t="s">
        <v>6601</v>
      </c>
      <c r="B9233" s="2" t="s">
        <v>1497</v>
      </c>
      <c r="C9233" s="2">
        <v>2</v>
      </c>
      <c r="D9233" t="str">
        <f t="shared" si="144"/>
        <v>US-2017-134642_FUR-CH-10002880</v>
      </c>
      <c r="E9233" t="str">
        <f>IF(COUNTIF(data2!$D:$D,D9233)=0,"Missing in Data2","Present")</f>
        <v>Present</v>
      </c>
    </row>
    <row r="9234" spans="1:5" x14ac:dyDescent="0.25">
      <c r="A9234" s="2" t="s">
        <v>6602</v>
      </c>
      <c r="B9234" s="2" t="s">
        <v>567</v>
      </c>
      <c r="C9234" s="2">
        <v>5</v>
      </c>
      <c r="D9234" t="str">
        <f t="shared" si="144"/>
        <v>US-2017-135013_TEC-CO-10001449</v>
      </c>
      <c r="E9234" t="str">
        <f>IF(COUNTIF(data2!$D:$D,D9234)=0,"Missing in Data2","Present")</f>
        <v>Present</v>
      </c>
    </row>
    <row r="9235" spans="1:5" x14ac:dyDescent="0.25">
      <c r="A9235" s="2" t="s">
        <v>6603</v>
      </c>
      <c r="B9235" s="2" t="s">
        <v>915</v>
      </c>
      <c r="C9235" s="2">
        <v>7</v>
      </c>
      <c r="D9235" t="str">
        <f t="shared" si="144"/>
        <v>US-2017-135062_OFF-PA-10000100</v>
      </c>
      <c r="E9235" t="str">
        <f>IF(COUNTIF(data2!$D:$D,D9235)=0,"Missing in Data2","Present")</f>
        <v>Present</v>
      </c>
    </row>
    <row r="9236" spans="1:5" x14ac:dyDescent="0.25">
      <c r="A9236" s="2" t="s">
        <v>6604</v>
      </c>
      <c r="B9236" s="2" t="s">
        <v>2352</v>
      </c>
      <c r="C9236" s="2">
        <v>1</v>
      </c>
      <c r="D9236" t="str">
        <f t="shared" si="144"/>
        <v>US-2017-135230_OFF-AR-10001166</v>
      </c>
      <c r="E9236" t="str">
        <f>IF(COUNTIF(data2!$D:$D,D9236)=0,"Missing in Data2","Present")</f>
        <v>Present</v>
      </c>
    </row>
    <row r="9237" spans="1:5" x14ac:dyDescent="0.25">
      <c r="A9237" s="2" t="s">
        <v>6605</v>
      </c>
      <c r="B9237" s="2" t="s">
        <v>1325</v>
      </c>
      <c r="C9237" s="2">
        <v>2</v>
      </c>
      <c r="D9237" t="str">
        <f t="shared" si="144"/>
        <v>US-2017-135503_FUR-FU-10002364</v>
      </c>
      <c r="E9237" t="str">
        <f>IF(COUNTIF(data2!$D:$D,D9237)=0,"Missing in Data2","Present")</f>
        <v>Present</v>
      </c>
    </row>
    <row r="9238" spans="1:5" x14ac:dyDescent="0.25">
      <c r="A9238" s="2" t="s">
        <v>6606</v>
      </c>
      <c r="B9238" s="2" t="s">
        <v>4611</v>
      </c>
      <c r="C9238" s="2">
        <v>5</v>
      </c>
      <c r="D9238" t="str">
        <f t="shared" si="144"/>
        <v>US-2017-135986_OFF-PA-10001534</v>
      </c>
      <c r="E9238" t="str">
        <f>IF(COUNTIF(data2!$D:$D,D9238)=0,"Missing in Data2","Present")</f>
        <v>Present</v>
      </c>
    </row>
    <row r="9239" spans="1:5" x14ac:dyDescent="0.25">
      <c r="A9239" s="2" t="s">
        <v>6606</v>
      </c>
      <c r="B9239" s="2" t="s">
        <v>350</v>
      </c>
      <c r="C9239" s="2">
        <v>4</v>
      </c>
      <c r="D9239" t="str">
        <f t="shared" si="144"/>
        <v>US-2017-135986_TEC-PH-10003691</v>
      </c>
      <c r="E9239" t="str">
        <f>IF(COUNTIF(data2!$D:$D,D9239)=0,"Missing in Data2","Present")</f>
        <v>Present</v>
      </c>
    </row>
    <row r="9240" spans="1:5" x14ac:dyDescent="0.25">
      <c r="A9240" s="2" t="s">
        <v>6607</v>
      </c>
      <c r="B9240" s="2" t="s">
        <v>4530</v>
      </c>
      <c r="C9240" s="2">
        <v>6</v>
      </c>
      <c r="D9240" t="str">
        <f t="shared" si="144"/>
        <v>US-2017-136189_FUR-FU-10000175</v>
      </c>
      <c r="E9240" t="str">
        <f>IF(COUNTIF(data2!$D:$D,D9240)=0,"Missing in Data2","Present")</f>
        <v>Present</v>
      </c>
    </row>
    <row r="9241" spans="1:5" x14ac:dyDescent="0.25">
      <c r="A9241" s="2" t="s">
        <v>6608</v>
      </c>
      <c r="B9241" s="2" t="s">
        <v>2183</v>
      </c>
      <c r="C9241" s="2">
        <v>2</v>
      </c>
      <c r="D9241" t="str">
        <f t="shared" si="144"/>
        <v>US-2017-136679_OFF-AR-10003582</v>
      </c>
      <c r="E9241" t="str">
        <f>IF(COUNTIF(data2!$D:$D,D9241)=0,"Missing in Data2","Present")</f>
        <v>Present</v>
      </c>
    </row>
    <row r="9242" spans="1:5" x14ac:dyDescent="0.25">
      <c r="A9242" s="2" t="s">
        <v>6608</v>
      </c>
      <c r="B9242" s="2" t="s">
        <v>3648</v>
      </c>
      <c r="C9242" s="2">
        <v>6</v>
      </c>
      <c r="D9242" t="str">
        <f t="shared" si="144"/>
        <v>US-2017-136679_TEC-AC-10004855</v>
      </c>
      <c r="E9242" t="str">
        <f>IF(COUNTIF(data2!$D:$D,D9242)=0,"Missing in Data2","Present")</f>
        <v>Present</v>
      </c>
    </row>
    <row r="9243" spans="1:5" x14ac:dyDescent="0.25">
      <c r="A9243" s="2" t="s">
        <v>6609</v>
      </c>
      <c r="B9243" s="2" t="s">
        <v>2342</v>
      </c>
      <c r="C9243" s="2">
        <v>4</v>
      </c>
      <c r="D9243" t="str">
        <f t="shared" si="144"/>
        <v>US-2017-136707_OFF-BI-10003460</v>
      </c>
      <c r="E9243" t="str">
        <f>IF(COUNTIF(data2!$D:$D,D9243)=0,"Missing in Data2","Present")</f>
        <v>Present</v>
      </c>
    </row>
    <row r="9244" spans="1:5" x14ac:dyDescent="0.25">
      <c r="A9244" s="2" t="s">
        <v>6610</v>
      </c>
      <c r="B9244" s="2" t="s">
        <v>1357</v>
      </c>
      <c r="C9244" s="2">
        <v>3</v>
      </c>
      <c r="D9244" t="str">
        <f t="shared" si="144"/>
        <v>US-2017-136721_FUR-FU-10004188</v>
      </c>
      <c r="E9244" t="str">
        <f>IF(COUNTIF(data2!$D:$D,D9244)=0,"Missing in Data2","Present")</f>
        <v>Present</v>
      </c>
    </row>
    <row r="9245" spans="1:5" x14ac:dyDescent="0.25">
      <c r="A9245" s="2" t="s">
        <v>6610</v>
      </c>
      <c r="B9245" s="2" t="s">
        <v>973</v>
      </c>
      <c r="C9245" s="2">
        <v>2</v>
      </c>
      <c r="D9245" t="str">
        <f t="shared" si="144"/>
        <v>US-2017-136721_FUR-FU-10004665</v>
      </c>
      <c r="E9245" t="str">
        <f>IF(COUNTIF(data2!$D:$D,D9245)=0,"Missing in Data2","Present")</f>
        <v>Present</v>
      </c>
    </row>
    <row r="9246" spans="1:5" x14ac:dyDescent="0.25">
      <c r="A9246" s="2" t="s">
        <v>6611</v>
      </c>
      <c r="B9246" s="2" t="s">
        <v>1670</v>
      </c>
      <c r="C9246" s="2">
        <v>4</v>
      </c>
      <c r="D9246" t="str">
        <f t="shared" si="144"/>
        <v>US-2017-136784_OFF-PA-10000675</v>
      </c>
      <c r="E9246" t="str">
        <f>IF(COUNTIF(data2!$D:$D,D9246)=0,"Missing in Data2","Present")</f>
        <v>Missing in Data2</v>
      </c>
    </row>
    <row r="9247" spans="1:5" x14ac:dyDescent="0.25">
      <c r="A9247" s="2" t="s">
        <v>6612</v>
      </c>
      <c r="B9247" s="2" t="s">
        <v>592</v>
      </c>
      <c r="C9247" s="2">
        <v>3</v>
      </c>
      <c r="D9247" t="str">
        <f t="shared" si="144"/>
        <v>US-2017-136868_OFF-PA-10002377</v>
      </c>
      <c r="E9247" t="str">
        <f>IF(COUNTIF(data2!$D:$D,D9247)=0,"Missing in Data2","Present")</f>
        <v>Present</v>
      </c>
    </row>
    <row r="9248" spans="1:5" x14ac:dyDescent="0.25">
      <c r="A9248" s="2" t="s">
        <v>6612</v>
      </c>
      <c r="B9248" s="2" t="s">
        <v>632</v>
      </c>
      <c r="C9248" s="2">
        <v>3</v>
      </c>
      <c r="D9248" t="str">
        <f t="shared" si="144"/>
        <v>US-2017-136868_OFF-ST-10000991</v>
      </c>
      <c r="E9248" t="str">
        <f>IF(COUNTIF(data2!$D:$D,D9248)=0,"Missing in Data2","Present")</f>
        <v>Present</v>
      </c>
    </row>
    <row r="9249" spans="1:5" x14ac:dyDescent="0.25">
      <c r="A9249" s="2" t="s">
        <v>6612</v>
      </c>
      <c r="B9249" s="2" t="s">
        <v>1217</v>
      </c>
      <c r="C9249" s="2">
        <v>4</v>
      </c>
      <c r="D9249" t="str">
        <f t="shared" si="144"/>
        <v>US-2017-136868_TEC-AC-10001539</v>
      </c>
      <c r="E9249" t="str">
        <f>IF(COUNTIF(data2!$D:$D,D9249)=0,"Missing in Data2","Present")</f>
        <v>Present</v>
      </c>
    </row>
    <row r="9250" spans="1:5" x14ac:dyDescent="0.25">
      <c r="A9250" s="2" t="s">
        <v>6613</v>
      </c>
      <c r="B9250" s="2" t="s">
        <v>62</v>
      </c>
      <c r="C9250" s="2">
        <v>2</v>
      </c>
      <c r="D9250" t="str">
        <f t="shared" si="144"/>
        <v>US-2017-137491_FUR-CH-10004675</v>
      </c>
      <c r="E9250" t="str">
        <f>IF(COUNTIF(data2!$D:$D,D9250)=0,"Missing in Data2","Present")</f>
        <v>Present</v>
      </c>
    </row>
    <row r="9251" spans="1:5" x14ac:dyDescent="0.25">
      <c r="A9251" s="2" t="s">
        <v>6614</v>
      </c>
      <c r="B9251" s="2" t="s">
        <v>5459</v>
      </c>
      <c r="C9251" s="2">
        <v>3</v>
      </c>
      <c r="D9251" t="str">
        <f t="shared" si="144"/>
        <v>US-2017-138086_OFF-AP-10000027</v>
      </c>
      <c r="E9251" t="str">
        <f>IF(COUNTIF(data2!$D:$D,D9251)=0,"Missing in Data2","Present")</f>
        <v>Present</v>
      </c>
    </row>
    <row r="9252" spans="1:5" x14ac:dyDescent="0.25">
      <c r="A9252" s="2" t="s">
        <v>6615</v>
      </c>
      <c r="B9252" s="2" t="s">
        <v>546</v>
      </c>
      <c r="C9252" s="2">
        <v>6</v>
      </c>
      <c r="D9252" t="str">
        <f t="shared" si="144"/>
        <v>US-2017-139465_OFF-BI-10003910</v>
      </c>
      <c r="E9252" t="str">
        <f>IF(COUNTIF(data2!$D:$D,D9252)=0,"Missing in Data2","Present")</f>
        <v>Present</v>
      </c>
    </row>
    <row r="9253" spans="1:5" x14ac:dyDescent="0.25">
      <c r="A9253" s="2" t="s">
        <v>6615</v>
      </c>
      <c r="B9253" s="2" t="s">
        <v>1579</v>
      </c>
      <c r="C9253" s="2">
        <v>8</v>
      </c>
      <c r="D9253" t="str">
        <f t="shared" si="144"/>
        <v>US-2017-139465_OFF-ST-10002352</v>
      </c>
      <c r="E9253" t="str">
        <f>IF(COUNTIF(data2!$D:$D,D9253)=0,"Missing in Data2","Present")</f>
        <v>Present</v>
      </c>
    </row>
    <row r="9254" spans="1:5" x14ac:dyDescent="0.25">
      <c r="A9254" s="2" t="s">
        <v>6615</v>
      </c>
      <c r="B9254" s="2" t="s">
        <v>767</v>
      </c>
      <c r="C9254" s="2">
        <v>3</v>
      </c>
      <c r="D9254" t="str">
        <f t="shared" si="144"/>
        <v>US-2017-139465_TEC-PH-10000455</v>
      </c>
      <c r="E9254" t="str">
        <f>IF(COUNTIF(data2!$D:$D,D9254)=0,"Missing in Data2","Present")</f>
        <v>Present</v>
      </c>
    </row>
    <row r="9255" spans="1:5" x14ac:dyDescent="0.25">
      <c r="A9255" s="2" t="s">
        <v>6616</v>
      </c>
      <c r="B9255" s="2" t="s">
        <v>2373</v>
      </c>
      <c r="C9255" s="2">
        <v>5</v>
      </c>
      <c r="D9255" t="str">
        <f t="shared" si="144"/>
        <v>US-2017-139577_TEC-AC-10004708</v>
      </c>
      <c r="E9255" t="str">
        <f>IF(COUNTIF(data2!$D:$D,D9255)=0,"Missing in Data2","Present")</f>
        <v>Present</v>
      </c>
    </row>
    <row r="9256" spans="1:5" x14ac:dyDescent="0.25">
      <c r="A9256" s="2" t="s">
        <v>6617</v>
      </c>
      <c r="B9256" s="2" t="s">
        <v>489</v>
      </c>
      <c r="C9256" s="2">
        <v>7</v>
      </c>
      <c r="D9256" t="str">
        <f t="shared" si="144"/>
        <v>US-2017-139647_FUR-BO-10004467</v>
      </c>
      <c r="E9256" t="str">
        <f>IF(COUNTIF(data2!$D:$D,D9256)=0,"Missing in Data2","Present")</f>
        <v>Present</v>
      </c>
    </row>
    <row r="9257" spans="1:5" x14ac:dyDescent="0.25">
      <c r="A9257" s="2" t="s">
        <v>6618</v>
      </c>
      <c r="B9257" s="2" t="s">
        <v>2150</v>
      </c>
      <c r="C9257" s="2">
        <v>1</v>
      </c>
      <c r="D9257" t="str">
        <f t="shared" si="144"/>
        <v>US-2017-139955_OFF-SU-10001935</v>
      </c>
      <c r="E9257" t="str">
        <f>IF(COUNTIF(data2!$D:$D,D9257)=0,"Missing in Data2","Present")</f>
        <v>Present</v>
      </c>
    </row>
    <row r="9258" spans="1:5" x14ac:dyDescent="0.25">
      <c r="A9258" s="2" t="s">
        <v>6619</v>
      </c>
      <c r="B9258" s="2" t="s">
        <v>2314</v>
      </c>
      <c r="C9258" s="2">
        <v>3</v>
      </c>
      <c r="D9258" t="str">
        <f t="shared" si="144"/>
        <v>US-2017-139969_FUR-CH-10001973</v>
      </c>
      <c r="E9258" t="str">
        <f>IF(COUNTIF(data2!$D:$D,D9258)=0,"Missing in Data2","Present")</f>
        <v>Present</v>
      </c>
    </row>
    <row r="9259" spans="1:5" x14ac:dyDescent="0.25">
      <c r="A9259" s="2" t="s">
        <v>6620</v>
      </c>
      <c r="B9259" s="2" t="s">
        <v>4663</v>
      </c>
      <c r="C9259" s="2">
        <v>6</v>
      </c>
      <c r="D9259" t="str">
        <f t="shared" si="144"/>
        <v>US-2017-140074_OFF-PA-10002741</v>
      </c>
      <c r="E9259" t="str">
        <f>IF(COUNTIF(data2!$D:$D,D9259)=0,"Missing in Data2","Present")</f>
        <v>Present</v>
      </c>
    </row>
    <row r="9260" spans="1:5" x14ac:dyDescent="0.25">
      <c r="A9260" s="2" t="s">
        <v>6621</v>
      </c>
      <c r="B9260" s="2" t="s">
        <v>3626</v>
      </c>
      <c r="C9260" s="2">
        <v>5</v>
      </c>
      <c r="D9260" t="str">
        <f t="shared" si="144"/>
        <v>US-2017-140312_TEC-PH-10003442</v>
      </c>
      <c r="E9260" t="str">
        <f>IF(COUNTIF(data2!$D:$D,D9260)=0,"Missing in Data2","Present")</f>
        <v>Present</v>
      </c>
    </row>
    <row r="9261" spans="1:5" x14ac:dyDescent="0.25">
      <c r="A9261" s="2" t="s">
        <v>6622</v>
      </c>
      <c r="B9261" s="2" t="s">
        <v>5663</v>
      </c>
      <c r="C9261" s="2">
        <v>3</v>
      </c>
      <c r="D9261" t="str">
        <f t="shared" si="144"/>
        <v>US-2017-140907_OFF-AR-10000799</v>
      </c>
      <c r="E9261" t="str">
        <f>IF(COUNTIF(data2!$D:$D,D9261)=0,"Missing in Data2","Present")</f>
        <v>Present</v>
      </c>
    </row>
    <row r="9262" spans="1:5" x14ac:dyDescent="0.25">
      <c r="A9262" s="2" t="s">
        <v>6622</v>
      </c>
      <c r="B9262" s="2" t="s">
        <v>2918</v>
      </c>
      <c r="C9262" s="2">
        <v>5</v>
      </c>
      <c r="D9262" t="str">
        <f t="shared" si="144"/>
        <v>US-2017-140907_OFF-ST-10000060</v>
      </c>
      <c r="E9262" t="str">
        <f>IF(COUNTIF(data2!$D:$D,D9262)=0,"Missing in Data2","Present")</f>
        <v>Present</v>
      </c>
    </row>
    <row r="9263" spans="1:5" x14ac:dyDescent="0.25">
      <c r="A9263" s="2" t="s">
        <v>6622</v>
      </c>
      <c r="B9263" s="2" t="s">
        <v>676</v>
      </c>
      <c r="C9263" s="2">
        <v>3</v>
      </c>
      <c r="D9263" t="str">
        <f t="shared" si="144"/>
        <v>US-2017-140907_TEC-AC-10004510</v>
      </c>
      <c r="E9263" t="str">
        <f>IF(COUNTIF(data2!$D:$D,D9263)=0,"Missing in Data2","Present")</f>
        <v>Present</v>
      </c>
    </row>
    <row r="9264" spans="1:5" x14ac:dyDescent="0.25">
      <c r="A9264" s="2" t="s">
        <v>6623</v>
      </c>
      <c r="B9264" s="2" t="s">
        <v>585</v>
      </c>
      <c r="C9264" s="2">
        <v>5</v>
      </c>
      <c r="D9264" t="str">
        <f t="shared" si="144"/>
        <v>US-2017-141509_OFF-AR-10002067</v>
      </c>
      <c r="E9264" t="str">
        <f>IF(COUNTIF(data2!$D:$D,D9264)=0,"Missing in Data2","Present")</f>
        <v>Present</v>
      </c>
    </row>
    <row r="9265" spans="1:5" x14ac:dyDescent="0.25">
      <c r="A9265" s="2" t="s">
        <v>6624</v>
      </c>
      <c r="B9265" s="2" t="s">
        <v>1100</v>
      </c>
      <c r="C9265" s="2">
        <v>3</v>
      </c>
      <c r="D9265" t="str">
        <f t="shared" si="144"/>
        <v>US-2017-141558_FUR-TA-10004086</v>
      </c>
      <c r="E9265" t="str">
        <f>IF(COUNTIF(data2!$D:$D,D9265)=0,"Missing in Data2","Present")</f>
        <v>Present</v>
      </c>
    </row>
    <row r="9266" spans="1:5" x14ac:dyDescent="0.25">
      <c r="A9266" s="2" t="s">
        <v>6624</v>
      </c>
      <c r="B9266" s="2" t="s">
        <v>1483</v>
      </c>
      <c r="C9266" s="2">
        <v>1</v>
      </c>
      <c r="D9266" t="str">
        <f t="shared" si="144"/>
        <v>US-2017-141558_OFF-BI-10002794</v>
      </c>
      <c r="E9266" t="str">
        <f>IF(COUNTIF(data2!$D:$D,D9266)=0,"Missing in Data2","Present")</f>
        <v>Present</v>
      </c>
    </row>
    <row r="9267" spans="1:5" x14ac:dyDescent="0.25">
      <c r="A9267" s="2" t="s">
        <v>6624</v>
      </c>
      <c r="B9267" s="2" t="s">
        <v>1354</v>
      </c>
      <c r="C9267" s="2">
        <v>1</v>
      </c>
      <c r="D9267" t="str">
        <f t="shared" si="144"/>
        <v>US-2017-141558_OFF-ST-10004946</v>
      </c>
      <c r="E9267" t="str">
        <f>IF(COUNTIF(data2!$D:$D,D9267)=0,"Missing in Data2","Present")</f>
        <v>Present</v>
      </c>
    </row>
    <row r="9268" spans="1:5" x14ac:dyDescent="0.25">
      <c r="A9268" s="2" t="s">
        <v>6624</v>
      </c>
      <c r="B9268" s="2" t="s">
        <v>3146</v>
      </c>
      <c r="C9268" s="2">
        <v>5</v>
      </c>
      <c r="D9268" t="str">
        <f t="shared" si="144"/>
        <v>US-2017-141558_TEC-PH-10002555</v>
      </c>
      <c r="E9268" t="str">
        <f>IF(COUNTIF(data2!$D:$D,D9268)=0,"Missing in Data2","Present")</f>
        <v>Present</v>
      </c>
    </row>
    <row r="9269" spans="1:5" x14ac:dyDescent="0.25">
      <c r="A9269" s="2" t="s">
        <v>6625</v>
      </c>
      <c r="B9269" s="2" t="s">
        <v>2238</v>
      </c>
      <c r="C9269" s="2">
        <v>8</v>
      </c>
      <c r="D9269" t="str">
        <f t="shared" si="144"/>
        <v>US-2017-141677_OFF-AP-10001205</v>
      </c>
      <c r="E9269" t="str">
        <f>IF(COUNTIF(data2!$D:$D,D9269)=0,"Missing in Data2","Present")</f>
        <v>Present</v>
      </c>
    </row>
    <row r="9270" spans="1:5" x14ac:dyDescent="0.25">
      <c r="A9270" s="2" t="s">
        <v>6625</v>
      </c>
      <c r="B9270" s="2" t="s">
        <v>1376</v>
      </c>
      <c r="C9270" s="2">
        <v>3</v>
      </c>
      <c r="D9270" t="str">
        <f t="shared" si="144"/>
        <v>US-2017-141677_OFF-PA-10002581</v>
      </c>
      <c r="E9270" t="str">
        <f>IF(COUNTIF(data2!$D:$D,D9270)=0,"Missing in Data2","Present")</f>
        <v>Present</v>
      </c>
    </row>
    <row r="9271" spans="1:5" x14ac:dyDescent="0.25">
      <c r="A9271" s="2" t="s">
        <v>6625</v>
      </c>
      <c r="B9271" s="2" t="s">
        <v>2556</v>
      </c>
      <c r="C9271" s="2">
        <v>3</v>
      </c>
      <c r="D9271" t="str">
        <f t="shared" si="144"/>
        <v>US-2017-141677_OFF-ST-10000344</v>
      </c>
      <c r="E9271" t="str">
        <f>IF(COUNTIF(data2!$D:$D,D9271)=0,"Missing in Data2","Present")</f>
        <v>Present</v>
      </c>
    </row>
    <row r="9272" spans="1:5" x14ac:dyDescent="0.25">
      <c r="A9272" s="2" t="s">
        <v>6625</v>
      </c>
      <c r="B9272" s="2" t="s">
        <v>2371</v>
      </c>
      <c r="C9272" s="2">
        <v>5</v>
      </c>
      <c r="D9272" t="str">
        <f t="shared" si="144"/>
        <v>US-2017-141677_TEC-AC-10000158</v>
      </c>
      <c r="E9272" t="str">
        <f>IF(COUNTIF(data2!$D:$D,D9272)=0,"Missing in Data2","Present")</f>
        <v>Present</v>
      </c>
    </row>
    <row r="9273" spans="1:5" x14ac:dyDescent="0.25">
      <c r="A9273" s="2" t="s">
        <v>6625</v>
      </c>
      <c r="B9273" s="2" t="s">
        <v>3011</v>
      </c>
      <c r="C9273" s="2">
        <v>5</v>
      </c>
      <c r="D9273" t="str">
        <f t="shared" si="144"/>
        <v>US-2017-141677_TEC-CO-10002313</v>
      </c>
      <c r="E9273" t="str">
        <f>IF(COUNTIF(data2!$D:$D,D9273)=0,"Missing in Data2","Present")</f>
        <v>Present</v>
      </c>
    </row>
    <row r="9274" spans="1:5" x14ac:dyDescent="0.25">
      <c r="A9274" s="2" t="s">
        <v>6626</v>
      </c>
      <c r="B9274" s="2" t="s">
        <v>6627</v>
      </c>
      <c r="C9274" s="2">
        <v>4</v>
      </c>
      <c r="D9274" t="str">
        <f t="shared" si="144"/>
        <v>US-2017-141698_OFF-PA-10001826</v>
      </c>
      <c r="E9274" t="str">
        <f>IF(COUNTIF(data2!$D:$D,D9274)=0,"Missing in Data2","Present")</f>
        <v>Present</v>
      </c>
    </row>
    <row r="9275" spans="1:5" x14ac:dyDescent="0.25">
      <c r="A9275" s="2" t="s">
        <v>6628</v>
      </c>
      <c r="B9275" s="2" t="s">
        <v>1324</v>
      </c>
      <c r="C9275" s="2">
        <v>8</v>
      </c>
      <c r="D9275" t="str">
        <f t="shared" si="144"/>
        <v>US-2017-141852_FUR-FU-10000023</v>
      </c>
      <c r="E9275" t="str">
        <f>IF(COUNTIF(data2!$D:$D,D9275)=0,"Missing in Data2","Present")</f>
        <v>Present</v>
      </c>
    </row>
    <row r="9276" spans="1:5" x14ac:dyDescent="0.25">
      <c r="A9276" s="2" t="s">
        <v>6629</v>
      </c>
      <c r="B9276" s="2" t="s">
        <v>2190</v>
      </c>
      <c r="C9276" s="2">
        <v>2</v>
      </c>
      <c r="D9276" t="str">
        <f t="shared" si="144"/>
        <v>US-2017-142188_FUR-CH-10003199</v>
      </c>
      <c r="E9276" t="str">
        <f>IF(COUNTIF(data2!$D:$D,D9276)=0,"Missing in Data2","Present")</f>
        <v>Present</v>
      </c>
    </row>
    <row r="9277" spans="1:5" x14ac:dyDescent="0.25">
      <c r="A9277" s="2" t="s">
        <v>6629</v>
      </c>
      <c r="B9277" s="2" t="s">
        <v>113</v>
      </c>
      <c r="C9277" s="2">
        <v>5</v>
      </c>
      <c r="D9277" t="str">
        <f t="shared" si="144"/>
        <v>US-2017-142188_OFF-BI-10004600</v>
      </c>
      <c r="E9277" t="str">
        <f>IF(COUNTIF(data2!$D:$D,D9277)=0,"Missing in Data2","Present")</f>
        <v>Present</v>
      </c>
    </row>
    <row r="9278" spans="1:5" x14ac:dyDescent="0.25">
      <c r="A9278" s="2" t="s">
        <v>6629</v>
      </c>
      <c r="B9278" s="2" t="s">
        <v>572</v>
      </c>
      <c r="C9278" s="2">
        <v>3</v>
      </c>
      <c r="D9278" t="str">
        <f t="shared" si="144"/>
        <v>US-2017-142188_OFF-PA-10002005</v>
      </c>
      <c r="E9278" t="str">
        <f>IF(COUNTIF(data2!$D:$D,D9278)=0,"Missing in Data2","Present")</f>
        <v>Present</v>
      </c>
    </row>
    <row r="9279" spans="1:5" x14ac:dyDescent="0.25">
      <c r="A9279" s="2" t="s">
        <v>6629</v>
      </c>
      <c r="B9279" s="2" t="s">
        <v>2051</v>
      </c>
      <c r="C9279" s="2">
        <v>11</v>
      </c>
      <c r="D9279" t="str">
        <f t="shared" si="144"/>
        <v>US-2017-142188_OFF-PA-10004101</v>
      </c>
      <c r="E9279" t="str">
        <f>IF(COUNTIF(data2!$D:$D,D9279)=0,"Missing in Data2","Present")</f>
        <v>Present</v>
      </c>
    </row>
    <row r="9280" spans="1:5" x14ac:dyDescent="0.25">
      <c r="A9280" s="2" t="s">
        <v>6629</v>
      </c>
      <c r="B9280" s="2" t="s">
        <v>4514</v>
      </c>
      <c r="C9280" s="2">
        <v>5</v>
      </c>
      <c r="D9280" t="str">
        <f t="shared" si="144"/>
        <v>US-2017-142188_TEC-PH-10000127</v>
      </c>
      <c r="E9280" t="str">
        <f>IF(COUNTIF(data2!$D:$D,D9280)=0,"Missing in Data2","Present")</f>
        <v>Present</v>
      </c>
    </row>
    <row r="9281" spans="1:5" x14ac:dyDescent="0.25">
      <c r="A9281" s="2" t="s">
        <v>6630</v>
      </c>
      <c r="B9281" s="2" t="s">
        <v>665</v>
      </c>
      <c r="C9281" s="2">
        <v>3</v>
      </c>
      <c r="D9281" t="str">
        <f t="shared" si="144"/>
        <v>US-2017-142573_FUR-CH-10000513</v>
      </c>
      <c r="E9281" t="str">
        <f>IF(COUNTIF(data2!$D:$D,D9281)=0,"Missing in Data2","Present")</f>
        <v>Present</v>
      </c>
    </row>
    <row r="9282" spans="1:5" x14ac:dyDescent="0.25">
      <c r="A9282" s="2" t="s">
        <v>6630</v>
      </c>
      <c r="B9282" s="2" t="s">
        <v>1050</v>
      </c>
      <c r="C9282" s="2">
        <v>2</v>
      </c>
      <c r="D9282" t="str">
        <f t="shared" si="144"/>
        <v>US-2017-142573_FUR-CH-10004218</v>
      </c>
      <c r="E9282" t="str">
        <f>IF(COUNTIF(data2!$D:$D,D9282)=0,"Missing in Data2","Present")</f>
        <v>Present</v>
      </c>
    </row>
    <row r="9283" spans="1:5" x14ac:dyDescent="0.25">
      <c r="A9283" s="2" t="s">
        <v>6630</v>
      </c>
      <c r="B9283" s="2" t="s">
        <v>1116</v>
      </c>
      <c r="C9283" s="2">
        <v>5</v>
      </c>
      <c r="D9283" t="str">
        <f t="shared" ref="D9283:D9346" si="145">A9283&amp;"_"&amp;B9283</f>
        <v>US-2017-142573_FUR-TA-10001932</v>
      </c>
      <c r="E9283" t="str">
        <f>IF(COUNTIF(data2!$D:$D,D9283)=0,"Missing in Data2","Present")</f>
        <v>Missing in Data2</v>
      </c>
    </row>
    <row r="9284" spans="1:5" x14ac:dyDescent="0.25">
      <c r="A9284" s="2" t="s">
        <v>6630</v>
      </c>
      <c r="B9284" s="2" t="s">
        <v>413</v>
      </c>
      <c r="C9284" s="2">
        <v>4</v>
      </c>
      <c r="D9284" t="str">
        <f t="shared" si="145"/>
        <v>US-2017-142573_OFF-BI-10003350</v>
      </c>
      <c r="E9284" t="str">
        <f>IF(COUNTIF(data2!$D:$D,D9284)=0,"Missing in Data2","Present")</f>
        <v>Present</v>
      </c>
    </row>
    <row r="9285" spans="1:5" x14ac:dyDescent="0.25">
      <c r="A9285" s="2" t="s">
        <v>6630</v>
      </c>
      <c r="B9285" s="2" t="s">
        <v>503</v>
      </c>
      <c r="C9285" s="2">
        <v>2</v>
      </c>
      <c r="D9285" t="str">
        <f t="shared" si="145"/>
        <v>US-2017-142573_OFF-PA-10000246</v>
      </c>
      <c r="E9285" t="str">
        <f>IF(COUNTIF(data2!$D:$D,D9285)=0,"Missing in Data2","Present")</f>
        <v>Present</v>
      </c>
    </row>
    <row r="9286" spans="1:5" x14ac:dyDescent="0.25">
      <c r="A9286" s="2" t="s">
        <v>6631</v>
      </c>
      <c r="B9286" s="2" t="s">
        <v>1709</v>
      </c>
      <c r="C9286" s="2">
        <v>3</v>
      </c>
      <c r="D9286" t="str">
        <f t="shared" si="145"/>
        <v>US-2017-143028_OFF-BI-10004738</v>
      </c>
      <c r="E9286" t="str">
        <f>IF(COUNTIF(data2!$D:$D,D9286)=0,"Missing in Data2","Present")</f>
        <v>Present</v>
      </c>
    </row>
    <row r="9287" spans="1:5" x14ac:dyDescent="0.25">
      <c r="A9287" s="2" t="s">
        <v>6632</v>
      </c>
      <c r="B9287" s="2" t="s">
        <v>1465</v>
      </c>
      <c r="C9287" s="2">
        <v>3</v>
      </c>
      <c r="D9287" t="str">
        <f t="shared" si="145"/>
        <v>US-2017-143175_OFF-ST-10003123</v>
      </c>
      <c r="E9287" t="str">
        <f>IF(COUNTIF(data2!$D:$D,D9287)=0,"Missing in Data2","Present")</f>
        <v>Present</v>
      </c>
    </row>
    <row r="9288" spans="1:5" x14ac:dyDescent="0.25">
      <c r="A9288" s="2" t="s">
        <v>6633</v>
      </c>
      <c r="B9288" s="2" t="s">
        <v>781</v>
      </c>
      <c r="C9288" s="2">
        <v>2</v>
      </c>
      <c r="D9288" t="str">
        <f t="shared" si="145"/>
        <v>US-2017-143770_OFF-PA-10001125</v>
      </c>
      <c r="E9288" t="str">
        <f>IF(COUNTIF(data2!$D:$D,D9288)=0,"Missing in Data2","Present")</f>
        <v>Present</v>
      </c>
    </row>
    <row r="9289" spans="1:5" x14ac:dyDescent="0.25">
      <c r="A9289" s="2" t="s">
        <v>6633</v>
      </c>
      <c r="B9289" s="2" t="s">
        <v>345</v>
      </c>
      <c r="C9289" s="2">
        <v>2</v>
      </c>
      <c r="D9289" t="str">
        <f t="shared" si="145"/>
        <v>US-2017-143770_TEC-AC-10002842</v>
      </c>
      <c r="E9289" t="str">
        <f>IF(COUNTIF(data2!$D:$D,D9289)=0,"Missing in Data2","Present")</f>
        <v>Present</v>
      </c>
    </row>
    <row r="9290" spans="1:5" x14ac:dyDescent="0.25">
      <c r="A9290" s="2" t="s">
        <v>6634</v>
      </c>
      <c r="B9290" s="2" t="s">
        <v>539</v>
      </c>
      <c r="C9290" s="2">
        <v>7</v>
      </c>
      <c r="D9290" t="str">
        <f t="shared" si="145"/>
        <v>US-2017-144582_OFF-BI-10001575</v>
      </c>
      <c r="E9290" t="str">
        <f>IF(COUNTIF(data2!$D:$D,D9290)=0,"Missing in Data2","Present")</f>
        <v>Present</v>
      </c>
    </row>
    <row r="9291" spans="1:5" x14ac:dyDescent="0.25">
      <c r="A9291" s="2" t="s">
        <v>6635</v>
      </c>
      <c r="B9291" s="2" t="s">
        <v>3016</v>
      </c>
      <c r="C9291" s="2">
        <v>3</v>
      </c>
      <c r="D9291" t="str">
        <f t="shared" si="145"/>
        <v>US-2017-145366_OFF-EN-10004386</v>
      </c>
      <c r="E9291" t="str">
        <f>IF(COUNTIF(data2!$D:$D,D9291)=0,"Missing in Data2","Present")</f>
        <v>Present</v>
      </c>
    </row>
    <row r="9292" spans="1:5" x14ac:dyDescent="0.25">
      <c r="A9292" s="2" t="s">
        <v>6635</v>
      </c>
      <c r="B9292" s="2" t="s">
        <v>3191</v>
      </c>
      <c r="C9292" s="2">
        <v>1</v>
      </c>
      <c r="D9292" t="str">
        <f t="shared" si="145"/>
        <v>US-2017-145366_OFF-ST-10004180</v>
      </c>
      <c r="E9292" t="str">
        <f>IF(COUNTIF(data2!$D:$D,D9292)=0,"Missing in Data2","Present")</f>
        <v>Present</v>
      </c>
    </row>
    <row r="9293" spans="1:5" x14ac:dyDescent="0.25">
      <c r="A9293" s="2" t="s">
        <v>6636</v>
      </c>
      <c r="B9293" s="2" t="s">
        <v>3156</v>
      </c>
      <c r="C9293" s="2">
        <v>4</v>
      </c>
      <c r="D9293" t="str">
        <f t="shared" si="145"/>
        <v>US-2017-145597_OFF-AR-10001958</v>
      </c>
      <c r="E9293" t="str">
        <f>IF(COUNTIF(data2!$D:$D,D9293)=0,"Missing in Data2","Present")</f>
        <v>Present</v>
      </c>
    </row>
    <row r="9294" spans="1:5" x14ac:dyDescent="0.25">
      <c r="A9294" s="2" t="s">
        <v>6637</v>
      </c>
      <c r="B9294" s="2" t="s">
        <v>1175</v>
      </c>
      <c r="C9294" s="2">
        <v>3</v>
      </c>
      <c r="D9294" t="str">
        <f t="shared" si="145"/>
        <v>US-2017-145863_OFF-BI-10002049</v>
      </c>
      <c r="E9294" t="str">
        <f>IF(COUNTIF(data2!$D:$D,D9294)=0,"Missing in Data2","Present")</f>
        <v>Missing in Data2</v>
      </c>
    </row>
    <row r="9295" spans="1:5" x14ac:dyDescent="0.25">
      <c r="A9295" s="2" t="s">
        <v>6637</v>
      </c>
      <c r="B9295" s="2" t="s">
        <v>70</v>
      </c>
      <c r="C9295" s="2">
        <v>3</v>
      </c>
      <c r="D9295" t="str">
        <f t="shared" si="145"/>
        <v>US-2017-145863_OFF-BI-10004140</v>
      </c>
      <c r="E9295" t="str">
        <f>IF(COUNTIF(data2!$D:$D,D9295)=0,"Missing in Data2","Present")</f>
        <v>Present</v>
      </c>
    </row>
    <row r="9296" spans="1:5" x14ac:dyDescent="0.25">
      <c r="A9296" s="2" t="s">
        <v>6638</v>
      </c>
      <c r="B9296" s="2" t="s">
        <v>4505</v>
      </c>
      <c r="C9296" s="2">
        <v>4</v>
      </c>
      <c r="D9296" t="str">
        <f t="shared" si="145"/>
        <v>US-2017-146213_TEC-AC-10001114</v>
      </c>
      <c r="E9296" t="str">
        <f>IF(COUNTIF(data2!$D:$D,D9296)=0,"Missing in Data2","Present")</f>
        <v>Present</v>
      </c>
    </row>
    <row r="9297" spans="1:5" x14ac:dyDescent="0.25">
      <c r="A9297" s="2" t="s">
        <v>6639</v>
      </c>
      <c r="B9297" s="2" t="s">
        <v>126</v>
      </c>
      <c r="C9297" s="2">
        <v>4</v>
      </c>
      <c r="D9297" t="str">
        <f t="shared" si="145"/>
        <v>US-2017-146416_OFF-BI-10001787</v>
      </c>
      <c r="E9297" t="str">
        <f>IF(COUNTIF(data2!$D:$D,D9297)=0,"Missing in Data2","Present")</f>
        <v>Present</v>
      </c>
    </row>
    <row r="9298" spans="1:5" x14ac:dyDescent="0.25">
      <c r="A9298" s="2" t="s">
        <v>6639</v>
      </c>
      <c r="B9298" s="2" t="s">
        <v>1887</v>
      </c>
      <c r="C9298" s="2">
        <v>1</v>
      </c>
      <c r="D9298" t="str">
        <f t="shared" si="145"/>
        <v>US-2017-146416_OFF-LA-10003714</v>
      </c>
      <c r="E9298" t="str">
        <f>IF(COUNTIF(data2!$D:$D,D9298)=0,"Missing in Data2","Present")</f>
        <v>Present</v>
      </c>
    </row>
    <row r="9299" spans="1:5" x14ac:dyDescent="0.25">
      <c r="A9299" s="2" t="s">
        <v>6640</v>
      </c>
      <c r="B9299" s="2" t="s">
        <v>2455</v>
      </c>
      <c r="C9299" s="2">
        <v>4</v>
      </c>
      <c r="D9299" t="str">
        <f t="shared" si="145"/>
        <v>US-2017-146822_OFF-PA-10000249</v>
      </c>
      <c r="E9299" t="str">
        <f>IF(COUNTIF(data2!$D:$D,D9299)=0,"Missing in Data2","Present")</f>
        <v>Present</v>
      </c>
    </row>
    <row r="9300" spans="1:5" x14ac:dyDescent="0.25">
      <c r="A9300" s="2" t="s">
        <v>6641</v>
      </c>
      <c r="B9300" s="2" t="s">
        <v>1483</v>
      </c>
      <c r="C9300" s="2">
        <v>1</v>
      </c>
      <c r="D9300" t="str">
        <f t="shared" si="145"/>
        <v>US-2017-146878_OFF-BI-10002794</v>
      </c>
      <c r="E9300" t="str">
        <f>IF(COUNTIF(data2!$D:$D,D9300)=0,"Missing in Data2","Present")</f>
        <v>Present</v>
      </c>
    </row>
    <row r="9301" spans="1:5" x14ac:dyDescent="0.25">
      <c r="A9301" s="2" t="s">
        <v>6642</v>
      </c>
      <c r="B9301" s="2" t="s">
        <v>1436</v>
      </c>
      <c r="C9301" s="2">
        <v>2</v>
      </c>
      <c r="D9301" t="str">
        <f t="shared" si="145"/>
        <v>US-2017-146906_TEC-PH-10001809</v>
      </c>
      <c r="E9301" t="str">
        <f>IF(COUNTIF(data2!$D:$D,D9301)=0,"Missing in Data2","Present")</f>
        <v>Present</v>
      </c>
    </row>
    <row r="9302" spans="1:5" x14ac:dyDescent="0.25">
      <c r="A9302" s="2" t="s">
        <v>6643</v>
      </c>
      <c r="B9302" s="2" t="s">
        <v>1033</v>
      </c>
      <c r="C9302" s="2">
        <v>4</v>
      </c>
      <c r="D9302" t="str">
        <f t="shared" si="145"/>
        <v>US-2017-147221_FUR-FU-10004020</v>
      </c>
      <c r="E9302" t="str">
        <f>IF(COUNTIF(data2!$D:$D,D9302)=0,"Missing in Data2","Present")</f>
        <v>Present</v>
      </c>
    </row>
    <row r="9303" spans="1:5" x14ac:dyDescent="0.25">
      <c r="A9303" s="2" t="s">
        <v>6643</v>
      </c>
      <c r="B9303" s="2" t="s">
        <v>947</v>
      </c>
      <c r="C9303" s="2">
        <v>5</v>
      </c>
      <c r="D9303" t="str">
        <f t="shared" si="145"/>
        <v>US-2017-147221_OFF-AP-10002534</v>
      </c>
      <c r="E9303" t="str">
        <f>IF(COUNTIF(data2!$D:$D,D9303)=0,"Missing in Data2","Present")</f>
        <v>Present</v>
      </c>
    </row>
    <row r="9304" spans="1:5" x14ac:dyDescent="0.25">
      <c r="A9304" s="2" t="s">
        <v>6644</v>
      </c>
      <c r="B9304" s="2" t="s">
        <v>1227</v>
      </c>
      <c r="C9304" s="2">
        <v>7</v>
      </c>
      <c r="D9304" t="str">
        <f t="shared" si="145"/>
        <v>US-2017-147655_OFF-BI-10002931</v>
      </c>
      <c r="E9304" t="str">
        <f>IF(COUNTIF(data2!$D:$D,D9304)=0,"Missing in Data2","Present")</f>
        <v>Present</v>
      </c>
    </row>
    <row r="9305" spans="1:5" x14ac:dyDescent="0.25">
      <c r="A9305" s="2" t="s">
        <v>6645</v>
      </c>
      <c r="B9305" s="2" t="s">
        <v>2366</v>
      </c>
      <c r="C9305" s="2">
        <v>2</v>
      </c>
      <c r="D9305" t="str">
        <f t="shared" si="145"/>
        <v>US-2017-147669_FUR-TA-10002645</v>
      </c>
      <c r="E9305" t="str">
        <f>IF(COUNTIF(data2!$D:$D,D9305)=0,"Missing in Data2","Present")</f>
        <v>Present</v>
      </c>
    </row>
    <row r="9306" spans="1:5" x14ac:dyDescent="0.25">
      <c r="A9306" s="2" t="s">
        <v>6645</v>
      </c>
      <c r="B9306" s="2" t="s">
        <v>740</v>
      </c>
      <c r="C9306" s="2">
        <v>1</v>
      </c>
      <c r="D9306" t="str">
        <f t="shared" si="145"/>
        <v>US-2017-147669_OFF-BI-10000632</v>
      </c>
      <c r="E9306" t="str">
        <f>IF(COUNTIF(data2!$D:$D,D9306)=0,"Missing in Data2","Present")</f>
        <v>Present</v>
      </c>
    </row>
    <row r="9307" spans="1:5" x14ac:dyDescent="0.25">
      <c r="A9307" s="2" t="s">
        <v>6645</v>
      </c>
      <c r="B9307" s="2" t="s">
        <v>249</v>
      </c>
      <c r="C9307" s="2">
        <v>13</v>
      </c>
      <c r="D9307" t="str">
        <f t="shared" si="145"/>
        <v>US-2017-147669_OFF-FA-10002975</v>
      </c>
      <c r="E9307" t="str">
        <f>IF(COUNTIF(data2!$D:$D,D9307)=0,"Missing in Data2","Present")</f>
        <v>Present</v>
      </c>
    </row>
    <row r="9308" spans="1:5" x14ac:dyDescent="0.25">
      <c r="A9308" s="2" t="s">
        <v>6645</v>
      </c>
      <c r="B9308" s="2" t="s">
        <v>1076</v>
      </c>
      <c r="C9308" s="2">
        <v>7</v>
      </c>
      <c r="D9308" t="str">
        <f t="shared" si="145"/>
        <v>US-2017-147669_TEC-AC-10002473</v>
      </c>
      <c r="E9308" t="str">
        <f>IF(COUNTIF(data2!$D:$D,D9308)=0,"Missing in Data2","Present")</f>
        <v>Missing in Data2</v>
      </c>
    </row>
    <row r="9309" spans="1:5" x14ac:dyDescent="0.25">
      <c r="A9309" s="2" t="s">
        <v>6646</v>
      </c>
      <c r="B9309" s="2" t="s">
        <v>538</v>
      </c>
      <c r="C9309" s="2">
        <v>1</v>
      </c>
      <c r="D9309" t="str">
        <f t="shared" si="145"/>
        <v>US-2017-147886_FUR-FU-10001095</v>
      </c>
      <c r="E9309" t="str">
        <f>IF(COUNTIF(data2!$D:$D,D9309)=0,"Missing in Data2","Present")</f>
        <v>Present</v>
      </c>
    </row>
    <row r="9310" spans="1:5" x14ac:dyDescent="0.25">
      <c r="A9310" s="2" t="s">
        <v>6646</v>
      </c>
      <c r="B9310" s="2" t="s">
        <v>569</v>
      </c>
      <c r="C9310" s="2">
        <v>7</v>
      </c>
      <c r="D9310" t="str">
        <f t="shared" si="145"/>
        <v>US-2017-147886_FUR-FU-10003829</v>
      </c>
      <c r="E9310" t="str">
        <f>IF(COUNTIF(data2!$D:$D,D9310)=0,"Missing in Data2","Present")</f>
        <v>Present</v>
      </c>
    </row>
    <row r="9311" spans="1:5" x14ac:dyDescent="0.25">
      <c r="A9311" s="2" t="s">
        <v>6646</v>
      </c>
      <c r="B9311" s="2" t="s">
        <v>2493</v>
      </c>
      <c r="C9311" s="2">
        <v>3</v>
      </c>
      <c r="D9311" t="str">
        <f t="shared" si="145"/>
        <v>US-2017-147886_OFF-PA-10000743</v>
      </c>
      <c r="E9311" t="str">
        <f>IF(COUNTIF(data2!$D:$D,D9311)=0,"Missing in Data2","Present")</f>
        <v>Present</v>
      </c>
    </row>
    <row r="9312" spans="1:5" x14ac:dyDescent="0.25">
      <c r="A9312" s="2" t="s">
        <v>6646</v>
      </c>
      <c r="B9312" s="2" t="s">
        <v>4704</v>
      </c>
      <c r="C9312" s="2">
        <v>4</v>
      </c>
      <c r="D9312" t="str">
        <f t="shared" si="145"/>
        <v>US-2017-147886_OFF-PA-10003651</v>
      </c>
      <c r="E9312" t="str">
        <f>IF(COUNTIF(data2!$D:$D,D9312)=0,"Missing in Data2","Present")</f>
        <v>Present</v>
      </c>
    </row>
    <row r="9313" spans="1:5" x14ac:dyDescent="0.25">
      <c r="A9313" s="2" t="s">
        <v>6646</v>
      </c>
      <c r="B9313" s="2" t="s">
        <v>444</v>
      </c>
      <c r="C9313" s="2">
        <v>7</v>
      </c>
      <c r="D9313" t="str">
        <f t="shared" si="145"/>
        <v>US-2017-147886_OFF-ST-10002743</v>
      </c>
      <c r="E9313" t="str">
        <f>IF(COUNTIF(data2!$D:$D,D9313)=0,"Missing in Data2","Present")</f>
        <v>Present</v>
      </c>
    </row>
    <row r="9314" spans="1:5" x14ac:dyDescent="0.25">
      <c r="A9314" s="2" t="s">
        <v>6646</v>
      </c>
      <c r="B9314" s="2" t="s">
        <v>690</v>
      </c>
      <c r="C9314" s="2">
        <v>2</v>
      </c>
      <c r="D9314" t="str">
        <f t="shared" si="145"/>
        <v>US-2017-147886_TEC-MA-10004679</v>
      </c>
      <c r="E9314" t="str">
        <f>IF(COUNTIF(data2!$D:$D,D9314)=0,"Missing in Data2","Present")</f>
        <v>Present</v>
      </c>
    </row>
    <row r="9315" spans="1:5" x14ac:dyDescent="0.25">
      <c r="A9315" s="2" t="s">
        <v>6647</v>
      </c>
      <c r="B9315" s="2" t="s">
        <v>829</v>
      </c>
      <c r="C9315" s="2">
        <v>5</v>
      </c>
      <c r="D9315" t="str">
        <f t="shared" si="145"/>
        <v>US-2017-147984_OFF-PA-10000806</v>
      </c>
      <c r="E9315" t="str">
        <f>IF(COUNTIF(data2!$D:$D,D9315)=0,"Missing in Data2","Present")</f>
        <v>Present</v>
      </c>
    </row>
    <row r="9316" spans="1:5" x14ac:dyDescent="0.25">
      <c r="A9316" s="2" t="s">
        <v>6648</v>
      </c>
      <c r="B9316" s="2" t="s">
        <v>1961</v>
      </c>
      <c r="C9316" s="2">
        <v>5</v>
      </c>
      <c r="D9316" t="str">
        <f t="shared" si="145"/>
        <v>US-2017-147998_OFF-BI-10002082</v>
      </c>
      <c r="E9316" t="str">
        <f>IF(COUNTIF(data2!$D:$D,D9316)=0,"Missing in Data2","Present")</f>
        <v>Present</v>
      </c>
    </row>
    <row r="9317" spans="1:5" x14ac:dyDescent="0.25">
      <c r="A9317" s="2" t="s">
        <v>6649</v>
      </c>
      <c r="B9317" s="2" t="s">
        <v>2369</v>
      </c>
      <c r="C9317" s="2">
        <v>2</v>
      </c>
      <c r="D9317" t="str">
        <f t="shared" si="145"/>
        <v>US-2017-148054_FUR-FU-10003247</v>
      </c>
      <c r="E9317" t="str">
        <f>IF(COUNTIF(data2!$D:$D,D9317)=0,"Missing in Data2","Present")</f>
        <v>Present</v>
      </c>
    </row>
    <row r="9318" spans="1:5" x14ac:dyDescent="0.25">
      <c r="A9318" s="2" t="s">
        <v>6649</v>
      </c>
      <c r="B9318" s="2" t="s">
        <v>662</v>
      </c>
      <c r="C9318" s="2">
        <v>4</v>
      </c>
      <c r="D9318" t="str">
        <f t="shared" si="145"/>
        <v>US-2017-148054_OFF-AP-10004336</v>
      </c>
      <c r="E9318" t="str">
        <f>IF(COUNTIF(data2!$D:$D,D9318)=0,"Missing in Data2","Present")</f>
        <v>Present</v>
      </c>
    </row>
    <row r="9319" spans="1:5" x14ac:dyDescent="0.25">
      <c r="A9319" s="2" t="s">
        <v>6649</v>
      </c>
      <c r="B9319" s="2" t="s">
        <v>1506</v>
      </c>
      <c r="C9319" s="2">
        <v>2</v>
      </c>
      <c r="D9319" t="str">
        <f t="shared" si="145"/>
        <v>US-2017-148054_OFF-PA-10001295</v>
      </c>
      <c r="E9319" t="str">
        <f>IF(COUNTIF(data2!$D:$D,D9319)=0,"Missing in Data2","Present")</f>
        <v>Present</v>
      </c>
    </row>
    <row r="9320" spans="1:5" x14ac:dyDescent="0.25">
      <c r="A9320" s="2" t="s">
        <v>6650</v>
      </c>
      <c r="B9320" s="2" t="s">
        <v>702</v>
      </c>
      <c r="C9320" s="2">
        <v>1</v>
      </c>
      <c r="D9320" t="str">
        <f t="shared" si="145"/>
        <v>US-2017-148362_OFF-BI-10003656</v>
      </c>
      <c r="E9320" t="str">
        <f>IF(COUNTIF(data2!$D:$D,D9320)=0,"Missing in Data2","Present")</f>
        <v>Missing in Data2</v>
      </c>
    </row>
    <row r="9321" spans="1:5" x14ac:dyDescent="0.25">
      <c r="A9321" s="2" t="s">
        <v>6650</v>
      </c>
      <c r="B9321" s="2" t="s">
        <v>1737</v>
      </c>
      <c r="C9321" s="2">
        <v>4</v>
      </c>
      <c r="D9321" t="str">
        <f t="shared" si="145"/>
        <v>US-2017-148362_OFF-PA-10003441</v>
      </c>
      <c r="E9321" t="str">
        <f>IF(COUNTIF(data2!$D:$D,D9321)=0,"Missing in Data2","Present")</f>
        <v>Present</v>
      </c>
    </row>
    <row r="9322" spans="1:5" x14ac:dyDescent="0.25">
      <c r="A9322" s="2" t="s">
        <v>6650</v>
      </c>
      <c r="B9322" s="2" t="s">
        <v>1201</v>
      </c>
      <c r="C9322" s="2">
        <v>4</v>
      </c>
      <c r="D9322" t="str">
        <f t="shared" si="145"/>
        <v>US-2017-148362_OFF-ST-10001128</v>
      </c>
      <c r="E9322" t="str">
        <f>IF(COUNTIF(data2!$D:$D,D9322)=0,"Missing in Data2","Present")</f>
        <v>Present</v>
      </c>
    </row>
    <row r="9323" spans="1:5" x14ac:dyDescent="0.25">
      <c r="A9323" s="2" t="s">
        <v>6651</v>
      </c>
      <c r="B9323" s="2" t="s">
        <v>2499</v>
      </c>
      <c r="C9323" s="2">
        <v>5</v>
      </c>
      <c r="D9323" t="str">
        <f t="shared" si="145"/>
        <v>US-2017-148551_OFF-BI-10000545</v>
      </c>
      <c r="E9323" t="str">
        <f>IF(COUNTIF(data2!$D:$D,D9323)=0,"Missing in Data2","Present")</f>
        <v>Present</v>
      </c>
    </row>
    <row r="9324" spans="1:5" x14ac:dyDescent="0.25">
      <c r="A9324" s="2" t="s">
        <v>6652</v>
      </c>
      <c r="B9324" s="2" t="s">
        <v>2159</v>
      </c>
      <c r="C9324" s="2">
        <v>3</v>
      </c>
      <c r="D9324" t="str">
        <f t="shared" si="145"/>
        <v>US-2017-148768_TEC-PH-10002564</v>
      </c>
      <c r="E9324" t="str">
        <f>IF(COUNTIF(data2!$D:$D,D9324)=0,"Missing in Data2","Present")</f>
        <v>Present</v>
      </c>
    </row>
    <row r="9325" spans="1:5" x14ac:dyDescent="0.25">
      <c r="A9325" s="2" t="s">
        <v>6653</v>
      </c>
      <c r="B9325" s="2" t="s">
        <v>1717</v>
      </c>
      <c r="C9325" s="2">
        <v>8</v>
      </c>
      <c r="D9325" t="str">
        <f t="shared" si="145"/>
        <v>US-2017-148831_OFF-ST-10002974</v>
      </c>
      <c r="E9325" t="str">
        <f>IF(COUNTIF(data2!$D:$D,D9325)=0,"Missing in Data2","Present")</f>
        <v>Present</v>
      </c>
    </row>
    <row r="9326" spans="1:5" x14ac:dyDescent="0.25">
      <c r="A9326" s="2" t="s">
        <v>6654</v>
      </c>
      <c r="B9326" s="2" t="s">
        <v>6655</v>
      </c>
      <c r="C9326" s="2">
        <v>1</v>
      </c>
      <c r="D9326" t="str">
        <f t="shared" si="145"/>
        <v>US-2017-149006_OFF-ST-10003221</v>
      </c>
      <c r="E9326" t="str">
        <f>IF(COUNTIF(data2!$D:$D,D9326)=0,"Missing in Data2","Present")</f>
        <v>Present</v>
      </c>
    </row>
    <row r="9327" spans="1:5" x14ac:dyDescent="0.25">
      <c r="A9327" s="2" t="s">
        <v>6656</v>
      </c>
      <c r="B9327" s="2" t="s">
        <v>514</v>
      </c>
      <c r="C9327" s="2">
        <v>3</v>
      </c>
      <c r="D9327" t="str">
        <f t="shared" si="145"/>
        <v>US-2017-149510_OFF-AP-10002350</v>
      </c>
      <c r="E9327" t="str">
        <f>IF(COUNTIF(data2!$D:$D,D9327)=0,"Missing in Data2","Present")</f>
        <v>Present</v>
      </c>
    </row>
    <row r="9328" spans="1:5" x14ac:dyDescent="0.25">
      <c r="A9328" s="2" t="s">
        <v>6656</v>
      </c>
      <c r="B9328" s="2" t="s">
        <v>3399</v>
      </c>
      <c r="C9328" s="2">
        <v>4</v>
      </c>
      <c r="D9328" t="str">
        <f t="shared" si="145"/>
        <v>US-2017-149510_OFF-PA-10001892</v>
      </c>
      <c r="E9328" t="str">
        <f>IF(COUNTIF(data2!$D:$D,D9328)=0,"Missing in Data2","Present")</f>
        <v>Present</v>
      </c>
    </row>
    <row r="9329" spans="1:5" x14ac:dyDescent="0.25">
      <c r="A9329" s="2" t="s">
        <v>6657</v>
      </c>
      <c r="B9329" s="2" t="s">
        <v>1162</v>
      </c>
      <c r="C9329" s="2">
        <v>2</v>
      </c>
      <c r="D9329" t="str">
        <f t="shared" si="145"/>
        <v>US-2017-150070_FUR-CH-10004860</v>
      </c>
      <c r="E9329" t="str">
        <f>IF(COUNTIF(data2!$D:$D,D9329)=0,"Missing in Data2","Present")</f>
        <v>Present</v>
      </c>
    </row>
    <row r="9330" spans="1:5" x14ac:dyDescent="0.25">
      <c r="A9330" s="2" t="s">
        <v>6658</v>
      </c>
      <c r="B9330" s="2" t="s">
        <v>665</v>
      </c>
      <c r="C9330" s="2">
        <v>2</v>
      </c>
      <c r="D9330" t="str">
        <f t="shared" si="145"/>
        <v>US-2017-150595_FUR-CH-10000513</v>
      </c>
      <c r="E9330" t="str">
        <f>IF(COUNTIF(data2!$D:$D,D9330)=0,"Missing in Data2","Present")</f>
        <v>Present</v>
      </c>
    </row>
    <row r="9331" spans="1:5" x14ac:dyDescent="0.25">
      <c r="A9331" s="2" t="s">
        <v>6658</v>
      </c>
      <c r="B9331" s="2" t="s">
        <v>1311</v>
      </c>
      <c r="C9331" s="2">
        <v>2</v>
      </c>
      <c r="D9331" t="str">
        <f t="shared" si="145"/>
        <v>US-2017-150595_OFF-BI-10003274</v>
      </c>
      <c r="E9331" t="str">
        <f>IF(COUNTIF(data2!$D:$D,D9331)=0,"Missing in Data2","Present")</f>
        <v>Present</v>
      </c>
    </row>
    <row r="9332" spans="1:5" x14ac:dyDescent="0.25">
      <c r="A9332" s="2" t="s">
        <v>6658</v>
      </c>
      <c r="B9332" s="2" t="s">
        <v>1822</v>
      </c>
      <c r="C9332" s="2">
        <v>3</v>
      </c>
      <c r="D9332" t="str">
        <f t="shared" si="145"/>
        <v>US-2017-150595_OFF-SU-10000381</v>
      </c>
      <c r="E9332" t="str">
        <f>IF(COUNTIF(data2!$D:$D,D9332)=0,"Missing in Data2","Present")</f>
        <v>Missing in Data2</v>
      </c>
    </row>
    <row r="9333" spans="1:5" x14ac:dyDescent="0.25">
      <c r="A9333" s="2" t="s">
        <v>6659</v>
      </c>
      <c r="B9333" s="2" t="s">
        <v>2683</v>
      </c>
      <c r="C9333" s="2">
        <v>2</v>
      </c>
      <c r="D9333" t="str">
        <f t="shared" si="145"/>
        <v>US-2017-150847_OFF-PA-10004451</v>
      </c>
      <c r="E9333" t="str">
        <f>IF(COUNTIF(data2!$D:$D,D9333)=0,"Missing in Data2","Present")</f>
        <v>Present</v>
      </c>
    </row>
    <row r="9334" spans="1:5" x14ac:dyDescent="0.25">
      <c r="A9334" s="2" t="s">
        <v>6660</v>
      </c>
      <c r="B9334" s="2" t="s">
        <v>889</v>
      </c>
      <c r="C9334" s="2">
        <v>7</v>
      </c>
      <c r="D9334" t="str">
        <f t="shared" si="145"/>
        <v>US-2017-151127_OFF-AR-10002445</v>
      </c>
      <c r="E9334" t="str">
        <f>IF(COUNTIF(data2!$D:$D,D9334)=0,"Missing in Data2","Present")</f>
        <v>Present</v>
      </c>
    </row>
    <row r="9335" spans="1:5" x14ac:dyDescent="0.25">
      <c r="A9335" s="2" t="s">
        <v>6661</v>
      </c>
      <c r="B9335" s="2" t="s">
        <v>820</v>
      </c>
      <c r="C9335" s="2">
        <v>3</v>
      </c>
      <c r="D9335" t="str">
        <f t="shared" si="145"/>
        <v>US-2017-151316_OFF-BI-10004632</v>
      </c>
      <c r="E9335" t="str">
        <f>IF(COUNTIF(data2!$D:$D,D9335)=0,"Missing in Data2","Present")</f>
        <v>Present</v>
      </c>
    </row>
    <row r="9336" spans="1:5" x14ac:dyDescent="0.25">
      <c r="A9336" s="2" t="s">
        <v>6661</v>
      </c>
      <c r="B9336" s="2" t="s">
        <v>408</v>
      </c>
      <c r="C9336" s="2">
        <v>3</v>
      </c>
      <c r="D9336" t="str">
        <f t="shared" si="145"/>
        <v>US-2017-151316_OFF-PA-10000327</v>
      </c>
      <c r="E9336" t="str">
        <f>IF(COUNTIF(data2!$D:$D,D9336)=0,"Missing in Data2","Present")</f>
        <v>Present</v>
      </c>
    </row>
    <row r="9337" spans="1:5" x14ac:dyDescent="0.25">
      <c r="A9337" s="2" t="s">
        <v>6662</v>
      </c>
      <c r="B9337" s="2" t="s">
        <v>41</v>
      </c>
      <c r="C9337" s="2">
        <v>3</v>
      </c>
      <c r="D9337" t="str">
        <f t="shared" si="145"/>
        <v>US-2017-152002_OFF-PA-10000357</v>
      </c>
      <c r="E9337" t="str">
        <f>IF(COUNTIF(data2!$D:$D,D9337)=0,"Missing in Data2","Present")</f>
        <v>Present</v>
      </c>
    </row>
    <row r="9338" spans="1:5" x14ac:dyDescent="0.25">
      <c r="A9338" s="2" t="s">
        <v>6663</v>
      </c>
      <c r="B9338" s="2" t="s">
        <v>2333</v>
      </c>
      <c r="C9338" s="2">
        <v>4</v>
      </c>
      <c r="D9338" t="str">
        <f t="shared" si="145"/>
        <v>US-2017-152366_OFF-AP-10002684</v>
      </c>
      <c r="E9338" t="str">
        <f>IF(COUNTIF(data2!$D:$D,D9338)=0,"Missing in Data2","Present")</f>
        <v>Present</v>
      </c>
    </row>
    <row r="9339" spans="1:5" x14ac:dyDescent="0.25">
      <c r="A9339" s="2" t="s">
        <v>6664</v>
      </c>
      <c r="B9339" s="2" t="s">
        <v>1679</v>
      </c>
      <c r="C9339" s="2">
        <v>3</v>
      </c>
      <c r="D9339" t="str">
        <f t="shared" si="145"/>
        <v>US-2017-152380_FUR-TA-10002533</v>
      </c>
      <c r="E9339" t="str">
        <f>IF(COUNTIF(data2!$D:$D,D9339)=0,"Missing in Data2","Present")</f>
        <v>Present</v>
      </c>
    </row>
    <row r="9340" spans="1:5" x14ac:dyDescent="0.25">
      <c r="A9340" s="2" t="s">
        <v>6665</v>
      </c>
      <c r="B9340" s="2" t="s">
        <v>596</v>
      </c>
      <c r="C9340" s="2">
        <v>1</v>
      </c>
      <c r="D9340" t="str">
        <f t="shared" si="145"/>
        <v>US-2017-152492_FUR-CH-10000155</v>
      </c>
      <c r="E9340" t="str">
        <f>IF(COUNTIF(data2!$D:$D,D9340)=0,"Missing in Data2","Present")</f>
        <v>Present</v>
      </c>
    </row>
    <row r="9341" spans="1:5" x14ac:dyDescent="0.25">
      <c r="A9341" s="2" t="s">
        <v>6666</v>
      </c>
      <c r="B9341" s="2" t="s">
        <v>3291</v>
      </c>
      <c r="C9341" s="2">
        <v>2</v>
      </c>
      <c r="D9341" t="str">
        <f t="shared" si="145"/>
        <v>US-2017-152569_OFF-PA-10001736</v>
      </c>
      <c r="E9341" t="str">
        <f>IF(COUNTIF(data2!$D:$D,D9341)=0,"Missing in Data2","Present")</f>
        <v>Present</v>
      </c>
    </row>
    <row r="9342" spans="1:5" x14ac:dyDescent="0.25">
      <c r="A9342" s="2" t="s">
        <v>6667</v>
      </c>
      <c r="B9342" s="2" t="s">
        <v>1050</v>
      </c>
      <c r="C9342" s="2">
        <v>3</v>
      </c>
      <c r="D9342" t="str">
        <f t="shared" si="145"/>
        <v>US-2017-152842_FUR-CH-10004218</v>
      </c>
      <c r="E9342" t="str">
        <f>IF(COUNTIF(data2!$D:$D,D9342)=0,"Missing in Data2","Present")</f>
        <v>Present</v>
      </c>
    </row>
    <row r="9343" spans="1:5" x14ac:dyDescent="0.25">
      <c r="A9343" s="2" t="s">
        <v>6668</v>
      </c>
      <c r="B9343" s="2" t="s">
        <v>5459</v>
      </c>
      <c r="C9343" s="2">
        <v>5</v>
      </c>
      <c r="D9343" t="str">
        <f t="shared" si="145"/>
        <v>US-2017-152898_OFF-AP-10000027</v>
      </c>
      <c r="E9343" t="str">
        <f>IF(COUNTIF(data2!$D:$D,D9343)=0,"Missing in Data2","Present")</f>
        <v>Present</v>
      </c>
    </row>
    <row r="9344" spans="1:5" x14ac:dyDescent="0.25">
      <c r="A9344" s="2" t="s">
        <v>6669</v>
      </c>
      <c r="B9344" s="2" t="s">
        <v>427</v>
      </c>
      <c r="C9344" s="2">
        <v>2</v>
      </c>
      <c r="D9344" t="str">
        <f t="shared" si="145"/>
        <v>US-2017-153255_FUR-BO-10004218</v>
      </c>
      <c r="E9344" t="str">
        <f>IF(COUNTIF(data2!$D:$D,D9344)=0,"Missing in Data2","Present")</f>
        <v>Present</v>
      </c>
    </row>
    <row r="9345" spans="1:5" x14ac:dyDescent="0.25">
      <c r="A9345" s="2" t="s">
        <v>6670</v>
      </c>
      <c r="B9345" s="2" t="s">
        <v>1628</v>
      </c>
      <c r="C9345" s="2">
        <v>1</v>
      </c>
      <c r="D9345" t="str">
        <f t="shared" si="145"/>
        <v>US-2017-153633_OFF-AR-10002335</v>
      </c>
      <c r="E9345" t="str">
        <f>IF(COUNTIF(data2!$D:$D,D9345)=0,"Missing in Data2","Present")</f>
        <v>Present</v>
      </c>
    </row>
    <row r="9346" spans="1:5" x14ac:dyDescent="0.25">
      <c r="A9346" s="2" t="s">
        <v>6671</v>
      </c>
      <c r="B9346" s="2" t="s">
        <v>2382</v>
      </c>
      <c r="C9346" s="2">
        <v>4</v>
      </c>
      <c r="D9346" t="str">
        <f t="shared" si="145"/>
        <v>US-2017-153948_OFF-LA-10000414</v>
      </c>
      <c r="E9346" t="str">
        <f>IF(COUNTIF(data2!$D:$D,D9346)=0,"Missing in Data2","Present")</f>
        <v>Present</v>
      </c>
    </row>
    <row r="9347" spans="1:5" x14ac:dyDescent="0.25">
      <c r="A9347" s="2" t="s">
        <v>6671</v>
      </c>
      <c r="B9347" s="2" t="s">
        <v>1833</v>
      </c>
      <c r="C9347" s="2">
        <v>5</v>
      </c>
      <c r="D9347" t="str">
        <f t="shared" ref="D9347:D9410" si="146">A9347&amp;"_"&amp;B9347</f>
        <v>US-2017-153948_OFF-PA-10000143</v>
      </c>
      <c r="E9347" t="str">
        <f>IF(COUNTIF(data2!$D:$D,D9347)=0,"Missing in Data2","Present")</f>
        <v>Present</v>
      </c>
    </row>
    <row r="9348" spans="1:5" x14ac:dyDescent="0.25">
      <c r="A9348" s="2" t="s">
        <v>6671</v>
      </c>
      <c r="B9348" s="2" t="s">
        <v>2602</v>
      </c>
      <c r="C9348" s="2">
        <v>3</v>
      </c>
      <c r="D9348" t="str">
        <f t="shared" si="146"/>
        <v>US-2017-153948_OFF-PA-10000157</v>
      </c>
      <c r="E9348" t="str">
        <f>IF(COUNTIF(data2!$D:$D,D9348)=0,"Missing in Data2","Present")</f>
        <v>Missing in Data2</v>
      </c>
    </row>
    <row r="9349" spans="1:5" x14ac:dyDescent="0.25">
      <c r="A9349" s="2" t="s">
        <v>6671</v>
      </c>
      <c r="B9349" s="2" t="s">
        <v>3714</v>
      </c>
      <c r="C9349" s="2">
        <v>4</v>
      </c>
      <c r="D9349" t="str">
        <f t="shared" si="146"/>
        <v>US-2017-153948_OFF-PA-10002764</v>
      </c>
      <c r="E9349" t="str">
        <f>IF(COUNTIF(data2!$D:$D,D9349)=0,"Missing in Data2","Present")</f>
        <v>Present</v>
      </c>
    </row>
    <row r="9350" spans="1:5" x14ac:dyDescent="0.25">
      <c r="A9350" s="2" t="s">
        <v>6671</v>
      </c>
      <c r="B9350" s="2" t="s">
        <v>1841</v>
      </c>
      <c r="C9350" s="2">
        <v>1</v>
      </c>
      <c r="D9350" t="str">
        <f t="shared" si="146"/>
        <v>US-2017-153948_TEC-AC-10003441</v>
      </c>
      <c r="E9350" t="str">
        <f>IF(COUNTIF(data2!$D:$D,D9350)=0,"Missing in Data2","Present")</f>
        <v>Missing in Data2</v>
      </c>
    </row>
    <row r="9351" spans="1:5" x14ac:dyDescent="0.25">
      <c r="A9351" s="2" t="s">
        <v>6672</v>
      </c>
      <c r="B9351" s="2" t="s">
        <v>1369</v>
      </c>
      <c r="C9351" s="2">
        <v>5</v>
      </c>
      <c r="D9351" t="str">
        <f t="shared" si="146"/>
        <v>US-2017-154851_OFF-BI-10001525</v>
      </c>
      <c r="E9351" t="str">
        <f>IF(COUNTIF(data2!$D:$D,D9351)=0,"Missing in Data2","Present")</f>
        <v>Present</v>
      </c>
    </row>
    <row r="9352" spans="1:5" x14ac:dyDescent="0.25">
      <c r="A9352" s="2" t="s">
        <v>6673</v>
      </c>
      <c r="B9352" s="2" t="s">
        <v>510</v>
      </c>
      <c r="C9352" s="2">
        <v>5</v>
      </c>
      <c r="D9352" t="str">
        <f t="shared" si="146"/>
        <v>US-2017-154872_OFF-BI-10003007</v>
      </c>
      <c r="E9352" t="str">
        <f>IF(COUNTIF(data2!$D:$D,D9352)=0,"Missing in Data2","Present")</f>
        <v>Present</v>
      </c>
    </row>
    <row r="9353" spans="1:5" x14ac:dyDescent="0.25">
      <c r="A9353" s="2" t="s">
        <v>6673</v>
      </c>
      <c r="B9353" s="2" t="s">
        <v>3249</v>
      </c>
      <c r="C9353" s="2">
        <v>2</v>
      </c>
      <c r="D9353" t="str">
        <f t="shared" si="146"/>
        <v>US-2017-154872_OFF-LA-10000973</v>
      </c>
      <c r="E9353" t="str">
        <f>IF(COUNTIF(data2!$D:$D,D9353)=0,"Missing in Data2","Present")</f>
        <v>Present</v>
      </c>
    </row>
    <row r="9354" spans="1:5" x14ac:dyDescent="0.25">
      <c r="A9354" s="2" t="s">
        <v>6673</v>
      </c>
      <c r="B9354" s="2" t="s">
        <v>4140</v>
      </c>
      <c r="C9354" s="2">
        <v>1</v>
      </c>
      <c r="D9354" t="str">
        <f t="shared" si="146"/>
        <v>US-2017-154872_OFF-PA-10000483</v>
      </c>
      <c r="E9354" t="str">
        <f>IF(COUNTIF(data2!$D:$D,D9354)=0,"Missing in Data2","Present")</f>
        <v>Present</v>
      </c>
    </row>
    <row r="9355" spans="1:5" x14ac:dyDescent="0.25">
      <c r="A9355" s="2" t="s">
        <v>6674</v>
      </c>
      <c r="B9355" s="2" t="s">
        <v>6675</v>
      </c>
      <c r="C9355" s="2">
        <v>2</v>
      </c>
      <c r="D9355" t="str">
        <f t="shared" si="146"/>
        <v>US-2017-155299_OFF-AP-10002203</v>
      </c>
      <c r="E9355" t="str">
        <f>IF(COUNTIF(data2!$D:$D,D9355)=0,"Missing in Data2","Present")</f>
        <v>Present</v>
      </c>
    </row>
    <row r="9356" spans="1:5" x14ac:dyDescent="0.25">
      <c r="A9356" s="2" t="s">
        <v>6676</v>
      </c>
      <c r="B9356" s="2" t="s">
        <v>2290</v>
      </c>
      <c r="C9356" s="2">
        <v>4</v>
      </c>
      <c r="D9356" t="str">
        <f t="shared" si="146"/>
        <v>US-2017-155425_FUR-CH-10003312</v>
      </c>
      <c r="E9356" t="str">
        <f>IF(COUNTIF(data2!$D:$D,D9356)=0,"Missing in Data2","Present")</f>
        <v>Present</v>
      </c>
    </row>
    <row r="9357" spans="1:5" x14ac:dyDescent="0.25">
      <c r="A9357" s="2" t="s">
        <v>6676</v>
      </c>
      <c r="B9357" s="2" t="s">
        <v>811</v>
      </c>
      <c r="C9357" s="2">
        <v>14</v>
      </c>
      <c r="D9357" t="str">
        <f t="shared" si="146"/>
        <v>US-2017-155425_OFF-BI-10001036</v>
      </c>
      <c r="E9357" t="str">
        <f>IF(COUNTIF(data2!$D:$D,D9357)=0,"Missing in Data2","Present")</f>
        <v>Present</v>
      </c>
    </row>
    <row r="9358" spans="1:5" x14ac:dyDescent="0.25">
      <c r="A9358" s="2" t="s">
        <v>6676</v>
      </c>
      <c r="B9358" s="2" t="s">
        <v>109</v>
      </c>
      <c r="C9358" s="2">
        <v>6</v>
      </c>
      <c r="D9358" t="str">
        <f t="shared" si="146"/>
        <v>US-2017-155425_TEC-AC-10001314</v>
      </c>
      <c r="E9358" t="str">
        <f>IF(COUNTIF(data2!$D:$D,D9358)=0,"Missing in Data2","Present")</f>
        <v>Present</v>
      </c>
    </row>
    <row r="9359" spans="1:5" x14ac:dyDescent="0.25">
      <c r="A9359" s="2" t="s">
        <v>6676</v>
      </c>
      <c r="B9359" s="2" t="s">
        <v>393</v>
      </c>
      <c r="C9359" s="2">
        <v>2</v>
      </c>
      <c r="D9359" t="str">
        <f t="shared" si="146"/>
        <v>US-2017-155425_TEC-MA-10003183</v>
      </c>
      <c r="E9359" t="str">
        <f>IF(COUNTIF(data2!$D:$D,D9359)=0,"Missing in Data2","Present")</f>
        <v>Present</v>
      </c>
    </row>
    <row r="9360" spans="1:5" x14ac:dyDescent="0.25">
      <c r="A9360" s="2" t="s">
        <v>6676</v>
      </c>
      <c r="B9360" s="2" t="s">
        <v>3735</v>
      </c>
      <c r="C9360" s="2">
        <v>2</v>
      </c>
      <c r="D9360" t="str">
        <f t="shared" si="146"/>
        <v>US-2017-155425_TEC-PH-10002563</v>
      </c>
      <c r="E9360" t="str">
        <f>IF(COUNTIF(data2!$D:$D,D9360)=0,"Missing in Data2","Present")</f>
        <v>Missing in Data2</v>
      </c>
    </row>
    <row r="9361" spans="1:5" x14ac:dyDescent="0.25">
      <c r="A9361" s="2" t="s">
        <v>6677</v>
      </c>
      <c r="B9361" s="2" t="s">
        <v>118</v>
      </c>
      <c r="C9361" s="2">
        <v>4</v>
      </c>
      <c r="D9361" t="str">
        <f t="shared" si="146"/>
        <v>US-2017-155866_FUR-FU-10004091</v>
      </c>
      <c r="E9361" t="str">
        <f>IF(COUNTIF(data2!$D:$D,D9361)=0,"Missing in Data2","Present")</f>
        <v>Present</v>
      </c>
    </row>
    <row r="9362" spans="1:5" x14ac:dyDescent="0.25">
      <c r="A9362" s="2" t="s">
        <v>6677</v>
      </c>
      <c r="B9362" s="2" t="s">
        <v>4374</v>
      </c>
      <c r="C9362" s="2">
        <v>6</v>
      </c>
      <c r="D9362" t="str">
        <f t="shared" si="146"/>
        <v>US-2017-155866_OFF-PA-10004735</v>
      </c>
      <c r="E9362" t="str">
        <f>IF(COUNTIF(data2!$D:$D,D9362)=0,"Missing in Data2","Present")</f>
        <v>Present</v>
      </c>
    </row>
    <row r="9363" spans="1:5" x14ac:dyDescent="0.25">
      <c r="A9363" s="2" t="s">
        <v>6678</v>
      </c>
      <c r="B9363" s="2" t="s">
        <v>2875</v>
      </c>
      <c r="C9363" s="2">
        <v>2</v>
      </c>
      <c r="D9363" t="str">
        <f t="shared" si="146"/>
        <v>US-2017-155999_OFF-BI-10000404</v>
      </c>
      <c r="E9363" t="str">
        <f>IF(COUNTIF(data2!$D:$D,D9363)=0,"Missing in Data2","Present")</f>
        <v>Present</v>
      </c>
    </row>
    <row r="9364" spans="1:5" x14ac:dyDescent="0.25">
      <c r="A9364" s="2" t="s">
        <v>6678</v>
      </c>
      <c r="B9364" s="2" t="s">
        <v>368</v>
      </c>
      <c r="C9364" s="2">
        <v>5</v>
      </c>
      <c r="D9364" t="str">
        <f t="shared" si="146"/>
        <v>US-2017-155999_TEC-PH-10000439</v>
      </c>
      <c r="E9364" t="str">
        <f>IF(COUNTIF(data2!$D:$D,D9364)=0,"Missing in Data2","Present")</f>
        <v>Present</v>
      </c>
    </row>
    <row r="9365" spans="1:5" x14ac:dyDescent="0.25">
      <c r="A9365" s="2" t="s">
        <v>6679</v>
      </c>
      <c r="B9365" s="2" t="s">
        <v>861</v>
      </c>
      <c r="C9365" s="2">
        <v>2</v>
      </c>
      <c r="D9365" t="str">
        <f t="shared" si="146"/>
        <v>US-2017-156083_OFF-PA-10001560</v>
      </c>
      <c r="E9365" t="str">
        <f>IF(COUNTIF(data2!$D:$D,D9365)=0,"Missing in Data2","Present")</f>
        <v>Present</v>
      </c>
    </row>
    <row r="9366" spans="1:5" x14ac:dyDescent="0.25">
      <c r="A9366" s="2" t="s">
        <v>6680</v>
      </c>
      <c r="B9366" s="2" t="s">
        <v>740</v>
      </c>
      <c r="C9366" s="2">
        <v>3</v>
      </c>
      <c r="D9366" t="str">
        <f t="shared" si="146"/>
        <v>US-2017-156356_OFF-BI-10000632</v>
      </c>
      <c r="E9366" t="str">
        <f>IF(COUNTIF(data2!$D:$D,D9366)=0,"Missing in Data2","Present")</f>
        <v>Missing in Data2</v>
      </c>
    </row>
    <row r="9367" spans="1:5" x14ac:dyDescent="0.25">
      <c r="A9367" s="2" t="s">
        <v>6680</v>
      </c>
      <c r="B9367" s="2" t="s">
        <v>534</v>
      </c>
      <c r="C9367" s="2">
        <v>1</v>
      </c>
      <c r="D9367" t="str">
        <f t="shared" si="146"/>
        <v>US-2017-156356_OFF-BI-10001107</v>
      </c>
      <c r="E9367" t="str">
        <f>IF(COUNTIF(data2!$D:$D,D9367)=0,"Missing in Data2","Present")</f>
        <v>Present</v>
      </c>
    </row>
    <row r="9368" spans="1:5" x14ac:dyDescent="0.25">
      <c r="A9368" s="2" t="s">
        <v>6680</v>
      </c>
      <c r="B9368" s="2" t="s">
        <v>1585</v>
      </c>
      <c r="C9368" s="2">
        <v>2</v>
      </c>
      <c r="D9368" t="str">
        <f t="shared" si="146"/>
        <v>US-2017-156356_OFF-ST-10002301</v>
      </c>
      <c r="E9368" t="str">
        <f>IF(COUNTIF(data2!$D:$D,D9368)=0,"Missing in Data2","Present")</f>
        <v>Present</v>
      </c>
    </row>
    <row r="9369" spans="1:5" x14ac:dyDescent="0.25">
      <c r="A9369" s="2" t="s">
        <v>6681</v>
      </c>
      <c r="B9369" s="2" t="s">
        <v>1207</v>
      </c>
      <c r="C9369" s="2">
        <v>2</v>
      </c>
      <c r="D9369" t="str">
        <f t="shared" si="146"/>
        <v>US-2017-156909_FUR-CH-10002774</v>
      </c>
      <c r="E9369" t="str">
        <f>IF(COUNTIF(data2!$D:$D,D9369)=0,"Missing in Data2","Present")</f>
        <v>Present</v>
      </c>
    </row>
    <row r="9370" spans="1:5" x14ac:dyDescent="0.25">
      <c r="A9370" s="2" t="s">
        <v>6682</v>
      </c>
      <c r="B9370" s="2" t="s">
        <v>788</v>
      </c>
      <c r="C9370" s="2">
        <v>9</v>
      </c>
      <c r="D9370" t="str">
        <f t="shared" si="146"/>
        <v>US-2017-157224_OFF-LA-10000121</v>
      </c>
      <c r="E9370" t="str">
        <f>IF(COUNTIF(data2!$D:$D,D9370)=0,"Missing in Data2","Present")</f>
        <v>Present</v>
      </c>
    </row>
    <row r="9371" spans="1:5" x14ac:dyDescent="0.25">
      <c r="A9371" s="2" t="s">
        <v>6683</v>
      </c>
      <c r="B9371" s="2" t="s">
        <v>75</v>
      </c>
      <c r="C9371" s="2">
        <v>3</v>
      </c>
      <c r="D9371" t="str">
        <f t="shared" si="146"/>
        <v>US-2017-157896_OFF-PA-10004092</v>
      </c>
      <c r="E9371" t="str">
        <f>IF(COUNTIF(data2!$D:$D,D9371)=0,"Missing in Data2","Present")</f>
        <v>Missing in Data2</v>
      </c>
    </row>
    <row r="9372" spans="1:5" x14ac:dyDescent="0.25">
      <c r="A9372" s="2" t="s">
        <v>6684</v>
      </c>
      <c r="B9372" s="2" t="s">
        <v>823</v>
      </c>
      <c r="C9372" s="2">
        <v>4</v>
      </c>
      <c r="D9372" t="str">
        <f t="shared" si="146"/>
        <v>US-2017-158218_OFF-BI-10002133</v>
      </c>
      <c r="E9372" t="str">
        <f>IF(COUNTIF(data2!$D:$D,D9372)=0,"Missing in Data2","Present")</f>
        <v>Present</v>
      </c>
    </row>
    <row r="9373" spans="1:5" x14ac:dyDescent="0.25">
      <c r="A9373" s="2" t="s">
        <v>6684</v>
      </c>
      <c r="B9373" s="2" t="s">
        <v>1339</v>
      </c>
      <c r="C9373" s="2">
        <v>5</v>
      </c>
      <c r="D9373" t="str">
        <f t="shared" si="146"/>
        <v>US-2017-158218_OFF-ST-10000563</v>
      </c>
      <c r="E9373" t="str">
        <f>IF(COUNTIF(data2!$D:$D,D9373)=0,"Missing in Data2","Present")</f>
        <v>Present</v>
      </c>
    </row>
    <row r="9374" spans="1:5" x14ac:dyDescent="0.25">
      <c r="A9374" s="2" t="s">
        <v>6685</v>
      </c>
      <c r="B9374" s="2" t="s">
        <v>1693</v>
      </c>
      <c r="C9374" s="2">
        <v>1</v>
      </c>
      <c r="D9374" t="str">
        <f t="shared" si="146"/>
        <v>US-2017-158505_OFF-AR-10001044</v>
      </c>
      <c r="E9374" t="str">
        <f>IF(COUNTIF(data2!$D:$D,D9374)=0,"Missing in Data2","Present")</f>
        <v>Present</v>
      </c>
    </row>
    <row r="9375" spans="1:5" x14ac:dyDescent="0.25">
      <c r="A9375" s="2" t="s">
        <v>6685</v>
      </c>
      <c r="B9375" s="2" t="s">
        <v>3348</v>
      </c>
      <c r="C9375" s="2">
        <v>9</v>
      </c>
      <c r="D9375" t="str">
        <f t="shared" si="146"/>
        <v>US-2017-158505_TEC-PH-10004071</v>
      </c>
      <c r="E9375" t="str">
        <f>IF(COUNTIF(data2!$D:$D,D9375)=0,"Missing in Data2","Present")</f>
        <v>Present</v>
      </c>
    </row>
    <row r="9376" spans="1:5" x14ac:dyDescent="0.25">
      <c r="A9376" s="2" t="s">
        <v>6686</v>
      </c>
      <c r="B9376" s="2" t="s">
        <v>2310</v>
      </c>
      <c r="C9376" s="2">
        <v>2</v>
      </c>
      <c r="D9376" t="str">
        <f t="shared" si="146"/>
        <v>US-2017-158512_FUR-FU-10004973</v>
      </c>
      <c r="E9376" t="str">
        <f>IF(COUNTIF(data2!$D:$D,D9376)=0,"Missing in Data2","Present")</f>
        <v>Present</v>
      </c>
    </row>
    <row r="9377" spans="1:5" x14ac:dyDescent="0.25">
      <c r="A9377" s="2" t="s">
        <v>6686</v>
      </c>
      <c r="B9377" s="2" t="s">
        <v>89</v>
      </c>
      <c r="C9377" s="2">
        <v>6</v>
      </c>
      <c r="D9377" t="str">
        <f t="shared" si="146"/>
        <v>US-2017-158512_OFF-PA-10001804</v>
      </c>
      <c r="E9377" t="str">
        <f>IF(COUNTIF(data2!$D:$D,D9377)=0,"Missing in Data2","Present")</f>
        <v>Present</v>
      </c>
    </row>
    <row r="9378" spans="1:5" x14ac:dyDescent="0.25">
      <c r="A9378" s="2" t="s">
        <v>6687</v>
      </c>
      <c r="B9378" s="2" t="s">
        <v>976</v>
      </c>
      <c r="C9378" s="2">
        <v>3</v>
      </c>
      <c r="D9378" t="str">
        <f t="shared" si="146"/>
        <v>US-2017-158526_FUR-CH-10001270</v>
      </c>
      <c r="E9378" t="str">
        <f>IF(COUNTIF(data2!$D:$D,D9378)=0,"Missing in Data2","Present")</f>
        <v>Present</v>
      </c>
    </row>
    <row r="9379" spans="1:5" x14ac:dyDescent="0.25">
      <c r="A9379" s="2" t="s">
        <v>6687</v>
      </c>
      <c r="B9379" s="2" t="s">
        <v>193</v>
      </c>
      <c r="C9379" s="2">
        <v>1</v>
      </c>
      <c r="D9379" t="str">
        <f t="shared" si="146"/>
        <v>US-2017-158526_FUR-CH-10004495</v>
      </c>
      <c r="E9379" t="str">
        <f>IF(COUNTIF(data2!$D:$D,D9379)=0,"Missing in Data2","Present")</f>
        <v>Present</v>
      </c>
    </row>
    <row r="9380" spans="1:5" x14ac:dyDescent="0.25">
      <c r="A9380" s="2" t="s">
        <v>6687</v>
      </c>
      <c r="B9380" s="2" t="s">
        <v>2553</v>
      </c>
      <c r="C9380" s="2">
        <v>1</v>
      </c>
      <c r="D9380" t="str">
        <f t="shared" si="146"/>
        <v>US-2017-158526_OFF-AR-10003696</v>
      </c>
      <c r="E9380" t="str">
        <f>IF(COUNTIF(data2!$D:$D,D9380)=0,"Missing in Data2","Present")</f>
        <v>Present</v>
      </c>
    </row>
    <row r="9381" spans="1:5" x14ac:dyDescent="0.25">
      <c r="A9381" s="2" t="s">
        <v>6687</v>
      </c>
      <c r="B9381" s="2" t="s">
        <v>4005</v>
      </c>
      <c r="C9381" s="2">
        <v>1</v>
      </c>
      <c r="D9381" t="str">
        <f t="shared" si="146"/>
        <v>US-2017-158526_OFF-BI-10002414</v>
      </c>
      <c r="E9381" t="str">
        <f>IF(COUNTIF(data2!$D:$D,D9381)=0,"Missing in Data2","Present")</f>
        <v>Missing in Data2</v>
      </c>
    </row>
    <row r="9382" spans="1:5" x14ac:dyDescent="0.25">
      <c r="A9382" s="2" t="s">
        <v>6688</v>
      </c>
      <c r="B9382" s="2" t="s">
        <v>3188</v>
      </c>
      <c r="C9382" s="2">
        <v>7</v>
      </c>
      <c r="D9382" t="str">
        <f t="shared" si="146"/>
        <v>US-2017-158946_OFF-AR-10001860</v>
      </c>
      <c r="E9382" t="str">
        <f>IF(COUNTIF(data2!$D:$D,D9382)=0,"Missing in Data2","Present")</f>
        <v>Present</v>
      </c>
    </row>
    <row r="9383" spans="1:5" x14ac:dyDescent="0.25">
      <c r="A9383" s="2" t="s">
        <v>6689</v>
      </c>
      <c r="B9383" s="2" t="s">
        <v>124</v>
      </c>
      <c r="C9383" s="2">
        <v>5</v>
      </c>
      <c r="D9383" t="str">
        <f t="shared" si="146"/>
        <v>US-2017-159205_FUR-FU-10001591</v>
      </c>
      <c r="E9383" t="str">
        <f>IF(COUNTIF(data2!$D:$D,D9383)=0,"Missing in Data2","Present")</f>
        <v>Present</v>
      </c>
    </row>
    <row r="9384" spans="1:5" x14ac:dyDescent="0.25">
      <c r="A9384" s="2" t="s">
        <v>6689</v>
      </c>
      <c r="B9384" s="2" t="s">
        <v>1633</v>
      </c>
      <c r="C9384" s="2">
        <v>7</v>
      </c>
      <c r="D9384" t="str">
        <f t="shared" si="146"/>
        <v>US-2017-159205_TEC-PH-10000526</v>
      </c>
      <c r="E9384" t="str">
        <f>IF(COUNTIF(data2!$D:$D,D9384)=0,"Missing in Data2","Present")</f>
        <v>Present</v>
      </c>
    </row>
    <row r="9385" spans="1:5" x14ac:dyDescent="0.25">
      <c r="A9385" s="2" t="s">
        <v>6690</v>
      </c>
      <c r="B9385" s="2" t="s">
        <v>1855</v>
      </c>
      <c r="C9385" s="2">
        <v>2</v>
      </c>
      <c r="D9385" t="str">
        <f t="shared" si="146"/>
        <v>US-2017-159562_OFF-EN-10000461</v>
      </c>
      <c r="E9385" t="str">
        <f>IF(COUNTIF(data2!$D:$D,D9385)=0,"Missing in Data2","Present")</f>
        <v>Present</v>
      </c>
    </row>
    <row r="9386" spans="1:5" x14ac:dyDescent="0.25">
      <c r="A9386" s="2" t="s">
        <v>6691</v>
      </c>
      <c r="B9386" s="2" t="s">
        <v>2166</v>
      </c>
      <c r="C9386" s="2">
        <v>3</v>
      </c>
      <c r="D9386" t="str">
        <f t="shared" si="146"/>
        <v>US-2017-160143_OFF-SU-10004231</v>
      </c>
      <c r="E9386" t="str">
        <f>IF(COUNTIF(data2!$D:$D,D9386)=0,"Missing in Data2","Present")</f>
        <v>Present</v>
      </c>
    </row>
    <row r="9387" spans="1:5" x14ac:dyDescent="0.25">
      <c r="A9387" s="2" t="s">
        <v>6692</v>
      </c>
      <c r="B9387" s="2" t="s">
        <v>267</v>
      </c>
      <c r="C9387" s="2">
        <v>3</v>
      </c>
      <c r="D9387" t="str">
        <f t="shared" si="146"/>
        <v>US-2017-160465_OFF-BI-10001670</v>
      </c>
      <c r="E9387" t="str">
        <f>IF(COUNTIF(data2!$D:$D,D9387)=0,"Missing in Data2","Present")</f>
        <v>Present</v>
      </c>
    </row>
    <row r="9388" spans="1:5" x14ac:dyDescent="0.25">
      <c r="A9388" s="2" t="s">
        <v>6692</v>
      </c>
      <c r="B9388" s="2" t="s">
        <v>6341</v>
      </c>
      <c r="C9388" s="2">
        <v>7</v>
      </c>
      <c r="D9388" t="str">
        <f t="shared" si="146"/>
        <v>US-2017-160465_OFF-ST-10000136</v>
      </c>
      <c r="E9388" t="str">
        <f>IF(COUNTIF(data2!$D:$D,D9388)=0,"Missing in Data2","Present")</f>
        <v>Present</v>
      </c>
    </row>
    <row r="9389" spans="1:5" x14ac:dyDescent="0.25">
      <c r="A9389" s="2" t="s">
        <v>6693</v>
      </c>
      <c r="B9389" s="2" t="s">
        <v>3591</v>
      </c>
      <c r="C9389" s="2">
        <v>1</v>
      </c>
      <c r="D9389" t="str">
        <f t="shared" si="146"/>
        <v>US-2017-160759_FUR-CH-10002961</v>
      </c>
      <c r="E9389" t="str">
        <f>IF(COUNTIF(data2!$D:$D,D9389)=0,"Missing in Data2","Present")</f>
        <v>Present</v>
      </c>
    </row>
    <row r="9390" spans="1:5" x14ac:dyDescent="0.25">
      <c r="A9390" s="2" t="s">
        <v>6694</v>
      </c>
      <c r="B9390" s="2" t="s">
        <v>2413</v>
      </c>
      <c r="C9390" s="2">
        <v>5</v>
      </c>
      <c r="D9390" t="str">
        <f t="shared" si="146"/>
        <v>US-2017-160836_FUR-TA-10002855</v>
      </c>
      <c r="E9390" t="str">
        <f>IF(COUNTIF(data2!$D:$D,D9390)=0,"Missing in Data2","Present")</f>
        <v>Present</v>
      </c>
    </row>
    <row r="9391" spans="1:5" x14ac:dyDescent="0.25">
      <c r="A9391" s="2" t="s">
        <v>6694</v>
      </c>
      <c r="B9391" s="2" t="s">
        <v>1453</v>
      </c>
      <c r="C9391" s="2">
        <v>2</v>
      </c>
      <c r="D9391" t="str">
        <f t="shared" si="146"/>
        <v>US-2017-160836_OFF-AP-10001626</v>
      </c>
      <c r="E9391" t="str">
        <f>IF(COUNTIF(data2!$D:$D,D9391)=0,"Missing in Data2","Present")</f>
        <v>Missing in Data2</v>
      </c>
    </row>
    <row r="9392" spans="1:5" x14ac:dyDescent="0.25">
      <c r="A9392" s="2" t="s">
        <v>6694</v>
      </c>
      <c r="B9392" s="2" t="s">
        <v>3014</v>
      </c>
      <c r="C9392" s="2">
        <v>3</v>
      </c>
      <c r="D9392" t="str">
        <f t="shared" si="146"/>
        <v>US-2017-160836_OFF-PA-10004239</v>
      </c>
      <c r="E9392" t="str">
        <f>IF(COUNTIF(data2!$D:$D,D9392)=0,"Missing in Data2","Present")</f>
        <v>Present</v>
      </c>
    </row>
    <row r="9393" spans="1:5" x14ac:dyDescent="0.25">
      <c r="A9393" s="2" t="s">
        <v>6695</v>
      </c>
      <c r="B9393" s="2" t="s">
        <v>3306</v>
      </c>
      <c r="C9393" s="2">
        <v>2</v>
      </c>
      <c r="D9393" t="str">
        <f t="shared" si="146"/>
        <v>US-2017-161193_FUR-FU-10000206</v>
      </c>
      <c r="E9393" t="str">
        <f>IF(COUNTIF(data2!$D:$D,D9393)=0,"Missing in Data2","Present")</f>
        <v>Present</v>
      </c>
    </row>
    <row r="9394" spans="1:5" x14ac:dyDescent="0.25">
      <c r="A9394" s="2" t="s">
        <v>6695</v>
      </c>
      <c r="B9394" s="2" t="s">
        <v>979</v>
      </c>
      <c r="C9394" s="2">
        <v>5</v>
      </c>
      <c r="D9394" t="str">
        <f t="shared" si="146"/>
        <v>US-2017-161193_FUR-FU-10001861</v>
      </c>
      <c r="E9394" t="str">
        <f>IF(COUNTIF(data2!$D:$D,D9394)=0,"Missing in Data2","Present")</f>
        <v>Present</v>
      </c>
    </row>
    <row r="9395" spans="1:5" x14ac:dyDescent="0.25">
      <c r="A9395" s="2" t="s">
        <v>6696</v>
      </c>
      <c r="B9395" s="2" t="s">
        <v>2850</v>
      </c>
      <c r="C9395" s="2">
        <v>5</v>
      </c>
      <c r="D9395" t="str">
        <f t="shared" si="146"/>
        <v>US-2017-161935_FUR-FU-10002937</v>
      </c>
      <c r="E9395" t="str">
        <f>IF(COUNTIF(data2!$D:$D,D9395)=0,"Missing in Data2","Present")</f>
        <v>Present</v>
      </c>
    </row>
    <row r="9396" spans="1:5" x14ac:dyDescent="0.25">
      <c r="A9396" s="2" t="s">
        <v>6696</v>
      </c>
      <c r="B9396" s="2" t="s">
        <v>58</v>
      </c>
      <c r="C9396" s="2">
        <v>5</v>
      </c>
      <c r="D9396" t="str">
        <f t="shared" si="146"/>
        <v>US-2017-161935_OFF-AR-10004757</v>
      </c>
      <c r="E9396" t="str">
        <f>IF(COUNTIF(data2!$D:$D,D9396)=0,"Missing in Data2","Present")</f>
        <v>Present</v>
      </c>
    </row>
    <row r="9397" spans="1:5" x14ac:dyDescent="0.25">
      <c r="A9397" s="2" t="s">
        <v>6696</v>
      </c>
      <c r="B9397" s="2" t="s">
        <v>3103</v>
      </c>
      <c r="C9397" s="2">
        <v>2</v>
      </c>
      <c r="D9397" t="str">
        <f t="shared" si="146"/>
        <v>US-2017-161935_OFF-PA-10000605</v>
      </c>
      <c r="E9397" t="str">
        <f>IF(COUNTIF(data2!$D:$D,D9397)=0,"Missing in Data2","Present")</f>
        <v>Present</v>
      </c>
    </row>
    <row r="9398" spans="1:5" x14ac:dyDescent="0.25">
      <c r="A9398" s="2" t="s">
        <v>6696</v>
      </c>
      <c r="B9398" s="2" t="s">
        <v>1297</v>
      </c>
      <c r="C9398" s="2">
        <v>7</v>
      </c>
      <c r="D9398" t="str">
        <f t="shared" si="146"/>
        <v>US-2017-161935_OFF-ST-10001837</v>
      </c>
      <c r="E9398" t="str">
        <f>IF(COUNTIF(data2!$D:$D,D9398)=0,"Missing in Data2","Present")</f>
        <v>Present</v>
      </c>
    </row>
    <row r="9399" spans="1:5" x14ac:dyDescent="0.25">
      <c r="A9399" s="2" t="s">
        <v>6696</v>
      </c>
      <c r="B9399" s="2" t="s">
        <v>1433</v>
      </c>
      <c r="C9399" s="2">
        <v>5</v>
      </c>
      <c r="D9399" t="str">
        <f t="shared" si="146"/>
        <v>US-2017-161935_OFF-ST-10003455</v>
      </c>
      <c r="E9399" t="str">
        <f>IF(COUNTIF(data2!$D:$D,D9399)=0,"Missing in Data2","Present")</f>
        <v>Present</v>
      </c>
    </row>
    <row r="9400" spans="1:5" x14ac:dyDescent="0.25">
      <c r="A9400" s="2" t="s">
        <v>6696</v>
      </c>
      <c r="B9400" s="2" t="s">
        <v>234</v>
      </c>
      <c r="C9400" s="2">
        <v>9</v>
      </c>
      <c r="D9400" t="str">
        <f t="shared" si="146"/>
        <v>US-2017-161935_TEC-PH-10000560</v>
      </c>
      <c r="E9400" t="str">
        <f>IF(COUNTIF(data2!$D:$D,D9400)=0,"Missing in Data2","Present")</f>
        <v>Present</v>
      </c>
    </row>
    <row r="9401" spans="1:5" x14ac:dyDescent="0.25">
      <c r="A9401" s="2" t="s">
        <v>6697</v>
      </c>
      <c r="B9401" s="2" t="s">
        <v>2917</v>
      </c>
      <c r="C9401" s="2">
        <v>2</v>
      </c>
      <c r="D9401" t="str">
        <f t="shared" si="146"/>
        <v>US-2017-162068_OFF-BI-10002813</v>
      </c>
      <c r="E9401" t="str">
        <f>IF(COUNTIF(data2!$D:$D,D9401)=0,"Missing in Data2","Present")</f>
        <v>Present</v>
      </c>
    </row>
    <row r="9402" spans="1:5" x14ac:dyDescent="0.25">
      <c r="A9402" s="2" t="s">
        <v>6698</v>
      </c>
      <c r="B9402" s="2" t="s">
        <v>3755</v>
      </c>
      <c r="C9402" s="2">
        <v>4</v>
      </c>
      <c r="D9402" t="str">
        <f t="shared" si="146"/>
        <v>US-2017-162124_TEC-AC-10001990</v>
      </c>
      <c r="E9402" t="str">
        <f>IF(COUNTIF(data2!$D:$D,D9402)=0,"Missing in Data2","Present")</f>
        <v>Present</v>
      </c>
    </row>
    <row r="9403" spans="1:5" x14ac:dyDescent="0.25">
      <c r="A9403" s="2" t="s">
        <v>6699</v>
      </c>
      <c r="B9403" s="2" t="s">
        <v>323</v>
      </c>
      <c r="C9403" s="2">
        <v>1</v>
      </c>
      <c r="D9403" t="str">
        <f t="shared" si="146"/>
        <v>US-2017-162208_OFF-EN-10004030</v>
      </c>
      <c r="E9403" t="str">
        <f>IF(COUNTIF(data2!$D:$D,D9403)=0,"Missing in Data2","Present")</f>
        <v>Present</v>
      </c>
    </row>
    <row r="9404" spans="1:5" x14ac:dyDescent="0.25">
      <c r="A9404" s="2" t="s">
        <v>6700</v>
      </c>
      <c r="B9404" s="2" t="s">
        <v>1325</v>
      </c>
      <c r="C9404" s="2">
        <v>2</v>
      </c>
      <c r="D9404" t="str">
        <f t="shared" si="146"/>
        <v>US-2017-162558_FUR-FU-10002364</v>
      </c>
      <c r="E9404" t="str">
        <f>IF(COUNTIF(data2!$D:$D,D9404)=0,"Missing in Data2","Present")</f>
        <v>Missing in Data2</v>
      </c>
    </row>
    <row r="9405" spans="1:5" x14ac:dyDescent="0.25">
      <c r="A9405" s="2" t="s">
        <v>6700</v>
      </c>
      <c r="B9405" s="2" t="s">
        <v>851</v>
      </c>
      <c r="C9405" s="2">
        <v>2</v>
      </c>
      <c r="D9405" t="str">
        <f t="shared" si="146"/>
        <v>US-2017-162558_FUR-FU-10003691</v>
      </c>
      <c r="E9405" t="str">
        <f>IF(COUNTIF(data2!$D:$D,D9405)=0,"Missing in Data2","Present")</f>
        <v>Present</v>
      </c>
    </row>
    <row r="9406" spans="1:5" x14ac:dyDescent="0.25">
      <c r="A9406" s="2" t="s">
        <v>6700</v>
      </c>
      <c r="B9406" s="2" t="s">
        <v>226</v>
      </c>
      <c r="C9406" s="2">
        <v>1</v>
      </c>
      <c r="D9406" t="str">
        <f t="shared" si="146"/>
        <v>US-2017-162558_FUR-FU-10004864</v>
      </c>
      <c r="E9406" t="str">
        <f>IF(COUNTIF(data2!$D:$D,D9406)=0,"Missing in Data2","Present")</f>
        <v>Present</v>
      </c>
    </row>
    <row r="9407" spans="1:5" x14ac:dyDescent="0.25">
      <c r="A9407" s="2" t="s">
        <v>6700</v>
      </c>
      <c r="B9407" s="2" t="s">
        <v>2199</v>
      </c>
      <c r="C9407" s="2">
        <v>7</v>
      </c>
      <c r="D9407" t="str">
        <f t="shared" si="146"/>
        <v>US-2017-162558_FUR-TA-10000198</v>
      </c>
      <c r="E9407" t="str">
        <f>IF(COUNTIF(data2!$D:$D,D9407)=0,"Missing in Data2","Present")</f>
        <v>Present</v>
      </c>
    </row>
    <row r="9408" spans="1:5" x14ac:dyDescent="0.25">
      <c r="A9408" s="2" t="s">
        <v>6700</v>
      </c>
      <c r="B9408" s="2" t="s">
        <v>859</v>
      </c>
      <c r="C9408" s="2">
        <v>3</v>
      </c>
      <c r="D9408" t="str">
        <f t="shared" si="146"/>
        <v>US-2017-162558_OFF-BI-10000977</v>
      </c>
      <c r="E9408" t="str">
        <f>IF(COUNTIF(data2!$D:$D,D9408)=0,"Missing in Data2","Present")</f>
        <v>Present</v>
      </c>
    </row>
    <row r="9409" spans="1:5" x14ac:dyDescent="0.25">
      <c r="A9409" s="2" t="s">
        <v>6700</v>
      </c>
      <c r="B9409" s="2" t="s">
        <v>49</v>
      </c>
      <c r="C9409" s="2">
        <v>4</v>
      </c>
      <c r="D9409" t="str">
        <f t="shared" si="146"/>
        <v>US-2017-162558_OFF-BI-10003984</v>
      </c>
      <c r="E9409" t="str">
        <f>IF(COUNTIF(data2!$D:$D,D9409)=0,"Missing in Data2","Present")</f>
        <v>Present</v>
      </c>
    </row>
    <row r="9410" spans="1:5" x14ac:dyDescent="0.25">
      <c r="A9410" s="2" t="s">
        <v>6700</v>
      </c>
      <c r="B9410" s="2" t="s">
        <v>1909</v>
      </c>
      <c r="C9410" s="2">
        <v>4</v>
      </c>
      <c r="D9410" t="str">
        <f t="shared" si="146"/>
        <v>US-2017-162558_OFF-PA-10003172</v>
      </c>
      <c r="E9410" t="str">
        <f>IF(COUNTIF(data2!$D:$D,D9410)=0,"Missing in Data2","Present")</f>
        <v>Present</v>
      </c>
    </row>
    <row r="9411" spans="1:5" x14ac:dyDescent="0.25">
      <c r="A9411" s="2" t="s">
        <v>6701</v>
      </c>
      <c r="B9411" s="2" t="s">
        <v>452</v>
      </c>
      <c r="C9411" s="2">
        <v>3</v>
      </c>
      <c r="D9411" t="str">
        <f t="shared" ref="D9411:D9474" si="147">A9411&amp;"_"&amp;B9411</f>
        <v>US-2017-162670_OFF-EN-10001453</v>
      </c>
      <c r="E9411" t="str">
        <f>IF(COUNTIF(data2!$D:$D,D9411)=0,"Missing in Data2","Present")</f>
        <v>Present</v>
      </c>
    </row>
    <row r="9412" spans="1:5" x14ac:dyDescent="0.25">
      <c r="A9412" s="2" t="s">
        <v>6701</v>
      </c>
      <c r="B9412" s="2" t="s">
        <v>3435</v>
      </c>
      <c r="C9412" s="2">
        <v>2</v>
      </c>
      <c r="D9412" t="str">
        <f t="shared" si="147"/>
        <v>US-2017-162670_OFF-PA-10001994</v>
      </c>
      <c r="E9412" t="str">
        <f>IF(COUNTIF(data2!$D:$D,D9412)=0,"Missing in Data2","Present")</f>
        <v>Present</v>
      </c>
    </row>
    <row r="9413" spans="1:5" x14ac:dyDescent="0.25">
      <c r="A9413" s="2" t="s">
        <v>6701</v>
      </c>
      <c r="B9413" s="2" t="s">
        <v>2856</v>
      </c>
      <c r="C9413" s="2">
        <v>4</v>
      </c>
      <c r="D9413" t="str">
        <f t="shared" si="147"/>
        <v>US-2017-162670_OFF-ST-10001328</v>
      </c>
      <c r="E9413" t="str">
        <f>IF(COUNTIF(data2!$D:$D,D9413)=0,"Missing in Data2","Present")</f>
        <v>Present</v>
      </c>
    </row>
    <row r="9414" spans="1:5" x14ac:dyDescent="0.25">
      <c r="A9414" s="2" t="s">
        <v>6701</v>
      </c>
      <c r="B9414" s="2" t="s">
        <v>374</v>
      </c>
      <c r="C9414" s="2">
        <v>4</v>
      </c>
      <c r="D9414" t="str">
        <f t="shared" si="147"/>
        <v>US-2017-162670_OFF-ST-10001522</v>
      </c>
      <c r="E9414" t="str">
        <f>IF(COUNTIF(data2!$D:$D,D9414)=0,"Missing in Data2","Present")</f>
        <v>Present</v>
      </c>
    </row>
    <row r="9415" spans="1:5" x14ac:dyDescent="0.25">
      <c r="A9415" s="2" t="s">
        <v>6701</v>
      </c>
      <c r="B9415" s="2" t="s">
        <v>3077</v>
      </c>
      <c r="C9415" s="2">
        <v>3</v>
      </c>
      <c r="D9415" t="str">
        <f t="shared" si="147"/>
        <v>US-2017-162670_TEC-PH-10003601</v>
      </c>
      <c r="E9415" t="str">
        <f>IF(COUNTIF(data2!$D:$D,D9415)=0,"Missing in Data2","Present")</f>
        <v>Present</v>
      </c>
    </row>
    <row r="9416" spans="1:5" x14ac:dyDescent="0.25">
      <c r="A9416" s="2" t="s">
        <v>6702</v>
      </c>
      <c r="B9416" s="2" t="s">
        <v>2347</v>
      </c>
      <c r="C9416" s="2">
        <v>3</v>
      </c>
      <c r="D9416" t="str">
        <f t="shared" si="147"/>
        <v>US-2017-163195_TEC-PH-10003875</v>
      </c>
      <c r="E9416" t="str">
        <f>IF(COUNTIF(data2!$D:$D,D9416)=0,"Missing in Data2","Present")</f>
        <v>Present</v>
      </c>
    </row>
    <row r="9417" spans="1:5" x14ac:dyDescent="0.25">
      <c r="A9417" s="2" t="s">
        <v>6703</v>
      </c>
      <c r="B9417" s="2" t="s">
        <v>858</v>
      </c>
      <c r="C9417" s="2">
        <v>3</v>
      </c>
      <c r="D9417" t="str">
        <f t="shared" si="147"/>
        <v>US-2017-163300_FUR-CH-10003396</v>
      </c>
      <c r="E9417" t="str">
        <f>IF(COUNTIF(data2!$D:$D,D9417)=0,"Missing in Data2","Present")</f>
        <v>Present</v>
      </c>
    </row>
    <row r="9418" spans="1:5" x14ac:dyDescent="0.25">
      <c r="A9418" s="2" t="s">
        <v>6703</v>
      </c>
      <c r="B9418" s="2" t="s">
        <v>895</v>
      </c>
      <c r="C9418" s="2">
        <v>7</v>
      </c>
      <c r="D9418" t="str">
        <f t="shared" si="147"/>
        <v>US-2017-163300_OFF-BI-10004390</v>
      </c>
      <c r="E9418" t="str">
        <f>IF(COUNTIF(data2!$D:$D,D9418)=0,"Missing in Data2","Present")</f>
        <v>Present</v>
      </c>
    </row>
    <row r="9419" spans="1:5" x14ac:dyDescent="0.25">
      <c r="A9419" s="2" t="s">
        <v>6703</v>
      </c>
      <c r="B9419" s="2" t="s">
        <v>2325</v>
      </c>
      <c r="C9419" s="2">
        <v>7</v>
      </c>
      <c r="D9419" t="str">
        <f t="shared" si="147"/>
        <v>US-2017-163300_TEC-PH-10001700</v>
      </c>
      <c r="E9419" t="str">
        <f>IF(COUNTIF(data2!$D:$D,D9419)=0,"Missing in Data2","Present")</f>
        <v>Present</v>
      </c>
    </row>
    <row r="9420" spans="1:5" x14ac:dyDescent="0.25">
      <c r="A9420" s="2" t="s">
        <v>6704</v>
      </c>
      <c r="B9420" s="2" t="s">
        <v>37</v>
      </c>
      <c r="C9420" s="2">
        <v>2</v>
      </c>
      <c r="D9420" t="str">
        <f t="shared" si="147"/>
        <v>US-2017-163657_FUR-TA-10004607</v>
      </c>
      <c r="E9420" t="str">
        <f>IF(COUNTIF(data2!$D:$D,D9420)=0,"Missing in Data2","Present")</f>
        <v>Present</v>
      </c>
    </row>
    <row r="9421" spans="1:5" x14ac:dyDescent="0.25">
      <c r="A9421" s="2" t="s">
        <v>6704</v>
      </c>
      <c r="B9421" s="2" t="s">
        <v>1490</v>
      </c>
      <c r="C9421" s="2">
        <v>5</v>
      </c>
      <c r="D9421" t="str">
        <f t="shared" si="147"/>
        <v>US-2017-163657_OFF-BI-10000138</v>
      </c>
      <c r="E9421" t="str">
        <f>IF(COUNTIF(data2!$D:$D,D9421)=0,"Missing in Data2","Present")</f>
        <v>Missing in Data2</v>
      </c>
    </row>
    <row r="9422" spans="1:5" x14ac:dyDescent="0.25">
      <c r="A9422" s="2" t="s">
        <v>6705</v>
      </c>
      <c r="B9422" s="2" t="s">
        <v>169</v>
      </c>
      <c r="C9422" s="2">
        <v>3</v>
      </c>
      <c r="D9422" t="str">
        <f t="shared" si="147"/>
        <v>US-2017-163790_FUR-FU-10002508</v>
      </c>
      <c r="E9422" t="str">
        <f>IF(COUNTIF(data2!$D:$D,D9422)=0,"Missing in Data2","Present")</f>
        <v>Present</v>
      </c>
    </row>
    <row r="9423" spans="1:5" x14ac:dyDescent="0.25">
      <c r="A9423" s="2" t="s">
        <v>6705</v>
      </c>
      <c r="B9423" s="2" t="s">
        <v>719</v>
      </c>
      <c r="C9423" s="2">
        <v>5</v>
      </c>
      <c r="D9423" t="str">
        <f t="shared" si="147"/>
        <v>US-2017-163790_OFF-AR-10003469</v>
      </c>
      <c r="E9423" t="str">
        <f>IF(COUNTIF(data2!$D:$D,D9423)=0,"Missing in Data2","Present")</f>
        <v>Present</v>
      </c>
    </row>
    <row r="9424" spans="1:5" x14ac:dyDescent="0.25">
      <c r="A9424" s="2" t="s">
        <v>6705</v>
      </c>
      <c r="B9424" s="2" t="s">
        <v>2734</v>
      </c>
      <c r="C9424" s="2">
        <v>6</v>
      </c>
      <c r="D9424" t="str">
        <f t="shared" si="147"/>
        <v>US-2017-163790_OFF-BI-10003718</v>
      </c>
      <c r="E9424" t="str">
        <f>IF(COUNTIF(data2!$D:$D,D9424)=0,"Missing in Data2","Present")</f>
        <v>Present</v>
      </c>
    </row>
    <row r="9425" spans="1:5" x14ac:dyDescent="0.25">
      <c r="A9425" s="2" t="s">
        <v>6705</v>
      </c>
      <c r="B9425" s="2" t="s">
        <v>1155</v>
      </c>
      <c r="C9425" s="2">
        <v>7</v>
      </c>
      <c r="D9425" t="str">
        <f t="shared" si="147"/>
        <v>US-2017-163790_OFF-EN-10001335</v>
      </c>
      <c r="E9425" t="str">
        <f>IF(COUNTIF(data2!$D:$D,D9425)=0,"Missing in Data2","Present")</f>
        <v>Present</v>
      </c>
    </row>
    <row r="9426" spans="1:5" x14ac:dyDescent="0.25">
      <c r="A9426" s="2" t="s">
        <v>6705</v>
      </c>
      <c r="B9426" s="2" t="s">
        <v>1639</v>
      </c>
      <c r="C9426" s="2">
        <v>3</v>
      </c>
      <c r="D9426" t="str">
        <f t="shared" si="147"/>
        <v>US-2017-163790_OFF-FA-10004838</v>
      </c>
      <c r="E9426" t="str">
        <f>IF(COUNTIF(data2!$D:$D,D9426)=0,"Missing in Data2","Present")</f>
        <v>Present</v>
      </c>
    </row>
    <row r="9427" spans="1:5" x14ac:dyDescent="0.25">
      <c r="A9427" s="2" t="s">
        <v>6705</v>
      </c>
      <c r="B9427" s="2" t="s">
        <v>81</v>
      </c>
      <c r="C9427" s="2">
        <v>7</v>
      </c>
      <c r="D9427" t="str">
        <f t="shared" si="147"/>
        <v>US-2017-163790_OFF-ST-10001511</v>
      </c>
      <c r="E9427" t="str">
        <f>IF(COUNTIF(data2!$D:$D,D9427)=0,"Missing in Data2","Present")</f>
        <v>Present</v>
      </c>
    </row>
    <row r="9428" spans="1:5" x14ac:dyDescent="0.25">
      <c r="A9428" s="2" t="s">
        <v>6706</v>
      </c>
      <c r="B9428" s="2" t="s">
        <v>3020</v>
      </c>
      <c r="C9428" s="2">
        <v>5</v>
      </c>
      <c r="D9428" t="str">
        <f t="shared" si="147"/>
        <v>US-2017-164056_FUR-TA-10001307</v>
      </c>
      <c r="E9428" t="str">
        <f>IF(COUNTIF(data2!$D:$D,D9428)=0,"Missing in Data2","Present")</f>
        <v>Missing in Data2</v>
      </c>
    </row>
    <row r="9429" spans="1:5" x14ac:dyDescent="0.25">
      <c r="A9429" s="2" t="s">
        <v>6707</v>
      </c>
      <c r="B9429" s="2" t="s">
        <v>703</v>
      </c>
      <c r="C9429" s="2">
        <v>9</v>
      </c>
      <c r="D9429" t="str">
        <f t="shared" si="147"/>
        <v>US-2017-164147_OFF-FA-10002780</v>
      </c>
      <c r="E9429" t="str">
        <f>IF(COUNTIF(data2!$D:$D,D9429)=0,"Missing in Data2","Present")</f>
        <v>Present</v>
      </c>
    </row>
    <row r="9430" spans="1:5" x14ac:dyDescent="0.25">
      <c r="A9430" s="2" t="s">
        <v>6707</v>
      </c>
      <c r="B9430" s="2" t="s">
        <v>592</v>
      </c>
      <c r="C9430" s="2">
        <v>2</v>
      </c>
      <c r="D9430" t="str">
        <f t="shared" si="147"/>
        <v>US-2017-164147_OFF-PA-10002377</v>
      </c>
      <c r="E9430" t="str">
        <f>IF(COUNTIF(data2!$D:$D,D9430)=0,"Missing in Data2","Present")</f>
        <v>Present</v>
      </c>
    </row>
    <row r="9431" spans="1:5" x14ac:dyDescent="0.25">
      <c r="A9431" s="2" t="s">
        <v>6707</v>
      </c>
      <c r="B9431" s="2" t="s">
        <v>3106</v>
      </c>
      <c r="C9431" s="2">
        <v>5</v>
      </c>
      <c r="D9431" t="str">
        <f t="shared" si="147"/>
        <v>US-2017-164147_TEC-PH-10002293</v>
      </c>
      <c r="E9431" t="str">
        <f>IF(COUNTIF(data2!$D:$D,D9431)=0,"Missing in Data2","Present")</f>
        <v>Present</v>
      </c>
    </row>
    <row r="9432" spans="1:5" x14ac:dyDescent="0.25">
      <c r="A9432" s="2" t="s">
        <v>6708</v>
      </c>
      <c r="B9432" s="2" t="s">
        <v>179</v>
      </c>
      <c r="C9432" s="2">
        <v>4</v>
      </c>
      <c r="D9432" t="str">
        <f t="shared" si="147"/>
        <v>US-2017-165344_TEC-AC-10002399</v>
      </c>
      <c r="E9432" t="str">
        <f>IF(COUNTIF(data2!$D:$D,D9432)=0,"Missing in Data2","Present")</f>
        <v>Present</v>
      </c>
    </row>
    <row r="9433" spans="1:5" x14ac:dyDescent="0.25">
      <c r="A9433" s="2" t="s">
        <v>6708</v>
      </c>
      <c r="B9433" s="2" t="s">
        <v>6709</v>
      </c>
      <c r="C9433" s="2">
        <v>7</v>
      </c>
      <c r="D9433" t="str">
        <f t="shared" si="147"/>
        <v>US-2017-165344_TEC-MA-10002210</v>
      </c>
      <c r="E9433" t="str">
        <f>IF(COUNTIF(data2!$D:$D,D9433)=0,"Missing in Data2","Present")</f>
        <v>Present</v>
      </c>
    </row>
    <row r="9434" spans="1:5" x14ac:dyDescent="0.25">
      <c r="A9434" s="2" t="s">
        <v>6710</v>
      </c>
      <c r="B9434" s="2" t="s">
        <v>1419</v>
      </c>
      <c r="C9434" s="2">
        <v>4</v>
      </c>
      <c r="D9434" t="str">
        <f t="shared" si="147"/>
        <v>US-2017-165358_FUR-CH-10002647</v>
      </c>
      <c r="E9434" t="str">
        <f>IF(COUNTIF(data2!$D:$D,D9434)=0,"Missing in Data2","Present")</f>
        <v>Present</v>
      </c>
    </row>
    <row r="9435" spans="1:5" x14ac:dyDescent="0.25">
      <c r="A9435" s="2" t="s">
        <v>6710</v>
      </c>
      <c r="B9435" s="2" t="s">
        <v>6060</v>
      </c>
      <c r="C9435" s="2">
        <v>2</v>
      </c>
      <c r="D9435" t="str">
        <f t="shared" si="147"/>
        <v>US-2017-165358_OFF-SU-10004768</v>
      </c>
      <c r="E9435" t="str">
        <f>IF(COUNTIF(data2!$D:$D,D9435)=0,"Missing in Data2","Present")</f>
        <v>Present</v>
      </c>
    </row>
    <row r="9436" spans="1:5" x14ac:dyDescent="0.25">
      <c r="A9436" s="2" t="s">
        <v>6711</v>
      </c>
      <c r="B9436" s="2" t="s">
        <v>1296</v>
      </c>
      <c r="C9436" s="2">
        <v>6</v>
      </c>
      <c r="D9436" t="str">
        <f t="shared" si="147"/>
        <v>US-2017-165456_FUR-CH-10003981</v>
      </c>
      <c r="E9436" t="str">
        <f>IF(COUNTIF(data2!$D:$D,D9436)=0,"Missing in Data2","Present")</f>
        <v>Missing in Data2</v>
      </c>
    </row>
    <row r="9437" spans="1:5" x14ac:dyDescent="0.25">
      <c r="A9437" s="2" t="s">
        <v>6712</v>
      </c>
      <c r="B9437" s="2" t="s">
        <v>2047</v>
      </c>
      <c r="C9437" s="2">
        <v>6</v>
      </c>
      <c r="D9437" t="str">
        <f t="shared" si="147"/>
        <v>US-2017-165869_OFF-AP-10002472</v>
      </c>
      <c r="E9437" t="str">
        <f>IF(COUNTIF(data2!$D:$D,D9437)=0,"Missing in Data2","Present")</f>
        <v>Present</v>
      </c>
    </row>
    <row r="9438" spans="1:5" x14ac:dyDescent="0.25">
      <c r="A9438" s="2" t="s">
        <v>6712</v>
      </c>
      <c r="B9438" s="2" t="s">
        <v>2342</v>
      </c>
      <c r="C9438" s="2">
        <v>4</v>
      </c>
      <c r="D9438" t="str">
        <f t="shared" si="147"/>
        <v>US-2017-165869_OFF-BI-10003460</v>
      </c>
      <c r="E9438" t="str">
        <f>IF(COUNTIF(data2!$D:$D,D9438)=0,"Missing in Data2","Present")</f>
        <v>Present</v>
      </c>
    </row>
    <row r="9439" spans="1:5" x14ac:dyDescent="0.25">
      <c r="A9439" s="2" t="s">
        <v>6713</v>
      </c>
      <c r="B9439" s="2" t="s">
        <v>1821</v>
      </c>
      <c r="C9439" s="2">
        <v>3</v>
      </c>
      <c r="D9439" t="str">
        <f t="shared" si="147"/>
        <v>US-2017-165953_OFF-AR-10000588</v>
      </c>
      <c r="E9439" t="str">
        <f>IF(COUNTIF(data2!$D:$D,D9439)=0,"Missing in Data2","Present")</f>
        <v>Present</v>
      </c>
    </row>
    <row r="9440" spans="1:5" x14ac:dyDescent="0.25">
      <c r="A9440" s="2" t="s">
        <v>6713</v>
      </c>
      <c r="B9440" s="2" t="s">
        <v>2694</v>
      </c>
      <c r="C9440" s="2">
        <v>5</v>
      </c>
      <c r="D9440" t="str">
        <f t="shared" si="147"/>
        <v>US-2017-165953_OFF-PA-10002250</v>
      </c>
      <c r="E9440" t="str">
        <f>IF(COUNTIF(data2!$D:$D,D9440)=0,"Missing in Data2","Present")</f>
        <v>Present</v>
      </c>
    </row>
    <row r="9441" spans="1:5" x14ac:dyDescent="0.25">
      <c r="A9441" s="2" t="s">
        <v>6714</v>
      </c>
      <c r="B9441" s="2" t="s">
        <v>507</v>
      </c>
      <c r="C9441" s="2">
        <v>9</v>
      </c>
      <c r="D9441" t="str">
        <f t="shared" si="147"/>
        <v>US-2017-166037_TEC-AC-10002800</v>
      </c>
      <c r="E9441" t="str">
        <f>IF(COUNTIF(data2!$D:$D,D9441)=0,"Missing in Data2","Present")</f>
        <v>Present</v>
      </c>
    </row>
    <row r="9442" spans="1:5" x14ac:dyDescent="0.25">
      <c r="A9442" s="2" t="s">
        <v>6715</v>
      </c>
      <c r="B9442" s="2" t="s">
        <v>1315</v>
      </c>
      <c r="C9442" s="2">
        <v>2</v>
      </c>
      <c r="D9442" t="str">
        <f t="shared" si="147"/>
        <v>US-2017-166233_TEC-AC-10002167</v>
      </c>
      <c r="E9442" t="str">
        <f>IF(COUNTIF(data2!$D:$D,D9442)=0,"Missing in Data2","Present")</f>
        <v>Present</v>
      </c>
    </row>
    <row r="9443" spans="1:5" x14ac:dyDescent="0.25">
      <c r="A9443" s="2" t="s">
        <v>6716</v>
      </c>
      <c r="B9443" s="2" t="s">
        <v>423</v>
      </c>
      <c r="C9443" s="2">
        <v>5</v>
      </c>
      <c r="D9443" t="str">
        <f t="shared" si="147"/>
        <v>US-2017-166324_OFF-BI-10000174</v>
      </c>
      <c r="E9443" t="str">
        <f>IF(COUNTIF(data2!$D:$D,D9443)=0,"Missing in Data2","Present")</f>
        <v>Present</v>
      </c>
    </row>
    <row r="9444" spans="1:5" x14ac:dyDescent="0.25">
      <c r="A9444" s="2" t="s">
        <v>6716</v>
      </c>
      <c r="B9444" s="2" t="s">
        <v>835</v>
      </c>
      <c r="C9444" s="2">
        <v>4</v>
      </c>
      <c r="D9444" t="str">
        <f t="shared" si="147"/>
        <v>US-2017-166324_OFF-ST-10000078</v>
      </c>
      <c r="E9444" t="str">
        <f>IF(COUNTIF(data2!$D:$D,D9444)=0,"Missing in Data2","Present")</f>
        <v>Present</v>
      </c>
    </row>
    <row r="9445" spans="1:5" x14ac:dyDescent="0.25">
      <c r="A9445" s="2" t="s">
        <v>6716</v>
      </c>
      <c r="B9445" s="2" t="s">
        <v>3970</v>
      </c>
      <c r="C9445" s="2">
        <v>3</v>
      </c>
      <c r="D9445" t="str">
        <f t="shared" si="147"/>
        <v>US-2017-166324_TEC-PH-10004080</v>
      </c>
      <c r="E9445" t="str">
        <f>IF(COUNTIF(data2!$D:$D,D9445)=0,"Missing in Data2","Present")</f>
        <v>Present</v>
      </c>
    </row>
    <row r="9446" spans="1:5" x14ac:dyDescent="0.25">
      <c r="A9446" s="2" t="s">
        <v>6717</v>
      </c>
      <c r="B9446" s="2" t="s">
        <v>1187</v>
      </c>
      <c r="C9446" s="2">
        <v>6</v>
      </c>
      <c r="D9446" t="str">
        <f t="shared" si="147"/>
        <v>US-2017-166394_OFF-FA-10001843</v>
      </c>
      <c r="E9446" t="str">
        <f>IF(COUNTIF(data2!$D:$D,D9446)=0,"Missing in Data2","Present")</f>
        <v>Present</v>
      </c>
    </row>
    <row r="9447" spans="1:5" x14ac:dyDescent="0.25">
      <c r="A9447" s="2" t="s">
        <v>6718</v>
      </c>
      <c r="B9447" s="2" t="s">
        <v>666</v>
      </c>
      <c r="C9447" s="2">
        <v>9</v>
      </c>
      <c r="D9447" t="str">
        <f t="shared" si="147"/>
        <v>US-2017-166611_OFF-BI-10001191</v>
      </c>
      <c r="E9447" t="str">
        <f>IF(COUNTIF(data2!$D:$D,D9447)=0,"Missing in Data2","Present")</f>
        <v>Present</v>
      </c>
    </row>
    <row r="9448" spans="1:5" x14ac:dyDescent="0.25">
      <c r="A9448" s="2" t="s">
        <v>6719</v>
      </c>
      <c r="B9448" s="2" t="s">
        <v>796</v>
      </c>
      <c r="C9448" s="2">
        <v>5</v>
      </c>
      <c r="D9448" t="str">
        <f t="shared" si="147"/>
        <v>US-2017-166688_OFF-AP-10000358</v>
      </c>
      <c r="E9448" t="str">
        <f>IF(COUNTIF(data2!$D:$D,D9448)=0,"Missing in Data2","Present")</f>
        <v>Present</v>
      </c>
    </row>
    <row r="9449" spans="1:5" x14ac:dyDescent="0.25">
      <c r="A9449" s="2" t="s">
        <v>6719</v>
      </c>
      <c r="B9449" s="2" t="s">
        <v>2891</v>
      </c>
      <c r="C9449" s="2">
        <v>2</v>
      </c>
      <c r="D9449" t="str">
        <f t="shared" si="147"/>
        <v>US-2017-166688_OFF-BI-10004040</v>
      </c>
      <c r="E9449" t="str">
        <f>IF(COUNTIF(data2!$D:$D,D9449)=0,"Missing in Data2","Present")</f>
        <v>Present</v>
      </c>
    </row>
    <row r="9450" spans="1:5" x14ac:dyDescent="0.25">
      <c r="A9450" s="2" t="s">
        <v>6719</v>
      </c>
      <c r="B9450" s="2" t="s">
        <v>2421</v>
      </c>
      <c r="C9450" s="2">
        <v>9</v>
      </c>
      <c r="D9450" t="str">
        <f t="shared" si="147"/>
        <v>US-2017-166688_TEC-PH-10004094</v>
      </c>
      <c r="E9450" t="str">
        <f>IF(COUNTIF(data2!$D:$D,D9450)=0,"Missing in Data2","Present")</f>
        <v>Present</v>
      </c>
    </row>
    <row r="9451" spans="1:5" x14ac:dyDescent="0.25">
      <c r="A9451" s="2" t="s">
        <v>6720</v>
      </c>
      <c r="B9451" s="2" t="s">
        <v>2884</v>
      </c>
      <c r="C9451" s="2">
        <v>3</v>
      </c>
      <c r="D9451" t="str">
        <f t="shared" si="147"/>
        <v>US-2017-167318_FUR-CH-10000665</v>
      </c>
      <c r="E9451" t="str">
        <f>IF(COUNTIF(data2!$D:$D,D9451)=0,"Missing in Data2","Present")</f>
        <v>Present</v>
      </c>
    </row>
    <row r="9452" spans="1:5" x14ac:dyDescent="0.25">
      <c r="A9452" s="2" t="s">
        <v>6720</v>
      </c>
      <c r="B9452" s="2" t="s">
        <v>3005</v>
      </c>
      <c r="C9452" s="2">
        <v>5</v>
      </c>
      <c r="D9452" t="str">
        <f t="shared" si="147"/>
        <v>US-2017-167318_TEC-AC-10003870</v>
      </c>
      <c r="E9452" t="str">
        <f>IF(COUNTIF(data2!$D:$D,D9452)=0,"Missing in Data2","Present")</f>
        <v>Present</v>
      </c>
    </row>
    <row r="9453" spans="1:5" x14ac:dyDescent="0.25">
      <c r="A9453" s="2" t="s">
        <v>6721</v>
      </c>
      <c r="B9453" s="2" t="s">
        <v>1760</v>
      </c>
      <c r="C9453" s="2">
        <v>3</v>
      </c>
      <c r="D9453" t="str">
        <f t="shared" si="147"/>
        <v>US-2017-167402_FUR-BO-10001608</v>
      </c>
      <c r="E9453" t="str">
        <f>IF(COUNTIF(data2!$D:$D,D9453)=0,"Missing in Data2","Present")</f>
        <v>Present</v>
      </c>
    </row>
    <row r="9454" spans="1:5" x14ac:dyDescent="0.25">
      <c r="A9454" s="2" t="s">
        <v>6721</v>
      </c>
      <c r="B9454" s="2" t="s">
        <v>322</v>
      </c>
      <c r="C9454" s="2">
        <v>6</v>
      </c>
      <c r="D9454" t="str">
        <f t="shared" si="147"/>
        <v>US-2017-167402_OFF-AR-10004010</v>
      </c>
      <c r="E9454" t="str">
        <f>IF(COUNTIF(data2!$D:$D,D9454)=0,"Missing in Data2","Present")</f>
        <v>Present</v>
      </c>
    </row>
    <row r="9455" spans="1:5" x14ac:dyDescent="0.25">
      <c r="A9455" s="2" t="s">
        <v>6721</v>
      </c>
      <c r="B9455" s="2" t="s">
        <v>177</v>
      </c>
      <c r="C9455" s="2">
        <v>5</v>
      </c>
      <c r="D9455" t="str">
        <f t="shared" si="147"/>
        <v>US-2017-167402_OFF-PA-10004983</v>
      </c>
      <c r="E9455" t="str">
        <f>IF(COUNTIF(data2!$D:$D,D9455)=0,"Missing in Data2","Present")</f>
        <v>Present</v>
      </c>
    </row>
    <row r="9456" spans="1:5" x14ac:dyDescent="0.25">
      <c r="A9456" s="2" t="s">
        <v>6721</v>
      </c>
      <c r="B9456" s="2" t="s">
        <v>106</v>
      </c>
      <c r="C9456" s="2">
        <v>5</v>
      </c>
      <c r="D9456" t="str">
        <f t="shared" si="147"/>
        <v>US-2017-167402_OFF-SU-10002881</v>
      </c>
      <c r="E9456" t="str">
        <f>IF(COUNTIF(data2!$D:$D,D9456)=0,"Missing in Data2","Present")</f>
        <v>Present</v>
      </c>
    </row>
    <row r="9457" spans="1:5" x14ac:dyDescent="0.25">
      <c r="A9457" s="2" t="s">
        <v>6722</v>
      </c>
      <c r="B9457" s="2" t="s">
        <v>858</v>
      </c>
      <c r="C9457" s="2">
        <v>4</v>
      </c>
      <c r="D9457" t="str">
        <f t="shared" si="147"/>
        <v>US-2017-167570_FUR-CH-10003396</v>
      </c>
      <c r="E9457" t="str">
        <f>IF(COUNTIF(data2!$D:$D,D9457)=0,"Missing in Data2","Present")</f>
        <v>Present</v>
      </c>
    </row>
    <row r="9458" spans="1:5" x14ac:dyDescent="0.25">
      <c r="A9458" s="2" t="s">
        <v>6723</v>
      </c>
      <c r="B9458" s="2" t="s">
        <v>1311</v>
      </c>
      <c r="C9458" s="2">
        <v>4</v>
      </c>
      <c r="D9458" t="str">
        <f t="shared" si="147"/>
        <v>US-2017-167920_OFF-BI-10003274</v>
      </c>
      <c r="E9458" t="str">
        <f>IF(COUNTIF(data2!$D:$D,D9458)=0,"Missing in Data2","Present")</f>
        <v>Present</v>
      </c>
    </row>
    <row r="9459" spans="1:5" x14ac:dyDescent="0.25">
      <c r="A9459" s="2" t="s">
        <v>6723</v>
      </c>
      <c r="B9459" s="2" t="s">
        <v>2913</v>
      </c>
      <c r="C9459" s="2">
        <v>2</v>
      </c>
      <c r="D9459" t="str">
        <f t="shared" si="147"/>
        <v>US-2017-167920_OFF-BI-10004236</v>
      </c>
      <c r="E9459" t="str">
        <f>IF(COUNTIF(data2!$D:$D,D9459)=0,"Missing in Data2","Present")</f>
        <v>Present</v>
      </c>
    </row>
    <row r="9460" spans="1:5" x14ac:dyDescent="0.25">
      <c r="A9460" s="2" t="s">
        <v>6723</v>
      </c>
      <c r="B9460" s="2" t="s">
        <v>329</v>
      </c>
      <c r="C9460" s="2">
        <v>2</v>
      </c>
      <c r="D9460" t="str">
        <f t="shared" si="147"/>
        <v>US-2017-167920_OFF-LA-10004409</v>
      </c>
      <c r="E9460" t="str">
        <f>IF(COUNTIF(data2!$D:$D,D9460)=0,"Missing in Data2","Present")</f>
        <v>Present</v>
      </c>
    </row>
    <row r="9461" spans="1:5" x14ac:dyDescent="0.25">
      <c r="A9461" s="2" t="s">
        <v>6723</v>
      </c>
      <c r="B9461" s="2" t="s">
        <v>167</v>
      </c>
      <c r="C9461" s="2">
        <v>1</v>
      </c>
      <c r="D9461" t="str">
        <f t="shared" si="147"/>
        <v>US-2017-167920_OFF-ST-10004963</v>
      </c>
      <c r="E9461" t="str">
        <f>IF(COUNTIF(data2!$D:$D,D9461)=0,"Missing in Data2","Present")</f>
        <v>Present</v>
      </c>
    </row>
    <row r="9462" spans="1:5" x14ac:dyDescent="0.25">
      <c r="A9462" s="2" t="s">
        <v>6723</v>
      </c>
      <c r="B9462" s="2" t="s">
        <v>1171</v>
      </c>
      <c r="C9462" s="2">
        <v>5</v>
      </c>
      <c r="D9462" t="str">
        <f t="shared" si="147"/>
        <v>US-2017-167920_TEC-AC-10001013</v>
      </c>
      <c r="E9462" t="str">
        <f>IF(COUNTIF(data2!$D:$D,D9462)=0,"Missing in Data2","Present")</f>
        <v>Present</v>
      </c>
    </row>
    <row r="9463" spans="1:5" x14ac:dyDescent="0.25">
      <c r="A9463" s="2" t="s">
        <v>6723</v>
      </c>
      <c r="B9463" s="2" t="s">
        <v>1078</v>
      </c>
      <c r="C9463" s="2">
        <v>2</v>
      </c>
      <c r="D9463" t="str">
        <f t="shared" si="147"/>
        <v>US-2017-167920_TEC-CO-10001046</v>
      </c>
      <c r="E9463" t="str">
        <f>IF(COUNTIF(data2!$D:$D,D9463)=0,"Missing in Data2","Present")</f>
        <v>Present</v>
      </c>
    </row>
    <row r="9464" spans="1:5" x14ac:dyDescent="0.25">
      <c r="A9464" s="2" t="s">
        <v>6724</v>
      </c>
      <c r="B9464" s="2" t="s">
        <v>3095</v>
      </c>
      <c r="C9464" s="2">
        <v>2</v>
      </c>
      <c r="D9464" t="str">
        <f t="shared" si="147"/>
        <v>US-2017-168116_OFF-AP-10002457</v>
      </c>
      <c r="E9464" t="str">
        <f>IF(COUNTIF(data2!$D:$D,D9464)=0,"Missing in Data2","Present")</f>
        <v>Present</v>
      </c>
    </row>
    <row r="9465" spans="1:5" x14ac:dyDescent="0.25">
      <c r="A9465" s="2" t="s">
        <v>6724</v>
      </c>
      <c r="B9465" s="2" t="s">
        <v>6725</v>
      </c>
      <c r="C9465" s="2">
        <v>4</v>
      </c>
      <c r="D9465" t="str">
        <f t="shared" si="147"/>
        <v>US-2017-168116_TEC-MA-10004125</v>
      </c>
      <c r="E9465" t="str">
        <f>IF(COUNTIF(data2!$D:$D,D9465)=0,"Missing in Data2","Present")</f>
        <v>Present</v>
      </c>
    </row>
    <row r="9466" spans="1:5" x14ac:dyDescent="0.25">
      <c r="A9466" s="2" t="s">
        <v>6726</v>
      </c>
      <c r="B9466" s="2" t="s">
        <v>733</v>
      </c>
      <c r="C9466" s="2">
        <v>2</v>
      </c>
      <c r="D9466" t="str">
        <f t="shared" si="147"/>
        <v>US-2017-168613_FUR-CH-10002372</v>
      </c>
      <c r="E9466" t="str">
        <f>IF(COUNTIF(data2!$D:$D,D9466)=0,"Missing in Data2","Present")</f>
        <v>Present</v>
      </c>
    </row>
    <row r="9467" spans="1:5" x14ac:dyDescent="0.25">
      <c r="A9467" s="2" t="s">
        <v>6727</v>
      </c>
      <c r="B9467" s="2" t="s">
        <v>1152</v>
      </c>
      <c r="C9467" s="2">
        <v>3</v>
      </c>
      <c r="D9467" t="str">
        <f t="shared" si="147"/>
        <v>US-2017-168690_OFF-BI-10000145</v>
      </c>
      <c r="E9467" t="str">
        <f>IF(COUNTIF(data2!$D:$D,D9467)=0,"Missing in Data2","Present")</f>
        <v>Present</v>
      </c>
    </row>
    <row r="9468" spans="1:5" x14ac:dyDescent="0.25">
      <c r="A9468" s="2" t="s">
        <v>6728</v>
      </c>
      <c r="B9468" s="2" t="s">
        <v>2414</v>
      </c>
      <c r="C9468" s="2">
        <v>4</v>
      </c>
      <c r="D9468" t="str">
        <f t="shared" si="147"/>
        <v>US-2017-168802_OFF-BI-10002393</v>
      </c>
      <c r="E9468" t="str">
        <f>IF(COUNTIF(data2!$D:$D,D9468)=0,"Missing in Data2","Present")</f>
        <v>Present</v>
      </c>
    </row>
    <row r="9469" spans="1:5" x14ac:dyDescent="0.25">
      <c r="A9469" s="2" t="s">
        <v>6729</v>
      </c>
      <c r="B9469" s="2" t="s">
        <v>2303</v>
      </c>
      <c r="C9469" s="2">
        <v>2</v>
      </c>
      <c r="D9469" t="str">
        <f t="shared" si="147"/>
        <v>US-2017-169320_OFF-AR-10003602</v>
      </c>
      <c r="E9469" t="str">
        <f>IF(COUNTIF(data2!$D:$D,D9469)=0,"Missing in Data2","Present")</f>
        <v>Present</v>
      </c>
    </row>
    <row r="9470" spans="1:5" x14ac:dyDescent="0.25">
      <c r="A9470" s="2" t="s">
        <v>6729</v>
      </c>
      <c r="B9470" s="2" t="s">
        <v>1055</v>
      </c>
      <c r="C9470" s="2">
        <v>5</v>
      </c>
      <c r="D9470" t="str">
        <f t="shared" si="147"/>
        <v>US-2017-169320_TEC-AC-10002550</v>
      </c>
      <c r="E9470" t="str">
        <f>IF(COUNTIF(data2!$D:$D,D9470)=0,"Missing in Data2","Present")</f>
        <v>Present</v>
      </c>
    </row>
    <row r="9471" spans="1:5" x14ac:dyDescent="0.25">
      <c r="A9471" s="2" t="s">
        <v>6730</v>
      </c>
      <c r="B9471" s="2" t="s">
        <v>2602</v>
      </c>
      <c r="C9471" s="2">
        <v>2</v>
      </c>
      <c r="D9471" t="str">
        <f t="shared" si="147"/>
        <v>US-2017-169488_OFF-PA-10000157</v>
      </c>
      <c r="E9471" t="str">
        <f>IF(COUNTIF(data2!$D:$D,D9471)=0,"Missing in Data2","Present")</f>
        <v>Present</v>
      </c>
    </row>
    <row r="9472" spans="1:5" x14ac:dyDescent="0.25">
      <c r="A9472" s="2" t="s">
        <v>6730</v>
      </c>
      <c r="B9472" s="2" t="s">
        <v>129</v>
      </c>
      <c r="C9472" s="2">
        <v>5</v>
      </c>
      <c r="D9472" t="str">
        <f t="shared" si="147"/>
        <v>US-2017-169488_OFF-PA-10002659</v>
      </c>
      <c r="E9472" t="str">
        <f>IF(COUNTIF(data2!$D:$D,D9472)=0,"Missing in Data2","Present")</f>
        <v>Present</v>
      </c>
    </row>
    <row r="9473" spans="1:5" x14ac:dyDescent="0.25">
      <c r="A9473" s="2" t="s">
        <v>6731</v>
      </c>
      <c r="B9473" s="2" t="s">
        <v>667</v>
      </c>
      <c r="C9473" s="2">
        <v>3</v>
      </c>
      <c r="D9473" t="str">
        <f t="shared" si="147"/>
        <v>US-2017-169502_OFF-SU-10004115</v>
      </c>
      <c r="E9473" t="str">
        <f>IF(COUNTIF(data2!$D:$D,D9473)=0,"Missing in Data2","Present")</f>
        <v>Present</v>
      </c>
    </row>
    <row r="9474" spans="1:5" x14ac:dyDescent="0.25">
      <c r="A9474" s="2" t="s">
        <v>6732</v>
      </c>
      <c r="B9474" s="2" t="s">
        <v>1728</v>
      </c>
      <c r="C9474" s="2">
        <v>3</v>
      </c>
      <c r="D9474" t="str">
        <f t="shared" si="147"/>
        <v>US-2017-169551_OFF-PA-10004100</v>
      </c>
      <c r="E9474" t="str">
        <f>IF(COUNTIF(data2!$D:$D,D9474)=0,"Missing in Data2","Present")</f>
        <v>Present</v>
      </c>
    </row>
    <row r="9475" spans="1:5" x14ac:dyDescent="0.25">
      <c r="A9475" s="2" t="s">
        <v>6732</v>
      </c>
      <c r="B9475" s="2" t="s">
        <v>4726</v>
      </c>
      <c r="C9475" s="2">
        <v>3</v>
      </c>
      <c r="D9475" t="str">
        <f t="shared" ref="D9475:D9478" si="148">A9475&amp;"_"&amp;B9475</f>
        <v>US-2017-169551_OFF-ST-10004835</v>
      </c>
      <c r="E9475" t="str">
        <f>IF(COUNTIF(data2!$D:$D,D9475)=0,"Missing in Data2","Present")</f>
        <v>Present</v>
      </c>
    </row>
    <row r="9476" spans="1:5" x14ac:dyDescent="0.25">
      <c r="A9476" s="2" t="s">
        <v>6732</v>
      </c>
      <c r="B9476" s="2" t="s">
        <v>2124</v>
      </c>
      <c r="C9476" s="2">
        <v>3</v>
      </c>
      <c r="D9476" t="str">
        <f t="shared" si="148"/>
        <v>US-2017-169551_TEC-AC-10002018</v>
      </c>
      <c r="E9476" t="str">
        <f>IF(COUNTIF(data2!$D:$D,D9476)=0,"Missing in Data2","Present")</f>
        <v>Present</v>
      </c>
    </row>
    <row r="9477" spans="1:5" x14ac:dyDescent="0.25">
      <c r="A9477" s="2" t="s">
        <v>6732</v>
      </c>
      <c r="B9477" s="2" t="s">
        <v>2361</v>
      </c>
      <c r="C9477" s="2">
        <v>2</v>
      </c>
      <c r="D9477" t="str">
        <f t="shared" si="148"/>
        <v>US-2017-169551_TEC-AC-10003033</v>
      </c>
      <c r="E9477" t="str">
        <f>IF(COUNTIF(data2!$D:$D,D9477)=0,"Missing in Data2","Present")</f>
        <v>Present</v>
      </c>
    </row>
    <row r="9478" spans="1:5" x14ac:dyDescent="0.25">
      <c r="A9478" s="2" t="s">
        <v>6732</v>
      </c>
      <c r="B9478" s="2" t="s">
        <v>844</v>
      </c>
      <c r="C9478" s="2">
        <v>2</v>
      </c>
      <c r="D9478" t="str">
        <f t="shared" si="148"/>
        <v>US-2017-169551_TEC-PH-10001363</v>
      </c>
      <c r="E9478" t="str">
        <f>IF(COUNTIF(data2!$D:$D,D9478)=0,"Missing in Data2","Present")</f>
        <v>Present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80"/>
  <sheetViews>
    <sheetView zoomScale="59" workbookViewId="0">
      <selection activeCell="K17" sqref="K17"/>
    </sheetView>
  </sheetViews>
  <sheetFormatPr defaultColWidth="11.25" defaultRowHeight="15" customHeight="1" x14ac:dyDescent="0.25"/>
  <cols>
    <col min="1" max="1" width="13.25" customWidth="1"/>
    <col min="2" max="2" width="14.625" customWidth="1"/>
    <col min="3" max="3" width="6.5" customWidth="1"/>
    <col min="4" max="4" width="30.625" bestFit="1" customWidth="1"/>
    <col min="5" max="5" width="14.75" bestFit="1" customWidth="1"/>
    <col min="6" max="6" width="8.5" customWidth="1"/>
    <col min="7" max="7" width="22.75" bestFit="1" customWidth="1"/>
    <col min="10" max="10" width="51.5" bestFit="1" customWidth="1"/>
    <col min="13" max="13" width="32.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3" t="s">
        <v>6872</v>
      </c>
      <c r="E1" s="3" t="s">
        <v>6873</v>
      </c>
    </row>
    <row r="2" spans="1:13" x14ac:dyDescent="0.25">
      <c r="A2" s="2" t="s">
        <v>3</v>
      </c>
      <c r="B2" s="2" t="s">
        <v>4</v>
      </c>
      <c r="C2" s="2">
        <v>3</v>
      </c>
      <c r="D2" t="str">
        <f>A2&amp;"_"&amp;B2</f>
        <v>CA-2014-100090_FUR-TA-10003715</v>
      </c>
      <c r="E2" t="str">
        <f>IF(COUNTIF(data1!$D:$D,D2)=0,"Missing in Data1","Present")</f>
        <v>Present</v>
      </c>
    </row>
    <row r="3" spans="1:13" x14ac:dyDescent="0.25">
      <c r="A3" s="2" t="s">
        <v>3</v>
      </c>
      <c r="B3" s="2" t="s">
        <v>5</v>
      </c>
      <c r="C3" s="2">
        <v>6</v>
      </c>
      <c r="D3" t="str">
        <f t="shared" ref="D3:D66" si="0">A3&amp;"_"&amp;B3</f>
        <v>CA-2014-100090_OFF-BI-10001597</v>
      </c>
      <c r="E3" t="str">
        <f>IF(COUNTIF(data1!$D:$D,D3)=0,"Missing in Data1","Present")</f>
        <v>Present</v>
      </c>
    </row>
    <row r="4" spans="1:13" x14ac:dyDescent="0.25">
      <c r="A4" s="2" t="s">
        <v>6</v>
      </c>
      <c r="B4" s="2" t="s">
        <v>7</v>
      </c>
      <c r="C4" s="2">
        <v>6</v>
      </c>
      <c r="D4" t="str">
        <f t="shared" si="0"/>
        <v>CA-2014-100293_OFF-PA-10000176</v>
      </c>
      <c r="E4" t="str">
        <f>IF(COUNTIF(data1!$D:$D,D4)=0,"Missing in Data1","Present")</f>
        <v>Present</v>
      </c>
    </row>
    <row r="5" spans="1:13" x14ac:dyDescent="0.25">
      <c r="A5" s="2" t="s">
        <v>8</v>
      </c>
      <c r="B5" s="2" t="s">
        <v>9</v>
      </c>
      <c r="C5" s="2">
        <v>1</v>
      </c>
      <c r="D5" t="str">
        <f t="shared" si="0"/>
        <v>CA-2014-100328_OFF-BI-10000343</v>
      </c>
      <c r="E5" t="str">
        <f>IF(COUNTIF(data1!$D:$D,D5)=0,"Missing in Data1","Present")</f>
        <v>Present</v>
      </c>
    </row>
    <row r="6" spans="1:13" x14ac:dyDescent="0.25">
      <c r="A6" s="2" t="s">
        <v>10</v>
      </c>
      <c r="B6" s="2" t="s">
        <v>11</v>
      </c>
      <c r="C6" s="2">
        <v>2</v>
      </c>
      <c r="D6" t="str">
        <f t="shared" si="0"/>
        <v>CA-2014-100363_OFF-FA-10000611</v>
      </c>
      <c r="E6" t="str">
        <f>IF(COUNTIF(data1!$D:$D,D6)=0,"Missing in Data1","Present")</f>
        <v>Present</v>
      </c>
      <c r="F6" t="s">
        <v>6877</v>
      </c>
      <c r="G6" t="s">
        <v>6875</v>
      </c>
      <c r="I6" t="s">
        <v>6878</v>
      </c>
      <c r="J6" t="s">
        <v>6881</v>
      </c>
      <c r="L6" t="s">
        <v>6879</v>
      </c>
      <c r="M6" t="s">
        <v>6880</v>
      </c>
    </row>
    <row r="7" spans="1:13" x14ac:dyDescent="0.25">
      <c r="A7" s="2" t="s">
        <v>10</v>
      </c>
      <c r="B7" s="2" t="s">
        <v>12</v>
      </c>
      <c r="C7" s="2">
        <v>3</v>
      </c>
      <c r="D7" t="str">
        <f t="shared" si="0"/>
        <v>CA-2014-100363_OFF-PA-10004733</v>
      </c>
      <c r="E7" t="str">
        <f>IF(COUNTIF(data1!$D:$D,D7)=0,"Missing in Data1","Present")</f>
        <v>Present</v>
      </c>
      <c r="G7">
        <f>COUNTIF(E:E,"Missing in Data1")</f>
        <v>508</v>
      </c>
      <c r="J7">
        <f>SUMIF(E:E,"Missing in Data1",C:C)</f>
        <v>1956</v>
      </c>
      <c r="M7">
        <f>COUNTA(_xlfn.UNIQUE(A:A))</f>
        <v>4884</v>
      </c>
    </row>
    <row r="8" spans="1:13" x14ac:dyDescent="0.25">
      <c r="A8" s="2" t="s">
        <v>13</v>
      </c>
      <c r="B8" s="2" t="s">
        <v>14</v>
      </c>
      <c r="C8" s="2">
        <v>2</v>
      </c>
      <c r="D8" t="str">
        <f t="shared" si="0"/>
        <v>CA-2014-100391_OFF-PA-10001471</v>
      </c>
      <c r="E8" t="str">
        <f>IF(COUNTIF(data1!$D:$D,D8)=0,"Missing in Data1","Present")</f>
        <v>Present</v>
      </c>
    </row>
    <row r="9" spans="1:13" x14ac:dyDescent="0.25">
      <c r="A9" s="2" t="s">
        <v>15</v>
      </c>
      <c r="B9" s="2" t="s">
        <v>16</v>
      </c>
      <c r="C9" s="2">
        <v>3</v>
      </c>
      <c r="D9" t="str">
        <f t="shared" si="0"/>
        <v>CA-2014-100678_FUR-CH-10002602</v>
      </c>
      <c r="E9" t="str">
        <f>IF(COUNTIF(data1!$D:$D,D9)=0,"Missing in Data1","Present")</f>
        <v>Present</v>
      </c>
    </row>
    <row r="10" spans="1:13" x14ac:dyDescent="0.25">
      <c r="A10" s="2" t="s">
        <v>15</v>
      </c>
      <c r="B10" s="2" t="s">
        <v>17</v>
      </c>
      <c r="C10" s="2">
        <v>2</v>
      </c>
      <c r="D10" t="str">
        <f t="shared" si="0"/>
        <v>CA-2014-100678_OFF-AR-10001868</v>
      </c>
      <c r="E10" t="str">
        <f>IF(COUNTIF(data1!$D:$D,D10)=0,"Missing in Data1","Present")</f>
        <v>Present</v>
      </c>
    </row>
    <row r="11" spans="1:13" x14ac:dyDescent="0.25">
      <c r="A11" s="2" t="s">
        <v>15</v>
      </c>
      <c r="B11" s="2" t="s">
        <v>19</v>
      </c>
      <c r="C11" s="2">
        <v>3</v>
      </c>
      <c r="D11" t="str">
        <f t="shared" si="0"/>
        <v>CA-2014-100678_TEC-AC-10000474</v>
      </c>
      <c r="E11" t="str">
        <f>IF(COUNTIF(data1!$D:$D,D11)=0,"Missing in Data1","Present")</f>
        <v>Present</v>
      </c>
    </row>
    <row r="12" spans="1:13" x14ac:dyDescent="0.25">
      <c r="A12" s="2" t="s">
        <v>20</v>
      </c>
      <c r="B12" s="2" t="s">
        <v>21</v>
      </c>
      <c r="C12" s="2">
        <v>6</v>
      </c>
      <c r="D12" t="str">
        <f t="shared" si="0"/>
        <v>CA-2014-100706_FUR-FU-10002268</v>
      </c>
      <c r="E12" t="str">
        <f>IF(COUNTIF(data1!$D:$D,D12)=0,"Missing in Data1","Present")</f>
        <v>Present</v>
      </c>
    </row>
    <row r="13" spans="1:13" x14ac:dyDescent="0.25">
      <c r="A13" s="2" t="s">
        <v>20</v>
      </c>
      <c r="B13" s="2" t="s">
        <v>109</v>
      </c>
      <c r="C13" s="2">
        <v>2</v>
      </c>
      <c r="D13" t="str">
        <f t="shared" si="0"/>
        <v>CA-2014-100706_TEC-AC-10001314</v>
      </c>
      <c r="E13" t="str">
        <f>IF(COUNTIF(data1!$D:$D,D13)=0,"Missing in Data1","Present")</f>
        <v>Missing in Data1</v>
      </c>
    </row>
    <row r="14" spans="1:13" x14ac:dyDescent="0.25">
      <c r="A14" s="2" t="s">
        <v>22</v>
      </c>
      <c r="B14" s="2" t="s">
        <v>23</v>
      </c>
      <c r="C14" s="2">
        <v>4</v>
      </c>
      <c r="D14" t="str">
        <f t="shared" si="0"/>
        <v>CA-2014-100762_OFF-AR-10000380</v>
      </c>
      <c r="E14" t="str">
        <f>IF(COUNTIF(data1!$D:$D,D14)=0,"Missing in Data1","Present")</f>
        <v>Present</v>
      </c>
    </row>
    <row r="15" spans="1:13" x14ac:dyDescent="0.25">
      <c r="A15" s="2" t="s">
        <v>22</v>
      </c>
      <c r="B15" s="2" t="s">
        <v>24</v>
      </c>
      <c r="C15" s="2">
        <v>2</v>
      </c>
      <c r="D15" t="str">
        <f t="shared" si="0"/>
        <v>CA-2014-100762_OFF-LA-10003930</v>
      </c>
      <c r="E15" t="str">
        <f>IF(COUNTIF(data1!$D:$D,D15)=0,"Missing in Data1","Present")</f>
        <v>Present</v>
      </c>
    </row>
    <row r="16" spans="1:13" x14ac:dyDescent="0.25">
      <c r="A16" s="2" t="s">
        <v>22</v>
      </c>
      <c r="B16" s="2" t="s">
        <v>2423</v>
      </c>
      <c r="C16" s="2">
        <v>3</v>
      </c>
      <c r="D16" t="str">
        <f t="shared" si="0"/>
        <v>CA-2014-100762_OFF-PA-10001815</v>
      </c>
      <c r="E16" t="str">
        <f>IF(COUNTIF(data1!$D:$D,D16)=0,"Missing in Data1","Present")</f>
        <v>Missing in Data1</v>
      </c>
    </row>
    <row r="17" spans="1:5" x14ac:dyDescent="0.25">
      <c r="A17" s="2" t="s">
        <v>22</v>
      </c>
      <c r="B17" s="2" t="s">
        <v>25</v>
      </c>
      <c r="C17" s="2">
        <v>2</v>
      </c>
      <c r="D17" t="str">
        <f t="shared" si="0"/>
        <v>CA-2014-100762_OFF-PA-10004082</v>
      </c>
      <c r="E17" t="str">
        <f>IF(COUNTIF(data1!$D:$D,D17)=0,"Missing in Data1","Present")</f>
        <v>Present</v>
      </c>
    </row>
    <row r="18" spans="1:5" x14ac:dyDescent="0.25">
      <c r="A18" s="2" t="s">
        <v>26</v>
      </c>
      <c r="B18" s="2" t="s">
        <v>27</v>
      </c>
      <c r="C18" s="2">
        <v>5</v>
      </c>
      <c r="D18" t="str">
        <f t="shared" si="0"/>
        <v>CA-2014-100860_OFF-LA-10001982</v>
      </c>
      <c r="E18" t="str">
        <f>IF(COUNTIF(data1!$D:$D,D18)=0,"Missing in Data1","Present")</f>
        <v>Present</v>
      </c>
    </row>
    <row r="19" spans="1:5" x14ac:dyDescent="0.25">
      <c r="A19" s="2" t="s">
        <v>28</v>
      </c>
      <c r="B19" s="2" t="s">
        <v>29</v>
      </c>
      <c r="C19" s="2">
        <v>6</v>
      </c>
      <c r="D19" t="str">
        <f t="shared" si="0"/>
        <v>CA-2014-100867_TEC-PH-10004922</v>
      </c>
      <c r="E19" t="str">
        <f>IF(COUNTIF(data1!$D:$D,D19)=0,"Missing in Data1","Present")</f>
        <v>Present</v>
      </c>
    </row>
    <row r="20" spans="1:5" x14ac:dyDescent="0.25">
      <c r="A20" s="2" t="s">
        <v>30</v>
      </c>
      <c r="B20" s="2" t="s">
        <v>31</v>
      </c>
      <c r="C20" s="2">
        <v>3</v>
      </c>
      <c r="D20" t="str">
        <f t="shared" si="0"/>
        <v>CA-2014-100881_TEC-PH-10003273</v>
      </c>
      <c r="E20" t="str">
        <f>IF(COUNTIF(data1!$D:$D,D20)=0,"Missing in Data1","Present")</f>
        <v>Present</v>
      </c>
    </row>
    <row r="21" spans="1:5" x14ac:dyDescent="0.25">
      <c r="A21" s="2" t="s">
        <v>32</v>
      </c>
      <c r="B21" s="2" t="s">
        <v>34</v>
      </c>
      <c r="C21" s="2">
        <v>2</v>
      </c>
      <c r="D21" t="str">
        <f t="shared" si="0"/>
        <v>CA-2014-100895_OFF-ST-10001490</v>
      </c>
      <c r="E21" t="str">
        <f>IF(COUNTIF(data1!$D:$D,D21)=0,"Missing in Data1","Present")</f>
        <v>Present</v>
      </c>
    </row>
    <row r="22" spans="1:5" x14ac:dyDescent="0.25">
      <c r="A22" s="2" t="s">
        <v>32</v>
      </c>
      <c r="B22" s="2" t="s">
        <v>35</v>
      </c>
      <c r="C22" s="2">
        <v>3</v>
      </c>
      <c r="D22" t="str">
        <f t="shared" si="0"/>
        <v>CA-2014-100895_TEC-PH-10001425</v>
      </c>
      <c r="E22" t="str">
        <f>IF(COUNTIF(data1!$D:$D,D22)=0,"Missing in Data1","Present")</f>
        <v>Present</v>
      </c>
    </row>
    <row r="23" spans="1:5" x14ac:dyDescent="0.25">
      <c r="A23" s="2" t="s">
        <v>36</v>
      </c>
      <c r="B23" s="2" t="s">
        <v>37</v>
      </c>
      <c r="C23" s="2">
        <v>4</v>
      </c>
      <c r="D23" t="str">
        <f t="shared" si="0"/>
        <v>CA-2014-100916_FUR-TA-10004607</v>
      </c>
      <c r="E23" t="str">
        <f>IF(COUNTIF(data1!$D:$D,D23)=0,"Missing in Data1","Present")</f>
        <v>Present</v>
      </c>
    </row>
    <row r="24" spans="1:5" x14ac:dyDescent="0.25">
      <c r="A24" s="2" t="s">
        <v>36</v>
      </c>
      <c r="B24" s="2" t="s">
        <v>38</v>
      </c>
      <c r="C24" s="2">
        <v>1</v>
      </c>
      <c r="D24" t="str">
        <f t="shared" si="0"/>
        <v>CA-2014-100916_OFF-AR-10001022</v>
      </c>
      <c r="E24" t="str">
        <f>IF(COUNTIF(data1!$D:$D,D24)=0,"Missing in Data1","Present")</f>
        <v>Present</v>
      </c>
    </row>
    <row r="25" spans="1:5" x14ac:dyDescent="0.25">
      <c r="A25" s="2" t="s">
        <v>36</v>
      </c>
      <c r="B25" s="2" t="s">
        <v>39</v>
      </c>
      <c r="C25" s="2">
        <v>5</v>
      </c>
      <c r="D25" t="str">
        <f t="shared" si="0"/>
        <v>CA-2014-100916_OFF-ST-10003479</v>
      </c>
      <c r="E25" t="str">
        <f>IF(COUNTIF(data1!$D:$D,D25)=0,"Missing in Data1","Present")</f>
        <v>Present</v>
      </c>
    </row>
    <row r="26" spans="1:5" x14ac:dyDescent="0.25">
      <c r="A26" s="2" t="s">
        <v>40</v>
      </c>
      <c r="B26" s="2" t="s">
        <v>41</v>
      </c>
      <c r="C26" s="2">
        <v>3</v>
      </c>
      <c r="D26" t="str">
        <f t="shared" si="0"/>
        <v>CA-2014-100972_OFF-PA-10000357</v>
      </c>
      <c r="E26" t="str">
        <f>IF(COUNTIF(data1!$D:$D,D26)=0,"Missing in Data1","Present")</f>
        <v>Present</v>
      </c>
    </row>
    <row r="27" spans="1:5" x14ac:dyDescent="0.25">
      <c r="A27" s="2" t="s">
        <v>42</v>
      </c>
      <c r="B27" s="2" t="s">
        <v>43</v>
      </c>
      <c r="C27" s="2">
        <v>1</v>
      </c>
      <c r="D27" t="str">
        <f t="shared" si="0"/>
        <v>CA-2014-101147_OFF-AP-10004249</v>
      </c>
      <c r="E27" t="str">
        <f>IF(COUNTIF(data1!$D:$D,D27)=0,"Missing in Data1","Present")</f>
        <v>Present</v>
      </c>
    </row>
    <row r="28" spans="1:5" x14ac:dyDescent="0.25">
      <c r="A28" s="2" t="s">
        <v>44</v>
      </c>
      <c r="B28" s="2" t="s">
        <v>45</v>
      </c>
      <c r="C28" s="2">
        <v>6</v>
      </c>
      <c r="D28" t="str">
        <f t="shared" si="0"/>
        <v>CA-2014-101175_OFF-ST-10004950</v>
      </c>
      <c r="E28" t="str">
        <f>IF(COUNTIF(data1!$D:$D,D28)=0,"Missing in Data1","Present")</f>
        <v>Present</v>
      </c>
    </row>
    <row r="29" spans="1:5" x14ac:dyDescent="0.25">
      <c r="A29" s="2" t="s">
        <v>46</v>
      </c>
      <c r="B29" s="2" t="s">
        <v>47</v>
      </c>
      <c r="C29" s="2">
        <v>2</v>
      </c>
      <c r="D29" t="str">
        <f t="shared" si="0"/>
        <v>CA-2014-101266_OFF-PA-10002986</v>
      </c>
      <c r="E29" t="str">
        <f>IF(COUNTIF(data1!$D:$D,D29)=0,"Missing in Data1","Present")</f>
        <v>Present</v>
      </c>
    </row>
    <row r="30" spans="1:5" x14ac:dyDescent="0.25">
      <c r="A30" s="2" t="s">
        <v>48</v>
      </c>
      <c r="B30" s="2" t="s">
        <v>49</v>
      </c>
      <c r="C30" s="2">
        <v>13</v>
      </c>
      <c r="D30" t="str">
        <f t="shared" si="0"/>
        <v>CA-2014-101364_OFF-BI-10003984</v>
      </c>
      <c r="E30" t="str">
        <f>IF(COUNTIF(data1!$D:$D,D30)=0,"Missing in Data1","Present")</f>
        <v>Present</v>
      </c>
    </row>
    <row r="31" spans="1:5" x14ac:dyDescent="0.25">
      <c r="A31" s="2" t="s">
        <v>50</v>
      </c>
      <c r="B31" s="2" t="s">
        <v>51</v>
      </c>
      <c r="C31" s="2">
        <v>7</v>
      </c>
      <c r="D31" t="str">
        <f t="shared" si="0"/>
        <v>CA-2014-101392_OFF-ST-10000532</v>
      </c>
      <c r="E31" t="str">
        <f>IF(COUNTIF(data1!$D:$D,D31)=0,"Missing in Data1","Present")</f>
        <v>Present</v>
      </c>
    </row>
    <row r="32" spans="1:5" x14ac:dyDescent="0.25">
      <c r="A32" s="2" t="s">
        <v>6733</v>
      </c>
      <c r="B32" s="2" t="s">
        <v>2005</v>
      </c>
      <c r="C32" s="2">
        <v>3</v>
      </c>
      <c r="D32" t="str">
        <f t="shared" si="0"/>
        <v>CA-2014-101427_OFF-AR-10002257</v>
      </c>
      <c r="E32" t="str">
        <f>IF(COUNTIF(data1!$D:$D,D32)=0,"Missing in Data1","Present")</f>
        <v>Missing in Data1</v>
      </c>
    </row>
    <row r="33" spans="1:5" x14ac:dyDescent="0.25">
      <c r="A33" s="2" t="s">
        <v>52</v>
      </c>
      <c r="B33" s="2" t="s">
        <v>53</v>
      </c>
      <c r="C33" s="2">
        <v>4</v>
      </c>
      <c r="D33" t="str">
        <f t="shared" si="0"/>
        <v>CA-2014-101462_FUR-FU-10000409</v>
      </c>
      <c r="E33" t="str">
        <f>IF(COUNTIF(data1!$D:$D,D33)=0,"Missing in Data1","Present")</f>
        <v>Present</v>
      </c>
    </row>
    <row r="34" spans="1:5" x14ac:dyDescent="0.25">
      <c r="A34" s="2" t="s">
        <v>54</v>
      </c>
      <c r="B34" s="2" t="s">
        <v>55</v>
      </c>
      <c r="C34" s="2">
        <v>1</v>
      </c>
      <c r="D34" t="str">
        <f t="shared" si="0"/>
        <v>CA-2014-101476_TEC-MA-10000029</v>
      </c>
      <c r="E34" t="str">
        <f>IF(COUNTIF(data1!$D:$D,D34)=0,"Missing in Data1","Present")</f>
        <v>Present</v>
      </c>
    </row>
    <row r="35" spans="1:5" x14ac:dyDescent="0.25">
      <c r="A35" s="2" t="s">
        <v>56</v>
      </c>
      <c r="B35" s="2" t="s">
        <v>57</v>
      </c>
      <c r="C35" s="2">
        <v>5</v>
      </c>
      <c r="D35" t="str">
        <f t="shared" si="0"/>
        <v>CA-2014-101560_FUR-FU-10003773</v>
      </c>
      <c r="E35" t="str">
        <f>IF(COUNTIF(data1!$D:$D,D35)=0,"Missing in Data1","Present")</f>
        <v>Present</v>
      </c>
    </row>
    <row r="36" spans="1:5" x14ac:dyDescent="0.25">
      <c r="A36" s="2" t="s">
        <v>56</v>
      </c>
      <c r="B36" s="2" t="s">
        <v>58</v>
      </c>
      <c r="C36" s="2">
        <v>4</v>
      </c>
      <c r="D36" t="str">
        <f t="shared" si="0"/>
        <v>CA-2014-101560_OFF-AR-10004757</v>
      </c>
      <c r="E36" t="str">
        <f>IF(COUNTIF(data1!$D:$D,D36)=0,"Missing in Data1","Present")</f>
        <v>Present</v>
      </c>
    </row>
    <row r="37" spans="1:5" x14ac:dyDescent="0.25">
      <c r="A37" s="2" t="s">
        <v>56</v>
      </c>
      <c r="B37" s="2" t="s">
        <v>60</v>
      </c>
      <c r="C37" s="2">
        <v>7</v>
      </c>
      <c r="D37" t="str">
        <f t="shared" si="0"/>
        <v>CA-2014-101560_OFF-PA-10001363</v>
      </c>
      <c r="E37" t="str">
        <f>IF(COUNTIF(data1!$D:$D,D37)=0,"Missing in Data1","Present")</f>
        <v>Present</v>
      </c>
    </row>
    <row r="38" spans="1:5" x14ac:dyDescent="0.25">
      <c r="A38" s="2" t="s">
        <v>61</v>
      </c>
      <c r="B38" s="2" t="s">
        <v>62</v>
      </c>
      <c r="C38" s="2">
        <v>5</v>
      </c>
      <c r="D38" t="str">
        <f t="shared" si="0"/>
        <v>CA-2014-101602_FUR-CH-10004675</v>
      </c>
      <c r="E38" t="str">
        <f>IF(COUNTIF(data1!$D:$D,D38)=0,"Missing in Data1","Present")</f>
        <v>Present</v>
      </c>
    </row>
    <row r="39" spans="1:5" x14ac:dyDescent="0.25">
      <c r="A39" s="2" t="s">
        <v>61</v>
      </c>
      <c r="B39" s="2" t="s">
        <v>63</v>
      </c>
      <c r="C39" s="2">
        <v>3</v>
      </c>
      <c r="D39" t="str">
        <f t="shared" si="0"/>
        <v>CA-2014-101602_TEC-PH-10000169</v>
      </c>
      <c r="E39" t="str">
        <f>IF(COUNTIF(data1!$D:$D,D39)=0,"Missing in Data1","Present")</f>
        <v>Present</v>
      </c>
    </row>
    <row r="40" spans="1:5" x14ac:dyDescent="0.25">
      <c r="A40" s="2" t="s">
        <v>64</v>
      </c>
      <c r="B40" s="2" t="s">
        <v>65</v>
      </c>
      <c r="C40" s="2">
        <v>1</v>
      </c>
      <c r="D40" t="str">
        <f t="shared" si="0"/>
        <v>CA-2014-101770_OFF-BI-10001097</v>
      </c>
      <c r="E40" t="str">
        <f>IF(COUNTIF(data1!$D:$D,D40)=0,"Missing in Data1","Present")</f>
        <v>Present</v>
      </c>
    </row>
    <row r="41" spans="1:5" x14ac:dyDescent="0.25">
      <c r="A41" s="2" t="s">
        <v>66</v>
      </c>
      <c r="B41" s="2" t="s">
        <v>67</v>
      </c>
      <c r="C41" s="2">
        <v>3</v>
      </c>
      <c r="D41" t="str">
        <f t="shared" si="0"/>
        <v>CA-2014-101833_OFF-PA-10003591</v>
      </c>
      <c r="E41" t="str">
        <f>IF(COUNTIF(data1!$D:$D,D41)=0,"Missing in Data1","Present")</f>
        <v>Present</v>
      </c>
    </row>
    <row r="42" spans="1:5" x14ac:dyDescent="0.25">
      <c r="A42" s="2" t="s">
        <v>68</v>
      </c>
      <c r="B42" s="2" t="s">
        <v>69</v>
      </c>
      <c r="C42" s="2">
        <v>6</v>
      </c>
      <c r="D42" t="str">
        <f t="shared" si="0"/>
        <v>CA-2014-101931_FUR-BO-10001337</v>
      </c>
      <c r="E42" t="str">
        <f>IF(COUNTIF(data1!$D:$D,D42)=0,"Missing in Data1","Present")</f>
        <v>Present</v>
      </c>
    </row>
    <row r="43" spans="1:5" x14ac:dyDescent="0.25">
      <c r="A43" s="2" t="s">
        <v>68</v>
      </c>
      <c r="B43" s="2" t="s">
        <v>70</v>
      </c>
      <c r="C43" s="2">
        <v>2</v>
      </c>
      <c r="D43" t="str">
        <f t="shared" si="0"/>
        <v>CA-2014-101931_OFF-BI-10004140</v>
      </c>
      <c r="E43" t="str">
        <f>IF(COUNTIF(data1!$D:$D,D43)=0,"Missing in Data1","Present")</f>
        <v>Present</v>
      </c>
    </row>
    <row r="44" spans="1:5" x14ac:dyDescent="0.25">
      <c r="A44" s="2" t="s">
        <v>68</v>
      </c>
      <c r="B44" s="2" t="s">
        <v>71</v>
      </c>
      <c r="C44" s="2">
        <v>5</v>
      </c>
      <c r="D44" t="str">
        <f t="shared" si="0"/>
        <v>CA-2014-101931_OFF-ST-10003442</v>
      </c>
      <c r="E44" t="str">
        <f>IF(COUNTIF(data1!$D:$D,D44)=0,"Missing in Data1","Present")</f>
        <v>Present</v>
      </c>
    </row>
    <row r="45" spans="1:5" x14ac:dyDescent="0.25">
      <c r="A45" s="2" t="s">
        <v>68</v>
      </c>
      <c r="B45" s="2" t="s">
        <v>72</v>
      </c>
      <c r="C45" s="2">
        <v>2</v>
      </c>
      <c r="D45" t="str">
        <f t="shared" si="0"/>
        <v>CA-2014-101931_OFF-SU-10000646</v>
      </c>
      <c r="E45" t="str">
        <f>IF(COUNTIF(data1!$D:$D,D45)=0,"Missing in Data1","Present")</f>
        <v>Present</v>
      </c>
    </row>
    <row r="46" spans="1:5" x14ac:dyDescent="0.25">
      <c r="A46" s="2" t="s">
        <v>68</v>
      </c>
      <c r="B46" s="2" t="s">
        <v>73</v>
      </c>
      <c r="C46" s="2">
        <v>2</v>
      </c>
      <c r="D46" t="str">
        <f t="shared" si="0"/>
        <v>CA-2014-101931_OFF-SU-10002301</v>
      </c>
      <c r="E46" t="str">
        <f>IF(COUNTIF(data1!$D:$D,D46)=0,"Missing in Data1","Present")</f>
        <v>Present</v>
      </c>
    </row>
    <row r="47" spans="1:5" x14ac:dyDescent="0.25">
      <c r="A47" s="2" t="s">
        <v>74</v>
      </c>
      <c r="B47" s="2" t="s">
        <v>75</v>
      </c>
      <c r="C47" s="2">
        <v>1</v>
      </c>
      <c r="D47" t="str">
        <f t="shared" si="0"/>
        <v>CA-2014-102008_OFF-PA-10004092</v>
      </c>
      <c r="E47" t="str">
        <f>IF(COUNTIF(data1!$D:$D,D47)=0,"Missing in Data1","Present")</f>
        <v>Present</v>
      </c>
    </row>
    <row r="48" spans="1:5" x14ac:dyDescent="0.25">
      <c r="A48" s="2" t="s">
        <v>76</v>
      </c>
      <c r="B48" s="2" t="s">
        <v>77</v>
      </c>
      <c r="C48" s="2">
        <v>4</v>
      </c>
      <c r="D48" t="str">
        <f t="shared" si="0"/>
        <v>CA-2014-102085_OFF-LA-10002475</v>
      </c>
      <c r="E48" t="str">
        <f>IF(COUNTIF(data1!$D:$D,D48)=0,"Missing in Data1","Present")</f>
        <v>Present</v>
      </c>
    </row>
    <row r="49" spans="1:5" x14ac:dyDescent="0.25">
      <c r="A49" s="2" t="s">
        <v>78</v>
      </c>
      <c r="B49" s="2" t="s">
        <v>79</v>
      </c>
      <c r="C49" s="2">
        <v>3</v>
      </c>
      <c r="D49" t="str">
        <f t="shared" si="0"/>
        <v>CA-2014-102274_OFF-AR-10002833</v>
      </c>
      <c r="E49" t="str">
        <f>IF(COUNTIF(data1!$D:$D,D49)=0,"Missing in Data1","Present")</f>
        <v>Present</v>
      </c>
    </row>
    <row r="50" spans="1:5" x14ac:dyDescent="0.25">
      <c r="A50" s="2" t="s">
        <v>78</v>
      </c>
      <c r="B50" s="2" t="s">
        <v>80</v>
      </c>
      <c r="C50" s="2">
        <v>6</v>
      </c>
      <c r="D50" t="str">
        <f t="shared" si="0"/>
        <v>CA-2014-102274_OFF-PA-10004359</v>
      </c>
      <c r="E50" t="str">
        <f>IF(COUNTIF(data1!$D:$D,D50)=0,"Missing in Data1","Present")</f>
        <v>Present</v>
      </c>
    </row>
    <row r="51" spans="1:5" x14ac:dyDescent="0.25">
      <c r="A51" s="2" t="s">
        <v>78</v>
      </c>
      <c r="B51" s="2" t="s">
        <v>81</v>
      </c>
      <c r="C51" s="2">
        <v>3</v>
      </c>
      <c r="D51" t="str">
        <f t="shared" si="0"/>
        <v>CA-2014-102274_OFF-ST-10001511</v>
      </c>
      <c r="E51" t="str">
        <f>IF(COUNTIF(data1!$D:$D,D51)=0,"Missing in Data1","Present")</f>
        <v>Present</v>
      </c>
    </row>
    <row r="52" spans="1:5" x14ac:dyDescent="0.25">
      <c r="A52" s="2" t="s">
        <v>78</v>
      </c>
      <c r="B52" s="2" t="s">
        <v>82</v>
      </c>
      <c r="C52" s="2">
        <v>1</v>
      </c>
      <c r="D52" t="str">
        <f t="shared" si="0"/>
        <v>CA-2014-102274_TEC-PH-10002923</v>
      </c>
      <c r="E52" t="str">
        <f>IF(COUNTIF(data1!$D:$D,D52)=0,"Missing in Data1","Present")</f>
        <v>Present</v>
      </c>
    </row>
    <row r="53" spans="1:5" x14ac:dyDescent="0.25">
      <c r="A53" s="2" t="s">
        <v>83</v>
      </c>
      <c r="B53" s="2" t="s">
        <v>84</v>
      </c>
      <c r="C53" s="2">
        <v>1</v>
      </c>
      <c r="D53" t="str">
        <f t="shared" si="0"/>
        <v>CA-2014-102295_FUR-CH-10001714</v>
      </c>
      <c r="E53" t="str">
        <f>IF(COUNTIF(data1!$D:$D,D53)=0,"Missing in Data1","Present")</f>
        <v>Present</v>
      </c>
    </row>
    <row r="54" spans="1:5" x14ac:dyDescent="0.25">
      <c r="A54" s="2" t="s">
        <v>85</v>
      </c>
      <c r="B54" s="2" t="s">
        <v>86</v>
      </c>
      <c r="C54" s="2">
        <v>6</v>
      </c>
      <c r="D54" t="str">
        <f t="shared" si="0"/>
        <v>CA-2014-102330_OFF-LA-10003923</v>
      </c>
      <c r="E54" t="str">
        <f>IF(COUNTIF(data1!$D:$D,D54)=0,"Missing in Data1","Present")</f>
        <v>Present</v>
      </c>
    </row>
    <row r="55" spans="1:5" x14ac:dyDescent="0.25">
      <c r="A55" s="2" t="s">
        <v>85</v>
      </c>
      <c r="B55" s="2" t="s">
        <v>87</v>
      </c>
      <c r="C55" s="2">
        <v>4</v>
      </c>
      <c r="D55" t="str">
        <f t="shared" si="0"/>
        <v>CA-2014-102330_TEC-PH-10001051</v>
      </c>
      <c r="E55" t="str">
        <f>IF(COUNTIF(data1!$D:$D,D55)=0,"Missing in Data1","Present")</f>
        <v>Present</v>
      </c>
    </row>
    <row r="56" spans="1:5" x14ac:dyDescent="0.25">
      <c r="A56" s="2" t="s">
        <v>88</v>
      </c>
      <c r="B56" s="2" t="s">
        <v>89</v>
      </c>
      <c r="C56" s="2">
        <v>6</v>
      </c>
      <c r="D56" t="str">
        <f t="shared" si="0"/>
        <v>CA-2014-102645_OFF-PA-10001804</v>
      </c>
      <c r="E56" t="str">
        <f>IF(COUNTIF(data1!$D:$D,D56)=0,"Missing in Data1","Present")</f>
        <v>Present</v>
      </c>
    </row>
    <row r="57" spans="1:5" x14ac:dyDescent="0.25">
      <c r="A57" s="2" t="s">
        <v>90</v>
      </c>
      <c r="B57" s="2" t="s">
        <v>91</v>
      </c>
      <c r="C57" s="2">
        <v>2</v>
      </c>
      <c r="D57" t="str">
        <f t="shared" si="0"/>
        <v>CA-2014-102652_FUR-FU-10000747</v>
      </c>
      <c r="E57" t="str">
        <f>IF(COUNTIF(data1!$D:$D,D57)=0,"Missing in Data1","Present")</f>
        <v>Present</v>
      </c>
    </row>
    <row r="58" spans="1:5" x14ac:dyDescent="0.25">
      <c r="A58" s="2" t="s">
        <v>90</v>
      </c>
      <c r="B58" s="2" t="s">
        <v>1260</v>
      </c>
      <c r="C58" s="2">
        <v>7</v>
      </c>
      <c r="D58" t="str">
        <f t="shared" si="0"/>
        <v>CA-2014-102652_FUR-FU-10001918</v>
      </c>
      <c r="E58" t="str">
        <f>IF(COUNTIF(data1!$D:$D,D58)=0,"Missing in Data1","Present")</f>
        <v>Missing in Data1</v>
      </c>
    </row>
    <row r="59" spans="1:5" x14ac:dyDescent="0.25">
      <c r="A59" s="2" t="s">
        <v>90</v>
      </c>
      <c r="B59" s="2" t="s">
        <v>92</v>
      </c>
      <c r="C59" s="2">
        <v>1</v>
      </c>
      <c r="D59" t="str">
        <f t="shared" si="0"/>
        <v>CA-2014-102652_OFF-PA-10001977</v>
      </c>
      <c r="E59" t="str">
        <f>IF(COUNTIF(data1!$D:$D,D59)=0,"Missing in Data1","Present")</f>
        <v>Present</v>
      </c>
    </row>
    <row r="60" spans="1:5" x14ac:dyDescent="0.25">
      <c r="A60" s="2" t="s">
        <v>90</v>
      </c>
      <c r="B60" s="2" t="s">
        <v>93</v>
      </c>
      <c r="C60" s="2">
        <v>3</v>
      </c>
      <c r="D60" t="str">
        <f t="shared" si="0"/>
        <v>CA-2014-102652_OFF-PA-10003309</v>
      </c>
      <c r="E60" t="str">
        <f>IF(COUNTIF(data1!$D:$D,D60)=0,"Missing in Data1","Present")</f>
        <v>Present</v>
      </c>
    </row>
    <row r="61" spans="1:5" x14ac:dyDescent="0.25">
      <c r="A61" s="2" t="s">
        <v>94</v>
      </c>
      <c r="B61" s="2" t="s">
        <v>95</v>
      </c>
      <c r="C61" s="2">
        <v>3</v>
      </c>
      <c r="D61" t="str">
        <f t="shared" si="0"/>
        <v>CA-2014-102673_OFF-AR-10000634</v>
      </c>
      <c r="E61" t="str">
        <f>IF(COUNTIF(data1!$D:$D,D61)=0,"Missing in Data1","Present")</f>
        <v>Present</v>
      </c>
    </row>
    <row r="62" spans="1:5" x14ac:dyDescent="0.25">
      <c r="A62" s="2" t="s">
        <v>94</v>
      </c>
      <c r="B62" s="2" t="s">
        <v>96</v>
      </c>
      <c r="C62" s="2">
        <v>5</v>
      </c>
      <c r="D62" t="str">
        <f t="shared" si="0"/>
        <v>CA-2014-102673_OFF-FA-10003021</v>
      </c>
      <c r="E62" t="str">
        <f>IF(COUNTIF(data1!$D:$D,D62)=0,"Missing in Data1","Present")</f>
        <v>Present</v>
      </c>
    </row>
    <row r="63" spans="1:5" x14ac:dyDescent="0.25">
      <c r="A63" s="2" t="s">
        <v>94</v>
      </c>
      <c r="B63" s="2" t="s">
        <v>98</v>
      </c>
      <c r="C63" s="2">
        <v>9</v>
      </c>
      <c r="D63" t="str">
        <f t="shared" si="0"/>
        <v>CA-2014-102673_TEC-PH-10004434</v>
      </c>
      <c r="E63" t="str">
        <f>IF(COUNTIF(data1!$D:$D,D63)=0,"Missing in Data1","Present")</f>
        <v>Present</v>
      </c>
    </row>
    <row r="64" spans="1:5" x14ac:dyDescent="0.25">
      <c r="A64" s="2" t="s">
        <v>99</v>
      </c>
      <c r="B64" s="2" t="s">
        <v>100</v>
      </c>
      <c r="C64" s="2">
        <v>3</v>
      </c>
      <c r="D64" t="str">
        <f t="shared" si="0"/>
        <v>CA-2014-102869_FUR-FU-10002456</v>
      </c>
      <c r="E64" t="str">
        <f>IF(COUNTIF(data1!$D:$D,D64)=0,"Missing in Data1","Present")</f>
        <v>Present</v>
      </c>
    </row>
    <row r="65" spans="1:5" x14ac:dyDescent="0.25">
      <c r="A65" s="2" t="s">
        <v>99</v>
      </c>
      <c r="B65" s="2" t="s">
        <v>320</v>
      </c>
      <c r="C65" s="2">
        <v>3</v>
      </c>
      <c r="D65" t="str">
        <f t="shared" si="0"/>
        <v>CA-2014-102869_OFF-PA-10000788</v>
      </c>
      <c r="E65" t="str">
        <f>IF(COUNTIF(data1!$D:$D,D65)=0,"Missing in Data1","Present")</f>
        <v>Missing in Data1</v>
      </c>
    </row>
    <row r="66" spans="1:5" x14ac:dyDescent="0.25">
      <c r="A66" s="2" t="s">
        <v>99</v>
      </c>
      <c r="B66" s="2" t="s">
        <v>101</v>
      </c>
      <c r="C66" s="2">
        <v>6</v>
      </c>
      <c r="D66" t="str">
        <f t="shared" si="0"/>
        <v>CA-2014-102869_TEC-AC-10002134</v>
      </c>
      <c r="E66" t="str">
        <f>IF(COUNTIF(data1!$D:$D,D66)=0,"Missing in Data1","Present")</f>
        <v>Present</v>
      </c>
    </row>
    <row r="67" spans="1:5" x14ac:dyDescent="0.25">
      <c r="A67" s="2" t="s">
        <v>99</v>
      </c>
      <c r="B67" s="2" t="s">
        <v>102</v>
      </c>
      <c r="C67" s="2">
        <v>1</v>
      </c>
      <c r="D67" t="str">
        <f t="shared" ref="D67:D130" si="1">A67&amp;"_"&amp;B67</f>
        <v>CA-2014-102869_TEC-PH-10002549</v>
      </c>
      <c r="E67" t="str">
        <f>IF(COUNTIF(data1!$D:$D,D67)=0,"Missing in Data1","Present")</f>
        <v>Present</v>
      </c>
    </row>
    <row r="68" spans="1:5" x14ac:dyDescent="0.25">
      <c r="A68" s="2" t="s">
        <v>103</v>
      </c>
      <c r="B68" s="2" t="s">
        <v>104</v>
      </c>
      <c r="C68" s="2">
        <v>7</v>
      </c>
      <c r="D68" t="str">
        <f t="shared" si="1"/>
        <v>CA-2014-102988_OFF-AR-10000127</v>
      </c>
      <c r="E68" t="str">
        <f>IF(COUNTIF(data1!$D:$D,D68)=0,"Missing in Data1","Present")</f>
        <v>Present</v>
      </c>
    </row>
    <row r="69" spans="1:5" x14ac:dyDescent="0.25">
      <c r="A69" s="2" t="s">
        <v>103</v>
      </c>
      <c r="B69" s="2" t="s">
        <v>58</v>
      </c>
      <c r="C69" s="2">
        <v>7</v>
      </c>
      <c r="D69" t="str">
        <f t="shared" si="1"/>
        <v>CA-2014-102988_OFF-AR-10004757</v>
      </c>
      <c r="E69" t="str">
        <f>IF(COUNTIF(data1!$D:$D,D69)=0,"Missing in Data1","Present")</f>
        <v>Present</v>
      </c>
    </row>
    <row r="70" spans="1:5" x14ac:dyDescent="0.25">
      <c r="A70" s="2" t="s">
        <v>103</v>
      </c>
      <c r="B70" s="2" t="s">
        <v>105</v>
      </c>
      <c r="C70" s="2">
        <v>2</v>
      </c>
      <c r="D70" t="str">
        <f t="shared" si="1"/>
        <v>CA-2014-102988_OFF-PA-10003349</v>
      </c>
      <c r="E70" t="str">
        <f>IF(COUNTIF(data1!$D:$D,D70)=0,"Missing in Data1","Present")</f>
        <v>Present</v>
      </c>
    </row>
    <row r="71" spans="1:5" x14ac:dyDescent="0.25">
      <c r="A71" s="2" t="s">
        <v>103</v>
      </c>
      <c r="B71" s="2" t="s">
        <v>106</v>
      </c>
      <c r="C71" s="2">
        <v>5</v>
      </c>
      <c r="D71" t="str">
        <f t="shared" si="1"/>
        <v>CA-2014-102988_OFF-SU-10002881</v>
      </c>
      <c r="E71" t="str">
        <f>IF(COUNTIF(data1!$D:$D,D71)=0,"Missing in Data1","Present")</f>
        <v>Present</v>
      </c>
    </row>
    <row r="72" spans="1:5" x14ac:dyDescent="0.25">
      <c r="A72" s="2" t="s">
        <v>103</v>
      </c>
      <c r="B72" s="2" t="s">
        <v>107</v>
      </c>
      <c r="C72" s="2">
        <v>1</v>
      </c>
      <c r="D72" t="str">
        <f t="shared" si="1"/>
        <v>CA-2014-102988_TEC-PH-10001615</v>
      </c>
      <c r="E72" t="str">
        <f>IF(COUNTIF(data1!$D:$D,D72)=0,"Missing in Data1","Present")</f>
        <v>Present</v>
      </c>
    </row>
    <row r="73" spans="1:5" x14ac:dyDescent="0.25">
      <c r="A73" s="2" t="s">
        <v>108</v>
      </c>
      <c r="B73" s="2" t="s">
        <v>109</v>
      </c>
      <c r="C73" s="2">
        <v>2</v>
      </c>
      <c r="D73" t="str">
        <f t="shared" si="1"/>
        <v>CA-2014-103058_TEC-AC-10001314</v>
      </c>
      <c r="E73" t="str">
        <f>IF(COUNTIF(data1!$D:$D,D73)=0,"Missing in Data1","Present")</f>
        <v>Present</v>
      </c>
    </row>
    <row r="74" spans="1:5" x14ac:dyDescent="0.25">
      <c r="A74" s="2" t="s">
        <v>110</v>
      </c>
      <c r="B74" s="2" t="s">
        <v>111</v>
      </c>
      <c r="C74" s="2">
        <v>2</v>
      </c>
      <c r="D74" t="str">
        <f t="shared" si="1"/>
        <v>CA-2014-103086_FUR-FU-10004586</v>
      </c>
      <c r="E74" t="str">
        <f>IF(COUNTIF(data1!$D:$D,D74)=0,"Missing in Data1","Present")</f>
        <v>Present</v>
      </c>
    </row>
    <row r="75" spans="1:5" x14ac:dyDescent="0.25">
      <c r="A75" s="2" t="s">
        <v>112</v>
      </c>
      <c r="B75" s="2" t="s">
        <v>113</v>
      </c>
      <c r="C75" s="2">
        <v>3</v>
      </c>
      <c r="D75" t="str">
        <f t="shared" si="1"/>
        <v>CA-2014-103100_OFF-BI-10004600</v>
      </c>
      <c r="E75" t="str">
        <f>IF(COUNTIF(data1!$D:$D,D75)=0,"Missing in Data1","Present")</f>
        <v>Present</v>
      </c>
    </row>
    <row r="76" spans="1:5" x14ac:dyDescent="0.25">
      <c r="A76" s="2" t="s">
        <v>112</v>
      </c>
      <c r="B76" s="2" t="s">
        <v>114</v>
      </c>
      <c r="C76" s="2">
        <v>1</v>
      </c>
      <c r="D76" t="str">
        <f t="shared" si="1"/>
        <v>CA-2014-103100_OFF-LA-10003720</v>
      </c>
      <c r="E76" t="str">
        <f>IF(COUNTIF(data1!$D:$D,D76)=0,"Missing in Data1","Present")</f>
        <v>Present</v>
      </c>
    </row>
    <row r="77" spans="1:5" x14ac:dyDescent="0.25">
      <c r="A77" s="2" t="s">
        <v>115</v>
      </c>
      <c r="B77" s="2" t="s">
        <v>116</v>
      </c>
      <c r="C77" s="2">
        <v>3</v>
      </c>
      <c r="D77" t="str">
        <f t="shared" si="1"/>
        <v>CA-2014-103191_OFF-ST-10002574</v>
      </c>
      <c r="E77" t="str">
        <f>IF(COUNTIF(data1!$D:$D,D77)=0,"Missing in Data1","Present")</f>
        <v>Present</v>
      </c>
    </row>
    <row r="78" spans="1:5" x14ac:dyDescent="0.25">
      <c r="A78" s="2" t="s">
        <v>117</v>
      </c>
      <c r="B78" s="2" t="s">
        <v>118</v>
      </c>
      <c r="C78" s="2">
        <v>9</v>
      </c>
      <c r="D78" t="str">
        <f t="shared" si="1"/>
        <v>CA-2014-103219_FUR-FU-10004091</v>
      </c>
      <c r="E78" t="str">
        <f>IF(COUNTIF(data1!$D:$D,D78)=0,"Missing in Data1","Present")</f>
        <v>Present</v>
      </c>
    </row>
    <row r="79" spans="1:5" x14ac:dyDescent="0.25">
      <c r="A79" s="2" t="s">
        <v>119</v>
      </c>
      <c r="B79" s="2" t="s">
        <v>120</v>
      </c>
      <c r="C79" s="2">
        <v>1</v>
      </c>
      <c r="D79" t="str">
        <f t="shared" si="1"/>
        <v>CA-2014-103310_FUR-CH-10002320</v>
      </c>
      <c r="E79" t="str">
        <f>IF(COUNTIF(data1!$D:$D,D79)=0,"Missing in Data1","Present")</f>
        <v>Present</v>
      </c>
    </row>
    <row r="80" spans="1:5" x14ac:dyDescent="0.25">
      <c r="A80" s="2" t="s">
        <v>119</v>
      </c>
      <c r="B80" s="2" t="s">
        <v>121</v>
      </c>
      <c r="C80" s="2">
        <v>2</v>
      </c>
      <c r="D80" t="str">
        <f t="shared" si="1"/>
        <v>CA-2014-103310_OFF-PA-10004353</v>
      </c>
      <c r="E80" t="str">
        <f>IF(COUNTIF(data1!$D:$D,D80)=0,"Missing in Data1","Present")</f>
        <v>Present</v>
      </c>
    </row>
    <row r="81" spans="1:5" x14ac:dyDescent="0.25">
      <c r="A81" s="2" t="s">
        <v>119</v>
      </c>
      <c r="B81" s="2" t="s">
        <v>122</v>
      </c>
      <c r="C81" s="2">
        <v>6</v>
      </c>
      <c r="D81" t="str">
        <f t="shared" si="1"/>
        <v>CA-2014-103310_OFF-SU-10004737</v>
      </c>
      <c r="E81" t="str">
        <f>IF(COUNTIF(data1!$D:$D,D81)=0,"Missing in Data1","Present")</f>
        <v>Present</v>
      </c>
    </row>
    <row r="82" spans="1:5" x14ac:dyDescent="0.25">
      <c r="A82" s="2" t="s">
        <v>119</v>
      </c>
      <c r="B82" s="2" t="s">
        <v>2598</v>
      </c>
      <c r="C82" s="2">
        <v>5</v>
      </c>
      <c r="D82" t="str">
        <f t="shared" si="1"/>
        <v>CA-2014-103310_TEC-PH-10001817</v>
      </c>
      <c r="E82" t="str">
        <f>IF(COUNTIF(data1!$D:$D,D82)=0,"Missing in Data1","Present")</f>
        <v>Missing in Data1</v>
      </c>
    </row>
    <row r="83" spans="1:5" x14ac:dyDescent="0.25">
      <c r="A83" s="2" t="s">
        <v>123</v>
      </c>
      <c r="B83" s="2" t="s">
        <v>124</v>
      </c>
      <c r="C83" s="2">
        <v>2</v>
      </c>
      <c r="D83" t="str">
        <f t="shared" si="1"/>
        <v>CA-2014-103317_FUR-FU-10001591</v>
      </c>
      <c r="E83" t="str">
        <f>IF(COUNTIF(data1!$D:$D,D83)=0,"Missing in Data1","Present")</f>
        <v>Present</v>
      </c>
    </row>
    <row r="84" spans="1:5" x14ac:dyDescent="0.25">
      <c r="A84" s="2" t="s">
        <v>123</v>
      </c>
      <c r="B84" s="2" t="s">
        <v>125</v>
      </c>
      <c r="C84" s="2">
        <v>3</v>
      </c>
      <c r="D84" t="str">
        <f t="shared" si="1"/>
        <v>CA-2014-103317_FUR-FU-10003192</v>
      </c>
      <c r="E84" t="str">
        <f>IF(COUNTIF(data1!$D:$D,D84)=0,"Missing in Data1","Present")</f>
        <v>Present</v>
      </c>
    </row>
    <row r="85" spans="1:5" x14ac:dyDescent="0.25">
      <c r="A85" s="2" t="s">
        <v>123</v>
      </c>
      <c r="B85" s="2" t="s">
        <v>126</v>
      </c>
      <c r="C85" s="2">
        <v>5</v>
      </c>
      <c r="D85" t="str">
        <f t="shared" si="1"/>
        <v>CA-2014-103317_OFF-BI-10001787</v>
      </c>
      <c r="E85" t="str">
        <f>IF(COUNTIF(data1!$D:$D,D85)=0,"Missing in Data1","Present")</f>
        <v>Present</v>
      </c>
    </row>
    <row r="86" spans="1:5" x14ac:dyDescent="0.25">
      <c r="A86" s="2" t="s">
        <v>127</v>
      </c>
      <c r="B86" s="2" t="s">
        <v>128</v>
      </c>
      <c r="C86" s="2">
        <v>4</v>
      </c>
      <c r="D86" t="str">
        <f t="shared" si="1"/>
        <v>CA-2014-103331_FUR-FU-10001731</v>
      </c>
      <c r="E86" t="str">
        <f>IF(COUNTIF(data1!$D:$D,D86)=0,"Missing in Data1","Present")</f>
        <v>Present</v>
      </c>
    </row>
    <row r="87" spans="1:5" x14ac:dyDescent="0.25">
      <c r="A87" s="2" t="s">
        <v>127</v>
      </c>
      <c r="B87" s="2" t="s">
        <v>2415</v>
      </c>
      <c r="C87" s="2">
        <v>3</v>
      </c>
      <c r="D87" t="str">
        <f t="shared" si="1"/>
        <v>CA-2014-103331_OFF-PA-10002160</v>
      </c>
      <c r="E87" t="str">
        <f>IF(COUNTIF(data1!$D:$D,D87)=0,"Missing in Data1","Present")</f>
        <v>Missing in Data1</v>
      </c>
    </row>
    <row r="88" spans="1:5" x14ac:dyDescent="0.25">
      <c r="A88" s="2" t="s">
        <v>127</v>
      </c>
      <c r="B88" s="2" t="s">
        <v>129</v>
      </c>
      <c r="C88" s="2">
        <v>1</v>
      </c>
      <c r="D88" t="str">
        <f t="shared" si="1"/>
        <v>CA-2014-103331_OFF-PA-10002659</v>
      </c>
      <c r="E88" t="str">
        <f>IF(COUNTIF(data1!$D:$D,D88)=0,"Missing in Data1","Present")</f>
        <v>Present</v>
      </c>
    </row>
    <row r="89" spans="1:5" x14ac:dyDescent="0.25">
      <c r="A89" s="2" t="s">
        <v>132</v>
      </c>
      <c r="B89" s="2" t="s">
        <v>133</v>
      </c>
      <c r="C89" s="2">
        <v>2</v>
      </c>
      <c r="D89" t="str">
        <f t="shared" si="1"/>
        <v>CA-2014-103373_TEC-PH-10002885</v>
      </c>
      <c r="E89" t="str">
        <f>IF(COUNTIF(data1!$D:$D,D89)=0,"Missing in Data1","Present")</f>
        <v>Present</v>
      </c>
    </row>
    <row r="90" spans="1:5" x14ac:dyDescent="0.25">
      <c r="A90" s="2" t="s">
        <v>134</v>
      </c>
      <c r="B90" s="2" t="s">
        <v>93</v>
      </c>
      <c r="C90" s="2">
        <v>2</v>
      </c>
      <c r="D90" t="str">
        <f t="shared" si="1"/>
        <v>CA-2014-103401_OFF-PA-10003309</v>
      </c>
      <c r="E90" t="str">
        <f>IF(COUNTIF(data1!$D:$D,D90)=0,"Missing in Data1","Present")</f>
        <v>Present</v>
      </c>
    </row>
    <row r="91" spans="1:5" x14ac:dyDescent="0.25">
      <c r="A91" s="2" t="s">
        <v>135</v>
      </c>
      <c r="B91" s="2" t="s">
        <v>136</v>
      </c>
      <c r="C91" s="2">
        <v>3</v>
      </c>
      <c r="D91" t="str">
        <f t="shared" si="1"/>
        <v>CA-2014-103429_OFF-AP-10001005</v>
      </c>
      <c r="E91" t="str">
        <f>IF(COUNTIF(data1!$D:$D,D91)=0,"Missing in Data1","Present")</f>
        <v>Present</v>
      </c>
    </row>
    <row r="92" spans="1:5" x14ac:dyDescent="0.25">
      <c r="A92" s="2" t="s">
        <v>135</v>
      </c>
      <c r="B92" s="2" t="s">
        <v>137</v>
      </c>
      <c r="C92" s="2">
        <v>2</v>
      </c>
      <c r="D92" t="str">
        <f t="shared" si="1"/>
        <v>CA-2014-103429_OFF-BI-10004233</v>
      </c>
      <c r="E92" t="str">
        <f>IF(COUNTIF(data1!$D:$D,D92)=0,"Missing in Data1","Present")</f>
        <v>Present</v>
      </c>
    </row>
    <row r="93" spans="1:5" x14ac:dyDescent="0.25">
      <c r="A93" s="2" t="s">
        <v>135</v>
      </c>
      <c r="B93" s="2" t="s">
        <v>139</v>
      </c>
      <c r="C93" s="2">
        <v>5</v>
      </c>
      <c r="D93" t="str">
        <f t="shared" si="1"/>
        <v>CA-2014-103429_TEC-PH-10003505</v>
      </c>
      <c r="E93" t="str">
        <f>IF(COUNTIF(data1!$D:$D,D93)=0,"Missing in Data1","Present")</f>
        <v>Present</v>
      </c>
    </row>
    <row r="94" spans="1:5" x14ac:dyDescent="0.25">
      <c r="A94" s="2" t="s">
        <v>140</v>
      </c>
      <c r="B94" s="2" t="s">
        <v>70</v>
      </c>
      <c r="C94" s="2">
        <v>1</v>
      </c>
      <c r="D94" t="str">
        <f t="shared" si="1"/>
        <v>CA-2014-103492_OFF-BI-10004140</v>
      </c>
      <c r="E94" t="str">
        <f>IF(COUNTIF(data1!$D:$D,D94)=0,"Missing in Data1","Present")</f>
        <v>Present</v>
      </c>
    </row>
    <row r="95" spans="1:5" x14ac:dyDescent="0.25">
      <c r="A95" s="2" t="s">
        <v>140</v>
      </c>
      <c r="B95" s="2" t="s">
        <v>1950</v>
      </c>
      <c r="C95" s="2">
        <v>5</v>
      </c>
      <c r="D95" t="str">
        <f t="shared" si="1"/>
        <v>CA-2014-103492_OFF-BI-10004817</v>
      </c>
      <c r="E95" t="str">
        <f>IF(COUNTIF(data1!$D:$D,D95)=0,"Missing in Data1","Present")</f>
        <v>Missing in Data1</v>
      </c>
    </row>
    <row r="96" spans="1:5" x14ac:dyDescent="0.25">
      <c r="A96" s="2" t="s">
        <v>140</v>
      </c>
      <c r="B96" s="2" t="s">
        <v>141</v>
      </c>
      <c r="C96" s="2">
        <v>6</v>
      </c>
      <c r="D96" t="str">
        <f t="shared" si="1"/>
        <v>CA-2014-103492_TEC-PH-10001128</v>
      </c>
      <c r="E96" t="str">
        <f>IF(COUNTIF(data1!$D:$D,D96)=0,"Missing in Data1","Present")</f>
        <v>Present</v>
      </c>
    </row>
    <row r="97" spans="1:5" x14ac:dyDescent="0.25">
      <c r="A97" s="2" t="s">
        <v>140</v>
      </c>
      <c r="B97" s="2" t="s">
        <v>142</v>
      </c>
      <c r="C97" s="2">
        <v>7</v>
      </c>
      <c r="D97" t="str">
        <f t="shared" si="1"/>
        <v>CA-2014-103492_TEC-PH-10004667</v>
      </c>
      <c r="E97" t="str">
        <f>IF(COUNTIF(data1!$D:$D,D97)=0,"Missing in Data1","Present")</f>
        <v>Present</v>
      </c>
    </row>
    <row r="98" spans="1:5" x14ac:dyDescent="0.25">
      <c r="A98" s="2" t="s">
        <v>143</v>
      </c>
      <c r="B98" s="2" t="s">
        <v>144</v>
      </c>
      <c r="C98" s="2">
        <v>3</v>
      </c>
      <c r="D98" t="str">
        <f t="shared" si="1"/>
        <v>CA-2014-103527_OFF-PA-10001622</v>
      </c>
      <c r="E98" t="str">
        <f>IF(COUNTIF(data1!$D:$D,D98)=0,"Missing in Data1","Present")</f>
        <v>Present</v>
      </c>
    </row>
    <row r="99" spans="1:5" x14ac:dyDescent="0.25">
      <c r="A99" s="2" t="s">
        <v>145</v>
      </c>
      <c r="B99" s="2" t="s">
        <v>146</v>
      </c>
      <c r="C99" s="2">
        <v>4</v>
      </c>
      <c r="D99" t="str">
        <f t="shared" si="1"/>
        <v>CA-2014-103590_OFF-EN-10004007</v>
      </c>
      <c r="E99" t="str">
        <f>IF(COUNTIF(data1!$D:$D,D99)=0,"Missing in Data1","Present")</f>
        <v>Present</v>
      </c>
    </row>
    <row r="100" spans="1:5" x14ac:dyDescent="0.25">
      <c r="A100" s="2" t="s">
        <v>147</v>
      </c>
      <c r="B100" s="2" t="s">
        <v>148</v>
      </c>
      <c r="C100" s="2">
        <v>7</v>
      </c>
      <c r="D100" t="str">
        <f t="shared" si="1"/>
        <v>CA-2014-103660_TEC-PH-10000895</v>
      </c>
      <c r="E100" t="str">
        <f>IF(COUNTIF(data1!$D:$D,D100)=0,"Missing in Data1","Present")</f>
        <v>Present</v>
      </c>
    </row>
    <row r="101" spans="1:5" x14ac:dyDescent="0.25">
      <c r="A101" s="2" t="s">
        <v>149</v>
      </c>
      <c r="B101" s="2" t="s">
        <v>150</v>
      </c>
      <c r="C101" s="2">
        <v>7</v>
      </c>
      <c r="D101" t="str">
        <f t="shared" si="1"/>
        <v>CA-2014-103702_OFF-BI-10002429</v>
      </c>
      <c r="E101" t="str">
        <f>IF(COUNTIF(data1!$D:$D,D101)=0,"Missing in Data1","Present")</f>
        <v>Present</v>
      </c>
    </row>
    <row r="102" spans="1:5" x14ac:dyDescent="0.25">
      <c r="A102" s="2" t="s">
        <v>151</v>
      </c>
      <c r="B102" s="2" t="s">
        <v>152</v>
      </c>
      <c r="C102" s="2">
        <v>3</v>
      </c>
      <c r="D102" t="str">
        <f t="shared" si="1"/>
        <v>CA-2014-103744_OFF-BI-10000320</v>
      </c>
      <c r="E102" t="str">
        <f>IF(COUNTIF(data1!$D:$D,D102)=0,"Missing in Data1","Present")</f>
        <v>Present</v>
      </c>
    </row>
    <row r="103" spans="1:5" x14ac:dyDescent="0.25">
      <c r="A103" s="2" t="s">
        <v>151</v>
      </c>
      <c r="B103" s="2" t="s">
        <v>153</v>
      </c>
      <c r="C103" s="2">
        <v>3</v>
      </c>
      <c r="D103" t="str">
        <f t="shared" si="1"/>
        <v>CA-2014-103744_OFF-LA-10004425</v>
      </c>
      <c r="E103" t="str">
        <f>IF(COUNTIF(data1!$D:$D,D103)=0,"Missing in Data1","Present")</f>
        <v>Present</v>
      </c>
    </row>
    <row r="104" spans="1:5" x14ac:dyDescent="0.25">
      <c r="A104" s="2" t="s">
        <v>154</v>
      </c>
      <c r="B104" s="2" t="s">
        <v>155</v>
      </c>
      <c r="C104" s="2">
        <v>2</v>
      </c>
      <c r="D104" t="str">
        <f t="shared" si="1"/>
        <v>CA-2014-103800_OFF-PA-10000174</v>
      </c>
      <c r="E104" t="str">
        <f>IF(COUNTIF(data1!$D:$D,D104)=0,"Missing in Data1","Present")</f>
        <v>Present</v>
      </c>
    </row>
    <row r="105" spans="1:5" x14ac:dyDescent="0.25">
      <c r="A105" s="2" t="s">
        <v>156</v>
      </c>
      <c r="B105" s="2" t="s">
        <v>157</v>
      </c>
      <c r="C105" s="2">
        <v>3</v>
      </c>
      <c r="D105" t="str">
        <f t="shared" si="1"/>
        <v>CA-2014-103807_OFF-PA-10002195</v>
      </c>
      <c r="E105" t="str">
        <f>IF(COUNTIF(data1!$D:$D,D105)=0,"Missing in Data1","Present")</f>
        <v>Present</v>
      </c>
    </row>
    <row r="106" spans="1:5" x14ac:dyDescent="0.25">
      <c r="A106" s="2" t="s">
        <v>156</v>
      </c>
      <c r="B106" s="2" t="s">
        <v>158</v>
      </c>
      <c r="C106" s="2">
        <v>1</v>
      </c>
      <c r="D106" t="str">
        <f t="shared" si="1"/>
        <v>CA-2014-103807_TEC-AC-10000199</v>
      </c>
      <c r="E106" t="str">
        <f>IF(COUNTIF(data1!$D:$D,D106)=0,"Missing in Data1","Present")</f>
        <v>Present</v>
      </c>
    </row>
    <row r="107" spans="1:5" x14ac:dyDescent="0.25">
      <c r="A107" s="2" t="s">
        <v>159</v>
      </c>
      <c r="B107" s="2" t="s">
        <v>160</v>
      </c>
      <c r="C107" s="2">
        <v>4</v>
      </c>
      <c r="D107" t="str">
        <f t="shared" si="1"/>
        <v>CA-2014-103849_FUR-FU-10000723</v>
      </c>
      <c r="E107" t="str">
        <f>IF(COUNTIF(data1!$D:$D,D107)=0,"Missing in Data1","Present")</f>
        <v>Present</v>
      </c>
    </row>
    <row r="108" spans="1:5" x14ac:dyDescent="0.25">
      <c r="A108" s="2" t="s">
        <v>159</v>
      </c>
      <c r="B108" s="2" t="s">
        <v>161</v>
      </c>
      <c r="C108" s="2">
        <v>2</v>
      </c>
      <c r="D108" t="str">
        <f t="shared" si="1"/>
        <v>CA-2014-103849_TEC-AC-10001465</v>
      </c>
      <c r="E108" t="str">
        <f>IF(COUNTIF(data1!$D:$D,D108)=0,"Missing in Data1","Present")</f>
        <v>Present</v>
      </c>
    </row>
    <row r="109" spans="1:5" x14ac:dyDescent="0.25">
      <c r="A109" s="2" t="s">
        <v>159</v>
      </c>
      <c r="B109" s="2" t="s">
        <v>162</v>
      </c>
      <c r="C109" s="2">
        <v>1</v>
      </c>
      <c r="D109" t="str">
        <f t="shared" si="1"/>
        <v>CA-2014-103849_TEC-PH-10002597</v>
      </c>
      <c r="E109" t="str">
        <f>IF(COUNTIF(data1!$D:$D,D109)=0,"Missing in Data1","Present")</f>
        <v>Present</v>
      </c>
    </row>
    <row r="110" spans="1:5" x14ac:dyDescent="0.25">
      <c r="A110" s="2" t="s">
        <v>163</v>
      </c>
      <c r="B110" s="2" t="s">
        <v>164</v>
      </c>
      <c r="C110" s="2">
        <v>2</v>
      </c>
      <c r="D110" t="str">
        <f t="shared" si="1"/>
        <v>CA-2014-103940_FUR-FU-10004671</v>
      </c>
      <c r="E110" t="str">
        <f>IF(COUNTIF(data1!$D:$D,D110)=0,"Missing in Data1","Present")</f>
        <v>Present</v>
      </c>
    </row>
    <row r="111" spans="1:5" x14ac:dyDescent="0.25">
      <c r="A111" s="2" t="s">
        <v>163</v>
      </c>
      <c r="B111" s="2" t="s">
        <v>165</v>
      </c>
      <c r="C111" s="2">
        <v>5</v>
      </c>
      <c r="D111" t="str">
        <f t="shared" si="1"/>
        <v>CA-2014-103940_OFF-BI-10002735</v>
      </c>
      <c r="E111" t="str">
        <f>IF(COUNTIF(data1!$D:$D,D111)=0,"Missing in Data1","Present")</f>
        <v>Present</v>
      </c>
    </row>
    <row r="112" spans="1:5" x14ac:dyDescent="0.25">
      <c r="A112" s="2" t="s">
        <v>163</v>
      </c>
      <c r="B112" s="2" t="s">
        <v>167</v>
      </c>
      <c r="C112" s="2">
        <v>2</v>
      </c>
      <c r="D112" t="str">
        <f t="shared" si="1"/>
        <v>CA-2014-103940_OFF-ST-10004963</v>
      </c>
      <c r="E112" t="str">
        <f>IF(COUNTIF(data1!$D:$D,D112)=0,"Missing in Data1","Present")</f>
        <v>Present</v>
      </c>
    </row>
    <row r="113" spans="1:5" x14ac:dyDescent="0.25">
      <c r="A113" s="2" t="s">
        <v>168</v>
      </c>
      <c r="B113" s="2" t="s">
        <v>169</v>
      </c>
      <c r="C113" s="2">
        <v>3</v>
      </c>
      <c r="D113" t="str">
        <f t="shared" si="1"/>
        <v>CA-2014-103989_FUR-FU-10002508</v>
      </c>
      <c r="E113" t="str">
        <f>IF(COUNTIF(data1!$D:$D,D113)=0,"Missing in Data1","Present")</f>
        <v>Present</v>
      </c>
    </row>
    <row r="114" spans="1:5" x14ac:dyDescent="0.25">
      <c r="A114" s="2" t="s">
        <v>168</v>
      </c>
      <c r="B114" s="2" t="s">
        <v>171</v>
      </c>
      <c r="C114" s="2">
        <v>5</v>
      </c>
      <c r="D114" t="str">
        <f t="shared" si="1"/>
        <v>CA-2014-103989_OFF-BI-10001196</v>
      </c>
      <c r="E114" t="str">
        <f>IF(COUNTIF(data1!$D:$D,D114)=0,"Missing in Data1","Present")</f>
        <v>Present</v>
      </c>
    </row>
    <row r="115" spans="1:5" x14ac:dyDescent="0.25">
      <c r="A115" s="2" t="s">
        <v>168</v>
      </c>
      <c r="B115" s="2" t="s">
        <v>172</v>
      </c>
      <c r="C115" s="2">
        <v>4</v>
      </c>
      <c r="D115" t="str">
        <f t="shared" si="1"/>
        <v>CA-2014-103989_OFF-LA-10000443</v>
      </c>
      <c r="E115" t="str">
        <f>IF(COUNTIF(data1!$D:$D,D115)=0,"Missing in Data1","Present")</f>
        <v>Present</v>
      </c>
    </row>
    <row r="116" spans="1:5" x14ac:dyDescent="0.25">
      <c r="A116" s="2" t="s">
        <v>168</v>
      </c>
      <c r="B116" s="2" t="s">
        <v>173</v>
      </c>
      <c r="C116" s="2">
        <v>3</v>
      </c>
      <c r="D116" t="str">
        <f t="shared" si="1"/>
        <v>CA-2014-103989_OFF-ST-10000918</v>
      </c>
      <c r="E116" t="str">
        <f>IF(COUNTIF(data1!$D:$D,D116)=0,"Missing in Data1","Present")</f>
        <v>Present</v>
      </c>
    </row>
    <row r="117" spans="1:5" x14ac:dyDescent="0.25">
      <c r="A117" s="2" t="s">
        <v>168</v>
      </c>
      <c r="B117" s="2" t="s">
        <v>174</v>
      </c>
      <c r="C117" s="2">
        <v>2</v>
      </c>
      <c r="D117" t="str">
        <f t="shared" si="1"/>
        <v>CA-2014-103989_TEC-AC-10002647</v>
      </c>
      <c r="E117" t="str">
        <f>IF(COUNTIF(data1!$D:$D,D117)=0,"Missing in Data1","Present")</f>
        <v>Present</v>
      </c>
    </row>
    <row r="118" spans="1:5" x14ac:dyDescent="0.25">
      <c r="A118" s="2" t="s">
        <v>168</v>
      </c>
      <c r="B118" s="2" t="s">
        <v>142</v>
      </c>
      <c r="C118" s="2">
        <v>3</v>
      </c>
      <c r="D118" t="str">
        <f t="shared" si="1"/>
        <v>CA-2014-103989_TEC-PH-10004667</v>
      </c>
      <c r="E118" t="str">
        <f>IF(COUNTIF(data1!$D:$D,D118)=0,"Missing in Data1","Present")</f>
        <v>Present</v>
      </c>
    </row>
    <row r="119" spans="1:5" x14ac:dyDescent="0.25">
      <c r="A119" s="2" t="s">
        <v>175</v>
      </c>
      <c r="B119" s="2" t="s">
        <v>176</v>
      </c>
      <c r="C119" s="2">
        <v>1</v>
      </c>
      <c r="D119" t="str">
        <f t="shared" si="1"/>
        <v>CA-2014-104178_FUR-FU-10000771</v>
      </c>
      <c r="E119" t="str">
        <f>IF(COUNTIF(data1!$D:$D,D119)=0,"Missing in Data1","Present")</f>
        <v>Present</v>
      </c>
    </row>
    <row r="120" spans="1:5" x14ac:dyDescent="0.25">
      <c r="A120" s="2" t="s">
        <v>175</v>
      </c>
      <c r="B120" s="2" t="s">
        <v>177</v>
      </c>
      <c r="C120" s="2">
        <v>4</v>
      </c>
      <c r="D120" t="str">
        <f t="shared" si="1"/>
        <v>CA-2014-104178_OFF-PA-10004983</v>
      </c>
      <c r="E120" t="str">
        <f>IF(COUNTIF(data1!$D:$D,D120)=0,"Missing in Data1","Present")</f>
        <v>Present</v>
      </c>
    </row>
    <row r="121" spans="1:5" x14ac:dyDescent="0.25">
      <c r="A121" s="2" t="s">
        <v>175</v>
      </c>
      <c r="B121" s="2" t="s">
        <v>178</v>
      </c>
      <c r="C121" s="2">
        <v>4</v>
      </c>
      <c r="D121" t="str">
        <f t="shared" si="1"/>
        <v>CA-2014-104178_OFF-ST-10004258</v>
      </c>
      <c r="E121" t="str">
        <f>IF(COUNTIF(data1!$D:$D,D121)=0,"Missing in Data1","Present")</f>
        <v>Present</v>
      </c>
    </row>
    <row r="122" spans="1:5" x14ac:dyDescent="0.25">
      <c r="A122" s="2" t="s">
        <v>175</v>
      </c>
      <c r="B122" s="2" t="s">
        <v>179</v>
      </c>
      <c r="C122" s="2">
        <v>5</v>
      </c>
      <c r="D122" t="str">
        <f t="shared" si="1"/>
        <v>CA-2014-104178_TEC-AC-10002399</v>
      </c>
      <c r="E122" t="str">
        <f>IF(COUNTIF(data1!$D:$D,D122)=0,"Missing in Data1","Present")</f>
        <v>Present</v>
      </c>
    </row>
    <row r="123" spans="1:5" x14ac:dyDescent="0.25">
      <c r="A123" s="2" t="s">
        <v>180</v>
      </c>
      <c r="B123" s="2" t="s">
        <v>181</v>
      </c>
      <c r="C123" s="2">
        <v>2</v>
      </c>
      <c r="D123" t="str">
        <f t="shared" si="1"/>
        <v>CA-2014-104269_FUR-CH-10004063</v>
      </c>
      <c r="E123" t="str">
        <f>IF(COUNTIF(data1!$D:$D,D123)=0,"Missing in Data1","Present")</f>
        <v>Present</v>
      </c>
    </row>
    <row r="124" spans="1:5" x14ac:dyDescent="0.25">
      <c r="A124" s="2" t="s">
        <v>182</v>
      </c>
      <c r="B124" s="2" t="s">
        <v>183</v>
      </c>
      <c r="C124" s="2">
        <v>1</v>
      </c>
      <c r="D124" t="str">
        <f t="shared" si="1"/>
        <v>CA-2014-104283_FUR-TA-10001039</v>
      </c>
      <c r="E124" t="str">
        <f>IF(COUNTIF(data1!$D:$D,D124)=0,"Missing in Data1","Present")</f>
        <v>Present</v>
      </c>
    </row>
    <row r="125" spans="1:5" x14ac:dyDescent="0.25">
      <c r="A125" s="2" t="s">
        <v>182</v>
      </c>
      <c r="B125" s="2" t="s">
        <v>184</v>
      </c>
      <c r="C125" s="2">
        <v>5</v>
      </c>
      <c r="D125" t="str">
        <f t="shared" si="1"/>
        <v>CA-2014-104283_OFF-ST-10004337</v>
      </c>
      <c r="E125" t="str">
        <f>IF(COUNTIF(data1!$D:$D,D125)=0,"Missing in Data1","Present")</f>
        <v>Present</v>
      </c>
    </row>
    <row r="126" spans="1:5" x14ac:dyDescent="0.25">
      <c r="A126" s="2" t="s">
        <v>182</v>
      </c>
      <c r="B126" s="2" t="s">
        <v>185</v>
      </c>
      <c r="C126" s="2">
        <v>4</v>
      </c>
      <c r="D126" t="str">
        <f t="shared" si="1"/>
        <v>CA-2014-104283_TEC-AC-10000109</v>
      </c>
      <c r="E126" t="str">
        <f>IF(COUNTIF(data1!$D:$D,D126)=0,"Missing in Data1","Present")</f>
        <v>Present</v>
      </c>
    </row>
    <row r="127" spans="1:5" x14ac:dyDescent="0.25">
      <c r="A127" s="2" t="s">
        <v>186</v>
      </c>
      <c r="B127" s="2" t="s">
        <v>187</v>
      </c>
      <c r="C127" s="2">
        <v>3</v>
      </c>
      <c r="D127" t="str">
        <f t="shared" si="1"/>
        <v>CA-2014-104402_TEC-MA-10000423</v>
      </c>
      <c r="E127" t="str">
        <f>IF(COUNTIF(data1!$D:$D,D127)=0,"Missing in Data1","Present")</f>
        <v>Present</v>
      </c>
    </row>
    <row r="128" spans="1:5" x14ac:dyDescent="0.25">
      <c r="A128" s="2" t="s">
        <v>188</v>
      </c>
      <c r="B128" s="2" t="s">
        <v>189</v>
      </c>
      <c r="C128" s="2">
        <v>6</v>
      </c>
      <c r="D128" t="str">
        <f t="shared" si="1"/>
        <v>CA-2014-104472_FUR-FU-10000246</v>
      </c>
      <c r="E128" t="str">
        <f>IF(COUNTIF(data1!$D:$D,D128)=0,"Missing in Data1","Present")</f>
        <v>Present</v>
      </c>
    </row>
    <row r="129" spans="1:5" x14ac:dyDescent="0.25">
      <c r="A129" s="2" t="s">
        <v>188</v>
      </c>
      <c r="B129" s="2" t="s">
        <v>190</v>
      </c>
      <c r="C129" s="2">
        <v>3</v>
      </c>
      <c r="D129" t="str">
        <f t="shared" si="1"/>
        <v>CA-2014-104472_OFF-BI-10001658</v>
      </c>
      <c r="E129" t="str">
        <f>IF(COUNTIF(data1!$D:$D,D129)=0,"Missing in Data1","Present")</f>
        <v>Present</v>
      </c>
    </row>
    <row r="130" spans="1:5" x14ac:dyDescent="0.25">
      <c r="A130" s="2" t="s">
        <v>191</v>
      </c>
      <c r="B130" s="2" t="s">
        <v>192</v>
      </c>
      <c r="C130" s="2">
        <v>6</v>
      </c>
      <c r="D130" t="str">
        <f t="shared" si="1"/>
        <v>CA-2014-104563_FUR-CH-10002780</v>
      </c>
      <c r="E130" t="str">
        <f>IF(COUNTIF(data1!$D:$D,D130)=0,"Missing in Data1","Present")</f>
        <v>Present</v>
      </c>
    </row>
    <row r="131" spans="1:5" x14ac:dyDescent="0.25">
      <c r="A131" s="2" t="s">
        <v>191</v>
      </c>
      <c r="B131" s="2" t="s">
        <v>193</v>
      </c>
      <c r="C131" s="2">
        <v>2</v>
      </c>
      <c r="D131" t="str">
        <f t="shared" ref="D131:D194" si="2">A131&amp;"_"&amp;B131</f>
        <v>CA-2014-104563_FUR-CH-10004495</v>
      </c>
      <c r="E131" t="str">
        <f>IF(COUNTIF(data1!$D:$D,D131)=0,"Missing in Data1","Present")</f>
        <v>Present</v>
      </c>
    </row>
    <row r="132" spans="1:5" x14ac:dyDescent="0.25">
      <c r="A132" s="2" t="s">
        <v>191</v>
      </c>
      <c r="B132" s="2" t="s">
        <v>194</v>
      </c>
      <c r="C132" s="2">
        <v>5</v>
      </c>
      <c r="D132" t="str">
        <f t="shared" si="2"/>
        <v>CA-2014-104563_OFF-AR-10000390</v>
      </c>
      <c r="E132" t="str">
        <f>IF(COUNTIF(data1!$D:$D,D132)=0,"Missing in Data1","Present")</f>
        <v>Present</v>
      </c>
    </row>
    <row r="133" spans="1:5" x14ac:dyDescent="0.25">
      <c r="A133" s="2" t="s">
        <v>191</v>
      </c>
      <c r="B133" s="2" t="s">
        <v>195</v>
      </c>
      <c r="C133" s="2">
        <v>5</v>
      </c>
      <c r="D133" t="str">
        <f t="shared" si="2"/>
        <v>CA-2014-104563_OFF-ST-10000934</v>
      </c>
      <c r="E133" t="str">
        <f>IF(COUNTIF(data1!$D:$D,D133)=0,"Missing in Data1","Present")</f>
        <v>Present</v>
      </c>
    </row>
    <row r="134" spans="1:5" x14ac:dyDescent="0.25">
      <c r="A134" s="2" t="s">
        <v>196</v>
      </c>
      <c r="B134" s="2" t="s">
        <v>197</v>
      </c>
      <c r="C134" s="2">
        <v>3</v>
      </c>
      <c r="D134" t="str">
        <f t="shared" si="2"/>
        <v>CA-2014-104738_OFF-BI-10002160</v>
      </c>
      <c r="E134" t="str">
        <f>IF(COUNTIF(data1!$D:$D,D134)=0,"Missing in Data1","Present")</f>
        <v>Present</v>
      </c>
    </row>
    <row r="135" spans="1:5" x14ac:dyDescent="0.25">
      <c r="A135" s="2" t="s">
        <v>196</v>
      </c>
      <c r="B135" s="2" t="s">
        <v>198</v>
      </c>
      <c r="C135" s="2">
        <v>3</v>
      </c>
      <c r="D135" t="str">
        <f t="shared" si="2"/>
        <v>CA-2014-104738_OFF-EN-10004955</v>
      </c>
      <c r="E135" t="str">
        <f>IF(COUNTIF(data1!$D:$D,D135)=0,"Missing in Data1","Present")</f>
        <v>Present</v>
      </c>
    </row>
    <row r="136" spans="1:5" x14ac:dyDescent="0.25">
      <c r="A136" s="2" t="s">
        <v>196</v>
      </c>
      <c r="B136" s="2" t="s">
        <v>131</v>
      </c>
      <c r="C136" s="2">
        <v>2</v>
      </c>
      <c r="D136" t="str">
        <f t="shared" si="2"/>
        <v>CA-2014-104738_TEC-AC-10003628</v>
      </c>
      <c r="E136" t="str">
        <f>IF(COUNTIF(data1!$D:$D,D136)=0,"Missing in Data1","Present")</f>
        <v>Present</v>
      </c>
    </row>
    <row r="137" spans="1:5" x14ac:dyDescent="0.25">
      <c r="A137" s="2" t="s">
        <v>196</v>
      </c>
      <c r="B137" s="2" t="s">
        <v>200</v>
      </c>
      <c r="C137" s="2">
        <v>2</v>
      </c>
      <c r="D137" t="str">
        <f t="shared" si="2"/>
        <v>CA-2014-104738_TEC-PH-10002468</v>
      </c>
      <c r="E137" t="str">
        <f>IF(COUNTIF(data1!$D:$D,D137)=0,"Missing in Data1","Present")</f>
        <v>Present</v>
      </c>
    </row>
    <row r="138" spans="1:5" x14ac:dyDescent="0.25">
      <c r="A138" s="2" t="s">
        <v>201</v>
      </c>
      <c r="B138" s="2" t="s">
        <v>202</v>
      </c>
      <c r="C138" s="2">
        <v>2</v>
      </c>
      <c r="D138" t="str">
        <f t="shared" si="2"/>
        <v>CA-2014-104773_OFF-ST-10000777</v>
      </c>
      <c r="E138" t="str">
        <f>IF(COUNTIF(data1!$D:$D,D138)=0,"Missing in Data1","Present")</f>
        <v>Present</v>
      </c>
    </row>
    <row r="139" spans="1:5" x14ac:dyDescent="0.25">
      <c r="A139" s="2" t="s">
        <v>203</v>
      </c>
      <c r="B139" s="2" t="s">
        <v>204</v>
      </c>
      <c r="C139" s="2">
        <v>8</v>
      </c>
      <c r="D139" t="str">
        <f t="shared" si="2"/>
        <v>CA-2014-104780_OFF-AR-10003514</v>
      </c>
      <c r="E139" t="str">
        <f>IF(COUNTIF(data1!$D:$D,D139)=0,"Missing in Data1","Present")</f>
        <v>Present</v>
      </c>
    </row>
    <row r="140" spans="1:5" x14ac:dyDescent="0.25">
      <c r="A140" s="2" t="s">
        <v>205</v>
      </c>
      <c r="B140" s="2" t="s">
        <v>206</v>
      </c>
      <c r="C140" s="2">
        <v>2</v>
      </c>
      <c r="D140" t="str">
        <f t="shared" si="2"/>
        <v>CA-2014-104808_OFF-BI-10003676</v>
      </c>
      <c r="E140" t="str">
        <f>IF(COUNTIF(data1!$D:$D,D140)=0,"Missing in Data1","Present")</f>
        <v>Present</v>
      </c>
    </row>
    <row r="141" spans="1:5" x14ac:dyDescent="0.25">
      <c r="A141" s="2" t="s">
        <v>6734</v>
      </c>
      <c r="B141" s="2" t="s">
        <v>1156</v>
      </c>
      <c r="C141" s="2">
        <v>7</v>
      </c>
      <c r="D141" t="str">
        <f t="shared" si="2"/>
        <v>CA-2014-104829_OFF-PA-10003016</v>
      </c>
      <c r="E141" t="str">
        <f>IF(COUNTIF(data1!$D:$D,D141)=0,"Missing in Data1","Present")</f>
        <v>Missing in Data1</v>
      </c>
    </row>
    <row r="142" spans="1:5" x14ac:dyDescent="0.25">
      <c r="A142" s="2" t="s">
        <v>207</v>
      </c>
      <c r="B142" s="2" t="s">
        <v>208</v>
      </c>
      <c r="C142" s="2">
        <v>6</v>
      </c>
      <c r="D142" t="str">
        <f t="shared" si="2"/>
        <v>CA-2014-104976_OFF-PA-10003845</v>
      </c>
      <c r="E142" t="str">
        <f>IF(COUNTIF(data1!$D:$D,D142)=0,"Missing in Data1","Present")</f>
        <v>Present</v>
      </c>
    </row>
    <row r="143" spans="1:5" x14ac:dyDescent="0.25">
      <c r="A143" s="2" t="s">
        <v>209</v>
      </c>
      <c r="B143" s="2" t="s">
        <v>1879</v>
      </c>
      <c r="C143" s="2">
        <v>1</v>
      </c>
      <c r="D143" t="str">
        <f t="shared" si="2"/>
        <v>CA-2014-105165_FUR-TA-10004154</v>
      </c>
      <c r="E143" t="str">
        <f>IF(COUNTIF(data1!$D:$D,D143)=0,"Missing in Data1","Present")</f>
        <v>Missing in Data1</v>
      </c>
    </row>
    <row r="144" spans="1:5" x14ac:dyDescent="0.25">
      <c r="A144" s="2" t="s">
        <v>209</v>
      </c>
      <c r="B144" s="2" t="s">
        <v>210</v>
      </c>
      <c r="C144" s="2">
        <v>3</v>
      </c>
      <c r="D144" t="str">
        <f t="shared" si="2"/>
        <v>CA-2014-105165_OFF-AR-10003179</v>
      </c>
      <c r="E144" t="str">
        <f>IF(COUNTIF(data1!$D:$D,D144)=0,"Missing in Data1","Present")</f>
        <v>Present</v>
      </c>
    </row>
    <row r="145" spans="1:5" x14ac:dyDescent="0.25">
      <c r="A145" s="2" t="s">
        <v>209</v>
      </c>
      <c r="B145" s="2" t="s">
        <v>211</v>
      </c>
      <c r="C145" s="2">
        <v>2</v>
      </c>
      <c r="D145" t="str">
        <f t="shared" si="2"/>
        <v>CA-2014-105165_OFF-BI-10000050</v>
      </c>
      <c r="E145" t="str">
        <f>IF(COUNTIF(data1!$D:$D,D145)=0,"Missing in Data1","Present")</f>
        <v>Present</v>
      </c>
    </row>
    <row r="146" spans="1:5" x14ac:dyDescent="0.25">
      <c r="A146" s="2" t="s">
        <v>209</v>
      </c>
      <c r="B146" s="2" t="s">
        <v>212</v>
      </c>
      <c r="C146" s="2">
        <v>4</v>
      </c>
      <c r="D146" t="str">
        <f t="shared" si="2"/>
        <v>CA-2014-105165_TEC-AC-10002718</v>
      </c>
      <c r="E146" t="str">
        <f>IF(COUNTIF(data1!$D:$D,D146)=0,"Missing in Data1","Present")</f>
        <v>Present</v>
      </c>
    </row>
    <row r="147" spans="1:5" x14ac:dyDescent="0.25">
      <c r="A147" s="2" t="s">
        <v>209</v>
      </c>
      <c r="B147" s="2" t="s">
        <v>213</v>
      </c>
      <c r="C147" s="2">
        <v>3</v>
      </c>
      <c r="D147" t="str">
        <f t="shared" si="2"/>
        <v>CA-2014-105165_TEC-PH-10000675</v>
      </c>
      <c r="E147" t="str">
        <f>IF(COUNTIF(data1!$D:$D,D147)=0,"Missing in Data1","Present")</f>
        <v>Present</v>
      </c>
    </row>
    <row r="148" spans="1:5" x14ac:dyDescent="0.25">
      <c r="A148" s="2" t="s">
        <v>214</v>
      </c>
      <c r="B148" s="2" t="s">
        <v>215</v>
      </c>
      <c r="C148" s="2">
        <v>6</v>
      </c>
      <c r="D148" t="str">
        <f t="shared" si="2"/>
        <v>CA-2014-105172_OFF-LA-10001641</v>
      </c>
      <c r="E148" t="str">
        <f>IF(COUNTIF(data1!$D:$D,D148)=0,"Missing in Data1","Present")</f>
        <v>Present</v>
      </c>
    </row>
    <row r="149" spans="1:5" x14ac:dyDescent="0.25">
      <c r="A149" s="2" t="s">
        <v>216</v>
      </c>
      <c r="B149" s="2" t="s">
        <v>217</v>
      </c>
      <c r="C149" s="2">
        <v>4</v>
      </c>
      <c r="D149" t="str">
        <f t="shared" si="2"/>
        <v>CA-2014-105249_FUR-BO-10000330</v>
      </c>
      <c r="E149" t="str">
        <f>IF(COUNTIF(data1!$D:$D,D149)=0,"Missing in Data1","Present")</f>
        <v>Present</v>
      </c>
    </row>
    <row r="150" spans="1:5" x14ac:dyDescent="0.25">
      <c r="A150" s="2" t="s">
        <v>216</v>
      </c>
      <c r="B150" s="2" t="s">
        <v>218</v>
      </c>
      <c r="C150" s="2">
        <v>4</v>
      </c>
      <c r="D150" t="str">
        <f t="shared" si="2"/>
        <v>CA-2014-105249_OFF-LA-10002043</v>
      </c>
      <c r="E150" t="str">
        <f>IF(COUNTIF(data1!$D:$D,D150)=0,"Missing in Data1","Present")</f>
        <v>Present</v>
      </c>
    </row>
    <row r="151" spans="1:5" x14ac:dyDescent="0.25">
      <c r="A151" s="2" t="s">
        <v>216</v>
      </c>
      <c r="B151" s="2" t="s">
        <v>219</v>
      </c>
      <c r="C151" s="2">
        <v>2</v>
      </c>
      <c r="D151" t="str">
        <f t="shared" si="2"/>
        <v>CA-2014-105249_OFF-SU-10001225</v>
      </c>
      <c r="E151" t="str">
        <f>IF(COUNTIF(data1!$D:$D,D151)=0,"Missing in Data1","Present")</f>
        <v>Present</v>
      </c>
    </row>
    <row r="152" spans="1:5" x14ac:dyDescent="0.25">
      <c r="A152" s="2" t="s">
        <v>220</v>
      </c>
      <c r="B152" s="2" t="s">
        <v>221</v>
      </c>
      <c r="C152" s="2">
        <v>1</v>
      </c>
      <c r="D152" t="str">
        <f t="shared" si="2"/>
        <v>CA-2014-105270_FUR-CH-10000988</v>
      </c>
      <c r="E152" t="str">
        <f>IF(COUNTIF(data1!$D:$D,D152)=0,"Missing in Data1","Present")</f>
        <v>Present</v>
      </c>
    </row>
    <row r="153" spans="1:5" x14ac:dyDescent="0.25">
      <c r="A153" s="2" t="s">
        <v>220</v>
      </c>
      <c r="B153" s="2" t="s">
        <v>222</v>
      </c>
      <c r="C153" s="2">
        <v>3</v>
      </c>
      <c r="D153" t="str">
        <f t="shared" si="2"/>
        <v>CA-2014-105270_OFF-AR-10003156</v>
      </c>
      <c r="E153" t="str">
        <f>IF(COUNTIF(data1!$D:$D,D153)=0,"Missing in Data1","Present")</f>
        <v>Present</v>
      </c>
    </row>
    <row r="154" spans="1:5" x14ac:dyDescent="0.25">
      <c r="A154" s="2" t="s">
        <v>225</v>
      </c>
      <c r="B154" s="2" t="s">
        <v>226</v>
      </c>
      <c r="C154" s="2">
        <v>3</v>
      </c>
      <c r="D154" t="str">
        <f t="shared" si="2"/>
        <v>CA-2014-105417_FUR-FU-10004864</v>
      </c>
      <c r="E154" t="str">
        <f>IF(COUNTIF(data1!$D:$D,D154)=0,"Missing in Data1","Present")</f>
        <v>Present</v>
      </c>
    </row>
    <row r="155" spans="1:5" x14ac:dyDescent="0.25">
      <c r="A155" s="2" t="s">
        <v>225</v>
      </c>
      <c r="B155" s="2" t="s">
        <v>227</v>
      </c>
      <c r="C155" s="2">
        <v>7</v>
      </c>
      <c r="D155" t="str">
        <f t="shared" si="2"/>
        <v>CA-2014-105417_OFF-BI-10003708</v>
      </c>
      <c r="E155" t="str">
        <f>IF(COUNTIF(data1!$D:$D,D155)=0,"Missing in Data1","Present")</f>
        <v>Present</v>
      </c>
    </row>
    <row r="156" spans="1:5" x14ac:dyDescent="0.25">
      <c r="A156" s="2" t="s">
        <v>6735</v>
      </c>
      <c r="B156" s="2" t="s">
        <v>841</v>
      </c>
      <c r="C156" s="2">
        <v>3</v>
      </c>
      <c r="D156" t="str">
        <f t="shared" si="2"/>
        <v>CA-2014-105648_FUR-TA-10002958</v>
      </c>
      <c r="E156" t="str">
        <f>IF(COUNTIF(data1!$D:$D,D156)=0,"Missing in Data1","Present")</f>
        <v>Missing in Data1</v>
      </c>
    </row>
    <row r="157" spans="1:5" x14ac:dyDescent="0.25">
      <c r="A157" s="2" t="s">
        <v>228</v>
      </c>
      <c r="B157" s="2" t="s">
        <v>229</v>
      </c>
      <c r="C157" s="2">
        <v>4</v>
      </c>
      <c r="D157" t="str">
        <f t="shared" si="2"/>
        <v>CA-2014-105872_OFF-BI-10003684</v>
      </c>
      <c r="E157" t="str">
        <f>IF(COUNTIF(data1!$D:$D,D157)=0,"Missing in Data1","Present")</f>
        <v>Present</v>
      </c>
    </row>
    <row r="158" spans="1:5" x14ac:dyDescent="0.25">
      <c r="A158" s="2" t="s">
        <v>230</v>
      </c>
      <c r="B158" s="2" t="s">
        <v>231</v>
      </c>
      <c r="C158" s="2">
        <v>6</v>
      </c>
      <c r="D158" t="str">
        <f t="shared" si="2"/>
        <v>CA-2014-105893_OFF-ST-10004186</v>
      </c>
      <c r="E158" t="str">
        <f>IF(COUNTIF(data1!$D:$D,D158)=0,"Missing in Data1","Present")</f>
        <v>Present</v>
      </c>
    </row>
    <row r="159" spans="1:5" x14ac:dyDescent="0.25">
      <c r="A159" s="2" t="s">
        <v>232</v>
      </c>
      <c r="B159" s="2" t="s">
        <v>233</v>
      </c>
      <c r="C159" s="2">
        <v>3</v>
      </c>
      <c r="D159" t="str">
        <f t="shared" si="2"/>
        <v>CA-2014-105984_FUR-CH-10000847</v>
      </c>
      <c r="E159" t="str">
        <f>IF(COUNTIF(data1!$D:$D,D159)=0,"Missing in Data1","Present")</f>
        <v>Present</v>
      </c>
    </row>
    <row r="160" spans="1:5" x14ac:dyDescent="0.25">
      <c r="A160" s="2" t="s">
        <v>232</v>
      </c>
      <c r="B160" s="2" t="s">
        <v>234</v>
      </c>
      <c r="C160" s="2">
        <v>5</v>
      </c>
      <c r="D160" t="str">
        <f t="shared" si="2"/>
        <v>CA-2014-105984_TEC-PH-10000560</v>
      </c>
      <c r="E160" t="str">
        <f>IF(COUNTIF(data1!$D:$D,D160)=0,"Missing in Data1","Present")</f>
        <v>Present</v>
      </c>
    </row>
    <row r="161" spans="1:5" x14ac:dyDescent="0.25">
      <c r="A161" s="2" t="s">
        <v>235</v>
      </c>
      <c r="B161" s="2" t="s">
        <v>236</v>
      </c>
      <c r="C161" s="2">
        <v>3</v>
      </c>
      <c r="D161" t="str">
        <f t="shared" si="2"/>
        <v>CA-2014-106054_OFF-AR-10002399</v>
      </c>
      <c r="E161" t="str">
        <f>IF(COUNTIF(data1!$D:$D,D161)=0,"Missing in Data1","Present")</f>
        <v>Present</v>
      </c>
    </row>
    <row r="162" spans="1:5" x14ac:dyDescent="0.25">
      <c r="A162" s="2" t="s">
        <v>237</v>
      </c>
      <c r="B162" s="2" t="s">
        <v>238</v>
      </c>
      <c r="C162" s="2">
        <v>3</v>
      </c>
      <c r="D162" t="str">
        <f t="shared" si="2"/>
        <v>CA-2014-106229_FUR-TA-10002041</v>
      </c>
      <c r="E162" t="str">
        <f>IF(COUNTIF(data1!$D:$D,D162)=0,"Missing in Data1","Present")</f>
        <v>Present</v>
      </c>
    </row>
    <row r="163" spans="1:5" x14ac:dyDescent="0.25">
      <c r="A163" s="2" t="s">
        <v>239</v>
      </c>
      <c r="B163" s="2" t="s">
        <v>240</v>
      </c>
      <c r="C163" s="2">
        <v>2</v>
      </c>
      <c r="D163" t="str">
        <f t="shared" si="2"/>
        <v>CA-2014-106264_FUR-FU-10001852</v>
      </c>
      <c r="E163" t="str">
        <f>IF(COUNTIF(data1!$D:$D,D163)=0,"Missing in Data1","Present")</f>
        <v>Present</v>
      </c>
    </row>
    <row r="164" spans="1:5" x14ac:dyDescent="0.25">
      <c r="A164" s="2" t="s">
        <v>239</v>
      </c>
      <c r="B164" s="2" t="s">
        <v>241</v>
      </c>
      <c r="C164" s="2">
        <v>3</v>
      </c>
      <c r="D164" t="str">
        <f t="shared" si="2"/>
        <v>CA-2014-106264_OFF-SU-10002189</v>
      </c>
      <c r="E164" t="str">
        <f>IF(COUNTIF(data1!$D:$D,D164)=0,"Missing in Data1","Present")</f>
        <v>Present</v>
      </c>
    </row>
    <row r="165" spans="1:5" x14ac:dyDescent="0.25">
      <c r="A165" s="2" t="s">
        <v>242</v>
      </c>
      <c r="B165" s="2" t="s">
        <v>243</v>
      </c>
      <c r="C165" s="2">
        <v>8</v>
      </c>
      <c r="D165" t="str">
        <f t="shared" si="2"/>
        <v>CA-2014-106376_OFF-AR-10002671</v>
      </c>
      <c r="E165" t="str">
        <f>IF(COUNTIF(data1!$D:$D,D165)=0,"Missing in Data1","Present")</f>
        <v>Present</v>
      </c>
    </row>
    <row r="166" spans="1:5" x14ac:dyDescent="0.25">
      <c r="A166" s="2" t="s">
        <v>242</v>
      </c>
      <c r="B166" s="2" t="s">
        <v>244</v>
      </c>
      <c r="C166" s="2">
        <v>4</v>
      </c>
      <c r="D166" t="str">
        <f t="shared" si="2"/>
        <v>CA-2014-106376_TEC-PH-10002726</v>
      </c>
      <c r="E166" t="str">
        <f>IF(COUNTIF(data1!$D:$D,D166)=0,"Missing in Data1","Present")</f>
        <v>Present</v>
      </c>
    </row>
    <row r="167" spans="1:5" x14ac:dyDescent="0.25">
      <c r="A167" s="2" t="s">
        <v>245</v>
      </c>
      <c r="B167" s="2" t="s">
        <v>246</v>
      </c>
      <c r="C167" s="2">
        <v>3</v>
      </c>
      <c r="D167" t="str">
        <f t="shared" si="2"/>
        <v>CA-2014-106439_FUR-CH-10003833</v>
      </c>
      <c r="E167" t="str">
        <f>IF(COUNTIF(data1!$D:$D,D167)=0,"Missing in Data1","Present")</f>
        <v>Present</v>
      </c>
    </row>
    <row r="168" spans="1:5" x14ac:dyDescent="0.25">
      <c r="A168" s="2" t="s">
        <v>245</v>
      </c>
      <c r="B168" s="2" t="s">
        <v>4080</v>
      </c>
      <c r="C168" s="2">
        <v>3</v>
      </c>
      <c r="D168" t="str">
        <f t="shared" si="2"/>
        <v>CA-2014-106439_OFF-AR-10001419</v>
      </c>
      <c r="E168" t="str">
        <f>IF(COUNTIF(data1!$D:$D,D168)=0,"Missing in Data1","Present")</f>
        <v>Missing in Data1</v>
      </c>
    </row>
    <row r="169" spans="1:5" x14ac:dyDescent="0.25">
      <c r="A169" s="2" t="s">
        <v>245</v>
      </c>
      <c r="B169" s="2" t="s">
        <v>247</v>
      </c>
      <c r="C169" s="2">
        <v>2</v>
      </c>
      <c r="D169" t="str">
        <f t="shared" si="2"/>
        <v>CA-2014-106439_OFF-BI-10002571</v>
      </c>
      <c r="E169" t="str">
        <f>IF(COUNTIF(data1!$D:$D,D169)=0,"Missing in Data1","Present")</f>
        <v>Present</v>
      </c>
    </row>
    <row r="170" spans="1:5" x14ac:dyDescent="0.25">
      <c r="A170" s="2" t="s">
        <v>245</v>
      </c>
      <c r="B170" s="2" t="s">
        <v>248</v>
      </c>
      <c r="C170" s="2">
        <v>3</v>
      </c>
      <c r="D170" t="str">
        <f t="shared" si="2"/>
        <v>CA-2014-106439_OFF-BI-10004209</v>
      </c>
      <c r="E170" t="str">
        <f>IF(COUNTIF(data1!$D:$D,D170)=0,"Missing in Data1","Present")</f>
        <v>Present</v>
      </c>
    </row>
    <row r="171" spans="1:5" x14ac:dyDescent="0.25">
      <c r="A171" s="2" t="s">
        <v>245</v>
      </c>
      <c r="B171" s="2" t="s">
        <v>249</v>
      </c>
      <c r="C171" s="2">
        <v>3</v>
      </c>
      <c r="D171" t="str">
        <f t="shared" si="2"/>
        <v>CA-2014-106439_OFF-FA-10002975</v>
      </c>
      <c r="E171" t="str">
        <f>IF(COUNTIF(data1!$D:$D,D171)=0,"Missing in Data1","Present")</f>
        <v>Present</v>
      </c>
    </row>
    <row r="172" spans="1:5" x14ac:dyDescent="0.25">
      <c r="A172" s="2" t="s">
        <v>245</v>
      </c>
      <c r="B172" s="2" t="s">
        <v>250</v>
      </c>
      <c r="C172" s="2">
        <v>13</v>
      </c>
      <c r="D172" t="str">
        <f t="shared" si="2"/>
        <v>CA-2014-106439_OFF-PA-10000477</v>
      </c>
      <c r="E172" t="str">
        <f>IF(COUNTIF(data1!$D:$D,D172)=0,"Missing in Data1","Present")</f>
        <v>Present</v>
      </c>
    </row>
    <row r="173" spans="1:5" x14ac:dyDescent="0.25">
      <c r="A173" s="2" t="s">
        <v>245</v>
      </c>
      <c r="B173" s="2" t="s">
        <v>251</v>
      </c>
      <c r="C173" s="2">
        <v>4</v>
      </c>
      <c r="D173" t="str">
        <f t="shared" si="2"/>
        <v>CA-2014-106439_OFF-ST-10001963</v>
      </c>
      <c r="E173" t="str">
        <f>IF(COUNTIF(data1!$D:$D,D173)=0,"Missing in Data1","Present")</f>
        <v>Present</v>
      </c>
    </row>
    <row r="174" spans="1:5" x14ac:dyDescent="0.25">
      <c r="A174" s="2" t="s">
        <v>245</v>
      </c>
      <c r="B174" s="2" t="s">
        <v>252</v>
      </c>
      <c r="C174" s="2">
        <v>5</v>
      </c>
      <c r="D174" t="str">
        <f t="shared" si="2"/>
        <v>CA-2014-106439_OFF-ST-10003996</v>
      </c>
      <c r="E174" t="str">
        <f>IF(COUNTIF(data1!$D:$D,D174)=0,"Missing in Data1","Present")</f>
        <v>Present</v>
      </c>
    </row>
    <row r="175" spans="1:5" x14ac:dyDescent="0.25">
      <c r="A175" s="2" t="s">
        <v>245</v>
      </c>
      <c r="B175" s="2" t="s">
        <v>2609</v>
      </c>
      <c r="C175" s="2">
        <v>9</v>
      </c>
      <c r="D175" t="str">
        <f t="shared" si="2"/>
        <v>CA-2014-106439_TEC-AC-10004568</v>
      </c>
      <c r="E175" t="str">
        <f>IF(COUNTIF(data1!$D:$D,D175)=0,"Missing in Data1","Present")</f>
        <v>Missing in Data1</v>
      </c>
    </row>
    <row r="176" spans="1:5" x14ac:dyDescent="0.25">
      <c r="A176" s="2" t="s">
        <v>253</v>
      </c>
      <c r="B176" s="2" t="s">
        <v>254</v>
      </c>
      <c r="C176" s="2">
        <v>2</v>
      </c>
      <c r="D176" t="str">
        <f t="shared" si="2"/>
        <v>CA-2014-106572_OFF-ST-10000585</v>
      </c>
      <c r="E176" t="str">
        <f>IF(COUNTIF(data1!$D:$D,D176)=0,"Missing in Data1","Present")</f>
        <v>Present</v>
      </c>
    </row>
    <row r="177" spans="1:5" x14ac:dyDescent="0.25">
      <c r="A177" s="2" t="s">
        <v>255</v>
      </c>
      <c r="B177" s="2" t="s">
        <v>256</v>
      </c>
      <c r="C177" s="2">
        <v>2</v>
      </c>
      <c r="D177" t="str">
        <f t="shared" si="2"/>
        <v>CA-2014-106719_OFF-BI-10002799</v>
      </c>
      <c r="E177" t="str">
        <f>IF(COUNTIF(data1!$D:$D,D177)=0,"Missing in Data1","Present")</f>
        <v>Present</v>
      </c>
    </row>
    <row r="178" spans="1:5" x14ac:dyDescent="0.25">
      <c r="A178" s="2" t="s">
        <v>259</v>
      </c>
      <c r="B178" s="2" t="s">
        <v>260</v>
      </c>
      <c r="C178" s="2">
        <v>2</v>
      </c>
      <c r="D178" t="str">
        <f t="shared" si="2"/>
        <v>CA-2014-106803_OFF-ST-10002444</v>
      </c>
      <c r="E178" t="str">
        <f>IF(COUNTIF(data1!$D:$D,D178)=0,"Missing in Data1","Present")</f>
        <v>Present</v>
      </c>
    </row>
    <row r="179" spans="1:5" x14ac:dyDescent="0.25">
      <c r="A179" s="2" t="s">
        <v>259</v>
      </c>
      <c r="B179" s="2" t="s">
        <v>261</v>
      </c>
      <c r="C179" s="2">
        <v>4</v>
      </c>
      <c r="D179" t="str">
        <f t="shared" si="2"/>
        <v>CA-2014-106803_TEC-AC-10001267</v>
      </c>
      <c r="E179" t="str">
        <f>IF(COUNTIF(data1!$D:$D,D179)=0,"Missing in Data1","Present")</f>
        <v>Present</v>
      </c>
    </row>
    <row r="180" spans="1:5" x14ac:dyDescent="0.25">
      <c r="A180" s="2" t="s">
        <v>262</v>
      </c>
      <c r="B180" s="2" t="s">
        <v>263</v>
      </c>
      <c r="C180" s="2">
        <v>2</v>
      </c>
      <c r="D180" t="str">
        <f t="shared" si="2"/>
        <v>CA-2014-106810_FUR-FU-10004306</v>
      </c>
      <c r="E180" t="str">
        <f>IF(COUNTIF(data1!$D:$D,D180)=0,"Missing in Data1","Present")</f>
        <v>Present</v>
      </c>
    </row>
    <row r="181" spans="1:5" x14ac:dyDescent="0.25">
      <c r="A181" s="2" t="s">
        <v>264</v>
      </c>
      <c r="B181" s="2" t="s">
        <v>265</v>
      </c>
      <c r="C181" s="2">
        <v>7</v>
      </c>
      <c r="D181" t="str">
        <f t="shared" si="2"/>
        <v>CA-2014-106971_TEC-AC-10000844</v>
      </c>
      <c r="E181" t="str">
        <f>IF(COUNTIF(data1!$D:$D,D181)=0,"Missing in Data1","Present")</f>
        <v>Present</v>
      </c>
    </row>
    <row r="182" spans="1:5" x14ac:dyDescent="0.25">
      <c r="A182" s="2" t="s">
        <v>266</v>
      </c>
      <c r="B182" s="2" t="s">
        <v>267</v>
      </c>
      <c r="C182" s="2">
        <v>6</v>
      </c>
      <c r="D182" t="str">
        <f t="shared" si="2"/>
        <v>CA-2014-107139_OFF-BI-10001670</v>
      </c>
      <c r="E182" t="str">
        <f>IF(COUNTIF(data1!$D:$D,D182)=0,"Missing in Data1","Present")</f>
        <v>Present</v>
      </c>
    </row>
    <row r="183" spans="1:5" x14ac:dyDescent="0.25">
      <c r="A183" s="2" t="s">
        <v>268</v>
      </c>
      <c r="B183" s="2" t="s">
        <v>269</v>
      </c>
      <c r="C183" s="2">
        <v>3</v>
      </c>
      <c r="D183" t="str">
        <f t="shared" si="2"/>
        <v>CA-2014-107153_OFF-ST-10001321</v>
      </c>
      <c r="E183" t="str">
        <f>IF(COUNTIF(data1!$D:$D,D183)=0,"Missing in Data1","Present")</f>
        <v>Present</v>
      </c>
    </row>
    <row r="184" spans="1:5" x14ac:dyDescent="0.25">
      <c r="A184" s="2" t="s">
        <v>270</v>
      </c>
      <c r="B184" s="2" t="s">
        <v>271</v>
      </c>
      <c r="C184" s="2">
        <v>3</v>
      </c>
      <c r="D184" t="str">
        <f t="shared" si="2"/>
        <v>CA-2014-107181_OFF-BI-10004230</v>
      </c>
      <c r="E184" t="str">
        <f>IF(COUNTIF(data1!$D:$D,D184)=0,"Missing in Data1","Present")</f>
        <v>Present</v>
      </c>
    </row>
    <row r="185" spans="1:5" x14ac:dyDescent="0.25">
      <c r="A185" s="2" t="s">
        <v>270</v>
      </c>
      <c r="B185" s="2" t="s">
        <v>272</v>
      </c>
      <c r="C185" s="2">
        <v>4</v>
      </c>
      <c r="D185" t="str">
        <f t="shared" si="2"/>
        <v>CA-2014-107181_OFF-PA-10000350</v>
      </c>
      <c r="E185" t="str">
        <f>IF(COUNTIF(data1!$D:$D,D185)=0,"Missing in Data1","Present")</f>
        <v>Present</v>
      </c>
    </row>
    <row r="186" spans="1:5" x14ac:dyDescent="0.25">
      <c r="A186" s="2" t="s">
        <v>273</v>
      </c>
      <c r="B186" s="2" t="s">
        <v>274</v>
      </c>
      <c r="C186" s="2">
        <v>4</v>
      </c>
      <c r="D186" t="str">
        <f t="shared" si="2"/>
        <v>CA-2014-107398_OFF-BI-10001982</v>
      </c>
      <c r="E186" t="str">
        <f>IF(COUNTIF(data1!$D:$D,D186)=0,"Missing in Data1","Present")</f>
        <v>Present</v>
      </c>
    </row>
    <row r="187" spans="1:5" x14ac:dyDescent="0.25">
      <c r="A187" s="2" t="s">
        <v>273</v>
      </c>
      <c r="B187" s="2" t="s">
        <v>275</v>
      </c>
      <c r="C187" s="2">
        <v>8</v>
      </c>
      <c r="D187" t="str">
        <f t="shared" si="2"/>
        <v>CA-2014-107398_OFF-BI-10002103</v>
      </c>
      <c r="E187" t="str">
        <f>IF(COUNTIF(data1!$D:$D,D187)=0,"Missing in Data1","Present")</f>
        <v>Present</v>
      </c>
    </row>
    <row r="188" spans="1:5" x14ac:dyDescent="0.25">
      <c r="A188" s="2" t="s">
        <v>273</v>
      </c>
      <c r="B188" s="2" t="s">
        <v>276</v>
      </c>
      <c r="C188" s="2">
        <v>3</v>
      </c>
      <c r="D188" t="str">
        <f t="shared" si="2"/>
        <v>CA-2014-107398_OFF-BI-10004141</v>
      </c>
      <c r="E188" t="str">
        <f>IF(COUNTIF(data1!$D:$D,D188)=0,"Missing in Data1","Present")</f>
        <v>Present</v>
      </c>
    </row>
    <row r="189" spans="1:5" x14ac:dyDescent="0.25">
      <c r="A189" s="2" t="s">
        <v>277</v>
      </c>
      <c r="B189" s="2" t="s">
        <v>278</v>
      </c>
      <c r="C189" s="2">
        <v>6</v>
      </c>
      <c r="D189" t="str">
        <f t="shared" si="2"/>
        <v>CA-2014-107454_FUR-FU-10004018</v>
      </c>
      <c r="E189" t="str">
        <f>IF(COUNTIF(data1!$D:$D,D189)=0,"Missing in Data1","Present")</f>
        <v>Present</v>
      </c>
    </row>
    <row r="190" spans="1:5" x14ac:dyDescent="0.25">
      <c r="A190" s="2" t="s">
        <v>277</v>
      </c>
      <c r="B190" s="2" t="s">
        <v>279</v>
      </c>
      <c r="C190" s="2">
        <v>7</v>
      </c>
      <c r="D190" t="str">
        <f t="shared" si="2"/>
        <v>CA-2014-107454_OFF-LA-10001569</v>
      </c>
      <c r="E190" t="str">
        <f>IF(COUNTIF(data1!$D:$D,D190)=0,"Missing in Data1","Present")</f>
        <v>Present</v>
      </c>
    </row>
    <row r="191" spans="1:5" x14ac:dyDescent="0.25">
      <c r="A191" s="2" t="s">
        <v>280</v>
      </c>
      <c r="B191" s="2" t="s">
        <v>281</v>
      </c>
      <c r="C191" s="2">
        <v>2</v>
      </c>
      <c r="D191" t="str">
        <f t="shared" si="2"/>
        <v>CA-2014-107524_OFF-EN-10001990</v>
      </c>
      <c r="E191" t="str">
        <f>IF(COUNTIF(data1!$D:$D,D191)=0,"Missing in Data1","Present")</f>
        <v>Present</v>
      </c>
    </row>
    <row r="192" spans="1:5" x14ac:dyDescent="0.25">
      <c r="A192" s="2" t="s">
        <v>280</v>
      </c>
      <c r="B192" s="2" t="s">
        <v>282</v>
      </c>
      <c r="C192" s="2">
        <v>5</v>
      </c>
      <c r="D192" t="str">
        <f t="shared" si="2"/>
        <v>CA-2014-107524_OFF-PA-10000587</v>
      </c>
      <c r="E192" t="str">
        <f>IF(COUNTIF(data1!$D:$D,D192)=0,"Missing in Data1","Present")</f>
        <v>Present</v>
      </c>
    </row>
    <row r="193" spans="1:5" x14ac:dyDescent="0.25">
      <c r="A193" s="2" t="s">
        <v>283</v>
      </c>
      <c r="B193" s="2" t="s">
        <v>284</v>
      </c>
      <c r="C193" s="2">
        <v>3</v>
      </c>
      <c r="D193" t="str">
        <f t="shared" si="2"/>
        <v>CA-2014-107573_OFF-EN-10001099</v>
      </c>
      <c r="E193" t="str">
        <f>IF(COUNTIF(data1!$D:$D,D193)=0,"Missing in Data1","Present")</f>
        <v>Present</v>
      </c>
    </row>
    <row r="194" spans="1:5" x14ac:dyDescent="0.25">
      <c r="A194" s="2" t="s">
        <v>285</v>
      </c>
      <c r="B194" s="2" t="s">
        <v>286</v>
      </c>
      <c r="C194" s="2">
        <v>1</v>
      </c>
      <c r="D194" t="str">
        <f t="shared" si="2"/>
        <v>CA-2014-107594_OFF-AR-10000716</v>
      </c>
      <c r="E194" t="str">
        <f>IF(COUNTIF(data1!$D:$D,D194)=0,"Missing in Data1","Present")</f>
        <v>Present</v>
      </c>
    </row>
    <row r="195" spans="1:5" x14ac:dyDescent="0.25">
      <c r="A195" s="2" t="s">
        <v>287</v>
      </c>
      <c r="B195" s="2" t="s">
        <v>288</v>
      </c>
      <c r="C195" s="2">
        <v>3</v>
      </c>
      <c r="D195" t="str">
        <f t="shared" ref="D195:D258" si="3">A195&amp;"_"&amp;B195</f>
        <v>CA-2014-107706_OFF-PA-10000466</v>
      </c>
      <c r="E195" t="str">
        <f>IF(COUNTIF(data1!$D:$D,D195)=0,"Missing in Data1","Present")</f>
        <v>Present</v>
      </c>
    </row>
    <row r="196" spans="1:5" x14ac:dyDescent="0.25">
      <c r="A196" s="2" t="s">
        <v>289</v>
      </c>
      <c r="B196" s="2" t="s">
        <v>290</v>
      </c>
      <c r="C196" s="2">
        <v>7</v>
      </c>
      <c r="D196" t="str">
        <f t="shared" si="3"/>
        <v>CA-2014-107755_TEC-AC-10000710</v>
      </c>
      <c r="E196" t="str">
        <f>IF(COUNTIF(data1!$D:$D,D196)=0,"Missing in Data1","Present")</f>
        <v>Present</v>
      </c>
    </row>
    <row r="197" spans="1:5" x14ac:dyDescent="0.25">
      <c r="A197" s="2" t="s">
        <v>291</v>
      </c>
      <c r="B197" s="2" t="s">
        <v>292</v>
      </c>
      <c r="C197" s="2">
        <v>2</v>
      </c>
      <c r="D197" t="str">
        <f t="shared" si="3"/>
        <v>CA-2014-107769_TEC-PH-10001336</v>
      </c>
      <c r="E197" t="str">
        <f>IF(COUNTIF(data1!$D:$D,D197)=0,"Missing in Data1","Present")</f>
        <v>Present</v>
      </c>
    </row>
    <row r="198" spans="1:5" x14ac:dyDescent="0.25">
      <c r="A198" s="2" t="s">
        <v>293</v>
      </c>
      <c r="B198" s="2" t="s">
        <v>295</v>
      </c>
      <c r="C198" s="2">
        <v>5</v>
      </c>
      <c r="D198" t="str">
        <f t="shared" si="3"/>
        <v>CA-2014-107811_OFF-ST-10000798</v>
      </c>
      <c r="E198" t="str">
        <f>IF(COUNTIF(data1!$D:$D,D198)=0,"Missing in Data1","Present")</f>
        <v>Present</v>
      </c>
    </row>
    <row r="199" spans="1:5" x14ac:dyDescent="0.25">
      <c r="A199" s="2" t="s">
        <v>296</v>
      </c>
      <c r="B199" s="2" t="s">
        <v>297</v>
      </c>
      <c r="C199" s="2">
        <v>5</v>
      </c>
      <c r="D199" t="str">
        <f t="shared" si="3"/>
        <v>CA-2014-107818_FUR-CH-10000454</v>
      </c>
      <c r="E199" t="str">
        <f>IF(COUNTIF(data1!$D:$D,D199)=0,"Missing in Data1","Present")</f>
        <v>Present</v>
      </c>
    </row>
    <row r="200" spans="1:5" x14ac:dyDescent="0.25">
      <c r="A200" s="2" t="s">
        <v>296</v>
      </c>
      <c r="B200" s="2" t="s">
        <v>23</v>
      </c>
      <c r="C200" s="2">
        <v>8</v>
      </c>
      <c r="D200" t="str">
        <f t="shared" si="3"/>
        <v>CA-2014-107818_OFF-AR-10000380</v>
      </c>
      <c r="E200" t="str">
        <f>IF(COUNTIF(data1!$D:$D,D200)=0,"Missing in Data1","Present")</f>
        <v>Present</v>
      </c>
    </row>
    <row r="201" spans="1:5" x14ac:dyDescent="0.25">
      <c r="A201" s="2" t="s">
        <v>296</v>
      </c>
      <c r="B201" s="2" t="s">
        <v>298</v>
      </c>
      <c r="C201" s="2">
        <v>2</v>
      </c>
      <c r="D201" t="str">
        <f t="shared" si="3"/>
        <v>CA-2014-107818_OFF-AR-10003045</v>
      </c>
      <c r="E201" t="str">
        <f>IF(COUNTIF(data1!$D:$D,D201)=0,"Missing in Data1","Present")</f>
        <v>Present</v>
      </c>
    </row>
    <row r="202" spans="1:5" x14ac:dyDescent="0.25">
      <c r="A202" s="2" t="s">
        <v>296</v>
      </c>
      <c r="B202" s="2" t="s">
        <v>299</v>
      </c>
      <c r="C202" s="2">
        <v>6</v>
      </c>
      <c r="D202" t="str">
        <f t="shared" si="3"/>
        <v>CA-2014-107818_OFF-ST-10000736</v>
      </c>
      <c r="E202" t="str">
        <f>IF(COUNTIF(data1!$D:$D,D202)=0,"Missing in Data1","Present")</f>
        <v>Present</v>
      </c>
    </row>
    <row r="203" spans="1:5" x14ac:dyDescent="0.25">
      <c r="A203" s="2" t="s">
        <v>300</v>
      </c>
      <c r="B203" s="2" t="s">
        <v>111</v>
      </c>
      <c r="C203" s="2">
        <v>2</v>
      </c>
      <c r="D203" t="str">
        <f t="shared" si="3"/>
        <v>CA-2014-107916_FUR-FU-10004586</v>
      </c>
      <c r="E203" t="str">
        <f>IF(COUNTIF(data1!$D:$D,D203)=0,"Missing in Data1","Present")</f>
        <v>Present</v>
      </c>
    </row>
    <row r="204" spans="1:5" x14ac:dyDescent="0.25">
      <c r="A204" s="2" t="s">
        <v>300</v>
      </c>
      <c r="B204" s="2" t="s">
        <v>301</v>
      </c>
      <c r="C204" s="2">
        <v>3</v>
      </c>
      <c r="D204" t="str">
        <f t="shared" si="3"/>
        <v>CA-2014-107916_OFF-BI-10001116</v>
      </c>
      <c r="E204" t="str">
        <f>IF(COUNTIF(data1!$D:$D,D204)=0,"Missing in Data1","Present")</f>
        <v>Present</v>
      </c>
    </row>
    <row r="205" spans="1:5" x14ac:dyDescent="0.25">
      <c r="A205" s="2" t="s">
        <v>302</v>
      </c>
      <c r="B205" s="2" t="s">
        <v>303</v>
      </c>
      <c r="C205" s="2">
        <v>2</v>
      </c>
      <c r="D205" t="str">
        <f t="shared" si="3"/>
        <v>CA-2014-108147_OFF-BI-10003876</v>
      </c>
      <c r="E205" t="str">
        <f>IF(COUNTIF(data1!$D:$D,D205)=0,"Missing in Data1","Present")</f>
        <v>Present</v>
      </c>
    </row>
    <row r="206" spans="1:5" x14ac:dyDescent="0.25">
      <c r="A206" s="2" t="s">
        <v>302</v>
      </c>
      <c r="B206" s="2" t="s">
        <v>304</v>
      </c>
      <c r="C206" s="2">
        <v>6</v>
      </c>
      <c r="D206" t="str">
        <f t="shared" si="3"/>
        <v>CA-2014-108147_OFF-ST-10003470</v>
      </c>
      <c r="E206" t="str">
        <f>IF(COUNTIF(data1!$D:$D,D206)=0,"Missing in Data1","Present")</f>
        <v>Present</v>
      </c>
    </row>
    <row r="207" spans="1:5" x14ac:dyDescent="0.25">
      <c r="A207" s="2" t="s">
        <v>305</v>
      </c>
      <c r="B207" s="2" t="s">
        <v>171</v>
      </c>
      <c r="C207" s="2">
        <v>2</v>
      </c>
      <c r="D207" t="str">
        <f t="shared" si="3"/>
        <v>CA-2014-108182_OFF-BI-10001196</v>
      </c>
      <c r="E207" t="str">
        <f>IF(COUNTIF(data1!$D:$D,D207)=0,"Missing in Data1","Present")</f>
        <v>Present</v>
      </c>
    </row>
    <row r="208" spans="1:5" x14ac:dyDescent="0.25">
      <c r="A208" s="2" t="s">
        <v>306</v>
      </c>
      <c r="B208" s="2" t="s">
        <v>307</v>
      </c>
      <c r="C208" s="2">
        <v>6</v>
      </c>
      <c r="D208" t="str">
        <f t="shared" si="3"/>
        <v>CA-2014-108189_OFF-EN-10004846</v>
      </c>
      <c r="E208" t="str">
        <f>IF(COUNTIF(data1!$D:$D,D208)=0,"Missing in Data1","Present")</f>
        <v>Present</v>
      </c>
    </row>
    <row r="209" spans="1:5" x14ac:dyDescent="0.25">
      <c r="A209" s="2" t="s">
        <v>306</v>
      </c>
      <c r="B209" s="2" t="s">
        <v>309</v>
      </c>
      <c r="C209" s="2">
        <v>2</v>
      </c>
      <c r="D209" t="str">
        <f t="shared" si="3"/>
        <v>CA-2014-108189_OFF-PA-10001838</v>
      </c>
      <c r="E209" t="str">
        <f>IF(COUNTIF(data1!$D:$D,D209)=0,"Missing in Data1","Present")</f>
        <v>Present</v>
      </c>
    </row>
    <row r="210" spans="1:5" x14ac:dyDescent="0.25">
      <c r="A210" s="2" t="s">
        <v>306</v>
      </c>
      <c r="B210" s="2" t="s">
        <v>310</v>
      </c>
      <c r="C210" s="2">
        <v>2</v>
      </c>
      <c r="D210" t="str">
        <f t="shared" si="3"/>
        <v>CA-2014-108189_OFF-SU-10003567</v>
      </c>
      <c r="E210" t="str">
        <f>IF(COUNTIF(data1!$D:$D,D210)=0,"Missing in Data1","Present")</f>
        <v>Present</v>
      </c>
    </row>
    <row r="211" spans="1:5" x14ac:dyDescent="0.25">
      <c r="A211" s="2" t="s">
        <v>306</v>
      </c>
      <c r="B211" s="2" t="s">
        <v>311</v>
      </c>
      <c r="C211" s="2">
        <v>1</v>
      </c>
      <c r="D211" t="str">
        <f t="shared" si="3"/>
        <v>CA-2014-108189_TEC-AC-10003038</v>
      </c>
      <c r="E211" t="str">
        <f>IF(COUNTIF(data1!$D:$D,D211)=0,"Missing in Data1","Present")</f>
        <v>Present</v>
      </c>
    </row>
    <row r="212" spans="1:5" x14ac:dyDescent="0.25">
      <c r="A212" s="2" t="s">
        <v>306</v>
      </c>
      <c r="B212" s="2" t="s">
        <v>312</v>
      </c>
      <c r="C212" s="2">
        <v>3</v>
      </c>
      <c r="D212" t="str">
        <f t="shared" si="3"/>
        <v>CA-2014-108189_TEC-PH-10001557</v>
      </c>
      <c r="E212" t="str">
        <f>IF(COUNTIF(data1!$D:$D,D212)=0,"Missing in Data1","Present")</f>
        <v>Present</v>
      </c>
    </row>
    <row r="213" spans="1:5" x14ac:dyDescent="0.25">
      <c r="A213" s="2" t="s">
        <v>306</v>
      </c>
      <c r="B213" s="2" t="s">
        <v>313</v>
      </c>
      <c r="C213" s="2">
        <v>2</v>
      </c>
      <c r="D213" t="str">
        <f t="shared" si="3"/>
        <v>CA-2014-108189_TEC-PH-10001760</v>
      </c>
      <c r="E213" t="str">
        <f>IF(COUNTIF(data1!$D:$D,D213)=0,"Missing in Data1","Present")</f>
        <v>Present</v>
      </c>
    </row>
    <row r="214" spans="1:5" x14ac:dyDescent="0.25">
      <c r="A214" s="2" t="s">
        <v>314</v>
      </c>
      <c r="B214" s="2" t="s">
        <v>315</v>
      </c>
      <c r="C214" s="2">
        <v>2</v>
      </c>
      <c r="D214" t="str">
        <f t="shared" si="3"/>
        <v>CA-2014-108273_FUR-FU-10002116</v>
      </c>
      <c r="E214" t="str">
        <f>IF(COUNTIF(data1!$D:$D,D214)=0,"Missing in Data1","Present")</f>
        <v>Present</v>
      </c>
    </row>
    <row r="215" spans="1:5" x14ac:dyDescent="0.25">
      <c r="A215" s="2" t="s">
        <v>314</v>
      </c>
      <c r="B215" s="2" t="s">
        <v>316</v>
      </c>
      <c r="C215" s="2">
        <v>7</v>
      </c>
      <c r="D215" t="str">
        <f t="shared" si="3"/>
        <v>CA-2014-108273_OFF-PA-10000029</v>
      </c>
      <c r="E215" t="str">
        <f>IF(COUNTIF(data1!$D:$D,D215)=0,"Missing in Data1","Present")</f>
        <v>Present</v>
      </c>
    </row>
    <row r="216" spans="1:5" x14ac:dyDescent="0.25">
      <c r="A216" s="2" t="s">
        <v>317</v>
      </c>
      <c r="B216" s="2" t="s">
        <v>318</v>
      </c>
      <c r="C216" s="2">
        <v>8</v>
      </c>
      <c r="D216" t="str">
        <f t="shared" si="3"/>
        <v>CA-2014-108609_FUR-TA-10003954</v>
      </c>
      <c r="E216" t="str">
        <f>IF(COUNTIF(data1!$D:$D,D216)=0,"Missing in Data1","Present")</f>
        <v>Present</v>
      </c>
    </row>
    <row r="217" spans="1:5" x14ac:dyDescent="0.25">
      <c r="A217" s="2" t="s">
        <v>319</v>
      </c>
      <c r="B217" s="2" t="s">
        <v>320</v>
      </c>
      <c r="C217" s="2">
        <v>2</v>
      </c>
      <c r="D217" t="str">
        <f t="shared" si="3"/>
        <v>CA-2014-108707_OFF-PA-10000788</v>
      </c>
      <c r="E217" t="str">
        <f>IF(COUNTIF(data1!$D:$D,D217)=0,"Missing in Data1","Present")</f>
        <v>Present</v>
      </c>
    </row>
    <row r="218" spans="1:5" x14ac:dyDescent="0.25">
      <c r="A218" s="2" t="s">
        <v>6736</v>
      </c>
      <c r="B218" s="2" t="s">
        <v>303</v>
      </c>
      <c r="C218" s="2">
        <v>4</v>
      </c>
      <c r="D218" t="str">
        <f t="shared" si="3"/>
        <v>CA-2014-108861_OFF-BI-10003876</v>
      </c>
      <c r="E218" t="str">
        <f>IF(COUNTIF(data1!$D:$D,D218)=0,"Missing in Data1","Present")</f>
        <v>Missing in Data1</v>
      </c>
    </row>
    <row r="219" spans="1:5" x14ac:dyDescent="0.25">
      <c r="A219" s="2" t="s">
        <v>321</v>
      </c>
      <c r="B219" s="2" t="s">
        <v>322</v>
      </c>
      <c r="C219" s="2">
        <v>2</v>
      </c>
      <c r="D219" t="str">
        <f t="shared" si="3"/>
        <v>CA-2014-108903_OFF-AR-10004010</v>
      </c>
      <c r="E219" t="str">
        <f>IF(COUNTIF(data1!$D:$D,D219)=0,"Missing in Data1","Present")</f>
        <v>Present</v>
      </c>
    </row>
    <row r="220" spans="1:5" x14ac:dyDescent="0.25">
      <c r="A220" s="2" t="s">
        <v>321</v>
      </c>
      <c r="B220" s="2" t="s">
        <v>323</v>
      </c>
      <c r="C220" s="2">
        <v>5</v>
      </c>
      <c r="D220" t="str">
        <f t="shared" si="3"/>
        <v>CA-2014-108903_OFF-EN-10004030</v>
      </c>
      <c r="E220" t="str">
        <f>IF(COUNTIF(data1!$D:$D,D220)=0,"Missing in Data1","Present")</f>
        <v>Present</v>
      </c>
    </row>
    <row r="221" spans="1:5" x14ac:dyDescent="0.25">
      <c r="A221" s="2" t="s">
        <v>321</v>
      </c>
      <c r="B221" s="2" t="s">
        <v>324</v>
      </c>
      <c r="C221" s="2">
        <v>3</v>
      </c>
      <c r="D221" t="str">
        <f t="shared" si="3"/>
        <v>CA-2014-108903_TEC-AC-10003023</v>
      </c>
      <c r="E221" t="str">
        <f>IF(COUNTIF(data1!$D:$D,D221)=0,"Missing in Data1","Present")</f>
        <v>Present</v>
      </c>
    </row>
    <row r="222" spans="1:5" x14ac:dyDescent="0.25">
      <c r="A222" s="2" t="s">
        <v>325</v>
      </c>
      <c r="B222" s="2" t="s">
        <v>326</v>
      </c>
      <c r="C222" s="2">
        <v>5</v>
      </c>
      <c r="D222" t="str">
        <f t="shared" si="3"/>
        <v>CA-2014-109043_OFF-AP-10004708</v>
      </c>
      <c r="E222" t="str">
        <f>IF(COUNTIF(data1!$D:$D,D222)=0,"Missing in Data1","Present")</f>
        <v>Present</v>
      </c>
    </row>
    <row r="223" spans="1:5" x14ac:dyDescent="0.25">
      <c r="A223" s="2" t="s">
        <v>325</v>
      </c>
      <c r="B223" s="2" t="s">
        <v>327</v>
      </c>
      <c r="C223" s="2">
        <v>5</v>
      </c>
      <c r="D223" t="str">
        <f t="shared" si="3"/>
        <v>CA-2014-109043_OFF-PA-10000312</v>
      </c>
      <c r="E223" t="str">
        <f>IF(COUNTIF(data1!$D:$D,D223)=0,"Missing in Data1","Present")</f>
        <v>Present</v>
      </c>
    </row>
    <row r="224" spans="1:5" x14ac:dyDescent="0.25">
      <c r="A224" s="2" t="s">
        <v>328</v>
      </c>
      <c r="B224" s="2" t="s">
        <v>329</v>
      </c>
      <c r="C224" s="2">
        <v>6</v>
      </c>
      <c r="D224" t="str">
        <f t="shared" si="3"/>
        <v>CA-2014-109127_OFF-LA-10004409</v>
      </c>
      <c r="E224" t="str">
        <f>IF(COUNTIF(data1!$D:$D,D224)=0,"Missing in Data1","Present")</f>
        <v>Present</v>
      </c>
    </row>
    <row r="225" spans="1:5" x14ac:dyDescent="0.25">
      <c r="A225" s="2" t="s">
        <v>330</v>
      </c>
      <c r="B225" s="2" t="s">
        <v>331</v>
      </c>
      <c r="C225" s="2">
        <v>6</v>
      </c>
      <c r="D225" t="str">
        <f t="shared" si="3"/>
        <v>CA-2014-109134_FUR-FU-10000320</v>
      </c>
      <c r="E225" t="str">
        <f>IF(COUNTIF(data1!$D:$D,D225)=0,"Missing in Data1","Present")</f>
        <v>Present</v>
      </c>
    </row>
    <row r="226" spans="1:5" x14ac:dyDescent="0.25">
      <c r="A226" s="2" t="s">
        <v>332</v>
      </c>
      <c r="B226" s="2" t="s">
        <v>333</v>
      </c>
      <c r="C226" s="2">
        <v>5</v>
      </c>
      <c r="D226" t="str">
        <f t="shared" si="3"/>
        <v>CA-2014-109218_OFF-AR-10001374</v>
      </c>
      <c r="E226" t="str">
        <f>IF(COUNTIF(data1!$D:$D,D226)=0,"Missing in Data1","Present")</f>
        <v>Present</v>
      </c>
    </row>
    <row r="227" spans="1:5" x14ac:dyDescent="0.25">
      <c r="A227" s="2" t="s">
        <v>334</v>
      </c>
      <c r="B227" s="2" t="s">
        <v>335</v>
      </c>
      <c r="C227" s="2">
        <v>6</v>
      </c>
      <c r="D227" t="str">
        <f t="shared" si="3"/>
        <v>CA-2014-109232_FUR-CH-10000422</v>
      </c>
      <c r="E227" t="str">
        <f>IF(COUNTIF(data1!$D:$D,D227)=0,"Missing in Data1","Present")</f>
        <v>Present</v>
      </c>
    </row>
    <row r="228" spans="1:5" x14ac:dyDescent="0.25">
      <c r="A228" s="2" t="s">
        <v>336</v>
      </c>
      <c r="B228" s="2" t="s">
        <v>337</v>
      </c>
      <c r="C228" s="2">
        <v>7</v>
      </c>
      <c r="D228" t="str">
        <f t="shared" si="3"/>
        <v>CA-2014-109302_OFF-BI-10002854</v>
      </c>
      <c r="E228" t="str">
        <f>IF(COUNTIF(data1!$D:$D,D228)=0,"Missing in Data1","Present")</f>
        <v>Present</v>
      </c>
    </row>
    <row r="229" spans="1:5" x14ac:dyDescent="0.25">
      <c r="A229" s="2" t="s">
        <v>338</v>
      </c>
      <c r="B229" s="2" t="s">
        <v>339</v>
      </c>
      <c r="C229" s="2">
        <v>4</v>
      </c>
      <c r="D229" t="str">
        <f t="shared" si="3"/>
        <v>CA-2014-109491_FUR-FU-10000221</v>
      </c>
      <c r="E229" t="str">
        <f>IF(COUNTIF(data1!$D:$D,D229)=0,"Missing in Data1","Present")</f>
        <v>Present</v>
      </c>
    </row>
    <row r="230" spans="1:5" x14ac:dyDescent="0.25">
      <c r="A230" s="2" t="s">
        <v>338</v>
      </c>
      <c r="B230" s="2" t="s">
        <v>340</v>
      </c>
      <c r="C230" s="2">
        <v>3</v>
      </c>
      <c r="D230" t="str">
        <f t="shared" si="3"/>
        <v>CA-2014-109491_TEC-AC-10001284</v>
      </c>
      <c r="E230" t="str">
        <f>IF(COUNTIF(data1!$D:$D,D230)=0,"Missing in Data1","Present")</f>
        <v>Present</v>
      </c>
    </row>
    <row r="231" spans="1:5" x14ac:dyDescent="0.25">
      <c r="A231" s="2" t="s">
        <v>341</v>
      </c>
      <c r="B231" s="2" t="s">
        <v>342</v>
      </c>
      <c r="C231" s="2">
        <v>2</v>
      </c>
      <c r="D231" t="str">
        <f t="shared" si="3"/>
        <v>CA-2014-109680_OFF-ST-10001932</v>
      </c>
      <c r="E231" t="str">
        <f>IF(COUNTIF(data1!$D:$D,D231)=0,"Missing in Data1","Present")</f>
        <v>Present</v>
      </c>
    </row>
    <row r="232" spans="1:5" x14ac:dyDescent="0.25">
      <c r="A232" s="2" t="s">
        <v>343</v>
      </c>
      <c r="B232" s="2" t="s">
        <v>344</v>
      </c>
      <c r="C232" s="2">
        <v>2</v>
      </c>
      <c r="D232" t="str">
        <f t="shared" si="3"/>
        <v>CA-2014-109855_OFF-BI-10004716</v>
      </c>
      <c r="E232" t="str">
        <f>IF(COUNTIF(data1!$D:$D,D232)=0,"Missing in Data1","Present")</f>
        <v>Present</v>
      </c>
    </row>
    <row r="233" spans="1:5" x14ac:dyDescent="0.25">
      <c r="A233" s="2" t="s">
        <v>343</v>
      </c>
      <c r="B233" s="2" t="s">
        <v>345</v>
      </c>
      <c r="C233" s="2">
        <v>3</v>
      </c>
      <c r="D233" t="str">
        <f t="shared" si="3"/>
        <v>CA-2014-109855_TEC-AC-10002842</v>
      </c>
      <c r="E233" t="str">
        <f>IF(COUNTIF(data1!$D:$D,D233)=0,"Missing in Data1","Present")</f>
        <v>Present</v>
      </c>
    </row>
    <row r="234" spans="1:5" x14ac:dyDescent="0.25">
      <c r="A234" s="2" t="s">
        <v>346</v>
      </c>
      <c r="B234" s="2" t="s">
        <v>347</v>
      </c>
      <c r="C234" s="2">
        <v>2</v>
      </c>
      <c r="D234" t="str">
        <f t="shared" si="3"/>
        <v>CA-2014-109890_TEC-PH-10004100</v>
      </c>
      <c r="E234" t="str">
        <f>IF(COUNTIF(data1!$D:$D,D234)=0,"Missing in Data1","Present")</f>
        <v>Present</v>
      </c>
    </row>
    <row r="235" spans="1:5" x14ac:dyDescent="0.25">
      <c r="A235" s="2" t="s">
        <v>348</v>
      </c>
      <c r="B235" s="2" t="s">
        <v>349</v>
      </c>
      <c r="C235" s="2">
        <v>3</v>
      </c>
      <c r="D235" t="str">
        <f t="shared" si="3"/>
        <v>CA-2014-109897_FUR-FU-10002878</v>
      </c>
      <c r="E235" t="str">
        <f>IF(COUNTIF(data1!$D:$D,D235)=0,"Missing in Data1","Present")</f>
        <v>Present</v>
      </c>
    </row>
    <row r="236" spans="1:5" x14ac:dyDescent="0.25">
      <c r="A236" s="2" t="s">
        <v>348</v>
      </c>
      <c r="B236" s="2" t="s">
        <v>350</v>
      </c>
      <c r="C236" s="2">
        <v>8</v>
      </c>
      <c r="D236" t="str">
        <f t="shared" si="3"/>
        <v>CA-2014-109897_TEC-PH-10003691</v>
      </c>
      <c r="E236" t="str">
        <f>IF(COUNTIF(data1!$D:$D,D236)=0,"Missing in Data1","Present")</f>
        <v>Present</v>
      </c>
    </row>
    <row r="237" spans="1:5" x14ac:dyDescent="0.25">
      <c r="A237" s="2" t="s">
        <v>351</v>
      </c>
      <c r="B237" s="2" t="s">
        <v>352</v>
      </c>
      <c r="C237" s="2">
        <v>3</v>
      </c>
      <c r="D237" t="str">
        <f t="shared" si="3"/>
        <v>CA-2014-109904_OFF-AR-10004999</v>
      </c>
      <c r="E237" t="str">
        <f>IF(COUNTIF(data1!$D:$D,D237)=0,"Missing in Data1","Present")</f>
        <v>Present</v>
      </c>
    </row>
    <row r="238" spans="1:5" x14ac:dyDescent="0.25">
      <c r="A238" s="2" t="s">
        <v>353</v>
      </c>
      <c r="B238" s="2" t="s">
        <v>354</v>
      </c>
      <c r="C238" s="2">
        <v>5</v>
      </c>
      <c r="D238" t="str">
        <f t="shared" si="3"/>
        <v>CA-2014-109918_OFF-BI-10004308</v>
      </c>
      <c r="E238" t="str">
        <f>IF(COUNTIF(data1!$D:$D,D238)=0,"Missing in Data1","Present")</f>
        <v>Present</v>
      </c>
    </row>
    <row r="239" spans="1:5" x14ac:dyDescent="0.25">
      <c r="A239" s="2" t="s">
        <v>353</v>
      </c>
      <c r="B239" s="2" t="s">
        <v>155</v>
      </c>
      <c r="C239" s="2">
        <v>2</v>
      </c>
      <c r="D239" t="str">
        <f t="shared" si="3"/>
        <v>CA-2014-109918_OFF-PA-10000174</v>
      </c>
      <c r="E239" t="str">
        <f>IF(COUNTIF(data1!$D:$D,D239)=0,"Missing in Data1","Present")</f>
        <v>Present</v>
      </c>
    </row>
    <row r="240" spans="1:5" x14ac:dyDescent="0.25">
      <c r="A240" s="2" t="s">
        <v>356</v>
      </c>
      <c r="B240" s="2" t="s">
        <v>357</v>
      </c>
      <c r="C240" s="2">
        <v>3</v>
      </c>
      <c r="D240" t="str">
        <f t="shared" si="3"/>
        <v>CA-2014-109932_OFF-ST-10000036</v>
      </c>
      <c r="E240" t="str">
        <f>IF(COUNTIF(data1!$D:$D,D240)=0,"Missing in Data1","Present")</f>
        <v>Present</v>
      </c>
    </row>
    <row r="241" spans="1:5" x14ac:dyDescent="0.25">
      <c r="A241" s="2" t="s">
        <v>358</v>
      </c>
      <c r="B241" s="2" t="s">
        <v>359</v>
      </c>
      <c r="C241" s="2">
        <v>3</v>
      </c>
      <c r="D241" t="str">
        <f t="shared" si="3"/>
        <v>CA-2014-110030_FUR-FU-10002759</v>
      </c>
      <c r="E241" t="str">
        <f>IF(COUNTIF(data1!$D:$D,D241)=0,"Missing in Data1","Present")</f>
        <v>Present</v>
      </c>
    </row>
    <row r="242" spans="1:5" x14ac:dyDescent="0.25">
      <c r="A242" s="2" t="s">
        <v>360</v>
      </c>
      <c r="B242" s="2" t="s">
        <v>361</v>
      </c>
      <c r="C242" s="2">
        <v>7</v>
      </c>
      <c r="D242" t="str">
        <f t="shared" si="3"/>
        <v>CA-2014-110065_OFF-AR-10004165</v>
      </c>
      <c r="E242" t="str">
        <f>IF(COUNTIF(data1!$D:$D,D242)=0,"Missing in Data1","Present")</f>
        <v>Present</v>
      </c>
    </row>
    <row r="243" spans="1:5" x14ac:dyDescent="0.25">
      <c r="A243" s="2" t="s">
        <v>364</v>
      </c>
      <c r="B243" s="2" t="s">
        <v>365</v>
      </c>
      <c r="C243" s="2">
        <v>3</v>
      </c>
      <c r="D243" t="str">
        <f t="shared" si="3"/>
        <v>CA-2014-110100_TEC-PH-10004531</v>
      </c>
      <c r="E243" t="str">
        <f>IF(COUNTIF(data1!$D:$D,D243)=0,"Missing in Data1","Present")</f>
        <v>Present</v>
      </c>
    </row>
    <row r="244" spans="1:5" x14ac:dyDescent="0.25">
      <c r="A244" s="2" t="s">
        <v>366</v>
      </c>
      <c r="B244" s="2" t="s">
        <v>367</v>
      </c>
      <c r="C244" s="2">
        <v>9</v>
      </c>
      <c r="D244" t="str">
        <f t="shared" si="3"/>
        <v>CA-2014-110184_OFF-ST-10000107</v>
      </c>
      <c r="E244" t="str">
        <f>IF(COUNTIF(data1!$D:$D,D244)=0,"Missing in Data1","Present")</f>
        <v>Present</v>
      </c>
    </row>
    <row r="245" spans="1:5" x14ac:dyDescent="0.25">
      <c r="A245" s="2" t="s">
        <v>366</v>
      </c>
      <c r="B245" s="2" t="s">
        <v>368</v>
      </c>
      <c r="C245" s="2">
        <v>8</v>
      </c>
      <c r="D245" t="str">
        <f t="shared" si="3"/>
        <v>CA-2014-110184_TEC-PH-10000439</v>
      </c>
      <c r="E245" t="str">
        <f>IF(COUNTIF(data1!$D:$D,D245)=0,"Missing in Data1","Present")</f>
        <v>Present</v>
      </c>
    </row>
    <row r="246" spans="1:5" x14ac:dyDescent="0.25">
      <c r="A246" s="2" t="s">
        <v>369</v>
      </c>
      <c r="B246" s="2" t="s">
        <v>370</v>
      </c>
      <c r="C246" s="2">
        <v>3</v>
      </c>
      <c r="D246" t="str">
        <f t="shared" si="3"/>
        <v>CA-2014-110219_FUR-CH-10001146</v>
      </c>
      <c r="E246" t="str">
        <f>IF(COUNTIF(data1!$D:$D,D246)=0,"Missing in Data1","Present")</f>
        <v>Present</v>
      </c>
    </row>
    <row r="247" spans="1:5" x14ac:dyDescent="0.25">
      <c r="A247" s="2" t="s">
        <v>371</v>
      </c>
      <c r="B247" s="2" t="s">
        <v>86</v>
      </c>
      <c r="C247" s="2">
        <v>2</v>
      </c>
      <c r="D247" t="str">
        <f t="shared" si="3"/>
        <v>CA-2014-110352_OFF-LA-10003923</v>
      </c>
      <c r="E247" t="str">
        <f>IF(COUNTIF(data1!$D:$D,D247)=0,"Missing in Data1","Present")</f>
        <v>Present</v>
      </c>
    </row>
    <row r="248" spans="1:5" x14ac:dyDescent="0.25">
      <c r="A248" s="2" t="s">
        <v>372</v>
      </c>
      <c r="B248" s="2" t="s">
        <v>373</v>
      </c>
      <c r="C248" s="2">
        <v>6</v>
      </c>
      <c r="D248" t="str">
        <f t="shared" si="3"/>
        <v>CA-2014-110408_FUR-CH-10003774</v>
      </c>
      <c r="E248" t="str">
        <f>IF(COUNTIF(data1!$D:$D,D248)=0,"Missing in Data1","Present")</f>
        <v>Present</v>
      </c>
    </row>
    <row r="249" spans="1:5" x14ac:dyDescent="0.25">
      <c r="A249" s="2" t="s">
        <v>372</v>
      </c>
      <c r="B249" s="2" t="s">
        <v>374</v>
      </c>
      <c r="C249" s="2">
        <v>3</v>
      </c>
      <c r="D249" t="str">
        <f t="shared" si="3"/>
        <v>CA-2014-110408_OFF-ST-10001522</v>
      </c>
      <c r="E249" t="str">
        <f>IF(COUNTIF(data1!$D:$D,D249)=0,"Missing in Data1","Present")</f>
        <v>Present</v>
      </c>
    </row>
    <row r="250" spans="1:5" x14ac:dyDescent="0.25">
      <c r="A250" s="2" t="s">
        <v>372</v>
      </c>
      <c r="B250" s="2" t="s">
        <v>375</v>
      </c>
      <c r="C250" s="2">
        <v>5</v>
      </c>
      <c r="D250" t="str">
        <f t="shared" si="3"/>
        <v>CA-2014-110408_TEC-PH-10002352</v>
      </c>
      <c r="E250" t="str">
        <f>IF(COUNTIF(data1!$D:$D,D250)=0,"Missing in Data1","Present")</f>
        <v>Present</v>
      </c>
    </row>
    <row r="251" spans="1:5" x14ac:dyDescent="0.25">
      <c r="A251" s="2" t="s">
        <v>376</v>
      </c>
      <c r="B251" s="2" t="s">
        <v>377</v>
      </c>
      <c r="C251" s="2">
        <v>3</v>
      </c>
      <c r="D251" t="str">
        <f t="shared" si="3"/>
        <v>CA-2014-110422_FUR-FU-10001889</v>
      </c>
      <c r="E251" t="str">
        <f>IF(COUNTIF(data1!$D:$D,D251)=0,"Missing in Data1","Present")</f>
        <v>Present</v>
      </c>
    </row>
    <row r="252" spans="1:5" x14ac:dyDescent="0.25">
      <c r="A252" s="2" t="s">
        <v>378</v>
      </c>
      <c r="B252" s="2" t="s">
        <v>379</v>
      </c>
      <c r="C252" s="2">
        <v>8</v>
      </c>
      <c r="D252" t="str">
        <f t="shared" si="3"/>
        <v>CA-2014-110527_OFF-LA-10000262</v>
      </c>
      <c r="E252" t="str">
        <f>IF(COUNTIF(data1!$D:$D,D252)=0,"Missing in Data1","Present")</f>
        <v>Present</v>
      </c>
    </row>
    <row r="253" spans="1:5" x14ac:dyDescent="0.25">
      <c r="A253" s="2" t="s">
        <v>380</v>
      </c>
      <c r="B253" s="2" t="s">
        <v>381</v>
      </c>
      <c r="C253" s="2">
        <v>7</v>
      </c>
      <c r="D253" t="str">
        <f t="shared" si="3"/>
        <v>CA-2014-110555_OFF-ST-10000876</v>
      </c>
      <c r="E253" t="str">
        <f>IF(COUNTIF(data1!$D:$D,D253)=0,"Missing in Data1","Present")</f>
        <v>Present</v>
      </c>
    </row>
    <row r="254" spans="1:5" x14ac:dyDescent="0.25">
      <c r="A254" s="2" t="s">
        <v>380</v>
      </c>
      <c r="B254" s="2" t="s">
        <v>382</v>
      </c>
      <c r="C254" s="2">
        <v>6</v>
      </c>
      <c r="D254" t="str">
        <f t="shared" si="3"/>
        <v>CA-2014-110555_TEC-AC-10003399</v>
      </c>
      <c r="E254" t="str">
        <f>IF(COUNTIF(data1!$D:$D,D254)=0,"Missing in Data1","Present")</f>
        <v>Present</v>
      </c>
    </row>
    <row r="255" spans="1:5" x14ac:dyDescent="0.25">
      <c r="A255" s="2" t="s">
        <v>380</v>
      </c>
      <c r="B255" s="2" t="s">
        <v>383</v>
      </c>
      <c r="C255" s="2">
        <v>2</v>
      </c>
      <c r="D255" t="str">
        <f t="shared" si="3"/>
        <v>CA-2014-110555_TEC-PH-10000586</v>
      </c>
      <c r="E255" t="str">
        <f>IF(COUNTIF(data1!$D:$D,D255)=0,"Missing in Data1","Present")</f>
        <v>Present</v>
      </c>
    </row>
    <row r="256" spans="1:5" x14ac:dyDescent="0.25">
      <c r="A256" s="2" t="s">
        <v>6737</v>
      </c>
      <c r="B256" s="2" t="s">
        <v>2500</v>
      </c>
      <c r="C256" s="2">
        <v>5</v>
      </c>
      <c r="D256" t="str">
        <f t="shared" si="3"/>
        <v>CA-2014-110611_OFF-ST-10000642</v>
      </c>
      <c r="E256" t="str">
        <f>IF(COUNTIF(data1!$D:$D,D256)=0,"Missing in Data1","Present")</f>
        <v>Missing in Data1</v>
      </c>
    </row>
    <row r="257" spans="1:5" x14ac:dyDescent="0.25">
      <c r="A257" s="2" t="s">
        <v>384</v>
      </c>
      <c r="B257" s="2" t="s">
        <v>386</v>
      </c>
      <c r="C257" s="2">
        <v>4</v>
      </c>
      <c r="D257" t="str">
        <f t="shared" si="3"/>
        <v>CA-2014-110639_OFF-PA-10004530</v>
      </c>
      <c r="E257" t="str">
        <f>IF(COUNTIF(data1!$D:$D,D257)=0,"Missing in Data1","Present")</f>
        <v>Present</v>
      </c>
    </row>
    <row r="258" spans="1:5" x14ac:dyDescent="0.25">
      <c r="A258" s="2" t="s">
        <v>387</v>
      </c>
      <c r="B258" s="2" t="s">
        <v>388</v>
      </c>
      <c r="C258" s="2">
        <v>5</v>
      </c>
      <c r="D258" t="str">
        <f t="shared" si="3"/>
        <v>CA-2014-110786_FUR-FU-10000550</v>
      </c>
      <c r="E258" t="str">
        <f>IF(COUNTIF(data1!$D:$D,D258)=0,"Missing in Data1","Present")</f>
        <v>Present</v>
      </c>
    </row>
    <row r="259" spans="1:5" x14ac:dyDescent="0.25">
      <c r="A259" s="2" t="s">
        <v>387</v>
      </c>
      <c r="B259" s="2" t="s">
        <v>389</v>
      </c>
      <c r="C259" s="2">
        <v>6</v>
      </c>
      <c r="D259" t="str">
        <f t="shared" ref="D259:D322" si="4">A259&amp;"_"&amp;B259</f>
        <v>CA-2014-110786_FUR-FU-10000672</v>
      </c>
      <c r="E259" t="str">
        <f>IF(COUNTIF(data1!$D:$D,D259)=0,"Missing in Data1","Present")</f>
        <v>Present</v>
      </c>
    </row>
    <row r="260" spans="1:5" x14ac:dyDescent="0.25">
      <c r="A260" s="2" t="s">
        <v>387</v>
      </c>
      <c r="B260" s="2" t="s">
        <v>390</v>
      </c>
      <c r="C260" s="2">
        <v>3</v>
      </c>
      <c r="D260" t="str">
        <f t="shared" si="4"/>
        <v>CA-2014-110786_OFF-BI-10003305</v>
      </c>
      <c r="E260" t="str">
        <f>IF(COUNTIF(data1!$D:$D,D260)=0,"Missing in Data1","Present")</f>
        <v>Present</v>
      </c>
    </row>
    <row r="261" spans="1:5" x14ac:dyDescent="0.25">
      <c r="A261" s="2" t="s">
        <v>387</v>
      </c>
      <c r="B261" s="2" t="s">
        <v>391</v>
      </c>
      <c r="C261" s="2">
        <v>9</v>
      </c>
      <c r="D261" t="str">
        <f t="shared" si="4"/>
        <v>CA-2014-110786_OFF-LA-10001474</v>
      </c>
      <c r="E261" t="str">
        <f>IF(COUNTIF(data1!$D:$D,D261)=0,"Missing in Data1","Present")</f>
        <v>Present</v>
      </c>
    </row>
    <row r="262" spans="1:5" x14ac:dyDescent="0.25">
      <c r="A262" s="2" t="s">
        <v>387</v>
      </c>
      <c r="B262" s="2" t="s">
        <v>393</v>
      </c>
      <c r="C262" s="2">
        <v>6</v>
      </c>
      <c r="D262" t="str">
        <f t="shared" si="4"/>
        <v>CA-2014-110786_TEC-MA-10003183</v>
      </c>
      <c r="E262" t="str">
        <f>IF(COUNTIF(data1!$D:$D,D262)=0,"Missing in Data1","Present")</f>
        <v>Present</v>
      </c>
    </row>
    <row r="263" spans="1:5" x14ac:dyDescent="0.25">
      <c r="A263" s="2" t="s">
        <v>387</v>
      </c>
      <c r="B263" s="2" t="s">
        <v>35</v>
      </c>
      <c r="C263" s="2">
        <v>3</v>
      </c>
      <c r="D263" t="str">
        <f t="shared" si="4"/>
        <v>CA-2014-110786_TEC-PH-10001425</v>
      </c>
      <c r="E263" t="str">
        <f>IF(COUNTIF(data1!$D:$D,D263)=0,"Missing in Data1","Present")</f>
        <v>Present</v>
      </c>
    </row>
    <row r="264" spans="1:5" x14ac:dyDescent="0.25">
      <c r="A264" s="2" t="s">
        <v>394</v>
      </c>
      <c r="B264" s="2" t="s">
        <v>395</v>
      </c>
      <c r="C264" s="2">
        <v>5</v>
      </c>
      <c r="D264" t="str">
        <f t="shared" si="4"/>
        <v>CA-2014-110849_OFF-AR-10000657</v>
      </c>
      <c r="E264" t="str">
        <f>IF(COUNTIF(data1!$D:$D,D264)=0,"Missing in Data1","Present")</f>
        <v>Present</v>
      </c>
    </row>
    <row r="265" spans="1:5" x14ac:dyDescent="0.25">
      <c r="A265" s="2" t="s">
        <v>394</v>
      </c>
      <c r="B265" s="2" t="s">
        <v>396</v>
      </c>
      <c r="C265" s="2">
        <v>4</v>
      </c>
      <c r="D265" t="str">
        <f t="shared" si="4"/>
        <v>CA-2014-110849_OFF-AR-10002375</v>
      </c>
      <c r="E265" t="str">
        <f>IF(COUNTIF(data1!$D:$D,D265)=0,"Missing in Data1","Present")</f>
        <v>Present</v>
      </c>
    </row>
    <row r="266" spans="1:5" x14ac:dyDescent="0.25">
      <c r="A266" s="2" t="s">
        <v>394</v>
      </c>
      <c r="B266" s="2" t="s">
        <v>397</v>
      </c>
      <c r="C266" s="2">
        <v>2</v>
      </c>
      <c r="D266" t="str">
        <f t="shared" si="4"/>
        <v>CA-2014-110849_OFF-FA-10000134</v>
      </c>
      <c r="E266" t="str">
        <f>IF(COUNTIF(data1!$D:$D,D266)=0,"Missing in Data1","Present")</f>
        <v>Present</v>
      </c>
    </row>
    <row r="267" spans="1:5" x14ac:dyDescent="0.25">
      <c r="A267" s="2" t="s">
        <v>394</v>
      </c>
      <c r="B267" s="2" t="s">
        <v>398</v>
      </c>
      <c r="C267" s="2">
        <v>4</v>
      </c>
      <c r="D267" t="str">
        <f t="shared" si="4"/>
        <v>CA-2014-110849_TEC-MA-10002859</v>
      </c>
      <c r="E267" t="str">
        <f>IF(COUNTIF(data1!$D:$D,D267)=0,"Missing in Data1","Present")</f>
        <v>Present</v>
      </c>
    </row>
    <row r="268" spans="1:5" x14ac:dyDescent="0.25">
      <c r="A268" s="2" t="s">
        <v>399</v>
      </c>
      <c r="B268" s="2" t="s">
        <v>400</v>
      </c>
      <c r="C268" s="2">
        <v>6</v>
      </c>
      <c r="D268" t="str">
        <f t="shared" si="4"/>
        <v>CA-2014-111003_OFF-AR-10002135</v>
      </c>
      <c r="E268" t="str">
        <f>IF(COUNTIF(data1!$D:$D,D268)=0,"Missing in Data1","Present")</f>
        <v>Present</v>
      </c>
    </row>
    <row r="269" spans="1:5" x14ac:dyDescent="0.25">
      <c r="A269" s="2" t="s">
        <v>399</v>
      </c>
      <c r="B269" s="2" t="s">
        <v>401</v>
      </c>
      <c r="C269" s="2">
        <v>3</v>
      </c>
      <c r="D269" t="str">
        <f t="shared" si="4"/>
        <v>CA-2014-111003_OFF-BI-10001072</v>
      </c>
      <c r="E269" t="str">
        <f>IF(COUNTIF(data1!$D:$D,D269)=0,"Missing in Data1","Present")</f>
        <v>Present</v>
      </c>
    </row>
    <row r="270" spans="1:5" x14ac:dyDescent="0.25">
      <c r="A270" s="2" t="s">
        <v>402</v>
      </c>
      <c r="B270" s="2" t="s">
        <v>403</v>
      </c>
      <c r="C270" s="2">
        <v>3</v>
      </c>
      <c r="D270" t="str">
        <f t="shared" si="4"/>
        <v>CA-2014-111059_OFF-BI-10002827</v>
      </c>
      <c r="E270" t="str">
        <f>IF(COUNTIF(data1!$D:$D,D270)=0,"Missing in Data1","Present")</f>
        <v>Present</v>
      </c>
    </row>
    <row r="271" spans="1:5" x14ac:dyDescent="0.25">
      <c r="A271" s="2" t="s">
        <v>402</v>
      </c>
      <c r="B271" s="2" t="s">
        <v>404</v>
      </c>
      <c r="C271" s="2">
        <v>2</v>
      </c>
      <c r="D271" t="str">
        <f t="shared" si="4"/>
        <v>CA-2014-111059_OFF-BI-10004593</v>
      </c>
      <c r="E271" t="str">
        <f>IF(COUNTIF(data1!$D:$D,D271)=0,"Missing in Data1","Present")</f>
        <v>Present</v>
      </c>
    </row>
    <row r="272" spans="1:5" x14ac:dyDescent="0.25">
      <c r="A272" s="2" t="s">
        <v>405</v>
      </c>
      <c r="B272" s="2" t="s">
        <v>903</v>
      </c>
      <c r="C272" s="2">
        <v>7</v>
      </c>
      <c r="D272" t="str">
        <f t="shared" si="4"/>
        <v>CA-2014-111150_OFF-AR-10000034</v>
      </c>
      <c r="E272" t="str">
        <f>IF(COUNTIF(data1!$D:$D,D272)=0,"Missing in Data1","Present")</f>
        <v>Missing in Data1</v>
      </c>
    </row>
    <row r="273" spans="1:5" x14ac:dyDescent="0.25">
      <c r="A273" s="2" t="s">
        <v>405</v>
      </c>
      <c r="B273" s="2" t="s">
        <v>406</v>
      </c>
      <c r="C273" s="2">
        <v>7</v>
      </c>
      <c r="D273" t="str">
        <f t="shared" si="4"/>
        <v>CA-2014-111150_TEC-AC-10000290</v>
      </c>
      <c r="E273" t="str">
        <f>IF(COUNTIF(data1!$D:$D,D273)=0,"Missing in Data1","Present")</f>
        <v>Present</v>
      </c>
    </row>
    <row r="274" spans="1:5" x14ac:dyDescent="0.25">
      <c r="A274" s="2" t="s">
        <v>407</v>
      </c>
      <c r="B274" s="2" t="s">
        <v>408</v>
      </c>
      <c r="C274" s="2">
        <v>1</v>
      </c>
      <c r="D274" t="str">
        <f t="shared" si="4"/>
        <v>CA-2014-111157_OFF-PA-10000327</v>
      </c>
      <c r="E274" t="str">
        <f>IF(COUNTIF(data1!$D:$D,D274)=0,"Missing in Data1","Present")</f>
        <v>Present</v>
      </c>
    </row>
    <row r="275" spans="1:5" x14ac:dyDescent="0.25">
      <c r="A275" s="2" t="s">
        <v>407</v>
      </c>
      <c r="B275" s="2" t="s">
        <v>409</v>
      </c>
      <c r="C275" s="2">
        <v>3</v>
      </c>
      <c r="D275" t="str">
        <f t="shared" si="4"/>
        <v>CA-2014-111157_TEC-AC-10004353</v>
      </c>
      <c r="E275" t="str">
        <f>IF(COUNTIF(data1!$D:$D,D275)=0,"Missing in Data1","Present")</f>
        <v>Present</v>
      </c>
    </row>
    <row r="276" spans="1:5" x14ac:dyDescent="0.25">
      <c r="A276" s="2" t="s">
        <v>410</v>
      </c>
      <c r="B276" s="2" t="s">
        <v>411</v>
      </c>
      <c r="C276" s="2">
        <v>8</v>
      </c>
      <c r="D276" t="str">
        <f t="shared" si="4"/>
        <v>CA-2014-111192_FUR-BO-10002916</v>
      </c>
      <c r="E276" t="str">
        <f>IF(COUNTIF(data1!$D:$D,D276)=0,"Missing in Data1","Present")</f>
        <v>Present</v>
      </c>
    </row>
    <row r="277" spans="1:5" x14ac:dyDescent="0.25">
      <c r="A277" s="2" t="s">
        <v>412</v>
      </c>
      <c r="B277" s="2" t="s">
        <v>413</v>
      </c>
      <c r="C277" s="2">
        <v>3</v>
      </c>
      <c r="D277" t="str">
        <f t="shared" si="4"/>
        <v>CA-2014-111360_OFF-BI-10003350</v>
      </c>
      <c r="E277" t="str">
        <f>IF(COUNTIF(data1!$D:$D,D277)=0,"Missing in Data1","Present")</f>
        <v>Present</v>
      </c>
    </row>
    <row r="278" spans="1:5" x14ac:dyDescent="0.25">
      <c r="A278" s="2" t="s">
        <v>414</v>
      </c>
      <c r="B278" s="2" t="s">
        <v>415</v>
      </c>
      <c r="C278" s="2">
        <v>3</v>
      </c>
      <c r="D278" t="str">
        <f t="shared" si="4"/>
        <v>CA-2014-111451_FUR-CH-10001891</v>
      </c>
      <c r="E278" t="str">
        <f>IF(COUNTIF(data1!$D:$D,D278)=0,"Missing in Data1","Present")</f>
        <v>Present</v>
      </c>
    </row>
    <row r="279" spans="1:5" x14ac:dyDescent="0.25">
      <c r="A279" s="2" t="s">
        <v>414</v>
      </c>
      <c r="B279" s="2" t="s">
        <v>416</v>
      </c>
      <c r="C279" s="2">
        <v>3</v>
      </c>
      <c r="D279" t="str">
        <f t="shared" si="4"/>
        <v>CA-2014-111451_FUR-FU-10002918</v>
      </c>
      <c r="E279" t="str">
        <f>IF(COUNTIF(data1!$D:$D,D279)=0,"Missing in Data1","Present")</f>
        <v>Present</v>
      </c>
    </row>
    <row r="280" spans="1:5" x14ac:dyDescent="0.25">
      <c r="A280" s="2" t="s">
        <v>414</v>
      </c>
      <c r="B280" s="2" t="s">
        <v>118</v>
      </c>
      <c r="C280" s="2">
        <v>8</v>
      </c>
      <c r="D280" t="str">
        <f t="shared" si="4"/>
        <v>CA-2014-111451_FUR-FU-10004091</v>
      </c>
      <c r="E280" t="str">
        <f>IF(COUNTIF(data1!$D:$D,D280)=0,"Missing in Data1","Present")</f>
        <v>Present</v>
      </c>
    </row>
    <row r="281" spans="1:5" x14ac:dyDescent="0.25">
      <c r="A281" s="2" t="s">
        <v>414</v>
      </c>
      <c r="B281" s="2" t="s">
        <v>404</v>
      </c>
      <c r="C281" s="2">
        <v>5</v>
      </c>
      <c r="D281" t="str">
        <f t="shared" si="4"/>
        <v>CA-2014-111451_OFF-BI-10004593</v>
      </c>
      <c r="E281" t="str">
        <f>IF(COUNTIF(data1!$D:$D,D281)=0,"Missing in Data1","Present")</f>
        <v>Present</v>
      </c>
    </row>
    <row r="282" spans="1:5" x14ac:dyDescent="0.25">
      <c r="A282" s="2" t="s">
        <v>414</v>
      </c>
      <c r="B282" s="2" t="s">
        <v>417</v>
      </c>
      <c r="C282" s="2">
        <v>3</v>
      </c>
      <c r="D282" t="str">
        <f t="shared" si="4"/>
        <v>CA-2014-111451_OFF-FA-10004854</v>
      </c>
      <c r="E282" t="str">
        <f>IF(COUNTIF(data1!$D:$D,D282)=0,"Missing in Data1","Present")</f>
        <v>Present</v>
      </c>
    </row>
    <row r="283" spans="1:5" x14ac:dyDescent="0.25">
      <c r="A283" s="2" t="s">
        <v>418</v>
      </c>
      <c r="B283" s="2" t="s">
        <v>419</v>
      </c>
      <c r="C283" s="2">
        <v>4</v>
      </c>
      <c r="D283" t="str">
        <f t="shared" si="4"/>
        <v>CA-2014-111500_OFF-BI-10000829</v>
      </c>
      <c r="E283" t="str">
        <f>IF(COUNTIF(data1!$D:$D,D283)=0,"Missing in Data1","Present")</f>
        <v>Present</v>
      </c>
    </row>
    <row r="284" spans="1:5" x14ac:dyDescent="0.25">
      <c r="A284" s="2" t="s">
        <v>418</v>
      </c>
      <c r="B284" s="2" t="s">
        <v>420</v>
      </c>
      <c r="C284" s="2">
        <v>7</v>
      </c>
      <c r="D284" t="str">
        <f t="shared" si="4"/>
        <v>CA-2014-111500_OFF-FA-10002676</v>
      </c>
      <c r="E284" t="str">
        <f>IF(COUNTIF(data1!$D:$D,D284)=0,"Missing in Data1","Present")</f>
        <v>Present</v>
      </c>
    </row>
    <row r="285" spans="1:5" x14ac:dyDescent="0.25">
      <c r="A285" s="2" t="s">
        <v>418</v>
      </c>
      <c r="B285" s="2" t="s">
        <v>421</v>
      </c>
      <c r="C285" s="2">
        <v>5</v>
      </c>
      <c r="D285" t="str">
        <f t="shared" si="4"/>
        <v>CA-2014-111500_OFF-PA-10000595</v>
      </c>
      <c r="E285" t="str">
        <f>IF(COUNTIF(data1!$D:$D,D285)=0,"Missing in Data1","Present")</f>
        <v>Present</v>
      </c>
    </row>
    <row r="286" spans="1:5" x14ac:dyDescent="0.25">
      <c r="A286" s="2" t="s">
        <v>418</v>
      </c>
      <c r="B286" s="2" t="s">
        <v>265</v>
      </c>
      <c r="C286" s="2">
        <v>4</v>
      </c>
      <c r="D286" t="str">
        <f t="shared" si="4"/>
        <v>CA-2014-111500_TEC-AC-10000844</v>
      </c>
      <c r="E286" t="str">
        <f>IF(COUNTIF(data1!$D:$D,D286)=0,"Missing in Data1","Present")</f>
        <v>Present</v>
      </c>
    </row>
    <row r="287" spans="1:5" x14ac:dyDescent="0.25">
      <c r="A287" s="2" t="s">
        <v>422</v>
      </c>
      <c r="B287" s="2" t="s">
        <v>423</v>
      </c>
      <c r="C287" s="2">
        <v>3</v>
      </c>
      <c r="D287" t="str">
        <f t="shared" si="4"/>
        <v>CA-2014-111773_OFF-BI-10000174</v>
      </c>
      <c r="E287" t="str">
        <f>IF(COUNTIF(data1!$D:$D,D287)=0,"Missing in Data1","Present")</f>
        <v>Present</v>
      </c>
    </row>
    <row r="288" spans="1:5" x14ac:dyDescent="0.25">
      <c r="A288" s="2" t="s">
        <v>424</v>
      </c>
      <c r="B288" s="2" t="s">
        <v>425</v>
      </c>
      <c r="C288" s="2">
        <v>1</v>
      </c>
      <c r="D288" t="str">
        <f t="shared" si="4"/>
        <v>CA-2014-111857_OFF-PA-10001878</v>
      </c>
      <c r="E288" t="str">
        <f>IF(COUNTIF(data1!$D:$D,D288)=0,"Missing in Data1","Present")</f>
        <v>Present</v>
      </c>
    </row>
    <row r="289" spans="1:5" x14ac:dyDescent="0.25">
      <c r="A289" s="2" t="s">
        <v>426</v>
      </c>
      <c r="B289" s="2" t="s">
        <v>427</v>
      </c>
      <c r="C289" s="2">
        <v>10</v>
      </c>
      <c r="D289" t="str">
        <f t="shared" si="4"/>
        <v>CA-2014-111871_FUR-BO-10004218</v>
      </c>
      <c r="E289" t="str">
        <f>IF(COUNTIF(data1!$D:$D,D289)=0,"Missing in Data1","Present")</f>
        <v>Present</v>
      </c>
    </row>
    <row r="290" spans="1:5" x14ac:dyDescent="0.25">
      <c r="A290" s="2" t="s">
        <v>428</v>
      </c>
      <c r="B290" s="2" t="s">
        <v>429</v>
      </c>
      <c r="C290" s="2">
        <v>2</v>
      </c>
      <c r="D290" t="str">
        <f t="shared" si="4"/>
        <v>CA-2014-111899_OFF-AR-10001725</v>
      </c>
      <c r="E290" t="str">
        <f>IF(COUNTIF(data1!$D:$D,D290)=0,"Missing in Data1","Present")</f>
        <v>Present</v>
      </c>
    </row>
    <row r="291" spans="1:5" x14ac:dyDescent="0.25">
      <c r="A291" s="2" t="s">
        <v>428</v>
      </c>
      <c r="B291" s="2" t="s">
        <v>430</v>
      </c>
      <c r="C291" s="2">
        <v>6</v>
      </c>
      <c r="D291" t="str">
        <f t="shared" si="4"/>
        <v>CA-2014-111899_OFF-FA-10000840</v>
      </c>
      <c r="E291" t="str">
        <f>IF(COUNTIF(data1!$D:$D,D291)=0,"Missing in Data1","Present")</f>
        <v>Present</v>
      </c>
    </row>
    <row r="292" spans="1:5" x14ac:dyDescent="0.25">
      <c r="A292" s="2" t="s">
        <v>431</v>
      </c>
      <c r="B292" s="2" t="s">
        <v>432</v>
      </c>
      <c r="C292" s="2">
        <v>2</v>
      </c>
      <c r="D292" t="str">
        <f t="shared" si="4"/>
        <v>CA-2014-111934_OFF-BI-10004364</v>
      </c>
      <c r="E292" t="str">
        <f>IF(COUNTIF(data1!$D:$D,D292)=0,"Missing in Data1","Present")</f>
        <v>Present</v>
      </c>
    </row>
    <row r="293" spans="1:5" x14ac:dyDescent="0.25">
      <c r="A293" s="2" t="s">
        <v>431</v>
      </c>
      <c r="B293" s="2" t="s">
        <v>433</v>
      </c>
      <c r="C293" s="2">
        <v>1</v>
      </c>
      <c r="D293" t="str">
        <f t="shared" si="4"/>
        <v>CA-2014-111934_OFF-PA-10000474</v>
      </c>
      <c r="E293" t="str">
        <f>IF(COUNTIF(data1!$D:$D,D293)=0,"Missing in Data1","Present")</f>
        <v>Present</v>
      </c>
    </row>
    <row r="294" spans="1:5" x14ac:dyDescent="0.25">
      <c r="A294" s="2" t="s">
        <v>434</v>
      </c>
      <c r="B294" s="2" t="s">
        <v>2292</v>
      </c>
      <c r="C294" s="2">
        <v>2</v>
      </c>
      <c r="D294" t="str">
        <f t="shared" si="4"/>
        <v>CA-2014-111962_OFF-BI-10001308</v>
      </c>
      <c r="E294" t="str">
        <f>IF(COUNTIF(data1!$D:$D,D294)=0,"Missing in Data1","Present")</f>
        <v>Missing in Data1</v>
      </c>
    </row>
    <row r="295" spans="1:5" x14ac:dyDescent="0.25">
      <c r="A295" s="2" t="s">
        <v>434</v>
      </c>
      <c r="B295" s="2" t="s">
        <v>435</v>
      </c>
      <c r="C295" s="2">
        <v>5</v>
      </c>
      <c r="D295" t="str">
        <f t="shared" si="4"/>
        <v>CA-2014-111962_OFF-ST-10000046</v>
      </c>
      <c r="E295" t="str">
        <f>IF(COUNTIF(data1!$D:$D,D295)=0,"Missing in Data1","Present")</f>
        <v>Present</v>
      </c>
    </row>
    <row r="296" spans="1:5" x14ac:dyDescent="0.25">
      <c r="A296" s="2" t="s">
        <v>436</v>
      </c>
      <c r="B296" s="2" t="s">
        <v>437</v>
      </c>
      <c r="C296" s="2">
        <v>5</v>
      </c>
      <c r="D296" t="str">
        <f t="shared" si="4"/>
        <v>CA-2014-112158_FUR-BO-10003272</v>
      </c>
      <c r="E296" t="str">
        <f>IF(COUNTIF(data1!$D:$D,D296)=0,"Missing in Data1","Present")</f>
        <v>Present</v>
      </c>
    </row>
    <row r="297" spans="1:5" x14ac:dyDescent="0.25">
      <c r="A297" s="2" t="s">
        <v>436</v>
      </c>
      <c r="B297" s="2" t="s">
        <v>211</v>
      </c>
      <c r="C297" s="2">
        <v>8</v>
      </c>
      <c r="D297" t="str">
        <f t="shared" si="4"/>
        <v>CA-2014-112158_OFF-BI-10000050</v>
      </c>
      <c r="E297" t="str">
        <f>IF(COUNTIF(data1!$D:$D,D297)=0,"Missing in Data1","Present")</f>
        <v>Present</v>
      </c>
    </row>
    <row r="298" spans="1:5" x14ac:dyDescent="0.25">
      <c r="A298" s="2" t="s">
        <v>436</v>
      </c>
      <c r="B298" s="2" t="s">
        <v>131</v>
      </c>
      <c r="C298" s="2">
        <v>4</v>
      </c>
      <c r="D298" t="str">
        <f t="shared" si="4"/>
        <v>CA-2014-112158_TEC-AC-10003628</v>
      </c>
      <c r="E298" t="str">
        <f>IF(COUNTIF(data1!$D:$D,D298)=0,"Missing in Data1","Present")</f>
        <v>Missing in Data1</v>
      </c>
    </row>
    <row r="299" spans="1:5" x14ac:dyDescent="0.25">
      <c r="A299" s="2" t="s">
        <v>438</v>
      </c>
      <c r="B299" s="2" t="s">
        <v>440</v>
      </c>
      <c r="C299" s="2">
        <v>2</v>
      </c>
      <c r="D299" t="str">
        <f t="shared" si="4"/>
        <v>CA-2014-112291_TEC-AC-10000736</v>
      </c>
      <c r="E299" t="str">
        <f>IF(COUNTIF(data1!$D:$D,D299)=0,"Missing in Data1","Present")</f>
        <v>Present</v>
      </c>
    </row>
    <row r="300" spans="1:5" x14ac:dyDescent="0.25">
      <c r="A300" s="2" t="s">
        <v>438</v>
      </c>
      <c r="B300" s="2" t="s">
        <v>340</v>
      </c>
      <c r="C300" s="2">
        <v>3</v>
      </c>
      <c r="D300" t="str">
        <f t="shared" si="4"/>
        <v>CA-2014-112291_TEC-AC-10001284</v>
      </c>
      <c r="E300" t="str">
        <f>IF(COUNTIF(data1!$D:$D,D300)=0,"Missing in Data1","Present")</f>
        <v>Present</v>
      </c>
    </row>
    <row r="301" spans="1:5" x14ac:dyDescent="0.25">
      <c r="A301" s="2" t="s">
        <v>441</v>
      </c>
      <c r="B301" s="2" t="s">
        <v>442</v>
      </c>
      <c r="C301" s="2">
        <v>2</v>
      </c>
      <c r="D301" t="str">
        <f t="shared" si="4"/>
        <v>CA-2014-112326_OFF-BI-10004094</v>
      </c>
      <c r="E301" t="str">
        <f>IF(COUNTIF(data1!$D:$D,D301)=0,"Missing in Data1","Present")</f>
        <v>Present</v>
      </c>
    </row>
    <row r="302" spans="1:5" x14ac:dyDescent="0.25">
      <c r="A302" s="2" t="s">
        <v>441</v>
      </c>
      <c r="B302" s="2" t="s">
        <v>444</v>
      </c>
      <c r="C302" s="2">
        <v>3</v>
      </c>
      <c r="D302" t="str">
        <f t="shared" si="4"/>
        <v>CA-2014-112326_OFF-ST-10002743</v>
      </c>
      <c r="E302" t="str">
        <f>IF(COUNTIF(data1!$D:$D,D302)=0,"Missing in Data1","Present")</f>
        <v>Present</v>
      </c>
    </row>
    <row r="303" spans="1:5" x14ac:dyDescent="0.25">
      <c r="A303" s="2" t="s">
        <v>445</v>
      </c>
      <c r="B303" s="2" t="s">
        <v>446</v>
      </c>
      <c r="C303" s="2">
        <v>1</v>
      </c>
      <c r="D303" t="str">
        <f t="shared" si="4"/>
        <v>CA-2014-112403_OFF-BI-10003529</v>
      </c>
      <c r="E303" t="str">
        <f>IF(COUNTIF(data1!$D:$D,D303)=0,"Missing in Data1","Present")</f>
        <v>Present</v>
      </c>
    </row>
    <row r="304" spans="1:5" x14ac:dyDescent="0.25">
      <c r="A304" s="2" t="s">
        <v>447</v>
      </c>
      <c r="B304" s="2" t="s">
        <v>448</v>
      </c>
      <c r="C304" s="2">
        <v>1</v>
      </c>
      <c r="D304" t="str">
        <f t="shared" si="4"/>
        <v>CA-2014-112718_OFF-BI-10000591</v>
      </c>
      <c r="E304" t="str">
        <f>IF(COUNTIF(data1!$D:$D,D304)=0,"Missing in Data1","Present")</f>
        <v>Present</v>
      </c>
    </row>
    <row r="305" spans="1:5" x14ac:dyDescent="0.25">
      <c r="A305" s="2" t="s">
        <v>449</v>
      </c>
      <c r="B305" s="2" t="s">
        <v>450</v>
      </c>
      <c r="C305" s="2">
        <v>3</v>
      </c>
      <c r="D305" t="str">
        <f t="shared" si="4"/>
        <v>CA-2014-112837_FUR-FU-10004006</v>
      </c>
      <c r="E305" t="str">
        <f>IF(COUNTIF(data1!$D:$D,D305)=0,"Missing in Data1","Present")</f>
        <v>Present</v>
      </c>
    </row>
    <row r="306" spans="1:5" x14ac:dyDescent="0.25">
      <c r="A306" s="2" t="s">
        <v>451</v>
      </c>
      <c r="B306" s="2" t="s">
        <v>452</v>
      </c>
      <c r="C306" s="2">
        <v>3</v>
      </c>
      <c r="D306" t="str">
        <f t="shared" si="4"/>
        <v>CA-2014-112851_OFF-EN-10001453</v>
      </c>
      <c r="E306" t="str">
        <f>IF(COUNTIF(data1!$D:$D,D306)=0,"Missing in Data1","Present")</f>
        <v>Present</v>
      </c>
    </row>
    <row r="307" spans="1:5" x14ac:dyDescent="0.25">
      <c r="A307" s="2" t="s">
        <v>453</v>
      </c>
      <c r="B307" s="2" t="s">
        <v>454</v>
      </c>
      <c r="C307" s="2">
        <v>3</v>
      </c>
      <c r="D307" t="str">
        <f t="shared" si="4"/>
        <v>CA-2014-113047_OFF-FA-10002763</v>
      </c>
      <c r="E307" t="str">
        <f>IF(COUNTIF(data1!$D:$D,D307)=0,"Missing in Data1","Present")</f>
        <v>Present</v>
      </c>
    </row>
    <row r="308" spans="1:5" x14ac:dyDescent="0.25">
      <c r="A308" s="2" t="s">
        <v>6738</v>
      </c>
      <c r="B308" s="2" t="s">
        <v>1440</v>
      </c>
      <c r="C308" s="2">
        <v>2</v>
      </c>
      <c r="D308" t="str">
        <f t="shared" si="4"/>
        <v>CA-2014-113166_OFF-PA-10001947</v>
      </c>
      <c r="E308" t="str">
        <f>IF(COUNTIF(data1!$D:$D,D308)=0,"Missing in Data1","Present")</f>
        <v>Missing in Data1</v>
      </c>
    </row>
    <row r="309" spans="1:5" x14ac:dyDescent="0.25">
      <c r="A309" s="2" t="s">
        <v>455</v>
      </c>
      <c r="B309" s="2" t="s">
        <v>456</v>
      </c>
      <c r="C309" s="2">
        <v>7</v>
      </c>
      <c r="D309" t="str">
        <f t="shared" si="4"/>
        <v>CA-2014-113257_FUR-FU-10001706</v>
      </c>
      <c r="E309" t="str">
        <f>IF(COUNTIF(data1!$D:$D,D309)=0,"Missing in Data1","Present")</f>
        <v>Present</v>
      </c>
    </row>
    <row r="310" spans="1:5" x14ac:dyDescent="0.25">
      <c r="A310" s="2" t="s">
        <v>458</v>
      </c>
      <c r="B310" s="2" t="s">
        <v>427</v>
      </c>
      <c r="C310" s="2">
        <v>1</v>
      </c>
      <c r="D310" t="str">
        <f t="shared" si="4"/>
        <v>CA-2014-113271_FUR-BO-10004218</v>
      </c>
      <c r="E310" t="str">
        <f>IF(COUNTIF(data1!$D:$D,D310)=0,"Missing in Data1","Present")</f>
        <v>Present</v>
      </c>
    </row>
    <row r="311" spans="1:5" x14ac:dyDescent="0.25">
      <c r="A311" s="2" t="s">
        <v>458</v>
      </c>
      <c r="B311" s="2" t="s">
        <v>1920</v>
      </c>
      <c r="C311" s="2">
        <v>2</v>
      </c>
      <c r="D311" t="str">
        <f t="shared" si="4"/>
        <v>CA-2014-113271_OFF-AR-10003251</v>
      </c>
      <c r="E311" t="str">
        <f>IF(COUNTIF(data1!$D:$D,D311)=0,"Missing in Data1","Present")</f>
        <v>Missing in Data1</v>
      </c>
    </row>
    <row r="312" spans="1:5" x14ac:dyDescent="0.25">
      <c r="A312" s="2" t="s">
        <v>458</v>
      </c>
      <c r="B312" s="2" t="s">
        <v>459</v>
      </c>
      <c r="C312" s="2">
        <v>6</v>
      </c>
      <c r="D312" t="str">
        <f t="shared" si="4"/>
        <v>CA-2014-113271_OFF-BI-10002609</v>
      </c>
      <c r="E312" t="str">
        <f>IF(COUNTIF(data1!$D:$D,D312)=0,"Missing in Data1","Present")</f>
        <v>Present</v>
      </c>
    </row>
    <row r="313" spans="1:5" x14ac:dyDescent="0.25">
      <c r="A313" s="2" t="s">
        <v>458</v>
      </c>
      <c r="B313" s="2" t="s">
        <v>1597</v>
      </c>
      <c r="C313" s="2">
        <v>5</v>
      </c>
      <c r="D313" t="str">
        <f t="shared" si="4"/>
        <v>CA-2014-113271_OFF-PA-10002365</v>
      </c>
      <c r="E313" t="str">
        <f>IF(COUNTIF(data1!$D:$D,D313)=0,"Missing in Data1","Present")</f>
        <v>Missing in Data1</v>
      </c>
    </row>
    <row r="314" spans="1:5" x14ac:dyDescent="0.25">
      <c r="A314" s="2" t="s">
        <v>460</v>
      </c>
      <c r="B314" s="2" t="s">
        <v>456</v>
      </c>
      <c r="C314" s="2">
        <v>3</v>
      </c>
      <c r="D314" t="str">
        <f t="shared" si="4"/>
        <v>CA-2014-113320_FUR-FU-10001706</v>
      </c>
      <c r="E314" t="str">
        <f>IF(COUNTIF(data1!$D:$D,D314)=0,"Missing in Data1","Present")</f>
        <v>Present</v>
      </c>
    </row>
    <row r="315" spans="1:5" x14ac:dyDescent="0.25">
      <c r="A315" s="2" t="s">
        <v>460</v>
      </c>
      <c r="B315" s="2" t="s">
        <v>462</v>
      </c>
      <c r="C315" s="2">
        <v>3</v>
      </c>
      <c r="D315" t="str">
        <f t="shared" si="4"/>
        <v>CA-2014-113320_OFF-ST-10000617</v>
      </c>
      <c r="E315" t="str">
        <f>IF(COUNTIF(data1!$D:$D,D315)=0,"Missing in Data1","Present")</f>
        <v>Present</v>
      </c>
    </row>
    <row r="316" spans="1:5" x14ac:dyDescent="0.25">
      <c r="A316" s="2" t="s">
        <v>463</v>
      </c>
      <c r="B316" s="2" t="s">
        <v>464</v>
      </c>
      <c r="C316" s="2">
        <v>3</v>
      </c>
      <c r="D316" t="str">
        <f t="shared" si="4"/>
        <v>CA-2014-113362_OFF-EN-10003845</v>
      </c>
      <c r="E316" t="str">
        <f>IF(COUNTIF(data1!$D:$D,D316)=0,"Missing in Data1","Present")</f>
        <v>Present</v>
      </c>
    </row>
    <row r="317" spans="1:5" x14ac:dyDescent="0.25">
      <c r="A317" s="2" t="s">
        <v>6739</v>
      </c>
      <c r="B317" s="2" t="s">
        <v>1318</v>
      </c>
      <c r="C317" s="2">
        <v>5</v>
      </c>
      <c r="D317" t="str">
        <f t="shared" si="4"/>
        <v>CA-2014-113383_FUR-FU-10001986</v>
      </c>
      <c r="E317" t="str">
        <f>IF(COUNTIF(data1!$D:$D,D317)=0,"Missing in Data1","Present")</f>
        <v>Missing in Data1</v>
      </c>
    </row>
    <row r="318" spans="1:5" x14ac:dyDescent="0.25">
      <c r="A318" s="2" t="s">
        <v>6739</v>
      </c>
      <c r="B318" s="2" t="s">
        <v>3148</v>
      </c>
      <c r="C318" s="2">
        <v>4</v>
      </c>
      <c r="D318" t="str">
        <f t="shared" si="4"/>
        <v>CA-2014-113383_OFF-AP-10004532</v>
      </c>
      <c r="E318" t="str">
        <f>IF(COUNTIF(data1!$D:$D,D318)=0,"Missing in Data1","Present")</f>
        <v>Missing in Data1</v>
      </c>
    </row>
    <row r="319" spans="1:5" x14ac:dyDescent="0.25">
      <c r="A319" s="2" t="s">
        <v>466</v>
      </c>
      <c r="B319" s="2" t="s">
        <v>467</v>
      </c>
      <c r="C319" s="2">
        <v>6</v>
      </c>
      <c r="D319" t="str">
        <f t="shared" si="4"/>
        <v>CA-2014-113579_OFF-PA-10001457</v>
      </c>
      <c r="E319" t="str">
        <f>IF(COUNTIF(data1!$D:$D,D319)=0,"Missing in Data1","Present")</f>
        <v>Present</v>
      </c>
    </row>
    <row r="320" spans="1:5" x14ac:dyDescent="0.25">
      <c r="A320" s="2" t="s">
        <v>468</v>
      </c>
      <c r="B320" s="2" t="s">
        <v>469</v>
      </c>
      <c r="C320" s="2">
        <v>6</v>
      </c>
      <c r="D320" t="str">
        <f t="shared" si="4"/>
        <v>CA-2014-113768_FUR-CH-10002439</v>
      </c>
      <c r="E320" t="str">
        <f>IF(COUNTIF(data1!$D:$D,D320)=0,"Missing in Data1","Present")</f>
        <v>Present</v>
      </c>
    </row>
    <row r="321" spans="1:5" x14ac:dyDescent="0.25">
      <c r="A321" s="2" t="s">
        <v>468</v>
      </c>
      <c r="B321" s="2" t="s">
        <v>470</v>
      </c>
      <c r="C321" s="2">
        <v>2</v>
      </c>
      <c r="D321" t="str">
        <f t="shared" si="4"/>
        <v>CA-2014-113768_OFF-PA-10003063</v>
      </c>
      <c r="E321" t="str">
        <f>IF(COUNTIF(data1!$D:$D,D321)=0,"Missing in Data1","Present")</f>
        <v>Present</v>
      </c>
    </row>
    <row r="322" spans="1:5" x14ac:dyDescent="0.25">
      <c r="A322" s="2" t="s">
        <v>471</v>
      </c>
      <c r="B322" s="2" t="s">
        <v>472</v>
      </c>
      <c r="C322" s="2">
        <v>6</v>
      </c>
      <c r="D322" t="str">
        <f t="shared" si="4"/>
        <v>CA-2014-113859_FUR-CH-10004698</v>
      </c>
      <c r="E322" t="str">
        <f>IF(COUNTIF(data1!$D:$D,D322)=0,"Missing in Data1","Present")</f>
        <v>Present</v>
      </c>
    </row>
    <row r="323" spans="1:5" x14ac:dyDescent="0.25">
      <c r="A323" s="2" t="s">
        <v>473</v>
      </c>
      <c r="B323" s="2" t="s">
        <v>474</v>
      </c>
      <c r="C323" s="2">
        <v>6</v>
      </c>
      <c r="D323" t="str">
        <f t="shared" ref="D323:D386" si="5">A323&amp;"_"&amp;B323</f>
        <v>CA-2014-113880_FUR-CH-10000863</v>
      </c>
      <c r="E323" t="str">
        <f>IF(COUNTIF(data1!$D:$D,D323)=0,"Missing in Data1","Present")</f>
        <v>Present</v>
      </c>
    </row>
    <row r="324" spans="1:5" x14ac:dyDescent="0.25">
      <c r="A324" s="2" t="s">
        <v>473</v>
      </c>
      <c r="B324" s="2" t="s">
        <v>475</v>
      </c>
      <c r="C324" s="2">
        <v>3</v>
      </c>
      <c r="D324" t="str">
        <f t="shared" si="5"/>
        <v>CA-2014-113880_OFF-PA-10003036</v>
      </c>
      <c r="E324" t="str">
        <f>IF(COUNTIF(data1!$D:$D,D324)=0,"Missing in Data1","Present")</f>
        <v>Present</v>
      </c>
    </row>
    <row r="325" spans="1:5" x14ac:dyDescent="0.25">
      <c r="A325" s="2" t="s">
        <v>476</v>
      </c>
      <c r="B325" s="2" t="s">
        <v>477</v>
      </c>
      <c r="C325" s="2">
        <v>1</v>
      </c>
      <c r="D325" t="str">
        <f t="shared" si="5"/>
        <v>CA-2014-113887_OFF-PA-10004071</v>
      </c>
      <c r="E325" t="str">
        <f>IF(COUNTIF(data1!$D:$D,D325)=0,"Missing in Data1","Present")</f>
        <v>Present</v>
      </c>
    </row>
    <row r="326" spans="1:5" x14ac:dyDescent="0.25">
      <c r="A326" s="2" t="s">
        <v>478</v>
      </c>
      <c r="B326" s="2" t="s">
        <v>479</v>
      </c>
      <c r="C326" s="2">
        <v>4</v>
      </c>
      <c r="D326" t="str">
        <f t="shared" si="5"/>
        <v>CA-2014-113929_OFF-AR-10003772</v>
      </c>
      <c r="E326" t="str">
        <f>IF(COUNTIF(data1!$D:$D,D326)=0,"Missing in Data1","Present")</f>
        <v>Present</v>
      </c>
    </row>
    <row r="327" spans="1:5" x14ac:dyDescent="0.25">
      <c r="A327" s="2" t="s">
        <v>478</v>
      </c>
      <c r="B327" s="2" t="s">
        <v>480</v>
      </c>
      <c r="C327" s="2">
        <v>3</v>
      </c>
      <c r="D327" t="str">
        <f t="shared" si="5"/>
        <v>CA-2014-113929_OFF-BI-10002852</v>
      </c>
      <c r="E327" t="str">
        <f>IF(COUNTIF(data1!$D:$D,D327)=0,"Missing in Data1","Present")</f>
        <v>Present</v>
      </c>
    </row>
    <row r="328" spans="1:5" x14ac:dyDescent="0.25">
      <c r="A328" s="2" t="s">
        <v>482</v>
      </c>
      <c r="B328" s="2" t="s">
        <v>483</v>
      </c>
      <c r="C328" s="2">
        <v>4</v>
      </c>
      <c r="D328" t="str">
        <f t="shared" si="5"/>
        <v>CA-2014-113964_OFF-BI-10004654</v>
      </c>
      <c r="E328" t="str">
        <f>IF(COUNTIF(data1!$D:$D,D328)=0,"Missing in Data1","Present")</f>
        <v>Present</v>
      </c>
    </row>
    <row r="329" spans="1:5" x14ac:dyDescent="0.25">
      <c r="A329" s="2" t="s">
        <v>484</v>
      </c>
      <c r="B329" s="2" t="s">
        <v>485</v>
      </c>
      <c r="C329" s="2">
        <v>6</v>
      </c>
      <c r="D329" t="str">
        <f t="shared" si="5"/>
        <v>CA-2014-114125_OFF-BI-10003291</v>
      </c>
      <c r="E329" t="str">
        <f>IF(COUNTIF(data1!$D:$D,D329)=0,"Missing in Data1","Present")</f>
        <v>Present</v>
      </c>
    </row>
    <row r="330" spans="1:5" x14ac:dyDescent="0.25">
      <c r="A330" s="2" t="s">
        <v>484</v>
      </c>
      <c r="B330" s="2" t="s">
        <v>486</v>
      </c>
      <c r="C330" s="2">
        <v>1</v>
      </c>
      <c r="D330" t="str">
        <f t="shared" si="5"/>
        <v>CA-2014-114125_OFF-LA-10004559</v>
      </c>
      <c r="E330" t="str">
        <f>IF(COUNTIF(data1!$D:$D,D330)=0,"Missing in Data1","Present")</f>
        <v>Present</v>
      </c>
    </row>
    <row r="331" spans="1:5" x14ac:dyDescent="0.25">
      <c r="A331" s="2" t="s">
        <v>484</v>
      </c>
      <c r="B331" s="2" t="s">
        <v>487</v>
      </c>
      <c r="C331" s="2">
        <v>4</v>
      </c>
      <c r="D331" t="str">
        <f t="shared" si="5"/>
        <v>CA-2014-114125_OFF-ST-10001505</v>
      </c>
      <c r="E331" t="str">
        <f>IF(COUNTIF(data1!$D:$D,D331)=0,"Missing in Data1","Present")</f>
        <v>Present</v>
      </c>
    </row>
    <row r="332" spans="1:5" x14ac:dyDescent="0.25">
      <c r="A332" s="2" t="s">
        <v>488</v>
      </c>
      <c r="B332" s="2" t="s">
        <v>489</v>
      </c>
      <c r="C332" s="2">
        <v>7</v>
      </c>
      <c r="D332" t="str">
        <f t="shared" si="5"/>
        <v>CA-2014-114181_FUR-BO-10004467</v>
      </c>
      <c r="E332" t="str">
        <f>IF(COUNTIF(data1!$D:$D,D332)=0,"Missing in Data1","Present")</f>
        <v>Present</v>
      </c>
    </row>
    <row r="333" spans="1:5" x14ac:dyDescent="0.25">
      <c r="A333" s="2" t="s">
        <v>488</v>
      </c>
      <c r="B333" s="2" t="s">
        <v>286</v>
      </c>
      <c r="C333" s="2">
        <v>5</v>
      </c>
      <c r="D333" t="str">
        <f t="shared" si="5"/>
        <v>CA-2014-114181_OFF-AR-10000716</v>
      </c>
      <c r="E333" t="str">
        <f>IF(COUNTIF(data1!$D:$D,D333)=0,"Missing in Data1","Present")</f>
        <v>Present</v>
      </c>
    </row>
    <row r="334" spans="1:5" x14ac:dyDescent="0.25">
      <c r="A334" s="2" t="s">
        <v>490</v>
      </c>
      <c r="B334" s="2" t="s">
        <v>491</v>
      </c>
      <c r="C334" s="2">
        <v>2</v>
      </c>
      <c r="D334" t="str">
        <f t="shared" si="5"/>
        <v>CA-2014-114195_FUR-FU-10002253</v>
      </c>
      <c r="E334" t="str">
        <f>IF(COUNTIF(data1!$D:$D,D334)=0,"Missing in Data1","Present")</f>
        <v>Present</v>
      </c>
    </row>
    <row r="335" spans="1:5" x14ac:dyDescent="0.25">
      <c r="A335" s="2" t="s">
        <v>490</v>
      </c>
      <c r="B335" s="2" t="s">
        <v>492</v>
      </c>
      <c r="C335" s="2">
        <v>2</v>
      </c>
      <c r="D335" t="str">
        <f t="shared" si="5"/>
        <v>CA-2014-114195_OFF-BI-10000494</v>
      </c>
      <c r="E335" t="str">
        <f>IF(COUNTIF(data1!$D:$D,D335)=0,"Missing in Data1","Present")</f>
        <v>Present</v>
      </c>
    </row>
    <row r="336" spans="1:5" x14ac:dyDescent="0.25">
      <c r="A336" s="2" t="s">
        <v>490</v>
      </c>
      <c r="B336" s="2" t="s">
        <v>190</v>
      </c>
      <c r="C336" s="2">
        <v>3</v>
      </c>
      <c r="D336" t="str">
        <f t="shared" si="5"/>
        <v>CA-2014-114195_OFF-BI-10001658</v>
      </c>
      <c r="E336" t="str">
        <f>IF(COUNTIF(data1!$D:$D,D336)=0,"Missing in Data1","Present")</f>
        <v>Present</v>
      </c>
    </row>
    <row r="337" spans="1:5" x14ac:dyDescent="0.25">
      <c r="A337" s="2" t="s">
        <v>493</v>
      </c>
      <c r="B337" s="2" t="s">
        <v>494</v>
      </c>
      <c r="C337" s="2">
        <v>2</v>
      </c>
      <c r="D337" t="str">
        <f t="shared" si="5"/>
        <v>CA-2014-114251_FUR-FU-10001468</v>
      </c>
      <c r="E337" t="str">
        <f>IF(COUNTIF(data1!$D:$D,D337)=0,"Missing in Data1","Present")</f>
        <v>Present</v>
      </c>
    </row>
    <row r="338" spans="1:5" x14ac:dyDescent="0.25">
      <c r="A338" s="2" t="s">
        <v>493</v>
      </c>
      <c r="B338" s="2" t="s">
        <v>229</v>
      </c>
      <c r="C338" s="2">
        <v>2</v>
      </c>
      <c r="D338" t="str">
        <f t="shared" si="5"/>
        <v>CA-2014-114251_OFF-BI-10003684</v>
      </c>
      <c r="E338" t="str">
        <f>IF(COUNTIF(data1!$D:$D,D338)=0,"Missing in Data1","Present")</f>
        <v>Present</v>
      </c>
    </row>
    <row r="339" spans="1:5" x14ac:dyDescent="0.25">
      <c r="A339" s="2" t="s">
        <v>493</v>
      </c>
      <c r="B339" s="2" t="s">
        <v>495</v>
      </c>
      <c r="C339" s="2">
        <v>6</v>
      </c>
      <c r="D339" t="str">
        <f t="shared" si="5"/>
        <v>CA-2014-114251_OFF-ST-10003716</v>
      </c>
      <c r="E339" t="str">
        <f>IF(COUNTIF(data1!$D:$D,D339)=0,"Missing in Data1","Present")</f>
        <v>Present</v>
      </c>
    </row>
    <row r="340" spans="1:5" x14ac:dyDescent="0.25">
      <c r="A340" s="2" t="s">
        <v>493</v>
      </c>
      <c r="B340" s="2" t="s">
        <v>496</v>
      </c>
      <c r="C340" s="2">
        <v>5</v>
      </c>
      <c r="D340" t="str">
        <f t="shared" si="5"/>
        <v>CA-2014-114251_TEC-AC-10001101</v>
      </c>
      <c r="E340" t="str">
        <f>IF(COUNTIF(data1!$D:$D,D340)=0,"Missing in Data1","Present")</f>
        <v>Present</v>
      </c>
    </row>
    <row r="341" spans="1:5" x14ac:dyDescent="0.25">
      <c r="A341" s="2" t="s">
        <v>493</v>
      </c>
      <c r="B341" s="2" t="s">
        <v>497</v>
      </c>
      <c r="C341" s="2">
        <v>2</v>
      </c>
      <c r="D341" t="str">
        <f t="shared" si="5"/>
        <v>CA-2014-114251_TEC-AC-10004864</v>
      </c>
      <c r="E341" t="str">
        <f>IF(COUNTIF(data1!$D:$D,D341)=0,"Missing in Data1","Present")</f>
        <v>Present</v>
      </c>
    </row>
    <row r="342" spans="1:5" x14ac:dyDescent="0.25">
      <c r="A342" s="2" t="s">
        <v>498</v>
      </c>
      <c r="B342" s="2" t="s">
        <v>499</v>
      </c>
      <c r="C342" s="2">
        <v>4</v>
      </c>
      <c r="D342" t="str">
        <f t="shared" si="5"/>
        <v>CA-2014-114314_FUR-FU-10002107</v>
      </c>
      <c r="E342" t="str">
        <f>IF(COUNTIF(data1!$D:$D,D342)=0,"Missing in Data1","Present")</f>
        <v>Present</v>
      </c>
    </row>
    <row r="343" spans="1:5" x14ac:dyDescent="0.25">
      <c r="A343" s="2" t="s">
        <v>498</v>
      </c>
      <c r="B343" s="2" t="s">
        <v>591</v>
      </c>
      <c r="C343" s="2">
        <v>1</v>
      </c>
      <c r="D343" t="str">
        <f t="shared" si="5"/>
        <v>CA-2014-114314_OFF-LA-10000240</v>
      </c>
      <c r="E343" t="str">
        <f>IF(COUNTIF(data1!$D:$D,D343)=0,"Missing in Data1","Present")</f>
        <v>Missing in Data1</v>
      </c>
    </row>
    <row r="344" spans="1:5" x14ac:dyDescent="0.25">
      <c r="A344" s="2" t="s">
        <v>500</v>
      </c>
      <c r="B344" s="2" t="s">
        <v>501</v>
      </c>
      <c r="C344" s="2">
        <v>13</v>
      </c>
      <c r="D344" t="str">
        <f t="shared" si="5"/>
        <v>CA-2014-114321_FUR-CH-10001797</v>
      </c>
      <c r="E344" t="str">
        <f>IF(COUNTIF(data1!$D:$D,D344)=0,"Missing in Data1","Present")</f>
        <v>Present</v>
      </c>
    </row>
    <row r="345" spans="1:5" x14ac:dyDescent="0.25">
      <c r="A345" s="2" t="s">
        <v>500</v>
      </c>
      <c r="B345" s="2" t="s">
        <v>502</v>
      </c>
      <c r="C345" s="2">
        <v>1</v>
      </c>
      <c r="D345" t="str">
        <f t="shared" si="5"/>
        <v>CA-2014-114321_OFF-BI-10001359</v>
      </c>
      <c r="E345" t="str">
        <f>IF(COUNTIF(data1!$D:$D,D345)=0,"Missing in Data1","Present")</f>
        <v>Present</v>
      </c>
    </row>
    <row r="346" spans="1:5" x14ac:dyDescent="0.25">
      <c r="A346" s="2" t="s">
        <v>500</v>
      </c>
      <c r="B346" s="2" t="s">
        <v>503</v>
      </c>
      <c r="C346" s="2">
        <v>2</v>
      </c>
      <c r="D346" t="str">
        <f t="shared" si="5"/>
        <v>CA-2014-114321_OFF-PA-10000246</v>
      </c>
      <c r="E346" t="str">
        <f>IF(COUNTIF(data1!$D:$D,D346)=0,"Missing in Data1","Present")</f>
        <v>Present</v>
      </c>
    </row>
    <row r="347" spans="1:5" x14ac:dyDescent="0.25">
      <c r="A347" s="2" t="s">
        <v>504</v>
      </c>
      <c r="B347" s="2" t="s">
        <v>505</v>
      </c>
      <c r="C347" s="2">
        <v>4</v>
      </c>
      <c r="D347" t="str">
        <f t="shared" si="5"/>
        <v>CA-2014-114335_FUR-FU-10000277</v>
      </c>
      <c r="E347" t="str">
        <f>IF(COUNTIF(data1!$D:$D,D347)=0,"Missing in Data1","Present")</f>
        <v>Present</v>
      </c>
    </row>
    <row r="348" spans="1:5" x14ac:dyDescent="0.25">
      <c r="A348" s="2" t="s">
        <v>506</v>
      </c>
      <c r="B348" s="2" t="s">
        <v>507</v>
      </c>
      <c r="C348" s="2">
        <v>3</v>
      </c>
      <c r="D348" t="str">
        <f t="shared" si="5"/>
        <v>CA-2014-114433_TEC-AC-10002800</v>
      </c>
      <c r="E348" t="str">
        <f>IF(COUNTIF(data1!$D:$D,D348)=0,"Missing in Data1","Present")</f>
        <v>Present</v>
      </c>
    </row>
    <row r="349" spans="1:5" x14ac:dyDescent="0.25">
      <c r="A349" s="2" t="s">
        <v>508</v>
      </c>
      <c r="B349" s="2" t="s">
        <v>509</v>
      </c>
      <c r="C349" s="2">
        <v>4</v>
      </c>
      <c r="D349" t="str">
        <f t="shared" si="5"/>
        <v>CA-2014-114510_OFF-BI-10001617</v>
      </c>
      <c r="E349" t="str">
        <f>IF(COUNTIF(data1!$D:$D,D349)=0,"Missing in Data1","Present")</f>
        <v>Present</v>
      </c>
    </row>
    <row r="350" spans="1:5" x14ac:dyDescent="0.25">
      <c r="A350" s="2" t="s">
        <v>508</v>
      </c>
      <c r="B350" s="2" t="s">
        <v>510</v>
      </c>
      <c r="C350" s="2">
        <v>2</v>
      </c>
      <c r="D350" t="str">
        <f t="shared" si="5"/>
        <v>CA-2014-114510_OFF-BI-10003007</v>
      </c>
      <c r="E350" t="str">
        <f>IF(COUNTIF(data1!$D:$D,D350)=0,"Missing in Data1","Present")</f>
        <v>Present</v>
      </c>
    </row>
    <row r="351" spans="1:5" x14ac:dyDescent="0.25">
      <c r="A351" s="2" t="s">
        <v>508</v>
      </c>
      <c r="B351" s="2" t="s">
        <v>299</v>
      </c>
      <c r="C351" s="2">
        <v>1</v>
      </c>
      <c r="D351" t="str">
        <f t="shared" si="5"/>
        <v>CA-2014-114510_OFF-ST-10000736</v>
      </c>
      <c r="E351" t="str">
        <f>IF(COUNTIF(data1!$D:$D,D351)=0,"Missing in Data1","Present")</f>
        <v>Present</v>
      </c>
    </row>
    <row r="352" spans="1:5" x14ac:dyDescent="0.25">
      <c r="A352" s="2" t="s">
        <v>508</v>
      </c>
      <c r="B352" s="2" t="s">
        <v>6655</v>
      </c>
      <c r="C352" s="2">
        <v>2</v>
      </c>
      <c r="D352" t="str">
        <f t="shared" si="5"/>
        <v>CA-2014-114510_OFF-ST-10003221</v>
      </c>
      <c r="E352" t="str">
        <f>IF(COUNTIF(data1!$D:$D,D352)=0,"Missing in Data1","Present")</f>
        <v>Missing in Data1</v>
      </c>
    </row>
    <row r="353" spans="1:5" x14ac:dyDescent="0.25">
      <c r="A353" s="2" t="s">
        <v>508</v>
      </c>
      <c r="B353" s="2" t="s">
        <v>511</v>
      </c>
      <c r="C353" s="2">
        <v>12</v>
      </c>
      <c r="D353" t="str">
        <f t="shared" si="5"/>
        <v>CA-2014-114510_TEC-AC-10004877</v>
      </c>
      <c r="E353" t="str">
        <f>IF(COUNTIF(data1!$D:$D,D353)=0,"Missing in Data1","Present")</f>
        <v>Present</v>
      </c>
    </row>
    <row r="354" spans="1:5" x14ac:dyDescent="0.25">
      <c r="A354" s="2" t="s">
        <v>512</v>
      </c>
      <c r="B354" s="2" t="s">
        <v>513</v>
      </c>
      <c r="C354" s="2">
        <v>2</v>
      </c>
      <c r="D354" t="str">
        <f t="shared" si="5"/>
        <v>CA-2014-114517_FUR-TA-10001676</v>
      </c>
      <c r="E354" t="str">
        <f>IF(COUNTIF(data1!$D:$D,D354)=0,"Missing in Data1","Present")</f>
        <v>Present</v>
      </c>
    </row>
    <row r="355" spans="1:5" x14ac:dyDescent="0.25">
      <c r="A355" s="2" t="s">
        <v>515</v>
      </c>
      <c r="B355" s="2" t="s">
        <v>516</v>
      </c>
      <c r="C355" s="2">
        <v>3</v>
      </c>
      <c r="D355" t="str">
        <f t="shared" si="5"/>
        <v>CA-2014-114643_OFF-AR-10003631</v>
      </c>
      <c r="E355" t="str">
        <f>IF(COUNTIF(data1!$D:$D,D355)=0,"Missing in Data1","Present")</f>
        <v>Present</v>
      </c>
    </row>
    <row r="356" spans="1:5" x14ac:dyDescent="0.25">
      <c r="A356" s="2" t="s">
        <v>517</v>
      </c>
      <c r="B356" s="2" t="s">
        <v>518</v>
      </c>
      <c r="C356" s="2">
        <v>3</v>
      </c>
      <c r="D356" t="str">
        <f t="shared" si="5"/>
        <v>CA-2014-114790_OFF-AP-10002578</v>
      </c>
      <c r="E356" t="str">
        <f>IF(COUNTIF(data1!$D:$D,D356)=0,"Missing in Data1","Present")</f>
        <v>Present</v>
      </c>
    </row>
    <row r="357" spans="1:5" x14ac:dyDescent="0.25">
      <c r="A357" s="2" t="s">
        <v>517</v>
      </c>
      <c r="B357" s="2" t="s">
        <v>519</v>
      </c>
      <c r="C357" s="2">
        <v>3</v>
      </c>
      <c r="D357" t="str">
        <f t="shared" si="5"/>
        <v>CA-2014-114790_OFF-PA-10000213</v>
      </c>
      <c r="E357" t="str">
        <f>IF(COUNTIF(data1!$D:$D,D357)=0,"Missing in Data1","Present")</f>
        <v>Present</v>
      </c>
    </row>
    <row r="358" spans="1:5" x14ac:dyDescent="0.25">
      <c r="A358" s="2" t="s">
        <v>517</v>
      </c>
      <c r="B358" s="2" t="s">
        <v>290</v>
      </c>
      <c r="C358" s="2">
        <v>2</v>
      </c>
      <c r="D358" t="str">
        <f t="shared" si="5"/>
        <v>CA-2014-114790_TEC-AC-10000710</v>
      </c>
      <c r="E358" t="str">
        <f>IF(COUNTIF(data1!$D:$D,D358)=0,"Missing in Data1","Present")</f>
        <v>Present</v>
      </c>
    </row>
    <row r="359" spans="1:5" x14ac:dyDescent="0.25">
      <c r="A359" s="2" t="s">
        <v>517</v>
      </c>
      <c r="B359" s="2" t="s">
        <v>520</v>
      </c>
      <c r="C359" s="2">
        <v>3</v>
      </c>
      <c r="D359" t="str">
        <f t="shared" si="5"/>
        <v>CA-2014-114790_TEC-PH-10000984</v>
      </c>
      <c r="E359" t="str">
        <f>IF(COUNTIF(data1!$D:$D,D359)=0,"Missing in Data1","Present")</f>
        <v>Present</v>
      </c>
    </row>
    <row r="360" spans="1:5" x14ac:dyDescent="0.25">
      <c r="A360" s="2" t="s">
        <v>521</v>
      </c>
      <c r="B360" s="2" t="s">
        <v>522</v>
      </c>
      <c r="C360" s="2">
        <v>11</v>
      </c>
      <c r="D360" t="str">
        <f t="shared" si="5"/>
        <v>CA-2014-115049_TEC-AC-10004859</v>
      </c>
      <c r="E360" t="str">
        <f>IF(COUNTIF(data1!$D:$D,D360)=0,"Missing in Data1","Present")</f>
        <v>Present</v>
      </c>
    </row>
    <row r="361" spans="1:5" x14ac:dyDescent="0.25">
      <c r="A361" s="2" t="s">
        <v>6740</v>
      </c>
      <c r="B361" s="2" t="s">
        <v>2346</v>
      </c>
      <c r="C361" s="2">
        <v>3</v>
      </c>
      <c r="D361" t="str">
        <f t="shared" si="5"/>
        <v>CA-2014-115056_OFF-AP-10003971</v>
      </c>
      <c r="E361" t="str">
        <f>IF(COUNTIF(data1!$D:$D,D361)=0,"Missing in Data1","Present")</f>
        <v>Missing in Data1</v>
      </c>
    </row>
    <row r="362" spans="1:5" x14ac:dyDescent="0.25">
      <c r="A362" s="2" t="s">
        <v>523</v>
      </c>
      <c r="B362" s="2" t="s">
        <v>524</v>
      </c>
      <c r="C362" s="2">
        <v>6</v>
      </c>
      <c r="D362" t="str">
        <f t="shared" si="5"/>
        <v>CA-2014-115084_FUR-CH-10004626</v>
      </c>
      <c r="E362" t="str">
        <f>IF(COUNTIF(data1!$D:$D,D362)=0,"Missing in Data1","Present")</f>
        <v>Present</v>
      </c>
    </row>
    <row r="363" spans="1:5" x14ac:dyDescent="0.25">
      <c r="A363" s="2" t="s">
        <v>525</v>
      </c>
      <c r="B363" s="2" t="s">
        <v>526</v>
      </c>
      <c r="C363" s="2">
        <v>6</v>
      </c>
      <c r="D363" t="str">
        <f t="shared" si="5"/>
        <v>CA-2014-115133_OFF-AP-10001634</v>
      </c>
      <c r="E363" t="str">
        <f>IF(COUNTIF(data1!$D:$D,D363)=0,"Missing in Data1","Present")</f>
        <v>Present</v>
      </c>
    </row>
    <row r="364" spans="1:5" x14ac:dyDescent="0.25">
      <c r="A364" s="2" t="s">
        <v>525</v>
      </c>
      <c r="B364" s="2" t="s">
        <v>155</v>
      </c>
      <c r="C364" s="2">
        <v>4</v>
      </c>
      <c r="D364" t="str">
        <f t="shared" si="5"/>
        <v>CA-2014-115133_OFF-PA-10000174</v>
      </c>
      <c r="E364" t="str">
        <f>IF(COUNTIF(data1!$D:$D,D364)=0,"Missing in Data1","Present")</f>
        <v>Present</v>
      </c>
    </row>
    <row r="365" spans="1:5" x14ac:dyDescent="0.25">
      <c r="A365" s="2" t="s">
        <v>525</v>
      </c>
      <c r="B365" s="2" t="s">
        <v>527</v>
      </c>
      <c r="C365" s="2">
        <v>2</v>
      </c>
      <c r="D365" t="str">
        <f t="shared" si="5"/>
        <v>CA-2014-115133_TEC-AC-10002370</v>
      </c>
      <c r="E365" t="str">
        <f>IF(COUNTIF(data1!$D:$D,D365)=0,"Missing in Data1","Present")</f>
        <v>Present</v>
      </c>
    </row>
    <row r="366" spans="1:5" x14ac:dyDescent="0.25">
      <c r="A366" s="2" t="s">
        <v>528</v>
      </c>
      <c r="B366" s="2" t="s">
        <v>529</v>
      </c>
      <c r="C366" s="2">
        <v>2</v>
      </c>
      <c r="D366" t="str">
        <f t="shared" si="5"/>
        <v>CA-2014-115161_FUR-BO-10003966</v>
      </c>
      <c r="E366" t="str">
        <f>IF(COUNTIF(data1!$D:$D,D366)=0,"Missing in Data1","Present")</f>
        <v>Present</v>
      </c>
    </row>
    <row r="367" spans="1:5" x14ac:dyDescent="0.25">
      <c r="A367" s="2" t="s">
        <v>530</v>
      </c>
      <c r="B367" s="2" t="s">
        <v>531</v>
      </c>
      <c r="C367" s="2">
        <v>6</v>
      </c>
      <c r="D367" t="str">
        <f t="shared" si="5"/>
        <v>CA-2014-115259_OFF-EN-10002504</v>
      </c>
      <c r="E367" t="str">
        <f>IF(COUNTIF(data1!$D:$D,D367)=0,"Missing in Data1","Present")</f>
        <v>Present</v>
      </c>
    </row>
    <row r="368" spans="1:5" x14ac:dyDescent="0.25">
      <c r="A368" s="2" t="s">
        <v>530</v>
      </c>
      <c r="B368" s="2" t="s">
        <v>532</v>
      </c>
      <c r="C368" s="2">
        <v>2</v>
      </c>
      <c r="D368" t="str">
        <f t="shared" si="5"/>
        <v>CA-2014-115259_OFF-EN-10002600</v>
      </c>
      <c r="E368" t="str">
        <f>IF(COUNTIF(data1!$D:$D,D368)=0,"Missing in Data1","Present")</f>
        <v>Present</v>
      </c>
    </row>
    <row r="369" spans="1:5" x14ac:dyDescent="0.25">
      <c r="A369" s="2" t="s">
        <v>530</v>
      </c>
      <c r="B369" s="2" t="s">
        <v>993</v>
      </c>
      <c r="C369" s="2">
        <v>14</v>
      </c>
      <c r="D369" t="str">
        <f t="shared" si="5"/>
        <v>CA-2014-115259_OFF-FA-10000621</v>
      </c>
      <c r="E369" t="str">
        <f>IF(COUNTIF(data1!$D:$D,D369)=0,"Missing in Data1","Present")</f>
        <v>Missing in Data1</v>
      </c>
    </row>
    <row r="370" spans="1:5" x14ac:dyDescent="0.25">
      <c r="A370" s="2" t="s">
        <v>530</v>
      </c>
      <c r="B370" s="2" t="s">
        <v>4131</v>
      </c>
      <c r="C370" s="2">
        <v>3</v>
      </c>
      <c r="D370" t="str">
        <f t="shared" si="5"/>
        <v>CA-2014-115259_OFF-PA-10004965</v>
      </c>
      <c r="E370" t="str">
        <f>IF(COUNTIF(data1!$D:$D,D370)=0,"Missing in Data1","Present")</f>
        <v>Missing in Data1</v>
      </c>
    </row>
    <row r="371" spans="1:5" x14ac:dyDescent="0.25">
      <c r="A371" s="2" t="s">
        <v>533</v>
      </c>
      <c r="B371" s="2" t="s">
        <v>534</v>
      </c>
      <c r="C371" s="2">
        <v>5</v>
      </c>
      <c r="D371" t="str">
        <f t="shared" si="5"/>
        <v>CA-2014-115336_OFF-BI-10001107</v>
      </c>
      <c r="E371" t="str">
        <f>IF(COUNTIF(data1!$D:$D,D371)=0,"Missing in Data1","Present")</f>
        <v>Present</v>
      </c>
    </row>
    <row r="372" spans="1:5" x14ac:dyDescent="0.25">
      <c r="A372" s="2" t="s">
        <v>535</v>
      </c>
      <c r="B372" s="2" t="s">
        <v>536</v>
      </c>
      <c r="C372" s="2">
        <v>3</v>
      </c>
      <c r="D372" t="str">
        <f t="shared" si="5"/>
        <v>CA-2014-115357_TEC-AC-10000023</v>
      </c>
      <c r="E372" t="str">
        <f>IF(COUNTIF(data1!$D:$D,D372)=0,"Missing in Data1","Present")</f>
        <v>Present</v>
      </c>
    </row>
    <row r="373" spans="1:5" x14ac:dyDescent="0.25">
      <c r="A373" s="2" t="s">
        <v>537</v>
      </c>
      <c r="B373" s="2" t="s">
        <v>538</v>
      </c>
      <c r="C373" s="2">
        <v>6</v>
      </c>
      <c r="D373" t="str">
        <f t="shared" si="5"/>
        <v>CA-2014-115791_FUR-FU-10001095</v>
      </c>
      <c r="E373" t="str">
        <f>IF(COUNTIF(data1!$D:$D,D373)=0,"Missing in Data1","Present")</f>
        <v>Present</v>
      </c>
    </row>
    <row r="374" spans="1:5" x14ac:dyDescent="0.25">
      <c r="A374" s="2" t="s">
        <v>537</v>
      </c>
      <c r="B374" s="2" t="s">
        <v>539</v>
      </c>
      <c r="C374" s="2">
        <v>2</v>
      </c>
      <c r="D374" t="str">
        <f t="shared" si="5"/>
        <v>CA-2014-115791_OFF-BI-10001575</v>
      </c>
      <c r="E374" t="str">
        <f>IF(COUNTIF(data1!$D:$D,D374)=0,"Missing in Data1","Present")</f>
        <v>Present</v>
      </c>
    </row>
    <row r="375" spans="1:5" x14ac:dyDescent="0.25">
      <c r="A375" s="2" t="s">
        <v>537</v>
      </c>
      <c r="B375" s="2" t="s">
        <v>540</v>
      </c>
      <c r="C375" s="2">
        <v>3</v>
      </c>
      <c r="D375" t="str">
        <f t="shared" si="5"/>
        <v>CA-2014-115791_OFF-LA-10001074</v>
      </c>
      <c r="E375" t="str">
        <f>IF(COUNTIF(data1!$D:$D,D375)=0,"Missing in Data1","Present")</f>
        <v>Present</v>
      </c>
    </row>
    <row r="376" spans="1:5" x14ac:dyDescent="0.25">
      <c r="A376" s="2" t="s">
        <v>537</v>
      </c>
      <c r="B376" s="2" t="s">
        <v>541</v>
      </c>
      <c r="C376" s="2">
        <v>3</v>
      </c>
      <c r="D376" t="str">
        <f t="shared" si="5"/>
        <v>CA-2014-115791_TEC-PH-10004614</v>
      </c>
      <c r="E376" t="str">
        <f>IF(COUNTIF(data1!$D:$D,D376)=0,"Missing in Data1","Present")</f>
        <v>Present</v>
      </c>
    </row>
    <row r="377" spans="1:5" x14ac:dyDescent="0.25">
      <c r="A377" s="2" t="s">
        <v>542</v>
      </c>
      <c r="B377" s="2" t="s">
        <v>543</v>
      </c>
      <c r="C377" s="2">
        <v>7</v>
      </c>
      <c r="D377" t="str">
        <f t="shared" si="5"/>
        <v>CA-2014-115812_FUR-FU-10001487</v>
      </c>
      <c r="E377" t="str">
        <f>IF(COUNTIF(data1!$D:$D,D377)=0,"Missing in Data1","Present")</f>
        <v>Present</v>
      </c>
    </row>
    <row r="378" spans="1:5" x14ac:dyDescent="0.25">
      <c r="A378" s="2" t="s">
        <v>542</v>
      </c>
      <c r="B378" s="2" t="s">
        <v>544</v>
      </c>
      <c r="C378" s="2">
        <v>9</v>
      </c>
      <c r="D378" t="str">
        <f t="shared" si="5"/>
        <v>CA-2014-115812_FUR-TA-10001539</v>
      </c>
      <c r="E378" t="str">
        <f>IF(COUNTIF(data1!$D:$D,D378)=0,"Missing in Data1","Present")</f>
        <v>Present</v>
      </c>
    </row>
    <row r="379" spans="1:5" x14ac:dyDescent="0.25">
      <c r="A379" s="2" t="s">
        <v>542</v>
      </c>
      <c r="B379" s="2" t="s">
        <v>545</v>
      </c>
      <c r="C379" s="2">
        <v>5</v>
      </c>
      <c r="D379" t="str">
        <f t="shared" si="5"/>
        <v>CA-2014-115812_OFF-AP-10002892</v>
      </c>
      <c r="E379" t="str">
        <f>IF(COUNTIF(data1!$D:$D,D379)=0,"Missing in Data1","Present")</f>
        <v>Present</v>
      </c>
    </row>
    <row r="380" spans="1:5" x14ac:dyDescent="0.25">
      <c r="A380" s="2" t="s">
        <v>542</v>
      </c>
      <c r="B380" s="2" t="s">
        <v>79</v>
      </c>
      <c r="C380" s="2">
        <v>4</v>
      </c>
      <c r="D380" t="str">
        <f t="shared" si="5"/>
        <v>CA-2014-115812_OFF-AR-10002833</v>
      </c>
      <c r="E380" t="str">
        <f>IF(COUNTIF(data1!$D:$D,D380)=0,"Missing in Data1","Present")</f>
        <v>Present</v>
      </c>
    </row>
    <row r="381" spans="1:5" x14ac:dyDescent="0.25">
      <c r="A381" s="2" t="s">
        <v>542</v>
      </c>
      <c r="B381" s="2" t="s">
        <v>546</v>
      </c>
      <c r="C381" s="2">
        <v>3</v>
      </c>
      <c r="D381" t="str">
        <f t="shared" si="5"/>
        <v>CA-2014-115812_OFF-BI-10003910</v>
      </c>
      <c r="E381" t="str">
        <f>IF(COUNTIF(data1!$D:$D,D381)=0,"Missing in Data1","Present")</f>
        <v>Present</v>
      </c>
    </row>
    <row r="382" spans="1:5" x14ac:dyDescent="0.25">
      <c r="A382" s="2" t="s">
        <v>542</v>
      </c>
      <c r="B382" s="2" t="s">
        <v>547</v>
      </c>
      <c r="C382" s="2">
        <v>4</v>
      </c>
      <c r="D382" t="str">
        <f t="shared" si="5"/>
        <v>CA-2014-115812_TEC-PH-10002033</v>
      </c>
      <c r="E382" t="str">
        <f>IF(COUNTIF(data1!$D:$D,D382)=0,"Missing in Data1","Present")</f>
        <v>Present</v>
      </c>
    </row>
    <row r="383" spans="1:5" x14ac:dyDescent="0.25">
      <c r="A383" s="2" t="s">
        <v>542</v>
      </c>
      <c r="B383" s="2" t="s">
        <v>548</v>
      </c>
      <c r="C383" s="2">
        <v>6</v>
      </c>
      <c r="D383" t="str">
        <f t="shared" si="5"/>
        <v>CA-2014-115812_TEC-PH-10002275</v>
      </c>
      <c r="E383" t="str">
        <f>IF(COUNTIF(data1!$D:$D,D383)=0,"Missing in Data1","Present")</f>
        <v>Present</v>
      </c>
    </row>
    <row r="384" spans="1:5" x14ac:dyDescent="0.25">
      <c r="A384" s="2" t="s">
        <v>549</v>
      </c>
      <c r="B384" s="2" t="s">
        <v>550</v>
      </c>
      <c r="C384" s="2">
        <v>2</v>
      </c>
      <c r="D384" t="str">
        <f t="shared" si="5"/>
        <v>CA-2014-115889_OFF-ST-10003208</v>
      </c>
      <c r="E384" t="str">
        <f>IF(COUNTIF(data1!$D:$D,D384)=0,"Missing in Data1","Present")</f>
        <v>Present</v>
      </c>
    </row>
    <row r="385" spans="1:5" x14ac:dyDescent="0.25">
      <c r="A385" s="2" t="s">
        <v>549</v>
      </c>
      <c r="B385" s="2" t="s">
        <v>107</v>
      </c>
      <c r="C385" s="2">
        <v>2</v>
      </c>
      <c r="D385" t="str">
        <f t="shared" si="5"/>
        <v>CA-2014-115889_TEC-PH-10001615</v>
      </c>
      <c r="E385" t="str">
        <f>IF(COUNTIF(data1!$D:$D,D385)=0,"Missing in Data1","Present")</f>
        <v>Present</v>
      </c>
    </row>
    <row r="386" spans="1:5" x14ac:dyDescent="0.25">
      <c r="A386" s="2" t="s">
        <v>6741</v>
      </c>
      <c r="B386" s="2" t="s">
        <v>58</v>
      </c>
      <c r="C386" s="2">
        <v>1</v>
      </c>
      <c r="D386" t="str">
        <f t="shared" si="5"/>
        <v>CA-2014-115973_OFF-AR-10004757</v>
      </c>
      <c r="E386" t="str">
        <f>IF(COUNTIF(data1!$D:$D,D386)=0,"Missing in Data1","Present")</f>
        <v>Missing in Data1</v>
      </c>
    </row>
    <row r="387" spans="1:5" x14ac:dyDescent="0.25">
      <c r="A387" s="2" t="s">
        <v>551</v>
      </c>
      <c r="B387" s="2" t="s">
        <v>552</v>
      </c>
      <c r="C387" s="2">
        <v>3</v>
      </c>
      <c r="D387" t="str">
        <f t="shared" ref="D387:D450" si="6">A387&amp;"_"&amp;B387</f>
        <v>CA-2014-115980_OFF-FA-10000304</v>
      </c>
      <c r="E387" t="str">
        <f>IF(COUNTIF(data1!$D:$D,D387)=0,"Missing in Data1","Present")</f>
        <v>Present</v>
      </c>
    </row>
    <row r="388" spans="1:5" x14ac:dyDescent="0.25">
      <c r="A388" s="2" t="s">
        <v>554</v>
      </c>
      <c r="B388" s="2" t="s">
        <v>555</v>
      </c>
      <c r="C388" s="2">
        <v>2</v>
      </c>
      <c r="D388" t="str">
        <f t="shared" si="6"/>
        <v>CA-2014-116190_FUR-CH-10000553</v>
      </c>
      <c r="E388" t="str">
        <f>IF(COUNTIF(data1!$D:$D,D388)=0,"Missing in Data1","Present")</f>
        <v>Present</v>
      </c>
    </row>
    <row r="389" spans="1:5" x14ac:dyDescent="0.25">
      <c r="A389" s="2" t="s">
        <v>554</v>
      </c>
      <c r="B389" s="2" t="s">
        <v>556</v>
      </c>
      <c r="C389" s="2">
        <v>3</v>
      </c>
      <c r="D389" t="str">
        <f t="shared" si="6"/>
        <v>CA-2014-116190_FUR-FU-10000719</v>
      </c>
      <c r="E389" t="str">
        <f>IF(COUNTIF(data1!$D:$D,D389)=0,"Missing in Data1","Present")</f>
        <v>Present</v>
      </c>
    </row>
    <row r="390" spans="1:5" x14ac:dyDescent="0.25">
      <c r="A390" s="2" t="s">
        <v>554</v>
      </c>
      <c r="B390" s="2" t="s">
        <v>557</v>
      </c>
      <c r="C390" s="2">
        <v>13</v>
      </c>
      <c r="D390" t="str">
        <f t="shared" si="6"/>
        <v>CA-2014-116190_OFF-LA-10002762</v>
      </c>
      <c r="E390" t="str">
        <f>IF(COUNTIF(data1!$D:$D,D390)=0,"Missing in Data1","Present")</f>
        <v>Present</v>
      </c>
    </row>
    <row r="391" spans="1:5" x14ac:dyDescent="0.25">
      <c r="A391" s="2" t="s">
        <v>560</v>
      </c>
      <c r="B391" s="2" t="s">
        <v>561</v>
      </c>
      <c r="C391" s="2">
        <v>6</v>
      </c>
      <c r="D391" t="str">
        <f t="shared" si="6"/>
        <v>CA-2014-116246_FUR-CH-10002024</v>
      </c>
      <c r="E391" t="str">
        <f>IF(COUNTIF(data1!$D:$D,D391)=0,"Missing in Data1","Present")</f>
        <v>Present</v>
      </c>
    </row>
    <row r="392" spans="1:5" x14ac:dyDescent="0.25">
      <c r="A392" s="2" t="s">
        <v>562</v>
      </c>
      <c r="B392" s="2" t="s">
        <v>563</v>
      </c>
      <c r="C392" s="2">
        <v>2</v>
      </c>
      <c r="D392" t="str">
        <f t="shared" si="6"/>
        <v>CA-2014-116407_OFF-AP-10002118</v>
      </c>
      <c r="E392" t="str">
        <f>IF(COUNTIF(data1!$D:$D,D392)=0,"Missing in Data1","Present")</f>
        <v>Present</v>
      </c>
    </row>
    <row r="393" spans="1:5" x14ac:dyDescent="0.25">
      <c r="A393" s="2" t="s">
        <v>562</v>
      </c>
      <c r="B393" s="2" t="s">
        <v>564</v>
      </c>
      <c r="C393" s="2">
        <v>3</v>
      </c>
      <c r="D393" t="str">
        <f t="shared" si="6"/>
        <v>CA-2014-116407_OFF-AR-10001315</v>
      </c>
      <c r="E393" t="str">
        <f>IF(COUNTIF(data1!$D:$D,D393)=0,"Missing in Data1","Present")</f>
        <v>Present</v>
      </c>
    </row>
    <row r="394" spans="1:5" x14ac:dyDescent="0.25">
      <c r="A394" s="2" t="s">
        <v>562</v>
      </c>
      <c r="B394" s="2" t="s">
        <v>1590</v>
      </c>
      <c r="C394" s="2">
        <v>4</v>
      </c>
      <c r="D394" t="str">
        <f t="shared" si="6"/>
        <v>CA-2014-116407_OFF-PA-10002137</v>
      </c>
      <c r="E394" t="str">
        <f>IF(COUNTIF(data1!$D:$D,D394)=0,"Missing in Data1","Present")</f>
        <v>Missing in Data1</v>
      </c>
    </row>
    <row r="395" spans="1:5" x14ac:dyDescent="0.25">
      <c r="A395" s="2" t="s">
        <v>565</v>
      </c>
      <c r="B395" s="2" t="s">
        <v>469</v>
      </c>
      <c r="C395" s="2">
        <v>4</v>
      </c>
      <c r="D395" t="str">
        <f t="shared" si="6"/>
        <v>CA-2014-116568_FUR-CH-10002439</v>
      </c>
      <c r="E395" t="str">
        <f>IF(COUNTIF(data1!$D:$D,D395)=0,"Missing in Data1","Present")</f>
        <v>Present</v>
      </c>
    </row>
    <row r="396" spans="1:5" x14ac:dyDescent="0.25">
      <c r="A396" s="2" t="s">
        <v>566</v>
      </c>
      <c r="B396" s="2" t="s">
        <v>567</v>
      </c>
      <c r="C396" s="2">
        <v>5</v>
      </c>
      <c r="D396" t="str">
        <f t="shared" si="6"/>
        <v>CA-2014-116666_TEC-CO-10001449</v>
      </c>
      <c r="E396" t="str">
        <f>IF(COUNTIF(data1!$D:$D,D396)=0,"Missing in Data1","Present")</f>
        <v>Present</v>
      </c>
    </row>
    <row r="397" spans="1:5" x14ac:dyDescent="0.25">
      <c r="A397" s="2" t="s">
        <v>568</v>
      </c>
      <c r="B397" s="2" t="s">
        <v>569</v>
      </c>
      <c r="C397" s="2">
        <v>2</v>
      </c>
      <c r="D397" t="str">
        <f t="shared" si="6"/>
        <v>CA-2014-116673_FUR-FU-10003829</v>
      </c>
      <c r="E397" t="str">
        <f>IF(COUNTIF(data1!$D:$D,D397)=0,"Missing in Data1","Present")</f>
        <v>Present</v>
      </c>
    </row>
    <row r="398" spans="1:5" x14ac:dyDescent="0.25">
      <c r="A398" s="2" t="s">
        <v>570</v>
      </c>
      <c r="B398" s="2" t="s">
        <v>571</v>
      </c>
      <c r="C398" s="2">
        <v>6</v>
      </c>
      <c r="D398" t="str">
        <f t="shared" si="6"/>
        <v>CA-2014-116757_OFF-FA-10002815</v>
      </c>
      <c r="E398" t="str">
        <f>IF(COUNTIF(data1!$D:$D,D398)=0,"Missing in Data1","Present")</f>
        <v>Present</v>
      </c>
    </row>
    <row r="399" spans="1:5" x14ac:dyDescent="0.25">
      <c r="A399" s="2" t="s">
        <v>570</v>
      </c>
      <c r="B399" s="2" t="s">
        <v>572</v>
      </c>
      <c r="C399" s="2">
        <v>5</v>
      </c>
      <c r="D399" t="str">
        <f t="shared" si="6"/>
        <v>CA-2014-116757_OFF-PA-10002005</v>
      </c>
      <c r="E399" t="str">
        <f>IF(COUNTIF(data1!$D:$D,D399)=0,"Missing in Data1","Present")</f>
        <v>Present</v>
      </c>
    </row>
    <row r="400" spans="1:5" x14ac:dyDescent="0.25">
      <c r="A400" s="2" t="s">
        <v>573</v>
      </c>
      <c r="B400" s="2" t="s">
        <v>574</v>
      </c>
      <c r="C400" s="2">
        <v>5</v>
      </c>
      <c r="D400" t="str">
        <f t="shared" si="6"/>
        <v>CA-2014-116785_OFF-AR-10003504</v>
      </c>
      <c r="E400" t="str">
        <f>IF(COUNTIF(data1!$D:$D,D400)=0,"Missing in Data1","Present")</f>
        <v>Present</v>
      </c>
    </row>
    <row r="401" spans="1:5" x14ac:dyDescent="0.25">
      <c r="A401" s="2" t="s">
        <v>573</v>
      </c>
      <c r="B401" s="2" t="s">
        <v>575</v>
      </c>
      <c r="C401" s="2">
        <v>2</v>
      </c>
      <c r="D401" t="str">
        <f t="shared" si="6"/>
        <v>CA-2014-116785_OFF-LA-10000305</v>
      </c>
      <c r="E401" t="str">
        <f>IF(COUNTIF(data1!$D:$D,D401)=0,"Missing in Data1","Present")</f>
        <v>Present</v>
      </c>
    </row>
    <row r="402" spans="1:5" x14ac:dyDescent="0.25">
      <c r="A402" s="2" t="s">
        <v>576</v>
      </c>
      <c r="B402" s="2" t="s">
        <v>577</v>
      </c>
      <c r="C402" s="2">
        <v>11</v>
      </c>
      <c r="D402" t="str">
        <f t="shared" si="6"/>
        <v>CA-2014-116834_FUR-FU-10001196</v>
      </c>
      <c r="E402" t="str">
        <f>IF(COUNTIF(data1!$D:$D,D402)=0,"Missing in Data1","Present")</f>
        <v>Present</v>
      </c>
    </row>
    <row r="403" spans="1:5" x14ac:dyDescent="0.25">
      <c r="A403" s="2" t="s">
        <v>576</v>
      </c>
      <c r="B403" s="2" t="s">
        <v>578</v>
      </c>
      <c r="C403" s="2">
        <v>5</v>
      </c>
      <c r="D403" t="str">
        <f t="shared" si="6"/>
        <v>CA-2014-116834_TEC-AC-10002942</v>
      </c>
      <c r="E403" t="str">
        <f>IF(COUNTIF(data1!$D:$D,D403)=0,"Missing in Data1","Present")</f>
        <v>Present</v>
      </c>
    </row>
    <row r="404" spans="1:5" x14ac:dyDescent="0.25">
      <c r="A404" s="2" t="s">
        <v>579</v>
      </c>
      <c r="B404" s="2" t="s">
        <v>3260</v>
      </c>
      <c r="C404" s="2">
        <v>2</v>
      </c>
      <c r="D404" t="str">
        <f t="shared" si="6"/>
        <v>CA-2014-116904_OFF-BI-10000301</v>
      </c>
      <c r="E404" t="str">
        <f>IF(COUNTIF(data1!$D:$D,D404)=0,"Missing in Data1","Present")</f>
        <v>Missing in Data1</v>
      </c>
    </row>
    <row r="405" spans="1:5" x14ac:dyDescent="0.25">
      <c r="A405" s="2" t="s">
        <v>579</v>
      </c>
      <c r="B405" s="2" t="s">
        <v>580</v>
      </c>
      <c r="C405" s="2">
        <v>5</v>
      </c>
      <c r="D405" t="str">
        <f t="shared" si="6"/>
        <v>CA-2014-116904_OFF-BI-10001120</v>
      </c>
      <c r="E405" t="str">
        <f>IF(COUNTIF(data1!$D:$D,D405)=0,"Missing in Data1","Present")</f>
        <v>Present</v>
      </c>
    </row>
    <row r="406" spans="1:5" x14ac:dyDescent="0.25">
      <c r="A406" s="2" t="s">
        <v>579</v>
      </c>
      <c r="B406" s="2" t="s">
        <v>581</v>
      </c>
      <c r="C406" s="2">
        <v>5</v>
      </c>
      <c r="D406" t="str">
        <f t="shared" si="6"/>
        <v>CA-2014-116904_OFF-PA-10004888</v>
      </c>
      <c r="E406" t="str">
        <f>IF(COUNTIF(data1!$D:$D,D406)=0,"Missing in Data1","Present")</f>
        <v>Present</v>
      </c>
    </row>
    <row r="407" spans="1:5" x14ac:dyDescent="0.25">
      <c r="A407" s="2" t="s">
        <v>579</v>
      </c>
      <c r="B407" s="2" t="s">
        <v>299</v>
      </c>
      <c r="C407" s="2">
        <v>5</v>
      </c>
      <c r="D407" t="str">
        <f t="shared" si="6"/>
        <v>CA-2014-116904_OFF-ST-10000736</v>
      </c>
      <c r="E407" t="str">
        <f>IF(COUNTIF(data1!$D:$D,D407)=0,"Missing in Data1","Present")</f>
        <v>Present</v>
      </c>
    </row>
    <row r="408" spans="1:5" x14ac:dyDescent="0.25">
      <c r="A408" s="2" t="s">
        <v>582</v>
      </c>
      <c r="B408" s="2" t="s">
        <v>583</v>
      </c>
      <c r="C408" s="2">
        <v>2</v>
      </c>
      <c r="D408" t="str">
        <f t="shared" si="6"/>
        <v>CA-2014-116932_FUR-CH-10001215</v>
      </c>
      <c r="E408" t="str">
        <f>IF(COUNTIF(data1!$D:$D,D408)=0,"Missing in Data1","Present")</f>
        <v>Present</v>
      </c>
    </row>
    <row r="409" spans="1:5" x14ac:dyDescent="0.25">
      <c r="A409" s="2" t="s">
        <v>582</v>
      </c>
      <c r="B409" s="2" t="s">
        <v>584</v>
      </c>
      <c r="C409" s="2">
        <v>1</v>
      </c>
      <c r="D409" t="str">
        <f t="shared" si="6"/>
        <v>CA-2014-116932_FUR-TA-10004175</v>
      </c>
      <c r="E409" t="str">
        <f>IF(COUNTIF(data1!$D:$D,D409)=0,"Missing in Data1","Present")</f>
        <v>Present</v>
      </c>
    </row>
    <row r="410" spans="1:5" x14ac:dyDescent="0.25">
      <c r="A410" s="2" t="s">
        <v>582</v>
      </c>
      <c r="B410" s="2" t="s">
        <v>585</v>
      </c>
      <c r="C410" s="2">
        <v>5</v>
      </c>
      <c r="D410" t="str">
        <f t="shared" si="6"/>
        <v>CA-2014-116932_OFF-AR-10002067</v>
      </c>
      <c r="E410" t="str">
        <f>IF(COUNTIF(data1!$D:$D,D410)=0,"Missing in Data1","Present")</f>
        <v>Present</v>
      </c>
    </row>
    <row r="411" spans="1:5" x14ac:dyDescent="0.25">
      <c r="A411" s="2" t="s">
        <v>586</v>
      </c>
      <c r="B411" s="2" t="s">
        <v>333</v>
      </c>
      <c r="C411" s="2">
        <v>3</v>
      </c>
      <c r="D411" t="str">
        <f t="shared" si="6"/>
        <v>CA-2014-117016_OFF-AR-10001374</v>
      </c>
      <c r="E411" t="str">
        <f>IF(COUNTIF(data1!$D:$D,D411)=0,"Missing in Data1","Present")</f>
        <v>Present</v>
      </c>
    </row>
    <row r="412" spans="1:5" x14ac:dyDescent="0.25">
      <c r="A412" s="2" t="s">
        <v>587</v>
      </c>
      <c r="B412" s="2" t="s">
        <v>588</v>
      </c>
      <c r="C412" s="2">
        <v>3</v>
      </c>
      <c r="D412" t="str">
        <f t="shared" si="6"/>
        <v>CA-2014-117317_OFF-PA-10004519</v>
      </c>
      <c r="E412" t="str">
        <f>IF(COUNTIF(data1!$D:$D,D412)=0,"Missing in Data1","Present")</f>
        <v>Present</v>
      </c>
    </row>
    <row r="413" spans="1:5" x14ac:dyDescent="0.25">
      <c r="A413" s="2" t="s">
        <v>589</v>
      </c>
      <c r="B413" s="2" t="s">
        <v>590</v>
      </c>
      <c r="C413" s="2">
        <v>4</v>
      </c>
      <c r="D413" t="str">
        <f t="shared" si="6"/>
        <v>CA-2014-117345_FUR-FU-10000629</v>
      </c>
      <c r="E413" t="str">
        <f>IF(COUNTIF(data1!$D:$D,D413)=0,"Missing in Data1","Present")</f>
        <v>Present</v>
      </c>
    </row>
    <row r="414" spans="1:5" x14ac:dyDescent="0.25">
      <c r="A414" s="2" t="s">
        <v>589</v>
      </c>
      <c r="B414" s="2" t="s">
        <v>136</v>
      </c>
      <c r="C414" s="2">
        <v>1</v>
      </c>
      <c r="D414" t="str">
        <f t="shared" si="6"/>
        <v>CA-2014-117345_OFF-AP-10001005</v>
      </c>
      <c r="E414" t="str">
        <f>IF(COUNTIF(data1!$D:$D,D414)=0,"Missing in Data1","Present")</f>
        <v>Present</v>
      </c>
    </row>
    <row r="415" spans="1:5" x14ac:dyDescent="0.25">
      <c r="A415" s="2" t="s">
        <v>589</v>
      </c>
      <c r="B415" s="2" t="s">
        <v>591</v>
      </c>
      <c r="C415" s="2">
        <v>3</v>
      </c>
      <c r="D415" t="str">
        <f t="shared" si="6"/>
        <v>CA-2014-117345_OFF-LA-10000240</v>
      </c>
      <c r="E415" t="str">
        <f>IF(COUNTIF(data1!$D:$D,D415)=0,"Missing in Data1","Present")</f>
        <v>Present</v>
      </c>
    </row>
    <row r="416" spans="1:5" x14ac:dyDescent="0.25">
      <c r="A416" s="2" t="s">
        <v>589</v>
      </c>
      <c r="B416" s="2" t="s">
        <v>592</v>
      </c>
      <c r="C416" s="2">
        <v>2</v>
      </c>
      <c r="D416" t="str">
        <f t="shared" si="6"/>
        <v>CA-2014-117345_OFF-PA-10002377</v>
      </c>
      <c r="E416" t="str">
        <f>IF(COUNTIF(data1!$D:$D,D416)=0,"Missing in Data1","Present")</f>
        <v>Present</v>
      </c>
    </row>
    <row r="417" spans="1:5" x14ac:dyDescent="0.25">
      <c r="A417" s="2" t="s">
        <v>593</v>
      </c>
      <c r="B417" s="2" t="s">
        <v>594</v>
      </c>
      <c r="C417" s="2">
        <v>5</v>
      </c>
      <c r="D417" t="str">
        <f t="shared" si="6"/>
        <v>CA-2014-117429_FUR-FU-10000222</v>
      </c>
      <c r="E417" t="str">
        <f>IF(COUNTIF(data1!$D:$D,D417)=0,"Missing in Data1","Present")</f>
        <v>Present</v>
      </c>
    </row>
    <row r="418" spans="1:5" x14ac:dyDescent="0.25">
      <c r="A418" s="2" t="s">
        <v>595</v>
      </c>
      <c r="B418" s="2" t="s">
        <v>596</v>
      </c>
      <c r="C418" s="2">
        <v>3</v>
      </c>
      <c r="D418" t="str">
        <f t="shared" si="6"/>
        <v>CA-2014-117464_FUR-CH-10000155</v>
      </c>
      <c r="E418" t="str">
        <f>IF(COUNTIF(data1!$D:$D,D418)=0,"Missing in Data1","Present")</f>
        <v>Present</v>
      </c>
    </row>
    <row r="419" spans="1:5" x14ac:dyDescent="0.25">
      <c r="A419" s="2" t="s">
        <v>595</v>
      </c>
      <c r="B419" s="2" t="s">
        <v>597</v>
      </c>
      <c r="C419" s="2">
        <v>3</v>
      </c>
      <c r="D419" t="str">
        <f t="shared" si="6"/>
        <v>CA-2014-117464_FUR-TA-10004767</v>
      </c>
      <c r="E419" t="str">
        <f>IF(COUNTIF(data1!$D:$D,D419)=0,"Missing in Data1","Present")</f>
        <v>Present</v>
      </c>
    </row>
    <row r="420" spans="1:5" x14ac:dyDescent="0.25">
      <c r="A420" s="2" t="s">
        <v>595</v>
      </c>
      <c r="B420" s="2" t="s">
        <v>598</v>
      </c>
      <c r="C420" s="2">
        <v>4</v>
      </c>
      <c r="D420" t="str">
        <f t="shared" si="6"/>
        <v>CA-2014-117464_OFF-AR-10003190</v>
      </c>
      <c r="E420" t="str">
        <f>IF(COUNTIF(data1!$D:$D,D420)=0,"Missing in Data1","Present")</f>
        <v>Present</v>
      </c>
    </row>
    <row r="421" spans="1:5" x14ac:dyDescent="0.25">
      <c r="A421" s="2" t="s">
        <v>595</v>
      </c>
      <c r="B421" s="2" t="s">
        <v>599</v>
      </c>
      <c r="C421" s="2">
        <v>10</v>
      </c>
      <c r="D421" t="str">
        <f t="shared" si="6"/>
        <v>CA-2014-117464_OFF-ST-10003058</v>
      </c>
      <c r="E421" t="str">
        <f>IF(COUNTIF(data1!$D:$D,D421)=0,"Missing in Data1","Present")</f>
        <v>Present</v>
      </c>
    </row>
    <row r="422" spans="1:5" x14ac:dyDescent="0.25">
      <c r="A422" s="2" t="s">
        <v>6742</v>
      </c>
      <c r="B422" s="2" t="s">
        <v>211</v>
      </c>
      <c r="C422" s="2">
        <v>3</v>
      </c>
      <c r="D422" t="str">
        <f t="shared" si="6"/>
        <v>CA-2014-117478_OFF-BI-10000050</v>
      </c>
      <c r="E422" t="str">
        <f>IF(COUNTIF(data1!$D:$D,D422)=0,"Missing in Data1","Present")</f>
        <v>Missing in Data1</v>
      </c>
    </row>
    <row r="423" spans="1:5" x14ac:dyDescent="0.25">
      <c r="A423" s="2" t="s">
        <v>600</v>
      </c>
      <c r="B423" s="2" t="s">
        <v>601</v>
      </c>
      <c r="C423" s="2">
        <v>7</v>
      </c>
      <c r="D423" t="str">
        <f t="shared" si="6"/>
        <v>CA-2014-117639_OFF-BI-10003925</v>
      </c>
      <c r="E423" t="str">
        <f>IF(COUNTIF(data1!$D:$D,D423)=0,"Missing in Data1","Present")</f>
        <v>Present</v>
      </c>
    </row>
    <row r="424" spans="1:5" x14ac:dyDescent="0.25">
      <c r="A424" s="2" t="s">
        <v>600</v>
      </c>
      <c r="B424" s="2" t="s">
        <v>602</v>
      </c>
      <c r="C424" s="2">
        <v>3</v>
      </c>
      <c r="D424" t="str">
        <f t="shared" si="6"/>
        <v>CA-2014-117639_TEC-PH-10001530</v>
      </c>
      <c r="E424" t="str">
        <f>IF(COUNTIF(data1!$D:$D,D424)=0,"Missing in Data1","Present")</f>
        <v>Present</v>
      </c>
    </row>
    <row r="425" spans="1:5" x14ac:dyDescent="0.25">
      <c r="A425" s="2" t="s">
        <v>603</v>
      </c>
      <c r="B425" s="2" t="s">
        <v>604</v>
      </c>
      <c r="C425" s="2">
        <v>4</v>
      </c>
      <c r="D425" t="str">
        <f t="shared" si="6"/>
        <v>CA-2014-117709_OFF-BI-10001294</v>
      </c>
      <c r="E425" t="str">
        <f>IF(COUNTIF(data1!$D:$D,D425)=0,"Missing in Data1","Present")</f>
        <v>Present</v>
      </c>
    </row>
    <row r="426" spans="1:5" x14ac:dyDescent="0.25">
      <c r="A426" s="2" t="s">
        <v>605</v>
      </c>
      <c r="B426" s="2" t="s">
        <v>472</v>
      </c>
      <c r="C426" s="2">
        <v>2</v>
      </c>
      <c r="D426" t="str">
        <f t="shared" si="6"/>
        <v>CA-2014-117765_FUR-CH-10004698</v>
      </c>
      <c r="E426" t="str">
        <f>IF(COUNTIF(data1!$D:$D,D426)=0,"Missing in Data1","Present")</f>
        <v>Present</v>
      </c>
    </row>
    <row r="427" spans="1:5" x14ac:dyDescent="0.25">
      <c r="A427" s="2" t="s">
        <v>605</v>
      </c>
      <c r="B427" s="2" t="s">
        <v>183</v>
      </c>
      <c r="C427" s="2">
        <v>5</v>
      </c>
      <c r="D427" t="str">
        <f t="shared" si="6"/>
        <v>CA-2014-117765_FUR-TA-10001039</v>
      </c>
      <c r="E427" t="str">
        <f>IF(COUNTIF(data1!$D:$D,D427)=0,"Missing in Data1","Present")</f>
        <v>Present</v>
      </c>
    </row>
    <row r="428" spans="1:5" x14ac:dyDescent="0.25">
      <c r="A428" s="2" t="s">
        <v>605</v>
      </c>
      <c r="B428" s="2" t="s">
        <v>606</v>
      </c>
      <c r="C428" s="2">
        <v>2</v>
      </c>
      <c r="D428" t="str">
        <f t="shared" si="6"/>
        <v>CA-2014-117765_OFF-BI-10000474</v>
      </c>
      <c r="E428" t="str">
        <f>IF(COUNTIF(data1!$D:$D,D428)=0,"Missing in Data1","Present")</f>
        <v>Present</v>
      </c>
    </row>
    <row r="429" spans="1:5" x14ac:dyDescent="0.25">
      <c r="A429" s="2" t="s">
        <v>605</v>
      </c>
      <c r="B429" s="2" t="s">
        <v>607</v>
      </c>
      <c r="C429" s="2">
        <v>2</v>
      </c>
      <c r="D429" t="str">
        <f t="shared" si="6"/>
        <v>CA-2014-117765_OFF-ST-10003327</v>
      </c>
      <c r="E429" t="str">
        <f>IF(COUNTIF(data1!$D:$D,D429)=0,"Missing in Data1","Present")</f>
        <v>Present</v>
      </c>
    </row>
    <row r="430" spans="1:5" x14ac:dyDescent="0.25">
      <c r="A430" s="2" t="s">
        <v>608</v>
      </c>
      <c r="B430" s="2" t="s">
        <v>609</v>
      </c>
      <c r="C430" s="2">
        <v>2</v>
      </c>
      <c r="D430" t="str">
        <f t="shared" si="6"/>
        <v>CA-2014-118192_OFF-BI-10003476</v>
      </c>
      <c r="E430" t="str">
        <f>IF(COUNTIF(data1!$D:$D,D430)=0,"Missing in Data1","Present")</f>
        <v>Present</v>
      </c>
    </row>
    <row r="431" spans="1:5" x14ac:dyDescent="0.25">
      <c r="A431" s="2" t="s">
        <v>608</v>
      </c>
      <c r="B431" s="2" t="s">
        <v>610</v>
      </c>
      <c r="C431" s="2">
        <v>7</v>
      </c>
      <c r="D431" t="str">
        <f t="shared" si="6"/>
        <v>CA-2014-118192_OFF-PA-10002947</v>
      </c>
      <c r="E431" t="str">
        <f>IF(COUNTIF(data1!$D:$D,D431)=0,"Missing in Data1","Present")</f>
        <v>Present</v>
      </c>
    </row>
    <row r="432" spans="1:5" x14ac:dyDescent="0.25">
      <c r="A432" s="2" t="s">
        <v>611</v>
      </c>
      <c r="B432" s="2" t="s">
        <v>612</v>
      </c>
      <c r="C432" s="2">
        <v>3</v>
      </c>
      <c r="D432" t="str">
        <f t="shared" si="6"/>
        <v>CA-2014-118276_FUR-FU-10002111</v>
      </c>
      <c r="E432" t="str">
        <f>IF(COUNTIF(data1!$D:$D,D432)=0,"Missing in Data1","Present")</f>
        <v>Present</v>
      </c>
    </row>
    <row r="433" spans="1:5" x14ac:dyDescent="0.25">
      <c r="A433" s="2" t="s">
        <v>613</v>
      </c>
      <c r="B433" s="2" t="s">
        <v>614</v>
      </c>
      <c r="C433" s="2">
        <v>2</v>
      </c>
      <c r="D433" t="str">
        <f t="shared" si="6"/>
        <v>CA-2014-118304_TEC-PH-10000376</v>
      </c>
      <c r="E433" t="str">
        <f>IF(COUNTIF(data1!$D:$D,D433)=0,"Missing in Data1","Present")</f>
        <v>Present</v>
      </c>
    </row>
    <row r="434" spans="1:5" x14ac:dyDescent="0.25">
      <c r="A434" s="2" t="s">
        <v>615</v>
      </c>
      <c r="B434" s="2" t="s">
        <v>616</v>
      </c>
      <c r="C434" s="2">
        <v>2</v>
      </c>
      <c r="D434" t="str">
        <f t="shared" si="6"/>
        <v>CA-2014-118339_OFF-AP-10001154</v>
      </c>
      <c r="E434" t="str">
        <f>IF(COUNTIF(data1!$D:$D,D434)=0,"Missing in Data1","Present")</f>
        <v>Present</v>
      </c>
    </row>
    <row r="435" spans="1:5" x14ac:dyDescent="0.25">
      <c r="A435" s="2" t="s">
        <v>615</v>
      </c>
      <c r="B435" s="2" t="s">
        <v>617</v>
      </c>
      <c r="C435" s="2">
        <v>6</v>
      </c>
      <c r="D435" t="str">
        <f t="shared" si="6"/>
        <v>CA-2014-118339_OFF-AR-10003829</v>
      </c>
      <c r="E435" t="str">
        <f>IF(COUNTIF(data1!$D:$D,D435)=0,"Missing in Data1","Present")</f>
        <v>Present</v>
      </c>
    </row>
    <row r="436" spans="1:5" x14ac:dyDescent="0.25">
      <c r="A436" s="2" t="s">
        <v>615</v>
      </c>
      <c r="B436" s="2" t="s">
        <v>618</v>
      </c>
      <c r="C436" s="2">
        <v>6</v>
      </c>
      <c r="D436" t="str">
        <f t="shared" si="6"/>
        <v>CA-2014-118339_OFF-BI-10000136</v>
      </c>
      <c r="E436" t="str">
        <f>IF(COUNTIF(data1!$D:$D,D436)=0,"Missing in Data1","Present")</f>
        <v>Present</v>
      </c>
    </row>
    <row r="437" spans="1:5" x14ac:dyDescent="0.25">
      <c r="A437" s="2" t="s">
        <v>615</v>
      </c>
      <c r="B437" s="2" t="s">
        <v>619</v>
      </c>
      <c r="C437" s="2">
        <v>10</v>
      </c>
      <c r="D437" t="str">
        <f t="shared" si="6"/>
        <v>CA-2014-118339_OFF-BI-10001758</v>
      </c>
      <c r="E437" t="str">
        <f>IF(COUNTIF(data1!$D:$D,D437)=0,"Missing in Data1","Present")</f>
        <v>Present</v>
      </c>
    </row>
    <row r="438" spans="1:5" x14ac:dyDescent="0.25">
      <c r="A438" s="2" t="s">
        <v>615</v>
      </c>
      <c r="B438" s="2" t="s">
        <v>288</v>
      </c>
      <c r="C438" s="2">
        <v>7</v>
      </c>
      <c r="D438" t="str">
        <f t="shared" si="6"/>
        <v>CA-2014-118339_OFF-PA-10000466</v>
      </c>
      <c r="E438" t="str">
        <f>IF(COUNTIF(data1!$D:$D,D438)=0,"Missing in Data1","Present")</f>
        <v>Present</v>
      </c>
    </row>
    <row r="439" spans="1:5" x14ac:dyDescent="0.25">
      <c r="A439" s="2" t="s">
        <v>620</v>
      </c>
      <c r="B439" s="2" t="s">
        <v>621</v>
      </c>
      <c r="C439" s="2">
        <v>7</v>
      </c>
      <c r="D439" t="str">
        <f t="shared" si="6"/>
        <v>CA-2014-118962_FUR-CH-10003817</v>
      </c>
      <c r="E439" t="str">
        <f>IF(COUNTIF(data1!$D:$D,D439)=0,"Missing in Data1","Present")</f>
        <v>Present</v>
      </c>
    </row>
    <row r="440" spans="1:5" x14ac:dyDescent="0.25">
      <c r="A440" s="2" t="s">
        <v>620</v>
      </c>
      <c r="B440" s="2" t="s">
        <v>622</v>
      </c>
      <c r="C440" s="2">
        <v>3</v>
      </c>
      <c r="D440" t="str">
        <f t="shared" si="6"/>
        <v>CA-2014-118962_OFF-PA-10000659</v>
      </c>
      <c r="E440" t="str">
        <f>IF(COUNTIF(data1!$D:$D,D440)=0,"Missing in Data1","Present")</f>
        <v>Present</v>
      </c>
    </row>
    <row r="441" spans="1:5" x14ac:dyDescent="0.25">
      <c r="A441" s="2" t="s">
        <v>620</v>
      </c>
      <c r="B441" s="2" t="s">
        <v>623</v>
      </c>
      <c r="C441" s="2">
        <v>2</v>
      </c>
      <c r="D441" t="str">
        <f t="shared" si="6"/>
        <v>CA-2014-118962_OFF-PA-10001144</v>
      </c>
      <c r="E441" t="str">
        <f>IF(COUNTIF(data1!$D:$D,D441)=0,"Missing in Data1","Present")</f>
        <v>Present</v>
      </c>
    </row>
    <row r="442" spans="1:5" x14ac:dyDescent="0.25">
      <c r="A442" s="2" t="s">
        <v>624</v>
      </c>
      <c r="B442" s="2" t="s">
        <v>625</v>
      </c>
      <c r="C442" s="2">
        <v>2</v>
      </c>
      <c r="D442" t="str">
        <f t="shared" si="6"/>
        <v>CA-2014-118976_OFF-AR-10004752</v>
      </c>
      <c r="E442" t="str">
        <f>IF(COUNTIF(data1!$D:$D,D442)=0,"Missing in Data1","Present")</f>
        <v>Present</v>
      </c>
    </row>
    <row r="443" spans="1:5" x14ac:dyDescent="0.25">
      <c r="A443" s="2" t="s">
        <v>624</v>
      </c>
      <c r="B443" s="2" t="s">
        <v>627</v>
      </c>
      <c r="C443" s="2">
        <v>1</v>
      </c>
      <c r="D443" t="str">
        <f t="shared" si="6"/>
        <v>CA-2014-118976_OFF-LA-10000452</v>
      </c>
      <c r="E443" t="str">
        <f>IF(COUNTIF(data1!$D:$D,D443)=0,"Missing in Data1","Present")</f>
        <v>Present</v>
      </c>
    </row>
    <row r="444" spans="1:5" x14ac:dyDescent="0.25">
      <c r="A444" s="2" t="s">
        <v>624</v>
      </c>
      <c r="B444" s="2" t="s">
        <v>628</v>
      </c>
      <c r="C444" s="2">
        <v>9</v>
      </c>
      <c r="D444" t="str">
        <f t="shared" si="6"/>
        <v>CA-2014-118976_OFF-ST-10000877</v>
      </c>
      <c r="E444" t="str">
        <f>IF(COUNTIF(data1!$D:$D,D444)=0,"Missing in Data1","Present")</f>
        <v>Present</v>
      </c>
    </row>
    <row r="445" spans="1:5" x14ac:dyDescent="0.25">
      <c r="A445" s="2" t="s">
        <v>629</v>
      </c>
      <c r="B445" s="2" t="s">
        <v>96</v>
      </c>
      <c r="C445" s="2">
        <v>2</v>
      </c>
      <c r="D445" t="str">
        <f t="shared" si="6"/>
        <v>CA-2014-119032_OFF-FA-10003021</v>
      </c>
      <c r="E445" t="str">
        <f>IF(COUNTIF(data1!$D:$D,D445)=0,"Missing in Data1","Present")</f>
        <v>Present</v>
      </c>
    </row>
    <row r="446" spans="1:5" x14ac:dyDescent="0.25">
      <c r="A446" s="2" t="s">
        <v>630</v>
      </c>
      <c r="B446" s="2" t="s">
        <v>631</v>
      </c>
      <c r="C446" s="2">
        <v>3</v>
      </c>
      <c r="D446" t="str">
        <f t="shared" si="6"/>
        <v>CA-2014-119144_FUR-BO-10004015</v>
      </c>
      <c r="E446" t="str">
        <f>IF(COUNTIF(data1!$D:$D,D446)=0,"Missing in Data1","Present")</f>
        <v>Present</v>
      </c>
    </row>
    <row r="447" spans="1:5" x14ac:dyDescent="0.25">
      <c r="A447" s="2" t="s">
        <v>630</v>
      </c>
      <c r="B447" s="2" t="s">
        <v>632</v>
      </c>
      <c r="C447" s="2">
        <v>3</v>
      </c>
      <c r="D447" t="str">
        <f t="shared" si="6"/>
        <v>CA-2014-119144_OFF-ST-10000991</v>
      </c>
      <c r="E447" t="str">
        <f>IF(COUNTIF(data1!$D:$D,D447)=0,"Missing in Data1","Present")</f>
        <v>Present</v>
      </c>
    </row>
    <row r="448" spans="1:5" x14ac:dyDescent="0.25">
      <c r="A448" s="2" t="s">
        <v>630</v>
      </c>
      <c r="B448" s="2" t="s">
        <v>633</v>
      </c>
      <c r="C448" s="2">
        <v>4</v>
      </c>
      <c r="D448" t="str">
        <f t="shared" si="6"/>
        <v>CA-2014-119144_TEC-PH-10004188</v>
      </c>
      <c r="E448" t="str">
        <f>IF(COUNTIF(data1!$D:$D,D448)=0,"Missing in Data1","Present")</f>
        <v>Present</v>
      </c>
    </row>
    <row r="449" spans="1:5" x14ac:dyDescent="0.25">
      <c r="A449" s="2" t="s">
        <v>634</v>
      </c>
      <c r="B449" s="2" t="s">
        <v>635</v>
      </c>
      <c r="C449" s="2">
        <v>3</v>
      </c>
      <c r="D449" t="str">
        <f t="shared" si="6"/>
        <v>CA-2014-119151_FUR-BO-10003159</v>
      </c>
      <c r="E449" t="str">
        <f>IF(COUNTIF(data1!$D:$D,D449)=0,"Missing in Data1","Present")</f>
        <v>Present</v>
      </c>
    </row>
    <row r="450" spans="1:5" x14ac:dyDescent="0.25">
      <c r="A450" s="2" t="s">
        <v>634</v>
      </c>
      <c r="B450" s="2" t="s">
        <v>304</v>
      </c>
      <c r="C450" s="2">
        <v>4</v>
      </c>
      <c r="D450" t="str">
        <f t="shared" si="6"/>
        <v>CA-2014-119151_OFF-ST-10003470</v>
      </c>
      <c r="E450" t="str">
        <f>IF(COUNTIF(data1!$D:$D,D450)=0,"Missing in Data1","Present")</f>
        <v>Present</v>
      </c>
    </row>
    <row r="451" spans="1:5" x14ac:dyDescent="0.25">
      <c r="A451" s="2" t="s">
        <v>636</v>
      </c>
      <c r="B451" s="2" t="s">
        <v>637</v>
      </c>
      <c r="C451" s="2">
        <v>9</v>
      </c>
      <c r="D451" t="str">
        <f t="shared" ref="D451:D514" si="7">A451&amp;"_"&amp;B451</f>
        <v>CA-2014-119172_OFF-BI-10002026</v>
      </c>
      <c r="E451" t="str">
        <f>IF(COUNTIF(data1!$D:$D,D451)=0,"Missing in Data1","Present")</f>
        <v>Present</v>
      </c>
    </row>
    <row r="452" spans="1:5" x14ac:dyDescent="0.25">
      <c r="A452" s="2" t="s">
        <v>638</v>
      </c>
      <c r="B452" s="2" t="s">
        <v>639</v>
      </c>
      <c r="C452" s="2">
        <v>3</v>
      </c>
      <c r="D452" t="str">
        <f t="shared" si="7"/>
        <v>CA-2014-119375_FUR-FU-10002379</v>
      </c>
      <c r="E452" t="str">
        <f>IF(COUNTIF(data1!$D:$D,D452)=0,"Missing in Data1","Present")</f>
        <v>Present</v>
      </c>
    </row>
    <row r="453" spans="1:5" x14ac:dyDescent="0.25">
      <c r="A453" s="2" t="s">
        <v>638</v>
      </c>
      <c r="B453" s="2" t="s">
        <v>640</v>
      </c>
      <c r="C453" s="2">
        <v>5</v>
      </c>
      <c r="D453" t="str">
        <f t="shared" si="7"/>
        <v>CA-2014-119375_OFF-AR-10003752</v>
      </c>
      <c r="E453" t="str">
        <f>IF(COUNTIF(data1!$D:$D,D453)=0,"Missing in Data1","Present")</f>
        <v>Present</v>
      </c>
    </row>
    <row r="454" spans="1:5" x14ac:dyDescent="0.25">
      <c r="A454" s="2" t="s">
        <v>642</v>
      </c>
      <c r="B454" s="2" t="s">
        <v>643</v>
      </c>
      <c r="C454" s="2">
        <v>2</v>
      </c>
      <c r="D454" t="str">
        <f t="shared" si="7"/>
        <v>CA-2014-119466_FUR-FU-10001546</v>
      </c>
      <c r="E454" t="str">
        <f>IF(COUNTIF(data1!$D:$D,D454)=0,"Missing in Data1","Present")</f>
        <v>Present</v>
      </c>
    </row>
    <row r="455" spans="1:5" x14ac:dyDescent="0.25">
      <c r="A455" s="2" t="s">
        <v>6743</v>
      </c>
      <c r="B455" s="2" t="s">
        <v>1636</v>
      </c>
      <c r="C455" s="2">
        <v>2</v>
      </c>
      <c r="D455" t="str">
        <f t="shared" si="7"/>
        <v>CA-2014-119529_OFF-BI-10000546</v>
      </c>
      <c r="E455" t="str">
        <f>IF(COUNTIF(data1!$D:$D,D455)=0,"Missing in Data1","Present")</f>
        <v>Missing in Data1</v>
      </c>
    </row>
    <row r="456" spans="1:5" x14ac:dyDescent="0.25">
      <c r="A456" s="2" t="s">
        <v>644</v>
      </c>
      <c r="B456" s="2" t="s">
        <v>645</v>
      </c>
      <c r="C456" s="2">
        <v>4</v>
      </c>
      <c r="D456" t="str">
        <f t="shared" si="7"/>
        <v>CA-2014-119977_OFF-PA-10003823</v>
      </c>
      <c r="E456" t="str">
        <f>IF(COUNTIF(data1!$D:$D,D456)=0,"Missing in Data1","Present")</f>
        <v>Present</v>
      </c>
    </row>
    <row r="457" spans="1:5" x14ac:dyDescent="0.25">
      <c r="A457" s="2" t="s">
        <v>646</v>
      </c>
      <c r="B457" s="2" t="s">
        <v>647</v>
      </c>
      <c r="C457" s="2">
        <v>2</v>
      </c>
      <c r="D457" t="str">
        <f t="shared" si="7"/>
        <v>CA-2014-120096_OFF-AP-10000692</v>
      </c>
      <c r="E457" t="str">
        <f>IF(COUNTIF(data1!$D:$D,D457)=0,"Missing in Data1","Present")</f>
        <v>Present</v>
      </c>
    </row>
    <row r="458" spans="1:5" x14ac:dyDescent="0.25">
      <c r="A458" s="2" t="s">
        <v>646</v>
      </c>
      <c r="B458" s="2" t="s">
        <v>92</v>
      </c>
      <c r="C458" s="2">
        <v>4</v>
      </c>
      <c r="D458" t="str">
        <f t="shared" si="7"/>
        <v>CA-2014-120096_OFF-PA-10001977</v>
      </c>
      <c r="E458" t="str">
        <f>IF(COUNTIF(data1!$D:$D,D458)=0,"Missing in Data1","Present")</f>
        <v>Present</v>
      </c>
    </row>
    <row r="459" spans="1:5" x14ac:dyDescent="0.25">
      <c r="A459" s="2" t="s">
        <v>648</v>
      </c>
      <c r="B459" s="2" t="s">
        <v>153</v>
      </c>
      <c r="C459" s="2">
        <v>4</v>
      </c>
      <c r="D459" t="str">
        <f t="shared" si="7"/>
        <v>CA-2014-120243_OFF-LA-10004425</v>
      </c>
      <c r="E459" t="str">
        <f>IF(COUNTIF(data1!$D:$D,D459)=0,"Missing in Data1","Present")</f>
        <v>Present</v>
      </c>
    </row>
    <row r="460" spans="1:5" x14ac:dyDescent="0.25">
      <c r="A460" s="2" t="s">
        <v>649</v>
      </c>
      <c r="B460" s="2" t="s">
        <v>650</v>
      </c>
      <c r="C460" s="2">
        <v>6</v>
      </c>
      <c r="D460" t="str">
        <f t="shared" si="7"/>
        <v>CA-2014-120278_OFF-AP-10001293</v>
      </c>
      <c r="E460" t="str">
        <f>IF(COUNTIF(data1!$D:$D,D460)=0,"Missing in Data1","Present")</f>
        <v>Present</v>
      </c>
    </row>
    <row r="461" spans="1:5" x14ac:dyDescent="0.25">
      <c r="A461" s="2" t="s">
        <v>649</v>
      </c>
      <c r="B461" s="2" t="s">
        <v>651</v>
      </c>
      <c r="C461" s="2">
        <v>3</v>
      </c>
      <c r="D461" t="str">
        <f t="shared" si="7"/>
        <v>CA-2014-120278_OFF-BI-10004970</v>
      </c>
      <c r="E461" t="str">
        <f>IF(COUNTIF(data1!$D:$D,D461)=0,"Missing in Data1","Present")</f>
        <v>Present</v>
      </c>
    </row>
    <row r="462" spans="1:5" x14ac:dyDescent="0.25">
      <c r="A462" s="2" t="s">
        <v>649</v>
      </c>
      <c r="B462" s="2" t="s">
        <v>178</v>
      </c>
      <c r="C462" s="2">
        <v>3</v>
      </c>
      <c r="D462" t="str">
        <f t="shared" si="7"/>
        <v>CA-2014-120278_OFF-ST-10004258</v>
      </c>
      <c r="E462" t="str">
        <f>IF(COUNTIF(data1!$D:$D,D462)=0,"Missing in Data1","Present")</f>
        <v>Present</v>
      </c>
    </row>
    <row r="463" spans="1:5" x14ac:dyDescent="0.25">
      <c r="A463" s="2" t="s">
        <v>653</v>
      </c>
      <c r="B463" s="2" t="s">
        <v>427</v>
      </c>
      <c r="C463" s="2">
        <v>5</v>
      </c>
      <c r="D463" t="str">
        <f t="shared" si="7"/>
        <v>CA-2014-120411_FUR-BO-10004218</v>
      </c>
      <c r="E463" t="str">
        <f>IF(COUNTIF(data1!$D:$D,D463)=0,"Missing in Data1","Present")</f>
        <v>Present</v>
      </c>
    </row>
    <row r="464" spans="1:5" x14ac:dyDescent="0.25">
      <c r="A464" s="2" t="s">
        <v>653</v>
      </c>
      <c r="B464" s="2" t="s">
        <v>654</v>
      </c>
      <c r="C464" s="2">
        <v>2</v>
      </c>
      <c r="D464" t="str">
        <f t="shared" si="7"/>
        <v>CA-2014-120411_TEC-PH-10002185</v>
      </c>
      <c r="E464" t="str">
        <f>IF(COUNTIF(data1!$D:$D,D464)=0,"Missing in Data1","Present")</f>
        <v>Present</v>
      </c>
    </row>
    <row r="465" spans="1:5" x14ac:dyDescent="0.25">
      <c r="A465" s="2" t="s">
        <v>655</v>
      </c>
      <c r="B465" s="2" t="s">
        <v>656</v>
      </c>
      <c r="C465" s="2">
        <v>3</v>
      </c>
      <c r="D465" t="str">
        <f t="shared" si="7"/>
        <v>CA-2014-120432_OFF-SU-10004661</v>
      </c>
      <c r="E465" t="str">
        <f>IF(COUNTIF(data1!$D:$D,D465)=0,"Missing in Data1","Present")</f>
        <v>Present</v>
      </c>
    </row>
    <row r="466" spans="1:5" x14ac:dyDescent="0.25">
      <c r="A466" s="2" t="s">
        <v>657</v>
      </c>
      <c r="B466" s="2" t="s">
        <v>658</v>
      </c>
      <c r="C466" s="2">
        <v>8</v>
      </c>
      <c r="D466" t="str">
        <f t="shared" si="7"/>
        <v>CA-2014-120474_FUR-CH-10001854</v>
      </c>
      <c r="E466" t="str">
        <f>IF(COUNTIF(data1!$D:$D,D466)=0,"Missing in Data1","Present")</f>
        <v>Present</v>
      </c>
    </row>
    <row r="467" spans="1:5" x14ac:dyDescent="0.25">
      <c r="A467" s="2" t="s">
        <v>657</v>
      </c>
      <c r="B467" s="2" t="s">
        <v>659</v>
      </c>
      <c r="C467" s="2">
        <v>4</v>
      </c>
      <c r="D467" t="str">
        <f t="shared" si="7"/>
        <v>CA-2014-120474_OFF-AR-10000475</v>
      </c>
      <c r="E467" t="str">
        <f>IF(COUNTIF(data1!$D:$D,D467)=0,"Missing in Data1","Present")</f>
        <v>Present</v>
      </c>
    </row>
    <row r="468" spans="1:5" x14ac:dyDescent="0.25">
      <c r="A468" s="2" t="s">
        <v>660</v>
      </c>
      <c r="B468" s="2" t="s">
        <v>661</v>
      </c>
      <c r="C468" s="2">
        <v>2</v>
      </c>
      <c r="D468" t="str">
        <f t="shared" si="7"/>
        <v>CA-2014-120544_FUR-FU-10001940</v>
      </c>
      <c r="E468" t="str">
        <f>IF(COUNTIF(data1!$D:$D,D468)=0,"Missing in Data1","Present")</f>
        <v>Present</v>
      </c>
    </row>
    <row r="469" spans="1:5" x14ac:dyDescent="0.25">
      <c r="A469" s="2" t="s">
        <v>660</v>
      </c>
      <c r="B469" s="2" t="s">
        <v>662</v>
      </c>
      <c r="C469" s="2">
        <v>3</v>
      </c>
      <c r="D469" t="str">
        <f t="shared" si="7"/>
        <v>CA-2014-120544_OFF-AP-10004336</v>
      </c>
      <c r="E469" t="str">
        <f>IF(COUNTIF(data1!$D:$D,D469)=0,"Missing in Data1","Present")</f>
        <v>Present</v>
      </c>
    </row>
    <row r="470" spans="1:5" x14ac:dyDescent="0.25">
      <c r="A470" s="2" t="s">
        <v>660</v>
      </c>
      <c r="B470" s="2" t="s">
        <v>553</v>
      </c>
      <c r="C470" s="2">
        <v>7</v>
      </c>
      <c r="D470" t="str">
        <f t="shared" si="7"/>
        <v>CA-2014-120544_TEC-AC-10003709</v>
      </c>
      <c r="E470" t="str">
        <f>IF(COUNTIF(data1!$D:$D,D470)=0,"Missing in Data1","Present")</f>
        <v>Present</v>
      </c>
    </row>
    <row r="471" spans="1:5" x14ac:dyDescent="0.25">
      <c r="A471" s="2" t="s">
        <v>663</v>
      </c>
      <c r="B471" s="2" t="s">
        <v>457</v>
      </c>
      <c r="C471" s="2">
        <v>10</v>
      </c>
      <c r="D471" t="str">
        <f t="shared" si="7"/>
        <v>CA-2014-120670_TEC-AC-10004171</v>
      </c>
      <c r="E471" t="str">
        <f>IF(COUNTIF(data1!$D:$D,D471)=0,"Missing in Data1","Present")</f>
        <v>Present</v>
      </c>
    </row>
    <row r="472" spans="1:5" x14ac:dyDescent="0.25">
      <c r="A472" s="2" t="s">
        <v>664</v>
      </c>
      <c r="B472" s="2" t="s">
        <v>665</v>
      </c>
      <c r="C472" s="2">
        <v>14</v>
      </c>
      <c r="D472" t="str">
        <f t="shared" si="7"/>
        <v>CA-2014-120768_FUR-CH-10000513</v>
      </c>
      <c r="E472" t="str">
        <f>IF(COUNTIF(data1!$D:$D,D472)=0,"Missing in Data1","Present")</f>
        <v>Present</v>
      </c>
    </row>
    <row r="473" spans="1:5" x14ac:dyDescent="0.25">
      <c r="A473" s="2" t="s">
        <v>664</v>
      </c>
      <c r="B473" s="2" t="s">
        <v>666</v>
      </c>
      <c r="C473" s="2">
        <v>6</v>
      </c>
      <c r="D473" t="str">
        <f t="shared" si="7"/>
        <v>CA-2014-120768_OFF-BI-10001191</v>
      </c>
      <c r="E473" t="str">
        <f>IF(COUNTIF(data1!$D:$D,D473)=0,"Missing in Data1","Present")</f>
        <v>Present</v>
      </c>
    </row>
    <row r="474" spans="1:5" x14ac:dyDescent="0.25">
      <c r="A474" s="2" t="s">
        <v>664</v>
      </c>
      <c r="B474" s="2" t="s">
        <v>667</v>
      </c>
      <c r="C474" s="2">
        <v>1</v>
      </c>
      <c r="D474" t="str">
        <f t="shared" si="7"/>
        <v>CA-2014-120768_OFF-SU-10004115</v>
      </c>
      <c r="E474" t="str">
        <f>IF(COUNTIF(data1!$D:$D,D474)=0,"Missing in Data1","Present")</f>
        <v>Present</v>
      </c>
    </row>
    <row r="475" spans="1:5" x14ac:dyDescent="0.25">
      <c r="A475" s="2" t="s">
        <v>668</v>
      </c>
      <c r="B475" s="2" t="s">
        <v>669</v>
      </c>
      <c r="C475" s="2">
        <v>3</v>
      </c>
      <c r="D475" t="str">
        <f t="shared" si="7"/>
        <v>CA-2014-120775_FUR-FU-10000758</v>
      </c>
      <c r="E475" t="str">
        <f>IF(COUNTIF(data1!$D:$D,D475)=0,"Missing in Data1","Present")</f>
        <v>Present</v>
      </c>
    </row>
    <row r="476" spans="1:5" x14ac:dyDescent="0.25">
      <c r="A476" s="2" t="s">
        <v>668</v>
      </c>
      <c r="B476" s="2" t="s">
        <v>459</v>
      </c>
      <c r="C476" s="2">
        <v>3</v>
      </c>
      <c r="D476" t="str">
        <f t="shared" si="7"/>
        <v>CA-2014-120775_OFF-BI-10002609</v>
      </c>
      <c r="E476" t="str">
        <f>IF(COUNTIF(data1!$D:$D,D476)=0,"Missing in Data1","Present")</f>
        <v>Present</v>
      </c>
    </row>
    <row r="477" spans="1:5" x14ac:dyDescent="0.25">
      <c r="A477" s="2" t="s">
        <v>668</v>
      </c>
      <c r="B477" s="2" t="s">
        <v>670</v>
      </c>
      <c r="C477" s="2">
        <v>4</v>
      </c>
      <c r="D477" t="str">
        <f t="shared" si="7"/>
        <v>CA-2014-120775_OFF-FA-10000254</v>
      </c>
      <c r="E477" t="str">
        <f>IF(COUNTIF(data1!$D:$D,D477)=0,"Missing in Data1","Present")</f>
        <v>Present</v>
      </c>
    </row>
    <row r="478" spans="1:5" x14ac:dyDescent="0.25">
      <c r="A478" s="2" t="s">
        <v>668</v>
      </c>
      <c r="B478" s="2" t="s">
        <v>420</v>
      </c>
      <c r="C478" s="2">
        <v>3</v>
      </c>
      <c r="D478" t="str">
        <f t="shared" si="7"/>
        <v>CA-2014-120775_OFF-FA-10002676</v>
      </c>
      <c r="E478" t="str">
        <f>IF(COUNTIF(data1!$D:$D,D478)=0,"Missing in Data1","Present")</f>
        <v>Present</v>
      </c>
    </row>
    <row r="479" spans="1:5" x14ac:dyDescent="0.25">
      <c r="A479" s="2" t="s">
        <v>668</v>
      </c>
      <c r="B479" s="2" t="s">
        <v>671</v>
      </c>
      <c r="C479" s="2">
        <v>2</v>
      </c>
      <c r="D479" t="str">
        <f t="shared" si="7"/>
        <v>CA-2014-120775_OFF-LA-10002271</v>
      </c>
      <c r="E479" t="str">
        <f>IF(COUNTIF(data1!$D:$D,D479)=0,"Missing in Data1","Present")</f>
        <v>Present</v>
      </c>
    </row>
    <row r="480" spans="1:5" x14ac:dyDescent="0.25">
      <c r="A480" s="2" t="s">
        <v>672</v>
      </c>
      <c r="B480" s="2" t="s">
        <v>254</v>
      </c>
      <c r="C480" s="2">
        <v>2</v>
      </c>
      <c r="D480" t="str">
        <f t="shared" si="7"/>
        <v>CA-2014-120838_OFF-ST-10000585</v>
      </c>
      <c r="E480" t="str">
        <f>IF(COUNTIF(data1!$D:$D,D480)=0,"Missing in Data1","Present")</f>
        <v>Present</v>
      </c>
    </row>
    <row r="481" spans="1:5" x14ac:dyDescent="0.25">
      <c r="A481" s="2" t="s">
        <v>672</v>
      </c>
      <c r="B481" s="2" t="s">
        <v>673</v>
      </c>
      <c r="C481" s="2">
        <v>6</v>
      </c>
      <c r="D481" t="str">
        <f t="shared" si="7"/>
        <v>CA-2014-120838_TEC-PH-10003484</v>
      </c>
      <c r="E481" t="str">
        <f>IF(COUNTIF(data1!$D:$D,D481)=0,"Missing in Data1","Present")</f>
        <v>Present</v>
      </c>
    </row>
    <row r="482" spans="1:5" x14ac:dyDescent="0.25">
      <c r="A482" s="2" t="s">
        <v>674</v>
      </c>
      <c r="B482" s="2" t="s">
        <v>675</v>
      </c>
      <c r="C482" s="2">
        <v>2</v>
      </c>
      <c r="D482" t="str">
        <f t="shared" si="7"/>
        <v>CA-2014-120852_OFF-AP-10001563</v>
      </c>
      <c r="E482" t="str">
        <f>IF(COUNTIF(data1!$D:$D,D482)=0,"Missing in Data1","Present")</f>
        <v>Present</v>
      </c>
    </row>
    <row r="483" spans="1:5" x14ac:dyDescent="0.25">
      <c r="A483" s="2" t="s">
        <v>674</v>
      </c>
      <c r="B483" s="2" t="s">
        <v>676</v>
      </c>
      <c r="C483" s="2">
        <v>5</v>
      </c>
      <c r="D483" t="str">
        <f t="shared" si="7"/>
        <v>CA-2014-120852_TEC-AC-10004510</v>
      </c>
      <c r="E483" t="str">
        <f>IF(COUNTIF(data1!$D:$D,D483)=0,"Missing in Data1","Present")</f>
        <v>Present</v>
      </c>
    </row>
    <row r="484" spans="1:5" x14ac:dyDescent="0.25">
      <c r="A484" s="2" t="s">
        <v>6744</v>
      </c>
      <c r="B484" s="2" t="s">
        <v>282</v>
      </c>
      <c r="C484" s="2">
        <v>6</v>
      </c>
      <c r="D484" t="str">
        <f t="shared" si="7"/>
        <v>CA-2014-120950_OFF-PA-10000587</v>
      </c>
      <c r="E484" t="str">
        <f>IF(COUNTIF(data1!$D:$D,D484)=0,"Missing in Data1","Present")</f>
        <v>Missing in Data1</v>
      </c>
    </row>
    <row r="485" spans="1:5" x14ac:dyDescent="0.25">
      <c r="A485" s="2" t="s">
        <v>679</v>
      </c>
      <c r="B485" s="2" t="s">
        <v>680</v>
      </c>
      <c r="C485" s="2">
        <v>3</v>
      </c>
      <c r="D485" t="str">
        <f t="shared" si="7"/>
        <v>CA-2014-121006_FUR-CH-10004997</v>
      </c>
      <c r="E485" t="str">
        <f>IF(COUNTIF(data1!$D:$D,D485)=0,"Missing in Data1","Present")</f>
        <v>Present</v>
      </c>
    </row>
    <row r="486" spans="1:5" x14ac:dyDescent="0.25">
      <c r="A486" s="2" t="s">
        <v>679</v>
      </c>
      <c r="B486" s="2" t="s">
        <v>681</v>
      </c>
      <c r="C486" s="2">
        <v>2</v>
      </c>
      <c r="D486" t="str">
        <f t="shared" si="7"/>
        <v>CA-2014-121006_OFF-AR-10001149</v>
      </c>
      <c r="E486" t="str">
        <f>IF(COUNTIF(data1!$D:$D,D486)=0,"Missing in Data1","Present")</f>
        <v>Present</v>
      </c>
    </row>
    <row r="487" spans="1:5" x14ac:dyDescent="0.25">
      <c r="A487" s="2" t="s">
        <v>679</v>
      </c>
      <c r="B487" s="2" t="s">
        <v>6125</v>
      </c>
      <c r="C487" s="2">
        <v>3</v>
      </c>
      <c r="D487" t="str">
        <f t="shared" si="7"/>
        <v>CA-2014-121006_OFF-PA-10000130</v>
      </c>
      <c r="E487" t="str">
        <f>IF(COUNTIF(data1!$D:$D,D487)=0,"Missing in Data1","Present")</f>
        <v>Missing in Data1</v>
      </c>
    </row>
    <row r="488" spans="1:5" x14ac:dyDescent="0.25">
      <c r="A488" s="2" t="s">
        <v>679</v>
      </c>
      <c r="B488" s="2" t="s">
        <v>682</v>
      </c>
      <c r="C488" s="2">
        <v>3</v>
      </c>
      <c r="D488" t="str">
        <f t="shared" si="7"/>
        <v>CA-2014-121006_OFF-PA-10002479</v>
      </c>
      <c r="E488" t="str">
        <f>IF(COUNTIF(data1!$D:$D,D488)=0,"Missing in Data1","Present")</f>
        <v>Present</v>
      </c>
    </row>
    <row r="489" spans="1:5" x14ac:dyDescent="0.25">
      <c r="A489" s="2" t="s">
        <v>679</v>
      </c>
      <c r="B489" s="2" t="s">
        <v>34</v>
      </c>
      <c r="C489" s="2">
        <v>3</v>
      </c>
      <c r="D489" t="str">
        <f t="shared" si="7"/>
        <v>CA-2014-121006_OFF-ST-10001490</v>
      </c>
      <c r="E489" t="str">
        <f>IF(COUNTIF(data1!$D:$D,D489)=0,"Missing in Data1","Present")</f>
        <v>Present</v>
      </c>
    </row>
    <row r="490" spans="1:5" x14ac:dyDescent="0.25">
      <c r="A490" s="2" t="s">
        <v>679</v>
      </c>
      <c r="B490" s="2" t="s">
        <v>45</v>
      </c>
      <c r="C490" s="2">
        <v>3</v>
      </c>
      <c r="D490" t="str">
        <f t="shared" si="7"/>
        <v>CA-2014-121006_OFF-ST-10004950</v>
      </c>
      <c r="E490" t="str">
        <f>IF(COUNTIF(data1!$D:$D,D490)=0,"Missing in Data1","Present")</f>
        <v>Present</v>
      </c>
    </row>
    <row r="491" spans="1:5" x14ac:dyDescent="0.25">
      <c r="A491" s="2" t="s">
        <v>683</v>
      </c>
      <c r="B491" s="2" t="s">
        <v>206</v>
      </c>
      <c r="C491" s="2">
        <v>2</v>
      </c>
      <c r="D491" t="str">
        <f t="shared" si="7"/>
        <v>CA-2014-121167_OFF-BI-10003676</v>
      </c>
      <c r="E491" t="str">
        <f>IF(COUNTIF(data1!$D:$D,D491)=0,"Missing in Data1","Present")</f>
        <v>Present</v>
      </c>
    </row>
    <row r="492" spans="1:5" x14ac:dyDescent="0.25">
      <c r="A492" s="2" t="s">
        <v>684</v>
      </c>
      <c r="B492" s="2" t="s">
        <v>1618</v>
      </c>
      <c r="C492" s="2">
        <v>5</v>
      </c>
      <c r="D492" t="str">
        <f t="shared" si="7"/>
        <v>CA-2014-121286_OFF-AP-10004859</v>
      </c>
      <c r="E492" t="str">
        <f>IF(COUNTIF(data1!$D:$D,D492)=0,"Missing in Data1","Present")</f>
        <v>Missing in Data1</v>
      </c>
    </row>
    <row r="493" spans="1:5" x14ac:dyDescent="0.25">
      <c r="A493" s="2" t="s">
        <v>684</v>
      </c>
      <c r="B493" s="2" t="s">
        <v>685</v>
      </c>
      <c r="C493" s="2">
        <v>3</v>
      </c>
      <c r="D493" t="str">
        <f t="shared" si="7"/>
        <v>CA-2014-121286_OFF-FA-10000585</v>
      </c>
      <c r="E493" t="str">
        <f>IF(COUNTIF(data1!$D:$D,D493)=0,"Missing in Data1","Present")</f>
        <v>Present</v>
      </c>
    </row>
    <row r="494" spans="1:5" x14ac:dyDescent="0.25">
      <c r="A494" s="2" t="s">
        <v>686</v>
      </c>
      <c r="B494" s="2" t="s">
        <v>687</v>
      </c>
      <c r="C494" s="2">
        <v>2</v>
      </c>
      <c r="D494" t="str">
        <f t="shared" si="7"/>
        <v>CA-2014-121573_OFF-BI-10000666</v>
      </c>
      <c r="E494" t="str">
        <f>IF(COUNTIF(data1!$D:$D,D494)=0,"Missing in Data1","Present")</f>
        <v>Present</v>
      </c>
    </row>
    <row r="495" spans="1:5" x14ac:dyDescent="0.25">
      <c r="A495" s="2" t="s">
        <v>686</v>
      </c>
      <c r="B495" s="2" t="s">
        <v>688</v>
      </c>
      <c r="C495" s="2">
        <v>2</v>
      </c>
      <c r="D495" t="str">
        <f t="shared" si="7"/>
        <v>CA-2014-121573_OFF-BI-10003712</v>
      </c>
      <c r="E495" t="str">
        <f>IF(COUNTIF(data1!$D:$D,D495)=0,"Missing in Data1","Present")</f>
        <v>Present</v>
      </c>
    </row>
    <row r="496" spans="1:5" x14ac:dyDescent="0.25">
      <c r="A496" s="2" t="s">
        <v>686</v>
      </c>
      <c r="B496" s="2" t="s">
        <v>520</v>
      </c>
      <c r="C496" s="2">
        <v>4</v>
      </c>
      <c r="D496" t="str">
        <f t="shared" si="7"/>
        <v>CA-2014-121573_TEC-PH-10000984</v>
      </c>
      <c r="E496" t="str">
        <f>IF(COUNTIF(data1!$D:$D,D496)=0,"Missing in Data1","Present")</f>
        <v>Present</v>
      </c>
    </row>
    <row r="497" spans="1:5" x14ac:dyDescent="0.25">
      <c r="A497" s="2" t="s">
        <v>689</v>
      </c>
      <c r="B497" s="2" t="s">
        <v>690</v>
      </c>
      <c r="C497" s="2">
        <v>5</v>
      </c>
      <c r="D497" t="str">
        <f t="shared" si="7"/>
        <v>CA-2014-121629_TEC-MA-10004679</v>
      </c>
      <c r="E497" t="str">
        <f>IF(COUNTIF(data1!$D:$D,D497)=0,"Missing in Data1","Present")</f>
        <v>Present</v>
      </c>
    </row>
    <row r="498" spans="1:5" x14ac:dyDescent="0.25">
      <c r="A498" s="2" t="s">
        <v>691</v>
      </c>
      <c r="B498" s="2" t="s">
        <v>229</v>
      </c>
      <c r="C498" s="2">
        <v>8</v>
      </c>
      <c r="D498" t="str">
        <f t="shared" si="7"/>
        <v>CA-2014-121664_OFF-BI-10003684</v>
      </c>
      <c r="E498" t="str">
        <f>IF(COUNTIF(data1!$D:$D,D498)=0,"Missing in Data1","Present")</f>
        <v>Present</v>
      </c>
    </row>
    <row r="499" spans="1:5" x14ac:dyDescent="0.25">
      <c r="A499" s="2" t="s">
        <v>692</v>
      </c>
      <c r="B499" s="2" t="s">
        <v>693</v>
      </c>
      <c r="C499" s="2">
        <v>2</v>
      </c>
      <c r="D499" t="str">
        <f t="shared" si="7"/>
        <v>CA-2014-121727_OFF-AR-10004930</v>
      </c>
      <c r="E499" t="str">
        <f>IF(COUNTIF(data1!$D:$D,D499)=0,"Missing in Data1","Present")</f>
        <v>Present</v>
      </c>
    </row>
    <row r="500" spans="1:5" x14ac:dyDescent="0.25">
      <c r="A500" s="2" t="s">
        <v>694</v>
      </c>
      <c r="B500" s="2" t="s">
        <v>695</v>
      </c>
      <c r="C500" s="2">
        <v>2</v>
      </c>
      <c r="D500" t="str">
        <f t="shared" si="7"/>
        <v>CA-2014-121762_OFF-SU-10000157</v>
      </c>
      <c r="E500" t="str">
        <f>IF(COUNTIF(data1!$D:$D,D500)=0,"Missing in Data1","Present")</f>
        <v>Present</v>
      </c>
    </row>
    <row r="501" spans="1:5" x14ac:dyDescent="0.25">
      <c r="A501" s="2" t="s">
        <v>694</v>
      </c>
      <c r="B501" s="2" t="s">
        <v>440</v>
      </c>
      <c r="C501" s="2">
        <v>3</v>
      </c>
      <c r="D501" t="str">
        <f t="shared" si="7"/>
        <v>CA-2014-121762_TEC-AC-10000736</v>
      </c>
      <c r="E501" t="str">
        <f>IF(COUNTIF(data1!$D:$D,D501)=0,"Missing in Data1","Present")</f>
        <v>Missing in Data1</v>
      </c>
    </row>
    <row r="502" spans="1:5" x14ac:dyDescent="0.25">
      <c r="A502" s="2" t="s">
        <v>696</v>
      </c>
      <c r="B502" s="2" t="s">
        <v>697</v>
      </c>
      <c r="C502" s="2">
        <v>1</v>
      </c>
      <c r="D502" t="str">
        <f t="shared" si="7"/>
        <v>CA-2014-121769_FUR-TA-10004442</v>
      </c>
      <c r="E502" t="str">
        <f>IF(COUNTIF(data1!$D:$D,D502)=0,"Missing in Data1","Present")</f>
        <v>Present</v>
      </c>
    </row>
    <row r="503" spans="1:5" x14ac:dyDescent="0.25">
      <c r="A503" s="2" t="s">
        <v>698</v>
      </c>
      <c r="B503" s="2" t="s">
        <v>651</v>
      </c>
      <c r="C503" s="2">
        <v>3</v>
      </c>
      <c r="D503" t="str">
        <f t="shared" si="7"/>
        <v>CA-2014-122070_OFF-BI-10004970</v>
      </c>
      <c r="E503" t="str">
        <f>IF(COUNTIF(data1!$D:$D,D503)=0,"Missing in Data1","Present")</f>
        <v>Present</v>
      </c>
    </row>
    <row r="504" spans="1:5" x14ac:dyDescent="0.25">
      <c r="A504" s="2" t="s">
        <v>698</v>
      </c>
      <c r="B504" s="2" t="s">
        <v>699</v>
      </c>
      <c r="C504" s="2">
        <v>8</v>
      </c>
      <c r="D504" t="str">
        <f t="shared" si="7"/>
        <v>CA-2014-122070_OFF-EN-10004773</v>
      </c>
      <c r="E504" t="str">
        <f>IF(COUNTIF(data1!$D:$D,D504)=0,"Missing in Data1","Present")</f>
        <v>Present</v>
      </c>
    </row>
    <row r="505" spans="1:5" x14ac:dyDescent="0.25">
      <c r="A505" s="2" t="s">
        <v>6745</v>
      </c>
      <c r="B505" s="2" t="s">
        <v>3956</v>
      </c>
      <c r="C505" s="2">
        <v>5</v>
      </c>
      <c r="D505" t="str">
        <f t="shared" si="7"/>
        <v>CA-2014-122217_FUR-FU-10002045</v>
      </c>
      <c r="E505" t="str">
        <f>IF(COUNTIF(data1!$D:$D,D505)=0,"Missing in Data1","Present")</f>
        <v>Missing in Data1</v>
      </c>
    </row>
    <row r="506" spans="1:5" x14ac:dyDescent="0.25">
      <c r="A506" s="2" t="s">
        <v>700</v>
      </c>
      <c r="B506" s="2" t="s">
        <v>701</v>
      </c>
      <c r="C506" s="2">
        <v>4</v>
      </c>
      <c r="D506" t="str">
        <f t="shared" si="7"/>
        <v>CA-2014-122336_OFF-AR-10000122</v>
      </c>
      <c r="E506" t="str">
        <f>IF(COUNTIF(data1!$D:$D,D506)=0,"Missing in Data1","Present")</f>
        <v>Present</v>
      </c>
    </row>
    <row r="507" spans="1:5" x14ac:dyDescent="0.25">
      <c r="A507" s="2" t="s">
        <v>700</v>
      </c>
      <c r="B507" s="2" t="s">
        <v>703</v>
      </c>
      <c r="C507" s="2">
        <v>13</v>
      </c>
      <c r="D507" t="str">
        <f t="shared" si="7"/>
        <v>CA-2014-122336_OFF-FA-10002780</v>
      </c>
      <c r="E507" t="str">
        <f>IF(COUNTIF(data1!$D:$D,D507)=0,"Missing in Data1","Present")</f>
        <v>Present</v>
      </c>
    </row>
    <row r="508" spans="1:5" x14ac:dyDescent="0.25">
      <c r="A508" s="2" t="s">
        <v>700</v>
      </c>
      <c r="B508" s="2" t="s">
        <v>704</v>
      </c>
      <c r="C508" s="2">
        <v>12</v>
      </c>
      <c r="D508" t="str">
        <f t="shared" si="7"/>
        <v>CA-2014-122336_TEC-PH-10000702</v>
      </c>
      <c r="E508" t="str">
        <f>IF(COUNTIF(data1!$D:$D,D508)=0,"Missing in Data1","Present")</f>
        <v>Present</v>
      </c>
    </row>
    <row r="509" spans="1:5" x14ac:dyDescent="0.25">
      <c r="A509" s="2" t="s">
        <v>705</v>
      </c>
      <c r="B509" s="2" t="s">
        <v>706</v>
      </c>
      <c r="C509" s="2">
        <v>2</v>
      </c>
      <c r="D509" t="str">
        <f t="shared" si="7"/>
        <v>CA-2014-122567_OFF-AP-10001303</v>
      </c>
      <c r="E509" t="str">
        <f>IF(COUNTIF(data1!$D:$D,D509)=0,"Missing in Data1","Present")</f>
        <v>Present</v>
      </c>
    </row>
    <row r="510" spans="1:5" x14ac:dyDescent="0.25">
      <c r="A510" s="2" t="s">
        <v>705</v>
      </c>
      <c r="B510" s="2" t="s">
        <v>1225</v>
      </c>
      <c r="C510" s="2">
        <v>3</v>
      </c>
      <c r="D510" t="str">
        <f t="shared" si="7"/>
        <v>CA-2014-122567_OFF-BI-10002012</v>
      </c>
      <c r="E510" t="str">
        <f>IF(COUNTIF(data1!$D:$D,D510)=0,"Missing in Data1","Present")</f>
        <v>Missing in Data1</v>
      </c>
    </row>
    <row r="511" spans="1:5" x14ac:dyDescent="0.25">
      <c r="A511" s="2" t="s">
        <v>707</v>
      </c>
      <c r="B511" s="2" t="s">
        <v>538</v>
      </c>
      <c r="C511" s="2">
        <v>2</v>
      </c>
      <c r="D511" t="str">
        <f t="shared" si="7"/>
        <v>CA-2014-122588_FUR-FU-10001095</v>
      </c>
      <c r="E511" t="str">
        <f>IF(COUNTIF(data1!$D:$D,D511)=0,"Missing in Data1","Present")</f>
        <v>Present</v>
      </c>
    </row>
    <row r="512" spans="1:5" x14ac:dyDescent="0.25">
      <c r="A512" s="2" t="s">
        <v>708</v>
      </c>
      <c r="B512" s="2" t="s">
        <v>709</v>
      </c>
      <c r="C512" s="2">
        <v>3</v>
      </c>
      <c r="D512" t="str">
        <f t="shared" si="7"/>
        <v>CA-2014-122609_FUR-FU-10004587</v>
      </c>
      <c r="E512" t="str">
        <f>IF(COUNTIF(data1!$D:$D,D512)=0,"Missing in Data1","Present")</f>
        <v>Present</v>
      </c>
    </row>
    <row r="513" spans="1:5" x14ac:dyDescent="0.25">
      <c r="A513" s="2" t="s">
        <v>708</v>
      </c>
      <c r="B513" s="2" t="s">
        <v>710</v>
      </c>
      <c r="C513" s="2">
        <v>2</v>
      </c>
      <c r="D513" t="str">
        <f t="shared" si="7"/>
        <v>CA-2014-122609_TEC-AC-10002567</v>
      </c>
      <c r="E513" t="str">
        <f>IF(COUNTIF(data1!$D:$D,D513)=0,"Missing in Data1","Present")</f>
        <v>Present</v>
      </c>
    </row>
    <row r="514" spans="1:5" x14ac:dyDescent="0.25">
      <c r="A514" s="2" t="s">
        <v>711</v>
      </c>
      <c r="B514" s="2" t="s">
        <v>58</v>
      </c>
      <c r="C514" s="2">
        <v>6</v>
      </c>
      <c r="D514" t="str">
        <f t="shared" si="7"/>
        <v>CA-2014-122679_OFF-AR-10004757</v>
      </c>
      <c r="E514" t="str">
        <f>IF(COUNTIF(data1!$D:$D,D514)=0,"Missing in Data1","Present")</f>
        <v>Present</v>
      </c>
    </row>
    <row r="515" spans="1:5" x14ac:dyDescent="0.25">
      <c r="A515" s="2" t="s">
        <v>712</v>
      </c>
      <c r="B515" s="2" t="s">
        <v>713</v>
      </c>
      <c r="C515" s="2">
        <v>4</v>
      </c>
      <c r="D515" t="str">
        <f t="shared" ref="D515:D578" si="8">A515&amp;"_"&amp;B515</f>
        <v>CA-2014-122749_TEC-PH-10003811</v>
      </c>
      <c r="E515" t="str">
        <f>IF(COUNTIF(data1!$D:$D,D515)=0,"Missing in Data1","Present")</f>
        <v>Present</v>
      </c>
    </row>
    <row r="516" spans="1:5" x14ac:dyDescent="0.25">
      <c r="A516" s="2" t="s">
        <v>714</v>
      </c>
      <c r="B516" s="2" t="s">
        <v>669</v>
      </c>
      <c r="C516" s="2">
        <v>2</v>
      </c>
      <c r="D516" t="str">
        <f t="shared" si="8"/>
        <v>CA-2014-122882_FUR-FU-10000758</v>
      </c>
      <c r="E516" t="str">
        <f>IF(COUNTIF(data1!$D:$D,D516)=0,"Missing in Data1","Present")</f>
        <v>Present</v>
      </c>
    </row>
    <row r="517" spans="1:5" x14ac:dyDescent="0.25">
      <c r="A517" s="2" t="s">
        <v>714</v>
      </c>
      <c r="B517" s="2" t="s">
        <v>715</v>
      </c>
      <c r="C517" s="2">
        <v>1</v>
      </c>
      <c r="D517" t="str">
        <f t="shared" si="8"/>
        <v>CA-2014-122882_OFF-ST-10002344</v>
      </c>
      <c r="E517" t="str">
        <f>IF(COUNTIF(data1!$D:$D,D517)=0,"Missing in Data1","Present")</f>
        <v>Present</v>
      </c>
    </row>
    <row r="518" spans="1:5" x14ac:dyDescent="0.25">
      <c r="A518" s="2" t="s">
        <v>714</v>
      </c>
      <c r="B518" s="2" t="s">
        <v>690</v>
      </c>
      <c r="C518" s="2">
        <v>4</v>
      </c>
      <c r="D518" t="str">
        <f t="shared" si="8"/>
        <v>CA-2014-122882_TEC-MA-10004679</v>
      </c>
      <c r="E518" t="str">
        <f>IF(COUNTIF(data1!$D:$D,D518)=0,"Missing in Data1","Present")</f>
        <v>Present</v>
      </c>
    </row>
    <row r="519" spans="1:5" x14ac:dyDescent="0.25">
      <c r="A519" s="2" t="s">
        <v>714</v>
      </c>
      <c r="B519" s="2" t="s">
        <v>716</v>
      </c>
      <c r="C519" s="2">
        <v>3</v>
      </c>
      <c r="D519" t="str">
        <f t="shared" si="8"/>
        <v>CA-2014-122882_TEC-PH-10003589</v>
      </c>
      <c r="E519" t="str">
        <f>IF(COUNTIF(data1!$D:$D,D519)=0,"Missing in Data1","Present")</f>
        <v>Present</v>
      </c>
    </row>
    <row r="520" spans="1:5" x14ac:dyDescent="0.25">
      <c r="A520" s="2" t="s">
        <v>717</v>
      </c>
      <c r="B520" s="2" t="s">
        <v>718</v>
      </c>
      <c r="C520" s="2">
        <v>1</v>
      </c>
      <c r="D520" t="str">
        <f t="shared" si="8"/>
        <v>CA-2014-122931_FUR-TA-10004147</v>
      </c>
      <c r="E520" t="str">
        <f>IF(COUNTIF(data1!$D:$D,D520)=0,"Missing in Data1","Present")</f>
        <v>Present</v>
      </c>
    </row>
    <row r="521" spans="1:5" x14ac:dyDescent="0.25">
      <c r="A521" s="2" t="s">
        <v>717</v>
      </c>
      <c r="B521" s="2" t="s">
        <v>584</v>
      </c>
      <c r="C521" s="2">
        <v>2</v>
      </c>
      <c r="D521" t="str">
        <f t="shared" si="8"/>
        <v>CA-2014-122931_FUR-TA-10004175</v>
      </c>
      <c r="E521" t="str">
        <f>IF(COUNTIF(data1!$D:$D,D521)=0,"Missing in Data1","Present")</f>
        <v>Present</v>
      </c>
    </row>
    <row r="522" spans="1:5" x14ac:dyDescent="0.25">
      <c r="A522" s="2" t="s">
        <v>717</v>
      </c>
      <c r="B522" s="2" t="s">
        <v>719</v>
      </c>
      <c r="C522" s="2">
        <v>3</v>
      </c>
      <c r="D522" t="str">
        <f t="shared" si="8"/>
        <v>CA-2014-122931_OFF-AR-10003469</v>
      </c>
      <c r="E522" t="str">
        <f>IF(COUNTIF(data1!$D:$D,D522)=0,"Missing in Data1","Present")</f>
        <v>Present</v>
      </c>
    </row>
    <row r="523" spans="1:5" x14ac:dyDescent="0.25">
      <c r="A523" s="2" t="s">
        <v>717</v>
      </c>
      <c r="B523" s="2" t="s">
        <v>720</v>
      </c>
      <c r="C523" s="2">
        <v>11</v>
      </c>
      <c r="D523" t="str">
        <f t="shared" si="8"/>
        <v>CA-2014-122931_OFF-LA-10002945</v>
      </c>
      <c r="E523" t="str">
        <f>IF(COUNTIF(data1!$D:$D,D523)=0,"Missing in Data1","Present")</f>
        <v>Present</v>
      </c>
    </row>
    <row r="524" spans="1:5" x14ac:dyDescent="0.25">
      <c r="A524" s="2" t="s">
        <v>717</v>
      </c>
      <c r="B524" s="2" t="s">
        <v>721</v>
      </c>
      <c r="C524" s="2">
        <v>4</v>
      </c>
      <c r="D524" t="str">
        <f t="shared" si="8"/>
        <v>CA-2014-122931_OFF-PA-10000533</v>
      </c>
      <c r="E524" t="str">
        <f>IF(COUNTIF(data1!$D:$D,D524)=0,"Missing in Data1","Present")</f>
        <v>Present</v>
      </c>
    </row>
    <row r="525" spans="1:5" x14ac:dyDescent="0.25">
      <c r="A525" s="2" t="s">
        <v>717</v>
      </c>
      <c r="B525" s="2" t="s">
        <v>1514</v>
      </c>
      <c r="C525" s="2">
        <v>6</v>
      </c>
      <c r="D525" t="str">
        <f t="shared" si="8"/>
        <v>CA-2014-122931_OFF-ST-10004459</v>
      </c>
      <c r="E525" t="str">
        <f>IF(COUNTIF(data1!$D:$D,D525)=0,"Missing in Data1","Present")</f>
        <v>Missing in Data1</v>
      </c>
    </row>
    <row r="526" spans="1:5" x14ac:dyDescent="0.25">
      <c r="A526" s="2" t="s">
        <v>722</v>
      </c>
      <c r="B526" s="2" t="s">
        <v>723</v>
      </c>
      <c r="C526" s="2">
        <v>4</v>
      </c>
      <c r="D526" t="str">
        <f t="shared" si="8"/>
        <v>CA-2014-123064_OFF-AR-10004582</v>
      </c>
      <c r="E526" t="str">
        <f>IF(COUNTIF(data1!$D:$D,D526)=0,"Missing in Data1","Present")</f>
        <v>Present</v>
      </c>
    </row>
    <row r="527" spans="1:5" x14ac:dyDescent="0.25">
      <c r="A527" s="2" t="s">
        <v>724</v>
      </c>
      <c r="B527" s="2" t="s">
        <v>725</v>
      </c>
      <c r="C527" s="2">
        <v>2</v>
      </c>
      <c r="D527" t="str">
        <f t="shared" si="8"/>
        <v>CA-2014-123127_OFF-AP-10001962</v>
      </c>
      <c r="E527" t="str">
        <f>IF(COUNTIF(data1!$D:$D,D527)=0,"Missing in Data1","Present")</f>
        <v>Present</v>
      </c>
    </row>
    <row r="528" spans="1:5" x14ac:dyDescent="0.25">
      <c r="A528" s="2" t="s">
        <v>726</v>
      </c>
      <c r="B528" s="2" t="s">
        <v>727</v>
      </c>
      <c r="C528" s="2">
        <v>2</v>
      </c>
      <c r="D528" t="str">
        <f t="shared" si="8"/>
        <v>CA-2014-123225_OFF-PA-10000552</v>
      </c>
      <c r="E528" t="str">
        <f>IF(COUNTIF(data1!$D:$D,D528)=0,"Missing in Data1","Present")</f>
        <v>Present</v>
      </c>
    </row>
    <row r="529" spans="1:5" x14ac:dyDescent="0.25">
      <c r="A529" s="2" t="s">
        <v>726</v>
      </c>
      <c r="B529" s="2" t="s">
        <v>148</v>
      </c>
      <c r="C529" s="2">
        <v>4</v>
      </c>
      <c r="D529" t="str">
        <f t="shared" si="8"/>
        <v>CA-2014-123225_TEC-PH-10000895</v>
      </c>
      <c r="E529" t="str">
        <f>IF(COUNTIF(data1!$D:$D,D529)=0,"Missing in Data1","Present")</f>
        <v>Present</v>
      </c>
    </row>
    <row r="530" spans="1:5" x14ac:dyDescent="0.25">
      <c r="A530" s="2" t="s">
        <v>730</v>
      </c>
      <c r="B530" s="2" t="s">
        <v>731</v>
      </c>
      <c r="C530" s="2">
        <v>8</v>
      </c>
      <c r="D530" t="str">
        <f t="shared" si="8"/>
        <v>CA-2014-123260_TEC-AC-10002323</v>
      </c>
      <c r="E530" t="str">
        <f>IF(COUNTIF(data1!$D:$D,D530)=0,"Missing in Data1","Present")</f>
        <v>Present</v>
      </c>
    </row>
    <row r="531" spans="1:5" x14ac:dyDescent="0.25">
      <c r="A531" s="2" t="s">
        <v>732</v>
      </c>
      <c r="B531" s="2" t="s">
        <v>733</v>
      </c>
      <c r="C531" s="2">
        <v>4</v>
      </c>
      <c r="D531" t="str">
        <f t="shared" si="8"/>
        <v>CA-2014-123295_FUR-CH-10002372</v>
      </c>
      <c r="E531" t="str">
        <f>IF(COUNTIF(data1!$D:$D,D531)=0,"Missing in Data1","Present")</f>
        <v>Present</v>
      </c>
    </row>
    <row r="532" spans="1:5" x14ac:dyDescent="0.25">
      <c r="A532" s="2" t="s">
        <v>734</v>
      </c>
      <c r="B532" s="2" t="s">
        <v>735</v>
      </c>
      <c r="C532" s="2">
        <v>3</v>
      </c>
      <c r="D532" t="str">
        <f t="shared" si="8"/>
        <v>CA-2014-123316_OFF-BI-10002764</v>
      </c>
      <c r="E532" t="str">
        <f>IF(COUNTIF(data1!$D:$D,D532)=0,"Missing in Data1","Present")</f>
        <v>Present</v>
      </c>
    </row>
    <row r="533" spans="1:5" x14ac:dyDescent="0.25">
      <c r="A533" s="2" t="s">
        <v>6746</v>
      </c>
      <c r="B533" s="2" t="s">
        <v>229</v>
      </c>
      <c r="C533" s="2">
        <v>7</v>
      </c>
      <c r="D533" t="str">
        <f t="shared" si="8"/>
        <v>CA-2014-123323_OFF-BI-10003684</v>
      </c>
      <c r="E533" t="str">
        <f>IF(COUNTIF(data1!$D:$D,D533)=0,"Missing in Data1","Present")</f>
        <v>Missing in Data1</v>
      </c>
    </row>
    <row r="534" spans="1:5" x14ac:dyDescent="0.25">
      <c r="A534" s="2" t="s">
        <v>6747</v>
      </c>
      <c r="B534" s="2" t="s">
        <v>1347</v>
      </c>
      <c r="C534" s="2">
        <v>4</v>
      </c>
      <c r="D534" t="str">
        <f t="shared" si="8"/>
        <v>CA-2014-123344_OFF-ST-10001713</v>
      </c>
      <c r="E534" t="str">
        <f>IF(COUNTIF(data1!$D:$D,D534)=0,"Missing in Data1","Present")</f>
        <v>Missing in Data1</v>
      </c>
    </row>
    <row r="535" spans="1:5" x14ac:dyDescent="0.25">
      <c r="A535" s="2" t="s">
        <v>736</v>
      </c>
      <c r="B535" s="2" t="s">
        <v>687</v>
      </c>
      <c r="C535" s="2">
        <v>2</v>
      </c>
      <c r="D535" t="str">
        <f t="shared" si="8"/>
        <v>CA-2014-123400_OFF-BI-10000666</v>
      </c>
      <c r="E535" t="str">
        <f>IF(COUNTIF(data1!$D:$D,D535)=0,"Missing in Data1","Present")</f>
        <v>Present</v>
      </c>
    </row>
    <row r="536" spans="1:5" x14ac:dyDescent="0.25">
      <c r="A536" s="2" t="s">
        <v>736</v>
      </c>
      <c r="B536" s="2" t="s">
        <v>737</v>
      </c>
      <c r="C536" s="2">
        <v>5</v>
      </c>
      <c r="D536" t="str">
        <f t="shared" si="8"/>
        <v>CA-2014-123400_TEC-PH-10002890</v>
      </c>
      <c r="E536" t="str">
        <f>IF(COUNTIF(data1!$D:$D,D536)=0,"Missing in Data1","Present")</f>
        <v>Present</v>
      </c>
    </row>
    <row r="537" spans="1:5" x14ac:dyDescent="0.25">
      <c r="A537" s="2" t="s">
        <v>738</v>
      </c>
      <c r="B537" s="2" t="s">
        <v>647</v>
      </c>
      <c r="C537" s="2">
        <v>4</v>
      </c>
      <c r="D537" t="str">
        <f t="shared" si="8"/>
        <v>CA-2014-123477_OFF-AP-10000692</v>
      </c>
      <c r="E537" t="str">
        <f>IF(COUNTIF(data1!$D:$D,D537)=0,"Missing in Data1","Present")</f>
        <v>Present</v>
      </c>
    </row>
    <row r="538" spans="1:5" x14ac:dyDescent="0.25">
      <c r="A538" s="2" t="s">
        <v>739</v>
      </c>
      <c r="B538" s="2" t="s">
        <v>699</v>
      </c>
      <c r="C538" s="2">
        <v>3</v>
      </c>
      <c r="D538" t="str">
        <f t="shared" si="8"/>
        <v>CA-2014-123498_OFF-EN-10004773</v>
      </c>
      <c r="E538" t="str">
        <f>IF(COUNTIF(data1!$D:$D,D538)=0,"Missing in Data1","Present")</f>
        <v>Missing in Data1</v>
      </c>
    </row>
    <row r="539" spans="1:5" x14ac:dyDescent="0.25">
      <c r="A539" s="2" t="s">
        <v>741</v>
      </c>
      <c r="B539" s="2" t="s">
        <v>742</v>
      </c>
      <c r="C539" s="2">
        <v>5</v>
      </c>
      <c r="D539" t="str">
        <f t="shared" si="8"/>
        <v>CA-2014-123855_TEC-PH-10000215</v>
      </c>
      <c r="E539" t="str">
        <f>IF(COUNTIF(data1!$D:$D,D539)=0,"Missing in Data1","Present")</f>
        <v>Present</v>
      </c>
    </row>
    <row r="540" spans="1:5" x14ac:dyDescent="0.25">
      <c r="A540" s="2" t="s">
        <v>743</v>
      </c>
      <c r="B540" s="2" t="s">
        <v>744</v>
      </c>
      <c r="C540" s="2">
        <v>3</v>
      </c>
      <c r="D540" t="str">
        <f t="shared" si="8"/>
        <v>CA-2014-123925_OFF-AR-10002952</v>
      </c>
      <c r="E540" t="str">
        <f>IF(COUNTIF(data1!$D:$D,D540)=0,"Missing in Data1","Present")</f>
        <v>Present</v>
      </c>
    </row>
    <row r="541" spans="1:5" x14ac:dyDescent="0.25">
      <c r="A541" s="2" t="s">
        <v>745</v>
      </c>
      <c r="B541" s="2" t="s">
        <v>746</v>
      </c>
      <c r="C541" s="2">
        <v>2</v>
      </c>
      <c r="D541" t="str">
        <f t="shared" si="8"/>
        <v>CA-2014-124023_FUR-FU-10004415</v>
      </c>
      <c r="E541" t="str">
        <f>IF(COUNTIF(data1!$D:$D,D541)=0,"Missing in Data1","Present")</f>
        <v>Present</v>
      </c>
    </row>
    <row r="542" spans="1:5" x14ac:dyDescent="0.25">
      <c r="A542" s="2" t="s">
        <v>747</v>
      </c>
      <c r="B542" s="2" t="s">
        <v>748</v>
      </c>
      <c r="C542" s="2">
        <v>3</v>
      </c>
      <c r="D542" t="str">
        <f t="shared" si="8"/>
        <v>CA-2014-124079_FUR-FU-10002553</v>
      </c>
      <c r="E542" t="str">
        <f>IF(COUNTIF(data1!$D:$D,D542)=0,"Missing in Data1","Present")</f>
        <v>Present</v>
      </c>
    </row>
    <row r="543" spans="1:5" x14ac:dyDescent="0.25">
      <c r="A543" s="2" t="s">
        <v>747</v>
      </c>
      <c r="B543" s="2" t="s">
        <v>275</v>
      </c>
      <c r="C543" s="2">
        <v>2</v>
      </c>
      <c r="D543" t="str">
        <f t="shared" si="8"/>
        <v>CA-2014-124079_OFF-BI-10002103</v>
      </c>
      <c r="E543" t="str">
        <f>IF(COUNTIF(data1!$D:$D,D543)=0,"Missing in Data1","Present")</f>
        <v>Present</v>
      </c>
    </row>
    <row r="544" spans="1:5" x14ac:dyDescent="0.25">
      <c r="A544" s="2" t="s">
        <v>749</v>
      </c>
      <c r="B544" s="2" t="s">
        <v>658</v>
      </c>
      <c r="C544" s="2">
        <v>5</v>
      </c>
      <c r="D544" t="str">
        <f t="shared" si="8"/>
        <v>CA-2014-124247_FUR-CH-10001854</v>
      </c>
      <c r="E544" t="str">
        <f>IF(COUNTIF(data1!$D:$D,D544)=0,"Missing in Data1","Present")</f>
        <v>Present</v>
      </c>
    </row>
    <row r="545" spans="1:5" x14ac:dyDescent="0.25">
      <c r="A545" s="2" t="s">
        <v>750</v>
      </c>
      <c r="B545" s="2" t="s">
        <v>206</v>
      </c>
      <c r="C545" s="2">
        <v>5</v>
      </c>
      <c r="D545" t="str">
        <f t="shared" si="8"/>
        <v>CA-2014-124394_OFF-BI-10003676</v>
      </c>
      <c r="E545" t="str">
        <f>IF(COUNTIF(data1!$D:$D,D545)=0,"Missing in Data1","Present")</f>
        <v>Present</v>
      </c>
    </row>
    <row r="546" spans="1:5" x14ac:dyDescent="0.25">
      <c r="A546" s="2" t="s">
        <v>750</v>
      </c>
      <c r="B546" s="2" t="s">
        <v>109</v>
      </c>
      <c r="C546" s="2">
        <v>3</v>
      </c>
      <c r="D546" t="str">
        <f t="shared" si="8"/>
        <v>CA-2014-124394_TEC-AC-10001314</v>
      </c>
      <c r="E546" t="str">
        <f>IF(COUNTIF(data1!$D:$D,D546)=0,"Missing in Data1","Present")</f>
        <v>Present</v>
      </c>
    </row>
    <row r="547" spans="1:5" x14ac:dyDescent="0.25">
      <c r="A547" s="2" t="s">
        <v>751</v>
      </c>
      <c r="B547" s="2" t="s">
        <v>752</v>
      </c>
      <c r="C547" s="2">
        <v>10</v>
      </c>
      <c r="D547" t="str">
        <f t="shared" si="8"/>
        <v>CA-2014-124429_FUR-TA-10002607</v>
      </c>
      <c r="E547" t="str">
        <f>IF(COUNTIF(data1!$D:$D,D547)=0,"Missing in Data1","Present")</f>
        <v>Present</v>
      </c>
    </row>
    <row r="548" spans="1:5" x14ac:dyDescent="0.25">
      <c r="A548" s="2" t="s">
        <v>751</v>
      </c>
      <c r="B548" s="2" t="s">
        <v>465</v>
      </c>
      <c r="C548" s="2">
        <v>4</v>
      </c>
      <c r="D548" t="str">
        <f t="shared" si="8"/>
        <v>CA-2014-124429_OFF-ST-10001809</v>
      </c>
      <c r="E548" t="str">
        <f>IF(COUNTIF(data1!$D:$D,D548)=0,"Missing in Data1","Present")</f>
        <v>Present</v>
      </c>
    </row>
    <row r="549" spans="1:5" x14ac:dyDescent="0.25">
      <c r="A549" s="2" t="s">
        <v>753</v>
      </c>
      <c r="B549" s="2" t="s">
        <v>754</v>
      </c>
      <c r="C549" s="2">
        <v>1</v>
      </c>
      <c r="D549" t="str">
        <f t="shared" si="8"/>
        <v>CA-2014-124464_OFF-AP-10000576</v>
      </c>
      <c r="E549" t="str">
        <f>IF(COUNTIF(data1!$D:$D,D549)=0,"Missing in Data1","Present")</f>
        <v>Present</v>
      </c>
    </row>
    <row r="550" spans="1:5" x14ac:dyDescent="0.25">
      <c r="A550" s="2" t="s">
        <v>755</v>
      </c>
      <c r="B550" s="2" t="s">
        <v>756</v>
      </c>
      <c r="C550" s="2">
        <v>6</v>
      </c>
      <c r="D550" t="str">
        <f t="shared" si="8"/>
        <v>CA-2014-124478_FUR-FU-10002088</v>
      </c>
      <c r="E550" t="str">
        <f>IF(COUNTIF(data1!$D:$D,D550)=0,"Missing in Data1","Present")</f>
        <v>Present</v>
      </c>
    </row>
    <row r="551" spans="1:5" x14ac:dyDescent="0.25">
      <c r="A551" s="2" t="s">
        <v>755</v>
      </c>
      <c r="B551" s="2" t="s">
        <v>757</v>
      </c>
      <c r="C551" s="2">
        <v>3</v>
      </c>
      <c r="D551" t="str">
        <f t="shared" si="8"/>
        <v>CA-2014-124478_OFF-AP-10002495</v>
      </c>
      <c r="E551" t="str">
        <f>IF(COUNTIF(data1!$D:$D,D551)=0,"Missing in Data1","Present")</f>
        <v>Present</v>
      </c>
    </row>
    <row r="552" spans="1:5" x14ac:dyDescent="0.25">
      <c r="A552" s="2" t="s">
        <v>755</v>
      </c>
      <c r="B552" s="2" t="s">
        <v>758</v>
      </c>
      <c r="C552" s="2">
        <v>3</v>
      </c>
      <c r="D552" t="str">
        <f t="shared" si="8"/>
        <v>CA-2014-124478_OFF-EN-10002500</v>
      </c>
      <c r="E552" t="str">
        <f>IF(COUNTIF(data1!$D:$D,D552)=0,"Missing in Data1","Present")</f>
        <v>Present</v>
      </c>
    </row>
    <row r="553" spans="1:5" x14ac:dyDescent="0.25">
      <c r="A553" s="2" t="s">
        <v>755</v>
      </c>
      <c r="B553" s="2" t="s">
        <v>759</v>
      </c>
      <c r="C553" s="2">
        <v>1</v>
      </c>
      <c r="D553" t="str">
        <f t="shared" si="8"/>
        <v>CA-2014-124478_TEC-CO-10001571</v>
      </c>
      <c r="E553" t="str">
        <f>IF(COUNTIF(data1!$D:$D,D553)=0,"Missing in Data1","Present")</f>
        <v>Present</v>
      </c>
    </row>
    <row r="554" spans="1:5" x14ac:dyDescent="0.25">
      <c r="A554" s="2" t="s">
        <v>755</v>
      </c>
      <c r="B554" s="2" t="s">
        <v>141</v>
      </c>
      <c r="C554" s="2">
        <v>2</v>
      </c>
      <c r="D554" t="str">
        <f t="shared" si="8"/>
        <v>CA-2014-124478_TEC-PH-10001128</v>
      </c>
      <c r="E554" t="str">
        <f>IF(COUNTIF(data1!$D:$D,D554)=0,"Missing in Data1","Present")</f>
        <v>Present</v>
      </c>
    </row>
    <row r="555" spans="1:5" x14ac:dyDescent="0.25">
      <c r="A555" s="2" t="s">
        <v>6748</v>
      </c>
      <c r="B555" s="2" t="s">
        <v>4092</v>
      </c>
      <c r="C555" s="2">
        <v>3</v>
      </c>
      <c r="D555" t="str">
        <f t="shared" si="8"/>
        <v>CA-2014-124513_OFF-AR-10002956</v>
      </c>
      <c r="E555" t="str">
        <f>IF(COUNTIF(data1!$D:$D,D555)=0,"Missing in Data1","Present")</f>
        <v>Missing in Data1</v>
      </c>
    </row>
    <row r="556" spans="1:5" x14ac:dyDescent="0.25">
      <c r="A556" s="2" t="s">
        <v>760</v>
      </c>
      <c r="B556" s="2" t="s">
        <v>761</v>
      </c>
      <c r="C556" s="2">
        <v>2</v>
      </c>
      <c r="D556" t="str">
        <f t="shared" si="8"/>
        <v>CA-2014-124618_TEC-CO-10004202</v>
      </c>
      <c r="E556" t="str">
        <f>IF(COUNTIF(data1!$D:$D,D556)=0,"Missing in Data1","Present")</f>
        <v>Present</v>
      </c>
    </row>
    <row r="557" spans="1:5" x14ac:dyDescent="0.25">
      <c r="A557" s="2" t="s">
        <v>762</v>
      </c>
      <c r="B557" s="2" t="s">
        <v>763</v>
      </c>
      <c r="C557" s="2">
        <v>3</v>
      </c>
      <c r="D557" t="str">
        <f t="shared" si="8"/>
        <v>CA-2014-124646_OFF-ST-10001097</v>
      </c>
      <c r="E557" t="str">
        <f>IF(COUNTIF(data1!$D:$D,D557)=0,"Missing in Data1","Present")</f>
        <v>Present</v>
      </c>
    </row>
    <row r="558" spans="1:5" x14ac:dyDescent="0.25">
      <c r="A558" s="2" t="s">
        <v>762</v>
      </c>
      <c r="B558" s="2" t="s">
        <v>764</v>
      </c>
      <c r="C558" s="2">
        <v>3</v>
      </c>
      <c r="D558" t="str">
        <f t="shared" si="8"/>
        <v>CA-2014-124646_OFF-ST-10001469</v>
      </c>
      <c r="E558" t="str">
        <f>IF(COUNTIF(data1!$D:$D,D558)=0,"Missing in Data1","Present")</f>
        <v>Present</v>
      </c>
    </row>
    <row r="559" spans="1:5" x14ac:dyDescent="0.25">
      <c r="A559" s="2" t="s">
        <v>765</v>
      </c>
      <c r="B559" s="2" t="s">
        <v>100</v>
      </c>
      <c r="C559" s="2">
        <v>4</v>
      </c>
      <c r="D559" t="str">
        <f t="shared" si="8"/>
        <v>CA-2014-124688_FUR-FU-10002456</v>
      </c>
      <c r="E559" t="str">
        <f>IF(COUNTIF(data1!$D:$D,D559)=0,"Missing in Data1","Present")</f>
        <v>Present</v>
      </c>
    </row>
    <row r="560" spans="1:5" x14ac:dyDescent="0.25">
      <c r="A560" s="2" t="s">
        <v>765</v>
      </c>
      <c r="B560" s="2" t="s">
        <v>766</v>
      </c>
      <c r="C560" s="2">
        <v>3</v>
      </c>
      <c r="D560" t="str">
        <f t="shared" si="8"/>
        <v>CA-2014-124688_FUR-TA-10003569</v>
      </c>
      <c r="E560" t="str">
        <f>IF(COUNTIF(data1!$D:$D,D560)=0,"Missing in Data1","Present")</f>
        <v>Present</v>
      </c>
    </row>
    <row r="561" spans="1:5" x14ac:dyDescent="0.25">
      <c r="A561" s="2" t="s">
        <v>765</v>
      </c>
      <c r="B561" s="2" t="s">
        <v>767</v>
      </c>
      <c r="C561" s="2">
        <v>5</v>
      </c>
      <c r="D561" t="str">
        <f t="shared" si="8"/>
        <v>CA-2014-124688_TEC-PH-10000455</v>
      </c>
      <c r="E561" t="str">
        <f>IF(COUNTIF(data1!$D:$D,D561)=0,"Missing in Data1","Present")</f>
        <v>Present</v>
      </c>
    </row>
    <row r="562" spans="1:5" x14ac:dyDescent="0.25">
      <c r="A562" s="2" t="s">
        <v>768</v>
      </c>
      <c r="B562" s="2" t="s">
        <v>769</v>
      </c>
      <c r="C562" s="2">
        <v>2</v>
      </c>
      <c r="D562" t="str">
        <f t="shared" si="8"/>
        <v>CA-2014-124702_FUR-FU-10003553</v>
      </c>
      <c r="E562" t="str">
        <f>IF(COUNTIF(data1!$D:$D,D562)=0,"Missing in Data1","Present")</f>
        <v>Present</v>
      </c>
    </row>
    <row r="563" spans="1:5" x14ac:dyDescent="0.25">
      <c r="A563" s="2" t="s">
        <v>768</v>
      </c>
      <c r="B563" s="2" t="s">
        <v>770</v>
      </c>
      <c r="C563" s="2">
        <v>4</v>
      </c>
      <c r="D563" t="str">
        <f t="shared" si="8"/>
        <v>CA-2014-124702_FUR-TA-10003008</v>
      </c>
      <c r="E563" t="str">
        <f>IF(COUNTIF(data1!$D:$D,D563)=0,"Missing in Data1","Present")</f>
        <v>Present</v>
      </c>
    </row>
    <row r="564" spans="1:5" x14ac:dyDescent="0.25">
      <c r="A564" s="2" t="s">
        <v>771</v>
      </c>
      <c r="B564" s="2" t="s">
        <v>345</v>
      </c>
      <c r="C564" s="2">
        <v>2</v>
      </c>
      <c r="D564" t="str">
        <f t="shared" si="8"/>
        <v>CA-2014-124709_TEC-AC-10002842</v>
      </c>
      <c r="E564" t="str">
        <f>IF(COUNTIF(data1!$D:$D,D564)=0,"Missing in Data1","Present")</f>
        <v>Present</v>
      </c>
    </row>
    <row r="565" spans="1:5" x14ac:dyDescent="0.25">
      <c r="A565" s="2" t="s">
        <v>6749</v>
      </c>
      <c r="B565" s="2" t="s">
        <v>3020</v>
      </c>
      <c r="C565" s="2">
        <v>2</v>
      </c>
      <c r="D565" t="str">
        <f t="shared" si="8"/>
        <v>CA-2014-124723_FUR-TA-10001307</v>
      </c>
      <c r="E565" t="str">
        <f>IF(COUNTIF(data1!$D:$D,D565)=0,"Missing in Data1","Present")</f>
        <v>Missing in Data1</v>
      </c>
    </row>
    <row r="566" spans="1:5" x14ac:dyDescent="0.25">
      <c r="A566" s="2" t="s">
        <v>772</v>
      </c>
      <c r="B566" s="2" t="s">
        <v>773</v>
      </c>
      <c r="C566" s="2">
        <v>4</v>
      </c>
      <c r="D566" t="str">
        <f t="shared" si="8"/>
        <v>CA-2014-124730_OFF-BI-10001031</v>
      </c>
      <c r="E566" t="str">
        <f>IF(COUNTIF(data1!$D:$D,D566)=0,"Missing in Data1","Present")</f>
        <v>Present</v>
      </c>
    </row>
    <row r="567" spans="1:5" x14ac:dyDescent="0.25">
      <c r="A567" s="2" t="s">
        <v>772</v>
      </c>
      <c r="B567" s="2" t="s">
        <v>775</v>
      </c>
      <c r="C567" s="2">
        <v>9</v>
      </c>
      <c r="D567" t="str">
        <f t="shared" si="8"/>
        <v>CA-2014-124730_OFF-LA-10001158</v>
      </c>
      <c r="E567" t="str">
        <f>IF(COUNTIF(data1!$D:$D,D567)=0,"Missing in Data1","Present")</f>
        <v>Present</v>
      </c>
    </row>
    <row r="568" spans="1:5" x14ac:dyDescent="0.25">
      <c r="A568" s="2" t="s">
        <v>772</v>
      </c>
      <c r="B568" s="2" t="s">
        <v>776</v>
      </c>
      <c r="C568" s="2">
        <v>4</v>
      </c>
      <c r="D568" t="str">
        <f t="shared" si="8"/>
        <v>CA-2014-124730_OFF-LA-10001613</v>
      </c>
      <c r="E568" t="str">
        <f>IF(COUNTIF(data1!$D:$D,D568)=0,"Missing in Data1","Present")</f>
        <v>Present</v>
      </c>
    </row>
    <row r="569" spans="1:5" x14ac:dyDescent="0.25">
      <c r="A569" s="2" t="s">
        <v>772</v>
      </c>
      <c r="B569" s="2" t="s">
        <v>777</v>
      </c>
      <c r="C569" s="2">
        <v>4</v>
      </c>
      <c r="D569" t="str">
        <f t="shared" si="8"/>
        <v>CA-2014-124730_TEC-PH-10002170</v>
      </c>
      <c r="E569" t="str">
        <f>IF(COUNTIF(data1!$D:$D,D569)=0,"Missing in Data1","Present")</f>
        <v>Present</v>
      </c>
    </row>
    <row r="570" spans="1:5" x14ac:dyDescent="0.25">
      <c r="A570" s="2" t="s">
        <v>778</v>
      </c>
      <c r="B570" s="2" t="s">
        <v>779</v>
      </c>
      <c r="C570" s="2">
        <v>3</v>
      </c>
      <c r="D570" t="str">
        <f t="shared" si="8"/>
        <v>CA-2014-124737_FUR-FU-10003274</v>
      </c>
      <c r="E570" t="str">
        <f>IF(COUNTIF(data1!$D:$D,D570)=0,"Missing in Data1","Present")</f>
        <v>Present</v>
      </c>
    </row>
    <row r="571" spans="1:5" x14ac:dyDescent="0.25">
      <c r="A571" s="2" t="s">
        <v>778</v>
      </c>
      <c r="B571" s="2" t="s">
        <v>780</v>
      </c>
      <c r="C571" s="2">
        <v>6</v>
      </c>
      <c r="D571" t="str">
        <f t="shared" si="8"/>
        <v>CA-2014-124737_OFF-PA-10000019</v>
      </c>
      <c r="E571" t="str">
        <f>IF(COUNTIF(data1!$D:$D,D571)=0,"Missing in Data1","Present")</f>
        <v>Present</v>
      </c>
    </row>
    <row r="572" spans="1:5" x14ac:dyDescent="0.25">
      <c r="A572" s="2" t="s">
        <v>778</v>
      </c>
      <c r="B572" s="2" t="s">
        <v>781</v>
      </c>
      <c r="C572" s="2">
        <v>9</v>
      </c>
      <c r="D572" t="str">
        <f t="shared" si="8"/>
        <v>CA-2014-124737_OFF-PA-10001125</v>
      </c>
      <c r="E572" t="str">
        <f>IF(COUNTIF(data1!$D:$D,D572)=0,"Missing in Data1","Present")</f>
        <v>Present</v>
      </c>
    </row>
    <row r="573" spans="1:5" x14ac:dyDescent="0.25">
      <c r="A573" s="2" t="s">
        <v>778</v>
      </c>
      <c r="B573" s="2" t="s">
        <v>782</v>
      </c>
      <c r="C573" s="2">
        <v>3</v>
      </c>
      <c r="D573" t="str">
        <f t="shared" si="8"/>
        <v>CA-2014-124737_OFF-PA-10001837</v>
      </c>
      <c r="E573" t="str">
        <f>IF(COUNTIF(data1!$D:$D,D573)=0,"Missing in Data1","Present")</f>
        <v>Present</v>
      </c>
    </row>
    <row r="574" spans="1:5" x14ac:dyDescent="0.25">
      <c r="A574" s="2" t="s">
        <v>778</v>
      </c>
      <c r="B574" s="2" t="s">
        <v>656</v>
      </c>
      <c r="C574" s="2">
        <v>1</v>
      </c>
      <c r="D574" t="str">
        <f t="shared" si="8"/>
        <v>CA-2014-124737_OFF-SU-10004661</v>
      </c>
      <c r="E574" t="str">
        <f>IF(COUNTIF(data1!$D:$D,D574)=0,"Missing in Data1","Present")</f>
        <v>Present</v>
      </c>
    </row>
    <row r="575" spans="1:5" x14ac:dyDescent="0.25">
      <c r="A575" s="2" t="s">
        <v>778</v>
      </c>
      <c r="B575" s="2" t="s">
        <v>783</v>
      </c>
      <c r="C575" s="2">
        <v>9</v>
      </c>
      <c r="D575" t="str">
        <f t="shared" si="8"/>
        <v>CA-2014-124737_TEC-PH-10000149</v>
      </c>
      <c r="E575" t="str">
        <f>IF(COUNTIF(data1!$D:$D,D575)=0,"Missing in Data1","Present")</f>
        <v>Present</v>
      </c>
    </row>
    <row r="576" spans="1:5" x14ac:dyDescent="0.25">
      <c r="A576" s="2" t="s">
        <v>784</v>
      </c>
      <c r="B576" s="2" t="s">
        <v>785</v>
      </c>
      <c r="C576" s="2">
        <v>9</v>
      </c>
      <c r="D576" t="str">
        <f t="shared" si="8"/>
        <v>CA-2014-124807_OFF-PA-10001526</v>
      </c>
      <c r="E576" t="str">
        <f>IF(COUNTIF(data1!$D:$D,D576)=0,"Missing in Data1","Present")</f>
        <v>Present</v>
      </c>
    </row>
    <row r="577" spans="1:5" x14ac:dyDescent="0.25">
      <c r="A577" s="2" t="s">
        <v>787</v>
      </c>
      <c r="B577" s="2" t="s">
        <v>363</v>
      </c>
      <c r="C577" s="2">
        <v>4</v>
      </c>
      <c r="D577" t="str">
        <f t="shared" si="8"/>
        <v>CA-2014-124856_FUR-FU-10000521</v>
      </c>
      <c r="E577" t="str">
        <f>IF(COUNTIF(data1!$D:$D,D577)=0,"Missing in Data1","Present")</f>
        <v>Present</v>
      </c>
    </row>
    <row r="578" spans="1:5" x14ac:dyDescent="0.25">
      <c r="A578" s="2" t="s">
        <v>787</v>
      </c>
      <c r="B578" s="2" t="s">
        <v>788</v>
      </c>
      <c r="C578" s="2">
        <v>3</v>
      </c>
      <c r="D578" t="str">
        <f t="shared" si="8"/>
        <v>CA-2014-124856_OFF-LA-10000121</v>
      </c>
      <c r="E578" t="str">
        <f>IF(COUNTIF(data1!$D:$D,D578)=0,"Missing in Data1","Present")</f>
        <v>Present</v>
      </c>
    </row>
    <row r="579" spans="1:5" x14ac:dyDescent="0.25">
      <c r="A579" s="2" t="s">
        <v>787</v>
      </c>
      <c r="B579" s="2" t="s">
        <v>789</v>
      </c>
      <c r="C579" s="2">
        <v>2</v>
      </c>
      <c r="D579" t="str">
        <f t="shared" ref="D579:D642" si="9">A579&amp;"_"&amp;B579</f>
        <v>CA-2014-124856_OFF-PA-10001289</v>
      </c>
      <c r="E579" t="str">
        <f>IF(COUNTIF(data1!$D:$D,D579)=0,"Missing in Data1","Present")</f>
        <v>Present</v>
      </c>
    </row>
    <row r="580" spans="1:5" x14ac:dyDescent="0.25">
      <c r="A580" s="2" t="s">
        <v>787</v>
      </c>
      <c r="B580" s="2" t="s">
        <v>790</v>
      </c>
      <c r="C580" s="2">
        <v>9</v>
      </c>
      <c r="D580" t="str">
        <f t="shared" si="9"/>
        <v>CA-2014-124856_OFF-ST-10002615</v>
      </c>
      <c r="E580" t="str">
        <f>IF(COUNTIF(data1!$D:$D,D580)=0,"Missing in Data1","Present")</f>
        <v>Present</v>
      </c>
    </row>
    <row r="581" spans="1:5" x14ac:dyDescent="0.25">
      <c r="A581" s="2" t="s">
        <v>791</v>
      </c>
      <c r="B581" s="2" t="s">
        <v>467</v>
      </c>
      <c r="C581" s="2">
        <v>8</v>
      </c>
      <c r="D581" t="str">
        <f t="shared" si="9"/>
        <v>CA-2014-125136_OFF-PA-10001457</v>
      </c>
      <c r="E581" t="str">
        <f>IF(COUNTIF(data1!$D:$D,D581)=0,"Missing in Data1","Present")</f>
        <v>Present</v>
      </c>
    </row>
    <row r="582" spans="1:5" x14ac:dyDescent="0.25">
      <c r="A582" s="2" t="s">
        <v>791</v>
      </c>
      <c r="B582" s="2" t="s">
        <v>89</v>
      </c>
      <c r="C582" s="2">
        <v>2</v>
      </c>
      <c r="D582" t="str">
        <f t="shared" si="9"/>
        <v>CA-2014-125136_OFF-PA-10001804</v>
      </c>
      <c r="E582" t="str">
        <f>IF(COUNTIF(data1!$D:$D,D582)=0,"Missing in Data1","Present")</f>
        <v>Present</v>
      </c>
    </row>
    <row r="583" spans="1:5" x14ac:dyDescent="0.25">
      <c r="A583" s="2" t="s">
        <v>792</v>
      </c>
      <c r="B583" s="2" t="s">
        <v>469</v>
      </c>
      <c r="C583" s="2">
        <v>5</v>
      </c>
      <c r="D583" t="str">
        <f t="shared" si="9"/>
        <v>CA-2014-125150_FUR-CH-10002439</v>
      </c>
      <c r="E583" t="str">
        <f>IF(COUNTIF(data1!$D:$D,D583)=0,"Missing in Data1","Present")</f>
        <v>Present</v>
      </c>
    </row>
    <row r="584" spans="1:5" x14ac:dyDescent="0.25">
      <c r="A584" s="2" t="s">
        <v>795</v>
      </c>
      <c r="B584" s="2" t="s">
        <v>796</v>
      </c>
      <c r="C584" s="2">
        <v>2</v>
      </c>
      <c r="D584" t="str">
        <f t="shared" si="9"/>
        <v>CA-2014-125514_OFF-AP-10000358</v>
      </c>
      <c r="E584" t="str">
        <f>IF(COUNTIF(data1!$D:$D,D584)=0,"Missing in Data1","Present")</f>
        <v>Present</v>
      </c>
    </row>
    <row r="585" spans="1:5" x14ac:dyDescent="0.25">
      <c r="A585" s="2" t="s">
        <v>795</v>
      </c>
      <c r="B585" s="2" t="s">
        <v>797</v>
      </c>
      <c r="C585" s="2">
        <v>3</v>
      </c>
      <c r="D585" t="str">
        <f t="shared" si="9"/>
        <v>CA-2014-125514_OFF-AP-10003281</v>
      </c>
      <c r="E585" t="str">
        <f>IF(COUNTIF(data1!$D:$D,D585)=0,"Missing in Data1","Present")</f>
        <v>Present</v>
      </c>
    </row>
    <row r="586" spans="1:5" x14ac:dyDescent="0.25">
      <c r="A586" s="2" t="s">
        <v>795</v>
      </c>
      <c r="B586" s="2" t="s">
        <v>316</v>
      </c>
      <c r="C586" s="2">
        <v>1</v>
      </c>
      <c r="D586" t="str">
        <f t="shared" si="9"/>
        <v>CA-2014-125514_OFF-PA-10000029</v>
      </c>
      <c r="E586" t="str">
        <f>IF(COUNTIF(data1!$D:$D,D586)=0,"Missing in Data1","Present")</f>
        <v>Present</v>
      </c>
    </row>
    <row r="587" spans="1:5" x14ac:dyDescent="0.25">
      <c r="A587" s="2" t="s">
        <v>798</v>
      </c>
      <c r="B587" s="2" t="s">
        <v>764</v>
      </c>
      <c r="C587" s="2">
        <v>4</v>
      </c>
      <c r="D587" t="str">
        <f t="shared" si="9"/>
        <v>CA-2014-125542_OFF-ST-10001469</v>
      </c>
      <c r="E587" t="str">
        <f>IF(COUNTIF(data1!$D:$D,D587)=0,"Missing in Data1","Present")</f>
        <v>Present</v>
      </c>
    </row>
    <row r="588" spans="1:5" x14ac:dyDescent="0.25">
      <c r="A588" s="2" t="s">
        <v>799</v>
      </c>
      <c r="B588" s="2" t="s">
        <v>2342</v>
      </c>
      <c r="C588" s="2">
        <v>10</v>
      </c>
      <c r="D588" t="str">
        <f t="shared" si="9"/>
        <v>CA-2014-125556_OFF-BI-10003460</v>
      </c>
      <c r="E588" t="str">
        <f>IF(COUNTIF(data1!$D:$D,D588)=0,"Missing in Data1","Present")</f>
        <v>Missing in Data1</v>
      </c>
    </row>
    <row r="589" spans="1:5" x14ac:dyDescent="0.25">
      <c r="A589" s="2" t="s">
        <v>799</v>
      </c>
      <c r="B589" s="2" t="s">
        <v>800</v>
      </c>
      <c r="C589" s="2">
        <v>7</v>
      </c>
      <c r="D589" t="str">
        <f t="shared" si="9"/>
        <v>CA-2014-125556_TEC-PH-10001079</v>
      </c>
      <c r="E589" t="str">
        <f>IF(COUNTIF(data1!$D:$D,D589)=0,"Missing in Data1","Present")</f>
        <v>Present</v>
      </c>
    </row>
    <row r="590" spans="1:5" x14ac:dyDescent="0.25">
      <c r="A590" s="2" t="s">
        <v>801</v>
      </c>
      <c r="B590" s="2" t="s">
        <v>802</v>
      </c>
      <c r="C590" s="2">
        <v>2</v>
      </c>
      <c r="D590" t="str">
        <f t="shared" si="9"/>
        <v>CA-2014-125612_OFF-PA-10001019</v>
      </c>
      <c r="E590" t="str">
        <f>IF(COUNTIF(data1!$D:$D,D590)=0,"Missing in Data1","Present")</f>
        <v>Present</v>
      </c>
    </row>
    <row r="591" spans="1:5" x14ac:dyDescent="0.25">
      <c r="A591" s="2" t="s">
        <v>801</v>
      </c>
      <c r="B591" s="2" t="s">
        <v>6655</v>
      </c>
      <c r="C591" s="2">
        <v>2</v>
      </c>
      <c r="D591" t="str">
        <f t="shared" si="9"/>
        <v>CA-2014-125612_OFF-ST-10003221</v>
      </c>
      <c r="E591" t="str">
        <f>IF(COUNTIF(data1!$D:$D,D591)=0,"Missing in Data1","Present")</f>
        <v>Missing in Data1</v>
      </c>
    </row>
    <row r="592" spans="1:5" x14ac:dyDescent="0.25">
      <c r="A592" s="2" t="s">
        <v>801</v>
      </c>
      <c r="B592" s="2" t="s">
        <v>803</v>
      </c>
      <c r="C592" s="2">
        <v>10</v>
      </c>
      <c r="D592" t="str">
        <f t="shared" si="9"/>
        <v>CA-2014-125612_OFF-SU-10002537</v>
      </c>
      <c r="E592" t="str">
        <f>IF(COUNTIF(data1!$D:$D,D592)=0,"Missing in Data1","Present")</f>
        <v>Present</v>
      </c>
    </row>
    <row r="593" spans="1:5" x14ac:dyDescent="0.25">
      <c r="A593" s="2" t="s">
        <v>804</v>
      </c>
      <c r="B593" s="2" t="s">
        <v>805</v>
      </c>
      <c r="C593" s="2">
        <v>2</v>
      </c>
      <c r="D593" t="str">
        <f t="shared" si="9"/>
        <v>CA-2014-125682_OFF-PA-10001752</v>
      </c>
      <c r="E593" t="str">
        <f>IF(COUNTIF(data1!$D:$D,D593)=0,"Missing in Data1","Present")</f>
        <v>Present</v>
      </c>
    </row>
    <row r="594" spans="1:5" x14ac:dyDescent="0.25">
      <c r="A594" s="2" t="s">
        <v>806</v>
      </c>
      <c r="B594" s="2" t="s">
        <v>807</v>
      </c>
      <c r="C594" s="2">
        <v>5</v>
      </c>
      <c r="D594" t="str">
        <f t="shared" si="9"/>
        <v>CA-2014-125731_FUR-CH-10003973</v>
      </c>
      <c r="E594" t="str">
        <f>IF(COUNTIF(data1!$D:$D,D594)=0,"Missing in Data1","Present")</f>
        <v>Present</v>
      </c>
    </row>
    <row r="595" spans="1:5" x14ac:dyDescent="0.25">
      <c r="A595" s="2" t="s">
        <v>806</v>
      </c>
      <c r="B595" s="2" t="s">
        <v>808</v>
      </c>
      <c r="C595" s="2">
        <v>7</v>
      </c>
      <c r="D595" t="str">
        <f t="shared" si="9"/>
        <v>CA-2014-125731_OFF-EN-10003072</v>
      </c>
      <c r="E595" t="str">
        <f>IF(COUNTIF(data1!$D:$D,D595)=0,"Missing in Data1","Present")</f>
        <v>Present</v>
      </c>
    </row>
    <row r="596" spans="1:5" x14ac:dyDescent="0.25">
      <c r="A596" s="2" t="s">
        <v>809</v>
      </c>
      <c r="B596" s="2" t="s">
        <v>612</v>
      </c>
      <c r="C596" s="2">
        <v>2</v>
      </c>
      <c r="D596" t="str">
        <f t="shared" si="9"/>
        <v>CA-2014-125759_FUR-FU-10002111</v>
      </c>
      <c r="E596" t="str">
        <f>IF(COUNTIF(data1!$D:$D,D596)=0,"Missing in Data1","Present")</f>
        <v>Present</v>
      </c>
    </row>
    <row r="597" spans="1:5" x14ac:dyDescent="0.25">
      <c r="A597" s="2" t="s">
        <v>810</v>
      </c>
      <c r="B597" s="2" t="s">
        <v>238</v>
      </c>
      <c r="C597" s="2">
        <v>4</v>
      </c>
      <c r="D597" t="str">
        <f t="shared" si="9"/>
        <v>CA-2014-125829_FUR-TA-10002041</v>
      </c>
      <c r="E597" t="str">
        <f>IF(COUNTIF(data1!$D:$D,D597)=0,"Missing in Data1","Present")</f>
        <v>Present</v>
      </c>
    </row>
    <row r="598" spans="1:5" x14ac:dyDescent="0.25">
      <c r="A598" s="2" t="s">
        <v>810</v>
      </c>
      <c r="B598" s="2" t="s">
        <v>811</v>
      </c>
      <c r="C598" s="2">
        <v>3</v>
      </c>
      <c r="D598" t="str">
        <f t="shared" si="9"/>
        <v>CA-2014-125829_OFF-BI-10001036</v>
      </c>
      <c r="E598" t="str">
        <f>IF(COUNTIF(data1!$D:$D,D598)=0,"Missing in Data1","Present")</f>
        <v>Present</v>
      </c>
    </row>
    <row r="599" spans="1:5" x14ac:dyDescent="0.25">
      <c r="A599" s="2" t="s">
        <v>810</v>
      </c>
      <c r="B599" s="2" t="s">
        <v>812</v>
      </c>
      <c r="C599" s="2">
        <v>3</v>
      </c>
      <c r="D599" t="str">
        <f t="shared" si="9"/>
        <v>CA-2014-125829_OFF-PA-10000223</v>
      </c>
      <c r="E599" t="str">
        <f>IF(COUNTIF(data1!$D:$D,D599)=0,"Missing in Data1","Present")</f>
        <v>Present</v>
      </c>
    </row>
    <row r="600" spans="1:5" x14ac:dyDescent="0.25">
      <c r="A600" s="2" t="s">
        <v>810</v>
      </c>
      <c r="B600" s="2" t="s">
        <v>813</v>
      </c>
      <c r="C600" s="2">
        <v>4</v>
      </c>
      <c r="D600" t="str">
        <f t="shared" si="9"/>
        <v>CA-2014-125829_TEC-MA-10003246</v>
      </c>
      <c r="E600" t="str">
        <f>IF(COUNTIF(data1!$D:$D,D600)=0,"Missing in Data1","Present")</f>
        <v>Present</v>
      </c>
    </row>
    <row r="601" spans="1:5" x14ac:dyDescent="0.25">
      <c r="A601" s="2" t="s">
        <v>810</v>
      </c>
      <c r="B601" s="2" t="s">
        <v>800</v>
      </c>
      <c r="C601" s="2">
        <v>7</v>
      </c>
      <c r="D601" t="str">
        <f t="shared" si="9"/>
        <v>CA-2014-125829_TEC-PH-10001079</v>
      </c>
      <c r="E601" t="str">
        <f>IF(COUNTIF(data1!$D:$D,D601)=0,"Missing in Data1","Present")</f>
        <v>Present</v>
      </c>
    </row>
    <row r="602" spans="1:5" x14ac:dyDescent="0.25">
      <c r="A602" s="2" t="s">
        <v>814</v>
      </c>
      <c r="B602" s="2" t="s">
        <v>815</v>
      </c>
      <c r="C602" s="2">
        <v>2</v>
      </c>
      <c r="D602" t="str">
        <f t="shared" si="9"/>
        <v>CA-2014-125997_FUR-BO-10002213</v>
      </c>
      <c r="E602" t="str">
        <f>IF(COUNTIF(data1!$D:$D,D602)=0,"Missing in Data1","Present")</f>
        <v>Present</v>
      </c>
    </row>
    <row r="603" spans="1:5" x14ac:dyDescent="0.25">
      <c r="A603" s="2" t="s">
        <v>814</v>
      </c>
      <c r="B603" s="2" t="s">
        <v>294</v>
      </c>
      <c r="C603" s="2">
        <v>2</v>
      </c>
      <c r="D603" t="str">
        <f t="shared" si="9"/>
        <v>CA-2014-125997_FUR-CH-10001394</v>
      </c>
      <c r="E603" t="str">
        <f>IF(COUNTIF(data1!$D:$D,D603)=0,"Missing in Data1","Present")</f>
        <v>Present</v>
      </c>
    </row>
    <row r="604" spans="1:5" x14ac:dyDescent="0.25">
      <c r="A604" s="2" t="s">
        <v>814</v>
      </c>
      <c r="B604" s="2" t="s">
        <v>816</v>
      </c>
      <c r="C604" s="2">
        <v>1</v>
      </c>
      <c r="D604" t="str">
        <f t="shared" si="9"/>
        <v>CA-2014-125997_OFF-AP-10003842</v>
      </c>
      <c r="E604" t="str">
        <f>IF(COUNTIF(data1!$D:$D,D604)=0,"Missing in Data1","Present")</f>
        <v>Present</v>
      </c>
    </row>
    <row r="605" spans="1:5" x14ac:dyDescent="0.25">
      <c r="A605" s="2" t="s">
        <v>814</v>
      </c>
      <c r="B605" s="2" t="s">
        <v>557</v>
      </c>
      <c r="C605" s="2">
        <v>6</v>
      </c>
      <c r="D605" t="str">
        <f t="shared" si="9"/>
        <v>CA-2014-125997_OFF-LA-10002762</v>
      </c>
      <c r="E605" t="str">
        <f>IF(COUNTIF(data1!$D:$D,D605)=0,"Missing in Data1","Present")</f>
        <v>Present</v>
      </c>
    </row>
    <row r="606" spans="1:5" x14ac:dyDescent="0.25">
      <c r="A606" s="2" t="s">
        <v>814</v>
      </c>
      <c r="B606" s="2" t="s">
        <v>817</v>
      </c>
      <c r="C606" s="2">
        <v>9</v>
      </c>
      <c r="D606" t="str">
        <f t="shared" si="9"/>
        <v>CA-2014-125997_TEC-PH-10003072</v>
      </c>
      <c r="E606" t="str">
        <f>IF(COUNTIF(data1!$D:$D,D606)=0,"Missing in Data1","Present")</f>
        <v>Present</v>
      </c>
    </row>
    <row r="607" spans="1:5" x14ac:dyDescent="0.25">
      <c r="A607" s="2" t="s">
        <v>814</v>
      </c>
      <c r="B607" s="2" t="s">
        <v>673</v>
      </c>
      <c r="C607" s="2">
        <v>5</v>
      </c>
      <c r="D607" t="str">
        <f t="shared" si="9"/>
        <v>CA-2014-125997_TEC-PH-10003484</v>
      </c>
      <c r="E607" t="str">
        <f>IF(COUNTIF(data1!$D:$D,D607)=0,"Missing in Data1","Present")</f>
        <v>Present</v>
      </c>
    </row>
    <row r="608" spans="1:5" x14ac:dyDescent="0.25">
      <c r="A608" s="2" t="s">
        <v>6750</v>
      </c>
      <c r="B608" s="2" t="s">
        <v>2371</v>
      </c>
      <c r="C608" s="2">
        <v>3</v>
      </c>
      <c r="D608" t="str">
        <f t="shared" si="9"/>
        <v>CA-2014-126032_TEC-AC-10000158</v>
      </c>
      <c r="E608" t="str">
        <f>IF(COUNTIF(data1!$D:$D,D608)=0,"Missing in Data1","Present")</f>
        <v>Missing in Data1</v>
      </c>
    </row>
    <row r="609" spans="1:5" x14ac:dyDescent="0.25">
      <c r="A609" s="2" t="s">
        <v>818</v>
      </c>
      <c r="B609" s="2" t="s">
        <v>819</v>
      </c>
      <c r="C609" s="2">
        <v>3</v>
      </c>
      <c r="D609" t="str">
        <f t="shared" si="9"/>
        <v>CA-2014-126193_OFF-BI-10001249</v>
      </c>
      <c r="E609" t="str">
        <f>IF(COUNTIF(data1!$D:$D,D609)=0,"Missing in Data1","Present")</f>
        <v>Present</v>
      </c>
    </row>
    <row r="610" spans="1:5" x14ac:dyDescent="0.25">
      <c r="A610" s="2" t="s">
        <v>818</v>
      </c>
      <c r="B610" s="2" t="s">
        <v>820</v>
      </c>
      <c r="C610" s="2">
        <v>5</v>
      </c>
      <c r="D610" t="str">
        <f t="shared" si="9"/>
        <v>CA-2014-126193_OFF-BI-10004632</v>
      </c>
      <c r="E610" t="str">
        <f>IF(COUNTIF(data1!$D:$D,D610)=0,"Missing in Data1","Present")</f>
        <v>Present</v>
      </c>
    </row>
    <row r="611" spans="1:5" x14ac:dyDescent="0.25">
      <c r="A611" s="2" t="s">
        <v>818</v>
      </c>
      <c r="B611" s="2" t="s">
        <v>821</v>
      </c>
      <c r="C611" s="2">
        <v>5</v>
      </c>
      <c r="D611" t="str">
        <f t="shared" si="9"/>
        <v>CA-2014-126193_OFF-FA-10000936</v>
      </c>
      <c r="E611" t="str">
        <f>IF(COUNTIF(data1!$D:$D,D611)=0,"Missing in Data1","Present")</f>
        <v>Present</v>
      </c>
    </row>
    <row r="612" spans="1:5" x14ac:dyDescent="0.25">
      <c r="A612" s="2" t="s">
        <v>822</v>
      </c>
      <c r="B612" s="2" t="s">
        <v>823</v>
      </c>
      <c r="C612" s="2">
        <v>3</v>
      </c>
      <c r="D612" t="str">
        <f t="shared" si="9"/>
        <v>CA-2014-126200_OFF-BI-10002133</v>
      </c>
      <c r="E612" t="str">
        <f>IF(COUNTIF(data1!$D:$D,D612)=0,"Missing in Data1","Present")</f>
        <v>Present</v>
      </c>
    </row>
    <row r="613" spans="1:5" x14ac:dyDescent="0.25">
      <c r="A613" s="2" t="s">
        <v>822</v>
      </c>
      <c r="B613" s="2" t="s">
        <v>824</v>
      </c>
      <c r="C613" s="2">
        <v>3</v>
      </c>
      <c r="D613" t="str">
        <f t="shared" si="9"/>
        <v>CA-2014-126200_OFF-BI-10002225</v>
      </c>
      <c r="E613" t="str">
        <f>IF(COUNTIF(data1!$D:$D,D613)=0,"Missing in Data1","Present")</f>
        <v>Present</v>
      </c>
    </row>
    <row r="614" spans="1:5" x14ac:dyDescent="0.25">
      <c r="A614" s="2" t="s">
        <v>6751</v>
      </c>
      <c r="B614" s="2" t="s">
        <v>2726</v>
      </c>
      <c r="C614" s="2">
        <v>3</v>
      </c>
      <c r="D614" t="str">
        <f t="shared" si="9"/>
        <v>CA-2014-126277_OFF-BI-10004022</v>
      </c>
      <c r="E614" t="str">
        <f>IF(COUNTIF(data1!$D:$D,D614)=0,"Missing in Data1","Present")</f>
        <v>Missing in Data1</v>
      </c>
    </row>
    <row r="615" spans="1:5" x14ac:dyDescent="0.25">
      <c r="A615" s="2" t="s">
        <v>825</v>
      </c>
      <c r="B615" s="2" t="s">
        <v>812</v>
      </c>
      <c r="C615" s="2">
        <v>1</v>
      </c>
      <c r="D615" t="str">
        <f t="shared" si="9"/>
        <v>CA-2014-126333_OFF-PA-10000223</v>
      </c>
      <c r="E615" t="str">
        <f>IF(COUNTIF(data1!$D:$D,D615)=0,"Missing in Data1","Present")</f>
        <v>Present</v>
      </c>
    </row>
    <row r="616" spans="1:5" x14ac:dyDescent="0.25">
      <c r="A616" s="2" t="s">
        <v>826</v>
      </c>
      <c r="B616" s="2" t="s">
        <v>827</v>
      </c>
      <c r="C616" s="2">
        <v>3</v>
      </c>
      <c r="D616" t="str">
        <f t="shared" si="9"/>
        <v>CA-2014-126361_OFF-AP-10003590</v>
      </c>
      <c r="E616" t="str">
        <f>IF(COUNTIF(data1!$D:$D,D616)=0,"Missing in Data1","Present")</f>
        <v>Present</v>
      </c>
    </row>
    <row r="617" spans="1:5" x14ac:dyDescent="0.25">
      <c r="A617" s="2" t="s">
        <v>826</v>
      </c>
      <c r="B617" s="2" t="s">
        <v>828</v>
      </c>
      <c r="C617" s="2">
        <v>5</v>
      </c>
      <c r="D617" t="str">
        <f t="shared" si="9"/>
        <v>CA-2014-126361_OFF-AR-10000896</v>
      </c>
      <c r="E617" t="str">
        <f>IF(COUNTIF(data1!$D:$D,D617)=0,"Missing in Data1","Present")</f>
        <v>Present</v>
      </c>
    </row>
    <row r="618" spans="1:5" x14ac:dyDescent="0.25">
      <c r="A618" s="2" t="s">
        <v>826</v>
      </c>
      <c r="B618" s="2" t="s">
        <v>480</v>
      </c>
      <c r="C618" s="2">
        <v>1</v>
      </c>
      <c r="D618" t="str">
        <f t="shared" si="9"/>
        <v>CA-2014-126361_OFF-BI-10002852</v>
      </c>
      <c r="E618" t="str">
        <f>IF(COUNTIF(data1!$D:$D,D618)=0,"Missing in Data1","Present")</f>
        <v>Present</v>
      </c>
    </row>
    <row r="619" spans="1:5" x14ac:dyDescent="0.25">
      <c r="A619" s="2" t="s">
        <v>826</v>
      </c>
      <c r="B619" s="2" t="s">
        <v>829</v>
      </c>
      <c r="C619" s="2">
        <v>8</v>
      </c>
      <c r="D619" t="str">
        <f t="shared" si="9"/>
        <v>CA-2014-126361_OFF-PA-10000806</v>
      </c>
      <c r="E619" t="str">
        <f>IF(COUNTIF(data1!$D:$D,D619)=0,"Missing in Data1","Present")</f>
        <v>Present</v>
      </c>
    </row>
    <row r="620" spans="1:5" x14ac:dyDescent="0.25">
      <c r="A620" s="2" t="s">
        <v>826</v>
      </c>
      <c r="B620" s="2" t="s">
        <v>830</v>
      </c>
      <c r="C620" s="2">
        <v>5</v>
      </c>
      <c r="D620" t="str">
        <f t="shared" si="9"/>
        <v>CA-2014-126361_OFF-ST-10002289</v>
      </c>
      <c r="E620" t="str">
        <f>IF(COUNTIF(data1!$D:$D,D620)=0,"Missing in Data1","Present")</f>
        <v>Present</v>
      </c>
    </row>
    <row r="621" spans="1:5" x14ac:dyDescent="0.25">
      <c r="A621" s="2" t="s">
        <v>826</v>
      </c>
      <c r="B621" s="2" t="s">
        <v>831</v>
      </c>
      <c r="C621" s="2">
        <v>5</v>
      </c>
      <c r="D621" t="str">
        <f t="shared" si="9"/>
        <v>CA-2014-126361_TEC-PH-10002310</v>
      </c>
      <c r="E621" t="str">
        <f>IF(COUNTIF(data1!$D:$D,D621)=0,"Missing in Data1","Present")</f>
        <v>Present</v>
      </c>
    </row>
    <row r="622" spans="1:5" x14ac:dyDescent="0.25">
      <c r="A622" s="2" t="s">
        <v>832</v>
      </c>
      <c r="B622" s="2" t="s">
        <v>833</v>
      </c>
      <c r="C622" s="2">
        <v>6</v>
      </c>
      <c r="D622" t="str">
        <f t="shared" si="9"/>
        <v>CA-2014-126403_FUR-CH-10003761</v>
      </c>
      <c r="E622" t="str">
        <f>IF(COUNTIF(data1!$D:$D,D622)=0,"Missing in Data1","Present")</f>
        <v>Present</v>
      </c>
    </row>
    <row r="623" spans="1:5" x14ac:dyDescent="0.25">
      <c r="A623" s="2" t="s">
        <v>832</v>
      </c>
      <c r="B623" s="2" t="s">
        <v>623</v>
      </c>
      <c r="C623" s="2">
        <v>3</v>
      </c>
      <c r="D623" t="str">
        <f t="shared" si="9"/>
        <v>CA-2014-126403_OFF-PA-10001144</v>
      </c>
      <c r="E623" t="str">
        <f>IF(COUNTIF(data1!$D:$D,D623)=0,"Missing in Data1","Present")</f>
        <v>Present</v>
      </c>
    </row>
    <row r="624" spans="1:5" x14ac:dyDescent="0.25">
      <c r="A624" s="2" t="s">
        <v>832</v>
      </c>
      <c r="B624" s="2" t="s">
        <v>834</v>
      </c>
      <c r="C624" s="2">
        <v>2</v>
      </c>
      <c r="D624" t="str">
        <f t="shared" si="9"/>
        <v>CA-2014-126403_OFF-PA-10004665</v>
      </c>
      <c r="E624" t="str">
        <f>IF(COUNTIF(data1!$D:$D,D624)=0,"Missing in Data1","Present")</f>
        <v>Present</v>
      </c>
    </row>
    <row r="625" spans="1:5" x14ac:dyDescent="0.25">
      <c r="A625" s="2" t="s">
        <v>832</v>
      </c>
      <c r="B625" s="2" t="s">
        <v>835</v>
      </c>
      <c r="C625" s="2">
        <v>5</v>
      </c>
      <c r="D625" t="str">
        <f t="shared" si="9"/>
        <v>CA-2014-126403_OFF-ST-10000078</v>
      </c>
      <c r="E625" t="str">
        <f>IF(COUNTIF(data1!$D:$D,D625)=0,"Missing in Data1","Present")</f>
        <v>Present</v>
      </c>
    </row>
    <row r="626" spans="1:5" x14ac:dyDescent="0.25">
      <c r="A626" s="2" t="s">
        <v>836</v>
      </c>
      <c r="B626" s="2" t="s">
        <v>837</v>
      </c>
      <c r="C626" s="2">
        <v>2</v>
      </c>
      <c r="D626" t="str">
        <f t="shared" si="9"/>
        <v>CA-2014-126480_OFF-PA-10004610</v>
      </c>
      <c r="E626" t="str">
        <f>IF(COUNTIF(data1!$D:$D,D626)=0,"Missing in Data1","Present")</f>
        <v>Present</v>
      </c>
    </row>
    <row r="627" spans="1:5" x14ac:dyDescent="0.25">
      <c r="A627" s="2" t="s">
        <v>838</v>
      </c>
      <c r="B627" s="2" t="s">
        <v>839</v>
      </c>
      <c r="C627" s="2">
        <v>3</v>
      </c>
      <c r="D627" t="str">
        <f t="shared" si="9"/>
        <v>CA-2014-126522_OFF-AR-10004042</v>
      </c>
      <c r="E627" t="str">
        <f>IF(COUNTIF(data1!$D:$D,D627)=0,"Missing in Data1","Present")</f>
        <v>Present</v>
      </c>
    </row>
    <row r="628" spans="1:5" x14ac:dyDescent="0.25">
      <c r="A628" s="2" t="s">
        <v>840</v>
      </c>
      <c r="B628" s="2" t="s">
        <v>456</v>
      </c>
      <c r="C628" s="2">
        <v>2</v>
      </c>
      <c r="D628" t="str">
        <f t="shared" si="9"/>
        <v>CA-2014-126683_FUR-FU-10001706</v>
      </c>
      <c r="E628" t="str">
        <f>IF(COUNTIF(data1!$D:$D,D628)=0,"Missing in Data1","Present")</f>
        <v>Present</v>
      </c>
    </row>
    <row r="629" spans="1:5" x14ac:dyDescent="0.25">
      <c r="A629" s="2" t="s">
        <v>840</v>
      </c>
      <c r="B629" s="2" t="s">
        <v>841</v>
      </c>
      <c r="C629" s="2">
        <v>9</v>
      </c>
      <c r="D629" t="str">
        <f t="shared" si="9"/>
        <v>CA-2014-126683_FUR-TA-10002958</v>
      </c>
      <c r="E629" t="str">
        <f>IF(COUNTIF(data1!$D:$D,D629)=0,"Missing in Data1","Present")</f>
        <v>Present</v>
      </c>
    </row>
    <row r="630" spans="1:5" x14ac:dyDescent="0.25">
      <c r="A630" s="2" t="s">
        <v>842</v>
      </c>
      <c r="B630" s="2" t="s">
        <v>2290</v>
      </c>
      <c r="C630" s="2">
        <v>3</v>
      </c>
      <c r="D630" t="str">
        <f t="shared" si="9"/>
        <v>CA-2014-126760_FUR-CH-10003312</v>
      </c>
      <c r="E630" t="str">
        <f>IF(COUNTIF(data1!$D:$D,D630)=0,"Missing in Data1","Present")</f>
        <v>Missing in Data1</v>
      </c>
    </row>
    <row r="631" spans="1:5" x14ac:dyDescent="0.25">
      <c r="A631" s="2" t="s">
        <v>842</v>
      </c>
      <c r="B631" s="2" t="s">
        <v>278</v>
      </c>
      <c r="C631" s="2">
        <v>9</v>
      </c>
      <c r="D631" t="str">
        <f t="shared" si="9"/>
        <v>CA-2014-126760_FUR-FU-10004018</v>
      </c>
      <c r="E631" t="str">
        <f>IF(COUNTIF(data1!$D:$D,D631)=0,"Missing in Data1","Present")</f>
        <v>Present</v>
      </c>
    </row>
    <row r="632" spans="1:5" x14ac:dyDescent="0.25">
      <c r="A632" s="2" t="s">
        <v>842</v>
      </c>
      <c r="B632" s="2" t="s">
        <v>843</v>
      </c>
      <c r="C632" s="2">
        <v>3</v>
      </c>
      <c r="D632" t="str">
        <f t="shared" si="9"/>
        <v>CA-2014-126760_TEC-AC-10004814</v>
      </c>
      <c r="E632" t="str">
        <f>IF(COUNTIF(data1!$D:$D,D632)=0,"Missing in Data1","Present")</f>
        <v>Present</v>
      </c>
    </row>
    <row r="633" spans="1:5" x14ac:dyDescent="0.25">
      <c r="A633" s="2" t="s">
        <v>842</v>
      </c>
      <c r="B633" s="2" t="s">
        <v>844</v>
      </c>
      <c r="C633" s="2">
        <v>2</v>
      </c>
      <c r="D633" t="str">
        <f t="shared" si="9"/>
        <v>CA-2014-126760_TEC-PH-10001363</v>
      </c>
      <c r="E633" t="str">
        <f>IF(COUNTIF(data1!$D:$D,D633)=0,"Missing in Data1","Present")</f>
        <v>Present</v>
      </c>
    </row>
    <row r="634" spans="1:5" x14ac:dyDescent="0.25">
      <c r="A634" s="2" t="s">
        <v>845</v>
      </c>
      <c r="B634" s="2" t="s">
        <v>846</v>
      </c>
      <c r="C634" s="2">
        <v>3</v>
      </c>
      <c r="D634" t="str">
        <f t="shared" si="9"/>
        <v>CA-2014-126802_FUR-FU-10000193</v>
      </c>
      <c r="E634" t="str">
        <f>IF(COUNTIF(data1!$D:$D,D634)=0,"Missing in Data1","Present")</f>
        <v>Present</v>
      </c>
    </row>
    <row r="635" spans="1:5" x14ac:dyDescent="0.25">
      <c r="A635" s="2" t="s">
        <v>847</v>
      </c>
      <c r="B635" s="2" t="s">
        <v>721</v>
      </c>
      <c r="C635" s="2">
        <v>3</v>
      </c>
      <c r="D635" t="str">
        <f t="shared" si="9"/>
        <v>CA-2014-126907_OFF-PA-10000533</v>
      </c>
      <c r="E635" t="str">
        <f>IF(COUNTIF(data1!$D:$D,D635)=0,"Missing in Data1","Present")</f>
        <v>Present</v>
      </c>
    </row>
    <row r="636" spans="1:5" x14ac:dyDescent="0.25">
      <c r="A636" s="2" t="s">
        <v>848</v>
      </c>
      <c r="B636" s="2" t="s">
        <v>849</v>
      </c>
      <c r="C636" s="2">
        <v>2</v>
      </c>
      <c r="D636" t="str">
        <f t="shared" si="9"/>
        <v>CA-2014-126963_OFF-PA-10001952</v>
      </c>
      <c r="E636" t="str">
        <f>IF(COUNTIF(data1!$D:$D,D636)=0,"Missing in Data1","Present")</f>
        <v>Present</v>
      </c>
    </row>
    <row r="637" spans="1:5" x14ac:dyDescent="0.25">
      <c r="A637" s="2" t="s">
        <v>850</v>
      </c>
      <c r="B637" s="2" t="s">
        <v>851</v>
      </c>
      <c r="C637" s="2">
        <v>1</v>
      </c>
      <c r="D637" t="str">
        <f t="shared" si="9"/>
        <v>CA-2014-127012_FUR-FU-10003691</v>
      </c>
      <c r="E637" t="str">
        <f>IF(COUNTIF(data1!$D:$D,D637)=0,"Missing in Data1","Present")</f>
        <v>Present</v>
      </c>
    </row>
    <row r="638" spans="1:5" x14ac:dyDescent="0.25">
      <c r="A638" s="2" t="s">
        <v>850</v>
      </c>
      <c r="B638" s="2" t="s">
        <v>2903</v>
      </c>
      <c r="C638" s="2">
        <v>1</v>
      </c>
      <c r="D638" t="str">
        <f t="shared" si="9"/>
        <v>CA-2014-127012_OFF-AR-10003903</v>
      </c>
      <c r="E638" t="str">
        <f>IF(COUNTIF(data1!$D:$D,D638)=0,"Missing in Data1","Present")</f>
        <v>Missing in Data1</v>
      </c>
    </row>
    <row r="639" spans="1:5" x14ac:dyDescent="0.25">
      <c r="A639" s="2" t="s">
        <v>850</v>
      </c>
      <c r="B639" s="2" t="s">
        <v>417</v>
      </c>
      <c r="C639" s="2">
        <v>2</v>
      </c>
      <c r="D639" t="str">
        <f t="shared" si="9"/>
        <v>CA-2014-127012_OFF-FA-10004854</v>
      </c>
      <c r="E639" t="str">
        <f>IF(COUNTIF(data1!$D:$D,D639)=0,"Missing in Data1","Present")</f>
        <v>Present</v>
      </c>
    </row>
    <row r="640" spans="1:5" x14ac:dyDescent="0.25">
      <c r="A640" s="2" t="s">
        <v>852</v>
      </c>
      <c r="B640" s="2" t="s">
        <v>853</v>
      </c>
      <c r="C640" s="2">
        <v>7</v>
      </c>
      <c r="D640" t="str">
        <f t="shared" si="9"/>
        <v>CA-2014-127131_OFF-BI-10004656</v>
      </c>
      <c r="E640" t="str">
        <f>IF(COUNTIF(data1!$D:$D,D640)=0,"Missing in Data1","Present")</f>
        <v>Present</v>
      </c>
    </row>
    <row r="641" spans="1:5" x14ac:dyDescent="0.25">
      <c r="A641" s="2" t="s">
        <v>852</v>
      </c>
      <c r="B641" s="2" t="s">
        <v>854</v>
      </c>
      <c r="C641" s="2">
        <v>4</v>
      </c>
      <c r="D641" t="str">
        <f t="shared" si="9"/>
        <v>CA-2014-127131_OFF-PA-10001800</v>
      </c>
      <c r="E641" t="str">
        <f>IF(COUNTIF(data1!$D:$D,D641)=0,"Missing in Data1","Present")</f>
        <v>Present</v>
      </c>
    </row>
    <row r="642" spans="1:5" x14ac:dyDescent="0.25">
      <c r="A642" s="2" t="s">
        <v>852</v>
      </c>
      <c r="B642" s="2" t="s">
        <v>357</v>
      </c>
      <c r="C642" s="2">
        <v>2</v>
      </c>
      <c r="D642" t="str">
        <f t="shared" si="9"/>
        <v>CA-2014-127131_OFF-ST-10000036</v>
      </c>
      <c r="E642" t="str">
        <f>IF(COUNTIF(data1!$D:$D,D642)=0,"Missing in Data1","Present")</f>
        <v>Present</v>
      </c>
    </row>
    <row r="643" spans="1:5" x14ac:dyDescent="0.25">
      <c r="A643" s="2" t="s">
        <v>852</v>
      </c>
      <c r="B643" s="2" t="s">
        <v>715</v>
      </c>
      <c r="C643" s="2">
        <v>6</v>
      </c>
      <c r="D643" t="str">
        <f t="shared" ref="D643:D706" si="10">A643&amp;"_"&amp;B643</f>
        <v>CA-2014-127131_OFF-ST-10002344</v>
      </c>
      <c r="E643" t="str">
        <f>IF(COUNTIF(data1!$D:$D,D643)=0,"Missing in Data1","Present")</f>
        <v>Present</v>
      </c>
    </row>
    <row r="644" spans="1:5" x14ac:dyDescent="0.25">
      <c r="A644" s="2" t="s">
        <v>855</v>
      </c>
      <c r="B644" s="2" t="s">
        <v>856</v>
      </c>
      <c r="C644" s="2">
        <v>7</v>
      </c>
      <c r="D644" t="str">
        <f t="shared" si="10"/>
        <v>CA-2014-127159_FUR-FU-10000010</v>
      </c>
      <c r="E644" t="str">
        <f>IF(COUNTIF(data1!$D:$D,D644)=0,"Missing in Data1","Present")</f>
        <v>Present</v>
      </c>
    </row>
    <row r="645" spans="1:5" x14ac:dyDescent="0.25">
      <c r="A645" s="2" t="s">
        <v>857</v>
      </c>
      <c r="B645" s="2" t="s">
        <v>858</v>
      </c>
      <c r="C645" s="2">
        <v>2</v>
      </c>
      <c r="D645" t="str">
        <f t="shared" si="10"/>
        <v>CA-2014-127166_FUR-CH-10003396</v>
      </c>
      <c r="E645" t="str">
        <f>IF(COUNTIF(data1!$D:$D,D645)=0,"Missing in Data1","Present")</f>
        <v>Present</v>
      </c>
    </row>
    <row r="646" spans="1:5" x14ac:dyDescent="0.25">
      <c r="A646" s="2" t="s">
        <v>857</v>
      </c>
      <c r="B646" s="2" t="s">
        <v>859</v>
      </c>
      <c r="C646" s="2">
        <v>3</v>
      </c>
      <c r="D646" t="str">
        <f t="shared" si="10"/>
        <v>CA-2014-127166_OFF-BI-10000977</v>
      </c>
      <c r="E646" t="str">
        <f>IF(COUNTIF(data1!$D:$D,D646)=0,"Missing in Data1","Present")</f>
        <v>Present</v>
      </c>
    </row>
    <row r="647" spans="1:5" x14ac:dyDescent="0.25">
      <c r="A647" s="2" t="s">
        <v>857</v>
      </c>
      <c r="B647" s="2" t="s">
        <v>860</v>
      </c>
      <c r="C647" s="2">
        <v>6</v>
      </c>
      <c r="D647" t="str">
        <f t="shared" si="10"/>
        <v>CA-2014-127166_OFF-EN-10003134</v>
      </c>
      <c r="E647" t="str">
        <f>IF(COUNTIF(data1!$D:$D,D647)=0,"Missing in Data1","Present")</f>
        <v>Present</v>
      </c>
    </row>
    <row r="648" spans="1:5" x14ac:dyDescent="0.25">
      <c r="A648" s="2" t="s">
        <v>857</v>
      </c>
      <c r="B648" s="2" t="s">
        <v>861</v>
      </c>
      <c r="C648" s="2">
        <v>1</v>
      </c>
      <c r="D648" t="str">
        <f t="shared" si="10"/>
        <v>CA-2014-127166_OFF-PA-10001560</v>
      </c>
      <c r="E648" t="str">
        <f>IF(COUNTIF(data1!$D:$D,D648)=0,"Missing in Data1","Present")</f>
        <v>Present</v>
      </c>
    </row>
    <row r="649" spans="1:5" x14ac:dyDescent="0.25">
      <c r="A649" s="2" t="s">
        <v>862</v>
      </c>
      <c r="B649" s="2" t="s">
        <v>863</v>
      </c>
      <c r="C649" s="2">
        <v>2</v>
      </c>
      <c r="D649" t="str">
        <f t="shared" si="10"/>
        <v>CA-2014-127187_TEC-PH-10000673</v>
      </c>
      <c r="E649" t="str">
        <f>IF(COUNTIF(data1!$D:$D,D649)=0,"Missing in Data1","Present")</f>
        <v>Present</v>
      </c>
    </row>
    <row r="650" spans="1:5" x14ac:dyDescent="0.25">
      <c r="A650" s="2" t="s">
        <v>864</v>
      </c>
      <c r="B650" s="2" t="s">
        <v>865</v>
      </c>
      <c r="C650" s="2">
        <v>6</v>
      </c>
      <c r="D650" t="str">
        <f t="shared" si="10"/>
        <v>CA-2014-127299_OFF-ST-10003722</v>
      </c>
      <c r="E650" t="str">
        <f>IF(COUNTIF(data1!$D:$D,D650)=0,"Missing in Data1","Present")</f>
        <v>Present</v>
      </c>
    </row>
    <row r="651" spans="1:5" x14ac:dyDescent="0.25">
      <c r="A651" s="2" t="s">
        <v>864</v>
      </c>
      <c r="B651" s="2" t="s">
        <v>866</v>
      </c>
      <c r="C651" s="2">
        <v>3</v>
      </c>
      <c r="D651" t="str">
        <f t="shared" si="10"/>
        <v>CA-2014-127299_TEC-MA-10001127</v>
      </c>
      <c r="E651" t="str">
        <f>IF(COUNTIF(data1!$D:$D,D651)=0,"Missing in Data1","Present")</f>
        <v>Present</v>
      </c>
    </row>
    <row r="652" spans="1:5" x14ac:dyDescent="0.25">
      <c r="A652" s="2" t="s">
        <v>867</v>
      </c>
      <c r="B652" s="2" t="s">
        <v>699</v>
      </c>
      <c r="C652" s="2">
        <v>2</v>
      </c>
      <c r="D652" t="str">
        <f t="shared" si="10"/>
        <v>CA-2014-127383_OFF-EN-10004773</v>
      </c>
      <c r="E652" t="str">
        <f>IF(COUNTIF(data1!$D:$D,D652)=0,"Missing in Data1","Present")</f>
        <v>Present</v>
      </c>
    </row>
    <row r="653" spans="1:5" x14ac:dyDescent="0.25">
      <c r="A653" s="2" t="s">
        <v>868</v>
      </c>
      <c r="B653" s="2" t="s">
        <v>339</v>
      </c>
      <c r="C653" s="2">
        <v>3</v>
      </c>
      <c r="D653" t="str">
        <f t="shared" si="10"/>
        <v>CA-2014-127446_FUR-FU-10000221</v>
      </c>
      <c r="E653" t="str">
        <f>IF(COUNTIF(data1!$D:$D,D653)=0,"Missing in Data1","Present")</f>
        <v>Present</v>
      </c>
    </row>
    <row r="654" spans="1:5" x14ac:dyDescent="0.25">
      <c r="A654" s="2" t="s">
        <v>868</v>
      </c>
      <c r="B654" s="2" t="s">
        <v>869</v>
      </c>
      <c r="C654" s="2">
        <v>5</v>
      </c>
      <c r="D654" t="str">
        <f t="shared" si="10"/>
        <v>CA-2014-127446_FUR-TA-10000577</v>
      </c>
      <c r="E654" t="str">
        <f>IF(COUNTIF(data1!$D:$D,D654)=0,"Missing in Data1","Present")</f>
        <v>Present</v>
      </c>
    </row>
    <row r="655" spans="1:5" x14ac:dyDescent="0.25">
      <c r="A655" s="2" t="s">
        <v>868</v>
      </c>
      <c r="B655" s="2" t="s">
        <v>870</v>
      </c>
      <c r="C655" s="2">
        <v>2</v>
      </c>
      <c r="D655" t="str">
        <f t="shared" si="10"/>
        <v>CA-2014-127446_OFF-LA-10000248</v>
      </c>
      <c r="E655" t="str">
        <f>IF(COUNTIF(data1!$D:$D,D655)=0,"Missing in Data1","Present")</f>
        <v>Present</v>
      </c>
    </row>
    <row r="656" spans="1:5" x14ac:dyDescent="0.25">
      <c r="A656" s="2" t="s">
        <v>868</v>
      </c>
      <c r="B656" s="2" t="s">
        <v>3116</v>
      </c>
      <c r="C656" s="2">
        <v>1</v>
      </c>
      <c r="D656" t="str">
        <f t="shared" si="10"/>
        <v>CA-2014-127446_OFF-LA-10001317</v>
      </c>
      <c r="E656" t="str">
        <f>IF(COUNTIF(data1!$D:$D,D656)=0,"Missing in Data1","Present")</f>
        <v>Missing in Data1</v>
      </c>
    </row>
    <row r="657" spans="1:5" x14ac:dyDescent="0.25">
      <c r="A657" s="2" t="s">
        <v>868</v>
      </c>
      <c r="B657" s="2" t="s">
        <v>871</v>
      </c>
      <c r="C657" s="2">
        <v>3</v>
      </c>
      <c r="D657" t="str">
        <f t="shared" si="10"/>
        <v>CA-2014-127446_OFF-PA-10000955</v>
      </c>
      <c r="E657" t="str">
        <f>IF(COUNTIF(data1!$D:$D,D657)=0,"Missing in Data1","Present")</f>
        <v>Present</v>
      </c>
    </row>
    <row r="658" spans="1:5" x14ac:dyDescent="0.25">
      <c r="A658" s="2" t="s">
        <v>868</v>
      </c>
      <c r="B658" s="2" t="s">
        <v>872</v>
      </c>
      <c r="C658" s="2">
        <v>3</v>
      </c>
      <c r="D658" t="str">
        <f t="shared" si="10"/>
        <v>CA-2014-127446_TEC-AC-10001635</v>
      </c>
      <c r="E658" t="str">
        <f>IF(COUNTIF(data1!$D:$D,D658)=0,"Missing in Data1","Present")</f>
        <v>Present</v>
      </c>
    </row>
    <row r="659" spans="1:5" x14ac:dyDescent="0.25">
      <c r="A659" s="2" t="s">
        <v>873</v>
      </c>
      <c r="B659" s="2" t="s">
        <v>776</v>
      </c>
      <c r="C659" s="2">
        <v>2</v>
      </c>
      <c r="D659" t="str">
        <f t="shared" si="10"/>
        <v>CA-2014-127488_OFF-LA-10001613</v>
      </c>
      <c r="E659" t="str">
        <f>IF(COUNTIF(data1!$D:$D,D659)=0,"Missing in Data1","Present")</f>
        <v>Present</v>
      </c>
    </row>
    <row r="660" spans="1:5" x14ac:dyDescent="0.25">
      <c r="A660" s="2" t="s">
        <v>874</v>
      </c>
      <c r="B660" s="2" t="s">
        <v>43</v>
      </c>
      <c r="C660" s="2">
        <v>3</v>
      </c>
      <c r="D660" t="str">
        <f t="shared" si="10"/>
        <v>CA-2014-127523_OFF-AP-10004249</v>
      </c>
      <c r="E660" t="str">
        <f>IF(COUNTIF(data1!$D:$D,D660)=0,"Missing in Data1","Present")</f>
        <v>Present</v>
      </c>
    </row>
    <row r="661" spans="1:5" x14ac:dyDescent="0.25">
      <c r="A661" s="2" t="s">
        <v>875</v>
      </c>
      <c r="B661" s="2" t="s">
        <v>803</v>
      </c>
      <c r="C661" s="2">
        <v>2</v>
      </c>
      <c r="D661" t="str">
        <f t="shared" si="10"/>
        <v>CA-2014-127558_OFF-SU-10002537</v>
      </c>
      <c r="E661" t="str">
        <f>IF(COUNTIF(data1!$D:$D,D661)=0,"Missing in Data1","Present")</f>
        <v>Present</v>
      </c>
    </row>
    <row r="662" spans="1:5" x14ac:dyDescent="0.25">
      <c r="A662" s="2" t="s">
        <v>875</v>
      </c>
      <c r="B662" s="2" t="s">
        <v>877</v>
      </c>
      <c r="C662" s="2">
        <v>3</v>
      </c>
      <c r="D662" t="str">
        <f t="shared" si="10"/>
        <v>CA-2014-127558_TEC-AC-10003832</v>
      </c>
      <c r="E662" t="str">
        <f>IF(COUNTIF(data1!$D:$D,D662)=0,"Missing in Data1","Present")</f>
        <v>Present</v>
      </c>
    </row>
    <row r="663" spans="1:5" x14ac:dyDescent="0.25">
      <c r="A663" s="2" t="s">
        <v>878</v>
      </c>
      <c r="B663" s="2" t="s">
        <v>790</v>
      </c>
      <c r="C663" s="2">
        <v>2</v>
      </c>
      <c r="D663" t="str">
        <f t="shared" si="10"/>
        <v>CA-2014-127586_OFF-ST-10002615</v>
      </c>
      <c r="E663" t="str">
        <f>IF(COUNTIF(data1!$D:$D,D663)=0,"Missing in Data1","Present")</f>
        <v>Present</v>
      </c>
    </row>
    <row r="664" spans="1:5" x14ac:dyDescent="0.25">
      <c r="A664" s="2" t="s">
        <v>879</v>
      </c>
      <c r="B664" s="2" t="s">
        <v>4</v>
      </c>
      <c r="C664" s="2">
        <v>6</v>
      </c>
      <c r="D664" t="str">
        <f t="shared" si="10"/>
        <v>CA-2014-127614_FUR-TA-10003715</v>
      </c>
      <c r="E664" t="str">
        <f>IF(COUNTIF(data1!$D:$D,D664)=0,"Missing in Data1","Present")</f>
        <v>Present</v>
      </c>
    </row>
    <row r="665" spans="1:5" x14ac:dyDescent="0.25">
      <c r="A665" s="2" t="s">
        <v>879</v>
      </c>
      <c r="B665" s="2" t="s">
        <v>485</v>
      </c>
      <c r="C665" s="2">
        <v>2</v>
      </c>
      <c r="D665" t="str">
        <f t="shared" si="10"/>
        <v>CA-2014-127614_OFF-BI-10003291</v>
      </c>
      <c r="E665" t="str">
        <f>IF(COUNTIF(data1!$D:$D,D665)=0,"Missing in Data1","Present")</f>
        <v>Present</v>
      </c>
    </row>
    <row r="666" spans="1:5" x14ac:dyDescent="0.25">
      <c r="A666" s="2" t="s">
        <v>879</v>
      </c>
      <c r="B666" s="2" t="s">
        <v>880</v>
      </c>
      <c r="C666" s="2">
        <v>3</v>
      </c>
      <c r="D666" t="str">
        <f t="shared" si="10"/>
        <v>CA-2014-127614_TEC-AC-10001432</v>
      </c>
      <c r="E666" t="str">
        <f>IF(COUNTIF(data1!$D:$D,D666)=0,"Missing in Data1","Present")</f>
        <v>Present</v>
      </c>
    </row>
    <row r="667" spans="1:5" x14ac:dyDescent="0.25">
      <c r="A667" s="2" t="s">
        <v>881</v>
      </c>
      <c r="B667" s="2" t="s">
        <v>882</v>
      </c>
      <c r="C667" s="2">
        <v>2</v>
      </c>
      <c r="D667" t="str">
        <f t="shared" si="10"/>
        <v>CA-2014-127691_OFF-AR-10002053</v>
      </c>
      <c r="E667" t="str">
        <f>IF(COUNTIF(data1!$D:$D,D667)=0,"Missing in Data1","Present")</f>
        <v>Present</v>
      </c>
    </row>
    <row r="668" spans="1:5" x14ac:dyDescent="0.25">
      <c r="A668" s="2" t="s">
        <v>881</v>
      </c>
      <c r="B668" s="2" t="s">
        <v>710</v>
      </c>
      <c r="C668" s="2">
        <v>2</v>
      </c>
      <c r="D668" t="str">
        <f t="shared" si="10"/>
        <v>CA-2014-127691_TEC-AC-10002567</v>
      </c>
      <c r="E668" t="str">
        <f>IF(COUNTIF(data1!$D:$D,D668)=0,"Missing in Data1","Present")</f>
        <v>Present</v>
      </c>
    </row>
    <row r="669" spans="1:5" x14ac:dyDescent="0.25">
      <c r="A669" s="2" t="s">
        <v>883</v>
      </c>
      <c r="B669" s="2" t="s">
        <v>884</v>
      </c>
      <c r="C669" s="2">
        <v>6</v>
      </c>
      <c r="D669" t="str">
        <f t="shared" si="10"/>
        <v>CA-2014-127859_OFF-PA-10003641</v>
      </c>
      <c r="E669" t="str">
        <f>IF(COUNTIF(data1!$D:$D,D669)=0,"Missing in Data1","Present")</f>
        <v>Present</v>
      </c>
    </row>
    <row r="670" spans="1:5" x14ac:dyDescent="0.25">
      <c r="A670" s="2" t="s">
        <v>885</v>
      </c>
      <c r="B670" s="2" t="s">
        <v>886</v>
      </c>
      <c r="C670" s="2">
        <v>4</v>
      </c>
      <c r="D670" t="str">
        <f t="shared" si="10"/>
        <v>CA-2014-127866_OFF-AR-10003481</v>
      </c>
      <c r="E670" t="str">
        <f>IF(COUNTIF(data1!$D:$D,D670)=0,"Missing in Data1","Present")</f>
        <v>Present</v>
      </c>
    </row>
    <row r="671" spans="1:5" x14ac:dyDescent="0.25">
      <c r="A671" s="2" t="s">
        <v>885</v>
      </c>
      <c r="B671" s="2" t="s">
        <v>887</v>
      </c>
      <c r="C671" s="2">
        <v>2</v>
      </c>
      <c r="D671" t="str">
        <f t="shared" si="10"/>
        <v>CA-2014-127866_OFF-PA-10003971</v>
      </c>
      <c r="E671" t="str">
        <f>IF(COUNTIF(data1!$D:$D,D671)=0,"Missing in Data1","Present")</f>
        <v>Present</v>
      </c>
    </row>
    <row r="672" spans="1:5" x14ac:dyDescent="0.25">
      <c r="A672" s="2" t="s">
        <v>885</v>
      </c>
      <c r="B672" s="2" t="s">
        <v>34</v>
      </c>
      <c r="C672" s="2">
        <v>3</v>
      </c>
      <c r="D672" t="str">
        <f t="shared" si="10"/>
        <v>CA-2014-127866_OFF-ST-10001490</v>
      </c>
      <c r="E672" t="str">
        <f>IF(COUNTIF(data1!$D:$D,D672)=0,"Missing in Data1","Present")</f>
        <v>Present</v>
      </c>
    </row>
    <row r="673" spans="1:5" x14ac:dyDescent="0.25">
      <c r="A673" s="2" t="s">
        <v>885</v>
      </c>
      <c r="B673" s="2" t="s">
        <v>536</v>
      </c>
      <c r="C673" s="2">
        <v>2</v>
      </c>
      <c r="D673" t="str">
        <f t="shared" si="10"/>
        <v>CA-2014-127866_TEC-AC-10000023</v>
      </c>
      <c r="E673" t="str">
        <f>IF(COUNTIF(data1!$D:$D,D673)=0,"Missing in Data1","Present")</f>
        <v>Present</v>
      </c>
    </row>
    <row r="674" spans="1:5" x14ac:dyDescent="0.25">
      <c r="A674" s="2" t="s">
        <v>888</v>
      </c>
      <c r="B674" s="2" t="s">
        <v>889</v>
      </c>
      <c r="C674" s="2">
        <v>3</v>
      </c>
      <c r="D674" t="str">
        <f t="shared" si="10"/>
        <v>CA-2014-127936_OFF-AR-10002445</v>
      </c>
      <c r="E674" t="str">
        <f>IF(COUNTIF(data1!$D:$D,D674)=0,"Missing in Data1","Present")</f>
        <v>Present</v>
      </c>
    </row>
    <row r="675" spans="1:5" x14ac:dyDescent="0.25">
      <c r="A675" s="2" t="s">
        <v>890</v>
      </c>
      <c r="B675" s="2" t="s">
        <v>891</v>
      </c>
      <c r="C675" s="2">
        <v>5</v>
      </c>
      <c r="D675" t="str">
        <f t="shared" si="10"/>
        <v>CA-2014-127964_OFF-BI-10003429</v>
      </c>
      <c r="E675" t="str">
        <f>IF(COUNTIF(data1!$D:$D,D675)=0,"Missing in Data1","Present")</f>
        <v>Present</v>
      </c>
    </row>
    <row r="676" spans="1:5" x14ac:dyDescent="0.25">
      <c r="A676" s="2" t="s">
        <v>890</v>
      </c>
      <c r="B676" s="2" t="s">
        <v>404</v>
      </c>
      <c r="C676" s="2">
        <v>3</v>
      </c>
      <c r="D676" t="str">
        <f t="shared" si="10"/>
        <v>CA-2014-127964_OFF-BI-10004593</v>
      </c>
      <c r="E676" t="str">
        <f>IF(COUNTIF(data1!$D:$D,D676)=0,"Missing in Data1","Present")</f>
        <v>Present</v>
      </c>
    </row>
    <row r="677" spans="1:5" x14ac:dyDescent="0.25">
      <c r="A677" s="2" t="s">
        <v>890</v>
      </c>
      <c r="B677" s="2" t="s">
        <v>892</v>
      </c>
      <c r="C677" s="2">
        <v>1</v>
      </c>
      <c r="D677" t="str">
        <f t="shared" si="10"/>
        <v>CA-2014-127964_TEC-PH-10004700</v>
      </c>
      <c r="E677" t="str">
        <f>IF(COUNTIF(data1!$D:$D,D677)=0,"Missing in Data1","Present")</f>
        <v>Present</v>
      </c>
    </row>
    <row r="678" spans="1:5" x14ac:dyDescent="0.25">
      <c r="A678" s="2" t="s">
        <v>893</v>
      </c>
      <c r="B678" s="2" t="s">
        <v>894</v>
      </c>
      <c r="C678" s="2">
        <v>2</v>
      </c>
      <c r="D678" t="str">
        <f t="shared" si="10"/>
        <v>CA-2014-128055_OFF-AP-10002765</v>
      </c>
      <c r="E678" t="str">
        <f>IF(COUNTIF(data1!$D:$D,D678)=0,"Missing in Data1","Present")</f>
        <v>Present</v>
      </c>
    </row>
    <row r="679" spans="1:5" x14ac:dyDescent="0.25">
      <c r="A679" s="2" t="s">
        <v>893</v>
      </c>
      <c r="B679" s="2" t="s">
        <v>895</v>
      </c>
      <c r="C679" s="2">
        <v>2</v>
      </c>
      <c r="D679" t="str">
        <f t="shared" si="10"/>
        <v>CA-2014-128055_OFF-BI-10004390</v>
      </c>
      <c r="E679" t="str">
        <f>IF(COUNTIF(data1!$D:$D,D679)=0,"Missing in Data1","Present")</f>
        <v>Present</v>
      </c>
    </row>
    <row r="680" spans="1:5" x14ac:dyDescent="0.25">
      <c r="A680" s="2" t="s">
        <v>896</v>
      </c>
      <c r="B680" s="2" t="s">
        <v>897</v>
      </c>
      <c r="C680" s="2">
        <v>1</v>
      </c>
      <c r="D680" t="str">
        <f t="shared" si="10"/>
        <v>CA-2014-128062_OFF-PA-10001583</v>
      </c>
      <c r="E680" t="str">
        <f>IF(COUNTIF(data1!$D:$D,D680)=0,"Missing in Data1","Present")</f>
        <v>Present</v>
      </c>
    </row>
    <row r="681" spans="1:5" x14ac:dyDescent="0.25">
      <c r="A681" s="2" t="s">
        <v>898</v>
      </c>
      <c r="B681" s="2" t="s">
        <v>899</v>
      </c>
      <c r="C681" s="2">
        <v>2</v>
      </c>
      <c r="D681" t="str">
        <f t="shared" si="10"/>
        <v>CA-2014-128146_OFF-AR-10001919</v>
      </c>
      <c r="E681" t="str">
        <f>IF(COUNTIF(data1!$D:$D,D681)=0,"Missing in Data1","Present")</f>
        <v>Present</v>
      </c>
    </row>
    <row r="682" spans="1:5" x14ac:dyDescent="0.25">
      <c r="A682" s="2" t="s">
        <v>898</v>
      </c>
      <c r="B682" s="2" t="s">
        <v>900</v>
      </c>
      <c r="C682" s="2">
        <v>7</v>
      </c>
      <c r="D682" t="str">
        <f t="shared" si="10"/>
        <v>CA-2014-128146_TEC-PH-10004539</v>
      </c>
      <c r="E682" t="str">
        <f>IF(COUNTIF(data1!$D:$D,D682)=0,"Missing in Data1","Present")</f>
        <v>Present</v>
      </c>
    </row>
    <row r="683" spans="1:5" x14ac:dyDescent="0.25">
      <c r="A683" s="2" t="s">
        <v>901</v>
      </c>
      <c r="B683" s="2" t="s">
        <v>815</v>
      </c>
      <c r="C683" s="2">
        <v>10</v>
      </c>
      <c r="D683" t="str">
        <f t="shared" si="10"/>
        <v>CA-2014-128209_FUR-BO-10002213</v>
      </c>
      <c r="E683" t="str">
        <f>IF(COUNTIF(data1!$D:$D,D683)=0,"Missing in Data1","Present")</f>
        <v>Missing in Data1</v>
      </c>
    </row>
    <row r="684" spans="1:5" x14ac:dyDescent="0.25">
      <c r="A684" s="2" t="s">
        <v>901</v>
      </c>
      <c r="B684" s="2" t="s">
        <v>502</v>
      </c>
      <c r="C684" s="2">
        <v>3</v>
      </c>
      <c r="D684" t="str">
        <f t="shared" si="10"/>
        <v>CA-2014-128209_OFF-BI-10001359</v>
      </c>
      <c r="E684" t="str">
        <f>IF(COUNTIF(data1!$D:$D,D684)=0,"Missing in Data1","Present")</f>
        <v>Present</v>
      </c>
    </row>
    <row r="685" spans="1:5" x14ac:dyDescent="0.25">
      <c r="A685" s="2" t="s">
        <v>902</v>
      </c>
      <c r="B685" s="2" t="s">
        <v>903</v>
      </c>
      <c r="C685" s="2">
        <v>6</v>
      </c>
      <c r="D685" t="str">
        <f t="shared" si="10"/>
        <v>CA-2014-128237_OFF-AR-10000034</v>
      </c>
      <c r="E685" t="str">
        <f>IF(COUNTIF(data1!$D:$D,D685)=0,"Missing in Data1","Present")</f>
        <v>Present</v>
      </c>
    </row>
    <row r="686" spans="1:5" x14ac:dyDescent="0.25">
      <c r="A686" s="2" t="s">
        <v>902</v>
      </c>
      <c r="B686" s="2" t="s">
        <v>904</v>
      </c>
      <c r="C686" s="2">
        <v>2</v>
      </c>
      <c r="D686" t="str">
        <f t="shared" si="10"/>
        <v>CA-2014-128237_OFF-AR-10003338</v>
      </c>
      <c r="E686" t="str">
        <f>IF(COUNTIF(data1!$D:$D,D686)=0,"Missing in Data1","Present")</f>
        <v>Present</v>
      </c>
    </row>
    <row r="687" spans="1:5" x14ac:dyDescent="0.25">
      <c r="A687" s="2" t="s">
        <v>902</v>
      </c>
      <c r="B687" s="2" t="s">
        <v>617</v>
      </c>
      <c r="C687" s="2">
        <v>2</v>
      </c>
      <c r="D687" t="str">
        <f t="shared" si="10"/>
        <v>CA-2014-128237_OFF-AR-10003829</v>
      </c>
      <c r="E687" t="str">
        <f>IF(COUNTIF(data1!$D:$D,D687)=0,"Missing in Data1","Present")</f>
        <v>Present</v>
      </c>
    </row>
    <row r="688" spans="1:5" x14ac:dyDescent="0.25">
      <c r="A688" s="2" t="s">
        <v>906</v>
      </c>
      <c r="B688" s="2" t="s">
        <v>545</v>
      </c>
      <c r="C688" s="2">
        <v>1</v>
      </c>
      <c r="D688" t="str">
        <f t="shared" si="10"/>
        <v>CA-2014-128524_OFF-AP-10002892</v>
      </c>
      <c r="E688" t="str">
        <f>IF(COUNTIF(data1!$D:$D,D688)=0,"Missing in Data1","Present")</f>
        <v>Present</v>
      </c>
    </row>
    <row r="689" spans="1:5" x14ac:dyDescent="0.25">
      <c r="A689" s="2" t="s">
        <v>906</v>
      </c>
      <c r="B689" s="2" t="s">
        <v>907</v>
      </c>
      <c r="C689" s="2">
        <v>2</v>
      </c>
      <c r="D689" t="str">
        <f t="shared" si="10"/>
        <v>CA-2014-128524_OFF-BI-10003527</v>
      </c>
      <c r="E689" t="str">
        <f>IF(COUNTIF(data1!$D:$D,D689)=0,"Missing in Data1","Present")</f>
        <v>Present</v>
      </c>
    </row>
    <row r="690" spans="1:5" x14ac:dyDescent="0.25">
      <c r="A690" s="2" t="s">
        <v>906</v>
      </c>
      <c r="B690" s="2" t="s">
        <v>212</v>
      </c>
      <c r="C690" s="2">
        <v>7</v>
      </c>
      <c r="D690" t="str">
        <f t="shared" si="10"/>
        <v>CA-2014-128524_TEC-AC-10002718</v>
      </c>
      <c r="E690" t="str">
        <f>IF(COUNTIF(data1!$D:$D,D690)=0,"Missing in Data1","Present")</f>
        <v>Present</v>
      </c>
    </row>
    <row r="691" spans="1:5" x14ac:dyDescent="0.25">
      <c r="A691" s="2" t="s">
        <v>908</v>
      </c>
      <c r="B691" s="2" t="s">
        <v>909</v>
      </c>
      <c r="C691" s="2">
        <v>1</v>
      </c>
      <c r="D691" t="str">
        <f t="shared" si="10"/>
        <v>CA-2014-128538_OFF-EN-10001219</v>
      </c>
      <c r="E691" t="str">
        <f>IF(COUNTIF(data1!$D:$D,D691)=0,"Missing in Data1","Present")</f>
        <v>Present</v>
      </c>
    </row>
    <row r="692" spans="1:5" x14ac:dyDescent="0.25">
      <c r="A692" s="2" t="s">
        <v>912</v>
      </c>
      <c r="B692" s="2" t="s">
        <v>913</v>
      </c>
      <c r="C692" s="2">
        <v>9</v>
      </c>
      <c r="D692" t="str">
        <f t="shared" si="10"/>
        <v>CA-2014-128839_OFF-FA-10002280</v>
      </c>
      <c r="E692" t="str">
        <f>IF(COUNTIF(data1!$D:$D,D692)=0,"Missing in Data1","Present")</f>
        <v>Present</v>
      </c>
    </row>
    <row r="693" spans="1:5" x14ac:dyDescent="0.25">
      <c r="A693" s="2" t="s">
        <v>912</v>
      </c>
      <c r="B693" s="2" t="s">
        <v>55</v>
      </c>
      <c r="C693" s="2">
        <v>3</v>
      </c>
      <c r="D693" t="str">
        <f t="shared" si="10"/>
        <v>CA-2014-128839_TEC-MA-10000029</v>
      </c>
      <c r="E693" t="str">
        <f>IF(COUNTIF(data1!$D:$D,D693)=0,"Missing in Data1","Present")</f>
        <v>Present</v>
      </c>
    </row>
    <row r="694" spans="1:5" x14ac:dyDescent="0.25">
      <c r="A694" s="2" t="s">
        <v>914</v>
      </c>
      <c r="B694" s="2" t="s">
        <v>915</v>
      </c>
      <c r="C694" s="2">
        <v>3</v>
      </c>
      <c r="D694" t="str">
        <f t="shared" si="10"/>
        <v>CA-2014-128846_OFF-PA-10000100</v>
      </c>
      <c r="E694" t="str">
        <f>IF(COUNTIF(data1!$D:$D,D694)=0,"Missing in Data1","Present")</f>
        <v>Present</v>
      </c>
    </row>
    <row r="695" spans="1:5" x14ac:dyDescent="0.25">
      <c r="A695" s="2" t="s">
        <v>914</v>
      </c>
      <c r="B695" s="2" t="s">
        <v>31</v>
      </c>
      <c r="C695" s="2">
        <v>5</v>
      </c>
      <c r="D695" t="str">
        <f t="shared" si="10"/>
        <v>CA-2014-128846_TEC-PH-10003273</v>
      </c>
      <c r="E695" t="str">
        <f>IF(COUNTIF(data1!$D:$D,D695)=0,"Missing in Data1","Present")</f>
        <v>Present</v>
      </c>
    </row>
    <row r="696" spans="1:5" x14ac:dyDescent="0.25">
      <c r="A696" s="2" t="s">
        <v>916</v>
      </c>
      <c r="B696" s="2" t="s">
        <v>917</v>
      </c>
      <c r="C696" s="2">
        <v>9</v>
      </c>
      <c r="D696" t="str">
        <f t="shared" si="10"/>
        <v>CA-2014-128888_OFF-EN-10003001</v>
      </c>
      <c r="E696" t="str">
        <f>IF(COUNTIF(data1!$D:$D,D696)=0,"Missing in Data1","Present")</f>
        <v>Present</v>
      </c>
    </row>
    <row r="697" spans="1:5" x14ac:dyDescent="0.25">
      <c r="A697" s="2" t="s">
        <v>919</v>
      </c>
      <c r="B697" s="2" t="s">
        <v>920</v>
      </c>
      <c r="C697" s="2">
        <v>3</v>
      </c>
      <c r="D697" t="str">
        <f t="shared" si="10"/>
        <v>CA-2014-129091_OFF-AP-10002734</v>
      </c>
      <c r="E697" t="str">
        <f>IF(COUNTIF(data1!$D:$D,D697)=0,"Missing in Data1","Present")</f>
        <v>Present</v>
      </c>
    </row>
    <row r="698" spans="1:5" x14ac:dyDescent="0.25">
      <c r="A698" s="2" t="s">
        <v>919</v>
      </c>
      <c r="B698" s="2" t="s">
        <v>921</v>
      </c>
      <c r="C698" s="2">
        <v>5</v>
      </c>
      <c r="D698" t="str">
        <f t="shared" si="10"/>
        <v>CA-2014-129091_OFF-BI-10001071</v>
      </c>
      <c r="E698" t="str">
        <f>IF(COUNTIF(data1!$D:$D,D698)=0,"Missing in Data1","Present")</f>
        <v>Present</v>
      </c>
    </row>
    <row r="699" spans="1:5" x14ac:dyDescent="0.25">
      <c r="A699" s="2" t="s">
        <v>919</v>
      </c>
      <c r="B699" s="2" t="s">
        <v>281</v>
      </c>
      <c r="C699" s="2">
        <v>2</v>
      </c>
      <c r="D699" t="str">
        <f t="shared" si="10"/>
        <v>CA-2014-129091_OFF-EN-10001990</v>
      </c>
      <c r="E699" t="str">
        <f>IF(COUNTIF(data1!$D:$D,D699)=0,"Missing in Data1","Present")</f>
        <v>Present</v>
      </c>
    </row>
    <row r="700" spans="1:5" x14ac:dyDescent="0.25">
      <c r="A700" s="2" t="s">
        <v>919</v>
      </c>
      <c r="B700" s="2" t="s">
        <v>198</v>
      </c>
      <c r="C700" s="2">
        <v>3</v>
      </c>
      <c r="D700" t="str">
        <f t="shared" si="10"/>
        <v>CA-2014-129091_OFF-EN-10004955</v>
      </c>
      <c r="E700" t="str">
        <f>IF(COUNTIF(data1!$D:$D,D700)=0,"Missing in Data1","Present")</f>
        <v>Present</v>
      </c>
    </row>
    <row r="701" spans="1:5" x14ac:dyDescent="0.25">
      <c r="A701" s="2" t="s">
        <v>922</v>
      </c>
      <c r="B701" s="2" t="s">
        <v>2048</v>
      </c>
      <c r="C701" s="2">
        <v>3</v>
      </c>
      <c r="D701" t="str">
        <f t="shared" si="10"/>
        <v>CA-2014-129147_OFF-BI-10001098</v>
      </c>
      <c r="E701" t="str">
        <f>IF(COUNTIF(data1!$D:$D,D701)=0,"Missing in Data1","Present")</f>
        <v>Missing in Data1</v>
      </c>
    </row>
    <row r="702" spans="1:5" x14ac:dyDescent="0.25">
      <c r="A702" s="2" t="s">
        <v>922</v>
      </c>
      <c r="B702" s="2" t="s">
        <v>923</v>
      </c>
      <c r="C702" s="2">
        <v>6</v>
      </c>
      <c r="D702" t="str">
        <f t="shared" si="10"/>
        <v>CA-2014-129147_TEC-PH-10001299</v>
      </c>
      <c r="E702" t="str">
        <f>IF(COUNTIF(data1!$D:$D,D702)=0,"Missing in Data1","Present")</f>
        <v>Present</v>
      </c>
    </row>
    <row r="703" spans="1:5" x14ac:dyDescent="0.25">
      <c r="A703" s="2" t="s">
        <v>922</v>
      </c>
      <c r="B703" s="2" t="s">
        <v>924</v>
      </c>
      <c r="C703" s="2">
        <v>7</v>
      </c>
      <c r="D703" t="str">
        <f t="shared" si="10"/>
        <v>CA-2014-129147_TEC-PH-10001552</v>
      </c>
      <c r="E703" t="str">
        <f>IF(COUNTIF(data1!$D:$D,D703)=0,"Missing in Data1","Present")</f>
        <v>Present</v>
      </c>
    </row>
    <row r="704" spans="1:5" x14ac:dyDescent="0.25">
      <c r="A704" s="2" t="s">
        <v>925</v>
      </c>
      <c r="B704" s="2" t="s">
        <v>926</v>
      </c>
      <c r="C704" s="2">
        <v>3</v>
      </c>
      <c r="D704" t="str">
        <f t="shared" si="10"/>
        <v>CA-2014-129168_OFF-PA-10001639</v>
      </c>
      <c r="E704" t="str">
        <f>IF(COUNTIF(data1!$D:$D,D704)=0,"Missing in Data1","Present")</f>
        <v>Present</v>
      </c>
    </row>
    <row r="705" spans="1:5" x14ac:dyDescent="0.25">
      <c r="A705" s="2" t="s">
        <v>927</v>
      </c>
      <c r="B705" s="2" t="s">
        <v>680</v>
      </c>
      <c r="C705" s="2">
        <v>5</v>
      </c>
      <c r="D705" t="str">
        <f t="shared" si="10"/>
        <v>CA-2014-129189_FUR-CH-10004997</v>
      </c>
      <c r="E705" t="str">
        <f>IF(COUNTIF(data1!$D:$D,D705)=0,"Missing in Data1","Present")</f>
        <v>Present</v>
      </c>
    </row>
    <row r="706" spans="1:5" x14ac:dyDescent="0.25">
      <c r="A706" s="2" t="s">
        <v>927</v>
      </c>
      <c r="B706" s="2" t="s">
        <v>5941</v>
      </c>
      <c r="C706" s="2">
        <v>3</v>
      </c>
      <c r="D706" t="str">
        <f t="shared" si="10"/>
        <v>CA-2014-129189_OFF-AP-10000124</v>
      </c>
      <c r="E706" t="str">
        <f>IF(COUNTIF(data1!$D:$D,D706)=0,"Missing in Data1","Present")</f>
        <v>Missing in Data1</v>
      </c>
    </row>
    <row r="707" spans="1:5" x14ac:dyDescent="0.25">
      <c r="A707" s="2" t="s">
        <v>927</v>
      </c>
      <c r="B707" s="2" t="s">
        <v>492</v>
      </c>
      <c r="C707" s="2">
        <v>1</v>
      </c>
      <c r="D707" t="str">
        <f t="shared" ref="D707:D770" si="11">A707&amp;"_"&amp;B707</f>
        <v>CA-2014-129189_OFF-BI-10000494</v>
      </c>
      <c r="E707" t="str">
        <f>IF(COUNTIF(data1!$D:$D,D707)=0,"Missing in Data1","Present")</f>
        <v>Present</v>
      </c>
    </row>
    <row r="708" spans="1:5" x14ac:dyDescent="0.25">
      <c r="A708" s="2" t="s">
        <v>927</v>
      </c>
      <c r="B708" s="2" t="s">
        <v>928</v>
      </c>
      <c r="C708" s="2">
        <v>5</v>
      </c>
      <c r="D708" t="str">
        <f t="shared" si="11"/>
        <v>CA-2014-129189_OFF-EN-10003567</v>
      </c>
      <c r="E708" t="str">
        <f>IF(COUNTIF(data1!$D:$D,D708)=0,"Missing in Data1","Present")</f>
        <v>Present</v>
      </c>
    </row>
    <row r="709" spans="1:5" x14ac:dyDescent="0.25">
      <c r="A709" s="2" t="s">
        <v>929</v>
      </c>
      <c r="B709" s="2" t="s">
        <v>329</v>
      </c>
      <c r="C709" s="2">
        <v>5</v>
      </c>
      <c r="D709" t="str">
        <f t="shared" si="11"/>
        <v>CA-2014-129364_OFF-LA-10004409</v>
      </c>
      <c r="E709" t="str">
        <f>IF(COUNTIF(data1!$D:$D,D709)=0,"Missing in Data1","Present")</f>
        <v>Present</v>
      </c>
    </row>
    <row r="710" spans="1:5" x14ac:dyDescent="0.25">
      <c r="A710" s="2" t="s">
        <v>929</v>
      </c>
      <c r="B710" s="2" t="s">
        <v>932</v>
      </c>
      <c r="C710" s="2">
        <v>3</v>
      </c>
      <c r="D710" t="str">
        <f t="shared" si="11"/>
        <v>CA-2014-129364_OFF-ST-10001031</v>
      </c>
      <c r="E710" t="str">
        <f>IF(COUNTIF(data1!$D:$D,D710)=0,"Missing in Data1","Present")</f>
        <v>Present</v>
      </c>
    </row>
    <row r="711" spans="1:5" x14ac:dyDescent="0.25">
      <c r="A711" s="2" t="s">
        <v>929</v>
      </c>
      <c r="B711" s="2" t="s">
        <v>933</v>
      </c>
      <c r="C711" s="2">
        <v>5</v>
      </c>
      <c r="D711" t="str">
        <f t="shared" si="11"/>
        <v>CA-2014-129364_OFF-SU-10000432</v>
      </c>
      <c r="E711" t="str">
        <f>IF(COUNTIF(data1!$D:$D,D711)=0,"Missing in Data1","Present")</f>
        <v>Present</v>
      </c>
    </row>
    <row r="712" spans="1:5" x14ac:dyDescent="0.25">
      <c r="A712" s="2" t="s">
        <v>929</v>
      </c>
      <c r="B712" s="2" t="s">
        <v>963</v>
      </c>
      <c r="C712" s="2">
        <v>10</v>
      </c>
      <c r="D712" t="str">
        <f t="shared" si="11"/>
        <v>CA-2014-129364_TEC-AC-10004227</v>
      </c>
      <c r="E712" t="str">
        <f>IF(COUNTIF(data1!$D:$D,D712)=0,"Missing in Data1","Present")</f>
        <v>Missing in Data1</v>
      </c>
    </row>
    <row r="713" spans="1:5" x14ac:dyDescent="0.25">
      <c r="A713" s="2" t="s">
        <v>929</v>
      </c>
      <c r="B713" s="2" t="s">
        <v>934</v>
      </c>
      <c r="C713" s="2">
        <v>3</v>
      </c>
      <c r="D713" t="str">
        <f t="shared" si="11"/>
        <v>CA-2014-129364_TEC-PH-10003095</v>
      </c>
      <c r="E713" t="str">
        <f>IF(COUNTIF(data1!$D:$D,D713)=0,"Missing in Data1","Present")</f>
        <v>Present</v>
      </c>
    </row>
    <row r="714" spans="1:5" x14ac:dyDescent="0.25">
      <c r="A714" s="2" t="s">
        <v>935</v>
      </c>
      <c r="B714" s="2" t="s">
        <v>936</v>
      </c>
      <c r="C714" s="2">
        <v>5</v>
      </c>
      <c r="D714" t="str">
        <f t="shared" si="11"/>
        <v>CA-2014-129574_OFF-PA-10002893</v>
      </c>
      <c r="E714" t="str">
        <f>IF(COUNTIF(data1!$D:$D,D714)=0,"Missing in Data1","Present")</f>
        <v>Present</v>
      </c>
    </row>
    <row r="715" spans="1:5" x14ac:dyDescent="0.25">
      <c r="A715" s="2" t="s">
        <v>937</v>
      </c>
      <c r="B715" s="2" t="s">
        <v>651</v>
      </c>
      <c r="C715" s="2">
        <v>3</v>
      </c>
      <c r="D715" t="str">
        <f t="shared" si="11"/>
        <v>CA-2014-129819_OFF-BI-10004970</v>
      </c>
      <c r="E715" t="str">
        <f>IF(COUNTIF(data1!$D:$D,D715)=0,"Missing in Data1","Present")</f>
        <v>Present</v>
      </c>
    </row>
    <row r="716" spans="1:5" x14ac:dyDescent="0.25">
      <c r="A716" s="2" t="s">
        <v>938</v>
      </c>
      <c r="B716" s="2" t="s">
        <v>939</v>
      </c>
      <c r="C716" s="2">
        <v>3</v>
      </c>
      <c r="D716" t="str">
        <f t="shared" si="11"/>
        <v>CA-2014-129924_FUR-TA-10004575</v>
      </c>
      <c r="E716" t="str">
        <f>IF(COUNTIF(data1!$D:$D,D716)=0,"Missing in Data1","Present")</f>
        <v>Present</v>
      </c>
    </row>
    <row r="717" spans="1:5" x14ac:dyDescent="0.25">
      <c r="A717" s="2" t="s">
        <v>938</v>
      </c>
      <c r="B717" s="2" t="s">
        <v>940</v>
      </c>
      <c r="C717" s="2">
        <v>2</v>
      </c>
      <c r="D717" t="str">
        <f t="shared" si="11"/>
        <v>CA-2014-129924_OFF-BI-10003314</v>
      </c>
      <c r="E717" t="str">
        <f>IF(COUNTIF(data1!$D:$D,D717)=0,"Missing in Data1","Present")</f>
        <v>Present</v>
      </c>
    </row>
    <row r="718" spans="1:5" x14ac:dyDescent="0.25">
      <c r="A718" s="2" t="s">
        <v>941</v>
      </c>
      <c r="B718" s="2" t="s">
        <v>373</v>
      </c>
      <c r="C718" s="2">
        <v>7</v>
      </c>
      <c r="D718" t="str">
        <f t="shared" si="11"/>
        <v>CA-2014-129938_FUR-CH-10003774</v>
      </c>
      <c r="E718" t="str">
        <f>IF(COUNTIF(data1!$D:$D,D718)=0,"Missing in Data1","Present")</f>
        <v>Present</v>
      </c>
    </row>
    <row r="719" spans="1:5" x14ac:dyDescent="0.25">
      <c r="A719" s="2" t="s">
        <v>942</v>
      </c>
      <c r="B719" s="2" t="s">
        <v>856</v>
      </c>
      <c r="C719" s="2">
        <v>2</v>
      </c>
      <c r="D719" t="str">
        <f t="shared" si="11"/>
        <v>CA-2014-130092_FUR-FU-10000010</v>
      </c>
      <c r="E719" t="str">
        <f>IF(COUNTIF(data1!$D:$D,D719)=0,"Missing in Data1","Present")</f>
        <v>Present</v>
      </c>
    </row>
    <row r="720" spans="1:5" x14ac:dyDescent="0.25">
      <c r="A720" s="2" t="s">
        <v>943</v>
      </c>
      <c r="B720" s="2" t="s">
        <v>122</v>
      </c>
      <c r="C720" s="2">
        <v>5</v>
      </c>
      <c r="D720" t="str">
        <f t="shared" si="11"/>
        <v>CA-2014-130155_OFF-SU-10004737</v>
      </c>
      <c r="E720" t="str">
        <f>IF(COUNTIF(data1!$D:$D,D720)=0,"Missing in Data1","Present")</f>
        <v>Present</v>
      </c>
    </row>
    <row r="721" spans="1:5" x14ac:dyDescent="0.25">
      <c r="A721" s="2" t="s">
        <v>944</v>
      </c>
      <c r="B721" s="2" t="s">
        <v>945</v>
      </c>
      <c r="C721" s="2">
        <v>7</v>
      </c>
      <c r="D721" t="str">
        <f t="shared" si="11"/>
        <v>CA-2014-130274_OFF-LA-10002195</v>
      </c>
      <c r="E721" t="str">
        <f>IF(COUNTIF(data1!$D:$D,D721)=0,"Missing in Data1","Present")</f>
        <v>Present</v>
      </c>
    </row>
    <row r="722" spans="1:5" x14ac:dyDescent="0.25">
      <c r="A722" s="2" t="s">
        <v>946</v>
      </c>
      <c r="B722" s="2" t="s">
        <v>947</v>
      </c>
      <c r="C722" s="2">
        <v>3</v>
      </c>
      <c r="D722" t="str">
        <f t="shared" si="11"/>
        <v>CA-2014-130421_OFF-AP-10002534</v>
      </c>
      <c r="E722" t="str">
        <f>IF(COUNTIF(data1!$D:$D,D722)=0,"Missing in Data1","Present")</f>
        <v>Present</v>
      </c>
    </row>
    <row r="723" spans="1:5" x14ac:dyDescent="0.25">
      <c r="A723" s="2" t="s">
        <v>948</v>
      </c>
      <c r="B723" s="2" t="s">
        <v>949</v>
      </c>
      <c r="C723" s="2">
        <v>7</v>
      </c>
      <c r="D723" t="str">
        <f t="shared" si="11"/>
        <v>CA-2014-130428_FUR-CH-10002965</v>
      </c>
      <c r="E723" t="str">
        <f>IF(COUNTIF(data1!$D:$D,D723)=0,"Missing in Data1","Present")</f>
        <v>Present</v>
      </c>
    </row>
    <row r="724" spans="1:5" x14ac:dyDescent="0.25">
      <c r="A724" s="2" t="s">
        <v>948</v>
      </c>
      <c r="B724" s="2" t="s">
        <v>950</v>
      </c>
      <c r="C724" s="2">
        <v>2</v>
      </c>
      <c r="D724" t="str">
        <f t="shared" si="11"/>
        <v>CA-2014-130428_OFF-AR-10004027</v>
      </c>
      <c r="E724" t="str">
        <f>IF(COUNTIF(data1!$D:$D,D724)=0,"Missing in Data1","Present")</f>
        <v>Present</v>
      </c>
    </row>
    <row r="725" spans="1:5" x14ac:dyDescent="0.25">
      <c r="A725" s="2" t="s">
        <v>952</v>
      </c>
      <c r="B725" s="2" t="s">
        <v>543</v>
      </c>
      <c r="C725" s="2">
        <v>6</v>
      </c>
      <c r="D725" t="str">
        <f t="shared" si="11"/>
        <v>CA-2014-130449_FUR-FU-10001487</v>
      </c>
      <c r="E725" t="str">
        <f>IF(COUNTIF(data1!$D:$D,D725)=0,"Missing in Data1","Present")</f>
        <v>Present</v>
      </c>
    </row>
    <row r="726" spans="1:5" x14ac:dyDescent="0.25">
      <c r="A726" s="2" t="s">
        <v>952</v>
      </c>
      <c r="B726" s="2" t="s">
        <v>953</v>
      </c>
      <c r="C726" s="2">
        <v>8</v>
      </c>
      <c r="D726" t="str">
        <f t="shared" si="11"/>
        <v>CA-2014-130449_OFF-LA-10001934</v>
      </c>
      <c r="E726" t="str">
        <f>IF(COUNTIF(data1!$D:$D,D726)=0,"Missing in Data1","Present")</f>
        <v>Present</v>
      </c>
    </row>
    <row r="727" spans="1:5" x14ac:dyDescent="0.25">
      <c r="A727" s="2" t="s">
        <v>954</v>
      </c>
      <c r="B727" s="2" t="s">
        <v>955</v>
      </c>
      <c r="C727" s="2">
        <v>3</v>
      </c>
      <c r="D727" t="str">
        <f t="shared" si="11"/>
        <v>CA-2014-130575_OFF-BI-10002353</v>
      </c>
      <c r="E727" t="str">
        <f>IF(COUNTIF(data1!$D:$D,D727)=0,"Missing in Data1","Present")</f>
        <v>Present</v>
      </c>
    </row>
    <row r="728" spans="1:5" x14ac:dyDescent="0.25">
      <c r="A728" s="2" t="s">
        <v>956</v>
      </c>
      <c r="B728" s="2" t="s">
        <v>706</v>
      </c>
      <c r="C728" s="2">
        <v>3</v>
      </c>
      <c r="D728" t="str">
        <f t="shared" si="11"/>
        <v>CA-2014-130624_OFF-AP-10001303</v>
      </c>
      <c r="E728" t="str">
        <f>IF(COUNTIF(data1!$D:$D,D728)=0,"Missing in Data1","Present")</f>
        <v>Present</v>
      </c>
    </row>
    <row r="729" spans="1:5" x14ac:dyDescent="0.25">
      <c r="A729" s="2" t="s">
        <v>956</v>
      </c>
      <c r="B729" s="2" t="s">
        <v>957</v>
      </c>
      <c r="C729" s="2">
        <v>3</v>
      </c>
      <c r="D729" t="str">
        <f t="shared" si="11"/>
        <v>CA-2014-130624_OFF-PA-10003883</v>
      </c>
      <c r="E729" t="str">
        <f>IF(COUNTIF(data1!$D:$D,D729)=0,"Missing in Data1","Present")</f>
        <v>Present</v>
      </c>
    </row>
    <row r="730" spans="1:5" x14ac:dyDescent="0.25">
      <c r="A730" s="2" t="s">
        <v>956</v>
      </c>
      <c r="B730" s="2" t="s">
        <v>958</v>
      </c>
      <c r="C730" s="2">
        <v>3</v>
      </c>
      <c r="D730" t="str">
        <f t="shared" si="11"/>
        <v>CA-2014-130624_TEC-PH-10003963</v>
      </c>
      <c r="E730" t="str">
        <f>IF(COUNTIF(data1!$D:$D,D730)=0,"Missing in Data1","Present")</f>
        <v>Present</v>
      </c>
    </row>
    <row r="731" spans="1:5" x14ac:dyDescent="0.25">
      <c r="A731" s="2" t="s">
        <v>959</v>
      </c>
      <c r="B731" s="2" t="s">
        <v>960</v>
      </c>
      <c r="C731" s="2">
        <v>3</v>
      </c>
      <c r="D731" t="str">
        <f t="shared" si="11"/>
        <v>CA-2014-130673_FUR-FU-10003489</v>
      </c>
      <c r="E731" t="str">
        <f>IF(COUNTIF(data1!$D:$D,D731)=0,"Missing in Data1","Present")</f>
        <v>Present</v>
      </c>
    </row>
    <row r="732" spans="1:5" x14ac:dyDescent="0.25">
      <c r="A732" s="2" t="s">
        <v>959</v>
      </c>
      <c r="B732" s="2" t="s">
        <v>961</v>
      </c>
      <c r="C732" s="2">
        <v>2</v>
      </c>
      <c r="D732" t="str">
        <f t="shared" si="11"/>
        <v>CA-2014-130673_OFF-PA-10000289</v>
      </c>
      <c r="E732" t="str">
        <f>IF(COUNTIF(data1!$D:$D,D732)=0,"Missing in Data1","Present")</f>
        <v>Present</v>
      </c>
    </row>
    <row r="733" spans="1:5" x14ac:dyDescent="0.25">
      <c r="A733" s="2" t="s">
        <v>959</v>
      </c>
      <c r="B733" s="2" t="s">
        <v>962</v>
      </c>
      <c r="C733" s="2">
        <v>5</v>
      </c>
      <c r="D733" t="str">
        <f t="shared" si="11"/>
        <v>CA-2014-130673_OFF-ST-10000636</v>
      </c>
      <c r="E733" t="str">
        <f>IF(COUNTIF(data1!$D:$D,D733)=0,"Missing in Data1","Present")</f>
        <v>Present</v>
      </c>
    </row>
    <row r="734" spans="1:5" x14ac:dyDescent="0.25">
      <c r="A734" s="2" t="s">
        <v>959</v>
      </c>
      <c r="B734" s="2" t="s">
        <v>963</v>
      </c>
      <c r="C734" s="2">
        <v>2</v>
      </c>
      <c r="D734" t="str">
        <f t="shared" si="11"/>
        <v>CA-2014-130673_TEC-AC-10004227</v>
      </c>
      <c r="E734" t="str">
        <f>IF(COUNTIF(data1!$D:$D,D734)=0,"Missing in Data1","Present")</f>
        <v>Present</v>
      </c>
    </row>
    <row r="735" spans="1:5" x14ac:dyDescent="0.25">
      <c r="A735" s="2" t="s">
        <v>964</v>
      </c>
      <c r="B735" s="2" t="s">
        <v>965</v>
      </c>
      <c r="C735" s="2">
        <v>3</v>
      </c>
      <c r="D735" t="str">
        <f t="shared" si="11"/>
        <v>CA-2014-130729_OFF-BI-10002706</v>
      </c>
      <c r="E735" t="str">
        <f>IF(COUNTIF(data1!$D:$D,D735)=0,"Missing in Data1","Present")</f>
        <v>Present</v>
      </c>
    </row>
    <row r="736" spans="1:5" x14ac:dyDescent="0.25">
      <c r="A736" s="2" t="s">
        <v>966</v>
      </c>
      <c r="B736" s="2" t="s">
        <v>572</v>
      </c>
      <c r="C736" s="2">
        <v>3</v>
      </c>
      <c r="D736" t="str">
        <f t="shared" si="11"/>
        <v>CA-2014-130813_OFF-PA-10002005</v>
      </c>
      <c r="E736" t="str">
        <f>IF(COUNTIF(data1!$D:$D,D736)=0,"Missing in Data1","Present")</f>
        <v>Present</v>
      </c>
    </row>
    <row r="737" spans="1:5" x14ac:dyDescent="0.25">
      <c r="A737" s="2" t="s">
        <v>967</v>
      </c>
      <c r="B737" s="2" t="s">
        <v>532</v>
      </c>
      <c r="C737" s="2">
        <v>3</v>
      </c>
      <c r="D737" t="str">
        <f t="shared" si="11"/>
        <v>CA-2014-130869_OFF-EN-10002600</v>
      </c>
      <c r="E737" t="str">
        <f>IF(COUNTIF(data1!$D:$D,D737)=0,"Missing in Data1","Present")</f>
        <v>Present</v>
      </c>
    </row>
    <row r="738" spans="1:5" x14ac:dyDescent="0.25">
      <c r="A738" s="2" t="s">
        <v>968</v>
      </c>
      <c r="B738" s="2" t="s">
        <v>969</v>
      </c>
      <c r="C738" s="2">
        <v>3</v>
      </c>
      <c r="D738" t="str">
        <f t="shared" si="11"/>
        <v>CA-2014-130918_OFF-SU-10003936</v>
      </c>
      <c r="E738" t="str">
        <f>IF(COUNTIF(data1!$D:$D,D738)=0,"Missing in Data1","Present")</f>
        <v>Present</v>
      </c>
    </row>
    <row r="739" spans="1:5" x14ac:dyDescent="0.25">
      <c r="A739" s="2" t="s">
        <v>970</v>
      </c>
      <c r="B739" s="2" t="s">
        <v>971</v>
      </c>
      <c r="C739" s="2">
        <v>3</v>
      </c>
      <c r="D739" t="str">
        <f t="shared" si="11"/>
        <v>CA-2014-130960_OFF-AR-10003651</v>
      </c>
      <c r="E739" t="str">
        <f>IF(COUNTIF(data1!$D:$D,D739)=0,"Missing in Data1","Present")</f>
        <v>Present</v>
      </c>
    </row>
    <row r="740" spans="1:5" x14ac:dyDescent="0.25">
      <c r="A740" s="2" t="s">
        <v>972</v>
      </c>
      <c r="B740" s="2" t="s">
        <v>461</v>
      </c>
      <c r="C740" s="2">
        <v>3</v>
      </c>
      <c r="D740" t="str">
        <f t="shared" si="11"/>
        <v>CA-2014-131002_FUR-FU-10004270</v>
      </c>
      <c r="E740" t="str">
        <f>IF(COUNTIF(data1!$D:$D,D740)=0,"Missing in Data1","Present")</f>
        <v>Present</v>
      </c>
    </row>
    <row r="741" spans="1:5" x14ac:dyDescent="0.25">
      <c r="A741" s="2" t="s">
        <v>972</v>
      </c>
      <c r="B741" s="2" t="s">
        <v>973</v>
      </c>
      <c r="C741" s="2">
        <v>6</v>
      </c>
      <c r="D741" t="str">
        <f t="shared" si="11"/>
        <v>CA-2014-131002_FUR-FU-10004665</v>
      </c>
      <c r="E741" t="str">
        <f>IF(COUNTIF(data1!$D:$D,D741)=0,"Missing in Data1","Present")</f>
        <v>Present</v>
      </c>
    </row>
    <row r="742" spans="1:5" x14ac:dyDescent="0.25">
      <c r="A742" s="2" t="s">
        <v>972</v>
      </c>
      <c r="B742" s="2" t="s">
        <v>974</v>
      </c>
      <c r="C742" s="2">
        <v>3</v>
      </c>
      <c r="D742" t="str">
        <f t="shared" si="11"/>
        <v>CA-2014-131002_OFF-BI-10000948</v>
      </c>
      <c r="E742" t="str">
        <f>IF(COUNTIF(data1!$D:$D,D742)=0,"Missing in Data1","Present")</f>
        <v>Present</v>
      </c>
    </row>
    <row r="743" spans="1:5" x14ac:dyDescent="0.25">
      <c r="A743" s="2" t="s">
        <v>972</v>
      </c>
      <c r="B743" s="2" t="s">
        <v>812</v>
      </c>
      <c r="C743" s="2">
        <v>2</v>
      </c>
      <c r="D743" t="str">
        <f t="shared" si="11"/>
        <v>CA-2014-131002_OFF-PA-10000223</v>
      </c>
      <c r="E743" t="str">
        <f>IF(COUNTIF(data1!$D:$D,D743)=0,"Missing in Data1","Present")</f>
        <v>Present</v>
      </c>
    </row>
    <row r="744" spans="1:5" x14ac:dyDescent="0.25">
      <c r="A744" s="2" t="s">
        <v>972</v>
      </c>
      <c r="B744" s="2" t="s">
        <v>742</v>
      </c>
      <c r="C744" s="2">
        <v>3</v>
      </c>
      <c r="D744" t="str">
        <f t="shared" si="11"/>
        <v>CA-2014-131002_TEC-PH-10000215</v>
      </c>
      <c r="E744" t="str">
        <f>IF(COUNTIF(data1!$D:$D,D744)=0,"Missing in Data1","Present")</f>
        <v>Present</v>
      </c>
    </row>
    <row r="745" spans="1:5" x14ac:dyDescent="0.25">
      <c r="A745" s="2" t="s">
        <v>975</v>
      </c>
      <c r="B745" s="2" t="s">
        <v>976</v>
      </c>
      <c r="C745" s="2">
        <v>6</v>
      </c>
      <c r="D745" t="str">
        <f t="shared" si="11"/>
        <v>CA-2014-131009_FUR-CH-10001270</v>
      </c>
      <c r="E745" t="str">
        <f>IF(COUNTIF(data1!$D:$D,D745)=0,"Missing in Data1","Present")</f>
        <v>Present</v>
      </c>
    </row>
    <row r="746" spans="1:5" x14ac:dyDescent="0.25">
      <c r="A746" s="2" t="s">
        <v>975</v>
      </c>
      <c r="B746" s="2" t="s">
        <v>538</v>
      </c>
      <c r="C746" s="2">
        <v>6</v>
      </c>
      <c r="D746" t="str">
        <f t="shared" si="11"/>
        <v>CA-2014-131009_FUR-FU-10001095</v>
      </c>
      <c r="E746" t="str">
        <f>IF(COUNTIF(data1!$D:$D,D746)=0,"Missing in Data1","Present")</f>
        <v>Present</v>
      </c>
    </row>
    <row r="747" spans="1:5" x14ac:dyDescent="0.25">
      <c r="A747" s="2" t="s">
        <v>975</v>
      </c>
      <c r="B747" s="2" t="s">
        <v>977</v>
      </c>
      <c r="C747" s="2">
        <v>5</v>
      </c>
      <c r="D747" t="str">
        <f t="shared" si="11"/>
        <v>CA-2014-131009_OFF-FA-10004395</v>
      </c>
      <c r="E747" t="str">
        <f>IF(COUNTIF(data1!$D:$D,D747)=0,"Missing in Data1","Present")</f>
        <v>Present</v>
      </c>
    </row>
    <row r="748" spans="1:5" x14ac:dyDescent="0.25">
      <c r="A748" s="2" t="s">
        <v>975</v>
      </c>
      <c r="B748" s="2" t="s">
        <v>764</v>
      </c>
      <c r="C748" s="2">
        <v>3</v>
      </c>
      <c r="D748" t="str">
        <f t="shared" si="11"/>
        <v>CA-2014-131009_OFF-ST-10001469</v>
      </c>
      <c r="E748" t="str">
        <f>IF(COUNTIF(data1!$D:$D,D748)=0,"Missing in Data1","Present")</f>
        <v>Present</v>
      </c>
    </row>
    <row r="749" spans="1:5" x14ac:dyDescent="0.25">
      <c r="A749" s="2" t="s">
        <v>978</v>
      </c>
      <c r="B749" s="2" t="s">
        <v>979</v>
      </c>
      <c r="C749" s="2">
        <v>3</v>
      </c>
      <c r="D749" t="str">
        <f t="shared" si="11"/>
        <v>CA-2014-131051_FUR-FU-10001861</v>
      </c>
      <c r="E749" t="str">
        <f>IF(COUNTIF(data1!$D:$D,D749)=0,"Missing in Data1","Present")</f>
        <v>Present</v>
      </c>
    </row>
    <row r="750" spans="1:5" x14ac:dyDescent="0.25">
      <c r="A750" s="2" t="s">
        <v>980</v>
      </c>
      <c r="B750" s="2" t="s">
        <v>69</v>
      </c>
      <c r="C750" s="2">
        <v>2</v>
      </c>
      <c r="D750" t="str">
        <f t="shared" si="11"/>
        <v>CA-2014-131247_FUR-BO-10001337</v>
      </c>
      <c r="E750" t="str">
        <f>IF(COUNTIF(data1!$D:$D,D750)=0,"Missing in Data1","Present")</f>
        <v>Present</v>
      </c>
    </row>
    <row r="751" spans="1:5" x14ac:dyDescent="0.25">
      <c r="A751" s="2" t="s">
        <v>981</v>
      </c>
      <c r="B751" s="2" t="s">
        <v>501</v>
      </c>
      <c r="C751" s="2">
        <v>4</v>
      </c>
      <c r="D751" t="str">
        <f t="shared" si="11"/>
        <v>CA-2014-131310_FUR-CH-10001797</v>
      </c>
      <c r="E751" t="str">
        <f>IF(COUNTIF(data1!$D:$D,D751)=0,"Missing in Data1","Present")</f>
        <v>Present</v>
      </c>
    </row>
    <row r="752" spans="1:5" x14ac:dyDescent="0.25">
      <c r="A752" s="2" t="s">
        <v>981</v>
      </c>
      <c r="B752" s="2" t="s">
        <v>982</v>
      </c>
      <c r="C752" s="2">
        <v>4</v>
      </c>
      <c r="D752" t="str">
        <f t="shared" si="11"/>
        <v>CA-2014-131310_OFF-BI-10003094</v>
      </c>
      <c r="E752" t="str">
        <f>IF(COUNTIF(data1!$D:$D,D752)=0,"Missing in Data1","Present")</f>
        <v>Present</v>
      </c>
    </row>
    <row r="753" spans="1:5" x14ac:dyDescent="0.25">
      <c r="A753" s="2" t="s">
        <v>983</v>
      </c>
      <c r="B753" s="2" t="s">
        <v>984</v>
      </c>
      <c r="C753" s="2">
        <v>5</v>
      </c>
      <c r="D753" t="str">
        <f t="shared" si="11"/>
        <v>CA-2014-131387_TEC-PH-10001459</v>
      </c>
      <c r="E753" t="str">
        <f>IF(COUNTIF(data1!$D:$D,D753)=0,"Missing in Data1","Present")</f>
        <v>Present</v>
      </c>
    </row>
    <row r="754" spans="1:5" x14ac:dyDescent="0.25">
      <c r="A754" s="2" t="s">
        <v>985</v>
      </c>
      <c r="B754" s="2" t="s">
        <v>1845</v>
      </c>
      <c r="C754" s="2">
        <v>8</v>
      </c>
      <c r="D754" t="str">
        <f t="shared" si="11"/>
        <v>CA-2014-131450_FUR-FU-10001979</v>
      </c>
      <c r="E754" t="str">
        <f>IF(COUNTIF(data1!$D:$D,D754)=0,"Missing in Data1","Present")</f>
        <v>Missing in Data1</v>
      </c>
    </row>
    <row r="755" spans="1:5" x14ac:dyDescent="0.25">
      <c r="A755" s="2" t="s">
        <v>985</v>
      </c>
      <c r="B755" s="2" t="s">
        <v>326</v>
      </c>
      <c r="C755" s="2">
        <v>2</v>
      </c>
      <c r="D755" t="str">
        <f t="shared" si="11"/>
        <v>CA-2014-131450_OFF-AP-10004708</v>
      </c>
      <c r="E755" t="str">
        <f>IF(COUNTIF(data1!$D:$D,D755)=0,"Missing in Data1","Present")</f>
        <v>Present</v>
      </c>
    </row>
    <row r="756" spans="1:5" x14ac:dyDescent="0.25">
      <c r="A756" s="2" t="s">
        <v>985</v>
      </c>
      <c r="B756" s="2" t="s">
        <v>986</v>
      </c>
      <c r="C756" s="2">
        <v>3</v>
      </c>
      <c r="D756" t="str">
        <f t="shared" si="11"/>
        <v>CA-2014-131450_TEC-CO-10004115</v>
      </c>
      <c r="E756" t="str">
        <f>IF(COUNTIF(data1!$D:$D,D756)=0,"Missing in Data1","Present")</f>
        <v>Present</v>
      </c>
    </row>
    <row r="757" spans="1:5" x14ac:dyDescent="0.25">
      <c r="A757" s="2" t="s">
        <v>985</v>
      </c>
      <c r="B757" s="2" t="s">
        <v>987</v>
      </c>
      <c r="C757" s="2">
        <v>5</v>
      </c>
      <c r="D757" t="str">
        <f t="shared" si="11"/>
        <v>CA-2014-131450_TEC-PH-10002398</v>
      </c>
      <c r="E757" t="str">
        <f>IF(COUNTIF(data1!$D:$D,D757)=0,"Missing in Data1","Present")</f>
        <v>Present</v>
      </c>
    </row>
    <row r="758" spans="1:5" x14ac:dyDescent="0.25">
      <c r="A758" s="2" t="s">
        <v>988</v>
      </c>
      <c r="B758" s="2" t="s">
        <v>989</v>
      </c>
      <c r="C758" s="2">
        <v>4</v>
      </c>
      <c r="D758" t="str">
        <f t="shared" si="11"/>
        <v>CA-2014-131527_TEC-PH-10001644</v>
      </c>
      <c r="E758" t="str">
        <f>IF(COUNTIF(data1!$D:$D,D758)=0,"Missing in Data1","Present")</f>
        <v>Present</v>
      </c>
    </row>
    <row r="759" spans="1:5" x14ac:dyDescent="0.25">
      <c r="A759" s="2" t="s">
        <v>990</v>
      </c>
      <c r="B759" s="2" t="s">
        <v>991</v>
      </c>
      <c r="C759" s="2">
        <v>6</v>
      </c>
      <c r="D759" t="str">
        <f t="shared" si="11"/>
        <v>CA-2014-131541_FUR-FU-10003623</v>
      </c>
      <c r="E759" t="str">
        <f>IF(COUNTIF(data1!$D:$D,D759)=0,"Missing in Data1","Present")</f>
        <v>Present</v>
      </c>
    </row>
    <row r="760" spans="1:5" x14ac:dyDescent="0.25">
      <c r="A760" s="2" t="s">
        <v>990</v>
      </c>
      <c r="B760" s="2" t="s">
        <v>992</v>
      </c>
      <c r="C760" s="2">
        <v>7</v>
      </c>
      <c r="D760" t="str">
        <f t="shared" si="11"/>
        <v>CA-2014-131541_OFF-EN-10000781</v>
      </c>
      <c r="E760" t="str">
        <f>IF(COUNTIF(data1!$D:$D,D760)=0,"Missing in Data1","Present")</f>
        <v>Present</v>
      </c>
    </row>
    <row r="761" spans="1:5" x14ac:dyDescent="0.25">
      <c r="A761" s="2" t="s">
        <v>990</v>
      </c>
      <c r="B761" s="2" t="s">
        <v>993</v>
      </c>
      <c r="C761" s="2">
        <v>5</v>
      </c>
      <c r="D761" t="str">
        <f t="shared" si="11"/>
        <v>CA-2014-131541_OFF-FA-10000621</v>
      </c>
      <c r="E761" t="str">
        <f>IF(COUNTIF(data1!$D:$D,D761)=0,"Missing in Data1","Present")</f>
        <v>Present</v>
      </c>
    </row>
    <row r="762" spans="1:5" x14ac:dyDescent="0.25">
      <c r="A762" s="2" t="s">
        <v>994</v>
      </c>
      <c r="B762" s="2" t="s">
        <v>891</v>
      </c>
      <c r="C762" s="2">
        <v>7</v>
      </c>
      <c r="D762" t="str">
        <f t="shared" si="11"/>
        <v>CA-2014-131800_OFF-BI-10003429</v>
      </c>
      <c r="E762" t="str">
        <f>IF(COUNTIF(data1!$D:$D,D762)=0,"Missing in Data1","Present")</f>
        <v>Present</v>
      </c>
    </row>
    <row r="763" spans="1:5" x14ac:dyDescent="0.25">
      <c r="A763" s="2" t="s">
        <v>996</v>
      </c>
      <c r="B763" s="2" t="s">
        <v>997</v>
      </c>
      <c r="C763" s="2">
        <v>4</v>
      </c>
      <c r="D763" t="str">
        <f t="shared" si="11"/>
        <v>CA-2014-131905_OFF-LA-10002787</v>
      </c>
      <c r="E763" t="str">
        <f>IF(COUNTIF(data1!$D:$D,D763)=0,"Missing in Data1","Present")</f>
        <v>Present</v>
      </c>
    </row>
    <row r="764" spans="1:5" x14ac:dyDescent="0.25">
      <c r="A764" s="2" t="s">
        <v>996</v>
      </c>
      <c r="B764" s="2" t="s">
        <v>107</v>
      </c>
      <c r="C764" s="2">
        <v>5</v>
      </c>
      <c r="D764" t="str">
        <f t="shared" si="11"/>
        <v>CA-2014-131905_TEC-PH-10001615</v>
      </c>
      <c r="E764" t="str">
        <f>IF(COUNTIF(data1!$D:$D,D764)=0,"Missing in Data1","Present")</f>
        <v>Missing in Data1</v>
      </c>
    </row>
    <row r="765" spans="1:5" x14ac:dyDescent="0.25">
      <c r="A765" s="2" t="s">
        <v>996</v>
      </c>
      <c r="B765" s="2" t="s">
        <v>998</v>
      </c>
      <c r="C765" s="2">
        <v>1</v>
      </c>
      <c r="D765" t="str">
        <f t="shared" si="11"/>
        <v>CA-2014-131905_TEC-PH-10003645</v>
      </c>
      <c r="E765" t="str">
        <f>IF(COUNTIF(data1!$D:$D,D765)=0,"Missing in Data1","Present")</f>
        <v>Present</v>
      </c>
    </row>
    <row r="766" spans="1:5" x14ac:dyDescent="0.25">
      <c r="A766" s="2" t="s">
        <v>999</v>
      </c>
      <c r="B766" s="2" t="s">
        <v>181</v>
      </c>
      <c r="C766" s="2">
        <v>7</v>
      </c>
      <c r="D766" t="str">
        <f t="shared" si="11"/>
        <v>CA-2014-131926_FUR-CH-10004063</v>
      </c>
      <c r="E766" t="str">
        <f>IF(COUNTIF(data1!$D:$D,D766)=0,"Missing in Data1","Present")</f>
        <v>Present</v>
      </c>
    </row>
    <row r="767" spans="1:5" x14ac:dyDescent="0.25">
      <c r="A767" s="2" t="s">
        <v>999</v>
      </c>
      <c r="B767" s="2" t="s">
        <v>1000</v>
      </c>
      <c r="C767" s="2">
        <v>5</v>
      </c>
      <c r="D767" t="str">
        <f t="shared" si="11"/>
        <v>CA-2014-131926_OFF-AP-10002945</v>
      </c>
      <c r="E767" t="str">
        <f>IF(COUNTIF(data1!$D:$D,D767)=0,"Missing in Data1","Present")</f>
        <v>Present</v>
      </c>
    </row>
    <row r="768" spans="1:5" x14ac:dyDescent="0.25">
      <c r="A768" s="2" t="s">
        <v>999</v>
      </c>
      <c r="B768" s="2" t="s">
        <v>1001</v>
      </c>
      <c r="C768" s="2">
        <v>4</v>
      </c>
      <c r="D768" t="str">
        <f t="shared" si="11"/>
        <v>CA-2014-131926_OFF-PA-10000061</v>
      </c>
      <c r="E768" t="str">
        <f>IF(COUNTIF(data1!$D:$D,D768)=0,"Missing in Data1","Present")</f>
        <v>Present</v>
      </c>
    </row>
    <row r="769" spans="1:5" x14ac:dyDescent="0.25">
      <c r="A769" s="2" t="s">
        <v>999</v>
      </c>
      <c r="B769" s="2" t="s">
        <v>25</v>
      </c>
      <c r="C769" s="2">
        <v>6</v>
      </c>
      <c r="D769" t="str">
        <f t="shared" si="11"/>
        <v>CA-2014-131926_OFF-PA-10004082</v>
      </c>
      <c r="E769" t="str">
        <f>IF(COUNTIF(data1!$D:$D,D769)=0,"Missing in Data1","Present")</f>
        <v>Present</v>
      </c>
    </row>
    <row r="770" spans="1:5" x14ac:dyDescent="0.25">
      <c r="A770" s="2" t="s">
        <v>999</v>
      </c>
      <c r="B770" s="2" t="s">
        <v>1002</v>
      </c>
      <c r="C770" s="2">
        <v>2</v>
      </c>
      <c r="D770" t="str">
        <f t="shared" si="11"/>
        <v>CA-2014-131926_OFF-ST-10002276</v>
      </c>
      <c r="E770" t="str">
        <f>IF(COUNTIF(data1!$D:$D,D770)=0,"Missing in Data1","Present")</f>
        <v>Present</v>
      </c>
    </row>
    <row r="771" spans="1:5" x14ac:dyDescent="0.25">
      <c r="A771" s="2" t="s">
        <v>1003</v>
      </c>
      <c r="B771" s="2" t="s">
        <v>1004</v>
      </c>
      <c r="C771" s="2">
        <v>3</v>
      </c>
      <c r="D771" t="str">
        <f t="shared" ref="D771:D834" si="12">A771&amp;"_"&amp;B771</f>
        <v>CA-2014-131947_OFF-AR-10000411</v>
      </c>
      <c r="E771" t="str">
        <f>IF(COUNTIF(data1!$D:$D,D771)=0,"Missing in Data1","Present")</f>
        <v>Present</v>
      </c>
    </row>
    <row r="772" spans="1:5" x14ac:dyDescent="0.25">
      <c r="A772" s="2" t="s">
        <v>1003</v>
      </c>
      <c r="B772" s="2" t="s">
        <v>1005</v>
      </c>
      <c r="C772" s="2">
        <v>2</v>
      </c>
      <c r="D772" t="str">
        <f t="shared" si="12"/>
        <v>CA-2014-131947_OFF-AR-10001473</v>
      </c>
      <c r="E772" t="str">
        <f>IF(COUNTIF(data1!$D:$D,D772)=0,"Missing in Data1","Present")</f>
        <v>Present</v>
      </c>
    </row>
    <row r="773" spans="1:5" x14ac:dyDescent="0.25">
      <c r="A773" s="2" t="s">
        <v>1003</v>
      </c>
      <c r="B773" s="2" t="s">
        <v>503</v>
      </c>
      <c r="C773" s="2">
        <v>5</v>
      </c>
      <c r="D773" t="str">
        <f t="shared" si="12"/>
        <v>CA-2014-131947_OFF-PA-10000246</v>
      </c>
      <c r="E773" t="str">
        <f>IF(COUNTIF(data1!$D:$D,D773)=0,"Missing in Data1","Present")</f>
        <v>Present</v>
      </c>
    </row>
    <row r="774" spans="1:5" x14ac:dyDescent="0.25">
      <c r="A774" s="2" t="s">
        <v>1003</v>
      </c>
      <c r="B774" s="2" t="s">
        <v>1006</v>
      </c>
      <c r="C774" s="2">
        <v>6</v>
      </c>
      <c r="D774" t="str">
        <f t="shared" si="12"/>
        <v>CA-2014-131947_OFF-PA-10003039</v>
      </c>
      <c r="E774" t="str">
        <f>IF(COUNTIF(data1!$D:$D,D774)=0,"Missing in Data1","Present")</f>
        <v>Present</v>
      </c>
    </row>
    <row r="775" spans="1:5" x14ac:dyDescent="0.25">
      <c r="A775" s="2" t="s">
        <v>1003</v>
      </c>
      <c r="B775" s="2" t="s">
        <v>1007</v>
      </c>
      <c r="C775" s="2">
        <v>10</v>
      </c>
      <c r="D775" t="str">
        <f t="shared" si="12"/>
        <v>CA-2014-131947_TEC-AC-10004633</v>
      </c>
      <c r="E775" t="str">
        <f>IF(COUNTIF(data1!$D:$D,D775)=0,"Missing in Data1","Present")</f>
        <v>Present</v>
      </c>
    </row>
    <row r="776" spans="1:5" x14ac:dyDescent="0.25">
      <c r="A776" s="2" t="s">
        <v>1003</v>
      </c>
      <c r="B776" s="2" t="s">
        <v>1008</v>
      </c>
      <c r="C776" s="2">
        <v>5</v>
      </c>
      <c r="D776" t="str">
        <f t="shared" si="12"/>
        <v>CA-2014-131947_TEC-MA-10004086</v>
      </c>
      <c r="E776" t="str">
        <f>IF(COUNTIF(data1!$D:$D,D776)=0,"Missing in Data1","Present")</f>
        <v>Present</v>
      </c>
    </row>
    <row r="777" spans="1:5" x14ac:dyDescent="0.25">
      <c r="A777" s="2" t="s">
        <v>1009</v>
      </c>
      <c r="B777" s="2" t="s">
        <v>1338</v>
      </c>
      <c r="C777" s="2">
        <v>3</v>
      </c>
      <c r="D777" t="str">
        <f t="shared" si="12"/>
        <v>CA-2014-132010_OFF-BI-10002432</v>
      </c>
      <c r="E777" t="str">
        <f>IF(COUNTIF(data1!$D:$D,D777)=0,"Missing in Data1","Present")</f>
        <v>Missing in Data1</v>
      </c>
    </row>
    <row r="778" spans="1:5" x14ac:dyDescent="0.25">
      <c r="A778" s="2" t="s">
        <v>1009</v>
      </c>
      <c r="B778" s="2" t="s">
        <v>1010</v>
      </c>
      <c r="C778" s="2">
        <v>5</v>
      </c>
      <c r="D778" t="str">
        <f t="shared" si="12"/>
        <v>CA-2014-132010_OFF-EN-10003160</v>
      </c>
      <c r="E778" t="str">
        <f>IF(COUNTIF(data1!$D:$D,D778)=0,"Missing in Data1","Present")</f>
        <v>Present</v>
      </c>
    </row>
    <row r="779" spans="1:5" x14ac:dyDescent="0.25">
      <c r="A779" s="2" t="s">
        <v>1009</v>
      </c>
      <c r="B779" s="2" t="s">
        <v>1011</v>
      </c>
      <c r="C779" s="2">
        <v>4</v>
      </c>
      <c r="D779" t="str">
        <f t="shared" si="12"/>
        <v>CA-2014-132010_OFF-ST-10003641</v>
      </c>
      <c r="E779" t="str">
        <f>IF(COUNTIF(data1!$D:$D,D779)=0,"Missing in Data1","Present")</f>
        <v>Present</v>
      </c>
    </row>
    <row r="780" spans="1:5" x14ac:dyDescent="0.25">
      <c r="A780" s="2" t="s">
        <v>1009</v>
      </c>
      <c r="B780" s="2" t="s">
        <v>1012</v>
      </c>
      <c r="C780" s="2">
        <v>2</v>
      </c>
      <c r="D780" t="str">
        <f t="shared" si="12"/>
        <v>CA-2014-132010_TEC-AC-10001542</v>
      </c>
      <c r="E780" t="str">
        <f>IF(COUNTIF(data1!$D:$D,D780)=0,"Missing in Data1","Present")</f>
        <v>Present</v>
      </c>
    </row>
    <row r="781" spans="1:5" x14ac:dyDescent="0.25">
      <c r="A781" s="2" t="s">
        <v>1013</v>
      </c>
      <c r="B781" s="2" t="s">
        <v>1014</v>
      </c>
      <c r="C781" s="2">
        <v>4</v>
      </c>
      <c r="D781" t="str">
        <f t="shared" si="12"/>
        <v>CA-2014-132227_OFF-BI-10000962</v>
      </c>
      <c r="E781" t="str">
        <f>IF(COUNTIF(data1!$D:$D,D781)=0,"Missing in Data1","Present")</f>
        <v>Present</v>
      </c>
    </row>
    <row r="782" spans="1:5" x14ac:dyDescent="0.25">
      <c r="A782" s="2" t="s">
        <v>1015</v>
      </c>
      <c r="B782" s="2" t="s">
        <v>297</v>
      </c>
      <c r="C782" s="2">
        <v>3</v>
      </c>
      <c r="D782" t="str">
        <f t="shared" si="12"/>
        <v>CA-2014-132451_FUR-CH-10000454</v>
      </c>
      <c r="E782" t="str">
        <f>IF(COUNTIF(data1!$D:$D,D782)=0,"Missing in Data1","Present")</f>
        <v>Present</v>
      </c>
    </row>
    <row r="783" spans="1:5" x14ac:dyDescent="0.25">
      <c r="A783" s="2" t="s">
        <v>1015</v>
      </c>
      <c r="B783" s="2" t="s">
        <v>581</v>
      </c>
      <c r="C783" s="2">
        <v>3</v>
      </c>
      <c r="D783" t="str">
        <f t="shared" si="12"/>
        <v>CA-2014-132451_OFF-PA-10004888</v>
      </c>
      <c r="E783" t="str">
        <f>IF(COUNTIF(data1!$D:$D,D783)=0,"Missing in Data1","Present")</f>
        <v>Present</v>
      </c>
    </row>
    <row r="784" spans="1:5" x14ac:dyDescent="0.25">
      <c r="A784" s="2" t="s">
        <v>1016</v>
      </c>
      <c r="B784" s="2" t="s">
        <v>1017</v>
      </c>
      <c r="C784" s="2">
        <v>2</v>
      </c>
      <c r="D784" t="str">
        <f t="shared" si="12"/>
        <v>CA-2014-132500_TEC-AC-10001383</v>
      </c>
      <c r="E784" t="str">
        <f>IF(COUNTIF(data1!$D:$D,D784)=0,"Missing in Data1","Present")</f>
        <v>Present</v>
      </c>
    </row>
    <row r="785" spans="1:5" x14ac:dyDescent="0.25">
      <c r="A785" s="2" t="s">
        <v>1018</v>
      </c>
      <c r="B785" s="2" t="s">
        <v>1019</v>
      </c>
      <c r="C785" s="2">
        <v>2</v>
      </c>
      <c r="D785" t="str">
        <f t="shared" si="12"/>
        <v>CA-2014-132542_OFF-BI-10004099</v>
      </c>
      <c r="E785" t="str">
        <f>IF(COUNTIF(data1!$D:$D,D785)=0,"Missing in Data1","Present")</f>
        <v>Present</v>
      </c>
    </row>
    <row r="786" spans="1:5" x14ac:dyDescent="0.25">
      <c r="A786" s="2" t="s">
        <v>1020</v>
      </c>
      <c r="B786" s="2" t="s">
        <v>1021</v>
      </c>
      <c r="C786" s="2">
        <v>7</v>
      </c>
      <c r="D786" t="str">
        <f t="shared" si="12"/>
        <v>CA-2014-132612_FUR-TA-10004534</v>
      </c>
      <c r="E786" t="str">
        <f>IF(COUNTIF(data1!$D:$D,D786)=0,"Missing in Data1","Present")</f>
        <v>Present</v>
      </c>
    </row>
    <row r="787" spans="1:5" x14ac:dyDescent="0.25">
      <c r="A787" s="2" t="s">
        <v>1022</v>
      </c>
      <c r="B787" s="2" t="s">
        <v>269</v>
      </c>
      <c r="C787" s="2">
        <v>6</v>
      </c>
      <c r="D787" t="str">
        <f t="shared" si="12"/>
        <v>CA-2014-132787_OFF-ST-10001321</v>
      </c>
      <c r="E787" t="str">
        <f>IF(COUNTIF(data1!$D:$D,D787)=0,"Missing in Data1","Present")</f>
        <v>Present</v>
      </c>
    </row>
    <row r="788" spans="1:5" x14ac:dyDescent="0.25">
      <c r="A788" s="2" t="s">
        <v>1023</v>
      </c>
      <c r="B788" s="2" t="s">
        <v>1024</v>
      </c>
      <c r="C788" s="2">
        <v>10</v>
      </c>
      <c r="D788" t="str">
        <f t="shared" si="12"/>
        <v>CA-2014-132801_OFF-ST-10001228</v>
      </c>
      <c r="E788" t="str">
        <f>IF(COUNTIF(data1!$D:$D,D788)=0,"Missing in Data1","Present")</f>
        <v>Present</v>
      </c>
    </row>
    <row r="789" spans="1:5" x14ac:dyDescent="0.25">
      <c r="A789" s="2" t="s">
        <v>1025</v>
      </c>
      <c r="B789" s="2" t="s">
        <v>261</v>
      </c>
      <c r="C789" s="2">
        <v>5</v>
      </c>
      <c r="D789" t="str">
        <f t="shared" si="12"/>
        <v>CA-2014-132864_TEC-AC-10001267</v>
      </c>
      <c r="E789" t="str">
        <f>IF(COUNTIF(data1!$D:$D,D789)=0,"Missing in Data1","Present")</f>
        <v>Present</v>
      </c>
    </row>
    <row r="790" spans="1:5" x14ac:dyDescent="0.25">
      <c r="A790" s="2" t="s">
        <v>1028</v>
      </c>
      <c r="B790" s="2" t="s">
        <v>1029</v>
      </c>
      <c r="C790" s="2">
        <v>3</v>
      </c>
      <c r="D790" t="str">
        <f t="shared" si="12"/>
        <v>CA-2014-132962_OFF-PA-10003543</v>
      </c>
      <c r="E790" t="str">
        <f>IF(COUNTIF(data1!$D:$D,D790)=0,"Missing in Data1","Present")</f>
        <v>Present</v>
      </c>
    </row>
    <row r="791" spans="1:5" x14ac:dyDescent="0.25">
      <c r="A791" s="2" t="s">
        <v>1028</v>
      </c>
      <c r="B791" s="2" t="s">
        <v>409</v>
      </c>
      <c r="C791" s="2">
        <v>5</v>
      </c>
      <c r="D791" t="str">
        <f t="shared" si="12"/>
        <v>CA-2014-132962_TEC-AC-10004353</v>
      </c>
      <c r="E791" t="str">
        <f>IF(COUNTIF(data1!$D:$D,D791)=0,"Missing in Data1","Present")</f>
        <v>Present</v>
      </c>
    </row>
    <row r="792" spans="1:5" x14ac:dyDescent="0.25">
      <c r="A792" s="2" t="s">
        <v>1030</v>
      </c>
      <c r="B792" s="2" t="s">
        <v>440</v>
      </c>
      <c r="C792" s="2">
        <v>2</v>
      </c>
      <c r="D792" t="str">
        <f t="shared" si="12"/>
        <v>CA-2014-132983_TEC-AC-10000736</v>
      </c>
      <c r="E792" t="str">
        <f>IF(COUNTIF(data1!$D:$D,D792)=0,"Missing in Data1","Present")</f>
        <v>Present</v>
      </c>
    </row>
    <row r="793" spans="1:5" x14ac:dyDescent="0.25">
      <c r="A793" s="2" t="s">
        <v>1031</v>
      </c>
      <c r="B793" s="2" t="s">
        <v>160</v>
      </c>
      <c r="C793" s="2">
        <v>7</v>
      </c>
      <c r="D793" t="str">
        <f t="shared" si="12"/>
        <v>CA-2014-133158_FUR-FU-10000723</v>
      </c>
      <c r="E793" t="str">
        <f>IF(COUNTIF(data1!$D:$D,D793)=0,"Missing in Data1","Present")</f>
        <v>Present</v>
      </c>
    </row>
    <row r="794" spans="1:5" x14ac:dyDescent="0.25">
      <c r="A794" s="2" t="s">
        <v>1031</v>
      </c>
      <c r="B794" s="2" t="s">
        <v>740</v>
      </c>
      <c r="C794" s="2">
        <v>2</v>
      </c>
      <c r="D794" t="str">
        <f t="shared" si="12"/>
        <v>CA-2014-133158_OFF-BI-10000632</v>
      </c>
      <c r="E794" t="str">
        <f>IF(COUNTIF(data1!$D:$D,D794)=0,"Missing in Data1","Present")</f>
        <v>Present</v>
      </c>
    </row>
    <row r="795" spans="1:5" x14ac:dyDescent="0.25">
      <c r="A795" s="2" t="s">
        <v>1032</v>
      </c>
      <c r="B795" s="2" t="s">
        <v>1033</v>
      </c>
      <c r="C795" s="2">
        <v>1</v>
      </c>
      <c r="D795" t="str">
        <f t="shared" si="12"/>
        <v>CA-2014-133228_FUR-FU-10004020</v>
      </c>
      <c r="E795" t="str">
        <f>IF(COUNTIF(data1!$D:$D,D795)=0,"Missing in Data1","Present")</f>
        <v>Present</v>
      </c>
    </row>
    <row r="796" spans="1:5" x14ac:dyDescent="0.25">
      <c r="A796" s="2" t="s">
        <v>1032</v>
      </c>
      <c r="B796" s="2" t="s">
        <v>1034</v>
      </c>
      <c r="C796" s="2">
        <v>4</v>
      </c>
      <c r="D796" t="str">
        <f t="shared" si="12"/>
        <v>CA-2014-133228_OFF-AR-10001955</v>
      </c>
      <c r="E796" t="str">
        <f>IF(COUNTIF(data1!$D:$D,D796)=0,"Missing in Data1","Present")</f>
        <v>Present</v>
      </c>
    </row>
    <row r="797" spans="1:5" x14ac:dyDescent="0.25">
      <c r="A797" s="2" t="s">
        <v>1037</v>
      </c>
      <c r="B797" s="2" t="s">
        <v>1038</v>
      </c>
      <c r="C797" s="2">
        <v>5</v>
      </c>
      <c r="D797" t="str">
        <f t="shared" si="12"/>
        <v>CA-2014-133305_OFF-BI-10002954</v>
      </c>
      <c r="E797" t="str">
        <f>IF(COUNTIF(data1!$D:$D,D797)=0,"Missing in Data1","Present")</f>
        <v>Present</v>
      </c>
    </row>
    <row r="798" spans="1:5" x14ac:dyDescent="0.25">
      <c r="A798" s="2" t="s">
        <v>1037</v>
      </c>
      <c r="B798" s="2" t="s">
        <v>1039</v>
      </c>
      <c r="C798" s="2">
        <v>4</v>
      </c>
      <c r="D798" t="str">
        <f t="shared" si="12"/>
        <v>CA-2014-133305_OFF-PA-10001970</v>
      </c>
      <c r="E798" t="str">
        <f>IF(COUNTIF(data1!$D:$D,D798)=0,"Missing in Data1","Present")</f>
        <v>Present</v>
      </c>
    </row>
    <row r="799" spans="1:5" x14ac:dyDescent="0.25">
      <c r="A799" s="2" t="s">
        <v>1040</v>
      </c>
      <c r="B799" s="2" t="s">
        <v>854</v>
      </c>
      <c r="C799" s="2">
        <v>3</v>
      </c>
      <c r="D799" t="str">
        <f t="shared" si="12"/>
        <v>CA-2014-133354_OFF-PA-10001800</v>
      </c>
      <c r="E799" t="str">
        <f>IF(COUNTIF(data1!$D:$D,D799)=0,"Missing in Data1","Present")</f>
        <v>Present</v>
      </c>
    </row>
    <row r="800" spans="1:5" x14ac:dyDescent="0.25">
      <c r="A800" s="2" t="s">
        <v>1041</v>
      </c>
      <c r="B800" s="2" t="s">
        <v>1042</v>
      </c>
      <c r="C800" s="2">
        <v>3</v>
      </c>
      <c r="D800" t="str">
        <f t="shared" si="12"/>
        <v>CA-2014-133389_OFF-BI-10001553</v>
      </c>
      <c r="E800" t="str">
        <f>IF(COUNTIF(data1!$D:$D,D800)=0,"Missing in Data1","Present")</f>
        <v>Present</v>
      </c>
    </row>
    <row r="801" spans="1:5" x14ac:dyDescent="0.25">
      <c r="A801" s="2" t="s">
        <v>1043</v>
      </c>
      <c r="B801" s="2" t="s">
        <v>1044</v>
      </c>
      <c r="C801" s="2">
        <v>3</v>
      </c>
      <c r="D801" t="str">
        <f t="shared" si="12"/>
        <v>CA-2014-133424_OFF-LA-10002312</v>
      </c>
      <c r="E801" t="str">
        <f>IF(COUNTIF(data1!$D:$D,D801)=0,"Missing in Data1","Present")</f>
        <v>Present</v>
      </c>
    </row>
    <row r="802" spans="1:5" x14ac:dyDescent="0.25">
      <c r="A802" s="2" t="s">
        <v>1043</v>
      </c>
      <c r="B802" s="2" t="s">
        <v>1045</v>
      </c>
      <c r="C802" s="2">
        <v>3</v>
      </c>
      <c r="D802" t="str">
        <f t="shared" si="12"/>
        <v>CA-2014-133424_OFF-ST-10002957</v>
      </c>
      <c r="E802" t="str">
        <f>IF(COUNTIF(data1!$D:$D,D802)=0,"Missing in Data1","Present")</f>
        <v>Present</v>
      </c>
    </row>
    <row r="803" spans="1:5" x14ac:dyDescent="0.25">
      <c r="A803" s="2" t="s">
        <v>1046</v>
      </c>
      <c r="B803" s="2" t="s">
        <v>1047</v>
      </c>
      <c r="C803" s="2">
        <v>4</v>
      </c>
      <c r="D803" t="str">
        <f t="shared" si="12"/>
        <v>CA-2014-133543_OFF-AR-10003394</v>
      </c>
      <c r="E803" t="str">
        <f>IF(COUNTIF(data1!$D:$D,D803)=0,"Missing in Data1","Present")</f>
        <v>Present</v>
      </c>
    </row>
    <row r="804" spans="1:5" x14ac:dyDescent="0.25">
      <c r="A804" s="2" t="s">
        <v>1048</v>
      </c>
      <c r="B804" s="2" t="s">
        <v>1049</v>
      </c>
      <c r="C804" s="2">
        <v>2</v>
      </c>
      <c r="D804" t="str">
        <f t="shared" si="12"/>
        <v>CA-2014-133592_FUR-BO-10000362</v>
      </c>
      <c r="E804" t="str">
        <f>IF(COUNTIF(data1!$D:$D,D804)=0,"Missing in Data1","Present")</f>
        <v>Present</v>
      </c>
    </row>
    <row r="805" spans="1:5" x14ac:dyDescent="0.25">
      <c r="A805" s="2" t="s">
        <v>1048</v>
      </c>
      <c r="B805" s="2" t="s">
        <v>1050</v>
      </c>
      <c r="C805" s="2">
        <v>6</v>
      </c>
      <c r="D805" t="str">
        <f t="shared" si="12"/>
        <v>CA-2014-133592_FUR-CH-10004218</v>
      </c>
      <c r="E805" t="str">
        <f>IF(COUNTIF(data1!$D:$D,D805)=0,"Missing in Data1","Present")</f>
        <v>Present</v>
      </c>
    </row>
    <row r="806" spans="1:5" x14ac:dyDescent="0.25">
      <c r="A806" s="2" t="s">
        <v>1048</v>
      </c>
      <c r="B806" s="2" t="s">
        <v>1051</v>
      </c>
      <c r="C806" s="2">
        <v>3</v>
      </c>
      <c r="D806" t="str">
        <f t="shared" si="12"/>
        <v>CA-2014-133592_OFF-PA-10002586</v>
      </c>
      <c r="E806" t="str">
        <f>IF(COUNTIF(data1!$D:$D,D806)=0,"Missing in Data1","Present")</f>
        <v>Present</v>
      </c>
    </row>
    <row r="807" spans="1:5" x14ac:dyDescent="0.25">
      <c r="A807" s="2" t="s">
        <v>1048</v>
      </c>
      <c r="B807" s="2" t="s">
        <v>1052</v>
      </c>
      <c r="C807" s="2">
        <v>4</v>
      </c>
      <c r="D807" t="str">
        <f t="shared" si="12"/>
        <v>CA-2014-133592_OFF-PA-10003228</v>
      </c>
      <c r="E807" t="str">
        <f>IF(COUNTIF(data1!$D:$D,D807)=0,"Missing in Data1","Present")</f>
        <v>Present</v>
      </c>
    </row>
    <row r="808" spans="1:5" x14ac:dyDescent="0.25">
      <c r="A808" s="2" t="s">
        <v>1048</v>
      </c>
      <c r="B808" s="2" t="s">
        <v>1053</v>
      </c>
      <c r="C808" s="2">
        <v>4</v>
      </c>
      <c r="D808" t="str">
        <f t="shared" si="12"/>
        <v>CA-2014-133592_TEC-AC-10002049</v>
      </c>
      <c r="E808" t="str">
        <f>IF(COUNTIF(data1!$D:$D,D808)=0,"Missing in Data1","Present")</f>
        <v>Present</v>
      </c>
    </row>
    <row r="809" spans="1:5" x14ac:dyDescent="0.25">
      <c r="A809" s="2" t="s">
        <v>1054</v>
      </c>
      <c r="B809" s="2" t="s">
        <v>1055</v>
      </c>
      <c r="C809" s="2">
        <v>3</v>
      </c>
      <c r="D809" t="str">
        <f t="shared" si="12"/>
        <v>CA-2014-133634_TEC-AC-10002550</v>
      </c>
      <c r="E809" t="str">
        <f>IF(COUNTIF(data1!$D:$D,D809)=0,"Missing in Data1","Present")</f>
        <v>Present</v>
      </c>
    </row>
    <row r="810" spans="1:5" x14ac:dyDescent="0.25">
      <c r="A810" s="2" t="s">
        <v>1056</v>
      </c>
      <c r="B810" s="2" t="s">
        <v>1057</v>
      </c>
      <c r="C810" s="2">
        <v>2</v>
      </c>
      <c r="D810" t="str">
        <f t="shared" si="12"/>
        <v>CA-2014-133690_FUR-TA-10004289</v>
      </c>
      <c r="E810" t="str">
        <f>IF(COUNTIF(data1!$D:$D,D810)=0,"Missing in Data1","Present")</f>
        <v>Present</v>
      </c>
    </row>
    <row r="811" spans="1:5" x14ac:dyDescent="0.25">
      <c r="A811" s="2" t="s">
        <v>1056</v>
      </c>
      <c r="B811" s="2" t="s">
        <v>1058</v>
      </c>
      <c r="C811" s="2">
        <v>1</v>
      </c>
      <c r="D811" t="str">
        <f t="shared" si="12"/>
        <v>CA-2014-133690_OFF-AP-10003622</v>
      </c>
      <c r="E811" t="str">
        <f>IF(COUNTIF(data1!$D:$D,D811)=0,"Missing in Data1","Present")</f>
        <v>Present</v>
      </c>
    </row>
    <row r="812" spans="1:5" x14ac:dyDescent="0.25">
      <c r="A812" s="2" t="s">
        <v>1059</v>
      </c>
      <c r="B812" s="2" t="s">
        <v>1060</v>
      </c>
      <c r="C812" s="2">
        <v>4</v>
      </c>
      <c r="D812" t="str">
        <f t="shared" si="12"/>
        <v>CA-2014-133704_OFF-AP-10001366</v>
      </c>
      <c r="E812" t="str">
        <f>IF(COUNTIF(data1!$D:$D,D812)=0,"Missing in Data1","Present")</f>
        <v>Present</v>
      </c>
    </row>
    <row r="813" spans="1:5" x14ac:dyDescent="0.25">
      <c r="A813" s="2" t="s">
        <v>1059</v>
      </c>
      <c r="B813" s="2" t="s">
        <v>951</v>
      </c>
      <c r="C813" s="2">
        <v>3</v>
      </c>
      <c r="D813" t="str">
        <f t="shared" si="12"/>
        <v>CA-2014-133704_OFF-BI-10001636</v>
      </c>
      <c r="E813" t="str">
        <f>IF(COUNTIF(data1!$D:$D,D813)=0,"Missing in Data1","Present")</f>
        <v>Present</v>
      </c>
    </row>
    <row r="814" spans="1:5" x14ac:dyDescent="0.25">
      <c r="A814" s="2" t="s">
        <v>1061</v>
      </c>
      <c r="B814" s="2" t="s">
        <v>1062</v>
      </c>
      <c r="C814" s="2">
        <v>2</v>
      </c>
      <c r="D814" t="str">
        <f t="shared" si="12"/>
        <v>CA-2014-133753_OFF-AR-10001953</v>
      </c>
      <c r="E814" t="str">
        <f>IF(COUNTIF(data1!$D:$D,D814)=0,"Missing in Data1","Present")</f>
        <v>Present</v>
      </c>
    </row>
    <row r="815" spans="1:5" x14ac:dyDescent="0.25">
      <c r="A815" s="2" t="s">
        <v>1061</v>
      </c>
      <c r="B815" s="2" t="s">
        <v>1063</v>
      </c>
      <c r="C815" s="2">
        <v>2</v>
      </c>
      <c r="D815" t="str">
        <f t="shared" si="12"/>
        <v>CA-2014-133753_TEC-AC-10000303</v>
      </c>
      <c r="E815" t="str">
        <f>IF(COUNTIF(data1!$D:$D,D815)=0,"Missing in Data1","Present")</f>
        <v>Present</v>
      </c>
    </row>
    <row r="816" spans="1:5" x14ac:dyDescent="0.25">
      <c r="A816" s="2" t="s">
        <v>1061</v>
      </c>
      <c r="B816" s="2" t="s">
        <v>614</v>
      </c>
      <c r="C816" s="2">
        <v>1</v>
      </c>
      <c r="D816" t="str">
        <f t="shared" si="12"/>
        <v>CA-2014-133753_TEC-PH-10000376</v>
      </c>
      <c r="E816" t="str">
        <f>IF(COUNTIF(data1!$D:$D,D816)=0,"Missing in Data1","Present")</f>
        <v>Present</v>
      </c>
    </row>
    <row r="817" spans="1:5" x14ac:dyDescent="0.25">
      <c r="A817" s="2" t="s">
        <v>1064</v>
      </c>
      <c r="B817" s="2" t="s">
        <v>1065</v>
      </c>
      <c r="C817" s="2">
        <v>8</v>
      </c>
      <c r="D817" t="str">
        <f t="shared" si="12"/>
        <v>CA-2014-133809_OFF-BI-10001757</v>
      </c>
      <c r="E817" t="str">
        <f>IF(COUNTIF(data1!$D:$D,D817)=0,"Missing in Data1","Present")</f>
        <v>Present</v>
      </c>
    </row>
    <row r="818" spans="1:5" x14ac:dyDescent="0.25">
      <c r="A818" s="2" t="s">
        <v>1064</v>
      </c>
      <c r="B818" s="2" t="s">
        <v>1066</v>
      </c>
      <c r="C818" s="2">
        <v>2</v>
      </c>
      <c r="D818" t="str">
        <f t="shared" si="12"/>
        <v>CA-2014-133809_TEC-PH-10004875</v>
      </c>
      <c r="E818" t="str">
        <f>IF(COUNTIF(data1!$D:$D,D818)=0,"Missing in Data1","Present")</f>
        <v>Present</v>
      </c>
    </row>
    <row r="819" spans="1:5" x14ac:dyDescent="0.25">
      <c r="A819" s="2" t="s">
        <v>1067</v>
      </c>
      <c r="B819" s="2" t="s">
        <v>298</v>
      </c>
      <c r="C819" s="2">
        <v>9</v>
      </c>
      <c r="D819" t="str">
        <f t="shared" si="12"/>
        <v>CA-2014-133830_OFF-AR-10003045</v>
      </c>
      <c r="E819" t="str">
        <f>IF(COUNTIF(data1!$D:$D,D819)=0,"Missing in Data1","Present")</f>
        <v>Present</v>
      </c>
    </row>
    <row r="820" spans="1:5" x14ac:dyDescent="0.25">
      <c r="A820" s="2" t="s">
        <v>1067</v>
      </c>
      <c r="B820" s="2" t="s">
        <v>913</v>
      </c>
      <c r="C820" s="2">
        <v>3</v>
      </c>
      <c r="D820" t="str">
        <f t="shared" si="12"/>
        <v>CA-2014-133830_OFF-FA-10002280</v>
      </c>
      <c r="E820" t="str">
        <f>IF(COUNTIF(data1!$D:$D,D820)=0,"Missing in Data1","Present")</f>
        <v>Present</v>
      </c>
    </row>
    <row r="821" spans="1:5" x14ac:dyDescent="0.25">
      <c r="A821" s="2" t="s">
        <v>1067</v>
      </c>
      <c r="B821" s="2" t="s">
        <v>60</v>
      </c>
      <c r="C821" s="2">
        <v>4</v>
      </c>
      <c r="D821" t="str">
        <f t="shared" si="12"/>
        <v>CA-2014-133830_OFF-PA-10001363</v>
      </c>
      <c r="E821" t="str">
        <f>IF(COUNTIF(data1!$D:$D,D821)=0,"Missing in Data1","Present")</f>
        <v>Present</v>
      </c>
    </row>
    <row r="822" spans="1:5" x14ac:dyDescent="0.25">
      <c r="A822" s="2" t="s">
        <v>1068</v>
      </c>
      <c r="B822" s="2" t="s">
        <v>640</v>
      </c>
      <c r="C822" s="2">
        <v>2</v>
      </c>
      <c r="D822" t="str">
        <f t="shared" si="12"/>
        <v>CA-2014-133851_OFF-AR-10003752</v>
      </c>
      <c r="E822" t="str">
        <f>IF(COUNTIF(data1!$D:$D,D822)=0,"Missing in Data1","Present")</f>
        <v>Present</v>
      </c>
    </row>
    <row r="823" spans="1:5" x14ac:dyDescent="0.25">
      <c r="A823" s="2" t="s">
        <v>1068</v>
      </c>
      <c r="B823" s="2" t="s">
        <v>219</v>
      </c>
      <c r="C823" s="2">
        <v>2</v>
      </c>
      <c r="D823" t="str">
        <f t="shared" si="12"/>
        <v>CA-2014-133851_OFF-SU-10001225</v>
      </c>
      <c r="E823" t="str">
        <f>IF(COUNTIF(data1!$D:$D,D823)=0,"Missing in Data1","Present")</f>
        <v>Missing in Data1</v>
      </c>
    </row>
    <row r="824" spans="1:5" x14ac:dyDescent="0.25">
      <c r="A824" s="2" t="s">
        <v>1069</v>
      </c>
      <c r="B824" s="2" t="s">
        <v>785</v>
      </c>
      <c r="C824" s="2">
        <v>1</v>
      </c>
      <c r="D824" t="str">
        <f t="shared" si="12"/>
        <v>CA-2014-133963_OFF-PA-10001526</v>
      </c>
      <c r="E824" t="str">
        <f>IF(COUNTIF(data1!$D:$D,D824)=0,"Missing in Data1","Present")</f>
        <v>Present</v>
      </c>
    </row>
    <row r="825" spans="1:5" x14ac:dyDescent="0.25">
      <c r="A825" s="2" t="s">
        <v>1070</v>
      </c>
      <c r="B825" s="2" t="s">
        <v>1071</v>
      </c>
      <c r="C825" s="2">
        <v>2</v>
      </c>
      <c r="D825" t="str">
        <f t="shared" si="12"/>
        <v>CA-2014-134061_FUR-FU-10001424</v>
      </c>
      <c r="E825" t="str">
        <f>IF(COUNTIF(data1!$D:$D,D825)=0,"Missing in Data1","Present")</f>
        <v>Present</v>
      </c>
    </row>
    <row r="826" spans="1:5" x14ac:dyDescent="0.25">
      <c r="A826" s="2" t="s">
        <v>1072</v>
      </c>
      <c r="B826" s="2" t="s">
        <v>1073</v>
      </c>
      <c r="C826" s="2">
        <v>2</v>
      </c>
      <c r="D826" t="str">
        <f t="shared" si="12"/>
        <v>CA-2014-134103_OFF-PA-10001204</v>
      </c>
      <c r="E826" t="str">
        <f>IF(COUNTIF(data1!$D:$D,D826)=0,"Missing in Data1","Present")</f>
        <v>Present</v>
      </c>
    </row>
    <row r="827" spans="1:5" x14ac:dyDescent="0.25">
      <c r="A827" s="2" t="s">
        <v>1072</v>
      </c>
      <c r="B827" s="2" t="s">
        <v>632</v>
      </c>
      <c r="C827" s="2">
        <v>2</v>
      </c>
      <c r="D827" t="str">
        <f t="shared" si="12"/>
        <v>CA-2014-134103_OFF-ST-10000991</v>
      </c>
      <c r="E827" t="str">
        <f>IF(COUNTIF(data1!$D:$D,D827)=0,"Missing in Data1","Present")</f>
        <v>Present</v>
      </c>
    </row>
    <row r="828" spans="1:5" x14ac:dyDescent="0.25">
      <c r="A828" s="2" t="s">
        <v>1074</v>
      </c>
      <c r="B828" s="2" t="s">
        <v>1075</v>
      </c>
      <c r="C828" s="2">
        <v>2</v>
      </c>
      <c r="D828" t="str">
        <f t="shared" si="12"/>
        <v>CA-2014-134215_OFF-AP-10001271</v>
      </c>
      <c r="E828" t="str">
        <f>IF(COUNTIF(data1!$D:$D,D828)=0,"Missing in Data1","Present")</f>
        <v>Present</v>
      </c>
    </row>
    <row r="829" spans="1:5" x14ac:dyDescent="0.25">
      <c r="A829" s="2" t="s">
        <v>1074</v>
      </c>
      <c r="B829" s="2" t="s">
        <v>121</v>
      </c>
      <c r="C829" s="2">
        <v>13</v>
      </c>
      <c r="D829" t="str">
        <f t="shared" si="12"/>
        <v>CA-2014-134215_OFF-PA-10004353</v>
      </c>
      <c r="E829" t="str">
        <f>IF(COUNTIF(data1!$D:$D,D829)=0,"Missing in Data1","Present")</f>
        <v>Present</v>
      </c>
    </row>
    <row r="830" spans="1:5" x14ac:dyDescent="0.25">
      <c r="A830" s="2" t="s">
        <v>1074</v>
      </c>
      <c r="B830" s="2" t="s">
        <v>1076</v>
      </c>
      <c r="C830" s="2">
        <v>9</v>
      </c>
      <c r="D830" t="str">
        <f t="shared" si="12"/>
        <v>CA-2014-134215_TEC-AC-10002473</v>
      </c>
      <c r="E830" t="str">
        <f>IF(COUNTIF(data1!$D:$D,D830)=0,"Missing in Data1","Present")</f>
        <v>Present</v>
      </c>
    </row>
    <row r="831" spans="1:5" x14ac:dyDescent="0.25">
      <c r="A831" s="2" t="s">
        <v>1077</v>
      </c>
      <c r="B831" s="2" t="s">
        <v>1078</v>
      </c>
      <c r="C831" s="2">
        <v>1</v>
      </c>
      <c r="D831" t="str">
        <f t="shared" si="12"/>
        <v>CA-2014-134278_TEC-CO-10001046</v>
      </c>
      <c r="E831" t="str">
        <f>IF(COUNTIF(data1!$D:$D,D831)=0,"Missing in Data1","Present")</f>
        <v>Present</v>
      </c>
    </row>
    <row r="832" spans="1:5" x14ac:dyDescent="0.25">
      <c r="A832" s="2" t="s">
        <v>1079</v>
      </c>
      <c r="B832" s="2" t="s">
        <v>1080</v>
      </c>
      <c r="C832" s="2">
        <v>3</v>
      </c>
      <c r="D832" t="str">
        <f t="shared" si="12"/>
        <v>CA-2014-134313_OFF-AR-10001897</v>
      </c>
      <c r="E832" t="str">
        <f>IF(COUNTIF(data1!$D:$D,D832)=0,"Missing in Data1","Present")</f>
        <v>Present</v>
      </c>
    </row>
    <row r="833" spans="1:5" x14ac:dyDescent="0.25">
      <c r="A833" s="2" t="s">
        <v>1079</v>
      </c>
      <c r="B833" s="2" t="s">
        <v>1081</v>
      </c>
      <c r="C833" s="2">
        <v>4</v>
      </c>
      <c r="D833" t="str">
        <f t="shared" si="12"/>
        <v>CA-2014-134313_TEC-PH-10001795</v>
      </c>
      <c r="E833" t="str">
        <f>IF(COUNTIF(data1!$D:$D,D833)=0,"Missing in Data1","Present")</f>
        <v>Present</v>
      </c>
    </row>
    <row r="834" spans="1:5" x14ac:dyDescent="0.25">
      <c r="A834" s="2" t="s">
        <v>1082</v>
      </c>
      <c r="B834" s="2" t="s">
        <v>1083</v>
      </c>
      <c r="C834" s="2">
        <v>3</v>
      </c>
      <c r="D834" t="str">
        <f t="shared" si="12"/>
        <v>CA-2014-134551_FUR-CH-10004287</v>
      </c>
      <c r="E834" t="str">
        <f>IF(COUNTIF(data1!$D:$D,D834)=0,"Missing in Data1","Present")</f>
        <v>Present</v>
      </c>
    </row>
    <row r="835" spans="1:5" x14ac:dyDescent="0.25">
      <c r="A835" s="2" t="s">
        <v>1082</v>
      </c>
      <c r="B835" s="2" t="s">
        <v>1084</v>
      </c>
      <c r="C835" s="2">
        <v>7</v>
      </c>
      <c r="D835" t="str">
        <f t="shared" ref="D835:D898" si="13">A835&amp;"_"&amp;B835</f>
        <v>CA-2014-134551_OFF-AP-10004868</v>
      </c>
      <c r="E835" t="str">
        <f>IF(COUNTIF(data1!$D:$D,D835)=0,"Missing in Data1","Present")</f>
        <v>Present</v>
      </c>
    </row>
    <row r="836" spans="1:5" x14ac:dyDescent="0.25">
      <c r="A836" s="2" t="s">
        <v>1082</v>
      </c>
      <c r="B836" s="2" t="s">
        <v>1085</v>
      </c>
      <c r="C836" s="2">
        <v>5</v>
      </c>
      <c r="D836" t="str">
        <f t="shared" si="13"/>
        <v>CA-2014-134551_OFF-PA-10002689</v>
      </c>
      <c r="E836" t="str">
        <f>IF(COUNTIF(data1!$D:$D,D836)=0,"Missing in Data1","Present")</f>
        <v>Present</v>
      </c>
    </row>
    <row r="837" spans="1:5" x14ac:dyDescent="0.25">
      <c r="A837" s="2" t="s">
        <v>1086</v>
      </c>
      <c r="B837" s="2" t="s">
        <v>2627</v>
      </c>
      <c r="C837" s="2">
        <v>5</v>
      </c>
      <c r="D837" t="str">
        <f t="shared" si="13"/>
        <v>CA-2014-134572_FUR-TA-10001705</v>
      </c>
      <c r="E837" t="str">
        <f>IF(COUNTIF(data1!$D:$D,D837)=0,"Missing in Data1","Present")</f>
        <v>Missing in Data1</v>
      </c>
    </row>
    <row r="838" spans="1:5" x14ac:dyDescent="0.25">
      <c r="A838" s="2" t="s">
        <v>1086</v>
      </c>
      <c r="B838" s="2" t="s">
        <v>1087</v>
      </c>
      <c r="C838" s="2">
        <v>5</v>
      </c>
      <c r="D838" t="str">
        <f t="shared" si="13"/>
        <v>CA-2014-134572_OFF-ST-10004634</v>
      </c>
      <c r="E838" t="str">
        <f>IF(COUNTIF(data1!$D:$D,D838)=0,"Missing in Data1","Present")</f>
        <v>Present</v>
      </c>
    </row>
    <row r="839" spans="1:5" x14ac:dyDescent="0.25">
      <c r="A839" s="2" t="s">
        <v>1088</v>
      </c>
      <c r="B839" s="2" t="s">
        <v>859</v>
      </c>
      <c r="C839" s="2">
        <v>2</v>
      </c>
      <c r="D839" t="str">
        <f t="shared" si="13"/>
        <v>CA-2014-134621_OFF-BI-10000977</v>
      </c>
      <c r="E839" t="str">
        <f>IF(COUNTIF(data1!$D:$D,D839)=0,"Missing in Data1","Present")</f>
        <v>Present</v>
      </c>
    </row>
    <row r="840" spans="1:5" x14ac:dyDescent="0.25">
      <c r="A840" s="2" t="s">
        <v>1089</v>
      </c>
      <c r="B840" s="2" t="s">
        <v>1090</v>
      </c>
      <c r="C840" s="2">
        <v>3</v>
      </c>
      <c r="D840" t="str">
        <f t="shared" si="13"/>
        <v>CA-2014-134677_TEC-AC-10001445</v>
      </c>
      <c r="E840" t="str">
        <f>IF(COUNTIF(data1!$D:$D,D840)=0,"Missing in Data1","Present")</f>
        <v>Present</v>
      </c>
    </row>
    <row r="841" spans="1:5" x14ac:dyDescent="0.25">
      <c r="A841" s="2" t="s">
        <v>1091</v>
      </c>
      <c r="B841" s="2" t="s">
        <v>536</v>
      </c>
      <c r="C841" s="2">
        <v>2</v>
      </c>
      <c r="D841" t="str">
        <f t="shared" si="13"/>
        <v>CA-2014-134726_TEC-AC-10000023</v>
      </c>
      <c r="E841" t="str">
        <f>IF(COUNTIF(data1!$D:$D,D841)=0,"Missing in Data1","Present")</f>
        <v>Present</v>
      </c>
    </row>
    <row r="842" spans="1:5" x14ac:dyDescent="0.25">
      <c r="A842" s="2" t="s">
        <v>1093</v>
      </c>
      <c r="B842" s="2" t="s">
        <v>1094</v>
      </c>
      <c r="C842" s="2">
        <v>9</v>
      </c>
      <c r="D842" t="str">
        <f t="shared" si="13"/>
        <v>CA-2014-135090_OFF-PA-10002245</v>
      </c>
      <c r="E842" t="str">
        <f>IF(COUNTIF(data1!$D:$D,D842)=0,"Missing in Data1","Present")</f>
        <v>Present</v>
      </c>
    </row>
    <row r="843" spans="1:5" x14ac:dyDescent="0.25">
      <c r="A843" s="2" t="s">
        <v>1095</v>
      </c>
      <c r="B843" s="2" t="s">
        <v>1096</v>
      </c>
      <c r="C843" s="2">
        <v>2</v>
      </c>
      <c r="D843" t="str">
        <f t="shared" si="13"/>
        <v>CA-2014-135405_OFF-AR-10004078</v>
      </c>
      <c r="E843" t="str">
        <f>IF(COUNTIF(data1!$D:$D,D843)=0,"Missing in Data1","Present")</f>
        <v>Present</v>
      </c>
    </row>
    <row r="844" spans="1:5" x14ac:dyDescent="0.25">
      <c r="A844" s="2" t="s">
        <v>1095</v>
      </c>
      <c r="B844" s="2" t="s">
        <v>1097</v>
      </c>
      <c r="C844" s="2">
        <v>3</v>
      </c>
      <c r="D844" t="str">
        <f t="shared" si="13"/>
        <v>CA-2014-135405_TEC-AC-10001266</v>
      </c>
      <c r="E844" t="str">
        <f>IF(COUNTIF(data1!$D:$D,D844)=0,"Missing in Data1","Present")</f>
        <v>Present</v>
      </c>
    </row>
    <row r="845" spans="1:5" x14ac:dyDescent="0.25">
      <c r="A845" s="2" t="s">
        <v>1098</v>
      </c>
      <c r="B845" s="2" t="s">
        <v>16</v>
      </c>
      <c r="C845" s="2">
        <v>5</v>
      </c>
      <c r="D845" t="str">
        <f t="shared" si="13"/>
        <v>CA-2014-135608_FUR-CH-10002602</v>
      </c>
      <c r="E845" t="str">
        <f>IF(COUNTIF(data1!$D:$D,D845)=0,"Missing in Data1","Present")</f>
        <v>Present</v>
      </c>
    </row>
    <row r="846" spans="1:5" x14ac:dyDescent="0.25">
      <c r="A846" s="2" t="s">
        <v>1098</v>
      </c>
      <c r="B846" s="2" t="s">
        <v>2512</v>
      </c>
      <c r="C846" s="2">
        <v>2</v>
      </c>
      <c r="D846" t="str">
        <f t="shared" si="13"/>
        <v>CA-2014-135608_OFF-PA-10001954</v>
      </c>
      <c r="E846" t="str">
        <f>IF(COUNTIF(data1!$D:$D,D846)=0,"Missing in Data1","Present")</f>
        <v>Missing in Data1</v>
      </c>
    </row>
    <row r="847" spans="1:5" x14ac:dyDescent="0.25">
      <c r="A847" s="2" t="s">
        <v>1099</v>
      </c>
      <c r="B847" s="2" t="s">
        <v>1100</v>
      </c>
      <c r="C847" s="2">
        <v>6</v>
      </c>
      <c r="D847" t="str">
        <f t="shared" si="13"/>
        <v>CA-2014-135657_FUR-TA-10004086</v>
      </c>
      <c r="E847" t="str">
        <f>IF(COUNTIF(data1!$D:$D,D847)=0,"Missing in Data1","Present")</f>
        <v>Present</v>
      </c>
    </row>
    <row r="848" spans="1:5" x14ac:dyDescent="0.25">
      <c r="A848" s="2" t="s">
        <v>1101</v>
      </c>
      <c r="B848" s="2" t="s">
        <v>1102</v>
      </c>
      <c r="C848" s="2">
        <v>2</v>
      </c>
      <c r="D848" t="str">
        <f t="shared" si="13"/>
        <v>CA-2014-135699_OFF-PA-10003001</v>
      </c>
      <c r="E848" t="str">
        <f>IF(COUNTIF(data1!$D:$D,D848)=0,"Missing in Data1","Present")</f>
        <v>Present</v>
      </c>
    </row>
    <row r="849" spans="1:5" x14ac:dyDescent="0.25">
      <c r="A849" s="2" t="s">
        <v>1101</v>
      </c>
      <c r="B849" s="2" t="s">
        <v>1103</v>
      </c>
      <c r="C849" s="2">
        <v>2</v>
      </c>
      <c r="D849" t="str">
        <f t="shared" si="13"/>
        <v>CA-2014-135699_OFF-PA-10004475</v>
      </c>
      <c r="E849" t="str">
        <f>IF(COUNTIF(data1!$D:$D,D849)=0,"Missing in Data1","Present")</f>
        <v>Present</v>
      </c>
    </row>
    <row r="850" spans="1:5" x14ac:dyDescent="0.25">
      <c r="A850" s="2" t="s">
        <v>1104</v>
      </c>
      <c r="B850" s="2" t="s">
        <v>1105</v>
      </c>
      <c r="C850" s="2">
        <v>3</v>
      </c>
      <c r="D850" t="str">
        <f t="shared" si="13"/>
        <v>CA-2014-135755_OFF-BI-10003981</v>
      </c>
      <c r="E850" t="str">
        <f>IF(COUNTIF(data1!$D:$D,D850)=0,"Missing in Data1","Present")</f>
        <v>Present</v>
      </c>
    </row>
    <row r="851" spans="1:5" x14ac:dyDescent="0.25">
      <c r="A851" s="2" t="s">
        <v>1104</v>
      </c>
      <c r="B851" s="2" t="s">
        <v>1106</v>
      </c>
      <c r="C851" s="2">
        <v>3</v>
      </c>
      <c r="D851" t="str">
        <f t="shared" si="13"/>
        <v>CA-2014-135755_OFF-BI-10004828</v>
      </c>
      <c r="E851" t="str">
        <f>IF(COUNTIF(data1!$D:$D,D851)=0,"Missing in Data1","Present")</f>
        <v>Present</v>
      </c>
    </row>
    <row r="852" spans="1:5" x14ac:dyDescent="0.25">
      <c r="A852" s="2" t="s">
        <v>1107</v>
      </c>
      <c r="B852" s="2" t="s">
        <v>511</v>
      </c>
      <c r="C852" s="2">
        <v>4</v>
      </c>
      <c r="D852" t="str">
        <f t="shared" si="13"/>
        <v>CA-2014-135993_TEC-AC-10004877</v>
      </c>
      <c r="E852" t="str">
        <f>IF(COUNTIF(data1!$D:$D,D852)=0,"Missing in Data1","Present")</f>
        <v>Present</v>
      </c>
    </row>
    <row r="853" spans="1:5" x14ac:dyDescent="0.25">
      <c r="A853" s="2" t="s">
        <v>1107</v>
      </c>
      <c r="B853" s="2" t="s">
        <v>924</v>
      </c>
      <c r="C853" s="2">
        <v>6</v>
      </c>
      <c r="D853" t="str">
        <f t="shared" si="13"/>
        <v>CA-2014-135993_TEC-PH-10001552</v>
      </c>
      <c r="E853" t="str">
        <f>IF(COUNTIF(data1!$D:$D,D853)=0,"Missing in Data1","Present")</f>
        <v>Present</v>
      </c>
    </row>
    <row r="854" spans="1:5" x14ac:dyDescent="0.25">
      <c r="A854" s="2" t="s">
        <v>1108</v>
      </c>
      <c r="B854" s="2" t="s">
        <v>627</v>
      </c>
      <c r="C854" s="2">
        <v>2</v>
      </c>
      <c r="D854" t="str">
        <f t="shared" si="13"/>
        <v>CA-2014-136280_OFF-LA-10000452</v>
      </c>
      <c r="E854" t="str">
        <f>IF(COUNTIF(data1!$D:$D,D854)=0,"Missing in Data1","Present")</f>
        <v>Present</v>
      </c>
    </row>
    <row r="855" spans="1:5" x14ac:dyDescent="0.25">
      <c r="A855" s="2" t="s">
        <v>1109</v>
      </c>
      <c r="B855" s="2" t="s">
        <v>116</v>
      </c>
      <c r="C855" s="2">
        <v>6</v>
      </c>
      <c r="D855" t="str">
        <f t="shared" si="13"/>
        <v>CA-2014-136336_OFF-ST-10002574</v>
      </c>
      <c r="E855" t="str">
        <f>IF(COUNTIF(data1!$D:$D,D855)=0,"Missing in Data1","Present")</f>
        <v>Present</v>
      </c>
    </row>
    <row r="856" spans="1:5" x14ac:dyDescent="0.25">
      <c r="A856" s="2" t="s">
        <v>1110</v>
      </c>
      <c r="B856" s="2" t="s">
        <v>16</v>
      </c>
      <c r="C856" s="2">
        <v>2</v>
      </c>
      <c r="D856" t="str">
        <f t="shared" si="13"/>
        <v>CA-2014-136399_FUR-CH-10002602</v>
      </c>
      <c r="E856" t="str">
        <f>IF(COUNTIF(data1!$D:$D,D856)=0,"Missing in Data1","Present")</f>
        <v>Present</v>
      </c>
    </row>
    <row r="857" spans="1:5" x14ac:dyDescent="0.25">
      <c r="A857" s="2" t="s">
        <v>1110</v>
      </c>
      <c r="B857" s="2" t="s">
        <v>1111</v>
      </c>
      <c r="C857" s="2">
        <v>2</v>
      </c>
      <c r="D857" t="str">
        <f t="shared" si="13"/>
        <v>CA-2014-136399_FUR-FU-10004090</v>
      </c>
      <c r="E857" t="str">
        <f>IF(COUNTIF(data1!$D:$D,D857)=0,"Missing in Data1","Present")</f>
        <v>Present</v>
      </c>
    </row>
    <row r="858" spans="1:5" x14ac:dyDescent="0.25">
      <c r="A858" s="2" t="s">
        <v>1110</v>
      </c>
      <c r="B858" s="2" t="s">
        <v>1112</v>
      </c>
      <c r="C858" s="2">
        <v>5</v>
      </c>
      <c r="D858" t="str">
        <f t="shared" si="13"/>
        <v>CA-2014-136399_TEC-AC-10001142</v>
      </c>
      <c r="E858" t="str">
        <f>IF(COUNTIF(data1!$D:$D,D858)=0,"Missing in Data1","Present")</f>
        <v>Present</v>
      </c>
    </row>
    <row r="859" spans="1:5" x14ac:dyDescent="0.25">
      <c r="A859" s="2" t="s">
        <v>1110</v>
      </c>
      <c r="B859" s="2" t="s">
        <v>1113</v>
      </c>
      <c r="C859" s="2">
        <v>4</v>
      </c>
      <c r="D859" t="str">
        <f t="shared" si="13"/>
        <v>CA-2014-136399_TEC-PH-10004977</v>
      </c>
      <c r="E859" t="str">
        <f>IF(COUNTIF(data1!$D:$D,D859)=0,"Missing in Data1","Present")</f>
        <v>Present</v>
      </c>
    </row>
    <row r="860" spans="1:5" x14ac:dyDescent="0.25">
      <c r="A860" s="2" t="s">
        <v>1114</v>
      </c>
      <c r="B860" s="2" t="s">
        <v>1115</v>
      </c>
      <c r="C860" s="2">
        <v>2</v>
      </c>
      <c r="D860" t="str">
        <f t="shared" si="13"/>
        <v>CA-2014-136567_FUR-TA-10000617</v>
      </c>
      <c r="E860" t="str">
        <f>IF(COUNTIF(data1!$D:$D,D860)=0,"Missing in Data1","Present")</f>
        <v>Present</v>
      </c>
    </row>
    <row r="861" spans="1:5" x14ac:dyDescent="0.25">
      <c r="A861" s="2" t="s">
        <v>1114</v>
      </c>
      <c r="B861" s="2" t="s">
        <v>1117</v>
      </c>
      <c r="C861" s="2">
        <v>3</v>
      </c>
      <c r="D861" t="str">
        <f t="shared" si="13"/>
        <v>CA-2014-136567_OFF-BI-10003982</v>
      </c>
      <c r="E861" t="str">
        <f>IF(COUNTIF(data1!$D:$D,D861)=0,"Missing in Data1","Present")</f>
        <v>Present</v>
      </c>
    </row>
    <row r="862" spans="1:5" x14ac:dyDescent="0.25">
      <c r="A862" s="2" t="s">
        <v>1114</v>
      </c>
      <c r="B862" s="2" t="s">
        <v>184</v>
      </c>
      <c r="C862" s="2">
        <v>2</v>
      </c>
      <c r="D862" t="str">
        <f t="shared" si="13"/>
        <v>CA-2014-136567_OFF-ST-10004337</v>
      </c>
      <c r="E862" t="str">
        <f>IF(COUNTIF(data1!$D:$D,D862)=0,"Missing in Data1","Present")</f>
        <v>Present</v>
      </c>
    </row>
    <row r="863" spans="1:5" x14ac:dyDescent="0.25">
      <c r="A863" s="2" t="s">
        <v>1118</v>
      </c>
      <c r="B863" s="2" t="s">
        <v>1119</v>
      </c>
      <c r="C863" s="2">
        <v>8</v>
      </c>
      <c r="D863" t="str">
        <f t="shared" si="13"/>
        <v>CA-2014-136644_FUR-CH-10000225</v>
      </c>
      <c r="E863" t="str">
        <f>IF(COUNTIF(data1!$D:$D,D863)=0,"Missing in Data1","Present")</f>
        <v>Present</v>
      </c>
    </row>
    <row r="864" spans="1:5" x14ac:dyDescent="0.25">
      <c r="A864" s="2" t="s">
        <v>1120</v>
      </c>
      <c r="B864" s="2" t="s">
        <v>1121</v>
      </c>
      <c r="C864" s="2">
        <v>6</v>
      </c>
      <c r="D864" t="str">
        <f t="shared" si="13"/>
        <v>CA-2014-136742_OFF-BI-10003719</v>
      </c>
      <c r="E864" t="str">
        <f>IF(COUNTIF(data1!$D:$D,D864)=0,"Missing in Data1","Present")</f>
        <v>Present</v>
      </c>
    </row>
    <row r="865" spans="1:5" x14ac:dyDescent="0.25">
      <c r="A865" s="2" t="s">
        <v>1122</v>
      </c>
      <c r="B865" s="2" t="s">
        <v>1123</v>
      </c>
      <c r="C865" s="2">
        <v>2</v>
      </c>
      <c r="D865" t="str">
        <f t="shared" si="13"/>
        <v>CA-2014-136861_FUR-FU-10001967</v>
      </c>
      <c r="E865" t="str">
        <f>IF(COUNTIF(data1!$D:$D,D865)=0,"Missing in Data1","Present")</f>
        <v>Present</v>
      </c>
    </row>
    <row r="866" spans="1:5" x14ac:dyDescent="0.25">
      <c r="A866" s="2" t="s">
        <v>1124</v>
      </c>
      <c r="B866" s="2" t="s">
        <v>740</v>
      </c>
      <c r="C866" s="2">
        <v>1</v>
      </c>
      <c r="D866" t="str">
        <f t="shared" si="13"/>
        <v>CA-2014-137092_OFF-BI-10000632</v>
      </c>
      <c r="E866" t="str">
        <f>IF(COUNTIF(data1!$D:$D,D866)=0,"Missing in Data1","Present")</f>
        <v>Present</v>
      </c>
    </row>
    <row r="867" spans="1:5" x14ac:dyDescent="0.25">
      <c r="A867" s="2" t="s">
        <v>1124</v>
      </c>
      <c r="B867" s="2" t="s">
        <v>1125</v>
      </c>
      <c r="C867" s="2">
        <v>1</v>
      </c>
      <c r="D867" t="str">
        <f t="shared" si="13"/>
        <v>CA-2014-137092_OFF-LA-10003510</v>
      </c>
      <c r="E867" t="str">
        <f>IF(COUNTIF(data1!$D:$D,D867)=0,"Missing in Data1","Present")</f>
        <v>Present</v>
      </c>
    </row>
    <row r="868" spans="1:5" x14ac:dyDescent="0.25">
      <c r="A868" s="2" t="s">
        <v>1124</v>
      </c>
      <c r="B868" s="2" t="s">
        <v>1126</v>
      </c>
      <c r="C868" s="2">
        <v>1</v>
      </c>
      <c r="D868" t="str">
        <f t="shared" si="13"/>
        <v>CA-2014-137092_OFF-PA-10002109</v>
      </c>
      <c r="E868" t="str">
        <f>IF(COUNTIF(data1!$D:$D,D868)=0,"Missing in Data1","Present")</f>
        <v>Present</v>
      </c>
    </row>
    <row r="869" spans="1:5" x14ac:dyDescent="0.25">
      <c r="A869" s="2" t="s">
        <v>1124</v>
      </c>
      <c r="B869" s="2" t="s">
        <v>1127</v>
      </c>
      <c r="C869" s="2">
        <v>3</v>
      </c>
      <c r="D869" t="str">
        <f t="shared" si="13"/>
        <v>CA-2014-137092_OFF-ST-10003805</v>
      </c>
      <c r="E869" t="str">
        <f>IF(COUNTIF(data1!$D:$D,D869)=0,"Missing in Data1","Present")</f>
        <v>Present</v>
      </c>
    </row>
    <row r="870" spans="1:5" x14ac:dyDescent="0.25">
      <c r="A870" s="2" t="s">
        <v>1124</v>
      </c>
      <c r="B870" s="2" t="s">
        <v>1128</v>
      </c>
      <c r="C870" s="2">
        <v>4</v>
      </c>
      <c r="D870" t="str">
        <f t="shared" si="13"/>
        <v>CA-2014-137092_TEC-AC-10001606</v>
      </c>
      <c r="E870" t="str">
        <f>IF(COUNTIF(data1!$D:$D,D870)=0,"Missing in Data1","Present")</f>
        <v>Present</v>
      </c>
    </row>
    <row r="871" spans="1:5" x14ac:dyDescent="0.25">
      <c r="A871" s="2" t="s">
        <v>1129</v>
      </c>
      <c r="B871" s="2" t="s">
        <v>1130</v>
      </c>
      <c r="C871" s="2">
        <v>3</v>
      </c>
      <c r="D871" t="str">
        <f t="shared" si="13"/>
        <v>CA-2014-137274_FUR-TA-10001889</v>
      </c>
      <c r="E871" t="str">
        <f>IF(COUNTIF(data1!$D:$D,D871)=0,"Missing in Data1","Present")</f>
        <v>Present</v>
      </c>
    </row>
    <row r="872" spans="1:5" x14ac:dyDescent="0.25">
      <c r="A872" s="2" t="s">
        <v>1131</v>
      </c>
      <c r="B872" s="2" t="s">
        <v>546</v>
      </c>
      <c r="C872" s="2">
        <v>7</v>
      </c>
      <c r="D872" t="str">
        <f t="shared" si="13"/>
        <v>CA-2014-137351_OFF-BI-10003910</v>
      </c>
      <c r="E872" t="str">
        <f>IF(COUNTIF(data1!$D:$D,D872)=0,"Missing in Data1","Present")</f>
        <v>Present</v>
      </c>
    </row>
    <row r="873" spans="1:5" x14ac:dyDescent="0.25">
      <c r="A873" s="2" t="s">
        <v>1132</v>
      </c>
      <c r="B873" s="2" t="s">
        <v>1133</v>
      </c>
      <c r="C873" s="2">
        <v>2</v>
      </c>
      <c r="D873" t="str">
        <f t="shared" si="13"/>
        <v>CA-2014-137575_TEC-AC-10004571</v>
      </c>
      <c r="E873" t="str">
        <f>IF(COUNTIF(data1!$D:$D,D873)=0,"Missing in Data1","Present")</f>
        <v>Present</v>
      </c>
    </row>
    <row r="874" spans="1:5" x14ac:dyDescent="0.25">
      <c r="A874" s="2" t="s">
        <v>1134</v>
      </c>
      <c r="B874" s="2" t="s">
        <v>695</v>
      </c>
      <c r="C874" s="2">
        <v>3</v>
      </c>
      <c r="D874" t="str">
        <f t="shared" si="13"/>
        <v>CA-2014-137589_OFF-SU-10000157</v>
      </c>
      <c r="E874" t="str">
        <f>IF(COUNTIF(data1!$D:$D,D874)=0,"Missing in Data1","Present")</f>
        <v>Present</v>
      </c>
    </row>
    <row r="875" spans="1:5" x14ac:dyDescent="0.25">
      <c r="A875" s="2" t="s">
        <v>1135</v>
      </c>
      <c r="B875" s="2" t="s">
        <v>477</v>
      </c>
      <c r="C875" s="2">
        <v>2</v>
      </c>
      <c r="D875" t="str">
        <f t="shared" si="13"/>
        <v>CA-2014-137911_OFF-PA-10004071</v>
      </c>
      <c r="E875" t="str">
        <f>IF(COUNTIF(data1!$D:$D,D875)=0,"Missing in Data1","Present")</f>
        <v>Present</v>
      </c>
    </row>
    <row r="876" spans="1:5" x14ac:dyDescent="0.25">
      <c r="A876" s="2" t="s">
        <v>1136</v>
      </c>
      <c r="B876" s="2" t="s">
        <v>1137</v>
      </c>
      <c r="C876" s="2">
        <v>8</v>
      </c>
      <c r="D876" t="str">
        <f t="shared" si="13"/>
        <v>CA-2014-138023_OFF-BI-10003638</v>
      </c>
      <c r="E876" t="str">
        <f>IF(COUNTIF(data1!$D:$D,D876)=0,"Missing in Data1","Present")</f>
        <v>Present</v>
      </c>
    </row>
    <row r="877" spans="1:5" x14ac:dyDescent="0.25">
      <c r="A877" s="2" t="s">
        <v>1138</v>
      </c>
      <c r="B877" s="2" t="s">
        <v>522</v>
      </c>
      <c r="C877" s="2">
        <v>2</v>
      </c>
      <c r="D877" t="str">
        <f t="shared" si="13"/>
        <v>CA-2014-138072_TEC-AC-10004859</v>
      </c>
      <c r="E877" t="str">
        <f>IF(COUNTIF(data1!$D:$D,D877)=0,"Missing in Data1","Present")</f>
        <v>Present</v>
      </c>
    </row>
    <row r="878" spans="1:5" x14ac:dyDescent="0.25">
      <c r="A878" s="2" t="s">
        <v>1139</v>
      </c>
      <c r="B878" s="2" t="s">
        <v>100</v>
      </c>
      <c r="C878" s="2">
        <v>2</v>
      </c>
      <c r="D878" t="str">
        <f t="shared" si="13"/>
        <v>CA-2014-138100_FUR-FU-10002456</v>
      </c>
      <c r="E878" t="str">
        <f>IF(COUNTIF(data1!$D:$D,D878)=0,"Missing in Data1","Present")</f>
        <v>Present</v>
      </c>
    </row>
    <row r="879" spans="1:5" x14ac:dyDescent="0.25">
      <c r="A879" s="2" t="s">
        <v>1139</v>
      </c>
      <c r="B879" s="2" t="s">
        <v>1140</v>
      </c>
      <c r="C879" s="2">
        <v>3</v>
      </c>
      <c r="D879" t="str">
        <f t="shared" si="13"/>
        <v>CA-2014-138100_OFF-PA-10000349</v>
      </c>
      <c r="E879" t="str">
        <f>IF(COUNTIF(data1!$D:$D,D879)=0,"Missing in Data1","Present")</f>
        <v>Present</v>
      </c>
    </row>
    <row r="880" spans="1:5" x14ac:dyDescent="0.25">
      <c r="A880" s="2" t="s">
        <v>1141</v>
      </c>
      <c r="B880" s="2" t="s">
        <v>758</v>
      </c>
      <c r="C880" s="2">
        <v>3</v>
      </c>
      <c r="D880" t="str">
        <f t="shared" si="13"/>
        <v>CA-2014-138128_OFF-EN-10002500</v>
      </c>
      <c r="E880" t="str">
        <f>IF(COUNTIF(data1!$D:$D,D880)=0,"Missing in Data1","Present")</f>
        <v>Present</v>
      </c>
    </row>
    <row r="881" spans="1:5" x14ac:dyDescent="0.25">
      <c r="A881" s="2" t="s">
        <v>1141</v>
      </c>
      <c r="B881" s="2" t="s">
        <v>1142</v>
      </c>
      <c r="C881" s="2">
        <v>4</v>
      </c>
      <c r="D881" t="str">
        <f t="shared" si="13"/>
        <v>CA-2014-138128_TEC-CO-10001766</v>
      </c>
      <c r="E881" t="str">
        <f>IF(COUNTIF(data1!$D:$D,D881)=0,"Missing in Data1","Present")</f>
        <v>Present</v>
      </c>
    </row>
    <row r="882" spans="1:5" x14ac:dyDescent="0.25">
      <c r="A882" s="2" t="s">
        <v>6752</v>
      </c>
      <c r="B882" s="2" t="s">
        <v>37</v>
      </c>
      <c r="C882" s="2">
        <v>1</v>
      </c>
      <c r="D882" t="str">
        <f t="shared" si="13"/>
        <v>CA-2014-138177_FUR-TA-10004607</v>
      </c>
      <c r="E882" t="str">
        <f>IF(COUNTIF(data1!$D:$D,D882)=0,"Missing in Data1","Present")</f>
        <v>Missing in Data1</v>
      </c>
    </row>
    <row r="883" spans="1:5" x14ac:dyDescent="0.25">
      <c r="A883" s="2" t="s">
        <v>1143</v>
      </c>
      <c r="B883" s="2" t="s">
        <v>275</v>
      </c>
      <c r="C883" s="2">
        <v>2</v>
      </c>
      <c r="D883" t="str">
        <f t="shared" si="13"/>
        <v>CA-2014-138198_OFF-BI-10002103</v>
      </c>
      <c r="E883" t="str">
        <f>IF(COUNTIF(data1!$D:$D,D883)=0,"Missing in Data1","Present")</f>
        <v>Present</v>
      </c>
    </row>
    <row r="884" spans="1:5" x14ac:dyDescent="0.25">
      <c r="A884" s="2" t="s">
        <v>1144</v>
      </c>
      <c r="B884" s="2" t="s">
        <v>400</v>
      </c>
      <c r="C884" s="2">
        <v>3</v>
      </c>
      <c r="D884" t="str">
        <f t="shared" si="13"/>
        <v>CA-2014-138240_OFF-AR-10002135</v>
      </c>
      <c r="E884" t="str">
        <f>IF(COUNTIF(data1!$D:$D,D884)=0,"Missing in Data1","Present")</f>
        <v>Present</v>
      </c>
    </row>
    <row r="885" spans="1:5" x14ac:dyDescent="0.25">
      <c r="A885" s="2" t="s">
        <v>1144</v>
      </c>
      <c r="B885" s="2" t="s">
        <v>1145</v>
      </c>
      <c r="C885" s="2">
        <v>1</v>
      </c>
      <c r="D885" t="str">
        <f t="shared" si="13"/>
        <v>CA-2014-138240_TEC-PH-10002583</v>
      </c>
      <c r="E885" t="str">
        <f>IF(COUNTIF(data1!$D:$D,D885)=0,"Missing in Data1","Present")</f>
        <v>Present</v>
      </c>
    </row>
    <row r="886" spans="1:5" x14ac:dyDescent="0.25">
      <c r="A886" s="2" t="s">
        <v>1146</v>
      </c>
      <c r="B886" s="2" t="s">
        <v>260</v>
      </c>
      <c r="C886" s="2">
        <v>2</v>
      </c>
      <c r="D886" t="str">
        <f t="shared" si="13"/>
        <v>CA-2014-138296_OFF-ST-10002444</v>
      </c>
      <c r="E886" t="str">
        <f>IF(COUNTIF(data1!$D:$D,D886)=0,"Missing in Data1","Present")</f>
        <v>Present</v>
      </c>
    </row>
    <row r="887" spans="1:5" x14ac:dyDescent="0.25">
      <c r="A887" s="2" t="s">
        <v>1147</v>
      </c>
      <c r="B887" s="2" t="s">
        <v>388</v>
      </c>
      <c r="C887" s="2">
        <v>1</v>
      </c>
      <c r="D887" t="str">
        <f t="shared" si="13"/>
        <v>CA-2014-138317_FUR-FU-10000550</v>
      </c>
      <c r="E887" t="str">
        <f>IF(COUNTIF(data1!$D:$D,D887)=0,"Missing in Data1","Present")</f>
        <v>Present</v>
      </c>
    </row>
    <row r="888" spans="1:5" x14ac:dyDescent="0.25">
      <c r="A888" s="2" t="s">
        <v>1147</v>
      </c>
      <c r="B888" s="2" t="s">
        <v>1148</v>
      </c>
      <c r="C888" s="2">
        <v>2</v>
      </c>
      <c r="D888" t="str">
        <f t="shared" si="13"/>
        <v>CA-2014-138317_OFF-AP-10003860</v>
      </c>
      <c r="E888" t="str">
        <f>IF(COUNTIF(data1!$D:$D,D888)=0,"Missing in Data1","Present")</f>
        <v>Present</v>
      </c>
    </row>
    <row r="889" spans="1:5" x14ac:dyDescent="0.25">
      <c r="A889" s="2" t="s">
        <v>1147</v>
      </c>
      <c r="B889" s="2" t="s">
        <v>1149</v>
      </c>
      <c r="C889" s="2">
        <v>2</v>
      </c>
      <c r="D889" t="str">
        <f t="shared" si="13"/>
        <v>CA-2014-138317_OFF-BI-10000069</v>
      </c>
      <c r="E889" t="str">
        <f>IF(COUNTIF(data1!$D:$D,D889)=0,"Missing in Data1","Present")</f>
        <v>Present</v>
      </c>
    </row>
    <row r="890" spans="1:5" x14ac:dyDescent="0.25">
      <c r="A890" s="2" t="s">
        <v>1147</v>
      </c>
      <c r="B890" s="2" t="s">
        <v>1493</v>
      </c>
      <c r="C890" s="2">
        <v>4</v>
      </c>
      <c r="D890" t="str">
        <f t="shared" si="13"/>
        <v>CA-2014-138317_OFF-EN-10001539</v>
      </c>
      <c r="E890" t="str">
        <f>IF(COUNTIF(data1!$D:$D,D890)=0,"Missing in Data1","Present")</f>
        <v>Missing in Data1</v>
      </c>
    </row>
    <row r="891" spans="1:5" x14ac:dyDescent="0.25">
      <c r="A891" s="2" t="s">
        <v>1147</v>
      </c>
      <c r="B891" s="2" t="s">
        <v>131</v>
      </c>
      <c r="C891" s="2">
        <v>4</v>
      </c>
      <c r="D891" t="str">
        <f t="shared" si="13"/>
        <v>CA-2014-138317_TEC-AC-10003628</v>
      </c>
      <c r="E891" t="str">
        <f>IF(COUNTIF(data1!$D:$D,D891)=0,"Missing in Data1","Present")</f>
        <v>Present</v>
      </c>
    </row>
    <row r="892" spans="1:5" x14ac:dyDescent="0.25">
      <c r="A892" s="2" t="s">
        <v>1147</v>
      </c>
      <c r="B892" s="2" t="s">
        <v>1150</v>
      </c>
      <c r="C892" s="2">
        <v>3</v>
      </c>
      <c r="D892" t="str">
        <f t="shared" si="13"/>
        <v>CA-2014-138317_TEC-MA-10004521</v>
      </c>
      <c r="E892" t="str">
        <f>IF(COUNTIF(data1!$D:$D,D892)=0,"Missing in Data1","Present")</f>
        <v>Present</v>
      </c>
    </row>
    <row r="893" spans="1:5" x14ac:dyDescent="0.25">
      <c r="A893" s="2" t="s">
        <v>1151</v>
      </c>
      <c r="B893" s="2" t="s">
        <v>1152</v>
      </c>
      <c r="C893" s="2">
        <v>2</v>
      </c>
      <c r="D893" t="str">
        <f t="shared" si="13"/>
        <v>CA-2014-138359_OFF-BI-10000145</v>
      </c>
      <c r="E893" t="str">
        <f>IF(COUNTIF(data1!$D:$D,D893)=0,"Missing in Data1","Present")</f>
        <v>Present</v>
      </c>
    </row>
    <row r="894" spans="1:5" x14ac:dyDescent="0.25">
      <c r="A894" s="2" t="s">
        <v>1151</v>
      </c>
      <c r="B894" s="2" t="s">
        <v>962</v>
      </c>
      <c r="C894" s="2">
        <v>4</v>
      </c>
      <c r="D894" t="str">
        <f t="shared" si="13"/>
        <v>CA-2014-138359_OFF-ST-10000636</v>
      </c>
      <c r="E894" t="str">
        <f>IF(COUNTIF(data1!$D:$D,D894)=0,"Missing in Data1","Present")</f>
        <v>Present</v>
      </c>
    </row>
    <row r="895" spans="1:5" x14ac:dyDescent="0.25">
      <c r="A895" s="2" t="s">
        <v>1153</v>
      </c>
      <c r="B895" s="2" t="s">
        <v>731</v>
      </c>
      <c r="C895" s="2">
        <v>3</v>
      </c>
      <c r="D895" t="str">
        <f t="shared" si="13"/>
        <v>CA-2014-138436_TEC-AC-10002323</v>
      </c>
      <c r="E895" t="str">
        <f>IF(COUNTIF(data1!$D:$D,D895)=0,"Missing in Data1","Present")</f>
        <v>Present</v>
      </c>
    </row>
    <row r="896" spans="1:5" x14ac:dyDescent="0.25">
      <c r="A896" s="2" t="s">
        <v>1154</v>
      </c>
      <c r="B896" s="2" t="s">
        <v>1155</v>
      </c>
      <c r="C896" s="2">
        <v>6</v>
      </c>
      <c r="D896" t="str">
        <f t="shared" si="13"/>
        <v>CA-2014-138450_OFF-EN-10001335</v>
      </c>
      <c r="E896" t="str">
        <f>IF(COUNTIF(data1!$D:$D,D896)=0,"Missing in Data1","Present")</f>
        <v>Present</v>
      </c>
    </row>
    <row r="897" spans="1:5" x14ac:dyDescent="0.25">
      <c r="A897" s="2" t="s">
        <v>1154</v>
      </c>
      <c r="B897" s="2" t="s">
        <v>1156</v>
      </c>
      <c r="C897" s="2">
        <v>4</v>
      </c>
      <c r="D897" t="str">
        <f t="shared" si="13"/>
        <v>CA-2014-138450_OFF-PA-10003016</v>
      </c>
      <c r="E897" t="str">
        <f>IF(COUNTIF(data1!$D:$D,D897)=0,"Missing in Data1","Present")</f>
        <v>Present</v>
      </c>
    </row>
    <row r="898" spans="1:5" x14ac:dyDescent="0.25">
      <c r="A898" s="2" t="s">
        <v>1154</v>
      </c>
      <c r="B898" s="2" t="s">
        <v>39</v>
      </c>
      <c r="C898" s="2">
        <v>6</v>
      </c>
      <c r="D898" t="str">
        <f t="shared" si="13"/>
        <v>CA-2014-138450_OFF-ST-10003479</v>
      </c>
      <c r="E898" t="str">
        <f>IF(COUNTIF(data1!$D:$D,D898)=0,"Missing in Data1","Present")</f>
        <v>Present</v>
      </c>
    </row>
    <row r="899" spans="1:5" x14ac:dyDescent="0.25">
      <c r="A899" s="2" t="s">
        <v>1157</v>
      </c>
      <c r="B899" s="2" t="s">
        <v>1158</v>
      </c>
      <c r="C899" s="2">
        <v>2</v>
      </c>
      <c r="D899" t="str">
        <f t="shared" ref="D899:D962" si="14">A899&amp;"_"&amp;B899</f>
        <v>CA-2014-138513_OFF-PA-10003177</v>
      </c>
      <c r="E899" t="str">
        <f>IF(COUNTIF(data1!$D:$D,D899)=0,"Missing in Data1","Present")</f>
        <v>Present</v>
      </c>
    </row>
    <row r="900" spans="1:5" x14ac:dyDescent="0.25">
      <c r="A900" s="2" t="s">
        <v>1159</v>
      </c>
      <c r="B900" s="2" t="s">
        <v>1160</v>
      </c>
      <c r="C900" s="2">
        <v>5</v>
      </c>
      <c r="D900" t="str">
        <f t="shared" si="14"/>
        <v>CA-2014-138527_OFF-AP-10001469</v>
      </c>
      <c r="E900" t="str">
        <f>IF(COUNTIF(data1!$D:$D,D900)=0,"Missing in Data1","Present")</f>
        <v>Present</v>
      </c>
    </row>
    <row r="901" spans="1:5" x14ac:dyDescent="0.25">
      <c r="A901" s="2" t="s">
        <v>1159</v>
      </c>
      <c r="B901" s="2" t="s">
        <v>854</v>
      </c>
      <c r="C901" s="2">
        <v>2</v>
      </c>
      <c r="D901" t="str">
        <f t="shared" si="14"/>
        <v>CA-2014-138527_OFF-PA-10001800</v>
      </c>
      <c r="E901" t="str">
        <f>IF(COUNTIF(data1!$D:$D,D901)=0,"Missing in Data1","Present")</f>
        <v>Present</v>
      </c>
    </row>
    <row r="902" spans="1:5" x14ac:dyDescent="0.25">
      <c r="A902" s="2" t="s">
        <v>1159</v>
      </c>
      <c r="B902" s="2" t="s">
        <v>179</v>
      </c>
      <c r="C902" s="2">
        <v>1</v>
      </c>
      <c r="D902" t="str">
        <f t="shared" si="14"/>
        <v>CA-2014-138527_TEC-AC-10002399</v>
      </c>
      <c r="E902" t="str">
        <f>IF(COUNTIF(data1!$D:$D,D902)=0,"Missing in Data1","Present")</f>
        <v>Present</v>
      </c>
    </row>
    <row r="903" spans="1:5" x14ac:dyDescent="0.25">
      <c r="A903" s="2" t="s">
        <v>1161</v>
      </c>
      <c r="B903" s="2" t="s">
        <v>1162</v>
      </c>
      <c r="C903" s="2">
        <v>3</v>
      </c>
      <c r="D903" t="str">
        <f t="shared" si="14"/>
        <v>CA-2014-138681_FUR-CH-10004860</v>
      </c>
      <c r="E903" t="str">
        <f>IF(COUNTIF(data1!$D:$D,D903)=0,"Missing in Data1","Present")</f>
        <v>Present</v>
      </c>
    </row>
    <row r="904" spans="1:5" x14ac:dyDescent="0.25">
      <c r="A904" s="2" t="s">
        <v>1161</v>
      </c>
      <c r="B904" s="2" t="s">
        <v>1163</v>
      </c>
      <c r="C904" s="2">
        <v>2</v>
      </c>
      <c r="D904" t="str">
        <f t="shared" si="14"/>
        <v>CA-2014-138681_FUR-FU-10001876</v>
      </c>
      <c r="E904" t="str">
        <f>IF(COUNTIF(data1!$D:$D,D904)=0,"Missing in Data1","Present")</f>
        <v>Present</v>
      </c>
    </row>
    <row r="905" spans="1:5" x14ac:dyDescent="0.25">
      <c r="A905" s="2" t="s">
        <v>1161</v>
      </c>
      <c r="B905" s="2" t="s">
        <v>41</v>
      </c>
      <c r="C905" s="2">
        <v>5</v>
      </c>
      <c r="D905" t="str">
        <f t="shared" si="14"/>
        <v>CA-2014-138681_OFF-PA-10000357</v>
      </c>
      <c r="E905" t="str">
        <f>IF(COUNTIF(data1!$D:$D,D905)=0,"Missing in Data1","Present")</f>
        <v>Present</v>
      </c>
    </row>
    <row r="906" spans="1:5" x14ac:dyDescent="0.25">
      <c r="A906" s="2" t="s">
        <v>1161</v>
      </c>
      <c r="B906" s="2" t="s">
        <v>1164</v>
      </c>
      <c r="C906" s="2">
        <v>2</v>
      </c>
      <c r="D906" t="str">
        <f t="shared" si="14"/>
        <v>CA-2014-138681_OFF-PA-10003270</v>
      </c>
      <c r="E906" t="str">
        <f>IF(COUNTIF(data1!$D:$D,D906)=0,"Missing in Data1","Present")</f>
        <v>Present</v>
      </c>
    </row>
    <row r="907" spans="1:5" x14ac:dyDescent="0.25">
      <c r="A907" s="2" t="s">
        <v>1161</v>
      </c>
      <c r="B907" s="2" t="s">
        <v>131</v>
      </c>
      <c r="C907" s="2">
        <v>3</v>
      </c>
      <c r="D907" t="str">
        <f t="shared" si="14"/>
        <v>CA-2014-138681_TEC-AC-10003628</v>
      </c>
      <c r="E907" t="str">
        <f>IF(COUNTIF(data1!$D:$D,D907)=0,"Missing in Data1","Present")</f>
        <v>Present</v>
      </c>
    </row>
    <row r="908" spans="1:5" x14ac:dyDescent="0.25">
      <c r="A908" s="2" t="s">
        <v>1165</v>
      </c>
      <c r="B908" s="2" t="s">
        <v>1152</v>
      </c>
      <c r="C908" s="2">
        <v>5</v>
      </c>
      <c r="D908" t="str">
        <f t="shared" si="14"/>
        <v>CA-2014-138709_OFF-BI-10000145</v>
      </c>
      <c r="E908" t="str">
        <f>IF(COUNTIF(data1!$D:$D,D908)=0,"Missing in Data1","Present")</f>
        <v>Present</v>
      </c>
    </row>
    <row r="909" spans="1:5" x14ac:dyDescent="0.25">
      <c r="A909" s="2" t="s">
        <v>1165</v>
      </c>
      <c r="B909" s="2" t="s">
        <v>1166</v>
      </c>
      <c r="C909" s="2">
        <v>3</v>
      </c>
      <c r="D909" t="str">
        <f t="shared" si="14"/>
        <v>CA-2014-138709_OFF-PA-10004734</v>
      </c>
      <c r="E909" t="str">
        <f>IF(COUNTIF(data1!$D:$D,D909)=0,"Missing in Data1","Present")</f>
        <v>Present</v>
      </c>
    </row>
    <row r="910" spans="1:5" x14ac:dyDescent="0.25">
      <c r="A910" s="2" t="s">
        <v>1167</v>
      </c>
      <c r="B910" s="2" t="s">
        <v>598</v>
      </c>
      <c r="C910" s="2">
        <v>3</v>
      </c>
      <c r="D910" t="str">
        <f t="shared" si="14"/>
        <v>CA-2014-138737_OFF-AR-10003190</v>
      </c>
      <c r="E910" t="str">
        <f>IF(COUNTIF(data1!$D:$D,D910)=0,"Missing in Data1","Present")</f>
        <v>Present</v>
      </c>
    </row>
    <row r="911" spans="1:5" x14ac:dyDescent="0.25">
      <c r="A911" s="2" t="s">
        <v>1168</v>
      </c>
      <c r="B911" s="2" t="s">
        <v>1169</v>
      </c>
      <c r="C911" s="2">
        <v>6</v>
      </c>
      <c r="D911" t="str">
        <f t="shared" si="14"/>
        <v>CA-2014-138940_TEC-PH-10001835</v>
      </c>
      <c r="E911" t="str">
        <f>IF(COUNTIF(data1!$D:$D,D911)=0,"Missing in Data1","Present")</f>
        <v>Present</v>
      </c>
    </row>
    <row r="912" spans="1:5" x14ac:dyDescent="0.25">
      <c r="A912" s="2" t="s">
        <v>1170</v>
      </c>
      <c r="B912" s="2" t="s">
        <v>1171</v>
      </c>
      <c r="C912" s="2">
        <v>2</v>
      </c>
      <c r="D912" t="str">
        <f t="shared" si="14"/>
        <v>CA-2014-139017_TEC-AC-10001013</v>
      </c>
      <c r="E912" t="str">
        <f>IF(COUNTIF(data1!$D:$D,D912)=0,"Missing in Data1","Present")</f>
        <v>Present</v>
      </c>
    </row>
    <row r="913" spans="1:5" x14ac:dyDescent="0.25">
      <c r="A913" s="2" t="s">
        <v>1172</v>
      </c>
      <c r="B913" s="2" t="s">
        <v>1128</v>
      </c>
      <c r="C913" s="2">
        <v>1</v>
      </c>
      <c r="D913" t="str">
        <f t="shared" si="14"/>
        <v>CA-2014-139192_TEC-AC-10001606</v>
      </c>
      <c r="E913" t="str">
        <f>IF(COUNTIF(data1!$D:$D,D913)=0,"Missing in Data1","Present")</f>
        <v>Present</v>
      </c>
    </row>
    <row r="914" spans="1:5" x14ac:dyDescent="0.25">
      <c r="A914" s="2" t="s">
        <v>1172</v>
      </c>
      <c r="B914" s="2" t="s">
        <v>1173</v>
      </c>
      <c r="C914" s="2">
        <v>12</v>
      </c>
      <c r="D914" t="str">
        <f t="shared" si="14"/>
        <v>CA-2014-139192_TEC-PH-10000486</v>
      </c>
      <c r="E914" t="str">
        <f>IF(COUNTIF(data1!$D:$D,D914)=0,"Missing in Data1","Present")</f>
        <v>Present</v>
      </c>
    </row>
    <row r="915" spans="1:5" x14ac:dyDescent="0.25">
      <c r="A915" s="2" t="s">
        <v>1174</v>
      </c>
      <c r="B915" s="2" t="s">
        <v>1175</v>
      </c>
      <c r="C915" s="2">
        <v>3</v>
      </c>
      <c r="D915" t="str">
        <f t="shared" si="14"/>
        <v>CA-2014-139283_OFF-BI-10002049</v>
      </c>
      <c r="E915" t="str">
        <f>IF(COUNTIF(data1!$D:$D,D915)=0,"Missing in Data1","Present")</f>
        <v>Present</v>
      </c>
    </row>
    <row r="916" spans="1:5" x14ac:dyDescent="0.25">
      <c r="A916" s="2" t="s">
        <v>1176</v>
      </c>
      <c r="B916" s="2" t="s">
        <v>326</v>
      </c>
      <c r="C916" s="2">
        <v>2</v>
      </c>
      <c r="D916" t="str">
        <f t="shared" si="14"/>
        <v>CA-2014-139423_OFF-AP-10004708</v>
      </c>
      <c r="E916" t="str">
        <f>IF(COUNTIF(data1!$D:$D,D916)=0,"Missing in Data1","Present")</f>
        <v>Present</v>
      </c>
    </row>
    <row r="917" spans="1:5" x14ac:dyDescent="0.25">
      <c r="A917" s="2" t="s">
        <v>1177</v>
      </c>
      <c r="B917" s="2" t="s">
        <v>1178</v>
      </c>
      <c r="C917" s="2">
        <v>1</v>
      </c>
      <c r="D917" t="str">
        <f t="shared" si="14"/>
        <v>CA-2014-139451_OFF-ST-10002370</v>
      </c>
      <c r="E917" t="str">
        <f>IF(COUNTIF(data1!$D:$D,D917)=0,"Missing in Data1","Present")</f>
        <v>Present</v>
      </c>
    </row>
    <row r="918" spans="1:5" x14ac:dyDescent="0.25">
      <c r="A918" s="2" t="s">
        <v>1179</v>
      </c>
      <c r="B918" s="2" t="s">
        <v>59</v>
      </c>
      <c r="C918" s="2">
        <v>3</v>
      </c>
      <c r="D918" t="str">
        <f t="shared" si="14"/>
        <v>CA-2014-139542_OFF-BI-10000309</v>
      </c>
      <c r="E918" t="str">
        <f>IF(COUNTIF(data1!$D:$D,D918)=0,"Missing in Data1","Present")</f>
        <v>Present</v>
      </c>
    </row>
    <row r="919" spans="1:5" x14ac:dyDescent="0.25">
      <c r="A919" s="2" t="s">
        <v>1179</v>
      </c>
      <c r="B919" s="2" t="s">
        <v>1180</v>
      </c>
      <c r="C919" s="2">
        <v>3</v>
      </c>
      <c r="D919" t="str">
        <f t="shared" si="14"/>
        <v>CA-2014-139542_TEC-AC-10001553</v>
      </c>
      <c r="E919" t="str">
        <f>IF(COUNTIF(data1!$D:$D,D919)=0,"Missing in Data1","Present")</f>
        <v>Present</v>
      </c>
    </row>
    <row r="920" spans="1:5" x14ac:dyDescent="0.25">
      <c r="A920" s="2" t="s">
        <v>1181</v>
      </c>
      <c r="B920" s="2" t="s">
        <v>1182</v>
      </c>
      <c r="C920" s="2">
        <v>2</v>
      </c>
      <c r="D920" t="str">
        <f t="shared" si="14"/>
        <v>CA-2014-139598_OFF-AP-10002998</v>
      </c>
      <c r="E920" t="str">
        <f>IF(COUNTIF(data1!$D:$D,D920)=0,"Missing in Data1","Present")</f>
        <v>Present</v>
      </c>
    </row>
    <row r="921" spans="1:5" x14ac:dyDescent="0.25">
      <c r="A921" s="2" t="s">
        <v>1181</v>
      </c>
      <c r="B921" s="2" t="s">
        <v>1183</v>
      </c>
      <c r="C921" s="2">
        <v>2</v>
      </c>
      <c r="D921" t="str">
        <f t="shared" si="14"/>
        <v>CA-2014-139598_OFF-AP-10003287</v>
      </c>
      <c r="E921" t="str">
        <f>IF(COUNTIF(data1!$D:$D,D921)=0,"Missing in Data1","Present")</f>
        <v>Present</v>
      </c>
    </row>
    <row r="922" spans="1:5" x14ac:dyDescent="0.25">
      <c r="A922" s="2" t="s">
        <v>1181</v>
      </c>
      <c r="B922" s="2" t="s">
        <v>1184</v>
      </c>
      <c r="C922" s="2">
        <v>3</v>
      </c>
      <c r="D922" t="str">
        <f t="shared" si="14"/>
        <v>CA-2014-139598_OFF-PA-10004569</v>
      </c>
      <c r="E922" t="str">
        <f>IF(COUNTIF(data1!$D:$D,D922)=0,"Missing in Data1","Present")</f>
        <v>Present</v>
      </c>
    </row>
    <row r="923" spans="1:5" x14ac:dyDescent="0.25">
      <c r="A923" s="2" t="s">
        <v>1181</v>
      </c>
      <c r="B923" s="2" t="s">
        <v>559</v>
      </c>
      <c r="C923" s="2">
        <v>4</v>
      </c>
      <c r="D923" t="str">
        <f t="shared" si="14"/>
        <v>CA-2014-139598_OFF-ST-10001370</v>
      </c>
      <c r="E923" t="str">
        <f>IF(COUNTIF(data1!$D:$D,D923)=0,"Missing in Data1","Present")</f>
        <v>Present</v>
      </c>
    </row>
    <row r="924" spans="1:5" x14ac:dyDescent="0.25">
      <c r="A924" s="2" t="s">
        <v>1185</v>
      </c>
      <c r="B924" s="2" t="s">
        <v>1038</v>
      </c>
      <c r="C924" s="2">
        <v>4</v>
      </c>
      <c r="D924" t="str">
        <f t="shared" si="14"/>
        <v>CA-2014-139633_OFF-BI-10002954</v>
      </c>
      <c r="E924" t="str">
        <f>IF(COUNTIF(data1!$D:$D,D924)=0,"Missing in Data1","Present")</f>
        <v>Present</v>
      </c>
    </row>
    <row r="925" spans="1:5" x14ac:dyDescent="0.25">
      <c r="A925" s="2" t="s">
        <v>1186</v>
      </c>
      <c r="B925" s="2" t="s">
        <v>1187</v>
      </c>
      <c r="C925" s="2">
        <v>5</v>
      </c>
      <c r="D925" t="str">
        <f t="shared" si="14"/>
        <v>CA-2014-139857_OFF-FA-10001843</v>
      </c>
      <c r="E925" t="str">
        <f>IF(COUNTIF(data1!$D:$D,D925)=0,"Missing in Data1","Present")</f>
        <v>Present</v>
      </c>
    </row>
    <row r="926" spans="1:5" x14ac:dyDescent="0.25">
      <c r="A926" s="2" t="s">
        <v>1188</v>
      </c>
      <c r="B926" s="2" t="s">
        <v>1083</v>
      </c>
      <c r="C926" s="2">
        <v>9</v>
      </c>
      <c r="D926" t="str">
        <f t="shared" si="14"/>
        <v>CA-2014-139892_FUR-CH-10004287</v>
      </c>
      <c r="E926" t="str">
        <f>IF(COUNTIF(data1!$D:$D,D926)=0,"Missing in Data1","Present")</f>
        <v>Present</v>
      </c>
    </row>
    <row r="927" spans="1:5" x14ac:dyDescent="0.25">
      <c r="A927" s="2" t="s">
        <v>1188</v>
      </c>
      <c r="B927" s="2" t="s">
        <v>1189</v>
      </c>
      <c r="C927" s="2">
        <v>5</v>
      </c>
      <c r="D927" t="str">
        <f t="shared" si="14"/>
        <v>CA-2014-139892_OFF-AP-10002518</v>
      </c>
      <c r="E927" t="str">
        <f>IF(COUNTIF(data1!$D:$D,D927)=0,"Missing in Data1","Present")</f>
        <v>Present</v>
      </c>
    </row>
    <row r="928" spans="1:5" x14ac:dyDescent="0.25">
      <c r="A928" s="2" t="s">
        <v>1188</v>
      </c>
      <c r="B928" s="2" t="s">
        <v>1036</v>
      </c>
      <c r="C928" s="2">
        <v>6</v>
      </c>
      <c r="D928" t="str">
        <f t="shared" si="14"/>
        <v>CA-2014-139892_OFF-AR-10002656</v>
      </c>
      <c r="E928" t="str">
        <f>IF(COUNTIF(data1!$D:$D,D928)=0,"Missing in Data1","Present")</f>
        <v>Present</v>
      </c>
    </row>
    <row r="929" spans="1:5" x14ac:dyDescent="0.25">
      <c r="A929" s="2" t="s">
        <v>1188</v>
      </c>
      <c r="B929" s="2" t="s">
        <v>1190</v>
      </c>
      <c r="C929" s="2">
        <v>3</v>
      </c>
      <c r="D929" t="str">
        <f t="shared" si="14"/>
        <v>CA-2014-139892_OFF-AR-10004441</v>
      </c>
      <c r="E929" t="str">
        <f>IF(COUNTIF(data1!$D:$D,D929)=0,"Missing in Data1","Present")</f>
        <v>Present</v>
      </c>
    </row>
    <row r="930" spans="1:5" x14ac:dyDescent="0.25">
      <c r="A930" s="2" t="s">
        <v>1188</v>
      </c>
      <c r="B930" s="2" t="s">
        <v>632</v>
      </c>
      <c r="C930" s="2">
        <v>3</v>
      </c>
      <c r="D930" t="str">
        <f t="shared" si="14"/>
        <v>CA-2014-139892_OFF-ST-10000991</v>
      </c>
      <c r="E930" t="str">
        <f>IF(COUNTIF(data1!$D:$D,D930)=0,"Missing in Data1","Present")</f>
        <v>Present</v>
      </c>
    </row>
    <row r="931" spans="1:5" x14ac:dyDescent="0.25">
      <c r="A931" s="2" t="s">
        <v>1188</v>
      </c>
      <c r="B931" s="2" t="s">
        <v>1191</v>
      </c>
      <c r="C931" s="2">
        <v>8</v>
      </c>
      <c r="D931" t="str">
        <f t="shared" si="14"/>
        <v>CA-2014-139892_TEC-MA-10000822</v>
      </c>
      <c r="E931" t="str">
        <f>IF(COUNTIF(data1!$D:$D,D931)=0,"Missing in Data1","Present")</f>
        <v>Present</v>
      </c>
    </row>
    <row r="932" spans="1:5" x14ac:dyDescent="0.25">
      <c r="A932" s="2" t="s">
        <v>1188</v>
      </c>
      <c r="B932" s="2" t="s">
        <v>1192</v>
      </c>
      <c r="C932" s="2">
        <v>3</v>
      </c>
      <c r="D932" t="str">
        <f t="shared" si="14"/>
        <v>CA-2014-139892_TEC-PH-10003931</v>
      </c>
      <c r="E932" t="str">
        <f>IF(COUNTIF(data1!$D:$D,D932)=0,"Missing in Data1","Present")</f>
        <v>Present</v>
      </c>
    </row>
    <row r="933" spans="1:5" x14ac:dyDescent="0.25">
      <c r="A933" s="2" t="s">
        <v>1193</v>
      </c>
      <c r="B933" s="2" t="s">
        <v>950</v>
      </c>
      <c r="C933" s="2">
        <v>3</v>
      </c>
      <c r="D933" t="str">
        <f t="shared" si="14"/>
        <v>CA-2014-140004_OFF-AR-10004027</v>
      </c>
      <c r="E933" t="str">
        <f>IF(COUNTIF(data1!$D:$D,D933)=0,"Missing in Data1","Present")</f>
        <v>Present</v>
      </c>
    </row>
    <row r="934" spans="1:5" x14ac:dyDescent="0.25">
      <c r="A934" s="2" t="s">
        <v>1193</v>
      </c>
      <c r="B934" s="2" t="s">
        <v>1194</v>
      </c>
      <c r="C934" s="2">
        <v>2</v>
      </c>
      <c r="D934" t="str">
        <f t="shared" si="14"/>
        <v>CA-2014-140004_OFF-AR-10004685</v>
      </c>
      <c r="E934" t="str">
        <f>IF(COUNTIF(data1!$D:$D,D934)=0,"Missing in Data1","Present")</f>
        <v>Present</v>
      </c>
    </row>
    <row r="935" spans="1:5" x14ac:dyDescent="0.25">
      <c r="A935" s="2" t="s">
        <v>1195</v>
      </c>
      <c r="B935" s="2" t="s">
        <v>1196</v>
      </c>
      <c r="C935" s="2">
        <v>2</v>
      </c>
      <c r="D935" t="str">
        <f t="shared" si="14"/>
        <v>CA-2014-140032_OFF-BI-10000822</v>
      </c>
      <c r="E935" t="str">
        <f>IF(COUNTIF(data1!$D:$D,D935)=0,"Missing in Data1","Present")</f>
        <v>Present</v>
      </c>
    </row>
    <row r="936" spans="1:5" x14ac:dyDescent="0.25">
      <c r="A936" s="2" t="s">
        <v>1197</v>
      </c>
      <c r="B936" s="2" t="s">
        <v>1198</v>
      </c>
      <c r="C936" s="2">
        <v>5</v>
      </c>
      <c r="D936" t="str">
        <f t="shared" si="14"/>
        <v>CA-2014-140039_OFF-ST-10001034</v>
      </c>
      <c r="E936" t="str">
        <f>IF(COUNTIF(data1!$D:$D,D936)=0,"Missing in Data1","Present")</f>
        <v>Present</v>
      </c>
    </row>
    <row r="937" spans="1:5" x14ac:dyDescent="0.25">
      <c r="A937" s="2" t="s">
        <v>1199</v>
      </c>
      <c r="B937" s="2" t="s">
        <v>1989</v>
      </c>
      <c r="C937" s="2">
        <v>8</v>
      </c>
      <c r="D937" t="str">
        <f t="shared" si="14"/>
        <v>CA-2014-140165_OFF-BI-10004519</v>
      </c>
      <c r="E937" t="str">
        <f>IF(COUNTIF(data1!$D:$D,D937)=0,"Missing in Data1","Present")</f>
        <v>Missing in Data1</v>
      </c>
    </row>
    <row r="938" spans="1:5" x14ac:dyDescent="0.25">
      <c r="A938" s="2" t="s">
        <v>1199</v>
      </c>
      <c r="B938" s="2" t="s">
        <v>571</v>
      </c>
      <c r="C938" s="2">
        <v>2</v>
      </c>
      <c r="D938" t="str">
        <f t="shared" si="14"/>
        <v>CA-2014-140165_OFF-FA-10002815</v>
      </c>
      <c r="E938" t="str">
        <f>IF(COUNTIF(data1!$D:$D,D938)=0,"Missing in Data1","Present")</f>
        <v>Present</v>
      </c>
    </row>
    <row r="939" spans="1:5" x14ac:dyDescent="0.25">
      <c r="A939" s="2" t="s">
        <v>1200</v>
      </c>
      <c r="B939" s="2" t="s">
        <v>776</v>
      </c>
      <c r="C939" s="2">
        <v>3</v>
      </c>
      <c r="D939" t="str">
        <f t="shared" si="14"/>
        <v>CA-2014-140228_OFF-LA-10001613</v>
      </c>
      <c r="E939" t="str">
        <f>IF(COUNTIF(data1!$D:$D,D939)=0,"Missing in Data1","Present")</f>
        <v>Present</v>
      </c>
    </row>
    <row r="940" spans="1:5" x14ac:dyDescent="0.25">
      <c r="A940" s="2" t="s">
        <v>1200</v>
      </c>
      <c r="B940" s="2" t="s">
        <v>1201</v>
      </c>
      <c r="C940" s="2">
        <v>2</v>
      </c>
      <c r="D940" t="str">
        <f t="shared" si="14"/>
        <v>CA-2014-140228_OFF-ST-10001128</v>
      </c>
      <c r="E940" t="str">
        <f>IF(COUNTIF(data1!$D:$D,D940)=0,"Missing in Data1","Present")</f>
        <v>Present</v>
      </c>
    </row>
    <row r="941" spans="1:5" x14ac:dyDescent="0.25">
      <c r="A941" s="2" t="s">
        <v>1200</v>
      </c>
      <c r="B941" s="2" t="s">
        <v>652</v>
      </c>
      <c r="C941" s="2">
        <v>3</v>
      </c>
      <c r="D941" t="str">
        <f t="shared" si="14"/>
        <v>CA-2014-140228_OFF-ST-10002214</v>
      </c>
      <c r="E941" t="str">
        <f>IF(COUNTIF(data1!$D:$D,D941)=0,"Missing in Data1","Present")</f>
        <v>Present</v>
      </c>
    </row>
    <row r="942" spans="1:5" x14ac:dyDescent="0.25">
      <c r="A942" s="2" t="s">
        <v>1202</v>
      </c>
      <c r="B942" s="2" t="s">
        <v>1204</v>
      </c>
      <c r="C942" s="2">
        <v>3</v>
      </c>
      <c r="D942" t="str">
        <f t="shared" si="14"/>
        <v>CA-2014-140396_OFF-EN-10002592</v>
      </c>
      <c r="E942" t="str">
        <f>IF(COUNTIF(data1!$D:$D,D942)=0,"Missing in Data1","Present")</f>
        <v>Present</v>
      </c>
    </row>
    <row r="943" spans="1:5" x14ac:dyDescent="0.25">
      <c r="A943" s="2" t="s">
        <v>1202</v>
      </c>
      <c r="B943" s="2" t="s">
        <v>812</v>
      </c>
      <c r="C943" s="2">
        <v>4</v>
      </c>
      <c r="D943" t="str">
        <f t="shared" si="14"/>
        <v>CA-2014-140396_OFF-PA-10000223</v>
      </c>
      <c r="E943" t="str">
        <f>IF(COUNTIF(data1!$D:$D,D943)=0,"Missing in Data1","Present")</f>
        <v>Present</v>
      </c>
    </row>
    <row r="944" spans="1:5" x14ac:dyDescent="0.25">
      <c r="A944" s="2" t="s">
        <v>1202</v>
      </c>
      <c r="B944" s="2" t="s">
        <v>1205</v>
      </c>
      <c r="C944" s="2">
        <v>6</v>
      </c>
      <c r="D944" t="str">
        <f t="shared" si="14"/>
        <v>CA-2014-140396_TEC-PH-10004447</v>
      </c>
      <c r="E944" t="str">
        <f>IF(COUNTIF(data1!$D:$D,D944)=0,"Missing in Data1","Present")</f>
        <v>Present</v>
      </c>
    </row>
    <row r="945" spans="1:5" x14ac:dyDescent="0.25">
      <c r="A945" s="2" t="s">
        <v>1206</v>
      </c>
      <c r="B945" s="2" t="s">
        <v>1207</v>
      </c>
      <c r="C945" s="2">
        <v>3</v>
      </c>
      <c r="D945" t="str">
        <f t="shared" si="14"/>
        <v>CA-2014-140403_FUR-CH-10002774</v>
      </c>
      <c r="E945" t="str">
        <f>IF(COUNTIF(data1!$D:$D,D945)=0,"Missing in Data1","Present")</f>
        <v>Present</v>
      </c>
    </row>
    <row r="946" spans="1:5" x14ac:dyDescent="0.25">
      <c r="A946" s="2" t="s">
        <v>1206</v>
      </c>
      <c r="B946" s="2" t="s">
        <v>909</v>
      </c>
      <c r="C946" s="2">
        <v>2</v>
      </c>
      <c r="D946" t="str">
        <f t="shared" si="14"/>
        <v>CA-2014-140403_OFF-EN-10001219</v>
      </c>
      <c r="E946" t="str">
        <f>IF(COUNTIF(data1!$D:$D,D946)=0,"Missing in Data1","Present")</f>
        <v>Present</v>
      </c>
    </row>
    <row r="947" spans="1:5" x14ac:dyDescent="0.25">
      <c r="A947" s="2" t="s">
        <v>1208</v>
      </c>
      <c r="B947" s="2" t="s">
        <v>761</v>
      </c>
      <c r="C947" s="2">
        <v>3</v>
      </c>
      <c r="D947" t="str">
        <f t="shared" si="14"/>
        <v>CA-2014-140473_TEC-CO-10004202</v>
      </c>
      <c r="E947" t="str">
        <f>IF(COUNTIF(data1!$D:$D,D947)=0,"Missing in Data1","Present")</f>
        <v>Present</v>
      </c>
    </row>
    <row r="948" spans="1:5" x14ac:dyDescent="0.25">
      <c r="A948" s="2" t="s">
        <v>1209</v>
      </c>
      <c r="B948" s="2" t="s">
        <v>1210</v>
      </c>
      <c r="C948" s="2">
        <v>3</v>
      </c>
      <c r="D948" t="str">
        <f t="shared" si="14"/>
        <v>CA-2014-140487_FUR-BO-10000711</v>
      </c>
      <c r="E948" t="str">
        <f>IF(COUNTIF(data1!$D:$D,D948)=0,"Missing in Data1","Present")</f>
        <v>Present</v>
      </c>
    </row>
    <row r="949" spans="1:5" x14ac:dyDescent="0.25">
      <c r="A949" s="2" t="s">
        <v>1211</v>
      </c>
      <c r="B949" s="2" t="s">
        <v>3173</v>
      </c>
      <c r="C949" s="2">
        <v>3</v>
      </c>
      <c r="D949" t="str">
        <f t="shared" si="14"/>
        <v>CA-2014-140662_OFF-AP-10001242</v>
      </c>
      <c r="E949" t="str">
        <f>IF(COUNTIF(data1!$D:$D,D949)=0,"Missing in Data1","Present")</f>
        <v>Missing in Data1</v>
      </c>
    </row>
    <row r="950" spans="1:5" x14ac:dyDescent="0.25">
      <c r="A950" s="2" t="s">
        <v>1211</v>
      </c>
      <c r="B950" s="2" t="s">
        <v>1212</v>
      </c>
      <c r="C950" s="2">
        <v>7</v>
      </c>
      <c r="D950" t="str">
        <f t="shared" si="14"/>
        <v>CA-2014-140662_OFF-PA-10003395</v>
      </c>
      <c r="E950" t="str">
        <f>IF(COUNTIF(data1!$D:$D,D950)=0,"Missing in Data1","Present")</f>
        <v>Present</v>
      </c>
    </row>
    <row r="951" spans="1:5" x14ac:dyDescent="0.25">
      <c r="A951" s="2" t="s">
        <v>1211</v>
      </c>
      <c r="B951" s="2" t="s">
        <v>109</v>
      </c>
      <c r="C951" s="2">
        <v>2</v>
      </c>
      <c r="D951" t="str">
        <f t="shared" si="14"/>
        <v>CA-2014-140662_TEC-AC-10001314</v>
      </c>
      <c r="E951" t="str">
        <f>IF(COUNTIF(data1!$D:$D,D951)=0,"Missing in Data1","Present")</f>
        <v>Present</v>
      </c>
    </row>
    <row r="952" spans="1:5" x14ac:dyDescent="0.25">
      <c r="A952" s="2" t="s">
        <v>1213</v>
      </c>
      <c r="B952" s="2" t="s">
        <v>1453</v>
      </c>
      <c r="C952" s="2">
        <v>2</v>
      </c>
      <c r="D952" t="str">
        <f t="shared" si="14"/>
        <v>CA-2014-140732_OFF-AP-10001626</v>
      </c>
      <c r="E952" t="str">
        <f>IF(COUNTIF(data1!$D:$D,D952)=0,"Missing in Data1","Present")</f>
        <v>Missing in Data1</v>
      </c>
    </row>
    <row r="953" spans="1:5" x14ac:dyDescent="0.25">
      <c r="A953" s="2" t="s">
        <v>1213</v>
      </c>
      <c r="B953" s="2" t="s">
        <v>1214</v>
      </c>
      <c r="C953" s="2">
        <v>4</v>
      </c>
      <c r="D953" t="str">
        <f t="shared" si="14"/>
        <v>CA-2014-140732_OFF-PA-10003625</v>
      </c>
      <c r="E953" t="str">
        <f>IF(COUNTIF(data1!$D:$D,D953)=0,"Missing in Data1","Present")</f>
        <v>Present</v>
      </c>
    </row>
    <row r="954" spans="1:5" x14ac:dyDescent="0.25">
      <c r="A954" s="2" t="s">
        <v>1213</v>
      </c>
      <c r="B954" s="2" t="s">
        <v>35</v>
      </c>
      <c r="C954" s="2">
        <v>9</v>
      </c>
      <c r="D954" t="str">
        <f t="shared" si="14"/>
        <v>CA-2014-140732_TEC-PH-10001425</v>
      </c>
      <c r="E954" t="str">
        <f>IF(COUNTIF(data1!$D:$D,D954)=0,"Missing in Data1","Present")</f>
        <v>Present</v>
      </c>
    </row>
    <row r="955" spans="1:5" x14ac:dyDescent="0.25">
      <c r="A955" s="2" t="s">
        <v>1215</v>
      </c>
      <c r="B955" s="2" t="s">
        <v>880</v>
      </c>
      <c r="C955" s="2">
        <v>6</v>
      </c>
      <c r="D955" t="str">
        <f t="shared" si="14"/>
        <v>CA-2014-140795_TEC-AC-10001432</v>
      </c>
      <c r="E955" t="str">
        <f>IF(COUNTIF(data1!$D:$D,D955)=0,"Missing in Data1","Present")</f>
        <v>Present</v>
      </c>
    </row>
    <row r="956" spans="1:5" x14ac:dyDescent="0.25">
      <c r="A956" s="2" t="s">
        <v>1216</v>
      </c>
      <c r="B956" s="2" t="s">
        <v>1217</v>
      </c>
      <c r="C956" s="2">
        <v>7</v>
      </c>
      <c r="D956" t="str">
        <f t="shared" si="14"/>
        <v>CA-2014-140816_TEC-AC-10001539</v>
      </c>
      <c r="E956" t="str">
        <f>IF(COUNTIF(data1!$D:$D,D956)=0,"Missing in Data1","Present")</f>
        <v>Present</v>
      </c>
    </row>
    <row r="957" spans="1:5" x14ac:dyDescent="0.25">
      <c r="A957" s="2" t="s">
        <v>1218</v>
      </c>
      <c r="B957" s="2" t="s">
        <v>294</v>
      </c>
      <c r="C957" s="2">
        <v>5</v>
      </c>
      <c r="D957" t="str">
        <f t="shared" si="14"/>
        <v>CA-2014-140858_FUR-CH-10001394</v>
      </c>
      <c r="E957" t="str">
        <f>IF(COUNTIF(data1!$D:$D,D957)=0,"Missing in Data1","Present")</f>
        <v>Present</v>
      </c>
    </row>
    <row r="958" spans="1:5" x14ac:dyDescent="0.25">
      <c r="A958" s="2" t="s">
        <v>1218</v>
      </c>
      <c r="B958" s="2" t="s">
        <v>982</v>
      </c>
      <c r="C958" s="2">
        <v>3</v>
      </c>
      <c r="D958" t="str">
        <f t="shared" si="14"/>
        <v>CA-2014-140858_OFF-BI-10003094</v>
      </c>
      <c r="E958" t="str">
        <f>IF(COUNTIF(data1!$D:$D,D958)=0,"Missing in Data1","Present")</f>
        <v>Present</v>
      </c>
    </row>
    <row r="959" spans="1:5" x14ac:dyDescent="0.25">
      <c r="A959" s="2" t="s">
        <v>1218</v>
      </c>
      <c r="B959" s="2" t="s">
        <v>271</v>
      </c>
      <c r="C959" s="2">
        <v>3</v>
      </c>
      <c r="D959" t="str">
        <f t="shared" si="14"/>
        <v>CA-2014-140858_OFF-BI-10004230</v>
      </c>
      <c r="E959" t="str">
        <f>IF(COUNTIF(data1!$D:$D,D959)=0,"Missing in Data1","Present")</f>
        <v>Present</v>
      </c>
    </row>
    <row r="960" spans="1:5" x14ac:dyDescent="0.25">
      <c r="A960" s="2" t="s">
        <v>1218</v>
      </c>
      <c r="B960" s="2" t="s">
        <v>1219</v>
      </c>
      <c r="C960" s="2">
        <v>8</v>
      </c>
      <c r="D960" t="str">
        <f t="shared" si="14"/>
        <v>CA-2014-140858_OFF-PA-10000304</v>
      </c>
      <c r="E960" t="str">
        <f>IF(COUNTIF(data1!$D:$D,D960)=0,"Missing in Data1","Present")</f>
        <v>Present</v>
      </c>
    </row>
    <row r="961" spans="1:5" x14ac:dyDescent="0.25">
      <c r="A961" s="2" t="s">
        <v>1218</v>
      </c>
      <c r="B961" s="2" t="s">
        <v>1212</v>
      </c>
      <c r="C961" s="2">
        <v>4</v>
      </c>
      <c r="D961" t="str">
        <f t="shared" si="14"/>
        <v>CA-2014-140858_OFF-PA-10003395</v>
      </c>
      <c r="E961" t="str">
        <f>IF(COUNTIF(data1!$D:$D,D961)=0,"Missing in Data1","Present")</f>
        <v>Present</v>
      </c>
    </row>
    <row r="962" spans="1:5" x14ac:dyDescent="0.25">
      <c r="A962" s="2" t="s">
        <v>1220</v>
      </c>
      <c r="B962" s="2" t="s">
        <v>1221</v>
      </c>
      <c r="C962" s="2">
        <v>6</v>
      </c>
      <c r="D962" t="str">
        <f t="shared" si="14"/>
        <v>CA-2014-140886_OFF-AP-10000696</v>
      </c>
      <c r="E962" t="str">
        <f>IF(COUNTIF(data1!$D:$D,D962)=0,"Missing in Data1","Present")</f>
        <v>Present</v>
      </c>
    </row>
    <row r="963" spans="1:5" x14ac:dyDescent="0.25">
      <c r="A963" s="2" t="s">
        <v>1222</v>
      </c>
      <c r="B963" s="2" t="s">
        <v>1223</v>
      </c>
      <c r="C963" s="2">
        <v>3</v>
      </c>
      <c r="D963" t="str">
        <f t="shared" ref="D963:D1026" si="15">A963&amp;"_"&amp;B963</f>
        <v>CA-2014-141005_OFF-BI-10001989</v>
      </c>
      <c r="E963" t="str">
        <f>IF(COUNTIF(data1!$D:$D,D963)=0,"Missing in Data1","Present")</f>
        <v>Present</v>
      </c>
    </row>
    <row r="964" spans="1:5" x14ac:dyDescent="0.25">
      <c r="A964" s="2" t="s">
        <v>1224</v>
      </c>
      <c r="B964" s="2" t="s">
        <v>647</v>
      </c>
      <c r="C964" s="2">
        <v>2</v>
      </c>
      <c r="D964" t="str">
        <f t="shared" si="15"/>
        <v>CA-2014-141110_OFF-AP-10000692</v>
      </c>
      <c r="E964" t="str">
        <f>IF(COUNTIF(data1!$D:$D,D964)=0,"Missing in Data1","Present")</f>
        <v>Present</v>
      </c>
    </row>
    <row r="965" spans="1:5" x14ac:dyDescent="0.25">
      <c r="A965" s="2" t="s">
        <v>1224</v>
      </c>
      <c r="B965" s="2" t="s">
        <v>1042</v>
      </c>
      <c r="C965" s="2">
        <v>1</v>
      </c>
      <c r="D965" t="str">
        <f t="shared" si="15"/>
        <v>CA-2014-141110_OFF-BI-10001553</v>
      </c>
      <c r="E965" t="str">
        <f>IF(COUNTIF(data1!$D:$D,D965)=0,"Missing in Data1","Present")</f>
        <v>Present</v>
      </c>
    </row>
    <row r="966" spans="1:5" x14ac:dyDescent="0.25">
      <c r="A966" s="2" t="s">
        <v>1224</v>
      </c>
      <c r="B966" s="2" t="s">
        <v>1225</v>
      </c>
      <c r="C966" s="2">
        <v>3</v>
      </c>
      <c r="D966" t="str">
        <f t="shared" si="15"/>
        <v>CA-2014-141110_OFF-BI-10002012</v>
      </c>
      <c r="E966" t="str">
        <f>IF(COUNTIF(data1!$D:$D,D966)=0,"Missing in Data1","Present")</f>
        <v>Present</v>
      </c>
    </row>
    <row r="967" spans="1:5" x14ac:dyDescent="0.25">
      <c r="A967" s="2" t="s">
        <v>1224</v>
      </c>
      <c r="B967" s="2" t="s">
        <v>1051</v>
      </c>
      <c r="C967" s="2">
        <v>3</v>
      </c>
      <c r="D967" t="str">
        <f t="shared" si="15"/>
        <v>CA-2014-141110_OFF-PA-10002586</v>
      </c>
      <c r="E967" t="str">
        <f>IF(COUNTIF(data1!$D:$D,D967)=0,"Missing in Data1","Present")</f>
        <v>Present</v>
      </c>
    </row>
    <row r="968" spans="1:5" x14ac:dyDescent="0.25">
      <c r="A968" s="2" t="s">
        <v>1226</v>
      </c>
      <c r="B968" s="2" t="s">
        <v>1227</v>
      </c>
      <c r="C968" s="2">
        <v>1</v>
      </c>
      <c r="D968" t="str">
        <f t="shared" si="15"/>
        <v>CA-2014-141152_OFF-BI-10002931</v>
      </c>
      <c r="E968" t="str">
        <f>IF(COUNTIF(data1!$D:$D,D968)=0,"Missing in Data1","Present")</f>
        <v>Present</v>
      </c>
    </row>
    <row r="969" spans="1:5" x14ac:dyDescent="0.25">
      <c r="A969" s="2" t="s">
        <v>1228</v>
      </c>
      <c r="B969" s="2" t="s">
        <v>1229</v>
      </c>
      <c r="C969" s="2">
        <v>5</v>
      </c>
      <c r="D969" t="str">
        <f t="shared" si="15"/>
        <v>CA-2014-141173_OFF-ST-10000885</v>
      </c>
      <c r="E969" t="str">
        <f>IF(COUNTIF(data1!$D:$D,D969)=0,"Missing in Data1","Present")</f>
        <v>Present</v>
      </c>
    </row>
    <row r="970" spans="1:5" x14ac:dyDescent="0.25">
      <c r="A970" s="2" t="s">
        <v>6753</v>
      </c>
      <c r="B970" s="2" t="s">
        <v>1278</v>
      </c>
      <c r="C970" s="2">
        <v>5</v>
      </c>
      <c r="D970" t="str">
        <f t="shared" si="15"/>
        <v>CA-2014-141278_OFF-AR-10003056</v>
      </c>
      <c r="E970" t="str">
        <f>IF(COUNTIF(data1!$D:$D,D970)=0,"Missing in Data1","Present")</f>
        <v>Missing in Data1</v>
      </c>
    </row>
    <row r="971" spans="1:5" x14ac:dyDescent="0.25">
      <c r="A971" s="2" t="s">
        <v>1230</v>
      </c>
      <c r="B971" s="2" t="s">
        <v>1231</v>
      </c>
      <c r="C971" s="2">
        <v>2</v>
      </c>
      <c r="D971" t="str">
        <f t="shared" si="15"/>
        <v>CA-2014-141299_OFF-EN-10004459</v>
      </c>
      <c r="E971" t="str">
        <f>IF(COUNTIF(data1!$D:$D,D971)=0,"Missing in Data1","Present")</f>
        <v>Present</v>
      </c>
    </row>
    <row r="972" spans="1:5" x14ac:dyDescent="0.25">
      <c r="A972" s="2" t="s">
        <v>1232</v>
      </c>
      <c r="B972" s="2" t="s">
        <v>1233</v>
      </c>
      <c r="C972" s="2">
        <v>6</v>
      </c>
      <c r="D972" t="str">
        <f t="shared" si="15"/>
        <v>CA-2014-141313_OFF-AP-10002651</v>
      </c>
      <c r="E972" t="str">
        <f>IF(COUNTIF(data1!$D:$D,D972)=0,"Missing in Data1","Present")</f>
        <v>Present</v>
      </c>
    </row>
    <row r="973" spans="1:5" x14ac:dyDescent="0.25">
      <c r="A973" s="2" t="s">
        <v>1232</v>
      </c>
      <c r="B973" s="2" t="s">
        <v>1234</v>
      </c>
      <c r="C973" s="2">
        <v>4</v>
      </c>
      <c r="D973" t="str">
        <f t="shared" si="15"/>
        <v>CA-2014-141313_OFF-PA-10003302</v>
      </c>
      <c r="E973" t="str">
        <f>IF(COUNTIF(data1!$D:$D,D973)=0,"Missing in Data1","Present")</f>
        <v>Present</v>
      </c>
    </row>
    <row r="974" spans="1:5" x14ac:dyDescent="0.25">
      <c r="A974" s="2" t="s">
        <v>1232</v>
      </c>
      <c r="B974" s="2" t="s">
        <v>1235</v>
      </c>
      <c r="C974" s="2">
        <v>5</v>
      </c>
      <c r="D974" t="str">
        <f t="shared" si="15"/>
        <v>CA-2014-141313_OFF-ST-10000689</v>
      </c>
      <c r="E974" t="str">
        <f>IF(COUNTIF(data1!$D:$D,D974)=0,"Missing in Data1","Present")</f>
        <v>Present</v>
      </c>
    </row>
    <row r="975" spans="1:5" x14ac:dyDescent="0.25">
      <c r="A975" s="2" t="s">
        <v>1236</v>
      </c>
      <c r="B975" s="2" t="s">
        <v>210</v>
      </c>
      <c r="C975" s="2">
        <v>2</v>
      </c>
      <c r="D975" t="str">
        <f t="shared" si="15"/>
        <v>CA-2014-141355_OFF-AR-10003179</v>
      </c>
      <c r="E975" t="str">
        <f>IF(COUNTIF(data1!$D:$D,D975)=0,"Missing in Data1","Present")</f>
        <v>Present</v>
      </c>
    </row>
    <row r="976" spans="1:5" x14ac:dyDescent="0.25">
      <c r="A976" s="2" t="s">
        <v>1239</v>
      </c>
      <c r="B976" s="2" t="s">
        <v>1240</v>
      </c>
      <c r="C976" s="2">
        <v>6</v>
      </c>
      <c r="D976" t="str">
        <f t="shared" si="15"/>
        <v>CA-2014-141649_OFF-AP-10003217</v>
      </c>
      <c r="E976" t="str">
        <f>IF(COUNTIF(data1!$D:$D,D976)=0,"Missing in Data1","Present")</f>
        <v>Present</v>
      </c>
    </row>
    <row r="977" spans="1:5" x14ac:dyDescent="0.25">
      <c r="A977" s="2" t="s">
        <v>1241</v>
      </c>
      <c r="B977" s="2" t="s">
        <v>1242</v>
      </c>
      <c r="C977" s="2">
        <v>3</v>
      </c>
      <c r="D977" t="str">
        <f t="shared" si="15"/>
        <v>CA-2014-141726_FUR-FU-10003577</v>
      </c>
      <c r="E977" t="str">
        <f>IF(COUNTIF(data1!$D:$D,D977)=0,"Missing in Data1","Present")</f>
        <v>Present</v>
      </c>
    </row>
    <row r="978" spans="1:5" x14ac:dyDescent="0.25">
      <c r="A978" s="2" t="s">
        <v>1241</v>
      </c>
      <c r="B978" s="2" t="s">
        <v>274</v>
      </c>
      <c r="C978" s="2">
        <v>2</v>
      </c>
      <c r="D978" t="str">
        <f t="shared" si="15"/>
        <v>CA-2014-141726_OFF-BI-10001982</v>
      </c>
      <c r="E978" t="str">
        <f>IF(COUNTIF(data1!$D:$D,D978)=0,"Missing in Data1","Present")</f>
        <v>Present</v>
      </c>
    </row>
    <row r="979" spans="1:5" x14ac:dyDescent="0.25">
      <c r="A979" s="2" t="s">
        <v>1241</v>
      </c>
      <c r="B979" s="2" t="s">
        <v>1243</v>
      </c>
      <c r="C979" s="2">
        <v>1</v>
      </c>
      <c r="D979" t="str">
        <f t="shared" si="15"/>
        <v>CA-2014-141726_OFF-PA-10000418</v>
      </c>
      <c r="E979" t="str">
        <f>IF(COUNTIF(data1!$D:$D,D979)=0,"Missing in Data1","Present")</f>
        <v>Present</v>
      </c>
    </row>
    <row r="980" spans="1:5" x14ac:dyDescent="0.25">
      <c r="A980" s="2" t="s">
        <v>1241</v>
      </c>
      <c r="B980" s="2" t="s">
        <v>1244</v>
      </c>
      <c r="C980" s="2">
        <v>4</v>
      </c>
      <c r="D980" t="str">
        <f t="shared" si="15"/>
        <v>CA-2014-141726_OFF-PA-10002230</v>
      </c>
      <c r="E980" t="str">
        <f>IF(COUNTIF(data1!$D:$D,D980)=0,"Missing in Data1","Present")</f>
        <v>Present</v>
      </c>
    </row>
    <row r="981" spans="1:5" x14ac:dyDescent="0.25">
      <c r="A981" s="2" t="s">
        <v>6754</v>
      </c>
      <c r="B981" s="2" t="s">
        <v>2514</v>
      </c>
      <c r="C981" s="2">
        <v>3</v>
      </c>
      <c r="D981" t="str">
        <f t="shared" si="15"/>
        <v>CA-2014-141796_TEC-PH-10001578</v>
      </c>
      <c r="E981" t="str">
        <f>IF(COUNTIF(data1!$D:$D,D981)=0,"Missing in Data1","Present")</f>
        <v>Missing in Data1</v>
      </c>
    </row>
    <row r="982" spans="1:5" x14ac:dyDescent="0.25">
      <c r="A982" s="2" t="s">
        <v>1245</v>
      </c>
      <c r="B982" s="2" t="s">
        <v>1246</v>
      </c>
      <c r="C982" s="2">
        <v>3</v>
      </c>
      <c r="D982" t="str">
        <f t="shared" si="15"/>
        <v>CA-2014-141817_OFF-AR-10003478</v>
      </c>
      <c r="E982" t="str">
        <f>IF(COUNTIF(data1!$D:$D,D982)=0,"Missing in Data1","Present")</f>
        <v>Present</v>
      </c>
    </row>
    <row r="983" spans="1:5" x14ac:dyDescent="0.25">
      <c r="A983" s="2" t="s">
        <v>1247</v>
      </c>
      <c r="B983" s="2" t="s">
        <v>1248</v>
      </c>
      <c r="C983" s="2">
        <v>2</v>
      </c>
      <c r="D983" t="str">
        <f t="shared" si="15"/>
        <v>CA-2014-141838_OFF-AR-10004272</v>
      </c>
      <c r="E983" t="str">
        <f>IF(COUNTIF(data1!$D:$D,D983)=0,"Missing in Data1","Present")</f>
        <v>Present</v>
      </c>
    </row>
    <row r="984" spans="1:5" x14ac:dyDescent="0.25">
      <c r="A984" s="2" t="s">
        <v>1247</v>
      </c>
      <c r="B984" s="2" t="s">
        <v>485</v>
      </c>
      <c r="C984" s="2">
        <v>4</v>
      </c>
      <c r="D984" t="str">
        <f t="shared" si="15"/>
        <v>CA-2014-141838_OFF-BI-10003291</v>
      </c>
      <c r="E984" t="str">
        <f>IF(COUNTIF(data1!$D:$D,D984)=0,"Missing in Data1","Present")</f>
        <v>Present</v>
      </c>
    </row>
    <row r="985" spans="1:5" x14ac:dyDescent="0.25">
      <c r="A985" s="2" t="s">
        <v>1247</v>
      </c>
      <c r="B985" s="2" t="s">
        <v>347</v>
      </c>
      <c r="C985" s="2">
        <v>2</v>
      </c>
      <c r="D985" t="str">
        <f t="shared" si="15"/>
        <v>CA-2014-141838_TEC-PH-10004100</v>
      </c>
      <c r="E985" t="str">
        <f>IF(COUNTIF(data1!$D:$D,D985)=0,"Missing in Data1","Present")</f>
        <v>Present</v>
      </c>
    </row>
    <row r="986" spans="1:5" x14ac:dyDescent="0.25">
      <c r="A986" s="2" t="s">
        <v>1249</v>
      </c>
      <c r="B986" s="2" t="s">
        <v>1250</v>
      </c>
      <c r="C986" s="2">
        <v>1</v>
      </c>
      <c r="D986" t="str">
        <f t="shared" si="15"/>
        <v>CA-2014-141901_OFF-PA-10001667</v>
      </c>
      <c r="E986" t="str">
        <f>IF(COUNTIF(data1!$D:$D,D986)=0,"Missing in Data1","Present")</f>
        <v>Present</v>
      </c>
    </row>
    <row r="987" spans="1:5" x14ac:dyDescent="0.25">
      <c r="A987" s="2" t="s">
        <v>1251</v>
      </c>
      <c r="B987" s="2" t="s">
        <v>1252</v>
      </c>
      <c r="C987" s="2">
        <v>6</v>
      </c>
      <c r="D987" t="str">
        <f t="shared" si="15"/>
        <v>CA-2014-142048_TEC-AC-10004114</v>
      </c>
      <c r="E987" t="str">
        <f>IF(COUNTIF(data1!$D:$D,D987)=0,"Missing in Data1","Present")</f>
        <v>Present</v>
      </c>
    </row>
    <row r="988" spans="1:5" x14ac:dyDescent="0.25">
      <c r="A988" s="2" t="s">
        <v>1254</v>
      </c>
      <c r="B988" s="2" t="s">
        <v>1255</v>
      </c>
      <c r="C988" s="2">
        <v>6</v>
      </c>
      <c r="D988" t="str">
        <f t="shared" si="15"/>
        <v>CA-2014-142510_OFF-BI-10002824</v>
      </c>
      <c r="E988" t="str">
        <f>IF(COUNTIF(data1!$D:$D,D988)=0,"Missing in Data1","Present")</f>
        <v>Present</v>
      </c>
    </row>
    <row r="989" spans="1:5" x14ac:dyDescent="0.25">
      <c r="A989" s="2" t="s">
        <v>1254</v>
      </c>
      <c r="B989" s="2" t="s">
        <v>789</v>
      </c>
      <c r="C989" s="2">
        <v>4</v>
      </c>
      <c r="D989" t="str">
        <f t="shared" si="15"/>
        <v>CA-2014-142510_OFF-PA-10001289</v>
      </c>
      <c r="E989" t="str">
        <f>IF(COUNTIF(data1!$D:$D,D989)=0,"Missing in Data1","Present")</f>
        <v>Present</v>
      </c>
    </row>
    <row r="990" spans="1:5" x14ac:dyDescent="0.25">
      <c r="A990" s="2" t="s">
        <v>1254</v>
      </c>
      <c r="B990" s="2" t="s">
        <v>254</v>
      </c>
      <c r="C990" s="2">
        <v>1</v>
      </c>
      <c r="D990" t="str">
        <f t="shared" si="15"/>
        <v>CA-2014-142510_OFF-ST-10000585</v>
      </c>
      <c r="E990" t="str">
        <f>IF(COUNTIF(data1!$D:$D,D990)=0,"Missing in Data1","Present")</f>
        <v>Present</v>
      </c>
    </row>
    <row r="991" spans="1:5" x14ac:dyDescent="0.25">
      <c r="A991" s="2" t="s">
        <v>1256</v>
      </c>
      <c r="B991" s="2" t="s">
        <v>1115</v>
      </c>
      <c r="C991" s="2">
        <v>3</v>
      </c>
      <c r="D991" t="str">
        <f t="shared" si="15"/>
        <v>CA-2014-142587_FUR-TA-10000617</v>
      </c>
      <c r="E991" t="str">
        <f>IF(COUNTIF(data1!$D:$D,D991)=0,"Missing in Data1","Present")</f>
        <v>Missing in Data1</v>
      </c>
    </row>
    <row r="992" spans="1:5" x14ac:dyDescent="0.25">
      <c r="A992" s="2" t="s">
        <v>1256</v>
      </c>
      <c r="B992" s="2" t="s">
        <v>326</v>
      </c>
      <c r="C992" s="2">
        <v>4</v>
      </c>
      <c r="D992" t="str">
        <f t="shared" si="15"/>
        <v>CA-2014-142587_OFF-AP-10004708</v>
      </c>
      <c r="E992" t="str">
        <f>IF(COUNTIF(data1!$D:$D,D992)=0,"Missing in Data1","Present")</f>
        <v>Present</v>
      </c>
    </row>
    <row r="993" spans="1:5" x14ac:dyDescent="0.25">
      <c r="A993" s="2" t="s">
        <v>1257</v>
      </c>
      <c r="B993" s="2" t="s">
        <v>1258</v>
      </c>
      <c r="C993" s="2">
        <v>2</v>
      </c>
      <c r="D993" t="str">
        <f t="shared" si="15"/>
        <v>CA-2014-142727_FUR-CH-10002304</v>
      </c>
      <c r="E993" t="str">
        <f>IF(COUNTIF(data1!$D:$D,D993)=0,"Missing in Data1","Present")</f>
        <v>Present</v>
      </c>
    </row>
    <row r="994" spans="1:5" x14ac:dyDescent="0.25">
      <c r="A994" s="2" t="s">
        <v>1257</v>
      </c>
      <c r="B994" s="2" t="s">
        <v>618</v>
      </c>
      <c r="C994" s="2">
        <v>3</v>
      </c>
      <c r="D994" t="str">
        <f t="shared" si="15"/>
        <v>CA-2014-142727_OFF-BI-10000136</v>
      </c>
      <c r="E994" t="str">
        <f>IF(COUNTIF(data1!$D:$D,D994)=0,"Missing in Data1","Present")</f>
        <v>Present</v>
      </c>
    </row>
    <row r="995" spans="1:5" x14ac:dyDescent="0.25">
      <c r="A995" s="2" t="s">
        <v>1259</v>
      </c>
      <c r="B995" s="2" t="s">
        <v>1260</v>
      </c>
      <c r="C995" s="2">
        <v>3</v>
      </c>
      <c r="D995" t="str">
        <f t="shared" si="15"/>
        <v>CA-2014-142769_FUR-FU-10001918</v>
      </c>
      <c r="E995" t="str">
        <f>IF(COUNTIF(data1!$D:$D,D995)=0,"Missing in Data1","Present")</f>
        <v>Present</v>
      </c>
    </row>
    <row r="996" spans="1:5" x14ac:dyDescent="0.25">
      <c r="A996" s="2" t="s">
        <v>1259</v>
      </c>
      <c r="B996" s="2" t="s">
        <v>1261</v>
      </c>
      <c r="C996" s="2">
        <v>2</v>
      </c>
      <c r="D996" t="str">
        <f t="shared" si="15"/>
        <v>CA-2014-142769_OFF-AP-10004785</v>
      </c>
      <c r="E996" t="str">
        <f>IF(COUNTIF(data1!$D:$D,D996)=0,"Missing in Data1","Present")</f>
        <v>Present</v>
      </c>
    </row>
    <row r="997" spans="1:5" x14ac:dyDescent="0.25">
      <c r="A997" s="2" t="s">
        <v>1259</v>
      </c>
      <c r="B997" s="2" t="s">
        <v>430</v>
      </c>
      <c r="C997" s="2">
        <v>5</v>
      </c>
      <c r="D997" t="str">
        <f t="shared" si="15"/>
        <v>CA-2014-142769_OFF-FA-10000840</v>
      </c>
      <c r="E997" t="str">
        <f>IF(COUNTIF(data1!$D:$D,D997)=0,"Missing in Data1","Present")</f>
        <v>Present</v>
      </c>
    </row>
    <row r="998" spans="1:5" x14ac:dyDescent="0.25">
      <c r="A998" s="2" t="s">
        <v>1259</v>
      </c>
      <c r="B998" s="2" t="s">
        <v>1262</v>
      </c>
      <c r="C998" s="2">
        <v>1</v>
      </c>
      <c r="D998" t="str">
        <f t="shared" si="15"/>
        <v>CA-2014-142769_OFF-PA-10002923</v>
      </c>
      <c r="E998" t="str">
        <f>IF(COUNTIF(data1!$D:$D,D998)=0,"Missing in Data1","Present")</f>
        <v>Present</v>
      </c>
    </row>
    <row r="999" spans="1:5" x14ac:dyDescent="0.25">
      <c r="A999" s="2" t="s">
        <v>1259</v>
      </c>
      <c r="B999" s="2" t="s">
        <v>911</v>
      </c>
      <c r="C999" s="2">
        <v>2</v>
      </c>
      <c r="D999" t="str">
        <f t="shared" si="15"/>
        <v>CA-2014-142769_OFF-SU-10001574</v>
      </c>
      <c r="E999" t="str">
        <f>IF(COUNTIF(data1!$D:$D,D999)=0,"Missing in Data1","Present")</f>
        <v>Present</v>
      </c>
    </row>
    <row r="1000" spans="1:5" x14ac:dyDescent="0.25">
      <c r="A1000" s="2" t="s">
        <v>1259</v>
      </c>
      <c r="B1000" s="2" t="s">
        <v>1263</v>
      </c>
      <c r="C1000" s="2">
        <v>2</v>
      </c>
      <c r="D1000" t="str">
        <f t="shared" si="15"/>
        <v>CA-2014-142769_TEC-AC-10000865</v>
      </c>
      <c r="E1000" t="str">
        <f>IF(COUNTIF(data1!$D:$D,D1000)=0,"Missing in Data1","Present")</f>
        <v>Present</v>
      </c>
    </row>
    <row r="1001" spans="1:5" x14ac:dyDescent="0.25">
      <c r="A1001" s="2" t="s">
        <v>1259</v>
      </c>
      <c r="B1001" s="2" t="s">
        <v>1128</v>
      </c>
      <c r="C1001" s="2">
        <v>2</v>
      </c>
      <c r="D1001" t="str">
        <f t="shared" si="15"/>
        <v>CA-2014-142769_TEC-AC-10001606</v>
      </c>
      <c r="E1001" t="str">
        <f>IF(COUNTIF(data1!$D:$D,D1001)=0,"Missing in Data1","Present")</f>
        <v>Present</v>
      </c>
    </row>
    <row r="1002" spans="1:5" x14ac:dyDescent="0.25">
      <c r="A1002" s="2" t="s">
        <v>1259</v>
      </c>
      <c r="B1002" s="2" t="s">
        <v>382</v>
      </c>
      <c r="C1002" s="2">
        <v>4</v>
      </c>
      <c r="D1002" t="str">
        <f t="shared" si="15"/>
        <v>CA-2014-142769_TEC-AC-10003399</v>
      </c>
      <c r="E1002" t="str">
        <f>IF(COUNTIF(data1!$D:$D,D1002)=0,"Missing in Data1","Present")</f>
        <v>Present</v>
      </c>
    </row>
    <row r="1003" spans="1:5" x14ac:dyDescent="0.25">
      <c r="A1003" s="2" t="s">
        <v>1264</v>
      </c>
      <c r="B1003" s="2" t="s">
        <v>544</v>
      </c>
      <c r="C1003" s="2">
        <v>6</v>
      </c>
      <c r="D1003" t="str">
        <f t="shared" si="15"/>
        <v>CA-2014-142839_FUR-TA-10001539</v>
      </c>
      <c r="E1003" t="str">
        <f>IF(COUNTIF(data1!$D:$D,D1003)=0,"Missing in Data1","Present")</f>
        <v>Present</v>
      </c>
    </row>
    <row r="1004" spans="1:5" x14ac:dyDescent="0.25">
      <c r="A1004" s="2" t="s">
        <v>1265</v>
      </c>
      <c r="B1004" s="2" t="s">
        <v>1266</v>
      </c>
      <c r="C1004" s="2">
        <v>3</v>
      </c>
      <c r="D1004" t="str">
        <f t="shared" si="15"/>
        <v>CA-2014-142951_TEC-AC-10002331</v>
      </c>
      <c r="E1004" t="str">
        <f>IF(COUNTIF(data1!$D:$D,D1004)=0,"Missing in Data1","Present")</f>
        <v>Present</v>
      </c>
    </row>
    <row r="1005" spans="1:5" x14ac:dyDescent="0.25">
      <c r="A1005" s="2" t="s">
        <v>1267</v>
      </c>
      <c r="B1005" s="2" t="s">
        <v>859</v>
      </c>
      <c r="C1005" s="2">
        <v>3</v>
      </c>
      <c r="D1005" t="str">
        <f t="shared" si="15"/>
        <v>CA-2014-142965_OFF-BI-10000977</v>
      </c>
      <c r="E1005" t="str">
        <f>IF(COUNTIF(data1!$D:$D,D1005)=0,"Missing in Data1","Present")</f>
        <v>Present</v>
      </c>
    </row>
    <row r="1006" spans="1:5" x14ac:dyDescent="0.25">
      <c r="A1006" s="2" t="s">
        <v>1267</v>
      </c>
      <c r="B1006" s="2" t="s">
        <v>1268</v>
      </c>
      <c r="C1006" s="2">
        <v>1</v>
      </c>
      <c r="D1006" t="str">
        <f t="shared" si="15"/>
        <v>CA-2014-142965_OFF-ST-10002583</v>
      </c>
      <c r="E1006" t="str">
        <f>IF(COUNTIF(data1!$D:$D,D1006)=0,"Missing in Data1","Present")</f>
        <v>Present</v>
      </c>
    </row>
    <row r="1007" spans="1:5" x14ac:dyDescent="0.25">
      <c r="A1007" s="2" t="s">
        <v>1269</v>
      </c>
      <c r="B1007" s="2" t="s">
        <v>1270</v>
      </c>
      <c r="C1007" s="2">
        <v>2</v>
      </c>
      <c r="D1007" t="str">
        <f t="shared" si="15"/>
        <v>CA-2014-142979_OFF-AR-10002987</v>
      </c>
      <c r="E1007" t="str">
        <f>IF(COUNTIF(data1!$D:$D,D1007)=0,"Missing in Data1","Present")</f>
        <v>Present</v>
      </c>
    </row>
    <row r="1008" spans="1:5" x14ac:dyDescent="0.25">
      <c r="A1008" s="2" t="s">
        <v>1271</v>
      </c>
      <c r="B1008" s="2" t="s">
        <v>1272</v>
      </c>
      <c r="C1008" s="2">
        <v>1</v>
      </c>
      <c r="D1008" t="str">
        <f t="shared" si="15"/>
        <v>CA-2014-143168_OFF-BI-10003784</v>
      </c>
      <c r="E1008" t="str">
        <f>IF(COUNTIF(data1!$D:$D,D1008)=0,"Missing in Data1","Present")</f>
        <v>Present</v>
      </c>
    </row>
    <row r="1009" spans="1:5" x14ac:dyDescent="0.25">
      <c r="A1009" s="2" t="s">
        <v>1271</v>
      </c>
      <c r="B1009" s="2" t="s">
        <v>1273</v>
      </c>
      <c r="C1009" s="2">
        <v>2</v>
      </c>
      <c r="D1009" t="str">
        <f t="shared" si="15"/>
        <v>CA-2014-143168_OFF-PA-10000167</v>
      </c>
      <c r="E1009" t="str">
        <f>IF(COUNTIF(data1!$D:$D,D1009)=0,"Missing in Data1","Present")</f>
        <v>Present</v>
      </c>
    </row>
    <row r="1010" spans="1:5" x14ac:dyDescent="0.25">
      <c r="A1010" s="2" t="s">
        <v>1274</v>
      </c>
      <c r="B1010" s="2" t="s">
        <v>461</v>
      </c>
      <c r="C1010" s="2">
        <v>1</v>
      </c>
      <c r="D1010" t="str">
        <f t="shared" si="15"/>
        <v>CA-2014-143182_FUR-FU-10004270</v>
      </c>
      <c r="E1010" t="str">
        <f>IF(COUNTIF(data1!$D:$D,D1010)=0,"Missing in Data1","Present")</f>
        <v>Present</v>
      </c>
    </row>
    <row r="1011" spans="1:5" x14ac:dyDescent="0.25">
      <c r="A1011" s="2" t="s">
        <v>1275</v>
      </c>
      <c r="B1011" s="2" t="s">
        <v>21</v>
      </c>
      <c r="C1011" s="2">
        <v>2</v>
      </c>
      <c r="D1011" t="str">
        <f t="shared" si="15"/>
        <v>CA-2014-143210_FUR-FU-10002268</v>
      </c>
      <c r="E1011" t="str">
        <f>IF(COUNTIF(data1!$D:$D,D1011)=0,"Missing in Data1","Present")</f>
        <v>Present</v>
      </c>
    </row>
    <row r="1012" spans="1:5" x14ac:dyDescent="0.25">
      <c r="A1012" s="2" t="s">
        <v>1275</v>
      </c>
      <c r="B1012" s="2" t="s">
        <v>1276</v>
      </c>
      <c r="C1012" s="2">
        <v>3</v>
      </c>
      <c r="D1012" t="str">
        <f t="shared" si="15"/>
        <v>CA-2014-143210_FUR-FU-10003878</v>
      </c>
      <c r="E1012" t="str">
        <f>IF(COUNTIF(data1!$D:$D,D1012)=0,"Missing in Data1","Present")</f>
        <v>Present</v>
      </c>
    </row>
    <row r="1013" spans="1:5" x14ac:dyDescent="0.25">
      <c r="A1013" s="2" t="s">
        <v>1275</v>
      </c>
      <c r="B1013" s="2" t="s">
        <v>98</v>
      </c>
      <c r="C1013" s="2">
        <v>2</v>
      </c>
      <c r="D1013" t="str">
        <f t="shared" si="15"/>
        <v>CA-2014-143210_TEC-PH-10004434</v>
      </c>
      <c r="E1013" t="str">
        <f>IF(COUNTIF(data1!$D:$D,D1013)=0,"Missing in Data1","Present")</f>
        <v>Present</v>
      </c>
    </row>
    <row r="1014" spans="1:5" x14ac:dyDescent="0.25">
      <c r="A1014" s="2" t="s">
        <v>1277</v>
      </c>
      <c r="B1014" s="2" t="s">
        <v>1278</v>
      </c>
      <c r="C1014" s="2">
        <v>2</v>
      </c>
      <c r="D1014" t="str">
        <f t="shared" si="15"/>
        <v>CA-2014-143336_OFF-AR-10003056</v>
      </c>
      <c r="E1014" t="str">
        <f>IF(COUNTIF(data1!$D:$D,D1014)=0,"Missing in Data1","Present")</f>
        <v>Present</v>
      </c>
    </row>
    <row r="1015" spans="1:5" x14ac:dyDescent="0.25">
      <c r="A1015" s="2" t="s">
        <v>1277</v>
      </c>
      <c r="B1015" s="2" t="s">
        <v>1279</v>
      </c>
      <c r="C1015" s="2">
        <v>4</v>
      </c>
      <c r="D1015" t="str">
        <f t="shared" si="15"/>
        <v>CA-2014-143336_OFF-BI-10002215</v>
      </c>
      <c r="E1015" t="str">
        <f>IF(COUNTIF(data1!$D:$D,D1015)=0,"Missing in Data1","Present")</f>
        <v>Present</v>
      </c>
    </row>
    <row r="1016" spans="1:5" x14ac:dyDescent="0.25">
      <c r="A1016" s="2" t="s">
        <v>1277</v>
      </c>
      <c r="B1016" s="2" t="s">
        <v>1280</v>
      </c>
      <c r="C1016" s="2">
        <v>3</v>
      </c>
      <c r="D1016" t="str">
        <f t="shared" si="15"/>
        <v>CA-2014-143336_TEC-PH-10001949</v>
      </c>
      <c r="E1016" t="str">
        <f>IF(COUNTIF(data1!$D:$D,D1016)=0,"Missing in Data1","Present")</f>
        <v>Present</v>
      </c>
    </row>
    <row r="1017" spans="1:5" x14ac:dyDescent="0.25">
      <c r="A1017" s="2" t="s">
        <v>1281</v>
      </c>
      <c r="B1017" s="2" t="s">
        <v>1201</v>
      </c>
      <c r="C1017" s="2">
        <v>9</v>
      </c>
      <c r="D1017" t="str">
        <f t="shared" si="15"/>
        <v>CA-2014-143371_OFF-ST-10001128</v>
      </c>
      <c r="E1017" t="str">
        <f>IF(COUNTIF(data1!$D:$D,D1017)=0,"Missing in Data1","Present")</f>
        <v>Present</v>
      </c>
    </row>
    <row r="1018" spans="1:5" x14ac:dyDescent="0.25">
      <c r="A1018" s="2" t="s">
        <v>1281</v>
      </c>
      <c r="B1018" s="2" t="s">
        <v>803</v>
      </c>
      <c r="C1018" s="2">
        <v>5</v>
      </c>
      <c r="D1018" t="str">
        <f t="shared" si="15"/>
        <v>CA-2014-143371_OFF-SU-10002537</v>
      </c>
      <c r="E1018" t="str">
        <f>IF(COUNTIF(data1!$D:$D,D1018)=0,"Missing in Data1","Present")</f>
        <v>Present</v>
      </c>
    </row>
    <row r="1019" spans="1:5" x14ac:dyDescent="0.25">
      <c r="A1019" s="2" t="s">
        <v>1282</v>
      </c>
      <c r="B1019" s="2" t="s">
        <v>872</v>
      </c>
      <c r="C1019" s="2">
        <v>9</v>
      </c>
      <c r="D1019" t="str">
        <f t="shared" si="15"/>
        <v>CA-2014-143385_TEC-AC-10001635</v>
      </c>
      <c r="E1019" t="str">
        <f>IF(COUNTIF(data1!$D:$D,D1019)=0,"Missing in Data1","Present")</f>
        <v>Present</v>
      </c>
    </row>
    <row r="1020" spans="1:5" x14ac:dyDescent="0.25">
      <c r="A1020" s="2" t="s">
        <v>1283</v>
      </c>
      <c r="B1020" s="2" t="s">
        <v>1284</v>
      </c>
      <c r="C1020" s="2">
        <v>3</v>
      </c>
      <c r="D1020" t="str">
        <f t="shared" si="15"/>
        <v>CA-2014-143413_OFF-PA-10002319</v>
      </c>
      <c r="E1020" t="str">
        <f>IF(COUNTIF(data1!$D:$D,D1020)=0,"Missing in Data1","Present")</f>
        <v>Present</v>
      </c>
    </row>
    <row r="1021" spans="1:5" x14ac:dyDescent="0.25">
      <c r="A1021" s="2" t="s">
        <v>1285</v>
      </c>
      <c r="B1021" s="2" t="s">
        <v>1286</v>
      </c>
      <c r="C1021" s="2">
        <v>2</v>
      </c>
      <c r="D1021" t="str">
        <f t="shared" si="15"/>
        <v>CA-2014-143637_FUR-FU-10002813</v>
      </c>
      <c r="E1021" t="str">
        <f>IF(COUNTIF(data1!$D:$D,D1021)=0,"Missing in Data1","Present")</f>
        <v>Present</v>
      </c>
    </row>
    <row r="1022" spans="1:5" x14ac:dyDescent="0.25">
      <c r="A1022" s="2" t="s">
        <v>1287</v>
      </c>
      <c r="B1022" s="2" t="s">
        <v>3841</v>
      </c>
      <c r="C1022" s="2">
        <v>2</v>
      </c>
      <c r="D1022" t="str">
        <f t="shared" si="15"/>
        <v>CA-2014-143840_TEC-PH-10002660</v>
      </c>
      <c r="E1022" t="str">
        <f>IF(COUNTIF(data1!$D:$D,D1022)=0,"Missing in Data1","Present")</f>
        <v>Missing in Data1</v>
      </c>
    </row>
    <row r="1023" spans="1:5" x14ac:dyDescent="0.25">
      <c r="A1023" s="2" t="s">
        <v>1287</v>
      </c>
      <c r="B1023" s="2" t="s">
        <v>1288</v>
      </c>
      <c r="C1023" s="2">
        <v>1</v>
      </c>
      <c r="D1023" t="str">
        <f t="shared" si="15"/>
        <v>CA-2014-143840_TEC-PH-10003171</v>
      </c>
      <c r="E1023" t="str">
        <f>IF(COUNTIF(data1!$D:$D,D1023)=0,"Missing in Data1","Present")</f>
        <v>Present</v>
      </c>
    </row>
    <row r="1024" spans="1:5" x14ac:dyDescent="0.25">
      <c r="A1024" s="2" t="s">
        <v>1289</v>
      </c>
      <c r="B1024" s="2" t="s">
        <v>561</v>
      </c>
      <c r="C1024" s="2">
        <v>2</v>
      </c>
      <c r="D1024" t="str">
        <f t="shared" si="15"/>
        <v>CA-2014-143903_FUR-CH-10002024</v>
      </c>
      <c r="E1024" t="str">
        <f>IF(COUNTIF(data1!$D:$D,D1024)=0,"Missing in Data1","Present")</f>
        <v>Present</v>
      </c>
    </row>
    <row r="1025" spans="1:5" x14ac:dyDescent="0.25">
      <c r="A1025" s="2" t="s">
        <v>1289</v>
      </c>
      <c r="B1025" s="2" t="s">
        <v>1290</v>
      </c>
      <c r="C1025" s="2">
        <v>5</v>
      </c>
      <c r="D1025" t="str">
        <f t="shared" si="15"/>
        <v>CA-2014-143903_FUR-FU-10003724</v>
      </c>
      <c r="E1025" t="str">
        <f>IF(COUNTIF(data1!$D:$D,D1025)=0,"Missing in Data1","Present")</f>
        <v>Present</v>
      </c>
    </row>
    <row r="1026" spans="1:5" x14ac:dyDescent="0.25">
      <c r="A1026" s="2" t="s">
        <v>1289</v>
      </c>
      <c r="B1026" s="2" t="s">
        <v>1291</v>
      </c>
      <c r="C1026" s="2">
        <v>3</v>
      </c>
      <c r="D1026" t="str">
        <f t="shared" si="15"/>
        <v>CA-2014-143903_OFF-ST-10003306</v>
      </c>
      <c r="E1026" t="str">
        <f>IF(COUNTIF(data1!$D:$D,D1026)=0,"Missing in Data1","Present")</f>
        <v>Present</v>
      </c>
    </row>
    <row r="1027" spans="1:5" x14ac:dyDescent="0.25">
      <c r="A1027" s="2" t="s">
        <v>1292</v>
      </c>
      <c r="B1027" s="2" t="s">
        <v>1293</v>
      </c>
      <c r="C1027" s="2">
        <v>8</v>
      </c>
      <c r="D1027" t="str">
        <f t="shared" ref="D1027:D1090" si="16">A1027&amp;"_"&amp;B1027</f>
        <v>CA-2014-143917_FUR-FU-10004351</v>
      </c>
      <c r="E1027" t="str">
        <f>IF(COUNTIF(data1!$D:$D,D1027)=0,"Missing in Data1","Present")</f>
        <v>Present</v>
      </c>
    </row>
    <row r="1028" spans="1:5" x14ac:dyDescent="0.25">
      <c r="A1028" s="2" t="s">
        <v>1292</v>
      </c>
      <c r="B1028" s="2" t="s">
        <v>1024</v>
      </c>
      <c r="C1028" s="2">
        <v>4</v>
      </c>
      <c r="D1028" t="str">
        <f t="shared" si="16"/>
        <v>CA-2014-143917_OFF-ST-10001228</v>
      </c>
      <c r="E1028" t="str">
        <f>IF(COUNTIF(data1!$D:$D,D1028)=0,"Missing in Data1","Present")</f>
        <v>Present</v>
      </c>
    </row>
    <row r="1029" spans="1:5" x14ac:dyDescent="0.25">
      <c r="A1029" s="2" t="s">
        <v>1292</v>
      </c>
      <c r="B1029" s="2" t="s">
        <v>1294</v>
      </c>
      <c r="C1029" s="2">
        <v>5</v>
      </c>
      <c r="D1029" t="str">
        <f t="shared" si="16"/>
        <v>CA-2014-143917_OFF-SU-10000151</v>
      </c>
      <c r="E1029" t="str">
        <f>IF(COUNTIF(data1!$D:$D,D1029)=0,"Missing in Data1","Present")</f>
        <v>Present</v>
      </c>
    </row>
    <row r="1030" spans="1:5" x14ac:dyDescent="0.25">
      <c r="A1030" s="2" t="s">
        <v>1295</v>
      </c>
      <c r="B1030" s="2" t="s">
        <v>1296</v>
      </c>
      <c r="C1030" s="2">
        <v>2</v>
      </c>
      <c r="D1030" t="str">
        <f t="shared" si="16"/>
        <v>CA-2014-144029_FUR-CH-10003981</v>
      </c>
      <c r="E1030" t="str">
        <f>IF(COUNTIF(data1!$D:$D,D1030)=0,"Missing in Data1","Present")</f>
        <v>Present</v>
      </c>
    </row>
    <row r="1031" spans="1:5" x14ac:dyDescent="0.25">
      <c r="A1031" s="2" t="s">
        <v>1295</v>
      </c>
      <c r="B1031" s="2" t="s">
        <v>286</v>
      </c>
      <c r="C1031" s="2">
        <v>3</v>
      </c>
      <c r="D1031" t="str">
        <f t="shared" si="16"/>
        <v>CA-2014-144029_OFF-AR-10000716</v>
      </c>
      <c r="E1031" t="str">
        <f>IF(COUNTIF(data1!$D:$D,D1031)=0,"Missing in Data1","Present")</f>
        <v>Present</v>
      </c>
    </row>
    <row r="1032" spans="1:5" x14ac:dyDescent="0.25">
      <c r="A1032" s="2" t="s">
        <v>1295</v>
      </c>
      <c r="B1032" s="2" t="s">
        <v>1297</v>
      </c>
      <c r="C1032" s="2">
        <v>3</v>
      </c>
      <c r="D1032" t="str">
        <f t="shared" si="16"/>
        <v>CA-2014-144029_OFF-ST-10001837</v>
      </c>
      <c r="E1032" t="str">
        <f>IF(COUNTIF(data1!$D:$D,D1032)=0,"Missing in Data1","Present")</f>
        <v>Present</v>
      </c>
    </row>
    <row r="1033" spans="1:5" x14ac:dyDescent="0.25">
      <c r="A1033" s="2" t="s">
        <v>1298</v>
      </c>
      <c r="B1033" s="2" t="s">
        <v>1299</v>
      </c>
      <c r="C1033" s="2">
        <v>2</v>
      </c>
      <c r="D1033" t="str">
        <f t="shared" si="16"/>
        <v>CA-2014-144071_FUR-FU-10000397</v>
      </c>
      <c r="E1033" t="str">
        <f>IF(COUNTIF(data1!$D:$D,D1033)=0,"Missing in Data1","Present")</f>
        <v>Present</v>
      </c>
    </row>
    <row r="1034" spans="1:5" x14ac:dyDescent="0.25">
      <c r="A1034" s="2" t="s">
        <v>1298</v>
      </c>
      <c r="B1034" s="2" t="s">
        <v>669</v>
      </c>
      <c r="C1034" s="2">
        <v>3</v>
      </c>
      <c r="D1034" t="str">
        <f t="shared" si="16"/>
        <v>CA-2014-144071_FUR-FU-10000758</v>
      </c>
      <c r="E1034" t="str">
        <f>IF(COUNTIF(data1!$D:$D,D1034)=0,"Missing in Data1","Present")</f>
        <v>Present</v>
      </c>
    </row>
    <row r="1035" spans="1:5" x14ac:dyDescent="0.25">
      <c r="A1035" s="2" t="s">
        <v>1300</v>
      </c>
      <c r="B1035" s="2" t="s">
        <v>24</v>
      </c>
      <c r="C1035" s="2">
        <v>5</v>
      </c>
      <c r="D1035" t="str">
        <f t="shared" si="16"/>
        <v>CA-2014-144281_OFF-LA-10003930</v>
      </c>
      <c r="E1035" t="str">
        <f>IF(COUNTIF(data1!$D:$D,D1035)=0,"Missing in Data1","Present")</f>
        <v>Present</v>
      </c>
    </row>
    <row r="1036" spans="1:5" x14ac:dyDescent="0.25">
      <c r="A1036" s="2" t="s">
        <v>6755</v>
      </c>
      <c r="B1036" s="2" t="s">
        <v>86</v>
      </c>
      <c r="C1036" s="2">
        <v>7</v>
      </c>
      <c r="D1036" t="str">
        <f t="shared" si="16"/>
        <v>CA-2014-144407_OFF-LA-10003923</v>
      </c>
      <c r="E1036" t="str">
        <f>IF(COUNTIF(data1!$D:$D,D1036)=0,"Missing in Data1","Present")</f>
        <v>Missing in Data1</v>
      </c>
    </row>
    <row r="1037" spans="1:5" x14ac:dyDescent="0.25">
      <c r="A1037" s="2" t="s">
        <v>1301</v>
      </c>
      <c r="B1037" s="2" t="s">
        <v>170</v>
      </c>
      <c r="C1037" s="2">
        <v>3</v>
      </c>
      <c r="D1037" t="str">
        <f t="shared" si="16"/>
        <v>CA-2014-144414_FUR-FU-10003981</v>
      </c>
      <c r="E1037" t="str">
        <f>IF(COUNTIF(data1!$D:$D,D1037)=0,"Missing in Data1","Present")</f>
        <v>Present</v>
      </c>
    </row>
    <row r="1038" spans="1:5" x14ac:dyDescent="0.25">
      <c r="A1038" s="2" t="s">
        <v>1301</v>
      </c>
      <c r="B1038" s="2" t="s">
        <v>1302</v>
      </c>
      <c r="C1038" s="2">
        <v>3</v>
      </c>
      <c r="D1038" t="str">
        <f t="shared" si="16"/>
        <v>CA-2014-144414_OFF-BI-10004995</v>
      </c>
      <c r="E1038" t="str">
        <f>IF(COUNTIF(data1!$D:$D,D1038)=0,"Missing in Data1","Present")</f>
        <v>Present</v>
      </c>
    </row>
    <row r="1039" spans="1:5" x14ac:dyDescent="0.25">
      <c r="A1039" s="2" t="s">
        <v>1301</v>
      </c>
      <c r="B1039" s="2" t="s">
        <v>1303</v>
      </c>
      <c r="C1039" s="2">
        <v>5</v>
      </c>
      <c r="D1039" t="str">
        <f t="shared" si="16"/>
        <v>CA-2014-144414_OFF-FA-10000624</v>
      </c>
      <c r="E1039" t="str">
        <f>IF(COUNTIF(data1!$D:$D,D1039)=0,"Missing in Data1","Present")</f>
        <v>Present</v>
      </c>
    </row>
    <row r="1040" spans="1:5" x14ac:dyDescent="0.25">
      <c r="A1040" s="2" t="s">
        <v>1304</v>
      </c>
      <c r="B1040" s="2" t="s">
        <v>133</v>
      </c>
      <c r="C1040" s="2">
        <v>7</v>
      </c>
      <c r="D1040" t="str">
        <f t="shared" si="16"/>
        <v>CA-2014-144624_TEC-PH-10002885</v>
      </c>
      <c r="E1040" t="str">
        <f>IF(COUNTIF(data1!$D:$D,D1040)=0,"Missing in Data1","Present")</f>
        <v>Present</v>
      </c>
    </row>
    <row r="1041" spans="1:5" x14ac:dyDescent="0.25">
      <c r="A1041" s="2" t="s">
        <v>1305</v>
      </c>
      <c r="B1041" s="2" t="s">
        <v>1306</v>
      </c>
      <c r="C1041" s="2">
        <v>2</v>
      </c>
      <c r="D1041" t="str">
        <f t="shared" si="16"/>
        <v>CA-2014-144666_FUR-BO-10001601</v>
      </c>
      <c r="E1041" t="str">
        <f>IF(COUNTIF(data1!$D:$D,D1041)=0,"Missing in Data1","Present")</f>
        <v>Present</v>
      </c>
    </row>
    <row r="1042" spans="1:5" x14ac:dyDescent="0.25">
      <c r="A1042" s="2" t="s">
        <v>1305</v>
      </c>
      <c r="B1042" s="2" t="s">
        <v>1307</v>
      </c>
      <c r="C1042" s="2">
        <v>7</v>
      </c>
      <c r="D1042" t="str">
        <f t="shared" si="16"/>
        <v>CA-2014-144666_OFF-PA-10001509</v>
      </c>
      <c r="E1042" t="str">
        <f>IF(COUNTIF(data1!$D:$D,D1042)=0,"Missing in Data1","Present")</f>
        <v>Present</v>
      </c>
    </row>
    <row r="1043" spans="1:5" x14ac:dyDescent="0.25">
      <c r="A1043" s="2" t="s">
        <v>1305</v>
      </c>
      <c r="B1043" s="2" t="s">
        <v>269</v>
      </c>
      <c r="C1043" s="2">
        <v>6</v>
      </c>
      <c r="D1043" t="str">
        <f t="shared" si="16"/>
        <v>CA-2014-144666_OFF-ST-10001321</v>
      </c>
      <c r="E1043" t="str">
        <f>IF(COUNTIF(data1!$D:$D,D1043)=0,"Missing in Data1","Present")</f>
        <v>Present</v>
      </c>
    </row>
    <row r="1044" spans="1:5" x14ac:dyDescent="0.25">
      <c r="A1044" s="2" t="s">
        <v>1305</v>
      </c>
      <c r="B1044" s="2" t="s">
        <v>444</v>
      </c>
      <c r="C1044" s="2">
        <v>3</v>
      </c>
      <c r="D1044" t="str">
        <f t="shared" si="16"/>
        <v>CA-2014-144666_OFF-ST-10002743</v>
      </c>
      <c r="E1044" t="str">
        <f>IF(COUNTIF(data1!$D:$D,D1044)=0,"Missing in Data1","Present")</f>
        <v>Present</v>
      </c>
    </row>
    <row r="1045" spans="1:5" x14ac:dyDescent="0.25">
      <c r="A1045" s="2" t="s">
        <v>1305</v>
      </c>
      <c r="B1045" s="2" t="s">
        <v>1742</v>
      </c>
      <c r="C1045" s="2">
        <v>4</v>
      </c>
      <c r="D1045" t="str">
        <f t="shared" si="16"/>
        <v>CA-2014-144666_TEC-PH-10002680</v>
      </c>
      <c r="E1045" t="str">
        <f>IF(COUNTIF(data1!$D:$D,D1045)=0,"Missing in Data1","Present")</f>
        <v>Missing in Data1</v>
      </c>
    </row>
    <row r="1046" spans="1:5" x14ac:dyDescent="0.25">
      <c r="A1046" s="2" t="s">
        <v>1309</v>
      </c>
      <c r="B1046" s="2" t="s">
        <v>538</v>
      </c>
      <c r="C1046" s="2">
        <v>1</v>
      </c>
      <c r="D1046" t="str">
        <f t="shared" si="16"/>
        <v>CA-2014-144974_FUR-FU-10001095</v>
      </c>
      <c r="E1046" t="str">
        <f>IF(COUNTIF(data1!$D:$D,D1046)=0,"Missing in Data1","Present")</f>
        <v>Present</v>
      </c>
    </row>
    <row r="1047" spans="1:5" x14ac:dyDescent="0.25">
      <c r="A1047" s="2" t="s">
        <v>1309</v>
      </c>
      <c r="B1047" s="2" t="s">
        <v>1310</v>
      </c>
      <c r="C1047" s="2">
        <v>6</v>
      </c>
      <c r="D1047" t="str">
        <f t="shared" si="16"/>
        <v>CA-2014-144974_OFF-AP-10001492</v>
      </c>
      <c r="E1047" t="str">
        <f>IF(COUNTIF(data1!$D:$D,D1047)=0,"Missing in Data1","Present")</f>
        <v>Present</v>
      </c>
    </row>
    <row r="1048" spans="1:5" x14ac:dyDescent="0.25">
      <c r="A1048" s="2" t="s">
        <v>1309</v>
      </c>
      <c r="B1048" s="2" t="s">
        <v>1311</v>
      </c>
      <c r="C1048" s="2">
        <v>5</v>
      </c>
      <c r="D1048" t="str">
        <f t="shared" si="16"/>
        <v>CA-2014-144974_OFF-BI-10003274</v>
      </c>
      <c r="E1048" t="str">
        <f>IF(COUNTIF(data1!$D:$D,D1048)=0,"Missing in Data1","Present")</f>
        <v>Present</v>
      </c>
    </row>
    <row r="1049" spans="1:5" x14ac:dyDescent="0.25">
      <c r="A1049" s="2" t="s">
        <v>1312</v>
      </c>
      <c r="B1049" s="2" t="s">
        <v>79</v>
      </c>
      <c r="C1049" s="2">
        <v>3</v>
      </c>
      <c r="D1049" t="str">
        <f t="shared" si="16"/>
        <v>CA-2014-145212_OFF-AR-10002833</v>
      </c>
      <c r="E1049" t="str">
        <f>IF(COUNTIF(data1!$D:$D,D1049)=0,"Missing in Data1","Present")</f>
        <v>Present</v>
      </c>
    </row>
    <row r="1050" spans="1:5" x14ac:dyDescent="0.25">
      <c r="A1050" s="2" t="s">
        <v>1313</v>
      </c>
      <c r="B1050" s="2" t="s">
        <v>1314</v>
      </c>
      <c r="C1050" s="2">
        <v>5</v>
      </c>
      <c r="D1050" t="str">
        <f t="shared" si="16"/>
        <v>CA-2014-145254_OFF-SU-10004664</v>
      </c>
      <c r="E1050" t="str">
        <f>IF(COUNTIF(data1!$D:$D,D1050)=0,"Missing in Data1","Present")</f>
        <v>Present</v>
      </c>
    </row>
    <row r="1051" spans="1:5" x14ac:dyDescent="0.25">
      <c r="A1051" s="2" t="s">
        <v>1313</v>
      </c>
      <c r="B1051" s="2" t="s">
        <v>1315</v>
      </c>
      <c r="C1051" s="2">
        <v>3</v>
      </c>
      <c r="D1051" t="str">
        <f t="shared" si="16"/>
        <v>CA-2014-145254_TEC-AC-10002167</v>
      </c>
      <c r="E1051" t="str">
        <f>IF(COUNTIF(data1!$D:$D,D1051)=0,"Missing in Data1","Present")</f>
        <v>Present</v>
      </c>
    </row>
    <row r="1052" spans="1:5" x14ac:dyDescent="0.25">
      <c r="A1052" s="2" t="s">
        <v>1313</v>
      </c>
      <c r="B1052" s="2" t="s">
        <v>1316</v>
      </c>
      <c r="C1052" s="2">
        <v>6</v>
      </c>
      <c r="D1052" t="str">
        <f t="shared" si="16"/>
        <v>CA-2014-145254_TEC-PH-10000441</v>
      </c>
      <c r="E1052" t="str">
        <f>IF(COUNTIF(data1!$D:$D,D1052)=0,"Missing in Data1","Present")</f>
        <v>Present</v>
      </c>
    </row>
    <row r="1053" spans="1:5" x14ac:dyDescent="0.25">
      <c r="A1053" s="2" t="s">
        <v>1313</v>
      </c>
      <c r="B1053" s="2" t="s">
        <v>365</v>
      </c>
      <c r="C1053" s="2">
        <v>3</v>
      </c>
      <c r="D1053" t="str">
        <f t="shared" si="16"/>
        <v>CA-2014-145254_TEC-PH-10004531</v>
      </c>
      <c r="E1053" t="str">
        <f>IF(COUNTIF(data1!$D:$D,D1053)=0,"Missing in Data1","Present")</f>
        <v>Present</v>
      </c>
    </row>
    <row r="1054" spans="1:5" x14ac:dyDescent="0.25">
      <c r="A1054" s="2" t="s">
        <v>1317</v>
      </c>
      <c r="B1054" s="2" t="s">
        <v>1318</v>
      </c>
      <c r="C1054" s="2">
        <v>3</v>
      </c>
      <c r="D1054" t="str">
        <f t="shared" si="16"/>
        <v>CA-2014-145317_FUR-FU-10001986</v>
      </c>
      <c r="E1054" t="str">
        <f>IF(COUNTIF(data1!$D:$D,D1054)=0,"Missing in Data1","Present")</f>
        <v>Present</v>
      </c>
    </row>
    <row r="1055" spans="1:5" x14ac:dyDescent="0.25">
      <c r="A1055" s="2" t="s">
        <v>1317</v>
      </c>
      <c r="B1055" s="2" t="s">
        <v>461</v>
      </c>
      <c r="C1055" s="2">
        <v>2</v>
      </c>
      <c r="D1055" t="str">
        <f t="shared" si="16"/>
        <v>CA-2014-145317_FUR-FU-10004270</v>
      </c>
      <c r="E1055" t="str">
        <f>IF(COUNTIF(data1!$D:$D,D1055)=0,"Missing in Data1","Present")</f>
        <v>Present</v>
      </c>
    </row>
    <row r="1056" spans="1:5" x14ac:dyDescent="0.25">
      <c r="A1056" s="2" t="s">
        <v>1317</v>
      </c>
      <c r="B1056" s="2" t="s">
        <v>1319</v>
      </c>
      <c r="C1056" s="2">
        <v>3</v>
      </c>
      <c r="D1056" t="str">
        <f t="shared" si="16"/>
        <v>CA-2014-145317_OFF-AR-10003183</v>
      </c>
      <c r="E1056" t="str">
        <f>IF(COUNTIF(data1!$D:$D,D1056)=0,"Missing in Data1","Present")</f>
        <v>Present</v>
      </c>
    </row>
    <row r="1057" spans="1:5" x14ac:dyDescent="0.25">
      <c r="A1057" s="2" t="s">
        <v>1317</v>
      </c>
      <c r="B1057" s="2" t="s">
        <v>1320</v>
      </c>
      <c r="C1057" s="2">
        <v>3</v>
      </c>
      <c r="D1057" t="str">
        <f t="shared" si="16"/>
        <v>CA-2014-145317_OFF-FA-10003112</v>
      </c>
      <c r="E1057" t="str">
        <f>IF(COUNTIF(data1!$D:$D,D1057)=0,"Missing in Data1","Present")</f>
        <v>Present</v>
      </c>
    </row>
    <row r="1058" spans="1:5" x14ac:dyDescent="0.25">
      <c r="A1058" s="2" t="s">
        <v>1317</v>
      </c>
      <c r="B1058" s="2" t="s">
        <v>89</v>
      </c>
      <c r="C1058" s="2">
        <v>4</v>
      </c>
      <c r="D1058" t="str">
        <f t="shared" si="16"/>
        <v>CA-2014-145317_OFF-PA-10001804</v>
      </c>
      <c r="E1058" t="str">
        <f>IF(COUNTIF(data1!$D:$D,D1058)=0,"Missing in Data1","Present")</f>
        <v>Present</v>
      </c>
    </row>
    <row r="1059" spans="1:5" x14ac:dyDescent="0.25">
      <c r="A1059" s="2" t="s">
        <v>1317</v>
      </c>
      <c r="B1059" s="2" t="s">
        <v>1321</v>
      </c>
      <c r="C1059" s="2">
        <v>6</v>
      </c>
      <c r="D1059" t="str">
        <f t="shared" si="16"/>
        <v>CA-2014-145317_TEC-MA-10002412</v>
      </c>
      <c r="E1059" t="str">
        <f>IF(COUNTIF(data1!$D:$D,D1059)=0,"Missing in Data1","Present")</f>
        <v>Present</v>
      </c>
    </row>
    <row r="1060" spans="1:5" x14ac:dyDescent="0.25">
      <c r="A1060" s="2" t="s">
        <v>1317</v>
      </c>
      <c r="B1060" s="2" t="s">
        <v>1322</v>
      </c>
      <c r="C1060" s="2">
        <v>4</v>
      </c>
      <c r="D1060" t="str">
        <f t="shared" si="16"/>
        <v>CA-2014-145317_TEC-MA-10003626</v>
      </c>
      <c r="E1060" t="str">
        <f>IF(COUNTIF(data1!$D:$D,D1060)=0,"Missing in Data1","Present")</f>
        <v>Present</v>
      </c>
    </row>
    <row r="1061" spans="1:5" x14ac:dyDescent="0.25">
      <c r="A1061" s="2" t="s">
        <v>1323</v>
      </c>
      <c r="B1061" s="2" t="s">
        <v>1324</v>
      </c>
      <c r="C1061" s="2">
        <v>3</v>
      </c>
      <c r="D1061" t="str">
        <f t="shared" si="16"/>
        <v>CA-2014-145387_FUR-FU-10000023</v>
      </c>
      <c r="E1061" t="str">
        <f>IF(COUNTIF(data1!$D:$D,D1061)=0,"Missing in Data1","Present")</f>
        <v>Present</v>
      </c>
    </row>
    <row r="1062" spans="1:5" x14ac:dyDescent="0.25">
      <c r="A1062" s="2" t="s">
        <v>1323</v>
      </c>
      <c r="B1062" s="2" t="s">
        <v>1325</v>
      </c>
      <c r="C1062" s="2">
        <v>2</v>
      </c>
      <c r="D1062" t="str">
        <f t="shared" si="16"/>
        <v>CA-2014-145387_FUR-FU-10002364</v>
      </c>
      <c r="E1062" t="str">
        <f>IF(COUNTIF(data1!$D:$D,D1062)=0,"Missing in Data1","Present")</f>
        <v>Present</v>
      </c>
    </row>
    <row r="1063" spans="1:5" x14ac:dyDescent="0.25">
      <c r="A1063" s="2" t="s">
        <v>1323</v>
      </c>
      <c r="B1063" s="2" t="s">
        <v>1326</v>
      </c>
      <c r="C1063" s="2">
        <v>1</v>
      </c>
      <c r="D1063" t="str">
        <f t="shared" si="16"/>
        <v>CA-2014-145387_FUR-TA-10003238</v>
      </c>
      <c r="E1063" t="str">
        <f>IF(COUNTIF(data1!$D:$D,D1063)=0,"Missing in Data1","Present")</f>
        <v>Present</v>
      </c>
    </row>
    <row r="1064" spans="1:5" x14ac:dyDescent="0.25">
      <c r="A1064" s="2" t="s">
        <v>1323</v>
      </c>
      <c r="B1064" s="2" t="s">
        <v>1327</v>
      </c>
      <c r="C1064" s="2">
        <v>5</v>
      </c>
      <c r="D1064" t="str">
        <f t="shared" si="16"/>
        <v>CA-2014-145387_OFF-AR-10001683</v>
      </c>
      <c r="E1064" t="str">
        <f>IF(COUNTIF(data1!$D:$D,D1064)=0,"Missing in Data1","Present")</f>
        <v>Present</v>
      </c>
    </row>
    <row r="1065" spans="1:5" x14ac:dyDescent="0.25">
      <c r="A1065" s="2" t="s">
        <v>1323</v>
      </c>
      <c r="B1065" s="2" t="s">
        <v>2450</v>
      </c>
      <c r="C1065" s="2">
        <v>2</v>
      </c>
      <c r="D1065" t="str">
        <f t="shared" si="16"/>
        <v>CA-2014-145387_OFF-BI-10004001</v>
      </c>
      <c r="E1065" t="str">
        <f>IF(COUNTIF(data1!$D:$D,D1065)=0,"Missing in Data1","Present")</f>
        <v>Missing in Data1</v>
      </c>
    </row>
    <row r="1066" spans="1:5" x14ac:dyDescent="0.25">
      <c r="A1066" s="2" t="s">
        <v>1323</v>
      </c>
      <c r="B1066" s="2" t="s">
        <v>157</v>
      </c>
      <c r="C1066" s="2">
        <v>2</v>
      </c>
      <c r="D1066" t="str">
        <f t="shared" si="16"/>
        <v>CA-2014-145387_OFF-PA-10002195</v>
      </c>
      <c r="E1066" t="str">
        <f>IF(COUNTIF(data1!$D:$D,D1066)=0,"Missing in Data1","Present")</f>
        <v>Present</v>
      </c>
    </row>
    <row r="1067" spans="1:5" x14ac:dyDescent="0.25">
      <c r="A1067" s="2" t="s">
        <v>1328</v>
      </c>
      <c r="B1067" s="2" t="s">
        <v>866</v>
      </c>
      <c r="C1067" s="2">
        <v>4</v>
      </c>
      <c r="D1067" t="str">
        <f t="shared" si="16"/>
        <v>CA-2014-145541_TEC-MA-10001127</v>
      </c>
      <c r="E1067" t="str">
        <f>IF(COUNTIF(data1!$D:$D,D1067)=0,"Missing in Data1","Present")</f>
        <v>Present</v>
      </c>
    </row>
    <row r="1068" spans="1:5" x14ac:dyDescent="0.25">
      <c r="A1068" s="2" t="s">
        <v>1329</v>
      </c>
      <c r="B1068" s="2" t="s">
        <v>1033</v>
      </c>
      <c r="C1068" s="2">
        <v>3</v>
      </c>
      <c r="D1068" t="str">
        <f t="shared" si="16"/>
        <v>CA-2014-145576_FUR-FU-10004020</v>
      </c>
      <c r="E1068" t="str">
        <f>IF(COUNTIF(data1!$D:$D,D1068)=0,"Missing in Data1","Present")</f>
        <v>Present</v>
      </c>
    </row>
    <row r="1069" spans="1:5" x14ac:dyDescent="0.25">
      <c r="A1069" s="2" t="s">
        <v>1329</v>
      </c>
      <c r="B1069" s="2" t="s">
        <v>1330</v>
      </c>
      <c r="C1069" s="2">
        <v>5</v>
      </c>
      <c r="D1069" t="str">
        <f t="shared" si="16"/>
        <v>CA-2014-145576_OFF-AP-10003914</v>
      </c>
      <c r="E1069" t="str">
        <f>IF(COUNTIF(data1!$D:$D,D1069)=0,"Missing in Data1","Present")</f>
        <v>Present</v>
      </c>
    </row>
    <row r="1070" spans="1:5" x14ac:dyDescent="0.25">
      <c r="A1070" s="2" t="s">
        <v>1332</v>
      </c>
      <c r="B1070" s="2" t="s">
        <v>1333</v>
      </c>
      <c r="C1070" s="2">
        <v>5</v>
      </c>
      <c r="D1070" t="str">
        <f t="shared" si="16"/>
        <v>CA-2014-145926_FUR-CH-10004289</v>
      </c>
      <c r="E1070" t="str">
        <f>IF(COUNTIF(data1!$D:$D,D1070)=0,"Missing in Data1","Present")</f>
        <v>Present</v>
      </c>
    </row>
    <row r="1071" spans="1:5" x14ac:dyDescent="0.25">
      <c r="A1071" s="2" t="s">
        <v>1334</v>
      </c>
      <c r="B1071" s="2" t="s">
        <v>1083</v>
      </c>
      <c r="C1071" s="2">
        <v>5</v>
      </c>
      <c r="D1071" t="str">
        <f t="shared" si="16"/>
        <v>CA-2014-146283_FUR-CH-10004287</v>
      </c>
      <c r="E1071" t="str">
        <f>IF(COUNTIF(data1!$D:$D,D1071)=0,"Missing in Data1","Present")</f>
        <v>Present</v>
      </c>
    </row>
    <row r="1072" spans="1:5" x14ac:dyDescent="0.25">
      <c r="A1072" s="2" t="s">
        <v>1334</v>
      </c>
      <c r="B1072" s="2" t="s">
        <v>1335</v>
      </c>
      <c r="C1072" s="2">
        <v>6</v>
      </c>
      <c r="D1072" t="str">
        <f t="shared" si="16"/>
        <v>CA-2014-146283_OFF-PA-10000482</v>
      </c>
      <c r="E1072" t="str">
        <f>IF(COUNTIF(data1!$D:$D,D1072)=0,"Missing in Data1","Present")</f>
        <v>Present</v>
      </c>
    </row>
    <row r="1073" spans="1:5" x14ac:dyDescent="0.25">
      <c r="A1073" s="2" t="s">
        <v>1334</v>
      </c>
      <c r="B1073" s="2" t="s">
        <v>1336</v>
      </c>
      <c r="C1073" s="2">
        <v>2</v>
      </c>
      <c r="D1073" t="str">
        <f t="shared" si="16"/>
        <v>CA-2014-146283_OFF-PA-10002259</v>
      </c>
      <c r="E1073" t="str">
        <f>IF(COUNTIF(data1!$D:$D,D1073)=0,"Missing in Data1","Present")</f>
        <v>Present</v>
      </c>
    </row>
    <row r="1074" spans="1:5" x14ac:dyDescent="0.25">
      <c r="A1074" s="2" t="s">
        <v>1337</v>
      </c>
      <c r="B1074" s="2" t="s">
        <v>1338</v>
      </c>
      <c r="C1074" s="2">
        <v>5</v>
      </c>
      <c r="D1074" t="str">
        <f t="shared" si="16"/>
        <v>CA-2014-146500_OFF-BI-10002432</v>
      </c>
      <c r="E1074" t="str">
        <f>IF(COUNTIF(data1!$D:$D,D1074)=0,"Missing in Data1","Present")</f>
        <v>Present</v>
      </c>
    </row>
    <row r="1075" spans="1:5" x14ac:dyDescent="0.25">
      <c r="A1075" s="2" t="s">
        <v>1337</v>
      </c>
      <c r="B1075" s="2" t="s">
        <v>1339</v>
      </c>
      <c r="C1075" s="2">
        <v>3</v>
      </c>
      <c r="D1075" t="str">
        <f t="shared" si="16"/>
        <v>CA-2014-146500_OFF-ST-10000563</v>
      </c>
      <c r="E1075" t="str">
        <f>IF(COUNTIF(data1!$D:$D,D1075)=0,"Missing in Data1","Present")</f>
        <v>Present</v>
      </c>
    </row>
    <row r="1076" spans="1:5" x14ac:dyDescent="0.25">
      <c r="A1076" s="2" t="s">
        <v>1340</v>
      </c>
      <c r="B1076" s="2" t="s">
        <v>157</v>
      </c>
      <c r="C1076" s="2">
        <v>1</v>
      </c>
      <c r="D1076" t="str">
        <f t="shared" si="16"/>
        <v>CA-2014-146528_OFF-PA-10002195</v>
      </c>
      <c r="E1076" t="str">
        <f>IF(COUNTIF(data1!$D:$D,D1076)=0,"Missing in Data1","Present")</f>
        <v>Present</v>
      </c>
    </row>
    <row r="1077" spans="1:5" x14ac:dyDescent="0.25">
      <c r="A1077" s="2" t="s">
        <v>1340</v>
      </c>
      <c r="B1077" s="2" t="s">
        <v>1341</v>
      </c>
      <c r="C1077" s="2">
        <v>4</v>
      </c>
      <c r="D1077" t="str">
        <f t="shared" si="16"/>
        <v>CA-2014-146528_OFF-SU-10002522</v>
      </c>
      <c r="E1077" t="str">
        <f>IF(COUNTIF(data1!$D:$D,D1077)=0,"Missing in Data1","Present")</f>
        <v>Present</v>
      </c>
    </row>
    <row r="1078" spans="1:5" x14ac:dyDescent="0.25">
      <c r="A1078" s="2" t="s">
        <v>1342</v>
      </c>
      <c r="B1078" s="2" t="s">
        <v>1343</v>
      </c>
      <c r="C1078" s="2">
        <v>5</v>
      </c>
      <c r="D1078" t="str">
        <f t="shared" si="16"/>
        <v>CA-2014-146591_FUR-BO-10001972</v>
      </c>
      <c r="E1078" t="str">
        <f>IF(COUNTIF(data1!$D:$D,D1078)=0,"Missing in Data1","Present")</f>
        <v>Present</v>
      </c>
    </row>
    <row r="1079" spans="1:5" x14ac:dyDescent="0.25">
      <c r="A1079" s="2" t="s">
        <v>1342</v>
      </c>
      <c r="B1079" s="2" t="s">
        <v>206</v>
      </c>
      <c r="C1079" s="2">
        <v>10</v>
      </c>
      <c r="D1079" t="str">
        <f t="shared" si="16"/>
        <v>CA-2014-146591_OFF-BI-10003676</v>
      </c>
      <c r="E1079" t="str">
        <f>IF(COUNTIF(data1!$D:$D,D1079)=0,"Missing in Data1","Present")</f>
        <v>Present</v>
      </c>
    </row>
    <row r="1080" spans="1:5" x14ac:dyDescent="0.25">
      <c r="A1080" s="2" t="s">
        <v>1342</v>
      </c>
      <c r="B1080" s="2" t="s">
        <v>531</v>
      </c>
      <c r="C1080" s="2">
        <v>5</v>
      </c>
      <c r="D1080" t="str">
        <f t="shared" si="16"/>
        <v>CA-2014-146591_OFF-EN-10002504</v>
      </c>
      <c r="E1080" t="str">
        <f>IF(COUNTIF(data1!$D:$D,D1080)=0,"Missing in Data1","Present")</f>
        <v>Present</v>
      </c>
    </row>
    <row r="1081" spans="1:5" x14ac:dyDescent="0.25">
      <c r="A1081" s="2" t="s">
        <v>1342</v>
      </c>
      <c r="B1081" s="2" t="s">
        <v>622</v>
      </c>
      <c r="C1081" s="2">
        <v>4</v>
      </c>
      <c r="D1081" t="str">
        <f t="shared" si="16"/>
        <v>CA-2014-146591_OFF-PA-10000659</v>
      </c>
      <c r="E1081" t="str">
        <f>IF(COUNTIF(data1!$D:$D,D1081)=0,"Missing in Data1","Present")</f>
        <v>Present</v>
      </c>
    </row>
    <row r="1082" spans="1:5" x14ac:dyDescent="0.25">
      <c r="A1082" s="2" t="s">
        <v>1344</v>
      </c>
      <c r="B1082" s="2" t="s">
        <v>1345</v>
      </c>
      <c r="C1082" s="2">
        <v>7</v>
      </c>
      <c r="D1082" t="str">
        <f t="shared" si="16"/>
        <v>CA-2014-146640_OFF-BI-10002867</v>
      </c>
      <c r="E1082" t="str">
        <f>IF(COUNTIF(data1!$D:$D,D1082)=0,"Missing in Data1","Present")</f>
        <v>Present</v>
      </c>
    </row>
    <row r="1083" spans="1:5" x14ac:dyDescent="0.25">
      <c r="A1083" s="2" t="s">
        <v>1346</v>
      </c>
      <c r="B1083" s="2" t="s">
        <v>1347</v>
      </c>
      <c r="C1083" s="2">
        <v>4</v>
      </c>
      <c r="D1083" t="str">
        <f t="shared" si="16"/>
        <v>CA-2014-146703_OFF-ST-10001713</v>
      </c>
      <c r="E1083" t="str">
        <f>IF(COUNTIF(data1!$D:$D,D1083)=0,"Missing in Data1","Present")</f>
        <v>Present</v>
      </c>
    </row>
    <row r="1084" spans="1:5" x14ac:dyDescent="0.25">
      <c r="A1084" s="2" t="s">
        <v>1348</v>
      </c>
      <c r="B1084" s="2" t="s">
        <v>1349</v>
      </c>
      <c r="C1084" s="2">
        <v>2</v>
      </c>
      <c r="D1084" t="str">
        <f t="shared" si="16"/>
        <v>CA-2014-146731_OFF-PA-10000141</v>
      </c>
      <c r="E1084" t="str">
        <f>IF(COUNTIF(data1!$D:$D,D1084)=0,"Missing in Data1","Present")</f>
        <v>Present</v>
      </c>
    </row>
    <row r="1085" spans="1:5" x14ac:dyDescent="0.25">
      <c r="A1085" s="2" t="s">
        <v>1348</v>
      </c>
      <c r="B1085" s="2" t="s">
        <v>802</v>
      </c>
      <c r="C1085" s="2">
        <v>9</v>
      </c>
      <c r="D1085" t="str">
        <f t="shared" si="16"/>
        <v>CA-2014-146731_OFF-PA-10001019</v>
      </c>
      <c r="E1085" t="str">
        <f>IF(COUNTIF(data1!$D:$D,D1085)=0,"Missing in Data1","Present")</f>
        <v>Present</v>
      </c>
    </row>
    <row r="1086" spans="1:5" x14ac:dyDescent="0.25">
      <c r="A1086" s="2" t="s">
        <v>1350</v>
      </c>
      <c r="B1086" s="2" t="s">
        <v>1333</v>
      </c>
      <c r="C1086" s="2">
        <v>2</v>
      </c>
      <c r="D1086" t="str">
        <f t="shared" si="16"/>
        <v>CA-2014-146815_FUR-CH-10004289</v>
      </c>
      <c r="E1086" t="str">
        <f>IF(COUNTIF(data1!$D:$D,D1086)=0,"Missing in Data1","Present")</f>
        <v>Present</v>
      </c>
    </row>
    <row r="1087" spans="1:5" x14ac:dyDescent="0.25">
      <c r="A1087" s="2" t="s">
        <v>1350</v>
      </c>
      <c r="B1087" s="2" t="s">
        <v>719</v>
      </c>
      <c r="C1087" s="2">
        <v>2</v>
      </c>
      <c r="D1087" t="str">
        <f t="shared" si="16"/>
        <v>CA-2014-146815_OFF-AR-10003469</v>
      </c>
      <c r="E1087" t="str">
        <f>IF(COUNTIF(data1!$D:$D,D1087)=0,"Missing in Data1","Present")</f>
        <v>Present</v>
      </c>
    </row>
    <row r="1088" spans="1:5" x14ac:dyDescent="0.25">
      <c r="A1088" s="2" t="s">
        <v>1351</v>
      </c>
      <c r="B1088" s="2" t="s">
        <v>1055</v>
      </c>
      <c r="C1088" s="2">
        <v>4</v>
      </c>
      <c r="D1088" t="str">
        <f t="shared" si="16"/>
        <v>CA-2014-146843_TEC-AC-10002550</v>
      </c>
      <c r="E1088" t="str">
        <f>IF(COUNTIF(data1!$D:$D,D1088)=0,"Missing in Data1","Present")</f>
        <v>Present</v>
      </c>
    </row>
    <row r="1089" spans="1:5" x14ac:dyDescent="0.25">
      <c r="A1089" s="2" t="s">
        <v>1353</v>
      </c>
      <c r="B1089" s="2" t="s">
        <v>1354</v>
      </c>
      <c r="C1089" s="2">
        <v>4</v>
      </c>
      <c r="D1089" t="str">
        <f t="shared" si="16"/>
        <v>CA-2014-146864_OFF-ST-10004946</v>
      </c>
      <c r="E1089" t="str">
        <f>IF(COUNTIF(data1!$D:$D,D1089)=0,"Missing in Data1","Present")</f>
        <v>Present</v>
      </c>
    </row>
    <row r="1090" spans="1:5" x14ac:dyDescent="0.25">
      <c r="A1090" s="2" t="s">
        <v>1355</v>
      </c>
      <c r="B1090" s="2" t="s">
        <v>144</v>
      </c>
      <c r="C1090" s="2">
        <v>3</v>
      </c>
      <c r="D1090" t="str">
        <f t="shared" si="16"/>
        <v>CA-2014-146885_OFF-PA-10001622</v>
      </c>
      <c r="E1090" t="str">
        <f>IF(COUNTIF(data1!$D:$D,D1090)=0,"Missing in Data1","Present")</f>
        <v>Present</v>
      </c>
    </row>
    <row r="1091" spans="1:5" x14ac:dyDescent="0.25">
      <c r="A1091" s="2" t="s">
        <v>1356</v>
      </c>
      <c r="B1091" s="2" t="s">
        <v>1357</v>
      </c>
      <c r="C1091" s="2">
        <v>2</v>
      </c>
      <c r="D1091" t="str">
        <f t="shared" ref="D1091:D1154" si="17">A1091&amp;"_"&amp;B1091</f>
        <v>CA-2014-146969_FUR-FU-10004188</v>
      </c>
      <c r="E1091" t="str">
        <f>IF(COUNTIF(data1!$D:$D,D1091)=0,"Missing in Data1","Present")</f>
        <v>Present</v>
      </c>
    </row>
    <row r="1092" spans="1:5" x14ac:dyDescent="0.25">
      <c r="A1092" s="2" t="s">
        <v>1356</v>
      </c>
      <c r="B1092" s="2" t="s">
        <v>1358</v>
      </c>
      <c r="C1092" s="2">
        <v>4</v>
      </c>
      <c r="D1092" t="str">
        <f t="shared" si="17"/>
        <v>CA-2014-146969_OFF-FA-10001561</v>
      </c>
      <c r="E1092" t="str">
        <f>IF(COUNTIF(data1!$D:$D,D1092)=0,"Missing in Data1","Present")</f>
        <v>Present</v>
      </c>
    </row>
    <row r="1093" spans="1:5" x14ac:dyDescent="0.25">
      <c r="A1093" s="2" t="s">
        <v>1356</v>
      </c>
      <c r="B1093" s="2" t="s">
        <v>1359</v>
      </c>
      <c r="C1093" s="2">
        <v>1</v>
      </c>
      <c r="D1093" t="str">
        <f t="shared" si="17"/>
        <v>CA-2014-146969_OFF-PA-10002105</v>
      </c>
      <c r="E1093" t="str">
        <f>IF(COUNTIF(data1!$D:$D,D1093)=0,"Missing in Data1","Present")</f>
        <v>Present</v>
      </c>
    </row>
    <row r="1094" spans="1:5" x14ac:dyDescent="0.25">
      <c r="A1094" s="2" t="s">
        <v>1356</v>
      </c>
      <c r="B1094" s="2" t="s">
        <v>1360</v>
      </c>
      <c r="C1094" s="2">
        <v>1</v>
      </c>
      <c r="D1094" t="str">
        <f t="shared" si="17"/>
        <v>CA-2014-146969_OFF-ST-10004340</v>
      </c>
      <c r="E1094" t="str">
        <f>IF(COUNTIF(data1!$D:$D,D1094)=0,"Missing in Data1","Present")</f>
        <v>Present</v>
      </c>
    </row>
    <row r="1095" spans="1:5" x14ac:dyDescent="0.25">
      <c r="A1095" s="2" t="s">
        <v>1362</v>
      </c>
      <c r="B1095" s="2" t="s">
        <v>11</v>
      </c>
      <c r="C1095" s="2">
        <v>4</v>
      </c>
      <c r="D1095" t="str">
        <f t="shared" si="17"/>
        <v>CA-2014-146990_OFF-FA-10000611</v>
      </c>
      <c r="E1095" t="str">
        <f>IF(COUNTIF(data1!$D:$D,D1095)=0,"Missing in Data1","Present")</f>
        <v>Present</v>
      </c>
    </row>
    <row r="1096" spans="1:5" x14ac:dyDescent="0.25">
      <c r="A1096" s="2" t="s">
        <v>1362</v>
      </c>
      <c r="B1096" s="2" t="s">
        <v>503</v>
      </c>
      <c r="C1096" s="2">
        <v>3</v>
      </c>
      <c r="D1096" t="str">
        <f t="shared" si="17"/>
        <v>CA-2014-146990_OFF-PA-10000246</v>
      </c>
      <c r="E1096" t="str">
        <f>IF(COUNTIF(data1!$D:$D,D1096)=0,"Missing in Data1","Present")</f>
        <v>Present</v>
      </c>
    </row>
    <row r="1097" spans="1:5" x14ac:dyDescent="0.25">
      <c r="A1097" s="2" t="s">
        <v>1363</v>
      </c>
      <c r="B1097" s="2" t="s">
        <v>1364</v>
      </c>
      <c r="C1097" s="2">
        <v>3</v>
      </c>
      <c r="D1097" t="str">
        <f t="shared" si="17"/>
        <v>CA-2014-146997_OFF-FA-10003467</v>
      </c>
      <c r="E1097" t="str">
        <f>IF(COUNTIF(data1!$D:$D,D1097)=0,"Missing in Data1","Present")</f>
        <v>Present</v>
      </c>
    </row>
    <row r="1098" spans="1:5" x14ac:dyDescent="0.25">
      <c r="A1098" s="2" t="s">
        <v>1365</v>
      </c>
      <c r="B1098" s="2" t="s">
        <v>1366</v>
      </c>
      <c r="C1098" s="2">
        <v>5</v>
      </c>
      <c r="D1098" t="str">
        <f t="shared" si="17"/>
        <v>CA-2014-147235_OFF-PA-10004948</v>
      </c>
      <c r="E1098" t="str">
        <f>IF(COUNTIF(data1!$D:$D,D1098)=0,"Missing in Data1","Present")</f>
        <v>Present</v>
      </c>
    </row>
    <row r="1099" spans="1:5" x14ac:dyDescent="0.25">
      <c r="A1099" s="2" t="s">
        <v>1367</v>
      </c>
      <c r="B1099" s="2" t="s">
        <v>1368</v>
      </c>
      <c r="C1099" s="2">
        <v>3</v>
      </c>
      <c r="D1099" t="str">
        <f t="shared" si="17"/>
        <v>CA-2014-147298_FUR-CH-10004886</v>
      </c>
      <c r="E1099" t="str">
        <f>IF(COUNTIF(data1!$D:$D,D1099)=0,"Missing in Data1","Present")</f>
        <v>Present</v>
      </c>
    </row>
    <row r="1100" spans="1:5" x14ac:dyDescent="0.25">
      <c r="A1100" s="2" t="s">
        <v>1367</v>
      </c>
      <c r="B1100" s="2" t="s">
        <v>1369</v>
      </c>
      <c r="C1100" s="2">
        <v>6</v>
      </c>
      <c r="D1100" t="str">
        <f t="shared" si="17"/>
        <v>CA-2014-147298_OFF-BI-10001525</v>
      </c>
      <c r="E1100" t="str">
        <f>IF(COUNTIF(data1!$D:$D,D1100)=0,"Missing in Data1","Present")</f>
        <v>Present</v>
      </c>
    </row>
    <row r="1101" spans="1:5" x14ac:dyDescent="0.25">
      <c r="A1101" s="2" t="s">
        <v>1370</v>
      </c>
      <c r="B1101" s="2" t="s">
        <v>596</v>
      </c>
      <c r="C1101" s="2">
        <v>2</v>
      </c>
      <c r="D1101" t="str">
        <f t="shared" si="17"/>
        <v>CA-2014-147543_FUR-CH-10000155</v>
      </c>
      <c r="E1101" t="str">
        <f>IF(COUNTIF(data1!$D:$D,D1101)=0,"Missing in Data1","Present")</f>
        <v>Present</v>
      </c>
    </row>
    <row r="1102" spans="1:5" x14ac:dyDescent="0.25">
      <c r="A1102" s="2" t="s">
        <v>1371</v>
      </c>
      <c r="B1102" s="2" t="s">
        <v>470</v>
      </c>
      <c r="C1102" s="2">
        <v>9</v>
      </c>
      <c r="D1102" t="str">
        <f t="shared" si="17"/>
        <v>CA-2014-147900_OFF-PA-10003063</v>
      </c>
      <c r="E1102" t="str">
        <f>IF(COUNTIF(data1!$D:$D,D1102)=0,"Missing in Data1","Present")</f>
        <v>Present</v>
      </c>
    </row>
    <row r="1103" spans="1:5" x14ac:dyDescent="0.25">
      <c r="A1103" s="2" t="s">
        <v>1372</v>
      </c>
      <c r="B1103" s="2" t="s">
        <v>1373</v>
      </c>
      <c r="C1103" s="2">
        <v>2</v>
      </c>
      <c r="D1103" t="str">
        <f t="shared" si="17"/>
        <v>CA-2014-147914_OFF-PA-10001685</v>
      </c>
      <c r="E1103" t="str">
        <f>IF(COUNTIF(data1!$D:$D,D1103)=0,"Missing in Data1","Present")</f>
        <v>Present</v>
      </c>
    </row>
    <row r="1104" spans="1:5" x14ac:dyDescent="0.25">
      <c r="A1104" s="2" t="s">
        <v>1374</v>
      </c>
      <c r="B1104" s="2" t="s">
        <v>1375</v>
      </c>
      <c r="C1104" s="2">
        <v>3</v>
      </c>
      <c r="D1104" t="str">
        <f t="shared" si="17"/>
        <v>CA-2014-148040_FUR-CH-10001482</v>
      </c>
      <c r="E1104" t="str">
        <f>IF(COUNTIF(data1!$D:$D,D1104)=0,"Missing in Data1","Present")</f>
        <v>Present</v>
      </c>
    </row>
    <row r="1105" spans="1:5" x14ac:dyDescent="0.25">
      <c r="A1105" s="2" t="s">
        <v>1374</v>
      </c>
      <c r="B1105" s="2" t="s">
        <v>1376</v>
      </c>
      <c r="C1105" s="2">
        <v>3</v>
      </c>
      <c r="D1105" t="str">
        <f t="shared" si="17"/>
        <v>CA-2014-148040_OFF-PA-10002581</v>
      </c>
      <c r="E1105" t="str">
        <f>IF(COUNTIF(data1!$D:$D,D1105)=0,"Missing in Data1","Present")</f>
        <v>Present</v>
      </c>
    </row>
    <row r="1106" spans="1:5" x14ac:dyDescent="0.25">
      <c r="A1106" s="2" t="s">
        <v>1377</v>
      </c>
      <c r="B1106" s="2" t="s">
        <v>1140</v>
      </c>
      <c r="C1106" s="2">
        <v>3</v>
      </c>
      <c r="D1106" t="str">
        <f t="shared" si="17"/>
        <v>CA-2014-148285_OFF-PA-10000349</v>
      </c>
      <c r="E1106" t="str">
        <f>IF(COUNTIF(data1!$D:$D,D1106)=0,"Missing in Data1","Present")</f>
        <v>Present</v>
      </c>
    </row>
    <row r="1107" spans="1:5" x14ac:dyDescent="0.25">
      <c r="A1107" s="2" t="s">
        <v>1377</v>
      </c>
      <c r="B1107" s="2" t="s">
        <v>1378</v>
      </c>
      <c r="C1107" s="2">
        <v>2</v>
      </c>
      <c r="D1107" t="str">
        <f t="shared" si="17"/>
        <v>CA-2014-148285_OFF-PA-10001166</v>
      </c>
      <c r="E1107" t="str">
        <f>IF(COUNTIF(data1!$D:$D,D1107)=0,"Missing in Data1","Present")</f>
        <v>Present</v>
      </c>
    </row>
    <row r="1108" spans="1:5" x14ac:dyDescent="0.25">
      <c r="A1108" s="2" t="s">
        <v>1379</v>
      </c>
      <c r="B1108" s="2" t="s">
        <v>1380</v>
      </c>
      <c r="C1108" s="2">
        <v>4</v>
      </c>
      <c r="D1108" t="str">
        <f t="shared" si="17"/>
        <v>CA-2014-148369_OFF-BI-10004876</v>
      </c>
      <c r="E1108" t="str">
        <f>IF(COUNTIF(data1!$D:$D,D1108)=0,"Missing in Data1","Present")</f>
        <v>Present</v>
      </c>
    </row>
    <row r="1109" spans="1:5" x14ac:dyDescent="0.25">
      <c r="A1109" s="2" t="s">
        <v>1381</v>
      </c>
      <c r="B1109" s="2" t="s">
        <v>1382</v>
      </c>
      <c r="C1109" s="2">
        <v>6</v>
      </c>
      <c r="D1109" t="str">
        <f t="shared" si="17"/>
        <v>CA-2014-148383_OFF-BI-10003650</v>
      </c>
      <c r="E1109" t="str">
        <f>IF(COUNTIF(data1!$D:$D,D1109)=0,"Missing in Data1","Present")</f>
        <v>Present</v>
      </c>
    </row>
    <row r="1110" spans="1:5" x14ac:dyDescent="0.25">
      <c r="A1110" s="2" t="s">
        <v>1383</v>
      </c>
      <c r="B1110" s="2" t="s">
        <v>1384</v>
      </c>
      <c r="C1110" s="2">
        <v>9</v>
      </c>
      <c r="D1110" t="str">
        <f t="shared" si="17"/>
        <v>CA-2014-148425_OFF-BI-10000201</v>
      </c>
      <c r="E1110" t="str">
        <f>IF(COUNTIF(data1!$D:$D,D1110)=0,"Missing in Data1","Present")</f>
        <v>Present</v>
      </c>
    </row>
    <row r="1111" spans="1:5" x14ac:dyDescent="0.25">
      <c r="A1111" s="2" t="s">
        <v>1385</v>
      </c>
      <c r="B1111" s="2" t="s">
        <v>1386</v>
      </c>
      <c r="C1111" s="2">
        <v>7</v>
      </c>
      <c r="D1111" t="str">
        <f t="shared" si="17"/>
        <v>CA-2014-148488_OFF-BI-10000315</v>
      </c>
      <c r="E1111" t="str">
        <f>IF(COUNTIF(data1!$D:$D,D1111)=0,"Missing in Data1","Present")</f>
        <v>Present</v>
      </c>
    </row>
    <row r="1112" spans="1:5" x14ac:dyDescent="0.25">
      <c r="A1112" s="2" t="s">
        <v>1385</v>
      </c>
      <c r="B1112" s="2" t="s">
        <v>1387</v>
      </c>
      <c r="C1112" s="2">
        <v>2</v>
      </c>
      <c r="D1112" t="str">
        <f t="shared" si="17"/>
        <v>CA-2014-148488_OFF-PA-10004470</v>
      </c>
      <c r="E1112" t="str">
        <f>IF(COUNTIF(data1!$D:$D,D1112)=0,"Missing in Data1","Present")</f>
        <v>Present</v>
      </c>
    </row>
    <row r="1113" spans="1:5" x14ac:dyDescent="0.25">
      <c r="A1113" s="2" t="s">
        <v>1388</v>
      </c>
      <c r="B1113" s="2" t="s">
        <v>469</v>
      </c>
      <c r="C1113" s="2">
        <v>7</v>
      </c>
      <c r="D1113" t="str">
        <f t="shared" si="17"/>
        <v>CA-2014-148586_FUR-CH-10002439</v>
      </c>
      <c r="E1113" t="str">
        <f>IF(COUNTIF(data1!$D:$D,D1113)=0,"Missing in Data1","Present")</f>
        <v>Present</v>
      </c>
    </row>
    <row r="1114" spans="1:5" x14ac:dyDescent="0.25">
      <c r="A1114" s="2" t="s">
        <v>1389</v>
      </c>
      <c r="B1114" s="2" t="s">
        <v>1390</v>
      </c>
      <c r="C1114" s="2">
        <v>2</v>
      </c>
      <c r="D1114" t="str">
        <f t="shared" si="17"/>
        <v>CA-2014-148614_FUR-FU-10003194</v>
      </c>
      <c r="E1114" t="str">
        <f>IF(COUNTIF(data1!$D:$D,D1114)=0,"Missing in Data1","Present")</f>
        <v>Present</v>
      </c>
    </row>
    <row r="1115" spans="1:5" x14ac:dyDescent="0.25">
      <c r="A1115" s="2" t="s">
        <v>1389</v>
      </c>
      <c r="B1115" s="2" t="s">
        <v>936</v>
      </c>
      <c r="C1115" s="2">
        <v>2</v>
      </c>
      <c r="D1115" t="str">
        <f t="shared" si="17"/>
        <v>CA-2014-148614_OFF-PA-10002893</v>
      </c>
      <c r="E1115" t="str">
        <f>IF(COUNTIF(data1!$D:$D,D1115)=0,"Missing in Data1","Present")</f>
        <v>Present</v>
      </c>
    </row>
    <row r="1116" spans="1:5" x14ac:dyDescent="0.25">
      <c r="A1116" s="2" t="s">
        <v>1391</v>
      </c>
      <c r="B1116" s="2" t="s">
        <v>687</v>
      </c>
      <c r="C1116" s="2">
        <v>3</v>
      </c>
      <c r="D1116" t="str">
        <f t="shared" si="17"/>
        <v>CA-2014-148761_OFF-BI-10000666</v>
      </c>
      <c r="E1116" t="str">
        <f>IF(COUNTIF(data1!$D:$D,D1116)=0,"Missing in Data1","Present")</f>
        <v>Present</v>
      </c>
    </row>
    <row r="1117" spans="1:5" x14ac:dyDescent="0.25">
      <c r="A1117" s="2" t="s">
        <v>1392</v>
      </c>
      <c r="B1117" s="2" t="s">
        <v>82</v>
      </c>
      <c r="C1117" s="2">
        <v>3</v>
      </c>
      <c r="D1117" t="str">
        <f t="shared" si="17"/>
        <v>CA-2014-148782_TEC-PH-10002923</v>
      </c>
      <c r="E1117" t="str">
        <f>IF(COUNTIF(data1!$D:$D,D1117)=0,"Missing in Data1","Present")</f>
        <v>Present</v>
      </c>
    </row>
    <row r="1118" spans="1:5" x14ac:dyDescent="0.25">
      <c r="A1118" s="2" t="s">
        <v>1393</v>
      </c>
      <c r="B1118" s="2" t="s">
        <v>1201</v>
      </c>
      <c r="C1118" s="2">
        <v>5</v>
      </c>
      <c r="D1118" t="str">
        <f t="shared" si="17"/>
        <v>CA-2014-148915_OFF-ST-10001128</v>
      </c>
      <c r="E1118" t="str">
        <f>IF(COUNTIF(data1!$D:$D,D1118)=0,"Missing in Data1","Present")</f>
        <v>Present</v>
      </c>
    </row>
    <row r="1119" spans="1:5" x14ac:dyDescent="0.25">
      <c r="A1119" s="2" t="s">
        <v>1393</v>
      </c>
      <c r="B1119" s="2" t="s">
        <v>863</v>
      </c>
      <c r="C1119" s="2">
        <v>3</v>
      </c>
      <c r="D1119" t="str">
        <f t="shared" si="17"/>
        <v>CA-2014-148915_TEC-PH-10000673</v>
      </c>
      <c r="E1119" t="str">
        <f>IF(COUNTIF(data1!$D:$D,D1119)=0,"Missing in Data1","Present")</f>
        <v>Present</v>
      </c>
    </row>
    <row r="1120" spans="1:5" x14ac:dyDescent="0.25">
      <c r="A1120" s="2" t="s">
        <v>1394</v>
      </c>
      <c r="B1120" s="2" t="s">
        <v>819</v>
      </c>
      <c r="C1120" s="2">
        <v>4</v>
      </c>
      <c r="D1120" t="str">
        <f t="shared" si="17"/>
        <v>CA-2014-148950_OFF-BI-10001249</v>
      </c>
      <c r="E1120" t="str">
        <f>IF(COUNTIF(data1!$D:$D,D1120)=0,"Missing in Data1","Present")</f>
        <v>Present</v>
      </c>
    </row>
    <row r="1121" spans="1:5" x14ac:dyDescent="0.25">
      <c r="A1121" s="2" t="s">
        <v>1394</v>
      </c>
      <c r="B1121" s="2" t="s">
        <v>212</v>
      </c>
      <c r="C1121" s="2">
        <v>3</v>
      </c>
      <c r="D1121" t="str">
        <f t="shared" si="17"/>
        <v>CA-2014-148950_TEC-AC-10002718</v>
      </c>
      <c r="E1121" t="str">
        <f>IF(COUNTIF(data1!$D:$D,D1121)=0,"Missing in Data1","Present")</f>
        <v>Present</v>
      </c>
    </row>
    <row r="1122" spans="1:5" x14ac:dyDescent="0.25">
      <c r="A1122" s="2" t="s">
        <v>1396</v>
      </c>
      <c r="B1122" s="2" t="s">
        <v>1397</v>
      </c>
      <c r="C1122" s="2">
        <v>1</v>
      </c>
      <c r="D1122" t="str">
        <f t="shared" si="17"/>
        <v>CA-2014-149020_FUR-FU-10000965</v>
      </c>
      <c r="E1122" t="str">
        <f>IF(COUNTIF(data1!$D:$D,D1122)=0,"Missing in Data1","Present")</f>
        <v>Present</v>
      </c>
    </row>
    <row r="1123" spans="1:5" x14ac:dyDescent="0.25">
      <c r="A1123" s="2" t="s">
        <v>1396</v>
      </c>
      <c r="B1123" s="2" t="s">
        <v>5812</v>
      </c>
      <c r="C1123" s="2">
        <v>1</v>
      </c>
      <c r="D1123" t="str">
        <f t="shared" si="17"/>
        <v>CA-2014-149020_OFF-LA-10004272</v>
      </c>
      <c r="E1123" t="str">
        <f>IF(COUNTIF(data1!$D:$D,D1123)=0,"Missing in Data1","Present")</f>
        <v>Missing in Data1</v>
      </c>
    </row>
    <row r="1124" spans="1:5" x14ac:dyDescent="0.25">
      <c r="A1124" s="2" t="s">
        <v>1398</v>
      </c>
      <c r="B1124" s="2" t="s">
        <v>1399</v>
      </c>
      <c r="C1124" s="2">
        <v>3</v>
      </c>
      <c r="D1124" t="str">
        <f t="shared" si="17"/>
        <v>CA-2014-149055_OFF-EN-10003040</v>
      </c>
      <c r="E1124" t="str">
        <f>IF(COUNTIF(data1!$D:$D,D1124)=0,"Missing in Data1","Present")</f>
        <v>Present</v>
      </c>
    </row>
    <row r="1125" spans="1:5" x14ac:dyDescent="0.25">
      <c r="A1125" s="2" t="s">
        <v>1400</v>
      </c>
      <c r="B1125" s="2" t="s">
        <v>744</v>
      </c>
      <c r="C1125" s="2">
        <v>2</v>
      </c>
      <c r="D1125" t="str">
        <f t="shared" si="17"/>
        <v>CA-2014-149104_OFF-AR-10002952</v>
      </c>
      <c r="E1125" t="str">
        <f>IF(COUNTIF(data1!$D:$D,D1125)=0,"Missing in Data1","Present")</f>
        <v>Present</v>
      </c>
    </row>
    <row r="1126" spans="1:5" x14ac:dyDescent="0.25">
      <c r="A1126" s="2" t="s">
        <v>1400</v>
      </c>
      <c r="B1126" s="2" t="s">
        <v>248</v>
      </c>
      <c r="C1126" s="2">
        <v>5</v>
      </c>
      <c r="D1126" t="str">
        <f t="shared" si="17"/>
        <v>CA-2014-149104_OFF-BI-10004209</v>
      </c>
      <c r="E1126" t="str">
        <f>IF(COUNTIF(data1!$D:$D,D1126)=0,"Missing in Data1","Present")</f>
        <v>Present</v>
      </c>
    </row>
    <row r="1127" spans="1:5" x14ac:dyDescent="0.25">
      <c r="A1127" s="2" t="s">
        <v>1400</v>
      </c>
      <c r="B1127" s="2" t="s">
        <v>632</v>
      </c>
      <c r="C1127" s="2">
        <v>6</v>
      </c>
      <c r="D1127" t="str">
        <f t="shared" si="17"/>
        <v>CA-2014-149104_OFF-ST-10000991</v>
      </c>
      <c r="E1127" t="str">
        <f>IF(COUNTIF(data1!$D:$D,D1127)=0,"Missing in Data1","Present")</f>
        <v>Present</v>
      </c>
    </row>
    <row r="1128" spans="1:5" x14ac:dyDescent="0.25">
      <c r="A1128" s="2" t="s">
        <v>1401</v>
      </c>
      <c r="B1128" s="2" t="s">
        <v>164</v>
      </c>
      <c r="C1128" s="2">
        <v>2</v>
      </c>
      <c r="D1128" t="str">
        <f t="shared" si="17"/>
        <v>CA-2014-149244_FUR-FU-10004671</v>
      </c>
      <c r="E1128" t="str">
        <f>IF(COUNTIF(data1!$D:$D,D1128)=0,"Missing in Data1","Present")</f>
        <v>Present</v>
      </c>
    </row>
    <row r="1129" spans="1:5" x14ac:dyDescent="0.25">
      <c r="A1129" s="2" t="s">
        <v>1402</v>
      </c>
      <c r="B1129" s="2" t="s">
        <v>1403</v>
      </c>
      <c r="C1129" s="2">
        <v>4</v>
      </c>
      <c r="D1129" t="str">
        <f t="shared" si="17"/>
        <v>CA-2014-149524_FUR-BO-10003433</v>
      </c>
      <c r="E1129" t="str">
        <f>IF(COUNTIF(data1!$D:$D,D1129)=0,"Missing in Data1","Present")</f>
        <v>Present</v>
      </c>
    </row>
    <row r="1130" spans="1:5" x14ac:dyDescent="0.25">
      <c r="A1130" s="2" t="s">
        <v>1404</v>
      </c>
      <c r="B1130" s="2" t="s">
        <v>157</v>
      </c>
      <c r="C1130" s="2">
        <v>2</v>
      </c>
      <c r="D1130" t="str">
        <f t="shared" si="17"/>
        <v>CA-2014-149538_OFF-PA-10002195</v>
      </c>
      <c r="E1130" t="str">
        <f>IF(COUNTIF(data1!$D:$D,D1130)=0,"Missing in Data1","Present")</f>
        <v>Present</v>
      </c>
    </row>
    <row r="1131" spans="1:5" x14ac:dyDescent="0.25">
      <c r="A1131" s="2" t="s">
        <v>1404</v>
      </c>
      <c r="B1131" s="2" t="s">
        <v>1405</v>
      </c>
      <c r="C1131" s="2">
        <v>3</v>
      </c>
      <c r="D1131" t="str">
        <f t="shared" si="17"/>
        <v>CA-2014-149538_OFF-PA-10003797</v>
      </c>
      <c r="E1131" t="str">
        <f>IF(COUNTIF(data1!$D:$D,D1131)=0,"Missing in Data1","Present")</f>
        <v>Present</v>
      </c>
    </row>
    <row r="1132" spans="1:5" x14ac:dyDescent="0.25">
      <c r="A1132" s="2" t="s">
        <v>1404</v>
      </c>
      <c r="B1132" s="2" t="s">
        <v>3191</v>
      </c>
      <c r="C1132" s="2">
        <v>5</v>
      </c>
      <c r="D1132" t="str">
        <f t="shared" si="17"/>
        <v>CA-2014-149538_OFF-ST-10004180</v>
      </c>
      <c r="E1132" t="str">
        <f>IF(COUNTIF(data1!$D:$D,D1132)=0,"Missing in Data1","Present")</f>
        <v>Missing in Data1</v>
      </c>
    </row>
    <row r="1133" spans="1:5" x14ac:dyDescent="0.25">
      <c r="A1133" s="2" t="s">
        <v>1404</v>
      </c>
      <c r="B1133" s="2" t="s">
        <v>1406</v>
      </c>
      <c r="C1133" s="2">
        <v>2</v>
      </c>
      <c r="D1133" t="str">
        <f t="shared" si="17"/>
        <v>CA-2014-149538_TEC-AC-10002926</v>
      </c>
      <c r="E1133" t="str">
        <f>IF(COUNTIF(data1!$D:$D,D1133)=0,"Missing in Data1","Present")</f>
        <v>Present</v>
      </c>
    </row>
    <row r="1134" spans="1:5" x14ac:dyDescent="0.25">
      <c r="A1134" s="2" t="s">
        <v>1407</v>
      </c>
      <c r="B1134" s="2" t="s">
        <v>594</v>
      </c>
      <c r="C1134" s="2">
        <v>4</v>
      </c>
      <c r="D1134" t="str">
        <f t="shared" si="17"/>
        <v>CA-2014-149594_FUR-FU-10000222</v>
      </c>
      <c r="E1134" t="str">
        <f>IF(COUNTIF(data1!$D:$D,D1134)=0,"Missing in Data1","Present")</f>
        <v>Present</v>
      </c>
    </row>
    <row r="1135" spans="1:5" x14ac:dyDescent="0.25">
      <c r="A1135" s="2" t="s">
        <v>1408</v>
      </c>
      <c r="B1135" s="2" t="s">
        <v>1409</v>
      </c>
      <c r="C1135" s="2">
        <v>2</v>
      </c>
      <c r="D1135" t="str">
        <f t="shared" si="17"/>
        <v>CA-2014-149643_TEC-PH-10000038</v>
      </c>
      <c r="E1135" t="str">
        <f>IF(COUNTIF(data1!$D:$D,D1135)=0,"Missing in Data1","Present")</f>
        <v>Present</v>
      </c>
    </row>
    <row r="1136" spans="1:5" x14ac:dyDescent="0.25">
      <c r="A1136" s="2" t="s">
        <v>1410</v>
      </c>
      <c r="B1136" s="2" t="s">
        <v>1411</v>
      </c>
      <c r="C1136" s="2">
        <v>3</v>
      </c>
      <c r="D1136" t="str">
        <f t="shared" si="17"/>
        <v>CA-2014-149958_FUR-FU-10001756</v>
      </c>
      <c r="E1136" t="str">
        <f>IF(COUNTIF(data1!$D:$D,D1136)=0,"Missing in Data1","Present")</f>
        <v>Present</v>
      </c>
    </row>
    <row r="1137" spans="1:5" x14ac:dyDescent="0.25">
      <c r="A1137" s="2" t="s">
        <v>1410</v>
      </c>
      <c r="B1137" s="2" t="s">
        <v>1412</v>
      </c>
      <c r="C1137" s="2">
        <v>3</v>
      </c>
      <c r="D1137" t="str">
        <f t="shared" si="17"/>
        <v>CA-2014-149958_OFF-BI-10000773</v>
      </c>
      <c r="E1137" t="str">
        <f>IF(COUNTIF(data1!$D:$D,D1137)=0,"Missing in Data1","Present")</f>
        <v>Present</v>
      </c>
    </row>
    <row r="1138" spans="1:5" x14ac:dyDescent="0.25">
      <c r="A1138" s="2" t="s">
        <v>1410</v>
      </c>
      <c r="B1138" s="2" t="s">
        <v>34</v>
      </c>
      <c r="C1138" s="2">
        <v>1</v>
      </c>
      <c r="D1138" t="str">
        <f t="shared" si="17"/>
        <v>CA-2014-149958_OFF-ST-10001490</v>
      </c>
      <c r="E1138" t="str">
        <f>IF(COUNTIF(data1!$D:$D,D1138)=0,"Missing in Data1","Present")</f>
        <v>Present</v>
      </c>
    </row>
    <row r="1139" spans="1:5" x14ac:dyDescent="0.25">
      <c r="A1139" s="2" t="s">
        <v>1415</v>
      </c>
      <c r="B1139" s="2" t="s">
        <v>1160</v>
      </c>
      <c r="C1139" s="2">
        <v>6</v>
      </c>
      <c r="D1139" t="str">
        <f t="shared" si="17"/>
        <v>CA-2014-150203_OFF-AP-10001469</v>
      </c>
      <c r="E1139" t="str">
        <f>IF(COUNTIF(data1!$D:$D,D1139)=0,"Missing in Data1","Present")</f>
        <v>Present</v>
      </c>
    </row>
    <row r="1140" spans="1:5" x14ac:dyDescent="0.25">
      <c r="A1140" s="2" t="s">
        <v>1416</v>
      </c>
      <c r="B1140" s="2" t="s">
        <v>1417</v>
      </c>
      <c r="C1140" s="2">
        <v>7</v>
      </c>
      <c r="D1140" t="str">
        <f t="shared" si="17"/>
        <v>CA-2014-150245_FUR-BO-10002613</v>
      </c>
      <c r="E1140" t="str">
        <f>IF(COUNTIF(data1!$D:$D,D1140)=0,"Missing in Data1","Present")</f>
        <v>Present</v>
      </c>
    </row>
    <row r="1141" spans="1:5" x14ac:dyDescent="0.25">
      <c r="A1141" s="2" t="s">
        <v>1420</v>
      </c>
      <c r="B1141" s="2" t="s">
        <v>1290</v>
      </c>
      <c r="C1141" s="2">
        <v>7</v>
      </c>
      <c r="D1141" t="str">
        <f t="shared" si="17"/>
        <v>CA-2014-150329_FUR-FU-10003724</v>
      </c>
      <c r="E1141" t="str">
        <f>IF(COUNTIF(data1!$D:$D,D1141)=0,"Missing in Data1","Present")</f>
        <v>Present</v>
      </c>
    </row>
    <row r="1142" spans="1:5" x14ac:dyDescent="0.25">
      <c r="A1142" s="2" t="s">
        <v>1421</v>
      </c>
      <c r="B1142" s="2" t="s">
        <v>1422</v>
      </c>
      <c r="C1142" s="2">
        <v>2</v>
      </c>
      <c r="D1142" t="str">
        <f t="shared" si="17"/>
        <v>CA-2014-150490_OFF-AR-10004602</v>
      </c>
      <c r="E1142" t="str">
        <f>IF(COUNTIF(data1!$D:$D,D1142)=0,"Missing in Data1","Present")</f>
        <v>Present</v>
      </c>
    </row>
    <row r="1143" spans="1:5" x14ac:dyDescent="0.25">
      <c r="A1143" s="2" t="s">
        <v>1421</v>
      </c>
      <c r="B1143" s="2" t="s">
        <v>1423</v>
      </c>
      <c r="C1143" s="2">
        <v>2</v>
      </c>
      <c r="D1143" t="str">
        <f t="shared" si="17"/>
        <v>CA-2014-150490_OFF-ST-10000321</v>
      </c>
      <c r="E1143" t="str">
        <f>IF(COUNTIF(data1!$D:$D,D1143)=0,"Missing in Data1","Present")</f>
        <v>Present</v>
      </c>
    </row>
    <row r="1144" spans="1:5" x14ac:dyDescent="0.25">
      <c r="A1144" s="2" t="s">
        <v>1421</v>
      </c>
      <c r="B1144" s="2" t="s">
        <v>676</v>
      </c>
      <c r="C1144" s="2">
        <v>1</v>
      </c>
      <c r="D1144" t="str">
        <f t="shared" si="17"/>
        <v>CA-2014-150490_TEC-AC-10004510</v>
      </c>
      <c r="E1144" t="str">
        <f>IF(COUNTIF(data1!$D:$D,D1144)=0,"Missing in Data1","Present")</f>
        <v>Present</v>
      </c>
    </row>
    <row r="1145" spans="1:5" x14ac:dyDescent="0.25">
      <c r="A1145" s="2" t="s">
        <v>1424</v>
      </c>
      <c r="B1145" s="2" t="s">
        <v>628</v>
      </c>
      <c r="C1145" s="2">
        <v>4</v>
      </c>
      <c r="D1145" t="str">
        <f t="shared" si="17"/>
        <v>CA-2014-150518_OFF-ST-10000877</v>
      </c>
      <c r="E1145" t="str">
        <f>IF(COUNTIF(data1!$D:$D,D1145)=0,"Missing in Data1","Present")</f>
        <v>Present</v>
      </c>
    </row>
    <row r="1146" spans="1:5" x14ac:dyDescent="0.25">
      <c r="A1146" s="2" t="s">
        <v>1426</v>
      </c>
      <c r="B1146" s="2" t="s">
        <v>1427</v>
      </c>
      <c r="C1146" s="2">
        <v>1</v>
      </c>
      <c r="D1146" t="str">
        <f t="shared" si="17"/>
        <v>CA-2014-150581_FUR-TA-10003748</v>
      </c>
      <c r="E1146" t="str">
        <f>IF(COUNTIF(data1!$D:$D,D1146)=0,"Missing in Data1","Present")</f>
        <v>Present</v>
      </c>
    </row>
    <row r="1147" spans="1:5" x14ac:dyDescent="0.25">
      <c r="A1147" s="2" t="s">
        <v>1426</v>
      </c>
      <c r="B1147" s="2" t="s">
        <v>1428</v>
      </c>
      <c r="C1147" s="2">
        <v>4</v>
      </c>
      <c r="D1147" t="str">
        <f t="shared" si="17"/>
        <v>CA-2014-150581_TEC-AC-10001908</v>
      </c>
      <c r="E1147" t="str">
        <f>IF(COUNTIF(data1!$D:$D,D1147)=0,"Missing in Data1","Present")</f>
        <v>Present</v>
      </c>
    </row>
    <row r="1148" spans="1:5" x14ac:dyDescent="0.25">
      <c r="A1148" s="2" t="s">
        <v>1429</v>
      </c>
      <c r="B1148" s="2" t="s">
        <v>339</v>
      </c>
      <c r="C1148" s="2">
        <v>2</v>
      </c>
      <c r="D1148" t="str">
        <f t="shared" si="17"/>
        <v>CA-2014-150798_FUR-FU-10000221</v>
      </c>
      <c r="E1148" t="str">
        <f>IF(COUNTIF(data1!$D:$D,D1148)=0,"Missing in Data1","Present")</f>
        <v>Present</v>
      </c>
    </row>
    <row r="1149" spans="1:5" x14ac:dyDescent="0.25">
      <c r="A1149" s="2" t="s">
        <v>1429</v>
      </c>
      <c r="B1149" s="2" t="s">
        <v>1431</v>
      </c>
      <c r="C1149" s="2">
        <v>7</v>
      </c>
      <c r="D1149" t="str">
        <f t="shared" si="17"/>
        <v>CA-2014-150798_OFF-PA-10001972</v>
      </c>
      <c r="E1149" t="str">
        <f>IF(COUNTIF(data1!$D:$D,D1149)=0,"Missing in Data1","Present")</f>
        <v>Present</v>
      </c>
    </row>
    <row r="1150" spans="1:5" x14ac:dyDescent="0.25">
      <c r="A1150" s="2" t="s">
        <v>1429</v>
      </c>
      <c r="B1150" s="2" t="s">
        <v>759</v>
      </c>
      <c r="C1150" s="2">
        <v>2</v>
      </c>
      <c r="D1150" t="str">
        <f t="shared" si="17"/>
        <v>CA-2014-150798_TEC-CO-10001571</v>
      </c>
      <c r="E1150" t="str">
        <f>IF(COUNTIF(data1!$D:$D,D1150)=0,"Missing in Data1","Present")</f>
        <v>Present</v>
      </c>
    </row>
    <row r="1151" spans="1:5" x14ac:dyDescent="0.25">
      <c r="A1151" s="2" t="s">
        <v>1432</v>
      </c>
      <c r="B1151" s="2" t="s">
        <v>932</v>
      </c>
      <c r="C1151" s="2">
        <v>4</v>
      </c>
      <c r="D1151" t="str">
        <f t="shared" si="17"/>
        <v>CA-2014-151001_OFF-ST-10001031</v>
      </c>
      <c r="E1151" t="str">
        <f>IF(COUNTIF(data1!$D:$D,D1151)=0,"Missing in Data1","Present")</f>
        <v>Present</v>
      </c>
    </row>
    <row r="1152" spans="1:5" x14ac:dyDescent="0.25">
      <c r="A1152" s="2" t="s">
        <v>1432</v>
      </c>
      <c r="B1152" s="2" t="s">
        <v>1433</v>
      </c>
      <c r="C1152" s="2">
        <v>4</v>
      </c>
      <c r="D1152" t="str">
        <f t="shared" si="17"/>
        <v>CA-2014-151001_OFF-ST-10003455</v>
      </c>
      <c r="E1152" t="str">
        <f>IF(COUNTIF(data1!$D:$D,D1152)=0,"Missing in Data1","Present")</f>
        <v>Present</v>
      </c>
    </row>
    <row r="1153" spans="1:5" x14ac:dyDescent="0.25">
      <c r="A1153" s="2" t="s">
        <v>6756</v>
      </c>
      <c r="B1153" s="2" t="s">
        <v>2856</v>
      </c>
      <c r="C1153" s="2">
        <v>4</v>
      </c>
      <c r="D1153" t="str">
        <f t="shared" si="17"/>
        <v>CA-2014-151078_OFF-ST-10001328</v>
      </c>
      <c r="E1153" t="str">
        <f>IF(COUNTIF(data1!$D:$D,D1153)=0,"Missing in Data1","Present")</f>
        <v>Missing in Data1</v>
      </c>
    </row>
    <row r="1154" spans="1:5" x14ac:dyDescent="0.25">
      <c r="A1154" s="2" t="s">
        <v>1434</v>
      </c>
      <c r="B1154" s="2" t="s">
        <v>1121</v>
      </c>
      <c r="C1154" s="2">
        <v>4</v>
      </c>
      <c r="D1154" t="str">
        <f t="shared" si="17"/>
        <v>CA-2014-151162_OFF-BI-10003719</v>
      </c>
      <c r="E1154" t="str">
        <f>IF(COUNTIF(data1!$D:$D,D1154)=0,"Missing in Data1","Present")</f>
        <v>Present</v>
      </c>
    </row>
    <row r="1155" spans="1:5" x14ac:dyDescent="0.25">
      <c r="A1155" s="2" t="s">
        <v>1434</v>
      </c>
      <c r="B1155" s="2" t="s">
        <v>1435</v>
      </c>
      <c r="C1155" s="2">
        <v>3</v>
      </c>
      <c r="D1155" t="str">
        <f t="shared" ref="D1155:D1218" si="18">A1155&amp;"_"&amp;B1155</f>
        <v>CA-2014-151162_OFF-PA-10001033</v>
      </c>
      <c r="E1155" t="str">
        <f>IF(COUNTIF(data1!$D:$D,D1155)=0,"Missing in Data1","Present")</f>
        <v>Present</v>
      </c>
    </row>
    <row r="1156" spans="1:5" x14ac:dyDescent="0.25">
      <c r="A1156" s="2" t="s">
        <v>1434</v>
      </c>
      <c r="B1156" s="2" t="s">
        <v>475</v>
      </c>
      <c r="C1156" s="2">
        <v>3</v>
      </c>
      <c r="D1156" t="str">
        <f t="shared" si="18"/>
        <v>CA-2014-151162_OFF-PA-10003036</v>
      </c>
      <c r="E1156" t="str">
        <f>IF(COUNTIF(data1!$D:$D,D1156)=0,"Missing in Data1","Present")</f>
        <v>Present</v>
      </c>
    </row>
    <row r="1157" spans="1:5" x14ac:dyDescent="0.25">
      <c r="A1157" s="2" t="s">
        <v>1434</v>
      </c>
      <c r="B1157" s="2" t="s">
        <v>1436</v>
      </c>
      <c r="C1157" s="2">
        <v>2</v>
      </c>
      <c r="D1157" t="str">
        <f t="shared" si="18"/>
        <v>CA-2014-151162_TEC-PH-10001809</v>
      </c>
      <c r="E1157" t="str">
        <f>IF(COUNTIF(data1!$D:$D,D1157)=0,"Missing in Data1","Present")</f>
        <v>Present</v>
      </c>
    </row>
    <row r="1158" spans="1:5" x14ac:dyDescent="0.25">
      <c r="A1158" s="2" t="s">
        <v>1434</v>
      </c>
      <c r="B1158" s="2" t="s">
        <v>1437</v>
      </c>
      <c r="C1158" s="2">
        <v>1</v>
      </c>
      <c r="D1158" t="str">
        <f t="shared" si="18"/>
        <v>CA-2014-151162_TEC-PH-10001870</v>
      </c>
      <c r="E1158" t="str">
        <f>IF(COUNTIF(data1!$D:$D,D1158)=0,"Missing in Data1","Present")</f>
        <v>Present</v>
      </c>
    </row>
    <row r="1159" spans="1:5" x14ac:dyDescent="0.25">
      <c r="A1159" s="2" t="s">
        <v>1438</v>
      </c>
      <c r="B1159" s="2" t="s">
        <v>1439</v>
      </c>
      <c r="C1159" s="2">
        <v>3</v>
      </c>
      <c r="D1159" t="str">
        <f t="shared" si="18"/>
        <v>CA-2014-151295_FUR-TA-10002356</v>
      </c>
      <c r="E1159" t="str">
        <f>IF(COUNTIF(data1!$D:$D,D1159)=0,"Missing in Data1","Present")</f>
        <v>Present</v>
      </c>
    </row>
    <row r="1160" spans="1:5" x14ac:dyDescent="0.25">
      <c r="A1160" s="2" t="s">
        <v>1441</v>
      </c>
      <c r="B1160" s="2" t="s">
        <v>1442</v>
      </c>
      <c r="C1160" s="2">
        <v>9</v>
      </c>
      <c r="D1160" t="str">
        <f t="shared" si="18"/>
        <v>CA-2014-151330_FUR-CH-10000749</v>
      </c>
      <c r="E1160" t="str">
        <f>IF(COUNTIF(data1!$D:$D,D1160)=0,"Missing in Data1","Present")</f>
        <v>Present</v>
      </c>
    </row>
    <row r="1161" spans="1:5" x14ac:dyDescent="0.25">
      <c r="A1161" s="2" t="s">
        <v>1441</v>
      </c>
      <c r="B1161" s="2" t="s">
        <v>1263</v>
      </c>
      <c r="C1161" s="2">
        <v>3</v>
      </c>
      <c r="D1161" t="str">
        <f t="shared" si="18"/>
        <v>CA-2014-151330_TEC-AC-10000865</v>
      </c>
      <c r="E1161" t="str">
        <f>IF(COUNTIF(data1!$D:$D,D1161)=0,"Missing in Data1","Present")</f>
        <v>Present</v>
      </c>
    </row>
    <row r="1162" spans="1:5" x14ac:dyDescent="0.25">
      <c r="A1162" s="2" t="s">
        <v>1444</v>
      </c>
      <c r="B1162" s="2" t="s">
        <v>421</v>
      </c>
      <c r="C1162" s="2">
        <v>5</v>
      </c>
      <c r="D1162" t="str">
        <f t="shared" si="18"/>
        <v>CA-2014-151379_OFF-PA-10000595</v>
      </c>
      <c r="E1162" t="str">
        <f>IF(COUNTIF(data1!$D:$D,D1162)=0,"Missing in Data1","Present")</f>
        <v>Present</v>
      </c>
    </row>
    <row r="1163" spans="1:5" x14ac:dyDescent="0.25">
      <c r="A1163" s="2" t="s">
        <v>1445</v>
      </c>
      <c r="B1163" s="2" t="s">
        <v>1446</v>
      </c>
      <c r="C1163" s="2">
        <v>4</v>
      </c>
      <c r="D1163" t="str">
        <f t="shared" si="18"/>
        <v>CA-2014-151554_OFF-PA-10004609</v>
      </c>
      <c r="E1163" t="str">
        <f>IF(COUNTIF(data1!$D:$D,D1163)=0,"Missing in Data1","Present")</f>
        <v>Present</v>
      </c>
    </row>
    <row r="1164" spans="1:5" x14ac:dyDescent="0.25">
      <c r="A1164" s="2" t="s">
        <v>1447</v>
      </c>
      <c r="B1164" s="2" t="s">
        <v>1448</v>
      </c>
      <c r="C1164" s="2">
        <v>4</v>
      </c>
      <c r="D1164" t="str">
        <f t="shared" si="18"/>
        <v>CA-2014-151708_FUR-FU-10001602</v>
      </c>
      <c r="E1164" t="str">
        <f>IF(COUNTIF(data1!$D:$D,D1164)=0,"Missing in Data1","Present")</f>
        <v>Present</v>
      </c>
    </row>
    <row r="1165" spans="1:5" x14ac:dyDescent="0.25">
      <c r="A1165" s="2" t="s">
        <v>1447</v>
      </c>
      <c r="B1165" s="2" t="s">
        <v>1904</v>
      </c>
      <c r="C1165" s="2">
        <v>3</v>
      </c>
      <c r="D1165" t="str">
        <f t="shared" si="18"/>
        <v>CA-2014-151708_TEC-AC-10001767</v>
      </c>
      <c r="E1165" t="str">
        <f>IF(COUNTIF(data1!$D:$D,D1165)=0,"Missing in Data1","Present")</f>
        <v>Missing in Data1</v>
      </c>
    </row>
    <row r="1166" spans="1:5" x14ac:dyDescent="0.25">
      <c r="A1166" s="2" t="s">
        <v>1449</v>
      </c>
      <c r="B1166" s="2" t="s">
        <v>1128</v>
      </c>
      <c r="C1166" s="2">
        <v>3</v>
      </c>
      <c r="D1166" t="str">
        <f t="shared" si="18"/>
        <v>CA-2014-151792_TEC-AC-10001606</v>
      </c>
      <c r="E1166" t="str">
        <f>IF(COUNTIF(data1!$D:$D,D1166)=0,"Missing in Data1","Present")</f>
        <v>Present</v>
      </c>
    </row>
    <row r="1167" spans="1:5" x14ac:dyDescent="0.25">
      <c r="A1167" s="2" t="s">
        <v>1450</v>
      </c>
      <c r="B1167" s="2" t="s">
        <v>540</v>
      </c>
      <c r="C1167" s="2">
        <v>10</v>
      </c>
      <c r="D1167" t="str">
        <f t="shared" si="18"/>
        <v>CA-2014-151897_OFF-LA-10001074</v>
      </c>
      <c r="E1167" t="str">
        <f>IF(COUNTIF(data1!$D:$D,D1167)=0,"Missing in Data1","Present")</f>
        <v>Present</v>
      </c>
    </row>
    <row r="1168" spans="1:5" x14ac:dyDescent="0.25">
      <c r="A1168" s="2" t="s">
        <v>1451</v>
      </c>
      <c r="B1168" s="2" t="s">
        <v>437</v>
      </c>
      <c r="C1168" s="2">
        <v>2</v>
      </c>
      <c r="D1168" t="str">
        <f t="shared" si="18"/>
        <v>CA-2014-151946_FUR-BO-10003272</v>
      </c>
      <c r="E1168" t="str">
        <f>IF(COUNTIF(data1!$D:$D,D1168)=0,"Missing in Data1","Present")</f>
        <v>Present</v>
      </c>
    </row>
    <row r="1169" spans="1:5" x14ac:dyDescent="0.25">
      <c r="A1169" s="2" t="s">
        <v>1451</v>
      </c>
      <c r="B1169" s="2" t="s">
        <v>1452</v>
      </c>
      <c r="C1169" s="2">
        <v>2</v>
      </c>
      <c r="D1169" t="str">
        <f t="shared" si="18"/>
        <v>CA-2014-151946_FUR-FU-10002191</v>
      </c>
      <c r="E1169" t="str">
        <f>IF(COUNTIF(data1!$D:$D,D1169)=0,"Missing in Data1","Present")</f>
        <v>Present</v>
      </c>
    </row>
    <row r="1170" spans="1:5" x14ac:dyDescent="0.25">
      <c r="A1170" s="2" t="s">
        <v>1451</v>
      </c>
      <c r="B1170" s="2" t="s">
        <v>349</v>
      </c>
      <c r="C1170" s="2">
        <v>2</v>
      </c>
      <c r="D1170" t="str">
        <f t="shared" si="18"/>
        <v>CA-2014-151946_FUR-FU-10002878</v>
      </c>
      <c r="E1170" t="str">
        <f>IF(COUNTIF(data1!$D:$D,D1170)=0,"Missing in Data1","Present")</f>
        <v>Present</v>
      </c>
    </row>
    <row r="1171" spans="1:5" x14ac:dyDescent="0.25">
      <c r="A1171" s="2" t="s">
        <v>1451</v>
      </c>
      <c r="B1171" s="2" t="s">
        <v>1453</v>
      </c>
      <c r="C1171" s="2">
        <v>4</v>
      </c>
      <c r="D1171" t="str">
        <f t="shared" si="18"/>
        <v>CA-2014-151946_OFF-AP-10001626</v>
      </c>
      <c r="E1171" t="str">
        <f>IF(COUNTIF(data1!$D:$D,D1171)=0,"Missing in Data1","Present")</f>
        <v>Present</v>
      </c>
    </row>
    <row r="1172" spans="1:5" x14ac:dyDescent="0.25">
      <c r="A1172" s="2" t="s">
        <v>6757</v>
      </c>
      <c r="B1172" s="2" t="s">
        <v>719</v>
      </c>
      <c r="C1172" s="2">
        <v>2</v>
      </c>
      <c r="D1172" t="str">
        <f t="shared" si="18"/>
        <v>CA-2014-151953_OFF-AR-10003469</v>
      </c>
      <c r="E1172" t="str">
        <f>IF(COUNTIF(data1!$D:$D,D1172)=0,"Missing in Data1","Present")</f>
        <v>Missing in Data1</v>
      </c>
    </row>
    <row r="1173" spans="1:5" x14ac:dyDescent="0.25">
      <c r="A1173" s="2" t="s">
        <v>1454</v>
      </c>
      <c r="B1173" s="2" t="s">
        <v>846</v>
      </c>
      <c r="C1173" s="2">
        <v>4</v>
      </c>
      <c r="D1173" t="str">
        <f t="shared" si="18"/>
        <v>CA-2014-151967_FUR-FU-10000193</v>
      </c>
      <c r="E1173" t="str">
        <f>IF(COUNTIF(data1!$D:$D,D1173)=0,"Missing in Data1","Present")</f>
        <v>Present</v>
      </c>
    </row>
    <row r="1174" spans="1:5" x14ac:dyDescent="0.25">
      <c r="A1174" s="2" t="s">
        <v>1455</v>
      </c>
      <c r="B1174" s="2" t="s">
        <v>1457</v>
      </c>
      <c r="C1174" s="2">
        <v>4</v>
      </c>
      <c r="D1174" t="str">
        <f t="shared" si="18"/>
        <v>CA-2014-151995_OFF-AP-10000240</v>
      </c>
      <c r="E1174" t="str">
        <f>IF(COUNTIF(data1!$D:$D,D1174)=0,"Missing in Data1","Present")</f>
        <v>Present</v>
      </c>
    </row>
    <row r="1175" spans="1:5" x14ac:dyDescent="0.25">
      <c r="A1175" s="2" t="s">
        <v>1455</v>
      </c>
      <c r="B1175" s="2" t="s">
        <v>598</v>
      </c>
      <c r="C1175" s="2">
        <v>4</v>
      </c>
      <c r="D1175" t="str">
        <f t="shared" si="18"/>
        <v>CA-2014-151995_OFF-AR-10003190</v>
      </c>
      <c r="E1175" t="str">
        <f>IF(COUNTIF(data1!$D:$D,D1175)=0,"Missing in Data1","Present")</f>
        <v>Present</v>
      </c>
    </row>
    <row r="1176" spans="1:5" x14ac:dyDescent="0.25">
      <c r="A1176" s="2" t="s">
        <v>1455</v>
      </c>
      <c r="B1176" s="2" t="s">
        <v>496</v>
      </c>
      <c r="C1176" s="2">
        <v>2</v>
      </c>
      <c r="D1176" t="str">
        <f t="shared" si="18"/>
        <v>CA-2014-151995_TEC-AC-10001101</v>
      </c>
      <c r="E1176" t="str">
        <f>IF(COUNTIF(data1!$D:$D,D1176)=0,"Missing in Data1","Present")</f>
        <v>Present</v>
      </c>
    </row>
    <row r="1177" spans="1:5" x14ac:dyDescent="0.25">
      <c r="A1177" s="2" t="s">
        <v>1458</v>
      </c>
      <c r="B1177" s="2" t="s">
        <v>1430</v>
      </c>
      <c r="C1177" s="2">
        <v>8</v>
      </c>
      <c r="D1177" t="str">
        <f t="shared" si="18"/>
        <v>CA-2014-152100_FUR-CH-10000015</v>
      </c>
      <c r="E1177" t="str">
        <f>IF(COUNTIF(data1!$D:$D,D1177)=0,"Missing in Data1","Present")</f>
        <v>Present</v>
      </c>
    </row>
    <row r="1178" spans="1:5" x14ac:dyDescent="0.25">
      <c r="A1178" s="2" t="s">
        <v>1459</v>
      </c>
      <c r="B1178" s="2" t="s">
        <v>507</v>
      </c>
      <c r="C1178" s="2">
        <v>2</v>
      </c>
      <c r="D1178" t="str">
        <f t="shared" si="18"/>
        <v>CA-2014-152233_TEC-AC-10002800</v>
      </c>
      <c r="E1178" t="str">
        <f>IF(COUNTIF(data1!$D:$D,D1178)=0,"Missing in Data1","Present")</f>
        <v>Present</v>
      </c>
    </row>
    <row r="1179" spans="1:5" x14ac:dyDescent="0.25">
      <c r="A1179" s="2" t="s">
        <v>1460</v>
      </c>
      <c r="B1179" s="2" t="s">
        <v>623</v>
      </c>
      <c r="C1179" s="2">
        <v>7</v>
      </c>
      <c r="D1179" t="str">
        <f t="shared" si="18"/>
        <v>CA-2014-152254_OFF-PA-10001144</v>
      </c>
      <c r="E1179" t="str">
        <f>IF(COUNTIF(data1!$D:$D,D1179)=0,"Missing in Data1","Present")</f>
        <v>Present</v>
      </c>
    </row>
    <row r="1180" spans="1:5" x14ac:dyDescent="0.25">
      <c r="A1180" s="2" t="s">
        <v>1461</v>
      </c>
      <c r="B1180" s="2" t="s">
        <v>502</v>
      </c>
      <c r="C1180" s="2">
        <v>2</v>
      </c>
      <c r="D1180" t="str">
        <f t="shared" si="18"/>
        <v>CA-2014-152268_OFF-BI-10001359</v>
      </c>
      <c r="E1180" t="str">
        <f>IF(COUNTIF(data1!$D:$D,D1180)=0,"Missing in Data1","Present")</f>
        <v>Present</v>
      </c>
    </row>
    <row r="1181" spans="1:5" x14ac:dyDescent="0.25">
      <c r="A1181" s="2" t="s">
        <v>1462</v>
      </c>
      <c r="B1181" s="2" t="s">
        <v>1463</v>
      </c>
      <c r="C1181" s="2">
        <v>3</v>
      </c>
      <c r="D1181" t="str">
        <f t="shared" si="18"/>
        <v>CA-2014-152296_OFF-BI-10004506</v>
      </c>
      <c r="E1181" t="str">
        <f>IF(COUNTIF(data1!$D:$D,D1181)=0,"Missing in Data1","Present")</f>
        <v>Present</v>
      </c>
    </row>
    <row r="1182" spans="1:5" x14ac:dyDescent="0.25">
      <c r="A1182" s="2" t="s">
        <v>1464</v>
      </c>
      <c r="B1182" s="2" t="s">
        <v>1465</v>
      </c>
      <c r="C1182" s="2">
        <v>1</v>
      </c>
      <c r="D1182" t="str">
        <f t="shared" si="18"/>
        <v>CA-2014-152345_OFF-ST-10003123</v>
      </c>
      <c r="E1182" t="str">
        <f>IF(COUNTIF(data1!$D:$D,D1182)=0,"Missing in Data1","Present")</f>
        <v>Present</v>
      </c>
    </row>
    <row r="1183" spans="1:5" x14ac:dyDescent="0.25">
      <c r="A1183" s="2" t="s">
        <v>1464</v>
      </c>
      <c r="B1183" s="2" t="s">
        <v>1466</v>
      </c>
      <c r="C1183" s="2">
        <v>3</v>
      </c>
      <c r="D1183" t="str">
        <f t="shared" si="18"/>
        <v>CA-2014-152345_TEC-PH-10004897</v>
      </c>
      <c r="E1183" t="str">
        <f>IF(COUNTIF(data1!$D:$D,D1183)=0,"Missing in Data1","Present")</f>
        <v>Present</v>
      </c>
    </row>
    <row r="1184" spans="1:5" x14ac:dyDescent="0.25">
      <c r="A1184" s="2" t="s">
        <v>1467</v>
      </c>
      <c r="B1184" s="2" t="s">
        <v>545</v>
      </c>
      <c r="C1184" s="2">
        <v>5</v>
      </c>
      <c r="D1184" t="str">
        <f t="shared" si="18"/>
        <v>CA-2014-152422_OFF-AP-10002892</v>
      </c>
      <c r="E1184" t="str">
        <f>IF(COUNTIF(data1!$D:$D,D1184)=0,"Missing in Data1","Present")</f>
        <v>Present</v>
      </c>
    </row>
    <row r="1185" spans="1:5" x14ac:dyDescent="0.25">
      <c r="A1185" s="2" t="s">
        <v>1468</v>
      </c>
      <c r="B1185" s="2" t="s">
        <v>921</v>
      </c>
      <c r="C1185" s="2">
        <v>7</v>
      </c>
      <c r="D1185" t="str">
        <f t="shared" si="18"/>
        <v>CA-2014-152443_OFF-BI-10001071</v>
      </c>
      <c r="E1185" t="str">
        <f>IF(COUNTIF(data1!$D:$D,D1185)=0,"Missing in Data1","Present")</f>
        <v>Present</v>
      </c>
    </row>
    <row r="1186" spans="1:5" x14ac:dyDescent="0.25">
      <c r="A1186" s="2" t="s">
        <v>1468</v>
      </c>
      <c r="B1186" s="2" t="s">
        <v>1469</v>
      </c>
      <c r="C1186" s="2">
        <v>3</v>
      </c>
      <c r="D1186" t="str">
        <f t="shared" si="18"/>
        <v>CA-2014-152443_OFF-PA-10003022</v>
      </c>
      <c r="E1186" t="str">
        <f>IF(COUNTIF(data1!$D:$D,D1186)=0,"Missing in Data1","Present")</f>
        <v>Present</v>
      </c>
    </row>
    <row r="1187" spans="1:5" x14ac:dyDescent="0.25">
      <c r="A1187" s="2" t="s">
        <v>1470</v>
      </c>
      <c r="B1187" s="2" t="s">
        <v>899</v>
      </c>
      <c r="C1187" s="2">
        <v>3</v>
      </c>
      <c r="D1187" t="str">
        <f t="shared" si="18"/>
        <v>CA-2014-152562_OFF-AR-10001919</v>
      </c>
      <c r="E1187" t="str">
        <f>IF(COUNTIF(data1!$D:$D,D1187)=0,"Missing in Data1","Present")</f>
        <v>Present</v>
      </c>
    </row>
    <row r="1188" spans="1:5" x14ac:dyDescent="0.25">
      <c r="A1188" s="2" t="s">
        <v>1470</v>
      </c>
      <c r="B1188" s="2" t="s">
        <v>1471</v>
      </c>
      <c r="C1188" s="2">
        <v>2</v>
      </c>
      <c r="D1188" t="str">
        <f t="shared" si="18"/>
        <v>CA-2014-152562_OFF-ST-10000464</v>
      </c>
      <c r="E1188" t="str">
        <f>IF(COUNTIF(data1!$D:$D,D1188)=0,"Missing in Data1","Present")</f>
        <v>Present</v>
      </c>
    </row>
    <row r="1189" spans="1:5" x14ac:dyDescent="0.25">
      <c r="A1189" s="2" t="s">
        <v>1472</v>
      </c>
      <c r="B1189" s="2" t="s">
        <v>3053</v>
      </c>
      <c r="C1189" s="2">
        <v>2</v>
      </c>
      <c r="D1189" t="str">
        <f t="shared" si="18"/>
        <v>CA-2014-152618_OFF-PA-10001215</v>
      </c>
      <c r="E1189" t="str">
        <f>IF(COUNTIF(data1!$D:$D,D1189)=0,"Missing in Data1","Present")</f>
        <v>Missing in Data1</v>
      </c>
    </row>
    <row r="1190" spans="1:5" x14ac:dyDescent="0.25">
      <c r="A1190" s="2" t="s">
        <v>1472</v>
      </c>
      <c r="B1190" s="2" t="s">
        <v>1322</v>
      </c>
      <c r="C1190" s="2">
        <v>2</v>
      </c>
      <c r="D1190" t="str">
        <f t="shared" si="18"/>
        <v>CA-2014-152618_TEC-MA-10003626</v>
      </c>
      <c r="E1190" t="str">
        <f>IF(COUNTIF(data1!$D:$D,D1190)=0,"Missing in Data1","Present")</f>
        <v>Present</v>
      </c>
    </row>
    <row r="1191" spans="1:5" x14ac:dyDescent="0.25">
      <c r="A1191" s="2" t="s">
        <v>1473</v>
      </c>
      <c r="B1191" s="2" t="s">
        <v>79</v>
      </c>
      <c r="C1191" s="2">
        <v>3</v>
      </c>
      <c r="D1191" t="str">
        <f t="shared" si="18"/>
        <v>CA-2014-152849_OFF-AR-10002833</v>
      </c>
      <c r="E1191" t="str">
        <f>IF(COUNTIF(data1!$D:$D,D1191)=0,"Missing in Data1","Present")</f>
        <v>Present</v>
      </c>
    </row>
    <row r="1192" spans="1:5" x14ac:dyDescent="0.25">
      <c r="A1192" s="2" t="s">
        <v>6758</v>
      </c>
      <c r="B1192" s="2" t="s">
        <v>1423</v>
      </c>
      <c r="C1192" s="2">
        <v>2</v>
      </c>
      <c r="D1192" t="str">
        <f t="shared" si="18"/>
        <v>CA-2014-152905_OFF-ST-10000321</v>
      </c>
      <c r="E1192" t="str">
        <f>IF(COUNTIF(data1!$D:$D,D1192)=0,"Missing in Data1","Present")</f>
        <v>Missing in Data1</v>
      </c>
    </row>
    <row r="1193" spans="1:5" x14ac:dyDescent="0.25">
      <c r="A1193" s="2" t="s">
        <v>1474</v>
      </c>
      <c r="B1193" s="2" t="s">
        <v>1475</v>
      </c>
      <c r="C1193" s="2">
        <v>4</v>
      </c>
      <c r="D1193" t="str">
        <f t="shared" si="18"/>
        <v>CA-2014-153087_OFF-PA-10001243</v>
      </c>
      <c r="E1193" t="str">
        <f>IF(COUNTIF(data1!$D:$D,D1193)=0,"Missing in Data1","Present")</f>
        <v>Present</v>
      </c>
    </row>
    <row r="1194" spans="1:5" x14ac:dyDescent="0.25">
      <c r="A1194" s="2" t="s">
        <v>1474</v>
      </c>
      <c r="B1194" s="2" t="s">
        <v>1476</v>
      </c>
      <c r="C1194" s="2">
        <v>5</v>
      </c>
      <c r="D1194" t="str">
        <f t="shared" si="18"/>
        <v>CA-2014-153087_TEC-AC-10003198</v>
      </c>
      <c r="E1194" t="str">
        <f>IF(COUNTIF(data1!$D:$D,D1194)=0,"Missing in Data1","Present")</f>
        <v>Present</v>
      </c>
    </row>
    <row r="1195" spans="1:5" x14ac:dyDescent="0.25">
      <c r="A1195" s="2" t="s">
        <v>1477</v>
      </c>
      <c r="B1195" s="2" t="s">
        <v>1478</v>
      </c>
      <c r="C1195" s="2">
        <v>5</v>
      </c>
      <c r="D1195" t="str">
        <f t="shared" si="18"/>
        <v>CA-2014-153150_OFF-BI-10003355</v>
      </c>
      <c r="E1195" t="str">
        <f>IF(COUNTIF(data1!$D:$D,D1195)=0,"Missing in Data1","Present")</f>
        <v>Present</v>
      </c>
    </row>
    <row r="1196" spans="1:5" x14ac:dyDescent="0.25">
      <c r="A1196" s="2" t="s">
        <v>1479</v>
      </c>
      <c r="B1196" s="2" t="s">
        <v>1345</v>
      </c>
      <c r="C1196" s="2">
        <v>2</v>
      </c>
      <c r="D1196" t="str">
        <f t="shared" si="18"/>
        <v>CA-2014-153479_OFF-BI-10002867</v>
      </c>
      <c r="E1196" t="str">
        <f>IF(COUNTIF(data1!$D:$D,D1196)=0,"Missing in Data1","Present")</f>
        <v>Present</v>
      </c>
    </row>
    <row r="1197" spans="1:5" x14ac:dyDescent="0.25">
      <c r="A1197" s="2" t="s">
        <v>1479</v>
      </c>
      <c r="B1197" s="2" t="s">
        <v>1480</v>
      </c>
      <c r="C1197" s="2">
        <v>5</v>
      </c>
      <c r="D1197" t="str">
        <f t="shared" si="18"/>
        <v>CA-2014-153479_OFF-LA-10004689</v>
      </c>
      <c r="E1197" t="str">
        <f>IF(COUNTIF(data1!$D:$D,D1197)=0,"Missing in Data1","Present")</f>
        <v>Present</v>
      </c>
    </row>
    <row r="1198" spans="1:5" x14ac:dyDescent="0.25">
      <c r="A1198" s="2" t="s">
        <v>1481</v>
      </c>
      <c r="B1198" s="2" t="s">
        <v>17</v>
      </c>
      <c r="C1198" s="2">
        <v>4</v>
      </c>
      <c r="D1198" t="str">
        <f t="shared" si="18"/>
        <v>CA-2014-153619_OFF-AR-10001868</v>
      </c>
      <c r="E1198" t="str">
        <f>IF(COUNTIF(data1!$D:$D,D1198)=0,"Missing in Data1","Present")</f>
        <v>Present</v>
      </c>
    </row>
    <row r="1199" spans="1:5" x14ac:dyDescent="0.25">
      <c r="A1199" s="2" t="s">
        <v>1482</v>
      </c>
      <c r="B1199" s="2" t="s">
        <v>429</v>
      </c>
      <c r="C1199" s="2">
        <v>3</v>
      </c>
      <c r="D1199" t="str">
        <f t="shared" si="18"/>
        <v>CA-2014-153808_OFF-AR-10001725</v>
      </c>
      <c r="E1199" t="str">
        <f>IF(COUNTIF(data1!$D:$D,D1199)=0,"Missing in Data1","Present")</f>
        <v>Present</v>
      </c>
    </row>
    <row r="1200" spans="1:5" x14ac:dyDescent="0.25">
      <c r="A1200" s="2" t="s">
        <v>1482</v>
      </c>
      <c r="B1200" s="2" t="s">
        <v>1483</v>
      </c>
      <c r="C1200" s="2">
        <v>2</v>
      </c>
      <c r="D1200" t="str">
        <f t="shared" si="18"/>
        <v>CA-2014-153808_OFF-BI-10002794</v>
      </c>
      <c r="E1200" t="str">
        <f>IF(COUNTIF(data1!$D:$D,D1200)=0,"Missing in Data1","Present")</f>
        <v>Present</v>
      </c>
    </row>
    <row r="1201" spans="1:5" x14ac:dyDescent="0.25">
      <c r="A1201" s="2" t="s">
        <v>1482</v>
      </c>
      <c r="B1201" s="2" t="s">
        <v>457</v>
      </c>
      <c r="C1201" s="2">
        <v>3</v>
      </c>
      <c r="D1201" t="str">
        <f t="shared" si="18"/>
        <v>CA-2014-153808_TEC-AC-10004171</v>
      </c>
      <c r="E1201" t="str">
        <f>IF(COUNTIF(data1!$D:$D,D1201)=0,"Missing in Data1","Present")</f>
        <v>Present</v>
      </c>
    </row>
    <row r="1202" spans="1:5" x14ac:dyDescent="0.25">
      <c r="A1202" s="2" t="s">
        <v>1484</v>
      </c>
      <c r="B1202" s="2" t="s">
        <v>1485</v>
      </c>
      <c r="C1202" s="2">
        <v>7</v>
      </c>
      <c r="D1202" t="str">
        <f t="shared" si="18"/>
        <v>CA-2014-153850_FUR-FU-10002960</v>
      </c>
      <c r="E1202" t="str">
        <f>IF(COUNTIF(data1!$D:$D,D1202)=0,"Missing in Data1","Present")</f>
        <v>Present</v>
      </c>
    </row>
    <row r="1203" spans="1:5" x14ac:dyDescent="0.25">
      <c r="A1203" s="2" t="s">
        <v>1484</v>
      </c>
      <c r="B1203" s="2" t="s">
        <v>1486</v>
      </c>
      <c r="C1203" s="2">
        <v>4</v>
      </c>
      <c r="D1203" t="str">
        <f t="shared" si="18"/>
        <v>CA-2014-153850_TEC-PH-10002584</v>
      </c>
      <c r="E1203" t="str">
        <f>IF(COUNTIF(data1!$D:$D,D1203)=0,"Missing in Data1","Present")</f>
        <v>Present</v>
      </c>
    </row>
    <row r="1204" spans="1:5" x14ac:dyDescent="0.25">
      <c r="A1204" s="2" t="s">
        <v>1487</v>
      </c>
      <c r="B1204" s="2" t="s">
        <v>221</v>
      </c>
      <c r="C1204" s="2">
        <v>9</v>
      </c>
      <c r="D1204" t="str">
        <f t="shared" si="18"/>
        <v>CA-2014-153913_FUR-CH-10000988</v>
      </c>
      <c r="E1204" t="str">
        <f>IF(COUNTIF(data1!$D:$D,D1204)=0,"Missing in Data1","Present")</f>
        <v>Present</v>
      </c>
    </row>
    <row r="1205" spans="1:5" x14ac:dyDescent="0.25">
      <c r="A1205" s="2" t="s">
        <v>1487</v>
      </c>
      <c r="B1205" s="2" t="s">
        <v>1488</v>
      </c>
      <c r="C1205" s="2">
        <v>2</v>
      </c>
      <c r="D1205" t="str">
        <f t="shared" si="18"/>
        <v>CA-2014-153913_OFF-FA-10000490</v>
      </c>
      <c r="E1205" t="str">
        <f>IF(COUNTIF(data1!$D:$D,D1205)=0,"Missing in Data1","Present")</f>
        <v>Present</v>
      </c>
    </row>
    <row r="1206" spans="1:5" x14ac:dyDescent="0.25">
      <c r="A1206" s="2" t="s">
        <v>1489</v>
      </c>
      <c r="B1206" s="2" t="s">
        <v>1490</v>
      </c>
      <c r="C1206" s="2">
        <v>3</v>
      </c>
      <c r="D1206" t="str">
        <f t="shared" si="18"/>
        <v>CA-2014-153927_OFF-BI-10000138</v>
      </c>
      <c r="E1206" t="str">
        <f>IF(COUNTIF(data1!$D:$D,D1206)=0,"Missing in Data1","Present")</f>
        <v>Present</v>
      </c>
    </row>
    <row r="1207" spans="1:5" x14ac:dyDescent="0.25">
      <c r="A1207" s="2" t="s">
        <v>1489</v>
      </c>
      <c r="B1207" s="2" t="s">
        <v>536</v>
      </c>
      <c r="C1207" s="2">
        <v>13</v>
      </c>
      <c r="D1207" t="str">
        <f t="shared" si="18"/>
        <v>CA-2014-153927_TEC-AC-10000023</v>
      </c>
      <c r="E1207" t="str">
        <f>IF(COUNTIF(data1!$D:$D,D1207)=0,"Missing in Data1","Present")</f>
        <v>Present</v>
      </c>
    </row>
    <row r="1208" spans="1:5" x14ac:dyDescent="0.25">
      <c r="A1208" s="2" t="s">
        <v>1491</v>
      </c>
      <c r="B1208" s="2" t="s">
        <v>1492</v>
      </c>
      <c r="C1208" s="2">
        <v>3</v>
      </c>
      <c r="D1208" t="str">
        <f t="shared" si="18"/>
        <v>CA-2014-153969_OFF-AR-10001615</v>
      </c>
      <c r="E1208" t="str">
        <f>IF(COUNTIF(data1!$D:$D,D1208)=0,"Missing in Data1","Present")</f>
        <v>Present</v>
      </c>
    </row>
    <row r="1209" spans="1:5" x14ac:dyDescent="0.25">
      <c r="A1209" s="2" t="s">
        <v>1491</v>
      </c>
      <c r="B1209" s="2" t="s">
        <v>1493</v>
      </c>
      <c r="C1209" s="2">
        <v>2</v>
      </c>
      <c r="D1209" t="str">
        <f t="shared" si="18"/>
        <v>CA-2014-153969_OFF-EN-10001539</v>
      </c>
      <c r="E1209" t="str">
        <f>IF(COUNTIF(data1!$D:$D,D1209)=0,"Missing in Data1","Present")</f>
        <v>Present</v>
      </c>
    </row>
    <row r="1210" spans="1:5" x14ac:dyDescent="0.25">
      <c r="A1210" s="2" t="s">
        <v>1491</v>
      </c>
      <c r="B1210" s="2" t="s">
        <v>1494</v>
      </c>
      <c r="C1210" s="2">
        <v>5</v>
      </c>
      <c r="D1210" t="str">
        <f t="shared" si="18"/>
        <v>CA-2014-153969_OFF-EN-10004483</v>
      </c>
      <c r="E1210" t="str">
        <f>IF(COUNTIF(data1!$D:$D,D1210)=0,"Missing in Data1","Present")</f>
        <v>Present</v>
      </c>
    </row>
    <row r="1211" spans="1:5" x14ac:dyDescent="0.25">
      <c r="A1211" s="2" t="s">
        <v>1491</v>
      </c>
      <c r="B1211" s="2" t="s">
        <v>408</v>
      </c>
      <c r="C1211" s="2">
        <v>9</v>
      </c>
      <c r="D1211" t="str">
        <f t="shared" si="18"/>
        <v>CA-2014-153969_OFF-PA-10000327</v>
      </c>
      <c r="E1211" t="str">
        <f>IF(COUNTIF(data1!$D:$D,D1211)=0,"Missing in Data1","Present")</f>
        <v>Present</v>
      </c>
    </row>
    <row r="1212" spans="1:5" x14ac:dyDescent="0.25">
      <c r="A1212" s="2" t="s">
        <v>1491</v>
      </c>
      <c r="B1212" s="2" t="s">
        <v>1495</v>
      </c>
      <c r="C1212" s="2">
        <v>3</v>
      </c>
      <c r="D1212" t="str">
        <f t="shared" si="18"/>
        <v>CA-2014-153969_OFF-PA-10002246</v>
      </c>
      <c r="E1212" t="str">
        <f>IF(COUNTIF(data1!$D:$D,D1212)=0,"Missing in Data1","Present")</f>
        <v>Present</v>
      </c>
    </row>
    <row r="1213" spans="1:5" x14ac:dyDescent="0.25">
      <c r="A1213" s="2" t="s">
        <v>1491</v>
      </c>
      <c r="B1213" s="2" t="s">
        <v>923</v>
      </c>
      <c r="C1213" s="2">
        <v>2</v>
      </c>
      <c r="D1213" t="str">
        <f t="shared" si="18"/>
        <v>CA-2014-153969_TEC-PH-10001299</v>
      </c>
      <c r="E1213" t="str">
        <f>IF(COUNTIF(data1!$D:$D,D1213)=0,"Missing in Data1","Present")</f>
        <v>Missing in Data1</v>
      </c>
    </row>
    <row r="1214" spans="1:5" x14ac:dyDescent="0.25">
      <c r="A1214" s="2" t="s">
        <v>1496</v>
      </c>
      <c r="B1214" s="2" t="s">
        <v>1497</v>
      </c>
      <c r="C1214" s="2">
        <v>3</v>
      </c>
      <c r="D1214" t="str">
        <f t="shared" si="18"/>
        <v>CA-2014-153976_FUR-CH-10002880</v>
      </c>
      <c r="E1214" t="str">
        <f>IF(COUNTIF(data1!$D:$D,D1214)=0,"Missing in Data1","Present")</f>
        <v>Present</v>
      </c>
    </row>
    <row r="1215" spans="1:5" x14ac:dyDescent="0.25">
      <c r="A1215" s="2" t="s">
        <v>1498</v>
      </c>
      <c r="B1215" s="2" t="s">
        <v>1499</v>
      </c>
      <c r="C1215" s="2">
        <v>5</v>
      </c>
      <c r="D1215" t="str">
        <f t="shared" si="18"/>
        <v>CA-2014-153983_OFF-FA-10003495</v>
      </c>
      <c r="E1215" t="str">
        <f>IF(COUNTIF(data1!$D:$D,D1215)=0,"Missing in Data1","Present")</f>
        <v>Present</v>
      </c>
    </row>
    <row r="1216" spans="1:5" x14ac:dyDescent="0.25">
      <c r="A1216" s="2" t="s">
        <v>1498</v>
      </c>
      <c r="B1216" s="2" t="s">
        <v>1500</v>
      </c>
      <c r="C1216" s="2">
        <v>2</v>
      </c>
      <c r="D1216" t="str">
        <f t="shared" si="18"/>
        <v>CA-2014-153983_TEC-PH-10004586</v>
      </c>
      <c r="E1216" t="str">
        <f>IF(COUNTIF(data1!$D:$D,D1216)=0,"Missing in Data1","Present")</f>
        <v>Present</v>
      </c>
    </row>
    <row r="1217" spans="1:5" x14ac:dyDescent="0.25">
      <c r="A1217" s="2" t="s">
        <v>1501</v>
      </c>
      <c r="B1217" s="2" t="s">
        <v>1502</v>
      </c>
      <c r="C1217" s="2">
        <v>8</v>
      </c>
      <c r="D1217" t="str">
        <f t="shared" si="18"/>
        <v>CA-2014-154095_FUR-CH-10004754</v>
      </c>
      <c r="E1217" t="str">
        <f>IF(COUNTIF(data1!$D:$D,D1217)=0,"Missing in Data1","Present")</f>
        <v>Present</v>
      </c>
    </row>
    <row r="1218" spans="1:5" x14ac:dyDescent="0.25">
      <c r="A1218" s="2" t="s">
        <v>1501</v>
      </c>
      <c r="B1218" s="2" t="s">
        <v>1503</v>
      </c>
      <c r="C1218" s="2">
        <v>3</v>
      </c>
      <c r="D1218" t="str">
        <f t="shared" si="18"/>
        <v>CA-2014-154095_FUR-FU-10003849</v>
      </c>
      <c r="E1218" t="str">
        <f>IF(COUNTIF(data1!$D:$D,D1218)=0,"Missing in Data1","Present")</f>
        <v>Present</v>
      </c>
    </row>
    <row r="1219" spans="1:5" x14ac:dyDescent="0.25">
      <c r="A1219" s="2" t="s">
        <v>1501</v>
      </c>
      <c r="B1219" s="2" t="s">
        <v>1504</v>
      </c>
      <c r="C1219" s="2">
        <v>6</v>
      </c>
      <c r="D1219" t="str">
        <f t="shared" ref="D1219:D1282" si="19">A1219&amp;"_"&amp;B1219</f>
        <v>CA-2014-154095_OFF-LA-10000634</v>
      </c>
      <c r="E1219" t="str">
        <f>IF(COUNTIF(data1!$D:$D,D1219)=0,"Missing in Data1","Present")</f>
        <v>Present</v>
      </c>
    </row>
    <row r="1220" spans="1:5" x14ac:dyDescent="0.25">
      <c r="A1220" s="2" t="s">
        <v>1501</v>
      </c>
      <c r="B1220" s="2" t="s">
        <v>1262</v>
      </c>
      <c r="C1220" s="2">
        <v>3</v>
      </c>
      <c r="D1220" t="str">
        <f t="shared" si="19"/>
        <v>CA-2014-154095_OFF-PA-10002923</v>
      </c>
      <c r="E1220" t="str">
        <f>IF(COUNTIF(data1!$D:$D,D1220)=0,"Missing in Data1","Present")</f>
        <v>Present</v>
      </c>
    </row>
    <row r="1221" spans="1:5" x14ac:dyDescent="0.25">
      <c r="A1221" s="2" t="s">
        <v>1505</v>
      </c>
      <c r="B1221" s="2" t="s">
        <v>472</v>
      </c>
      <c r="C1221" s="2">
        <v>1</v>
      </c>
      <c r="D1221" t="str">
        <f t="shared" si="19"/>
        <v>CA-2014-154158_FUR-CH-10004698</v>
      </c>
      <c r="E1221" t="str">
        <f>IF(COUNTIF(data1!$D:$D,D1221)=0,"Missing in Data1","Present")</f>
        <v>Present</v>
      </c>
    </row>
    <row r="1222" spans="1:5" x14ac:dyDescent="0.25">
      <c r="A1222" s="2" t="s">
        <v>1505</v>
      </c>
      <c r="B1222" s="2" t="s">
        <v>17</v>
      </c>
      <c r="C1222" s="2">
        <v>1</v>
      </c>
      <c r="D1222" t="str">
        <f t="shared" si="19"/>
        <v>CA-2014-154158_OFF-AR-10001868</v>
      </c>
      <c r="E1222" t="str">
        <f>IF(COUNTIF(data1!$D:$D,D1222)=0,"Missing in Data1","Present")</f>
        <v>Present</v>
      </c>
    </row>
    <row r="1223" spans="1:5" x14ac:dyDescent="0.25">
      <c r="A1223" s="2" t="s">
        <v>1505</v>
      </c>
      <c r="B1223" s="2" t="s">
        <v>1506</v>
      </c>
      <c r="C1223" s="2">
        <v>3</v>
      </c>
      <c r="D1223" t="str">
        <f t="shared" si="19"/>
        <v>CA-2014-154158_OFF-PA-10001295</v>
      </c>
      <c r="E1223" t="str">
        <f>IF(COUNTIF(data1!$D:$D,D1223)=0,"Missing in Data1","Present")</f>
        <v>Present</v>
      </c>
    </row>
    <row r="1224" spans="1:5" x14ac:dyDescent="0.25">
      <c r="A1224" s="2" t="s">
        <v>1505</v>
      </c>
      <c r="B1224" s="2" t="s">
        <v>835</v>
      </c>
      <c r="C1224" s="2">
        <v>2</v>
      </c>
      <c r="D1224" t="str">
        <f t="shared" si="19"/>
        <v>CA-2014-154158_OFF-ST-10000078</v>
      </c>
      <c r="E1224" t="str">
        <f>IF(COUNTIF(data1!$D:$D,D1224)=0,"Missing in Data1","Present")</f>
        <v>Present</v>
      </c>
    </row>
    <row r="1225" spans="1:5" x14ac:dyDescent="0.25">
      <c r="A1225" s="2" t="s">
        <v>1505</v>
      </c>
      <c r="B1225" s="2" t="s">
        <v>45</v>
      </c>
      <c r="C1225" s="2">
        <v>5</v>
      </c>
      <c r="D1225" t="str">
        <f t="shared" si="19"/>
        <v>CA-2014-154158_OFF-ST-10004950</v>
      </c>
      <c r="E1225" t="str">
        <f>IF(COUNTIF(data1!$D:$D,D1225)=0,"Missing in Data1","Present")</f>
        <v>Present</v>
      </c>
    </row>
    <row r="1226" spans="1:5" x14ac:dyDescent="0.25">
      <c r="A1226" s="2" t="s">
        <v>1507</v>
      </c>
      <c r="B1226" s="2" t="s">
        <v>516</v>
      </c>
      <c r="C1226" s="2">
        <v>14</v>
      </c>
      <c r="D1226" t="str">
        <f t="shared" si="19"/>
        <v>CA-2014-154165_OFF-AR-10003631</v>
      </c>
      <c r="E1226" t="str">
        <f>IF(COUNTIF(data1!$D:$D,D1226)=0,"Missing in Data1","Present")</f>
        <v>Present</v>
      </c>
    </row>
    <row r="1227" spans="1:5" x14ac:dyDescent="0.25">
      <c r="A1227" s="2" t="s">
        <v>1508</v>
      </c>
      <c r="B1227" s="2" t="s">
        <v>911</v>
      </c>
      <c r="C1227" s="2">
        <v>1</v>
      </c>
      <c r="D1227" t="str">
        <f t="shared" si="19"/>
        <v>CA-2014-154186_OFF-SU-10001574</v>
      </c>
      <c r="E1227" t="str">
        <f>IF(COUNTIF(data1!$D:$D,D1227)=0,"Missing in Data1","Present")</f>
        <v>Present</v>
      </c>
    </row>
    <row r="1228" spans="1:5" x14ac:dyDescent="0.25">
      <c r="A1228" s="2" t="s">
        <v>1509</v>
      </c>
      <c r="B1228" s="2" t="s">
        <v>1510</v>
      </c>
      <c r="C1228" s="2">
        <v>3</v>
      </c>
      <c r="D1228" t="str">
        <f t="shared" si="19"/>
        <v>CA-2014-154592_OFF-PA-10000062</v>
      </c>
      <c r="E1228" t="str">
        <f>IF(COUNTIF(data1!$D:$D,D1228)=0,"Missing in Data1","Present")</f>
        <v>Present</v>
      </c>
    </row>
    <row r="1229" spans="1:5" x14ac:dyDescent="0.25">
      <c r="A1229" s="2" t="s">
        <v>1511</v>
      </c>
      <c r="B1229" s="2" t="s">
        <v>69</v>
      </c>
      <c r="C1229" s="2">
        <v>3</v>
      </c>
      <c r="D1229" t="str">
        <f t="shared" si="19"/>
        <v>CA-2014-154599_FUR-BO-10001337</v>
      </c>
      <c r="E1229" t="str">
        <f>IF(COUNTIF(data1!$D:$D,D1229)=0,"Missing in Data1","Present")</f>
        <v>Present</v>
      </c>
    </row>
    <row r="1230" spans="1:5" x14ac:dyDescent="0.25">
      <c r="A1230" s="2" t="s">
        <v>1511</v>
      </c>
      <c r="B1230" s="2" t="s">
        <v>735</v>
      </c>
      <c r="C1230" s="2">
        <v>7</v>
      </c>
      <c r="D1230" t="str">
        <f t="shared" si="19"/>
        <v>CA-2014-154599_OFF-BI-10002764</v>
      </c>
      <c r="E1230" t="str">
        <f>IF(COUNTIF(data1!$D:$D,D1230)=0,"Missing in Data1","Present")</f>
        <v>Present</v>
      </c>
    </row>
    <row r="1231" spans="1:5" x14ac:dyDescent="0.25">
      <c r="A1231" s="2" t="s">
        <v>1511</v>
      </c>
      <c r="B1231" s="2" t="s">
        <v>199</v>
      </c>
      <c r="C1231" s="2">
        <v>4</v>
      </c>
      <c r="D1231" t="str">
        <f t="shared" si="19"/>
        <v>CA-2014-154599_TEC-PH-10000576</v>
      </c>
      <c r="E1231" t="str">
        <f>IF(COUNTIF(data1!$D:$D,D1231)=0,"Missing in Data1","Present")</f>
        <v>Present</v>
      </c>
    </row>
    <row r="1232" spans="1:5" x14ac:dyDescent="0.25">
      <c r="A1232" s="2" t="s">
        <v>1511</v>
      </c>
      <c r="B1232" s="2" t="s">
        <v>312</v>
      </c>
      <c r="C1232" s="2">
        <v>14</v>
      </c>
      <c r="D1232" t="str">
        <f t="shared" si="19"/>
        <v>CA-2014-154599_TEC-PH-10001557</v>
      </c>
      <c r="E1232" t="str">
        <f>IF(COUNTIF(data1!$D:$D,D1232)=0,"Missing in Data1","Present")</f>
        <v>Present</v>
      </c>
    </row>
    <row r="1233" spans="1:5" x14ac:dyDescent="0.25">
      <c r="A1233" s="2" t="s">
        <v>1512</v>
      </c>
      <c r="B1233" s="2" t="s">
        <v>844</v>
      </c>
      <c r="C1233" s="2">
        <v>6</v>
      </c>
      <c r="D1233" t="str">
        <f t="shared" si="19"/>
        <v>CA-2014-154627_TEC-PH-10001363</v>
      </c>
      <c r="E1233" t="str">
        <f>IF(COUNTIF(data1!$D:$D,D1233)=0,"Missing in Data1","Present")</f>
        <v>Present</v>
      </c>
    </row>
    <row r="1234" spans="1:5" x14ac:dyDescent="0.25">
      <c r="A1234" s="2" t="s">
        <v>1513</v>
      </c>
      <c r="B1234" s="2" t="s">
        <v>1514</v>
      </c>
      <c r="C1234" s="2">
        <v>1</v>
      </c>
      <c r="D1234" t="str">
        <f t="shared" si="19"/>
        <v>CA-2014-154641_OFF-ST-10004459</v>
      </c>
      <c r="E1234" t="str">
        <f>IF(COUNTIF(data1!$D:$D,D1234)=0,"Missing in Data1","Present")</f>
        <v>Present</v>
      </c>
    </row>
    <row r="1235" spans="1:5" x14ac:dyDescent="0.25">
      <c r="A1235" s="2" t="s">
        <v>1515</v>
      </c>
      <c r="B1235" s="2" t="s">
        <v>51</v>
      </c>
      <c r="C1235" s="2">
        <v>11</v>
      </c>
      <c r="D1235" t="str">
        <f t="shared" si="19"/>
        <v>CA-2014-154669_OFF-ST-10000532</v>
      </c>
      <c r="E1235" t="str">
        <f>IF(COUNTIF(data1!$D:$D,D1235)=0,"Missing in Data1","Present")</f>
        <v>Present</v>
      </c>
    </row>
    <row r="1236" spans="1:5" x14ac:dyDescent="0.25">
      <c r="A1236" s="2" t="s">
        <v>1516</v>
      </c>
      <c r="B1236" s="2" t="s">
        <v>1517</v>
      </c>
      <c r="C1236" s="2">
        <v>2</v>
      </c>
      <c r="D1236" t="str">
        <f t="shared" si="19"/>
        <v>CA-2014-154781_OFF-PA-10001609</v>
      </c>
      <c r="E1236" t="str">
        <f>IF(COUNTIF(data1!$D:$D,D1236)=0,"Missing in Data1","Present")</f>
        <v>Present</v>
      </c>
    </row>
    <row r="1237" spans="1:5" x14ac:dyDescent="0.25">
      <c r="A1237" s="2" t="s">
        <v>1516</v>
      </c>
      <c r="B1237" s="2" t="s">
        <v>19</v>
      </c>
      <c r="C1237" s="2">
        <v>1</v>
      </c>
      <c r="D1237" t="str">
        <f t="shared" si="19"/>
        <v>CA-2014-154781_TEC-AC-10000474</v>
      </c>
      <c r="E1237" t="str">
        <f>IF(COUNTIF(data1!$D:$D,D1237)=0,"Missing in Data1","Present")</f>
        <v>Present</v>
      </c>
    </row>
    <row r="1238" spans="1:5" x14ac:dyDescent="0.25">
      <c r="A1238" s="2" t="s">
        <v>1518</v>
      </c>
      <c r="B1238" s="2" t="s">
        <v>539</v>
      </c>
      <c r="C1238" s="2">
        <v>2</v>
      </c>
      <c r="D1238" t="str">
        <f t="shared" si="19"/>
        <v>CA-2014-154837_OFF-BI-10001575</v>
      </c>
      <c r="E1238" t="str">
        <f>IF(COUNTIF(data1!$D:$D,D1238)=0,"Missing in Data1","Present")</f>
        <v>Present</v>
      </c>
    </row>
    <row r="1239" spans="1:5" x14ac:dyDescent="0.25">
      <c r="A1239" s="2" t="s">
        <v>1519</v>
      </c>
      <c r="B1239" s="2" t="s">
        <v>1520</v>
      </c>
      <c r="C1239" s="2">
        <v>3</v>
      </c>
      <c r="D1239" t="str">
        <f t="shared" si="19"/>
        <v>CA-2014-154893_FUR-CH-10000595</v>
      </c>
      <c r="E1239" t="str">
        <f>IF(COUNTIF(data1!$D:$D,D1239)=0,"Missing in Data1","Present")</f>
        <v>Present</v>
      </c>
    </row>
    <row r="1240" spans="1:5" x14ac:dyDescent="0.25">
      <c r="A1240" s="2" t="s">
        <v>1519</v>
      </c>
      <c r="B1240" s="2" t="s">
        <v>1083</v>
      </c>
      <c r="C1240" s="2">
        <v>6</v>
      </c>
      <c r="D1240" t="str">
        <f t="shared" si="19"/>
        <v>CA-2014-154893_FUR-CH-10004287</v>
      </c>
      <c r="E1240" t="str">
        <f>IF(COUNTIF(data1!$D:$D,D1240)=0,"Missing in Data1","Present")</f>
        <v>Present</v>
      </c>
    </row>
    <row r="1241" spans="1:5" x14ac:dyDescent="0.25">
      <c r="A1241" s="2" t="s">
        <v>1521</v>
      </c>
      <c r="B1241" s="2" t="s">
        <v>297</v>
      </c>
      <c r="C1241" s="2">
        <v>5</v>
      </c>
      <c r="D1241" t="str">
        <f t="shared" si="19"/>
        <v>CA-2014-154963_FUR-CH-10000454</v>
      </c>
      <c r="E1241" t="str">
        <f>IF(COUNTIF(data1!$D:$D,D1241)=0,"Missing in Data1","Present")</f>
        <v>Present</v>
      </c>
    </row>
    <row r="1242" spans="1:5" x14ac:dyDescent="0.25">
      <c r="A1242" s="2" t="s">
        <v>1521</v>
      </c>
      <c r="B1242" s="2" t="s">
        <v>472</v>
      </c>
      <c r="C1242" s="2">
        <v>3</v>
      </c>
      <c r="D1242" t="str">
        <f t="shared" si="19"/>
        <v>CA-2014-154963_FUR-CH-10004698</v>
      </c>
      <c r="E1242" t="str">
        <f>IF(COUNTIF(data1!$D:$D,D1242)=0,"Missing in Data1","Present")</f>
        <v>Present</v>
      </c>
    </row>
    <row r="1243" spans="1:5" x14ac:dyDescent="0.25">
      <c r="A1243" s="2" t="s">
        <v>1521</v>
      </c>
      <c r="B1243" s="2" t="s">
        <v>1522</v>
      </c>
      <c r="C1243" s="2">
        <v>3</v>
      </c>
      <c r="D1243" t="str">
        <f t="shared" si="19"/>
        <v>CA-2014-154963_TEC-PH-10004093</v>
      </c>
      <c r="E1243" t="str">
        <f>IF(COUNTIF(data1!$D:$D,D1243)=0,"Missing in Data1","Present")</f>
        <v>Present</v>
      </c>
    </row>
    <row r="1244" spans="1:5" x14ac:dyDescent="0.25">
      <c r="A1244" s="2" t="s">
        <v>1523</v>
      </c>
      <c r="B1244" s="2" t="s">
        <v>1246</v>
      </c>
      <c r="C1244" s="2">
        <v>6</v>
      </c>
      <c r="D1244" t="str">
        <f t="shared" si="19"/>
        <v>CA-2014-155208_OFF-AR-10003478</v>
      </c>
      <c r="E1244" t="str">
        <f>IF(COUNTIF(data1!$D:$D,D1244)=0,"Missing in Data1","Present")</f>
        <v>Present</v>
      </c>
    </row>
    <row r="1245" spans="1:5" x14ac:dyDescent="0.25">
      <c r="A1245" s="2" t="s">
        <v>1524</v>
      </c>
      <c r="B1245" s="2" t="s">
        <v>1525</v>
      </c>
      <c r="C1245" s="2">
        <v>1</v>
      </c>
      <c r="D1245" t="str">
        <f t="shared" si="19"/>
        <v>CA-2014-155264_OFF-BI-10003196</v>
      </c>
      <c r="E1245" t="str">
        <f>IF(COUNTIF(data1!$D:$D,D1245)=0,"Missing in Data1","Present")</f>
        <v>Present</v>
      </c>
    </row>
    <row r="1246" spans="1:5" x14ac:dyDescent="0.25">
      <c r="A1246" s="2" t="s">
        <v>1524</v>
      </c>
      <c r="B1246" s="2" t="s">
        <v>1526</v>
      </c>
      <c r="C1246" s="2">
        <v>6</v>
      </c>
      <c r="D1246" t="str">
        <f t="shared" si="19"/>
        <v>CA-2014-155264_OFF-BI-10003727</v>
      </c>
      <c r="E1246" t="str">
        <f>IF(COUNTIF(data1!$D:$D,D1246)=0,"Missing in Data1","Present")</f>
        <v>Present</v>
      </c>
    </row>
    <row r="1247" spans="1:5" x14ac:dyDescent="0.25">
      <c r="A1247" s="2" t="s">
        <v>1524</v>
      </c>
      <c r="B1247" s="2" t="s">
        <v>997</v>
      </c>
      <c r="C1247" s="2">
        <v>5</v>
      </c>
      <c r="D1247" t="str">
        <f t="shared" si="19"/>
        <v>CA-2014-155264_OFF-LA-10002787</v>
      </c>
      <c r="E1247" t="str">
        <f>IF(COUNTIF(data1!$D:$D,D1247)=0,"Missing in Data1","Present")</f>
        <v>Present</v>
      </c>
    </row>
    <row r="1248" spans="1:5" x14ac:dyDescent="0.25">
      <c r="A1248" s="2" t="s">
        <v>1524</v>
      </c>
      <c r="B1248" s="2" t="s">
        <v>1052</v>
      </c>
      <c r="C1248" s="2">
        <v>3</v>
      </c>
      <c r="D1248" t="str">
        <f t="shared" si="19"/>
        <v>CA-2014-155264_OFF-PA-10003228</v>
      </c>
      <c r="E1248" t="str">
        <f>IF(COUNTIF(data1!$D:$D,D1248)=0,"Missing in Data1","Present")</f>
        <v>Present</v>
      </c>
    </row>
    <row r="1249" spans="1:5" x14ac:dyDescent="0.25">
      <c r="A1249" s="2" t="s">
        <v>1524</v>
      </c>
      <c r="B1249" s="2" t="s">
        <v>1527</v>
      </c>
      <c r="C1249" s="2">
        <v>3</v>
      </c>
      <c r="D1249" t="str">
        <f t="shared" si="19"/>
        <v>CA-2014-155264_TEC-PH-10001305</v>
      </c>
      <c r="E1249" t="str">
        <f>IF(COUNTIF(data1!$D:$D,D1249)=0,"Missing in Data1","Present")</f>
        <v>Present</v>
      </c>
    </row>
    <row r="1250" spans="1:5" x14ac:dyDescent="0.25">
      <c r="A1250" s="2" t="s">
        <v>1528</v>
      </c>
      <c r="B1250" s="2" t="s">
        <v>1529</v>
      </c>
      <c r="C1250" s="2">
        <v>2</v>
      </c>
      <c r="D1250" t="str">
        <f t="shared" si="19"/>
        <v>CA-2014-155271_FUR-FU-10001473</v>
      </c>
      <c r="E1250" t="str">
        <f>IF(COUNTIF(data1!$D:$D,D1250)=0,"Missing in Data1","Present")</f>
        <v>Present</v>
      </c>
    </row>
    <row r="1251" spans="1:5" x14ac:dyDescent="0.25">
      <c r="A1251" s="2" t="s">
        <v>1530</v>
      </c>
      <c r="B1251" s="2" t="s">
        <v>884</v>
      </c>
      <c r="C1251" s="2">
        <v>2</v>
      </c>
      <c r="D1251" t="str">
        <f t="shared" si="19"/>
        <v>CA-2014-155390_OFF-PA-10003641</v>
      </c>
      <c r="E1251" t="str">
        <f>IF(COUNTIF(data1!$D:$D,D1251)=0,"Missing in Data1","Present")</f>
        <v>Present</v>
      </c>
    </row>
    <row r="1252" spans="1:5" x14ac:dyDescent="0.25">
      <c r="A1252" s="2" t="s">
        <v>1531</v>
      </c>
      <c r="B1252" s="2" t="s">
        <v>1341</v>
      </c>
      <c r="C1252" s="2">
        <v>3</v>
      </c>
      <c r="D1252" t="str">
        <f t="shared" si="19"/>
        <v>CA-2014-155593_OFF-SU-10002522</v>
      </c>
      <c r="E1252" t="str">
        <f>IF(COUNTIF(data1!$D:$D,D1252)=0,"Missing in Data1","Present")</f>
        <v>Present</v>
      </c>
    </row>
    <row r="1253" spans="1:5" x14ac:dyDescent="0.25">
      <c r="A1253" s="2" t="s">
        <v>1532</v>
      </c>
      <c r="B1253" s="2" t="s">
        <v>1533</v>
      </c>
      <c r="C1253" s="2">
        <v>4</v>
      </c>
      <c r="D1253" t="str">
        <f t="shared" si="19"/>
        <v>CA-2014-155796_FUR-BO-10002545</v>
      </c>
      <c r="E1253" t="str">
        <f>IF(COUNTIF(data1!$D:$D,D1253)=0,"Missing in Data1","Present")</f>
        <v>Present</v>
      </c>
    </row>
    <row r="1254" spans="1:5" x14ac:dyDescent="0.25">
      <c r="A1254" s="2" t="s">
        <v>1532</v>
      </c>
      <c r="B1254" s="2" t="s">
        <v>53</v>
      </c>
      <c r="C1254" s="2">
        <v>2</v>
      </c>
      <c r="D1254" t="str">
        <f t="shared" si="19"/>
        <v>CA-2014-155796_FUR-FU-10000409</v>
      </c>
      <c r="E1254" t="str">
        <f>IF(COUNTIF(data1!$D:$D,D1254)=0,"Missing in Data1","Present")</f>
        <v>Present</v>
      </c>
    </row>
    <row r="1255" spans="1:5" x14ac:dyDescent="0.25">
      <c r="A1255" s="2" t="s">
        <v>1534</v>
      </c>
      <c r="B1255" s="2" t="s">
        <v>1535</v>
      </c>
      <c r="C1255" s="2">
        <v>4</v>
      </c>
      <c r="D1255" t="str">
        <f t="shared" si="19"/>
        <v>CA-2014-155852_OFF-AR-10003560</v>
      </c>
      <c r="E1255" t="str">
        <f>IF(COUNTIF(data1!$D:$D,D1255)=0,"Missing in Data1","Present")</f>
        <v>Present</v>
      </c>
    </row>
    <row r="1256" spans="1:5" x14ac:dyDescent="0.25">
      <c r="A1256" s="2" t="s">
        <v>1538</v>
      </c>
      <c r="B1256" s="2" t="s">
        <v>1055</v>
      </c>
      <c r="C1256" s="2">
        <v>3</v>
      </c>
      <c r="D1256" t="str">
        <f t="shared" si="19"/>
        <v>CA-2014-156006_TEC-AC-10002550</v>
      </c>
      <c r="E1256" t="str">
        <f>IF(COUNTIF(data1!$D:$D,D1256)=0,"Missing in Data1","Present")</f>
        <v>Present</v>
      </c>
    </row>
    <row r="1257" spans="1:5" x14ac:dyDescent="0.25">
      <c r="A1257" s="2" t="s">
        <v>1539</v>
      </c>
      <c r="B1257" s="2" t="s">
        <v>1540</v>
      </c>
      <c r="C1257" s="2">
        <v>4</v>
      </c>
      <c r="D1257" t="str">
        <f t="shared" si="19"/>
        <v>CA-2014-156160_FUR-CH-10004983</v>
      </c>
      <c r="E1257" t="str">
        <f>IF(COUNTIF(data1!$D:$D,D1257)=0,"Missing in Data1","Present")</f>
        <v>Present</v>
      </c>
    </row>
    <row r="1258" spans="1:5" x14ac:dyDescent="0.25">
      <c r="A1258" s="2" t="s">
        <v>1539</v>
      </c>
      <c r="B1258" s="2" t="s">
        <v>1163</v>
      </c>
      <c r="C1258" s="2">
        <v>3</v>
      </c>
      <c r="D1258" t="str">
        <f t="shared" si="19"/>
        <v>CA-2014-156160_FUR-FU-10001876</v>
      </c>
      <c r="E1258" t="str">
        <f>IF(COUNTIF(data1!$D:$D,D1258)=0,"Missing in Data1","Present")</f>
        <v>Present</v>
      </c>
    </row>
    <row r="1259" spans="1:5" x14ac:dyDescent="0.25">
      <c r="A1259" s="2" t="s">
        <v>1539</v>
      </c>
      <c r="B1259" s="2" t="s">
        <v>1541</v>
      </c>
      <c r="C1259" s="2">
        <v>4</v>
      </c>
      <c r="D1259" t="str">
        <f t="shared" si="19"/>
        <v>CA-2014-156160_OFF-AR-10003876</v>
      </c>
      <c r="E1259" t="str">
        <f>IF(COUNTIF(data1!$D:$D,D1259)=0,"Missing in Data1","Present")</f>
        <v>Present</v>
      </c>
    </row>
    <row r="1260" spans="1:5" x14ac:dyDescent="0.25">
      <c r="A1260" s="2" t="s">
        <v>1539</v>
      </c>
      <c r="B1260" s="2" t="s">
        <v>1478</v>
      </c>
      <c r="C1260" s="2">
        <v>1</v>
      </c>
      <c r="D1260" t="str">
        <f t="shared" si="19"/>
        <v>CA-2014-156160_OFF-BI-10003355</v>
      </c>
      <c r="E1260" t="str">
        <f>IF(COUNTIF(data1!$D:$D,D1260)=0,"Missing in Data1","Present")</f>
        <v>Present</v>
      </c>
    </row>
    <row r="1261" spans="1:5" x14ac:dyDescent="0.25">
      <c r="A1261" s="2" t="s">
        <v>1542</v>
      </c>
      <c r="B1261" s="2" t="s">
        <v>1543</v>
      </c>
      <c r="C1261" s="2">
        <v>6</v>
      </c>
      <c r="D1261" t="str">
        <f t="shared" si="19"/>
        <v>CA-2014-156244_OFF-AP-10002403</v>
      </c>
      <c r="E1261" t="str">
        <f>IF(COUNTIF(data1!$D:$D,D1261)=0,"Missing in Data1","Present")</f>
        <v>Present</v>
      </c>
    </row>
    <row r="1262" spans="1:5" x14ac:dyDescent="0.25">
      <c r="A1262" s="2" t="s">
        <v>1542</v>
      </c>
      <c r="B1262" s="2" t="s">
        <v>1544</v>
      </c>
      <c r="C1262" s="2">
        <v>5</v>
      </c>
      <c r="D1262" t="str">
        <f t="shared" si="19"/>
        <v>CA-2014-156244_OFF-AR-10004344</v>
      </c>
      <c r="E1262" t="str">
        <f>IF(COUNTIF(data1!$D:$D,D1262)=0,"Missing in Data1","Present")</f>
        <v>Present</v>
      </c>
    </row>
    <row r="1263" spans="1:5" x14ac:dyDescent="0.25">
      <c r="A1263" s="2" t="s">
        <v>1542</v>
      </c>
      <c r="B1263" s="2" t="s">
        <v>172</v>
      </c>
      <c r="C1263" s="2">
        <v>1</v>
      </c>
      <c r="D1263" t="str">
        <f t="shared" si="19"/>
        <v>CA-2014-156244_OFF-LA-10000443</v>
      </c>
      <c r="E1263" t="str">
        <f>IF(COUNTIF(data1!$D:$D,D1263)=0,"Missing in Data1","Present")</f>
        <v>Present</v>
      </c>
    </row>
    <row r="1264" spans="1:5" x14ac:dyDescent="0.25">
      <c r="A1264" s="2" t="s">
        <v>1542</v>
      </c>
      <c r="B1264" s="2" t="s">
        <v>933</v>
      </c>
      <c r="C1264" s="2">
        <v>2</v>
      </c>
      <c r="D1264" t="str">
        <f t="shared" si="19"/>
        <v>CA-2014-156244_OFF-SU-10000432</v>
      </c>
      <c r="E1264" t="str">
        <f>IF(COUNTIF(data1!$D:$D,D1264)=0,"Missing in Data1","Present")</f>
        <v>Present</v>
      </c>
    </row>
    <row r="1265" spans="1:5" x14ac:dyDescent="0.25">
      <c r="A1265" s="2" t="s">
        <v>1542</v>
      </c>
      <c r="B1265" s="2" t="s">
        <v>1076</v>
      </c>
      <c r="C1265" s="2">
        <v>7</v>
      </c>
      <c r="D1265" t="str">
        <f t="shared" si="19"/>
        <v>CA-2014-156244_TEC-AC-10002473</v>
      </c>
      <c r="E1265" t="str">
        <f>IF(COUNTIF(data1!$D:$D,D1265)=0,"Missing in Data1","Present")</f>
        <v>Present</v>
      </c>
    </row>
    <row r="1266" spans="1:5" x14ac:dyDescent="0.25">
      <c r="A1266" s="2" t="s">
        <v>1546</v>
      </c>
      <c r="B1266" s="2" t="s">
        <v>1547</v>
      </c>
      <c r="C1266" s="2">
        <v>5</v>
      </c>
      <c r="D1266" t="str">
        <f t="shared" si="19"/>
        <v>CA-2014-156314_FUR-FU-10003096</v>
      </c>
      <c r="E1266" t="str">
        <f>IF(COUNTIF(data1!$D:$D,D1266)=0,"Missing in Data1","Present")</f>
        <v>Present</v>
      </c>
    </row>
    <row r="1267" spans="1:5" x14ac:dyDescent="0.25">
      <c r="A1267" s="2" t="s">
        <v>1548</v>
      </c>
      <c r="B1267" s="2" t="s">
        <v>1549</v>
      </c>
      <c r="C1267" s="2">
        <v>2</v>
      </c>
      <c r="D1267" t="str">
        <f t="shared" si="19"/>
        <v>CA-2014-156342_OFF-PA-10001725</v>
      </c>
      <c r="E1267" t="str">
        <f>IF(COUNTIF(data1!$D:$D,D1267)=0,"Missing in Data1","Present")</f>
        <v>Present</v>
      </c>
    </row>
    <row r="1268" spans="1:5" x14ac:dyDescent="0.25">
      <c r="A1268" s="2" t="s">
        <v>1550</v>
      </c>
      <c r="B1268" s="2" t="s">
        <v>1049</v>
      </c>
      <c r="C1268" s="2">
        <v>2</v>
      </c>
      <c r="D1268" t="str">
        <f t="shared" si="19"/>
        <v>CA-2014-156349_FUR-BO-10000362</v>
      </c>
      <c r="E1268" t="str">
        <f>IF(COUNTIF(data1!$D:$D,D1268)=0,"Missing in Data1","Present")</f>
        <v>Present</v>
      </c>
    </row>
    <row r="1269" spans="1:5" x14ac:dyDescent="0.25">
      <c r="A1269" s="2" t="s">
        <v>1550</v>
      </c>
      <c r="B1269" s="2" t="s">
        <v>1316</v>
      </c>
      <c r="C1269" s="2">
        <v>2</v>
      </c>
      <c r="D1269" t="str">
        <f t="shared" si="19"/>
        <v>CA-2014-156349_TEC-PH-10000441</v>
      </c>
      <c r="E1269" t="str">
        <f>IF(COUNTIF(data1!$D:$D,D1269)=0,"Missing in Data1","Present")</f>
        <v>Present</v>
      </c>
    </row>
    <row r="1270" spans="1:5" x14ac:dyDescent="0.25">
      <c r="A1270" s="2" t="s">
        <v>1550</v>
      </c>
      <c r="B1270" s="2" t="s">
        <v>244</v>
      </c>
      <c r="C1270" s="2">
        <v>2</v>
      </c>
      <c r="D1270" t="str">
        <f t="shared" si="19"/>
        <v>CA-2014-156349_TEC-PH-10002726</v>
      </c>
      <c r="E1270" t="str">
        <f>IF(COUNTIF(data1!$D:$D,D1270)=0,"Missing in Data1","Present")</f>
        <v>Present</v>
      </c>
    </row>
    <row r="1271" spans="1:5" x14ac:dyDescent="0.25">
      <c r="A1271" s="2" t="s">
        <v>1551</v>
      </c>
      <c r="B1271" s="2" t="s">
        <v>279</v>
      </c>
      <c r="C1271" s="2">
        <v>2</v>
      </c>
      <c r="D1271" t="str">
        <f t="shared" si="19"/>
        <v>CA-2014-156433_OFF-LA-10001569</v>
      </c>
      <c r="E1271" t="str">
        <f>IF(COUNTIF(data1!$D:$D,D1271)=0,"Missing in Data1","Present")</f>
        <v>Present</v>
      </c>
    </row>
    <row r="1272" spans="1:5" x14ac:dyDescent="0.25">
      <c r="A1272" s="2" t="s">
        <v>1551</v>
      </c>
      <c r="B1272" s="2" t="s">
        <v>1552</v>
      </c>
      <c r="C1272" s="2">
        <v>4</v>
      </c>
      <c r="D1272" t="str">
        <f t="shared" si="19"/>
        <v>CA-2014-156433_OFF-PA-10003724</v>
      </c>
      <c r="E1272" t="str">
        <f>IF(COUNTIF(data1!$D:$D,D1272)=0,"Missing in Data1","Present")</f>
        <v>Present</v>
      </c>
    </row>
    <row r="1273" spans="1:5" x14ac:dyDescent="0.25">
      <c r="A1273" s="2" t="s">
        <v>6759</v>
      </c>
      <c r="B1273" s="2" t="s">
        <v>1535</v>
      </c>
      <c r="C1273" s="2">
        <v>4</v>
      </c>
      <c r="D1273" t="str">
        <f t="shared" si="19"/>
        <v>CA-2014-156545_OFF-AR-10003560</v>
      </c>
      <c r="E1273" t="str">
        <f>IF(COUNTIF(data1!$D:$D,D1273)=0,"Missing in Data1","Present")</f>
        <v>Missing in Data1</v>
      </c>
    </row>
    <row r="1274" spans="1:5" x14ac:dyDescent="0.25">
      <c r="A1274" s="2" t="s">
        <v>1553</v>
      </c>
      <c r="B1274" s="2" t="s">
        <v>1554</v>
      </c>
      <c r="C1274" s="2">
        <v>1</v>
      </c>
      <c r="D1274" t="str">
        <f t="shared" si="19"/>
        <v>CA-2014-156587_FUR-CH-10004477</v>
      </c>
      <c r="E1274" t="str">
        <f>IF(COUNTIF(data1!$D:$D,D1274)=0,"Missing in Data1","Present")</f>
        <v>Present</v>
      </c>
    </row>
    <row r="1275" spans="1:5" x14ac:dyDescent="0.25">
      <c r="A1275" s="2" t="s">
        <v>1553</v>
      </c>
      <c r="B1275" s="2" t="s">
        <v>1555</v>
      </c>
      <c r="C1275" s="2">
        <v>3</v>
      </c>
      <c r="D1275" t="str">
        <f t="shared" si="19"/>
        <v>CA-2014-156587_OFF-AR-10001427</v>
      </c>
      <c r="E1275" t="str">
        <f>IF(COUNTIF(data1!$D:$D,D1275)=0,"Missing in Data1","Present")</f>
        <v>Present</v>
      </c>
    </row>
    <row r="1276" spans="1:5" x14ac:dyDescent="0.25">
      <c r="A1276" s="2" t="s">
        <v>1556</v>
      </c>
      <c r="B1276" s="2" t="s">
        <v>429</v>
      </c>
      <c r="C1276" s="2">
        <v>2</v>
      </c>
      <c r="D1276" t="str">
        <f t="shared" si="19"/>
        <v>CA-2014-156594_OFF-AR-10001725</v>
      </c>
      <c r="E1276" t="str">
        <f>IF(COUNTIF(data1!$D:$D,D1276)=0,"Missing in Data1","Present")</f>
        <v>Present</v>
      </c>
    </row>
    <row r="1277" spans="1:5" x14ac:dyDescent="0.25">
      <c r="A1277" s="2" t="s">
        <v>1556</v>
      </c>
      <c r="B1277" s="2" t="s">
        <v>1557</v>
      </c>
      <c r="C1277" s="2">
        <v>1</v>
      </c>
      <c r="D1277" t="str">
        <f t="shared" si="19"/>
        <v>CA-2014-156594_OFF-AR-10004269</v>
      </c>
      <c r="E1277" t="str">
        <f>IF(COUNTIF(data1!$D:$D,D1277)=0,"Missing in Data1","Present")</f>
        <v>Present</v>
      </c>
    </row>
    <row r="1278" spans="1:5" x14ac:dyDescent="0.25">
      <c r="A1278" s="2" t="s">
        <v>1556</v>
      </c>
      <c r="B1278" s="2" t="s">
        <v>510</v>
      </c>
      <c r="C1278" s="2">
        <v>5</v>
      </c>
      <c r="D1278" t="str">
        <f t="shared" si="19"/>
        <v>CA-2014-156594_OFF-BI-10003007</v>
      </c>
      <c r="E1278" t="str">
        <f>IF(COUNTIF(data1!$D:$D,D1278)=0,"Missing in Data1","Present")</f>
        <v>Present</v>
      </c>
    </row>
    <row r="1279" spans="1:5" x14ac:dyDescent="0.25">
      <c r="A1279" s="2" t="s">
        <v>1556</v>
      </c>
      <c r="B1279" s="2" t="s">
        <v>820</v>
      </c>
      <c r="C1279" s="2">
        <v>2</v>
      </c>
      <c r="D1279" t="str">
        <f t="shared" si="19"/>
        <v>CA-2014-156594_OFF-BI-10004632</v>
      </c>
      <c r="E1279" t="str">
        <f>IF(COUNTIF(data1!$D:$D,D1279)=0,"Missing in Data1","Present")</f>
        <v>Present</v>
      </c>
    </row>
    <row r="1280" spans="1:5" x14ac:dyDescent="0.25">
      <c r="A1280" s="2" t="s">
        <v>6760</v>
      </c>
      <c r="B1280" s="2" t="s">
        <v>1303</v>
      </c>
      <c r="C1280" s="2">
        <v>2</v>
      </c>
      <c r="D1280" t="str">
        <f t="shared" si="19"/>
        <v>CA-2014-156601_OFF-FA-10000624</v>
      </c>
      <c r="E1280" t="str">
        <f>IF(COUNTIF(data1!$D:$D,D1280)=0,"Missing in Data1","Present")</f>
        <v>Missing in Data1</v>
      </c>
    </row>
    <row r="1281" spans="1:5" x14ac:dyDescent="0.25">
      <c r="A1281" s="2" t="s">
        <v>1558</v>
      </c>
      <c r="B1281" s="2" t="s">
        <v>1559</v>
      </c>
      <c r="C1281" s="2">
        <v>4</v>
      </c>
      <c r="D1281" t="str">
        <f t="shared" si="19"/>
        <v>CA-2014-156790_FUR-BO-10000468</v>
      </c>
      <c r="E1281" t="str">
        <f>IF(COUNTIF(data1!$D:$D,D1281)=0,"Missing in Data1","Present")</f>
        <v>Present</v>
      </c>
    </row>
    <row r="1282" spans="1:5" x14ac:dyDescent="0.25">
      <c r="A1282" s="2" t="s">
        <v>1560</v>
      </c>
      <c r="B1282" s="2" t="s">
        <v>1499</v>
      </c>
      <c r="C1282" s="2">
        <v>1</v>
      </c>
      <c r="D1282" t="str">
        <f t="shared" si="19"/>
        <v>CA-2014-156993_OFF-FA-10003495</v>
      </c>
      <c r="E1282" t="str">
        <f>IF(COUNTIF(data1!$D:$D,D1282)=0,"Missing in Data1","Present")</f>
        <v>Present</v>
      </c>
    </row>
    <row r="1283" spans="1:5" x14ac:dyDescent="0.25">
      <c r="A1283" s="2" t="s">
        <v>1561</v>
      </c>
      <c r="B1283" s="2" t="s">
        <v>1562</v>
      </c>
      <c r="C1283" s="2">
        <v>3</v>
      </c>
      <c r="D1283" t="str">
        <f t="shared" ref="D1283:D1346" si="20">A1283&amp;"_"&amp;B1283</f>
        <v>CA-2014-157147_FUR-BO-10003034</v>
      </c>
      <c r="E1283" t="str">
        <f>IF(COUNTIF(data1!$D:$D,D1283)=0,"Missing in Data1","Present")</f>
        <v>Present</v>
      </c>
    </row>
    <row r="1284" spans="1:5" x14ac:dyDescent="0.25">
      <c r="A1284" s="2" t="s">
        <v>1561</v>
      </c>
      <c r="B1284" s="2" t="s">
        <v>204</v>
      </c>
      <c r="C1284" s="2">
        <v>5</v>
      </c>
      <c r="D1284" t="str">
        <f t="shared" si="20"/>
        <v>CA-2014-157147_OFF-AR-10003514</v>
      </c>
      <c r="E1284" t="str">
        <f>IF(COUNTIF(data1!$D:$D,D1284)=0,"Missing in Data1","Present")</f>
        <v>Present</v>
      </c>
    </row>
    <row r="1285" spans="1:5" x14ac:dyDescent="0.25">
      <c r="A1285" s="2" t="s">
        <v>1561</v>
      </c>
      <c r="B1285" s="2" t="s">
        <v>835</v>
      </c>
      <c r="C1285" s="2">
        <v>5</v>
      </c>
      <c r="D1285" t="str">
        <f t="shared" si="20"/>
        <v>CA-2014-157147_OFF-ST-10000078</v>
      </c>
      <c r="E1285" t="str">
        <f>IF(COUNTIF(data1!$D:$D,D1285)=0,"Missing in Data1","Present")</f>
        <v>Present</v>
      </c>
    </row>
    <row r="1286" spans="1:5" x14ac:dyDescent="0.25">
      <c r="A1286" s="2" t="s">
        <v>1563</v>
      </c>
      <c r="B1286" s="2" t="s">
        <v>1564</v>
      </c>
      <c r="C1286" s="2">
        <v>6</v>
      </c>
      <c r="D1286" t="str">
        <f t="shared" si="20"/>
        <v>CA-2014-157546_OFF-BI-10002498</v>
      </c>
      <c r="E1286" t="str">
        <f>IF(COUNTIF(data1!$D:$D,D1286)=0,"Missing in Data1","Present")</f>
        <v>Present</v>
      </c>
    </row>
    <row r="1287" spans="1:5" x14ac:dyDescent="0.25">
      <c r="A1287" s="2" t="s">
        <v>1563</v>
      </c>
      <c r="B1287" s="2" t="s">
        <v>1184</v>
      </c>
      <c r="C1287" s="2">
        <v>3</v>
      </c>
      <c r="D1287" t="str">
        <f t="shared" si="20"/>
        <v>CA-2014-157546_OFF-PA-10004569</v>
      </c>
      <c r="E1287" t="str">
        <f>IF(COUNTIF(data1!$D:$D,D1287)=0,"Missing in Data1","Present")</f>
        <v>Present</v>
      </c>
    </row>
    <row r="1288" spans="1:5" x14ac:dyDescent="0.25">
      <c r="A1288" s="2" t="s">
        <v>1567</v>
      </c>
      <c r="B1288" s="2" t="s">
        <v>1568</v>
      </c>
      <c r="C1288" s="2">
        <v>1</v>
      </c>
      <c r="D1288" t="str">
        <f t="shared" si="20"/>
        <v>CA-2014-157623_OFF-AR-10003723</v>
      </c>
      <c r="E1288" t="str">
        <f>IF(COUNTIF(data1!$D:$D,D1288)=0,"Missing in Data1","Present")</f>
        <v>Present</v>
      </c>
    </row>
    <row r="1289" spans="1:5" x14ac:dyDescent="0.25">
      <c r="A1289" s="2" t="s">
        <v>1567</v>
      </c>
      <c r="B1289" s="2" t="s">
        <v>1073</v>
      </c>
      <c r="C1289" s="2">
        <v>2</v>
      </c>
      <c r="D1289" t="str">
        <f t="shared" si="20"/>
        <v>CA-2014-157623_OFF-PA-10001204</v>
      </c>
      <c r="E1289" t="str">
        <f>IF(COUNTIF(data1!$D:$D,D1289)=0,"Missing in Data1","Present")</f>
        <v>Present</v>
      </c>
    </row>
    <row r="1290" spans="1:5" x14ac:dyDescent="0.25">
      <c r="A1290" s="2" t="s">
        <v>1569</v>
      </c>
      <c r="B1290" s="2" t="s">
        <v>1570</v>
      </c>
      <c r="C1290" s="2">
        <v>3</v>
      </c>
      <c r="D1290" t="str">
        <f t="shared" si="20"/>
        <v>CA-2014-157644_OFF-LA-10003148</v>
      </c>
      <c r="E1290" t="str">
        <f>IF(COUNTIF(data1!$D:$D,D1290)=0,"Missing in Data1","Present")</f>
        <v>Present</v>
      </c>
    </row>
    <row r="1291" spans="1:5" x14ac:dyDescent="0.25">
      <c r="A1291" s="2" t="s">
        <v>1569</v>
      </c>
      <c r="B1291" s="2" t="s">
        <v>1571</v>
      </c>
      <c r="C1291" s="2">
        <v>3</v>
      </c>
      <c r="D1291" t="str">
        <f t="shared" si="20"/>
        <v>CA-2014-157644_TEC-AC-10003614</v>
      </c>
      <c r="E1291" t="str">
        <f>IF(COUNTIF(data1!$D:$D,D1291)=0,"Missing in Data1","Present")</f>
        <v>Present</v>
      </c>
    </row>
    <row r="1292" spans="1:5" x14ac:dyDescent="0.25">
      <c r="A1292" s="2" t="s">
        <v>1572</v>
      </c>
      <c r="B1292" s="2" t="s">
        <v>315</v>
      </c>
      <c r="C1292" s="2">
        <v>1</v>
      </c>
      <c r="D1292" t="str">
        <f t="shared" si="20"/>
        <v>CA-2014-157721_FUR-FU-10002116</v>
      </c>
      <c r="E1292" t="str">
        <f>IF(COUNTIF(data1!$D:$D,D1292)=0,"Missing in Data1","Present")</f>
        <v>Present</v>
      </c>
    </row>
    <row r="1293" spans="1:5" x14ac:dyDescent="0.25">
      <c r="A1293" s="2" t="s">
        <v>1572</v>
      </c>
      <c r="B1293" s="2" t="s">
        <v>706</v>
      </c>
      <c r="C1293" s="2">
        <v>1</v>
      </c>
      <c r="D1293" t="str">
        <f t="shared" si="20"/>
        <v>CA-2014-157721_OFF-AP-10001303</v>
      </c>
      <c r="E1293" t="str">
        <f>IF(COUNTIF(data1!$D:$D,D1293)=0,"Missing in Data1","Present")</f>
        <v>Present</v>
      </c>
    </row>
    <row r="1294" spans="1:5" x14ac:dyDescent="0.25">
      <c r="A1294" s="2" t="s">
        <v>1573</v>
      </c>
      <c r="B1294" s="2" t="s">
        <v>953</v>
      </c>
      <c r="C1294" s="2">
        <v>2</v>
      </c>
      <c r="D1294" t="str">
        <f t="shared" si="20"/>
        <v>CA-2014-157784_OFF-LA-10001934</v>
      </c>
      <c r="E1294" t="str">
        <f>IF(COUNTIF(data1!$D:$D,D1294)=0,"Missing in Data1","Present")</f>
        <v>Present</v>
      </c>
    </row>
    <row r="1295" spans="1:5" x14ac:dyDescent="0.25">
      <c r="A1295" s="2" t="s">
        <v>1573</v>
      </c>
      <c r="B1295" s="2" t="s">
        <v>1219</v>
      </c>
      <c r="C1295" s="2">
        <v>3</v>
      </c>
      <c r="D1295" t="str">
        <f t="shared" si="20"/>
        <v>CA-2014-157784_OFF-PA-10000304</v>
      </c>
      <c r="E1295" t="str">
        <f>IF(COUNTIF(data1!$D:$D,D1295)=0,"Missing in Data1","Present")</f>
        <v>Present</v>
      </c>
    </row>
    <row r="1296" spans="1:5" x14ac:dyDescent="0.25">
      <c r="A1296" s="2" t="s">
        <v>1573</v>
      </c>
      <c r="B1296" s="2" t="s">
        <v>1574</v>
      </c>
      <c r="C1296" s="2">
        <v>3</v>
      </c>
      <c r="D1296" t="str">
        <f t="shared" si="20"/>
        <v>CA-2014-157784_TEC-AC-10003911</v>
      </c>
      <c r="E1296" t="str">
        <f>IF(COUNTIF(data1!$D:$D,D1296)=0,"Missing in Data1","Present")</f>
        <v>Present</v>
      </c>
    </row>
    <row r="1297" spans="1:5" x14ac:dyDescent="0.25">
      <c r="A1297" s="2" t="s">
        <v>1575</v>
      </c>
      <c r="B1297" s="2" t="s">
        <v>1207</v>
      </c>
      <c r="C1297" s="2">
        <v>3</v>
      </c>
      <c r="D1297" t="str">
        <f t="shared" si="20"/>
        <v>CA-2014-157882_FUR-CH-10002774</v>
      </c>
      <c r="E1297" t="str">
        <f>IF(COUNTIF(data1!$D:$D,D1297)=0,"Missing in Data1","Present")</f>
        <v>Present</v>
      </c>
    </row>
    <row r="1298" spans="1:5" x14ac:dyDescent="0.25">
      <c r="A1298" s="2" t="s">
        <v>1575</v>
      </c>
      <c r="B1298" s="2" t="s">
        <v>1576</v>
      </c>
      <c r="C1298" s="2">
        <v>1</v>
      </c>
      <c r="D1298" t="str">
        <f t="shared" si="20"/>
        <v>CA-2014-157882_FUR-TA-10001866</v>
      </c>
      <c r="E1298" t="str">
        <f>IF(COUNTIF(data1!$D:$D,D1298)=0,"Missing in Data1","Present")</f>
        <v>Present</v>
      </c>
    </row>
    <row r="1299" spans="1:5" x14ac:dyDescent="0.25">
      <c r="A1299" s="2" t="s">
        <v>1577</v>
      </c>
      <c r="B1299" s="2" t="s">
        <v>1578</v>
      </c>
      <c r="C1299" s="2">
        <v>2</v>
      </c>
      <c r="D1299" t="str">
        <f t="shared" si="20"/>
        <v>CA-2014-157924_FUR-CH-10000229</v>
      </c>
      <c r="E1299" t="str">
        <f>IF(COUNTIF(data1!$D:$D,D1299)=0,"Missing in Data1","Present")</f>
        <v>Present</v>
      </c>
    </row>
    <row r="1300" spans="1:5" x14ac:dyDescent="0.25">
      <c r="A1300" s="2" t="s">
        <v>1577</v>
      </c>
      <c r="B1300" s="2" t="s">
        <v>1579</v>
      </c>
      <c r="C1300" s="2">
        <v>4</v>
      </c>
      <c r="D1300" t="str">
        <f t="shared" si="20"/>
        <v>CA-2014-157924_OFF-ST-10002352</v>
      </c>
      <c r="E1300" t="str">
        <f>IF(COUNTIF(data1!$D:$D,D1300)=0,"Missing in Data1","Present")</f>
        <v>Present</v>
      </c>
    </row>
    <row r="1301" spans="1:5" x14ac:dyDescent="0.25">
      <c r="A1301" s="2" t="s">
        <v>1580</v>
      </c>
      <c r="B1301" s="2" t="s">
        <v>221</v>
      </c>
      <c r="C1301" s="2">
        <v>2</v>
      </c>
      <c r="D1301" t="str">
        <f t="shared" si="20"/>
        <v>CA-2014-158029_FUR-CH-10000988</v>
      </c>
      <c r="E1301" t="str">
        <f>IF(COUNTIF(data1!$D:$D,D1301)=0,"Missing in Data1","Present")</f>
        <v>Present</v>
      </c>
    </row>
    <row r="1302" spans="1:5" x14ac:dyDescent="0.25">
      <c r="A1302" s="2" t="s">
        <v>1581</v>
      </c>
      <c r="B1302" s="2" t="s">
        <v>1582</v>
      </c>
      <c r="C1302" s="2">
        <v>5</v>
      </c>
      <c r="D1302" t="str">
        <f t="shared" si="20"/>
        <v>CA-2014-158064_OFF-BI-10002976</v>
      </c>
      <c r="E1302" t="str">
        <f>IF(COUNTIF(data1!$D:$D,D1302)=0,"Missing in Data1","Present")</f>
        <v>Present</v>
      </c>
    </row>
    <row r="1303" spans="1:5" x14ac:dyDescent="0.25">
      <c r="A1303" s="2" t="s">
        <v>1583</v>
      </c>
      <c r="B1303" s="2" t="s">
        <v>1584</v>
      </c>
      <c r="C1303" s="2">
        <v>5</v>
      </c>
      <c r="D1303" t="str">
        <f t="shared" si="20"/>
        <v>CA-2014-158225_OFF-ST-10000675</v>
      </c>
      <c r="E1303" t="str">
        <f>IF(COUNTIF(data1!$D:$D,D1303)=0,"Missing in Data1","Present")</f>
        <v>Present</v>
      </c>
    </row>
    <row r="1304" spans="1:5" x14ac:dyDescent="0.25">
      <c r="A1304" s="2" t="s">
        <v>1583</v>
      </c>
      <c r="B1304" s="2" t="s">
        <v>1585</v>
      </c>
      <c r="C1304" s="2">
        <v>2</v>
      </c>
      <c r="D1304" t="str">
        <f t="shared" si="20"/>
        <v>CA-2014-158225_OFF-ST-10002301</v>
      </c>
      <c r="E1304" t="str">
        <f>IF(COUNTIF(data1!$D:$D,D1304)=0,"Missing in Data1","Present")</f>
        <v>Present</v>
      </c>
    </row>
    <row r="1305" spans="1:5" x14ac:dyDescent="0.25">
      <c r="A1305" s="2" t="s">
        <v>1586</v>
      </c>
      <c r="B1305" s="2" t="s">
        <v>1587</v>
      </c>
      <c r="C1305" s="2">
        <v>2</v>
      </c>
      <c r="D1305" t="str">
        <f t="shared" si="20"/>
        <v>CA-2014-158274_TEC-AC-10002345</v>
      </c>
      <c r="E1305" t="str">
        <f>IF(COUNTIF(data1!$D:$D,D1305)=0,"Missing in Data1","Present")</f>
        <v>Present</v>
      </c>
    </row>
    <row r="1306" spans="1:5" x14ac:dyDescent="0.25">
      <c r="A1306" s="2" t="s">
        <v>1586</v>
      </c>
      <c r="B1306" s="2" t="s">
        <v>31</v>
      </c>
      <c r="C1306" s="2">
        <v>4</v>
      </c>
      <c r="D1306" t="str">
        <f t="shared" si="20"/>
        <v>CA-2014-158274_TEC-PH-10003273</v>
      </c>
      <c r="E1306" t="str">
        <f>IF(COUNTIF(data1!$D:$D,D1306)=0,"Missing in Data1","Present")</f>
        <v>Present</v>
      </c>
    </row>
    <row r="1307" spans="1:5" x14ac:dyDescent="0.25">
      <c r="A1307" s="2" t="s">
        <v>1586</v>
      </c>
      <c r="B1307" s="2" t="s">
        <v>1588</v>
      </c>
      <c r="C1307" s="2">
        <v>5</v>
      </c>
      <c r="D1307" t="str">
        <f t="shared" si="20"/>
        <v>CA-2014-158274_TEC-PH-10004896</v>
      </c>
      <c r="E1307" t="str">
        <f>IF(COUNTIF(data1!$D:$D,D1307)=0,"Missing in Data1","Present")</f>
        <v>Present</v>
      </c>
    </row>
    <row r="1308" spans="1:5" x14ac:dyDescent="0.25">
      <c r="A1308" s="2" t="s">
        <v>6761</v>
      </c>
      <c r="B1308" s="2" t="s">
        <v>6709</v>
      </c>
      <c r="C1308" s="2">
        <v>3</v>
      </c>
      <c r="D1308" t="str">
        <f t="shared" si="20"/>
        <v>CA-2014-158281_TEC-MA-10002210</v>
      </c>
      <c r="E1308" t="str">
        <f>IF(COUNTIF(data1!$D:$D,D1308)=0,"Missing in Data1","Present")</f>
        <v>Missing in Data1</v>
      </c>
    </row>
    <row r="1309" spans="1:5" x14ac:dyDescent="0.25">
      <c r="A1309" s="2" t="s">
        <v>1589</v>
      </c>
      <c r="B1309" s="2" t="s">
        <v>1590</v>
      </c>
      <c r="C1309" s="2">
        <v>14</v>
      </c>
      <c r="D1309" t="str">
        <f t="shared" si="20"/>
        <v>CA-2014-158337_OFF-PA-10002137</v>
      </c>
      <c r="E1309" t="str">
        <f>IF(COUNTIF(data1!$D:$D,D1309)=0,"Missing in Data1","Present")</f>
        <v>Present</v>
      </c>
    </row>
    <row r="1310" spans="1:5" x14ac:dyDescent="0.25">
      <c r="A1310" s="2" t="s">
        <v>1591</v>
      </c>
      <c r="B1310" s="2" t="s">
        <v>1299</v>
      </c>
      <c r="C1310" s="2">
        <v>2</v>
      </c>
      <c r="D1310" t="str">
        <f t="shared" si="20"/>
        <v>CA-2014-158372_FUR-FU-10000397</v>
      </c>
      <c r="E1310" t="str">
        <f>IF(COUNTIF(data1!$D:$D,D1310)=0,"Missing in Data1","Present")</f>
        <v>Present</v>
      </c>
    </row>
    <row r="1311" spans="1:5" x14ac:dyDescent="0.25">
      <c r="A1311" s="2" t="s">
        <v>1591</v>
      </c>
      <c r="B1311" s="2" t="s">
        <v>1592</v>
      </c>
      <c r="C1311" s="2">
        <v>5</v>
      </c>
      <c r="D1311" t="str">
        <f t="shared" si="20"/>
        <v>CA-2014-158372_FUR-FU-10001867</v>
      </c>
      <c r="E1311" t="str">
        <f>IF(COUNTIF(data1!$D:$D,D1311)=0,"Missing in Data1","Present")</f>
        <v>Present</v>
      </c>
    </row>
    <row r="1312" spans="1:5" x14ac:dyDescent="0.25">
      <c r="A1312" s="2" t="s">
        <v>1591</v>
      </c>
      <c r="B1312" s="2" t="s">
        <v>1593</v>
      </c>
      <c r="C1312" s="2">
        <v>8</v>
      </c>
      <c r="D1312" t="str">
        <f t="shared" si="20"/>
        <v>CA-2014-158372_OFF-LA-10000407</v>
      </c>
      <c r="E1312" t="str">
        <f>IF(COUNTIF(data1!$D:$D,D1312)=0,"Missing in Data1","Present")</f>
        <v>Present</v>
      </c>
    </row>
    <row r="1313" spans="1:5" x14ac:dyDescent="0.25">
      <c r="A1313" s="2" t="s">
        <v>1591</v>
      </c>
      <c r="B1313" s="2" t="s">
        <v>1590</v>
      </c>
      <c r="C1313" s="2">
        <v>8</v>
      </c>
      <c r="D1313" t="str">
        <f t="shared" si="20"/>
        <v>CA-2014-158372_OFF-PA-10002137</v>
      </c>
      <c r="E1313" t="str">
        <f>IF(COUNTIF(data1!$D:$D,D1313)=0,"Missing in Data1","Present")</f>
        <v>Present</v>
      </c>
    </row>
    <row r="1314" spans="1:5" x14ac:dyDescent="0.25">
      <c r="A1314" s="2" t="s">
        <v>1591</v>
      </c>
      <c r="B1314" s="2" t="s">
        <v>1594</v>
      </c>
      <c r="C1314" s="2">
        <v>1</v>
      </c>
      <c r="D1314" t="str">
        <f t="shared" si="20"/>
        <v>CA-2014-158372_TEC-AC-10004209</v>
      </c>
      <c r="E1314" t="str">
        <f>IF(COUNTIF(data1!$D:$D,D1314)=0,"Missing in Data1","Present")</f>
        <v>Present</v>
      </c>
    </row>
    <row r="1315" spans="1:5" x14ac:dyDescent="0.25">
      <c r="A1315" s="2" t="s">
        <v>1591</v>
      </c>
      <c r="B1315" s="2" t="s">
        <v>1425</v>
      </c>
      <c r="C1315" s="2">
        <v>8</v>
      </c>
      <c r="D1315" t="str">
        <f t="shared" si="20"/>
        <v>CA-2014-158372_TEC-PH-10002103</v>
      </c>
      <c r="E1315" t="str">
        <f>IF(COUNTIF(data1!$D:$D,D1315)=0,"Missing in Data1","Present")</f>
        <v>Present</v>
      </c>
    </row>
    <row r="1316" spans="1:5" x14ac:dyDescent="0.25">
      <c r="A1316" s="2" t="s">
        <v>1595</v>
      </c>
      <c r="B1316" s="2" t="s">
        <v>1596</v>
      </c>
      <c r="C1316" s="2">
        <v>2</v>
      </c>
      <c r="D1316" t="str">
        <f t="shared" si="20"/>
        <v>CA-2014-158442_OFF-AR-10003732</v>
      </c>
      <c r="E1316" t="str">
        <f>IF(COUNTIF(data1!$D:$D,D1316)=0,"Missing in Data1","Present")</f>
        <v>Present</v>
      </c>
    </row>
    <row r="1317" spans="1:5" x14ac:dyDescent="0.25">
      <c r="A1317" s="2" t="s">
        <v>1595</v>
      </c>
      <c r="B1317" s="2" t="s">
        <v>157</v>
      </c>
      <c r="C1317" s="2">
        <v>1</v>
      </c>
      <c r="D1317" t="str">
        <f t="shared" si="20"/>
        <v>CA-2014-158442_OFF-PA-10002195</v>
      </c>
      <c r="E1317" t="str">
        <f>IF(COUNTIF(data1!$D:$D,D1317)=0,"Missing in Data1","Present")</f>
        <v>Present</v>
      </c>
    </row>
    <row r="1318" spans="1:5" x14ac:dyDescent="0.25">
      <c r="A1318" s="2" t="s">
        <v>1595</v>
      </c>
      <c r="B1318" s="2" t="s">
        <v>1597</v>
      </c>
      <c r="C1318" s="2">
        <v>3</v>
      </c>
      <c r="D1318" t="str">
        <f t="shared" si="20"/>
        <v>CA-2014-158442_OFF-PA-10002365</v>
      </c>
      <c r="E1318" t="str">
        <f>IF(COUNTIF(data1!$D:$D,D1318)=0,"Missing in Data1","Present")</f>
        <v>Present</v>
      </c>
    </row>
    <row r="1319" spans="1:5" x14ac:dyDescent="0.25">
      <c r="A1319" s="2" t="s">
        <v>1598</v>
      </c>
      <c r="B1319" s="2" t="s">
        <v>1137</v>
      </c>
      <c r="C1319" s="2">
        <v>3</v>
      </c>
      <c r="D1319" t="str">
        <f t="shared" si="20"/>
        <v>CA-2014-158470_OFF-BI-10003638</v>
      </c>
      <c r="E1319" t="str">
        <f>IF(COUNTIF(data1!$D:$D,D1319)=0,"Missing in Data1","Present")</f>
        <v>Present</v>
      </c>
    </row>
    <row r="1320" spans="1:5" x14ac:dyDescent="0.25">
      <c r="A1320" s="2" t="s">
        <v>1598</v>
      </c>
      <c r="B1320" s="2" t="s">
        <v>931</v>
      </c>
      <c r="C1320" s="2">
        <v>11</v>
      </c>
      <c r="D1320" t="str">
        <f t="shared" si="20"/>
        <v>CA-2014-158470_OFF-PA-10001569</v>
      </c>
      <c r="E1320" t="str">
        <f>IF(COUNTIF(data1!$D:$D,D1320)=0,"Missing in Data1","Present")</f>
        <v>Present</v>
      </c>
    </row>
    <row r="1321" spans="1:5" x14ac:dyDescent="0.25">
      <c r="A1321" s="2" t="s">
        <v>1599</v>
      </c>
      <c r="B1321" s="2" t="s">
        <v>1448</v>
      </c>
      <c r="C1321" s="2">
        <v>4</v>
      </c>
      <c r="D1321" t="str">
        <f t="shared" si="20"/>
        <v>CA-2014-158540_FUR-FU-10001602</v>
      </c>
      <c r="E1321" t="str">
        <f>IF(COUNTIF(data1!$D:$D,D1321)=0,"Missing in Data1","Present")</f>
        <v>Present</v>
      </c>
    </row>
    <row r="1322" spans="1:5" x14ac:dyDescent="0.25">
      <c r="A1322" s="2" t="s">
        <v>1600</v>
      </c>
      <c r="B1322" s="2" t="s">
        <v>215</v>
      </c>
      <c r="C1322" s="2">
        <v>3</v>
      </c>
      <c r="D1322" t="str">
        <f t="shared" si="20"/>
        <v>CA-2014-158771_OFF-LA-10001641</v>
      </c>
      <c r="E1322" t="str">
        <f>IF(COUNTIF(data1!$D:$D,D1322)=0,"Missing in Data1","Present")</f>
        <v>Present</v>
      </c>
    </row>
    <row r="1323" spans="1:5" x14ac:dyDescent="0.25">
      <c r="A1323" s="2" t="s">
        <v>1600</v>
      </c>
      <c r="B1323" s="2" t="s">
        <v>1601</v>
      </c>
      <c r="C1323" s="2">
        <v>5</v>
      </c>
      <c r="D1323" t="str">
        <f t="shared" si="20"/>
        <v>CA-2014-158771_OFF-LA-10003121</v>
      </c>
      <c r="E1323" t="str">
        <f>IF(COUNTIF(data1!$D:$D,D1323)=0,"Missing in Data1","Present")</f>
        <v>Present</v>
      </c>
    </row>
    <row r="1324" spans="1:5" x14ac:dyDescent="0.25">
      <c r="A1324" s="2" t="s">
        <v>1600</v>
      </c>
      <c r="B1324" s="2" t="s">
        <v>1085</v>
      </c>
      <c r="C1324" s="2">
        <v>7</v>
      </c>
      <c r="D1324" t="str">
        <f t="shared" si="20"/>
        <v>CA-2014-158771_OFF-PA-10002689</v>
      </c>
      <c r="E1324" t="str">
        <f>IF(COUNTIF(data1!$D:$D,D1324)=0,"Missing in Data1","Present")</f>
        <v>Present</v>
      </c>
    </row>
    <row r="1325" spans="1:5" x14ac:dyDescent="0.25">
      <c r="A1325" s="2" t="s">
        <v>1600</v>
      </c>
      <c r="B1325" s="2" t="s">
        <v>367</v>
      </c>
      <c r="C1325" s="2">
        <v>3</v>
      </c>
      <c r="D1325" t="str">
        <f t="shared" si="20"/>
        <v>CA-2014-158771_OFF-ST-10000107</v>
      </c>
      <c r="E1325" t="str">
        <f>IF(COUNTIF(data1!$D:$D,D1325)=0,"Missing in Data1","Present")</f>
        <v>Present</v>
      </c>
    </row>
    <row r="1326" spans="1:5" x14ac:dyDescent="0.25">
      <c r="A1326" s="2" t="s">
        <v>1602</v>
      </c>
      <c r="B1326" s="2" t="s">
        <v>1603</v>
      </c>
      <c r="C1326" s="2">
        <v>7</v>
      </c>
      <c r="D1326" t="str">
        <f t="shared" si="20"/>
        <v>CA-2014-159121_TEC-AC-10002006</v>
      </c>
      <c r="E1326" t="str">
        <f>IF(COUNTIF(data1!$D:$D,D1326)=0,"Missing in Data1","Present")</f>
        <v>Present</v>
      </c>
    </row>
    <row r="1327" spans="1:5" x14ac:dyDescent="0.25">
      <c r="A1327" s="2" t="s">
        <v>1604</v>
      </c>
      <c r="B1327" s="2" t="s">
        <v>349</v>
      </c>
      <c r="C1327" s="2">
        <v>5</v>
      </c>
      <c r="D1327" t="str">
        <f t="shared" si="20"/>
        <v>CA-2014-159184_FUR-FU-10002878</v>
      </c>
      <c r="E1327" t="str">
        <f>IF(COUNTIF(data1!$D:$D,D1327)=0,"Missing in Data1","Present")</f>
        <v>Present</v>
      </c>
    </row>
    <row r="1328" spans="1:5" x14ac:dyDescent="0.25">
      <c r="A1328" s="2" t="s">
        <v>1604</v>
      </c>
      <c r="B1328" s="2" t="s">
        <v>1605</v>
      </c>
      <c r="C1328" s="2">
        <v>2</v>
      </c>
      <c r="D1328" t="str">
        <f t="shared" si="20"/>
        <v>CA-2014-159184_OFF-BI-10001890</v>
      </c>
      <c r="E1328" t="str">
        <f>IF(COUNTIF(data1!$D:$D,D1328)=0,"Missing in Data1","Present")</f>
        <v>Present</v>
      </c>
    </row>
    <row r="1329" spans="1:5" x14ac:dyDescent="0.25">
      <c r="A1329" s="2" t="s">
        <v>1606</v>
      </c>
      <c r="B1329" s="2" t="s">
        <v>1607</v>
      </c>
      <c r="C1329" s="2">
        <v>4</v>
      </c>
      <c r="D1329" t="str">
        <f t="shared" si="20"/>
        <v>CA-2014-159310_FUR-CH-10002758</v>
      </c>
      <c r="E1329" t="str">
        <f>IF(COUNTIF(data1!$D:$D,D1329)=0,"Missing in Data1","Present")</f>
        <v>Present</v>
      </c>
    </row>
    <row r="1330" spans="1:5" x14ac:dyDescent="0.25">
      <c r="A1330" s="2" t="s">
        <v>1606</v>
      </c>
      <c r="B1330" s="2" t="s">
        <v>1384</v>
      </c>
      <c r="C1330" s="2">
        <v>3</v>
      </c>
      <c r="D1330" t="str">
        <f t="shared" si="20"/>
        <v>CA-2014-159310_OFF-BI-10000201</v>
      </c>
      <c r="E1330" t="str">
        <f>IF(COUNTIF(data1!$D:$D,D1330)=0,"Missing in Data1","Present")</f>
        <v>Present</v>
      </c>
    </row>
    <row r="1331" spans="1:5" x14ac:dyDescent="0.25">
      <c r="A1331" s="2" t="s">
        <v>1606</v>
      </c>
      <c r="B1331" s="2" t="s">
        <v>667</v>
      </c>
      <c r="C1331" s="2">
        <v>7</v>
      </c>
      <c r="D1331" t="str">
        <f t="shared" si="20"/>
        <v>CA-2014-159310_OFF-SU-10004115</v>
      </c>
      <c r="E1331" t="str">
        <f>IF(COUNTIF(data1!$D:$D,D1331)=0,"Missing in Data1","Present")</f>
        <v>Missing in Data1</v>
      </c>
    </row>
    <row r="1332" spans="1:5" x14ac:dyDescent="0.25">
      <c r="A1332" s="2" t="s">
        <v>1608</v>
      </c>
      <c r="B1332" s="2" t="s">
        <v>718</v>
      </c>
      <c r="C1332" s="2">
        <v>5</v>
      </c>
      <c r="D1332" t="str">
        <f t="shared" si="20"/>
        <v>CA-2014-159338_FUR-TA-10004147</v>
      </c>
      <c r="E1332" t="str">
        <f>IF(COUNTIF(data1!$D:$D,D1332)=0,"Missing in Data1","Present")</f>
        <v>Present</v>
      </c>
    </row>
    <row r="1333" spans="1:5" x14ac:dyDescent="0.25">
      <c r="A1333" s="2" t="s">
        <v>1609</v>
      </c>
      <c r="B1333" s="2" t="s">
        <v>339</v>
      </c>
      <c r="C1333" s="2">
        <v>3</v>
      </c>
      <c r="D1333" t="str">
        <f t="shared" si="20"/>
        <v>CA-2014-159478_FUR-FU-10000221</v>
      </c>
      <c r="E1333" t="str">
        <f>IF(COUNTIF(data1!$D:$D,D1333)=0,"Missing in Data1","Present")</f>
        <v>Present</v>
      </c>
    </row>
    <row r="1334" spans="1:5" x14ac:dyDescent="0.25">
      <c r="A1334" s="2" t="s">
        <v>1610</v>
      </c>
      <c r="B1334" s="2" t="s">
        <v>1326</v>
      </c>
      <c r="C1334" s="2">
        <v>3</v>
      </c>
      <c r="D1334" t="str">
        <f t="shared" si="20"/>
        <v>CA-2014-159520_FUR-TA-10003238</v>
      </c>
      <c r="E1334" t="str">
        <f>IF(COUNTIF(data1!$D:$D,D1334)=0,"Missing in Data1","Present")</f>
        <v>Present</v>
      </c>
    </row>
    <row r="1335" spans="1:5" x14ac:dyDescent="0.25">
      <c r="A1335" s="2" t="s">
        <v>1610</v>
      </c>
      <c r="B1335" s="2" t="s">
        <v>1117</v>
      </c>
      <c r="C1335" s="2">
        <v>9</v>
      </c>
      <c r="D1335" t="str">
        <f t="shared" si="20"/>
        <v>CA-2014-159520_OFF-BI-10003982</v>
      </c>
      <c r="E1335" t="str">
        <f>IF(COUNTIF(data1!$D:$D,D1335)=0,"Missing in Data1","Present")</f>
        <v>Present</v>
      </c>
    </row>
    <row r="1336" spans="1:5" x14ac:dyDescent="0.25">
      <c r="A1336" s="2" t="s">
        <v>1610</v>
      </c>
      <c r="B1336" s="2" t="s">
        <v>1352</v>
      </c>
      <c r="C1336" s="2">
        <v>2</v>
      </c>
      <c r="D1336" t="str">
        <f t="shared" si="20"/>
        <v>CA-2014-159520_OFF-SU-10001664</v>
      </c>
      <c r="E1336" t="str">
        <f>IF(COUNTIF(data1!$D:$D,D1336)=0,"Missing in Data1","Present")</f>
        <v>Present</v>
      </c>
    </row>
    <row r="1337" spans="1:5" x14ac:dyDescent="0.25">
      <c r="A1337" s="2" t="s">
        <v>1611</v>
      </c>
      <c r="B1337" s="2" t="s">
        <v>1612</v>
      </c>
      <c r="C1337" s="2">
        <v>3</v>
      </c>
      <c r="D1337" t="str">
        <f t="shared" si="20"/>
        <v>CA-2014-159625_OFF-EN-10002621</v>
      </c>
      <c r="E1337" t="str">
        <f>IF(COUNTIF(data1!$D:$D,D1337)=0,"Missing in Data1","Present")</f>
        <v>Present</v>
      </c>
    </row>
    <row r="1338" spans="1:5" x14ac:dyDescent="0.25">
      <c r="A1338" s="2" t="s">
        <v>1613</v>
      </c>
      <c r="B1338" s="2" t="s">
        <v>884</v>
      </c>
      <c r="C1338" s="2">
        <v>4</v>
      </c>
      <c r="D1338" t="str">
        <f t="shared" si="20"/>
        <v>CA-2014-159681_OFF-PA-10003641</v>
      </c>
      <c r="E1338" t="str">
        <f>IF(COUNTIF(data1!$D:$D,D1338)=0,"Missing in Data1","Present")</f>
        <v>Present</v>
      </c>
    </row>
    <row r="1339" spans="1:5" x14ac:dyDescent="0.25">
      <c r="A1339" s="2" t="s">
        <v>1614</v>
      </c>
      <c r="B1339" s="2" t="s">
        <v>1615</v>
      </c>
      <c r="C1339" s="2">
        <v>3</v>
      </c>
      <c r="D1339" t="str">
        <f t="shared" si="20"/>
        <v>CA-2014-159709_OFF-EN-10001434</v>
      </c>
      <c r="E1339" t="str">
        <f>IF(COUNTIF(data1!$D:$D,D1339)=0,"Missing in Data1","Present")</f>
        <v>Present</v>
      </c>
    </row>
    <row r="1340" spans="1:5" x14ac:dyDescent="0.25">
      <c r="A1340" s="2" t="s">
        <v>1614</v>
      </c>
      <c r="B1340" s="2" t="s">
        <v>1616</v>
      </c>
      <c r="C1340" s="2">
        <v>5</v>
      </c>
      <c r="D1340" t="str">
        <f t="shared" si="20"/>
        <v>CA-2014-159709_TEC-PH-10003988</v>
      </c>
      <c r="E1340" t="str">
        <f>IF(COUNTIF(data1!$D:$D,D1340)=0,"Missing in Data1","Present")</f>
        <v>Present</v>
      </c>
    </row>
    <row r="1341" spans="1:5" x14ac:dyDescent="0.25">
      <c r="A1341" s="2" t="s">
        <v>1617</v>
      </c>
      <c r="B1341" s="2" t="s">
        <v>1618</v>
      </c>
      <c r="C1341" s="2">
        <v>3</v>
      </c>
      <c r="D1341" t="str">
        <f t="shared" si="20"/>
        <v>CA-2014-159800_OFF-AP-10004859</v>
      </c>
      <c r="E1341" t="str">
        <f>IF(COUNTIF(data1!$D:$D,D1341)=0,"Missing in Data1","Present")</f>
        <v>Present</v>
      </c>
    </row>
    <row r="1342" spans="1:5" x14ac:dyDescent="0.25">
      <c r="A1342" s="2" t="s">
        <v>1617</v>
      </c>
      <c r="B1342" s="2" t="s">
        <v>1619</v>
      </c>
      <c r="C1342" s="2">
        <v>7</v>
      </c>
      <c r="D1342" t="str">
        <f t="shared" si="20"/>
        <v>CA-2014-159800_TEC-AC-10003447</v>
      </c>
      <c r="E1342" t="str">
        <f>IF(COUNTIF(data1!$D:$D,D1342)=0,"Missing in Data1","Present")</f>
        <v>Present</v>
      </c>
    </row>
    <row r="1343" spans="1:5" x14ac:dyDescent="0.25">
      <c r="A1343" s="2" t="s">
        <v>1620</v>
      </c>
      <c r="B1343" s="2" t="s">
        <v>128</v>
      </c>
      <c r="C1343" s="2">
        <v>2</v>
      </c>
      <c r="D1343" t="str">
        <f t="shared" si="20"/>
        <v>CA-2014-159814_FUR-FU-10001731</v>
      </c>
      <c r="E1343" t="str">
        <f>IF(COUNTIF(data1!$D:$D,D1343)=0,"Missing in Data1","Present")</f>
        <v>Present</v>
      </c>
    </row>
    <row r="1344" spans="1:5" x14ac:dyDescent="0.25">
      <c r="A1344" s="2" t="s">
        <v>1621</v>
      </c>
      <c r="B1344" s="2" t="s">
        <v>680</v>
      </c>
      <c r="C1344" s="2">
        <v>5</v>
      </c>
      <c r="D1344" t="str">
        <f t="shared" si="20"/>
        <v>CA-2014-159835_FUR-CH-10004997</v>
      </c>
      <c r="E1344" t="str">
        <f>IF(COUNTIF(data1!$D:$D,D1344)=0,"Missing in Data1","Present")</f>
        <v>Present</v>
      </c>
    </row>
    <row r="1345" spans="1:5" x14ac:dyDescent="0.25">
      <c r="A1345" s="2" t="s">
        <v>1621</v>
      </c>
      <c r="B1345" s="2" t="s">
        <v>1590</v>
      </c>
      <c r="C1345" s="2">
        <v>2</v>
      </c>
      <c r="D1345" t="str">
        <f t="shared" si="20"/>
        <v>CA-2014-159835_OFF-PA-10002137</v>
      </c>
      <c r="E1345" t="str">
        <f>IF(COUNTIF(data1!$D:$D,D1345)=0,"Missing in Data1","Present")</f>
        <v>Present</v>
      </c>
    </row>
    <row r="1346" spans="1:5" x14ac:dyDescent="0.25">
      <c r="A1346" s="2" t="s">
        <v>6762</v>
      </c>
      <c r="B1346" s="2" t="s">
        <v>2305</v>
      </c>
      <c r="C1346" s="2">
        <v>3</v>
      </c>
      <c r="D1346" t="str">
        <f t="shared" si="20"/>
        <v>CA-2014-159849_OFF-FA-10000053</v>
      </c>
      <c r="E1346" t="str">
        <f>IF(COUNTIF(data1!$D:$D,D1346)=0,"Missing in Data1","Present")</f>
        <v>Missing in Data1</v>
      </c>
    </row>
    <row r="1347" spans="1:5" x14ac:dyDescent="0.25">
      <c r="A1347" s="2" t="s">
        <v>1622</v>
      </c>
      <c r="B1347" s="2" t="s">
        <v>1623</v>
      </c>
      <c r="C1347" s="2">
        <v>2</v>
      </c>
      <c r="D1347" t="str">
        <f t="shared" ref="D1347:D1410" si="21">A1347&amp;"_"&amp;B1347</f>
        <v>CA-2014-160066_OFF-LA-10001045</v>
      </c>
      <c r="E1347" t="str">
        <f>IF(COUNTIF(data1!$D:$D,D1347)=0,"Missing in Data1","Present")</f>
        <v>Present</v>
      </c>
    </row>
    <row r="1348" spans="1:5" x14ac:dyDescent="0.25">
      <c r="A1348" s="2" t="s">
        <v>1624</v>
      </c>
      <c r="B1348" s="2" t="s">
        <v>322</v>
      </c>
      <c r="C1348" s="2">
        <v>5</v>
      </c>
      <c r="D1348" t="str">
        <f t="shared" si="21"/>
        <v>CA-2014-160094_OFF-AR-10004010</v>
      </c>
      <c r="E1348" t="str">
        <f>IF(COUNTIF(data1!$D:$D,D1348)=0,"Missing in Data1","Present")</f>
        <v>Missing in Data1</v>
      </c>
    </row>
    <row r="1349" spans="1:5" x14ac:dyDescent="0.25">
      <c r="A1349" s="2" t="s">
        <v>1624</v>
      </c>
      <c r="B1349" s="2" t="s">
        <v>254</v>
      </c>
      <c r="C1349" s="2">
        <v>5</v>
      </c>
      <c r="D1349" t="str">
        <f t="shared" si="21"/>
        <v>CA-2014-160094_OFF-ST-10000585</v>
      </c>
      <c r="E1349" t="str">
        <f>IF(COUNTIF(data1!$D:$D,D1349)=0,"Missing in Data1","Present")</f>
        <v>Present</v>
      </c>
    </row>
    <row r="1350" spans="1:5" x14ac:dyDescent="0.25">
      <c r="A1350" s="2" t="s">
        <v>1625</v>
      </c>
      <c r="B1350" s="2" t="s">
        <v>57</v>
      </c>
      <c r="C1350" s="2">
        <v>3</v>
      </c>
      <c r="D1350" t="str">
        <f t="shared" si="21"/>
        <v>CA-2014-160157_FUR-FU-10003773</v>
      </c>
      <c r="E1350" t="str">
        <f>IF(COUNTIF(data1!$D:$D,D1350)=0,"Missing in Data1","Present")</f>
        <v>Present</v>
      </c>
    </row>
    <row r="1351" spans="1:5" x14ac:dyDescent="0.25">
      <c r="A1351" s="2" t="s">
        <v>1626</v>
      </c>
      <c r="B1351" s="2" t="s">
        <v>1627</v>
      </c>
      <c r="C1351" s="2">
        <v>2</v>
      </c>
      <c r="D1351" t="str">
        <f t="shared" si="21"/>
        <v>CA-2014-160262_FUR-FU-10002685</v>
      </c>
      <c r="E1351" t="str">
        <f>IF(COUNTIF(data1!$D:$D,D1351)=0,"Missing in Data1","Present")</f>
        <v>Present</v>
      </c>
    </row>
    <row r="1352" spans="1:5" x14ac:dyDescent="0.25">
      <c r="A1352" s="2" t="s">
        <v>1626</v>
      </c>
      <c r="B1352" s="2" t="s">
        <v>1628</v>
      </c>
      <c r="C1352" s="2">
        <v>7</v>
      </c>
      <c r="D1352" t="str">
        <f t="shared" si="21"/>
        <v>CA-2014-160262_OFF-AR-10002335</v>
      </c>
      <c r="E1352" t="str">
        <f>IF(COUNTIF(data1!$D:$D,D1352)=0,"Missing in Data1","Present")</f>
        <v>Present</v>
      </c>
    </row>
    <row r="1353" spans="1:5" x14ac:dyDescent="0.25">
      <c r="A1353" s="2" t="s">
        <v>1629</v>
      </c>
      <c r="B1353" s="2" t="s">
        <v>125</v>
      </c>
      <c r="C1353" s="2">
        <v>2</v>
      </c>
      <c r="D1353" t="str">
        <f t="shared" si="21"/>
        <v>CA-2014-160276_FUR-FU-10003192</v>
      </c>
      <c r="E1353" t="str">
        <f>IF(COUNTIF(data1!$D:$D,D1353)=0,"Missing in Data1","Present")</f>
        <v>Present</v>
      </c>
    </row>
    <row r="1354" spans="1:5" x14ac:dyDescent="0.25">
      <c r="A1354" s="2" t="s">
        <v>1630</v>
      </c>
      <c r="B1354" s="2" t="s">
        <v>71</v>
      </c>
      <c r="C1354" s="2">
        <v>2</v>
      </c>
      <c r="D1354" t="str">
        <f t="shared" si="21"/>
        <v>CA-2014-160738_OFF-ST-10003442</v>
      </c>
      <c r="E1354" t="str">
        <f>IF(COUNTIF(data1!$D:$D,D1354)=0,"Missing in Data1","Present")</f>
        <v>Present</v>
      </c>
    </row>
    <row r="1355" spans="1:5" x14ac:dyDescent="0.25">
      <c r="A1355" s="2" t="s">
        <v>1631</v>
      </c>
      <c r="B1355" s="2" t="s">
        <v>1000</v>
      </c>
      <c r="C1355" s="2">
        <v>2</v>
      </c>
      <c r="D1355" t="str">
        <f t="shared" si="21"/>
        <v>CA-2014-160766_OFF-AP-10002945</v>
      </c>
      <c r="E1355" t="str">
        <f>IF(COUNTIF(data1!$D:$D,D1355)=0,"Missing in Data1","Present")</f>
        <v>Present</v>
      </c>
    </row>
    <row r="1356" spans="1:5" x14ac:dyDescent="0.25">
      <c r="A1356" s="2" t="s">
        <v>1631</v>
      </c>
      <c r="B1356" s="2" t="s">
        <v>284</v>
      </c>
      <c r="C1356" s="2">
        <v>7</v>
      </c>
      <c r="D1356" t="str">
        <f t="shared" si="21"/>
        <v>CA-2014-160766_OFF-EN-10001099</v>
      </c>
      <c r="E1356" t="str">
        <f>IF(COUNTIF(data1!$D:$D,D1356)=0,"Missing in Data1","Present")</f>
        <v>Present</v>
      </c>
    </row>
    <row r="1357" spans="1:5" x14ac:dyDescent="0.25">
      <c r="A1357" s="2" t="s">
        <v>1631</v>
      </c>
      <c r="B1357" s="2" t="s">
        <v>519</v>
      </c>
      <c r="C1357" s="2">
        <v>9</v>
      </c>
      <c r="D1357" t="str">
        <f t="shared" si="21"/>
        <v>CA-2014-160766_OFF-PA-10000213</v>
      </c>
      <c r="E1357" t="str">
        <f>IF(COUNTIF(data1!$D:$D,D1357)=0,"Missing in Data1","Present")</f>
        <v>Present</v>
      </c>
    </row>
    <row r="1358" spans="1:5" x14ac:dyDescent="0.25">
      <c r="A1358" s="2" t="s">
        <v>1631</v>
      </c>
      <c r="B1358" s="2" t="s">
        <v>1633</v>
      </c>
      <c r="C1358" s="2">
        <v>3</v>
      </c>
      <c r="D1358" t="str">
        <f t="shared" si="21"/>
        <v>CA-2014-160766_TEC-PH-10000526</v>
      </c>
      <c r="E1358" t="str">
        <f>IF(COUNTIF(data1!$D:$D,D1358)=0,"Missing in Data1","Present")</f>
        <v>Present</v>
      </c>
    </row>
    <row r="1359" spans="1:5" x14ac:dyDescent="0.25">
      <c r="A1359" s="2" t="s">
        <v>1631</v>
      </c>
      <c r="B1359" s="2" t="s">
        <v>1634</v>
      </c>
      <c r="C1359" s="2">
        <v>1</v>
      </c>
      <c r="D1359" t="str">
        <f t="shared" si="21"/>
        <v>CA-2014-160766_TEC-PH-10001536</v>
      </c>
      <c r="E1359" t="str">
        <f>IF(COUNTIF(data1!$D:$D,D1359)=0,"Missing in Data1","Present")</f>
        <v>Present</v>
      </c>
    </row>
    <row r="1360" spans="1:5" x14ac:dyDescent="0.25">
      <c r="A1360" s="2" t="s">
        <v>1635</v>
      </c>
      <c r="B1360" s="2" t="s">
        <v>1636</v>
      </c>
      <c r="C1360" s="2">
        <v>6</v>
      </c>
      <c r="D1360" t="str">
        <f t="shared" si="21"/>
        <v>CA-2014-160773_OFF-BI-10000546</v>
      </c>
      <c r="E1360" t="str">
        <f>IF(COUNTIF(data1!$D:$D,D1360)=0,"Missing in Data1","Present")</f>
        <v>Present</v>
      </c>
    </row>
    <row r="1361" spans="1:5" x14ac:dyDescent="0.25">
      <c r="A1361" s="2" t="s">
        <v>1635</v>
      </c>
      <c r="B1361" s="2" t="s">
        <v>1500</v>
      </c>
      <c r="C1361" s="2">
        <v>2</v>
      </c>
      <c r="D1361" t="str">
        <f t="shared" si="21"/>
        <v>CA-2014-160773_TEC-PH-10004586</v>
      </c>
      <c r="E1361" t="str">
        <f>IF(COUNTIF(data1!$D:$D,D1361)=0,"Missing in Data1","Present")</f>
        <v>Present</v>
      </c>
    </row>
    <row r="1362" spans="1:5" x14ac:dyDescent="0.25">
      <c r="A1362" s="2" t="s">
        <v>1637</v>
      </c>
      <c r="B1362" s="2" t="s">
        <v>1375</v>
      </c>
      <c r="C1362" s="2">
        <v>3</v>
      </c>
      <c r="D1362" t="str">
        <f t="shared" si="21"/>
        <v>CA-2014-161032_FUR-CH-10001482</v>
      </c>
      <c r="E1362" t="str">
        <f>IF(COUNTIF(data1!$D:$D,D1362)=0,"Missing in Data1","Present")</f>
        <v>Present</v>
      </c>
    </row>
    <row r="1363" spans="1:5" x14ac:dyDescent="0.25">
      <c r="A1363" s="2" t="s">
        <v>1638</v>
      </c>
      <c r="B1363" s="2" t="s">
        <v>65</v>
      </c>
      <c r="C1363" s="2">
        <v>5</v>
      </c>
      <c r="D1363" t="str">
        <f t="shared" si="21"/>
        <v>CA-2014-161249_OFF-BI-10001097</v>
      </c>
      <c r="E1363" t="str">
        <f>IF(COUNTIF(data1!$D:$D,D1363)=0,"Missing in Data1","Present")</f>
        <v>Present</v>
      </c>
    </row>
    <row r="1364" spans="1:5" x14ac:dyDescent="0.25">
      <c r="A1364" s="2" t="s">
        <v>1638</v>
      </c>
      <c r="B1364" s="2" t="s">
        <v>1639</v>
      </c>
      <c r="C1364" s="2">
        <v>3</v>
      </c>
      <c r="D1364" t="str">
        <f t="shared" si="21"/>
        <v>CA-2014-161249_OFF-FA-10004838</v>
      </c>
      <c r="E1364" t="str">
        <f>IF(COUNTIF(data1!$D:$D,D1364)=0,"Missing in Data1","Present")</f>
        <v>Present</v>
      </c>
    </row>
    <row r="1365" spans="1:5" x14ac:dyDescent="0.25">
      <c r="A1365" s="2" t="s">
        <v>1640</v>
      </c>
      <c r="B1365" s="2" t="s">
        <v>1641</v>
      </c>
      <c r="C1365" s="2">
        <v>3</v>
      </c>
      <c r="D1365" t="str">
        <f t="shared" si="21"/>
        <v>CA-2014-161508_FUR-CH-10002126</v>
      </c>
      <c r="E1365" t="str">
        <f>IF(COUNTIF(data1!$D:$D,D1365)=0,"Missing in Data1","Present")</f>
        <v>Present</v>
      </c>
    </row>
    <row r="1366" spans="1:5" x14ac:dyDescent="0.25">
      <c r="A1366" s="2" t="s">
        <v>1640</v>
      </c>
      <c r="B1366" s="2" t="s">
        <v>1642</v>
      </c>
      <c r="C1366" s="2">
        <v>7</v>
      </c>
      <c r="D1366" t="str">
        <f t="shared" si="21"/>
        <v>CA-2014-161508_OFF-AR-10003158</v>
      </c>
      <c r="E1366" t="str">
        <f>IF(COUNTIF(data1!$D:$D,D1366)=0,"Missing in Data1","Present")</f>
        <v>Present</v>
      </c>
    </row>
    <row r="1367" spans="1:5" x14ac:dyDescent="0.25">
      <c r="A1367" s="2" t="s">
        <v>1640</v>
      </c>
      <c r="B1367" s="2" t="s">
        <v>1358</v>
      </c>
      <c r="C1367" s="2">
        <v>2</v>
      </c>
      <c r="D1367" t="str">
        <f t="shared" si="21"/>
        <v>CA-2014-161508_OFF-FA-10001561</v>
      </c>
      <c r="E1367" t="str">
        <f>IF(COUNTIF(data1!$D:$D,D1367)=0,"Missing in Data1","Present")</f>
        <v>Present</v>
      </c>
    </row>
    <row r="1368" spans="1:5" x14ac:dyDescent="0.25">
      <c r="A1368" s="2" t="s">
        <v>1643</v>
      </c>
      <c r="B1368" s="2" t="s">
        <v>1644</v>
      </c>
      <c r="C1368" s="2">
        <v>5</v>
      </c>
      <c r="D1368" t="str">
        <f t="shared" si="21"/>
        <v>CA-2014-161634_OFF-PA-10002262</v>
      </c>
      <c r="E1368" t="str">
        <f>IF(COUNTIF(data1!$D:$D,D1368)=0,"Missing in Data1","Present")</f>
        <v>Present</v>
      </c>
    </row>
    <row r="1369" spans="1:5" x14ac:dyDescent="0.25">
      <c r="A1369" s="2" t="s">
        <v>1645</v>
      </c>
      <c r="B1369" s="2" t="s">
        <v>1258</v>
      </c>
      <c r="C1369" s="2">
        <v>7</v>
      </c>
      <c r="D1369" t="str">
        <f t="shared" si="21"/>
        <v>CA-2014-162089_FUR-CH-10002304</v>
      </c>
      <c r="E1369" t="str">
        <f>IF(COUNTIF(data1!$D:$D,D1369)=0,"Missing in Data1","Present")</f>
        <v>Present</v>
      </c>
    </row>
    <row r="1370" spans="1:5" x14ac:dyDescent="0.25">
      <c r="A1370" s="2" t="s">
        <v>1645</v>
      </c>
      <c r="B1370" s="2" t="s">
        <v>1646</v>
      </c>
      <c r="C1370" s="2">
        <v>5</v>
      </c>
      <c r="D1370" t="str">
        <f t="shared" si="21"/>
        <v>CA-2014-162089_OFF-EN-10002230</v>
      </c>
      <c r="E1370" t="str">
        <f>IF(COUNTIF(data1!$D:$D,D1370)=0,"Missing in Data1","Present")</f>
        <v>Present</v>
      </c>
    </row>
    <row r="1371" spans="1:5" x14ac:dyDescent="0.25">
      <c r="A1371" s="2" t="s">
        <v>1645</v>
      </c>
      <c r="B1371" s="2" t="s">
        <v>1647</v>
      </c>
      <c r="C1371" s="2">
        <v>7</v>
      </c>
      <c r="D1371" t="str">
        <f t="shared" si="21"/>
        <v>CA-2014-162089_TEC-PH-10001819</v>
      </c>
      <c r="E1371" t="str">
        <f>IF(COUNTIF(data1!$D:$D,D1371)=0,"Missing in Data1","Present")</f>
        <v>Present</v>
      </c>
    </row>
    <row r="1372" spans="1:5" x14ac:dyDescent="0.25">
      <c r="A1372" s="2" t="s">
        <v>1648</v>
      </c>
      <c r="B1372" s="2" t="s">
        <v>1649</v>
      </c>
      <c r="C1372" s="2">
        <v>4</v>
      </c>
      <c r="D1372" t="str">
        <f t="shared" si="21"/>
        <v>CA-2014-162278_FUR-FU-10000448</v>
      </c>
      <c r="E1372" t="str">
        <f>IF(COUNTIF(data1!$D:$D,D1372)=0,"Missing in Data1","Present")</f>
        <v>Present</v>
      </c>
    </row>
    <row r="1373" spans="1:5" x14ac:dyDescent="0.25">
      <c r="A1373" s="2" t="s">
        <v>1648</v>
      </c>
      <c r="B1373" s="2" t="s">
        <v>1633</v>
      </c>
      <c r="C1373" s="2">
        <v>5</v>
      </c>
      <c r="D1373" t="str">
        <f t="shared" si="21"/>
        <v>CA-2014-162278_TEC-PH-10000526</v>
      </c>
      <c r="E1373" t="str">
        <f>IF(COUNTIF(data1!$D:$D,D1373)=0,"Missing in Data1","Present")</f>
        <v>Present</v>
      </c>
    </row>
    <row r="1374" spans="1:5" x14ac:dyDescent="0.25">
      <c r="A1374" s="2" t="s">
        <v>1650</v>
      </c>
      <c r="B1374" s="2" t="s">
        <v>1636</v>
      </c>
      <c r="C1374" s="2">
        <v>4</v>
      </c>
      <c r="D1374" t="str">
        <f t="shared" si="21"/>
        <v>CA-2014-162362_OFF-BI-10000546</v>
      </c>
      <c r="E1374" t="str">
        <f>IF(COUNTIF(data1!$D:$D,D1374)=0,"Missing in Data1","Present")</f>
        <v>Present</v>
      </c>
    </row>
    <row r="1375" spans="1:5" x14ac:dyDescent="0.25">
      <c r="A1375" s="2" t="s">
        <v>1650</v>
      </c>
      <c r="B1375" s="2" t="s">
        <v>1651</v>
      </c>
      <c r="C1375" s="2">
        <v>3</v>
      </c>
      <c r="D1375" t="str">
        <f t="shared" si="21"/>
        <v>CA-2014-162362_OFF-BI-10000756</v>
      </c>
      <c r="E1375" t="str">
        <f>IF(COUNTIF(data1!$D:$D,D1375)=0,"Missing in Data1","Present")</f>
        <v>Present</v>
      </c>
    </row>
    <row r="1376" spans="1:5" x14ac:dyDescent="0.25">
      <c r="A1376" s="2" t="s">
        <v>1652</v>
      </c>
      <c r="B1376" s="2" t="s">
        <v>1653</v>
      </c>
      <c r="C1376" s="2">
        <v>2</v>
      </c>
      <c r="D1376" t="str">
        <f t="shared" si="21"/>
        <v>CA-2014-162684_OFF-FA-10000992</v>
      </c>
      <c r="E1376" t="str">
        <f>IF(COUNTIF(data1!$D:$D,D1376)=0,"Missing in Data1","Present")</f>
        <v>Present</v>
      </c>
    </row>
    <row r="1377" spans="1:5" x14ac:dyDescent="0.25">
      <c r="A1377" s="2" t="s">
        <v>1654</v>
      </c>
      <c r="B1377" s="2" t="s">
        <v>1655</v>
      </c>
      <c r="C1377" s="2">
        <v>3</v>
      </c>
      <c r="D1377" t="str">
        <f t="shared" si="21"/>
        <v>CA-2014-162775_OFF-BI-10004187</v>
      </c>
      <c r="E1377" t="str">
        <f>IF(COUNTIF(data1!$D:$D,D1377)=0,"Missing in Data1","Present")</f>
        <v>Present</v>
      </c>
    </row>
    <row r="1378" spans="1:5" x14ac:dyDescent="0.25">
      <c r="A1378" s="2" t="s">
        <v>1654</v>
      </c>
      <c r="B1378" s="2" t="s">
        <v>1656</v>
      </c>
      <c r="C1378" s="2">
        <v>3</v>
      </c>
      <c r="D1378" t="str">
        <f t="shared" si="21"/>
        <v>CA-2014-162775_OFF-EN-10001532</v>
      </c>
      <c r="E1378" t="str">
        <f>IF(COUNTIF(data1!$D:$D,D1378)=0,"Missing in Data1","Present")</f>
        <v>Present</v>
      </c>
    </row>
    <row r="1379" spans="1:5" x14ac:dyDescent="0.25">
      <c r="A1379" s="2" t="s">
        <v>1654</v>
      </c>
      <c r="B1379" s="2" t="s">
        <v>281</v>
      </c>
      <c r="C1379" s="2">
        <v>2</v>
      </c>
      <c r="D1379" t="str">
        <f t="shared" si="21"/>
        <v>CA-2014-162775_OFF-EN-10001990</v>
      </c>
      <c r="E1379" t="str">
        <f>IF(COUNTIF(data1!$D:$D,D1379)=0,"Missing in Data1","Present")</f>
        <v>Present</v>
      </c>
    </row>
    <row r="1380" spans="1:5" x14ac:dyDescent="0.25">
      <c r="A1380" s="2" t="s">
        <v>1654</v>
      </c>
      <c r="B1380" s="2" t="s">
        <v>1657</v>
      </c>
      <c r="C1380" s="2">
        <v>6</v>
      </c>
      <c r="D1380" t="str">
        <f t="shared" si="21"/>
        <v>CA-2014-162775_OFF-ST-10000025</v>
      </c>
      <c r="E1380" t="str">
        <f>IF(COUNTIF(data1!$D:$D,D1380)=0,"Missing in Data1","Present")</f>
        <v>Present</v>
      </c>
    </row>
    <row r="1381" spans="1:5" x14ac:dyDescent="0.25">
      <c r="A1381" s="2" t="s">
        <v>1654</v>
      </c>
      <c r="B1381" s="2" t="s">
        <v>1658</v>
      </c>
      <c r="C1381" s="2">
        <v>6</v>
      </c>
      <c r="D1381" t="str">
        <f t="shared" si="21"/>
        <v>CA-2014-162775_TEC-AC-10003174</v>
      </c>
      <c r="E1381" t="str">
        <f>IF(COUNTIF(data1!$D:$D,D1381)=0,"Missing in Data1","Present")</f>
        <v>Present</v>
      </c>
    </row>
    <row r="1382" spans="1:5" x14ac:dyDescent="0.25">
      <c r="A1382" s="2" t="s">
        <v>1659</v>
      </c>
      <c r="B1382" s="2" t="s">
        <v>1529</v>
      </c>
      <c r="C1382" s="2">
        <v>6</v>
      </c>
      <c r="D1382" t="str">
        <f t="shared" si="21"/>
        <v>CA-2014-162866_FUR-FU-10001473</v>
      </c>
      <c r="E1382" t="str">
        <f>IF(COUNTIF(data1!$D:$D,D1382)=0,"Missing in Data1","Present")</f>
        <v>Present</v>
      </c>
    </row>
    <row r="1383" spans="1:5" x14ac:dyDescent="0.25">
      <c r="A1383" s="2" t="s">
        <v>1659</v>
      </c>
      <c r="B1383" s="2" t="s">
        <v>1660</v>
      </c>
      <c r="C1383" s="2">
        <v>4</v>
      </c>
      <c r="D1383" t="str">
        <f t="shared" si="21"/>
        <v>CA-2014-162866_OFF-ST-10002562</v>
      </c>
      <c r="E1383" t="str">
        <f>IF(COUNTIF(data1!$D:$D,D1383)=0,"Missing in Data1","Present")</f>
        <v>Present</v>
      </c>
    </row>
    <row r="1384" spans="1:5" x14ac:dyDescent="0.25">
      <c r="A1384" s="2" t="s">
        <v>1661</v>
      </c>
      <c r="B1384" s="2" t="s">
        <v>1662</v>
      </c>
      <c r="C1384" s="2">
        <v>5</v>
      </c>
      <c r="D1384" t="str">
        <f t="shared" si="21"/>
        <v>CA-2014-162992_OFF-FA-10004248</v>
      </c>
      <c r="E1384" t="str">
        <f>IF(COUNTIF(data1!$D:$D,D1384)=0,"Missing in Data1","Present")</f>
        <v>Present</v>
      </c>
    </row>
    <row r="1385" spans="1:5" x14ac:dyDescent="0.25">
      <c r="A1385" s="2" t="s">
        <v>1661</v>
      </c>
      <c r="B1385" s="2" t="s">
        <v>953</v>
      </c>
      <c r="C1385" s="2">
        <v>2</v>
      </c>
      <c r="D1385" t="str">
        <f t="shared" si="21"/>
        <v>CA-2014-162992_OFF-LA-10001934</v>
      </c>
      <c r="E1385" t="str">
        <f>IF(COUNTIF(data1!$D:$D,D1385)=0,"Missing in Data1","Present")</f>
        <v>Present</v>
      </c>
    </row>
    <row r="1386" spans="1:5" x14ac:dyDescent="0.25">
      <c r="A1386" s="2" t="s">
        <v>1661</v>
      </c>
      <c r="B1386" s="2" t="s">
        <v>1663</v>
      </c>
      <c r="C1386" s="2">
        <v>5</v>
      </c>
      <c r="D1386" t="str">
        <f t="shared" si="21"/>
        <v>CA-2014-162992_TEC-PH-10001944</v>
      </c>
      <c r="E1386" t="str">
        <f>IF(COUNTIF(data1!$D:$D,D1386)=0,"Missing in Data1","Present")</f>
        <v>Present</v>
      </c>
    </row>
    <row r="1387" spans="1:5" x14ac:dyDescent="0.25">
      <c r="A1387" s="2" t="s">
        <v>1661</v>
      </c>
      <c r="B1387" s="2" t="s">
        <v>1664</v>
      </c>
      <c r="C1387" s="2">
        <v>4</v>
      </c>
      <c r="D1387" t="str">
        <f t="shared" si="21"/>
        <v>CA-2014-162992_TEC-PH-10002085</v>
      </c>
      <c r="E1387" t="str">
        <f>IF(COUNTIF(data1!$D:$D,D1387)=0,"Missing in Data1","Present")</f>
        <v>Present</v>
      </c>
    </row>
    <row r="1388" spans="1:5" x14ac:dyDescent="0.25">
      <c r="A1388" s="2" t="s">
        <v>1665</v>
      </c>
      <c r="B1388" s="2" t="s">
        <v>1666</v>
      </c>
      <c r="C1388" s="2">
        <v>3</v>
      </c>
      <c r="D1388" t="str">
        <f t="shared" si="21"/>
        <v>CA-2014-163013_OFF-AR-10001954</v>
      </c>
      <c r="E1388" t="str">
        <f>IF(COUNTIF(data1!$D:$D,D1388)=0,"Missing in Data1","Present")</f>
        <v>Present</v>
      </c>
    </row>
    <row r="1389" spans="1:5" x14ac:dyDescent="0.25">
      <c r="A1389" s="2" t="s">
        <v>1667</v>
      </c>
      <c r="B1389" s="2" t="s">
        <v>435</v>
      </c>
      <c r="C1389" s="2">
        <v>5</v>
      </c>
      <c r="D1389" t="str">
        <f t="shared" si="21"/>
        <v>CA-2014-163034_OFF-ST-10000046</v>
      </c>
      <c r="E1389" t="str">
        <f>IF(COUNTIF(data1!$D:$D,D1389)=0,"Missing in Data1","Present")</f>
        <v>Present</v>
      </c>
    </row>
    <row r="1390" spans="1:5" x14ac:dyDescent="0.25">
      <c r="A1390" s="2" t="s">
        <v>1668</v>
      </c>
      <c r="B1390" s="2" t="s">
        <v>1669</v>
      </c>
      <c r="C1390" s="2">
        <v>4</v>
      </c>
      <c r="D1390" t="str">
        <f t="shared" si="21"/>
        <v>CA-2014-163223_OFF-AR-10001573</v>
      </c>
      <c r="E1390" t="str">
        <f>IF(COUNTIF(data1!$D:$D,D1390)=0,"Missing in Data1","Present")</f>
        <v>Present</v>
      </c>
    </row>
    <row r="1391" spans="1:5" x14ac:dyDescent="0.25">
      <c r="A1391" s="2" t="s">
        <v>1668</v>
      </c>
      <c r="B1391" s="2" t="s">
        <v>5</v>
      </c>
      <c r="C1391" s="2">
        <v>3</v>
      </c>
      <c r="D1391" t="str">
        <f t="shared" si="21"/>
        <v>CA-2014-163223_OFF-BI-10001597</v>
      </c>
      <c r="E1391" t="str">
        <f>IF(COUNTIF(data1!$D:$D,D1391)=0,"Missing in Data1","Present")</f>
        <v>Missing in Data1</v>
      </c>
    </row>
    <row r="1392" spans="1:5" x14ac:dyDescent="0.25">
      <c r="A1392" s="2" t="s">
        <v>1668</v>
      </c>
      <c r="B1392" s="2" t="s">
        <v>329</v>
      </c>
      <c r="C1392" s="2">
        <v>5</v>
      </c>
      <c r="D1392" t="str">
        <f t="shared" si="21"/>
        <v>CA-2014-163223_OFF-LA-10004409</v>
      </c>
      <c r="E1392" t="str">
        <f>IF(COUNTIF(data1!$D:$D,D1392)=0,"Missing in Data1","Present")</f>
        <v>Present</v>
      </c>
    </row>
    <row r="1393" spans="1:5" x14ac:dyDescent="0.25">
      <c r="A1393" s="2" t="s">
        <v>1668</v>
      </c>
      <c r="B1393" s="2" t="s">
        <v>1671</v>
      </c>
      <c r="C1393" s="2">
        <v>7</v>
      </c>
      <c r="D1393" t="str">
        <f t="shared" si="21"/>
        <v>CA-2014-163223_TEC-PH-10000730</v>
      </c>
      <c r="E1393" t="str">
        <f>IF(COUNTIF(data1!$D:$D,D1393)=0,"Missing in Data1","Present")</f>
        <v>Present</v>
      </c>
    </row>
    <row r="1394" spans="1:5" x14ac:dyDescent="0.25">
      <c r="A1394" s="2" t="s">
        <v>1672</v>
      </c>
      <c r="B1394" s="2" t="s">
        <v>536</v>
      </c>
      <c r="C1394" s="2">
        <v>4</v>
      </c>
      <c r="D1394" t="str">
        <f t="shared" si="21"/>
        <v>CA-2014-163293_TEC-AC-10000023</v>
      </c>
      <c r="E1394" t="str">
        <f>IF(COUNTIF(data1!$D:$D,D1394)=0,"Missing in Data1","Present")</f>
        <v>Present</v>
      </c>
    </row>
    <row r="1395" spans="1:5" x14ac:dyDescent="0.25">
      <c r="A1395" s="2" t="s">
        <v>1673</v>
      </c>
      <c r="B1395" s="2" t="s">
        <v>1674</v>
      </c>
      <c r="C1395" s="2">
        <v>3</v>
      </c>
      <c r="D1395" t="str">
        <f t="shared" si="21"/>
        <v>CA-2014-163412_FUR-CH-10004875</v>
      </c>
      <c r="E1395" t="str">
        <f>IF(COUNTIF(data1!$D:$D,D1395)=0,"Missing in Data1","Present")</f>
        <v>Present</v>
      </c>
    </row>
    <row r="1396" spans="1:5" x14ac:dyDescent="0.25">
      <c r="A1396" s="2" t="s">
        <v>1675</v>
      </c>
      <c r="B1396" s="2" t="s">
        <v>2884</v>
      </c>
      <c r="C1396" s="2">
        <v>5</v>
      </c>
      <c r="D1396" t="str">
        <f t="shared" si="21"/>
        <v>CA-2014-163419_FUR-CH-10000665</v>
      </c>
      <c r="E1396" t="str">
        <f>IF(COUNTIF(data1!$D:$D,D1396)=0,"Missing in Data1","Present")</f>
        <v>Missing in Data1</v>
      </c>
    </row>
    <row r="1397" spans="1:5" x14ac:dyDescent="0.25">
      <c r="A1397" s="2" t="s">
        <v>1675</v>
      </c>
      <c r="B1397" s="2" t="s">
        <v>903</v>
      </c>
      <c r="C1397" s="2">
        <v>1</v>
      </c>
      <c r="D1397" t="str">
        <f t="shared" si="21"/>
        <v>CA-2014-163419_OFF-AR-10000034</v>
      </c>
      <c r="E1397" t="str">
        <f>IF(COUNTIF(data1!$D:$D,D1397)=0,"Missing in Data1","Present")</f>
        <v>Present</v>
      </c>
    </row>
    <row r="1398" spans="1:5" x14ac:dyDescent="0.25">
      <c r="A1398" s="2" t="s">
        <v>1675</v>
      </c>
      <c r="B1398" s="2" t="s">
        <v>234</v>
      </c>
      <c r="C1398" s="2">
        <v>2</v>
      </c>
      <c r="D1398" t="str">
        <f t="shared" si="21"/>
        <v>CA-2014-163419_TEC-PH-10000560</v>
      </c>
      <c r="E1398" t="str">
        <f>IF(COUNTIF(data1!$D:$D,D1398)=0,"Missing in Data1","Present")</f>
        <v>Present</v>
      </c>
    </row>
    <row r="1399" spans="1:5" x14ac:dyDescent="0.25">
      <c r="A1399" s="2" t="s">
        <v>1676</v>
      </c>
      <c r="B1399" s="2" t="s">
        <v>1554</v>
      </c>
      <c r="C1399" s="2">
        <v>14</v>
      </c>
      <c r="D1399" t="str">
        <f t="shared" si="21"/>
        <v>CA-2014-163447_FUR-CH-10004477</v>
      </c>
      <c r="E1399" t="str">
        <f>IF(COUNTIF(data1!$D:$D,D1399)=0,"Missing in Data1","Present")</f>
        <v>Present</v>
      </c>
    </row>
    <row r="1400" spans="1:5" x14ac:dyDescent="0.25">
      <c r="A1400" s="2" t="s">
        <v>1677</v>
      </c>
      <c r="B1400" s="2" t="s">
        <v>1678</v>
      </c>
      <c r="C1400" s="2">
        <v>6</v>
      </c>
      <c r="D1400" t="str">
        <f t="shared" si="21"/>
        <v>CA-2014-163468_FUR-BO-10003546</v>
      </c>
      <c r="E1400" t="str">
        <f>IF(COUNTIF(data1!$D:$D,D1400)=0,"Missing in Data1","Present")</f>
        <v>Present</v>
      </c>
    </row>
    <row r="1401" spans="1:5" x14ac:dyDescent="0.25">
      <c r="A1401" s="2" t="s">
        <v>1677</v>
      </c>
      <c r="B1401" s="2" t="s">
        <v>643</v>
      </c>
      <c r="C1401" s="2">
        <v>2</v>
      </c>
      <c r="D1401" t="str">
        <f t="shared" si="21"/>
        <v>CA-2014-163468_FUR-FU-10001546</v>
      </c>
      <c r="E1401" t="str">
        <f>IF(COUNTIF(data1!$D:$D,D1401)=0,"Missing in Data1","Present")</f>
        <v>Present</v>
      </c>
    </row>
    <row r="1402" spans="1:5" x14ac:dyDescent="0.25">
      <c r="A1402" s="2" t="s">
        <v>1677</v>
      </c>
      <c r="B1402" s="2" t="s">
        <v>1679</v>
      </c>
      <c r="C1402" s="2">
        <v>4</v>
      </c>
      <c r="D1402" t="str">
        <f t="shared" si="21"/>
        <v>CA-2014-163468_FUR-TA-10002533</v>
      </c>
      <c r="E1402" t="str">
        <f>IF(COUNTIF(data1!$D:$D,D1402)=0,"Missing in Data1","Present")</f>
        <v>Present</v>
      </c>
    </row>
    <row r="1403" spans="1:5" x14ac:dyDescent="0.25">
      <c r="A1403" s="2" t="s">
        <v>1677</v>
      </c>
      <c r="B1403" s="2" t="s">
        <v>1680</v>
      </c>
      <c r="C1403" s="2">
        <v>3</v>
      </c>
      <c r="D1403" t="str">
        <f t="shared" si="21"/>
        <v>CA-2014-163468_OFF-BI-10004728</v>
      </c>
      <c r="E1403" t="str">
        <f>IF(COUNTIF(data1!$D:$D,D1403)=0,"Missing in Data1","Present")</f>
        <v>Present</v>
      </c>
    </row>
    <row r="1404" spans="1:5" x14ac:dyDescent="0.25">
      <c r="A1404" s="2" t="s">
        <v>1677</v>
      </c>
      <c r="B1404" s="2" t="s">
        <v>1657</v>
      </c>
      <c r="C1404" s="2">
        <v>5</v>
      </c>
      <c r="D1404" t="str">
        <f t="shared" si="21"/>
        <v>CA-2014-163468_OFF-ST-10000025</v>
      </c>
      <c r="E1404" t="str">
        <f>IF(COUNTIF(data1!$D:$D,D1404)=0,"Missing in Data1","Present")</f>
        <v>Present</v>
      </c>
    </row>
    <row r="1405" spans="1:5" x14ac:dyDescent="0.25">
      <c r="A1405" s="2" t="s">
        <v>1681</v>
      </c>
      <c r="B1405" s="2" t="s">
        <v>1682</v>
      </c>
      <c r="C1405" s="2">
        <v>3</v>
      </c>
      <c r="D1405" t="str">
        <f t="shared" si="21"/>
        <v>CA-2014-163552_FUR-CH-10003379</v>
      </c>
      <c r="E1405" t="str">
        <f>IF(COUNTIF(data1!$D:$D,D1405)=0,"Missing in Data1","Present")</f>
        <v>Present</v>
      </c>
    </row>
    <row r="1406" spans="1:5" x14ac:dyDescent="0.25">
      <c r="A1406" s="2" t="s">
        <v>1681</v>
      </c>
      <c r="B1406" s="2" t="s">
        <v>590</v>
      </c>
      <c r="C1406" s="2">
        <v>9</v>
      </c>
      <c r="D1406" t="str">
        <f t="shared" si="21"/>
        <v>CA-2014-163552_FUR-FU-10000629</v>
      </c>
      <c r="E1406" t="str">
        <f>IF(COUNTIF(data1!$D:$D,D1406)=0,"Missing in Data1","Present")</f>
        <v>Present</v>
      </c>
    </row>
    <row r="1407" spans="1:5" x14ac:dyDescent="0.25">
      <c r="A1407" s="2" t="s">
        <v>1681</v>
      </c>
      <c r="B1407" s="2" t="s">
        <v>794</v>
      </c>
      <c r="C1407" s="2">
        <v>5</v>
      </c>
      <c r="D1407" t="str">
        <f t="shared" si="21"/>
        <v>CA-2014-163552_OFF-LA-10001175</v>
      </c>
      <c r="E1407" t="str">
        <f>IF(COUNTIF(data1!$D:$D,D1407)=0,"Missing in Data1","Present")</f>
        <v>Present</v>
      </c>
    </row>
    <row r="1408" spans="1:5" x14ac:dyDescent="0.25">
      <c r="A1408" s="2" t="s">
        <v>1681</v>
      </c>
      <c r="B1408" s="2" t="s">
        <v>433</v>
      </c>
      <c r="C1408" s="2">
        <v>5</v>
      </c>
      <c r="D1408" t="str">
        <f t="shared" si="21"/>
        <v>CA-2014-163552_OFF-PA-10000474</v>
      </c>
      <c r="E1408" t="str">
        <f>IF(COUNTIF(data1!$D:$D,D1408)=0,"Missing in Data1","Present")</f>
        <v>Present</v>
      </c>
    </row>
    <row r="1409" spans="1:5" x14ac:dyDescent="0.25">
      <c r="A1409" s="2" t="s">
        <v>1684</v>
      </c>
      <c r="B1409" s="2" t="s">
        <v>637</v>
      </c>
      <c r="C1409" s="2">
        <v>3</v>
      </c>
      <c r="D1409" t="str">
        <f t="shared" si="21"/>
        <v>CA-2014-163559_OFF-BI-10002026</v>
      </c>
      <c r="E1409" t="str">
        <f>IF(COUNTIF(data1!$D:$D,D1409)=0,"Missing in Data1","Present")</f>
        <v>Present</v>
      </c>
    </row>
    <row r="1410" spans="1:5" x14ac:dyDescent="0.25">
      <c r="A1410" s="2" t="s">
        <v>1685</v>
      </c>
      <c r="B1410" s="2" t="s">
        <v>396</v>
      </c>
      <c r="C1410" s="2">
        <v>3</v>
      </c>
      <c r="D1410" t="str">
        <f t="shared" si="21"/>
        <v>CA-2014-163650_OFF-AR-10002375</v>
      </c>
      <c r="E1410" t="str">
        <f>IF(COUNTIF(data1!$D:$D,D1410)=0,"Missing in Data1","Present")</f>
        <v>Present</v>
      </c>
    </row>
    <row r="1411" spans="1:5" x14ac:dyDescent="0.25">
      <c r="A1411" s="2" t="s">
        <v>1685</v>
      </c>
      <c r="B1411" s="2" t="s">
        <v>1686</v>
      </c>
      <c r="C1411" s="2">
        <v>3</v>
      </c>
      <c r="D1411" t="str">
        <f t="shared" ref="D1411:D1474" si="22">A1411&amp;"_"&amp;B1411</f>
        <v>CA-2014-163650_OFF-BI-10004965</v>
      </c>
      <c r="E1411" t="str">
        <f>IF(COUNTIF(data1!$D:$D,D1411)=0,"Missing in Data1","Present")</f>
        <v>Present</v>
      </c>
    </row>
    <row r="1412" spans="1:5" x14ac:dyDescent="0.25">
      <c r="A1412" s="2" t="s">
        <v>1687</v>
      </c>
      <c r="B1412" s="2" t="s">
        <v>2033</v>
      </c>
      <c r="C1412" s="2">
        <v>4</v>
      </c>
      <c r="D1412" t="str">
        <f t="shared" si="22"/>
        <v>CA-2014-163748_OFF-AP-10004052</v>
      </c>
      <c r="E1412" t="str">
        <f>IF(COUNTIF(data1!$D:$D,D1412)=0,"Missing in Data1","Present")</f>
        <v>Missing in Data1</v>
      </c>
    </row>
    <row r="1413" spans="1:5" x14ac:dyDescent="0.25">
      <c r="A1413" s="2" t="s">
        <v>1687</v>
      </c>
      <c r="B1413" s="2" t="s">
        <v>1688</v>
      </c>
      <c r="C1413" s="2">
        <v>5</v>
      </c>
      <c r="D1413" t="str">
        <f t="shared" si="22"/>
        <v>CA-2014-163748_TEC-CO-10002095</v>
      </c>
      <c r="E1413" t="str">
        <f>IF(COUNTIF(data1!$D:$D,D1413)=0,"Missing in Data1","Present")</f>
        <v>Present</v>
      </c>
    </row>
    <row r="1414" spans="1:5" x14ac:dyDescent="0.25">
      <c r="A1414" s="2" t="s">
        <v>1689</v>
      </c>
      <c r="B1414" s="2" t="s">
        <v>1690</v>
      </c>
      <c r="C1414" s="2">
        <v>7</v>
      </c>
      <c r="D1414" t="str">
        <f t="shared" si="22"/>
        <v>CA-2014-163867_FUR-FU-10001475</v>
      </c>
      <c r="E1414" t="str">
        <f>IF(COUNTIF(data1!$D:$D,D1414)=0,"Missing in Data1","Present")</f>
        <v>Present</v>
      </c>
    </row>
    <row r="1415" spans="1:5" x14ac:dyDescent="0.25">
      <c r="A1415" s="2" t="s">
        <v>1689</v>
      </c>
      <c r="B1415" s="2" t="s">
        <v>97</v>
      </c>
      <c r="C1415" s="2">
        <v>4</v>
      </c>
      <c r="D1415" t="str">
        <f t="shared" si="22"/>
        <v>CA-2014-163867_OFF-LA-10001771</v>
      </c>
      <c r="E1415" t="str">
        <f>IF(COUNTIF(data1!$D:$D,D1415)=0,"Missing in Data1","Present")</f>
        <v>Present</v>
      </c>
    </row>
    <row r="1416" spans="1:5" x14ac:dyDescent="0.25">
      <c r="A1416" s="2" t="s">
        <v>1689</v>
      </c>
      <c r="B1416" s="2" t="s">
        <v>628</v>
      </c>
      <c r="C1416" s="2">
        <v>3</v>
      </c>
      <c r="D1416" t="str">
        <f t="shared" si="22"/>
        <v>CA-2014-163867_OFF-ST-10000877</v>
      </c>
      <c r="E1416" t="str">
        <f>IF(COUNTIF(data1!$D:$D,D1416)=0,"Missing in Data1","Present")</f>
        <v>Missing in Data1</v>
      </c>
    </row>
    <row r="1417" spans="1:5" x14ac:dyDescent="0.25">
      <c r="A1417" s="2" t="s">
        <v>1691</v>
      </c>
      <c r="B1417" s="2" t="s">
        <v>1692</v>
      </c>
      <c r="C1417" s="2">
        <v>2</v>
      </c>
      <c r="D1417" t="str">
        <f t="shared" si="22"/>
        <v>CA-2014-164182_FUR-FU-10001057</v>
      </c>
      <c r="E1417" t="str">
        <f>IF(COUNTIF(data1!$D:$D,D1417)=0,"Missing in Data1","Present")</f>
        <v>Present</v>
      </c>
    </row>
    <row r="1418" spans="1:5" x14ac:dyDescent="0.25">
      <c r="A1418" s="2" t="s">
        <v>1691</v>
      </c>
      <c r="B1418" s="2" t="s">
        <v>1693</v>
      </c>
      <c r="C1418" s="2">
        <v>2</v>
      </c>
      <c r="D1418" t="str">
        <f t="shared" si="22"/>
        <v>CA-2014-164182_OFF-AR-10001044</v>
      </c>
      <c r="E1418" t="str">
        <f>IF(COUNTIF(data1!$D:$D,D1418)=0,"Missing in Data1","Present")</f>
        <v>Present</v>
      </c>
    </row>
    <row r="1419" spans="1:5" x14ac:dyDescent="0.25">
      <c r="A1419" s="2" t="s">
        <v>1691</v>
      </c>
      <c r="B1419" s="2" t="s">
        <v>1694</v>
      </c>
      <c r="C1419" s="2">
        <v>1</v>
      </c>
      <c r="D1419" t="str">
        <f t="shared" si="22"/>
        <v>CA-2014-164182_TEC-PH-10002070</v>
      </c>
      <c r="E1419" t="str">
        <f>IF(COUNTIF(data1!$D:$D,D1419)=0,"Missing in Data1","Present")</f>
        <v>Present</v>
      </c>
    </row>
    <row r="1420" spans="1:5" x14ac:dyDescent="0.25">
      <c r="A1420" s="2" t="s">
        <v>1691</v>
      </c>
      <c r="B1420" s="2" t="s">
        <v>1145</v>
      </c>
      <c r="C1420" s="2">
        <v>2</v>
      </c>
      <c r="D1420" t="str">
        <f t="shared" si="22"/>
        <v>CA-2014-164182_TEC-PH-10002583</v>
      </c>
      <c r="E1420" t="str">
        <f>IF(COUNTIF(data1!$D:$D,D1420)=0,"Missing in Data1","Present")</f>
        <v>Present</v>
      </c>
    </row>
    <row r="1421" spans="1:5" x14ac:dyDescent="0.25">
      <c r="A1421" s="2" t="s">
        <v>1695</v>
      </c>
      <c r="B1421" s="2" t="s">
        <v>1696</v>
      </c>
      <c r="C1421" s="2">
        <v>2</v>
      </c>
      <c r="D1421" t="str">
        <f t="shared" si="22"/>
        <v>CA-2014-164210_FUR-TA-10000849</v>
      </c>
      <c r="E1421" t="str">
        <f>IF(COUNTIF(data1!$D:$D,D1421)=0,"Missing in Data1","Present")</f>
        <v>Present</v>
      </c>
    </row>
    <row r="1422" spans="1:5" x14ac:dyDescent="0.25">
      <c r="A1422" s="2" t="s">
        <v>1695</v>
      </c>
      <c r="B1422" s="2" t="s">
        <v>1336</v>
      </c>
      <c r="C1422" s="2">
        <v>4</v>
      </c>
      <c r="D1422" t="str">
        <f t="shared" si="22"/>
        <v>CA-2014-164210_OFF-PA-10002259</v>
      </c>
      <c r="E1422" t="str">
        <f>IF(COUNTIF(data1!$D:$D,D1422)=0,"Missing in Data1","Present")</f>
        <v>Present</v>
      </c>
    </row>
    <row r="1423" spans="1:5" x14ac:dyDescent="0.25">
      <c r="A1423" s="2" t="s">
        <v>1697</v>
      </c>
      <c r="B1423" s="2" t="s">
        <v>1698</v>
      </c>
      <c r="C1423" s="2">
        <v>3</v>
      </c>
      <c r="D1423" t="str">
        <f t="shared" si="22"/>
        <v>CA-2014-164224_FUR-FU-10000308</v>
      </c>
      <c r="E1423" t="str">
        <f>IF(COUNTIF(data1!$D:$D,D1423)=0,"Missing in Data1","Present")</f>
        <v>Present</v>
      </c>
    </row>
    <row r="1424" spans="1:5" x14ac:dyDescent="0.25">
      <c r="A1424" s="2" t="s">
        <v>1697</v>
      </c>
      <c r="B1424" s="2" t="s">
        <v>785</v>
      </c>
      <c r="C1424" s="2">
        <v>4</v>
      </c>
      <c r="D1424" t="str">
        <f t="shared" si="22"/>
        <v>CA-2014-164224_OFF-PA-10001526</v>
      </c>
      <c r="E1424" t="str">
        <f>IF(COUNTIF(data1!$D:$D,D1424)=0,"Missing in Data1","Present")</f>
        <v>Present</v>
      </c>
    </row>
    <row r="1425" spans="1:5" x14ac:dyDescent="0.25">
      <c r="A1425" s="2" t="s">
        <v>1699</v>
      </c>
      <c r="B1425" s="2" t="s">
        <v>1700</v>
      </c>
      <c r="C1425" s="2">
        <v>4</v>
      </c>
      <c r="D1425" t="str">
        <f t="shared" si="22"/>
        <v>CA-2014-164259_OFF-AR-10003373</v>
      </c>
      <c r="E1425" t="str">
        <f>IF(COUNTIF(data1!$D:$D,D1425)=0,"Missing in Data1","Present")</f>
        <v>Present</v>
      </c>
    </row>
    <row r="1426" spans="1:5" x14ac:dyDescent="0.25">
      <c r="A1426" s="2" t="s">
        <v>1701</v>
      </c>
      <c r="B1426" s="2" t="s">
        <v>816</v>
      </c>
      <c r="C1426" s="2">
        <v>5</v>
      </c>
      <c r="D1426" t="str">
        <f t="shared" si="22"/>
        <v>CA-2014-164315_OFF-AP-10003842</v>
      </c>
      <c r="E1426" t="str">
        <f>IF(COUNTIF(data1!$D:$D,D1426)=0,"Missing in Data1","Present")</f>
        <v>Present</v>
      </c>
    </row>
    <row r="1427" spans="1:5" x14ac:dyDescent="0.25">
      <c r="A1427" s="2" t="s">
        <v>1701</v>
      </c>
      <c r="B1427" s="2" t="s">
        <v>1702</v>
      </c>
      <c r="C1427" s="2">
        <v>3</v>
      </c>
      <c r="D1427" t="str">
        <f t="shared" si="22"/>
        <v>CA-2014-164315_OFF-PA-10004248</v>
      </c>
      <c r="E1427" t="str">
        <f>IF(COUNTIF(data1!$D:$D,D1427)=0,"Missing in Data1","Present")</f>
        <v>Present</v>
      </c>
    </row>
    <row r="1428" spans="1:5" x14ac:dyDescent="0.25">
      <c r="A1428" s="2" t="s">
        <v>1701</v>
      </c>
      <c r="B1428" s="2" t="s">
        <v>141</v>
      </c>
      <c r="C1428" s="2">
        <v>7</v>
      </c>
      <c r="D1428" t="str">
        <f t="shared" si="22"/>
        <v>CA-2014-164315_TEC-PH-10001128</v>
      </c>
      <c r="E1428" t="str">
        <f>IF(COUNTIF(data1!$D:$D,D1428)=0,"Missing in Data1","Present")</f>
        <v>Missing in Data1</v>
      </c>
    </row>
    <row r="1429" spans="1:5" x14ac:dyDescent="0.25">
      <c r="A1429" s="2" t="s">
        <v>1703</v>
      </c>
      <c r="B1429" s="2" t="s">
        <v>1704</v>
      </c>
      <c r="C1429" s="2">
        <v>3</v>
      </c>
      <c r="D1429" t="str">
        <f t="shared" si="22"/>
        <v>CA-2014-164385_OFF-AP-10002191</v>
      </c>
      <c r="E1429" t="str">
        <f>IF(COUNTIF(data1!$D:$D,D1429)=0,"Missing in Data1","Present")</f>
        <v>Present</v>
      </c>
    </row>
    <row r="1430" spans="1:5" x14ac:dyDescent="0.25">
      <c r="A1430" s="2" t="s">
        <v>1705</v>
      </c>
      <c r="B1430" s="2" t="s">
        <v>659</v>
      </c>
      <c r="C1430" s="2">
        <v>1</v>
      </c>
      <c r="D1430" t="str">
        <f t="shared" si="22"/>
        <v>CA-2014-164469_OFF-AR-10000475</v>
      </c>
      <c r="E1430" t="str">
        <f>IF(COUNTIF(data1!$D:$D,D1430)=0,"Missing in Data1","Present")</f>
        <v>Present</v>
      </c>
    </row>
    <row r="1431" spans="1:5" x14ac:dyDescent="0.25">
      <c r="A1431" s="2" t="s">
        <v>1705</v>
      </c>
      <c r="B1431" s="2" t="s">
        <v>1246</v>
      </c>
      <c r="C1431" s="2">
        <v>11</v>
      </c>
      <c r="D1431" t="str">
        <f t="shared" si="22"/>
        <v>CA-2014-164469_OFF-AR-10003478</v>
      </c>
      <c r="E1431" t="str">
        <f>IF(COUNTIF(data1!$D:$D,D1431)=0,"Missing in Data1","Present")</f>
        <v>Present</v>
      </c>
    </row>
    <row r="1432" spans="1:5" x14ac:dyDescent="0.25">
      <c r="A1432" s="2" t="s">
        <v>1705</v>
      </c>
      <c r="B1432" s="2" t="s">
        <v>3035</v>
      </c>
      <c r="C1432" s="2">
        <v>5</v>
      </c>
      <c r="D1432" t="str">
        <f t="shared" si="22"/>
        <v>CA-2014-164469_TEC-PH-10002115</v>
      </c>
      <c r="E1432" t="str">
        <f>IF(COUNTIF(data1!$D:$D,D1432)=0,"Missing in Data1","Present")</f>
        <v>Missing in Data1</v>
      </c>
    </row>
    <row r="1433" spans="1:5" x14ac:dyDescent="0.25">
      <c r="A1433" s="2" t="s">
        <v>1706</v>
      </c>
      <c r="B1433" s="2" t="s">
        <v>661</v>
      </c>
      <c r="C1433" s="2">
        <v>3</v>
      </c>
      <c r="D1433" t="str">
        <f t="shared" si="22"/>
        <v>CA-2014-164721_FUR-FU-10001940</v>
      </c>
      <c r="E1433" t="str">
        <f>IF(COUNTIF(data1!$D:$D,D1433)=0,"Missing in Data1","Present")</f>
        <v>Missing in Data1</v>
      </c>
    </row>
    <row r="1434" spans="1:5" x14ac:dyDescent="0.25">
      <c r="A1434" s="2" t="s">
        <v>1706</v>
      </c>
      <c r="B1434" s="2" t="s">
        <v>1457</v>
      </c>
      <c r="C1434" s="2">
        <v>6</v>
      </c>
      <c r="D1434" t="str">
        <f t="shared" si="22"/>
        <v>CA-2014-164721_OFF-AP-10000240</v>
      </c>
      <c r="E1434" t="str">
        <f>IF(COUNTIF(data1!$D:$D,D1434)=0,"Missing in Data1","Present")</f>
        <v>Present</v>
      </c>
    </row>
    <row r="1435" spans="1:5" x14ac:dyDescent="0.25">
      <c r="A1435" s="2" t="s">
        <v>1706</v>
      </c>
      <c r="B1435" s="2" t="s">
        <v>1707</v>
      </c>
      <c r="C1435" s="2">
        <v>4</v>
      </c>
      <c r="D1435" t="str">
        <f t="shared" si="22"/>
        <v>CA-2014-164721_OFF-PA-10000575</v>
      </c>
      <c r="E1435" t="str">
        <f>IF(COUNTIF(data1!$D:$D,D1435)=0,"Missing in Data1","Present")</f>
        <v>Present</v>
      </c>
    </row>
    <row r="1436" spans="1:5" x14ac:dyDescent="0.25">
      <c r="A1436" s="2" t="s">
        <v>1708</v>
      </c>
      <c r="B1436" s="2" t="s">
        <v>1497</v>
      </c>
      <c r="C1436" s="2">
        <v>2</v>
      </c>
      <c r="D1436" t="str">
        <f t="shared" si="22"/>
        <v>CA-2014-164742_FUR-CH-10002880</v>
      </c>
      <c r="E1436" t="str">
        <f>IF(COUNTIF(data1!$D:$D,D1436)=0,"Missing in Data1","Present")</f>
        <v>Present</v>
      </c>
    </row>
    <row r="1437" spans="1:5" x14ac:dyDescent="0.25">
      <c r="A1437" s="2" t="s">
        <v>1708</v>
      </c>
      <c r="B1437" s="2" t="s">
        <v>1709</v>
      </c>
      <c r="C1437" s="2">
        <v>1</v>
      </c>
      <c r="D1437" t="str">
        <f t="shared" si="22"/>
        <v>CA-2014-164742_OFF-BI-10004738</v>
      </c>
      <c r="E1437" t="str">
        <f>IF(COUNTIF(data1!$D:$D,D1437)=0,"Missing in Data1","Present")</f>
        <v>Present</v>
      </c>
    </row>
    <row r="1438" spans="1:5" x14ac:dyDescent="0.25">
      <c r="A1438" s="2" t="s">
        <v>1710</v>
      </c>
      <c r="B1438" s="2" t="s">
        <v>1711</v>
      </c>
      <c r="C1438" s="2">
        <v>3</v>
      </c>
      <c r="D1438" t="str">
        <f t="shared" si="22"/>
        <v>CA-2014-164749_OFF-LA-10004484</v>
      </c>
      <c r="E1438" t="str">
        <f>IF(COUNTIF(data1!$D:$D,D1438)=0,"Missing in Data1","Present")</f>
        <v>Present</v>
      </c>
    </row>
    <row r="1439" spans="1:5" x14ac:dyDescent="0.25">
      <c r="A1439" s="2" t="s">
        <v>1715</v>
      </c>
      <c r="B1439" s="2" t="s">
        <v>971</v>
      </c>
      <c r="C1439" s="2">
        <v>3</v>
      </c>
      <c r="D1439" t="str">
        <f t="shared" si="22"/>
        <v>CA-2014-164910_OFF-AR-10003651</v>
      </c>
      <c r="E1439" t="str">
        <f>IF(COUNTIF(data1!$D:$D,D1439)=0,"Missing in Data1","Present")</f>
        <v>Present</v>
      </c>
    </row>
    <row r="1440" spans="1:5" x14ac:dyDescent="0.25">
      <c r="A1440" s="2" t="s">
        <v>1716</v>
      </c>
      <c r="B1440" s="2" t="s">
        <v>16</v>
      </c>
      <c r="C1440" s="2">
        <v>1</v>
      </c>
      <c r="D1440" t="str">
        <f t="shared" si="22"/>
        <v>CA-2014-164973_FUR-CH-10002602</v>
      </c>
      <c r="E1440" t="str">
        <f>IF(COUNTIF(data1!$D:$D,D1440)=0,"Missing in Data1","Present")</f>
        <v>Present</v>
      </c>
    </row>
    <row r="1441" spans="1:5" x14ac:dyDescent="0.25">
      <c r="A1441" s="2" t="s">
        <v>1716</v>
      </c>
      <c r="B1441" s="2" t="s">
        <v>1717</v>
      </c>
      <c r="C1441" s="2">
        <v>1</v>
      </c>
      <c r="D1441" t="str">
        <f t="shared" si="22"/>
        <v>CA-2014-164973_OFF-ST-10002974</v>
      </c>
      <c r="E1441" t="str">
        <f>IF(COUNTIF(data1!$D:$D,D1441)=0,"Missing in Data1","Present")</f>
        <v>Present</v>
      </c>
    </row>
    <row r="1442" spans="1:5" x14ac:dyDescent="0.25">
      <c r="A1442" s="2" t="s">
        <v>1716</v>
      </c>
      <c r="B1442" s="2" t="s">
        <v>1718</v>
      </c>
      <c r="C1442" s="2">
        <v>4</v>
      </c>
      <c r="D1442" t="str">
        <f t="shared" si="22"/>
        <v>CA-2014-164973_TEC-AC-10000892</v>
      </c>
      <c r="E1442" t="str">
        <f>IF(COUNTIF(data1!$D:$D,D1442)=0,"Missing in Data1","Present")</f>
        <v>Present</v>
      </c>
    </row>
    <row r="1443" spans="1:5" x14ac:dyDescent="0.25">
      <c r="A1443" s="2" t="s">
        <v>1716</v>
      </c>
      <c r="B1443" s="2" t="s">
        <v>1719</v>
      </c>
      <c r="C1443" s="2">
        <v>2</v>
      </c>
      <c r="D1443" t="str">
        <f t="shared" si="22"/>
        <v>CA-2014-164973_TEC-MA-10002927</v>
      </c>
      <c r="E1443" t="str">
        <f>IF(COUNTIF(data1!$D:$D,D1443)=0,"Missing in Data1","Present")</f>
        <v>Present</v>
      </c>
    </row>
    <row r="1444" spans="1:5" x14ac:dyDescent="0.25">
      <c r="A1444" s="2" t="s">
        <v>1716</v>
      </c>
      <c r="B1444" s="2" t="s">
        <v>1522</v>
      </c>
      <c r="C1444" s="2">
        <v>6</v>
      </c>
      <c r="D1444" t="str">
        <f t="shared" si="22"/>
        <v>CA-2014-164973_TEC-PH-10004093</v>
      </c>
      <c r="E1444" t="str">
        <f>IF(COUNTIF(data1!$D:$D,D1444)=0,"Missing in Data1","Present")</f>
        <v>Present</v>
      </c>
    </row>
    <row r="1445" spans="1:5" x14ac:dyDescent="0.25">
      <c r="A1445" s="2" t="s">
        <v>1720</v>
      </c>
      <c r="B1445" s="2" t="s">
        <v>2183</v>
      </c>
      <c r="C1445" s="2">
        <v>3</v>
      </c>
      <c r="D1445" t="str">
        <f t="shared" si="22"/>
        <v>CA-2014-165309_OFF-AR-10003582</v>
      </c>
      <c r="E1445" t="str">
        <f>IF(COUNTIF(data1!$D:$D,D1445)=0,"Missing in Data1","Present")</f>
        <v>Missing in Data1</v>
      </c>
    </row>
    <row r="1446" spans="1:5" x14ac:dyDescent="0.25">
      <c r="A1446" s="2" t="s">
        <v>1720</v>
      </c>
      <c r="B1446" s="2" t="s">
        <v>1721</v>
      </c>
      <c r="C1446" s="2">
        <v>1</v>
      </c>
      <c r="D1446" t="str">
        <f t="shared" si="22"/>
        <v>CA-2014-165309_OFF-BI-10001267</v>
      </c>
      <c r="E1446" t="str">
        <f>IF(COUNTIF(data1!$D:$D,D1446)=0,"Missing in Data1","Present")</f>
        <v>Present</v>
      </c>
    </row>
    <row r="1447" spans="1:5" x14ac:dyDescent="0.25">
      <c r="A1447" s="2" t="s">
        <v>1720</v>
      </c>
      <c r="B1447" s="2" t="s">
        <v>502</v>
      </c>
      <c r="C1447" s="2">
        <v>5</v>
      </c>
      <c r="D1447" t="str">
        <f t="shared" si="22"/>
        <v>CA-2014-165309_OFF-BI-10001359</v>
      </c>
      <c r="E1447" t="str">
        <f>IF(COUNTIF(data1!$D:$D,D1447)=0,"Missing in Data1","Present")</f>
        <v>Present</v>
      </c>
    </row>
    <row r="1448" spans="1:5" x14ac:dyDescent="0.25">
      <c r="A1448" s="2" t="s">
        <v>1720</v>
      </c>
      <c r="B1448" s="2" t="s">
        <v>1435</v>
      </c>
      <c r="C1448" s="2">
        <v>8</v>
      </c>
      <c r="D1448" t="str">
        <f t="shared" si="22"/>
        <v>CA-2014-165309_OFF-PA-10001033</v>
      </c>
      <c r="E1448" t="str">
        <f>IF(COUNTIF(data1!$D:$D,D1448)=0,"Missing in Data1","Present")</f>
        <v>Missing in Data1</v>
      </c>
    </row>
    <row r="1449" spans="1:5" x14ac:dyDescent="0.25">
      <c r="A1449" s="2" t="s">
        <v>1720</v>
      </c>
      <c r="B1449" s="2" t="s">
        <v>139</v>
      </c>
      <c r="C1449" s="2">
        <v>2</v>
      </c>
      <c r="D1449" t="str">
        <f t="shared" si="22"/>
        <v>CA-2014-165309_TEC-PH-10003505</v>
      </c>
      <c r="E1449" t="str">
        <f>IF(COUNTIF(data1!$D:$D,D1449)=0,"Missing in Data1","Present")</f>
        <v>Missing in Data1</v>
      </c>
    </row>
    <row r="1450" spans="1:5" x14ac:dyDescent="0.25">
      <c r="A1450" s="2" t="s">
        <v>1720</v>
      </c>
      <c r="B1450" s="2" t="s">
        <v>1722</v>
      </c>
      <c r="C1450" s="2">
        <v>3</v>
      </c>
      <c r="D1450" t="str">
        <f t="shared" si="22"/>
        <v>CA-2014-165309_TEC-PH-10004959</v>
      </c>
      <c r="E1450" t="str">
        <f>IF(COUNTIF(data1!$D:$D,D1450)=0,"Missing in Data1","Present")</f>
        <v>Present</v>
      </c>
    </row>
    <row r="1451" spans="1:5" x14ac:dyDescent="0.25">
      <c r="A1451" s="2" t="s">
        <v>1723</v>
      </c>
      <c r="B1451" s="2" t="s">
        <v>1094</v>
      </c>
      <c r="C1451" s="2">
        <v>3</v>
      </c>
      <c r="D1451" t="str">
        <f t="shared" si="22"/>
        <v>CA-2014-165379_OFF-PA-10002245</v>
      </c>
      <c r="E1451" t="str">
        <f>IF(COUNTIF(data1!$D:$D,D1451)=0,"Missing in Data1","Present")</f>
        <v>Present</v>
      </c>
    </row>
    <row r="1452" spans="1:5" x14ac:dyDescent="0.25">
      <c r="A1452" s="2" t="s">
        <v>1723</v>
      </c>
      <c r="B1452" s="2" t="s">
        <v>1724</v>
      </c>
      <c r="C1452" s="2">
        <v>2</v>
      </c>
      <c r="D1452" t="str">
        <f t="shared" si="22"/>
        <v>CA-2014-165379_OFF-PA-10003072</v>
      </c>
      <c r="E1452" t="str">
        <f>IF(COUNTIF(data1!$D:$D,D1452)=0,"Missing in Data1","Present")</f>
        <v>Present</v>
      </c>
    </row>
    <row r="1453" spans="1:5" x14ac:dyDescent="0.25">
      <c r="A1453" s="2" t="s">
        <v>1725</v>
      </c>
      <c r="B1453" s="2" t="s">
        <v>190</v>
      </c>
      <c r="C1453" s="2">
        <v>1</v>
      </c>
      <c r="D1453" t="str">
        <f t="shared" si="22"/>
        <v>CA-2014-165393_OFF-BI-10001658</v>
      </c>
      <c r="E1453" t="str">
        <f>IF(COUNTIF(data1!$D:$D,D1453)=0,"Missing in Data1","Present")</f>
        <v>Present</v>
      </c>
    </row>
    <row r="1454" spans="1:5" x14ac:dyDescent="0.25">
      <c r="A1454" s="2" t="s">
        <v>1726</v>
      </c>
      <c r="B1454" s="2" t="s">
        <v>1727</v>
      </c>
      <c r="C1454" s="2">
        <v>3</v>
      </c>
      <c r="D1454" t="str">
        <f t="shared" si="22"/>
        <v>CA-2014-165428_OFF-BI-10002949</v>
      </c>
      <c r="E1454" t="str">
        <f>IF(COUNTIF(data1!$D:$D,D1454)=0,"Missing in Data1","Present")</f>
        <v>Present</v>
      </c>
    </row>
    <row r="1455" spans="1:5" x14ac:dyDescent="0.25">
      <c r="A1455" s="2" t="s">
        <v>1726</v>
      </c>
      <c r="B1455" s="2" t="s">
        <v>1728</v>
      </c>
      <c r="C1455" s="2">
        <v>6</v>
      </c>
      <c r="D1455" t="str">
        <f t="shared" si="22"/>
        <v>CA-2014-165428_OFF-PA-10004100</v>
      </c>
      <c r="E1455" t="str">
        <f>IF(COUNTIF(data1!$D:$D,D1455)=0,"Missing in Data1","Present")</f>
        <v>Present</v>
      </c>
    </row>
    <row r="1456" spans="1:5" x14ac:dyDescent="0.25">
      <c r="A1456" s="2" t="s">
        <v>1729</v>
      </c>
      <c r="B1456" s="2" t="s">
        <v>797</v>
      </c>
      <c r="C1456" s="2">
        <v>5</v>
      </c>
      <c r="D1456" t="str">
        <f t="shared" si="22"/>
        <v>CA-2014-165477_OFF-AP-10003281</v>
      </c>
      <c r="E1456" t="str">
        <f>IF(COUNTIF(data1!$D:$D,D1456)=0,"Missing in Data1","Present")</f>
        <v>Present</v>
      </c>
    </row>
    <row r="1457" spans="1:5" x14ac:dyDescent="0.25">
      <c r="A1457" s="2" t="s">
        <v>1730</v>
      </c>
      <c r="B1457" s="2" t="s">
        <v>442</v>
      </c>
      <c r="C1457" s="2">
        <v>5</v>
      </c>
      <c r="D1457" t="str">
        <f t="shared" si="22"/>
        <v>CA-2014-165540_OFF-BI-10004094</v>
      </c>
      <c r="E1457" t="str">
        <f>IF(COUNTIF(data1!$D:$D,D1457)=0,"Missing in Data1","Present")</f>
        <v>Present</v>
      </c>
    </row>
    <row r="1458" spans="1:5" x14ac:dyDescent="0.25">
      <c r="A1458" s="2" t="s">
        <v>1731</v>
      </c>
      <c r="B1458" s="2" t="s">
        <v>773</v>
      </c>
      <c r="C1458" s="2">
        <v>5</v>
      </c>
      <c r="D1458" t="str">
        <f t="shared" si="22"/>
        <v>CA-2014-165568_OFF-BI-10001031</v>
      </c>
      <c r="E1458" t="str">
        <f>IF(COUNTIF(data1!$D:$D,D1458)=0,"Missing in Data1","Present")</f>
        <v>Present</v>
      </c>
    </row>
    <row r="1459" spans="1:5" x14ac:dyDescent="0.25">
      <c r="A1459" s="2" t="s">
        <v>1732</v>
      </c>
      <c r="B1459" s="2" t="s">
        <v>494</v>
      </c>
      <c r="C1459" s="2">
        <v>3</v>
      </c>
      <c r="D1459" t="str">
        <f t="shared" si="22"/>
        <v>CA-2014-165764_FUR-FU-10001468</v>
      </c>
      <c r="E1459" t="str">
        <f>IF(COUNTIF(data1!$D:$D,D1459)=0,"Missing in Data1","Present")</f>
        <v>Present</v>
      </c>
    </row>
    <row r="1460" spans="1:5" x14ac:dyDescent="0.25">
      <c r="A1460" s="2" t="s">
        <v>1732</v>
      </c>
      <c r="B1460" s="2" t="s">
        <v>1733</v>
      </c>
      <c r="C1460" s="2">
        <v>6</v>
      </c>
      <c r="D1460" t="str">
        <f t="shared" si="22"/>
        <v>CA-2014-165764_FUR-TA-10001768</v>
      </c>
      <c r="E1460" t="str">
        <f>IF(COUNTIF(data1!$D:$D,D1460)=0,"Missing in Data1","Present")</f>
        <v>Present</v>
      </c>
    </row>
    <row r="1461" spans="1:5" x14ac:dyDescent="0.25">
      <c r="A1461" s="2" t="s">
        <v>1732</v>
      </c>
      <c r="B1461" s="2" t="s">
        <v>1734</v>
      </c>
      <c r="C1461" s="2">
        <v>7</v>
      </c>
      <c r="D1461" t="str">
        <f t="shared" si="22"/>
        <v>CA-2014-165764_OFF-BI-10002982</v>
      </c>
      <c r="E1461" t="str">
        <f>IF(COUNTIF(data1!$D:$D,D1461)=0,"Missing in Data1","Present")</f>
        <v>Present</v>
      </c>
    </row>
    <row r="1462" spans="1:5" x14ac:dyDescent="0.25">
      <c r="A1462" s="2" t="s">
        <v>1732</v>
      </c>
      <c r="B1462" s="2" t="s">
        <v>1735</v>
      </c>
      <c r="C1462" s="2">
        <v>2</v>
      </c>
      <c r="D1462" t="str">
        <f t="shared" si="22"/>
        <v>CA-2014-165764_OFF-ST-10001558</v>
      </c>
      <c r="E1462" t="str">
        <f>IF(COUNTIF(data1!$D:$D,D1462)=0,"Missing in Data1","Present")</f>
        <v>Present</v>
      </c>
    </row>
    <row r="1463" spans="1:5" x14ac:dyDescent="0.25">
      <c r="A1463" s="2" t="s">
        <v>1736</v>
      </c>
      <c r="B1463" s="2" t="s">
        <v>29</v>
      </c>
      <c r="C1463" s="2">
        <v>3</v>
      </c>
      <c r="D1463" t="str">
        <f t="shared" si="22"/>
        <v>CA-2014-165806_TEC-PH-10004922</v>
      </c>
      <c r="E1463" t="str">
        <f>IF(COUNTIF(data1!$D:$D,D1463)=0,"Missing in Data1","Present")</f>
        <v>Present</v>
      </c>
    </row>
    <row r="1464" spans="1:5" x14ac:dyDescent="0.25">
      <c r="A1464" s="2" t="s">
        <v>1738</v>
      </c>
      <c r="B1464" s="2" t="s">
        <v>1739</v>
      </c>
      <c r="C1464" s="2">
        <v>7</v>
      </c>
      <c r="D1464" t="str">
        <f t="shared" si="22"/>
        <v>CA-2014-165974_OFF-AR-10003405</v>
      </c>
      <c r="E1464" t="str">
        <f>IF(COUNTIF(data1!$D:$D,D1464)=0,"Missing in Data1","Present")</f>
        <v>Present</v>
      </c>
    </row>
    <row r="1465" spans="1:5" x14ac:dyDescent="0.25">
      <c r="A1465" s="2" t="s">
        <v>1740</v>
      </c>
      <c r="B1465" s="2" t="s">
        <v>1741</v>
      </c>
      <c r="C1465" s="2">
        <v>3</v>
      </c>
      <c r="D1465" t="str">
        <f t="shared" si="22"/>
        <v>CA-2014-166051_TEC-PH-10002538</v>
      </c>
      <c r="E1465" t="str">
        <f>IF(COUNTIF(data1!$D:$D,D1465)=0,"Missing in Data1","Present")</f>
        <v>Present</v>
      </c>
    </row>
    <row r="1466" spans="1:5" x14ac:dyDescent="0.25">
      <c r="A1466" s="2" t="s">
        <v>1740</v>
      </c>
      <c r="B1466" s="2" t="s">
        <v>1742</v>
      </c>
      <c r="C1466" s="2">
        <v>3</v>
      </c>
      <c r="D1466" t="str">
        <f t="shared" si="22"/>
        <v>CA-2014-166051_TEC-PH-10002680</v>
      </c>
      <c r="E1466" t="str">
        <f>IF(COUNTIF(data1!$D:$D,D1466)=0,"Missing in Data1","Present")</f>
        <v>Present</v>
      </c>
    </row>
    <row r="1467" spans="1:5" x14ac:dyDescent="0.25">
      <c r="A1467" s="2" t="s">
        <v>1743</v>
      </c>
      <c r="B1467" s="2" t="s">
        <v>62</v>
      </c>
      <c r="C1467" s="2">
        <v>4</v>
      </c>
      <c r="D1467" t="str">
        <f t="shared" si="22"/>
        <v>CA-2014-166086_FUR-CH-10004675</v>
      </c>
      <c r="E1467" t="str">
        <f>IF(COUNTIF(data1!$D:$D,D1467)=0,"Missing in Data1","Present")</f>
        <v>Present</v>
      </c>
    </row>
    <row r="1468" spans="1:5" x14ac:dyDescent="0.25">
      <c r="A1468" s="2" t="s">
        <v>1743</v>
      </c>
      <c r="B1468" s="2" t="s">
        <v>1744</v>
      </c>
      <c r="C1468" s="2">
        <v>2</v>
      </c>
      <c r="D1468" t="str">
        <f t="shared" si="22"/>
        <v>CA-2014-166086_FUR-TA-10003469</v>
      </c>
      <c r="E1468" t="str">
        <f>IF(COUNTIF(data1!$D:$D,D1468)=0,"Missing in Data1","Present")</f>
        <v>Present</v>
      </c>
    </row>
    <row r="1469" spans="1:5" x14ac:dyDescent="0.25">
      <c r="A1469" s="2" t="s">
        <v>1743</v>
      </c>
      <c r="B1469" s="2" t="s">
        <v>1745</v>
      </c>
      <c r="C1469" s="2">
        <v>3</v>
      </c>
      <c r="D1469" t="str">
        <f t="shared" si="22"/>
        <v>CA-2014-166086_OFF-AR-10002578</v>
      </c>
      <c r="E1469" t="str">
        <f>IF(COUNTIF(data1!$D:$D,D1469)=0,"Missing in Data1","Present")</f>
        <v>Present</v>
      </c>
    </row>
    <row r="1470" spans="1:5" x14ac:dyDescent="0.25">
      <c r="A1470" s="2" t="s">
        <v>1743</v>
      </c>
      <c r="B1470" s="2" t="s">
        <v>774</v>
      </c>
      <c r="C1470" s="2">
        <v>3</v>
      </c>
      <c r="D1470" t="str">
        <f t="shared" si="22"/>
        <v>CA-2014-166086_OFF-BI-10001078</v>
      </c>
      <c r="E1470" t="str">
        <f>IF(COUNTIF(data1!$D:$D,D1470)=0,"Missing in Data1","Present")</f>
        <v>Present</v>
      </c>
    </row>
    <row r="1471" spans="1:5" x14ac:dyDescent="0.25">
      <c r="A1471" s="2" t="s">
        <v>1746</v>
      </c>
      <c r="B1471" s="2" t="s">
        <v>1433</v>
      </c>
      <c r="C1471" s="2">
        <v>2</v>
      </c>
      <c r="D1471" t="str">
        <f t="shared" si="22"/>
        <v>CA-2014-166191_OFF-ST-10003455</v>
      </c>
      <c r="E1471" t="str">
        <f>IF(COUNTIF(data1!$D:$D,D1471)=0,"Missing in Data1","Present")</f>
        <v>Present</v>
      </c>
    </row>
    <row r="1472" spans="1:5" x14ac:dyDescent="0.25">
      <c r="A1472" s="2" t="s">
        <v>1746</v>
      </c>
      <c r="B1472" s="2" t="s">
        <v>1747</v>
      </c>
      <c r="C1472" s="2">
        <v>7</v>
      </c>
      <c r="D1472" t="str">
        <f t="shared" si="22"/>
        <v>CA-2014-166191_TEC-AC-10004659</v>
      </c>
      <c r="E1472" t="str">
        <f>IF(COUNTIF(data1!$D:$D,D1472)=0,"Missing in Data1","Present")</f>
        <v>Present</v>
      </c>
    </row>
    <row r="1473" spans="1:5" x14ac:dyDescent="0.25">
      <c r="A1473" s="2" t="s">
        <v>1748</v>
      </c>
      <c r="B1473" s="2" t="s">
        <v>971</v>
      </c>
      <c r="C1473" s="2">
        <v>2</v>
      </c>
      <c r="D1473" t="str">
        <f t="shared" si="22"/>
        <v>CA-2014-166457_OFF-AR-10003651</v>
      </c>
      <c r="E1473" t="str">
        <f>IF(COUNTIF(data1!$D:$D,D1473)=0,"Missing in Data1","Present")</f>
        <v>Present</v>
      </c>
    </row>
    <row r="1474" spans="1:5" x14ac:dyDescent="0.25">
      <c r="A1474" s="2" t="s">
        <v>1748</v>
      </c>
      <c r="B1474" s="2" t="s">
        <v>60</v>
      </c>
      <c r="C1474" s="2">
        <v>2</v>
      </c>
      <c r="D1474" t="str">
        <f t="shared" si="22"/>
        <v>CA-2014-166457_OFF-PA-10001363</v>
      </c>
      <c r="E1474" t="str">
        <f>IF(COUNTIF(data1!$D:$D,D1474)=0,"Missing in Data1","Present")</f>
        <v>Present</v>
      </c>
    </row>
    <row r="1475" spans="1:5" x14ac:dyDescent="0.25">
      <c r="A1475" s="2" t="s">
        <v>1748</v>
      </c>
      <c r="B1475" s="2" t="s">
        <v>1156</v>
      </c>
      <c r="C1475" s="2">
        <v>3</v>
      </c>
      <c r="D1475" t="str">
        <f t="shared" ref="D1475:D1538" si="23">A1475&amp;"_"&amp;B1475</f>
        <v>CA-2014-166457_OFF-PA-10003016</v>
      </c>
      <c r="E1475" t="str">
        <f>IF(COUNTIF(data1!$D:$D,D1475)=0,"Missing in Data1","Present")</f>
        <v>Present</v>
      </c>
    </row>
    <row r="1476" spans="1:5" x14ac:dyDescent="0.25">
      <c r="A1476" s="2" t="s">
        <v>1749</v>
      </c>
      <c r="B1476" s="2" t="s">
        <v>1409</v>
      </c>
      <c r="C1476" s="2">
        <v>2</v>
      </c>
      <c r="D1476" t="str">
        <f t="shared" si="23"/>
        <v>CA-2014-166471_TEC-PH-10000038</v>
      </c>
      <c r="E1476" t="str">
        <f>IF(COUNTIF(data1!$D:$D,D1476)=0,"Missing in Data1","Present")</f>
        <v>Present</v>
      </c>
    </row>
    <row r="1477" spans="1:5" x14ac:dyDescent="0.25">
      <c r="A1477" s="2" t="s">
        <v>1749</v>
      </c>
      <c r="B1477" s="2" t="s">
        <v>602</v>
      </c>
      <c r="C1477" s="2">
        <v>4</v>
      </c>
      <c r="D1477" t="str">
        <f t="shared" si="23"/>
        <v>CA-2014-166471_TEC-PH-10001530</v>
      </c>
      <c r="E1477" t="str">
        <f>IF(COUNTIF(data1!$D:$D,D1477)=0,"Missing in Data1","Present")</f>
        <v>Missing in Data1</v>
      </c>
    </row>
    <row r="1478" spans="1:5" x14ac:dyDescent="0.25">
      <c r="A1478" s="2" t="s">
        <v>1750</v>
      </c>
      <c r="B1478" s="2" t="s">
        <v>1751</v>
      </c>
      <c r="C1478" s="2">
        <v>3</v>
      </c>
      <c r="D1478" t="str">
        <f t="shared" si="23"/>
        <v>CA-2014-166555_TEC-PH-10004912</v>
      </c>
      <c r="E1478" t="str">
        <f>IF(COUNTIF(data1!$D:$D,D1478)=0,"Missing in Data1","Present")</f>
        <v>Present</v>
      </c>
    </row>
    <row r="1479" spans="1:5" x14ac:dyDescent="0.25">
      <c r="A1479" s="2" t="s">
        <v>1752</v>
      </c>
      <c r="B1479" s="2" t="s">
        <v>1335</v>
      </c>
      <c r="C1479" s="2">
        <v>2</v>
      </c>
      <c r="D1479" t="str">
        <f t="shared" si="23"/>
        <v>CA-2014-166590_OFF-PA-10000482</v>
      </c>
      <c r="E1479" t="str">
        <f>IF(COUNTIF(data1!$D:$D,D1479)=0,"Missing in Data1","Present")</f>
        <v>Present</v>
      </c>
    </row>
    <row r="1480" spans="1:5" x14ac:dyDescent="0.25">
      <c r="A1480" s="2" t="s">
        <v>1752</v>
      </c>
      <c r="B1480" s="2" t="s">
        <v>1753</v>
      </c>
      <c r="C1480" s="2">
        <v>2</v>
      </c>
      <c r="D1480" t="str">
        <f t="shared" si="23"/>
        <v>CA-2014-166590_TEC-AC-10003433</v>
      </c>
      <c r="E1480" t="str">
        <f>IF(COUNTIF(data1!$D:$D,D1480)=0,"Missing in Data1","Present")</f>
        <v>Present</v>
      </c>
    </row>
    <row r="1481" spans="1:5" x14ac:dyDescent="0.25">
      <c r="A1481" s="2" t="s">
        <v>1754</v>
      </c>
      <c r="B1481" s="2" t="s">
        <v>193</v>
      </c>
      <c r="C1481" s="2">
        <v>2</v>
      </c>
      <c r="D1481" t="str">
        <f t="shared" si="23"/>
        <v>CA-2014-166716_FUR-CH-10004495</v>
      </c>
      <c r="E1481" t="str">
        <f>IF(COUNTIF(data1!$D:$D,D1481)=0,"Missing in Data1","Present")</f>
        <v>Present</v>
      </c>
    </row>
    <row r="1482" spans="1:5" x14ac:dyDescent="0.25">
      <c r="A1482" s="2" t="s">
        <v>1755</v>
      </c>
      <c r="B1482" s="2" t="s">
        <v>1756</v>
      </c>
      <c r="C1482" s="2">
        <v>1</v>
      </c>
      <c r="D1482" t="str">
        <f t="shared" si="23"/>
        <v>CA-2014-166730_OFF-ST-10002554</v>
      </c>
      <c r="E1482" t="str">
        <f>IF(COUNTIF(data1!$D:$D,D1482)=0,"Missing in Data1","Present")</f>
        <v>Present</v>
      </c>
    </row>
    <row r="1483" spans="1:5" x14ac:dyDescent="0.25">
      <c r="A1483" s="2" t="s">
        <v>1757</v>
      </c>
      <c r="B1483" s="2" t="s">
        <v>69</v>
      </c>
      <c r="C1483" s="2">
        <v>3</v>
      </c>
      <c r="D1483" t="str">
        <f t="shared" si="23"/>
        <v>CA-2014-166744_FUR-BO-10001337</v>
      </c>
      <c r="E1483" t="str">
        <f>IF(COUNTIF(data1!$D:$D,D1483)=0,"Missing in Data1","Present")</f>
        <v>Present</v>
      </c>
    </row>
    <row r="1484" spans="1:5" x14ac:dyDescent="0.25">
      <c r="A1484" s="2" t="s">
        <v>1757</v>
      </c>
      <c r="B1484" s="2" t="s">
        <v>1758</v>
      </c>
      <c r="C1484" s="2">
        <v>3</v>
      </c>
      <c r="D1484" t="str">
        <f t="shared" si="23"/>
        <v>CA-2014-166744_FUR-FU-10004952</v>
      </c>
      <c r="E1484" t="str">
        <f>IF(COUNTIF(data1!$D:$D,D1484)=0,"Missing in Data1","Present")</f>
        <v>Present</v>
      </c>
    </row>
    <row r="1485" spans="1:5" x14ac:dyDescent="0.25">
      <c r="A1485" s="2" t="s">
        <v>1757</v>
      </c>
      <c r="B1485" s="2" t="s">
        <v>131</v>
      </c>
      <c r="C1485" s="2">
        <v>2</v>
      </c>
      <c r="D1485" t="str">
        <f t="shared" si="23"/>
        <v>CA-2014-166744_TEC-AC-10003628</v>
      </c>
      <c r="E1485" t="str">
        <f>IF(COUNTIF(data1!$D:$D,D1485)=0,"Missing in Data1","Present")</f>
        <v>Present</v>
      </c>
    </row>
    <row r="1486" spans="1:5" x14ac:dyDescent="0.25">
      <c r="A1486" s="2" t="s">
        <v>1759</v>
      </c>
      <c r="B1486" s="2" t="s">
        <v>1760</v>
      </c>
      <c r="C1486" s="2">
        <v>4</v>
      </c>
      <c r="D1486" t="str">
        <f t="shared" si="23"/>
        <v>CA-2014-166863_FUR-BO-10001608</v>
      </c>
      <c r="E1486" t="str">
        <f>IF(COUNTIF(data1!$D:$D,D1486)=0,"Missing in Data1","Present")</f>
        <v>Present</v>
      </c>
    </row>
    <row r="1487" spans="1:5" x14ac:dyDescent="0.25">
      <c r="A1487" s="2" t="s">
        <v>1759</v>
      </c>
      <c r="B1487" s="2" t="s">
        <v>1651</v>
      </c>
      <c r="C1487" s="2">
        <v>4</v>
      </c>
      <c r="D1487" t="str">
        <f t="shared" si="23"/>
        <v>CA-2014-166863_OFF-BI-10000756</v>
      </c>
      <c r="E1487" t="str">
        <f>IF(COUNTIF(data1!$D:$D,D1487)=0,"Missing in Data1","Present")</f>
        <v>Present</v>
      </c>
    </row>
    <row r="1488" spans="1:5" x14ac:dyDescent="0.25">
      <c r="A1488" s="2" t="s">
        <v>1759</v>
      </c>
      <c r="B1488" s="2" t="s">
        <v>282</v>
      </c>
      <c r="C1488" s="2">
        <v>2</v>
      </c>
      <c r="D1488" t="str">
        <f t="shared" si="23"/>
        <v>CA-2014-166863_OFF-PA-10000587</v>
      </c>
      <c r="E1488" t="str">
        <f>IF(COUNTIF(data1!$D:$D,D1488)=0,"Missing in Data1","Present")</f>
        <v>Missing in Data1</v>
      </c>
    </row>
    <row r="1489" spans="1:5" x14ac:dyDescent="0.25">
      <c r="A1489" s="2" t="s">
        <v>1759</v>
      </c>
      <c r="B1489" s="2" t="s">
        <v>1378</v>
      </c>
      <c r="C1489" s="2">
        <v>3</v>
      </c>
      <c r="D1489" t="str">
        <f t="shared" si="23"/>
        <v>CA-2014-166863_OFF-PA-10001166</v>
      </c>
      <c r="E1489" t="str">
        <f>IF(COUNTIF(data1!$D:$D,D1489)=0,"Missing in Data1","Present")</f>
        <v>Present</v>
      </c>
    </row>
    <row r="1490" spans="1:5" x14ac:dyDescent="0.25">
      <c r="A1490" s="2" t="s">
        <v>1759</v>
      </c>
      <c r="B1490" s="2" t="s">
        <v>1762</v>
      </c>
      <c r="C1490" s="2">
        <v>2</v>
      </c>
      <c r="D1490" t="str">
        <f t="shared" si="23"/>
        <v>CA-2014-166863_TEC-MA-10001972</v>
      </c>
      <c r="E1490" t="str">
        <f>IF(COUNTIF(data1!$D:$D,D1490)=0,"Missing in Data1","Present")</f>
        <v>Present</v>
      </c>
    </row>
    <row r="1491" spans="1:5" x14ac:dyDescent="0.25">
      <c r="A1491" s="2" t="s">
        <v>1759</v>
      </c>
      <c r="B1491" s="2" t="s">
        <v>1763</v>
      </c>
      <c r="C1491" s="2">
        <v>2</v>
      </c>
      <c r="D1491" t="str">
        <f t="shared" si="23"/>
        <v>CA-2014-166863_TEC-PH-10000369</v>
      </c>
      <c r="E1491" t="str">
        <f>IF(COUNTIF(data1!$D:$D,D1491)=0,"Missing in Data1","Present")</f>
        <v>Present</v>
      </c>
    </row>
    <row r="1492" spans="1:5" x14ac:dyDescent="0.25">
      <c r="A1492" s="2" t="s">
        <v>1764</v>
      </c>
      <c r="B1492" s="2" t="s">
        <v>170</v>
      </c>
      <c r="C1492" s="2">
        <v>5</v>
      </c>
      <c r="D1492" t="str">
        <f t="shared" si="23"/>
        <v>CA-2014-166884_FUR-FU-10003981</v>
      </c>
      <c r="E1492" t="str">
        <f>IF(COUNTIF(data1!$D:$D,D1492)=0,"Missing in Data1","Present")</f>
        <v>Present</v>
      </c>
    </row>
    <row r="1493" spans="1:5" x14ac:dyDescent="0.25">
      <c r="A1493" s="2" t="s">
        <v>1764</v>
      </c>
      <c r="B1493" s="2" t="s">
        <v>1358</v>
      </c>
      <c r="C1493" s="2">
        <v>6</v>
      </c>
      <c r="D1493" t="str">
        <f t="shared" si="23"/>
        <v>CA-2014-166884_OFF-FA-10001561</v>
      </c>
      <c r="E1493" t="str">
        <f>IF(COUNTIF(data1!$D:$D,D1493)=0,"Missing in Data1","Present")</f>
        <v>Present</v>
      </c>
    </row>
    <row r="1494" spans="1:5" x14ac:dyDescent="0.25">
      <c r="A1494" s="2" t="s">
        <v>1765</v>
      </c>
      <c r="B1494" s="2" t="s">
        <v>1766</v>
      </c>
      <c r="C1494" s="2">
        <v>5</v>
      </c>
      <c r="D1494" t="str">
        <f t="shared" si="23"/>
        <v>CA-2014-166891_FUR-CH-10003298</v>
      </c>
      <c r="E1494" t="str">
        <f>IF(COUNTIF(data1!$D:$D,D1494)=0,"Missing in Data1","Present")</f>
        <v>Present</v>
      </c>
    </row>
    <row r="1495" spans="1:5" x14ac:dyDescent="0.25">
      <c r="A1495" s="2" t="s">
        <v>1767</v>
      </c>
      <c r="B1495" s="2" t="s">
        <v>807</v>
      </c>
      <c r="C1495" s="2">
        <v>5</v>
      </c>
      <c r="D1495" t="str">
        <f t="shared" si="23"/>
        <v>CA-2014-166954_FUR-CH-10003973</v>
      </c>
      <c r="E1495" t="str">
        <f>IF(COUNTIF(data1!$D:$D,D1495)=0,"Missing in Data1","Present")</f>
        <v>Present</v>
      </c>
    </row>
    <row r="1496" spans="1:5" x14ac:dyDescent="0.25">
      <c r="A1496" s="2" t="s">
        <v>1767</v>
      </c>
      <c r="B1496" s="2" t="s">
        <v>1768</v>
      </c>
      <c r="C1496" s="2">
        <v>5</v>
      </c>
      <c r="D1496" t="str">
        <f t="shared" si="23"/>
        <v>CA-2014-166954_FUR-FU-10003708</v>
      </c>
      <c r="E1496" t="str">
        <f>IF(COUNTIF(data1!$D:$D,D1496)=0,"Missing in Data1","Present")</f>
        <v>Present</v>
      </c>
    </row>
    <row r="1497" spans="1:5" x14ac:dyDescent="0.25">
      <c r="A1497" s="2" t="s">
        <v>1767</v>
      </c>
      <c r="B1497" s="2" t="s">
        <v>1769</v>
      </c>
      <c r="C1497" s="2">
        <v>3</v>
      </c>
      <c r="D1497" t="str">
        <f t="shared" si="23"/>
        <v>CA-2014-166954_OFF-AP-10001391</v>
      </c>
      <c r="E1497" t="str">
        <f>IF(COUNTIF(data1!$D:$D,D1497)=0,"Missing in Data1","Present")</f>
        <v>Present</v>
      </c>
    </row>
    <row r="1498" spans="1:5" x14ac:dyDescent="0.25">
      <c r="A1498" s="2" t="s">
        <v>1770</v>
      </c>
      <c r="B1498" s="2" t="s">
        <v>1060</v>
      </c>
      <c r="C1498" s="2">
        <v>1</v>
      </c>
      <c r="D1498" t="str">
        <f t="shared" si="23"/>
        <v>CA-2014-166961_OFF-AP-10001366</v>
      </c>
      <c r="E1498" t="str">
        <f>IF(COUNTIF(data1!$D:$D,D1498)=0,"Missing in Data1","Present")</f>
        <v>Present</v>
      </c>
    </row>
    <row r="1499" spans="1:5" x14ac:dyDescent="0.25">
      <c r="A1499" s="2" t="s">
        <v>1770</v>
      </c>
      <c r="B1499" s="2" t="s">
        <v>1771</v>
      </c>
      <c r="C1499" s="2">
        <v>3</v>
      </c>
      <c r="D1499" t="str">
        <f t="shared" si="23"/>
        <v>CA-2014-166961_OFF-FA-10003485</v>
      </c>
      <c r="E1499" t="str">
        <f>IF(COUNTIF(data1!$D:$D,D1499)=0,"Missing in Data1","Present")</f>
        <v>Present</v>
      </c>
    </row>
    <row r="1500" spans="1:5" x14ac:dyDescent="0.25">
      <c r="A1500" s="2" t="s">
        <v>1770</v>
      </c>
      <c r="B1500" s="2" t="s">
        <v>1772</v>
      </c>
      <c r="C1500" s="2">
        <v>3</v>
      </c>
      <c r="D1500" t="str">
        <f t="shared" si="23"/>
        <v>CA-2014-166961_OFF-ST-10004507</v>
      </c>
      <c r="E1500" t="str">
        <f>IF(COUNTIF(data1!$D:$D,D1500)=0,"Missing in Data1","Present")</f>
        <v>Present</v>
      </c>
    </row>
    <row r="1501" spans="1:5" x14ac:dyDescent="0.25">
      <c r="A1501" s="2" t="s">
        <v>1773</v>
      </c>
      <c r="B1501" s="2" t="s">
        <v>501</v>
      </c>
      <c r="C1501" s="2">
        <v>2</v>
      </c>
      <c r="D1501" t="str">
        <f t="shared" si="23"/>
        <v>CA-2014-166989_FUR-CH-10001797</v>
      </c>
      <c r="E1501" t="str">
        <f>IF(COUNTIF(data1!$D:$D,D1501)=0,"Missing in Data1","Present")</f>
        <v>Present</v>
      </c>
    </row>
    <row r="1502" spans="1:5" x14ac:dyDescent="0.25">
      <c r="A1502" s="2" t="s">
        <v>1773</v>
      </c>
      <c r="B1502" s="2" t="s">
        <v>1387</v>
      </c>
      <c r="C1502" s="2">
        <v>2</v>
      </c>
      <c r="D1502" t="str">
        <f t="shared" si="23"/>
        <v>CA-2014-166989_OFF-PA-10004470</v>
      </c>
      <c r="E1502" t="str">
        <f>IF(COUNTIF(data1!$D:$D,D1502)=0,"Missing in Data1","Present")</f>
        <v>Present</v>
      </c>
    </row>
    <row r="1503" spans="1:5" x14ac:dyDescent="0.25">
      <c r="A1503" s="2" t="s">
        <v>1774</v>
      </c>
      <c r="B1503" s="2" t="s">
        <v>367</v>
      </c>
      <c r="C1503" s="2">
        <v>2</v>
      </c>
      <c r="D1503" t="str">
        <f t="shared" si="23"/>
        <v>CA-2014-167164_OFF-ST-10000107</v>
      </c>
      <c r="E1503" t="str">
        <f>IF(COUNTIF(data1!$D:$D,D1503)=0,"Missing in Data1","Present")</f>
        <v>Present</v>
      </c>
    </row>
    <row r="1504" spans="1:5" x14ac:dyDescent="0.25">
      <c r="A1504" s="2" t="s">
        <v>1775</v>
      </c>
      <c r="B1504" s="2" t="s">
        <v>181</v>
      </c>
      <c r="C1504" s="2">
        <v>9</v>
      </c>
      <c r="D1504" t="str">
        <f t="shared" si="23"/>
        <v>CA-2014-167199_FUR-CH-10004063</v>
      </c>
      <c r="E1504" t="str">
        <f>IF(COUNTIF(data1!$D:$D,D1504)=0,"Missing in Data1","Present")</f>
        <v>Present</v>
      </c>
    </row>
    <row r="1505" spans="1:5" x14ac:dyDescent="0.25">
      <c r="A1505" s="2" t="s">
        <v>1775</v>
      </c>
      <c r="B1505" s="2" t="s">
        <v>1776</v>
      </c>
      <c r="C1505" s="2">
        <v>2</v>
      </c>
      <c r="D1505" t="str">
        <f t="shared" si="23"/>
        <v>CA-2014-167199_OFF-AR-10001662</v>
      </c>
      <c r="E1505" t="str">
        <f>IF(COUNTIF(data1!$D:$D,D1505)=0,"Missing in Data1","Present")</f>
        <v>Present</v>
      </c>
    </row>
    <row r="1506" spans="1:5" x14ac:dyDescent="0.25">
      <c r="A1506" s="2" t="s">
        <v>1775</v>
      </c>
      <c r="B1506" s="2" t="s">
        <v>820</v>
      </c>
      <c r="C1506" s="2">
        <v>2</v>
      </c>
      <c r="D1506" t="str">
        <f t="shared" si="23"/>
        <v>CA-2014-167199_OFF-BI-10004632</v>
      </c>
      <c r="E1506" t="str">
        <f>IF(COUNTIF(data1!$D:$D,D1506)=0,"Missing in Data1","Present")</f>
        <v>Present</v>
      </c>
    </row>
    <row r="1507" spans="1:5" x14ac:dyDescent="0.25">
      <c r="A1507" s="2" t="s">
        <v>1775</v>
      </c>
      <c r="B1507" s="2" t="s">
        <v>1777</v>
      </c>
      <c r="C1507" s="2">
        <v>4</v>
      </c>
      <c r="D1507" t="str">
        <f t="shared" si="23"/>
        <v>CA-2014-167199_OFF-FA-10001883</v>
      </c>
      <c r="E1507" t="str">
        <f>IF(COUNTIF(data1!$D:$D,D1507)=0,"Missing in Data1","Present")</f>
        <v>Present</v>
      </c>
    </row>
    <row r="1508" spans="1:5" x14ac:dyDescent="0.25">
      <c r="A1508" s="2" t="s">
        <v>1775</v>
      </c>
      <c r="B1508" s="2" t="s">
        <v>871</v>
      </c>
      <c r="C1508" s="2">
        <v>1</v>
      </c>
      <c r="D1508" t="str">
        <f t="shared" si="23"/>
        <v>CA-2014-167199_OFF-PA-10000955</v>
      </c>
      <c r="E1508" t="str">
        <f>IF(COUNTIF(data1!$D:$D,D1508)=0,"Missing in Data1","Present")</f>
        <v>Present</v>
      </c>
    </row>
    <row r="1509" spans="1:5" x14ac:dyDescent="0.25">
      <c r="A1509" s="2" t="s">
        <v>1775</v>
      </c>
      <c r="B1509" s="2" t="s">
        <v>900</v>
      </c>
      <c r="C1509" s="2">
        <v>4</v>
      </c>
      <c r="D1509" t="str">
        <f t="shared" si="23"/>
        <v>CA-2014-167199_TEC-PH-10004539</v>
      </c>
      <c r="E1509" t="str">
        <f>IF(COUNTIF(data1!$D:$D,D1509)=0,"Missing in Data1","Present")</f>
        <v>Present</v>
      </c>
    </row>
    <row r="1510" spans="1:5" x14ac:dyDescent="0.25">
      <c r="A1510" s="2" t="s">
        <v>1775</v>
      </c>
      <c r="B1510" s="2" t="s">
        <v>1113</v>
      </c>
      <c r="C1510" s="2">
        <v>2</v>
      </c>
      <c r="D1510" t="str">
        <f t="shared" si="23"/>
        <v>CA-2014-167199_TEC-PH-10004977</v>
      </c>
      <c r="E1510" t="str">
        <f>IF(COUNTIF(data1!$D:$D,D1510)=0,"Missing in Data1","Present")</f>
        <v>Present</v>
      </c>
    </row>
    <row r="1511" spans="1:5" x14ac:dyDescent="0.25">
      <c r="A1511" s="2" t="s">
        <v>1778</v>
      </c>
      <c r="B1511" s="2" t="s">
        <v>1779</v>
      </c>
      <c r="C1511" s="2">
        <v>7</v>
      </c>
      <c r="D1511" t="str">
        <f t="shared" si="23"/>
        <v>CA-2014-167360_TEC-AC-10001772</v>
      </c>
      <c r="E1511" t="str">
        <f>IF(COUNTIF(data1!$D:$D,D1511)=0,"Missing in Data1","Present")</f>
        <v>Present</v>
      </c>
    </row>
    <row r="1512" spans="1:5" x14ac:dyDescent="0.25">
      <c r="A1512" s="2" t="s">
        <v>1780</v>
      </c>
      <c r="B1512" s="2" t="s">
        <v>1781</v>
      </c>
      <c r="C1512" s="2">
        <v>5</v>
      </c>
      <c r="D1512" t="str">
        <f t="shared" si="23"/>
        <v>CA-2014-167486_FUR-FU-10003268</v>
      </c>
      <c r="E1512" t="str">
        <f>IF(COUNTIF(data1!$D:$D,D1512)=0,"Missing in Data1","Present")</f>
        <v>Present</v>
      </c>
    </row>
    <row r="1513" spans="1:5" x14ac:dyDescent="0.25">
      <c r="A1513" s="2" t="s">
        <v>1784</v>
      </c>
      <c r="B1513" s="2" t="s">
        <v>1785</v>
      </c>
      <c r="C1513" s="2">
        <v>3</v>
      </c>
      <c r="D1513" t="str">
        <f t="shared" si="23"/>
        <v>CA-2014-167850_OFF-PA-10001937</v>
      </c>
      <c r="E1513" t="str">
        <f>IF(COUNTIF(data1!$D:$D,D1513)=0,"Missing in Data1","Present")</f>
        <v>Present</v>
      </c>
    </row>
    <row r="1514" spans="1:5" x14ac:dyDescent="0.25">
      <c r="A1514" s="2" t="s">
        <v>1784</v>
      </c>
      <c r="B1514" s="2" t="s">
        <v>987</v>
      </c>
      <c r="C1514" s="2">
        <v>2</v>
      </c>
      <c r="D1514" t="str">
        <f t="shared" si="23"/>
        <v>CA-2014-167850_TEC-PH-10002398</v>
      </c>
      <c r="E1514" t="str">
        <f>IF(COUNTIF(data1!$D:$D,D1514)=0,"Missing in Data1","Present")</f>
        <v>Present</v>
      </c>
    </row>
    <row r="1515" spans="1:5" x14ac:dyDescent="0.25">
      <c r="A1515" s="2" t="s">
        <v>1786</v>
      </c>
      <c r="B1515" s="2" t="s">
        <v>21</v>
      </c>
      <c r="C1515" s="2">
        <v>3</v>
      </c>
      <c r="D1515" t="str">
        <f t="shared" si="23"/>
        <v>CA-2014-167927_FUR-FU-10002268</v>
      </c>
      <c r="E1515" t="str">
        <f>IF(COUNTIF(data1!$D:$D,D1515)=0,"Missing in Data1","Present")</f>
        <v>Present</v>
      </c>
    </row>
    <row r="1516" spans="1:5" x14ac:dyDescent="0.25">
      <c r="A1516" s="2" t="s">
        <v>1786</v>
      </c>
      <c r="B1516" s="2" t="s">
        <v>416</v>
      </c>
      <c r="C1516" s="2">
        <v>3</v>
      </c>
      <c r="D1516" t="str">
        <f t="shared" si="23"/>
        <v>CA-2014-167927_FUR-FU-10002918</v>
      </c>
      <c r="E1516" t="str">
        <f>IF(COUNTIF(data1!$D:$D,D1516)=0,"Missing in Data1","Present")</f>
        <v>Present</v>
      </c>
    </row>
    <row r="1517" spans="1:5" x14ac:dyDescent="0.25">
      <c r="A1517" s="2" t="s">
        <v>1786</v>
      </c>
      <c r="B1517" s="2" t="s">
        <v>1787</v>
      </c>
      <c r="C1517" s="2">
        <v>4</v>
      </c>
      <c r="D1517" t="str">
        <f t="shared" si="23"/>
        <v>CA-2014-167927_OFF-AP-10002311</v>
      </c>
      <c r="E1517" t="str">
        <f>IF(COUNTIF(data1!$D:$D,D1517)=0,"Missing in Data1","Present")</f>
        <v>Present</v>
      </c>
    </row>
    <row r="1518" spans="1:5" x14ac:dyDescent="0.25">
      <c r="A1518" s="2" t="s">
        <v>1786</v>
      </c>
      <c r="B1518" s="2" t="s">
        <v>1788</v>
      </c>
      <c r="C1518" s="2">
        <v>3</v>
      </c>
      <c r="D1518" t="str">
        <f t="shared" si="23"/>
        <v>CA-2014-167927_OFF-AR-10004456</v>
      </c>
      <c r="E1518" t="str">
        <f>IF(COUNTIF(data1!$D:$D,D1518)=0,"Missing in Data1","Present")</f>
        <v>Present</v>
      </c>
    </row>
    <row r="1519" spans="1:5" x14ac:dyDescent="0.25">
      <c r="A1519" s="2" t="s">
        <v>1786</v>
      </c>
      <c r="B1519" s="2" t="s">
        <v>1789</v>
      </c>
      <c r="C1519" s="2">
        <v>5</v>
      </c>
      <c r="D1519" t="str">
        <f t="shared" si="23"/>
        <v>CA-2014-167927_OFF-BI-10000605</v>
      </c>
      <c r="E1519" t="str">
        <f>IF(COUNTIF(data1!$D:$D,D1519)=0,"Missing in Data1","Present")</f>
        <v>Present</v>
      </c>
    </row>
    <row r="1520" spans="1:5" x14ac:dyDescent="0.25">
      <c r="A1520" s="2" t="s">
        <v>1786</v>
      </c>
      <c r="B1520" s="2" t="s">
        <v>432</v>
      </c>
      <c r="C1520" s="2">
        <v>5</v>
      </c>
      <c r="D1520" t="str">
        <f t="shared" si="23"/>
        <v>CA-2014-167927_OFF-BI-10004364</v>
      </c>
      <c r="E1520" t="str">
        <f>IF(COUNTIF(data1!$D:$D,D1520)=0,"Missing in Data1","Present")</f>
        <v>Present</v>
      </c>
    </row>
    <row r="1521" spans="1:5" x14ac:dyDescent="0.25">
      <c r="A1521" s="2" t="s">
        <v>1786</v>
      </c>
      <c r="B1521" s="2" t="s">
        <v>1790</v>
      </c>
      <c r="C1521" s="2">
        <v>1</v>
      </c>
      <c r="D1521" t="str">
        <f t="shared" si="23"/>
        <v>CA-2014-167927_OFF-ST-10000760</v>
      </c>
      <c r="E1521" t="str">
        <f>IF(COUNTIF(data1!$D:$D,D1521)=0,"Missing in Data1","Present")</f>
        <v>Present</v>
      </c>
    </row>
    <row r="1522" spans="1:5" x14ac:dyDescent="0.25">
      <c r="A1522" s="2" t="s">
        <v>1786</v>
      </c>
      <c r="B1522" s="2" t="s">
        <v>1465</v>
      </c>
      <c r="C1522" s="2">
        <v>2</v>
      </c>
      <c r="D1522" t="str">
        <f t="shared" si="23"/>
        <v>CA-2014-167927_OFF-ST-10003123</v>
      </c>
      <c r="E1522" t="str">
        <f>IF(COUNTIF(data1!$D:$D,D1522)=0,"Missing in Data1","Present")</f>
        <v>Present</v>
      </c>
    </row>
    <row r="1523" spans="1:5" x14ac:dyDescent="0.25">
      <c r="A1523" s="2" t="s">
        <v>1791</v>
      </c>
      <c r="B1523" s="2" t="s">
        <v>1792</v>
      </c>
      <c r="C1523" s="2">
        <v>2</v>
      </c>
      <c r="D1523" t="str">
        <f t="shared" si="23"/>
        <v>CA-2014-167997_FUR-BO-10004409</v>
      </c>
      <c r="E1523" t="str">
        <f>IF(COUNTIF(data1!$D:$D,D1523)=0,"Missing in Data1","Present")</f>
        <v>Present</v>
      </c>
    </row>
    <row r="1524" spans="1:5" x14ac:dyDescent="0.25">
      <c r="A1524" s="2" t="s">
        <v>1791</v>
      </c>
      <c r="B1524" s="2" t="s">
        <v>619</v>
      </c>
      <c r="C1524" s="2">
        <v>2</v>
      </c>
      <c r="D1524" t="str">
        <f t="shared" si="23"/>
        <v>CA-2014-167997_OFF-BI-10001758</v>
      </c>
      <c r="E1524" t="str">
        <f>IF(COUNTIF(data1!$D:$D,D1524)=0,"Missing in Data1","Present")</f>
        <v>Present</v>
      </c>
    </row>
    <row r="1525" spans="1:5" x14ac:dyDescent="0.25">
      <c r="A1525" s="2" t="s">
        <v>1793</v>
      </c>
      <c r="B1525" s="2" t="s">
        <v>221</v>
      </c>
      <c r="C1525" s="2">
        <v>7</v>
      </c>
      <c r="D1525" t="str">
        <f t="shared" si="23"/>
        <v>CA-2014-168130_FUR-CH-10000988</v>
      </c>
      <c r="E1525" t="str">
        <f>IF(COUNTIF(data1!$D:$D,D1525)=0,"Missing in Data1","Present")</f>
        <v>Present</v>
      </c>
    </row>
    <row r="1526" spans="1:5" x14ac:dyDescent="0.25">
      <c r="A1526" s="2" t="s">
        <v>1794</v>
      </c>
      <c r="B1526" s="2" t="s">
        <v>1795</v>
      </c>
      <c r="C1526" s="2">
        <v>2</v>
      </c>
      <c r="D1526" t="str">
        <f t="shared" si="23"/>
        <v>CA-2014-168158_OFF-BI-10001759</v>
      </c>
      <c r="E1526" t="str">
        <f>IF(COUNTIF(data1!$D:$D,D1526)=0,"Missing in Data1","Present")</f>
        <v>Present</v>
      </c>
    </row>
    <row r="1527" spans="1:5" x14ac:dyDescent="0.25">
      <c r="A1527" s="2" t="s">
        <v>1796</v>
      </c>
      <c r="B1527" s="2" t="s">
        <v>1797</v>
      </c>
      <c r="C1527" s="2">
        <v>3</v>
      </c>
      <c r="D1527" t="str">
        <f t="shared" si="23"/>
        <v>CA-2014-168305_OFF-LA-10003498</v>
      </c>
      <c r="E1527" t="str">
        <f>IF(COUNTIF(data1!$D:$D,D1527)=0,"Missing in Data1","Present")</f>
        <v>Present</v>
      </c>
    </row>
    <row r="1528" spans="1:5" x14ac:dyDescent="0.25">
      <c r="A1528" s="2" t="s">
        <v>1796</v>
      </c>
      <c r="B1528" s="2" t="s">
        <v>1798</v>
      </c>
      <c r="C1528" s="2">
        <v>5</v>
      </c>
      <c r="D1528" t="str">
        <f t="shared" si="23"/>
        <v>CA-2014-168305_OFF-PA-10004947</v>
      </c>
      <c r="E1528" t="str">
        <f>IF(COUNTIF(data1!$D:$D,D1528)=0,"Missing in Data1","Present")</f>
        <v>Present</v>
      </c>
    </row>
    <row r="1529" spans="1:5" x14ac:dyDescent="0.25">
      <c r="A1529" s="2" t="s">
        <v>1799</v>
      </c>
      <c r="B1529" s="2" t="s">
        <v>1576</v>
      </c>
      <c r="C1529" s="2">
        <v>3</v>
      </c>
      <c r="D1529" t="str">
        <f t="shared" si="23"/>
        <v>CA-2014-168312_FUR-TA-10001866</v>
      </c>
      <c r="E1529" t="str">
        <f>IF(COUNTIF(data1!$D:$D,D1529)=0,"Missing in Data1","Present")</f>
        <v>Present</v>
      </c>
    </row>
    <row r="1530" spans="1:5" x14ac:dyDescent="0.25">
      <c r="A1530" s="2" t="s">
        <v>1799</v>
      </c>
      <c r="B1530" s="2" t="s">
        <v>1800</v>
      </c>
      <c r="C1530" s="2">
        <v>3</v>
      </c>
      <c r="D1530" t="str">
        <f t="shared" si="23"/>
        <v>CA-2014-168312_OFF-ST-10003692</v>
      </c>
      <c r="E1530" t="str">
        <f>IF(COUNTIF(data1!$D:$D,D1530)=0,"Missing in Data1","Present")</f>
        <v>Present</v>
      </c>
    </row>
    <row r="1531" spans="1:5" x14ac:dyDescent="0.25">
      <c r="A1531" s="2" t="s">
        <v>1801</v>
      </c>
      <c r="B1531" s="2" t="s">
        <v>370</v>
      </c>
      <c r="C1531" s="2">
        <v>1</v>
      </c>
      <c r="D1531" t="str">
        <f t="shared" si="23"/>
        <v>CA-2014-168368_FUR-CH-10001146</v>
      </c>
      <c r="E1531" t="str">
        <f>IF(COUNTIF(data1!$D:$D,D1531)=0,"Missing in Data1","Present")</f>
        <v>Present</v>
      </c>
    </row>
    <row r="1532" spans="1:5" x14ac:dyDescent="0.25">
      <c r="A1532" s="2" t="s">
        <v>1801</v>
      </c>
      <c r="B1532" s="2" t="s">
        <v>1802</v>
      </c>
      <c r="C1532" s="2">
        <v>3</v>
      </c>
      <c r="D1532" t="str">
        <f t="shared" si="23"/>
        <v>CA-2014-168368_FUR-FU-10002298</v>
      </c>
      <c r="E1532" t="str">
        <f>IF(COUNTIF(data1!$D:$D,D1532)=0,"Missing in Data1","Present")</f>
        <v>Present</v>
      </c>
    </row>
    <row r="1533" spans="1:5" x14ac:dyDescent="0.25">
      <c r="A1533" s="2" t="s">
        <v>1801</v>
      </c>
      <c r="B1533" s="2" t="s">
        <v>483</v>
      </c>
      <c r="C1533" s="2">
        <v>3</v>
      </c>
      <c r="D1533" t="str">
        <f t="shared" si="23"/>
        <v>CA-2014-168368_OFF-BI-10004654</v>
      </c>
      <c r="E1533" t="str">
        <f>IF(COUNTIF(data1!$D:$D,D1533)=0,"Missing in Data1","Present")</f>
        <v>Present</v>
      </c>
    </row>
    <row r="1534" spans="1:5" x14ac:dyDescent="0.25">
      <c r="A1534" s="2" t="s">
        <v>1801</v>
      </c>
      <c r="B1534" s="2" t="s">
        <v>1680</v>
      </c>
      <c r="C1534" s="2">
        <v>2</v>
      </c>
      <c r="D1534" t="str">
        <f t="shared" si="23"/>
        <v>CA-2014-168368_OFF-BI-10004728</v>
      </c>
      <c r="E1534" t="str">
        <f>IF(COUNTIF(data1!$D:$D,D1534)=0,"Missing in Data1","Present")</f>
        <v>Present</v>
      </c>
    </row>
    <row r="1535" spans="1:5" x14ac:dyDescent="0.25">
      <c r="A1535" s="2" t="s">
        <v>1801</v>
      </c>
      <c r="B1535" s="2" t="s">
        <v>1803</v>
      </c>
      <c r="C1535" s="2">
        <v>3</v>
      </c>
      <c r="D1535" t="str">
        <f t="shared" si="23"/>
        <v>CA-2014-168368_OFF-LA-10004853</v>
      </c>
      <c r="E1535" t="str">
        <f>IF(COUNTIF(data1!$D:$D,D1535)=0,"Missing in Data1","Present")</f>
        <v>Present</v>
      </c>
    </row>
    <row r="1536" spans="1:5" x14ac:dyDescent="0.25">
      <c r="A1536" s="2" t="s">
        <v>1801</v>
      </c>
      <c r="B1536" s="2" t="s">
        <v>1268</v>
      </c>
      <c r="C1536" s="2">
        <v>2</v>
      </c>
      <c r="D1536" t="str">
        <f t="shared" si="23"/>
        <v>CA-2014-168368_OFF-ST-10002583</v>
      </c>
      <c r="E1536" t="str">
        <f>IF(COUNTIF(data1!$D:$D,D1536)=0,"Missing in Data1","Present")</f>
        <v>Present</v>
      </c>
    </row>
    <row r="1537" spans="1:5" x14ac:dyDescent="0.25">
      <c r="A1537" s="2" t="s">
        <v>1804</v>
      </c>
      <c r="B1537" s="2" t="s">
        <v>1339</v>
      </c>
      <c r="C1537" s="2">
        <v>6</v>
      </c>
      <c r="D1537" t="str">
        <f t="shared" si="23"/>
        <v>CA-2014-168473_OFF-ST-10000563</v>
      </c>
      <c r="E1537" t="str">
        <f>IF(COUNTIF(data1!$D:$D,D1537)=0,"Missing in Data1","Present")</f>
        <v>Present</v>
      </c>
    </row>
    <row r="1538" spans="1:5" x14ac:dyDescent="0.25">
      <c r="A1538" s="2" t="s">
        <v>1805</v>
      </c>
      <c r="B1538" s="2" t="s">
        <v>489</v>
      </c>
      <c r="C1538" s="2">
        <v>3</v>
      </c>
      <c r="D1538" t="str">
        <f t="shared" si="23"/>
        <v>CA-2014-168494_FUR-BO-10004467</v>
      </c>
      <c r="E1538" t="str">
        <f>IF(COUNTIF(data1!$D:$D,D1538)=0,"Missing in Data1","Present")</f>
        <v>Present</v>
      </c>
    </row>
    <row r="1539" spans="1:5" x14ac:dyDescent="0.25">
      <c r="A1539" s="2" t="s">
        <v>1805</v>
      </c>
      <c r="B1539" s="2" t="s">
        <v>1806</v>
      </c>
      <c r="C1539" s="2">
        <v>12</v>
      </c>
      <c r="D1539" t="str">
        <f t="shared" ref="D1539:D1602" si="24">A1539&amp;"_"&amp;B1539</f>
        <v>CA-2014-168494_FUR-TA-10003473</v>
      </c>
      <c r="E1539" t="str">
        <f>IF(COUNTIF(data1!$D:$D,D1539)=0,"Missing in Data1","Present")</f>
        <v>Present</v>
      </c>
    </row>
    <row r="1540" spans="1:5" x14ac:dyDescent="0.25">
      <c r="A1540" s="2" t="s">
        <v>1805</v>
      </c>
      <c r="B1540" s="2" t="s">
        <v>2492</v>
      </c>
      <c r="C1540" s="2">
        <v>6</v>
      </c>
      <c r="D1540" t="str">
        <f t="shared" si="24"/>
        <v>CA-2014-168494_FUR-TA-10004619</v>
      </c>
      <c r="E1540" t="str">
        <f>IF(COUNTIF(data1!$D:$D,D1540)=0,"Missing in Data1","Present")</f>
        <v>Missing in Data1</v>
      </c>
    </row>
    <row r="1541" spans="1:5" x14ac:dyDescent="0.25">
      <c r="A1541" s="2" t="s">
        <v>1807</v>
      </c>
      <c r="B1541" s="2" t="s">
        <v>1261</v>
      </c>
      <c r="C1541" s="2">
        <v>5</v>
      </c>
      <c r="D1541" t="str">
        <f t="shared" si="24"/>
        <v>CA-2014-168592_OFF-AP-10004785</v>
      </c>
      <c r="E1541" t="str">
        <f>IF(COUNTIF(data1!$D:$D,D1541)=0,"Missing in Data1","Present")</f>
        <v>Present</v>
      </c>
    </row>
    <row r="1542" spans="1:5" x14ac:dyDescent="0.25">
      <c r="A1542" s="2" t="s">
        <v>1807</v>
      </c>
      <c r="B1542" s="2" t="s">
        <v>1808</v>
      </c>
      <c r="C1542" s="2">
        <v>2</v>
      </c>
      <c r="D1542" t="str">
        <f t="shared" si="24"/>
        <v>CA-2014-168592_OFF-FA-10002988</v>
      </c>
      <c r="E1542" t="str">
        <f>IF(COUNTIF(data1!$D:$D,D1542)=0,"Missing in Data1","Present")</f>
        <v>Present</v>
      </c>
    </row>
    <row r="1543" spans="1:5" x14ac:dyDescent="0.25">
      <c r="A1543" s="2" t="s">
        <v>1807</v>
      </c>
      <c r="B1543" s="2" t="s">
        <v>1809</v>
      </c>
      <c r="C1543" s="2">
        <v>1</v>
      </c>
      <c r="D1543" t="str">
        <f t="shared" si="24"/>
        <v>CA-2014-168592_OFF-ST-10002406</v>
      </c>
      <c r="E1543" t="str">
        <f>IF(COUNTIF(data1!$D:$D,D1543)=0,"Missing in Data1","Present")</f>
        <v>Present</v>
      </c>
    </row>
    <row r="1544" spans="1:5" x14ac:dyDescent="0.25">
      <c r="A1544" s="2" t="s">
        <v>1810</v>
      </c>
      <c r="B1544" s="2" t="s">
        <v>153</v>
      </c>
      <c r="C1544" s="2">
        <v>9</v>
      </c>
      <c r="D1544" t="str">
        <f t="shared" si="24"/>
        <v>CA-2014-168823_OFF-LA-10004425</v>
      </c>
      <c r="E1544" t="str">
        <f>IF(COUNTIF(data1!$D:$D,D1544)=0,"Missing in Data1","Present")</f>
        <v>Present</v>
      </c>
    </row>
    <row r="1545" spans="1:5" x14ac:dyDescent="0.25">
      <c r="A1545" s="2" t="s">
        <v>1810</v>
      </c>
      <c r="B1545" s="2" t="s">
        <v>1811</v>
      </c>
      <c r="C1545" s="2">
        <v>3</v>
      </c>
      <c r="D1545" t="str">
        <f t="shared" si="24"/>
        <v>CA-2014-168823_OFF-PA-10004000</v>
      </c>
      <c r="E1545" t="str">
        <f>IF(COUNTIF(data1!$D:$D,D1545)=0,"Missing in Data1","Present")</f>
        <v>Present</v>
      </c>
    </row>
    <row r="1546" spans="1:5" x14ac:dyDescent="0.25">
      <c r="A1546" s="2" t="s">
        <v>1812</v>
      </c>
      <c r="B1546" s="2" t="s">
        <v>1378</v>
      </c>
      <c r="C1546" s="2">
        <v>3</v>
      </c>
      <c r="D1546" t="str">
        <f t="shared" si="24"/>
        <v>CA-2014-168984_OFF-PA-10001166</v>
      </c>
      <c r="E1546" t="str">
        <f>IF(COUNTIF(data1!$D:$D,D1546)=0,"Missing in Data1","Present")</f>
        <v>Present</v>
      </c>
    </row>
    <row r="1547" spans="1:5" x14ac:dyDescent="0.25">
      <c r="A1547" s="2" t="s">
        <v>1812</v>
      </c>
      <c r="B1547" s="2" t="s">
        <v>763</v>
      </c>
      <c r="C1547" s="2">
        <v>5</v>
      </c>
      <c r="D1547" t="str">
        <f t="shared" si="24"/>
        <v>CA-2014-168984_OFF-ST-10001097</v>
      </c>
      <c r="E1547" t="str">
        <f>IF(COUNTIF(data1!$D:$D,D1547)=0,"Missing in Data1","Present")</f>
        <v>Present</v>
      </c>
    </row>
    <row r="1548" spans="1:5" x14ac:dyDescent="0.25">
      <c r="A1548" s="2" t="s">
        <v>1812</v>
      </c>
      <c r="B1548" s="2" t="s">
        <v>1409</v>
      </c>
      <c r="C1548" s="2">
        <v>4</v>
      </c>
      <c r="D1548" t="str">
        <f t="shared" si="24"/>
        <v>CA-2014-168984_TEC-PH-10000038</v>
      </c>
      <c r="E1548" t="str">
        <f>IF(COUNTIF(data1!$D:$D,D1548)=0,"Missing in Data1","Present")</f>
        <v>Present</v>
      </c>
    </row>
    <row r="1549" spans="1:5" x14ac:dyDescent="0.25">
      <c r="A1549" s="2" t="s">
        <v>1813</v>
      </c>
      <c r="B1549" s="2" t="s">
        <v>1814</v>
      </c>
      <c r="C1549" s="2">
        <v>3</v>
      </c>
      <c r="D1549" t="str">
        <f t="shared" si="24"/>
        <v>CA-2014-169019_FUR-FU-10004666</v>
      </c>
      <c r="E1549" t="str">
        <f>IF(COUNTIF(data1!$D:$D,D1549)=0,"Missing in Data1","Present")</f>
        <v>Present</v>
      </c>
    </row>
    <row r="1550" spans="1:5" x14ac:dyDescent="0.25">
      <c r="A1550" s="2" t="s">
        <v>1813</v>
      </c>
      <c r="B1550" s="2" t="s">
        <v>797</v>
      </c>
      <c r="C1550" s="2">
        <v>2</v>
      </c>
      <c r="D1550" t="str">
        <f t="shared" si="24"/>
        <v>CA-2014-169019_OFF-AP-10003281</v>
      </c>
      <c r="E1550" t="str">
        <f>IF(COUNTIF(data1!$D:$D,D1550)=0,"Missing in Data1","Present")</f>
        <v>Present</v>
      </c>
    </row>
    <row r="1551" spans="1:5" x14ac:dyDescent="0.25">
      <c r="A1551" s="2" t="s">
        <v>1813</v>
      </c>
      <c r="B1551" s="2" t="s">
        <v>1815</v>
      </c>
      <c r="C1551" s="2">
        <v>4</v>
      </c>
      <c r="D1551" t="str">
        <f t="shared" si="24"/>
        <v>CA-2014-169019_OFF-BI-10001524</v>
      </c>
      <c r="E1551" t="str">
        <f>IF(COUNTIF(data1!$D:$D,D1551)=0,"Missing in Data1","Present")</f>
        <v>Present</v>
      </c>
    </row>
    <row r="1552" spans="1:5" x14ac:dyDescent="0.25">
      <c r="A1552" s="2" t="s">
        <v>1813</v>
      </c>
      <c r="B1552" s="2" t="s">
        <v>1302</v>
      </c>
      <c r="C1552" s="2">
        <v>8</v>
      </c>
      <c r="D1552" t="str">
        <f t="shared" si="24"/>
        <v>CA-2014-169019_OFF-BI-10004995</v>
      </c>
      <c r="E1552" t="str">
        <f>IF(COUNTIF(data1!$D:$D,D1552)=0,"Missing in Data1","Present")</f>
        <v>Present</v>
      </c>
    </row>
    <row r="1553" spans="1:5" x14ac:dyDescent="0.25">
      <c r="A1553" s="2" t="s">
        <v>1818</v>
      </c>
      <c r="B1553" s="2" t="s">
        <v>1819</v>
      </c>
      <c r="C1553" s="2">
        <v>5</v>
      </c>
      <c r="D1553" t="str">
        <f t="shared" si="24"/>
        <v>CA-2014-169033_OFF-AR-10001915</v>
      </c>
      <c r="E1553" t="str">
        <f>IF(COUNTIF(data1!$D:$D,D1553)=0,"Missing in Data1","Present")</f>
        <v>Present</v>
      </c>
    </row>
    <row r="1554" spans="1:5" x14ac:dyDescent="0.25">
      <c r="A1554" s="2" t="s">
        <v>1820</v>
      </c>
      <c r="B1554" s="2" t="s">
        <v>1821</v>
      </c>
      <c r="C1554" s="2">
        <v>3</v>
      </c>
      <c r="D1554" t="str">
        <f t="shared" si="24"/>
        <v>CA-2014-169061_OFF-AR-10000588</v>
      </c>
      <c r="E1554" t="str">
        <f>IF(COUNTIF(data1!$D:$D,D1554)=0,"Missing in Data1","Present")</f>
        <v>Present</v>
      </c>
    </row>
    <row r="1555" spans="1:5" x14ac:dyDescent="0.25">
      <c r="A1555" s="2" t="s">
        <v>1820</v>
      </c>
      <c r="B1555" s="2" t="s">
        <v>509</v>
      </c>
      <c r="C1555" s="2">
        <v>6</v>
      </c>
      <c r="D1555" t="str">
        <f t="shared" si="24"/>
        <v>CA-2014-169061_OFF-BI-10001617</v>
      </c>
      <c r="E1555" t="str">
        <f>IF(COUNTIF(data1!$D:$D,D1555)=0,"Missing in Data1","Present")</f>
        <v>Missing in Data1</v>
      </c>
    </row>
    <row r="1556" spans="1:5" x14ac:dyDescent="0.25">
      <c r="A1556" s="2" t="s">
        <v>1820</v>
      </c>
      <c r="B1556" s="2" t="s">
        <v>425</v>
      </c>
      <c r="C1556" s="2">
        <v>2</v>
      </c>
      <c r="D1556" t="str">
        <f t="shared" si="24"/>
        <v>CA-2014-169061_OFF-PA-10001878</v>
      </c>
      <c r="E1556" t="str">
        <f>IF(COUNTIF(data1!$D:$D,D1556)=0,"Missing in Data1","Present")</f>
        <v>Missing in Data1</v>
      </c>
    </row>
    <row r="1557" spans="1:5" x14ac:dyDescent="0.25">
      <c r="A1557" s="2" t="s">
        <v>1820</v>
      </c>
      <c r="B1557" s="2" t="s">
        <v>1822</v>
      </c>
      <c r="C1557" s="2">
        <v>2</v>
      </c>
      <c r="D1557" t="str">
        <f t="shared" si="24"/>
        <v>CA-2014-169061_OFF-SU-10000381</v>
      </c>
      <c r="E1557" t="str">
        <f>IF(COUNTIF(data1!$D:$D,D1557)=0,"Missing in Data1","Present")</f>
        <v>Present</v>
      </c>
    </row>
    <row r="1558" spans="1:5" x14ac:dyDescent="0.25">
      <c r="A1558" s="2" t="s">
        <v>1820</v>
      </c>
      <c r="B1558" s="2" t="s">
        <v>1823</v>
      </c>
      <c r="C1558" s="2">
        <v>3</v>
      </c>
      <c r="D1558" t="str">
        <f t="shared" si="24"/>
        <v>CA-2014-169061_TEC-AC-10002001</v>
      </c>
      <c r="E1558" t="str">
        <f>IF(COUNTIF(data1!$D:$D,D1558)=0,"Missing in Data1","Present")</f>
        <v>Present</v>
      </c>
    </row>
    <row r="1559" spans="1:5" x14ac:dyDescent="0.25">
      <c r="A1559" s="2" t="s">
        <v>1824</v>
      </c>
      <c r="B1559" s="2" t="s">
        <v>1825</v>
      </c>
      <c r="C1559" s="2">
        <v>1</v>
      </c>
      <c r="D1559" t="str">
        <f t="shared" si="24"/>
        <v>CA-2014-169257_OFF-BI-10002557</v>
      </c>
      <c r="E1559" t="str">
        <f>IF(COUNTIF(data1!$D:$D,D1559)=0,"Missing in Data1","Present")</f>
        <v>Present</v>
      </c>
    </row>
    <row r="1560" spans="1:5" x14ac:dyDescent="0.25">
      <c r="A1560" s="2" t="s">
        <v>1824</v>
      </c>
      <c r="B1560" s="2" t="s">
        <v>1284</v>
      </c>
      <c r="C1560" s="2">
        <v>2</v>
      </c>
      <c r="D1560" t="str">
        <f t="shared" si="24"/>
        <v>CA-2014-169257_OFF-PA-10002319</v>
      </c>
      <c r="E1560" t="str">
        <f>IF(COUNTIF(data1!$D:$D,D1560)=0,"Missing in Data1","Present")</f>
        <v>Present</v>
      </c>
    </row>
    <row r="1561" spans="1:5" x14ac:dyDescent="0.25">
      <c r="A1561" s="2" t="s">
        <v>1826</v>
      </c>
      <c r="B1561" s="2" t="s">
        <v>1545</v>
      </c>
      <c r="C1561" s="2">
        <v>3</v>
      </c>
      <c r="D1561" t="str">
        <f t="shared" si="24"/>
        <v>CA-2014-169446_OFF-PA-10000295</v>
      </c>
      <c r="E1561" t="str">
        <f>IF(COUNTIF(data1!$D:$D,D1561)=0,"Missing in Data1","Present")</f>
        <v>Present</v>
      </c>
    </row>
    <row r="1562" spans="1:5" x14ac:dyDescent="0.25">
      <c r="A1562" s="2" t="s">
        <v>1826</v>
      </c>
      <c r="B1562" s="2" t="s">
        <v>1827</v>
      </c>
      <c r="C1562" s="2">
        <v>3</v>
      </c>
      <c r="D1562" t="str">
        <f t="shared" si="24"/>
        <v>CA-2014-169446_OFF-ST-10000419</v>
      </c>
      <c r="E1562" t="str">
        <f>IF(COUNTIF(data1!$D:$D,D1562)=0,"Missing in Data1","Present")</f>
        <v>Present</v>
      </c>
    </row>
    <row r="1563" spans="1:5" x14ac:dyDescent="0.25">
      <c r="A1563" s="2" t="s">
        <v>1826</v>
      </c>
      <c r="B1563" s="2" t="s">
        <v>1828</v>
      </c>
      <c r="C1563" s="2">
        <v>3</v>
      </c>
      <c r="D1563" t="str">
        <f t="shared" si="24"/>
        <v>CA-2014-169446_TEC-PH-10002817</v>
      </c>
      <c r="E1563" t="str">
        <f>IF(COUNTIF(data1!$D:$D,D1563)=0,"Missing in Data1","Present")</f>
        <v>Present</v>
      </c>
    </row>
    <row r="1564" spans="1:5" x14ac:dyDescent="0.25">
      <c r="A1564" s="2" t="s">
        <v>1829</v>
      </c>
      <c r="B1564" s="2" t="s">
        <v>1830</v>
      </c>
      <c r="C1564" s="2">
        <v>3</v>
      </c>
      <c r="D1564" t="str">
        <f t="shared" si="24"/>
        <v>CA-2014-169460_FUR-FU-10004017</v>
      </c>
      <c r="E1564" t="str">
        <f>IF(COUNTIF(data1!$D:$D,D1564)=0,"Missing in Data1","Present")</f>
        <v>Present</v>
      </c>
    </row>
    <row r="1565" spans="1:5" x14ac:dyDescent="0.25">
      <c r="A1565" s="2" t="s">
        <v>1831</v>
      </c>
      <c r="B1565" s="2" t="s">
        <v>116</v>
      </c>
      <c r="C1565" s="2">
        <v>2</v>
      </c>
      <c r="D1565" t="str">
        <f t="shared" si="24"/>
        <v>CA-2014-169642_OFF-ST-10002574</v>
      </c>
      <c r="E1565" t="str">
        <f>IF(COUNTIF(data1!$D:$D,D1565)=0,"Missing in Data1","Present")</f>
        <v>Present</v>
      </c>
    </row>
    <row r="1566" spans="1:5" x14ac:dyDescent="0.25">
      <c r="A1566" s="2" t="s">
        <v>1832</v>
      </c>
      <c r="B1566" s="2" t="s">
        <v>1183</v>
      </c>
      <c r="C1566" s="2">
        <v>2</v>
      </c>
      <c r="D1566" t="str">
        <f t="shared" si="24"/>
        <v>CA-2014-169649_OFF-AP-10003287</v>
      </c>
      <c r="E1566" t="str">
        <f>IF(COUNTIF(data1!$D:$D,D1566)=0,"Missing in Data1","Present")</f>
        <v>Present</v>
      </c>
    </row>
    <row r="1567" spans="1:5" x14ac:dyDescent="0.25">
      <c r="A1567" s="2" t="s">
        <v>1832</v>
      </c>
      <c r="B1567" s="2" t="s">
        <v>1833</v>
      </c>
      <c r="C1567" s="2">
        <v>2</v>
      </c>
      <c r="D1567" t="str">
        <f t="shared" si="24"/>
        <v>CA-2014-169649_OFF-PA-10000143</v>
      </c>
      <c r="E1567" t="str">
        <f>IF(COUNTIF(data1!$D:$D,D1567)=0,"Missing in Data1","Present")</f>
        <v>Present</v>
      </c>
    </row>
    <row r="1568" spans="1:5" x14ac:dyDescent="0.25">
      <c r="A1568" s="2" t="s">
        <v>1834</v>
      </c>
      <c r="B1568" s="2" t="s">
        <v>770</v>
      </c>
      <c r="C1568" s="2">
        <v>3</v>
      </c>
      <c r="D1568" t="str">
        <f t="shared" si="24"/>
        <v>CA-2014-169684_FUR-TA-10003008</v>
      </c>
      <c r="E1568" t="str">
        <f>IF(COUNTIF(data1!$D:$D,D1568)=0,"Missing in Data1","Present")</f>
        <v>Present</v>
      </c>
    </row>
    <row r="1569" spans="1:5" x14ac:dyDescent="0.25">
      <c r="A1569" s="2" t="s">
        <v>1834</v>
      </c>
      <c r="B1569" s="2" t="s">
        <v>195</v>
      </c>
      <c r="C1569" s="2">
        <v>3</v>
      </c>
      <c r="D1569" t="str">
        <f t="shared" si="24"/>
        <v>CA-2014-169684_OFF-ST-10000934</v>
      </c>
      <c r="E1569" t="str">
        <f>IF(COUNTIF(data1!$D:$D,D1569)=0,"Missing in Data1","Present")</f>
        <v>Present</v>
      </c>
    </row>
    <row r="1570" spans="1:5" x14ac:dyDescent="0.25">
      <c r="A1570" s="2" t="s">
        <v>1835</v>
      </c>
      <c r="B1570" s="2" t="s">
        <v>113</v>
      </c>
      <c r="C1570" s="2">
        <v>7</v>
      </c>
      <c r="D1570" t="str">
        <f t="shared" si="24"/>
        <v>CA-2014-169726_OFF-BI-10004600</v>
      </c>
      <c r="E1570" t="str">
        <f>IF(COUNTIF(data1!$D:$D,D1570)=0,"Missing in Data1","Present")</f>
        <v>Present</v>
      </c>
    </row>
    <row r="1571" spans="1:5" x14ac:dyDescent="0.25">
      <c r="A1571" s="2" t="s">
        <v>1836</v>
      </c>
      <c r="B1571" s="2" t="s">
        <v>1837</v>
      </c>
      <c r="C1571" s="2">
        <v>3</v>
      </c>
      <c r="D1571" t="str">
        <f t="shared" si="24"/>
        <v>CA-2014-169775_FUR-TA-10001857</v>
      </c>
      <c r="E1571" t="str">
        <f>IF(COUNTIF(data1!$D:$D,D1571)=0,"Missing in Data1","Present")</f>
        <v>Present</v>
      </c>
    </row>
    <row r="1572" spans="1:5" x14ac:dyDescent="0.25">
      <c r="A1572" s="2" t="s">
        <v>1836</v>
      </c>
      <c r="B1572" s="2" t="s">
        <v>895</v>
      </c>
      <c r="C1572" s="2">
        <v>4</v>
      </c>
      <c r="D1572" t="str">
        <f t="shared" si="24"/>
        <v>CA-2014-169775_OFF-BI-10004390</v>
      </c>
      <c r="E1572" t="str">
        <f>IF(COUNTIF(data1!$D:$D,D1572)=0,"Missing in Data1","Present")</f>
        <v>Present</v>
      </c>
    </row>
    <row r="1573" spans="1:5" x14ac:dyDescent="0.25">
      <c r="A1573" s="2" t="s">
        <v>1836</v>
      </c>
      <c r="B1573" s="2" t="s">
        <v>1838</v>
      </c>
      <c r="C1573" s="2">
        <v>2</v>
      </c>
      <c r="D1573" t="str">
        <f t="shared" si="24"/>
        <v>CA-2014-169775_OFF-EN-10001749</v>
      </c>
      <c r="E1573" t="str">
        <f>IF(COUNTIF(data1!$D:$D,D1573)=0,"Missing in Data1","Present")</f>
        <v>Present</v>
      </c>
    </row>
    <row r="1574" spans="1:5" x14ac:dyDescent="0.25">
      <c r="A1574" s="2" t="s">
        <v>1839</v>
      </c>
      <c r="B1574" s="2" t="s">
        <v>1840</v>
      </c>
      <c r="C1574" s="2">
        <v>3</v>
      </c>
      <c r="D1574" t="str">
        <f t="shared" si="24"/>
        <v>CA-2014-169803_FUR-TA-10000688</v>
      </c>
      <c r="E1574" t="str">
        <f>IF(COUNTIF(data1!$D:$D,D1574)=0,"Missing in Data1","Present")</f>
        <v>Present</v>
      </c>
    </row>
    <row r="1575" spans="1:5" x14ac:dyDescent="0.25">
      <c r="A1575" s="2" t="s">
        <v>1839</v>
      </c>
      <c r="B1575" s="2" t="s">
        <v>1841</v>
      </c>
      <c r="C1575" s="2">
        <v>2</v>
      </c>
      <c r="D1575" t="str">
        <f t="shared" si="24"/>
        <v>CA-2014-169803_TEC-AC-10003441</v>
      </c>
      <c r="E1575" t="str">
        <f>IF(COUNTIF(data1!$D:$D,D1575)=0,"Missing in Data1","Present")</f>
        <v>Present</v>
      </c>
    </row>
    <row r="1576" spans="1:5" x14ac:dyDescent="0.25">
      <c r="A1576" s="2" t="s">
        <v>1842</v>
      </c>
      <c r="B1576" s="2" t="s">
        <v>1843</v>
      </c>
      <c r="C1576" s="2">
        <v>3</v>
      </c>
      <c r="D1576" t="str">
        <f t="shared" si="24"/>
        <v>CA-2014-169852_OFF-BI-10001460</v>
      </c>
      <c r="E1576" t="str">
        <f>IF(COUNTIF(data1!$D:$D,D1576)=0,"Missing in Data1","Present")</f>
        <v>Present</v>
      </c>
    </row>
    <row r="1577" spans="1:5" x14ac:dyDescent="0.25">
      <c r="A1577" s="2" t="s">
        <v>1844</v>
      </c>
      <c r="B1577" s="2" t="s">
        <v>246</v>
      </c>
      <c r="C1577" s="2">
        <v>2</v>
      </c>
      <c r="D1577" t="str">
        <f t="shared" si="24"/>
        <v>CA-2015-100146_FUR-CH-10003833</v>
      </c>
      <c r="E1577" t="str">
        <f>IF(COUNTIF(data1!$D:$D,D1577)=0,"Missing in Data1","Present")</f>
        <v>Present</v>
      </c>
    </row>
    <row r="1578" spans="1:5" x14ac:dyDescent="0.25">
      <c r="A1578" s="2" t="s">
        <v>1844</v>
      </c>
      <c r="B1578" s="2" t="s">
        <v>193</v>
      </c>
      <c r="C1578" s="2">
        <v>3</v>
      </c>
      <c r="D1578" t="str">
        <f t="shared" si="24"/>
        <v>CA-2015-100146_FUR-CH-10004495</v>
      </c>
      <c r="E1578" t="str">
        <f>IF(COUNTIF(data1!$D:$D,D1578)=0,"Missing in Data1","Present")</f>
        <v>Present</v>
      </c>
    </row>
    <row r="1579" spans="1:5" x14ac:dyDescent="0.25">
      <c r="A1579" s="2" t="s">
        <v>1844</v>
      </c>
      <c r="B1579" s="2" t="s">
        <v>1845</v>
      </c>
      <c r="C1579" s="2">
        <v>3</v>
      </c>
      <c r="D1579" t="str">
        <f t="shared" si="24"/>
        <v>CA-2015-100146_FUR-FU-10001979</v>
      </c>
      <c r="E1579" t="str">
        <f>IF(COUNTIF(data1!$D:$D,D1579)=0,"Missing in Data1","Present")</f>
        <v>Present</v>
      </c>
    </row>
    <row r="1580" spans="1:5" x14ac:dyDescent="0.25">
      <c r="A1580" s="2" t="s">
        <v>1846</v>
      </c>
      <c r="B1580" s="2" t="s">
        <v>320</v>
      </c>
      <c r="C1580" s="2">
        <v>6</v>
      </c>
      <c r="D1580" t="str">
        <f t="shared" si="24"/>
        <v>CA-2015-100216_OFF-PA-10000788</v>
      </c>
      <c r="E1580" t="str">
        <f>IF(COUNTIF(data1!$D:$D,D1580)=0,"Missing in Data1","Present")</f>
        <v>Present</v>
      </c>
    </row>
    <row r="1581" spans="1:5" x14ac:dyDescent="0.25">
      <c r="A1581" s="2" t="s">
        <v>1846</v>
      </c>
      <c r="B1581" s="2" t="s">
        <v>1847</v>
      </c>
      <c r="C1581" s="2">
        <v>3</v>
      </c>
      <c r="D1581" t="str">
        <f t="shared" si="24"/>
        <v>CA-2015-100216_OFF-PA-10002968</v>
      </c>
      <c r="E1581" t="str">
        <f>IF(COUNTIF(data1!$D:$D,D1581)=0,"Missing in Data1","Present")</f>
        <v>Present</v>
      </c>
    </row>
    <row r="1582" spans="1:5" x14ac:dyDescent="0.25">
      <c r="A1582" s="2" t="s">
        <v>1848</v>
      </c>
      <c r="B1582" s="2" t="s">
        <v>1849</v>
      </c>
      <c r="C1582" s="2">
        <v>10</v>
      </c>
      <c r="D1582" t="str">
        <f t="shared" si="24"/>
        <v>CA-2015-100251_OFF-LA-10003766</v>
      </c>
      <c r="E1582" t="str">
        <f>IF(COUNTIF(data1!$D:$D,D1582)=0,"Missing in Data1","Present")</f>
        <v>Present</v>
      </c>
    </row>
    <row r="1583" spans="1:5" x14ac:dyDescent="0.25">
      <c r="A1583" s="2" t="s">
        <v>1848</v>
      </c>
      <c r="B1583" s="2" t="s">
        <v>1850</v>
      </c>
      <c r="C1583" s="2">
        <v>4</v>
      </c>
      <c r="D1583" t="str">
        <f t="shared" si="24"/>
        <v>CA-2015-100251_OFF-SU-10000898</v>
      </c>
      <c r="E1583" t="str">
        <f>IF(COUNTIF(data1!$D:$D,D1583)=0,"Missing in Data1","Present")</f>
        <v>Present</v>
      </c>
    </row>
    <row r="1584" spans="1:5" x14ac:dyDescent="0.25">
      <c r="A1584" s="2" t="s">
        <v>1851</v>
      </c>
      <c r="B1584" s="2" t="s">
        <v>1852</v>
      </c>
      <c r="C1584" s="2">
        <v>4</v>
      </c>
      <c r="D1584" t="str">
        <f t="shared" si="24"/>
        <v>CA-2015-100454_FUR-BO-10001519</v>
      </c>
      <c r="E1584" t="str">
        <f>IF(COUNTIF(data1!$D:$D,D1584)=0,"Missing in Data1","Present")</f>
        <v>Present</v>
      </c>
    </row>
    <row r="1585" spans="1:5" x14ac:dyDescent="0.25">
      <c r="A1585" s="2" t="s">
        <v>1851</v>
      </c>
      <c r="B1585" s="2" t="s">
        <v>1745</v>
      </c>
      <c r="C1585" s="2">
        <v>4</v>
      </c>
      <c r="D1585" t="str">
        <f t="shared" si="24"/>
        <v>CA-2015-100454_OFF-AR-10002578</v>
      </c>
      <c r="E1585" t="str">
        <f>IF(COUNTIF(data1!$D:$D,D1585)=0,"Missing in Data1","Present")</f>
        <v>Present</v>
      </c>
    </row>
    <row r="1586" spans="1:5" x14ac:dyDescent="0.25">
      <c r="A1586" s="2" t="s">
        <v>1851</v>
      </c>
      <c r="B1586" s="2" t="s">
        <v>1853</v>
      </c>
      <c r="C1586" s="2">
        <v>3</v>
      </c>
      <c r="D1586" t="str">
        <f t="shared" si="24"/>
        <v>CA-2015-100454_OFF-AR-10004648</v>
      </c>
      <c r="E1586" t="str">
        <f>IF(COUNTIF(data1!$D:$D,D1586)=0,"Missing in Data1","Present")</f>
        <v>Present</v>
      </c>
    </row>
    <row r="1587" spans="1:5" x14ac:dyDescent="0.25">
      <c r="A1587" s="2" t="s">
        <v>6763</v>
      </c>
      <c r="B1587" s="2" t="s">
        <v>1137</v>
      </c>
      <c r="C1587" s="2">
        <v>2</v>
      </c>
      <c r="D1587" t="str">
        <f t="shared" si="24"/>
        <v>CA-2015-100545_OFF-BI-10003638</v>
      </c>
      <c r="E1587" t="str">
        <f>IF(COUNTIF(data1!$D:$D,D1587)=0,"Missing in Data1","Present")</f>
        <v>Missing in Data1</v>
      </c>
    </row>
    <row r="1588" spans="1:5" x14ac:dyDescent="0.25">
      <c r="A1588" s="2" t="s">
        <v>1856</v>
      </c>
      <c r="B1588" s="2" t="s">
        <v>1857</v>
      </c>
      <c r="C1588" s="2">
        <v>2</v>
      </c>
      <c r="D1588" t="str">
        <f t="shared" si="24"/>
        <v>CA-2015-100657_FUR-CH-10003535</v>
      </c>
      <c r="E1588" t="str">
        <f>IF(COUNTIF(data1!$D:$D,D1588)=0,"Missing in Data1","Present")</f>
        <v>Present</v>
      </c>
    </row>
    <row r="1589" spans="1:5" x14ac:dyDescent="0.25">
      <c r="A1589" s="2" t="s">
        <v>1858</v>
      </c>
      <c r="B1589" s="2" t="s">
        <v>982</v>
      </c>
      <c r="C1589" s="2">
        <v>2</v>
      </c>
      <c r="D1589" t="str">
        <f t="shared" si="24"/>
        <v>CA-2015-100685_OFF-BI-10003094</v>
      </c>
      <c r="E1589" t="str">
        <f>IF(COUNTIF(data1!$D:$D,D1589)=0,"Missing in Data1","Present")</f>
        <v>Present</v>
      </c>
    </row>
    <row r="1590" spans="1:5" x14ac:dyDescent="0.25">
      <c r="A1590" s="2" t="s">
        <v>1858</v>
      </c>
      <c r="B1590" s="2" t="s">
        <v>1859</v>
      </c>
      <c r="C1590" s="2">
        <v>4</v>
      </c>
      <c r="D1590" t="str">
        <f t="shared" si="24"/>
        <v>CA-2015-100685_OFF-FA-10003472</v>
      </c>
      <c r="E1590" t="str">
        <f>IF(COUNTIF(data1!$D:$D,D1590)=0,"Missing in Data1","Present")</f>
        <v>Present</v>
      </c>
    </row>
    <row r="1591" spans="1:5" x14ac:dyDescent="0.25">
      <c r="A1591" s="2" t="s">
        <v>1858</v>
      </c>
      <c r="B1591" s="2" t="s">
        <v>789</v>
      </c>
      <c r="C1591" s="2">
        <v>3</v>
      </c>
      <c r="D1591" t="str">
        <f t="shared" si="24"/>
        <v>CA-2015-100685_OFF-PA-10001289</v>
      </c>
      <c r="E1591" t="str">
        <f>IF(COUNTIF(data1!$D:$D,D1591)=0,"Missing in Data1","Present")</f>
        <v>Present</v>
      </c>
    </row>
    <row r="1592" spans="1:5" x14ac:dyDescent="0.25">
      <c r="A1592" s="2" t="s">
        <v>1860</v>
      </c>
      <c r="B1592" s="2" t="s">
        <v>459</v>
      </c>
      <c r="C1592" s="2">
        <v>4</v>
      </c>
      <c r="D1592" t="str">
        <f t="shared" si="24"/>
        <v>CA-2015-100734_OFF-BI-10002609</v>
      </c>
      <c r="E1592" t="str">
        <f>IF(COUNTIF(data1!$D:$D,D1592)=0,"Missing in Data1","Present")</f>
        <v>Missing in Data1</v>
      </c>
    </row>
    <row r="1593" spans="1:5" x14ac:dyDescent="0.25">
      <c r="A1593" s="2" t="s">
        <v>1860</v>
      </c>
      <c r="B1593" s="2" t="s">
        <v>374</v>
      </c>
      <c r="C1593" s="2">
        <v>2</v>
      </c>
      <c r="D1593" t="str">
        <f t="shared" si="24"/>
        <v>CA-2015-100734_OFF-ST-10001522</v>
      </c>
      <c r="E1593" t="str">
        <f>IF(COUNTIF(data1!$D:$D,D1593)=0,"Missing in Data1","Present")</f>
        <v>Present</v>
      </c>
    </row>
    <row r="1594" spans="1:5" x14ac:dyDescent="0.25">
      <c r="A1594" s="2" t="s">
        <v>1861</v>
      </c>
      <c r="B1594" s="2" t="s">
        <v>1862</v>
      </c>
      <c r="C1594" s="2">
        <v>4</v>
      </c>
      <c r="D1594" t="str">
        <f t="shared" si="24"/>
        <v>CA-2015-100769_TEC-AC-10002402</v>
      </c>
      <c r="E1594" t="str">
        <f>IF(COUNTIF(data1!$D:$D,D1594)=0,"Missing in Data1","Present")</f>
        <v>Present</v>
      </c>
    </row>
    <row r="1595" spans="1:5" x14ac:dyDescent="0.25">
      <c r="A1595" s="2" t="s">
        <v>1863</v>
      </c>
      <c r="B1595" s="2" t="s">
        <v>1864</v>
      </c>
      <c r="C1595" s="2">
        <v>2</v>
      </c>
      <c r="D1595" t="str">
        <f t="shared" si="24"/>
        <v>CA-2015-100818_FUR-FU-10002703</v>
      </c>
      <c r="E1595" t="str">
        <f>IF(COUNTIF(data1!$D:$D,D1595)=0,"Missing in Data1","Present")</f>
        <v>Present</v>
      </c>
    </row>
    <row r="1596" spans="1:5" x14ac:dyDescent="0.25">
      <c r="A1596" s="2" t="s">
        <v>1863</v>
      </c>
      <c r="B1596" s="2" t="s">
        <v>432</v>
      </c>
      <c r="C1596" s="2">
        <v>3</v>
      </c>
      <c r="D1596" t="str">
        <f t="shared" si="24"/>
        <v>CA-2015-100818_OFF-BI-10004364</v>
      </c>
      <c r="E1596" t="str">
        <f>IF(COUNTIF(data1!$D:$D,D1596)=0,"Missing in Data1","Present")</f>
        <v>Present</v>
      </c>
    </row>
    <row r="1597" spans="1:5" x14ac:dyDescent="0.25">
      <c r="A1597" s="2" t="s">
        <v>1863</v>
      </c>
      <c r="B1597" s="2" t="s">
        <v>172</v>
      </c>
      <c r="C1597" s="2">
        <v>2</v>
      </c>
      <c r="D1597" t="str">
        <f t="shared" si="24"/>
        <v>CA-2015-100818_OFF-LA-10000443</v>
      </c>
      <c r="E1597" t="str">
        <f>IF(COUNTIF(data1!$D:$D,D1597)=0,"Missing in Data1","Present")</f>
        <v>Present</v>
      </c>
    </row>
    <row r="1598" spans="1:5" x14ac:dyDescent="0.25">
      <c r="A1598" s="2" t="s">
        <v>1863</v>
      </c>
      <c r="B1598" s="2" t="s">
        <v>781</v>
      </c>
      <c r="C1598" s="2">
        <v>7</v>
      </c>
      <c r="D1598" t="str">
        <f t="shared" si="24"/>
        <v>CA-2015-100818_OFF-PA-10001125</v>
      </c>
      <c r="E1598" t="str">
        <f>IF(COUNTIF(data1!$D:$D,D1598)=0,"Missing in Data1","Present")</f>
        <v>Present</v>
      </c>
    </row>
    <row r="1599" spans="1:5" x14ac:dyDescent="0.25">
      <c r="A1599" s="2" t="s">
        <v>1865</v>
      </c>
      <c r="B1599" s="2" t="s">
        <v>802</v>
      </c>
      <c r="C1599" s="2">
        <v>3</v>
      </c>
      <c r="D1599" t="str">
        <f t="shared" si="24"/>
        <v>CA-2015-100888_OFF-PA-10001019</v>
      </c>
      <c r="E1599" t="str">
        <f>IF(COUNTIF(data1!$D:$D,D1599)=0,"Missing in Data1","Present")</f>
        <v>Present</v>
      </c>
    </row>
    <row r="1600" spans="1:5" x14ac:dyDescent="0.25">
      <c r="A1600" s="2" t="s">
        <v>1866</v>
      </c>
      <c r="B1600" s="2" t="s">
        <v>1867</v>
      </c>
      <c r="C1600" s="2">
        <v>3</v>
      </c>
      <c r="D1600" t="str">
        <f t="shared" si="24"/>
        <v>CA-2015-101000_OFF-AP-10000179</v>
      </c>
      <c r="E1600" t="str">
        <f>IF(COUNTIF(data1!$D:$D,D1600)=0,"Missing in Data1","Present")</f>
        <v>Present</v>
      </c>
    </row>
    <row r="1601" spans="1:5" x14ac:dyDescent="0.25">
      <c r="A1601" s="2" t="s">
        <v>1868</v>
      </c>
      <c r="B1601" s="2" t="s">
        <v>1097</v>
      </c>
      <c r="C1601" s="2">
        <v>2</v>
      </c>
      <c r="D1601" t="str">
        <f t="shared" si="24"/>
        <v>CA-2015-101007_TEC-AC-10001266</v>
      </c>
      <c r="E1601" t="str">
        <f>IF(COUNTIF(data1!$D:$D,D1601)=0,"Missing in Data1","Present")</f>
        <v>Present</v>
      </c>
    </row>
    <row r="1602" spans="1:5" x14ac:dyDescent="0.25">
      <c r="A1602" s="2" t="s">
        <v>1869</v>
      </c>
      <c r="B1602" s="2" t="s">
        <v>534</v>
      </c>
      <c r="C1602" s="2">
        <v>6</v>
      </c>
      <c r="D1602" t="str">
        <f t="shared" si="24"/>
        <v>CA-2015-101091_OFF-BI-10001107</v>
      </c>
      <c r="E1602" t="str">
        <f>IF(COUNTIF(data1!$D:$D,D1602)=0,"Missing in Data1","Present")</f>
        <v>Present</v>
      </c>
    </row>
    <row r="1603" spans="1:5" x14ac:dyDescent="0.25">
      <c r="A1603" s="2" t="s">
        <v>1869</v>
      </c>
      <c r="B1603" s="2" t="s">
        <v>1870</v>
      </c>
      <c r="C1603" s="2">
        <v>2</v>
      </c>
      <c r="D1603" t="str">
        <f t="shared" ref="D1603:D1666" si="25">A1603&amp;"_"&amp;B1603</f>
        <v>CA-2015-101091_TEC-AC-10003280</v>
      </c>
      <c r="E1603" t="str">
        <f>IF(COUNTIF(data1!$D:$D,D1603)=0,"Missing in Data1","Present")</f>
        <v>Present</v>
      </c>
    </row>
    <row r="1604" spans="1:5" x14ac:dyDescent="0.25">
      <c r="A1604" s="2" t="s">
        <v>1871</v>
      </c>
      <c r="B1604" s="2" t="s">
        <v>166</v>
      </c>
      <c r="C1604" s="2">
        <v>5</v>
      </c>
      <c r="D1604" t="str">
        <f t="shared" si="25"/>
        <v>CA-2015-101126_OFF-ST-10000943</v>
      </c>
      <c r="E1604" t="str">
        <f>IF(COUNTIF(data1!$D:$D,D1604)=0,"Missing in Data1","Present")</f>
        <v>Present</v>
      </c>
    </row>
    <row r="1605" spans="1:5" x14ac:dyDescent="0.25">
      <c r="A1605" s="2" t="s">
        <v>1872</v>
      </c>
      <c r="B1605" s="2" t="s">
        <v>231</v>
      </c>
      <c r="C1605" s="2">
        <v>4</v>
      </c>
      <c r="D1605" t="str">
        <f t="shared" si="25"/>
        <v>CA-2015-101154_OFF-ST-10004186</v>
      </c>
      <c r="E1605" t="str">
        <f>IF(COUNTIF(data1!$D:$D,D1605)=0,"Missing in Data1","Present")</f>
        <v>Present</v>
      </c>
    </row>
    <row r="1606" spans="1:5" x14ac:dyDescent="0.25">
      <c r="A1606" s="2" t="s">
        <v>1873</v>
      </c>
      <c r="B1606" s="2" t="s">
        <v>1874</v>
      </c>
      <c r="C1606" s="2">
        <v>1</v>
      </c>
      <c r="D1606" t="str">
        <f t="shared" si="25"/>
        <v>CA-2015-101707_OFF-LA-10000134</v>
      </c>
      <c r="E1606" t="str">
        <f>IF(COUNTIF(data1!$D:$D,D1606)=0,"Missing in Data1","Present")</f>
        <v>Present</v>
      </c>
    </row>
    <row r="1607" spans="1:5" x14ac:dyDescent="0.25">
      <c r="A1607" s="2" t="s">
        <v>1873</v>
      </c>
      <c r="B1607" s="2" t="s">
        <v>1847</v>
      </c>
      <c r="C1607" s="2">
        <v>5</v>
      </c>
      <c r="D1607" t="str">
        <f t="shared" si="25"/>
        <v>CA-2015-101707_OFF-PA-10002968</v>
      </c>
      <c r="E1607" t="str">
        <f>IF(COUNTIF(data1!$D:$D,D1607)=0,"Missing in Data1","Present")</f>
        <v>Present</v>
      </c>
    </row>
    <row r="1608" spans="1:5" x14ac:dyDescent="0.25">
      <c r="A1608" s="2" t="s">
        <v>1873</v>
      </c>
      <c r="B1608" s="2" t="s">
        <v>1875</v>
      </c>
      <c r="C1608" s="2">
        <v>3</v>
      </c>
      <c r="D1608" t="str">
        <f t="shared" si="25"/>
        <v>CA-2015-101707_OFF-SU-10001218</v>
      </c>
      <c r="E1608" t="str">
        <f>IF(COUNTIF(data1!$D:$D,D1608)=0,"Missing in Data1","Present")</f>
        <v>Present</v>
      </c>
    </row>
    <row r="1609" spans="1:5" x14ac:dyDescent="0.25">
      <c r="A1609" s="2" t="s">
        <v>1876</v>
      </c>
      <c r="B1609" s="2" t="s">
        <v>823</v>
      </c>
      <c r="C1609" s="2">
        <v>3</v>
      </c>
      <c r="D1609" t="str">
        <f t="shared" si="25"/>
        <v>CA-2015-101868_OFF-BI-10002133</v>
      </c>
      <c r="E1609" t="str">
        <f>IF(COUNTIF(data1!$D:$D,D1609)=0,"Missing in Data1","Present")</f>
        <v>Present</v>
      </c>
    </row>
    <row r="1610" spans="1:5" x14ac:dyDescent="0.25">
      <c r="A1610" s="2" t="s">
        <v>1876</v>
      </c>
      <c r="B1610" s="2" t="s">
        <v>303</v>
      </c>
      <c r="C1610" s="2">
        <v>5</v>
      </c>
      <c r="D1610" t="str">
        <f t="shared" si="25"/>
        <v>CA-2015-101868_OFF-BI-10003876</v>
      </c>
      <c r="E1610" t="str">
        <f>IF(COUNTIF(data1!$D:$D,D1610)=0,"Missing in Data1","Present")</f>
        <v>Present</v>
      </c>
    </row>
    <row r="1611" spans="1:5" x14ac:dyDescent="0.25">
      <c r="A1611" s="2" t="s">
        <v>1876</v>
      </c>
      <c r="B1611" s="2" t="s">
        <v>1877</v>
      </c>
      <c r="C1611" s="2">
        <v>5</v>
      </c>
      <c r="D1611" t="str">
        <f t="shared" si="25"/>
        <v>CA-2015-101868_TEC-AC-10004396</v>
      </c>
      <c r="E1611" t="str">
        <f>IF(COUNTIF(data1!$D:$D,D1611)=0,"Missing in Data1","Present")</f>
        <v>Present</v>
      </c>
    </row>
    <row r="1612" spans="1:5" x14ac:dyDescent="0.25">
      <c r="A1612" s="2" t="s">
        <v>1878</v>
      </c>
      <c r="B1612" s="2" t="s">
        <v>1879</v>
      </c>
      <c r="C1612" s="2">
        <v>9</v>
      </c>
      <c r="D1612" t="str">
        <f t="shared" si="25"/>
        <v>CA-2015-101889_FUR-TA-10004154</v>
      </c>
      <c r="E1612" t="str">
        <f>IF(COUNTIF(data1!$D:$D,D1612)=0,"Missing in Data1","Present")</f>
        <v>Present</v>
      </c>
    </row>
    <row r="1613" spans="1:5" x14ac:dyDescent="0.25">
      <c r="A1613" s="2" t="s">
        <v>1878</v>
      </c>
      <c r="B1613" s="2" t="s">
        <v>481</v>
      </c>
      <c r="C1613" s="2">
        <v>3</v>
      </c>
      <c r="D1613" t="str">
        <f t="shared" si="25"/>
        <v>CA-2015-101889_OFF-EN-10003286</v>
      </c>
      <c r="E1613" t="str">
        <f>IF(COUNTIF(data1!$D:$D,D1613)=0,"Missing in Data1","Present")</f>
        <v>Present</v>
      </c>
    </row>
    <row r="1614" spans="1:5" x14ac:dyDescent="0.25">
      <c r="A1614" s="2" t="s">
        <v>1880</v>
      </c>
      <c r="B1614" s="2" t="s">
        <v>1419</v>
      </c>
      <c r="C1614" s="2">
        <v>5</v>
      </c>
      <c r="D1614" t="str">
        <f t="shared" si="25"/>
        <v>CA-2015-101910_FUR-CH-10002647</v>
      </c>
      <c r="E1614" t="str">
        <f>IF(COUNTIF(data1!$D:$D,D1614)=0,"Missing in Data1","Present")</f>
        <v>Present</v>
      </c>
    </row>
    <row r="1615" spans="1:5" x14ac:dyDescent="0.25">
      <c r="A1615" s="2" t="s">
        <v>1881</v>
      </c>
      <c r="B1615" s="2" t="s">
        <v>1014</v>
      </c>
      <c r="C1615" s="2">
        <v>2</v>
      </c>
      <c r="D1615" t="str">
        <f t="shared" si="25"/>
        <v>CA-2015-101924_OFF-BI-10000962</v>
      </c>
      <c r="E1615" t="str">
        <f>IF(COUNTIF(data1!$D:$D,D1615)=0,"Missing in Data1","Present")</f>
        <v>Present</v>
      </c>
    </row>
    <row r="1616" spans="1:5" x14ac:dyDescent="0.25">
      <c r="A1616" s="2" t="s">
        <v>1882</v>
      </c>
      <c r="B1616" s="2" t="s">
        <v>1194</v>
      </c>
      <c r="C1616" s="2">
        <v>2</v>
      </c>
      <c r="D1616" t="str">
        <f t="shared" si="25"/>
        <v>CA-2015-102015_OFF-AR-10004685</v>
      </c>
      <c r="E1616" t="str">
        <f>IF(COUNTIF(data1!$D:$D,D1616)=0,"Missing in Data1","Present")</f>
        <v>Present</v>
      </c>
    </row>
    <row r="1617" spans="1:5" x14ac:dyDescent="0.25">
      <c r="A1617" s="2" t="s">
        <v>1882</v>
      </c>
      <c r="B1617" s="2" t="s">
        <v>531</v>
      </c>
      <c r="C1617" s="2">
        <v>1</v>
      </c>
      <c r="D1617" t="str">
        <f t="shared" si="25"/>
        <v>CA-2015-102015_OFF-EN-10002504</v>
      </c>
      <c r="E1617" t="str">
        <f>IF(COUNTIF(data1!$D:$D,D1617)=0,"Missing in Data1","Present")</f>
        <v>Present</v>
      </c>
    </row>
    <row r="1618" spans="1:5" x14ac:dyDescent="0.25">
      <c r="A1618" s="2" t="s">
        <v>1882</v>
      </c>
      <c r="B1618" s="2" t="s">
        <v>1488</v>
      </c>
      <c r="C1618" s="2">
        <v>1</v>
      </c>
      <c r="D1618" t="str">
        <f t="shared" si="25"/>
        <v>CA-2015-102015_OFF-FA-10000490</v>
      </c>
      <c r="E1618" t="str">
        <f>IF(COUNTIF(data1!$D:$D,D1618)=0,"Missing in Data1","Present")</f>
        <v>Present</v>
      </c>
    </row>
    <row r="1619" spans="1:5" x14ac:dyDescent="0.25">
      <c r="A1619" s="2" t="s">
        <v>1882</v>
      </c>
      <c r="B1619" s="2" t="s">
        <v>218</v>
      </c>
      <c r="C1619" s="2">
        <v>2</v>
      </c>
      <c r="D1619" t="str">
        <f t="shared" si="25"/>
        <v>CA-2015-102015_OFF-LA-10002043</v>
      </c>
      <c r="E1619" t="str">
        <f>IF(COUNTIF(data1!$D:$D,D1619)=0,"Missing in Data1","Present")</f>
        <v>Present</v>
      </c>
    </row>
    <row r="1620" spans="1:5" x14ac:dyDescent="0.25">
      <c r="A1620" s="2" t="s">
        <v>1882</v>
      </c>
      <c r="B1620" s="2" t="s">
        <v>1883</v>
      </c>
      <c r="C1620" s="2">
        <v>5</v>
      </c>
      <c r="D1620" t="str">
        <f t="shared" si="25"/>
        <v>CA-2015-102015_OFF-PA-10002464</v>
      </c>
      <c r="E1620" t="str">
        <f>IF(COUNTIF(data1!$D:$D,D1620)=0,"Missing in Data1","Present")</f>
        <v>Present</v>
      </c>
    </row>
    <row r="1621" spans="1:5" x14ac:dyDescent="0.25">
      <c r="A1621" s="2" t="s">
        <v>1882</v>
      </c>
      <c r="B1621" s="2" t="s">
        <v>1347</v>
      </c>
      <c r="C1621" s="2">
        <v>2</v>
      </c>
      <c r="D1621" t="str">
        <f t="shared" si="25"/>
        <v>CA-2015-102015_OFF-ST-10001713</v>
      </c>
      <c r="E1621" t="str">
        <f>IF(COUNTIF(data1!$D:$D,D1621)=0,"Missing in Data1","Present")</f>
        <v>Present</v>
      </c>
    </row>
    <row r="1622" spans="1:5" x14ac:dyDescent="0.25">
      <c r="A1622" s="2" t="s">
        <v>1884</v>
      </c>
      <c r="B1622" s="2" t="s">
        <v>1465</v>
      </c>
      <c r="C1622" s="2">
        <v>6</v>
      </c>
      <c r="D1622" t="str">
        <f t="shared" si="25"/>
        <v>CA-2015-102036_OFF-ST-10003123</v>
      </c>
      <c r="E1622" t="str">
        <f>IF(COUNTIF(data1!$D:$D,D1622)=0,"Missing in Data1","Present")</f>
        <v>Present</v>
      </c>
    </row>
    <row r="1623" spans="1:5" x14ac:dyDescent="0.25">
      <c r="A1623" s="2" t="s">
        <v>1885</v>
      </c>
      <c r="B1623" s="2" t="s">
        <v>564</v>
      </c>
      <c r="C1623" s="2">
        <v>2</v>
      </c>
      <c r="D1623" t="str">
        <f t="shared" si="25"/>
        <v>CA-2015-102260_OFF-AR-10001315</v>
      </c>
      <c r="E1623" t="str">
        <f>IF(COUNTIF(data1!$D:$D,D1623)=0,"Missing in Data1","Present")</f>
        <v>Present</v>
      </c>
    </row>
    <row r="1624" spans="1:5" x14ac:dyDescent="0.25">
      <c r="A1624" s="2" t="s">
        <v>1885</v>
      </c>
      <c r="B1624" s="2" t="s">
        <v>1886</v>
      </c>
      <c r="C1624" s="2">
        <v>2</v>
      </c>
      <c r="D1624" t="str">
        <f t="shared" si="25"/>
        <v>CA-2015-102260_OFF-BI-10000042</v>
      </c>
      <c r="E1624" t="str">
        <f>IF(COUNTIF(data1!$D:$D,D1624)=0,"Missing in Data1","Present")</f>
        <v>Present</v>
      </c>
    </row>
    <row r="1625" spans="1:5" x14ac:dyDescent="0.25">
      <c r="A1625" s="2" t="s">
        <v>1885</v>
      </c>
      <c r="B1625" s="2" t="s">
        <v>1887</v>
      </c>
      <c r="C1625" s="2">
        <v>4</v>
      </c>
      <c r="D1625" t="str">
        <f t="shared" si="25"/>
        <v>CA-2015-102260_OFF-LA-10003714</v>
      </c>
      <c r="E1625" t="str">
        <f>IF(COUNTIF(data1!$D:$D,D1625)=0,"Missing in Data1","Present")</f>
        <v>Present</v>
      </c>
    </row>
    <row r="1626" spans="1:5" x14ac:dyDescent="0.25">
      <c r="A1626" s="2" t="s">
        <v>1885</v>
      </c>
      <c r="B1626" s="2" t="s">
        <v>495</v>
      </c>
      <c r="C1626" s="2">
        <v>4</v>
      </c>
      <c r="D1626" t="str">
        <f t="shared" si="25"/>
        <v>CA-2015-102260_OFF-ST-10003716</v>
      </c>
      <c r="E1626" t="str">
        <f>IF(COUNTIF(data1!$D:$D,D1626)=0,"Missing in Data1","Present")</f>
        <v>Present</v>
      </c>
    </row>
    <row r="1627" spans="1:5" x14ac:dyDescent="0.25">
      <c r="A1627" s="2" t="s">
        <v>1888</v>
      </c>
      <c r="B1627" s="2" t="s">
        <v>1533</v>
      </c>
      <c r="C1627" s="2">
        <v>3</v>
      </c>
      <c r="D1627" t="str">
        <f t="shared" si="25"/>
        <v>CA-2015-102281_FUR-BO-10002545</v>
      </c>
      <c r="E1627" t="str">
        <f>IF(COUNTIF(data1!$D:$D,D1627)=0,"Missing in Data1","Present")</f>
        <v>Present</v>
      </c>
    </row>
    <row r="1628" spans="1:5" x14ac:dyDescent="0.25">
      <c r="A1628" s="2" t="s">
        <v>1888</v>
      </c>
      <c r="B1628" s="2" t="s">
        <v>1417</v>
      </c>
      <c r="C1628" s="2">
        <v>4</v>
      </c>
      <c r="D1628" t="str">
        <f t="shared" si="25"/>
        <v>CA-2015-102281_FUR-BO-10002613</v>
      </c>
      <c r="E1628" t="str">
        <f>IF(COUNTIF(data1!$D:$D,D1628)=0,"Missing in Data1","Present")</f>
        <v>Present</v>
      </c>
    </row>
    <row r="1629" spans="1:5" x14ac:dyDescent="0.25">
      <c r="A1629" s="2" t="s">
        <v>1888</v>
      </c>
      <c r="B1629" s="2" t="s">
        <v>204</v>
      </c>
      <c r="C1629" s="2">
        <v>5</v>
      </c>
      <c r="D1629" t="str">
        <f t="shared" si="25"/>
        <v>CA-2015-102281_OFF-AR-10003514</v>
      </c>
      <c r="E1629" t="str">
        <f>IF(COUNTIF(data1!$D:$D,D1629)=0,"Missing in Data1","Present")</f>
        <v>Present</v>
      </c>
    </row>
    <row r="1630" spans="1:5" x14ac:dyDescent="0.25">
      <c r="A1630" s="2" t="s">
        <v>1888</v>
      </c>
      <c r="B1630" s="2" t="s">
        <v>1001</v>
      </c>
      <c r="C1630" s="2">
        <v>8</v>
      </c>
      <c r="D1630" t="str">
        <f t="shared" si="25"/>
        <v>CA-2015-102281_OFF-PA-10000061</v>
      </c>
      <c r="E1630" t="str">
        <f>IF(COUNTIF(data1!$D:$D,D1630)=0,"Missing in Data1","Present")</f>
        <v>Present</v>
      </c>
    </row>
    <row r="1631" spans="1:5" x14ac:dyDescent="0.25">
      <c r="A1631" s="2" t="s">
        <v>1888</v>
      </c>
      <c r="B1631" s="2" t="s">
        <v>924</v>
      </c>
      <c r="C1631" s="2">
        <v>6</v>
      </c>
      <c r="D1631" t="str">
        <f t="shared" si="25"/>
        <v>CA-2015-102281_TEC-PH-10001552</v>
      </c>
      <c r="E1631" t="str">
        <f>IF(COUNTIF(data1!$D:$D,D1631)=0,"Missing in Data1","Present")</f>
        <v>Present</v>
      </c>
    </row>
    <row r="1632" spans="1:5" x14ac:dyDescent="0.25">
      <c r="A1632" s="2" t="s">
        <v>1889</v>
      </c>
      <c r="B1632" s="2" t="s">
        <v>858</v>
      </c>
      <c r="C1632" s="2">
        <v>3</v>
      </c>
      <c r="D1632" t="str">
        <f t="shared" si="25"/>
        <v>CA-2015-102316_FUR-CH-10003396</v>
      </c>
      <c r="E1632" t="str">
        <f>IF(COUNTIF(data1!$D:$D,D1632)=0,"Missing in Data1","Present")</f>
        <v>Present</v>
      </c>
    </row>
    <row r="1633" spans="1:5" x14ac:dyDescent="0.25">
      <c r="A1633" s="2" t="s">
        <v>1889</v>
      </c>
      <c r="B1633" s="2" t="s">
        <v>614</v>
      </c>
      <c r="C1633" s="2">
        <v>2</v>
      </c>
      <c r="D1633" t="str">
        <f t="shared" si="25"/>
        <v>CA-2015-102316_TEC-PH-10000376</v>
      </c>
      <c r="E1633" t="str">
        <f>IF(COUNTIF(data1!$D:$D,D1633)=0,"Missing in Data1","Present")</f>
        <v>Present</v>
      </c>
    </row>
    <row r="1634" spans="1:5" x14ac:dyDescent="0.25">
      <c r="A1634" s="2" t="s">
        <v>1890</v>
      </c>
      <c r="B1634" s="2" t="s">
        <v>1912</v>
      </c>
      <c r="C1634" s="2">
        <v>4</v>
      </c>
      <c r="D1634" t="str">
        <f t="shared" si="25"/>
        <v>CA-2015-102491_TEC-AC-10003289</v>
      </c>
      <c r="E1634" t="str">
        <f>IF(COUNTIF(data1!$D:$D,D1634)=0,"Missing in Data1","Present")</f>
        <v>Missing in Data1</v>
      </c>
    </row>
    <row r="1635" spans="1:5" x14ac:dyDescent="0.25">
      <c r="A1635" s="2" t="s">
        <v>1890</v>
      </c>
      <c r="B1635" s="2" t="s">
        <v>1891</v>
      </c>
      <c r="C1635" s="2">
        <v>7</v>
      </c>
      <c r="D1635" t="str">
        <f t="shared" si="25"/>
        <v>CA-2015-102491_TEC-MA-10000864</v>
      </c>
      <c r="E1635" t="str">
        <f>IF(COUNTIF(data1!$D:$D,D1635)=0,"Missing in Data1","Present")</f>
        <v>Present</v>
      </c>
    </row>
    <row r="1636" spans="1:5" x14ac:dyDescent="0.25">
      <c r="A1636" s="2" t="s">
        <v>1890</v>
      </c>
      <c r="B1636" s="2" t="s">
        <v>1892</v>
      </c>
      <c r="C1636" s="2">
        <v>3</v>
      </c>
      <c r="D1636" t="str">
        <f t="shared" si="25"/>
        <v>CA-2015-102491_TEC-PH-10001619</v>
      </c>
      <c r="E1636" t="str">
        <f>IF(COUNTIF(data1!$D:$D,D1636)=0,"Missing in Data1","Present")</f>
        <v>Present</v>
      </c>
    </row>
    <row r="1637" spans="1:5" x14ac:dyDescent="0.25">
      <c r="A1637" s="2" t="s">
        <v>1893</v>
      </c>
      <c r="B1637" s="2" t="s">
        <v>1894</v>
      </c>
      <c r="C1637" s="2">
        <v>7</v>
      </c>
      <c r="D1637" t="str">
        <f t="shared" si="25"/>
        <v>CA-2015-102582_FUR-CH-10004853</v>
      </c>
      <c r="E1637" t="str">
        <f>IF(COUNTIF(data1!$D:$D,D1637)=0,"Missing in Data1","Present")</f>
        <v>Present</v>
      </c>
    </row>
    <row r="1638" spans="1:5" x14ac:dyDescent="0.25">
      <c r="A1638" s="2" t="s">
        <v>1893</v>
      </c>
      <c r="B1638" s="2" t="s">
        <v>766</v>
      </c>
      <c r="C1638" s="2">
        <v>2</v>
      </c>
      <c r="D1638" t="str">
        <f t="shared" si="25"/>
        <v>CA-2015-102582_FUR-TA-10003569</v>
      </c>
      <c r="E1638" t="str">
        <f>IF(COUNTIF(data1!$D:$D,D1638)=0,"Missing in Data1","Present")</f>
        <v>Present</v>
      </c>
    </row>
    <row r="1639" spans="1:5" x14ac:dyDescent="0.25">
      <c r="A1639" s="2" t="s">
        <v>1893</v>
      </c>
      <c r="B1639" s="2" t="s">
        <v>1895</v>
      </c>
      <c r="C1639" s="2">
        <v>3</v>
      </c>
      <c r="D1639" t="str">
        <f t="shared" si="25"/>
        <v>CA-2015-102582_TEC-PH-10003187</v>
      </c>
      <c r="E1639" t="str">
        <f>IF(COUNTIF(data1!$D:$D,D1639)=0,"Missing in Data1","Present")</f>
        <v>Present</v>
      </c>
    </row>
    <row r="1640" spans="1:5" x14ac:dyDescent="0.25">
      <c r="A1640" s="2" t="s">
        <v>1896</v>
      </c>
      <c r="B1640" s="2" t="s">
        <v>1897</v>
      </c>
      <c r="C1640" s="2">
        <v>6</v>
      </c>
      <c r="D1640" t="str">
        <f t="shared" si="25"/>
        <v>CA-2015-102722_TEC-AC-10003116</v>
      </c>
      <c r="E1640" t="str">
        <f>IF(COUNTIF(data1!$D:$D,D1640)=0,"Missing in Data1","Present")</f>
        <v>Present</v>
      </c>
    </row>
    <row r="1641" spans="1:5" x14ac:dyDescent="0.25">
      <c r="A1641" s="2" t="s">
        <v>1898</v>
      </c>
      <c r="B1641" s="2" t="s">
        <v>1899</v>
      </c>
      <c r="C1641" s="2">
        <v>1</v>
      </c>
      <c r="D1641" t="str">
        <f t="shared" si="25"/>
        <v>CA-2015-102778_FUR-FU-10000087</v>
      </c>
      <c r="E1641" t="str">
        <f>IF(COUNTIF(data1!$D:$D,D1641)=0,"Missing in Data1","Present")</f>
        <v>Present</v>
      </c>
    </row>
    <row r="1642" spans="1:5" x14ac:dyDescent="0.25">
      <c r="A1642" s="2" t="s">
        <v>1900</v>
      </c>
      <c r="B1642" s="2" t="s">
        <v>5</v>
      </c>
      <c r="C1642" s="2">
        <v>2</v>
      </c>
      <c r="D1642" t="str">
        <f t="shared" si="25"/>
        <v>CA-2015-102806_OFF-BI-10001597</v>
      </c>
      <c r="E1642" t="str">
        <f>IF(COUNTIF(data1!$D:$D,D1642)=0,"Missing in Data1","Present")</f>
        <v>Present</v>
      </c>
    </row>
    <row r="1643" spans="1:5" x14ac:dyDescent="0.25">
      <c r="A1643" s="2" t="s">
        <v>1901</v>
      </c>
      <c r="B1643" s="2" t="s">
        <v>1520</v>
      </c>
      <c r="C1643" s="2">
        <v>1</v>
      </c>
      <c r="D1643" t="str">
        <f t="shared" si="25"/>
        <v>CA-2015-102848_FUR-CH-10000595</v>
      </c>
      <c r="E1643" t="str">
        <f>IF(COUNTIF(data1!$D:$D,D1643)=0,"Missing in Data1","Present")</f>
        <v>Present</v>
      </c>
    </row>
    <row r="1644" spans="1:5" x14ac:dyDescent="0.25">
      <c r="A1644" s="2" t="s">
        <v>1902</v>
      </c>
      <c r="B1644" s="2" t="s">
        <v>1903</v>
      </c>
      <c r="C1644" s="2">
        <v>8</v>
      </c>
      <c r="D1644" t="str">
        <f t="shared" si="25"/>
        <v>CA-2015-102855_OFF-AR-10002467</v>
      </c>
      <c r="E1644" t="str">
        <f>IF(COUNTIF(data1!$D:$D,D1644)=0,"Missing in Data1","Present")</f>
        <v>Present</v>
      </c>
    </row>
    <row r="1645" spans="1:5" x14ac:dyDescent="0.25">
      <c r="A1645" s="2" t="s">
        <v>1902</v>
      </c>
      <c r="B1645" s="2" t="s">
        <v>1904</v>
      </c>
      <c r="C1645" s="2">
        <v>6</v>
      </c>
      <c r="D1645" t="str">
        <f t="shared" si="25"/>
        <v>CA-2015-102855_TEC-AC-10001767</v>
      </c>
      <c r="E1645" t="str">
        <f>IF(COUNTIF(data1!$D:$D,D1645)=0,"Missing in Data1","Present")</f>
        <v>Present</v>
      </c>
    </row>
    <row r="1646" spans="1:5" x14ac:dyDescent="0.25">
      <c r="A1646" s="2" t="s">
        <v>1905</v>
      </c>
      <c r="B1646" s="2" t="s">
        <v>1906</v>
      </c>
      <c r="C1646" s="2">
        <v>3</v>
      </c>
      <c r="D1646" t="str">
        <f t="shared" si="25"/>
        <v>CA-2015-102876_OFF-BI-10000848</v>
      </c>
      <c r="E1646" t="str">
        <f>IF(COUNTIF(data1!$D:$D,D1646)=0,"Missing in Data1","Present")</f>
        <v>Present</v>
      </c>
    </row>
    <row r="1647" spans="1:5" x14ac:dyDescent="0.25">
      <c r="A1647" s="2" t="s">
        <v>1905</v>
      </c>
      <c r="B1647" s="2" t="s">
        <v>1742</v>
      </c>
      <c r="C1647" s="2">
        <v>6</v>
      </c>
      <c r="D1647" t="str">
        <f t="shared" si="25"/>
        <v>CA-2015-102876_TEC-PH-10002680</v>
      </c>
      <c r="E1647" t="str">
        <f>IF(COUNTIF(data1!$D:$D,D1647)=0,"Missing in Data1","Present")</f>
        <v>Present</v>
      </c>
    </row>
    <row r="1648" spans="1:5" x14ac:dyDescent="0.25">
      <c r="A1648" s="2" t="s">
        <v>1908</v>
      </c>
      <c r="B1648" s="2" t="s">
        <v>104</v>
      </c>
      <c r="C1648" s="2">
        <v>5</v>
      </c>
      <c r="D1648" t="str">
        <f t="shared" si="25"/>
        <v>CA-2015-103072_OFF-AR-10000127</v>
      </c>
      <c r="E1648" t="str">
        <f>IF(COUNTIF(data1!$D:$D,D1648)=0,"Missing in Data1","Present")</f>
        <v>Present</v>
      </c>
    </row>
    <row r="1649" spans="1:5" x14ac:dyDescent="0.25">
      <c r="A1649" s="2" t="s">
        <v>1908</v>
      </c>
      <c r="B1649" s="2" t="s">
        <v>1909</v>
      </c>
      <c r="C1649" s="2">
        <v>4</v>
      </c>
      <c r="D1649" t="str">
        <f t="shared" si="25"/>
        <v>CA-2015-103072_OFF-PA-10003172</v>
      </c>
      <c r="E1649" t="str">
        <f>IF(COUNTIF(data1!$D:$D,D1649)=0,"Missing in Data1","Present")</f>
        <v>Present</v>
      </c>
    </row>
    <row r="1650" spans="1:5" x14ac:dyDescent="0.25">
      <c r="A1650" s="2" t="s">
        <v>1910</v>
      </c>
      <c r="B1650" s="2" t="s">
        <v>481</v>
      </c>
      <c r="C1650" s="2">
        <v>9</v>
      </c>
      <c r="D1650" t="str">
        <f t="shared" si="25"/>
        <v>CA-2015-103093_OFF-EN-10003286</v>
      </c>
      <c r="E1650" t="str">
        <f>IF(COUNTIF(data1!$D:$D,D1650)=0,"Missing in Data1","Present")</f>
        <v>Present</v>
      </c>
    </row>
    <row r="1651" spans="1:5" x14ac:dyDescent="0.25">
      <c r="A1651" s="2" t="s">
        <v>1911</v>
      </c>
      <c r="B1651" s="2" t="s">
        <v>543</v>
      </c>
      <c r="C1651" s="2">
        <v>3</v>
      </c>
      <c r="D1651" t="str">
        <f t="shared" si="25"/>
        <v>CA-2015-103135_FUR-FU-10001487</v>
      </c>
      <c r="E1651" t="str">
        <f>IF(COUNTIF(data1!$D:$D,D1651)=0,"Missing in Data1","Present")</f>
        <v>Missing in Data1</v>
      </c>
    </row>
    <row r="1652" spans="1:5" x14ac:dyDescent="0.25">
      <c r="A1652" s="2" t="s">
        <v>1911</v>
      </c>
      <c r="B1652" s="2" t="s">
        <v>1149</v>
      </c>
      <c r="C1652" s="2">
        <v>15</v>
      </c>
      <c r="D1652" t="str">
        <f t="shared" si="25"/>
        <v>CA-2015-103135_OFF-BI-10000069</v>
      </c>
      <c r="E1652" t="str">
        <f>IF(COUNTIF(data1!$D:$D,D1652)=0,"Missing in Data1","Present")</f>
        <v>Present</v>
      </c>
    </row>
    <row r="1653" spans="1:5" x14ac:dyDescent="0.25">
      <c r="A1653" s="2" t="s">
        <v>1911</v>
      </c>
      <c r="B1653" s="2" t="s">
        <v>1912</v>
      </c>
      <c r="C1653" s="2">
        <v>14</v>
      </c>
      <c r="D1653" t="str">
        <f t="shared" si="25"/>
        <v>CA-2015-103135_TEC-AC-10003289</v>
      </c>
      <c r="E1653" t="str">
        <f>IF(COUNTIF(data1!$D:$D,D1653)=0,"Missing in Data1","Present")</f>
        <v>Present</v>
      </c>
    </row>
    <row r="1654" spans="1:5" x14ac:dyDescent="0.25">
      <c r="A1654" s="2" t="s">
        <v>1913</v>
      </c>
      <c r="B1654" s="2" t="s">
        <v>5216</v>
      </c>
      <c r="C1654" s="2">
        <v>2</v>
      </c>
      <c r="D1654" t="str">
        <f t="shared" si="25"/>
        <v>CA-2015-103177_OFF-AP-10004540</v>
      </c>
      <c r="E1654" t="str">
        <f>IF(COUNTIF(data1!$D:$D,D1654)=0,"Missing in Data1","Present")</f>
        <v>Missing in Data1</v>
      </c>
    </row>
    <row r="1655" spans="1:5" x14ac:dyDescent="0.25">
      <c r="A1655" s="2" t="s">
        <v>1913</v>
      </c>
      <c r="B1655" s="2" t="s">
        <v>1914</v>
      </c>
      <c r="C1655" s="2">
        <v>3</v>
      </c>
      <c r="D1655" t="str">
        <f t="shared" si="25"/>
        <v>CA-2015-103177_TEC-PH-10001527</v>
      </c>
      <c r="E1655" t="str">
        <f>IF(COUNTIF(data1!$D:$D,D1655)=0,"Missing in Data1","Present")</f>
        <v>Present</v>
      </c>
    </row>
    <row r="1656" spans="1:5" x14ac:dyDescent="0.25">
      <c r="A1656" s="2" t="s">
        <v>1913</v>
      </c>
      <c r="B1656" s="2" t="s">
        <v>1081</v>
      </c>
      <c r="C1656" s="2">
        <v>3</v>
      </c>
      <c r="D1656" t="str">
        <f t="shared" si="25"/>
        <v>CA-2015-103177_TEC-PH-10001795</v>
      </c>
      <c r="E1656" t="str">
        <f>IF(COUNTIF(data1!$D:$D,D1656)=0,"Missing in Data1","Present")</f>
        <v>Present</v>
      </c>
    </row>
    <row r="1657" spans="1:5" x14ac:dyDescent="0.25">
      <c r="A1657" s="2" t="s">
        <v>1915</v>
      </c>
      <c r="B1657" s="2" t="s">
        <v>1588</v>
      </c>
      <c r="C1657" s="2">
        <v>5</v>
      </c>
      <c r="D1657" t="str">
        <f t="shared" si="25"/>
        <v>CA-2015-103205_TEC-PH-10004896</v>
      </c>
      <c r="E1657" t="str">
        <f>IF(COUNTIF(data1!$D:$D,D1657)=0,"Missing in Data1","Present")</f>
        <v>Present</v>
      </c>
    </row>
    <row r="1658" spans="1:5" x14ac:dyDescent="0.25">
      <c r="A1658" s="2" t="s">
        <v>1916</v>
      </c>
      <c r="B1658" s="2" t="s">
        <v>1917</v>
      </c>
      <c r="C1658" s="2">
        <v>3</v>
      </c>
      <c r="D1658" t="str">
        <f t="shared" si="25"/>
        <v>CA-2015-103716_OFF-AR-10000658</v>
      </c>
      <c r="E1658" t="str">
        <f>IF(COUNTIF(data1!$D:$D,D1658)=0,"Missing in Data1","Present")</f>
        <v>Present</v>
      </c>
    </row>
    <row r="1659" spans="1:5" x14ac:dyDescent="0.25">
      <c r="A1659" s="2" t="s">
        <v>1916</v>
      </c>
      <c r="B1659" s="2" t="s">
        <v>1918</v>
      </c>
      <c r="C1659" s="2">
        <v>5</v>
      </c>
      <c r="D1659" t="str">
        <f t="shared" si="25"/>
        <v>CA-2015-103716_TEC-PH-10000347</v>
      </c>
      <c r="E1659" t="str">
        <f>IF(COUNTIF(data1!$D:$D,D1659)=0,"Missing in Data1","Present")</f>
        <v>Present</v>
      </c>
    </row>
    <row r="1660" spans="1:5" x14ac:dyDescent="0.25">
      <c r="A1660" s="2" t="s">
        <v>1919</v>
      </c>
      <c r="B1660" s="2" t="s">
        <v>1920</v>
      </c>
      <c r="C1660" s="2">
        <v>5</v>
      </c>
      <c r="D1660" t="str">
        <f t="shared" si="25"/>
        <v>CA-2015-103723_OFF-AR-10003251</v>
      </c>
      <c r="E1660" t="str">
        <f>IF(COUNTIF(data1!$D:$D,D1660)=0,"Missing in Data1","Present")</f>
        <v>Present</v>
      </c>
    </row>
    <row r="1661" spans="1:5" x14ac:dyDescent="0.25">
      <c r="A1661" s="2" t="s">
        <v>1921</v>
      </c>
      <c r="B1661" s="2" t="s">
        <v>1922</v>
      </c>
      <c r="C1661" s="2">
        <v>5</v>
      </c>
      <c r="D1661" t="str">
        <f t="shared" si="25"/>
        <v>CA-2015-103772_OFF-AR-10000538</v>
      </c>
      <c r="E1661" t="str">
        <f>IF(COUNTIF(data1!$D:$D,D1661)=0,"Missing in Data1","Present")</f>
        <v>Present</v>
      </c>
    </row>
    <row r="1662" spans="1:5" x14ac:dyDescent="0.25">
      <c r="A1662" s="2" t="s">
        <v>1921</v>
      </c>
      <c r="B1662" s="2" t="s">
        <v>1345</v>
      </c>
      <c r="C1662" s="2">
        <v>2</v>
      </c>
      <c r="D1662" t="str">
        <f t="shared" si="25"/>
        <v>CA-2015-103772_OFF-BI-10002867</v>
      </c>
      <c r="E1662" t="str">
        <f>IF(COUNTIF(data1!$D:$D,D1662)=0,"Missing in Data1","Present")</f>
        <v>Present</v>
      </c>
    </row>
    <row r="1663" spans="1:5" x14ac:dyDescent="0.25">
      <c r="A1663" s="2" t="s">
        <v>1923</v>
      </c>
      <c r="B1663" s="2" t="s">
        <v>781</v>
      </c>
      <c r="C1663" s="2">
        <v>3</v>
      </c>
      <c r="D1663" t="str">
        <f t="shared" si="25"/>
        <v>CA-2015-103793_OFF-PA-10001125</v>
      </c>
      <c r="E1663" t="str">
        <f>IF(COUNTIF(data1!$D:$D,D1663)=0,"Missing in Data1","Present")</f>
        <v>Present</v>
      </c>
    </row>
    <row r="1664" spans="1:5" x14ac:dyDescent="0.25">
      <c r="A1664" s="2" t="s">
        <v>1924</v>
      </c>
      <c r="B1664" s="2" t="s">
        <v>856</v>
      </c>
      <c r="C1664" s="2">
        <v>3</v>
      </c>
      <c r="D1664" t="str">
        <f t="shared" si="25"/>
        <v>CA-2015-103835_FUR-FU-10000010</v>
      </c>
      <c r="E1664" t="str">
        <f>IF(COUNTIF(data1!$D:$D,D1664)=0,"Missing in Data1","Present")</f>
        <v>Present</v>
      </c>
    </row>
    <row r="1665" spans="1:5" x14ac:dyDescent="0.25">
      <c r="A1665" s="2" t="s">
        <v>1924</v>
      </c>
      <c r="B1665" s="2" t="s">
        <v>1233</v>
      </c>
      <c r="C1665" s="2">
        <v>4</v>
      </c>
      <c r="D1665" t="str">
        <f t="shared" si="25"/>
        <v>CA-2015-103835_OFF-AP-10002651</v>
      </c>
      <c r="E1665" t="str">
        <f>IF(COUNTIF(data1!$D:$D,D1665)=0,"Missing in Data1","Present")</f>
        <v>Present</v>
      </c>
    </row>
    <row r="1666" spans="1:5" x14ac:dyDescent="0.25">
      <c r="A1666" s="2" t="s">
        <v>1925</v>
      </c>
      <c r="B1666" s="2" t="s">
        <v>1926</v>
      </c>
      <c r="C1666" s="2">
        <v>2</v>
      </c>
      <c r="D1666" t="str">
        <f t="shared" si="25"/>
        <v>CA-2015-103870_FUR-BO-10002853</v>
      </c>
      <c r="E1666" t="str">
        <f>IF(COUNTIF(data1!$D:$D,D1666)=0,"Missing in Data1","Present")</f>
        <v>Present</v>
      </c>
    </row>
    <row r="1667" spans="1:5" x14ac:dyDescent="0.25">
      <c r="A1667" s="2" t="s">
        <v>1925</v>
      </c>
      <c r="B1667" s="2" t="s">
        <v>3479</v>
      </c>
      <c r="C1667" s="2">
        <v>3</v>
      </c>
      <c r="D1667" t="str">
        <f t="shared" ref="D1667:D1730" si="26">A1667&amp;"_"&amp;B1667</f>
        <v>CA-2015-103870_FUR-FU-10002030</v>
      </c>
      <c r="E1667" t="str">
        <f>IF(COUNTIF(data1!$D:$D,D1667)=0,"Missing in Data1","Present")</f>
        <v>Missing in Data1</v>
      </c>
    </row>
    <row r="1668" spans="1:5" x14ac:dyDescent="0.25">
      <c r="A1668" s="2" t="s">
        <v>1925</v>
      </c>
      <c r="B1668" s="2" t="s">
        <v>1660</v>
      </c>
      <c r="C1668" s="2">
        <v>3</v>
      </c>
      <c r="D1668" t="str">
        <f t="shared" si="26"/>
        <v>CA-2015-103870_OFF-ST-10002562</v>
      </c>
      <c r="E1668" t="str">
        <f>IF(COUNTIF(data1!$D:$D,D1668)=0,"Missing in Data1","Present")</f>
        <v>Present</v>
      </c>
    </row>
    <row r="1669" spans="1:5" x14ac:dyDescent="0.25">
      <c r="A1669" s="2" t="s">
        <v>1925</v>
      </c>
      <c r="B1669" s="2" t="s">
        <v>527</v>
      </c>
      <c r="C1669" s="2">
        <v>3</v>
      </c>
      <c r="D1669" t="str">
        <f t="shared" si="26"/>
        <v>CA-2015-103870_TEC-AC-10002370</v>
      </c>
      <c r="E1669" t="str">
        <f>IF(COUNTIF(data1!$D:$D,D1669)=0,"Missing in Data1","Present")</f>
        <v>Present</v>
      </c>
    </row>
    <row r="1670" spans="1:5" x14ac:dyDescent="0.25">
      <c r="A1670" s="2" t="s">
        <v>1925</v>
      </c>
      <c r="B1670" s="2" t="s">
        <v>963</v>
      </c>
      <c r="C1670" s="2">
        <v>7</v>
      </c>
      <c r="D1670" t="str">
        <f t="shared" si="26"/>
        <v>CA-2015-103870_TEC-AC-10004227</v>
      </c>
      <c r="E1670" t="str">
        <f>IF(COUNTIF(data1!$D:$D,D1670)=0,"Missing in Data1","Present")</f>
        <v>Present</v>
      </c>
    </row>
    <row r="1671" spans="1:5" x14ac:dyDescent="0.25">
      <c r="A1671" s="2" t="s">
        <v>1927</v>
      </c>
      <c r="B1671" s="2" t="s">
        <v>457</v>
      </c>
      <c r="C1671" s="2">
        <v>9</v>
      </c>
      <c r="D1671" t="str">
        <f t="shared" si="26"/>
        <v>CA-2015-103933_TEC-AC-10004171</v>
      </c>
      <c r="E1671" t="str">
        <f>IF(COUNTIF(data1!$D:$D,D1671)=0,"Missing in Data1","Present")</f>
        <v>Present</v>
      </c>
    </row>
    <row r="1672" spans="1:5" x14ac:dyDescent="0.25">
      <c r="A1672" s="2" t="s">
        <v>1928</v>
      </c>
      <c r="B1672" s="2" t="s">
        <v>1929</v>
      </c>
      <c r="C1672" s="2">
        <v>5</v>
      </c>
      <c r="D1672" t="str">
        <f t="shared" si="26"/>
        <v>CA-2015-103954_FUR-BO-10004690</v>
      </c>
      <c r="E1672" t="str">
        <f>IF(COUNTIF(data1!$D:$D,D1672)=0,"Missing in Data1","Present")</f>
        <v>Present</v>
      </c>
    </row>
    <row r="1673" spans="1:5" x14ac:dyDescent="0.25">
      <c r="A1673" s="2" t="s">
        <v>1930</v>
      </c>
      <c r="B1673" s="2" t="s">
        <v>1711</v>
      </c>
      <c r="C1673" s="2">
        <v>6</v>
      </c>
      <c r="D1673" t="str">
        <f t="shared" si="26"/>
        <v>CA-2015-103961_OFF-LA-10004484</v>
      </c>
      <c r="E1673" t="str">
        <f>IF(COUNTIF(data1!$D:$D,D1673)=0,"Missing in Data1","Present")</f>
        <v>Present</v>
      </c>
    </row>
    <row r="1674" spans="1:5" x14ac:dyDescent="0.25">
      <c r="A1674" s="2" t="s">
        <v>1931</v>
      </c>
      <c r="B1674" s="2" t="s">
        <v>1932</v>
      </c>
      <c r="C1674" s="2">
        <v>5</v>
      </c>
      <c r="D1674" t="str">
        <f t="shared" si="26"/>
        <v>CA-2015-104038_OFF-PA-10002751</v>
      </c>
      <c r="E1674" t="str">
        <f>IF(COUNTIF(data1!$D:$D,D1674)=0,"Missing in Data1","Present")</f>
        <v>Present</v>
      </c>
    </row>
    <row r="1675" spans="1:5" x14ac:dyDescent="0.25">
      <c r="A1675" s="2" t="s">
        <v>1931</v>
      </c>
      <c r="B1675" s="2" t="s">
        <v>1756</v>
      </c>
      <c r="C1675" s="2">
        <v>3</v>
      </c>
      <c r="D1675" t="str">
        <f t="shared" si="26"/>
        <v>CA-2015-104038_OFF-ST-10002554</v>
      </c>
      <c r="E1675" t="str">
        <f>IF(COUNTIF(data1!$D:$D,D1675)=0,"Missing in Data1","Present")</f>
        <v>Present</v>
      </c>
    </row>
    <row r="1676" spans="1:5" x14ac:dyDescent="0.25">
      <c r="A1676" s="2" t="s">
        <v>1933</v>
      </c>
      <c r="B1676" s="2" t="s">
        <v>1934</v>
      </c>
      <c r="C1676" s="2">
        <v>4</v>
      </c>
      <c r="D1676" t="str">
        <f t="shared" si="26"/>
        <v>CA-2015-104052_TEC-PH-10003215</v>
      </c>
      <c r="E1676" t="str">
        <f>IF(COUNTIF(data1!$D:$D,D1676)=0,"Missing in Data1","Present")</f>
        <v>Present</v>
      </c>
    </row>
    <row r="1677" spans="1:5" x14ac:dyDescent="0.25">
      <c r="A1677" s="2" t="s">
        <v>1935</v>
      </c>
      <c r="B1677" s="2" t="s">
        <v>95</v>
      </c>
      <c r="C1677" s="2">
        <v>1</v>
      </c>
      <c r="D1677" t="str">
        <f t="shared" si="26"/>
        <v>CA-2015-104059_OFF-AR-10000634</v>
      </c>
      <c r="E1677" t="str">
        <f>IF(COUNTIF(data1!$D:$D,D1677)=0,"Missing in Data1","Present")</f>
        <v>Present</v>
      </c>
    </row>
    <row r="1678" spans="1:5" x14ac:dyDescent="0.25">
      <c r="A1678" s="2" t="s">
        <v>1936</v>
      </c>
      <c r="B1678" s="2" t="s">
        <v>1937</v>
      </c>
      <c r="C1678" s="2">
        <v>2</v>
      </c>
      <c r="D1678" t="str">
        <f t="shared" si="26"/>
        <v>CA-2015-104115_TEC-PH-10002844</v>
      </c>
      <c r="E1678" t="str">
        <f>IF(COUNTIF(data1!$D:$D,D1678)=0,"Missing in Data1","Present")</f>
        <v>Present</v>
      </c>
    </row>
    <row r="1679" spans="1:5" x14ac:dyDescent="0.25">
      <c r="A1679" s="2" t="s">
        <v>1938</v>
      </c>
      <c r="B1679" s="2" t="s">
        <v>1939</v>
      </c>
      <c r="C1679" s="2">
        <v>7</v>
      </c>
      <c r="D1679" t="str">
        <f t="shared" si="26"/>
        <v>CA-2015-104129_FUR-TA-10004152</v>
      </c>
      <c r="E1679" t="str">
        <f>IF(COUNTIF(data1!$D:$D,D1679)=0,"Missing in Data1","Present")</f>
        <v>Present</v>
      </c>
    </row>
    <row r="1680" spans="1:5" x14ac:dyDescent="0.25">
      <c r="A1680" s="2" t="s">
        <v>1938</v>
      </c>
      <c r="B1680" s="2" t="s">
        <v>1940</v>
      </c>
      <c r="C1680" s="2">
        <v>2</v>
      </c>
      <c r="D1680" t="str">
        <f t="shared" si="26"/>
        <v>CA-2015-104129_TEC-PH-10003800</v>
      </c>
      <c r="E1680" t="str">
        <f>IF(COUNTIF(data1!$D:$D,D1680)=0,"Missing in Data1","Present")</f>
        <v>Present</v>
      </c>
    </row>
    <row r="1681" spans="1:5" x14ac:dyDescent="0.25">
      <c r="A1681" s="2" t="s">
        <v>1941</v>
      </c>
      <c r="B1681" s="2" t="s">
        <v>1529</v>
      </c>
      <c r="C1681" s="2">
        <v>14</v>
      </c>
      <c r="D1681" t="str">
        <f t="shared" si="26"/>
        <v>CA-2015-104241_FUR-FU-10001473</v>
      </c>
      <c r="E1681" t="str">
        <f>IF(COUNTIF(data1!$D:$D,D1681)=0,"Missing in Data1","Present")</f>
        <v>Present</v>
      </c>
    </row>
    <row r="1682" spans="1:5" x14ac:dyDescent="0.25">
      <c r="A1682" s="2" t="s">
        <v>1942</v>
      </c>
      <c r="B1682" s="2" t="s">
        <v>433</v>
      </c>
      <c r="C1682" s="2">
        <v>3</v>
      </c>
      <c r="D1682" t="str">
        <f t="shared" si="26"/>
        <v>CA-2015-104297_OFF-PA-10000474</v>
      </c>
      <c r="E1682" t="str">
        <f>IF(COUNTIF(data1!$D:$D,D1682)=0,"Missing in Data1","Present")</f>
        <v>Present</v>
      </c>
    </row>
    <row r="1683" spans="1:5" x14ac:dyDescent="0.25">
      <c r="A1683" s="2" t="s">
        <v>1943</v>
      </c>
      <c r="B1683" s="2" t="s">
        <v>1944</v>
      </c>
      <c r="C1683" s="2">
        <v>4</v>
      </c>
      <c r="D1683" t="str">
        <f t="shared" si="26"/>
        <v>CA-2015-104346_FUR-BO-10003450</v>
      </c>
      <c r="E1683" t="str">
        <f>IF(COUNTIF(data1!$D:$D,D1683)=0,"Missing in Data1","Present")</f>
        <v>Present</v>
      </c>
    </row>
    <row r="1684" spans="1:5" x14ac:dyDescent="0.25">
      <c r="A1684" s="2" t="s">
        <v>1943</v>
      </c>
      <c r="B1684" s="2" t="s">
        <v>1529</v>
      </c>
      <c r="C1684" s="2">
        <v>5</v>
      </c>
      <c r="D1684" t="str">
        <f t="shared" si="26"/>
        <v>CA-2015-104346_FUR-FU-10001473</v>
      </c>
      <c r="E1684" t="str">
        <f>IF(COUNTIF(data1!$D:$D,D1684)=0,"Missing in Data1","Present")</f>
        <v>Missing in Data1</v>
      </c>
    </row>
    <row r="1685" spans="1:5" x14ac:dyDescent="0.25">
      <c r="A1685" s="2" t="s">
        <v>1943</v>
      </c>
      <c r="B1685" s="2" t="s">
        <v>100</v>
      </c>
      <c r="C1685" s="2">
        <v>9</v>
      </c>
      <c r="D1685" t="str">
        <f t="shared" si="26"/>
        <v>CA-2015-104346_FUR-FU-10002456</v>
      </c>
      <c r="E1685" t="str">
        <f>IF(COUNTIF(data1!$D:$D,D1685)=0,"Missing in Data1","Present")</f>
        <v>Present</v>
      </c>
    </row>
    <row r="1686" spans="1:5" x14ac:dyDescent="0.25">
      <c r="A1686" s="2" t="s">
        <v>1943</v>
      </c>
      <c r="B1686" s="2" t="s">
        <v>1696</v>
      </c>
      <c r="C1686" s="2">
        <v>5</v>
      </c>
      <c r="D1686" t="str">
        <f t="shared" si="26"/>
        <v>CA-2015-104346_FUR-TA-10000849</v>
      </c>
      <c r="E1686" t="str">
        <f>IF(COUNTIF(data1!$D:$D,D1686)=0,"Missing in Data1","Present")</f>
        <v>Present</v>
      </c>
    </row>
    <row r="1687" spans="1:5" x14ac:dyDescent="0.25">
      <c r="A1687" s="2" t="s">
        <v>1943</v>
      </c>
      <c r="B1687" s="2" t="s">
        <v>1005</v>
      </c>
      <c r="C1687" s="2">
        <v>5</v>
      </c>
      <c r="D1687" t="str">
        <f t="shared" si="26"/>
        <v>CA-2015-104346_OFF-AR-10001473</v>
      </c>
      <c r="E1687" t="str">
        <f>IF(COUNTIF(data1!$D:$D,D1687)=0,"Missing in Data1","Present")</f>
        <v>Missing in Data1</v>
      </c>
    </row>
    <row r="1688" spans="1:5" x14ac:dyDescent="0.25">
      <c r="A1688" s="2" t="s">
        <v>1943</v>
      </c>
      <c r="B1688" s="2" t="s">
        <v>1945</v>
      </c>
      <c r="C1688" s="2">
        <v>3</v>
      </c>
      <c r="D1688" t="str">
        <f t="shared" si="26"/>
        <v>CA-2015-104346_OFF-AR-10001545</v>
      </c>
      <c r="E1688" t="str">
        <f>IF(COUNTIF(data1!$D:$D,D1688)=0,"Missing in Data1","Present")</f>
        <v>Present</v>
      </c>
    </row>
    <row r="1689" spans="1:5" x14ac:dyDescent="0.25">
      <c r="A1689" s="2" t="s">
        <v>1943</v>
      </c>
      <c r="B1689" s="2" t="s">
        <v>1378</v>
      </c>
      <c r="C1689" s="2">
        <v>3</v>
      </c>
      <c r="D1689" t="str">
        <f t="shared" si="26"/>
        <v>CA-2015-104346_OFF-PA-10001166</v>
      </c>
      <c r="E1689" t="str">
        <f>IF(COUNTIF(data1!$D:$D,D1689)=0,"Missing in Data1","Present")</f>
        <v>Present</v>
      </c>
    </row>
    <row r="1690" spans="1:5" x14ac:dyDescent="0.25">
      <c r="A1690" s="2" t="s">
        <v>1943</v>
      </c>
      <c r="B1690" s="2" t="s">
        <v>1946</v>
      </c>
      <c r="C1690" s="2">
        <v>3</v>
      </c>
      <c r="D1690" t="str">
        <f t="shared" si="26"/>
        <v>CA-2015-104346_OFF-PA-10003256</v>
      </c>
      <c r="E1690" t="str">
        <f>IF(COUNTIF(data1!$D:$D,D1690)=0,"Missing in Data1","Present")</f>
        <v>Present</v>
      </c>
    </row>
    <row r="1691" spans="1:5" x14ac:dyDescent="0.25">
      <c r="A1691" s="2" t="s">
        <v>1943</v>
      </c>
      <c r="B1691" s="2" t="s">
        <v>1877</v>
      </c>
      <c r="C1691" s="2">
        <v>4</v>
      </c>
      <c r="D1691" t="str">
        <f t="shared" si="26"/>
        <v>CA-2015-104346_TEC-AC-10004396</v>
      </c>
      <c r="E1691" t="str">
        <f>IF(COUNTIF(data1!$D:$D,D1691)=0,"Missing in Data1","Present")</f>
        <v>Present</v>
      </c>
    </row>
    <row r="1692" spans="1:5" x14ac:dyDescent="0.25">
      <c r="A1692" s="2" t="s">
        <v>1947</v>
      </c>
      <c r="B1692" s="2" t="s">
        <v>59</v>
      </c>
      <c r="C1692" s="2">
        <v>1</v>
      </c>
      <c r="D1692" t="str">
        <f t="shared" si="26"/>
        <v>CA-2015-104486_OFF-BI-10000309</v>
      </c>
      <c r="E1692" t="str">
        <f>IF(COUNTIF(data1!$D:$D,D1692)=0,"Missing in Data1","Present")</f>
        <v>Present</v>
      </c>
    </row>
    <row r="1693" spans="1:5" x14ac:dyDescent="0.25">
      <c r="A1693" s="2" t="s">
        <v>1947</v>
      </c>
      <c r="B1693" s="2" t="s">
        <v>381</v>
      </c>
      <c r="C1693" s="2">
        <v>3</v>
      </c>
      <c r="D1693" t="str">
        <f t="shared" si="26"/>
        <v>CA-2015-104486_OFF-ST-10000876</v>
      </c>
      <c r="E1693" t="str">
        <f>IF(COUNTIF(data1!$D:$D,D1693)=0,"Missing in Data1","Present")</f>
        <v>Present</v>
      </c>
    </row>
    <row r="1694" spans="1:5" x14ac:dyDescent="0.25">
      <c r="A1694" s="2" t="s">
        <v>1949</v>
      </c>
      <c r="B1694" s="2" t="s">
        <v>1950</v>
      </c>
      <c r="C1694" s="2">
        <v>6</v>
      </c>
      <c r="D1694" t="str">
        <f t="shared" si="26"/>
        <v>CA-2015-104493_OFF-BI-10004817</v>
      </c>
      <c r="E1694" t="str">
        <f>IF(COUNTIF(data1!$D:$D,D1694)=0,"Missing in Data1","Present")</f>
        <v>Present</v>
      </c>
    </row>
    <row r="1695" spans="1:5" x14ac:dyDescent="0.25">
      <c r="A1695" s="2" t="s">
        <v>1951</v>
      </c>
      <c r="B1695" s="2" t="s">
        <v>1005</v>
      </c>
      <c r="C1695" s="2">
        <v>3</v>
      </c>
      <c r="D1695" t="str">
        <f t="shared" si="26"/>
        <v>CA-2015-104514_OFF-AR-10001473</v>
      </c>
      <c r="E1695" t="str">
        <f>IF(COUNTIF(data1!$D:$D,D1695)=0,"Missing in Data1","Present")</f>
        <v>Present</v>
      </c>
    </row>
    <row r="1696" spans="1:5" x14ac:dyDescent="0.25">
      <c r="A1696" s="2" t="s">
        <v>1951</v>
      </c>
      <c r="B1696" s="2" t="s">
        <v>1952</v>
      </c>
      <c r="C1696" s="2">
        <v>3</v>
      </c>
      <c r="D1696" t="str">
        <f t="shared" si="26"/>
        <v>CA-2015-104514_OFF-PA-10004285</v>
      </c>
      <c r="E1696" t="str">
        <f>IF(COUNTIF(data1!$D:$D,D1696)=0,"Missing in Data1","Present")</f>
        <v>Present</v>
      </c>
    </row>
    <row r="1697" spans="1:5" x14ac:dyDescent="0.25">
      <c r="A1697" s="2" t="s">
        <v>1951</v>
      </c>
      <c r="B1697" s="2" t="s">
        <v>1297</v>
      </c>
      <c r="C1697" s="2">
        <v>2</v>
      </c>
      <c r="D1697" t="str">
        <f t="shared" si="26"/>
        <v>CA-2015-104514_OFF-ST-10001837</v>
      </c>
      <c r="E1697" t="str">
        <f>IF(COUNTIF(data1!$D:$D,D1697)=0,"Missing in Data1","Present")</f>
        <v>Present</v>
      </c>
    </row>
    <row r="1698" spans="1:5" x14ac:dyDescent="0.25">
      <c r="A1698" s="2" t="s">
        <v>1953</v>
      </c>
      <c r="B1698" s="2" t="s">
        <v>621</v>
      </c>
      <c r="C1698" s="2">
        <v>1</v>
      </c>
      <c r="D1698" t="str">
        <f t="shared" si="26"/>
        <v>CA-2015-104626_FUR-CH-10003817</v>
      </c>
      <c r="E1698" t="str">
        <f>IF(COUNTIF(data1!$D:$D,D1698)=0,"Missing in Data1","Present")</f>
        <v>Present</v>
      </c>
    </row>
    <row r="1699" spans="1:5" x14ac:dyDescent="0.25">
      <c r="A1699" s="2" t="s">
        <v>1953</v>
      </c>
      <c r="B1699" s="2" t="s">
        <v>1698</v>
      </c>
      <c r="C1699" s="2">
        <v>2</v>
      </c>
      <c r="D1699" t="str">
        <f t="shared" si="26"/>
        <v>CA-2015-104626_FUR-FU-10000308</v>
      </c>
      <c r="E1699" t="str">
        <f>IF(COUNTIF(data1!$D:$D,D1699)=0,"Missing in Data1","Present")</f>
        <v>Present</v>
      </c>
    </row>
    <row r="1700" spans="1:5" x14ac:dyDescent="0.25">
      <c r="A1700" s="2" t="s">
        <v>1953</v>
      </c>
      <c r="B1700" s="2" t="s">
        <v>1954</v>
      </c>
      <c r="C1700" s="2">
        <v>5</v>
      </c>
      <c r="D1700" t="str">
        <f t="shared" si="26"/>
        <v>CA-2015-104626_OFF-BI-10001510</v>
      </c>
      <c r="E1700" t="str">
        <f>IF(COUNTIF(data1!$D:$D,D1700)=0,"Missing in Data1","Present")</f>
        <v>Present</v>
      </c>
    </row>
    <row r="1701" spans="1:5" x14ac:dyDescent="0.25">
      <c r="A1701" s="2" t="s">
        <v>1953</v>
      </c>
      <c r="B1701" s="2" t="s">
        <v>550</v>
      </c>
      <c r="C1701" s="2">
        <v>6</v>
      </c>
      <c r="D1701" t="str">
        <f t="shared" si="26"/>
        <v>CA-2015-104626_OFF-ST-10003208</v>
      </c>
      <c r="E1701" t="str">
        <f>IF(COUNTIF(data1!$D:$D,D1701)=0,"Missing in Data1","Present")</f>
        <v>Missing in Data1</v>
      </c>
    </row>
    <row r="1702" spans="1:5" x14ac:dyDescent="0.25">
      <c r="A1702" s="2" t="s">
        <v>1955</v>
      </c>
      <c r="B1702" s="2" t="s">
        <v>1766</v>
      </c>
      <c r="C1702" s="2">
        <v>4</v>
      </c>
      <c r="D1702" t="str">
        <f t="shared" si="26"/>
        <v>CA-2015-104871_FUR-CH-10003298</v>
      </c>
      <c r="E1702" t="str">
        <f>IF(COUNTIF(data1!$D:$D,D1702)=0,"Missing in Data1","Present")</f>
        <v>Present</v>
      </c>
    </row>
    <row r="1703" spans="1:5" x14ac:dyDescent="0.25">
      <c r="A1703" s="2" t="s">
        <v>1956</v>
      </c>
      <c r="B1703" s="2" t="s">
        <v>1557</v>
      </c>
      <c r="C1703" s="2">
        <v>6</v>
      </c>
      <c r="D1703" t="str">
        <f t="shared" si="26"/>
        <v>CA-2015-104941_OFF-AR-10004269</v>
      </c>
      <c r="E1703" t="str">
        <f>IF(COUNTIF(data1!$D:$D,D1703)=0,"Missing in Data1","Present")</f>
        <v>Present</v>
      </c>
    </row>
    <row r="1704" spans="1:5" x14ac:dyDescent="0.25">
      <c r="A1704" s="2" t="s">
        <v>1956</v>
      </c>
      <c r="B1704" s="2" t="s">
        <v>819</v>
      </c>
      <c r="C1704" s="2">
        <v>3</v>
      </c>
      <c r="D1704" t="str">
        <f t="shared" si="26"/>
        <v>CA-2015-104941_OFF-BI-10001249</v>
      </c>
      <c r="E1704" t="str">
        <f>IF(COUNTIF(data1!$D:$D,D1704)=0,"Missing in Data1","Present")</f>
        <v>Present</v>
      </c>
    </row>
    <row r="1705" spans="1:5" x14ac:dyDescent="0.25">
      <c r="A1705" s="2" t="s">
        <v>1956</v>
      </c>
      <c r="B1705" s="2" t="s">
        <v>1714</v>
      </c>
      <c r="C1705" s="2">
        <v>5</v>
      </c>
      <c r="D1705" t="str">
        <f t="shared" si="26"/>
        <v>CA-2015-104941_OFF-PA-10003363</v>
      </c>
      <c r="E1705" t="str">
        <f>IF(COUNTIF(data1!$D:$D,D1705)=0,"Missing in Data1","Present")</f>
        <v>Present</v>
      </c>
    </row>
    <row r="1706" spans="1:5" x14ac:dyDescent="0.25">
      <c r="A1706" s="2" t="s">
        <v>1957</v>
      </c>
      <c r="B1706" s="2" t="s">
        <v>1958</v>
      </c>
      <c r="C1706" s="2">
        <v>4</v>
      </c>
      <c r="D1706" t="str">
        <f t="shared" si="26"/>
        <v>CA-2015-104948_FUR-BO-10004357</v>
      </c>
      <c r="E1706" t="str">
        <f>IF(COUNTIF(data1!$D:$D,D1706)=0,"Missing in Data1","Present")</f>
        <v>Present</v>
      </c>
    </row>
    <row r="1707" spans="1:5" x14ac:dyDescent="0.25">
      <c r="A1707" s="2" t="s">
        <v>1957</v>
      </c>
      <c r="B1707" s="2" t="s">
        <v>1721</v>
      </c>
      <c r="C1707" s="2">
        <v>2</v>
      </c>
      <c r="D1707" t="str">
        <f t="shared" si="26"/>
        <v>CA-2015-104948_OFF-BI-10001267</v>
      </c>
      <c r="E1707" t="str">
        <f>IF(COUNTIF(data1!$D:$D,D1707)=0,"Missing in Data1","Present")</f>
        <v>Present</v>
      </c>
    </row>
    <row r="1708" spans="1:5" x14ac:dyDescent="0.25">
      <c r="A1708" s="2" t="s">
        <v>1957</v>
      </c>
      <c r="B1708" s="2" t="s">
        <v>837</v>
      </c>
      <c r="C1708" s="2">
        <v>7</v>
      </c>
      <c r="D1708" t="str">
        <f t="shared" si="26"/>
        <v>CA-2015-104948_OFF-PA-10004610</v>
      </c>
      <c r="E1708" t="str">
        <f>IF(COUNTIF(data1!$D:$D,D1708)=0,"Missing in Data1","Present")</f>
        <v>Present</v>
      </c>
    </row>
    <row r="1709" spans="1:5" x14ac:dyDescent="0.25">
      <c r="A1709" s="2" t="s">
        <v>1959</v>
      </c>
      <c r="B1709" s="2" t="s">
        <v>1960</v>
      </c>
      <c r="C1709" s="2">
        <v>1</v>
      </c>
      <c r="D1709" t="str">
        <f t="shared" si="26"/>
        <v>CA-2015-105102_FUR-BO-10004709</v>
      </c>
      <c r="E1709" t="str">
        <f>IF(COUNTIF(data1!$D:$D,D1709)=0,"Missing in Data1","Present")</f>
        <v>Present</v>
      </c>
    </row>
    <row r="1710" spans="1:5" x14ac:dyDescent="0.25">
      <c r="A1710" s="2" t="s">
        <v>1959</v>
      </c>
      <c r="B1710" s="2" t="s">
        <v>1961</v>
      </c>
      <c r="C1710" s="2">
        <v>3</v>
      </c>
      <c r="D1710" t="str">
        <f t="shared" si="26"/>
        <v>CA-2015-105102_OFF-BI-10002082</v>
      </c>
      <c r="E1710" t="str">
        <f>IF(COUNTIF(data1!$D:$D,D1710)=0,"Missing in Data1","Present")</f>
        <v>Present</v>
      </c>
    </row>
    <row r="1711" spans="1:5" x14ac:dyDescent="0.25">
      <c r="A1711" s="2" t="s">
        <v>1959</v>
      </c>
      <c r="B1711" s="2" t="s">
        <v>1597</v>
      </c>
      <c r="C1711" s="2">
        <v>2</v>
      </c>
      <c r="D1711" t="str">
        <f t="shared" si="26"/>
        <v>CA-2015-105102_OFF-PA-10002365</v>
      </c>
      <c r="E1711" t="str">
        <f>IF(COUNTIF(data1!$D:$D,D1711)=0,"Missing in Data1","Present")</f>
        <v>Present</v>
      </c>
    </row>
    <row r="1712" spans="1:5" x14ac:dyDescent="0.25">
      <c r="A1712" s="2" t="s">
        <v>1962</v>
      </c>
      <c r="B1712" s="2" t="s">
        <v>456</v>
      </c>
      <c r="C1712" s="2">
        <v>2</v>
      </c>
      <c r="D1712" t="str">
        <f t="shared" si="26"/>
        <v>CA-2015-105158_FUR-FU-10001706</v>
      </c>
      <c r="E1712" t="str">
        <f>IF(COUNTIF(data1!$D:$D,D1712)=0,"Missing in Data1","Present")</f>
        <v>Present</v>
      </c>
    </row>
    <row r="1713" spans="1:5" x14ac:dyDescent="0.25">
      <c r="A1713" s="2" t="s">
        <v>1962</v>
      </c>
      <c r="B1713" s="2" t="s">
        <v>1039</v>
      </c>
      <c r="C1713" s="2">
        <v>3</v>
      </c>
      <c r="D1713" t="str">
        <f t="shared" si="26"/>
        <v>CA-2015-105158_OFF-PA-10001970</v>
      </c>
      <c r="E1713" t="str">
        <f>IF(COUNTIF(data1!$D:$D,D1713)=0,"Missing in Data1","Present")</f>
        <v>Present</v>
      </c>
    </row>
    <row r="1714" spans="1:5" x14ac:dyDescent="0.25">
      <c r="A1714" s="2" t="s">
        <v>1963</v>
      </c>
      <c r="B1714" s="2" t="s">
        <v>1964</v>
      </c>
      <c r="C1714" s="2">
        <v>2</v>
      </c>
      <c r="D1714" t="str">
        <f t="shared" si="26"/>
        <v>CA-2015-105221_OFF-FA-10001135</v>
      </c>
      <c r="E1714" t="str">
        <f>IF(COUNTIF(data1!$D:$D,D1714)=0,"Missing in Data1","Present")</f>
        <v>Present</v>
      </c>
    </row>
    <row r="1715" spans="1:5" x14ac:dyDescent="0.25">
      <c r="A1715" s="2" t="s">
        <v>1963</v>
      </c>
      <c r="B1715" s="2" t="s">
        <v>731</v>
      </c>
      <c r="C1715" s="2">
        <v>2</v>
      </c>
      <c r="D1715" t="str">
        <f t="shared" si="26"/>
        <v>CA-2015-105221_TEC-AC-10002323</v>
      </c>
      <c r="E1715" t="str">
        <f>IF(COUNTIF(data1!$D:$D,D1715)=0,"Missing in Data1","Present")</f>
        <v>Present</v>
      </c>
    </row>
    <row r="1716" spans="1:5" x14ac:dyDescent="0.25">
      <c r="A1716" s="2" t="s">
        <v>1965</v>
      </c>
      <c r="B1716" s="2" t="s">
        <v>1175</v>
      </c>
      <c r="C1716" s="2">
        <v>3</v>
      </c>
      <c r="D1716" t="str">
        <f t="shared" si="26"/>
        <v>CA-2015-105312_OFF-BI-10002049</v>
      </c>
      <c r="E1716" t="str">
        <f>IF(COUNTIF(data1!$D:$D,D1716)=0,"Missing in Data1","Present")</f>
        <v>Present</v>
      </c>
    </row>
    <row r="1717" spans="1:5" x14ac:dyDescent="0.25">
      <c r="A1717" s="2" t="s">
        <v>1965</v>
      </c>
      <c r="B1717" s="2" t="s">
        <v>532</v>
      </c>
      <c r="C1717" s="2">
        <v>3</v>
      </c>
      <c r="D1717" t="str">
        <f t="shared" si="26"/>
        <v>CA-2015-105312_OFF-EN-10002600</v>
      </c>
      <c r="E1717" t="str">
        <f>IF(COUNTIF(data1!$D:$D,D1717)=0,"Missing in Data1","Present")</f>
        <v>Present</v>
      </c>
    </row>
    <row r="1718" spans="1:5" x14ac:dyDescent="0.25">
      <c r="A1718" s="2" t="s">
        <v>1966</v>
      </c>
      <c r="B1718" s="2" t="s">
        <v>298</v>
      </c>
      <c r="C1718" s="2">
        <v>5</v>
      </c>
      <c r="D1718" t="str">
        <f t="shared" si="26"/>
        <v>CA-2015-105347_OFF-AR-10003045</v>
      </c>
      <c r="E1718" t="str">
        <f>IF(COUNTIF(data1!$D:$D,D1718)=0,"Missing in Data1","Present")</f>
        <v>Present</v>
      </c>
    </row>
    <row r="1719" spans="1:5" x14ac:dyDescent="0.25">
      <c r="A1719" s="2" t="s">
        <v>1966</v>
      </c>
      <c r="B1719" s="2" t="s">
        <v>1670</v>
      </c>
      <c r="C1719" s="2">
        <v>9</v>
      </c>
      <c r="D1719" t="str">
        <f t="shared" si="26"/>
        <v>CA-2015-105347_OFF-PA-10000675</v>
      </c>
      <c r="E1719" t="str">
        <f>IF(COUNTIF(data1!$D:$D,D1719)=0,"Missing in Data1","Present")</f>
        <v>Present</v>
      </c>
    </row>
    <row r="1720" spans="1:5" x14ac:dyDescent="0.25">
      <c r="A1720" s="2" t="s">
        <v>1967</v>
      </c>
      <c r="B1720" s="2" t="s">
        <v>1968</v>
      </c>
      <c r="C1720" s="2">
        <v>4</v>
      </c>
      <c r="D1720" t="str">
        <f t="shared" si="26"/>
        <v>CA-2015-105361_OFF-PA-10002615</v>
      </c>
      <c r="E1720" t="str">
        <f>IF(COUNTIF(data1!$D:$D,D1720)=0,"Missing in Data1","Present")</f>
        <v>Present</v>
      </c>
    </row>
    <row r="1721" spans="1:5" x14ac:dyDescent="0.25">
      <c r="A1721" s="2" t="s">
        <v>1969</v>
      </c>
      <c r="B1721" s="2" t="s">
        <v>1970</v>
      </c>
      <c r="C1721" s="2">
        <v>1</v>
      </c>
      <c r="D1721" t="str">
        <f t="shared" si="26"/>
        <v>CA-2015-105508_OFF-EN-10003055</v>
      </c>
      <c r="E1721" t="str">
        <f>IF(COUNTIF(data1!$D:$D,D1721)=0,"Missing in Data1","Present")</f>
        <v>Present</v>
      </c>
    </row>
    <row r="1722" spans="1:5" x14ac:dyDescent="0.25">
      <c r="A1722" s="2" t="s">
        <v>1971</v>
      </c>
      <c r="B1722" s="2" t="s">
        <v>502</v>
      </c>
      <c r="C1722" s="2">
        <v>5</v>
      </c>
      <c r="D1722" t="str">
        <f t="shared" si="26"/>
        <v>CA-2015-105571_OFF-BI-10001359</v>
      </c>
      <c r="E1722" t="str">
        <f>IF(COUNTIF(data1!$D:$D,D1722)=0,"Missing in Data1","Present")</f>
        <v>Present</v>
      </c>
    </row>
    <row r="1723" spans="1:5" x14ac:dyDescent="0.25">
      <c r="A1723" s="2" t="s">
        <v>1971</v>
      </c>
      <c r="B1723" s="2" t="s">
        <v>390</v>
      </c>
      <c r="C1723" s="2">
        <v>9</v>
      </c>
      <c r="D1723" t="str">
        <f t="shared" si="26"/>
        <v>CA-2015-105571_OFF-BI-10003305</v>
      </c>
      <c r="E1723" t="str">
        <f>IF(COUNTIF(data1!$D:$D,D1723)=0,"Missing in Data1","Present")</f>
        <v>Present</v>
      </c>
    </row>
    <row r="1724" spans="1:5" x14ac:dyDescent="0.25">
      <c r="A1724" s="2" t="s">
        <v>1972</v>
      </c>
      <c r="B1724" s="2" t="s">
        <v>1973</v>
      </c>
      <c r="C1724" s="2">
        <v>3</v>
      </c>
      <c r="D1724" t="str">
        <f t="shared" si="26"/>
        <v>CA-2015-105599_FUR-TA-10003837</v>
      </c>
      <c r="E1724" t="str">
        <f>IF(COUNTIF(data1!$D:$D,D1724)=0,"Missing in Data1","Present")</f>
        <v>Present</v>
      </c>
    </row>
    <row r="1725" spans="1:5" x14ac:dyDescent="0.25">
      <c r="A1725" s="2" t="s">
        <v>1972</v>
      </c>
      <c r="B1725" s="2" t="s">
        <v>2470</v>
      </c>
      <c r="C1725" s="2">
        <v>2</v>
      </c>
      <c r="D1725" t="str">
        <f t="shared" si="26"/>
        <v>CA-2015-105599_OFF-ST-10002486</v>
      </c>
      <c r="E1725" t="str">
        <f>IF(COUNTIF(data1!$D:$D,D1725)=0,"Missing in Data1","Present")</f>
        <v>Missing in Data1</v>
      </c>
    </row>
    <row r="1726" spans="1:5" x14ac:dyDescent="0.25">
      <c r="A1726" s="2" t="s">
        <v>1974</v>
      </c>
      <c r="B1726" s="2" t="s">
        <v>1975</v>
      </c>
      <c r="C1726" s="2">
        <v>6</v>
      </c>
      <c r="D1726" t="str">
        <f t="shared" si="26"/>
        <v>CA-2015-105613_OFF-AP-10000026</v>
      </c>
      <c r="E1726" t="str">
        <f>IF(COUNTIF(data1!$D:$D,D1726)=0,"Missing in Data1","Present")</f>
        <v>Present</v>
      </c>
    </row>
    <row r="1727" spans="1:5" x14ac:dyDescent="0.25">
      <c r="A1727" s="2" t="s">
        <v>1974</v>
      </c>
      <c r="B1727" s="2" t="s">
        <v>1976</v>
      </c>
      <c r="C1727" s="2">
        <v>3</v>
      </c>
      <c r="D1727" t="str">
        <f t="shared" si="26"/>
        <v>CA-2015-105613_TEC-AC-10000521</v>
      </c>
      <c r="E1727" t="str">
        <f>IF(COUNTIF(data1!$D:$D,D1727)=0,"Missing in Data1","Present")</f>
        <v>Present</v>
      </c>
    </row>
    <row r="1728" spans="1:5" x14ac:dyDescent="0.25">
      <c r="A1728" s="2" t="s">
        <v>1977</v>
      </c>
      <c r="B1728" s="2" t="s">
        <v>411</v>
      </c>
      <c r="C1728" s="2">
        <v>3</v>
      </c>
      <c r="D1728" t="str">
        <f t="shared" si="26"/>
        <v>CA-2015-105627_FUR-BO-10002916</v>
      </c>
      <c r="E1728" t="str">
        <f>IF(COUNTIF(data1!$D:$D,D1728)=0,"Missing in Data1","Present")</f>
        <v>Present</v>
      </c>
    </row>
    <row r="1729" spans="1:5" x14ac:dyDescent="0.25">
      <c r="A1729" s="2" t="s">
        <v>1977</v>
      </c>
      <c r="B1729" s="2" t="s">
        <v>1978</v>
      </c>
      <c r="C1729" s="2">
        <v>7</v>
      </c>
      <c r="D1729" t="str">
        <f t="shared" si="26"/>
        <v>CA-2015-105627_FUR-CH-10002084</v>
      </c>
      <c r="E1729" t="str">
        <f>IF(COUNTIF(data1!$D:$D,D1729)=0,"Missing in Data1","Present")</f>
        <v>Present</v>
      </c>
    </row>
    <row r="1730" spans="1:5" x14ac:dyDescent="0.25">
      <c r="A1730" s="2" t="s">
        <v>1977</v>
      </c>
      <c r="B1730" s="2" t="s">
        <v>1698</v>
      </c>
      <c r="C1730" s="2">
        <v>6</v>
      </c>
      <c r="D1730" t="str">
        <f t="shared" si="26"/>
        <v>CA-2015-105627_FUR-FU-10000308</v>
      </c>
      <c r="E1730" t="str">
        <f>IF(COUNTIF(data1!$D:$D,D1730)=0,"Missing in Data1","Present")</f>
        <v>Present</v>
      </c>
    </row>
    <row r="1731" spans="1:5" x14ac:dyDescent="0.25">
      <c r="A1731" s="2" t="s">
        <v>1977</v>
      </c>
      <c r="B1731" s="2" t="s">
        <v>1979</v>
      </c>
      <c r="C1731" s="2">
        <v>1</v>
      </c>
      <c r="D1731" t="str">
        <f t="shared" ref="D1731:D1794" si="27">A1731&amp;"_"&amp;B1731</f>
        <v>CA-2015-105627_OFF-AR-10002704</v>
      </c>
      <c r="E1731" t="str">
        <f>IF(COUNTIF(data1!$D:$D,D1731)=0,"Missing in Data1","Present")</f>
        <v>Present</v>
      </c>
    </row>
    <row r="1732" spans="1:5" x14ac:dyDescent="0.25">
      <c r="A1732" s="2" t="s">
        <v>1977</v>
      </c>
      <c r="B1732" s="2" t="s">
        <v>1980</v>
      </c>
      <c r="C1732" s="2">
        <v>5</v>
      </c>
      <c r="D1732" t="str">
        <f t="shared" si="27"/>
        <v>CA-2015-105627_TEC-PH-10003012</v>
      </c>
      <c r="E1732" t="str">
        <f>IF(COUNTIF(data1!$D:$D,D1732)=0,"Missing in Data1","Present")</f>
        <v>Present</v>
      </c>
    </row>
    <row r="1733" spans="1:5" x14ac:dyDescent="0.25">
      <c r="A1733" s="2" t="s">
        <v>1981</v>
      </c>
      <c r="B1733" s="2" t="s">
        <v>1669</v>
      </c>
      <c r="C1733" s="2">
        <v>5</v>
      </c>
      <c r="D1733" t="str">
        <f t="shared" si="27"/>
        <v>CA-2015-105634_OFF-AR-10001573</v>
      </c>
      <c r="E1733" t="str">
        <f>IF(COUNTIF(data1!$D:$D,D1733)=0,"Missing in Data1","Present")</f>
        <v>Present</v>
      </c>
    </row>
    <row r="1734" spans="1:5" x14ac:dyDescent="0.25">
      <c r="A1734" s="2" t="s">
        <v>1982</v>
      </c>
      <c r="B1734" s="2" t="s">
        <v>591</v>
      </c>
      <c r="C1734" s="2">
        <v>2</v>
      </c>
      <c r="D1734" t="str">
        <f t="shared" si="27"/>
        <v>CA-2015-105690_OFF-LA-10000240</v>
      </c>
      <c r="E1734" t="str">
        <f>IF(COUNTIF(data1!$D:$D,D1734)=0,"Missing in Data1","Present")</f>
        <v>Present</v>
      </c>
    </row>
    <row r="1735" spans="1:5" x14ac:dyDescent="0.25">
      <c r="A1735" s="2" t="s">
        <v>1984</v>
      </c>
      <c r="B1735" s="2" t="s">
        <v>513</v>
      </c>
      <c r="C1735" s="2">
        <v>1</v>
      </c>
      <c r="D1735" t="str">
        <f t="shared" si="27"/>
        <v>CA-2015-105725_FUR-TA-10001676</v>
      </c>
      <c r="E1735" t="str">
        <f>IF(COUNTIF(data1!$D:$D,D1735)=0,"Missing in Data1","Present")</f>
        <v>Present</v>
      </c>
    </row>
    <row r="1736" spans="1:5" x14ac:dyDescent="0.25">
      <c r="A1736" s="2" t="s">
        <v>1984</v>
      </c>
      <c r="B1736" s="2" t="s">
        <v>1125</v>
      </c>
      <c r="C1736" s="2">
        <v>2</v>
      </c>
      <c r="D1736" t="str">
        <f t="shared" si="27"/>
        <v>CA-2015-105725_OFF-LA-10003510</v>
      </c>
      <c r="E1736" t="str">
        <f>IF(COUNTIF(data1!$D:$D,D1736)=0,"Missing in Data1","Present")</f>
        <v>Missing in Data1</v>
      </c>
    </row>
    <row r="1737" spans="1:5" x14ac:dyDescent="0.25">
      <c r="A1737" s="2" t="s">
        <v>1985</v>
      </c>
      <c r="B1737" s="2" t="s">
        <v>1034</v>
      </c>
      <c r="C1737" s="2">
        <v>4</v>
      </c>
      <c r="D1737" t="str">
        <f t="shared" si="27"/>
        <v>CA-2015-105844_OFF-AR-10001955</v>
      </c>
      <c r="E1737" t="str">
        <f>IF(COUNTIF(data1!$D:$D,D1737)=0,"Missing in Data1","Present")</f>
        <v>Present</v>
      </c>
    </row>
    <row r="1738" spans="1:5" x14ac:dyDescent="0.25">
      <c r="A1738" s="2" t="s">
        <v>1986</v>
      </c>
      <c r="B1738" s="2" t="s">
        <v>222</v>
      </c>
      <c r="C1738" s="2">
        <v>1</v>
      </c>
      <c r="D1738" t="str">
        <f t="shared" si="27"/>
        <v>CA-2015-105970_OFF-AR-10003156</v>
      </c>
      <c r="E1738" t="str">
        <f>IF(COUNTIF(data1!$D:$D,D1738)=0,"Missing in Data1","Present")</f>
        <v>Present</v>
      </c>
    </row>
    <row r="1739" spans="1:5" x14ac:dyDescent="0.25">
      <c r="A1739" s="2" t="s">
        <v>1986</v>
      </c>
      <c r="B1739" s="2" t="s">
        <v>1656</v>
      </c>
      <c r="C1739" s="2">
        <v>6</v>
      </c>
      <c r="D1739" t="str">
        <f t="shared" si="27"/>
        <v>CA-2015-105970_OFF-EN-10001532</v>
      </c>
      <c r="E1739" t="str">
        <f>IF(COUNTIF(data1!$D:$D,D1739)=0,"Missing in Data1","Present")</f>
        <v>Present</v>
      </c>
    </row>
    <row r="1740" spans="1:5" x14ac:dyDescent="0.25">
      <c r="A1740" s="2" t="s">
        <v>1987</v>
      </c>
      <c r="B1740" s="2" t="s">
        <v>1989</v>
      </c>
      <c r="C1740" s="2">
        <v>1</v>
      </c>
      <c r="D1740" t="str">
        <f t="shared" si="27"/>
        <v>CA-2015-106187_OFF-BI-10004519</v>
      </c>
      <c r="E1740" t="str">
        <f>IF(COUNTIF(data1!$D:$D,D1740)=0,"Missing in Data1","Present")</f>
        <v>Present</v>
      </c>
    </row>
    <row r="1741" spans="1:5" x14ac:dyDescent="0.25">
      <c r="A1741" s="2" t="s">
        <v>1991</v>
      </c>
      <c r="B1741" s="2" t="s">
        <v>1992</v>
      </c>
      <c r="C1741" s="2">
        <v>7</v>
      </c>
      <c r="D1741" t="str">
        <f t="shared" si="27"/>
        <v>CA-2015-106208_OFF-AP-10004980</v>
      </c>
      <c r="E1741" t="str">
        <f>IF(COUNTIF(data1!$D:$D,D1741)=0,"Missing in Data1","Present")</f>
        <v>Present</v>
      </c>
    </row>
    <row r="1742" spans="1:5" x14ac:dyDescent="0.25">
      <c r="A1742" s="2" t="s">
        <v>1993</v>
      </c>
      <c r="B1742" s="2" t="s">
        <v>1994</v>
      </c>
      <c r="C1742" s="2">
        <v>4</v>
      </c>
      <c r="D1742" t="str">
        <f t="shared" si="27"/>
        <v>CA-2015-106215_OFF-FA-10001229</v>
      </c>
      <c r="E1742" t="str">
        <f>IF(COUNTIF(data1!$D:$D,D1742)=0,"Missing in Data1","Present")</f>
        <v>Present</v>
      </c>
    </row>
    <row r="1743" spans="1:5" x14ac:dyDescent="0.25">
      <c r="A1743" s="2" t="s">
        <v>1995</v>
      </c>
      <c r="B1743" s="2" t="s">
        <v>1996</v>
      </c>
      <c r="C1743" s="2">
        <v>2</v>
      </c>
      <c r="D1743" t="str">
        <f t="shared" si="27"/>
        <v>CA-2015-106257_FUR-TA-10002530</v>
      </c>
      <c r="E1743" t="str">
        <f>IF(COUNTIF(data1!$D:$D,D1743)=0,"Missing in Data1","Present")</f>
        <v>Present</v>
      </c>
    </row>
    <row r="1744" spans="1:5" x14ac:dyDescent="0.25">
      <c r="A1744" s="2" t="s">
        <v>1995</v>
      </c>
      <c r="B1744" s="2" t="s">
        <v>1997</v>
      </c>
      <c r="C1744" s="2">
        <v>2</v>
      </c>
      <c r="D1744" t="str">
        <f t="shared" si="27"/>
        <v>CA-2015-106257_TEC-PH-10001494</v>
      </c>
      <c r="E1744" t="str">
        <f>IF(COUNTIF(data1!$D:$D,D1744)=0,"Missing in Data1","Present")</f>
        <v>Present</v>
      </c>
    </row>
    <row r="1745" spans="1:5" x14ac:dyDescent="0.25">
      <c r="A1745" s="2" t="s">
        <v>1998</v>
      </c>
      <c r="B1745" s="2" t="s">
        <v>869</v>
      </c>
      <c r="C1745" s="2">
        <v>3</v>
      </c>
      <c r="D1745" t="str">
        <f t="shared" si="27"/>
        <v>CA-2015-106320_FUR-TA-10000577</v>
      </c>
      <c r="E1745" t="str">
        <f>IF(COUNTIF(data1!$D:$D,D1745)=0,"Missing in Data1","Present")</f>
        <v>Present</v>
      </c>
    </row>
    <row r="1746" spans="1:5" x14ac:dyDescent="0.25">
      <c r="A1746" s="2" t="s">
        <v>1999</v>
      </c>
      <c r="B1746" s="2" t="s">
        <v>2000</v>
      </c>
      <c r="C1746" s="2">
        <v>3</v>
      </c>
      <c r="D1746" t="str">
        <f t="shared" si="27"/>
        <v>CA-2015-106362_OFF-BI-10003166</v>
      </c>
      <c r="E1746" t="str">
        <f>IF(COUNTIF(data1!$D:$D,D1746)=0,"Missing in Data1","Present")</f>
        <v>Present</v>
      </c>
    </row>
    <row r="1747" spans="1:5" x14ac:dyDescent="0.25">
      <c r="A1747" s="2" t="s">
        <v>2001</v>
      </c>
      <c r="B1747" s="2" t="s">
        <v>1001</v>
      </c>
      <c r="C1747" s="2">
        <v>8</v>
      </c>
      <c r="D1747" t="str">
        <f t="shared" si="27"/>
        <v>CA-2015-106565_OFF-PA-10000061</v>
      </c>
      <c r="E1747" t="str">
        <f>IF(COUNTIF(data1!$D:$D,D1747)=0,"Missing in Data1","Present")</f>
        <v>Present</v>
      </c>
    </row>
    <row r="1748" spans="1:5" x14ac:dyDescent="0.25">
      <c r="A1748" s="2" t="s">
        <v>2002</v>
      </c>
      <c r="B1748" s="2" t="s">
        <v>1225</v>
      </c>
      <c r="C1748" s="2">
        <v>2</v>
      </c>
      <c r="D1748" t="str">
        <f t="shared" si="27"/>
        <v>CA-2015-106978_OFF-BI-10002012</v>
      </c>
      <c r="E1748" t="str">
        <f>IF(COUNTIF(data1!$D:$D,D1748)=0,"Missing in Data1","Present")</f>
        <v>Present</v>
      </c>
    </row>
    <row r="1749" spans="1:5" x14ac:dyDescent="0.25">
      <c r="A1749" s="2" t="s">
        <v>2002</v>
      </c>
      <c r="B1749" s="2" t="s">
        <v>1494</v>
      </c>
      <c r="C1749" s="2">
        <v>1</v>
      </c>
      <c r="D1749" t="str">
        <f t="shared" si="27"/>
        <v>CA-2015-106978_OFF-EN-10004483</v>
      </c>
      <c r="E1749" t="str">
        <f>IF(COUNTIF(data1!$D:$D,D1749)=0,"Missing in Data1","Present")</f>
        <v>Present</v>
      </c>
    </row>
    <row r="1750" spans="1:5" x14ac:dyDescent="0.25">
      <c r="A1750" s="2" t="s">
        <v>2002</v>
      </c>
      <c r="B1750" s="2" t="s">
        <v>96</v>
      </c>
      <c r="C1750" s="2">
        <v>3</v>
      </c>
      <c r="D1750" t="str">
        <f t="shared" si="27"/>
        <v>CA-2015-106978_OFF-FA-10003021</v>
      </c>
      <c r="E1750" t="str">
        <f>IF(COUNTIF(data1!$D:$D,D1750)=0,"Missing in Data1","Present")</f>
        <v>Present</v>
      </c>
    </row>
    <row r="1751" spans="1:5" x14ac:dyDescent="0.25">
      <c r="A1751" s="2" t="s">
        <v>2003</v>
      </c>
      <c r="B1751" s="2" t="s">
        <v>1121</v>
      </c>
      <c r="C1751" s="2">
        <v>2</v>
      </c>
      <c r="D1751" t="str">
        <f t="shared" si="27"/>
        <v>CA-2015-107020_OFF-BI-10003719</v>
      </c>
      <c r="E1751" t="str">
        <f>IF(COUNTIF(data1!$D:$D,D1751)=0,"Missing in Data1","Present")</f>
        <v>Present</v>
      </c>
    </row>
    <row r="1752" spans="1:5" x14ac:dyDescent="0.25">
      <c r="A1752" s="2" t="s">
        <v>2004</v>
      </c>
      <c r="B1752" s="2" t="s">
        <v>995</v>
      </c>
      <c r="C1752" s="2">
        <v>3</v>
      </c>
      <c r="D1752" t="str">
        <f t="shared" si="27"/>
        <v>CA-2015-107083_OFF-AP-10004136</v>
      </c>
      <c r="E1752" t="str">
        <f>IF(COUNTIF(data1!$D:$D,D1752)=0,"Missing in Data1","Present")</f>
        <v>Present</v>
      </c>
    </row>
    <row r="1753" spans="1:5" x14ac:dyDescent="0.25">
      <c r="A1753" s="2" t="s">
        <v>2004</v>
      </c>
      <c r="B1753" s="2" t="s">
        <v>2005</v>
      </c>
      <c r="C1753" s="2">
        <v>2</v>
      </c>
      <c r="D1753" t="str">
        <f t="shared" si="27"/>
        <v>CA-2015-107083_OFF-AR-10002257</v>
      </c>
      <c r="E1753" t="str">
        <f>IF(COUNTIF(data1!$D:$D,D1753)=0,"Missing in Data1","Present")</f>
        <v>Present</v>
      </c>
    </row>
    <row r="1754" spans="1:5" x14ac:dyDescent="0.25">
      <c r="A1754" s="2" t="s">
        <v>2004</v>
      </c>
      <c r="B1754" s="2" t="s">
        <v>1651</v>
      </c>
      <c r="C1754" s="2">
        <v>2</v>
      </c>
      <c r="D1754" t="str">
        <f t="shared" si="27"/>
        <v>CA-2015-107083_OFF-BI-10000756</v>
      </c>
      <c r="E1754" t="str">
        <f>IF(COUNTIF(data1!$D:$D,D1754)=0,"Missing in Data1","Present")</f>
        <v>Present</v>
      </c>
    </row>
    <row r="1755" spans="1:5" x14ac:dyDescent="0.25">
      <c r="A1755" s="2" t="s">
        <v>2004</v>
      </c>
      <c r="B1755" s="2" t="s">
        <v>2006</v>
      </c>
      <c r="C1755" s="2">
        <v>5</v>
      </c>
      <c r="D1755" t="str">
        <f t="shared" si="27"/>
        <v>CA-2015-107083_OFF-BI-10002194</v>
      </c>
      <c r="E1755" t="str">
        <f>IF(COUNTIF(data1!$D:$D,D1755)=0,"Missing in Data1","Present")</f>
        <v>Present</v>
      </c>
    </row>
    <row r="1756" spans="1:5" x14ac:dyDescent="0.25">
      <c r="A1756" s="2" t="s">
        <v>2007</v>
      </c>
      <c r="B1756" s="2" t="s">
        <v>95</v>
      </c>
      <c r="C1756" s="2">
        <v>2</v>
      </c>
      <c r="D1756" t="str">
        <f t="shared" si="27"/>
        <v>CA-2015-107468_OFF-AR-10000634</v>
      </c>
      <c r="E1756" t="str">
        <f>IF(COUNTIF(data1!$D:$D,D1756)=0,"Missing in Data1","Present")</f>
        <v>Present</v>
      </c>
    </row>
    <row r="1757" spans="1:5" x14ac:dyDescent="0.25">
      <c r="A1757" s="2" t="s">
        <v>2008</v>
      </c>
      <c r="B1757" s="2" t="s">
        <v>415</v>
      </c>
      <c r="C1757" s="2">
        <v>2</v>
      </c>
      <c r="D1757" t="str">
        <f t="shared" si="27"/>
        <v>CA-2015-107678_FUR-CH-10001891</v>
      </c>
      <c r="E1757" t="str">
        <f>IF(COUNTIF(data1!$D:$D,D1757)=0,"Missing in Data1","Present")</f>
        <v>Present</v>
      </c>
    </row>
    <row r="1758" spans="1:5" x14ac:dyDescent="0.25">
      <c r="A1758" s="2" t="s">
        <v>2008</v>
      </c>
      <c r="B1758" s="2" t="s">
        <v>2009</v>
      </c>
      <c r="C1758" s="2">
        <v>3</v>
      </c>
      <c r="D1758" t="str">
        <f t="shared" si="27"/>
        <v>CA-2015-107678_FUR-FU-10003394</v>
      </c>
      <c r="E1758" t="str">
        <f>IF(COUNTIF(data1!$D:$D,D1758)=0,"Missing in Data1","Present")</f>
        <v>Present</v>
      </c>
    </row>
    <row r="1759" spans="1:5" x14ac:dyDescent="0.25">
      <c r="A1759" s="2" t="s">
        <v>2008</v>
      </c>
      <c r="B1759" s="2" t="s">
        <v>1279</v>
      </c>
      <c r="C1759" s="2">
        <v>3</v>
      </c>
      <c r="D1759" t="str">
        <f t="shared" si="27"/>
        <v>CA-2015-107678_OFF-BI-10002215</v>
      </c>
      <c r="E1759" t="str">
        <f>IF(COUNTIF(data1!$D:$D,D1759)=0,"Missing in Data1","Present")</f>
        <v>Present</v>
      </c>
    </row>
    <row r="1760" spans="1:5" x14ac:dyDescent="0.25">
      <c r="A1760" s="2" t="s">
        <v>2008</v>
      </c>
      <c r="B1760" s="2" t="s">
        <v>1425</v>
      </c>
      <c r="C1760" s="2">
        <v>5</v>
      </c>
      <c r="D1760" t="str">
        <f t="shared" si="27"/>
        <v>CA-2015-107678_TEC-PH-10002103</v>
      </c>
      <c r="E1760" t="str">
        <f>IF(COUNTIF(data1!$D:$D,D1760)=0,"Missing in Data1","Present")</f>
        <v>Present</v>
      </c>
    </row>
    <row r="1761" spans="1:5" x14ac:dyDescent="0.25">
      <c r="A1761" s="2" t="s">
        <v>2010</v>
      </c>
      <c r="B1761" s="2" t="s">
        <v>1286</v>
      </c>
      <c r="C1761" s="2">
        <v>4</v>
      </c>
      <c r="D1761" t="str">
        <f t="shared" si="27"/>
        <v>CA-2015-107685_FUR-FU-10002813</v>
      </c>
      <c r="E1761" t="str">
        <f>IF(COUNTIF(data1!$D:$D,D1761)=0,"Missing in Data1","Present")</f>
        <v>Present</v>
      </c>
    </row>
    <row r="1762" spans="1:5" x14ac:dyDescent="0.25">
      <c r="A1762" s="2" t="s">
        <v>2010</v>
      </c>
      <c r="B1762" s="2" t="s">
        <v>2011</v>
      </c>
      <c r="C1762" s="2">
        <v>4</v>
      </c>
      <c r="D1762" t="str">
        <f t="shared" si="27"/>
        <v>CA-2015-107685_OFF-PA-10003848</v>
      </c>
      <c r="E1762" t="str">
        <f>IF(COUNTIF(data1!$D:$D,D1762)=0,"Missing in Data1","Present")</f>
        <v>Present</v>
      </c>
    </row>
    <row r="1763" spans="1:5" x14ac:dyDescent="0.25">
      <c r="A1763" s="2" t="s">
        <v>2012</v>
      </c>
      <c r="B1763" s="2" t="s">
        <v>236</v>
      </c>
      <c r="C1763" s="2">
        <v>1</v>
      </c>
      <c r="D1763" t="str">
        <f t="shared" si="27"/>
        <v>CA-2015-107741_OFF-AR-10002399</v>
      </c>
      <c r="E1763" t="str">
        <f>IF(COUNTIF(data1!$D:$D,D1763)=0,"Missing in Data1","Present")</f>
        <v>Present</v>
      </c>
    </row>
    <row r="1764" spans="1:5" x14ac:dyDescent="0.25">
      <c r="A1764" s="2" t="s">
        <v>6764</v>
      </c>
      <c r="B1764" s="2" t="s">
        <v>1297</v>
      </c>
      <c r="C1764" s="2">
        <v>11</v>
      </c>
      <c r="D1764" t="str">
        <f t="shared" si="27"/>
        <v>CA-2015-107902_OFF-ST-10001837</v>
      </c>
      <c r="E1764" t="str">
        <f>IF(COUNTIF(data1!$D:$D,D1764)=0,"Missing in Data1","Present")</f>
        <v>Missing in Data1</v>
      </c>
    </row>
    <row r="1765" spans="1:5" x14ac:dyDescent="0.25">
      <c r="A1765" s="2" t="s">
        <v>2013</v>
      </c>
      <c r="B1765" s="2" t="s">
        <v>1802</v>
      </c>
      <c r="C1765" s="2">
        <v>6</v>
      </c>
      <c r="D1765" t="str">
        <f t="shared" si="27"/>
        <v>CA-2015-107937_FUR-FU-10002298</v>
      </c>
      <c r="E1765" t="str">
        <f>IF(COUNTIF(data1!$D:$D,D1765)=0,"Missing in Data1","Present")</f>
        <v>Present</v>
      </c>
    </row>
    <row r="1766" spans="1:5" x14ac:dyDescent="0.25">
      <c r="A1766" s="2" t="s">
        <v>2014</v>
      </c>
      <c r="B1766" s="2" t="s">
        <v>1996</v>
      </c>
      <c r="C1766" s="2">
        <v>2</v>
      </c>
      <c r="D1766" t="str">
        <f t="shared" si="27"/>
        <v>CA-2015-108119_FUR-TA-10002530</v>
      </c>
      <c r="E1766" t="str">
        <f>IF(COUNTIF(data1!$D:$D,D1766)=0,"Missing in Data1","Present")</f>
        <v>Present</v>
      </c>
    </row>
    <row r="1767" spans="1:5" x14ac:dyDescent="0.25">
      <c r="A1767" s="2" t="s">
        <v>2015</v>
      </c>
      <c r="B1767" s="2" t="s">
        <v>1324</v>
      </c>
      <c r="C1767" s="2">
        <v>1</v>
      </c>
      <c r="D1767" t="str">
        <f t="shared" si="27"/>
        <v>CA-2015-108259_FUR-FU-10000023</v>
      </c>
      <c r="E1767" t="str">
        <f>IF(COUNTIF(data1!$D:$D,D1767)=0,"Missing in Data1","Present")</f>
        <v>Present</v>
      </c>
    </row>
    <row r="1768" spans="1:5" x14ac:dyDescent="0.25">
      <c r="A1768" s="2" t="s">
        <v>2015</v>
      </c>
      <c r="B1768" s="2" t="s">
        <v>1386</v>
      </c>
      <c r="C1768" s="2">
        <v>7</v>
      </c>
      <c r="D1768" t="str">
        <f t="shared" si="27"/>
        <v>CA-2015-108259_OFF-BI-10000315</v>
      </c>
      <c r="E1768" t="str">
        <f>IF(COUNTIF(data1!$D:$D,D1768)=0,"Missing in Data1","Present")</f>
        <v>Present</v>
      </c>
    </row>
    <row r="1769" spans="1:5" x14ac:dyDescent="0.25">
      <c r="A1769" s="2" t="s">
        <v>2015</v>
      </c>
      <c r="B1769" s="2" t="s">
        <v>1303</v>
      </c>
      <c r="C1769" s="2">
        <v>11</v>
      </c>
      <c r="D1769" t="str">
        <f t="shared" si="27"/>
        <v>CA-2015-108259_OFF-FA-10000624</v>
      </c>
      <c r="E1769" t="str">
        <f>IF(COUNTIF(data1!$D:$D,D1769)=0,"Missing in Data1","Present")</f>
        <v>Present</v>
      </c>
    </row>
    <row r="1770" spans="1:5" x14ac:dyDescent="0.25">
      <c r="A1770" s="2" t="s">
        <v>2015</v>
      </c>
      <c r="B1770" s="2" t="s">
        <v>720</v>
      </c>
      <c r="C1770" s="2">
        <v>1</v>
      </c>
      <c r="D1770" t="str">
        <f t="shared" si="27"/>
        <v>CA-2015-108259_OFF-LA-10002945</v>
      </c>
      <c r="E1770" t="str">
        <f>IF(COUNTIF(data1!$D:$D,D1770)=0,"Missing in Data1","Present")</f>
        <v>Present</v>
      </c>
    </row>
    <row r="1771" spans="1:5" x14ac:dyDescent="0.25">
      <c r="A1771" s="2" t="s">
        <v>2016</v>
      </c>
      <c r="B1771" s="2" t="s">
        <v>676</v>
      </c>
      <c r="C1771" s="2">
        <v>7</v>
      </c>
      <c r="D1771" t="str">
        <f t="shared" si="27"/>
        <v>CA-2015-108532_TEC-AC-10004510</v>
      </c>
      <c r="E1771" t="str">
        <f>IF(COUNTIF(data1!$D:$D,D1771)=0,"Missing in Data1","Present")</f>
        <v>Present</v>
      </c>
    </row>
    <row r="1772" spans="1:5" x14ac:dyDescent="0.25">
      <c r="A1772" s="2" t="s">
        <v>2016</v>
      </c>
      <c r="B1772" s="2" t="s">
        <v>1092</v>
      </c>
      <c r="C1772" s="2">
        <v>2</v>
      </c>
      <c r="D1772" t="str">
        <f t="shared" si="27"/>
        <v>CA-2015-108532_TEC-PH-10001750</v>
      </c>
      <c r="E1772" t="str">
        <f>IF(COUNTIF(data1!$D:$D,D1772)=0,"Missing in Data1","Present")</f>
        <v>Present</v>
      </c>
    </row>
    <row r="1773" spans="1:5" x14ac:dyDescent="0.25">
      <c r="A1773" s="2" t="s">
        <v>2017</v>
      </c>
      <c r="B1773" s="2" t="s">
        <v>1463</v>
      </c>
      <c r="C1773" s="2">
        <v>2</v>
      </c>
      <c r="D1773" t="str">
        <f t="shared" si="27"/>
        <v>CA-2015-108588_OFF-BI-10004506</v>
      </c>
      <c r="E1773" t="str">
        <f>IF(COUNTIF(data1!$D:$D,D1773)=0,"Missing in Data1","Present")</f>
        <v>Present</v>
      </c>
    </row>
    <row r="1774" spans="1:5" x14ac:dyDescent="0.25">
      <c r="A1774" s="2" t="s">
        <v>2017</v>
      </c>
      <c r="B1774" s="2" t="s">
        <v>1855</v>
      </c>
      <c r="C1774" s="2">
        <v>2</v>
      </c>
      <c r="D1774" t="str">
        <f t="shared" si="27"/>
        <v>CA-2015-108588_OFF-EN-10000461</v>
      </c>
      <c r="E1774" t="str">
        <f>IF(COUNTIF(data1!$D:$D,D1774)=0,"Missing in Data1","Present")</f>
        <v>Present</v>
      </c>
    </row>
    <row r="1775" spans="1:5" x14ac:dyDescent="0.25">
      <c r="A1775" s="2" t="s">
        <v>2018</v>
      </c>
      <c r="B1775" s="2" t="s">
        <v>1397</v>
      </c>
      <c r="C1775" s="2">
        <v>3</v>
      </c>
      <c r="D1775" t="str">
        <f t="shared" si="27"/>
        <v>CA-2015-108665_FUR-FU-10000965</v>
      </c>
      <c r="E1775" t="str">
        <f>IF(COUNTIF(data1!$D:$D,D1775)=0,"Missing in Data1","Present")</f>
        <v>Present</v>
      </c>
    </row>
    <row r="1776" spans="1:5" x14ac:dyDescent="0.25">
      <c r="A1776" s="2" t="s">
        <v>2018</v>
      </c>
      <c r="B1776" s="2" t="s">
        <v>1452</v>
      </c>
      <c r="C1776" s="2">
        <v>2</v>
      </c>
      <c r="D1776" t="str">
        <f t="shared" si="27"/>
        <v>CA-2015-108665_FUR-FU-10002191</v>
      </c>
      <c r="E1776" t="str">
        <f>IF(COUNTIF(data1!$D:$D,D1776)=0,"Missing in Data1","Present")</f>
        <v>Present</v>
      </c>
    </row>
    <row r="1777" spans="1:5" x14ac:dyDescent="0.25">
      <c r="A1777" s="2" t="s">
        <v>2018</v>
      </c>
      <c r="B1777" s="2" t="s">
        <v>2019</v>
      </c>
      <c r="C1777" s="2">
        <v>5</v>
      </c>
      <c r="D1777" t="str">
        <f t="shared" si="27"/>
        <v>CA-2015-108665_OFF-ST-10001526</v>
      </c>
      <c r="E1777" t="str">
        <f>IF(COUNTIF(data1!$D:$D,D1777)=0,"Missing in Data1","Present")</f>
        <v>Present</v>
      </c>
    </row>
    <row r="1778" spans="1:5" x14ac:dyDescent="0.25">
      <c r="A1778" s="2" t="s">
        <v>2018</v>
      </c>
      <c r="B1778" s="2" t="s">
        <v>633</v>
      </c>
      <c r="C1778" s="2">
        <v>5</v>
      </c>
      <c r="D1778" t="str">
        <f t="shared" si="27"/>
        <v>CA-2015-108665_TEC-PH-10004188</v>
      </c>
      <c r="E1778" t="str">
        <f>IF(COUNTIF(data1!$D:$D,D1778)=0,"Missing in Data1","Present")</f>
        <v>Present</v>
      </c>
    </row>
    <row r="1779" spans="1:5" x14ac:dyDescent="0.25">
      <c r="A1779" s="2" t="s">
        <v>2020</v>
      </c>
      <c r="B1779" s="2" t="s">
        <v>2021</v>
      </c>
      <c r="C1779" s="2">
        <v>6</v>
      </c>
      <c r="D1779" t="str">
        <f t="shared" si="27"/>
        <v>CA-2015-108672_FUR-FU-10003799</v>
      </c>
      <c r="E1779" t="str">
        <f>IF(COUNTIF(data1!$D:$D,D1779)=0,"Missing in Data1","Present")</f>
        <v>Present</v>
      </c>
    </row>
    <row r="1780" spans="1:5" x14ac:dyDescent="0.25">
      <c r="A1780" s="2" t="s">
        <v>2022</v>
      </c>
      <c r="B1780" s="2" t="s">
        <v>446</v>
      </c>
      <c r="C1780" s="2">
        <v>3</v>
      </c>
      <c r="D1780" t="str">
        <f t="shared" si="27"/>
        <v>CA-2015-109001_OFF-BI-10003529</v>
      </c>
      <c r="E1780" t="str">
        <f>IF(COUNTIF(data1!$D:$D,D1780)=0,"Missing in Data1","Present")</f>
        <v>Present</v>
      </c>
    </row>
    <row r="1781" spans="1:5" x14ac:dyDescent="0.25">
      <c r="A1781" s="2" t="s">
        <v>2022</v>
      </c>
      <c r="B1781" s="2" t="s">
        <v>496</v>
      </c>
      <c r="C1781" s="2">
        <v>1</v>
      </c>
      <c r="D1781" t="str">
        <f t="shared" si="27"/>
        <v>CA-2015-109001_TEC-AC-10001101</v>
      </c>
      <c r="E1781" t="str">
        <f>IF(COUNTIF(data1!$D:$D,D1781)=0,"Missing in Data1","Present")</f>
        <v>Present</v>
      </c>
    </row>
    <row r="1782" spans="1:5" x14ac:dyDescent="0.25">
      <c r="A1782" s="2" t="s">
        <v>2022</v>
      </c>
      <c r="B1782" s="2" t="s">
        <v>2023</v>
      </c>
      <c r="C1782" s="2">
        <v>7</v>
      </c>
      <c r="D1782" t="str">
        <f t="shared" si="27"/>
        <v>CA-2015-109001_TEC-PH-10000562</v>
      </c>
      <c r="E1782" t="str">
        <f>IF(COUNTIF(data1!$D:$D,D1782)=0,"Missing in Data1","Present")</f>
        <v>Present</v>
      </c>
    </row>
    <row r="1783" spans="1:5" x14ac:dyDescent="0.25">
      <c r="A1783" s="2" t="s">
        <v>2024</v>
      </c>
      <c r="B1783" s="2" t="s">
        <v>2025</v>
      </c>
      <c r="C1783" s="2">
        <v>2</v>
      </c>
      <c r="D1783" t="str">
        <f t="shared" si="27"/>
        <v>CA-2015-109113_TEC-AC-10004761</v>
      </c>
      <c r="E1783" t="str">
        <f>IF(COUNTIF(data1!$D:$D,D1783)=0,"Missing in Data1","Present")</f>
        <v>Present</v>
      </c>
    </row>
    <row r="1784" spans="1:5" x14ac:dyDescent="0.25">
      <c r="A1784" s="2" t="s">
        <v>2026</v>
      </c>
      <c r="B1784" s="2" t="s">
        <v>2027</v>
      </c>
      <c r="C1784" s="2">
        <v>2</v>
      </c>
      <c r="D1784" t="str">
        <f t="shared" si="27"/>
        <v>CA-2015-109169_OFF-EN-10003296</v>
      </c>
      <c r="E1784" t="str">
        <f>IF(COUNTIF(data1!$D:$D,D1784)=0,"Missing in Data1","Present")</f>
        <v>Present</v>
      </c>
    </row>
    <row r="1785" spans="1:5" x14ac:dyDescent="0.25">
      <c r="A1785" s="2" t="s">
        <v>2028</v>
      </c>
      <c r="B1785" s="2" t="s">
        <v>859</v>
      </c>
      <c r="C1785" s="2">
        <v>1</v>
      </c>
      <c r="D1785" t="str">
        <f t="shared" si="27"/>
        <v>CA-2015-109190_OFF-BI-10000977</v>
      </c>
      <c r="E1785" t="str">
        <f>IF(COUNTIF(data1!$D:$D,D1785)=0,"Missing in Data1","Present")</f>
        <v>Present</v>
      </c>
    </row>
    <row r="1786" spans="1:5" x14ac:dyDescent="0.25">
      <c r="A1786" s="2" t="s">
        <v>2028</v>
      </c>
      <c r="B1786" s="2" t="s">
        <v>2029</v>
      </c>
      <c r="C1786" s="2">
        <v>8</v>
      </c>
      <c r="D1786" t="str">
        <f t="shared" si="27"/>
        <v>CA-2015-109190_OFF-PA-10000069</v>
      </c>
      <c r="E1786" t="str">
        <f>IF(COUNTIF(data1!$D:$D,D1786)=0,"Missing in Data1","Present")</f>
        <v>Present</v>
      </c>
    </row>
    <row r="1787" spans="1:5" x14ac:dyDescent="0.25">
      <c r="A1787" s="2" t="s">
        <v>2028</v>
      </c>
      <c r="B1787" s="2" t="s">
        <v>2030</v>
      </c>
      <c r="C1787" s="2">
        <v>3</v>
      </c>
      <c r="D1787" t="str">
        <f t="shared" si="27"/>
        <v>CA-2015-109190_TEC-CO-10001943</v>
      </c>
      <c r="E1787" t="str">
        <f>IF(COUNTIF(data1!$D:$D,D1787)=0,"Missing in Data1","Present")</f>
        <v>Present</v>
      </c>
    </row>
    <row r="1788" spans="1:5" x14ac:dyDescent="0.25">
      <c r="A1788" s="2" t="s">
        <v>2031</v>
      </c>
      <c r="B1788" s="2" t="s">
        <v>820</v>
      </c>
      <c r="C1788" s="2">
        <v>2</v>
      </c>
      <c r="D1788" t="str">
        <f t="shared" si="27"/>
        <v>CA-2015-109197_OFF-BI-10004632</v>
      </c>
      <c r="E1788" t="str">
        <f>IF(COUNTIF(data1!$D:$D,D1788)=0,"Missing in Data1","Present")</f>
        <v>Present</v>
      </c>
    </row>
    <row r="1789" spans="1:5" x14ac:dyDescent="0.25">
      <c r="A1789" s="2" t="s">
        <v>2032</v>
      </c>
      <c r="B1789" s="2" t="s">
        <v>2033</v>
      </c>
      <c r="C1789" s="2">
        <v>5</v>
      </c>
      <c r="D1789" t="str">
        <f t="shared" si="27"/>
        <v>CA-2015-109337_OFF-AP-10004052</v>
      </c>
      <c r="E1789" t="str">
        <f>IF(COUNTIF(data1!$D:$D,D1789)=0,"Missing in Data1","Present")</f>
        <v>Present</v>
      </c>
    </row>
    <row r="1790" spans="1:5" x14ac:dyDescent="0.25">
      <c r="A1790" s="2" t="s">
        <v>2032</v>
      </c>
      <c r="B1790" s="2" t="s">
        <v>2034</v>
      </c>
      <c r="C1790" s="2">
        <v>6</v>
      </c>
      <c r="D1790" t="str">
        <f t="shared" si="27"/>
        <v>CA-2015-109337_OFF-AR-10003759</v>
      </c>
      <c r="E1790" t="str">
        <f>IF(COUNTIF(data1!$D:$D,D1790)=0,"Missing in Data1","Present")</f>
        <v>Present</v>
      </c>
    </row>
    <row r="1791" spans="1:5" x14ac:dyDescent="0.25">
      <c r="A1791" s="2" t="s">
        <v>2032</v>
      </c>
      <c r="B1791" s="2" t="s">
        <v>2035</v>
      </c>
      <c r="C1791" s="2">
        <v>3</v>
      </c>
      <c r="D1791" t="str">
        <f t="shared" si="27"/>
        <v>CA-2015-109337_TEC-AC-10000990</v>
      </c>
      <c r="E1791" t="str">
        <f>IF(COUNTIF(data1!$D:$D,D1791)=0,"Missing in Data1","Present")</f>
        <v>Present</v>
      </c>
    </row>
    <row r="1792" spans="1:5" x14ac:dyDescent="0.25">
      <c r="A1792" s="2" t="s">
        <v>2032</v>
      </c>
      <c r="B1792" s="2" t="s">
        <v>2036</v>
      </c>
      <c r="C1792" s="2">
        <v>2</v>
      </c>
      <c r="D1792" t="str">
        <f t="shared" si="27"/>
        <v>CA-2015-109337_TEC-MA-10002930</v>
      </c>
      <c r="E1792" t="str">
        <f>IF(COUNTIF(data1!$D:$D,D1792)=0,"Missing in Data1","Present")</f>
        <v>Present</v>
      </c>
    </row>
    <row r="1793" spans="1:5" x14ac:dyDescent="0.25">
      <c r="A1793" s="2" t="s">
        <v>2037</v>
      </c>
      <c r="B1793" s="2" t="s">
        <v>1698</v>
      </c>
      <c r="C1793" s="2">
        <v>3</v>
      </c>
      <c r="D1793" t="str">
        <f t="shared" si="27"/>
        <v>CA-2015-109386_FUR-FU-10000308</v>
      </c>
      <c r="E1793" t="str">
        <f>IF(COUNTIF(data1!$D:$D,D1793)=0,"Missing in Data1","Present")</f>
        <v>Present</v>
      </c>
    </row>
    <row r="1794" spans="1:5" x14ac:dyDescent="0.25">
      <c r="A1794" s="2" t="s">
        <v>2037</v>
      </c>
      <c r="B1794" s="2" t="s">
        <v>2038</v>
      </c>
      <c r="C1794" s="2">
        <v>3</v>
      </c>
      <c r="D1794" t="str">
        <f t="shared" si="27"/>
        <v>CA-2015-109386_OFF-AP-10003266</v>
      </c>
      <c r="E1794" t="str">
        <f>IF(COUNTIF(data1!$D:$D,D1794)=0,"Missing in Data1","Present")</f>
        <v>Present</v>
      </c>
    </row>
    <row r="1795" spans="1:5" x14ac:dyDescent="0.25">
      <c r="A1795" s="2" t="s">
        <v>2037</v>
      </c>
      <c r="B1795" s="2" t="s">
        <v>701</v>
      </c>
      <c r="C1795" s="2">
        <v>5</v>
      </c>
      <c r="D1795" t="str">
        <f t="shared" ref="D1795:D1858" si="28">A1795&amp;"_"&amp;B1795</f>
        <v>CA-2015-109386_OFF-AR-10000122</v>
      </c>
      <c r="E1795" t="str">
        <f>IF(COUNTIF(data1!$D:$D,D1795)=0,"Missing in Data1","Present")</f>
        <v>Present</v>
      </c>
    </row>
    <row r="1796" spans="1:5" x14ac:dyDescent="0.25">
      <c r="A1796" s="2" t="s">
        <v>2037</v>
      </c>
      <c r="B1796" s="2" t="s">
        <v>23</v>
      </c>
      <c r="C1796" s="2">
        <v>7</v>
      </c>
      <c r="D1796" t="str">
        <f t="shared" si="28"/>
        <v>CA-2015-109386_OFF-AR-10000380</v>
      </c>
      <c r="E1796" t="str">
        <f>IF(COUNTIF(data1!$D:$D,D1796)=0,"Missing in Data1","Present")</f>
        <v>Present</v>
      </c>
    </row>
    <row r="1797" spans="1:5" x14ac:dyDescent="0.25">
      <c r="A1797" s="2" t="s">
        <v>2037</v>
      </c>
      <c r="B1797" s="2" t="s">
        <v>737</v>
      </c>
      <c r="C1797" s="2">
        <v>5</v>
      </c>
      <c r="D1797" t="str">
        <f t="shared" si="28"/>
        <v>CA-2015-109386_TEC-PH-10002890</v>
      </c>
      <c r="E1797" t="str">
        <f>IF(COUNTIF(data1!$D:$D,D1797)=0,"Missing in Data1","Present")</f>
        <v>Present</v>
      </c>
    </row>
    <row r="1798" spans="1:5" x14ac:dyDescent="0.25">
      <c r="A1798" s="2" t="s">
        <v>2039</v>
      </c>
      <c r="B1798" s="2" t="s">
        <v>401</v>
      </c>
      <c r="C1798" s="2">
        <v>4</v>
      </c>
      <c r="D1798" t="str">
        <f t="shared" si="28"/>
        <v>CA-2015-109470_OFF-BI-10001072</v>
      </c>
      <c r="E1798" t="str">
        <f>IF(COUNTIF(data1!$D:$D,D1798)=0,"Missing in Data1","Present")</f>
        <v>Present</v>
      </c>
    </row>
    <row r="1799" spans="1:5" x14ac:dyDescent="0.25">
      <c r="A1799" s="2" t="s">
        <v>2039</v>
      </c>
      <c r="B1799" s="2" t="s">
        <v>2040</v>
      </c>
      <c r="C1799" s="2">
        <v>5</v>
      </c>
      <c r="D1799" t="str">
        <f t="shared" si="28"/>
        <v>CA-2015-109470_OFF-BI-10003707</v>
      </c>
      <c r="E1799" t="str">
        <f>IF(COUNTIF(data1!$D:$D,D1799)=0,"Missing in Data1","Present")</f>
        <v>Present</v>
      </c>
    </row>
    <row r="1800" spans="1:5" x14ac:dyDescent="0.25">
      <c r="A1800" s="2" t="s">
        <v>2039</v>
      </c>
      <c r="B1800" s="2" t="s">
        <v>2041</v>
      </c>
      <c r="C1800" s="2">
        <v>3</v>
      </c>
      <c r="D1800" t="str">
        <f t="shared" si="28"/>
        <v>CA-2015-109470_OFF-BI-10004492</v>
      </c>
      <c r="E1800" t="str">
        <f>IF(COUNTIF(data1!$D:$D,D1800)=0,"Missing in Data1","Present")</f>
        <v>Present</v>
      </c>
    </row>
    <row r="1801" spans="1:5" x14ac:dyDescent="0.25">
      <c r="A1801" s="2" t="s">
        <v>2042</v>
      </c>
      <c r="B1801" s="2" t="s">
        <v>370</v>
      </c>
      <c r="C1801" s="2">
        <v>7</v>
      </c>
      <c r="D1801" t="str">
        <f t="shared" si="28"/>
        <v>CA-2015-109512_FUR-CH-10001146</v>
      </c>
      <c r="E1801" t="str">
        <f>IF(COUNTIF(data1!$D:$D,D1801)=0,"Missing in Data1","Present")</f>
        <v>Present</v>
      </c>
    </row>
    <row r="1802" spans="1:5" x14ac:dyDescent="0.25">
      <c r="A1802" s="2" t="s">
        <v>2042</v>
      </c>
      <c r="B1802" s="2" t="s">
        <v>1612</v>
      </c>
      <c r="C1802" s="2">
        <v>3</v>
      </c>
      <c r="D1802" t="str">
        <f t="shared" si="28"/>
        <v>CA-2015-109512_OFF-EN-10002621</v>
      </c>
      <c r="E1802" t="str">
        <f>IF(COUNTIF(data1!$D:$D,D1802)=0,"Missing in Data1","Present")</f>
        <v>Present</v>
      </c>
    </row>
    <row r="1803" spans="1:5" x14ac:dyDescent="0.25">
      <c r="A1803" s="2" t="s">
        <v>2042</v>
      </c>
      <c r="B1803" s="2" t="s">
        <v>1235</v>
      </c>
      <c r="C1803" s="2">
        <v>4</v>
      </c>
      <c r="D1803" t="str">
        <f t="shared" si="28"/>
        <v>CA-2015-109512_OFF-ST-10000689</v>
      </c>
      <c r="E1803" t="str">
        <f>IF(COUNTIF(data1!$D:$D,D1803)=0,"Missing in Data1","Present")</f>
        <v>Present</v>
      </c>
    </row>
    <row r="1804" spans="1:5" x14ac:dyDescent="0.25">
      <c r="A1804" s="2" t="s">
        <v>2043</v>
      </c>
      <c r="B1804" s="2" t="s">
        <v>1014</v>
      </c>
      <c r="C1804" s="2">
        <v>4</v>
      </c>
      <c r="D1804" t="str">
        <f t="shared" si="28"/>
        <v>CA-2015-109575_OFF-BI-10000962</v>
      </c>
      <c r="E1804" t="str">
        <f>IF(COUNTIF(data1!$D:$D,D1804)=0,"Missing in Data1","Present")</f>
        <v>Present</v>
      </c>
    </row>
    <row r="1805" spans="1:5" x14ac:dyDescent="0.25">
      <c r="A1805" s="2" t="s">
        <v>2043</v>
      </c>
      <c r="B1805" s="2" t="s">
        <v>1761</v>
      </c>
      <c r="C1805" s="2">
        <v>7</v>
      </c>
      <c r="D1805" t="str">
        <f t="shared" si="28"/>
        <v>CA-2015-109575_OFF-ST-10004123</v>
      </c>
      <c r="E1805" t="str">
        <f>IF(COUNTIF(data1!$D:$D,D1805)=0,"Missing in Data1","Present")</f>
        <v>Present</v>
      </c>
    </row>
    <row r="1806" spans="1:5" x14ac:dyDescent="0.25">
      <c r="A1806" s="2" t="s">
        <v>2043</v>
      </c>
      <c r="B1806" s="2" t="s">
        <v>45</v>
      </c>
      <c r="C1806" s="2">
        <v>2</v>
      </c>
      <c r="D1806" t="str">
        <f t="shared" si="28"/>
        <v>CA-2015-109575_OFF-ST-10004950</v>
      </c>
      <c r="E1806" t="str">
        <f>IF(COUNTIF(data1!$D:$D,D1806)=0,"Missing in Data1","Present")</f>
        <v>Present</v>
      </c>
    </row>
    <row r="1807" spans="1:5" x14ac:dyDescent="0.25">
      <c r="A1807" s="2" t="s">
        <v>2043</v>
      </c>
      <c r="B1807" s="2" t="s">
        <v>148</v>
      </c>
      <c r="C1807" s="2">
        <v>7</v>
      </c>
      <c r="D1807" t="str">
        <f t="shared" si="28"/>
        <v>CA-2015-109575_TEC-PH-10000895</v>
      </c>
      <c r="E1807" t="str">
        <f>IF(COUNTIF(data1!$D:$D,D1807)=0,"Missing in Data1","Present")</f>
        <v>Present</v>
      </c>
    </row>
    <row r="1808" spans="1:5" x14ac:dyDescent="0.25">
      <c r="A1808" s="2" t="s">
        <v>2044</v>
      </c>
      <c r="B1808" s="2" t="s">
        <v>2045</v>
      </c>
      <c r="C1808" s="2">
        <v>8</v>
      </c>
      <c r="D1808" t="str">
        <f t="shared" si="28"/>
        <v>CA-2015-109603_OFF-PA-10003790</v>
      </c>
      <c r="E1808" t="str">
        <f>IF(COUNTIF(data1!$D:$D,D1808)=0,"Missing in Data1","Present")</f>
        <v>Present</v>
      </c>
    </row>
    <row r="1809" spans="1:5" x14ac:dyDescent="0.25">
      <c r="A1809" s="2" t="s">
        <v>2046</v>
      </c>
      <c r="B1809" s="2" t="s">
        <v>2047</v>
      </c>
      <c r="C1809" s="2">
        <v>4</v>
      </c>
      <c r="D1809" t="str">
        <f t="shared" si="28"/>
        <v>CA-2015-109638_OFF-AP-10002472</v>
      </c>
      <c r="E1809" t="str">
        <f>IF(COUNTIF(data1!$D:$D,D1809)=0,"Missing in Data1","Present")</f>
        <v>Present</v>
      </c>
    </row>
    <row r="1810" spans="1:5" x14ac:dyDescent="0.25">
      <c r="A1810" s="2" t="s">
        <v>2046</v>
      </c>
      <c r="B1810" s="2" t="s">
        <v>2048</v>
      </c>
      <c r="C1810" s="2">
        <v>3</v>
      </c>
      <c r="D1810" t="str">
        <f t="shared" si="28"/>
        <v>CA-2015-109638_OFF-BI-10001098</v>
      </c>
      <c r="E1810" t="str">
        <f>IF(COUNTIF(data1!$D:$D,D1810)=0,"Missing in Data1","Present")</f>
        <v>Present</v>
      </c>
    </row>
    <row r="1811" spans="1:5" x14ac:dyDescent="0.25">
      <c r="A1811" s="2" t="s">
        <v>2046</v>
      </c>
      <c r="B1811" s="2" t="s">
        <v>1133</v>
      </c>
      <c r="C1811" s="2">
        <v>9</v>
      </c>
      <c r="D1811" t="str">
        <f t="shared" si="28"/>
        <v>CA-2015-109638_TEC-AC-10004571</v>
      </c>
      <c r="E1811" t="str">
        <f>IF(COUNTIF(data1!$D:$D,D1811)=0,"Missing in Data1","Present")</f>
        <v>Present</v>
      </c>
    </row>
    <row r="1812" spans="1:5" x14ac:dyDescent="0.25">
      <c r="A1812" s="2" t="s">
        <v>2049</v>
      </c>
      <c r="B1812" s="2" t="s">
        <v>1663</v>
      </c>
      <c r="C1812" s="2">
        <v>4</v>
      </c>
      <c r="D1812" t="str">
        <f t="shared" si="28"/>
        <v>CA-2015-109708_TEC-PH-10001944</v>
      </c>
      <c r="E1812" t="str">
        <f>IF(COUNTIF(data1!$D:$D,D1812)=0,"Missing in Data1","Present")</f>
        <v>Present</v>
      </c>
    </row>
    <row r="1813" spans="1:5" x14ac:dyDescent="0.25">
      <c r="A1813" s="2" t="s">
        <v>2050</v>
      </c>
      <c r="B1813" s="2" t="s">
        <v>2051</v>
      </c>
      <c r="C1813" s="2">
        <v>7</v>
      </c>
      <c r="D1813" t="str">
        <f t="shared" si="28"/>
        <v>CA-2015-109736_OFF-PA-10004101</v>
      </c>
      <c r="E1813" t="str">
        <f>IF(COUNTIF(data1!$D:$D,D1813)=0,"Missing in Data1","Present")</f>
        <v>Present</v>
      </c>
    </row>
    <row r="1814" spans="1:5" x14ac:dyDescent="0.25">
      <c r="A1814" s="2" t="s">
        <v>2052</v>
      </c>
      <c r="B1814" s="2" t="s">
        <v>469</v>
      </c>
      <c r="C1814" s="2">
        <v>5</v>
      </c>
      <c r="D1814" t="str">
        <f t="shared" si="28"/>
        <v>CA-2015-109862_FUR-CH-10002439</v>
      </c>
      <c r="E1814" t="str">
        <f>IF(COUNTIF(data1!$D:$D,D1814)=0,"Missing in Data1","Present")</f>
        <v>Present</v>
      </c>
    </row>
    <row r="1815" spans="1:5" x14ac:dyDescent="0.25">
      <c r="A1815" s="2" t="s">
        <v>2052</v>
      </c>
      <c r="B1815" s="2" t="s">
        <v>2053</v>
      </c>
      <c r="C1815" s="2">
        <v>1</v>
      </c>
      <c r="D1815" t="str">
        <f t="shared" si="28"/>
        <v>CA-2015-109862_TEC-PH-10004042</v>
      </c>
      <c r="E1815" t="str">
        <f>IF(COUNTIF(data1!$D:$D,D1815)=0,"Missing in Data1","Present")</f>
        <v>Present</v>
      </c>
    </row>
    <row r="1816" spans="1:5" x14ac:dyDescent="0.25">
      <c r="A1816" s="2" t="s">
        <v>2054</v>
      </c>
      <c r="B1816" s="2" t="s">
        <v>104</v>
      </c>
      <c r="C1816" s="2">
        <v>2</v>
      </c>
      <c r="D1816" t="str">
        <f t="shared" si="28"/>
        <v>CA-2015-109939_OFF-AR-10000127</v>
      </c>
      <c r="E1816" t="str">
        <f>IF(COUNTIF(data1!$D:$D,D1816)=0,"Missing in Data1","Present")</f>
        <v>Present</v>
      </c>
    </row>
    <row r="1817" spans="1:5" x14ac:dyDescent="0.25">
      <c r="A1817" s="2" t="s">
        <v>2055</v>
      </c>
      <c r="B1817" s="2" t="s">
        <v>1497</v>
      </c>
      <c r="C1817" s="2">
        <v>9</v>
      </c>
      <c r="D1817" t="str">
        <f t="shared" si="28"/>
        <v>CA-2015-110016_FUR-CH-10002880</v>
      </c>
      <c r="E1817" t="str">
        <f>IF(COUNTIF(data1!$D:$D,D1817)=0,"Missing in Data1","Present")</f>
        <v>Present</v>
      </c>
    </row>
    <row r="1818" spans="1:5" x14ac:dyDescent="0.25">
      <c r="A1818" s="2" t="s">
        <v>2055</v>
      </c>
      <c r="B1818" s="2" t="s">
        <v>1140</v>
      </c>
      <c r="C1818" s="2">
        <v>4</v>
      </c>
      <c r="D1818" t="str">
        <f t="shared" si="28"/>
        <v>CA-2015-110016_OFF-PA-10000349</v>
      </c>
      <c r="E1818" t="str">
        <f>IF(COUNTIF(data1!$D:$D,D1818)=0,"Missing in Data1","Present")</f>
        <v>Present</v>
      </c>
    </row>
    <row r="1819" spans="1:5" x14ac:dyDescent="0.25">
      <c r="A1819" s="2" t="s">
        <v>2056</v>
      </c>
      <c r="B1819" s="2" t="s">
        <v>155</v>
      </c>
      <c r="C1819" s="2">
        <v>2</v>
      </c>
      <c r="D1819" t="str">
        <f t="shared" si="28"/>
        <v>CA-2015-110093_OFF-PA-10000174</v>
      </c>
      <c r="E1819" t="str">
        <f>IF(COUNTIF(data1!$D:$D,D1819)=0,"Missing in Data1","Present")</f>
        <v>Present</v>
      </c>
    </row>
    <row r="1820" spans="1:5" x14ac:dyDescent="0.25">
      <c r="A1820" s="2" t="s">
        <v>2056</v>
      </c>
      <c r="B1820" s="2" t="s">
        <v>2057</v>
      </c>
      <c r="C1820" s="2">
        <v>2</v>
      </c>
      <c r="D1820" t="str">
        <f t="shared" si="28"/>
        <v>CA-2015-110093_TEC-AC-10000171</v>
      </c>
      <c r="E1820" t="str">
        <f>IF(COUNTIF(data1!$D:$D,D1820)=0,"Missing in Data1","Present")</f>
        <v>Present</v>
      </c>
    </row>
    <row r="1821" spans="1:5" x14ac:dyDescent="0.25">
      <c r="A1821" s="2" t="s">
        <v>2058</v>
      </c>
      <c r="B1821" s="2" t="s">
        <v>1042</v>
      </c>
      <c r="C1821" s="2">
        <v>3</v>
      </c>
      <c r="D1821" t="str">
        <f t="shared" si="28"/>
        <v>CA-2015-110247_OFF-BI-10001553</v>
      </c>
      <c r="E1821" t="str">
        <f>IF(COUNTIF(data1!$D:$D,D1821)=0,"Missing in Data1","Present")</f>
        <v>Present</v>
      </c>
    </row>
    <row r="1822" spans="1:5" x14ac:dyDescent="0.25">
      <c r="A1822" s="2" t="s">
        <v>2059</v>
      </c>
      <c r="B1822" s="2" t="s">
        <v>1615</v>
      </c>
      <c r="C1822" s="2">
        <v>4</v>
      </c>
      <c r="D1822" t="str">
        <f t="shared" si="28"/>
        <v>CA-2015-110289_OFF-EN-10001434</v>
      </c>
      <c r="E1822" t="str">
        <f>IF(COUNTIF(data1!$D:$D,D1822)=0,"Missing in Data1","Present")</f>
        <v>Present</v>
      </c>
    </row>
    <row r="1823" spans="1:5" x14ac:dyDescent="0.25">
      <c r="A1823" s="2" t="s">
        <v>2059</v>
      </c>
      <c r="B1823" s="2" t="s">
        <v>47</v>
      </c>
      <c r="C1823" s="2">
        <v>5</v>
      </c>
      <c r="D1823" t="str">
        <f t="shared" si="28"/>
        <v>CA-2015-110289_OFF-PA-10002986</v>
      </c>
      <c r="E1823" t="str">
        <f>IF(COUNTIF(data1!$D:$D,D1823)=0,"Missing in Data1","Present")</f>
        <v>Present</v>
      </c>
    </row>
    <row r="1824" spans="1:5" x14ac:dyDescent="0.25">
      <c r="A1824" s="2" t="s">
        <v>2060</v>
      </c>
      <c r="B1824" s="2" t="s">
        <v>2061</v>
      </c>
      <c r="C1824" s="2">
        <v>2</v>
      </c>
      <c r="D1824" t="str">
        <f t="shared" si="28"/>
        <v>CA-2015-110324_OFF-AR-10000823</v>
      </c>
      <c r="E1824" t="str">
        <f>IF(COUNTIF(data1!$D:$D,D1824)=0,"Missing in Data1","Present")</f>
        <v>Present</v>
      </c>
    </row>
    <row r="1825" spans="1:5" x14ac:dyDescent="0.25">
      <c r="A1825" s="2" t="s">
        <v>2060</v>
      </c>
      <c r="B1825" s="2" t="s">
        <v>2062</v>
      </c>
      <c r="C1825" s="2">
        <v>2</v>
      </c>
      <c r="D1825" t="str">
        <f t="shared" si="28"/>
        <v>CA-2015-110324_OFF-PA-10001776</v>
      </c>
      <c r="E1825" t="str">
        <f>IF(COUNTIF(data1!$D:$D,D1825)=0,"Missing in Data1","Present")</f>
        <v>Present</v>
      </c>
    </row>
    <row r="1826" spans="1:5" x14ac:dyDescent="0.25">
      <c r="A1826" s="2" t="s">
        <v>2060</v>
      </c>
      <c r="B1826" s="2" t="s">
        <v>6627</v>
      </c>
      <c r="C1826" s="2">
        <v>3</v>
      </c>
      <c r="D1826" t="str">
        <f t="shared" si="28"/>
        <v>CA-2015-110324_OFF-PA-10001826</v>
      </c>
      <c r="E1826" t="str">
        <f>IF(COUNTIF(data1!$D:$D,D1826)=0,"Missing in Data1","Present")</f>
        <v>Missing in Data1</v>
      </c>
    </row>
    <row r="1827" spans="1:5" x14ac:dyDescent="0.25">
      <c r="A1827" s="2" t="s">
        <v>2063</v>
      </c>
      <c r="B1827" s="2" t="s">
        <v>794</v>
      </c>
      <c r="C1827" s="2">
        <v>2</v>
      </c>
      <c r="D1827" t="str">
        <f t="shared" si="28"/>
        <v>CA-2015-110345_OFF-LA-10001175</v>
      </c>
      <c r="E1827" t="str">
        <f>IF(COUNTIF(data1!$D:$D,D1827)=0,"Missing in Data1","Present")</f>
        <v>Present</v>
      </c>
    </row>
    <row r="1828" spans="1:5" x14ac:dyDescent="0.25">
      <c r="A1828" s="2" t="s">
        <v>2064</v>
      </c>
      <c r="B1828" s="2" t="s">
        <v>1733</v>
      </c>
      <c r="C1828" s="2">
        <v>3</v>
      </c>
      <c r="D1828" t="str">
        <f t="shared" si="28"/>
        <v>CA-2015-110457_FUR-TA-10001768</v>
      </c>
      <c r="E1828" t="str">
        <f>IF(COUNTIF(data1!$D:$D,D1828)=0,"Missing in Data1","Present")</f>
        <v>Present</v>
      </c>
    </row>
    <row r="1829" spans="1:5" x14ac:dyDescent="0.25">
      <c r="A1829" s="2" t="s">
        <v>2065</v>
      </c>
      <c r="B1829" s="2" t="s">
        <v>2066</v>
      </c>
      <c r="C1829" s="2">
        <v>7</v>
      </c>
      <c r="D1829" t="str">
        <f t="shared" si="28"/>
        <v>CA-2015-110548_TEC-PH-10002922</v>
      </c>
      <c r="E1829" t="str">
        <f>IF(COUNTIF(data1!$D:$D,D1829)=0,"Missing in Data1","Present")</f>
        <v>Present</v>
      </c>
    </row>
    <row r="1830" spans="1:5" x14ac:dyDescent="0.25">
      <c r="A1830" s="2" t="s">
        <v>2067</v>
      </c>
      <c r="B1830" s="2" t="s">
        <v>2068</v>
      </c>
      <c r="C1830" s="2">
        <v>2</v>
      </c>
      <c r="D1830" t="str">
        <f t="shared" si="28"/>
        <v>CA-2015-110632_OFF-ST-10001291</v>
      </c>
      <c r="E1830" t="str">
        <f>IF(COUNTIF(data1!$D:$D,D1830)=0,"Missing in Data1","Present")</f>
        <v>Present</v>
      </c>
    </row>
    <row r="1831" spans="1:5" x14ac:dyDescent="0.25">
      <c r="A1831" s="2" t="s">
        <v>2070</v>
      </c>
      <c r="B1831" s="2" t="s">
        <v>5835</v>
      </c>
      <c r="C1831" s="2">
        <v>2</v>
      </c>
      <c r="D1831" t="str">
        <f t="shared" si="28"/>
        <v>CA-2015-110667_FUR-FU-10004622</v>
      </c>
      <c r="E1831" t="str">
        <f>IF(COUNTIF(data1!$D:$D,D1831)=0,"Missing in Data1","Present")</f>
        <v>Missing in Data1</v>
      </c>
    </row>
    <row r="1832" spans="1:5" x14ac:dyDescent="0.25">
      <c r="A1832" s="2" t="s">
        <v>2070</v>
      </c>
      <c r="B1832" s="2" t="s">
        <v>286</v>
      </c>
      <c r="C1832" s="2">
        <v>2</v>
      </c>
      <c r="D1832" t="str">
        <f t="shared" si="28"/>
        <v>CA-2015-110667_OFF-AR-10000716</v>
      </c>
      <c r="E1832" t="str">
        <f>IF(COUNTIF(data1!$D:$D,D1832)=0,"Missing in Data1","Present")</f>
        <v>Present</v>
      </c>
    </row>
    <row r="1833" spans="1:5" x14ac:dyDescent="0.25">
      <c r="A1833" s="2" t="s">
        <v>2070</v>
      </c>
      <c r="B1833" s="2" t="s">
        <v>165</v>
      </c>
      <c r="C1833" s="2">
        <v>3</v>
      </c>
      <c r="D1833" t="str">
        <f t="shared" si="28"/>
        <v>CA-2015-110667_OFF-BI-10002735</v>
      </c>
      <c r="E1833" t="str">
        <f>IF(COUNTIF(data1!$D:$D,D1833)=0,"Missing in Data1","Present")</f>
        <v>Present</v>
      </c>
    </row>
    <row r="1834" spans="1:5" x14ac:dyDescent="0.25">
      <c r="A1834" s="2" t="s">
        <v>2070</v>
      </c>
      <c r="B1834" s="2" t="s">
        <v>446</v>
      </c>
      <c r="C1834" s="2">
        <v>4</v>
      </c>
      <c r="D1834" t="str">
        <f t="shared" si="28"/>
        <v>CA-2015-110667_OFF-BI-10003529</v>
      </c>
      <c r="E1834" t="str">
        <f>IF(COUNTIF(data1!$D:$D,D1834)=0,"Missing in Data1","Present")</f>
        <v>Missing in Data1</v>
      </c>
    </row>
    <row r="1835" spans="1:5" x14ac:dyDescent="0.25">
      <c r="A1835" s="2" t="s">
        <v>2071</v>
      </c>
      <c r="B1835" s="2" t="s">
        <v>2072</v>
      </c>
      <c r="C1835" s="2">
        <v>7</v>
      </c>
      <c r="D1835" t="str">
        <f t="shared" si="28"/>
        <v>CA-2015-110744_OFF-ST-10003656</v>
      </c>
      <c r="E1835" t="str">
        <f>IF(COUNTIF(data1!$D:$D,D1835)=0,"Missing in Data1","Present")</f>
        <v>Present</v>
      </c>
    </row>
    <row r="1836" spans="1:5" x14ac:dyDescent="0.25">
      <c r="A1836" s="2" t="s">
        <v>2073</v>
      </c>
      <c r="B1836" s="2" t="s">
        <v>2074</v>
      </c>
      <c r="C1836" s="2">
        <v>3</v>
      </c>
      <c r="D1836" t="str">
        <f t="shared" si="28"/>
        <v>CA-2015-110765_TEC-PH-10004165</v>
      </c>
      <c r="E1836" t="str">
        <f>IF(COUNTIF(data1!$D:$D,D1836)=0,"Missing in Data1","Present")</f>
        <v>Present</v>
      </c>
    </row>
    <row r="1837" spans="1:5" x14ac:dyDescent="0.25">
      <c r="A1837" s="2" t="s">
        <v>2075</v>
      </c>
      <c r="B1837" s="2" t="s">
        <v>1857</v>
      </c>
      <c r="C1837" s="2">
        <v>3</v>
      </c>
      <c r="D1837" t="str">
        <f t="shared" si="28"/>
        <v>CA-2015-110814_FUR-CH-10003535</v>
      </c>
      <c r="E1837" t="str">
        <f>IF(COUNTIF(data1!$D:$D,D1837)=0,"Missing in Data1","Present")</f>
        <v>Present</v>
      </c>
    </row>
    <row r="1838" spans="1:5" x14ac:dyDescent="0.25">
      <c r="A1838" s="2" t="s">
        <v>2075</v>
      </c>
      <c r="B1838" s="2" t="s">
        <v>637</v>
      </c>
      <c r="C1838" s="2">
        <v>5</v>
      </c>
      <c r="D1838" t="str">
        <f t="shared" si="28"/>
        <v>CA-2015-110814_OFF-BI-10002026</v>
      </c>
      <c r="E1838" t="str">
        <f>IF(COUNTIF(data1!$D:$D,D1838)=0,"Missing in Data1","Present")</f>
        <v>Present</v>
      </c>
    </row>
    <row r="1839" spans="1:5" x14ac:dyDescent="0.25">
      <c r="A1839" s="2" t="s">
        <v>2075</v>
      </c>
      <c r="B1839" s="2" t="s">
        <v>2984</v>
      </c>
      <c r="C1839" s="2">
        <v>2</v>
      </c>
      <c r="D1839" t="str">
        <f t="shared" si="28"/>
        <v>CA-2015-110814_OFF-PA-10004156</v>
      </c>
      <c r="E1839" t="str">
        <f>IF(COUNTIF(data1!$D:$D,D1839)=0,"Missing in Data1","Present")</f>
        <v>Missing in Data1</v>
      </c>
    </row>
    <row r="1840" spans="1:5" x14ac:dyDescent="0.25">
      <c r="A1840" s="2" t="s">
        <v>2076</v>
      </c>
      <c r="B1840" s="2" t="s">
        <v>2077</v>
      </c>
      <c r="C1840" s="2">
        <v>5</v>
      </c>
      <c r="D1840" t="str">
        <f t="shared" si="28"/>
        <v>CA-2015-110863_FUR-CH-10002073</v>
      </c>
      <c r="E1840" t="str">
        <f>IF(COUNTIF(data1!$D:$D,D1840)=0,"Missing in Data1","Present")</f>
        <v>Present</v>
      </c>
    </row>
    <row r="1841" spans="1:5" x14ac:dyDescent="0.25">
      <c r="A1841" s="2" t="s">
        <v>2076</v>
      </c>
      <c r="B1841" s="2" t="s">
        <v>433</v>
      </c>
      <c r="C1841" s="2">
        <v>3</v>
      </c>
      <c r="D1841" t="str">
        <f t="shared" si="28"/>
        <v>CA-2015-110863_OFF-PA-10000474</v>
      </c>
      <c r="E1841" t="str">
        <f>IF(COUNTIF(data1!$D:$D,D1841)=0,"Missing in Data1","Present")</f>
        <v>Present</v>
      </c>
    </row>
    <row r="1842" spans="1:5" x14ac:dyDescent="0.25">
      <c r="A1842" s="2" t="s">
        <v>2076</v>
      </c>
      <c r="B1842" s="2" t="s">
        <v>2078</v>
      </c>
      <c r="C1842" s="2">
        <v>4</v>
      </c>
      <c r="D1842" t="str">
        <f t="shared" si="28"/>
        <v>CA-2015-110863_OFF-ST-10002756</v>
      </c>
      <c r="E1842" t="str">
        <f>IF(COUNTIF(data1!$D:$D,D1842)=0,"Missing in Data1","Present")</f>
        <v>Present</v>
      </c>
    </row>
    <row r="1843" spans="1:5" x14ac:dyDescent="0.25">
      <c r="A1843" s="2" t="s">
        <v>2079</v>
      </c>
      <c r="B1843" s="2" t="s">
        <v>219</v>
      </c>
      <c r="C1843" s="2">
        <v>7</v>
      </c>
      <c r="D1843" t="str">
        <f t="shared" si="28"/>
        <v>CA-2015-110870_OFF-SU-10001225</v>
      </c>
      <c r="E1843" t="str">
        <f>IF(COUNTIF(data1!$D:$D,D1843)=0,"Missing in Data1","Present")</f>
        <v>Present</v>
      </c>
    </row>
    <row r="1844" spans="1:5" x14ac:dyDescent="0.25">
      <c r="A1844" s="2" t="s">
        <v>2079</v>
      </c>
      <c r="B1844" s="2" t="s">
        <v>1406</v>
      </c>
      <c r="C1844" s="2">
        <v>6</v>
      </c>
      <c r="D1844" t="str">
        <f t="shared" si="28"/>
        <v>CA-2015-110870_TEC-AC-10002926</v>
      </c>
      <c r="E1844" t="str">
        <f>IF(COUNTIF(data1!$D:$D,D1844)=0,"Missing in Data1","Present")</f>
        <v>Present</v>
      </c>
    </row>
    <row r="1845" spans="1:5" x14ac:dyDescent="0.25">
      <c r="A1845" s="2" t="s">
        <v>2080</v>
      </c>
      <c r="B1845" s="2" t="s">
        <v>2081</v>
      </c>
      <c r="C1845" s="2">
        <v>7</v>
      </c>
      <c r="D1845" t="str">
        <f t="shared" si="28"/>
        <v>CA-2015-110877_OFF-PA-10004621</v>
      </c>
      <c r="E1845" t="str">
        <f>IF(COUNTIF(data1!$D:$D,D1845)=0,"Missing in Data1","Present")</f>
        <v>Present</v>
      </c>
    </row>
    <row r="1846" spans="1:5" x14ac:dyDescent="0.25">
      <c r="A1846" s="2" t="s">
        <v>2080</v>
      </c>
      <c r="B1846" s="2" t="s">
        <v>1425</v>
      </c>
      <c r="C1846" s="2">
        <v>2</v>
      </c>
      <c r="D1846" t="str">
        <f t="shared" si="28"/>
        <v>CA-2015-110877_TEC-PH-10002103</v>
      </c>
      <c r="E1846" t="str">
        <f>IF(COUNTIF(data1!$D:$D,D1846)=0,"Missing in Data1","Present")</f>
        <v>Present</v>
      </c>
    </row>
    <row r="1847" spans="1:5" x14ac:dyDescent="0.25">
      <c r="A1847" s="2" t="s">
        <v>2082</v>
      </c>
      <c r="B1847" s="2" t="s">
        <v>1497</v>
      </c>
      <c r="C1847" s="2">
        <v>4</v>
      </c>
      <c r="D1847" t="str">
        <f t="shared" si="28"/>
        <v>CA-2015-110891_FUR-CH-10002880</v>
      </c>
      <c r="E1847" t="str">
        <f>IF(COUNTIF(data1!$D:$D,D1847)=0,"Missing in Data1","Present")</f>
        <v>Present</v>
      </c>
    </row>
    <row r="1848" spans="1:5" x14ac:dyDescent="0.25">
      <c r="A1848" s="2" t="s">
        <v>6765</v>
      </c>
      <c r="B1848" s="2" t="s">
        <v>267</v>
      </c>
      <c r="C1848" s="2">
        <v>3</v>
      </c>
      <c r="D1848" t="str">
        <f t="shared" si="28"/>
        <v>CA-2015-110947_OFF-BI-10001670</v>
      </c>
      <c r="E1848" t="str">
        <f>IF(COUNTIF(data1!$D:$D,D1848)=0,"Missing in Data1","Present")</f>
        <v>Missing in Data1</v>
      </c>
    </row>
    <row r="1849" spans="1:5" x14ac:dyDescent="0.25">
      <c r="A1849" s="2" t="s">
        <v>2083</v>
      </c>
      <c r="B1849" s="2" t="s">
        <v>1948</v>
      </c>
      <c r="C1849" s="2">
        <v>3</v>
      </c>
      <c r="D1849" t="str">
        <f t="shared" si="28"/>
        <v>CA-2015-111017_OFF-SU-10002573</v>
      </c>
      <c r="E1849" t="str">
        <f>IF(COUNTIF(data1!$D:$D,D1849)=0,"Missing in Data1","Present")</f>
        <v>Present</v>
      </c>
    </row>
    <row r="1850" spans="1:5" x14ac:dyDescent="0.25">
      <c r="A1850" s="2" t="s">
        <v>2084</v>
      </c>
      <c r="B1850" s="2" t="s">
        <v>807</v>
      </c>
      <c r="C1850" s="2">
        <v>9</v>
      </c>
      <c r="D1850" t="str">
        <f t="shared" si="28"/>
        <v>CA-2015-111038_FUR-CH-10003973</v>
      </c>
      <c r="E1850" t="str">
        <f>IF(COUNTIF(data1!$D:$D,D1850)=0,"Missing in Data1","Present")</f>
        <v>Present</v>
      </c>
    </row>
    <row r="1851" spans="1:5" x14ac:dyDescent="0.25">
      <c r="A1851" s="2" t="s">
        <v>2085</v>
      </c>
      <c r="B1851" s="2" t="s">
        <v>1100</v>
      </c>
      <c r="C1851" s="2">
        <v>1</v>
      </c>
      <c r="D1851" t="str">
        <f t="shared" si="28"/>
        <v>CA-2015-111073_FUR-TA-10004086</v>
      </c>
      <c r="E1851" t="str">
        <f>IF(COUNTIF(data1!$D:$D,D1851)=0,"Missing in Data1","Present")</f>
        <v>Present</v>
      </c>
    </row>
    <row r="1852" spans="1:5" x14ac:dyDescent="0.25">
      <c r="A1852" s="2" t="s">
        <v>2086</v>
      </c>
      <c r="B1852" s="2" t="s">
        <v>5</v>
      </c>
      <c r="C1852" s="2">
        <v>3</v>
      </c>
      <c r="D1852" t="str">
        <f t="shared" si="28"/>
        <v>CA-2015-111094_OFF-BI-10001597</v>
      </c>
      <c r="E1852" t="str">
        <f>IF(COUNTIF(data1!$D:$D,D1852)=0,"Missing in Data1","Present")</f>
        <v>Present</v>
      </c>
    </row>
    <row r="1853" spans="1:5" x14ac:dyDescent="0.25">
      <c r="A1853" s="2" t="s">
        <v>2086</v>
      </c>
      <c r="B1853" s="2" t="s">
        <v>1517</v>
      </c>
      <c r="C1853" s="2">
        <v>2</v>
      </c>
      <c r="D1853" t="str">
        <f t="shared" si="28"/>
        <v>CA-2015-111094_OFF-PA-10001609</v>
      </c>
      <c r="E1853" t="str">
        <f>IF(COUNTIF(data1!$D:$D,D1853)=0,"Missing in Data1","Present")</f>
        <v>Present</v>
      </c>
    </row>
    <row r="1854" spans="1:5" x14ac:dyDescent="0.25">
      <c r="A1854" s="2" t="s">
        <v>2087</v>
      </c>
      <c r="B1854" s="2" t="s">
        <v>2088</v>
      </c>
      <c r="C1854" s="2">
        <v>5</v>
      </c>
      <c r="D1854" t="str">
        <f t="shared" si="28"/>
        <v>CA-2015-111164_OFF-AP-10004487</v>
      </c>
      <c r="E1854" t="str">
        <f>IF(COUNTIF(data1!$D:$D,D1854)=0,"Missing in Data1","Present")</f>
        <v>Present</v>
      </c>
    </row>
    <row r="1855" spans="1:5" x14ac:dyDescent="0.25">
      <c r="A1855" s="2" t="s">
        <v>2087</v>
      </c>
      <c r="B1855" s="2" t="s">
        <v>1076</v>
      </c>
      <c r="C1855" s="2">
        <v>3</v>
      </c>
      <c r="D1855" t="str">
        <f t="shared" si="28"/>
        <v>CA-2015-111164_TEC-AC-10002473</v>
      </c>
      <c r="E1855" t="str">
        <f>IF(COUNTIF(data1!$D:$D,D1855)=0,"Missing in Data1","Present")</f>
        <v>Present</v>
      </c>
    </row>
    <row r="1856" spans="1:5" x14ac:dyDescent="0.25">
      <c r="A1856" s="2" t="s">
        <v>2087</v>
      </c>
      <c r="B1856" s="2" t="s">
        <v>365</v>
      </c>
      <c r="C1856" s="2">
        <v>1</v>
      </c>
      <c r="D1856" t="str">
        <f t="shared" si="28"/>
        <v>CA-2015-111164_TEC-PH-10004531</v>
      </c>
      <c r="E1856" t="str">
        <f>IF(COUNTIF(data1!$D:$D,D1856)=0,"Missing in Data1","Present")</f>
        <v>Present</v>
      </c>
    </row>
    <row r="1857" spans="1:5" x14ac:dyDescent="0.25">
      <c r="A1857" s="2" t="s">
        <v>2089</v>
      </c>
      <c r="B1857" s="2" t="s">
        <v>2090</v>
      </c>
      <c r="C1857" s="2">
        <v>3</v>
      </c>
      <c r="D1857" t="str">
        <f t="shared" si="28"/>
        <v>CA-2015-111199_OFF-PA-10001790</v>
      </c>
      <c r="E1857" t="str">
        <f>IF(COUNTIF(data1!$D:$D,D1857)=0,"Missing in Data1","Present")</f>
        <v>Present</v>
      </c>
    </row>
    <row r="1858" spans="1:5" x14ac:dyDescent="0.25">
      <c r="A1858" s="2" t="s">
        <v>2091</v>
      </c>
      <c r="B1858" s="2" t="s">
        <v>2092</v>
      </c>
      <c r="C1858" s="2">
        <v>4</v>
      </c>
      <c r="D1858" t="str">
        <f t="shared" si="28"/>
        <v>CA-2015-111206_TEC-AC-10003095</v>
      </c>
      <c r="E1858" t="str">
        <f>IF(COUNTIF(data1!$D:$D,D1858)=0,"Missing in Data1","Present")</f>
        <v>Present</v>
      </c>
    </row>
    <row r="1859" spans="1:5" x14ac:dyDescent="0.25">
      <c r="A1859" s="2" t="s">
        <v>2093</v>
      </c>
      <c r="B1859" s="2" t="s">
        <v>671</v>
      </c>
      <c r="C1859" s="2">
        <v>3</v>
      </c>
      <c r="D1859" t="str">
        <f t="shared" ref="D1859:D1922" si="29">A1859&amp;"_"&amp;B1859</f>
        <v>CA-2015-111234_OFF-LA-10002271</v>
      </c>
      <c r="E1859" t="str">
        <f>IF(COUNTIF(data1!$D:$D,D1859)=0,"Missing in Data1","Present")</f>
        <v>Present</v>
      </c>
    </row>
    <row r="1860" spans="1:5" x14ac:dyDescent="0.25">
      <c r="A1860" s="2" t="s">
        <v>2094</v>
      </c>
      <c r="B1860" s="2" t="s">
        <v>2095</v>
      </c>
      <c r="C1860" s="2">
        <v>9</v>
      </c>
      <c r="D1860" t="str">
        <f t="shared" si="29"/>
        <v>CA-2015-111297_OFF-BI-10002412</v>
      </c>
      <c r="E1860" t="str">
        <f>IF(COUNTIF(data1!$D:$D,D1860)=0,"Missing in Data1","Present")</f>
        <v>Present</v>
      </c>
    </row>
    <row r="1861" spans="1:5" x14ac:dyDescent="0.25">
      <c r="A1861" s="2" t="s">
        <v>2096</v>
      </c>
      <c r="B1861" s="2" t="s">
        <v>2005</v>
      </c>
      <c r="C1861" s="2">
        <v>6</v>
      </c>
      <c r="D1861" t="str">
        <f t="shared" si="29"/>
        <v>CA-2015-111325_OFF-AR-10002257</v>
      </c>
      <c r="E1861" t="str">
        <f>IF(COUNTIF(data1!$D:$D,D1861)=0,"Missing in Data1","Present")</f>
        <v>Present</v>
      </c>
    </row>
    <row r="1862" spans="1:5" x14ac:dyDescent="0.25">
      <c r="A1862" s="2" t="s">
        <v>2096</v>
      </c>
      <c r="B1862" s="2" t="s">
        <v>9</v>
      </c>
      <c r="C1862" s="2">
        <v>3</v>
      </c>
      <c r="D1862" t="str">
        <f t="shared" si="29"/>
        <v>CA-2015-111325_OFF-BI-10000343</v>
      </c>
      <c r="E1862" t="str">
        <f>IF(COUNTIF(data1!$D:$D,D1862)=0,"Missing in Data1","Present")</f>
        <v>Present</v>
      </c>
    </row>
    <row r="1863" spans="1:5" x14ac:dyDescent="0.25">
      <c r="A1863" s="2" t="s">
        <v>2097</v>
      </c>
      <c r="B1863" s="2" t="s">
        <v>474</v>
      </c>
      <c r="C1863" s="2">
        <v>3</v>
      </c>
      <c r="D1863" t="str">
        <f t="shared" si="29"/>
        <v>CA-2015-111339_FUR-CH-10000863</v>
      </c>
      <c r="E1863" t="str">
        <f>IF(COUNTIF(data1!$D:$D,D1863)=0,"Missing in Data1","Present")</f>
        <v>Present</v>
      </c>
    </row>
    <row r="1864" spans="1:5" x14ac:dyDescent="0.25">
      <c r="A1864" s="2" t="s">
        <v>2097</v>
      </c>
      <c r="B1864" s="2" t="s">
        <v>2098</v>
      </c>
      <c r="C1864" s="2">
        <v>4</v>
      </c>
      <c r="D1864" t="str">
        <f t="shared" si="29"/>
        <v>CA-2015-111339_FUR-FU-10002506</v>
      </c>
      <c r="E1864" t="str">
        <f>IF(COUNTIF(data1!$D:$D,D1864)=0,"Missing in Data1","Present")</f>
        <v>Present</v>
      </c>
    </row>
    <row r="1865" spans="1:5" x14ac:dyDescent="0.25">
      <c r="A1865" s="2" t="s">
        <v>2097</v>
      </c>
      <c r="B1865" s="2" t="s">
        <v>1808</v>
      </c>
      <c r="C1865" s="2">
        <v>5</v>
      </c>
      <c r="D1865" t="str">
        <f t="shared" si="29"/>
        <v>CA-2015-111339_OFF-FA-10002988</v>
      </c>
      <c r="E1865" t="str">
        <f>IF(COUNTIF(data1!$D:$D,D1865)=0,"Missing in Data1","Present")</f>
        <v>Present</v>
      </c>
    </row>
    <row r="1866" spans="1:5" x14ac:dyDescent="0.25">
      <c r="A1866" s="2" t="s">
        <v>2099</v>
      </c>
      <c r="B1866" s="2" t="s">
        <v>2100</v>
      </c>
      <c r="C1866" s="2">
        <v>4</v>
      </c>
      <c r="D1866" t="str">
        <f t="shared" si="29"/>
        <v>CA-2015-111395_OFF-PA-10000994</v>
      </c>
      <c r="E1866" t="str">
        <f>IF(COUNTIF(data1!$D:$D,D1866)=0,"Missing in Data1","Present")</f>
        <v>Present</v>
      </c>
    </row>
    <row r="1867" spans="1:5" x14ac:dyDescent="0.25">
      <c r="A1867" s="2" t="s">
        <v>2099</v>
      </c>
      <c r="B1867" s="2" t="s">
        <v>2068</v>
      </c>
      <c r="C1867" s="2">
        <v>2</v>
      </c>
      <c r="D1867" t="str">
        <f t="shared" si="29"/>
        <v>CA-2015-111395_OFF-ST-10001291</v>
      </c>
      <c r="E1867" t="str">
        <f>IF(COUNTIF(data1!$D:$D,D1867)=0,"Missing in Data1","Present")</f>
        <v>Present</v>
      </c>
    </row>
    <row r="1868" spans="1:5" x14ac:dyDescent="0.25">
      <c r="A1868" s="2" t="s">
        <v>2101</v>
      </c>
      <c r="B1868" s="2" t="s">
        <v>1990</v>
      </c>
      <c r="C1868" s="2">
        <v>2</v>
      </c>
      <c r="D1868" t="str">
        <f t="shared" si="29"/>
        <v>CA-2015-111458_TEC-AC-10001590</v>
      </c>
      <c r="E1868" t="str">
        <f>IF(COUNTIF(data1!$D:$D,D1868)=0,"Missing in Data1","Present")</f>
        <v>Present</v>
      </c>
    </row>
    <row r="1869" spans="1:5" x14ac:dyDescent="0.25">
      <c r="A1869" s="2" t="s">
        <v>2102</v>
      </c>
      <c r="B1869" s="2" t="s">
        <v>564</v>
      </c>
      <c r="C1869" s="2">
        <v>3</v>
      </c>
      <c r="D1869" t="str">
        <f t="shared" si="29"/>
        <v>CA-2015-111507_OFF-AR-10001315</v>
      </c>
      <c r="E1869" t="str">
        <f>IF(COUNTIF(data1!$D:$D,D1869)=0,"Missing in Data1","Present")</f>
        <v>Present</v>
      </c>
    </row>
    <row r="1870" spans="1:5" x14ac:dyDescent="0.25">
      <c r="A1870" s="2" t="s">
        <v>2103</v>
      </c>
      <c r="B1870" s="2" t="s">
        <v>2104</v>
      </c>
      <c r="C1870" s="2">
        <v>3</v>
      </c>
      <c r="D1870" t="str">
        <f t="shared" si="29"/>
        <v>CA-2015-111514_TEC-MA-10000597</v>
      </c>
      <c r="E1870" t="str">
        <f>IF(COUNTIF(data1!$D:$D,D1870)=0,"Missing in Data1","Present")</f>
        <v>Present</v>
      </c>
    </row>
    <row r="1871" spans="1:5" x14ac:dyDescent="0.25">
      <c r="A1871" s="2" t="s">
        <v>2105</v>
      </c>
      <c r="B1871" s="2" t="s">
        <v>2021</v>
      </c>
      <c r="C1871" s="2">
        <v>5</v>
      </c>
      <c r="D1871" t="str">
        <f t="shared" si="29"/>
        <v>CA-2015-111612_FUR-FU-10003799</v>
      </c>
      <c r="E1871" t="str">
        <f>IF(COUNTIF(data1!$D:$D,D1871)=0,"Missing in Data1","Present")</f>
        <v>Present</v>
      </c>
    </row>
    <row r="1872" spans="1:5" x14ac:dyDescent="0.25">
      <c r="A1872" s="2" t="s">
        <v>2105</v>
      </c>
      <c r="B1872" s="2" t="s">
        <v>96</v>
      </c>
      <c r="C1872" s="2">
        <v>2</v>
      </c>
      <c r="D1872" t="str">
        <f t="shared" si="29"/>
        <v>CA-2015-111612_OFF-FA-10003021</v>
      </c>
      <c r="E1872" t="str">
        <f>IF(COUNTIF(data1!$D:$D,D1872)=0,"Missing in Data1","Present")</f>
        <v>Present</v>
      </c>
    </row>
    <row r="1873" spans="1:5" x14ac:dyDescent="0.25">
      <c r="A1873" s="2" t="s">
        <v>2106</v>
      </c>
      <c r="B1873" s="2" t="s">
        <v>1140</v>
      </c>
      <c r="C1873" s="2">
        <v>3</v>
      </c>
      <c r="D1873" t="str">
        <f t="shared" si="29"/>
        <v>CA-2015-111703_OFF-PA-10000349</v>
      </c>
      <c r="E1873" t="str">
        <f>IF(COUNTIF(data1!$D:$D,D1873)=0,"Missing in Data1","Present")</f>
        <v>Present</v>
      </c>
    </row>
    <row r="1874" spans="1:5" x14ac:dyDescent="0.25">
      <c r="A1874" s="2" t="s">
        <v>2107</v>
      </c>
      <c r="B1874" s="2" t="s">
        <v>2108</v>
      </c>
      <c r="C1874" s="2">
        <v>3</v>
      </c>
      <c r="D1874" t="str">
        <f t="shared" si="29"/>
        <v>CA-2015-111780_OFF-PA-10001307</v>
      </c>
      <c r="E1874" t="str">
        <f>IF(COUNTIF(data1!$D:$D,D1874)=0,"Missing in Data1","Present")</f>
        <v>Present</v>
      </c>
    </row>
    <row r="1875" spans="1:5" x14ac:dyDescent="0.25">
      <c r="A1875" s="2" t="s">
        <v>2107</v>
      </c>
      <c r="B1875" s="2" t="s">
        <v>1250</v>
      </c>
      <c r="C1875" s="2">
        <v>3</v>
      </c>
      <c r="D1875" t="str">
        <f t="shared" si="29"/>
        <v>CA-2015-111780_OFF-PA-10001667</v>
      </c>
      <c r="E1875" t="str">
        <f>IF(COUNTIF(data1!$D:$D,D1875)=0,"Missing in Data1","Present")</f>
        <v>Present</v>
      </c>
    </row>
    <row r="1876" spans="1:5" x14ac:dyDescent="0.25">
      <c r="A1876" s="2" t="s">
        <v>2107</v>
      </c>
      <c r="B1876" s="2" t="s">
        <v>761</v>
      </c>
      <c r="C1876" s="2">
        <v>5</v>
      </c>
      <c r="D1876" t="str">
        <f t="shared" si="29"/>
        <v>CA-2015-111780_TEC-CO-10004202</v>
      </c>
      <c r="E1876" t="str">
        <f>IF(COUNTIF(data1!$D:$D,D1876)=0,"Missing in Data1","Present")</f>
        <v>Present</v>
      </c>
    </row>
    <row r="1877" spans="1:5" x14ac:dyDescent="0.25">
      <c r="A1877" s="2" t="s">
        <v>2109</v>
      </c>
      <c r="B1877" s="2" t="s">
        <v>80</v>
      </c>
      <c r="C1877" s="2">
        <v>2</v>
      </c>
      <c r="D1877" t="str">
        <f t="shared" si="29"/>
        <v>CA-2015-111829_OFF-PA-10004359</v>
      </c>
      <c r="E1877" t="str">
        <f>IF(COUNTIF(data1!$D:$D,D1877)=0,"Missing in Data1","Present")</f>
        <v>Present</v>
      </c>
    </row>
    <row r="1878" spans="1:5" x14ac:dyDescent="0.25">
      <c r="A1878" s="2" t="s">
        <v>2109</v>
      </c>
      <c r="B1878" s="2" t="s">
        <v>2110</v>
      </c>
      <c r="C1878" s="2">
        <v>3</v>
      </c>
      <c r="D1878" t="str">
        <f t="shared" si="29"/>
        <v>CA-2015-111829_OFF-ST-10000142</v>
      </c>
      <c r="E1878" t="str">
        <f>IF(COUNTIF(data1!$D:$D,D1878)=0,"Missing in Data1","Present")</f>
        <v>Present</v>
      </c>
    </row>
    <row r="1879" spans="1:5" x14ac:dyDescent="0.25">
      <c r="A1879" s="2" t="s">
        <v>2109</v>
      </c>
      <c r="B1879" s="2" t="s">
        <v>1142</v>
      </c>
      <c r="C1879" s="2">
        <v>7</v>
      </c>
      <c r="D1879" t="str">
        <f t="shared" si="29"/>
        <v>CA-2015-111829_TEC-CO-10001766</v>
      </c>
      <c r="E1879" t="str">
        <f>IF(COUNTIF(data1!$D:$D,D1879)=0,"Missing in Data1","Present")</f>
        <v>Present</v>
      </c>
    </row>
    <row r="1880" spans="1:5" x14ac:dyDescent="0.25">
      <c r="A1880" s="2" t="s">
        <v>2111</v>
      </c>
      <c r="B1880" s="2" t="s">
        <v>2112</v>
      </c>
      <c r="C1880" s="2">
        <v>2</v>
      </c>
      <c r="D1880" t="str">
        <f t="shared" si="29"/>
        <v>CA-2015-111864_OFF-LA-10004677</v>
      </c>
      <c r="E1880" t="str">
        <f>IF(COUNTIF(data1!$D:$D,D1880)=0,"Missing in Data1","Present")</f>
        <v>Present</v>
      </c>
    </row>
    <row r="1881" spans="1:5" x14ac:dyDescent="0.25">
      <c r="A1881" s="2" t="s">
        <v>2113</v>
      </c>
      <c r="B1881" s="2" t="s">
        <v>1787</v>
      </c>
      <c r="C1881" s="2">
        <v>2</v>
      </c>
      <c r="D1881" t="str">
        <f t="shared" si="29"/>
        <v>CA-2015-111948_OFF-AP-10002311</v>
      </c>
      <c r="E1881" t="str">
        <f>IF(COUNTIF(data1!$D:$D,D1881)=0,"Missing in Data1","Present")</f>
        <v>Present</v>
      </c>
    </row>
    <row r="1882" spans="1:5" x14ac:dyDescent="0.25">
      <c r="A1882" s="2" t="s">
        <v>2115</v>
      </c>
      <c r="B1882" s="2" t="s">
        <v>485</v>
      </c>
      <c r="C1882" s="2">
        <v>6</v>
      </c>
      <c r="D1882" t="str">
        <f t="shared" si="29"/>
        <v>CA-2015-111990_OFF-BI-10003291</v>
      </c>
      <c r="E1882" t="str">
        <f>IF(COUNTIF(data1!$D:$D,D1882)=0,"Missing in Data1","Present")</f>
        <v>Present</v>
      </c>
    </row>
    <row r="1883" spans="1:5" x14ac:dyDescent="0.25">
      <c r="A1883" s="2" t="s">
        <v>2116</v>
      </c>
      <c r="B1883" s="2" t="s">
        <v>222</v>
      </c>
      <c r="C1883" s="2">
        <v>5</v>
      </c>
      <c r="D1883" t="str">
        <f t="shared" si="29"/>
        <v>CA-2015-112014_OFF-AR-10003156</v>
      </c>
      <c r="E1883" t="str">
        <f>IF(COUNTIF(data1!$D:$D,D1883)=0,"Missing in Data1","Present")</f>
        <v>Present</v>
      </c>
    </row>
    <row r="1884" spans="1:5" x14ac:dyDescent="0.25">
      <c r="A1884" s="2" t="s">
        <v>2117</v>
      </c>
      <c r="B1884" s="2" t="s">
        <v>1055</v>
      </c>
      <c r="C1884" s="2">
        <v>1</v>
      </c>
      <c r="D1884" t="str">
        <f t="shared" si="29"/>
        <v>CA-2015-112053_TEC-AC-10002550</v>
      </c>
      <c r="E1884" t="str">
        <f>IF(COUNTIF(data1!$D:$D,D1884)=0,"Missing in Data1","Present")</f>
        <v>Present</v>
      </c>
    </row>
    <row r="1885" spans="1:5" x14ac:dyDescent="0.25">
      <c r="A1885" s="2" t="s">
        <v>2118</v>
      </c>
      <c r="B1885" s="2" t="s">
        <v>183</v>
      </c>
      <c r="C1885" s="2">
        <v>2</v>
      </c>
      <c r="D1885" t="str">
        <f t="shared" si="29"/>
        <v>CA-2015-112116_FUR-TA-10001039</v>
      </c>
      <c r="E1885" t="str">
        <f>IF(COUNTIF(data1!$D:$D,D1885)=0,"Missing in Data1","Present")</f>
        <v>Present</v>
      </c>
    </row>
    <row r="1886" spans="1:5" x14ac:dyDescent="0.25">
      <c r="A1886" s="2" t="s">
        <v>2119</v>
      </c>
      <c r="B1886" s="2" t="s">
        <v>949</v>
      </c>
      <c r="C1886" s="2">
        <v>6</v>
      </c>
      <c r="D1886" t="str">
        <f t="shared" si="29"/>
        <v>CA-2015-112130_FUR-CH-10002965</v>
      </c>
      <c r="E1886" t="str">
        <f>IF(COUNTIF(data1!$D:$D,D1886)=0,"Missing in Data1","Present")</f>
        <v>Present</v>
      </c>
    </row>
    <row r="1887" spans="1:5" x14ac:dyDescent="0.25">
      <c r="A1887" s="2" t="s">
        <v>2119</v>
      </c>
      <c r="B1887" s="2" t="s">
        <v>2038</v>
      </c>
      <c r="C1887" s="2">
        <v>2</v>
      </c>
      <c r="D1887" t="str">
        <f t="shared" si="29"/>
        <v>CA-2015-112130_OFF-AP-10003266</v>
      </c>
      <c r="E1887" t="str">
        <f>IF(COUNTIF(data1!$D:$D,D1887)=0,"Missing in Data1","Present")</f>
        <v>Present</v>
      </c>
    </row>
    <row r="1888" spans="1:5" x14ac:dyDescent="0.25">
      <c r="A1888" s="2" t="s">
        <v>2119</v>
      </c>
      <c r="B1888" s="2" t="s">
        <v>1058</v>
      </c>
      <c r="C1888" s="2">
        <v>7</v>
      </c>
      <c r="D1888" t="str">
        <f t="shared" si="29"/>
        <v>CA-2015-112130_OFF-AP-10003622</v>
      </c>
      <c r="E1888" t="str">
        <f>IF(COUNTIF(data1!$D:$D,D1888)=0,"Missing in Data1","Present")</f>
        <v>Present</v>
      </c>
    </row>
    <row r="1889" spans="1:5" x14ac:dyDescent="0.25">
      <c r="A1889" s="2" t="s">
        <v>2119</v>
      </c>
      <c r="B1889" s="2" t="s">
        <v>2120</v>
      </c>
      <c r="C1889" s="2">
        <v>2</v>
      </c>
      <c r="D1889" t="str">
        <f t="shared" si="29"/>
        <v>CA-2015-112130_OFF-AR-10001468</v>
      </c>
      <c r="E1889" t="str">
        <f>IF(COUNTIF(data1!$D:$D,D1889)=0,"Missing in Data1","Present")</f>
        <v>Present</v>
      </c>
    </row>
    <row r="1890" spans="1:5" x14ac:dyDescent="0.25">
      <c r="A1890" s="2" t="s">
        <v>2119</v>
      </c>
      <c r="B1890" s="2" t="s">
        <v>1244</v>
      </c>
      <c r="C1890" s="2">
        <v>2</v>
      </c>
      <c r="D1890" t="str">
        <f t="shared" si="29"/>
        <v>CA-2015-112130_OFF-PA-10002230</v>
      </c>
      <c r="E1890" t="str">
        <f>IF(COUNTIF(data1!$D:$D,D1890)=0,"Missing in Data1","Present")</f>
        <v>Present</v>
      </c>
    </row>
    <row r="1891" spans="1:5" x14ac:dyDescent="0.25">
      <c r="A1891" s="2" t="s">
        <v>2119</v>
      </c>
      <c r="B1891" s="2" t="s">
        <v>1339</v>
      </c>
      <c r="C1891" s="2">
        <v>3</v>
      </c>
      <c r="D1891" t="str">
        <f t="shared" si="29"/>
        <v>CA-2015-112130_OFF-ST-10000563</v>
      </c>
      <c r="E1891" t="str">
        <f>IF(COUNTIF(data1!$D:$D,D1891)=0,"Missing in Data1","Present")</f>
        <v>Present</v>
      </c>
    </row>
    <row r="1892" spans="1:5" x14ac:dyDescent="0.25">
      <c r="A1892" s="2" t="s">
        <v>2119</v>
      </c>
      <c r="B1892" s="2" t="s">
        <v>1012</v>
      </c>
      <c r="C1892" s="2">
        <v>3</v>
      </c>
      <c r="D1892" t="str">
        <f t="shared" si="29"/>
        <v>CA-2015-112130_TEC-AC-10001542</v>
      </c>
      <c r="E1892" t="str">
        <f>IF(COUNTIF(data1!$D:$D,D1892)=0,"Missing in Data1","Present")</f>
        <v>Present</v>
      </c>
    </row>
    <row r="1893" spans="1:5" x14ac:dyDescent="0.25">
      <c r="A1893" s="2" t="s">
        <v>2121</v>
      </c>
      <c r="B1893" s="2" t="s">
        <v>263</v>
      </c>
      <c r="C1893" s="2">
        <v>4</v>
      </c>
      <c r="D1893" t="str">
        <f t="shared" si="29"/>
        <v>CA-2015-112144_FUR-FU-10004306</v>
      </c>
      <c r="E1893" t="str">
        <f>IF(COUNTIF(data1!$D:$D,D1893)=0,"Missing in Data1","Present")</f>
        <v>Present</v>
      </c>
    </row>
    <row r="1894" spans="1:5" x14ac:dyDescent="0.25">
      <c r="A1894" s="2" t="s">
        <v>2121</v>
      </c>
      <c r="B1894" s="2" t="s">
        <v>172</v>
      </c>
      <c r="C1894" s="2">
        <v>2</v>
      </c>
      <c r="D1894" t="str">
        <f t="shared" si="29"/>
        <v>CA-2015-112144_OFF-LA-10000443</v>
      </c>
      <c r="E1894" t="str">
        <f>IF(COUNTIF(data1!$D:$D,D1894)=0,"Missing in Data1","Present")</f>
        <v>Present</v>
      </c>
    </row>
    <row r="1895" spans="1:5" x14ac:dyDescent="0.25">
      <c r="A1895" s="2" t="s">
        <v>2122</v>
      </c>
      <c r="B1895" s="2" t="s">
        <v>1325</v>
      </c>
      <c r="C1895" s="2">
        <v>5</v>
      </c>
      <c r="D1895" t="str">
        <f t="shared" si="29"/>
        <v>CA-2015-112214_FUR-FU-10002364</v>
      </c>
      <c r="E1895" t="str">
        <f>IF(COUNTIF(data1!$D:$D,D1895)=0,"Missing in Data1","Present")</f>
        <v>Present</v>
      </c>
    </row>
    <row r="1896" spans="1:5" x14ac:dyDescent="0.25">
      <c r="A1896" s="2" t="s">
        <v>2122</v>
      </c>
      <c r="B1896" s="2" t="s">
        <v>1734</v>
      </c>
      <c r="C1896" s="2">
        <v>1</v>
      </c>
      <c r="D1896" t="str">
        <f t="shared" si="29"/>
        <v>CA-2015-112214_OFF-BI-10002982</v>
      </c>
      <c r="E1896" t="str">
        <f>IF(COUNTIF(data1!$D:$D,D1896)=0,"Missing in Data1","Present")</f>
        <v>Present</v>
      </c>
    </row>
    <row r="1897" spans="1:5" x14ac:dyDescent="0.25">
      <c r="A1897" s="2" t="s">
        <v>2122</v>
      </c>
      <c r="B1897" s="2" t="s">
        <v>487</v>
      </c>
      <c r="C1897" s="2">
        <v>7</v>
      </c>
      <c r="D1897" t="str">
        <f t="shared" si="29"/>
        <v>CA-2015-112214_OFF-ST-10001505</v>
      </c>
      <c r="E1897" t="str">
        <f>IF(COUNTIF(data1!$D:$D,D1897)=0,"Missing in Data1","Present")</f>
        <v>Present</v>
      </c>
    </row>
    <row r="1898" spans="1:5" x14ac:dyDescent="0.25">
      <c r="A1898" s="2" t="s">
        <v>2122</v>
      </c>
      <c r="B1898" s="2" t="s">
        <v>310</v>
      </c>
      <c r="C1898" s="2">
        <v>3</v>
      </c>
      <c r="D1898" t="str">
        <f t="shared" si="29"/>
        <v>CA-2015-112214_OFF-SU-10003567</v>
      </c>
      <c r="E1898" t="str">
        <f>IF(COUNTIF(data1!$D:$D,D1898)=0,"Missing in Data1","Present")</f>
        <v>Present</v>
      </c>
    </row>
    <row r="1899" spans="1:5" x14ac:dyDescent="0.25">
      <c r="A1899" s="2" t="s">
        <v>2123</v>
      </c>
      <c r="B1899" s="2" t="s">
        <v>1325</v>
      </c>
      <c r="C1899" s="2">
        <v>3</v>
      </c>
      <c r="D1899" t="str">
        <f t="shared" si="29"/>
        <v>CA-2015-112305_FUR-FU-10002364</v>
      </c>
      <c r="E1899" t="str">
        <f>IF(COUNTIF(data1!$D:$D,D1899)=0,"Missing in Data1","Present")</f>
        <v>Present</v>
      </c>
    </row>
    <row r="1900" spans="1:5" x14ac:dyDescent="0.25">
      <c r="A1900" s="2" t="s">
        <v>2123</v>
      </c>
      <c r="B1900" s="2" t="s">
        <v>585</v>
      </c>
      <c r="C1900" s="2">
        <v>6</v>
      </c>
      <c r="D1900" t="str">
        <f t="shared" si="29"/>
        <v>CA-2015-112305_OFF-AR-10002067</v>
      </c>
      <c r="E1900" t="str">
        <f>IF(COUNTIF(data1!$D:$D,D1900)=0,"Missing in Data1","Present")</f>
        <v>Present</v>
      </c>
    </row>
    <row r="1901" spans="1:5" x14ac:dyDescent="0.25">
      <c r="A1901" s="2" t="s">
        <v>2123</v>
      </c>
      <c r="B1901" s="2" t="s">
        <v>2124</v>
      </c>
      <c r="C1901" s="2">
        <v>2</v>
      </c>
      <c r="D1901" t="str">
        <f t="shared" si="29"/>
        <v>CA-2015-112305_TEC-AC-10002018</v>
      </c>
      <c r="E1901" t="str">
        <f>IF(COUNTIF(data1!$D:$D,D1901)=0,"Missing in Data1","Present")</f>
        <v>Present</v>
      </c>
    </row>
    <row r="1902" spans="1:5" x14ac:dyDescent="0.25">
      <c r="A1902" s="2" t="s">
        <v>2125</v>
      </c>
      <c r="B1902" s="2" t="s">
        <v>1737</v>
      </c>
      <c r="C1902" s="2">
        <v>9</v>
      </c>
      <c r="D1902" t="str">
        <f t="shared" si="29"/>
        <v>CA-2015-112319_OFF-PA-10003441</v>
      </c>
      <c r="E1902" t="str">
        <f>IF(COUNTIF(data1!$D:$D,D1902)=0,"Missing in Data1","Present")</f>
        <v>Present</v>
      </c>
    </row>
    <row r="1903" spans="1:5" x14ac:dyDescent="0.25">
      <c r="A1903" s="2" t="s">
        <v>2126</v>
      </c>
      <c r="B1903" s="2" t="s">
        <v>2127</v>
      </c>
      <c r="C1903" s="2">
        <v>2</v>
      </c>
      <c r="D1903" t="str">
        <f t="shared" si="29"/>
        <v>CA-2015-112375_OFF-EN-10003798</v>
      </c>
      <c r="E1903" t="str">
        <f>IF(COUNTIF(data1!$D:$D,D1903)=0,"Missing in Data1","Present")</f>
        <v>Present</v>
      </c>
    </row>
    <row r="1904" spans="1:5" x14ac:dyDescent="0.25">
      <c r="A1904" s="2" t="s">
        <v>2126</v>
      </c>
      <c r="B1904" s="2" t="s">
        <v>2128</v>
      </c>
      <c r="C1904" s="2">
        <v>6</v>
      </c>
      <c r="D1904" t="str">
        <f t="shared" si="29"/>
        <v>CA-2015-112375_TEC-AC-10003237</v>
      </c>
      <c r="E1904" t="str">
        <f>IF(COUNTIF(data1!$D:$D,D1904)=0,"Missing in Data1","Present")</f>
        <v>Present</v>
      </c>
    </row>
    <row r="1905" spans="1:5" x14ac:dyDescent="0.25">
      <c r="A1905" s="2" t="s">
        <v>2129</v>
      </c>
      <c r="B1905" s="2" t="s">
        <v>2130</v>
      </c>
      <c r="C1905" s="2">
        <v>2</v>
      </c>
      <c r="D1905" t="str">
        <f t="shared" si="29"/>
        <v>CA-2015-112452_OFF-AP-10003849</v>
      </c>
      <c r="E1905" t="str">
        <f>IF(COUNTIF(data1!$D:$D,D1905)=0,"Missing in Data1","Present")</f>
        <v>Present</v>
      </c>
    </row>
    <row r="1906" spans="1:5" x14ac:dyDescent="0.25">
      <c r="A1906" s="2" t="s">
        <v>2129</v>
      </c>
      <c r="B1906" s="2" t="s">
        <v>413</v>
      </c>
      <c r="C1906" s="2">
        <v>2</v>
      </c>
      <c r="D1906" t="str">
        <f t="shared" si="29"/>
        <v>CA-2015-112452_OFF-BI-10003350</v>
      </c>
      <c r="E1906" t="str">
        <f>IF(COUNTIF(data1!$D:$D,D1906)=0,"Missing in Data1","Present")</f>
        <v>Present</v>
      </c>
    </row>
    <row r="1907" spans="1:5" x14ac:dyDescent="0.25">
      <c r="A1907" s="2" t="s">
        <v>2129</v>
      </c>
      <c r="B1907" s="2" t="s">
        <v>761</v>
      </c>
      <c r="C1907" s="2">
        <v>2</v>
      </c>
      <c r="D1907" t="str">
        <f t="shared" si="29"/>
        <v>CA-2015-112452_TEC-CO-10004202</v>
      </c>
      <c r="E1907" t="str">
        <f>IF(COUNTIF(data1!$D:$D,D1907)=0,"Missing in Data1","Present")</f>
        <v>Present</v>
      </c>
    </row>
    <row r="1908" spans="1:5" x14ac:dyDescent="0.25">
      <c r="A1908" s="2" t="s">
        <v>2129</v>
      </c>
      <c r="B1908" s="2" t="s">
        <v>2131</v>
      </c>
      <c r="C1908" s="2">
        <v>1</v>
      </c>
      <c r="D1908" t="str">
        <f t="shared" si="29"/>
        <v>CA-2015-112452_TEC-PH-10000307</v>
      </c>
      <c r="E1908" t="str">
        <f>IF(COUNTIF(data1!$D:$D,D1908)=0,"Missing in Data1","Present")</f>
        <v>Present</v>
      </c>
    </row>
    <row r="1909" spans="1:5" x14ac:dyDescent="0.25">
      <c r="A1909" s="2" t="s">
        <v>2132</v>
      </c>
      <c r="B1909" s="2" t="s">
        <v>1319</v>
      </c>
      <c r="C1909" s="2">
        <v>3</v>
      </c>
      <c r="D1909" t="str">
        <f t="shared" si="29"/>
        <v>CA-2015-112522_OFF-AR-10003183</v>
      </c>
      <c r="E1909" t="str">
        <f>IF(COUNTIF(data1!$D:$D,D1909)=0,"Missing in Data1","Present")</f>
        <v>Present</v>
      </c>
    </row>
    <row r="1910" spans="1:5" x14ac:dyDescent="0.25">
      <c r="A1910" s="2" t="s">
        <v>2133</v>
      </c>
      <c r="B1910" s="2" t="s">
        <v>1787</v>
      </c>
      <c r="C1910" s="2">
        <v>3</v>
      </c>
      <c r="D1910" t="str">
        <f t="shared" si="29"/>
        <v>CA-2015-112557_OFF-AP-10002311</v>
      </c>
      <c r="E1910" t="str">
        <f>IF(COUNTIF(data1!$D:$D,D1910)=0,"Missing in Data1","Present")</f>
        <v>Present</v>
      </c>
    </row>
    <row r="1911" spans="1:5" x14ac:dyDescent="0.25">
      <c r="A1911" s="2" t="s">
        <v>2134</v>
      </c>
      <c r="B1911" s="2" t="s">
        <v>1357</v>
      </c>
      <c r="C1911" s="2">
        <v>2</v>
      </c>
      <c r="D1911" t="str">
        <f t="shared" si="29"/>
        <v>CA-2015-112571_FUR-FU-10004188</v>
      </c>
      <c r="E1911" t="str">
        <f>IF(COUNTIF(data1!$D:$D,D1911)=0,"Missing in Data1","Present")</f>
        <v>Present</v>
      </c>
    </row>
    <row r="1912" spans="1:5" x14ac:dyDescent="0.25">
      <c r="A1912" s="2" t="s">
        <v>2135</v>
      </c>
      <c r="B1912" s="2" t="s">
        <v>1633</v>
      </c>
      <c r="C1912" s="2">
        <v>4</v>
      </c>
      <c r="D1912" t="str">
        <f t="shared" si="29"/>
        <v>CA-2015-112711_TEC-PH-10000526</v>
      </c>
      <c r="E1912" t="str">
        <f>IF(COUNTIF(data1!$D:$D,D1912)=0,"Missing in Data1","Present")</f>
        <v>Present</v>
      </c>
    </row>
    <row r="1913" spans="1:5" x14ac:dyDescent="0.25">
      <c r="A1913" s="2" t="s">
        <v>2136</v>
      </c>
      <c r="B1913" s="2" t="s">
        <v>1744</v>
      </c>
      <c r="C1913" s="2">
        <v>4</v>
      </c>
      <c r="D1913" t="str">
        <f t="shared" si="29"/>
        <v>CA-2015-112767_FUR-TA-10003469</v>
      </c>
      <c r="E1913" t="str">
        <f>IF(COUNTIF(data1!$D:$D,D1913)=0,"Missing in Data1","Present")</f>
        <v>Present</v>
      </c>
    </row>
    <row r="1914" spans="1:5" x14ac:dyDescent="0.25">
      <c r="A1914" s="2" t="s">
        <v>2138</v>
      </c>
      <c r="B1914" s="2" t="s">
        <v>819</v>
      </c>
      <c r="C1914" s="2">
        <v>1</v>
      </c>
      <c r="D1914" t="str">
        <f t="shared" si="29"/>
        <v>CA-2015-113040_OFF-BI-10001249</v>
      </c>
      <c r="E1914" t="str">
        <f>IF(COUNTIF(data1!$D:$D,D1914)=0,"Missing in Data1","Present")</f>
        <v>Present</v>
      </c>
    </row>
    <row r="1915" spans="1:5" x14ac:dyDescent="0.25">
      <c r="A1915" s="2" t="s">
        <v>2139</v>
      </c>
      <c r="B1915" s="2" t="s">
        <v>2140</v>
      </c>
      <c r="C1915" s="2">
        <v>2</v>
      </c>
      <c r="D1915" t="str">
        <f t="shared" si="29"/>
        <v>CA-2015-113110_OFF-BI-10000088</v>
      </c>
      <c r="E1915" t="str">
        <f>IF(COUNTIF(data1!$D:$D,D1915)=0,"Missing in Data1","Present")</f>
        <v>Present</v>
      </c>
    </row>
    <row r="1916" spans="1:5" x14ac:dyDescent="0.25">
      <c r="A1916" s="2" t="s">
        <v>2139</v>
      </c>
      <c r="B1916" s="2" t="s">
        <v>591</v>
      </c>
      <c r="C1916" s="2">
        <v>2</v>
      </c>
      <c r="D1916" t="str">
        <f t="shared" si="29"/>
        <v>CA-2015-113110_OFF-LA-10000240</v>
      </c>
      <c r="E1916" t="str">
        <f>IF(COUNTIF(data1!$D:$D,D1916)=0,"Missing in Data1","Present")</f>
        <v>Present</v>
      </c>
    </row>
    <row r="1917" spans="1:5" x14ac:dyDescent="0.25">
      <c r="A1917" s="2" t="s">
        <v>2139</v>
      </c>
      <c r="B1917" s="2" t="s">
        <v>5108</v>
      </c>
      <c r="C1917" s="2">
        <v>6</v>
      </c>
      <c r="D1917" t="str">
        <f t="shared" si="29"/>
        <v>CA-2015-113110_OFF-PA-10002749</v>
      </c>
      <c r="E1917" t="str">
        <f>IF(COUNTIF(data1!$D:$D,D1917)=0,"Missing in Data1","Present")</f>
        <v>Missing in Data1</v>
      </c>
    </row>
    <row r="1918" spans="1:5" x14ac:dyDescent="0.25">
      <c r="A1918" s="2" t="s">
        <v>2139</v>
      </c>
      <c r="B1918" s="2" t="s">
        <v>2141</v>
      </c>
      <c r="C1918" s="2">
        <v>4</v>
      </c>
      <c r="D1918" t="str">
        <f t="shared" si="29"/>
        <v>CA-2015-113110_OFF-SU-10001165</v>
      </c>
      <c r="E1918" t="str">
        <f>IF(COUNTIF(data1!$D:$D,D1918)=0,"Missing in Data1","Present")</f>
        <v>Present</v>
      </c>
    </row>
    <row r="1919" spans="1:5" x14ac:dyDescent="0.25">
      <c r="A1919" s="2" t="s">
        <v>2142</v>
      </c>
      <c r="B1919" s="2" t="s">
        <v>574</v>
      </c>
      <c r="C1919" s="2">
        <v>5</v>
      </c>
      <c r="D1919" t="str">
        <f t="shared" si="29"/>
        <v>CA-2015-113131_OFF-AR-10003504</v>
      </c>
      <c r="E1919" t="str">
        <f>IF(COUNTIF(data1!$D:$D,D1919)=0,"Missing in Data1","Present")</f>
        <v>Present</v>
      </c>
    </row>
    <row r="1920" spans="1:5" x14ac:dyDescent="0.25">
      <c r="A1920" s="2" t="s">
        <v>2142</v>
      </c>
      <c r="B1920" s="2" t="s">
        <v>1525</v>
      </c>
      <c r="C1920" s="2">
        <v>6</v>
      </c>
      <c r="D1920" t="str">
        <f t="shared" si="29"/>
        <v>CA-2015-113131_OFF-BI-10003196</v>
      </c>
      <c r="E1920" t="str">
        <f>IF(COUNTIF(data1!$D:$D,D1920)=0,"Missing in Data1","Present")</f>
        <v>Present</v>
      </c>
    </row>
    <row r="1921" spans="1:5" x14ac:dyDescent="0.25">
      <c r="A1921" s="2" t="s">
        <v>2142</v>
      </c>
      <c r="B1921" s="2" t="s">
        <v>2143</v>
      </c>
      <c r="C1921" s="2">
        <v>2</v>
      </c>
      <c r="D1921" t="str">
        <f t="shared" si="29"/>
        <v>CA-2015-113131_OFF-EN-10003068</v>
      </c>
      <c r="E1921" t="str">
        <f>IF(COUNTIF(data1!$D:$D,D1921)=0,"Missing in Data1","Present")</f>
        <v>Present</v>
      </c>
    </row>
    <row r="1922" spans="1:5" x14ac:dyDescent="0.25">
      <c r="A1922" s="2" t="s">
        <v>2142</v>
      </c>
      <c r="B1922" s="2" t="s">
        <v>1125</v>
      </c>
      <c r="C1922" s="2">
        <v>1</v>
      </c>
      <c r="D1922" t="str">
        <f t="shared" si="29"/>
        <v>CA-2015-113131_OFF-LA-10003510</v>
      </c>
      <c r="E1922" t="str">
        <f>IF(COUNTIF(data1!$D:$D,D1922)=0,"Missing in Data1","Present")</f>
        <v>Present</v>
      </c>
    </row>
    <row r="1923" spans="1:5" x14ac:dyDescent="0.25">
      <c r="A1923" s="2" t="s">
        <v>2142</v>
      </c>
      <c r="B1923" s="2" t="s">
        <v>2144</v>
      </c>
      <c r="C1923" s="2">
        <v>2</v>
      </c>
      <c r="D1923" t="str">
        <f t="shared" ref="D1923:D1986" si="30">A1923&amp;"_"&amp;B1923</f>
        <v>CA-2015-113131_OFF-ST-10001172</v>
      </c>
      <c r="E1923" t="str">
        <f>IF(COUNTIF(data1!$D:$D,D1923)=0,"Missing in Data1","Present")</f>
        <v>Present</v>
      </c>
    </row>
    <row r="1924" spans="1:5" x14ac:dyDescent="0.25">
      <c r="A1924" s="2" t="s">
        <v>2145</v>
      </c>
      <c r="B1924" s="2" t="s">
        <v>1397</v>
      </c>
      <c r="C1924" s="2">
        <v>5</v>
      </c>
      <c r="D1924" t="str">
        <f t="shared" si="30"/>
        <v>CA-2015-113145_FUR-FU-10000965</v>
      </c>
      <c r="E1924" t="str">
        <f>IF(COUNTIF(data1!$D:$D,D1924)=0,"Missing in Data1","Present")</f>
        <v>Present</v>
      </c>
    </row>
    <row r="1925" spans="1:5" x14ac:dyDescent="0.25">
      <c r="A1925" s="2" t="s">
        <v>2145</v>
      </c>
      <c r="B1925" s="2" t="s">
        <v>129</v>
      </c>
      <c r="C1925" s="2">
        <v>4</v>
      </c>
      <c r="D1925" t="str">
        <f t="shared" si="30"/>
        <v>CA-2015-113145_OFF-PA-10002659</v>
      </c>
      <c r="E1925" t="str">
        <f>IF(COUNTIF(data1!$D:$D,D1925)=0,"Missing in Data1","Present")</f>
        <v>Present</v>
      </c>
    </row>
    <row r="1926" spans="1:5" x14ac:dyDescent="0.25">
      <c r="A1926" s="2" t="s">
        <v>2145</v>
      </c>
      <c r="B1926" s="2" t="s">
        <v>2146</v>
      </c>
      <c r="C1926" s="2">
        <v>7</v>
      </c>
      <c r="D1926" t="str">
        <f t="shared" si="30"/>
        <v>CA-2015-113145_TEC-AC-10001838</v>
      </c>
      <c r="E1926" t="str">
        <f>IF(COUNTIF(data1!$D:$D,D1926)=0,"Missing in Data1","Present")</f>
        <v>Present</v>
      </c>
    </row>
    <row r="1927" spans="1:5" x14ac:dyDescent="0.25">
      <c r="A1927" s="2" t="s">
        <v>2145</v>
      </c>
      <c r="B1927" s="2" t="s">
        <v>1914</v>
      </c>
      <c r="C1927" s="2">
        <v>1</v>
      </c>
      <c r="D1927" t="str">
        <f t="shared" si="30"/>
        <v>CA-2015-113145_TEC-PH-10001527</v>
      </c>
      <c r="E1927" t="str">
        <f>IF(COUNTIF(data1!$D:$D,D1927)=0,"Missing in Data1","Present")</f>
        <v>Present</v>
      </c>
    </row>
    <row r="1928" spans="1:5" x14ac:dyDescent="0.25">
      <c r="A1928" s="2" t="s">
        <v>2145</v>
      </c>
      <c r="B1928" s="2" t="s">
        <v>162</v>
      </c>
      <c r="C1928" s="2">
        <v>4</v>
      </c>
      <c r="D1928" t="str">
        <f t="shared" si="30"/>
        <v>CA-2015-113145_TEC-PH-10002597</v>
      </c>
      <c r="E1928" t="str">
        <f>IF(COUNTIF(data1!$D:$D,D1928)=0,"Missing in Data1","Present")</f>
        <v>Present</v>
      </c>
    </row>
    <row r="1929" spans="1:5" x14ac:dyDescent="0.25">
      <c r="A1929" s="2" t="s">
        <v>2147</v>
      </c>
      <c r="B1929" s="2" t="s">
        <v>1417</v>
      </c>
      <c r="C1929" s="2">
        <v>2</v>
      </c>
      <c r="D1929" t="str">
        <f t="shared" si="30"/>
        <v>CA-2015-113152_FUR-BO-10002613</v>
      </c>
      <c r="E1929" t="str">
        <f>IF(COUNTIF(data1!$D:$D,D1929)=0,"Missing in Data1","Present")</f>
        <v>Present</v>
      </c>
    </row>
    <row r="1930" spans="1:5" x14ac:dyDescent="0.25">
      <c r="A1930" s="2" t="s">
        <v>2147</v>
      </c>
      <c r="B1930" s="2" t="s">
        <v>1053</v>
      </c>
      <c r="C1930" s="2">
        <v>2</v>
      </c>
      <c r="D1930" t="str">
        <f t="shared" si="30"/>
        <v>CA-2015-113152_TEC-AC-10002049</v>
      </c>
      <c r="E1930" t="str">
        <f>IF(COUNTIF(data1!$D:$D,D1930)=0,"Missing in Data1","Present")</f>
        <v>Present</v>
      </c>
    </row>
    <row r="1931" spans="1:5" x14ac:dyDescent="0.25">
      <c r="A1931" s="2" t="s">
        <v>2148</v>
      </c>
      <c r="B1931" s="2" t="s">
        <v>1709</v>
      </c>
      <c r="C1931" s="2">
        <v>3</v>
      </c>
      <c r="D1931" t="str">
        <f t="shared" si="30"/>
        <v>CA-2015-113173_OFF-BI-10004738</v>
      </c>
      <c r="E1931" t="str">
        <f>IF(COUNTIF(data1!$D:$D,D1931)=0,"Missing in Data1","Present")</f>
        <v>Present</v>
      </c>
    </row>
    <row r="1932" spans="1:5" x14ac:dyDescent="0.25">
      <c r="A1932" s="2" t="s">
        <v>2148</v>
      </c>
      <c r="B1932" s="2" t="s">
        <v>2149</v>
      </c>
      <c r="C1932" s="2">
        <v>9</v>
      </c>
      <c r="D1932" t="str">
        <f t="shared" si="30"/>
        <v>CA-2015-113173_OFF-ST-10000604</v>
      </c>
      <c r="E1932" t="str">
        <f>IF(COUNTIF(data1!$D:$D,D1932)=0,"Missing in Data1","Present")</f>
        <v>Present</v>
      </c>
    </row>
    <row r="1933" spans="1:5" x14ac:dyDescent="0.25">
      <c r="A1933" s="2" t="s">
        <v>2148</v>
      </c>
      <c r="B1933" s="2" t="s">
        <v>2150</v>
      </c>
      <c r="C1933" s="2">
        <v>5</v>
      </c>
      <c r="D1933" t="str">
        <f t="shared" si="30"/>
        <v>CA-2015-113173_OFF-SU-10001935</v>
      </c>
      <c r="E1933" t="str">
        <f>IF(COUNTIF(data1!$D:$D,D1933)=0,"Missing in Data1","Present")</f>
        <v>Present</v>
      </c>
    </row>
    <row r="1934" spans="1:5" x14ac:dyDescent="0.25">
      <c r="A1934" s="2" t="s">
        <v>6766</v>
      </c>
      <c r="B1934" s="2" t="s">
        <v>2850</v>
      </c>
      <c r="C1934" s="2">
        <v>3</v>
      </c>
      <c r="D1934" t="str">
        <f t="shared" si="30"/>
        <v>CA-2015-113215_FUR-FU-10002937</v>
      </c>
      <c r="E1934" t="str">
        <f>IF(COUNTIF(data1!$D:$D,D1934)=0,"Missing in Data1","Present")</f>
        <v>Missing in Data1</v>
      </c>
    </row>
    <row r="1935" spans="1:5" x14ac:dyDescent="0.25">
      <c r="A1935" s="2" t="s">
        <v>2151</v>
      </c>
      <c r="B1935" s="2" t="s">
        <v>1605</v>
      </c>
      <c r="C1935" s="2">
        <v>3</v>
      </c>
      <c r="D1935" t="str">
        <f t="shared" si="30"/>
        <v>CA-2015-113222_OFF-BI-10001890</v>
      </c>
      <c r="E1935" t="str">
        <f>IF(COUNTIF(data1!$D:$D,D1935)=0,"Missing in Data1","Present")</f>
        <v>Present</v>
      </c>
    </row>
    <row r="1936" spans="1:5" x14ac:dyDescent="0.25">
      <c r="A1936" s="2" t="s">
        <v>2152</v>
      </c>
      <c r="B1936" s="2" t="s">
        <v>2290</v>
      </c>
      <c r="C1936" s="2">
        <v>6</v>
      </c>
      <c r="D1936" t="str">
        <f t="shared" si="30"/>
        <v>CA-2015-113404_FUR-CH-10003312</v>
      </c>
      <c r="E1936" t="str">
        <f>IF(COUNTIF(data1!$D:$D,D1936)=0,"Missing in Data1","Present")</f>
        <v>Missing in Data1</v>
      </c>
    </row>
    <row r="1937" spans="1:5" x14ac:dyDescent="0.25">
      <c r="A1937" s="2" t="s">
        <v>2154</v>
      </c>
      <c r="B1937" s="2" t="s">
        <v>819</v>
      </c>
      <c r="C1937" s="2">
        <v>4</v>
      </c>
      <c r="D1937" t="str">
        <f t="shared" si="30"/>
        <v>CA-2015-113523_OFF-BI-10001249</v>
      </c>
      <c r="E1937" t="str">
        <f>IF(COUNTIF(data1!$D:$D,D1937)=0,"Missing in Data1","Present")</f>
        <v>Present</v>
      </c>
    </row>
    <row r="1938" spans="1:5" x14ac:dyDescent="0.25">
      <c r="A1938" s="2" t="s">
        <v>2155</v>
      </c>
      <c r="B1938" s="2" t="s">
        <v>1766</v>
      </c>
      <c r="C1938" s="2">
        <v>5</v>
      </c>
      <c r="D1938" t="str">
        <f t="shared" si="30"/>
        <v>CA-2015-113628_FUR-CH-10003298</v>
      </c>
      <c r="E1938" t="str">
        <f>IF(COUNTIF(data1!$D:$D,D1938)=0,"Missing in Data1","Present")</f>
        <v>Present</v>
      </c>
    </row>
    <row r="1939" spans="1:5" x14ac:dyDescent="0.25">
      <c r="A1939" s="2" t="s">
        <v>2155</v>
      </c>
      <c r="B1939" s="2" t="s">
        <v>1554</v>
      </c>
      <c r="C1939" s="2">
        <v>3</v>
      </c>
      <c r="D1939" t="str">
        <f t="shared" si="30"/>
        <v>CA-2015-113628_FUR-CH-10004477</v>
      </c>
      <c r="E1939" t="str">
        <f>IF(COUNTIF(data1!$D:$D,D1939)=0,"Missing in Data1","Present")</f>
        <v>Present</v>
      </c>
    </row>
    <row r="1940" spans="1:5" x14ac:dyDescent="0.25">
      <c r="A1940" s="2" t="s">
        <v>2155</v>
      </c>
      <c r="B1940" s="2" t="s">
        <v>2156</v>
      </c>
      <c r="C1940" s="2">
        <v>5</v>
      </c>
      <c r="D1940" t="str">
        <f t="shared" si="30"/>
        <v>CA-2015-113628_OFF-AR-10001246</v>
      </c>
      <c r="E1940" t="str">
        <f>IF(COUNTIF(data1!$D:$D,D1940)=0,"Missing in Data1","Present")</f>
        <v>Present</v>
      </c>
    </row>
    <row r="1941" spans="1:5" x14ac:dyDescent="0.25">
      <c r="A1941" s="2" t="s">
        <v>2155</v>
      </c>
      <c r="B1941" s="2" t="s">
        <v>256</v>
      </c>
      <c r="C1941" s="2">
        <v>3</v>
      </c>
      <c r="D1941" t="str">
        <f t="shared" si="30"/>
        <v>CA-2015-113628_OFF-BI-10002799</v>
      </c>
      <c r="E1941" t="str">
        <f>IF(COUNTIF(data1!$D:$D,D1941)=0,"Missing in Data1","Present")</f>
        <v>Present</v>
      </c>
    </row>
    <row r="1942" spans="1:5" x14ac:dyDescent="0.25">
      <c r="A1942" s="2" t="s">
        <v>2155</v>
      </c>
      <c r="B1942" s="2" t="s">
        <v>485</v>
      </c>
      <c r="C1942" s="2">
        <v>2</v>
      </c>
      <c r="D1942" t="str">
        <f t="shared" si="30"/>
        <v>CA-2015-113628_OFF-BI-10003291</v>
      </c>
      <c r="E1942" t="str">
        <f>IF(COUNTIF(data1!$D:$D,D1942)=0,"Missing in Data1","Present")</f>
        <v>Present</v>
      </c>
    </row>
    <row r="1943" spans="1:5" x14ac:dyDescent="0.25">
      <c r="A1943" s="2" t="s">
        <v>2155</v>
      </c>
      <c r="B1943" s="2" t="s">
        <v>1316</v>
      </c>
      <c r="C1943" s="2">
        <v>1</v>
      </c>
      <c r="D1943" t="str">
        <f t="shared" si="30"/>
        <v>CA-2015-113628_TEC-PH-10000441</v>
      </c>
      <c r="E1943" t="str">
        <f>IF(COUNTIF(data1!$D:$D,D1943)=0,"Missing in Data1","Present")</f>
        <v>Present</v>
      </c>
    </row>
    <row r="1944" spans="1:5" x14ac:dyDescent="0.25">
      <c r="A1944" s="2" t="s">
        <v>2158</v>
      </c>
      <c r="B1944" s="2" t="s">
        <v>819</v>
      </c>
      <c r="C1944" s="2">
        <v>6</v>
      </c>
      <c r="D1944" t="str">
        <f t="shared" si="30"/>
        <v>CA-2015-113901_OFF-BI-10001249</v>
      </c>
      <c r="E1944" t="str">
        <f>IF(COUNTIF(data1!$D:$D,D1944)=0,"Missing in Data1","Present")</f>
        <v>Present</v>
      </c>
    </row>
    <row r="1945" spans="1:5" x14ac:dyDescent="0.25">
      <c r="A1945" s="2" t="s">
        <v>2158</v>
      </c>
      <c r="B1945" s="2" t="s">
        <v>2159</v>
      </c>
      <c r="C1945" s="2">
        <v>5</v>
      </c>
      <c r="D1945" t="str">
        <f t="shared" si="30"/>
        <v>CA-2015-113901_TEC-PH-10002564</v>
      </c>
      <c r="E1945" t="str">
        <f>IF(COUNTIF(data1!$D:$D,D1945)=0,"Missing in Data1","Present")</f>
        <v>Present</v>
      </c>
    </row>
    <row r="1946" spans="1:5" x14ac:dyDescent="0.25">
      <c r="A1946" s="2" t="s">
        <v>2160</v>
      </c>
      <c r="B1946" s="2" t="s">
        <v>240</v>
      </c>
      <c r="C1946" s="2">
        <v>6</v>
      </c>
      <c r="D1946" t="str">
        <f t="shared" si="30"/>
        <v>CA-2015-113971_FUR-FU-10001852</v>
      </c>
      <c r="E1946" t="str">
        <f>IF(COUNTIF(data1!$D:$D,D1946)=0,"Missing in Data1","Present")</f>
        <v>Present</v>
      </c>
    </row>
    <row r="1947" spans="1:5" x14ac:dyDescent="0.25">
      <c r="A1947" s="2" t="s">
        <v>2161</v>
      </c>
      <c r="B1947" s="2" t="s">
        <v>1293</v>
      </c>
      <c r="C1947" s="2">
        <v>3</v>
      </c>
      <c r="D1947" t="str">
        <f t="shared" si="30"/>
        <v>CA-2015-114048_FUR-FU-10004351</v>
      </c>
      <c r="E1947" t="str">
        <f>IF(COUNTIF(data1!$D:$D,D1947)=0,"Missing in Data1","Present")</f>
        <v>Present</v>
      </c>
    </row>
    <row r="1948" spans="1:5" x14ac:dyDescent="0.25">
      <c r="A1948" s="2" t="s">
        <v>2162</v>
      </c>
      <c r="B1948" s="2" t="s">
        <v>1520</v>
      </c>
      <c r="C1948" s="2">
        <v>9</v>
      </c>
      <c r="D1948" t="str">
        <f t="shared" si="30"/>
        <v>CA-2015-114069_FUR-CH-10000595</v>
      </c>
      <c r="E1948" t="str">
        <f>IF(COUNTIF(data1!$D:$D,D1948)=0,"Missing in Data1","Present")</f>
        <v>Present</v>
      </c>
    </row>
    <row r="1949" spans="1:5" x14ac:dyDescent="0.25">
      <c r="A1949" s="2" t="s">
        <v>2162</v>
      </c>
      <c r="B1949" s="2" t="s">
        <v>152</v>
      </c>
      <c r="C1949" s="2">
        <v>2</v>
      </c>
      <c r="D1949" t="str">
        <f t="shared" si="30"/>
        <v>CA-2015-114069_OFF-BI-10000320</v>
      </c>
      <c r="E1949" t="str">
        <f>IF(COUNTIF(data1!$D:$D,D1949)=0,"Missing in Data1","Present")</f>
        <v>Present</v>
      </c>
    </row>
    <row r="1950" spans="1:5" x14ac:dyDescent="0.25">
      <c r="A1950" s="2" t="s">
        <v>2162</v>
      </c>
      <c r="B1950" s="2" t="s">
        <v>1140</v>
      </c>
      <c r="C1950" s="2">
        <v>2</v>
      </c>
      <c r="D1950" t="str">
        <f t="shared" si="30"/>
        <v>CA-2015-114069_OFF-PA-10000349</v>
      </c>
      <c r="E1950" t="str">
        <f>IF(COUNTIF(data1!$D:$D,D1950)=0,"Missing in Data1","Present")</f>
        <v>Present</v>
      </c>
    </row>
    <row r="1951" spans="1:5" x14ac:dyDescent="0.25">
      <c r="A1951" s="2" t="s">
        <v>6767</v>
      </c>
      <c r="B1951" s="2" t="s">
        <v>1792</v>
      </c>
      <c r="C1951" s="2">
        <v>2</v>
      </c>
      <c r="D1951" t="str">
        <f t="shared" si="30"/>
        <v>CA-2015-114237_FUR-BO-10004409</v>
      </c>
      <c r="E1951" t="str">
        <f>IF(COUNTIF(data1!$D:$D,D1951)=0,"Missing in Data1","Present")</f>
        <v>Missing in Data1</v>
      </c>
    </row>
    <row r="1952" spans="1:5" x14ac:dyDescent="0.25">
      <c r="A1952" s="2" t="s">
        <v>2163</v>
      </c>
      <c r="B1952" s="2" t="s">
        <v>415</v>
      </c>
      <c r="C1952" s="2">
        <v>3</v>
      </c>
      <c r="D1952" t="str">
        <f t="shared" si="30"/>
        <v>CA-2015-114300_FUR-CH-10001891</v>
      </c>
      <c r="E1952" t="str">
        <f>IF(COUNTIF(data1!$D:$D,D1952)=0,"Missing in Data1","Present")</f>
        <v>Present</v>
      </c>
    </row>
    <row r="1953" spans="1:5" x14ac:dyDescent="0.25">
      <c r="A1953" s="2" t="s">
        <v>2163</v>
      </c>
      <c r="B1953" s="2" t="s">
        <v>924</v>
      </c>
      <c r="C1953" s="2">
        <v>7</v>
      </c>
      <c r="D1953" t="str">
        <f t="shared" si="30"/>
        <v>CA-2015-114300_TEC-PH-10001552</v>
      </c>
      <c r="E1953" t="str">
        <f>IF(COUNTIF(data1!$D:$D,D1953)=0,"Missing in Data1","Present")</f>
        <v>Missing in Data1</v>
      </c>
    </row>
    <row r="1954" spans="1:5" x14ac:dyDescent="0.25">
      <c r="A1954" s="2" t="s">
        <v>2164</v>
      </c>
      <c r="B1954" s="2" t="s">
        <v>1221</v>
      </c>
      <c r="C1954" s="2">
        <v>2</v>
      </c>
      <c r="D1954" t="str">
        <f t="shared" si="30"/>
        <v>CA-2015-114468_OFF-AP-10000696</v>
      </c>
      <c r="E1954" t="str">
        <f>IF(COUNTIF(data1!$D:$D,D1954)=0,"Missing in Data1","Present")</f>
        <v>Present</v>
      </c>
    </row>
    <row r="1955" spans="1:5" x14ac:dyDescent="0.25">
      <c r="A1955" s="2" t="s">
        <v>2164</v>
      </c>
      <c r="B1955" s="2" t="s">
        <v>96</v>
      </c>
      <c r="C1955" s="2">
        <v>8</v>
      </c>
      <c r="D1955" t="str">
        <f t="shared" si="30"/>
        <v>CA-2015-114468_OFF-FA-10003021</v>
      </c>
      <c r="E1955" t="str">
        <f>IF(COUNTIF(data1!$D:$D,D1955)=0,"Missing in Data1","Present")</f>
        <v>Present</v>
      </c>
    </row>
    <row r="1956" spans="1:5" x14ac:dyDescent="0.25">
      <c r="A1956" s="2" t="s">
        <v>2164</v>
      </c>
      <c r="B1956" s="2" t="s">
        <v>2165</v>
      </c>
      <c r="C1956" s="2">
        <v>2</v>
      </c>
      <c r="D1956" t="str">
        <f t="shared" si="30"/>
        <v>CA-2015-114468_OFF-PA-10000809</v>
      </c>
      <c r="E1956" t="str">
        <f>IF(COUNTIF(data1!$D:$D,D1956)=0,"Missing in Data1","Present")</f>
        <v>Present</v>
      </c>
    </row>
    <row r="1957" spans="1:5" x14ac:dyDescent="0.25">
      <c r="A1957" s="2" t="s">
        <v>2164</v>
      </c>
      <c r="B1957" s="2" t="s">
        <v>2166</v>
      </c>
      <c r="C1957" s="2">
        <v>4</v>
      </c>
      <c r="D1957" t="str">
        <f t="shared" si="30"/>
        <v>CA-2015-114468_OFF-SU-10004231</v>
      </c>
      <c r="E1957" t="str">
        <f>IF(COUNTIF(data1!$D:$D,D1957)=0,"Missing in Data1","Present")</f>
        <v>Present</v>
      </c>
    </row>
    <row r="1958" spans="1:5" x14ac:dyDescent="0.25">
      <c r="A1958" s="2" t="s">
        <v>2167</v>
      </c>
      <c r="B1958" s="2" t="s">
        <v>2168</v>
      </c>
      <c r="C1958" s="2">
        <v>6</v>
      </c>
      <c r="D1958" t="str">
        <f t="shared" si="30"/>
        <v>CA-2015-114503_OFF-ST-10003572</v>
      </c>
      <c r="E1958" t="str">
        <f>IF(COUNTIF(data1!$D:$D,D1958)=0,"Missing in Data1","Present")</f>
        <v>Present</v>
      </c>
    </row>
    <row r="1959" spans="1:5" x14ac:dyDescent="0.25">
      <c r="A1959" s="2" t="s">
        <v>2169</v>
      </c>
      <c r="B1959" s="2" t="s">
        <v>2170</v>
      </c>
      <c r="C1959" s="2">
        <v>2</v>
      </c>
      <c r="D1959" t="str">
        <f t="shared" si="30"/>
        <v>CA-2015-114811_FUR-CH-10003746</v>
      </c>
      <c r="E1959" t="str">
        <f>IF(COUNTIF(data1!$D:$D,D1959)=0,"Missing in Data1","Present")</f>
        <v>Present</v>
      </c>
    </row>
    <row r="1960" spans="1:5" x14ac:dyDescent="0.25">
      <c r="A1960" s="2" t="s">
        <v>2169</v>
      </c>
      <c r="B1960" s="2" t="s">
        <v>2171</v>
      </c>
      <c r="C1960" s="2">
        <v>3</v>
      </c>
      <c r="D1960" t="str">
        <f t="shared" si="30"/>
        <v>CA-2015-114811_FUR-FU-10002240</v>
      </c>
      <c r="E1960" t="str">
        <f>IF(COUNTIF(data1!$D:$D,D1960)=0,"Missing in Data1","Present")</f>
        <v>Present</v>
      </c>
    </row>
    <row r="1961" spans="1:5" x14ac:dyDescent="0.25">
      <c r="A1961" s="2" t="s">
        <v>2169</v>
      </c>
      <c r="B1961" s="2" t="s">
        <v>1229</v>
      </c>
      <c r="C1961" s="2">
        <v>5</v>
      </c>
      <c r="D1961" t="str">
        <f t="shared" si="30"/>
        <v>CA-2015-114811_OFF-ST-10000885</v>
      </c>
      <c r="E1961" t="str">
        <f>IF(COUNTIF(data1!$D:$D,D1961)=0,"Missing in Data1","Present")</f>
        <v>Present</v>
      </c>
    </row>
    <row r="1962" spans="1:5" x14ac:dyDescent="0.25">
      <c r="A1962" s="2" t="s">
        <v>2169</v>
      </c>
      <c r="B1962" s="2" t="s">
        <v>6768</v>
      </c>
      <c r="C1962" s="2">
        <v>4</v>
      </c>
      <c r="D1962" t="str">
        <f t="shared" si="30"/>
        <v>CA-2015-114811_TEC-MA-10000045</v>
      </c>
      <c r="E1962" t="str">
        <f>IF(COUNTIF(data1!$D:$D,D1962)=0,"Missing in Data1","Present")</f>
        <v>Missing in Data1</v>
      </c>
    </row>
    <row r="1963" spans="1:5" x14ac:dyDescent="0.25">
      <c r="A1963" s="2" t="s">
        <v>2169</v>
      </c>
      <c r="B1963" s="2" t="s">
        <v>2074</v>
      </c>
      <c r="C1963" s="2">
        <v>2</v>
      </c>
      <c r="D1963" t="str">
        <f t="shared" si="30"/>
        <v>CA-2015-114811_TEC-PH-10004165</v>
      </c>
      <c r="E1963" t="str">
        <f>IF(COUNTIF(data1!$D:$D,D1963)=0,"Missing in Data1","Present")</f>
        <v>Present</v>
      </c>
    </row>
    <row r="1964" spans="1:5" x14ac:dyDescent="0.25">
      <c r="A1964" s="2" t="s">
        <v>2172</v>
      </c>
      <c r="B1964" s="2" t="s">
        <v>1192</v>
      </c>
      <c r="C1964" s="2">
        <v>3</v>
      </c>
      <c r="D1964" t="str">
        <f t="shared" si="30"/>
        <v>CA-2015-114923_TEC-PH-10003931</v>
      </c>
      <c r="E1964" t="str">
        <f>IF(COUNTIF(data1!$D:$D,D1964)=0,"Missing in Data1","Present")</f>
        <v>Present</v>
      </c>
    </row>
    <row r="1965" spans="1:5" x14ac:dyDescent="0.25">
      <c r="A1965" s="2" t="s">
        <v>2173</v>
      </c>
      <c r="B1965" s="2" t="s">
        <v>1221</v>
      </c>
      <c r="C1965" s="2">
        <v>2</v>
      </c>
      <c r="D1965" t="str">
        <f t="shared" si="30"/>
        <v>CA-2015-115091_OFF-AP-10000696</v>
      </c>
      <c r="E1965" t="str">
        <f>IF(COUNTIF(data1!$D:$D,D1965)=0,"Missing in Data1","Present")</f>
        <v>Present</v>
      </c>
    </row>
    <row r="1966" spans="1:5" x14ac:dyDescent="0.25">
      <c r="A1966" s="2" t="s">
        <v>2173</v>
      </c>
      <c r="B1966" s="2" t="s">
        <v>1917</v>
      </c>
      <c r="C1966" s="2">
        <v>4</v>
      </c>
      <c r="D1966" t="str">
        <f t="shared" si="30"/>
        <v>CA-2015-115091_OFF-AR-10000658</v>
      </c>
      <c r="E1966" t="str">
        <f>IF(COUNTIF(data1!$D:$D,D1966)=0,"Missing in Data1","Present")</f>
        <v>Present</v>
      </c>
    </row>
    <row r="1967" spans="1:5" x14ac:dyDescent="0.25">
      <c r="A1967" s="2" t="s">
        <v>2174</v>
      </c>
      <c r="B1967" s="2" t="s">
        <v>392</v>
      </c>
      <c r="C1967" s="2">
        <v>2</v>
      </c>
      <c r="D1967" t="str">
        <f t="shared" si="30"/>
        <v>CA-2015-115168_OFF-PA-10000528</v>
      </c>
      <c r="E1967" t="str">
        <f>IF(COUNTIF(data1!$D:$D,D1967)=0,"Missing in Data1","Present")</f>
        <v>Present</v>
      </c>
    </row>
    <row r="1968" spans="1:5" x14ac:dyDescent="0.25">
      <c r="A1968" s="2" t="s">
        <v>2175</v>
      </c>
      <c r="B1968" s="2" t="s">
        <v>419</v>
      </c>
      <c r="C1968" s="2">
        <v>5</v>
      </c>
      <c r="D1968" t="str">
        <f t="shared" si="30"/>
        <v>CA-2015-115392_OFF-BI-10000829</v>
      </c>
      <c r="E1968" t="str">
        <f>IF(COUNTIF(data1!$D:$D,D1968)=0,"Missing in Data1","Present")</f>
        <v>Present</v>
      </c>
    </row>
    <row r="1969" spans="1:5" x14ac:dyDescent="0.25">
      <c r="A1969" s="2" t="s">
        <v>2175</v>
      </c>
      <c r="B1969" s="2" t="s">
        <v>2176</v>
      </c>
      <c r="C1969" s="2">
        <v>2</v>
      </c>
      <c r="D1969" t="str">
        <f t="shared" si="30"/>
        <v>CA-2015-115392_TEC-PH-10002496</v>
      </c>
      <c r="E1969" t="str">
        <f>IF(COUNTIF(data1!$D:$D,D1969)=0,"Missing in Data1","Present")</f>
        <v>Present</v>
      </c>
    </row>
    <row r="1970" spans="1:5" x14ac:dyDescent="0.25">
      <c r="A1970" s="2" t="s">
        <v>6769</v>
      </c>
      <c r="B1970" s="2" t="s">
        <v>2339</v>
      </c>
      <c r="C1970" s="2">
        <v>3</v>
      </c>
      <c r="D1970" t="str">
        <f t="shared" si="30"/>
        <v>CA-2015-115399_OFF-LA-10003190</v>
      </c>
      <c r="E1970" t="str">
        <f>IF(COUNTIF(data1!$D:$D,D1970)=0,"Missing in Data1","Present")</f>
        <v>Missing in Data1</v>
      </c>
    </row>
    <row r="1971" spans="1:5" x14ac:dyDescent="0.25">
      <c r="A1971" s="2" t="s">
        <v>2177</v>
      </c>
      <c r="B1971" s="2" t="s">
        <v>2178</v>
      </c>
      <c r="C1971" s="2">
        <v>2</v>
      </c>
      <c r="D1971" t="str">
        <f t="shared" si="30"/>
        <v>CA-2015-115420_OFF-EN-10003862</v>
      </c>
      <c r="E1971" t="str">
        <f>IF(COUNTIF(data1!$D:$D,D1971)=0,"Missing in Data1","Present")</f>
        <v>Present</v>
      </c>
    </row>
    <row r="1972" spans="1:5" x14ac:dyDescent="0.25">
      <c r="A1972" s="2" t="s">
        <v>2179</v>
      </c>
      <c r="B1972" s="2" t="s">
        <v>2180</v>
      </c>
      <c r="C1972" s="2">
        <v>2</v>
      </c>
      <c r="D1972" t="str">
        <f t="shared" si="30"/>
        <v>CA-2015-115511_FUR-BO-10002598</v>
      </c>
      <c r="E1972" t="str">
        <f>IF(COUNTIF(data1!$D:$D,D1972)=0,"Missing in Data1","Present")</f>
        <v>Present</v>
      </c>
    </row>
    <row r="1973" spans="1:5" x14ac:dyDescent="0.25">
      <c r="A1973" s="2" t="s">
        <v>2179</v>
      </c>
      <c r="B1973" s="2" t="s">
        <v>824</v>
      </c>
      <c r="C1973" s="2">
        <v>4</v>
      </c>
      <c r="D1973" t="str">
        <f t="shared" si="30"/>
        <v>CA-2015-115511_OFF-BI-10002225</v>
      </c>
      <c r="E1973" t="str">
        <f>IF(COUNTIF(data1!$D:$D,D1973)=0,"Missing in Data1","Present")</f>
        <v>Present</v>
      </c>
    </row>
    <row r="1974" spans="1:5" x14ac:dyDescent="0.25">
      <c r="A1974" s="2" t="s">
        <v>2181</v>
      </c>
      <c r="B1974" s="2" t="s">
        <v>1430</v>
      </c>
      <c r="C1974" s="2">
        <v>7</v>
      </c>
      <c r="D1974" t="str">
        <f t="shared" si="30"/>
        <v>CA-2015-115567_FUR-CH-10000015</v>
      </c>
      <c r="E1974" t="str">
        <f>IF(COUNTIF(data1!$D:$D,D1974)=0,"Missing in Data1","Present")</f>
        <v>Present</v>
      </c>
    </row>
    <row r="1975" spans="1:5" x14ac:dyDescent="0.25">
      <c r="A1975" s="2" t="s">
        <v>2181</v>
      </c>
      <c r="B1975" s="2" t="s">
        <v>109</v>
      </c>
      <c r="C1975" s="2">
        <v>4</v>
      </c>
      <c r="D1975" t="str">
        <f t="shared" si="30"/>
        <v>CA-2015-115567_TEC-AC-10001314</v>
      </c>
      <c r="E1975" t="str">
        <f>IF(COUNTIF(data1!$D:$D,D1975)=0,"Missing in Data1","Present")</f>
        <v>Present</v>
      </c>
    </row>
    <row r="1976" spans="1:5" x14ac:dyDescent="0.25">
      <c r="A1976" s="2" t="s">
        <v>2182</v>
      </c>
      <c r="B1976" s="2" t="s">
        <v>2183</v>
      </c>
      <c r="C1976" s="2">
        <v>2</v>
      </c>
      <c r="D1976" t="str">
        <f t="shared" si="30"/>
        <v>CA-2015-115693_OFF-AR-10003582</v>
      </c>
      <c r="E1976" t="str">
        <f>IF(COUNTIF(data1!$D:$D,D1976)=0,"Missing in Data1","Present")</f>
        <v>Present</v>
      </c>
    </row>
    <row r="1977" spans="1:5" x14ac:dyDescent="0.25">
      <c r="A1977" s="2" t="s">
        <v>2184</v>
      </c>
      <c r="B1977" s="2" t="s">
        <v>2185</v>
      </c>
      <c r="C1977" s="2">
        <v>1</v>
      </c>
      <c r="D1977" t="str">
        <f t="shared" si="30"/>
        <v>CA-2015-115742_FUR-CH-10003061</v>
      </c>
      <c r="E1977" t="str">
        <f>IF(COUNTIF(data1!$D:$D,D1977)=0,"Missing in Data1","Present")</f>
        <v>Present</v>
      </c>
    </row>
    <row r="1978" spans="1:5" x14ac:dyDescent="0.25">
      <c r="A1978" s="2" t="s">
        <v>2184</v>
      </c>
      <c r="B1978" s="2" t="s">
        <v>456</v>
      </c>
      <c r="C1978" s="2">
        <v>2</v>
      </c>
      <c r="D1978" t="str">
        <f t="shared" si="30"/>
        <v>CA-2015-115742_FUR-FU-10001706</v>
      </c>
      <c r="E1978" t="str">
        <f>IF(COUNTIF(data1!$D:$D,D1978)=0,"Missing in Data1","Present")</f>
        <v>Present</v>
      </c>
    </row>
    <row r="1979" spans="1:5" x14ac:dyDescent="0.25">
      <c r="A1979" s="2" t="s">
        <v>2184</v>
      </c>
      <c r="B1979" s="2" t="s">
        <v>2186</v>
      </c>
      <c r="C1979" s="2">
        <v>6</v>
      </c>
      <c r="D1979" t="str">
        <f t="shared" si="30"/>
        <v>CA-2015-115742_OFF-BI-10004410</v>
      </c>
      <c r="E1979" t="str">
        <f>IF(COUNTIF(data1!$D:$D,D1979)=0,"Missing in Data1","Present")</f>
        <v>Present</v>
      </c>
    </row>
    <row r="1980" spans="1:5" x14ac:dyDescent="0.25">
      <c r="A1980" s="2" t="s">
        <v>2184</v>
      </c>
      <c r="B1980" s="2" t="s">
        <v>557</v>
      </c>
      <c r="C1980" s="2">
        <v>6</v>
      </c>
      <c r="D1980" t="str">
        <f t="shared" si="30"/>
        <v>CA-2015-115742_OFF-LA-10002762</v>
      </c>
      <c r="E1980" t="str">
        <f>IF(COUNTIF(data1!$D:$D,D1980)=0,"Missing in Data1","Present")</f>
        <v>Present</v>
      </c>
    </row>
    <row r="1981" spans="1:5" x14ac:dyDescent="0.25">
      <c r="A1981" s="2" t="s">
        <v>2187</v>
      </c>
      <c r="B1981" s="2" t="s">
        <v>489</v>
      </c>
      <c r="C1981" s="2">
        <v>3</v>
      </c>
      <c r="D1981" t="str">
        <f t="shared" si="30"/>
        <v>CA-2015-115798_FUR-BO-10004467</v>
      </c>
      <c r="E1981" t="str">
        <f>IF(COUNTIF(data1!$D:$D,D1981)=0,"Missing in Data1","Present")</f>
        <v>Present</v>
      </c>
    </row>
    <row r="1982" spans="1:5" x14ac:dyDescent="0.25">
      <c r="A1982" s="2" t="s">
        <v>2187</v>
      </c>
      <c r="B1982" s="2" t="s">
        <v>861</v>
      </c>
      <c r="C1982" s="2">
        <v>7</v>
      </c>
      <c r="D1982" t="str">
        <f t="shared" si="30"/>
        <v>CA-2015-115798_OFF-PA-10001560</v>
      </c>
      <c r="E1982" t="str">
        <f>IF(COUNTIF(data1!$D:$D,D1982)=0,"Missing in Data1","Present")</f>
        <v>Present</v>
      </c>
    </row>
    <row r="1983" spans="1:5" x14ac:dyDescent="0.25">
      <c r="A1983" s="2" t="s">
        <v>2187</v>
      </c>
      <c r="B1983" s="2" t="s">
        <v>1647</v>
      </c>
      <c r="C1983" s="2">
        <v>2</v>
      </c>
      <c r="D1983" t="str">
        <f t="shared" si="30"/>
        <v>CA-2015-115798_TEC-PH-10001819</v>
      </c>
      <c r="E1983" t="str">
        <f>IF(COUNTIF(data1!$D:$D,D1983)=0,"Missing in Data1","Present")</f>
        <v>Missing in Data1</v>
      </c>
    </row>
    <row r="1984" spans="1:5" x14ac:dyDescent="0.25">
      <c r="A1984" s="2" t="s">
        <v>2187</v>
      </c>
      <c r="B1984" s="2" t="s">
        <v>350</v>
      </c>
      <c r="C1984" s="2">
        <v>3</v>
      </c>
      <c r="D1984" t="str">
        <f t="shared" si="30"/>
        <v>CA-2015-115798_TEC-PH-10003691</v>
      </c>
      <c r="E1984" t="str">
        <f>IF(COUNTIF(data1!$D:$D,D1984)=0,"Missing in Data1","Present")</f>
        <v>Present</v>
      </c>
    </row>
    <row r="1985" spans="1:5" x14ac:dyDescent="0.25">
      <c r="A1985" s="2" t="s">
        <v>2188</v>
      </c>
      <c r="B1985" s="2" t="s">
        <v>1403</v>
      </c>
      <c r="C1985" s="2">
        <v>2</v>
      </c>
      <c r="D1985" t="str">
        <f t="shared" si="30"/>
        <v>CA-2015-115847_FUR-BO-10003433</v>
      </c>
      <c r="E1985" t="str">
        <f>IF(COUNTIF(data1!$D:$D,D1985)=0,"Missing in Data1","Present")</f>
        <v>Present</v>
      </c>
    </row>
    <row r="1986" spans="1:5" x14ac:dyDescent="0.25">
      <c r="A1986" s="2" t="s">
        <v>6770</v>
      </c>
      <c r="B1986" s="2" t="s">
        <v>2891</v>
      </c>
      <c r="C1986" s="2">
        <v>5</v>
      </c>
      <c r="D1986" t="str">
        <f t="shared" si="30"/>
        <v>CA-2015-115924_OFF-BI-10004040</v>
      </c>
      <c r="E1986" t="str">
        <f>IF(COUNTIF(data1!$D:$D,D1986)=0,"Missing in Data1","Present")</f>
        <v>Missing in Data1</v>
      </c>
    </row>
    <row r="1987" spans="1:5" x14ac:dyDescent="0.25">
      <c r="A1987" s="2" t="s">
        <v>2189</v>
      </c>
      <c r="B1987" s="2" t="s">
        <v>2190</v>
      </c>
      <c r="C1987" s="2">
        <v>3</v>
      </c>
      <c r="D1987" t="str">
        <f t="shared" ref="D1987:D2050" si="31">A1987&amp;"_"&amp;B1987</f>
        <v>CA-2015-115938_FUR-CH-10003199</v>
      </c>
      <c r="E1987" t="str">
        <f>IF(COUNTIF(data1!$D:$D,D1987)=0,"Missing in Data1","Present")</f>
        <v>Present</v>
      </c>
    </row>
    <row r="1988" spans="1:5" x14ac:dyDescent="0.25">
      <c r="A1988" s="2" t="s">
        <v>2189</v>
      </c>
      <c r="B1988" s="2" t="s">
        <v>930</v>
      </c>
      <c r="C1988" s="2">
        <v>8</v>
      </c>
      <c r="D1988" t="str">
        <f t="shared" si="31"/>
        <v>CA-2015-115938_OFF-BI-10001132</v>
      </c>
      <c r="E1988" t="str">
        <f>IF(COUNTIF(data1!$D:$D,D1988)=0,"Missing in Data1","Present")</f>
        <v>Present</v>
      </c>
    </row>
    <row r="1989" spans="1:5" x14ac:dyDescent="0.25">
      <c r="A1989" s="2" t="s">
        <v>2189</v>
      </c>
      <c r="B1989" s="2" t="s">
        <v>1413</v>
      </c>
      <c r="C1989" s="2">
        <v>4</v>
      </c>
      <c r="D1989" t="str">
        <f t="shared" si="31"/>
        <v>CA-2015-115938_OFF-BI-10001543</v>
      </c>
      <c r="E1989" t="str">
        <f>IF(COUNTIF(data1!$D:$D,D1989)=0,"Missing in Data1","Present")</f>
        <v>Present</v>
      </c>
    </row>
    <row r="1990" spans="1:5" x14ac:dyDescent="0.25">
      <c r="A1990" s="2" t="s">
        <v>2189</v>
      </c>
      <c r="B1990" s="2" t="s">
        <v>269</v>
      </c>
      <c r="C1990" s="2">
        <v>1</v>
      </c>
      <c r="D1990" t="str">
        <f t="shared" si="31"/>
        <v>CA-2015-115938_OFF-ST-10001321</v>
      </c>
      <c r="E1990" t="str">
        <f>IF(COUNTIF(data1!$D:$D,D1990)=0,"Missing in Data1","Present")</f>
        <v>Missing in Data1</v>
      </c>
    </row>
    <row r="1991" spans="1:5" x14ac:dyDescent="0.25">
      <c r="A1991" s="2" t="s">
        <v>2191</v>
      </c>
      <c r="B1991" s="2" t="s">
        <v>2192</v>
      </c>
      <c r="C1991" s="2">
        <v>2</v>
      </c>
      <c r="D1991" t="str">
        <f t="shared" si="31"/>
        <v>CA-2015-115945_OFF-AR-10004062</v>
      </c>
      <c r="E1991" t="str">
        <f>IF(COUNTIF(data1!$D:$D,D1991)=0,"Missing in Data1","Present")</f>
        <v>Present</v>
      </c>
    </row>
    <row r="1992" spans="1:5" x14ac:dyDescent="0.25">
      <c r="A1992" s="2" t="s">
        <v>2191</v>
      </c>
      <c r="B1992" s="2" t="s">
        <v>2193</v>
      </c>
      <c r="C1992" s="2">
        <v>3</v>
      </c>
      <c r="D1992" t="str">
        <f t="shared" si="31"/>
        <v>CA-2015-115945_OFF-BI-10004330</v>
      </c>
      <c r="E1992" t="str">
        <f>IF(COUNTIF(data1!$D:$D,D1992)=0,"Missing in Data1","Present")</f>
        <v>Present</v>
      </c>
    </row>
    <row r="1993" spans="1:5" x14ac:dyDescent="0.25">
      <c r="A1993" s="2" t="s">
        <v>2191</v>
      </c>
      <c r="B1993" s="2" t="s">
        <v>251</v>
      </c>
      <c r="C1993" s="2">
        <v>3</v>
      </c>
      <c r="D1993" t="str">
        <f t="shared" si="31"/>
        <v>CA-2015-115945_OFF-ST-10001963</v>
      </c>
      <c r="E1993" t="str">
        <f>IF(COUNTIF(data1!$D:$D,D1993)=0,"Missing in Data1","Present")</f>
        <v>Present</v>
      </c>
    </row>
    <row r="1994" spans="1:5" x14ac:dyDescent="0.25">
      <c r="A1994" s="2" t="s">
        <v>2194</v>
      </c>
      <c r="B1994" s="2" t="s">
        <v>1769</v>
      </c>
      <c r="C1994" s="2">
        <v>6</v>
      </c>
      <c r="D1994" t="str">
        <f t="shared" si="31"/>
        <v>CA-2015-116092_OFF-AP-10001391</v>
      </c>
      <c r="E1994" t="str">
        <f>IF(COUNTIF(data1!$D:$D,D1994)=0,"Missing in Data1","Present")</f>
        <v>Present</v>
      </c>
    </row>
    <row r="1995" spans="1:5" x14ac:dyDescent="0.25">
      <c r="A1995" s="2" t="s">
        <v>2194</v>
      </c>
      <c r="B1995" s="2" t="s">
        <v>1636</v>
      </c>
      <c r="C1995" s="2">
        <v>5</v>
      </c>
      <c r="D1995" t="str">
        <f t="shared" si="31"/>
        <v>CA-2015-116092_OFF-BI-10000546</v>
      </c>
      <c r="E1995" t="str">
        <f>IF(COUNTIF(data1!$D:$D,D1995)=0,"Missing in Data1","Present")</f>
        <v>Present</v>
      </c>
    </row>
    <row r="1996" spans="1:5" x14ac:dyDescent="0.25">
      <c r="A1996" s="2" t="s">
        <v>2194</v>
      </c>
      <c r="B1996" s="2" t="s">
        <v>626</v>
      </c>
      <c r="C1996" s="2">
        <v>5</v>
      </c>
      <c r="D1996" t="str">
        <f t="shared" si="31"/>
        <v>CA-2015-116092_OFF-BI-10001628</v>
      </c>
      <c r="E1996" t="str">
        <f>IF(COUNTIF(data1!$D:$D,D1996)=0,"Missing in Data1","Present")</f>
        <v>Missing in Data1</v>
      </c>
    </row>
    <row r="1997" spans="1:5" x14ac:dyDescent="0.25">
      <c r="A1997" s="2" t="s">
        <v>2194</v>
      </c>
      <c r="B1997" s="2" t="s">
        <v>250</v>
      </c>
      <c r="C1997" s="2">
        <v>3</v>
      </c>
      <c r="D1997" t="str">
        <f t="shared" si="31"/>
        <v>CA-2015-116092_OFF-PA-10000477</v>
      </c>
      <c r="E1997" t="str">
        <f>IF(COUNTIF(data1!$D:$D,D1997)=0,"Missing in Data1","Present")</f>
        <v>Present</v>
      </c>
    </row>
    <row r="1998" spans="1:5" x14ac:dyDescent="0.25">
      <c r="A1998" s="2" t="s">
        <v>2194</v>
      </c>
      <c r="B1998" s="2" t="s">
        <v>1952</v>
      </c>
      <c r="C1998" s="2">
        <v>2</v>
      </c>
      <c r="D1998" t="str">
        <f t="shared" si="31"/>
        <v>CA-2015-116092_OFF-PA-10004285</v>
      </c>
      <c r="E1998" t="str">
        <f>IF(COUNTIF(data1!$D:$D,D1998)=0,"Missing in Data1","Present")</f>
        <v>Present</v>
      </c>
    </row>
    <row r="1999" spans="1:5" x14ac:dyDescent="0.25">
      <c r="A1999" s="2" t="s">
        <v>6771</v>
      </c>
      <c r="B1999" s="2" t="s">
        <v>1596</v>
      </c>
      <c r="C1999" s="2">
        <v>4</v>
      </c>
      <c r="D1999" t="str">
        <f t="shared" si="31"/>
        <v>CA-2015-116260_OFF-AR-10003732</v>
      </c>
      <c r="E1999" t="str">
        <f>IF(COUNTIF(data1!$D:$D,D1999)=0,"Missing in Data1","Present")</f>
        <v>Missing in Data1</v>
      </c>
    </row>
    <row r="2000" spans="1:5" x14ac:dyDescent="0.25">
      <c r="A2000" s="2" t="s">
        <v>2195</v>
      </c>
      <c r="B2000" s="2" t="s">
        <v>2196</v>
      </c>
      <c r="C2000" s="2">
        <v>2</v>
      </c>
      <c r="D2000" t="str">
        <f t="shared" si="31"/>
        <v>CA-2015-116484_FUR-FU-10002874</v>
      </c>
      <c r="E2000" t="str">
        <f>IF(COUNTIF(data1!$D:$D,D2000)=0,"Missing in Data1","Present")</f>
        <v>Present</v>
      </c>
    </row>
    <row r="2001" spans="1:5" x14ac:dyDescent="0.25">
      <c r="A2001" s="2" t="s">
        <v>2195</v>
      </c>
      <c r="B2001" s="2" t="s">
        <v>2211</v>
      </c>
      <c r="C2001" s="2">
        <v>3</v>
      </c>
      <c r="D2001" t="str">
        <f t="shared" si="31"/>
        <v>CA-2015-116484_OFF-ST-10003994</v>
      </c>
      <c r="E2001" t="str">
        <f>IF(COUNTIF(data1!$D:$D,D2001)=0,"Missing in Data1","Present")</f>
        <v>Missing in Data1</v>
      </c>
    </row>
    <row r="2002" spans="1:5" x14ac:dyDescent="0.25">
      <c r="A2002" s="2" t="s">
        <v>2197</v>
      </c>
      <c r="B2002" s="2" t="s">
        <v>487</v>
      </c>
      <c r="C2002" s="2">
        <v>3</v>
      </c>
      <c r="D2002" t="str">
        <f t="shared" si="31"/>
        <v>CA-2015-116512_OFF-ST-10001505</v>
      </c>
      <c r="E2002" t="str">
        <f>IF(COUNTIF(data1!$D:$D,D2002)=0,"Missing in Data1","Present")</f>
        <v>Present</v>
      </c>
    </row>
    <row r="2003" spans="1:5" x14ac:dyDescent="0.25">
      <c r="A2003" s="2" t="s">
        <v>2198</v>
      </c>
      <c r="B2003" s="2" t="s">
        <v>2199</v>
      </c>
      <c r="C2003" s="2">
        <v>13</v>
      </c>
      <c r="D2003" t="str">
        <f t="shared" si="31"/>
        <v>CA-2015-116638_FUR-TA-10000198</v>
      </c>
      <c r="E2003" t="str">
        <f>IF(COUNTIF(data1!$D:$D,D2003)=0,"Missing in Data1","Present")</f>
        <v>Present</v>
      </c>
    </row>
    <row r="2004" spans="1:5" x14ac:dyDescent="0.25">
      <c r="A2004" s="2" t="s">
        <v>2200</v>
      </c>
      <c r="B2004" s="2" t="s">
        <v>172</v>
      </c>
      <c r="C2004" s="2">
        <v>3</v>
      </c>
      <c r="D2004" t="str">
        <f t="shared" si="31"/>
        <v>CA-2015-116687_OFF-LA-10000443</v>
      </c>
      <c r="E2004" t="str">
        <f>IF(COUNTIF(data1!$D:$D,D2004)=0,"Missing in Data1","Present")</f>
        <v>Present</v>
      </c>
    </row>
    <row r="2005" spans="1:5" x14ac:dyDescent="0.25">
      <c r="A2005" s="2" t="s">
        <v>2200</v>
      </c>
      <c r="B2005" s="2" t="s">
        <v>1092</v>
      </c>
      <c r="C2005" s="2">
        <v>3</v>
      </c>
      <c r="D2005" t="str">
        <f t="shared" si="31"/>
        <v>CA-2015-116687_TEC-PH-10001750</v>
      </c>
      <c r="E2005" t="str">
        <f>IF(COUNTIF(data1!$D:$D,D2005)=0,"Missing in Data1","Present")</f>
        <v>Present</v>
      </c>
    </row>
    <row r="2006" spans="1:5" x14ac:dyDescent="0.25">
      <c r="A2006" s="2" t="s">
        <v>2201</v>
      </c>
      <c r="B2006" s="2" t="s">
        <v>569</v>
      </c>
      <c r="C2006" s="2">
        <v>2</v>
      </c>
      <c r="D2006" t="str">
        <f t="shared" si="31"/>
        <v>CA-2015-116750_FUR-FU-10003829</v>
      </c>
      <c r="E2006" t="str">
        <f>IF(COUNTIF(data1!$D:$D,D2006)=0,"Missing in Data1","Present")</f>
        <v>Present</v>
      </c>
    </row>
    <row r="2007" spans="1:5" x14ac:dyDescent="0.25">
      <c r="A2007" s="2" t="s">
        <v>2201</v>
      </c>
      <c r="B2007" s="2" t="s">
        <v>1680</v>
      </c>
      <c r="C2007" s="2">
        <v>5</v>
      </c>
      <c r="D2007" t="str">
        <f t="shared" si="31"/>
        <v>CA-2015-116750_OFF-BI-10004728</v>
      </c>
      <c r="E2007" t="str">
        <f>IF(COUNTIF(data1!$D:$D,D2007)=0,"Missing in Data1","Present")</f>
        <v>Present</v>
      </c>
    </row>
    <row r="2008" spans="1:5" x14ac:dyDescent="0.25">
      <c r="A2008" s="2" t="s">
        <v>2202</v>
      </c>
      <c r="B2008" s="2" t="s">
        <v>1543</v>
      </c>
      <c r="C2008" s="2">
        <v>1</v>
      </c>
      <c r="D2008" t="str">
        <f t="shared" si="31"/>
        <v>CA-2015-116841_OFF-AP-10002403</v>
      </c>
      <c r="E2008" t="str">
        <f>IF(COUNTIF(data1!$D:$D,D2008)=0,"Missing in Data1","Present")</f>
        <v>Present</v>
      </c>
    </row>
    <row r="2009" spans="1:5" x14ac:dyDescent="0.25">
      <c r="A2009" s="2" t="s">
        <v>2203</v>
      </c>
      <c r="B2009" s="2" t="s">
        <v>2204</v>
      </c>
      <c r="C2009" s="2">
        <v>9</v>
      </c>
      <c r="D2009" t="str">
        <f t="shared" si="31"/>
        <v>CA-2015-116876_OFF-BI-10002897</v>
      </c>
      <c r="E2009" t="str">
        <f>IF(COUNTIF(data1!$D:$D,D2009)=0,"Missing in Data1","Present")</f>
        <v>Present</v>
      </c>
    </row>
    <row r="2010" spans="1:5" x14ac:dyDescent="0.25">
      <c r="A2010" s="2" t="s">
        <v>2203</v>
      </c>
      <c r="B2010" s="2" t="s">
        <v>1486</v>
      </c>
      <c r="C2010" s="2">
        <v>1</v>
      </c>
      <c r="D2010" t="str">
        <f t="shared" si="31"/>
        <v>CA-2015-116876_TEC-PH-10002584</v>
      </c>
      <c r="E2010" t="str">
        <f>IF(COUNTIF(data1!$D:$D,D2010)=0,"Missing in Data1","Present")</f>
        <v>Present</v>
      </c>
    </row>
    <row r="2011" spans="1:5" x14ac:dyDescent="0.25">
      <c r="A2011" s="2" t="s">
        <v>2207</v>
      </c>
      <c r="B2011" s="2" t="s">
        <v>1533</v>
      </c>
      <c r="C2011" s="2">
        <v>3</v>
      </c>
      <c r="D2011" t="str">
        <f t="shared" si="31"/>
        <v>CA-2015-117415_FUR-BO-10002545</v>
      </c>
      <c r="E2011" t="str">
        <f>IF(COUNTIF(data1!$D:$D,D2011)=0,"Missing in Data1","Present")</f>
        <v>Present</v>
      </c>
    </row>
    <row r="2012" spans="1:5" x14ac:dyDescent="0.25">
      <c r="A2012" s="2" t="s">
        <v>2207</v>
      </c>
      <c r="B2012" s="2" t="s">
        <v>1050</v>
      </c>
      <c r="C2012" s="2">
        <v>3</v>
      </c>
      <c r="D2012" t="str">
        <f t="shared" si="31"/>
        <v>CA-2015-117415_FUR-CH-10004218</v>
      </c>
      <c r="E2012" t="str">
        <f>IF(COUNTIF(data1!$D:$D,D2012)=0,"Missing in Data1","Present")</f>
        <v>Present</v>
      </c>
    </row>
    <row r="2013" spans="1:5" x14ac:dyDescent="0.25">
      <c r="A2013" s="2" t="s">
        <v>2207</v>
      </c>
      <c r="B2013" s="2" t="s">
        <v>2208</v>
      </c>
      <c r="C2013" s="2">
        <v>9</v>
      </c>
      <c r="D2013" t="str">
        <f t="shared" si="31"/>
        <v>CA-2015-117415_OFF-EN-10002986</v>
      </c>
      <c r="E2013" t="str">
        <f>IF(COUNTIF(data1!$D:$D,D2013)=0,"Missing in Data1","Present")</f>
        <v>Present</v>
      </c>
    </row>
    <row r="2014" spans="1:5" x14ac:dyDescent="0.25">
      <c r="A2014" s="2" t="s">
        <v>2207</v>
      </c>
      <c r="B2014" s="2" t="s">
        <v>1173</v>
      </c>
      <c r="C2014" s="2">
        <v>4</v>
      </c>
      <c r="D2014" t="str">
        <f t="shared" si="31"/>
        <v>CA-2015-117415_TEC-PH-10000486</v>
      </c>
      <c r="E2014" t="str">
        <f>IF(COUNTIF(data1!$D:$D,D2014)=0,"Missing in Data1","Present")</f>
        <v>Present</v>
      </c>
    </row>
    <row r="2015" spans="1:5" x14ac:dyDescent="0.25">
      <c r="A2015" s="2" t="s">
        <v>2209</v>
      </c>
      <c r="B2015" s="2" t="s">
        <v>913</v>
      </c>
      <c r="C2015" s="2">
        <v>1</v>
      </c>
      <c r="D2015" t="str">
        <f t="shared" si="31"/>
        <v>CA-2015-117611_OFF-FA-10002280</v>
      </c>
      <c r="E2015" t="str">
        <f>IF(COUNTIF(data1!$D:$D,D2015)=0,"Missing in Data1","Present")</f>
        <v>Present</v>
      </c>
    </row>
    <row r="2016" spans="1:5" x14ac:dyDescent="0.25">
      <c r="A2016" s="2" t="s">
        <v>2209</v>
      </c>
      <c r="B2016" s="2" t="s">
        <v>1053</v>
      </c>
      <c r="C2016" s="2">
        <v>3</v>
      </c>
      <c r="D2016" t="str">
        <f t="shared" si="31"/>
        <v>CA-2015-117611_TEC-AC-10002049</v>
      </c>
      <c r="E2016" t="str">
        <f>IF(COUNTIF(data1!$D:$D,D2016)=0,"Missing in Data1","Present")</f>
        <v>Present</v>
      </c>
    </row>
    <row r="2017" spans="1:5" x14ac:dyDescent="0.25">
      <c r="A2017" s="2" t="s">
        <v>2210</v>
      </c>
      <c r="B2017" s="2" t="s">
        <v>2211</v>
      </c>
      <c r="C2017" s="2">
        <v>6</v>
      </c>
      <c r="D2017" t="str">
        <f t="shared" si="31"/>
        <v>CA-2015-117772_OFF-ST-10003994</v>
      </c>
      <c r="E2017" t="str">
        <f>IF(COUNTIF(data1!$D:$D,D2017)=0,"Missing in Data1","Present")</f>
        <v>Present</v>
      </c>
    </row>
    <row r="2018" spans="1:5" x14ac:dyDescent="0.25">
      <c r="A2018" s="2" t="s">
        <v>2212</v>
      </c>
      <c r="B2018" s="2" t="s">
        <v>2213</v>
      </c>
      <c r="C2018" s="2">
        <v>3</v>
      </c>
      <c r="D2018" t="str">
        <f t="shared" si="31"/>
        <v>CA-2015-117800_FUR-CH-10000785</v>
      </c>
      <c r="E2018" t="str">
        <f>IF(COUNTIF(data1!$D:$D,D2018)=0,"Missing in Data1","Present")</f>
        <v>Present</v>
      </c>
    </row>
    <row r="2019" spans="1:5" x14ac:dyDescent="0.25">
      <c r="A2019" s="2" t="s">
        <v>2212</v>
      </c>
      <c r="B2019" s="2" t="s">
        <v>1566</v>
      </c>
      <c r="C2019" s="2">
        <v>2</v>
      </c>
      <c r="D2019" t="str">
        <f t="shared" si="31"/>
        <v>CA-2015-117800_TEC-PH-10002415</v>
      </c>
      <c r="E2019" t="str">
        <f>IF(COUNTIF(data1!$D:$D,D2019)=0,"Missing in Data1","Present")</f>
        <v>Present</v>
      </c>
    </row>
    <row r="2020" spans="1:5" x14ac:dyDescent="0.25">
      <c r="A2020" s="2" t="s">
        <v>2214</v>
      </c>
      <c r="B2020" s="2" t="s">
        <v>675</v>
      </c>
      <c r="C2020" s="2">
        <v>4</v>
      </c>
      <c r="D2020" t="str">
        <f t="shared" si="31"/>
        <v>CA-2015-117828_OFF-AP-10001563</v>
      </c>
      <c r="E2020" t="str">
        <f>IF(COUNTIF(data1!$D:$D,D2020)=0,"Missing in Data1","Present")</f>
        <v>Present</v>
      </c>
    </row>
    <row r="2021" spans="1:5" x14ac:dyDescent="0.25">
      <c r="A2021" s="2" t="s">
        <v>2215</v>
      </c>
      <c r="B2021" s="2" t="s">
        <v>2216</v>
      </c>
      <c r="C2021" s="2">
        <v>9</v>
      </c>
      <c r="D2021" t="str">
        <f t="shared" si="31"/>
        <v>CA-2015-117884_OFF-ST-10002182</v>
      </c>
      <c r="E2021" t="str">
        <f>IF(COUNTIF(data1!$D:$D,D2021)=0,"Missing in Data1","Present")</f>
        <v>Present</v>
      </c>
    </row>
    <row r="2022" spans="1:5" x14ac:dyDescent="0.25">
      <c r="A2022" s="2" t="s">
        <v>2215</v>
      </c>
      <c r="B2022" s="2" t="s">
        <v>710</v>
      </c>
      <c r="C2022" s="2">
        <v>7</v>
      </c>
      <c r="D2022" t="str">
        <f t="shared" si="31"/>
        <v>CA-2015-117884_TEC-AC-10002567</v>
      </c>
      <c r="E2022" t="str">
        <f>IF(COUNTIF(data1!$D:$D,D2022)=0,"Missing in Data1","Present")</f>
        <v>Present</v>
      </c>
    </row>
    <row r="2023" spans="1:5" x14ac:dyDescent="0.25">
      <c r="A2023" s="2" t="s">
        <v>6772</v>
      </c>
      <c r="B2023" s="2" t="s">
        <v>1231</v>
      </c>
      <c r="C2023" s="2">
        <v>2</v>
      </c>
      <c r="D2023" t="str">
        <f t="shared" si="31"/>
        <v>CA-2015-117898_OFF-EN-10004459</v>
      </c>
      <c r="E2023" t="str">
        <f>IF(COUNTIF(data1!$D:$D,D2023)=0,"Missing in Data1","Present")</f>
        <v>Missing in Data1</v>
      </c>
    </row>
    <row r="2024" spans="1:5" x14ac:dyDescent="0.25">
      <c r="A2024" s="2" t="s">
        <v>2217</v>
      </c>
      <c r="B2024" s="2" t="s">
        <v>9</v>
      </c>
      <c r="C2024" s="2">
        <v>3</v>
      </c>
      <c r="D2024" t="str">
        <f t="shared" si="31"/>
        <v>CA-2015-117961_OFF-BI-10000343</v>
      </c>
      <c r="E2024" t="str">
        <f>IF(COUNTIF(data1!$D:$D,D2024)=0,"Missing in Data1","Present")</f>
        <v>Present</v>
      </c>
    </row>
    <row r="2025" spans="1:5" x14ac:dyDescent="0.25">
      <c r="A2025" s="2" t="s">
        <v>2217</v>
      </c>
      <c r="B2025" s="2" t="s">
        <v>2040</v>
      </c>
      <c r="C2025" s="2">
        <v>4</v>
      </c>
      <c r="D2025" t="str">
        <f t="shared" si="31"/>
        <v>CA-2015-117961_OFF-BI-10003707</v>
      </c>
      <c r="E2025" t="str">
        <f>IF(COUNTIF(data1!$D:$D,D2025)=0,"Missing in Data1","Present")</f>
        <v>Present</v>
      </c>
    </row>
    <row r="2026" spans="1:5" x14ac:dyDescent="0.25">
      <c r="A2026" s="2" t="s">
        <v>2217</v>
      </c>
      <c r="B2026" s="2" t="s">
        <v>2218</v>
      </c>
      <c r="C2026" s="2">
        <v>3</v>
      </c>
      <c r="D2026" t="str">
        <f t="shared" si="31"/>
        <v>CA-2015-117961_OFF-PA-10001274</v>
      </c>
      <c r="E2026" t="str">
        <f>IF(COUNTIF(data1!$D:$D,D2026)=0,"Missing in Data1","Present")</f>
        <v>Present</v>
      </c>
    </row>
    <row r="2027" spans="1:5" x14ac:dyDescent="0.25">
      <c r="A2027" s="2" t="s">
        <v>2217</v>
      </c>
      <c r="B2027" s="2" t="s">
        <v>2144</v>
      </c>
      <c r="C2027" s="2">
        <v>5</v>
      </c>
      <c r="D2027" t="str">
        <f t="shared" si="31"/>
        <v>CA-2015-117961_OFF-ST-10001172</v>
      </c>
      <c r="E2027" t="str">
        <f>IF(COUNTIF(data1!$D:$D,D2027)=0,"Missing in Data1","Present")</f>
        <v>Present</v>
      </c>
    </row>
    <row r="2028" spans="1:5" x14ac:dyDescent="0.25">
      <c r="A2028" s="2" t="s">
        <v>2219</v>
      </c>
      <c r="B2028" s="2" t="s">
        <v>1693</v>
      </c>
      <c r="C2028" s="2">
        <v>1</v>
      </c>
      <c r="D2028" t="str">
        <f t="shared" si="31"/>
        <v>CA-2015-118227_OFF-AR-10001044</v>
      </c>
      <c r="E2028" t="str">
        <f>IF(COUNTIF(data1!$D:$D,D2028)=0,"Missing in Data1","Present")</f>
        <v>Present</v>
      </c>
    </row>
    <row r="2029" spans="1:5" x14ac:dyDescent="0.25">
      <c r="A2029" s="2" t="s">
        <v>2220</v>
      </c>
      <c r="B2029" s="2" t="s">
        <v>1049</v>
      </c>
      <c r="C2029" s="2">
        <v>3</v>
      </c>
      <c r="D2029" t="str">
        <f t="shared" si="31"/>
        <v>CA-2015-118423_FUR-BO-10000362</v>
      </c>
      <c r="E2029" t="str">
        <f>IF(COUNTIF(data1!$D:$D,D2029)=0,"Missing in Data1","Present")</f>
        <v>Present</v>
      </c>
    </row>
    <row r="2030" spans="1:5" x14ac:dyDescent="0.25">
      <c r="A2030" s="2" t="s">
        <v>2221</v>
      </c>
      <c r="B2030" s="2" t="s">
        <v>754</v>
      </c>
      <c r="C2030" s="2">
        <v>4</v>
      </c>
      <c r="D2030" t="str">
        <f t="shared" si="31"/>
        <v>CA-2015-118444_OFF-AP-10000576</v>
      </c>
      <c r="E2030" t="str">
        <f>IF(COUNTIF(data1!$D:$D,D2030)=0,"Missing in Data1","Present")</f>
        <v>Present</v>
      </c>
    </row>
    <row r="2031" spans="1:5" x14ac:dyDescent="0.25">
      <c r="A2031" s="2" t="s">
        <v>2222</v>
      </c>
      <c r="B2031" s="2" t="s">
        <v>752</v>
      </c>
      <c r="C2031" s="2">
        <v>7</v>
      </c>
      <c r="D2031" t="str">
        <f t="shared" si="31"/>
        <v>CA-2015-118738_FUR-TA-10002607</v>
      </c>
      <c r="E2031" t="str">
        <f>IF(COUNTIF(data1!$D:$D,D2031)=0,"Missing in Data1","Present")</f>
        <v>Present</v>
      </c>
    </row>
    <row r="2032" spans="1:5" x14ac:dyDescent="0.25">
      <c r="A2032" s="2" t="s">
        <v>2222</v>
      </c>
      <c r="B2032" s="2" t="s">
        <v>1378</v>
      </c>
      <c r="C2032" s="2">
        <v>2</v>
      </c>
      <c r="D2032" t="str">
        <f t="shared" si="31"/>
        <v>CA-2015-118738_OFF-PA-10001166</v>
      </c>
      <c r="E2032" t="str">
        <f>IF(COUNTIF(data1!$D:$D,D2032)=0,"Missing in Data1","Present")</f>
        <v>Present</v>
      </c>
    </row>
    <row r="2033" spans="1:5" x14ac:dyDescent="0.25">
      <c r="A2033" s="2" t="s">
        <v>2222</v>
      </c>
      <c r="B2033" s="2" t="s">
        <v>1158</v>
      </c>
      <c r="C2033" s="2">
        <v>3</v>
      </c>
      <c r="D2033" t="str">
        <f t="shared" si="31"/>
        <v>CA-2015-118738_OFF-PA-10003177</v>
      </c>
      <c r="E2033" t="str">
        <f>IF(COUNTIF(data1!$D:$D,D2033)=0,"Missing in Data1","Present")</f>
        <v>Present</v>
      </c>
    </row>
    <row r="2034" spans="1:5" x14ac:dyDescent="0.25">
      <c r="A2034" s="2" t="s">
        <v>2223</v>
      </c>
      <c r="B2034" s="2" t="s">
        <v>1238</v>
      </c>
      <c r="C2034" s="2">
        <v>3</v>
      </c>
      <c r="D2034" t="str">
        <f t="shared" si="31"/>
        <v>CA-2015-118843_FUR-FU-10003975</v>
      </c>
      <c r="E2034" t="str">
        <f>IF(COUNTIF(data1!$D:$D,D2034)=0,"Missing in Data1","Present")</f>
        <v>Present</v>
      </c>
    </row>
    <row r="2035" spans="1:5" x14ac:dyDescent="0.25">
      <c r="A2035" s="2" t="s">
        <v>2223</v>
      </c>
      <c r="B2035" s="2" t="s">
        <v>138</v>
      </c>
      <c r="C2035" s="2">
        <v>7</v>
      </c>
      <c r="D2035" t="str">
        <f t="shared" si="31"/>
        <v>CA-2015-118843_OFF-PA-10001712</v>
      </c>
      <c r="E2035" t="str">
        <f>IF(COUNTIF(data1!$D:$D,D2035)=0,"Missing in Data1","Present")</f>
        <v>Present</v>
      </c>
    </row>
    <row r="2036" spans="1:5" x14ac:dyDescent="0.25">
      <c r="A2036" s="2" t="s">
        <v>2224</v>
      </c>
      <c r="B2036" s="2" t="s">
        <v>612</v>
      </c>
      <c r="C2036" s="2">
        <v>5</v>
      </c>
      <c r="D2036" t="str">
        <f t="shared" si="31"/>
        <v>CA-2015-118871_FUR-FU-10002111</v>
      </c>
      <c r="E2036" t="str">
        <f>IF(COUNTIF(data1!$D:$D,D2036)=0,"Missing in Data1","Present")</f>
        <v>Present</v>
      </c>
    </row>
    <row r="2037" spans="1:5" x14ac:dyDescent="0.25">
      <c r="A2037" s="2" t="s">
        <v>2224</v>
      </c>
      <c r="B2037" s="2" t="s">
        <v>2027</v>
      </c>
      <c r="C2037" s="2">
        <v>3</v>
      </c>
      <c r="D2037" t="str">
        <f t="shared" si="31"/>
        <v>CA-2015-118871_OFF-EN-10003296</v>
      </c>
      <c r="E2037" t="str">
        <f>IF(COUNTIF(data1!$D:$D,D2037)=0,"Missing in Data1","Present")</f>
        <v>Present</v>
      </c>
    </row>
    <row r="2038" spans="1:5" x14ac:dyDescent="0.25">
      <c r="A2038" s="2" t="s">
        <v>2224</v>
      </c>
      <c r="B2038" s="2" t="s">
        <v>2225</v>
      </c>
      <c r="C2038" s="2">
        <v>3</v>
      </c>
      <c r="D2038" t="str">
        <f t="shared" si="31"/>
        <v>CA-2015-118871_TEC-PH-10000193</v>
      </c>
      <c r="E2038" t="str">
        <f>IF(COUNTIF(data1!$D:$D,D2038)=0,"Missing in Data1","Present")</f>
        <v>Present</v>
      </c>
    </row>
    <row r="2039" spans="1:5" x14ac:dyDescent="0.25">
      <c r="A2039" s="2" t="s">
        <v>2226</v>
      </c>
      <c r="B2039" s="2" t="s">
        <v>2227</v>
      </c>
      <c r="C2039" s="2">
        <v>3</v>
      </c>
      <c r="D2039" t="str">
        <f t="shared" si="31"/>
        <v>CA-2015-118948_OFF-AR-10001547</v>
      </c>
      <c r="E2039" t="str">
        <f>IF(COUNTIF(data1!$D:$D,D2039)=0,"Missing in Data1","Present")</f>
        <v>Present</v>
      </c>
    </row>
    <row r="2040" spans="1:5" x14ac:dyDescent="0.25">
      <c r="A2040" s="2" t="s">
        <v>2228</v>
      </c>
      <c r="B2040" s="2" t="s">
        <v>2229</v>
      </c>
      <c r="C2040" s="2">
        <v>2</v>
      </c>
      <c r="D2040" t="str">
        <f t="shared" si="31"/>
        <v>CA-2015-118955_FUR-CH-10001708</v>
      </c>
      <c r="E2040" t="str">
        <f>IF(COUNTIF(data1!$D:$D,D2040)=0,"Missing in Data1","Present")</f>
        <v>Present</v>
      </c>
    </row>
    <row r="2041" spans="1:5" x14ac:dyDescent="0.25">
      <c r="A2041" s="2" t="s">
        <v>2228</v>
      </c>
      <c r="B2041" s="2" t="s">
        <v>2230</v>
      </c>
      <c r="C2041" s="2">
        <v>3</v>
      </c>
      <c r="D2041" t="str">
        <f t="shared" si="31"/>
        <v>CA-2015-118955_OFF-EN-10001028</v>
      </c>
      <c r="E2041" t="str">
        <f>IF(COUNTIF(data1!$D:$D,D2041)=0,"Missing in Data1","Present")</f>
        <v>Present</v>
      </c>
    </row>
    <row r="2042" spans="1:5" x14ac:dyDescent="0.25">
      <c r="A2042" s="2" t="s">
        <v>2228</v>
      </c>
      <c r="B2042" s="2" t="s">
        <v>2984</v>
      </c>
      <c r="C2042" s="2">
        <v>3</v>
      </c>
      <c r="D2042" t="str">
        <f t="shared" si="31"/>
        <v>CA-2015-118955_OFF-PA-10004156</v>
      </c>
      <c r="E2042" t="str">
        <f>IF(COUNTIF(data1!$D:$D,D2042)=0,"Missing in Data1","Present")</f>
        <v>Missing in Data1</v>
      </c>
    </row>
    <row r="2043" spans="1:5" x14ac:dyDescent="0.25">
      <c r="A2043" s="2" t="s">
        <v>2231</v>
      </c>
      <c r="B2043" s="2" t="s">
        <v>1772</v>
      </c>
      <c r="C2043" s="2">
        <v>3</v>
      </c>
      <c r="D2043" t="str">
        <f t="shared" si="31"/>
        <v>CA-2015-119102_OFF-ST-10004507</v>
      </c>
      <c r="E2043" t="str">
        <f>IF(COUNTIF(data1!$D:$D,D2043)=0,"Missing in Data1","Present")</f>
        <v>Present</v>
      </c>
    </row>
    <row r="2044" spans="1:5" x14ac:dyDescent="0.25">
      <c r="A2044" s="2" t="s">
        <v>2232</v>
      </c>
      <c r="B2044" s="2" t="s">
        <v>2233</v>
      </c>
      <c r="C2044" s="2">
        <v>2</v>
      </c>
      <c r="D2044" t="str">
        <f t="shared" si="31"/>
        <v>CA-2015-119214_OFF-LA-10003077</v>
      </c>
      <c r="E2044" t="str">
        <f>IF(COUNTIF(data1!$D:$D,D2044)=0,"Missing in Data1","Present")</f>
        <v>Present</v>
      </c>
    </row>
    <row r="2045" spans="1:5" x14ac:dyDescent="0.25">
      <c r="A2045" s="2" t="s">
        <v>2232</v>
      </c>
      <c r="B2045" s="2" t="s">
        <v>936</v>
      </c>
      <c r="C2045" s="2">
        <v>3</v>
      </c>
      <c r="D2045" t="str">
        <f t="shared" si="31"/>
        <v>CA-2015-119214_OFF-PA-10002893</v>
      </c>
      <c r="E2045" t="str">
        <f>IF(COUNTIF(data1!$D:$D,D2045)=0,"Missing in Data1","Present")</f>
        <v>Present</v>
      </c>
    </row>
    <row r="2046" spans="1:5" x14ac:dyDescent="0.25">
      <c r="A2046" s="2" t="s">
        <v>2234</v>
      </c>
      <c r="B2046" s="2" t="s">
        <v>2235</v>
      </c>
      <c r="C2046" s="2">
        <v>1</v>
      </c>
      <c r="D2046" t="str">
        <f t="shared" si="31"/>
        <v>CA-2015-119291_OFF-AR-10001118</v>
      </c>
      <c r="E2046" t="str">
        <f>IF(COUNTIF(data1!$D:$D,D2046)=0,"Missing in Data1","Present")</f>
        <v>Present</v>
      </c>
    </row>
    <row r="2047" spans="1:5" x14ac:dyDescent="0.25">
      <c r="A2047" s="2" t="s">
        <v>2234</v>
      </c>
      <c r="B2047" s="2" t="s">
        <v>1700</v>
      </c>
      <c r="C2047" s="2">
        <v>8</v>
      </c>
      <c r="D2047" t="str">
        <f t="shared" si="31"/>
        <v>CA-2015-119291_OFF-AR-10003373</v>
      </c>
      <c r="E2047" t="str">
        <f>IF(COUNTIF(data1!$D:$D,D2047)=0,"Missing in Data1","Present")</f>
        <v>Present</v>
      </c>
    </row>
    <row r="2048" spans="1:5" x14ac:dyDescent="0.25">
      <c r="A2048" s="2" t="s">
        <v>2234</v>
      </c>
      <c r="B2048" s="2" t="s">
        <v>539</v>
      </c>
      <c r="C2048" s="2">
        <v>2</v>
      </c>
      <c r="D2048" t="str">
        <f t="shared" si="31"/>
        <v>CA-2015-119291_OFF-BI-10001575</v>
      </c>
      <c r="E2048" t="str">
        <f>IF(COUNTIF(data1!$D:$D,D2048)=0,"Missing in Data1","Present")</f>
        <v>Missing in Data1</v>
      </c>
    </row>
    <row r="2049" spans="1:5" x14ac:dyDescent="0.25">
      <c r="A2049" s="2" t="s">
        <v>2234</v>
      </c>
      <c r="B2049" s="2" t="s">
        <v>2236</v>
      </c>
      <c r="C2049" s="2">
        <v>7</v>
      </c>
      <c r="D2049" t="str">
        <f t="shared" si="31"/>
        <v>CA-2015-119291_OFF-EN-10000927</v>
      </c>
      <c r="E2049" t="str">
        <f>IF(COUNTIF(data1!$D:$D,D2049)=0,"Missing in Data1","Present")</f>
        <v>Present</v>
      </c>
    </row>
    <row r="2050" spans="1:5" x14ac:dyDescent="0.25">
      <c r="A2050" s="2" t="s">
        <v>2234</v>
      </c>
      <c r="B2050" s="2" t="s">
        <v>1044</v>
      </c>
      <c r="C2050" s="2">
        <v>4</v>
      </c>
      <c r="D2050" t="str">
        <f t="shared" si="31"/>
        <v>CA-2015-119291_OFF-LA-10002312</v>
      </c>
      <c r="E2050" t="str">
        <f>IF(COUNTIF(data1!$D:$D,D2050)=0,"Missing in Data1","Present")</f>
        <v>Present</v>
      </c>
    </row>
    <row r="2051" spans="1:5" x14ac:dyDescent="0.25">
      <c r="A2051" s="2" t="s">
        <v>2234</v>
      </c>
      <c r="B2051" s="2" t="s">
        <v>1125</v>
      </c>
      <c r="C2051" s="2">
        <v>4</v>
      </c>
      <c r="D2051" t="str">
        <f t="shared" ref="D2051:D2114" si="32">A2051&amp;"_"&amp;B2051</f>
        <v>CA-2015-119291_OFF-LA-10003510</v>
      </c>
      <c r="E2051" t="str">
        <f>IF(COUNTIF(data1!$D:$D,D2051)=0,"Missing in Data1","Present")</f>
        <v>Present</v>
      </c>
    </row>
    <row r="2052" spans="1:5" x14ac:dyDescent="0.25">
      <c r="A2052" s="2" t="s">
        <v>2237</v>
      </c>
      <c r="B2052" s="2" t="s">
        <v>2238</v>
      </c>
      <c r="C2052" s="2">
        <v>3</v>
      </c>
      <c r="D2052" t="str">
        <f t="shared" si="32"/>
        <v>CA-2015-119480_OFF-AP-10001205</v>
      </c>
      <c r="E2052" t="str">
        <f>IF(COUNTIF(data1!$D:$D,D2052)=0,"Missing in Data1","Present")</f>
        <v>Present</v>
      </c>
    </row>
    <row r="2053" spans="1:5" x14ac:dyDescent="0.25">
      <c r="A2053" s="2" t="s">
        <v>2237</v>
      </c>
      <c r="B2053" s="2" t="s">
        <v>2239</v>
      </c>
      <c r="C2053" s="2">
        <v>2</v>
      </c>
      <c r="D2053" t="str">
        <f t="shared" si="32"/>
        <v>CA-2015-119480_OFF-AR-10004691</v>
      </c>
      <c r="E2053" t="str">
        <f>IF(COUNTIF(data1!$D:$D,D2053)=0,"Missing in Data1","Present")</f>
        <v>Present</v>
      </c>
    </row>
    <row r="2054" spans="1:5" x14ac:dyDescent="0.25">
      <c r="A2054" s="2" t="s">
        <v>2237</v>
      </c>
      <c r="B2054" s="2" t="s">
        <v>433</v>
      </c>
      <c r="C2054" s="2">
        <v>3</v>
      </c>
      <c r="D2054" t="str">
        <f t="shared" si="32"/>
        <v>CA-2015-119480_OFF-PA-10000474</v>
      </c>
      <c r="E2054" t="str">
        <f>IF(COUNTIF(data1!$D:$D,D2054)=0,"Missing in Data1","Present")</f>
        <v>Present</v>
      </c>
    </row>
    <row r="2055" spans="1:5" x14ac:dyDescent="0.25">
      <c r="A2055" s="2" t="s">
        <v>2237</v>
      </c>
      <c r="B2055" s="2" t="s">
        <v>2240</v>
      </c>
      <c r="C2055" s="2">
        <v>5</v>
      </c>
      <c r="D2055" t="str">
        <f t="shared" si="32"/>
        <v>CA-2015-119480_OFF-PA-10004996</v>
      </c>
      <c r="E2055" t="str">
        <f>IF(COUNTIF(data1!$D:$D,D2055)=0,"Missing in Data1","Present")</f>
        <v>Present</v>
      </c>
    </row>
    <row r="2056" spans="1:5" x14ac:dyDescent="0.25">
      <c r="A2056" s="2" t="s">
        <v>2241</v>
      </c>
      <c r="B2056" s="2" t="s">
        <v>461</v>
      </c>
      <c r="C2056" s="2">
        <v>6</v>
      </c>
      <c r="D2056" t="str">
        <f t="shared" si="32"/>
        <v>CA-2015-119508_FUR-FU-10004270</v>
      </c>
      <c r="E2056" t="str">
        <f>IF(COUNTIF(data1!$D:$D,D2056)=0,"Missing in Data1","Present")</f>
        <v>Present</v>
      </c>
    </row>
    <row r="2057" spans="1:5" x14ac:dyDescent="0.25">
      <c r="A2057" s="2" t="s">
        <v>2242</v>
      </c>
      <c r="B2057" s="2" t="s">
        <v>2243</v>
      </c>
      <c r="C2057" s="2">
        <v>3</v>
      </c>
      <c r="D2057" t="str">
        <f t="shared" si="32"/>
        <v>CA-2015-119550_FUR-CH-10002044</v>
      </c>
      <c r="E2057" t="str">
        <f>IF(COUNTIF(data1!$D:$D,D2057)=0,"Missing in Data1","Present")</f>
        <v>Present</v>
      </c>
    </row>
    <row r="2058" spans="1:5" x14ac:dyDescent="0.25">
      <c r="A2058" s="2" t="s">
        <v>2244</v>
      </c>
      <c r="B2058" s="2" t="s">
        <v>1655</v>
      </c>
      <c r="C2058" s="2">
        <v>2</v>
      </c>
      <c r="D2058" t="str">
        <f t="shared" si="32"/>
        <v>CA-2015-119592_OFF-BI-10004187</v>
      </c>
      <c r="E2058" t="str">
        <f>IF(COUNTIF(data1!$D:$D,D2058)=0,"Missing in Data1","Present")</f>
        <v>Present</v>
      </c>
    </row>
    <row r="2059" spans="1:5" x14ac:dyDescent="0.25">
      <c r="A2059" s="2" t="s">
        <v>2245</v>
      </c>
      <c r="B2059" s="2" t="s">
        <v>4919</v>
      </c>
      <c r="C2059" s="2">
        <v>3</v>
      </c>
      <c r="D2059" t="str">
        <f t="shared" si="32"/>
        <v>CA-2015-119627_OFF-AR-10000203</v>
      </c>
      <c r="E2059" t="str">
        <f>IF(COUNTIF(data1!$D:$D,D2059)=0,"Missing in Data1","Present")</f>
        <v>Missing in Data1</v>
      </c>
    </row>
    <row r="2060" spans="1:5" x14ac:dyDescent="0.25">
      <c r="A2060" s="2" t="s">
        <v>2245</v>
      </c>
      <c r="B2060" s="2" t="s">
        <v>1785</v>
      </c>
      <c r="C2060" s="2">
        <v>7</v>
      </c>
      <c r="D2060" t="str">
        <f t="shared" si="32"/>
        <v>CA-2015-119627_OFF-PA-10001937</v>
      </c>
      <c r="E2060" t="str">
        <f>IF(COUNTIF(data1!$D:$D,D2060)=0,"Missing in Data1","Present")</f>
        <v>Present</v>
      </c>
    </row>
    <row r="2061" spans="1:5" x14ac:dyDescent="0.25">
      <c r="A2061" s="2" t="s">
        <v>2245</v>
      </c>
      <c r="B2061" s="2" t="s">
        <v>1112</v>
      </c>
      <c r="C2061" s="2">
        <v>4</v>
      </c>
      <c r="D2061" t="str">
        <f t="shared" si="32"/>
        <v>CA-2015-119627_TEC-AC-10001142</v>
      </c>
      <c r="E2061" t="str">
        <f>IF(COUNTIF(data1!$D:$D,D2061)=0,"Missing in Data1","Present")</f>
        <v>Missing in Data1</v>
      </c>
    </row>
    <row r="2062" spans="1:5" x14ac:dyDescent="0.25">
      <c r="A2062" s="2" t="s">
        <v>2245</v>
      </c>
      <c r="B2062" s="2" t="s">
        <v>2645</v>
      </c>
      <c r="C2062" s="2">
        <v>2</v>
      </c>
      <c r="D2062" t="str">
        <f t="shared" si="32"/>
        <v>CA-2015-119627_TEC-AC-10002217</v>
      </c>
      <c r="E2062" t="str">
        <f>IF(COUNTIF(data1!$D:$D,D2062)=0,"Missing in Data1","Present")</f>
        <v>Missing in Data1</v>
      </c>
    </row>
    <row r="2063" spans="1:5" x14ac:dyDescent="0.25">
      <c r="A2063" s="2" t="s">
        <v>2246</v>
      </c>
      <c r="B2063" s="2" t="s">
        <v>461</v>
      </c>
      <c r="C2063" s="2">
        <v>3</v>
      </c>
      <c r="D2063" t="str">
        <f t="shared" si="32"/>
        <v>CA-2015-119634_FUR-FU-10004270</v>
      </c>
      <c r="E2063" t="str">
        <f>IF(COUNTIF(data1!$D:$D,D2063)=0,"Missing in Data1","Present")</f>
        <v>Present</v>
      </c>
    </row>
    <row r="2064" spans="1:5" x14ac:dyDescent="0.25">
      <c r="A2064" s="2" t="s">
        <v>2247</v>
      </c>
      <c r="B2064" s="2" t="s">
        <v>709</v>
      </c>
      <c r="C2064" s="2">
        <v>9</v>
      </c>
      <c r="D2064" t="str">
        <f t="shared" si="32"/>
        <v>CA-2015-119690_FUR-FU-10004587</v>
      </c>
      <c r="E2064" t="str">
        <f>IF(COUNTIF(data1!$D:$D,D2064)=0,"Missing in Data1","Present")</f>
        <v>Present</v>
      </c>
    </row>
    <row r="2065" spans="1:5" x14ac:dyDescent="0.25">
      <c r="A2065" s="2" t="s">
        <v>2247</v>
      </c>
      <c r="B2065" s="2" t="s">
        <v>1384</v>
      </c>
      <c r="C2065" s="2">
        <v>2</v>
      </c>
      <c r="D2065" t="str">
        <f t="shared" si="32"/>
        <v>CA-2015-119690_OFF-BI-10000201</v>
      </c>
      <c r="E2065" t="str">
        <f>IF(COUNTIF(data1!$D:$D,D2065)=0,"Missing in Data1","Present")</f>
        <v>Present</v>
      </c>
    </row>
    <row r="2066" spans="1:5" x14ac:dyDescent="0.25">
      <c r="A2066" s="2" t="s">
        <v>2247</v>
      </c>
      <c r="B2066" s="2" t="s">
        <v>776</v>
      </c>
      <c r="C2066" s="2">
        <v>2</v>
      </c>
      <c r="D2066" t="str">
        <f t="shared" si="32"/>
        <v>CA-2015-119690_OFF-LA-10001613</v>
      </c>
      <c r="E2066" t="str">
        <f>IF(COUNTIF(data1!$D:$D,D2066)=0,"Missing in Data1","Present")</f>
        <v>Present</v>
      </c>
    </row>
    <row r="2067" spans="1:5" x14ac:dyDescent="0.25">
      <c r="A2067" s="2" t="s">
        <v>2248</v>
      </c>
      <c r="B2067" s="2" t="s">
        <v>2249</v>
      </c>
      <c r="C2067" s="2">
        <v>2</v>
      </c>
      <c r="D2067" t="str">
        <f t="shared" si="32"/>
        <v>CA-2015-119697_TEC-AC-10003657</v>
      </c>
      <c r="E2067" t="str">
        <f>IF(COUNTIF(data1!$D:$D,D2067)=0,"Missing in Data1","Present")</f>
        <v>Present</v>
      </c>
    </row>
    <row r="2068" spans="1:5" x14ac:dyDescent="0.25">
      <c r="A2068" s="2" t="s">
        <v>2250</v>
      </c>
      <c r="B2068" s="2" t="s">
        <v>841</v>
      </c>
      <c r="C2068" s="2">
        <v>8</v>
      </c>
      <c r="D2068" t="str">
        <f t="shared" si="32"/>
        <v>CA-2015-119879_FUR-TA-10002958</v>
      </c>
      <c r="E2068" t="str">
        <f>IF(COUNTIF(data1!$D:$D,D2068)=0,"Missing in Data1","Present")</f>
        <v>Present</v>
      </c>
    </row>
    <row r="2069" spans="1:5" x14ac:dyDescent="0.25">
      <c r="A2069" s="2" t="s">
        <v>2250</v>
      </c>
      <c r="B2069" s="2" t="s">
        <v>82</v>
      </c>
      <c r="C2069" s="2">
        <v>5</v>
      </c>
      <c r="D2069" t="str">
        <f t="shared" si="32"/>
        <v>CA-2015-119879_TEC-PH-10002923</v>
      </c>
      <c r="E2069" t="str">
        <f>IF(COUNTIF(data1!$D:$D,D2069)=0,"Missing in Data1","Present")</f>
        <v>Present</v>
      </c>
    </row>
    <row r="2070" spans="1:5" x14ac:dyDescent="0.25">
      <c r="A2070" s="2" t="s">
        <v>2251</v>
      </c>
      <c r="B2070" s="2" t="s">
        <v>224</v>
      </c>
      <c r="C2070" s="2">
        <v>2</v>
      </c>
      <c r="D2070" t="str">
        <f t="shared" si="32"/>
        <v>CA-2015-119907_OFF-BI-10001765</v>
      </c>
      <c r="E2070" t="str">
        <f>IF(COUNTIF(data1!$D:$D,D2070)=0,"Missing in Data1","Present")</f>
        <v>Present</v>
      </c>
    </row>
    <row r="2071" spans="1:5" x14ac:dyDescent="0.25">
      <c r="A2071" s="2" t="s">
        <v>2252</v>
      </c>
      <c r="B2071" s="2" t="s">
        <v>279</v>
      </c>
      <c r="C2071" s="2">
        <v>6</v>
      </c>
      <c r="D2071" t="str">
        <f t="shared" si="32"/>
        <v>CA-2015-119942_OFF-LA-10001569</v>
      </c>
      <c r="E2071" t="str">
        <f>IF(COUNTIF(data1!$D:$D,D2071)=0,"Missing in Data1","Present")</f>
        <v>Present</v>
      </c>
    </row>
    <row r="2072" spans="1:5" x14ac:dyDescent="0.25">
      <c r="A2072" s="2" t="s">
        <v>2253</v>
      </c>
      <c r="B2072" s="2" t="s">
        <v>2254</v>
      </c>
      <c r="C2072" s="2">
        <v>2</v>
      </c>
      <c r="D2072" t="str">
        <f t="shared" si="32"/>
        <v>CA-2015-120103_FUR-FU-10002885</v>
      </c>
      <c r="E2072" t="str">
        <f>IF(COUNTIF(data1!$D:$D,D2072)=0,"Missing in Data1","Present")</f>
        <v>Present</v>
      </c>
    </row>
    <row r="2073" spans="1:5" x14ac:dyDescent="0.25">
      <c r="A2073" s="2" t="s">
        <v>2253</v>
      </c>
      <c r="B2073" s="2" t="s">
        <v>1506</v>
      </c>
      <c r="C2073" s="2">
        <v>7</v>
      </c>
      <c r="D2073" t="str">
        <f t="shared" si="32"/>
        <v>CA-2015-120103_OFF-PA-10001295</v>
      </c>
      <c r="E2073" t="str">
        <f>IF(COUNTIF(data1!$D:$D,D2073)=0,"Missing in Data1","Present")</f>
        <v>Present</v>
      </c>
    </row>
    <row r="2074" spans="1:5" x14ac:dyDescent="0.25">
      <c r="A2074" s="2" t="s">
        <v>2253</v>
      </c>
      <c r="B2074" s="2" t="s">
        <v>777</v>
      </c>
      <c r="C2074" s="2">
        <v>2</v>
      </c>
      <c r="D2074" t="str">
        <f t="shared" si="32"/>
        <v>CA-2015-120103_TEC-PH-10002170</v>
      </c>
      <c r="E2074" t="str">
        <f>IF(COUNTIF(data1!$D:$D,D2074)=0,"Missing in Data1","Present")</f>
        <v>Present</v>
      </c>
    </row>
    <row r="2075" spans="1:5" x14ac:dyDescent="0.25">
      <c r="A2075" s="2" t="s">
        <v>6773</v>
      </c>
      <c r="B2075" s="2" t="s">
        <v>783</v>
      </c>
      <c r="C2075" s="2">
        <v>2</v>
      </c>
      <c r="D2075" t="str">
        <f t="shared" si="32"/>
        <v>CA-2015-120320_TEC-PH-10000149</v>
      </c>
      <c r="E2075" t="str">
        <f>IF(COUNTIF(data1!$D:$D,D2075)=0,"Missing in Data1","Present")</f>
        <v>Missing in Data1</v>
      </c>
    </row>
    <row r="2076" spans="1:5" x14ac:dyDescent="0.25">
      <c r="A2076" s="2" t="s">
        <v>2255</v>
      </c>
      <c r="B2076" s="2" t="s">
        <v>2608</v>
      </c>
      <c r="C2076" s="2">
        <v>6</v>
      </c>
      <c r="D2076" t="str">
        <f t="shared" si="32"/>
        <v>CA-2015-120341_OFF-BI-10004224</v>
      </c>
      <c r="E2076" t="str">
        <f>IF(COUNTIF(data1!$D:$D,D2076)=0,"Missing in Data1","Present")</f>
        <v>Missing in Data1</v>
      </c>
    </row>
    <row r="2077" spans="1:5" x14ac:dyDescent="0.25">
      <c r="A2077" s="2" t="s">
        <v>2255</v>
      </c>
      <c r="B2077" s="2" t="s">
        <v>2256</v>
      </c>
      <c r="C2077" s="2">
        <v>1</v>
      </c>
      <c r="D2077" t="str">
        <f t="shared" si="32"/>
        <v>CA-2015-120341_TEC-PH-10003357</v>
      </c>
      <c r="E2077" t="str">
        <f>IF(COUNTIF(data1!$D:$D,D2077)=0,"Missing in Data1","Present")</f>
        <v>Present</v>
      </c>
    </row>
    <row r="2078" spans="1:5" x14ac:dyDescent="0.25">
      <c r="A2078" s="2" t="s">
        <v>2257</v>
      </c>
      <c r="B2078" s="2" t="s">
        <v>770</v>
      </c>
      <c r="C2078" s="2">
        <v>5</v>
      </c>
      <c r="D2078" t="str">
        <f t="shared" si="32"/>
        <v>CA-2015-120362_FUR-TA-10003008</v>
      </c>
      <c r="E2078" t="str">
        <f>IF(COUNTIF(data1!$D:$D,D2078)=0,"Missing in Data1","Present")</f>
        <v>Present</v>
      </c>
    </row>
    <row r="2079" spans="1:5" x14ac:dyDescent="0.25">
      <c r="A2079" s="2" t="s">
        <v>2258</v>
      </c>
      <c r="B2079" s="2" t="s">
        <v>650</v>
      </c>
      <c r="C2079" s="2">
        <v>4</v>
      </c>
      <c r="D2079" t="str">
        <f t="shared" si="32"/>
        <v>CA-2015-120397_OFF-AP-10001293</v>
      </c>
      <c r="E2079" t="str">
        <f>IF(COUNTIF(data1!$D:$D,D2079)=0,"Missing in Data1","Present")</f>
        <v>Present</v>
      </c>
    </row>
    <row r="2080" spans="1:5" x14ac:dyDescent="0.25">
      <c r="A2080" s="2" t="s">
        <v>2259</v>
      </c>
      <c r="B2080" s="2" t="s">
        <v>1592</v>
      </c>
      <c r="C2080" s="2">
        <v>6</v>
      </c>
      <c r="D2080" t="str">
        <f t="shared" si="32"/>
        <v>CA-2015-120439_FUR-FU-10001867</v>
      </c>
      <c r="E2080" t="str">
        <f>IF(COUNTIF(data1!$D:$D,D2080)=0,"Missing in Data1","Present")</f>
        <v>Present</v>
      </c>
    </row>
    <row r="2081" spans="1:5" x14ac:dyDescent="0.25">
      <c r="A2081" s="2" t="s">
        <v>2260</v>
      </c>
      <c r="B2081" s="2" t="s">
        <v>1570</v>
      </c>
      <c r="C2081" s="2">
        <v>3</v>
      </c>
      <c r="D2081" t="str">
        <f t="shared" si="32"/>
        <v>CA-2015-120446_OFF-LA-10003148</v>
      </c>
      <c r="E2081" t="str">
        <f>IF(COUNTIF(data1!$D:$D,D2081)=0,"Missing in Data1","Present")</f>
        <v>Present</v>
      </c>
    </row>
    <row r="2082" spans="1:5" x14ac:dyDescent="0.25">
      <c r="A2082" s="2" t="s">
        <v>6774</v>
      </c>
      <c r="B2082" s="2" t="s">
        <v>1655</v>
      </c>
      <c r="C2082" s="2">
        <v>3</v>
      </c>
      <c r="D2082" t="str">
        <f t="shared" si="32"/>
        <v>CA-2015-120516_OFF-BI-10004187</v>
      </c>
      <c r="E2082" t="str">
        <f>IF(COUNTIF(data1!$D:$D,D2082)=0,"Missing in Data1","Present")</f>
        <v>Missing in Data1</v>
      </c>
    </row>
    <row r="2083" spans="1:5" x14ac:dyDescent="0.25">
      <c r="A2083" s="2" t="s">
        <v>2261</v>
      </c>
      <c r="B2083" s="2" t="s">
        <v>2262</v>
      </c>
      <c r="C2083" s="2">
        <v>3</v>
      </c>
      <c r="D2083" t="str">
        <f t="shared" si="32"/>
        <v>CA-2015-120551_OFF-BI-10002071</v>
      </c>
      <c r="E2083" t="str">
        <f>IF(COUNTIF(data1!$D:$D,D2083)=0,"Missing in Data1","Present")</f>
        <v>Present</v>
      </c>
    </row>
    <row r="2084" spans="1:5" x14ac:dyDescent="0.25">
      <c r="A2084" s="2" t="s">
        <v>2263</v>
      </c>
      <c r="B2084" s="2" t="s">
        <v>1000</v>
      </c>
      <c r="C2084" s="2">
        <v>4</v>
      </c>
      <c r="D2084" t="str">
        <f t="shared" si="32"/>
        <v>CA-2015-120621_OFF-AP-10002945</v>
      </c>
      <c r="E2084" t="str">
        <f>IF(COUNTIF(data1!$D:$D,D2084)=0,"Missing in Data1","Present")</f>
        <v>Missing in Data1</v>
      </c>
    </row>
    <row r="2085" spans="1:5" x14ac:dyDescent="0.25">
      <c r="A2085" s="2" t="s">
        <v>2263</v>
      </c>
      <c r="B2085" s="2" t="s">
        <v>974</v>
      </c>
      <c r="C2085" s="2">
        <v>3</v>
      </c>
      <c r="D2085" t="str">
        <f t="shared" si="32"/>
        <v>CA-2015-120621_OFF-BI-10000948</v>
      </c>
      <c r="E2085" t="str">
        <f>IF(COUNTIF(data1!$D:$D,D2085)=0,"Missing in Data1","Present")</f>
        <v>Present</v>
      </c>
    </row>
    <row r="2086" spans="1:5" x14ac:dyDescent="0.25">
      <c r="A2086" s="2" t="s">
        <v>2263</v>
      </c>
      <c r="B2086" s="2" t="s">
        <v>2264</v>
      </c>
      <c r="C2086" s="2">
        <v>14</v>
      </c>
      <c r="D2086" t="str">
        <f t="shared" si="32"/>
        <v>CA-2015-120621_OFF-PA-10002254</v>
      </c>
      <c r="E2086" t="str">
        <f>IF(COUNTIF(data1!$D:$D,D2086)=0,"Missing in Data1","Present")</f>
        <v>Present</v>
      </c>
    </row>
    <row r="2087" spans="1:5" x14ac:dyDescent="0.25">
      <c r="A2087" s="2" t="s">
        <v>2265</v>
      </c>
      <c r="B2087" s="2" t="s">
        <v>120</v>
      </c>
      <c r="C2087" s="2">
        <v>8</v>
      </c>
      <c r="D2087" t="str">
        <f t="shared" si="32"/>
        <v>CA-2015-120677_FUR-CH-10002320</v>
      </c>
      <c r="E2087" t="str">
        <f>IF(COUNTIF(data1!$D:$D,D2087)=0,"Missing in Data1","Present")</f>
        <v>Present</v>
      </c>
    </row>
    <row r="2088" spans="1:5" x14ac:dyDescent="0.25">
      <c r="A2088" s="2" t="s">
        <v>2266</v>
      </c>
      <c r="B2088" s="2" t="s">
        <v>2267</v>
      </c>
      <c r="C2088" s="2">
        <v>1</v>
      </c>
      <c r="D2088" t="str">
        <f t="shared" si="32"/>
        <v>CA-2015-120782_OFF-AP-10003779</v>
      </c>
      <c r="E2088" t="str">
        <f>IF(COUNTIF(data1!$D:$D,D2088)=0,"Missing in Data1","Present")</f>
        <v>Present</v>
      </c>
    </row>
    <row r="2089" spans="1:5" x14ac:dyDescent="0.25">
      <c r="A2089" s="2" t="s">
        <v>2266</v>
      </c>
      <c r="B2089" s="2" t="s">
        <v>907</v>
      </c>
      <c r="C2089" s="2">
        <v>3</v>
      </c>
      <c r="D2089" t="str">
        <f t="shared" si="32"/>
        <v>CA-2015-120782_OFF-BI-10003527</v>
      </c>
      <c r="E2089" t="str">
        <f>IF(COUNTIF(data1!$D:$D,D2089)=0,"Missing in Data1","Present")</f>
        <v>Present</v>
      </c>
    </row>
    <row r="2090" spans="1:5" x14ac:dyDescent="0.25">
      <c r="A2090" s="2" t="s">
        <v>2268</v>
      </c>
      <c r="B2090" s="2" t="s">
        <v>491</v>
      </c>
      <c r="C2090" s="2">
        <v>3</v>
      </c>
      <c r="D2090" t="str">
        <f t="shared" si="32"/>
        <v>CA-2015-120810_FUR-FU-10002253</v>
      </c>
      <c r="E2090" t="str">
        <f>IF(COUNTIF(data1!$D:$D,D2090)=0,"Missing in Data1","Present")</f>
        <v>Present</v>
      </c>
    </row>
    <row r="2091" spans="1:5" x14ac:dyDescent="0.25">
      <c r="A2091" s="2" t="s">
        <v>2269</v>
      </c>
      <c r="B2091" s="2" t="s">
        <v>301</v>
      </c>
      <c r="C2091" s="2">
        <v>4</v>
      </c>
      <c r="D2091" t="str">
        <f t="shared" si="32"/>
        <v>CA-2015-120845_OFF-BI-10001116</v>
      </c>
      <c r="E2091" t="str">
        <f>IF(COUNTIF(data1!$D:$D,D2091)=0,"Missing in Data1","Present")</f>
        <v>Present</v>
      </c>
    </row>
    <row r="2092" spans="1:5" x14ac:dyDescent="0.25">
      <c r="A2092" s="2" t="s">
        <v>2269</v>
      </c>
      <c r="B2092" s="2" t="s">
        <v>274</v>
      </c>
      <c r="C2092" s="2">
        <v>2</v>
      </c>
      <c r="D2092" t="str">
        <f t="shared" si="32"/>
        <v>CA-2015-120845_OFF-BI-10001982</v>
      </c>
      <c r="E2092" t="str">
        <f>IF(COUNTIF(data1!$D:$D,D2092)=0,"Missing in Data1","Present")</f>
        <v>Present</v>
      </c>
    </row>
    <row r="2093" spans="1:5" x14ac:dyDescent="0.25">
      <c r="A2093" s="2" t="s">
        <v>2269</v>
      </c>
      <c r="B2093" s="2" t="s">
        <v>834</v>
      </c>
      <c r="C2093" s="2">
        <v>1</v>
      </c>
      <c r="D2093" t="str">
        <f t="shared" si="32"/>
        <v>CA-2015-120845_OFF-PA-10004665</v>
      </c>
      <c r="E2093" t="str">
        <f>IF(COUNTIF(data1!$D:$D,D2093)=0,"Missing in Data1","Present")</f>
        <v>Present</v>
      </c>
    </row>
    <row r="2094" spans="1:5" x14ac:dyDescent="0.25">
      <c r="A2094" s="2" t="s">
        <v>2270</v>
      </c>
      <c r="B2094" s="2" t="s">
        <v>1227</v>
      </c>
      <c r="C2094" s="2">
        <v>5</v>
      </c>
      <c r="D2094" t="str">
        <f t="shared" si="32"/>
        <v>CA-2015-120880_OFF-BI-10002931</v>
      </c>
      <c r="E2094" t="str">
        <f>IF(COUNTIF(data1!$D:$D,D2094)=0,"Missing in Data1","Present")</f>
        <v>Present</v>
      </c>
    </row>
    <row r="2095" spans="1:5" x14ac:dyDescent="0.25">
      <c r="A2095" s="2" t="s">
        <v>2270</v>
      </c>
      <c r="B2095" s="2" t="s">
        <v>2051</v>
      </c>
      <c r="C2095" s="2">
        <v>5</v>
      </c>
      <c r="D2095" t="str">
        <f t="shared" si="32"/>
        <v>CA-2015-120880_OFF-PA-10004101</v>
      </c>
      <c r="E2095" t="str">
        <f>IF(COUNTIF(data1!$D:$D,D2095)=0,"Missing in Data1","Present")</f>
        <v>Present</v>
      </c>
    </row>
    <row r="2096" spans="1:5" x14ac:dyDescent="0.25">
      <c r="A2096" s="2" t="s">
        <v>2270</v>
      </c>
      <c r="B2096" s="2" t="s">
        <v>258</v>
      </c>
      <c r="C2096" s="2">
        <v>3</v>
      </c>
      <c r="D2096" t="str">
        <f t="shared" si="32"/>
        <v>CA-2015-120880_OFF-ST-10001496</v>
      </c>
      <c r="E2096" t="str">
        <f>IF(COUNTIF(data1!$D:$D,D2096)=0,"Missing in Data1","Present")</f>
        <v>Present</v>
      </c>
    </row>
    <row r="2097" spans="1:5" x14ac:dyDescent="0.25">
      <c r="A2097" s="2" t="s">
        <v>2271</v>
      </c>
      <c r="B2097" s="2" t="s">
        <v>1358</v>
      </c>
      <c r="C2097" s="2">
        <v>2</v>
      </c>
      <c r="D2097" t="str">
        <f t="shared" si="32"/>
        <v>CA-2015-120901_OFF-FA-10001561</v>
      </c>
      <c r="E2097" t="str">
        <f>IF(COUNTIF(data1!$D:$D,D2097)=0,"Missing in Data1","Present")</f>
        <v>Present</v>
      </c>
    </row>
    <row r="2098" spans="1:5" x14ac:dyDescent="0.25">
      <c r="A2098" s="2" t="s">
        <v>2271</v>
      </c>
      <c r="B2098" s="2" t="s">
        <v>1657</v>
      </c>
      <c r="C2098" s="2">
        <v>2</v>
      </c>
      <c r="D2098" t="str">
        <f t="shared" si="32"/>
        <v>CA-2015-120901_OFF-ST-10000025</v>
      </c>
      <c r="E2098" t="str">
        <f>IF(COUNTIF(data1!$D:$D,D2098)=0,"Missing in Data1","Present")</f>
        <v>Present</v>
      </c>
    </row>
    <row r="2099" spans="1:5" x14ac:dyDescent="0.25">
      <c r="A2099" s="2" t="s">
        <v>2271</v>
      </c>
      <c r="B2099" s="2" t="s">
        <v>219</v>
      </c>
      <c r="C2099" s="2">
        <v>2</v>
      </c>
      <c r="D2099" t="str">
        <f t="shared" si="32"/>
        <v>CA-2015-120901_OFF-SU-10001225</v>
      </c>
      <c r="E2099" t="str">
        <f>IF(COUNTIF(data1!$D:$D,D2099)=0,"Missing in Data1","Present")</f>
        <v>Present</v>
      </c>
    </row>
    <row r="2100" spans="1:5" x14ac:dyDescent="0.25">
      <c r="A2100" s="2" t="s">
        <v>2272</v>
      </c>
      <c r="B2100" s="2" t="s">
        <v>518</v>
      </c>
      <c r="C2100" s="2">
        <v>6</v>
      </c>
      <c r="D2100" t="str">
        <f t="shared" si="32"/>
        <v>CA-2015-120915_OFF-AP-10002578</v>
      </c>
      <c r="E2100" t="str">
        <f>IF(COUNTIF(data1!$D:$D,D2100)=0,"Missing in Data1","Present")</f>
        <v>Present</v>
      </c>
    </row>
    <row r="2101" spans="1:5" x14ac:dyDescent="0.25">
      <c r="A2101" s="2" t="s">
        <v>2272</v>
      </c>
      <c r="B2101" s="2" t="s">
        <v>1980</v>
      </c>
      <c r="C2101" s="2">
        <v>2</v>
      </c>
      <c r="D2101" t="str">
        <f t="shared" si="32"/>
        <v>CA-2015-120915_TEC-PH-10003012</v>
      </c>
      <c r="E2101" t="str">
        <f>IF(COUNTIF(data1!$D:$D,D2101)=0,"Missing in Data1","Present")</f>
        <v>Present</v>
      </c>
    </row>
    <row r="2102" spans="1:5" x14ac:dyDescent="0.25">
      <c r="A2102" s="2" t="s">
        <v>2275</v>
      </c>
      <c r="B2102" s="2" t="s">
        <v>1785</v>
      </c>
      <c r="C2102" s="2">
        <v>2</v>
      </c>
      <c r="D2102" t="str">
        <f t="shared" si="32"/>
        <v>CA-2015-121097_OFF-PA-10001937</v>
      </c>
      <c r="E2102" t="str">
        <f>IF(COUNTIF(data1!$D:$D,D2102)=0,"Missing in Data1","Present")</f>
        <v>Present</v>
      </c>
    </row>
    <row r="2103" spans="1:5" x14ac:dyDescent="0.25">
      <c r="A2103" s="2" t="s">
        <v>2276</v>
      </c>
      <c r="B2103" s="2" t="s">
        <v>1662</v>
      </c>
      <c r="C2103" s="2">
        <v>4</v>
      </c>
      <c r="D2103" t="str">
        <f t="shared" si="32"/>
        <v>CA-2015-121132_OFF-FA-10004248</v>
      </c>
      <c r="E2103" t="str">
        <f>IF(COUNTIF(data1!$D:$D,D2103)=0,"Missing in Data1","Present")</f>
        <v>Present</v>
      </c>
    </row>
    <row r="2104" spans="1:5" x14ac:dyDescent="0.25">
      <c r="A2104" s="2" t="s">
        <v>2276</v>
      </c>
      <c r="B2104" s="2" t="s">
        <v>1783</v>
      </c>
      <c r="C2104" s="2">
        <v>3</v>
      </c>
      <c r="D2104" t="str">
        <f t="shared" si="32"/>
        <v>CA-2015-121132_OFF-LA-10002368</v>
      </c>
      <c r="E2104" t="str">
        <f>IF(COUNTIF(data1!$D:$D,D2104)=0,"Missing in Data1","Present")</f>
        <v>Present</v>
      </c>
    </row>
    <row r="2105" spans="1:5" x14ac:dyDescent="0.25">
      <c r="A2105" s="2" t="s">
        <v>2277</v>
      </c>
      <c r="B2105" s="2" t="s">
        <v>2278</v>
      </c>
      <c r="C2105" s="2">
        <v>2</v>
      </c>
      <c r="D2105" t="str">
        <f t="shared" si="32"/>
        <v>CA-2015-121188_FUR-BO-10004695</v>
      </c>
      <c r="E2105" t="str">
        <f>IF(COUNTIF(data1!$D:$D,D2105)=0,"Missing in Data1","Present")</f>
        <v>Present</v>
      </c>
    </row>
    <row r="2106" spans="1:5" x14ac:dyDescent="0.25">
      <c r="A2106" s="2" t="s">
        <v>2277</v>
      </c>
      <c r="B2106" s="2" t="s">
        <v>170</v>
      </c>
      <c r="C2106" s="2">
        <v>2</v>
      </c>
      <c r="D2106" t="str">
        <f t="shared" si="32"/>
        <v>CA-2015-121188_FUR-FU-10003981</v>
      </c>
      <c r="E2106" t="str">
        <f>IF(COUNTIF(data1!$D:$D,D2106)=0,"Missing in Data1","Present")</f>
        <v>Present</v>
      </c>
    </row>
    <row r="2107" spans="1:5" x14ac:dyDescent="0.25">
      <c r="A2107" s="2" t="s">
        <v>2277</v>
      </c>
      <c r="B2107" s="2" t="s">
        <v>509</v>
      </c>
      <c r="C2107" s="2">
        <v>5</v>
      </c>
      <c r="D2107" t="str">
        <f t="shared" si="32"/>
        <v>CA-2015-121188_OFF-BI-10001617</v>
      </c>
      <c r="E2107" t="str">
        <f>IF(COUNTIF(data1!$D:$D,D2107)=0,"Missing in Data1","Present")</f>
        <v>Present</v>
      </c>
    </row>
    <row r="2108" spans="1:5" x14ac:dyDescent="0.25">
      <c r="A2108" s="2" t="s">
        <v>2277</v>
      </c>
      <c r="B2108" s="2" t="s">
        <v>299</v>
      </c>
      <c r="C2108" s="2">
        <v>9</v>
      </c>
      <c r="D2108" t="str">
        <f t="shared" si="32"/>
        <v>CA-2015-121188_OFF-ST-10000736</v>
      </c>
      <c r="E2108" t="str">
        <f>IF(COUNTIF(data1!$D:$D,D2108)=0,"Missing in Data1","Present")</f>
        <v>Present</v>
      </c>
    </row>
    <row r="2109" spans="1:5" x14ac:dyDescent="0.25">
      <c r="A2109" s="2" t="s">
        <v>2277</v>
      </c>
      <c r="B2109" s="2" t="s">
        <v>34</v>
      </c>
      <c r="C2109" s="2">
        <v>5</v>
      </c>
      <c r="D2109" t="str">
        <f t="shared" si="32"/>
        <v>CA-2015-121188_OFF-ST-10001490</v>
      </c>
      <c r="E2109" t="str">
        <f>IF(COUNTIF(data1!$D:$D,D2109)=0,"Missing in Data1","Present")</f>
        <v>Present</v>
      </c>
    </row>
    <row r="2110" spans="1:5" x14ac:dyDescent="0.25">
      <c r="A2110" s="2" t="s">
        <v>2277</v>
      </c>
      <c r="B2110" s="2" t="s">
        <v>716</v>
      </c>
      <c r="C2110" s="2">
        <v>3</v>
      </c>
      <c r="D2110" t="str">
        <f t="shared" si="32"/>
        <v>CA-2015-121188_TEC-PH-10003589</v>
      </c>
      <c r="E2110" t="str">
        <f>IF(COUNTIF(data1!$D:$D,D2110)=0,"Missing in Data1","Present")</f>
        <v>Present</v>
      </c>
    </row>
    <row r="2111" spans="1:5" x14ac:dyDescent="0.25">
      <c r="A2111" s="2" t="s">
        <v>2279</v>
      </c>
      <c r="B2111" s="2" t="s">
        <v>2280</v>
      </c>
      <c r="C2111" s="2">
        <v>4</v>
      </c>
      <c r="D2111" t="str">
        <f t="shared" si="32"/>
        <v>CA-2015-121272_OFF-AP-10001947</v>
      </c>
      <c r="E2111" t="str">
        <f>IF(COUNTIF(data1!$D:$D,D2111)=0,"Missing in Data1","Present")</f>
        <v>Present</v>
      </c>
    </row>
    <row r="2112" spans="1:5" x14ac:dyDescent="0.25">
      <c r="A2112" s="2" t="s">
        <v>2281</v>
      </c>
      <c r="B2112" s="2" t="s">
        <v>2282</v>
      </c>
      <c r="C2112" s="2">
        <v>2</v>
      </c>
      <c r="D2112" t="str">
        <f t="shared" si="32"/>
        <v>CA-2015-121391_OFF-ST-10001590</v>
      </c>
      <c r="E2112" t="str">
        <f>IF(COUNTIF(data1!$D:$D,D2112)=0,"Missing in Data1","Present")</f>
        <v>Present</v>
      </c>
    </row>
    <row r="2113" spans="1:5" x14ac:dyDescent="0.25">
      <c r="A2113" s="2" t="s">
        <v>2283</v>
      </c>
      <c r="B2113" s="2" t="s">
        <v>309</v>
      </c>
      <c r="C2113" s="2">
        <v>5</v>
      </c>
      <c r="D2113" t="str">
        <f t="shared" si="32"/>
        <v>CA-2015-121405_OFF-PA-10001838</v>
      </c>
      <c r="E2113" t="str">
        <f>IF(COUNTIF(data1!$D:$D,D2113)=0,"Missing in Data1","Present")</f>
        <v>Present</v>
      </c>
    </row>
    <row r="2114" spans="1:5" x14ac:dyDescent="0.25">
      <c r="A2114" s="2" t="s">
        <v>2283</v>
      </c>
      <c r="B2114" s="2" t="s">
        <v>737</v>
      </c>
      <c r="C2114" s="2">
        <v>5</v>
      </c>
      <c r="D2114" t="str">
        <f t="shared" si="32"/>
        <v>CA-2015-121405_TEC-PH-10002890</v>
      </c>
      <c r="E2114" t="str">
        <f>IF(COUNTIF(data1!$D:$D,D2114)=0,"Missing in Data1","Present")</f>
        <v>Present</v>
      </c>
    </row>
    <row r="2115" spans="1:5" x14ac:dyDescent="0.25">
      <c r="A2115" s="2" t="s">
        <v>2284</v>
      </c>
      <c r="B2115" s="2" t="s">
        <v>2285</v>
      </c>
      <c r="C2115" s="2">
        <v>4</v>
      </c>
      <c r="D2115" t="str">
        <f t="shared" ref="D2115:D2178" si="33">A2115&amp;"_"&amp;B2115</f>
        <v>CA-2015-121552_OFF-AR-10003217</v>
      </c>
      <c r="E2115" t="str">
        <f>IF(COUNTIF(data1!$D:$D,D2115)=0,"Missing in Data1","Present")</f>
        <v>Present</v>
      </c>
    </row>
    <row r="2116" spans="1:5" x14ac:dyDescent="0.25">
      <c r="A2116" s="2" t="s">
        <v>2286</v>
      </c>
      <c r="B2116" s="2" t="s">
        <v>1787</v>
      </c>
      <c r="C2116" s="2">
        <v>2</v>
      </c>
      <c r="D2116" t="str">
        <f t="shared" si="33"/>
        <v>CA-2015-121608_OFF-AP-10002311</v>
      </c>
      <c r="E2116" t="str">
        <f>IF(COUNTIF(data1!$D:$D,D2116)=0,"Missing in Data1","Present")</f>
        <v>Present</v>
      </c>
    </row>
    <row r="2117" spans="1:5" x14ac:dyDescent="0.25">
      <c r="A2117" s="2" t="s">
        <v>2286</v>
      </c>
      <c r="B2117" s="2" t="s">
        <v>1722</v>
      </c>
      <c r="C2117" s="2">
        <v>1</v>
      </c>
      <c r="D2117" t="str">
        <f t="shared" si="33"/>
        <v>CA-2015-121608_TEC-PH-10004959</v>
      </c>
      <c r="E2117" t="str">
        <f>IF(COUNTIF(data1!$D:$D,D2117)=0,"Missing in Data1","Present")</f>
        <v>Present</v>
      </c>
    </row>
    <row r="2118" spans="1:5" x14ac:dyDescent="0.25">
      <c r="A2118" s="2" t="s">
        <v>2287</v>
      </c>
      <c r="B2118" s="2" t="s">
        <v>1333</v>
      </c>
      <c r="C2118" s="2">
        <v>2</v>
      </c>
      <c r="D2118" t="str">
        <f t="shared" si="33"/>
        <v>CA-2015-121650_FUR-CH-10004289</v>
      </c>
      <c r="E2118" t="str">
        <f>IF(COUNTIF(data1!$D:$D,D2118)=0,"Missing in Data1","Present")</f>
        <v>Present</v>
      </c>
    </row>
    <row r="2119" spans="1:5" x14ac:dyDescent="0.25">
      <c r="A2119" s="2" t="s">
        <v>2287</v>
      </c>
      <c r="B2119" s="2" t="s">
        <v>766</v>
      </c>
      <c r="C2119" s="2">
        <v>2</v>
      </c>
      <c r="D2119" t="str">
        <f t="shared" si="33"/>
        <v>CA-2015-121650_FUR-TA-10003569</v>
      </c>
      <c r="E2119" t="str">
        <f>IF(COUNTIF(data1!$D:$D,D2119)=0,"Missing in Data1","Present")</f>
        <v>Present</v>
      </c>
    </row>
    <row r="2120" spans="1:5" x14ac:dyDescent="0.25">
      <c r="A2120" s="2" t="s">
        <v>2287</v>
      </c>
      <c r="B2120" s="2" t="s">
        <v>681</v>
      </c>
      <c r="C2120" s="2">
        <v>2</v>
      </c>
      <c r="D2120" t="str">
        <f t="shared" si="33"/>
        <v>CA-2015-121650_OFF-AR-10001149</v>
      </c>
      <c r="E2120" t="str">
        <f>IF(COUNTIF(data1!$D:$D,D2120)=0,"Missing in Data1","Present")</f>
        <v>Present</v>
      </c>
    </row>
    <row r="2121" spans="1:5" x14ac:dyDescent="0.25">
      <c r="A2121" s="2" t="s">
        <v>2287</v>
      </c>
      <c r="B2121" s="2" t="s">
        <v>1623</v>
      </c>
      <c r="C2121" s="2">
        <v>1</v>
      </c>
      <c r="D2121" t="str">
        <f t="shared" si="33"/>
        <v>CA-2015-121650_OFF-LA-10001045</v>
      </c>
      <c r="E2121" t="str">
        <f>IF(COUNTIF(data1!$D:$D,D2121)=0,"Missing in Data1","Present")</f>
        <v>Missing in Data1</v>
      </c>
    </row>
    <row r="2122" spans="1:5" x14ac:dyDescent="0.25">
      <c r="A2122" s="2" t="s">
        <v>2288</v>
      </c>
      <c r="B2122" s="2" t="s">
        <v>820</v>
      </c>
      <c r="C2122" s="2">
        <v>5</v>
      </c>
      <c r="D2122" t="str">
        <f t="shared" si="33"/>
        <v>CA-2015-121699_OFF-BI-10004632</v>
      </c>
      <c r="E2122" t="str">
        <f>IF(COUNTIF(data1!$D:$D,D2122)=0,"Missing in Data1","Present")</f>
        <v>Present</v>
      </c>
    </row>
    <row r="2123" spans="1:5" x14ac:dyDescent="0.25">
      <c r="A2123" s="2" t="s">
        <v>2289</v>
      </c>
      <c r="B2123" s="2" t="s">
        <v>2291</v>
      </c>
      <c r="C2123" s="2">
        <v>3</v>
      </c>
      <c r="D2123" t="str">
        <f t="shared" si="33"/>
        <v>CA-2015-121720_FUR-FU-10003464</v>
      </c>
      <c r="E2123" t="str">
        <f>IF(COUNTIF(data1!$D:$D,D2123)=0,"Missing in Data1","Present")</f>
        <v>Present</v>
      </c>
    </row>
    <row r="2124" spans="1:5" x14ac:dyDescent="0.25">
      <c r="A2124" s="2" t="s">
        <v>2289</v>
      </c>
      <c r="B2124" s="2" t="s">
        <v>23</v>
      </c>
      <c r="C2124" s="2">
        <v>2</v>
      </c>
      <c r="D2124" t="str">
        <f t="shared" si="33"/>
        <v>CA-2015-121720_OFF-AR-10000380</v>
      </c>
      <c r="E2124" t="str">
        <f>IF(COUNTIF(data1!$D:$D,D2124)=0,"Missing in Data1","Present")</f>
        <v>Present</v>
      </c>
    </row>
    <row r="2125" spans="1:5" x14ac:dyDescent="0.25">
      <c r="A2125" s="2" t="s">
        <v>2289</v>
      </c>
      <c r="B2125" s="2" t="s">
        <v>2292</v>
      </c>
      <c r="C2125" s="2">
        <v>2</v>
      </c>
      <c r="D2125" t="str">
        <f t="shared" si="33"/>
        <v>CA-2015-121720_OFF-BI-10001308</v>
      </c>
      <c r="E2125" t="str">
        <f>IF(COUNTIF(data1!$D:$D,D2125)=0,"Missing in Data1","Present")</f>
        <v>Present</v>
      </c>
    </row>
    <row r="2126" spans="1:5" x14ac:dyDescent="0.25">
      <c r="A2126" s="2" t="s">
        <v>2289</v>
      </c>
      <c r="B2126" s="2" t="s">
        <v>404</v>
      </c>
      <c r="C2126" s="2">
        <v>5</v>
      </c>
      <c r="D2126" t="str">
        <f t="shared" si="33"/>
        <v>CA-2015-121720_OFF-BI-10004593</v>
      </c>
      <c r="E2126" t="str">
        <f>IF(COUNTIF(data1!$D:$D,D2126)=0,"Missing in Data1","Present")</f>
        <v>Present</v>
      </c>
    </row>
    <row r="2127" spans="1:5" x14ac:dyDescent="0.25">
      <c r="A2127" s="2" t="s">
        <v>2289</v>
      </c>
      <c r="B2127" s="2" t="s">
        <v>2293</v>
      </c>
      <c r="C2127" s="2">
        <v>2</v>
      </c>
      <c r="D2127" t="str">
        <f t="shared" si="33"/>
        <v>CA-2015-121720_OFF-ST-10001780</v>
      </c>
      <c r="E2127" t="str">
        <f>IF(COUNTIF(data1!$D:$D,D2127)=0,"Missing in Data1","Present")</f>
        <v>Present</v>
      </c>
    </row>
    <row r="2128" spans="1:5" x14ac:dyDescent="0.25">
      <c r="A2128" s="2" t="s">
        <v>2289</v>
      </c>
      <c r="B2128" s="2" t="s">
        <v>2294</v>
      </c>
      <c r="C2128" s="2">
        <v>4</v>
      </c>
      <c r="D2128" t="str">
        <f t="shared" si="33"/>
        <v>CA-2015-121720_OFF-ST-10003816</v>
      </c>
      <c r="E2128" t="str">
        <f>IF(COUNTIF(data1!$D:$D,D2128)=0,"Missing in Data1","Present")</f>
        <v>Present</v>
      </c>
    </row>
    <row r="2129" spans="1:5" x14ac:dyDescent="0.25">
      <c r="A2129" s="2" t="s">
        <v>2289</v>
      </c>
      <c r="B2129" s="2" t="s">
        <v>2176</v>
      </c>
      <c r="C2129" s="2">
        <v>2</v>
      </c>
      <c r="D2129" t="str">
        <f t="shared" si="33"/>
        <v>CA-2015-121720_TEC-PH-10002496</v>
      </c>
      <c r="E2129" t="str">
        <f>IF(COUNTIF(data1!$D:$D,D2129)=0,"Missing in Data1","Present")</f>
        <v>Present</v>
      </c>
    </row>
    <row r="2130" spans="1:5" x14ac:dyDescent="0.25">
      <c r="A2130" s="2" t="s">
        <v>2295</v>
      </c>
      <c r="B2130" s="2" t="s">
        <v>557</v>
      </c>
      <c r="C2130" s="2">
        <v>7</v>
      </c>
      <c r="D2130" t="str">
        <f t="shared" si="33"/>
        <v>CA-2015-121776_OFF-LA-10002762</v>
      </c>
      <c r="E2130" t="str">
        <f>IF(COUNTIF(data1!$D:$D,D2130)=0,"Missing in Data1","Present")</f>
        <v>Present</v>
      </c>
    </row>
    <row r="2131" spans="1:5" x14ac:dyDescent="0.25">
      <c r="A2131" s="2" t="s">
        <v>2295</v>
      </c>
      <c r="B2131" s="2" t="s">
        <v>1039</v>
      </c>
      <c r="C2131" s="2">
        <v>3</v>
      </c>
      <c r="D2131" t="str">
        <f t="shared" si="33"/>
        <v>CA-2015-121776_OFF-PA-10001970</v>
      </c>
      <c r="E2131" t="str">
        <f>IF(COUNTIF(data1!$D:$D,D2131)=0,"Missing in Data1","Present")</f>
        <v>Present</v>
      </c>
    </row>
    <row r="2132" spans="1:5" x14ac:dyDescent="0.25">
      <c r="A2132" s="2" t="s">
        <v>2296</v>
      </c>
      <c r="B2132" s="2" t="s">
        <v>1293</v>
      </c>
      <c r="C2132" s="2">
        <v>3</v>
      </c>
      <c r="D2132" t="str">
        <f t="shared" si="33"/>
        <v>CA-2015-121783_FUR-FU-10004351</v>
      </c>
      <c r="E2132" t="str">
        <f>IF(COUNTIF(data1!$D:$D,D2132)=0,"Missing in Data1","Present")</f>
        <v>Present</v>
      </c>
    </row>
    <row r="2133" spans="1:5" x14ac:dyDescent="0.25">
      <c r="A2133" s="2" t="s">
        <v>2296</v>
      </c>
      <c r="B2133" s="2" t="s">
        <v>2130</v>
      </c>
      <c r="C2133" s="2">
        <v>2</v>
      </c>
      <c r="D2133" t="str">
        <f t="shared" si="33"/>
        <v>CA-2015-121783_OFF-AP-10003849</v>
      </c>
      <c r="E2133" t="str">
        <f>IF(COUNTIF(data1!$D:$D,D2133)=0,"Missing in Data1","Present")</f>
        <v>Present</v>
      </c>
    </row>
    <row r="2134" spans="1:5" x14ac:dyDescent="0.25">
      <c r="A2134" s="2" t="s">
        <v>2296</v>
      </c>
      <c r="B2134" s="2" t="s">
        <v>190</v>
      </c>
      <c r="C2134" s="2">
        <v>3</v>
      </c>
      <c r="D2134" t="str">
        <f t="shared" si="33"/>
        <v>CA-2015-121783_OFF-BI-10001658</v>
      </c>
      <c r="E2134" t="str">
        <f>IF(COUNTIF(data1!$D:$D,D2134)=0,"Missing in Data1","Present")</f>
        <v>Present</v>
      </c>
    </row>
    <row r="2135" spans="1:5" x14ac:dyDescent="0.25">
      <c r="A2135" s="2" t="s">
        <v>2296</v>
      </c>
      <c r="B2135" s="2" t="s">
        <v>835</v>
      </c>
      <c r="C2135" s="2">
        <v>3</v>
      </c>
      <c r="D2135" t="str">
        <f t="shared" si="33"/>
        <v>CA-2015-121783_OFF-ST-10000078</v>
      </c>
      <c r="E2135" t="str">
        <f>IF(COUNTIF(data1!$D:$D,D2135)=0,"Missing in Data1","Present")</f>
        <v>Present</v>
      </c>
    </row>
    <row r="2136" spans="1:5" x14ac:dyDescent="0.25">
      <c r="A2136" s="2" t="s">
        <v>2296</v>
      </c>
      <c r="B2136" s="2" t="s">
        <v>759</v>
      </c>
      <c r="C2136" s="2">
        <v>1</v>
      </c>
      <c r="D2136" t="str">
        <f t="shared" si="33"/>
        <v>CA-2015-121783_TEC-CO-10001571</v>
      </c>
      <c r="E2136" t="str">
        <f>IF(COUNTIF(data1!$D:$D,D2136)=0,"Missing in Data1","Present")</f>
        <v>Present</v>
      </c>
    </row>
    <row r="2137" spans="1:5" x14ac:dyDescent="0.25">
      <c r="A2137" s="2" t="s">
        <v>2297</v>
      </c>
      <c r="B2137" s="2" t="s">
        <v>1163</v>
      </c>
      <c r="C2137" s="2">
        <v>7</v>
      </c>
      <c r="D2137" t="str">
        <f t="shared" si="33"/>
        <v>CA-2015-121797_FUR-FU-10001876</v>
      </c>
      <c r="E2137" t="str">
        <f>IF(COUNTIF(data1!$D:$D,D2137)=0,"Missing in Data1","Present")</f>
        <v>Present</v>
      </c>
    </row>
    <row r="2138" spans="1:5" x14ac:dyDescent="0.25">
      <c r="A2138" s="2" t="s">
        <v>2297</v>
      </c>
      <c r="B2138" s="2" t="s">
        <v>2298</v>
      </c>
      <c r="C2138" s="2">
        <v>3</v>
      </c>
      <c r="D2138" t="str">
        <f t="shared" si="33"/>
        <v>CA-2015-121797_TEC-MA-10000488</v>
      </c>
      <c r="E2138" t="str">
        <f>IF(COUNTIF(data1!$D:$D,D2138)=0,"Missing in Data1","Present")</f>
        <v>Present</v>
      </c>
    </row>
    <row r="2139" spans="1:5" x14ac:dyDescent="0.25">
      <c r="A2139" s="2" t="s">
        <v>2299</v>
      </c>
      <c r="B2139" s="2" t="s">
        <v>2300</v>
      </c>
      <c r="C2139" s="2">
        <v>2</v>
      </c>
      <c r="D2139" t="str">
        <f t="shared" si="33"/>
        <v>CA-2015-121965_FUR-FU-10000732</v>
      </c>
      <c r="E2139" t="str">
        <f>IF(COUNTIF(data1!$D:$D,D2139)=0,"Missing in Data1","Present")</f>
        <v>Present</v>
      </c>
    </row>
    <row r="2140" spans="1:5" x14ac:dyDescent="0.25">
      <c r="A2140" s="2" t="s">
        <v>2299</v>
      </c>
      <c r="B2140" s="2" t="s">
        <v>18</v>
      </c>
      <c r="C2140" s="2">
        <v>3</v>
      </c>
      <c r="D2140" t="str">
        <f t="shared" si="33"/>
        <v>CA-2015-121965_OFF-EN-10000056</v>
      </c>
      <c r="E2140" t="str">
        <f>IF(COUNTIF(data1!$D:$D,D2140)=0,"Missing in Data1","Present")</f>
        <v>Present</v>
      </c>
    </row>
    <row r="2141" spans="1:5" x14ac:dyDescent="0.25">
      <c r="A2141" s="2" t="s">
        <v>2299</v>
      </c>
      <c r="B2141" s="2" t="s">
        <v>2301</v>
      </c>
      <c r="C2141" s="2">
        <v>1</v>
      </c>
      <c r="D2141" t="str">
        <f t="shared" si="33"/>
        <v>CA-2015-121965_OFF-PA-10004355</v>
      </c>
      <c r="E2141" t="str">
        <f>IF(COUNTIF(data1!$D:$D,D2141)=0,"Missing in Data1","Present")</f>
        <v>Present</v>
      </c>
    </row>
    <row r="2142" spans="1:5" x14ac:dyDescent="0.25">
      <c r="A2142" s="2" t="s">
        <v>2302</v>
      </c>
      <c r="B2142" s="2" t="s">
        <v>882</v>
      </c>
      <c r="C2142" s="2">
        <v>12</v>
      </c>
      <c r="D2142" t="str">
        <f t="shared" si="33"/>
        <v>CA-2015-122168_OFF-AR-10002053</v>
      </c>
      <c r="E2142" t="str">
        <f>IF(COUNTIF(data1!$D:$D,D2142)=0,"Missing in Data1","Present")</f>
        <v>Present</v>
      </c>
    </row>
    <row r="2143" spans="1:5" x14ac:dyDescent="0.25">
      <c r="A2143" s="2" t="s">
        <v>2302</v>
      </c>
      <c r="B2143" s="2" t="s">
        <v>2303</v>
      </c>
      <c r="C2143" s="2">
        <v>3</v>
      </c>
      <c r="D2143" t="str">
        <f t="shared" si="33"/>
        <v>CA-2015-122168_OFF-AR-10003602</v>
      </c>
      <c r="E2143" t="str">
        <f>IF(COUNTIF(data1!$D:$D,D2143)=0,"Missing in Data1","Present")</f>
        <v>Present</v>
      </c>
    </row>
    <row r="2144" spans="1:5" x14ac:dyDescent="0.25">
      <c r="A2144" s="2" t="s">
        <v>2304</v>
      </c>
      <c r="B2144" s="2" t="s">
        <v>702</v>
      </c>
      <c r="C2144" s="2">
        <v>3</v>
      </c>
      <c r="D2144" t="str">
        <f t="shared" si="33"/>
        <v>CA-2015-122210_OFF-BI-10003656</v>
      </c>
      <c r="E2144" t="str">
        <f>IF(COUNTIF(data1!$D:$D,D2144)=0,"Missing in Data1","Present")</f>
        <v>Present</v>
      </c>
    </row>
    <row r="2145" spans="1:5" x14ac:dyDescent="0.25">
      <c r="A2145" s="2" t="s">
        <v>2304</v>
      </c>
      <c r="B2145" s="2" t="s">
        <v>2305</v>
      </c>
      <c r="C2145" s="2">
        <v>7</v>
      </c>
      <c r="D2145" t="str">
        <f t="shared" si="33"/>
        <v>CA-2015-122210_OFF-FA-10000053</v>
      </c>
      <c r="E2145" t="str">
        <f>IF(COUNTIF(data1!$D:$D,D2145)=0,"Missing in Data1","Present")</f>
        <v>Present</v>
      </c>
    </row>
    <row r="2146" spans="1:5" x14ac:dyDescent="0.25">
      <c r="A2146" s="2" t="s">
        <v>2304</v>
      </c>
      <c r="B2146" s="2" t="s">
        <v>2306</v>
      </c>
      <c r="C2146" s="2">
        <v>4</v>
      </c>
      <c r="D2146" t="str">
        <f t="shared" si="33"/>
        <v>CA-2015-122210_TEC-PH-10002807</v>
      </c>
      <c r="E2146" t="str">
        <f>IF(COUNTIF(data1!$D:$D,D2146)=0,"Missing in Data1","Present")</f>
        <v>Present</v>
      </c>
    </row>
    <row r="2147" spans="1:5" x14ac:dyDescent="0.25">
      <c r="A2147" s="2" t="s">
        <v>2307</v>
      </c>
      <c r="B2147" s="2" t="s">
        <v>1948</v>
      </c>
      <c r="C2147" s="2">
        <v>4</v>
      </c>
      <c r="D2147" t="str">
        <f t="shared" si="33"/>
        <v>CA-2015-122259_OFF-SU-10002573</v>
      </c>
      <c r="E2147" t="str">
        <f>IF(COUNTIF(data1!$D:$D,D2147)=0,"Missing in Data1","Present")</f>
        <v>Present</v>
      </c>
    </row>
    <row r="2148" spans="1:5" x14ac:dyDescent="0.25">
      <c r="A2148" s="2" t="s">
        <v>2308</v>
      </c>
      <c r="B2148" s="2" t="s">
        <v>869</v>
      </c>
      <c r="C2148" s="2">
        <v>1</v>
      </c>
      <c r="D2148" t="str">
        <f t="shared" si="33"/>
        <v>CA-2015-122266_FUR-TA-10000577</v>
      </c>
      <c r="E2148" t="str">
        <f>IF(COUNTIF(data1!$D:$D,D2148)=0,"Missing in Data1","Present")</f>
        <v>Present</v>
      </c>
    </row>
    <row r="2149" spans="1:5" x14ac:dyDescent="0.25">
      <c r="A2149" s="2" t="s">
        <v>2308</v>
      </c>
      <c r="B2149" s="2" t="s">
        <v>58</v>
      </c>
      <c r="C2149" s="2">
        <v>1</v>
      </c>
      <c r="D2149" t="str">
        <f t="shared" si="33"/>
        <v>CA-2015-122266_OFF-AR-10004757</v>
      </c>
      <c r="E2149" t="str">
        <f>IF(COUNTIF(data1!$D:$D,D2149)=0,"Missing in Data1","Present")</f>
        <v>Present</v>
      </c>
    </row>
    <row r="2150" spans="1:5" x14ac:dyDescent="0.25">
      <c r="A2150" s="2" t="s">
        <v>2309</v>
      </c>
      <c r="B2150" s="2" t="s">
        <v>2310</v>
      </c>
      <c r="C2150" s="2">
        <v>5</v>
      </c>
      <c r="D2150" t="str">
        <f t="shared" si="33"/>
        <v>CA-2015-122287_FUR-FU-10004973</v>
      </c>
      <c r="E2150" t="str">
        <f>IF(COUNTIF(data1!$D:$D,D2150)=0,"Missing in Data1","Present")</f>
        <v>Present</v>
      </c>
    </row>
    <row r="2151" spans="1:5" x14ac:dyDescent="0.25">
      <c r="A2151" s="2" t="s">
        <v>2309</v>
      </c>
      <c r="B2151" s="2" t="s">
        <v>2040</v>
      </c>
      <c r="C2151" s="2">
        <v>2</v>
      </c>
      <c r="D2151" t="str">
        <f t="shared" si="33"/>
        <v>CA-2015-122287_OFF-BI-10003707</v>
      </c>
      <c r="E2151" t="str">
        <f>IF(COUNTIF(data1!$D:$D,D2151)=0,"Missing in Data1","Present")</f>
        <v>Present</v>
      </c>
    </row>
    <row r="2152" spans="1:5" x14ac:dyDescent="0.25">
      <c r="A2152" s="2" t="s">
        <v>2309</v>
      </c>
      <c r="B2152" s="2" t="s">
        <v>853</v>
      </c>
      <c r="C2152" s="2">
        <v>7</v>
      </c>
      <c r="D2152" t="str">
        <f t="shared" si="33"/>
        <v>CA-2015-122287_OFF-BI-10004656</v>
      </c>
      <c r="E2152" t="str">
        <f>IF(COUNTIF(data1!$D:$D,D2152)=0,"Missing in Data1","Present")</f>
        <v>Present</v>
      </c>
    </row>
    <row r="2153" spans="1:5" x14ac:dyDescent="0.25">
      <c r="A2153" s="2" t="s">
        <v>2309</v>
      </c>
      <c r="B2153" s="2" t="s">
        <v>2311</v>
      </c>
      <c r="C2153" s="2">
        <v>3</v>
      </c>
      <c r="D2153" t="str">
        <f t="shared" si="33"/>
        <v>CA-2015-122287_OFF-PA-10001661</v>
      </c>
      <c r="E2153" t="str">
        <f>IF(COUNTIF(data1!$D:$D,D2153)=0,"Missing in Data1","Present")</f>
        <v>Present</v>
      </c>
    </row>
    <row r="2154" spans="1:5" x14ac:dyDescent="0.25">
      <c r="A2154" s="2" t="s">
        <v>2312</v>
      </c>
      <c r="B2154" s="2" t="s">
        <v>18</v>
      </c>
      <c r="C2154" s="2">
        <v>2</v>
      </c>
      <c r="D2154" t="str">
        <f t="shared" si="33"/>
        <v>CA-2015-122371_OFF-EN-10000056</v>
      </c>
      <c r="E2154" t="str">
        <f>IF(COUNTIF(data1!$D:$D,D2154)=0,"Missing in Data1","Present")</f>
        <v>Present</v>
      </c>
    </row>
    <row r="2155" spans="1:5" x14ac:dyDescent="0.25">
      <c r="A2155" s="2" t="s">
        <v>2312</v>
      </c>
      <c r="B2155" s="2" t="s">
        <v>1178</v>
      </c>
      <c r="C2155" s="2">
        <v>3</v>
      </c>
      <c r="D2155" t="str">
        <f t="shared" si="33"/>
        <v>CA-2015-122371_OFF-ST-10002370</v>
      </c>
      <c r="E2155" t="str">
        <f>IF(COUNTIF(data1!$D:$D,D2155)=0,"Missing in Data1","Present")</f>
        <v>Present</v>
      </c>
    </row>
    <row r="2156" spans="1:5" x14ac:dyDescent="0.25">
      <c r="A2156" s="2" t="s">
        <v>2313</v>
      </c>
      <c r="B2156" s="2" t="s">
        <v>2314</v>
      </c>
      <c r="C2156" s="2">
        <v>1</v>
      </c>
      <c r="D2156" t="str">
        <f t="shared" si="33"/>
        <v>CA-2015-122406_FUR-CH-10001973</v>
      </c>
      <c r="E2156" t="str">
        <f>IF(COUNTIF(data1!$D:$D,D2156)=0,"Missing in Data1","Present")</f>
        <v>Present</v>
      </c>
    </row>
    <row r="2157" spans="1:5" x14ac:dyDescent="0.25">
      <c r="A2157" s="2" t="s">
        <v>2313</v>
      </c>
      <c r="B2157" s="2" t="s">
        <v>2108</v>
      </c>
      <c r="C2157" s="2">
        <v>2</v>
      </c>
      <c r="D2157" t="str">
        <f t="shared" si="33"/>
        <v>CA-2015-122406_OFF-PA-10001307</v>
      </c>
      <c r="E2157" t="str">
        <f>IF(COUNTIF(data1!$D:$D,D2157)=0,"Missing in Data1","Present")</f>
        <v>Present</v>
      </c>
    </row>
    <row r="2158" spans="1:5" x14ac:dyDescent="0.25">
      <c r="A2158" s="2" t="s">
        <v>2313</v>
      </c>
      <c r="B2158" s="2" t="s">
        <v>1133</v>
      </c>
      <c r="C2158" s="2">
        <v>2</v>
      </c>
      <c r="D2158" t="str">
        <f t="shared" si="33"/>
        <v>CA-2015-122406_TEC-AC-10004571</v>
      </c>
      <c r="E2158" t="str">
        <f>IF(COUNTIF(data1!$D:$D,D2158)=0,"Missing in Data1","Present")</f>
        <v>Present</v>
      </c>
    </row>
    <row r="2159" spans="1:5" x14ac:dyDescent="0.25">
      <c r="A2159" s="2" t="s">
        <v>2313</v>
      </c>
      <c r="B2159" s="2" t="s">
        <v>1914</v>
      </c>
      <c r="C2159" s="2">
        <v>3</v>
      </c>
      <c r="D2159" t="str">
        <f t="shared" si="33"/>
        <v>CA-2015-122406_TEC-PH-10001527</v>
      </c>
      <c r="E2159" t="str">
        <f>IF(COUNTIF(data1!$D:$D,D2159)=0,"Missing in Data1","Present")</f>
        <v>Present</v>
      </c>
    </row>
    <row r="2160" spans="1:5" x14ac:dyDescent="0.25">
      <c r="A2160" s="2" t="s">
        <v>2315</v>
      </c>
      <c r="B2160" s="2" t="s">
        <v>555</v>
      </c>
      <c r="C2160" s="2">
        <v>2</v>
      </c>
      <c r="D2160" t="str">
        <f t="shared" si="33"/>
        <v>CA-2015-122623_FUR-CH-10000553</v>
      </c>
      <c r="E2160" t="str">
        <f>IF(COUNTIF(data1!$D:$D,D2160)=0,"Missing in Data1","Present")</f>
        <v>Present</v>
      </c>
    </row>
    <row r="2161" spans="1:5" x14ac:dyDescent="0.25">
      <c r="A2161" s="2" t="s">
        <v>2316</v>
      </c>
      <c r="B2161" s="2" t="s">
        <v>2317</v>
      </c>
      <c r="C2161" s="2">
        <v>1</v>
      </c>
      <c r="D2161" t="str">
        <f t="shared" si="33"/>
        <v>CA-2015-122756_FUR-FU-10001935</v>
      </c>
      <c r="E2161" t="str">
        <f>IF(COUNTIF(data1!$D:$D,D2161)=0,"Missing in Data1","Present")</f>
        <v>Present</v>
      </c>
    </row>
    <row r="2162" spans="1:5" x14ac:dyDescent="0.25">
      <c r="A2162" s="2" t="s">
        <v>2316</v>
      </c>
      <c r="B2162" s="2" t="s">
        <v>2318</v>
      </c>
      <c r="C2162" s="2">
        <v>4</v>
      </c>
      <c r="D2162" t="str">
        <f t="shared" si="33"/>
        <v>CA-2015-122756_TEC-MA-10001681</v>
      </c>
      <c r="E2162" t="str">
        <f>IF(COUNTIF(data1!$D:$D,D2162)=0,"Missing in Data1","Present")</f>
        <v>Present</v>
      </c>
    </row>
    <row r="2163" spans="1:5" x14ac:dyDescent="0.25">
      <c r="A2163" s="2" t="s">
        <v>2321</v>
      </c>
      <c r="B2163" s="2" t="s">
        <v>1325</v>
      </c>
      <c r="C2163" s="2">
        <v>1</v>
      </c>
      <c r="D2163" t="str">
        <f t="shared" si="33"/>
        <v>CA-2015-122973_FUR-FU-10002364</v>
      </c>
      <c r="E2163" t="str">
        <f>IF(COUNTIF(data1!$D:$D,D2163)=0,"Missing in Data1","Present")</f>
        <v>Present</v>
      </c>
    </row>
    <row r="2164" spans="1:5" x14ac:dyDescent="0.25">
      <c r="A2164" s="2" t="s">
        <v>2321</v>
      </c>
      <c r="B2164" s="2" t="s">
        <v>2322</v>
      </c>
      <c r="C2164" s="2">
        <v>2</v>
      </c>
      <c r="D2164" t="str">
        <f t="shared" si="33"/>
        <v>CA-2015-122973_OFF-BI-10004182</v>
      </c>
      <c r="E2164" t="str">
        <f>IF(COUNTIF(data1!$D:$D,D2164)=0,"Missing in Data1","Present")</f>
        <v>Present</v>
      </c>
    </row>
    <row r="2165" spans="1:5" x14ac:dyDescent="0.25">
      <c r="A2165" s="2" t="s">
        <v>2321</v>
      </c>
      <c r="B2165" s="2" t="s">
        <v>200</v>
      </c>
      <c r="C2165" s="2">
        <v>1</v>
      </c>
      <c r="D2165" t="str">
        <f t="shared" si="33"/>
        <v>CA-2015-122973_TEC-PH-10002468</v>
      </c>
      <c r="E2165" t="str">
        <f>IF(COUNTIF(data1!$D:$D,D2165)=0,"Missing in Data1","Present")</f>
        <v>Present</v>
      </c>
    </row>
    <row r="2166" spans="1:5" x14ac:dyDescent="0.25">
      <c r="A2166" s="2" t="s">
        <v>2323</v>
      </c>
      <c r="B2166" s="2" t="s">
        <v>594</v>
      </c>
      <c r="C2166" s="2">
        <v>3</v>
      </c>
      <c r="D2166" t="str">
        <f t="shared" si="33"/>
        <v>CA-2015-123092_FUR-FU-10000222</v>
      </c>
      <c r="E2166" t="str">
        <f>IF(COUNTIF(data1!$D:$D,D2166)=0,"Missing in Data1","Present")</f>
        <v>Present</v>
      </c>
    </row>
    <row r="2167" spans="1:5" x14ac:dyDescent="0.25">
      <c r="A2167" s="2" t="s">
        <v>2323</v>
      </c>
      <c r="B2167" s="2" t="s">
        <v>1096</v>
      </c>
      <c r="C2167" s="2">
        <v>2</v>
      </c>
      <c r="D2167" t="str">
        <f t="shared" si="33"/>
        <v>CA-2015-123092_OFF-AR-10004078</v>
      </c>
      <c r="E2167" t="str">
        <f>IF(COUNTIF(data1!$D:$D,D2167)=0,"Missing in Data1","Present")</f>
        <v>Present</v>
      </c>
    </row>
    <row r="2168" spans="1:5" x14ac:dyDescent="0.25">
      <c r="A2168" s="2" t="s">
        <v>2323</v>
      </c>
      <c r="B2168" s="2" t="s">
        <v>2325</v>
      </c>
      <c r="C2168" s="2">
        <v>2</v>
      </c>
      <c r="D2168" t="str">
        <f t="shared" si="33"/>
        <v>CA-2015-123092_TEC-PH-10001700</v>
      </c>
      <c r="E2168" t="str">
        <f>IF(COUNTIF(data1!$D:$D,D2168)=0,"Missing in Data1","Present")</f>
        <v>Present</v>
      </c>
    </row>
    <row r="2169" spans="1:5" x14ac:dyDescent="0.25">
      <c r="A2169" s="2" t="s">
        <v>2326</v>
      </c>
      <c r="B2169" s="2" t="s">
        <v>2327</v>
      </c>
      <c r="C2169" s="2">
        <v>8</v>
      </c>
      <c r="D2169" t="str">
        <f t="shared" si="33"/>
        <v>CA-2015-123113_OFF-AP-10000275</v>
      </c>
      <c r="E2169" t="str">
        <f>IF(COUNTIF(data1!$D:$D,D2169)=0,"Missing in Data1","Present")</f>
        <v>Present</v>
      </c>
    </row>
    <row r="2170" spans="1:5" x14ac:dyDescent="0.25">
      <c r="A2170" s="2" t="s">
        <v>2328</v>
      </c>
      <c r="B2170" s="2" t="s">
        <v>415</v>
      </c>
      <c r="C2170" s="2">
        <v>3</v>
      </c>
      <c r="D2170" t="str">
        <f t="shared" si="33"/>
        <v>CA-2015-123141_FUR-CH-10001891</v>
      </c>
      <c r="E2170" t="str">
        <f>IF(COUNTIF(data1!$D:$D,D2170)=0,"Missing in Data1","Present")</f>
        <v>Present</v>
      </c>
    </row>
    <row r="2171" spans="1:5" x14ac:dyDescent="0.25">
      <c r="A2171" s="2" t="s">
        <v>2328</v>
      </c>
      <c r="B2171" s="2" t="s">
        <v>1083</v>
      </c>
      <c r="C2171" s="2">
        <v>4</v>
      </c>
      <c r="D2171" t="str">
        <f t="shared" si="33"/>
        <v>CA-2015-123141_FUR-CH-10004287</v>
      </c>
      <c r="E2171" t="str">
        <f>IF(COUNTIF(data1!$D:$D,D2171)=0,"Missing in Data1","Present")</f>
        <v>Present</v>
      </c>
    </row>
    <row r="2172" spans="1:5" x14ac:dyDescent="0.25">
      <c r="A2172" s="2" t="s">
        <v>2329</v>
      </c>
      <c r="B2172" s="2" t="s">
        <v>1076</v>
      </c>
      <c r="C2172" s="2">
        <v>5</v>
      </c>
      <c r="D2172" t="str">
        <f t="shared" si="33"/>
        <v>CA-2015-123155_TEC-AC-10002473</v>
      </c>
      <c r="E2172" t="str">
        <f>IF(COUNTIF(data1!$D:$D,D2172)=0,"Missing in Data1","Present")</f>
        <v>Present</v>
      </c>
    </row>
    <row r="2173" spans="1:5" x14ac:dyDescent="0.25">
      <c r="A2173" s="2" t="s">
        <v>2329</v>
      </c>
      <c r="B2173" s="2" t="s">
        <v>1436</v>
      </c>
      <c r="C2173" s="2">
        <v>3</v>
      </c>
      <c r="D2173" t="str">
        <f t="shared" si="33"/>
        <v>CA-2015-123155_TEC-PH-10001809</v>
      </c>
      <c r="E2173" t="str">
        <f>IF(COUNTIF(data1!$D:$D,D2173)=0,"Missing in Data1","Present")</f>
        <v>Present</v>
      </c>
    </row>
    <row r="2174" spans="1:5" x14ac:dyDescent="0.25">
      <c r="A2174" s="2" t="s">
        <v>2330</v>
      </c>
      <c r="B2174" s="2" t="s">
        <v>87</v>
      </c>
      <c r="C2174" s="2">
        <v>4</v>
      </c>
      <c r="D2174" t="str">
        <f t="shared" si="33"/>
        <v>CA-2015-123232_TEC-PH-10001051</v>
      </c>
      <c r="E2174" t="str">
        <f>IF(COUNTIF(data1!$D:$D,D2174)=0,"Missing in Data1","Present")</f>
        <v>Present</v>
      </c>
    </row>
    <row r="2175" spans="1:5" x14ac:dyDescent="0.25">
      <c r="A2175" s="2" t="s">
        <v>2331</v>
      </c>
      <c r="B2175" s="2" t="s">
        <v>1647</v>
      </c>
      <c r="C2175" s="2">
        <v>3</v>
      </c>
      <c r="D2175" t="str">
        <f t="shared" si="33"/>
        <v>CA-2015-123330_TEC-PH-10001819</v>
      </c>
      <c r="E2175" t="str">
        <f>IF(COUNTIF(data1!$D:$D,D2175)=0,"Missing in Data1","Present")</f>
        <v>Present</v>
      </c>
    </row>
    <row r="2176" spans="1:5" x14ac:dyDescent="0.25">
      <c r="A2176" s="2" t="s">
        <v>2332</v>
      </c>
      <c r="B2176" s="2" t="s">
        <v>2333</v>
      </c>
      <c r="C2176" s="2">
        <v>2</v>
      </c>
      <c r="D2176" t="str">
        <f t="shared" si="33"/>
        <v>CA-2015-123456_OFF-AP-10002684</v>
      </c>
      <c r="E2176" t="str">
        <f>IF(COUNTIF(data1!$D:$D,D2176)=0,"Missing in Data1","Present")</f>
        <v>Present</v>
      </c>
    </row>
    <row r="2177" spans="1:5" x14ac:dyDescent="0.25">
      <c r="A2177" s="2" t="s">
        <v>2334</v>
      </c>
      <c r="B2177" s="2" t="s">
        <v>1051</v>
      </c>
      <c r="C2177" s="2">
        <v>3</v>
      </c>
      <c r="D2177" t="str">
        <f t="shared" si="33"/>
        <v>CA-2015-123505_OFF-PA-10002586</v>
      </c>
      <c r="E2177" t="str">
        <f>IF(COUNTIF(data1!$D:$D,D2177)=0,"Missing in Data1","Present")</f>
        <v>Present</v>
      </c>
    </row>
    <row r="2178" spans="1:5" x14ac:dyDescent="0.25">
      <c r="A2178" s="2" t="s">
        <v>2335</v>
      </c>
      <c r="B2178" s="2" t="s">
        <v>1111</v>
      </c>
      <c r="C2178" s="2">
        <v>3</v>
      </c>
      <c r="D2178" t="str">
        <f t="shared" si="33"/>
        <v>CA-2015-123568_FUR-FU-10004090</v>
      </c>
      <c r="E2178" t="str">
        <f>IF(COUNTIF(data1!$D:$D,D2178)=0,"Missing in Data1","Present")</f>
        <v>Missing in Data1</v>
      </c>
    </row>
    <row r="2179" spans="1:5" x14ac:dyDescent="0.25">
      <c r="A2179" s="2" t="s">
        <v>2335</v>
      </c>
      <c r="B2179" s="2" t="s">
        <v>2336</v>
      </c>
      <c r="C2179" s="2">
        <v>3</v>
      </c>
      <c r="D2179" t="str">
        <f t="shared" ref="D2179:D2242" si="34">A2179&amp;"_"&amp;B2179</f>
        <v>CA-2015-123568_OFF-FA-10002701</v>
      </c>
      <c r="E2179" t="str">
        <f>IF(COUNTIF(data1!$D:$D,D2179)=0,"Missing in Data1","Present")</f>
        <v>Present</v>
      </c>
    </row>
    <row r="2180" spans="1:5" x14ac:dyDescent="0.25">
      <c r="A2180" s="2" t="s">
        <v>2335</v>
      </c>
      <c r="B2180" s="2" t="s">
        <v>781</v>
      </c>
      <c r="C2180" s="2">
        <v>3</v>
      </c>
      <c r="D2180" t="str">
        <f t="shared" si="34"/>
        <v>CA-2015-123568_OFF-PA-10001125</v>
      </c>
      <c r="E2180" t="str">
        <f>IF(COUNTIF(data1!$D:$D,D2180)=0,"Missing in Data1","Present")</f>
        <v>Present</v>
      </c>
    </row>
    <row r="2181" spans="1:5" x14ac:dyDescent="0.25">
      <c r="A2181" s="2" t="s">
        <v>2337</v>
      </c>
      <c r="B2181" s="2" t="s">
        <v>1436</v>
      </c>
      <c r="C2181" s="2">
        <v>2</v>
      </c>
      <c r="D2181" t="str">
        <f t="shared" si="34"/>
        <v>CA-2015-123673_TEC-PH-10001809</v>
      </c>
      <c r="E2181" t="str">
        <f>IF(COUNTIF(data1!$D:$D,D2181)=0,"Missing in Data1","Present")</f>
        <v>Present</v>
      </c>
    </row>
    <row r="2182" spans="1:5" x14ac:dyDescent="0.25">
      <c r="A2182" s="2" t="s">
        <v>2338</v>
      </c>
      <c r="B2182" s="2" t="s">
        <v>2339</v>
      </c>
      <c r="C2182" s="2">
        <v>3</v>
      </c>
      <c r="D2182" t="str">
        <f t="shared" si="34"/>
        <v>CA-2015-123939_OFF-LA-10003190</v>
      </c>
      <c r="E2182" t="str">
        <f>IF(COUNTIF(data1!$D:$D,D2182)=0,"Missing in Data1","Present")</f>
        <v>Present</v>
      </c>
    </row>
    <row r="2183" spans="1:5" x14ac:dyDescent="0.25">
      <c r="A2183" s="2" t="s">
        <v>2338</v>
      </c>
      <c r="B2183" s="2" t="s">
        <v>550</v>
      </c>
      <c r="C2183" s="2">
        <v>3</v>
      </c>
      <c r="D2183" t="str">
        <f t="shared" si="34"/>
        <v>CA-2015-123939_OFF-ST-10003208</v>
      </c>
      <c r="E2183" t="str">
        <f>IF(COUNTIF(data1!$D:$D,D2183)=0,"Missing in Data1","Present")</f>
        <v>Present</v>
      </c>
    </row>
    <row r="2184" spans="1:5" x14ac:dyDescent="0.25">
      <c r="A2184" s="2" t="s">
        <v>2338</v>
      </c>
      <c r="B2184" s="2" t="s">
        <v>2340</v>
      </c>
      <c r="C2184" s="2">
        <v>3</v>
      </c>
      <c r="D2184" t="str">
        <f t="shared" si="34"/>
        <v>CA-2015-123939_TEC-PH-10000923</v>
      </c>
      <c r="E2184" t="str">
        <f>IF(COUNTIF(data1!$D:$D,D2184)=0,"Missing in Data1","Present")</f>
        <v>Present</v>
      </c>
    </row>
    <row r="2185" spans="1:5" x14ac:dyDescent="0.25">
      <c r="A2185" s="2" t="s">
        <v>2341</v>
      </c>
      <c r="B2185" s="2" t="s">
        <v>2342</v>
      </c>
      <c r="C2185" s="2">
        <v>3</v>
      </c>
      <c r="D2185" t="str">
        <f t="shared" si="34"/>
        <v>CA-2015-124044_OFF-BI-10003460</v>
      </c>
      <c r="E2185" t="str">
        <f>IF(COUNTIF(data1!$D:$D,D2185)=0,"Missing in Data1","Present")</f>
        <v>Present</v>
      </c>
    </row>
    <row r="2186" spans="1:5" x14ac:dyDescent="0.25">
      <c r="A2186" s="2" t="s">
        <v>2343</v>
      </c>
      <c r="B2186" s="2" t="s">
        <v>1520</v>
      </c>
      <c r="C2186" s="2">
        <v>3</v>
      </c>
      <c r="D2186" t="str">
        <f t="shared" si="34"/>
        <v>CA-2015-124058_FUR-CH-10000595</v>
      </c>
      <c r="E2186" t="str">
        <f>IF(COUNTIF(data1!$D:$D,D2186)=0,"Missing in Data1","Present")</f>
        <v>Present</v>
      </c>
    </row>
    <row r="2187" spans="1:5" x14ac:dyDescent="0.25">
      <c r="A2187" s="2" t="s">
        <v>2343</v>
      </c>
      <c r="B2187" s="2" t="s">
        <v>2344</v>
      </c>
      <c r="C2187" s="2">
        <v>7</v>
      </c>
      <c r="D2187" t="str">
        <f t="shared" si="34"/>
        <v>CA-2015-124058_TEC-PH-10004774</v>
      </c>
      <c r="E2187" t="str">
        <f>IF(COUNTIF(data1!$D:$D,D2187)=0,"Missing in Data1","Present")</f>
        <v>Present</v>
      </c>
    </row>
    <row r="2188" spans="1:5" x14ac:dyDescent="0.25">
      <c r="A2188" s="2" t="s">
        <v>2345</v>
      </c>
      <c r="B2188" s="2" t="s">
        <v>2346</v>
      </c>
      <c r="C2188" s="2">
        <v>3</v>
      </c>
      <c r="D2188" t="str">
        <f t="shared" si="34"/>
        <v>CA-2015-124107_OFF-AP-10003971</v>
      </c>
      <c r="E2188" t="str">
        <f>IF(COUNTIF(data1!$D:$D,D2188)=0,"Missing in Data1","Present")</f>
        <v>Present</v>
      </c>
    </row>
    <row r="2189" spans="1:5" x14ac:dyDescent="0.25">
      <c r="A2189" s="2" t="s">
        <v>2345</v>
      </c>
      <c r="B2189" s="2" t="s">
        <v>481</v>
      </c>
      <c r="C2189" s="2">
        <v>7</v>
      </c>
      <c r="D2189" t="str">
        <f t="shared" si="34"/>
        <v>CA-2015-124107_OFF-EN-10003286</v>
      </c>
      <c r="E2189" t="str">
        <f>IF(COUNTIF(data1!$D:$D,D2189)=0,"Missing in Data1","Present")</f>
        <v>Present</v>
      </c>
    </row>
    <row r="2190" spans="1:5" x14ac:dyDescent="0.25">
      <c r="A2190" s="2" t="s">
        <v>2345</v>
      </c>
      <c r="B2190" s="2" t="s">
        <v>1053</v>
      </c>
      <c r="C2190" s="2">
        <v>5</v>
      </c>
      <c r="D2190" t="str">
        <f t="shared" si="34"/>
        <v>CA-2015-124107_TEC-AC-10002049</v>
      </c>
      <c r="E2190" t="str">
        <f>IF(COUNTIF(data1!$D:$D,D2190)=0,"Missing in Data1","Present")</f>
        <v>Missing in Data1</v>
      </c>
    </row>
    <row r="2191" spans="1:5" x14ac:dyDescent="0.25">
      <c r="A2191" s="2" t="s">
        <v>2345</v>
      </c>
      <c r="B2191" s="2" t="s">
        <v>2347</v>
      </c>
      <c r="C2191" s="2">
        <v>3</v>
      </c>
      <c r="D2191" t="str">
        <f t="shared" si="34"/>
        <v>CA-2015-124107_TEC-PH-10003875</v>
      </c>
      <c r="E2191" t="str">
        <f>IF(COUNTIF(data1!$D:$D,D2191)=0,"Missing in Data1","Present")</f>
        <v>Present</v>
      </c>
    </row>
    <row r="2192" spans="1:5" x14ac:dyDescent="0.25">
      <c r="A2192" s="2" t="s">
        <v>2348</v>
      </c>
      <c r="B2192" s="2" t="s">
        <v>2349</v>
      </c>
      <c r="C2192" s="2">
        <v>3</v>
      </c>
      <c r="D2192" t="str">
        <f t="shared" si="34"/>
        <v>CA-2015-124268_OFF-AR-10004817</v>
      </c>
      <c r="E2192" t="str">
        <f>IF(COUNTIF(data1!$D:$D,D2192)=0,"Missing in Data1","Present")</f>
        <v>Present</v>
      </c>
    </row>
    <row r="2193" spans="1:5" x14ac:dyDescent="0.25">
      <c r="A2193" s="2" t="s">
        <v>2350</v>
      </c>
      <c r="B2193" s="2" t="s">
        <v>2351</v>
      </c>
      <c r="C2193" s="2">
        <v>3</v>
      </c>
      <c r="D2193" t="str">
        <f t="shared" si="34"/>
        <v>CA-2015-124450_FUR-CH-10000309</v>
      </c>
      <c r="E2193" t="str">
        <f>IF(COUNTIF(data1!$D:$D,D2193)=0,"Missing in Data1","Present")</f>
        <v>Present</v>
      </c>
    </row>
    <row r="2194" spans="1:5" x14ac:dyDescent="0.25">
      <c r="A2194" s="2" t="s">
        <v>2350</v>
      </c>
      <c r="B2194" s="2" t="s">
        <v>2352</v>
      </c>
      <c r="C2194" s="2">
        <v>3</v>
      </c>
      <c r="D2194" t="str">
        <f t="shared" si="34"/>
        <v>CA-2015-124450_OFF-AR-10001166</v>
      </c>
      <c r="E2194" t="str">
        <f>IF(COUNTIF(data1!$D:$D,D2194)=0,"Missing in Data1","Present")</f>
        <v>Present</v>
      </c>
    </row>
    <row r="2195" spans="1:5" x14ac:dyDescent="0.25">
      <c r="A2195" s="2" t="s">
        <v>2350</v>
      </c>
      <c r="B2195" s="2" t="s">
        <v>2353</v>
      </c>
      <c r="C2195" s="2">
        <v>8</v>
      </c>
      <c r="D2195" t="str">
        <f t="shared" si="34"/>
        <v>CA-2015-124450_TEC-MA-10004212</v>
      </c>
      <c r="E2195" t="str">
        <f>IF(COUNTIF(data1!$D:$D,D2195)=0,"Missing in Data1","Present")</f>
        <v>Present</v>
      </c>
    </row>
    <row r="2196" spans="1:5" x14ac:dyDescent="0.25">
      <c r="A2196" s="2" t="s">
        <v>2354</v>
      </c>
      <c r="B2196" s="2" t="s">
        <v>665</v>
      </c>
      <c r="C2196" s="2">
        <v>3</v>
      </c>
      <c r="D2196" t="str">
        <f t="shared" si="34"/>
        <v>CA-2015-124499_FUR-CH-10000513</v>
      </c>
      <c r="E2196" t="str">
        <f>IF(COUNTIF(data1!$D:$D,D2196)=0,"Missing in Data1","Present")</f>
        <v>Present</v>
      </c>
    </row>
    <row r="2197" spans="1:5" x14ac:dyDescent="0.25">
      <c r="A2197" s="2" t="s">
        <v>2354</v>
      </c>
      <c r="B2197" s="2" t="s">
        <v>1704</v>
      </c>
      <c r="C2197" s="2">
        <v>5</v>
      </c>
      <c r="D2197" t="str">
        <f t="shared" si="34"/>
        <v>CA-2015-124499_OFF-AP-10002191</v>
      </c>
      <c r="E2197" t="str">
        <f>IF(COUNTIF(data1!$D:$D,D2197)=0,"Missing in Data1","Present")</f>
        <v>Present</v>
      </c>
    </row>
    <row r="2198" spans="1:5" x14ac:dyDescent="0.25">
      <c r="A2198" s="2" t="s">
        <v>2355</v>
      </c>
      <c r="B2198" s="2" t="s">
        <v>1096</v>
      </c>
      <c r="C2198" s="2">
        <v>9</v>
      </c>
      <c r="D2198" t="str">
        <f t="shared" si="34"/>
        <v>CA-2015-124541_OFF-AR-10004078</v>
      </c>
      <c r="E2198" t="str">
        <f>IF(COUNTIF(data1!$D:$D,D2198)=0,"Missing in Data1","Present")</f>
        <v>Present</v>
      </c>
    </row>
    <row r="2199" spans="1:5" x14ac:dyDescent="0.25">
      <c r="A2199" s="2" t="s">
        <v>2355</v>
      </c>
      <c r="B2199" s="2" t="s">
        <v>248</v>
      </c>
      <c r="C2199" s="2">
        <v>6</v>
      </c>
      <c r="D2199" t="str">
        <f t="shared" si="34"/>
        <v>CA-2015-124541_OFF-BI-10004209</v>
      </c>
      <c r="E2199" t="str">
        <f>IF(COUNTIF(data1!$D:$D,D2199)=0,"Missing in Data1","Present")</f>
        <v>Present</v>
      </c>
    </row>
    <row r="2200" spans="1:5" x14ac:dyDescent="0.25">
      <c r="A2200" s="2" t="s">
        <v>2355</v>
      </c>
      <c r="B2200" s="2" t="s">
        <v>1686</v>
      </c>
      <c r="C2200" s="2">
        <v>3</v>
      </c>
      <c r="D2200" t="str">
        <f t="shared" si="34"/>
        <v>CA-2015-124541_OFF-BI-10004965</v>
      </c>
      <c r="E2200" t="str">
        <f>IF(COUNTIF(data1!$D:$D,D2200)=0,"Missing in Data1","Present")</f>
        <v>Present</v>
      </c>
    </row>
    <row r="2201" spans="1:5" x14ac:dyDescent="0.25">
      <c r="A2201" s="2" t="s">
        <v>2355</v>
      </c>
      <c r="B2201" s="2" t="s">
        <v>785</v>
      </c>
      <c r="C2201" s="2">
        <v>2</v>
      </c>
      <c r="D2201" t="str">
        <f t="shared" si="34"/>
        <v>CA-2015-124541_OFF-PA-10001526</v>
      </c>
      <c r="E2201" t="str">
        <f>IF(COUNTIF(data1!$D:$D,D2201)=0,"Missing in Data1","Present")</f>
        <v>Present</v>
      </c>
    </row>
    <row r="2202" spans="1:5" x14ac:dyDescent="0.25">
      <c r="A2202" s="2" t="s">
        <v>2356</v>
      </c>
      <c r="B2202" s="2" t="s">
        <v>671</v>
      </c>
      <c r="C2202" s="2">
        <v>7</v>
      </c>
      <c r="D2202" t="str">
        <f t="shared" si="34"/>
        <v>CA-2015-124653_OFF-LA-10002271</v>
      </c>
      <c r="E2202" t="str">
        <f>IF(COUNTIF(data1!$D:$D,D2202)=0,"Missing in Data1","Present")</f>
        <v>Present</v>
      </c>
    </row>
    <row r="2203" spans="1:5" x14ac:dyDescent="0.25">
      <c r="A2203" s="2" t="s">
        <v>2356</v>
      </c>
      <c r="B2203" s="2" t="s">
        <v>7</v>
      </c>
      <c r="C2203" s="2">
        <v>7</v>
      </c>
      <c r="D2203" t="str">
        <f t="shared" si="34"/>
        <v>CA-2015-124653_OFF-PA-10000176</v>
      </c>
      <c r="E2203" t="str">
        <f>IF(COUNTIF(data1!$D:$D,D2203)=0,"Missing in Data1","Present")</f>
        <v>Present</v>
      </c>
    </row>
    <row r="2204" spans="1:5" x14ac:dyDescent="0.25">
      <c r="A2204" s="2" t="s">
        <v>2356</v>
      </c>
      <c r="B2204" s="2" t="s">
        <v>1597</v>
      </c>
      <c r="C2204" s="2">
        <v>2</v>
      </c>
      <c r="D2204" t="str">
        <f t="shared" si="34"/>
        <v>CA-2015-124653_OFF-PA-10002365</v>
      </c>
      <c r="E2204" t="str">
        <f>IF(COUNTIF(data1!$D:$D,D2204)=0,"Missing in Data1","Present")</f>
        <v>Missing in Data1</v>
      </c>
    </row>
    <row r="2205" spans="1:5" x14ac:dyDescent="0.25">
      <c r="A2205" s="2" t="s">
        <v>2357</v>
      </c>
      <c r="B2205" s="2" t="s">
        <v>2358</v>
      </c>
      <c r="C2205" s="2">
        <v>2</v>
      </c>
      <c r="D2205" t="str">
        <f t="shared" si="34"/>
        <v>CA-2015-124800_OFF-BI-10000778</v>
      </c>
      <c r="E2205" t="str">
        <f>IF(COUNTIF(data1!$D:$D,D2205)=0,"Missing in Data1","Present")</f>
        <v>Present</v>
      </c>
    </row>
    <row r="2206" spans="1:5" x14ac:dyDescent="0.25">
      <c r="A2206" s="2" t="s">
        <v>2357</v>
      </c>
      <c r="B2206" s="2" t="s">
        <v>49</v>
      </c>
      <c r="C2206" s="2">
        <v>9</v>
      </c>
      <c r="D2206" t="str">
        <f t="shared" si="34"/>
        <v>CA-2015-124800_OFF-BI-10003984</v>
      </c>
      <c r="E2206" t="str">
        <f>IF(COUNTIF(data1!$D:$D,D2206)=0,"Missing in Data1","Present")</f>
        <v>Present</v>
      </c>
    </row>
    <row r="2207" spans="1:5" x14ac:dyDescent="0.25">
      <c r="A2207" s="2" t="s">
        <v>2357</v>
      </c>
      <c r="B2207" s="2" t="s">
        <v>2359</v>
      </c>
      <c r="C2207" s="2">
        <v>4</v>
      </c>
      <c r="D2207" t="str">
        <f t="shared" si="34"/>
        <v>CA-2015-124800_OFF-PA-10000501</v>
      </c>
      <c r="E2207" t="str">
        <f>IF(COUNTIF(data1!$D:$D,D2207)=0,"Missing in Data1","Present")</f>
        <v>Present</v>
      </c>
    </row>
    <row r="2208" spans="1:5" x14ac:dyDescent="0.25">
      <c r="A2208" s="2" t="s">
        <v>2357</v>
      </c>
      <c r="B2208" s="2" t="s">
        <v>295</v>
      </c>
      <c r="C2208" s="2">
        <v>6</v>
      </c>
      <c r="D2208" t="str">
        <f t="shared" si="34"/>
        <v>CA-2015-124800_OFF-ST-10000798</v>
      </c>
      <c r="E2208" t="str">
        <f>IF(COUNTIF(data1!$D:$D,D2208)=0,"Missing in Data1","Present")</f>
        <v>Present</v>
      </c>
    </row>
    <row r="2209" spans="1:5" x14ac:dyDescent="0.25">
      <c r="A2209" s="2" t="s">
        <v>2357</v>
      </c>
      <c r="B2209" s="2" t="s">
        <v>444</v>
      </c>
      <c r="C2209" s="2">
        <v>4</v>
      </c>
      <c r="D2209" t="str">
        <f t="shared" si="34"/>
        <v>CA-2015-124800_OFF-ST-10002743</v>
      </c>
      <c r="E2209" t="str">
        <f>IF(COUNTIF(data1!$D:$D,D2209)=0,"Missing in Data1","Present")</f>
        <v>Present</v>
      </c>
    </row>
    <row r="2210" spans="1:5" x14ac:dyDescent="0.25">
      <c r="A2210" s="2" t="s">
        <v>2357</v>
      </c>
      <c r="B2210" s="2" t="s">
        <v>1092</v>
      </c>
      <c r="C2210" s="2">
        <v>5</v>
      </c>
      <c r="D2210" t="str">
        <f t="shared" si="34"/>
        <v>CA-2015-124800_TEC-PH-10001750</v>
      </c>
      <c r="E2210" t="str">
        <f>IF(COUNTIF(data1!$D:$D,D2210)=0,"Missing in Data1","Present")</f>
        <v>Present</v>
      </c>
    </row>
    <row r="2211" spans="1:5" x14ac:dyDescent="0.25">
      <c r="A2211" s="2" t="s">
        <v>2360</v>
      </c>
      <c r="B2211" s="2" t="s">
        <v>1456</v>
      </c>
      <c r="C2211" s="2">
        <v>7</v>
      </c>
      <c r="D2211" t="str">
        <f t="shared" si="34"/>
        <v>CA-2015-124891_FUR-TA-10002903</v>
      </c>
      <c r="E2211" t="str">
        <f>IF(COUNTIF(data1!$D:$D,D2211)=0,"Missing in Data1","Present")</f>
        <v>Present</v>
      </c>
    </row>
    <row r="2212" spans="1:5" x14ac:dyDescent="0.25">
      <c r="A2212" s="2" t="s">
        <v>2360</v>
      </c>
      <c r="B2212" s="2" t="s">
        <v>2081</v>
      </c>
      <c r="C2212" s="2">
        <v>3</v>
      </c>
      <c r="D2212" t="str">
        <f t="shared" si="34"/>
        <v>CA-2015-124891_OFF-PA-10004621</v>
      </c>
      <c r="E2212" t="str">
        <f>IF(COUNTIF(data1!$D:$D,D2212)=0,"Missing in Data1","Present")</f>
        <v>Present</v>
      </c>
    </row>
    <row r="2213" spans="1:5" x14ac:dyDescent="0.25">
      <c r="A2213" s="2" t="s">
        <v>2360</v>
      </c>
      <c r="B2213" s="2" t="s">
        <v>2361</v>
      </c>
      <c r="C2213" s="2">
        <v>7</v>
      </c>
      <c r="D2213" t="str">
        <f t="shared" si="34"/>
        <v>CA-2015-124891_TEC-AC-10003033</v>
      </c>
      <c r="E2213" t="str">
        <f>IF(COUNTIF(data1!$D:$D,D2213)=0,"Missing in Data1","Present")</f>
        <v>Present</v>
      </c>
    </row>
    <row r="2214" spans="1:5" x14ac:dyDescent="0.25">
      <c r="A2214" s="2" t="s">
        <v>2362</v>
      </c>
      <c r="B2214" s="2" t="s">
        <v>2264</v>
      </c>
      <c r="C2214" s="2">
        <v>4</v>
      </c>
      <c r="D2214" t="str">
        <f t="shared" si="34"/>
        <v>CA-2015-124919_OFF-PA-10002254</v>
      </c>
      <c r="E2214" t="str">
        <f>IF(COUNTIF(data1!$D:$D,D2214)=0,"Missing in Data1","Present")</f>
        <v>Present</v>
      </c>
    </row>
    <row r="2215" spans="1:5" x14ac:dyDescent="0.25">
      <c r="A2215" s="2" t="s">
        <v>2362</v>
      </c>
      <c r="B2215" s="2" t="s">
        <v>2282</v>
      </c>
      <c r="C2215" s="2">
        <v>6</v>
      </c>
      <c r="D2215" t="str">
        <f t="shared" si="34"/>
        <v>CA-2015-124919_OFF-ST-10001590</v>
      </c>
      <c r="E2215" t="str">
        <f>IF(COUNTIF(data1!$D:$D,D2215)=0,"Missing in Data1","Present")</f>
        <v>Present</v>
      </c>
    </row>
    <row r="2216" spans="1:5" x14ac:dyDescent="0.25">
      <c r="A2216" s="2" t="s">
        <v>2364</v>
      </c>
      <c r="B2216" s="2" t="s">
        <v>1234</v>
      </c>
      <c r="C2216" s="2">
        <v>6</v>
      </c>
      <c r="D2216" t="str">
        <f t="shared" si="34"/>
        <v>CA-2015-124933_OFF-PA-10003302</v>
      </c>
      <c r="E2216" t="str">
        <f>IF(COUNTIF(data1!$D:$D,D2216)=0,"Missing in Data1","Present")</f>
        <v>Present</v>
      </c>
    </row>
    <row r="2217" spans="1:5" x14ac:dyDescent="0.25">
      <c r="A2217" s="2" t="s">
        <v>2365</v>
      </c>
      <c r="B2217" s="2" t="s">
        <v>2366</v>
      </c>
      <c r="C2217" s="2">
        <v>7</v>
      </c>
      <c r="D2217" t="str">
        <f t="shared" si="34"/>
        <v>CA-2015-124975_FUR-TA-10002645</v>
      </c>
      <c r="E2217" t="str">
        <f>IF(COUNTIF(data1!$D:$D,D2217)=0,"Missing in Data1","Present")</f>
        <v>Present</v>
      </c>
    </row>
    <row r="2218" spans="1:5" x14ac:dyDescent="0.25">
      <c r="A2218" s="2" t="s">
        <v>2367</v>
      </c>
      <c r="B2218" s="2" t="s">
        <v>569</v>
      </c>
      <c r="C2218" s="2">
        <v>2</v>
      </c>
      <c r="D2218" t="str">
        <f t="shared" si="34"/>
        <v>CA-2015-125066_FUR-FU-10003829</v>
      </c>
      <c r="E2218" t="str">
        <f>IF(COUNTIF(data1!$D:$D,D2218)=0,"Missing in Data1","Present")</f>
        <v>Present</v>
      </c>
    </row>
    <row r="2219" spans="1:5" x14ac:dyDescent="0.25">
      <c r="A2219" s="2" t="s">
        <v>2367</v>
      </c>
      <c r="B2219" s="2" t="s">
        <v>2183</v>
      </c>
      <c r="C2219" s="2">
        <v>2</v>
      </c>
      <c r="D2219" t="str">
        <f t="shared" si="34"/>
        <v>CA-2015-125066_OFF-AR-10003582</v>
      </c>
      <c r="E2219" t="str">
        <f>IF(COUNTIF(data1!$D:$D,D2219)=0,"Missing in Data1","Present")</f>
        <v>Present</v>
      </c>
    </row>
    <row r="2220" spans="1:5" x14ac:dyDescent="0.25">
      <c r="A2220" s="2" t="s">
        <v>6775</v>
      </c>
      <c r="B2220" s="2" t="s">
        <v>1660</v>
      </c>
      <c r="C2220" s="2">
        <v>2</v>
      </c>
      <c r="D2220" t="str">
        <f t="shared" si="34"/>
        <v>CA-2015-125178_OFF-ST-10002562</v>
      </c>
      <c r="E2220" t="str">
        <f>IF(COUNTIF(data1!$D:$D,D2220)=0,"Missing in Data1","Present")</f>
        <v>Missing in Data1</v>
      </c>
    </row>
    <row r="2221" spans="1:5" x14ac:dyDescent="0.25">
      <c r="A2221" s="2" t="s">
        <v>2368</v>
      </c>
      <c r="B2221" s="2" t="s">
        <v>1419</v>
      </c>
      <c r="C2221" s="2">
        <v>2</v>
      </c>
      <c r="D2221" t="str">
        <f t="shared" si="34"/>
        <v>CA-2015-125185_FUR-CH-10002647</v>
      </c>
      <c r="E2221" t="str">
        <f>IF(COUNTIF(data1!$D:$D,D2221)=0,"Missing in Data1","Present")</f>
        <v>Present</v>
      </c>
    </row>
    <row r="2222" spans="1:5" x14ac:dyDescent="0.25">
      <c r="A2222" s="2" t="s">
        <v>2368</v>
      </c>
      <c r="B2222" s="2" t="s">
        <v>2369</v>
      </c>
      <c r="C2222" s="2">
        <v>2</v>
      </c>
      <c r="D2222" t="str">
        <f t="shared" si="34"/>
        <v>CA-2015-125185_FUR-FU-10003247</v>
      </c>
      <c r="E2222" t="str">
        <f>IF(COUNTIF(data1!$D:$D,D2222)=0,"Missing in Data1","Present")</f>
        <v>Present</v>
      </c>
    </row>
    <row r="2223" spans="1:5" x14ac:dyDescent="0.25">
      <c r="A2223" s="2" t="s">
        <v>2370</v>
      </c>
      <c r="B2223" s="2" t="s">
        <v>1335</v>
      </c>
      <c r="C2223" s="2">
        <v>3</v>
      </c>
      <c r="D2223" t="str">
        <f t="shared" si="34"/>
        <v>CA-2015-125234_OFF-PA-10000482</v>
      </c>
      <c r="E2223" t="str">
        <f>IF(COUNTIF(data1!$D:$D,D2223)=0,"Missing in Data1","Present")</f>
        <v>Present</v>
      </c>
    </row>
    <row r="2224" spans="1:5" x14ac:dyDescent="0.25">
      <c r="A2224" s="2" t="s">
        <v>2370</v>
      </c>
      <c r="B2224" s="2" t="s">
        <v>2371</v>
      </c>
      <c r="C2224" s="2">
        <v>3</v>
      </c>
      <c r="D2224" t="str">
        <f t="shared" si="34"/>
        <v>CA-2015-125234_TEC-AC-10000158</v>
      </c>
      <c r="E2224" t="str">
        <f>IF(COUNTIF(data1!$D:$D,D2224)=0,"Missing in Data1","Present")</f>
        <v>Present</v>
      </c>
    </row>
    <row r="2225" spans="1:5" x14ac:dyDescent="0.25">
      <c r="A2225" s="2" t="s">
        <v>2372</v>
      </c>
      <c r="B2225" s="2" t="s">
        <v>2373</v>
      </c>
      <c r="C2225" s="2">
        <v>2</v>
      </c>
      <c r="D2225" t="str">
        <f t="shared" si="34"/>
        <v>CA-2015-125395_TEC-AC-10004708</v>
      </c>
      <c r="E2225" t="str">
        <f>IF(COUNTIF(data1!$D:$D,D2225)=0,"Missing in Data1","Present")</f>
        <v>Present</v>
      </c>
    </row>
    <row r="2226" spans="1:5" x14ac:dyDescent="0.25">
      <c r="A2226" s="2" t="s">
        <v>2374</v>
      </c>
      <c r="B2226" s="2" t="s">
        <v>2375</v>
      </c>
      <c r="C2226" s="2">
        <v>9</v>
      </c>
      <c r="D2226" t="str">
        <f t="shared" si="34"/>
        <v>CA-2015-125416_TEC-AC-10001552</v>
      </c>
      <c r="E2226" t="str">
        <f>IF(COUNTIF(data1!$D:$D,D2226)=0,"Missing in Data1","Present")</f>
        <v>Present</v>
      </c>
    </row>
    <row r="2227" spans="1:5" x14ac:dyDescent="0.25">
      <c r="A2227" s="2" t="s">
        <v>2376</v>
      </c>
      <c r="B2227" s="2" t="s">
        <v>97</v>
      </c>
      <c r="C2227" s="2">
        <v>2</v>
      </c>
      <c r="D2227" t="str">
        <f t="shared" si="34"/>
        <v>CA-2015-125423_OFF-LA-10001771</v>
      </c>
      <c r="E2227" t="str">
        <f>IF(COUNTIF(data1!$D:$D,D2227)=0,"Missing in Data1","Present")</f>
        <v>Present</v>
      </c>
    </row>
    <row r="2228" spans="1:5" x14ac:dyDescent="0.25">
      <c r="A2228" s="2" t="s">
        <v>2377</v>
      </c>
      <c r="B2228" s="2" t="s">
        <v>1899</v>
      </c>
      <c r="C2228" s="2">
        <v>3</v>
      </c>
      <c r="D2228" t="str">
        <f t="shared" si="34"/>
        <v>CA-2015-125563_FUR-FU-10000087</v>
      </c>
      <c r="E2228" t="str">
        <f>IF(COUNTIF(data1!$D:$D,D2228)=0,"Missing in Data1","Present")</f>
        <v>Present</v>
      </c>
    </row>
    <row r="2229" spans="1:5" x14ac:dyDescent="0.25">
      <c r="A2229" s="2" t="s">
        <v>2377</v>
      </c>
      <c r="B2229" s="2" t="s">
        <v>2378</v>
      </c>
      <c r="C2229" s="2">
        <v>2</v>
      </c>
      <c r="D2229" t="str">
        <f t="shared" si="34"/>
        <v>CA-2015-125563_FUR-FU-10001290</v>
      </c>
      <c r="E2229" t="str">
        <f>IF(COUNTIF(data1!$D:$D,D2229)=0,"Missing in Data1","Present")</f>
        <v>Present</v>
      </c>
    </row>
    <row r="2230" spans="1:5" x14ac:dyDescent="0.25">
      <c r="A2230" s="2" t="s">
        <v>2379</v>
      </c>
      <c r="B2230" s="2" t="s">
        <v>1065</v>
      </c>
      <c r="C2230" s="2">
        <v>5</v>
      </c>
      <c r="D2230" t="str">
        <f t="shared" si="34"/>
        <v>CA-2015-125696_OFF-BI-10001757</v>
      </c>
      <c r="E2230" t="str">
        <f>IF(COUNTIF(data1!$D:$D,D2230)=0,"Missing in Data1","Present")</f>
        <v>Present</v>
      </c>
    </row>
    <row r="2231" spans="1:5" x14ac:dyDescent="0.25">
      <c r="A2231" s="2" t="s">
        <v>2380</v>
      </c>
      <c r="B2231" s="2" t="s">
        <v>395</v>
      </c>
      <c r="C2231" s="2">
        <v>2</v>
      </c>
      <c r="D2231" t="str">
        <f t="shared" si="34"/>
        <v>CA-2015-125710_OFF-AR-10000657</v>
      </c>
      <c r="E2231" t="str">
        <f>IF(COUNTIF(data1!$D:$D,D2231)=0,"Missing in Data1","Present")</f>
        <v>Present</v>
      </c>
    </row>
    <row r="2232" spans="1:5" x14ac:dyDescent="0.25">
      <c r="A2232" s="2" t="s">
        <v>2381</v>
      </c>
      <c r="B2232" s="2" t="s">
        <v>499</v>
      </c>
      <c r="C2232" s="2">
        <v>4</v>
      </c>
      <c r="D2232" t="str">
        <f t="shared" si="34"/>
        <v>CA-2015-125934_FUR-FU-10002107</v>
      </c>
      <c r="E2232" t="str">
        <f>IF(COUNTIF(data1!$D:$D,D2232)=0,"Missing in Data1","Present")</f>
        <v>Present</v>
      </c>
    </row>
    <row r="2233" spans="1:5" x14ac:dyDescent="0.25">
      <c r="A2233" s="2" t="s">
        <v>2381</v>
      </c>
      <c r="B2233" s="2" t="s">
        <v>1148</v>
      </c>
      <c r="C2233" s="2">
        <v>4</v>
      </c>
      <c r="D2233" t="str">
        <f t="shared" si="34"/>
        <v>CA-2015-125934_OFF-AP-10003860</v>
      </c>
      <c r="E2233" t="str">
        <f>IF(COUNTIF(data1!$D:$D,D2233)=0,"Missing in Data1","Present")</f>
        <v>Present</v>
      </c>
    </row>
    <row r="2234" spans="1:5" x14ac:dyDescent="0.25">
      <c r="A2234" s="2" t="s">
        <v>2381</v>
      </c>
      <c r="B2234" s="2" t="s">
        <v>404</v>
      </c>
      <c r="C2234" s="2">
        <v>4</v>
      </c>
      <c r="D2234" t="str">
        <f t="shared" si="34"/>
        <v>CA-2015-125934_OFF-BI-10004593</v>
      </c>
      <c r="E2234" t="str">
        <f>IF(COUNTIF(data1!$D:$D,D2234)=0,"Missing in Data1","Present")</f>
        <v>Present</v>
      </c>
    </row>
    <row r="2235" spans="1:5" x14ac:dyDescent="0.25">
      <c r="A2235" s="2" t="s">
        <v>2381</v>
      </c>
      <c r="B2235" s="2" t="s">
        <v>2382</v>
      </c>
      <c r="C2235" s="2">
        <v>3</v>
      </c>
      <c r="D2235" t="str">
        <f t="shared" si="34"/>
        <v>CA-2015-125934_OFF-LA-10000414</v>
      </c>
      <c r="E2235" t="str">
        <f>IF(COUNTIF(data1!$D:$D,D2235)=0,"Missing in Data1","Present")</f>
        <v>Present</v>
      </c>
    </row>
    <row r="2236" spans="1:5" x14ac:dyDescent="0.25">
      <c r="A2236" s="2" t="s">
        <v>2381</v>
      </c>
      <c r="B2236" s="2" t="s">
        <v>2383</v>
      </c>
      <c r="C2236" s="2">
        <v>6</v>
      </c>
      <c r="D2236" t="str">
        <f t="shared" si="34"/>
        <v>CA-2015-125934_OFF-PA-10000556</v>
      </c>
      <c r="E2236" t="str">
        <f>IF(COUNTIF(data1!$D:$D,D2236)=0,"Missing in Data1","Present")</f>
        <v>Present</v>
      </c>
    </row>
    <row r="2237" spans="1:5" x14ac:dyDescent="0.25">
      <c r="A2237" s="2" t="s">
        <v>2384</v>
      </c>
      <c r="B2237" s="2" t="s">
        <v>781</v>
      </c>
      <c r="C2237" s="2">
        <v>5</v>
      </c>
      <c r="D2237" t="str">
        <f t="shared" si="34"/>
        <v>CA-2015-125976_OFF-PA-10001125</v>
      </c>
      <c r="E2237" t="str">
        <f>IF(COUNTIF(data1!$D:$D,D2237)=0,"Missing in Data1","Present")</f>
        <v>Present</v>
      </c>
    </row>
    <row r="2238" spans="1:5" x14ac:dyDescent="0.25">
      <c r="A2238" s="2" t="s">
        <v>2384</v>
      </c>
      <c r="B2238" s="2" t="s">
        <v>2176</v>
      </c>
      <c r="C2238" s="2">
        <v>12</v>
      </c>
      <c r="D2238" t="str">
        <f t="shared" si="34"/>
        <v>CA-2015-125976_TEC-PH-10002496</v>
      </c>
      <c r="E2238" t="str">
        <f>IF(COUNTIF(data1!$D:$D,D2238)=0,"Missing in Data1","Present")</f>
        <v>Present</v>
      </c>
    </row>
    <row r="2239" spans="1:5" x14ac:dyDescent="0.25">
      <c r="A2239" s="2" t="s">
        <v>2385</v>
      </c>
      <c r="B2239" s="2" t="s">
        <v>1792</v>
      </c>
      <c r="C2239" s="2">
        <v>2</v>
      </c>
      <c r="D2239" t="str">
        <f t="shared" si="34"/>
        <v>CA-2015-126137_FUR-BO-10004409</v>
      </c>
      <c r="E2239" t="str">
        <f>IF(COUNTIF(data1!$D:$D,D2239)=0,"Missing in Data1","Present")</f>
        <v>Present</v>
      </c>
    </row>
    <row r="2240" spans="1:5" x14ac:dyDescent="0.25">
      <c r="A2240" s="2" t="s">
        <v>2386</v>
      </c>
      <c r="B2240" s="2" t="s">
        <v>2387</v>
      </c>
      <c r="C2240" s="2">
        <v>4</v>
      </c>
      <c r="D2240" t="str">
        <f t="shared" si="34"/>
        <v>CA-2015-126186_FUR-FU-10000073</v>
      </c>
      <c r="E2240" t="str">
        <f>IF(COUNTIF(data1!$D:$D,D2240)=0,"Missing in Data1","Present")</f>
        <v>Present</v>
      </c>
    </row>
    <row r="2241" spans="1:5" x14ac:dyDescent="0.25">
      <c r="A2241" s="2" t="s">
        <v>2388</v>
      </c>
      <c r="B2241" s="2" t="s">
        <v>2389</v>
      </c>
      <c r="C2241" s="2">
        <v>2</v>
      </c>
      <c r="D2241" t="str">
        <f t="shared" si="34"/>
        <v>CA-2015-126347_TEC-AC-10003063</v>
      </c>
      <c r="E2241" t="str">
        <f>IF(COUNTIF(data1!$D:$D,D2241)=0,"Missing in Data1","Present")</f>
        <v>Present</v>
      </c>
    </row>
    <row r="2242" spans="1:5" x14ac:dyDescent="0.25">
      <c r="A2242" s="2" t="s">
        <v>2390</v>
      </c>
      <c r="B2242" s="2" t="s">
        <v>435</v>
      </c>
      <c r="C2242" s="2">
        <v>3</v>
      </c>
      <c r="D2242" t="str">
        <f t="shared" si="34"/>
        <v>CA-2015-126445_OFF-ST-10000046</v>
      </c>
      <c r="E2242" t="str">
        <f>IF(COUNTIF(data1!$D:$D,D2242)=0,"Missing in Data1","Present")</f>
        <v>Present</v>
      </c>
    </row>
    <row r="2243" spans="1:5" x14ac:dyDescent="0.25">
      <c r="A2243" s="2" t="s">
        <v>2391</v>
      </c>
      <c r="B2243" s="2" t="s">
        <v>1488</v>
      </c>
      <c r="C2243" s="2">
        <v>2</v>
      </c>
      <c r="D2243" t="str">
        <f t="shared" ref="D2243:D2306" si="35">A2243&amp;"_"&amp;B2243</f>
        <v>CA-2015-126466_OFF-FA-10000490</v>
      </c>
      <c r="E2243" t="str">
        <f>IF(COUNTIF(data1!$D:$D,D2243)=0,"Missing in Data1","Present")</f>
        <v>Present</v>
      </c>
    </row>
    <row r="2244" spans="1:5" x14ac:dyDescent="0.25">
      <c r="A2244" s="2" t="s">
        <v>2392</v>
      </c>
      <c r="B2244" s="2" t="s">
        <v>1554</v>
      </c>
      <c r="C2244" s="2">
        <v>9</v>
      </c>
      <c r="D2244" t="str">
        <f t="shared" si="35"/>
        <v>CA-2015-126557_FUR-CH-10004477</v>
      </c>
      <c r="E2244" t="str">
        <f>IF(COUNTIF(data1!$D:$D,D2244)=0,"Missing in Data1","Present")</f>
        <v>Present</v>
      </c>
    </row>
    <row r="2245" spans="1:5" x14ac:dyDescent="0.25">
      <c r="A2245" s="2" t="s">
        <v>2392</v>
      </c>
      <c r="B2245" s="2" t="s">
        <v>979</v>
      </c>
      <c r="C2245" s="2">
        <v>1</v>
      </c>
      <c r="D2245" t="str">
        <f t="shared" si="35"/>
        <v>CA-2015-126557_FUR-FU-10001861</v>
      </c>
      <c r="E2245" t="str">
        <f>IF(COUNTIF(data1!$D:$D,D2245)=0,"Missing in Data1","Present")</f>
        <v>Present</v>
      </c>
    </row>
    <row r="2246" spans="1:5" x14ac:dyDescent="0.25">
      <c r="A2246" s="2" t="s">
        <v>2392</v>
      </c>
      <c r="B2246" s="2" t="s">
        <v>940</v>
      </c>
      <c r="C2246" s="2">
        <v>2</v>
      </c>
      <c r="D2246" t="str">
        <f t="shared" si="35"/>
        <v>CA-2015-126557_OFF-BI-10003314</v>
      </c>
      <c r="E2246" t="str">
        <f>IF(COUNTIF(data1!$D:$D,D2246)=0,"Missing in Data1","Present")</f>
        <v>Present</v>
      </c>
    </row>
    <row r="2247" spans="1:5" x14ac:dyDescent="0.25">
      <c r="A2247" s="2" t="s">
        <v>2392</v>
      </c>
      <c r="B2247" s="2" t="s">
        <v>1633</v>
      </c>
      <c r="C2247" s="2">
        <v>7</v>
      </c>
      <c r="D2247" t="str">
        <f t="shared" si="35"/>
        <v>CA-2015-126557_TEC-PH-10000526</v>
      </c>
      <c r="E2247" t="str">
        <f>IF(COUNTIF(data1!$D:$D,D2247)=0,"Missing in Data1","Present")</f>
        <v>Missing in Data1</v>
      </c>
    </row>
    <row r="2248" spans="1:5" x14ac:dyDescent="0.25">
      <c r="A2248" s="2" t="s">
        <v>2392</v>
      </c>
      <c r="B2248" s="2" t="s">
        <v>139</v>
      </c>
      <c r="C2248" s="2">
        <v>2</v>
      </c>
      <c r="D2248" t="str">
        <f t="shared" si="35"/>
        <v>CA-2015-126557_TEC-PH-10003505</v>
      </c>
      <c r="E2248" t="str">
        <f>IF(COUNTIF(data1!$D:$D,D2248)=0,"Missing in Data1","Present")</f>
        <v>Missing in Data1</v>
      </c>
    </row>
    <row r="2249" spans="1:5" x14ac:dyDescent="0.25">
      <c r="A2249" s="2" t="s">
        <v>2392</v>
      </c>
      <c r="B2249" s="2" t="s">
        <v>958</v>
      </c>
      <c r="C2249" s="2">
        <v>4</v>
      </c>
      <c r="D2249" t="str">
        <f t="shared" si="35"/>
        <v>CA-2015-126557_TEC-PH-10003963</v>
      </c>
      <c r="E2249" t="str">
        <f>IF(COUNTIF(data1!$D:$D,D2249)=0,"Missing in Data1","Present")</f>
        <v>Present</v>
      </c>
    </row>
    <row r="2250" spans="1:5" x14ac:dyDescent="0.25">
      <c r="A2250" s="2" t="s">
        <v>2393</v>
      </c>
      <c r="B2250" s="2" t="s">
        <v>2394</v>
      </c>
      <c r="C2250" s="2">
        <v>2</v>
      </c>
      <c r="D2250" t="str">
        <f t="shared" si="35"/>
        <v>CA-2015-126669_OFF-PA-10001357</v>
      </c>
      <c r="E2250" t="str">
        <f>IF(COUNTIF(data1!$D:$D,D2250)=0,"Missing in Data1","Present")</f>
        <v>Present</v>
      </c>
    </row>
    <row r="2251" spans="1:5" x14ac:dyDescent="0.25">
      <c r="A2251" s="2" t="s">
        <v>2395</v>
      </c>
      <c r="B2251" s="2" t="s">
        <v>409</v>
      </c>
      <c r="C2251" s="2">
        <v>3</v>
      </c>
      <c r="D2251" t="str">
        <f t="shared" si="35"/>
        <v>CA-2015-126697_TEC-AC-10004353</v>
      </c>
      <c r="E2251" t="str">
        <f>IF(COUNTIF(data1!$D:$D,D2251)=0,"Missing in Data1","Present")</f>
        <v>Present</v>
      </c>
    </row>
    <row r="2252" spans="1:5" x14ac:dyDescent="0.25">
      <c r="A2252" s="2" t="s">
        <v>2395</v>
      </c>
      <c r="B2252" s="2" t="s">
        <v>2066</v>
      </c>
      <c r="C2252" s="2">
        <v>7</v>
      </c>
      <c r="D2252" t="str">
        <f t="shared" si="35"/>
        <v>CA-2015-126697_TEC-PH-10002922</v>
      </c>
      <c r="E2252" t="str">
        <f>IF(COUNTIF(data1!$D:$D,D2252)=0,"Missing in Data1","Present")</f>
        <v>Present</v>
      </c>
    </row>
    <row r="2253" spans="1:5" x14ac:dyDescent="0.25">
      <c r="A2253" s="2" t="s">
        <v>2396</v>
      </c>
      <c r="B2253" s="2" t="s">
        <v>2229</v>
      </c>
      <c r="C2253" s="2">
        <v>2</v>
      </c>
      <c r="D2253" t="str">
        <f t="shared" si="35"/>
        <v>CA-2015-126725_FUR-CH-10001708</v>
      </c>
      <c r="E2253" t="str">
        <f>IF(COUNTIF(data1!$D:$D,D2253)=0,"Missing in Data1","Present")</f>
        <v>Present</v>
      </c>
    </row>
    <row r="2254" spans="1:5" x14ac:dyDescent="0.25">
      <c r="A2254" s="2" t="s">
        <v>2396</v>
      </c>
      <c r="B2254" s="2" t="s">
        <v>124</v>
      </c>
      <c r="C2254" s="2">
        <v>3</v>
      </c>
      <c r="D2254" t="str">
        <f t="shared" si="35"/>
        <v>CA-2015-126725_FUR-FU-10001591</v>
      </c>
      <c r="E2254" t="str">
        <f>IF(COUNTIF(data1!$D:$D,D2254)=0,"Missing in Data1","Present")</f>
        <v>Present</v>
      </c>
    </row>
    <row r="2255" spans="1:5" x14ac:dyDescent="0.25">
      <c r="A2255" s="2" t="s">
        <v>2396</v>
      </c>
      <c r="B2255" s="2" t="s">
        <v>1286</v>
      </c>
      <c r="C2255" s="2">
        <v>4</v>
      </c>
      <c r="D2255" t="str">
        <f t="shared" si="35"/>
        <v>CA-2015-126725_FUR-FU-10002813</v>
      </c>
      <c r="E2255" t="str">
        <f>IF(COUNTIF(data1!$D:$D,D2255)=0,"Missing in Data1","Present")</f>
        <v>Present</v>
      </c>
    </row>
    <row r="2256" spans="1:5" x14ac:dyDescent="0.25">
      <c r="A2256" s="2" t="s">
        <v>2396</v>
      </c>
      <c r="B2256" s="2" t="s">
        <v>926</v>
      </c>
      <c r="C2256" s="2">
        <v>5</v>
      </c>
      <c r="D2256" t="str">
        <f t="shared" si="35"/>
        <v>CA-2015-126725_OFF-PA-10001639</v>
      </c>
      <c r="E2256" t="str">
        <f>IF(COUNTIF(data1!$D:$D,D2256)=0,"Missing in Data1","Present")</f>
        <v>Present</v>
      </c>
    </row>
    <row r="2257" spans="1:5" x14ac:dyDescent="0.25">
      <c r="A2257" s="2" t="s">
        <v>2396</v>
      </c>
      <c r="B2257" s="2" t="s">
        <v>2397</v>
      </c>
      <c r="C2257" s="2">
        <v>7</v>
      </c>
      <c r="D2257" t="str">
        <f t="shared" si="35"/>
        <v>CA-2015-126725_OFF-ST-10000129</v>
      </c>
      <c r="E2257" t="str">
        <f>IF(COUNTIF(data1!$D:$D,D2257)=0,"Missing in Data1","Present")</f>
        <v>Present</v>
      </c>
    </row>
    <row r="2258" spans="1:5" x14ac:dyDescent="0.25">
      <c r="A2258" s="2" t="s">
        <v>2396</v>
      </c>
      <c r="B2258" s="2" t="s">
        <v>2398</v>
      </c>
      <c r="C2258" s="2">
        <v>5</v>
      </c>
      <c r="D2258" t="str">
        <f t="shared" si="35"/>
        <v>CA-2015-126725_OFF-ST-10001418</v>
      </c>
      <c r="E2258" t="str">
        <f>IF(COUNTIF(data1!$D:$D,D2258)=0,"Missing in Data1","Present")</f>
        <v>Present</v>
      </c>
    </row>
    <row r="2259" spans="1:5" x14ac:dyDescent="0.25">
      <c r="A2259" s="2" t="s">
        <v>2396</v>
      </c>
      <c r="B2259" s="2" t="s">
        <v>2399</v>
      </c>
      <c r="C2259" s="2">
        <v>4</v>
      </c>
      <c r="D2259" t="str">
        <f t="shared" si="35"/>
        <v>CA-2015-126725_TEC-PH-10003174</v>
      </c>
      <c r="E2259" t="str">
        <f>IF(COUNTIF(data1!$D:$D,D2259)=0,"Missing in Data1","Present")</f>
        <v>Present</v>
      </c>
    </row>
    <row r="2260" spans="1:5" x14ac:dyDescent="0.25">
      <c r="A2260" s="2" t="s">
        <v>6776</v>
      </c>
      <c r="B2260" s="2" t="s">
        <v>335</v>
      </c>
      <c r="C2260" s="2">
        <v>4</v>
      </c>
      <c r="D2260" t="str">
        <f t="shared" si="35"/>
        <v>CA-2015-126739_FUR-CH-10000422</v>
      </c>
      <c r="E2260" t="str">
        <f>IF(COUNTIF(data1!$D:$D,D2260)=0,"Missing in Data1","Present")</f>
        <v>Missing in Data1</v>
      </c>
    </row>
    <row r="2261" spans="1:5" x14ac:dyDescent="0.25">
      <c r="A2261" s="2" t="s">
        <v>2400</v>
      </c>
      <c r="B2261" s="2" t="s">
        <v>1490</v>
      </c>
      <c r="C2261" s="2">
        <v>3</v>
      </c>
      <c r="D2261" t="str">
        <f t="shared" si="35"/>
        <v>CA-2015-126970_OFF-BI-10000138</v>
      </c>
      <c r="E2261" t="str">
        <f>IF(COUNTIF(data1!$D:$D,D2261)=0,"Missing in Data1","Present")</f>
        <v>Present</v>
      </c>
    </row>
    <row r="2262" spans="1:5" x14ac:dyDescent="0.25">
      <c r="A2262" s="2" t="s">
        <v>2402</v>
      </c>
      <c r="B2262" s="2" t="s">
        <v>93</v>
      </c>
      <c r="C2262" s="2">
        <v>6</v>
      </c>
      <c r="D2262" t="str">
        <f t="shared" si="35"/>
        <v>CA-2015-127110_OFF-PA-10003309</v>
      </c>
      <c r="E2262" t="str">
        <f>IF(COUNTIF(data1!$D:$D,D2262)=0,"Missing in Data1","Present")</f>
        <v>Present</v>
      </c>
    </row>
    <row r="2263" spans="1:5" x14ac:dyDescent="0.25">
      <c r="A2263" s="2" t="s">
        <v>2402</v>
      </c>
      <c r="B2263" s="2" t="s">
        <v>1756</v>
      </c>
      <c r="C2263" s="2">
        <v>2</v>
      </c>
      <c r="D2263" t="str">
        <f t="shared" si="35"/>
        <v>CA-2015-127110_OFF-ST-10002554</v>
      </c>
      <c r="E2263" t="str">
        <f>IF(COUNTIF(data1!$D:$D,D2263)=0,"Missing in Data1","Present")</f>
        <v>Present</v>
      </c>
    </row>
    <row r="2264" spans="1:5" x14ac:dyDescent="0.25">
      <c r="A2264" s="2" t="s">
        <v>2403</v>
      </c>
      <c r="B2264" s="2" t="s">
        <v>417</v>
      </c>
      <c r="C2264" s="2">
        <v>3</v>
      </c>
      <c r="D2264" t="str">
        <f t="shared" si="35"/>
        <v>CA-2015-127173_OFF-FA-10004854</v>
      </c>
      <c r="E2264" t="str">
        <f>IF(COUNTIF(data1!$D:$D,D2264)=0,"Missing in Data1","Present")</f>
        <v>Present</v>
      </c>
    </row>
    <row r="2265" spans="1:5" x14ac:dyDescent="0.25">
      <c r="A2265" s="2" t="s">
        <v>2403</v>
      </c>
      <c r="B2265" s="2" t="s">
        <v>398</v>
      </c>
      <c r="C2265" s="2">
        <v>7</v>
      </c>
      <c r="D2265" t="str">
        <f t="shared" si="35"/>
        <v>CA-2015-127173_TEC-MA-10002859</v>
      </c>
      <c r="E2265" t="str">
        <f>IF(COUNTIF(data1!$D:$D,D2265)=0,"Missing in Data1","Present")</f>
        <v>Present</v>
      </c>
    </row>
    <row r="2266" spans="1:5" x14ac:dyDescent="0.25">
      <c r="A2266" s="2" t="s">
        <v>2404</v>
      </c>
      <c r="B2266" s="2" t="s">
        <v>1050</v>
      </c>
      <c r="C2266" s="2">
        <v>1</v>
      </c>
      <c r="D2266" t="str">
        <f t="shared" si="35"/>
        <v>CA-2015-127327_FUR-CH-10004218</v>
      </c>
      <c r="E2266" t="str">
        <f>IF(COUNTIF(data1!$D:$D,D2266)=0,"Missing in Data1","Present")</f>
        <v>Present</v>
      </c>
    </row>
    <row r="2267" spans="1:5" x14ac:dyDescent="0.25">
      <c r="A2267" s="2" t="s">
        <v>2405</v>
      </c>
      <c r="B2267" s="2" t="s">
        <v>2040</v>
      </c>
      <c r="C2267" s="2">
        <v>3</v>
      </c>
      <c r="D2267" t="str">
        <f t="shared" si="35"/>
        <v>CA-2015-127418_OFF-BI-10003707</v>
      </c>
      <c r="E2267" t="str">
        <f>IF(COUNTIF(data1!$D:$D,D2267)=0,"Missing in Data1","Present")</f>
        <v>Present</v>
      </c>
    </row>
    <row r="2268" spans="1:5" x14ac:dyDescent="0.25">
      <c r="A2268" s="2" t="s">
        <v>2406</v>
      </c>
      <c r="B2268" s="2" t="s">
        <v>2407</v>
      </c>
      <c r="C2268" s="2">
        <v>3</v>
      </c>
      <c r="D2268" t="str">
        <f t="shared" si="35"/>
        <v>CA-2015-127453_OFF-AP-10000828</v>
      </c>
      <c r="E2268" t="str">
        <f>IF(COUNTIF(data1!$D:$D,D2268)=0,"Missing in Data1","Present")</f>
        <v>Present</v>
      </c>
    </row>
    <row r="2269" spans="1:5" x14ac:dyDescent="0.25">
      <c r="A2269" s="2" t="s">
        <v>2406</v>
      </c>
      <c r="B2269" s="2" t="s">
        <v>2408</v>
      </c>
      <c r="C2269" s="2">
        <v>2</v>
      </c>
      <c r="D2269" t="str">
        <f t="shared" si="35"/>
        <v>CA-2015-127453_OFF-AP-10002906</v>
      </c>
      <c r="E2269" t="str">
        <f>IF(COUNTIF(data1!$D:$D,D2269)=0,"Missing in Data1","Present")</f>
        <v>Present</v>
      </c>
    </row>
    <row r="2270" spans="1:5" x14ac:dyDescent="0.25">
      <c r="A2270" s="2" t="s">
        <v>2406</v>
      </c>
      <c r="B2270" s="2" t="s">
        <v>1148</v>
      </c>
      <c r="C2270" s="2">
        <v>4</v>
      </c>
      <c r="D2270" t="str">
        <f t="shared" si="35"/>
        <v>CA-2015-127453_OFF-AP-10003860</v>
      </c>
      <c r="E2270" t="str">
        <f>IF(COUNTIF(data1!$D:$D,D2270)=0,"Missing in Data1","Present")</f>
        <v>Present</v>
      </c>
    </row>
    <row r="2271" spans="1:5" x14ac:dyDescent="0.25">
      <c r="A2271" s="2" t="s">
        <v>2409</v>
      </c>
      <c r="B2271" s="2" t="s">
        <v>2410</v>
      </c>
      <c r="C2271" s="2">
        <v>5</v>
      </c>
      <c r="D2271" t="str">
        <f t="shared" si="35"/>
        <v>CA-2015-127481_OFF-PA-10002036</v>
      </c>
      <c r="E2271" t="str">
        <f>IF(COUNTIF(data1!$D:$D,D2271)=0,"Missing in Data1","Present")</f>
        <v>Present</v>
      </c>
    </row>
    <row r="2272" spans="1:5" x14ac:dyDescent="0.25">
      <c r="A2272" s="2" t="s">
        <v>2409</v>
      </c>
      <c r="B2272" s="2" t="s">
        <v>592</v>
      </c>
      <c r="C2272" s="2">
        <v>2</v>
      </c>
      <c r="D2272" t="str">
        <f t="shared" si="35"/>
        <v>CA-2015-127481_OFF-PA-10002377</v>
      </c>
      <c r="E2272" t="str">
        <f>IF(COUNTIF(data1!$D:$D,D2272)=0,"Missing in Data1","Present")</f>
        <v>Present</v>
      </c>
    </row>
    <row r="2273" spans="1:5" x14ac:dyDescent="0.25">
      <c r="A2273" s="2" t="s">
        <v>2411</v>
      </c>
      <c r="B2273" s="2" t="s">
        <v>776</v>
      </c>
      <c r="C2273" s="2">
        <v>2</v>
      </c>
      <c r="D2273" t="str">
        <f t="shared" si="35"/>
        <v>CA-2015-127502_OFF-LA-10001613</v>
      </c>
      <c r="E2273" t="str">
        <f>IF(COUNTIF(data1!$D:$D,D2273)=0,"Missing in Data1","Present")</f>
        <v>Present</v>
      </c>
    </row>
    <row r="2274" spans="1:5" x14ac:dyDescent="0.25">
      <c r="A2274" s="2" t="s">
        <v>2412</v>
      </c>
      <c r="B2274" s="2" t="s">
        <v>2413</v>
      </c>
      <c r="C2274" s="2">
        <v>7</v>
      </c>
      <c r="D2274" t="str">
        <f t="shared" si="35"/>
        <v>CA-2015-127509_FUR-TA-10002855</v>
      </c>
      <c r="E2274" t="str">
        <f>IF(COUNTIF(data1!$D:$D,D2274)=0,"Missing in Data1","Present")</f>
        <v>Present</v>
      </c>
    </row>
    <row r="2275" spans="1:5" x14ac:dyDescent="0.25">
      <c r="A2275" s="2" t="s">
        <v>2412</v>
      </c>
      <c r="B2275" s="2" t="s">
        <v>2414</v>
      </c>
      <c r="C2275" s="2">
        <v>3</v>
      </c>
      <c r="D2275" t="str">
        <f t="shared" si="35"/>
        <v>CA-2015-127509_OFF-BI-10002393</v>
      </c>
      <c r="E2275" t="str">
        <f>IF(COUNTIF(data1!$D:$D,D2275)=0,"Missing in Data1","Present")</f>
        <v>Present</v>
      </c>
    </row>
    <row r="2276" spans="1:5" x14ac:dyDescent="0.25">
      <c r="A2276" s="2" t="s">
        <v>2412</v>
      </c>
      <c r="B2276" s="2" t="s">
        <v>992</v>
      </c>
      <c r="C2276" s="2">
        <v>3</v>
      </c>
      <c r="D2276" t="str">
        <f t="shared" si="35"/>
        <v>CA-2015-127509_OFF-EN-10000781</v>
      </c>
      <c r="E2276" t="str">
        <f>IF(COUNTIF(data1!$D:$D,D2276)=0,"Missing in Data1","Present")</f>
        <v>Present</v>
      </c>
    </row>
    <row r="2277" spans="1:5" x14ac:dyDescent="0.25">
      <c r="A2277" s="2" t="s">
        <v>2412</v>
      </c>
      <c r="B2277" s="2" t="s">
        <v>2415</v>
      </c>
      <c r="C2277" s="2">
        <v>3</v>
      </c>
      <c r="D2277" t="str">
        <f t="shared" si="35"/>
        <v>CA-2015-127509_OFF-PA-10002160</v>
      </c>
      <c r="E2277" t="str">
        <f>IF(COUNTIF(data1!$D:$D,D2277)=0,"Missing in Data1","Present")</f>
        <v>Present</v>
      </c>
    </row>
    <row r="2278" spans="1:5" x14ac:dyDescent="0.25">
      <c r="A2278" s="2" t="s">
        <v>2416</v>
      </c>
      <c r="B2278" s="2" t="s">
        <v>440</v>
      </c>
      <c r="C2278" s="2">
        <v>1</v>
      </c>
      <c r="D2278" t="str">
        <f t="shared" si="35"/>
        <v>CA-2015-127544_TEC-AC-10000736</v>
      </c>
      <c r="E2278" t="str">
        <f>IF(COUNTIF(data1!$D:$D,D2278)=0,"Missing in Data1","Present")</f>
        <v>Present</v>
      </c>
    </row>
    <row r="2279" spans="1:5" x14ac:dyDescent="0.25">
      <c r="A2279" s="2" t="s">
        <v>2417</v>
      </c>
      <c r="B2279" s="2" t="s">
        <v>450</v>
      </c>
      <c r="C2279" s="2">
        <v>2</v>
      </c>
      <c r="D2279" t="str">
        <f t="shared" si="35"/>
        <v>CA-2015-127593_FUR-FU-10004006</v>
      </c>
      <c r="E2279" t="str">
        <f>IF(COUNTIF(data1!$D:$D,D2279)=0,"Missing in Data1","Present")</f>
        <v>Present</v>
      </c>
    </row>
    <row r="2280" spans="1:5" x14ac:dyDescent="0.25">
      <c r="A2280" s="2" t="s">
        <v>2418</v>
      </c>
      <c r="B2280" s="2" t="s">
        <v>2292</v>
      </c>
      <c r="C2280" s="2">
        <v>2</v>
      </c>
      <c r="D2280" t="str">
        <f t="shared" si="35"/>
        <v>CA-2015-127607_OFF-BI-10001308</v>
      </c>
      <c r="E2280" t="str">
        <f>IF(COUNTIF(data1!$D:$D,D2280)=0,"Missing in Data1","Present")</f>
        <v>Present</v>
      </c>
    </row>
    <row r="2281" spans="1:5" x14ac:dyDescent="0.25">
      <c r="A2281" s="2" t="s">
        <v>2418</v>
      </c>
      <c r="B2281" s="2" t="s">
        <v>1771</v>
      </c>
      <c r="C2281" s="2">
        <v>9</v>
      </c>
      <c r="D2281" t="str">
        <f t="shared" si="35"/>
        <v>CA-2015-127607_OFF-FA-10003485</v>
      </c>
      <c r="E2281" t="str">
        <f>IF(COUNTIF(data1!$D:$D,D2281)=0,"Missing in Data1","Present")</f>
        <v>Present</v>
      </c>
    </row>
    <row r="2282" spans="1:5" x14ac:dyDescent="0.25">
      <c r="A2282" s="2" t="s">
        <v>2419</v>
      </c>
      <c r="B2282" s="2" t="s">
        <v>2190</v>
      </c>
      <c r="C2282" s="2">
        <v>3</v>
      </c>
      <c r="D2282" t="str">
        <f t="shared" si="35"/>
        <v>CA-2015-127754_FUR-CH-10003199</v>
      </c>
      <c r="E2282" t="str">
        <f>IF(COUNTIF(data1!$D:$D,D2282)=0,"Missing in Data1","Present")</f>
        <v>Present</v>
      </c>
    </row>
    <row r="2283" spans="1:5" x14ac:dyDescent="0.25">
      <c r="A2283" s="2" t="s">
        <v>2420</v>
      </c>
      <c r="B2283" s="2" t="s">
        <v>876</v>
      </c>
      <c r="C2283" s="2">
        <v>3</v>
      </c>
      <c r="D2283" t="str">
        <f t="shared" si="35"/>
        <v>CA-2015-127824_FUR-FU-10002505</v>
      </c>
      <c r="E2283" t="str">
        <f>IF(COUNTIF(data1!$D:$D,D2283)=0,"Missing in Data1","Present")</f>
        <v>Present</v>
      </c>
    </row>
    <row r="2284" spans="1:5" x14ac:dyDescent="0.25">
      <c r="A2284" s="2" t="s">
        <v>2420</v>
      </c>
      <c r="B2284" s="2" t="s">
        <v>2955</v>
      </c>
      <c r="C2284" s="2">
        <v>3</v>
      </c>
      <c r="D2284" t="str">
        <f t="shared" si="35"/>
        <v>CA-2015-127824_OFF-PA-10001184</v>
      </c>
      <c r="E2284" t="str">
        <f>IF(COUNTIF(data1!$D:$D,D2284)=0,"Missing in Data1","Present")</f>
        <v>Missing in Data1</v>
      </c>
    </row>
    <row r="2285" spans="1:5" x14ac:dyDescent="0.25">
      <c r="A2285" s="2" t="s">
        <v>2420</v>
      </c>
      <c r="B2285" s="2" t="s">
        <v>2421</v>
      </c>
      <c r="C2285" s="2">
        <v>2</v>
      </c>
      <c r="D2285" t="str">
        <f t="shared" si="35"/>
        <v>CA-2015-127824_TEC-PH-10004094</v>
      </c>
      <c r="E2285" t="str">
        <f>IF(COUNTIF(data1!$D:$D,D2285)=0,"Missing in Data1","Present")</f>
        <v>Present</v>
      </c>
    </row>
    <row r="2286" spans="1:5" x14ac:dyDescent="0.25">
      <c r="A2286" s="2" t="s">
        <v>2422</v>
      </c>
      <c r="B2286" s="2" t="s">
        <v>2423</v>
      </c>
      <c r="C2286" s="2">
        <v>3</v>
      </c>
      <c r="D2286" t="str">
        <f t="shared" si="35"/>
        <v>CA-2015-128013_OFF-PA-10001815</v>
      </c>
      <c r="E2286" t="str">
        <f>IF(COUNTIF(data1!$D:$D,D2286)=0,"Missing in Data1","Present")</f>
        <v>Present</v>
      </c>
    </row>
    <row r="2287" spans="1:5" x14ac:dyDescent="0.25">
      <c r="A2287" s="2" t="s">
        <v>2424</v>
      </c>
      <c r="B2287" s="2" t="s">
        <v>465</v>
      </c>
      <c r="C2287" s="2">
        <v>3</v>
      </c>
      <c r="D2287" t="str">
        <f t="shared" si="35"/>
        <v>CA-2015-128027_OFF-ST-10001809</v>
      </c>
      <c r="E2287" t="str">
        <f>IF(COUNTIF(data1!$D:$D,D2287)=0,"Missing in Data1","Present")</f>
        <v>Present</v>
      </c>
    </row>
    <row r="2288" spans="1:5" x14ac:dyDescent="0.25">
      <c r="A2288" s="2" t="s">
        <v>2425</v>
      </c>
      <c r="B2288" s="2" t="s">
        <v>128</v>
      </c>
      <c r="C2288" s="2">
        <v>3</v>
      </c>
      <c r="D2288" t="str">
        <f t="shared" si="35"/>
        <v>CA-2015-128083_FUR-FU-10001731</v>
      </c>
      <c r="E2288" t="str">
        <f>IF(COUNTIF(data1!$D:$D,D2288)=0,"Missing in Data1","Present")</f>
        <v>Present</v>
      </c>
    </row>
    <row r="2289" spans="1:5" x14ac:dyDescent="0.25">
      <c r="A2289" s="2" t="s">
        <v>2425</v>
      </c>
      <c r="B2289" s="2" t="s">
        <v>1390</v>
      </c>
      <c r="C2289" s="2">
        <v>4</v>
      </c>
      <c r="D2289" t="str">
        <f t="shared" si="35"/>
        <v>CA-2015-128083_FUR-FU-10003194</v>
      </c>
      <c r="E2289" t="str">
        <f>IF(COUNTIF(data1!$D:$D,D2289)=0,"Missing in Data1","Present")</f>
        <v>Present</v>
      </c>
    </row>
    <row r="2290" spans="1:5" x14ac:dyDescent="0.25">
      <c r="A2290" s="2" t="s">
        <v>2425</v>
      </c>
      <c r="B2290" s="2" t="s">
        <v>323</v>
      </c>
      <c r="C2290" s="2">
        <v>3</v>
      </c>
      <c r="D2290" t="str">
        <f t="shared" si="35"/>
        <v>CA-2015-128083_OFF-EN-10004030</v>
      </c>
      <c r="E2290" t="str">
        <f>IF(COUNTIF(data1!$D:$D,D2290)=0,"Missing in Data1","Present")</f>
        <v>Present</v>
      </c>
    </row>
    <row r="2291" spans="1:5" x14ac:dyDescent="0.25">
      <c r="A2291" s="2" t="s">
        <v>2426</v>
      </c>
      <c r="B2291" s="2" t="s">
        <v>41</v>
      </c>
      <c r="C2291" s="2">
        <v>3</v>
      </c>
      <c r="D2291" t="str">
        <f t="shared" si="35"/>
        <v>CA-2015-128125_OFF-PA-10000357</v>
      </c>
      <c r="E2291" t="str">
        <f>IF(COUNTIF(data1!$D:$D,D2291)=0,"Missing in Data1","Present")</f>
        <v>Present</v>
      </c>
    </row>
    <row r="2292" spans="1:5" x14ac:dyDescent="0.25">
      <c r="A2292" s="2" t="s">
        <v>2428</v>
      </c>
      <c r="B2292" s="2" t="s">
        <v>2429</v>
      </c>
      <c r="C2292" s="2">
        <v>1</v>
      </c>
      <c r="D2292" t="str">
        <f t="shared" si="35"/>
        <v>CA-2015-128139_FUR-CH-10003956</v>
      </c>
      <c r="E2292" t="str">
        <f>IF(COUNTIF(data1!$D:$D,D2292)=0,"Missing in Data1","Present")</f>
        <v>Present</v>
      </c>
    </row>
    <row r="2293" spans="1:5" x14ac:dyDescent="0.25">
      <c r="A2293" s="2" t="s">
        <v>2428</v>
      </c>
      <c r="B2293" s="2" t="s">
        <v>24</v>
      </c>
      <c r="C2293" s="2">
        <v>3</v>
      </c>
      <c r="D2293" t="str">
        <f t="shared" si="35"/>
        <v>CA-2015-128139_OFF-LA-10003930</v>
      </c>
      <c r="E2293" t="str">
        <f>IF(COUNTIF(data1!$D:$D,D2293)=0,"Missing in Data1","Present")</f>
        <v>Present</v>
      </c>
    </row>
    <row r="2294" spans="1:5" x14ac:dyDescent="0.25">
      <c r="A2294" s="2" t="s">
        <v>2430</v>
      </c>
      <c r="B2294" s="2" t="s">
        <v>1488</v>
      </c>
      <c r="C2294" s="2">
        <v>4</v>
      </c>
      <c r="D2294" t="str">
        <f t="shared" si="35"/>
        <v>CA-2015-128167_OFF-FA-10000490</v>
      </c>
      <c r="E2294" t="str">
        <f>IF(COUNTIF(data1!$D:$D,D2294)=0,"Missing in Data1","Present")</f>
        <v>Present</v>
      </c>
    </row>
    <row r="2295" spans="1:5" x14ac:dyDescent="0.25">
      <c r="A2295" s="2" t="s">
        <v>2432</v>
      </c>
      <c r="B2295" s="2" t="s">
        <v>333</v>
      </c>
      <c r="C2295" s="2">
        <v>2</v>
      </c>
      <c r="D2295" t="str">
        <f t="shared" si="35"/>
        <v>CA-2015-128608_OFF-AR-10001374</v>
      </c>
      <c r="E2295" t="str">
        <f>IF(COUNTIF(data1!$D:$D,D2295)=0,"Missing in Data1","Present")</f>
        <v>Present</v>
      </c>
    </row>
    <row r="2296" spans="1:5" x14ac:dyDescent="0.25">
      <c r="A2296" s="2" t="s">
        <v>2432</v>
      </c>
      <c r="B2296" s="2" t="s">
        <v>2433</v>
      </c>
      <c r="C2296" s="2">
        <v>2</v>
      </c>
      <c r="D2296" t="str">
        <f t="shared" si="35"/>
        <v>CA-2015-128608_TEC-AC-10000487</v>
      </c>
      <c r="E2296" t="str">
        <f>IF(COUNTIF(data1!$D:$D,D2296)=0,"Missing in Data1","Present")</f>
        <v>Present</v>
      </c>
    </row>
    <row r="2297" spans="1:5" x14ac:dyDescent="0.25">
      <c r="A2297" s="2" t="s">
        <v>2432</v>
      </c>
      <c r="B2297" s="2" t="s">
        <v>2434</v>
      </c>
      <c r="C2297" s="2">
        <v>4</v>
      </c>
      <c r="D2297" t="str">
        <f t="shared" si="35"/>
        <v>CA-2015-128608_TEC-PH-10000912</v>
      </c>
      <c r="E2297" t="str">
        <f>IF(COUNTIF(data1!$D:$D,D2297)=0,"Missing in Data1","Present")</f>
        <v>Present</v>
      </c>
    </row>
    <row r="2298" spans="1:5" x14ac:dyDescent="0.25">
      <c r="A2298" s="2" t="s">
        <v>2432</v>
      </c>
      <c r="B2298" s="2" t="s">
        <v>2435</v>
      </c>
      <c r="C2298" s="2">
        <v>3</v>
      </c>
      <c r="D2298" t="str">
        <f t="shared" si="35"/>
        <v>CA-2015-128608_TEC-PH-10002262</v>
      </c>
      <c r="E2298" t="str">
        <f>IF(COUNTIF(data1!$D:$D,D2298)=0,"Missing in Data1","Present")</f>
        <v>Present</v>
      </c>
    </row>
    <row r="2299" spans="1:5" x14ac:dyDescent="0.25">
      <c r="A2299" s="2" t="s">
        <v>2432</v>
      </c>
      <c r="B2299" s="2" t="s">
        <v>1113</v>
      </c>
      <c r="C2299" s="2">
        <v>2</v>
      </c>
      <c r="D2299" t="str">
        <f t="shared" si="35"/>
        <v>CA-2015-128608_TEC-PH-10004977</v>
      </c>
      <c r="E2299" t="str">
        <f>IF(COUNTIF(data1!$D:$D,D2299)=0,"Missing in Data1","Present")</f>
        <v>Missing in Data1</v>
      </c>
    </row>
    <row r="2300" spans="1:5" x14ac:dyDescent="0.25">
      <c r="A2300" s="2" t="s">
        <v>2436</v>
      </c>
      <c r="B2300" s="2" t="s">
        <v>1529</v>
      </c>
      <c r="C2300" s="2">
        <v>1</v>
      </c>
      <c r="D2300" t="str">
        <f t="shared" si="35"/>
        <v>CA-2015-128860_FUR-FU-10001473</v>
      </c>
      <c r="E2300" t="str">
        <f>IF(COUNTIF(data1!$D:$D,D2300)=0,"Missing in Data1","Present")</f>
        <v>Present</v>
      </c>
    </row>
    <row r="2301" spans="1:5" x14ac:dyDescent="0.25">
      <c r="A2301" s="2" t="s">
        <v>2438</v>
      </c>
      <c r="B2301" s="2" t="s">
        <v>1594</v>
      </c>
      <c r="C2301" s="2">
        <v>2</v>
      </c>
      <c r="D2301" t="str">
        <f t="shared" si="35"/>
        <v>CA-2015-128993_TEC-AC-10004209</v>
      </c>
      <c r="E2301" t="str">
        <f>IF(COUNTIF(data1!$D:$D,D2301)=0,"Missing in Data1","Present")</f>
        <v>Present</v>
      </c>
    </row>
    <row r="2302" spans="1:5" x14ac:dyDescent="0.25">
      <c r="A2302" s="2" t="s">
        <v>6777</v>
      </c>
      <c r="B2302" s="2" t="s">
        <v>1776</v>
      </c>
      <c r="C2302" s="2">
        <v>3</v>
      </c>
      <c r="D2302" t="str">
        <f t="shared" si="35"/>
        <v>CA-2015-129042_OFF-AR-10001662</v>
      </c>
      <c r="E2302" t="str">
        <f>IF(COUNTIF(data1!$D:$D,D2302)=0,"Missing in Data1","Present")</f>
        <v>Missing in Data1</v>
      </c>
    </row>
    <row r="2303" spans="1:5" x14ac:dyDescent="0.25">
      <c r="A2303" s="2" t="s">
        <v>2439</v>
      </c>
      <c r="B2303" s="2" t="s">
        <v>269</v>
      </c>
      <c r="C2303" s="2">
        <v>2</v>
      </c>
      <c r="D2303" t="str">
        <f t="shared" si="35"/>
        <v>CA-2015-129098_OFF-ST-10001321</v>
      </c>
      <c r="E2303" t="str">
        <f>IF(COUNTIF(data1!$D:$D,D2303)=0,"Missing in Data1","Present")</f>
        <v>Present</v>
      </c>
    </row>
    <row r="2304" spans="1:5" x14ac:dyDescent="0.25">
      <c r="A2304" s="2" t="s">
        <v>2440</v>
      </c>
      <c r="B2304" s="2" t="s">
        <v>311</v>
      </c>
      <c r="C2304" s="2">
        <v>3</v>
      </c>
      <c r="D2304" t="str">
        <f t="shared" si="35"/>
        <v>CA-2015-129112_TEC-AC-10003038</v>
      </c>
      <c r="E2304" t="str">
        <f>IF(COUNTIF(data1!$D:$D,D2304)=0,"Missing in Data1","Present")</f>
        <v>Present</v>
      </c>
    </row>
    <row r="2305" spans="1:5" x14ac:dyDescent="0.25">
      <c r="A2305" s="2" t="s">
        <v>2441</v>
      </c>
      <c r="B2305" s="2" t="s">
        <v>2442</v>
      </c>
      <c r="C2305" s="2">
        <v>5</v>
      </c>
      <c r="D2305" t="str">
        <f t="shared" si="35"/>
        <v>CA-2015-129217_OFF-AP-10002439</v>
      </c>
      <c r="E2305" t="str">
        <f>IF(COUNTIF(data1!$D:$D,D2305)=0,"Missing in Data1","Present")</f>
        <v>Present</v>
      </c>
    </row>
    <row r="2306" spans="1:5" x14ac:dyDescent="0.25">
      <c r="A2306" s="2" t="s">
        <v>2441</v>
      </c>
      <c r="B2306" s="2" t="s">
        <v>1422</v>
      </c>
      <c r="C2306" s="2">
        <v>2</v>
      </c>
      <c r="D2306" t="str">
        <f t="shared" si="35"/>
        <v>CA-2015-129217_OFF-AR-10004602</v>
      </c>
      <c r="E2306" t="str">
        <f>IF(COUNTIF(data1!$D:$D,D2306)=0,"Missing in Data1","Present")</f>
        <v>Present</v>
      </c>
    </row>
    <row r="2307" spans="1:5" x14ac:dyDescent="0.25">
      <c r="A2307" s="2" t="s">
        <v>2443</v>
      </c>
      <c r="B2307" s="2" t="s">
        <v>662</v>
      </c>
      <c r="C2307" s="2">
        <v>2</v>
      </c>
      <c r="D2307" t="str">
        <f t="shared" ref="D2307:D2370" si="36">A2307&amp;"_"&amp;B2307</f>
        <v>CA-2015-129322_OFF-AP-10004336</v>
      </c>
      <c r="E2307" t="str">
        <f>IF(COUNTIF(data1!$D:$D,D2307)=0,"Missing in Data1","Present")</f>
        <v>Present</v>
      </c>
    </row>
    <row r="2308" spans="1:5" x14ac:dyDescent="0.25">
      <c r="A2308" s="2" t="s">
        <v>2443</v>
      </c>
      <c r="B2308" s="2" t="s">
        <v>2444</v>
      </c>
      <c r="C2308" s="2">
        <v>2</v>
      </c>
      <c r="D2308" t="str">
        <f t="shared" si="36"/>
        <v>CA-2015-129322_OFF-AR-10004587</v>
      </c>
      <c r="E2308" t="str">
        <f>IF(COUNTIF(data1!$D:$D,D2308)=0,"Missing in Data1","Present")</f>
        <v>Present</v>
      </c>
    </row>
    <row r="2309" spans="1:5" x14ac:dyDescent="0.25">
      <c r="A2309" s="2" t="s">
        <v>2443</v>
      </c>
      <c r="B2309" s="2" t="s">
        <v>2324</v>
      </c>
      <c r="C2309" s="2">
        <v>7</v>
      </c>
      <c r="D2309" t="str">
        <f t="shared" si="36"/>
        <v>CA-2015-129322_OFF-BI-10001718</v>
      </c>
      <c r="E2309" t="str">
        <f>IF(COUNTIF(data1!$D:$D,D2309)=0,"Missing in Data1","Present")</f>
        <v>Present</v>
      </c>
    </row>
    <row r="2310" spans="1:5" x14ac:dyDescent="0.25">
      <c r="A2310" s="2" t="s">
        <v>2445</v>
      </c>
      <c r="B2310" s="2" t="s">
        <v>1702</v>
      </c>
      <c r="C2310" s="2">
        <v>5</v>
      </c>
      <c r="D2310" t="str">
        <f t="shared" si="36"/>
        <v>CA-2015-129392_OFF-PA-10004248</v>
      </c>
      <c r="E2310" t="str">
        <f>IF(COUNTIF(data1!$D:$D,D2310)=0,"Missing in Data1","Present")</f>
        <v>Present</v>
      </c>
    </row>
    <row r="2311" spans="1:5" x14ac:dyDescent="0.25">
      <c r="A2311" s="2" t="s">
        <v>2446</v>
      </c>
      <c r="B2311" s="2" t="s">
        <v>265</v>
      </c>
      <c r="C2311" s="2">
        <v>5</v>
      </c>
      <c r="D2311" t="str">
        <f t="shared" si="36"/>
        <v>CA-2015-129476_TEC-AC-10000844</v>
      </c>
      <c r="E2311" t="str">
        <f>IF(COUNTIF(data1!$D:$D,D2311)=0,"Missing in Data1","Present")</f>
        <v>Present</v>
      </c>
    </row>
    <row r="2312" spans="1:5" x14ac:dyDescent="0.25">
      <c r="A2312" s="2" t="s">
        <v>2447</v>
      </c>
      <c r="B2312" s="2" t="s">
        <v>823</v>
      </c>
      <c r="C2312" s="2">
        <v>13</v>
      </c>
      <c r="D2312" t="str">
        <f t="shared" si="36"/>
        <v>CA-2015-129525_OFF-BI-10002133</v>
      </c>
      <c r="E2312" t="str">
        <f>IF(COUNTIF(data1!$D:$D,D2312)=0,"Missing in Data1","Present")</f>
        <v>Present</v>
      </c>
    </row>
    <row r="2313" spans="1:5" x14ac:dyDescent="0.25">
      <c r="A2313" s="2" t="s">
        <v>2448</v>
      </c>
      <c r="B2313" s="2" t="s">
        <v>231</v>
      </c>
      <c r="C2313" s="2">
        <v>2</v>
      </c>
      <c r="D2313" t="str">
        <f t="shared" si="36"/>
        <v>CA-2015-129532_OFF-ST-10004186</v>
      </c>
      <c r="E2313" t="str">
        <f>IF(COUNTIF(data1!$D:$D,D2313)=0,"Missing in Data1","Present")</f>
        <v>Present</v>
      </c>
    </row>
    <row r="2314" spans="1:5" x14ac:dyDescent="0.25">
      <c r="A2314" s="2" t="s">
        <v>2448</v>
      </c>
      <c r="B2314" s="2" t="s">
        <v>1263</v>
      </c>
      <c r="C2314" s="2">
        <v>4</v>
      </c>
      <c r="D2314" t="str">
        <f t="shared" si="36"/>
        <v>CA-2015-129532_TEC-AC-10000865</v>
      </c>
      <c r="E2314" t="str">
        <f>IF(COUNTIF(data1!$D:$D,D2314)=0,"Missing in Data1","Present")</f>
        <v>Present</v>
      </c>
    </row>
    <row r="2315" spans="1:5" x14ac:dyDescent="0.25">
      <c r="A2315" s="2" t="s">
        <v>2449</v>
      </c>
      <c r="B2315" s="2" t="s">
        <v>757</v>
      </c>
      <c r="C2315" s="2">
        <v>3</v>
      </c>
      <c r="D2315" t="str">
        <f t="shared" si="36"/>
        <v>CA-2015-129546_OFF-AP-10002495</v>
      </c>
      <c r="E2315" t="str">
        <f>IF(COUNTIF(data1!$D:$D,D2315)=0,"Missing in Data1","Present")</f>
        <v>Present</v>
      </c>
    </row>
    <row r="2316" spans="1:5" x14ac:dyDescent="0.25">
      <c r="A2316" s="2" t="s">
        <v>2449</v>
      </c>
      <c r="B2316" s="2" t="s">
        <v>2450</v>
      </c>
      <c r="C2316" s="2">
        <v>6</v>
      </c>
      <c r="D2316" t="str">
        <f t="shared" si="36"/>
        <v>CA-2015-129546_OFF-BI-10004001</v>
      </c>
      <c r="E2316" t="str">
        <f>IF(COUNTIF(data1!$D:$D,D2316)=0,"Missing in Data1","Present")</f>
        <v>Present</v>
      </c>
    </row>
    <row r="2317" spans="1:5" x14ac:dyDescent="0.25">
      <c r="A2317" s="2" t="s">
        <v>2449</v>
      </c>
      <c r="B2317" s="2" t="s">
        <v>2451</v>
      </c>
      <c r="C2317" s="2">
        <v>3</v>
      </c>
      <c r="D2317" t="str">
        <f t="shared" si="36"/>
        <v>CA-2015-129546_OFF-SU-10004884</v>
      </c>
      <c r="E2317" t="str">
        <f>IF(COUNTIF(data1!$D:$D,D2317)=0,"Missing in Data1","Present")</f>
        <v>Present</v>
      </c>
    </row>
    <row r="2318" spans="1:5" x14ac:dyDescent="0.25">
      <c r="A2318" s="2" t="s">
        <v>2449</v>
      </c>
      <c r="B2318" s="2" t="s">
        <v>2452</v>
      </c>
      <c r="C2318" s="2">
        <v>2</v>
      </c>
      <c r="D2318" t="str">
        <f t="shared" si="36"/>
        <v>CA-2015-129546_TEC-PH-10003555</v>
      </c>
      <c r="E2318" t="str">
        <f>IF(COUNTIF(data1!$D:$D,D2318)=0,"Missing in Data1","Present")</f>
        <v>Present</v>
      </c>
    </row>
    <row r="2319" spans="1:5" x14ac:dyDescent="0.25">
      <c r="A2319" s="2" t="s">
        <v>2453</v>
      </c>
      <c r="B2319" s="2" t="s">
        <v>661</v>
      </c>
      <c r="C2319" s="2">
        <v>7</v>
      </c>
      <c r="D2319" t="str">
        <f t="shared" si="36"/>
        <v>CA-2015-129700_FUR-FU-10001940</v>
      </c>
      <c r="E2319" t="str">
        <f>IF(COUNTIF(data1!$D:$D,D2319)=0,"Missing in Data1","Present")</f>
        <v>Present</v>
      </c>
    </row>
    <row r="2320" spans="1:5" x14ac:dyDescent="0.25">
      <c r="A2320" s="2" t="s">
        <v>2454</v>
      </c>
      <c r="B2320" s="2" t="s">
        <v>2455</v>
      </c>
      <c r="C2320" s="2">
        <v>4</v>
      </c>
      <c r="D2320" t="str">
        <f t="shared" si="36"/>
        <v>CA-2015-129770_OFF-PA-10000249</v>
      </c>
      <c r="E2320" t="str">
        <f>IF(COUNTIF(data1!$D:$D,D2320)=0,"Missing in Data1","Present")</f>
        <v>Present</v>
      </c>
    </row>
    <row r="2321" spans="1:5" x14ac:dyDescent="0.25">
      <c r="A2321" s="2" t="s">
        <v>2456</v>
      </c>
      <c r="B2321" s="2" t="s">
        <v>194</v>
      </c>
      <c r="C2321" s="2">
        <v>4</v>
      </c>
      <c r="D2321" t="str">
        <f t="shared" si="36"/>
        <v>CA-2015-129854_OFF-AR-10000390</v>
      </c>
      <c r="E2321" t="str">
        <f>IF(COUNTIF(data1!$D:$D,D2321)=0,"Missing in Data1","Present")</f>
        <v>Present</v>
      </c>
    </row>
    <row r="2322" spans="1:5" x14ac:dyDescent="0.25">
      <c r="A2322" s="2" t="s">
        <v>2457</v>
      </c>
      <c r="B2322" s="2" t="s">
        <v>2458</v>
      </c>
      <c r="C2322" s="2">
        <v>4</v>
      </c>
      <c r="D2322" t="str">
        <f t="shared" si="36"/>
        <v>CA-2015-129896_FUR-FU-10002396</v>
      </c>
      <c r="E2322" t="str">
        <f>IF(COUNTIF(data1!$D:$D,D2322)=0,"Missing in Data1","Present")</f>
        <v>Present</v>
      </c>
    </row>
    <row r="2323" spans="1:5" x14ac:dyDescent="0.25">
      <c r="A2323" s="2" t="s">
        <v>2457</v>
      </c>
      <c r="B2323" s="2" t="s">
        <v>2459</v>
      </c>
      <c r="C2323" s="2">
        <v>6</v>
      </c>
      <c r="D2323" t="str">
        <f t="shared" si="36"/>
        <v>CA-2015-129896_FUR-FU-10004904</v>
      </c>
      <c r="E2323" t="str">
        <f>IF(COUNTIF(data1!$D:$D,D2323)=0,"Missing in Data1","Present")</f>
        <v>Present</v>
      </c>
    </row>
    <row r="2324" spans="1:5" x14ac:dyDescent="0.25">
      <c r="A2324" s="2" t="s">
        <v>2457</v>
      </c>
      <c r="B2324" s="2" t="s">
        <v>1094</v>
      </c>
      <c r="C2324" s="2">
        <v>2</v>
      </c>
      <c r="D2324" t="str">
        <f t="shared" si="36"/>
        <v>CA-2015-129896_OFF-PA-10002245</v>
      </c>
      <c r="E2324" t="str">
        <f>IF(COUNTIF(data1!$D:$D,D2324)=0,"Missing in Data1","Present")</f>
        <v>Present</v>
      </c>
    </row>
    <row r="2325" spans="1:5" x14ac:dyDescent="0.25">
      <c r="A2325" s="2" t="s">
        <v>2457</v>
      </c>
      <c r="B2325" s="2" t="s">
        <v>2460</v>
      </c>
      <c r="C2325" s="2">
        <v>2</v>
      </c>
      <c r="D2325" t="str">
        <f t="shared" si="36"/>
        <v>CA-2015-129896_OFF-ST-10004804</v>
      </c>
      <c r="E2325" t="str">
        <f>IF(COUNTIF(data1!$D:$D,D2325)=0,"Missing in Data1","Present")</f>
        <v>Present</v>
      </c>
    </row>
    <row r="2326" spans="1:5" x14ac:dyDescent="0.25">
      <c r="A2326" s="2" t="s">
        <v>2461</v>
      </c>
      <c r="B2326" s="2" t="s">
        <v>1065</v>
      </c>
      <c r="C2326" s="2">
        <v>3</v>
      </c>
      <c r="D2326" t="str">
        <f t="shared" si="36"/>
        <v>CA-2015-129917_OFF-BI-10001757</v>
      </c>
      <c r="E2326" t="str">
        <f>IF(COUNTIF(data1!$D:$D,D2326)=0,"Missing in Data1","Present")</f>
        <v>Present</v>
      </c>
    </row>
    <row r="2327" spans="1:5" x14ac:dyDescent="0.25">
      <c r="A2327" s="2" t="s">
        <v>2461</v>
      </c>
      <c r="B2327" s="2" t="s">
        <v>1106</v>
      </c>
      <c r="C2327" s="2">
        <v>4</v>
      </c>
      <c r="D2327" t="str">
        <f t="shared" si="36"/>
        <v>CA-2015-129917_OFF-BI-10004828</v>
      </c>
      <c r="E2327" t="str">
        <f>IF(COUNTIF(data1!$D:$D,D2327)=0,"Missing in Data1","Present")</f>
        <v>Missing in Data1</v>
      </c>
    </row>
    <row r="2328" spans="1:5" x14ac:dyDescent="0.25">
      <c r="A2328" s="2" t="s">
        <v>2461</v>
      </c>
      <c r="B2328" s="2" t="s">
        <v>1763</v>
      </c>
      <c r="C2328" s="2">
        <v>5</v>
      </c>
      <c r="D2328" t="str">
        <f t="shared" si="36"/>
        <v>CA-2015-129917_TEC-PH-10000369</v>
      </c>
      <c r="E2328" t="str">
        <f>IF(COUNTIF(data1!$D:$D,D2328)=0,"Missing in Data1","Present")</f>
        <v>Present</v>
      </c>
    </row>
    <row r="2329" spans="1:5" x14ac:dyDescent="0.25">
      <c r="A2329" s="2" t="s">
        <v>2462</v>
      </c>
      <c r="B2329" s="2" t="s">
        <v>1819</v>
      </c>
      <c r="C2329" s="2">
        <v>3</v>
      </c>
      <c r="D2329" t="str">
        <f t="shared" si="36"/>
        <v>CA-2015-130022_OFF-AR-10001915</v>
      </c>
      <c r="E2329" t="str">
        <f>IF(COUNTIF(data1!$D:$D,D2329)=0,"Missing in Data1","Present")</f>
        <v>Present</v>
      </c>
    </row>
    <row r="2330" spans="1:5" x14ac:dyDescent="0.25">
      <c r="A2330" s="2" t="s">
        <v>2462</v>
      </c>
      <c r="B2330" s="2" t="s">
        <v>997</v>
      </c>
      <c r="C2330" s="2">
        <v>1</v>
      </c>
      <c r="D2330" t="str">
        <f t="shared" si="36"/>
        <v>CA-2015-130022_OFF-LA-10002787</v>
      </c>
      <c r="E2330" t="str">
        <f>IF(COUNTIF(data1!$D:$D,D2330)=0,"Missing in Data1","Present")</f>
        <v>Present</v>
      </c>
    </row>
    <row r="2331" spans="1:5" x14ac:dyDescent="0.25">
      <c r="A2331" s="2" t="s">
        <v>2463</v>
      </c>
      <c r="B2331" s="2" t="s">
        <v>435</v>
      </c>
      <c r="C2331" s="2">
        <v>2</v>
      </c>
      <c r="D2331" t="str">
        <f t="shared" si="36"/>
        <v>CA-2015-130113_OFF-ST-10000046</v>
      </c>
      <c r="E2331" t="str">
        <f>IF(COUNTIF(data1!$D:$D,D2331)=0,"Missing in Data1","Present")</f>
        <v>Present</v>
      </c>
    </row>
    <row r="2332" spans="1:5" x14ac:dyDescent="0.25">
      <c r="A2332" s="2" t="s">
        <v>2463</v>
      </c>
      <c r="B2332" s="2" t="s">
        <v>139</v>
      </c>
      <c r="C2332" s="2">
        <v>9</v>
      </c>
      <c r="D2332" t="str">
        <f t="shared" si="36"/>
        <v>CA-2015-130113_TEC-PH-10003505</v>
      </c>
      <c r="E2332" t="str">
        <f>IF(COUNTIF(data1!$D:$D,D2332)=0,"Missing in Data1","Present")</f>
        <v>Present</v>
      </c>
    </row>
    <row r="2333" spans="1:5" x14ac:dyDescent="0.25">
      <c r="A2333" s="2" t="s">
        <v>2464</v>
      </c>
      <c r="B2333" s="2" t="s">
        <v>2465</v>
      </c>
      <c r="C2333" s="2">
        <v>3</v>
      </c>
      <c r="D2333" t="str">
        <f t="shared" si="36"/>
        <v>CA-2015-130183_FUR-BO-10001811</v>
      </c>
      <c r="E2333" t="str">
        <f>IF(COUNTIF(data1!$D:$D,D2333)=0,"Missing in Data1","Present")</f>
        <v>Present</v>
      </c>
    </row>
    <row r="2334" spans="1:5" x14ac:dyDescent="0.25">
      <c r="A2334" s="2" t="s">
        <v>2466</v>
      </c>
      <c r="B2334" s="2" t="s">
        <v>2467</v>
      </c>
      <c r="C2334" s="2">
        <v>3</v>
      </c>
      <c r="D2334" t="str">
        <f t="shared" si="36"/>
        <v>CA-2015-130204_OFF-ST-10001325</v>
      </c>
      <c r="E2334" t="str">
        <f>IF(COUNTIF(data1!$D:$D,D2334)=0,"Missing in Data1","Present")</f>
        <v>Present</v>
      </c>
    </row>
    <row r="2335" spans="1:5" x14ac:dyDescent="0.25">
      <c r="A2335" s="2" t="s">
        <v>2466</v>
      </c>
      <c r="B2335" s="2" t="s">
        <v>311</v>
      </c>
      <c r="C2335" s="2">
        <v>2</v>
      </c>
      <c r="D2335" t="str">
        <f t="shared" si="36"/>
        <v>CA-2015-130204_TEC-AC-10003038</v>
      </c>
      <c r="E2335" t="str">
        <f>IF(COUNTIF(data1!$D:$D,D2335)=0,"Missing in Data1","Present")</f>
        <v>Present</v>
      </c>
    </row>
    <row r="2336" spans="1:5" x14ac:dyDescent="0.25">
      <c r="A2336" s="2" t="s">
        <v>2466</v>
      </c>
      <c r="B2336" s="2" t="s">
        <v>2468</v>
      </c>
      <c r="C2336" s="2">
        <v>5</v>
      </c>
      <c r="D2336" t="str">
        <f t="shared" si="36"/>
        <v>CA-2015-130204_TEC-AC-10003590</v>
      </c>
      <c r="E2336" t="str">
        <f>IF(COUNTIF(data1!$D:$D,D2336)=0,"Missing in Data1","Present")</f>
        <v>Present</v>
      </c>
    </row>
    <row r="2337" spans="1:5" x14ac:dyDescent="0.25">
      <c r="A2337" s="2" t="s">
        <v>2469</v>
      </c>
      <c r="B2337" s="2" t="s">
        <v>1320</v>
      </c>
      <c r="C2337" s="2">
        <v>4</v>
      </c>
      <c r="D2337" t="str">
        <f t="shared" si="36"/>
        <v>CA-2015-130218_OFF-FA-10003112</v>
      </c>
      <c r="E2337" t="str">
        <f>IF(COUNTIF(data1!$D:$D,D2337)=0,"Missing in Data1","Present")</f>
        <v>Present</v>
      </c>
    </row>
    <row r="2338" spans="1:5" x14ac:dyDescent="0.25">
      <c r="A2338" s="2" t="s">
        <v>2471</v>
      </c>
      <c r="B2338" s="2" t="s">
        <v>2472</v>
      </c>
      <c r="C2338" s="2">
        <v>3</v>
      </c>
      <c r="D2338" t="str">
        <f t="shared" si="36"/>
        <v>CA-2015-130253_FUR-FU-10002963</v>
      </c>
      <c r="E2338" t="str">
        <f>IF(COUNTIF(data1!$D:$D,D2338)=0,"Missing in Data1","Present")</f>
        <v>Present</v>
      </c>
    </row>
    <row r="2339" spans="1:5" x14ac:dyDescent="0.25">
      <c r="A2339" s="2" t="s">
        <v>2473</v>
      </c>
      <c r="B2339" s="2" t="s">
        <v>1857</v>
      </c>
      <c r="C2339" s="2">
        <v>3</v>
      </c>
      <c r="D2339" t="str">
        <f t="shared" si="36"/>
        <v>CA-2015-130365_FUR-CH-10003535</v>
      </c>
      <c r="E2339" t="str">
        <f>IF(COUNTIF(data1!$D:$D,D2339)=0,"Missing in Data1","Present")</f>
        <v>Present</v>
      </c>
    </row>
    <row r="2340" spans="1:5" x14ac:dyDescent="0.25">
      <c r="A2340" s="2" t="s">
        <v>2473</v>
      </c>
      <c r="B2340" s="2" t="s">
        <v>116</v>
      </c>
      <c r="C2340" s="2">
        <v>2</v>
      </c>
      <c r="D2340" t="str">
        <f t="shared" si="36"/>
        <v>CA-2015-130365_OFF-ST-10002574</v>
      </c>
      <c r="E2340" t="str">
        <f>IF(COUNTIF(data1!$D:$D,D2340)=0,"Missing in Data1","Present")</f>
        <v>Present</v>
      </c>
    </row>
    <row r="2341" spans="1:5" x14ac:dyDescent="0.25">
      <c r="A2341" s="2" t="s">
        <v>2474</v>
      </c>
      <c r="B2341" s="2" t="s">
        <v>2475</v>
      </c>
      <c r="C2341" s="2">
        <v>6</v>
      </c>
      <c r="D2341" t="str">
        <f t="shared" si="36"/>
        <v>CA-2015-130456_FUR-BO-10003893</v>
      </c>
      <c r="E2341" t="str">
        <f>IF(COUNTIF(data1!$D:$D,D2341)=0,"Missing in Data1","Present")</f>
        <v>Present</v>
      </c>
    </row>
    <row r="2342" spans="1:5" x14ac:dyDescent="0.25">
      <c r="A2342" s="2" t="s">
        <v>2474</v>
      </c>
      <c r="B2342" s="2" t="s">
        <v>299</v>
      </c>
      <c r="C2342" s="2">
        <v>1</v>
      </c>
      <c r="D2342" t="str">
        <f t="shared" si="36"/>
        <v>CA-2015-130456_OFF-ST-10000736</v>
      </c>
      <c r="E2342" t="str">
        <f>IF(COUNTIF(data1!$D:$D,D2342)=0,"Missing in Data1","Present")</f>
        <v>Present</v>
      </c>
    </row>
    <row r="2343" spans="1:5" x14ac:dyDescent="0.25">
      <c r="A2343" s="2" t="s">
        <v>2476</v>
      </c>
      <c r="B2343" s="2" t="s">
        <v>1666</v>
      </c>
      <c r="C2343" s="2">
        <v>3</v>
      </c>
      <c r="D2343" t="str">
        <f t="shared" si="36"/>
        <v>CA-2015-130554_OFF-AR-10001954</v>
      </c>
      <c r="E2343" t="str">
        <f>IF(COUNTIF(data1!$D:$D,D2343)=0,"Missing in Data1","Present")</f>
        <v>Present</v>
      </c>
    </row>
    <row r="2344" spans="1:5" x14ac:dyDescent="0.25">
      <c r="A2344" s="2" t="s">
        <v>2477</v>
      </c>
      <c r="B2344" s="2" t="s">
        <v>2478</v>
      </c>
      <c r="C2344" s="2">
        <v>5</v>
      </c>
      <c r="D2344" t="str">
        <f t="shared" si="36"/>
        <v>CA-2015-130610_OFF-BI-10003655</v>
      </c>
      <c r="E2344" t="str">
        <f>IF(COUNTIF(data1!$D:$D,D2344)=0,"Missing in Data1","Present")</f>
        <v>Present</v>
      </c>
    </row>
    <row r="2345" spans="1:5" x14ac:dyDescent="0.25">
      <c r="A2345" s="2" t="s">
        <v>2479</v>
      </c>
      <c r="B2345" s="2" t="s">
        <v>1857</v>
      </c>
      <c r="C2345" s="2">
        <v>7</v>
      </c>
      <c r="D2345" t="str">
        <f t="shared" si="36"/>
        <v>CA-2015-130659_FUR-CH-10003535</v>
      </c>
      <c r="E2345" t="str">
        <f>IF(COUNTIF(data1!$D:$D,D2345)=0,"Missing in Data1","Present")</f>
        <v>Present</v>
      </c>
    </row>
    <row r="2346" spans="1:5" x14ac:dyDescent="0.25">
      <c r="A2346" s="2" t="s">
        <v>2479</v>
      </c>
      <c r="B2346" s="2" t="s">
        <v>2480</v>
      </c>
      <c r="C2346" s="2">
        <v>3</v>
      </c>
      <c r="D2346" t="str">
        <f t="shared" si="36"/>
        <v>CA-2015-130659_OFF-EN-10004147</v>
      </c>
      <c r="E2346" t="str">
        <f>IF(COUNTIF(data1!$D:$D,D2346)=0,"Missing in Data1","Present")</f>
        <v>Present</v>
      </c>
    </row>
    <row r="2347" spans="1:5" x14ac:dyDescent="0.25">
      <c r="A2347" s="2" t="s">
        <v>2479</v>
      </c>
      <c r="B2347" s="2" t="s">
        <v>1500</v>
      </c>
      <c r="C2347" s="2">
        <v>5</v>
      </c>
      <c r="D2347" t="str">
        <f t="shared" si="36"/>
        <v>CA-2015-130659_TEC-PH-10004586</v>
      </c>
      <c r="E2347" t="str">
        <f>IF(COUNTIF(data1!$D:$D,D2347)=0,"Missing in Data1","Present")</f>
        <v>Present</v>
      </c>
    </row>
    <row r="2348" spans="1:5" x14ac:dyDescent="0.25">
      <c r="A2348" s="2" t="s">
        <v>2481</v>
      </c>
      <c r="B2348" s="2" t="s">
        <v>1364</v>
      </c>
      <c r="C2348" s="2">
        <v>2</v>
      </c>
      <c r="D2348" t="str">
        <f t="shared" si="36"/>
        <v>CA-2015-130736_OFF-FA-10003467</v>
      </c>
      <c r="E2348" t="str">
        <f>IF(COUNTIF(data1!$D:$D,D2348)=0,"Missing in Data1","Present")</f>
        <v>Present</v>
      </c>
    </row>
    <row r="2349" spans="1:5" x14ac:dyDescent="0.25">
      <c r="A2349" s="2" t="s">
        <v>2481</v>
      </c>
      <c r="B2349" s="2" t="s">
        <v>1504</v>
      </c>
      <c r="C2349" s="2">
        <v>1</v>
      </c>
      <c r="D2349" t="str">
        <f t="shared" si="36"/>
        <v>CA-2015-130736_OFF-LA-10000634</v>
      </c>
      <c r="E2349" t="str">
        <f>IF(COUNTIF(data1!$D:$D,D2349)=0,"Missing in Data1","Present")</f>
        <v>Present</v>
      </c>
    </row>
    <row r="2350" spans="1:5" x14ac:dyDescent="0.25">
      <c r="A2350" s="2" t="s">
        <v>2482</v>
      </c>
      <c r="B2350" s="2" t="s">
        <v>217</v>
      </c>
      <c r="C2350" s="2">
        <v>4</v>
      </c>
      <c r="D2350" t="str">
        <f t="shared" si="36"/>
        <v>CA-2015-130785_FUR-BO-10000330</v>
      </c>
      <c r="E2350" t="str">
        <f>IF(COUNTIF(data1!$D:$D,D2350)=0,"Missing in Data1","Present")</f>
        <v>Missing in Data1</v>
      </c>
    </row>
    <row r="2351" spans="1:5" x14ac:dyDescent="0.25">
      <c r="A2351" s="2" t="s">
        <v>2482</v>
      </c>
      <c r="B2351" s="2" t="s">
        <v>635</v>
      </c>
      <c r="C2351" s="2">
        <v>3</v>
      </c>
      <c r="D2351" t="str">
        <f t="shared" si="36"/>
        <v>CA-2015-130785_FUR-BO-10003159</v>
      </c>
      <c r="E2351" t="str">
        <f>IF(COUNTIF(data1!$D:$D,D2351)=0,"Missing in Data1","Present")</f>
        <v>Present</v>
      </c>
    </row>
    <row r="2352" spans="1:5" x14ac:dyDescent="0.25">
      <c r="A2352" s="2" t="s">
        <v>2482</v>
      </c>
      <c r="B2352" s="2" t="s">
        <v>2483</v>
      </c>
      <c r="C2352" s="2">
        <v>6</v>
      </c>
      <c r="D2352" t="str">
        <f t="shared" si="36"/>
        <v>CA-2015-130785_OFF-BI-10001900</v>
      </c>
      <c r="E2352" t="str">
        <f>IF(COUNTIF(data1!$D:$D,D2352)=0,"Missing in Data1","Present")</f>
        <v>Present</v>
      </c>
    </row>
    <row r="2353" spans="1:5" x14ac:dyDescent="0.25">
      <c r="A2353" s="2" t="s">
        <v>2484</v>
      </c>
      <c r="B2353" s="2" t="s">
        <v>1221</v>
      </c>
      <c r="C2353" s="2">
        <v>3</v>
      </c>
      <c r="D2353" t="str">
        <f t="shared" si="36"/>
        <v>CA-2015-130792_OFF-AP-10000696</v>
      </c>
      <c r="E2353" t="str">
        <f>IF(COUNTIF(data1!$D:$D,D2353)=0,"Missing in Data1","Present")</f>
        <v>Present</v>
      </c>
    </row>
    <row r="2354" spans="1:5" x14ac:dyDescent="0.25">
      <c r="A2354" s="2" t="s">
        <v>2484</v>
      </c>
      <c r="B2354" s="2" t="s">
        <v>59</v>
      </c>
      <c r="C2354" s="2">
        <v>4</v>
      </c>
      <c r="D2354" t="str">
        <f t="shared" si="36"/>
        <v>CA-2015-130792_OFF-BI-10000309</v>
      </c>
      <c r="E2354" t="str">
        <f>IF(COUNTIF(data1!$D:$D,D2354)=0,"Missing in Data1","Present")</f>
        <v>Present</v>
      </c>
    </row>
    <row r="2355" spans="1:5" x14ac:dyDescent="0.25">
      <c r="A2355" s="2" t="s">
        <v>2484</v>
      </c>
      <c r="B2355" s="2" t="s">
        <v>607</v>
      </c>
      <c r="C2355" s="2">
        <v>3</v>
      </c>
      <c r="D2355" t="str">
        <f t="shared" si="36"/>
        <v>CA-2015-130792_OFF-ST-10003327</v>
      </c>
      <c r="E2355" t="str">
        <f>IF(COUNTIF(data1!$D:$D,D2355)=0,"Missing in Data1","Present")</f>
        <v>Present</v>
      </c>
    </row>
    <row r="2356" spans="1:5" x14ac:dyDescent="0.25">
      <c r="A2356" s="2" t="s">
        <v>2485</v>
      </c>
      <c r="B2356" s="2" t="s">
        <v>335</v>
      </c>
      <c r="C2356" s="2">
        <v>8</v>
      </c>
      <c r="D2356" t="str">
        <f t="shared" si="36"/>
        <v>CA-2015-130848_FUR-CH-10000422</v>
      </c>
      <c r="E2356" t="str">
        <f>IF(COUNTIF(data1!$D:$D,D2356)=0,"Missing in Data1","Present")</f>
        <v>Present</v>
      </c>
    </row>
    <row r="2357" spans="1:5" x14ac:dyDescent="0.25">
      <c r="A2357" s="2" t="s">
        <v>2487</v>
      </c>
      <c r="B2357" s="2" t="s">
        <v>178</v>
      </c>
      <c r="C2357" s="2">
        <v>3</v>
      </c>
      <c r="D2357" t="str">
        <f t="shared" si="36"/>
        <v>CA-2015-130876_OFF-ST-10004258</v>
      </c>
      <c r="E2357" t="str">
        <f>IF(COUNTIF(data1!$D:$D,D2357)=0,"Missing in Data1","Present")</f>
        <v>Present</v>
      </c>
    </row>
    <row r="2358" spans="1:5" x14ac:dyDescent="0.25">
      <c r="A2358" s="2" t="s">
        <v>2488</v>
      </c>
      <c r="B2358" s="2" t="s">
        <v>433</v>
      </c>
      <c r="C2358" s="2">
        <v>5</v>
      </c>
      <c r="D2358" t="str">
        <f t="shared" si="36"/>
        <v>CA-2015-130883_OFF-PA-10000474</v>
      </c>
      <c r="E2358" t="str">
        <f>IF(COUNTIF(data1!$D:$D,D2358)=0,"Missing in Data1","Present")</f>
        <v>Present</v>
      </c>
    </row>
    <row r="2359" spans="1:5" x14ac:dyDescent="0.25">
      <c r="A2359" s="2" t="s">
        <v>2488</v>
      </c>
      <c r="B2359" s="2" t="s">
        <v>1728</v>
      </c>
      <c r="C2359" s="2">
        <v>6</v>
      </c>
      <c r="D2359" t="str">
        <f t="shared" si="36"/>
        <v>CA-2015-130883_OFF-PA-10004100</v>
      </c>
      <c r="E2359" t="str">
        <f>IF(COUNTIF(data1!$D:$D,D2359)=0,"Missing in Data1","Present")</f>
        <v>Present</v>
      </c>
    </row>
    <row r="2360" spans="1:5" x14ac:dyDescent="0.25">
      <c r="A2360" s="2" t="s">
        <v>2488</v>
      </c>
      <c r="B2360" s="2" t="s">
        <v>2489</v>
      </c>
      <c r="C2360" s="2">
        <v>5</v>
      </c>
      <c r="D2360" t="str">
        <f t="shared" si="36"/>
        <v>CA-2015-130883_TEC-AC-10001956</v>
      </c>
      <c r="E2360" t="str">
        <f>IF(COUNTIF(data1!$D:$D,D2360)=0,"Missing in Data1","Present")</f>
        <v>Present</v>
      </c>
    </row>
    <row r="2361" spans="1:5" x14ac:dyDescent="0.25">
      <c r="A2361" s="2" t="s">
        <v>2490</v>
      </c>
      <c r="B2361" s="2" t="s">
        <v>1456</v>
      </c>
      <c r="C2361" s="2">
        <v>5</v>
      </c>
      <c r="D2361" t="str">
        <f t="shared" si="36"/>
        <v>CA-2015-130890_FUR-TA-10002903</v>
      </c>
      <c r="E2361" t="str">
        <f>IF(COUNTIF(data1!$D:$D,D2361)=0,"Missing in Data1","Present")</f>
        <v>Present</v>
      </c>
    </row>
    <row r="2362" spans="1:5" x14ac:dyDescent="0.25">
      <c r="A2362" s="2" t="s">
        <v>2491</v>
      </c>
      <c r="B2362" s="2" t="s">
        <v>411</v>
      </c>
      <c r="C2362" s="2">
        <v>1</v>
      </c>
      <c r="D2362" t="str">
        <f t="shared" si="36"/>
        <v>CA-2015-130974_FUR-BO-10002916</v>
      </c>
      <c r="E2362" t="str">
        <f>IF(COUNTIF(data1!$D:$D,D2362)=0,"Missing in Data1","Present")</f>
        <v>Present</v>
      </c>
    </row>
    <row r="2363" spans="1:5" x14ac:dyDescent="0.25">
      <c r="A2363" s="2" t="s">
        <v>2491</v>
      </c>
      <c r="B2363" s="2" t="s">
        <v>2098</v>
      </c>
      <c r="C2363" s="2">
        <v>3</v>
      </c>
      <c r="D2363" t="str">
        <f t="shared" si="36"/>
        <v>CA-2015-130974_FUR-FU-10002506</v>
      </c>
      <c r="E2363" t="str">
        <f>IF(COUNTIF(data1!$D:$D,D2363)=0,"Missing in Data1","Present")</f>
        <v>Present</v>
      </c>
    </row>
    <row r="2364" spans="1:5" x14ac:dyDescent="0.25">
      <c r="A2364" s="2" t="s">
        <v>2491</v>
      </c>
      <c r="B2364" s="2" t="s">
        <v>2492</v>
      </c>
      <c r="C2364" s="2">
        <v>4</v>
      </c>
      <c r="D2364" t="str">
        <f t="shared" si="36"/>
        <v>CA-2015-130974_FUR-TA-10004619</v>
      </c>
      <c r="E2364" t="str">
        <f>IF(COUNTIF(data1!$D:$D,D2364)=0,"Missing in Data1","Present")</f>
        <v>Present</v>
      </c>
    </row>
    <row r="2365" spans="1:5" x14ac:dyDescent="0.25">
      <c r="A2365" s="2" t="s">
        <v>2491</v>
      </c>
      <c r="B2365" s="2" t="s">
        <v>2493</v>
      </c>
      <c r="C2365" s="2">
        <v>6</v>
      </c>
      <c r="D2365" t="str">
        <f t="shared" si="36"/>
        <v>CA-2015-130974_OFF-PA-10000743</v>
      </c>
      <c r="E2365" t="str">
        <f>IF(COUNTIF(data1!$D:$D,D2365)=0,"Missing in Data1","Present")</f>
        <v>Present</v>
      </c>
    </row>
    <row r="2366" spans="1:5" x14ac:dyDescent="0.25">
      <c r="A2366" s="2" t="s">
        <v>2491</v>
      </c>
      <c r="B2366" s="2" t="s">
        <v>802</v>
      </c>
      <c r="C2366" s="2">
        <v>3</v>
      </c>
      <c r="D2366" t="str">
        <f t="shared" si="36"/>
        <v>CA-2015-130974_OFF-PA-10001019</v>
      </c>
      <c r="E2366" t="str">
        <f>IF(COUNTIF(data1!$D:$D,D2366)=0,"Missing in Data1","Present")</f>
        <v>Missing in Data1</v>
      </c>
    </row>
    <row r="2367" spans="1:5" x14ac:dyDescent="0.25">
      <c r="A2367" s="2" t="s">
        <v>2491</v>
      </c>
      <c r="B2367" s="2" t="s">
        <v>645</v>
      </c>
      <c r="C2367" s="2">
        <v>5</v>
      </c>
      <c r="D2367" t="str">
        <f t="shared" si="36"/>
        <v>CA-2015-130974_OFF-PA-10003823</v>
      </c>
      <c r="E2367" t="str">
        <f>IF(COUNTIF(data1!$D:$D,D2367)=0,"Missing in Data1","Present")</f>
        <v>Present</v>
      </c>
    </row>
    <row r="2368" spans="1:5" x14ac:dyDescent="0.25">
      <c r="A2368" s="2" t="s">
        <v>2491</v>
      </c>
      <c r="B2368" s="2" t="s">
        <v>2092</v>
      </c>
      <c r="C2368" s="2">
        <v>2</v>
      </c>
      <c r="D2368" t="str">
        <f t="shared" si="36"/>
        <v>CA-2015-130974_TEC-AC-10003095</v>
      </c>
      <c r="E2368" t="str">
        <f>IF(COUNTIF(data1!$D:$D,D2368)=0,"Missing in Data1","Present")</f>
        <v>Present</v>
      </c>
    </row>
    <row r="2369" spans="1:5" x14ac:dyDescent="0.25">
      <c r="A2369" s="2" t="s">
        <v>2494</v>
      </c>
      <c r="B2369" s="2" t="s">
        <v>1918</v>
      </c>
      <c r="C2369" s="2">
        <v>1</v>
      </c>
      <c r="D2369" t="str">
        <f t="shared" si="36"/>
        <v>CA-2015-130995_TEC-PH-10000347</v>
      </c>
      <c r="E2369" t="str">
        <f>IF(COUNTIF(data1!$D:$D,D2369)=0,"Missing in Data1","Present")</f>
        <v>Present</v>
      </c>
    </row>
    <row r="2370" spans="1:5" x14ac:dyDescent="0.25">
      <c r="A2370" s="2" t="s">
        <v>2495</v>
      </c>
      <c r="B2370" s="2" t="s">
        <v>1483</v>
      </c>
      <c r="C2370" s="2">
        <v>3</v>
      </c>
      <c r="D2370" t="str">
        <f t="shared" si="36"/>
        <v>CA-2015-131072_OFF-BI-10002794</v>
      </c>
      <c r="E2370" t="str">
        <f>IF(COUNTIF(data1!$D:$D,D2370)=0,"Missing in Data1","Present")</f>
        <v>Present</v>
      </c>
    </row>
    <row r="2371" spans="1:5" x14ac:dyDescent="0.25">
      <c r="A2371" s="2" t="s">
        <v>2496</v>
      </c>
      <c r="B2371" s="2" t="s">
        <v>67</v>
      </c>
      <c r="C2371" s="2">
        <v>3</v>
      </c>
      <c r="D2371" t="str">
        <f t="shared" ref="D2371:D2434" si="37">A2371&amp;"_"&amp;B2371</f>
        <v>CA-2015-131128_OFF-PA-10003591</v>
      </c>
      <c r="E2371" t="str">
        <f>IF(COUNTIF(data1!$D:$D,D2371)=0,"Missing in Data1","Present")</f>
        <v>Present</v>
      </c>
    </row>
    <row r="2372" spans="1:5" x14ac:dyDescent="0.25">
      <c r="A2372" s="2" t="s">
        <v>2497</v>
      </c>
      <c r="B2372" s="2" t="s">
        <v>456</v>
      </c>
      <c r="C2372" s="2">
        <v>2</v>
      </c>
      <c r="D2372" t="str">
        <f t="shared" si="37"/>
        <v>CA-2015-131338_FUR-FU-10001706</v>
      </c>
      <c r="E2372" t="str">
        <f>IF(COUNTIF(data1!$D:$D,D2372)=0,"Missing in Data1","Present")</f>
        <v>Present</v>
      </c>
    </row>
    <row r="2373" spans="1:5" x14ac:dyDescent="0.25">
      <c r="A2373" s="2" t="s">
        <v>2497</v>
      </c>
      <c r="B2373" s="2" t="s">
        <v>2498</v>
      </c>
      <c r="C2373" s="2">
        <v>3</v>
      </c>
      <c r="D2373" t="str">
        <f t="shared" si="37"/>
        <v>CA-2015-131338_FUR-FU-10002157</v>
      </c>
      <c r="E2373" t="str">
        <f>IF(COUNTIF(data1!$D:$D,D2373)=0,"Missing in Data1","Present")</f>
        <v>Present</v>
      </c>
    </row>
    <row r="2374" spans="1:5" x14ac:dyDescent="0.25">
      <c r="A2374" s="2" t="s">
        <v>2497</v>
      </c>
      <c r="B2374" s="2" t="s">
        <v>752</v>
      </c>
      <c r="C2374" s="2">
        <v>9</v>
      </c>
      <c r="D2374" t="str">
        <f t="shared" si="37"/>
        <v>CA-2015-131338_FUR-TA-10002607</v>
      </c>
      <c r="E2374" t="str">
        <f>IF(COUNTIF(data1!$D:$D,D2374)=0,"Missing in Data1","Present")</f>
        <v>Present</v>
      </c>
    </row>
    <row r="2375" spans="1:5" x14ac:dyDescent="0.25">
      <c r="A2375" s="2" t="s">
        <v>2497</v>
      </c>
      <c r="B2375" s="2" t="s">
        <v>2499</v>
      </c>
      <c r="C2375" s="2">
        <v>2</v>
      </c>
      <c r="D2375" t="str">
        <f t="shared" si="37"/>
        <v>CA-2015-131338_OFF-BI-10000545</v>
      </c>
      <c r="E2375" t="str">
        <f>IF(COUNTIF(data1!$D:$D,D2375)=0,"Missing in Data1","Present")</f>
        <v>Present</v>
      </c>
    </row>
    <row r="2376" spans="1:5" x14ac:dyDescent="0.25">
      <c r="A2376" s="2" t="s">
        <v>2497</v>
      </c>
      <c r="B2376" s="2" t="s">
        <v>1653</v>
      </c>
      <c r="C2376" s="2">
        <v>3</v>
      </c>
      <c r="D2376" t="str">
        <f t="shared" si="37"/>
        <v>CA-2015-131338_OFF-FA-10000992</v>
      </c>
      <c r="E2376" t="str">
        <f>IF(COUNTIF(data1!$D:$D,D2376)=0,"Missing in Data1","Present")</f>
        <v>Present</v>
      </c>
    </row>
    <row r="2377" spans="1:5" x14ac:dyDescent="0.25">
      <c r="A2377" s="2" t="s">
        <v>2497</v>
      </c>
      <c r="B2377" s="2" t="s">
        <v>2394</v>
      </c>
      <c r="C2377" s="2">
        <v>3</v>
      </c>
      <c r="D2377" t="str">
        <f t="shared" si="37"/>
        <v>CA-2015-131338_OFF-PA-10001357</v>
      </c>
      <c r="E2377" t="str">
        <f>IF(COUNTIF(data1!$D:$D,D2377)=0,"Missing in Data1","Present")</f>
        <v>Present</v>
      </c>
    </row>
    <row r="2378" spans="1:5" x14ac:dyDescent="0.25">
      <c r="A2378" s="2" t="s">
        <v>2497</v>
      </c>
      <c r="B2378" s="2" t="s">
        <v>2500</v>
      </c>
      <c r="C2378" s="2">
        <v>2</v>
      </c>
      <c r="D2378" t="str">
        <f t="shared" si="37"/>
        <v>CA-2015-131338_OFF-ST-10000642</v>
      </c>
      <c r="E2378" t="str">
        <f>IF(COUNTIF(data1!$D:$D,D2378)=0,"Missing in Data1","Present")</f>
        <v>Present</v>
      </c>
    </row>
    <row r="2379" spans="1:5" x14ac:dyDescent="0.25">
      <c r="A2379" s="2" t="s">
        <v>2497</v>
      </c>
      <c r="B2379" s="2" t="s">
        <v>520</v>
      </c>
      <c r="C2379" s="2">
        <v>5</v>
      </c>
      <c r="D2379" t="str">
        <f t="shared" si="37"/>
        <v>CA-2015-131338_TEC-PH-10000984</v>
      </c>
      <c r="E2379" t="str">
        <f>IF(COUNTIF(data1!$D:$D,D2379)=0,"Missing in Data1","Present")</f>
        <v>Present</v>
      </c>
    </row>
    <row r="2380" spans="1:5" x14ac:dyDescent="0.25">
      <c r="A2380" s="2" t="s">
        <v>2497</v>
      </c>
      <c r="B2380" s="2" t="s">
        <v>1980</v>
      </c>
      <c r="C2380" s="2">
        <v>2</v>
      </c>
      <c r="D2380" t="str">
        <f t="shared" si="37"/>
        <v>CA-2015-131338_TEC-PH-10003012</v>
      </c>
      <c r="E2380" t="str">
        <f>IF(COUNTIF(data1!$D:$D,D2380)=0,"Missing in Data1","Present")</f>
        <v>Present</v>
      </c>
    </row>
    <row r="2381" spans="1:5" x14ac:dyDescent="0.25">
      <c r="A2381" s="2" t="s">
        <v>2502</v>
      </c>
      <c r="B2381" s="2" t="s">
        <v>1768</v>
      </c>
      <c r="C2381" s="2">
        <v>3</v>
      </c>
      <c r="D2381" t="str">
        <f t="shared" si="37"/>
        <v>CA-2015-131352_FUR-FU-10003708</v>
      </c>
      <c r="E2381" t="str">
        <f>IF(COUNTIF(data1!$D:$D,D2381)=0,"Missing in Data1","Present")</f>
        <v>Present</v>
      </c>
    </row>
    <row r="2382" spans="1:5" x14ac:dyDescent="0.25">
      <c r="A2382" s="2" t="s">
        <v>2503</v>
      </c>
      <c r="B2382" s="2" t="s">
        <v>976</v>
      </c>
      <c r="C2382" s="2">
        <v>3</v>
      </c>
      <c r="D2382" t="str">
        <f t="shared" si="37"/>
        <v>CA-2015-131422_FUR-CH-10001270</v>
      </c>
      <c r="E2382" t="str">
        <f>IF(COUNTIF(data1!$D:$D,D2382)=0,"Missing in Data1","Present")</f>
        <v>Present</v>
      </c>
    </row>
    <row r="2383" spans="1:5" x14ac:dyDescent="0.25">
      <c r="A2383" s="2" t="s">
        <v>2504</v>
      </c>
      <c r="B2383" s="2" t="s">
        <v>2505</v>
      </c>
      <c r="C2383" s="2">
        <v>7</v>
      </c>
      <c r="D2383" t="str">
        <f t="shared" si="37"/>
        <v>CA-2015-131457_OFF-EN-10001509</v>
      </c>
      <c r="E2383" t="str">
        <f>IF(COUNTIF(data1!$D:$D,D2383)=0,"Missing in Data1","Present")</f>
        <v>Present</v>
      </c>
    </row>
    <row r="2384" spans="1:5" x14ac:dyDescent="0.25">
      <c r="A2384" s="2" t="s">
        <v>2506</v>
      </c>
      <c r="B2384" s="2" t="s">
        <v>2493</v>
      </c>
      <c r="C2384" s="2">
        <v>5</v>
      </c>
      <c r="D2384" t="str">
        <f t="shared" si="37"/>
        <v>CA-2015-131534_OFF-PA-10000743</v>
      </c>
      <c r="E2384" t="str">
        <f>IF(COUNTIF(data1!$D:$D,D2384)=0,"Missing in Data1","Present")</f>
        <v>Missing in Data1</v>
      </c>
    </row>
    <row r="2385" spans="1:5" x14ac:dyDescent="0.25">
      <c r="A2385" s="2" t="s">
        <v>2506</v>
      </c>
      <c r="B2385" s="2" t="s">
        <v>2507</v>
      </c>
      <c r="C2385" s="2">
        <v>1</v>
      </c>
      <c r="D2385" t="str">
        <f t="shared" si="37"/>
        <v>CA-2015-131534_TEC-AC-10002253</v>
      </c>
      <c r="E2385" t="str">
        <f>IF(COUNTIF(data1!$D:$D,D2385)=0,"Missing in Data1","Present")</f>
        <v>Present</v>
      </c>
    </row>
    <row r="2386" spans="1:5" x14ac:dyDescent="0.25">
      <c r="A2386" s="2" t="s">
        <v>2508</v>
      </c>
      <c r="B2386" s="2" t="s">
        <v>752</v>
      </c>
      <c r="C2386" s="2">
        <v>3</v>
      </c>
      <c r="D2386" t="str">
        <f t="shared" si="37"/>
        <v>CA-2015-131597_FUR-TA-10002607</v>
      </c>
      <c r="E2386" t="str">
        <f>IF(COUNTIF(data1!$D:$D,D2386)=0,"Missing in Data1","Present")</f>
        <v>Present</v>
      </c>
    </row>
    <row r="2387" spans="1:5" x14ac:dyDescent="0.25">
      <c r="A2387" s="2" t="s">
        <v>2509</v>
      </c>
      <c r="B2387" s="2" t="s">
        <v>1004</v>
      </c>
      <c r="C2387" s="2">
        <v>3</v>
      </c>
      <c r="D2387" t="str">
        <f t="shared" si="37"/>
        <v>CA-2015-131758_OFF-AR-10000411</v>
      </c>
      <c r="E2387" t="str">
        <f>IF(COUNTIF(data1!$D:$D,D2387)=0,"Missing in Data1","Present")</f>
        <v>Present</v>
      </c>
    </row>
    <row r="2388" spans="1:5" x14ac:dyDescent="0.25">
      <c r="A2388" s="2" t="s">
        <v>2509</v>
      </c>
      <c r="B2388" s="2" t="s">
        <v>379</v>
      </c>
      <c r="C2388" s="2">
        <v>5</v>
      </c>
      <c r="D2388" t="str">
        <f t="shared" si="37"/>
        <v>CA-2015-131758_OFF-LA-10000262</v>
      </c>
      <c r="E2388" t="str">
        <f>IF(COUNTIF(data1!$D:$D,D2388)=0,"Missing in Data1","Present")</f>
        <v>Present</v>
      </c>
    </row>
    <row r="2389" spans="1:5" x14ac:dyDescent="0.25">
      <c r="A2389" s="2" t="s">
        <v>2510</v>
      </c>
      <c r="B2389" s="2" t="s">
        <v>487</v>
      </c>
      <c r="C2389" s="2">
        <v>5</v>
      </c>
      <c r="D2389" t="str">
        <f t="shared" si="37"/>
        <v>CA-2015-131779_OFF-ST-10001505</v>
      </c>
      <c r="E2389" t="str">
        <f>IF(COUNTIF(data1!$D:$D,D2389)=0,"Missing in Data1","Present")</f>
        <v>Present</v>
      </c>
    </row>
    <row r="2390" spans="1:5" x14ac:dyDescent="0.25">
      <c r="A2390" s="2" t="s">
        <v>2511</v>
      </c>
      <c r="B2390" s="2" t="s">
        <v>4530</v>
      </c>
      <c r="C2390" s="2">
        <v>4</v>
      </c>
      <c r="D2390" t="str">
        <f t="shared" si="37"/>
        <v>CA-2015-131856_FUR-FU-10000175</v>
      </c>
      <c r="E2390" t="str">
        <f>IF(COUNTIF(data1!$D:$D,D2390)=0,"Missing in Data1","Present")</f>
        <v>Missing in Data1</v>
      </c>
    </row>
    <row r="2391" spans="1:5" x14ac:dyDescent="0.25">
      <c r="A2391" s="2" t="s">
        <v>2511</v>
      </c>
      <c r="B2391" s="2" t="s">
        <v>2512</v>
      </c>
      <c r="C2391" s="2">
        <v>7</v>
      </c>
      <c r="D2391" t="str">
        <f t="shared" si="37"/>
        <v>CA-2015-131856_OFF-PA-10001954</v>
      </c>
      <c r="E2391" t="str">
        <f>IF(COUNTIF(data1!$D:$D,D2391)=0,"Missing in Data1","Present")</f>
        <v>Present</v>
      </c>
    </row>
    <row r="2392" spans="1:5" x14ac:dyDescent="0.25">
      <c r="A2392" s="2" t="s">
        <v>2511</v>
      </c>
      <c r="B2392" s="2" t="s">
        <v>292</v>
      </c>
      <c r="C2392" s="2">
        <v>6</v>
      </c>
      <c r="D2392" t="str">
        <f t="shared" si="37"/>
        <v>CA-2015-131856_TEC-PH-10001336</v>
      </c>
      <c r="E2392" t="str">
        <f>IF(COUNTIF(data1!$D:$D,D2392)=0,"Missing in Data1","Present")</f>
        <v>Present</v>
      </c>
    </row>
    <row r="2393" spans="1:5" x14ac:dyDescent="0.25">
      <c r="A2393" s="2" t="s">
        <v>2513</v>
      </c>
      <c r="B2393" s="2" t="s">
        <v>1162</v>
      </c>
      <c r="C2393" s="2">
        <v>1</v>
      </c>
      <c r="D2393" t="str">
        <f t="shared" si="37"/>
        <v>CA-2015-131884_FUR-CH-10004860</v>
      </c>
      <c r="E2393" t="str">
        <f>IF(COUNTIF(data1!$D:$D,D2393)=0,"Missing in Data1","Present")</f>
        <v>Present</v>
      </c>
    </row>
    <row r="2394" spans="1:5" x14ac:dyDescent="0.25">
      <c r="A2394" s="2" t="s">
        <v>2513</v>
      </c>
      <c r="B2394" s="2" t="s">
        <v>1096</v>
      </c>
      <c r="C2394" s="2">
        <v>8</v>
      </c>
      <c r="D2394" t="str">
        <f t="shared" si="37"/>
        <v>CA-2015-131884_OFF-AR-10004078</v>
      </c>
      <c r="E2394" t="str">
        <f>IF(COUNTIF(data1!$D:$D,D2394)=0,"Missing in Data1","Present")</f>
        <v>Present</v>
      </c>
    </row>
    <row r="2395" spans="1:5" x14ac:dyDescent="0.25">
      <c r="A2395" s="2" t="s">
        <v>2513</v>
      </c>
      <c r="B2395" s="2" t="s">
        <v>2514</v>
      </c>
      <c r="C2395" s="2">
        <v>2</v>
      </c>
      <c r="D2395" t="str">
        <f t="shared" si="37"/>
        <v>CA-2015-131884_TEC-PH-10001578</v>
      </c>
      <c r="E2395" t="str">
        <f>IF(COUNTIF(data1!$D:$D,D2395)=0,"Missing in Data1","Present")</f>
        <v>Present</v>
      </c>
    </row>
    <row r="2396" spans="1:5" x14ac:dyDescent="0.25">
      <c r="A2396" s="2" t="s">
        <v>2515</v>
      </c>
      <c r="B2396" s="2" t="s">
        <v>2516</v>
      </c>
      <c r="C2396" s="2">
        <v>6</v>
      </c>
      <c r="D2396" t="str">
        <f t="shared" si="37"/>
        <v>CA-2015-132080_OFF-BI-10003694</v>
      </c>
      <c r="E2396" t="str">
        <f>IF(COUNTIF(data1!$D:$D,D2396)=0,"Missing in Data1","Present")</f>
        <v>Present</v>
      </c>
    </row>
    <row r="2397" spans="1:5" x14ac:dyDescent="0.25">
      <c r="A2397" s="2" t="s">
        <v>2517</v>
      </c>
      <c r="B2397" s="2" t="s">
        <v>900</v>
      </c>
      <c r="C2397" s="2">
        <v>3</v>
      </c>
      <c r="D2397" t="str">
        <f t="shared" si="37"/>
        <v>CA-2015-132101_TEC-PH-10004539</v>
      </c>
      <c r="E2397" t="str">
        <f>IF(COUNTIF(data1!$D:$D,D2397)=0,"Missing in Data1","Present")</f>
        <v>Present</v>
      </c>
    </row>
    <row r="2398" spans="1:5" x14ac:dyDescent="0.25">
      <c r="A2398" s="2" t="s">
        <v>2518</v>
      </c>
      <c r="B2398" s="2" t="s">
        <v>965</v>
      </c>
      <c r="C2398" s="2">
        <v>3</v>
      </c>
      <c r="D2398" t="str">
        <f t="shared" si="37"/>
        <v>CA-2015-132136_OFF-BI-10002706</v>
      </c>
      <c r="E2398" t="str">
        <f>IF(COUNTIF(data1!$D:$D,D2398)=0,"Missing in Data1","Present")</f>
        <v>Present</v>
      </c>
    </row>
    <row r="2399" spans="1:5" x14ac:dyDescent="0.25">
      <c r="A2399" s="2" t="s">
        <v>2519</v>
      </c>
      <c r="B2399" s="2" t="s">
        <v>2520</v>
      </c>
      <c r="C2399" s="2">
        <v>6</v>
      </c>
      <c r="D2399" t="str">
        <f t="shared" si="37"/>
        <v>CA-2015-132276_OFF-AP-10000804</v>
      </c>
      <c r="E2399" t="str">
        <f>IF(COUNTIF(data1!$D:$D,D2399)=0,"Missing in Data1","Present")</f>
        <v>Present</v>
      </c>
    </row>
    <row r="2400" spans="1:5" x14ac:dyDescent="0.25">
      <c r="A2400" s="2" t="s">
        <v>2519</v>
      </c>
      <c r="B2400" s="2" t="s">
        <v>1734</v>
      </c>
      <c r="C2400" s="2">
        <v>2</v>
      </c>
      <c r="D2400" t="str">
        <f t="shared" si="37"/>
        <v>CA-2015-132276_OFF-BI-10002982</v>
      </c>
      <c r="E2400" t="str">
        <f>IF(COUNTIF(data1!$D:$D,D2400)=0,"Missing in Data1","Present")</f>
        <v>Present</v>
      </c>
    </row>
    <row r="2401" spans="1:5" x14ac:dyDescent="0.25">
      <c r="A2401" s="2" t="s">
        <v>2521</v>
      </c>
      <c r="B2401" s="2" t="s">
        <v>1975</v>
      </c>
      <c r="C2401" s="2">
        <v>3</v>
      </c>
      <c r="D2401" t="str">
        <f t="shared" si="37"/>
        <v>CA-2015-132318_OFF-AP-10000026</v>
      </c>
      <c r="E2401" t="str">
        <f>IF(COUNTIF(data1!$D:$D,D2401)=0,"Missing in Data1","Present")</f>
        <v>Present</v>
      </c>
    </row>
    <row r="2402" spans="1:5" x14ac:dyDescent="0.25">
      <c r="A2402" s="2" t="s">
        <v>2522</v>
      </c>
      <c r="B2402" s="2" t="s">
        <v>1492</v>
      </c>
      <c r="C2402" s="2">
        <v>4</v>
      </c>
      <c r="D2402" t="str">
        <f t="shared" si="37"/>
        <v>CA-2015-132374_OFF-AR-10001615</v>
      </c>
      <c r="E2402" t="str">
        <f>IF(COUNTIF(data1!$D:$D,D2402)=0,"Missing in Data1","Present")</f>
        <v>Present</v>
      </c>
    </row>
    <row r="2403" spans="1:5" x14ac:dyDescent="0.25">
      <c r="A2403" s="2" t="s">
        <v>2523</v>
      </c>
      <c r="B2403" s="2" t="s">
        <v>84</v>
      </c>
      <c r="C2403" s="2">
        <v>3</v>
      </c>
      <c r="D2403" t="str">
        <f t="shared" si="37"/>
        <v>CA-2015-132388_FUR-CH-10001714</v>
      </c>
      <c r="E2403" t="str">
        <f>IF(COUNTIF(data1!$D:$D,D2403)=0,"Missing in Data1","Present")</f>
        <v>Present</v>
      </c>
    </row>
    <row r="2404" spans="1:5" x14ac:dyDescent="0.25">
      <c r="A2404" s="2" t="s">
        <v>2523</v>
      </c>
      <c r="B2404" s="2" t="s">
        <v>2382</v>
      </c>
      <c r="C2404" s="2">
        <v>3</v>
      </c>
      <c r="D2404" t="str">
        <f t="shared" si="37"/>
        <v>CA-2015-132388_OFF-LA-10000414</v>
      </c>
      <c r="E2404" t="str">
        <f>IF(COUNTIF(data1!$D:$D,D2404)=0,"Missing in Data1","Present")</f>
        <v>Present</v>
      </c>
    </row>
    <row r="2405" spans="1:5" x14ac:dyDescent="0.25">
      <c r="A2405" s="2" t="s">
        <v>2524</v>
      </c>
      <c r="B2405" s="2" t="s">
        <v>505</v>
      </c>
      <c r="C2405" s="2">
        <v>2</v>
      </c>
      <c r="D2405" t="str">
        <f t="shared" si="37"/>
        <v>CA-2015-132465_FUR-FU-10000277</v>
      </c>
      <c r="E2405" t="str">
        <f>IF(COUNTIF(data1!$D:$D,D2405)=0,"Missing in Data1","Present")</f>
        <v>Present</v>
      </c>
    </row>
    <row r="2406" spans="1:5" x14ac:dyDescent="0.25">
      <c r="A2406" s="2" t="s">
        <v>2524</v>
      </c>
      <c r="B2406" s="2" t="s">
        <v>342</v>
      </c>
      <c r="C2406" s="2">
        <v>4</v>
      </c>
      <c r="D2406" t="str">
        <f t="shared" si="37"/>
        <v>CA-2015-132465_OFF-ST-10001932</v>
      </c>
      <c r="E2406" t="str">
        <f>IF(COUNTIF(data1!$D:$D,D2406)=0,"Missing in Data1","Present")</f>
        <v>Present</v>
      </c>
    </row>
    <row r="2407" spans="1:5" x14ac:dyDescent="0.25">
      <c r="A2407" s="2" t="s">
        <v>2524</v>
      </c>
      <c r="B2407" s="2" t="s">
        <v>1011</v>
      </c>
      <c r="C2407" s="2">
        <v>1</v>
      </c>
      <c r="D2407" t="str">
        <f t="shared" si="37"/>
        <v>CA-2015-132465_OFF-ST-10003641</v>
      </c>
      <c r="E2407" t="str">
        <f>IF(COUNTIF(data1!$D:$D,D2407)=0,"Missing in Data1","Present")</f>
        <v>Present</v>
      </c>
    </row>
    <row r="2408" spans="1:5" x14ac:dyDescent="0.25">
      <c r="A2408" s="2" t="s">
        <v>2524</v>
      </c>
      <c r="B2408" s="2" t="s">
        <v>2525</v>
      </c>
      <c r="C2408" s="2">
        <v>1</v>
      </c>
      <c r="D2408" t="str">
        <f t="shared" si="37"/>
        <v>CA-2015-132465_TEC-AC-10001998</v>
      </c>
      <c r="E2408" t="str">
        <f>IF(COUNTIF(data1!$D:$D,D2408)=0,"Missing in Data1","Present")</f>
        <v>Present</v>
      </c>
    </row>
    <row r="2409" spans="1:5" x14ac:dyDescent="0.25">
      <c r="A2409" s="2" t="s">
        <v>2526</v>
      </c>
      <c r="B2409" s="2" t="s">
        <v>658</v>
      </c>
      <c r="C2409" s="2">
        <v>3</v>
      </c>
      <c r="D2409" t="str">
        <f t="shared" si="37"/>
        <v>CA-2015-132486_FUR-CH-10001854</v>
      </c>
      <c r="E2409" t="str">
        <f>IF(COUNTIF(data1!$D:$D,D2409)=0,"Missing in Data1","Present")</f>
        <v>Present</v>
      </c>
    </row>
    <row r="2410" spans="1:5" x14ac:dyDescent="0.25">
      <c r="A2410" s="2" t="s">
        <v>2526</v>
      </c>
      <c r="B2410" s="2" t="s">
        <v>193</v>
      </c>
      <c r="C2410" s="2">
        <v>1</v>
      </c>
      <c r="D2410" t="str">
        <f t="shared" si="37"/>
        <v>CA-2015-132486_FUR-CH-10004495</v>
      </c>
      <c r="E2410" t="str">
        <f>IF(COUNTIF(data1!$D:$D,D2410)=0,"Missing in Data1","Present")</f>
        <v>Present</v>
      </c>
    </row>
    <row r="2411" spans="1:5" x14ac:dyDescent="0.25">
      <c r="A2411" s="2" t="s">
        <v>2526</v>
      </c>
      <c r="B2411" s="2" t="s">
        <v>2527</v>
      </c>
      <c r="C2411" s="2">
        <v>7</v>
      </c>
      <c r="D2411" t="str">
        <f t="shared" si="37"/>
        <v>CA-2015-132486_FUR-CH-10004540</v>
      </c>
      <c r="E2411" t="str">
        <f>IF(COUNTIF(data1!$D:$D,D2411)=0,"Missing in Data1","Present")</f>
        <v>Present</v>
      </c>
    </row>
    <row r="2412" spans="1:5" x14ac:dyDescent="0.25">
      <c r="A2412" s="2" t="s">
        <v>2526</v>
      </c>
      <c r="B2412" s="2" t="s">
        <v>532</v>
      </c>
      <c r="C2412" s="2">
        <v>4</v>
      </c>
      <c r="D2412" t="str">
        <f t="shared" si="37"/>
        <v>CA-2015-132486_OFF-EN-10002600</v>
      </c>
      <c r="E2412" t="str">
        <f>IF(COUNTIF(data1!$D:$D,D2412)=0,"Missing in Data1","Present")</f>
        <v>Present</v>
      </c>
    </row>
    <row r="2413" spans="1:5" x14ac:dyDescent="0.25">
      <c r="A2413" s="2" t="s">
        <v>2526</v>
      </c>
      <c r="B2413" s="2" t="s">
        <v>2528</v>
      </c>
      <c r="C2413" s="2">
        <v>2</v>
      </c>
      <c r="D2413" t="str">
        <f t="shared" si="37"/>
        <v>CA-2015-132486_OFF-PA-10004971</v>
      </c>
      <c r="E2413" t="str">
        <f>IF(COUNTIF(data1!$D:$D,D2413)=0,"Missing in Data1","Present")</f>
        <v>Present</v>
      </c>
    </row>
    <row r="2414" spans="1:5" x14ac:dyDescent="0.25">
      <c r="A2414" s="2" t="s">
        <v>2526</v>
      </c>
      <c r="B2414" s="2" t="s">
        <v>290</v>
      </c>
      <c r="C2414" s="2">
        <v>9</v>
      </c>
      <c r="D2414" t="str">
        <f t="shared" si="37"/>
        <v>CA-2015-132486_TEC-AC-10000710</v>
      </c>
      <c r="E2414" t="str">
        <f>IF(COUNTIF(data1!$D:$D,D2414)=0,"Missing in Data1","Present")</f>
        <v>Present</v>
      </c>
    </row>
    <row r="2415" spans="1:5" x14ac:dyDescent="0.25">
      <c r="A2415" s="2" t="s">
        <v>2529</v>
      </c>
      <c r="B2415" s="2" t="s">
        <v>166</v>
      </c>
      <c r="C2415" s="2">
        <v>4</v>
      </c>
      <c r="D2415" t="str">
        <f t="shared" si="37"/>
        <v>CA-2015-132507_OFF-ST-10000943</v>
      </c>
      <c r="E2415" t="str">
        <f>IF(COUNTIF(data1!$D:$D,D2415)=0,"Missing in Data1","Present")</f>
        <v>Present</v>
      </c>
    </row>
    <row r="2416" spans="1:5" x14ac:dyDescent="0.25">
      <c r="A2416" s="2" t="s">
        <v>2530</v>
      </c>
      <c r="B2416" s="2" t="s">
        <v>2531</v>
      </c>
      <c r="C2416" s="2">
        <v>2</v>
      </c>
      <c r="D2416" t="str">
        <f t="shared" si="37"/>
        <v>CA-2015-132570_OFF-AR-10000369</v>
      </c>
      <c r="E2416" t="str">
        <f>IF(COUNTIF(data1!$D:$D,D2416)=0,"Missing in Data1","Present")</f>
        <v>Present</v>
      </c>
    </row>
    <row r="2417" spans="1:5" x14ac:dyDescent="0.25">
      <c r="A2417" s="2" t="s">
        <v>2530</v>
      </c>
      <c r="B2417" s="2" t="s">
        <v>1970</v>
      </c>
      <c r="C2417" s="2">
        <v>2</v>
      </c>
      <c r="D2417" t="str">
        <f t="shared" si="37"/>
        <v>CA-2015-132570_OFF-EN-10003055</v>
      </c>
      <c r="E2417" t="str">
        <f>IF(COUNTIF(data1!$D:$D,D2417)=0,"Missing in Data1","Present")</f>
        <v>Present</v>
      </c>
    </row>
    <row r="2418" spans="1:5" x14ac:dyDescent="0.25">
      <c r="A2418" s="2" t="s">
        <v>2532</v>
      </c>
      <c r="B2418" s="2" t="s">
        <v>1270</v>
      </c>
      <c r="C2418" s="2">
        <v>4</v>
      </c>
      <c r="D2418" t="str">
        <f t="shared" si="37"/>
        <v>CA-2015-132626_OFF-AR-10002987</v>
      </c>
      <c r="E2418" t="str">
        <f>IF(COUNTIF(data1!$D:$D,D2418)=0,"Missing in Data1","Present")</f>
        <v>Present</v>
      </c>
    </row>
    <row r="2419" spans="1:5" x14ac:dyDescent="0.25">
      <c r="A2419" s="2" t="s">
        <v>2532</v>
      </c>
      <c r="B2419" s="2" t="s">
        <v>3393</v>
      </c>
      <c r="C2419" s="2">
        <v>6</v>
      </c>
      <c r="D2419" t="str">
        <f t="shared" si="37"/>
        <v>CA-2015-132626_OFF-BI-10001634</v>
      </c>
      <c r="E2419" t="str">
        <f>IF(COUNTIF(data1!$D:$D,D2419)=0,"Missing in Data1","Present")</f>
        <v>Missing in Data1</v>
      </c>
    </row>
    <row r="2420" spans="1:5" x14ac:dyDescent="0.25">
      <c r="A2420" s="2" t="s">
        <v>2532</v>
      </c>
      <c r="B2420" s="2" t="s">
        <v>337</v>
      </c>
      <c r="C2420" s="2">
        <v>3</v>
      </c>
      <c r="D2420" t="str">
        <f t="shared" si="37"/>
        <v>CA-2015-132626_OFF-BI-10002854</v>
      </c>
      <c r="E2420" t="str">
        <f>IF(COUNTIF(data1!$D:$D,D2420)=0,"Missing in Data1","Present")</f>
        <v>Present</v>
      </c>
    </row>
    <row r="2421" spans="1:5" x14ac:dyDescent="0.25">
      <c r="A2421" s="2" t="s">
        <v>2532</v>
      </c>
      <c r="B2421" s="2" t="s">
        <v>2450</v>
      </c>
      <c r="C2421" s="2">
        <v>9</v>
      </c>
      <c r="D2421" t="str">
        <f t="shared" si="37"/>
        <v>CA-2015-132626_OFF-BI-10004001</v>
      </c>
      <c r="E2421" t="str">
        <f>IF(COUNTIF(data1!$D:$D,D2421)=0,"Missing in Data1","Present")</f>
        <v>Present</v>
      </c>
    </row>
    <row r="2422" spans="1:5" x14ac:dyDescent="0.25">
      <c r="A2422" s="2" t="s">
        <v>2532</v>
      </c>
      <c r="B2422" s="2" t="s">
        <v>454</v>
      </c>
      <c r="C2422" s="2">
        <v>4</v>
      </c>
      <c r="D2422" t="str">
        <f t="shared" si="37"/>
        <v>CA-2015-132626_OFF-FA-10002763</v>
      </c>
      <c r="E2422" t="str">
        <f>IF(COUNTIF(data1!$D:$D,D2422)=0,"Missing in Data1","Present")</f>
        <v>Present</v>
      </c>
    </row>
    <row r="2423" spans="1:5" x14ac:dyDescent="0.25">
      <c r="A2423" s="2" t="s">
        <v>2532</v>
      </c>
      <c r="B2423" s="2" t="s">
        <v>2533</v>
      </c>
      <c r="C2423" s="2">
        <v>3</v>
      </c>
      <c r="D2423" t="str">
        <f t="shared" si="37"/>
        <v>CA-2015-132626_OFF-LA-10000476</v>
      </c>
      <c r="E2423" t="str">
        <f>IF(COUNTIF(data1!$D:$D,D2423)=0,"Missing in Data1","Present")</f>
        <v>Present</v>
      </c>
    </row>
    <row r="2424" spans="1:5" x14ac:dyDescent="0.25">
      <c r="A2424" s="2" t="s">
        <v>2532</v>
      </c>
      <c r="B2424" s="2" t="s">
        <v>865</v>
      </c>
      <c r="C2424" s="2">
        <v>7</v>
      </c>
      <c r="D2424" t="str">
        <f t="shared" si="37"/>
        <v>CA-2015-132626_OFF-ST-10003722</v>
      </c>
      <c r="E2424" t="str">
        <f>IF(COUNTIF(data1!$D:$D,D2424)=0,"Missing in Data1","Present")</f>
        <v>Present</v>
      </c>
    </row>
    <row r="2425" spans="1:5" x14ac:dyDescent="0.25">
      <c r="A2425" s="2" t="s">
        <v>2532</v>
      </c>
      <c r="B2425" s="2" t="s">
        <v>4069</v>
      </c>
      <c r="C2425" s="2">
        <v>3</v>
      </c>
      <c r="D2425" t="str">
        <f t="shared" si="37"/>
        <v>CA-2015-132626_TEC-MA-10002428</v>
      </c>
      <c r="E2425" t="str">
        <f>IF(COUNTIF(data1!$D:$D,D2425)=0,"Missing in Data1","Present")</f>
        <v>Missing in Data1</v>
      </c>
    </row>
    <row r="2426" spans="1:5" x14ac:dyDescent="0.25">
      <c r="A2426" s="2" t="s">
        <v>2534</v>
      </c>
      <c r="B2426" s="2" t="s">
        <v>1338</v>
      </c>
      <c r="C2426" s="2">
        <v>3</v>
      </c>
      <c r="D2426" t="str">
        <f t="shared" si="37"/>
        <v>CA-2015-132633_OFF-BI-10002432</v>
      </c>
      <c r="E2426" t="str">
        <f>IF(COUNTIF(data1!$D:$D,D2426)=0,"Missing in Data1","Present")</f>
        <v>Present</v>
      </c>
    </row>
    <row r="2427" spans="1:5" x14ac:dyDescent="0.25">
      <c r="A2427" s="2" t="s">
        <v>2535</v>
      </c>
      <c r="B2427" s="2" t="s">
        <v>386</v>
      </c>
      <c r="C2427" s="2">
        <v>2</v>
      </c>
      <c r="D2427" t="str">
        <f t="shared" si="37"/>
        <v>CA-2015-132815_OFF-PA-10004530</v>
      </c>
      <c r="E2427" t="str">
        <f>IF(COUNTIF(data1!$D:$D,D2427)=0,"Missing in Data1","Present")</f>
        <v>Present</v>
      </c>
    </row>
    <row r="2428" spans="1:5" x14ac:dyDescent="0.25">
      <c r="A2428" s="2" t="s">
        <v>2536</v>
      </c>
      <c r="B2428" s="2" t="s">
        <v>2537</v>
      </c>
      <c r="C2428" s="2">
        <v>4</v>
      </c>
      <c r="D2428" t="str">
        <f t="shared" si="37"/>
        <v>CA-2015-132906_OFF-SU-10004498</v>
      </c>
      <c r="E2428" t="str">
        <f>IF(COUNTIF(data1!$D:$D,D2428)=0,"Missing in Data1","Present")</f>
        <v>Present</v>
      </c>
    </row>
    <row r="2429" spans="1:5" x14ac:dyDescent="0.25">
      <c r="A2429" s="2" t="s">
        <v>2538</v>
      </c>
      <c r="B2429" s="2" t="s">
        <v>2415</v>
      </c>
      <c r="C2429" s="2">
        <v>7</v>
      </c>
      <c r="D2429" t="str">
        <f t="shared" si="37"/>
        <v>CA-2015-132941_OFF-PA-10002160</v>
      </c>
      <c r="E2429" t="str">
        <f>IF(COUNTIF(data1!$D:$D,D2429)=0,"Missing in Data1","Present")</f>
        <v>Present</v>
      </c>
    </row>
    <row r="2430" spans="1:5" x14ac:dyDescent="0.25">
      <c r="A2430" s="2" t="s">
        <v>2538</v>
      </c>
      <c r="B2430" s="2" t="s">
        <v>2539</v>
      </c>
      <c r="C2430" s="2">
        <v>2</v>
      </c>
      <c r="D2430" t="str">
        <f t="shared" si="37"/>
        <v>CA-2015-132941_OFF-SU-10002557</v>
      </c>
      <c r="E2430" t="str">
        <f>IF(COUNTIF(data1!$D:$D,D2430)=0,"Missing in Data1","Present")</f>
        <v>Present</v>
      </c>
    </row>
    <row r="2431" spans="1:5" x14ac:dyDescent="0.25">
      <c r="A2431" s="2" t="s">
        <v>2538</v>
      </c>
      <c r="B2431" s="2" t="s">
        <v>2092</v>
      </c>
      <c r="C2431" s="2">
        <v>2</v>
      </c>
      <c r="D2431" t="str">
        <f t="shared" si="37"/>
        <v>CA-2015-132941_TEC-AC-10003095</v>
      </c>
      <c r="E2431" t="str">
        <f>IF(COUNTIF(data1!$D:$D,D2431)=0,"Missing in Data1","Present")</f>
        <v>Present</v>
      </c>
    </row>
    <row r="2432" spans="1:5" x14ac:dyDescent="0.25">
      <c r="A2432" s="2" t="s">
        <v>2540</v>
      </c>
      <c r="B2432" s="2" t="s">
        <v>962</v>
      </c>
      <c r="C2432" s="2">
        <v>5</v>
      </c>
      <c r="D2432" t="str">
        <f t="shared" si="37"/>
        <v>CA-2015-132948_OFF-ST-10000636</v>
      </c>
      <c r="E2432" t="str">
        <f>IF(COUNTIF(data1!$D:$D,D2432)=0,"Missing in Data1","Present")</f>
        <v>Present</v>
      </c>
    </row>
    <row r="2433" spans="1:5" x14ac:dyDescent="0.25">
      <c r="A2433" s="2" t="s">
        <v>2541</v>
      </c>
      <c r="B2433" s="2" t="s">
        <v>1728</v>
      </c>
      <c r="C2433" s="2">
        <v>5</v>
      </c>
      <c r="D2433" t="str">
        <f t="shared" si="37"/>
        <v>CA-2015-133025_OFF-PA-10004100</v>
      </c>
      <c r="E2433" t="str">
        <f>IF(COUNTIF(data1!$D:$D,D2433)=0,"Missing in Data1","Present")</f>
        <v>Present</v>
      </c>
    </row>
    <row r="2434" spans="1:5" x14ac:dyDescent="0.25">
      <c r="A2434" s="2" t="s">
        <v>2542</v>
      </c>
      <c r="B2434" s="2" t="s">
        <v>2291</v>
      </c>
      <c r="C2434" s="2">
        <v>3</v>
      </c>
      <c r="D2434" t="str">
        <f t="shared" si="37"/>
        <v>CA-2015-133242_FUR-FU-10003464</v>
      </c>
      <c r="E2434" t="str">
        <f>IF(COUNTIF(data1!$D:$D,D2434)=0,"Missing in Data1","Present")</f>
        <v>Present</v>
      </c>
    </row>
    <row r="2435" spans="1:5" x14ac:dyDescent="0.25">
      <c r="A2435" s="2" t="s">
        <v>2542</v>
      </c>
      <c r="B2435" s="2" t="s">
        <v>2543</v>
      </c>
      <c r="C2435" s="2">
        <v>2</v>
      </c>
      <c r="D2435" t="str">
        <f t="shared" ref="D2435:D2498" si="38">A2435&amp;"_"&amp;B2435</f>
        <v>CA-2015-133242_OFF-BI-10004002</v>
      </c>
      <c r="E2435" t="str">
        <f>IF(COUNTIF(data1!$D:$D,D2435)=0,"Missing in Data1","Present")</f>
        <v>Present</v>
      </c>
    </row>
    <row r="2436" spans="1:5" x14ac:dyDescent="0.25">
      <c r="A2436" s="2" t="s">
        <v>2542</v>
      </c>
      <c r="B2436" s="2" t="s">
        <v>2544</v>
      </c>
      <c r="C2436" s="2">
        <v>2</v>
      </c>
      <c r="D2436" t="str">
        <f t="shared" si="38"/>
        <v>CA-2015-133242_OFF-BI-10004826</v>
      </c>
      <c r="E2436" t="str">
        <f>IF(COUNTIF(data1!$D:$D,D2436)=0,"Missing in Data1","Present")</f>
        <v>Present</v>
      </c>
    </row>
    <row r="2437" spans="1:5" x14ac:dyDescent="0.25">
      <c r="A2437" s="2" t="s">
        <v>2542</v>
      </c>
      <c r="B2437" s="2" t="s">
        <v>495</v>
      </c>
      <c r="C2437" s="2">
        <v>2</v>
      </c>
      <c r="D2437" t="str">
        <f t="shared" si="38"/>
        <v>CA-2015-133242_OFF-ST-10003716</v>
      </c>
      <c r="E2437" t="str">
        <f>IF(COUNTIF(data1!$D:$D,D2437)=0,"Missing in Data1","Present")</f>
        <v>Present</v>
      </c>
    </row>
    <row r="2438" spans="1:5" x14ac:dyDescent="0.25">
      <c r="A2438" s="2" t="s">
        <v>2542</v>
      </c>
      <c r="B2438" s="2" t="s">
        <v>2176</v>
      </c>
      <c r="C2438" s="2">
        <v>3</v>
      </c>
      <c r="D2438" t="str">
        <f t="shared" si="38"/>
        <v>CA-2015-133242_TEC-PH-10002496</v>
      </c>
      <c r="E2438" t="str">
        <f>IF(COUNTIF(data1!$D:$D,D2438)=0,"Missing in Data1","Present")</f>
        <v>Present</v>
      </c>
    </row>
    <row r="2439" spans="1:5" x14ac:dyDescent="0.25">
      <c r="A2439" s="2" t="s">
        <v>2545</v>
      </c>
      <c r="B2439" s="2" t="s">
        <v>2546</v>
      </c>
      <c r="C2439" s="2">
        <v>7</v>
      </c>
      <c r="D2439" t="str">
        <f t="shared" si="38"/>
        <v>CA-2015-133396_OFF-AR-10001446</v>
      </c>
      <c r="E2439" t="str">
        <f>IF(COUNTIF(data1!$D:$D,D2439)=0,"Missing in Data1","Present")</f>
        <v>Present</v>
      </c>
    </row>
    <row r="2440" spans="1:5" x14ac:dyDescent="0.25">
      <c r="A2440" s="2" t="s">
        <v>2547</v>
      </c>
      <c r="B2440" s="2" t="s">
        <v>2548</v>
      </c>
      <c r="C2440" s="2">
        <v>1</v>
      </c>
      <c r="D2440" t="str">
        <f t="shared" si="38"/>
        <v>CA-2015-133445_FUR-BO-10003660</v>
      </c>
      <c r="E2440" t="str">
        <f>IF(COUNTIF(data1!$D:$D,D2440)=0,"Missing in Data1","Present")</f>
        <v>Present</v>
      </c>
    </row>
    <row r="2441" spans="1:5" x14ac:dyDescent="0.25">
      <c r="A2441" s="2" t="s">
        <v>2547</v>
      </c>
      <c r="B2441" s="2" t="s">
        <v>335</v>
      </c>
      <c r="C2441" s="2">
        <v>4</v>
      </c>
      <c r="D2441" t="str">
        <f t="shared" si="38"/>
        <v>CA-2015-133445_FUR-CH-10000422</v>
      </c>
      <c r="E2441" t="str">
        <f>IF(COUNTIF(data1!$D:$D,D2441)=0,"Missing in Data1","Present")</f>
        <v>Present</v>
      </c>
    </row>
    <row r="2442" spans="1:5" x14ac:dyDescent="0.25">
      <c r="A2442" s="2" t="s">
        <v>2549</v>
      </c>
      <c r="B2442" s="2" t="s">
        <v>318</v>
      </c>
      <c r="C2442" s="2">
        <v>3</v>
      </c>
      <c r="D2442" t="str">
        <f t="shared" si="38"/>
        <v>CA-2015-133452_FUR-TA-10003954</v>
      </c>
      <c r="E2442" t="str">
        <f>IF(COUNTIF(data1!$D:$D,D2442)=0,"Missing in Data1","Present")</f>
        <v>Present</v>
      </c>
    </row>
    <row r="2443" spans="1:5" x14ac:dyDescent="0.25">
      <c r="A2443" s="2" t="s">
        <v>2549</v>
      </c>
      <c r="B2443" s="2" t="s">
        <v>507</v>
      </c>
      <c r="C2443" s="2">
        <v>4</v>
      </c>
      <c r="D2443" t="str">
        <f t="shared" si="38"/>
        <v>CA-2015-133452_TEC-AC-10002800</v>
      </c>
      <c r="E2443" t="str">
        <f>IF(COUNTIF(data1!$D:$D,D2443)=0,"Missing in Data1","Present")</f>
        <v>Present</v>
      </c>
    </row>
    <row r="2444" spans="1:5" x14ac:dyDescent="0.25">
      <c r="A2444" s="2" t="s">
        <v>2550</v>
      </c>
      <c r="B2444" s="2" t="s">
        <v>2408</v>
      </c>
      <c r="C2444" s="2">
        <v>2</v>
      </c>
      <c r="D2444" t="str">
        <f t="shared" si="38"/>
        <v>CA-2015-133494_OFF-AP-10002906</v>
      </c>
      <c r="E2444" t="str">
        <f>IF(COUNTIF(data1!$D:$D,D2444)=0,"Missing in Data1","Present")</f>
        <v>Present</v>
      </c>
    </row>
    <row r="2445" spans="1:5" x14ac:dyDescent="0.25">
      <c r="A2445" s="2" t="s">
        <v>2551</v>
      </c>
      <c r="B2445" s="2" t="s">
        <v>1231</v>
      </c>
      <c r="C2445" s="2">
        <v>3</v>
      </c>
      <c r="D2445" t="str">
        <f t="shared" si="38"/>
        <v>CA-2015-133536_OFF-EN-10004459</v>
      </c>
      <c r="E2445" t="str">
        <f>IF(COUNTIF(data1!$D:$D,D2445)=0,"Missing in Data1","Present")</f>
        <v>Present</v>
      </c>
    </row>
    <row r="2446" spans="1:5" x14ac:dyDescent="0.25">
      <c r="A2446" s="2" t="s">
        <v>2552</v>
      </c>
      <c r="B2446" s="2" t="s">
        <v>2553</v>
      </c>
      <c r="C2446" s="2">
        <v>2</v>
      </c>
      <c r="D2446" t="str">
        <f t="shared" si="38"/>
        <v>CA-2015-133585_OFF-AR-10003696</v>
      </c>
      <c r="E2446" t="str">
        <f>IF(COUNTIF(data1!$D:$D,D2446)=0,"Missing in Data1","Present")</f>
        <v>Present</v>
      </c>
    </row>
    <row r="2447" spans="1:5" x14ac:dyDescent="0.25">
      <c r="A2447" s="2" t="s">
        <v>2554</v>
      </c>
      <c r="B2447" s="2" t="s">
        <v>2317</v>
      </c>
      <c r="C2447" s="2">
        <v>6</v>
      </c>
      <c r="D2447" t="str">
        <f t="shared" si="38"/>
        <v>CA-2015-133627_FUR-FU-10001935</v>
      </c>
      <c r="E2447" t="str">
        <f>IF(COUNTIF(data1!$D:$D,D2447)=0,"Missing in Data1","Present")</f>
        <v>Present</v>
      </c>
    </row>
    <row r="2448" spans="1:5" x14ac:dyDescent="0.25">
      <c r="A2448" s="2" t="s">
        <v>2555</v>
      </c>
      <c r="B2448" s="2" t="s">
        <v>2556</v>
      </c>
      <c r="C2448" s="2">
        <v>1</v>
      </c>
      <c r="D2448" t="str">
        <f t="shared" si="38"/>
        <v>CA-2015-133837_OFF-ST-10000344</v>
      </c>
      <c r="E2448" t="str">
        <f>IF(COUNTIF(data1!$D:$D,D2448)=0,"Missing in Data1","Present")</f>
        <v>Present</v>
      </c>
    </row>
    <row r="2449" spans="1:5" x14ac:dyDescent="0.25">
      <c r="A2449" s="2" t="s">
        <v>2557</v>
      </c>
      <c r="B2449" s="2" t="s">
        <v>2000</v>
      </c>
      <c r="C2449" s="2">
        <v>1</v>
      </c>
      <c r="D2449" t="str">
        <f t="shared" si="38"/>
        <v>CA-2015-133977_OFF-BI-10003166</v>
      </c>
      <c r="E2449" t="str">
        <f>IF(COUNTIF(data1!$D:$D,D2449)=0,"Missing in Data1","Present")</f>
        <v>Present</v>
      </c>
    </row>
    <row r="2450" spans="1:5" x14ac:dyDescent="0.25">
      <c r="A2450" s="2" t="s">
        <v>2558</v>
      </c>
      <c r="B2450" s="2" t="s">
        <v>2559</v>
      </c>
      <c r="C2450" s="2">
        <v>3</v>
      </c>
      <c r="D2450" t="str">
        <f t="shared" si="38"/>
        <v>CA-2015-134075_FUR-FU-10004597</v>
      </c>
      <c r="E2450" t="str">
        <f>IF(COUNTIF(data1!$D:$D,D2450)=0,"Missing in Data1","Present")</f>
        <v>Present</v>
      </c>
    </row>
    <row r="2451" spans="1:5" x14ac:dyDescent="0.25">
      <c r="A2451" s="2" t="s">
        <v>2558</v>
      </c>
      <c r="B2451" s="2" t="s">
        <v>258</v>
      </c>
      <c r="C2451" s="2">
        <v>2</v>
      </c>
      <c r="D2451" t="str">
        <f t="shared" si="38"/>
        <v>CA-2015-134075_OFF-ST-10001496</v>
      </c>
      <c r="E2451" t="str">
        <f>IF(COUNTIF(data1!$D:$D,D2451)=0,"Missing in Data1","Present")</f>
        <v>Present</v>
      </c>
    </row>
    <row r="2452" spans="1:5" x14ac:dyDescent="0.25">
      <c r="A2452" s="2" t="s">
        <v>2560</v>
      </c>
      <c r="B2452" s="2" t="s">
        <v>271</v>
      </c>
      <c r="C2452" s="2">
        <v>4</v>
      </c>
      <c r="D2452" t="str">
        <f t="shared" si="38"/>
        <v>CA-2015-134082_OFF-BI-10004230</v>
      </c>
      <c r="E2452" t="str">
        <f>IF(COUNTIF(data1!$D:$D,D2452)=0,"Missing in Data1","Present")</f>
        <v>Present</v>
      </c>
    </row>
    <row r="2453" spans="1:5" x14ac:dyDescent="0.25">
      <c r="A2453" s="2" t="s">
        <v>2561</v>
      </c>
      <c r="B2453" s="2" t="s">
        <v>2562</v>
      </c>
      <c r="C2453" s="2">
        <v>5</v>
      </c>
      <c r="D2453" t="str">
        <f t="shared" si="38"/>
        <v>CA-2015-134117_OFF-AR-10001940</v>
      </c>
      <c r="E2453" t="str">
        <f>IF(COUNTIF(data1!$D:$D,D2453)=0,"Missing in Data1","Present")</f>
        <v>Present</v>
      </c>
    </row>
    <row r="2454" spans="1:5" x14ac:dyDescent="0.25">
      <c r="A2454" s="2" t="s">
        <v>2561</v>
      </c>
      <c r="B2454" s="2" t="s">
        <v>2903</v>
      </c>
      <c r="C2454" s="2">
        <v>5</v>
      </c>
      <c r="D2454" t="str">
        <f t="shared" si="38"/>
        <v>CA-2015-134117_OFF-AR-10003903</v>
      </c>
      <c r="E2454" t="str">
        <f>IF(COUNTIF(data1!$D:$D,D2454)=0,"Missing in Data1","Present")</f>
        <v>Missing in Data1</v>
      </c>
    </row>
    <row r="2455" spans="1:5" x14ac:dyDescent="0.25">
      <c r="A2455" s="2" t="s">
        <v>2561</v>
      </c>
      <c r="B2455" s="2" t="s">
        <v>637</v>
      </c>
      <c r="C2455" s="2">
        <v>2</v>
      </c>
      <c r="D2455" t="str">
        <f t="shared" si="38"/>
        <v>CA-2015-134117_OFF-BI-10002026</v>
      </c>
      <c r="E2455" t="str">
        <f>IF(COUNTIF(data1!$D:$D,D2455)=0,"Missing in Data1","Present")</f>
        <v>Present</v>
      </c>
    </row>
    <row r="2456" spans="1:5" x14ac:dyDescent="0.25">
      <c r="A2456" s="2" t="s">
        <v>2564</v>
      </c>
      <c r="B2456" s="2" t="s">
        <v>729</v>
      </c>
      <c r="C2456" s="2">
        <v>3</v>
      </c>
      <c r="D2456" t="str">
        <f t="shared" si="38"/>
        <v>CA-2015-134201_OFF-AR-10002804</v>
      </c>
      <c r="E2456" t="str">
        <f>IF(COUNTIF(data1!$D:$D,D2456)=0,"Missing in Data1","Present")</f>
        <v>Present</v>
      </c>
    </row>
    <row r="2457" spans="1:5" x14ac:dyDescent="0.25">
      <c r="A2457" s="2" t="s">
        <v>2564</v>
      </c>
      <c r="B2457" s="2" t="s">
        <v>2565</v>
      </c>
      <c r="C2457" s="2">
        <v>4</v>
      </c>
      <c r="D2457" t="str">
        <f t="shared" si="38"/>
        <v>CA-2015-134201_OFF-ST-10001476</v>
      </c>
      <c r="E2457" t="str">
        <f>IF(COUNTIF(data1!$D:$D,D2457)=0,"Missing in Data1","Present")</f>
        <v>Present</v>
      </c>
    </row>
    <row r="2458" spans="1:5" x14ac:dyDescent="0.25">
      <c r="A2458" s="2" t="s">
        <v>2566</v>
      </c>
      <c r="B2458" s="2" t="s">
        <v>464</v>
      </c>
      <c r="C2458" s="2">
        <v>2</v>
      </c>
      <c r="D2458" t="str">
        <f t="shared" si="38"/>
        <v>CA-2015-134257_OFF-EN-10003845</v>
      </c>
      <c r="E2458" t="str">
        <f>IF(COUNTIF(data1!$D:$D,D2458)=0,"Missing in Data1","Present")</f>
        <v>Present</v>
      </c>
    </row>
    <row r="2459" spans="1:5" x14ac:dyDescent="0.25">
      <c r="A2459" s="2" t="s">
        <v>2566</v>
      </c>
      <c r="B2459" s="2" t="s">
        <v>24</v>
      </c>
      <c r="C2459" s="2">
        <v>5</v>
      </c>
      <c r="D2459" t="str">
        <f t="shared" si="38"/>
        <v>CA-2015-134257_OFF-LA-10003930</v>
      </c>
      <c r="E2459" t="str">
        <f>IF(COUNTIF(data1!$D:$D,D2459)=0,"Missing in Data1","Present")</f>
        <v>Present</v>
      </c>
    </row>
    <row r="2460" spans="1:5" x14ac:dyDescent="0.25">
      <c r="A2460" s="2" t="s">
        <v>2567</v>
      </c>
      <c r="B2460" s="2" t="s">
        <v>1514</v>
      </c>
      <c r="C2460" s="2">
        <v>6</v>
      </c>
      <c r="D2460" t="str">
        <f t="shared" si="38"/>
        <v>CA-2015-134719_OFF-ST-10004459</v>
      </c>
      <c r="E2460" t="str">
        <f>IF(COUNTIF(data1!$D:$D,D2460)=0,"Missing in Data1","Present")</f>
        <v>Present</v>
      </c>
    </row>
    <row r="2461" spans="1:5" x14ac:dyDescent="0.25">
      <c r="A2461" s="2" t="s">
        <v>2568</v>
      </c>
      <c r="B2461" s="2" t="s">
        <v>2292</v>
      </c>
      <c r="C2461" s="2">
        <v>2</v>
      </c>
      <c r="D2461" t="str">
        <f t="shared" si="38"/>
        <v>CA-2015-134747_OFF-BI-10001308</v>
      </c>
      <c r="E2461" t="str">
        <f>IF(COUNTIF(data1!$D:$D,D2461)=0,"Missing in Data1","Present")</f>
        <v>Present</v>
      </c>
    </row>
    <row r="2462" spans="1:5" x14ac:dyDescent="0.25">
      <c r="A2462" s="2" t="s">
        <v>2568</v>
      </c>
      <c r="B2462" s="2" t="s">
        <v>1092</v>
      </c>
      <c r="C2462" s="2">
        <v>4</v>
      </c>
      <c r="D2462" t="str">
        <f t="shared" si="38"/>
        <v>CA-2015-134747_TEC-PH-10001750</v>
      </c>
      <c r="E2462" t="str">
        <f>IF(COUNTIF(data1!$D:$D,D2462)=0,"Missing in Data1","Present")</f>
        <v>Present</v>
      </c>
    </row>
    <row r="2463" spans="1:5" x14ac:dyDescent="0.25">
      <c r="A2463" s="2" t="s">
        <v>2568</v>
      </c>
      <c r="B2463" s="2" t="s">
        <v>737</v>
      </c>
      <c r="C2463" s="2">
        <v>3</v>
      </c>
      <c r="D2463" t="str">
        <f t="shared" si="38"/>
        <v>CA-2015-134747_TEC-PH-10002890</v>
      </c>
      <c r="E2463" t="str">
        <f>IF(COUNTIF(data1!$D:$D,D2463)=0,"Missing in Data1","Present")</f>
        <v>Present</v>
      </c>
    </row>
    <row r="2464" spans="1:5" x14ac:dyDescent="0.25">
      <c r="A2464" s="2" t="s">
        <v>2569</v>
      </c>
      <c r="B2464" s="2" t="s">
        <v>1615</v>
      </c>
      <c r="C2464" s="2">
        <v>2</v>
      </c>
      <c r="D2464" t="str">
        <f t="shared" si="38"/>
        <v>CA-2015-134782_OFF-EN-10001434</v>
      </c>
      <c r="E2464" t="str">
        <f>IF(COUNTIF(data1!$D:$D,D2464)=0,"Missing in Data1","Present")</f>
        <v>Present</v>
      </c>
    </row>
    <row r="2465" spans="1:5" x14ac:dyDescent="0.25">
      <c r="A2465" s="2" t="s">
        <v>2570</v>
      </c>
      <c r="B2465" s="2" t="s">
        <v>991</v>
      </c>
      <c r="C2465" s="2">
        <v>3</v>
      </c>
      <c r="D2465" t="str">
        <f t="shared" si="38"/>
        <v>CA-2015-134859_FUR-FU-10003623</v>
      </c>
      <c r="E2465" t="str">
        <f>IF(COUNTIF(data1!$D:$D,D2465)=0,"Missing in Data1","Present")</f>
        <v>Present</v>
      </c>
    </row>
    <row r="2466" spans="1:5" x14ac:dyDescent="0.25">
      <c r="A2466" s="2" t="s">
        <v>2570</v>
      </c>
      <c r="B2466" s="2" t="s">
        <v>2571</v>
      </c>
      <c r="C2466" s="2">
        <v>4</v>
      </c>
      <c r="D2466" t="str">
        <f t="shared" si="38"/>
        <v>CA-2015-134859_OFF-PA-10001293</v>
      </c>
      <c r="E2466" t="str">
        <f>IF(COUNTIF(data1!$D:$D,D2466)=0,"Missing in Data1","Present")</f>
        <v>Present</v>
      </c>
    </row>
    <row r="2467" spans="1:5" x14ac:dyDescent="0.25">
      <c r="A2467" s="2" t="s">
        <v>2572</v>
      </c>
      <c r="B2467" s="2" t="s">
        <v>1419</v>
      </c>
      <c r="C2467" s="2">
        <v>4</v>
      </c>
      <c r="D2467" t="str">
        <f t="shared" si="38"/>
        <v>CA-2015-134894_FUR-CH-10002647</v>
      </c>
      <c r="E2467" t="str">
        <f>IF(COUNTIF(data1!$D:$D,D2467)=0,"Missing in Data1","Present")</f>
        <v>Present</v>
      </c>
    </row>
    <row r="2468" spans="1:5" x14ac:dyDescent="0.25">
      <c r="A2468" s="2" t="s">
        <v>2572</v>
      </c>
      <c r="B2468" s="2" t="s">
        <v>1075</v>
      </c>
      <c r="C2468" s="2">
        <v>3</v>
      </c>
      <c r="D2468" t="str">
        <f t="shared" si="38"/>
        <v>CA-2015-134894_OFF-AP-10001271</v>
      </c>
      <c r="E2468" t="str">
        <f>IF(COUNTIF(data1!$D:$D,D2468)=0,"Missing in Data1","Present")</f>
        <v>Present</v>
      </c>
    </row>
    <row r="2469" spans="1:5" x14ac:dyDescent="0.25">
      <c r="A2469" s="2" t="s">
        <v>2573</v>
      </c>
      <c r="B2469" s="2" t="s">
        <v>2574</v>
      </c>
      <c r="C2469" s="2">
        <v>2</v>
      </c>
      <c r="D2469" t="str">
        <f t="shared" si="38"/>
        <v>CA-2015-134922_OFF-EN-10000483</v>
      </c>
      <c r="E2469" t="str">
        <f>IF(COUNTIF(data1!$D:$D,D2469)=0,"Missing in Data1","Present")</f>
        <v>Present</v>
      </c>
    </row>
    <row r="2470" spans="1:5" x14ac:dyDescent="0.25">
      <c r="A2470" s="2" t="s">
        <v>2575</v>
      </c>
      <c r="B2470" s="2" t="s">
        <v>687</v>
      </c>
      <c r="C2470" s="2">
        <v>5</v>
      </c>
      <c r="D2470" t="str">
        <f t="shared" si="38"/>
        <v>CA-2015-134943_OFF-BI-10000666</v>
      </c>
      <c r="E2470" t="str">
        <f>IF(COUNTIF(data1!$D:$D,D2470)=0,"Missing in Data1","Present")</f>
        <v>Present</v>
      </c>
    </row>
    <row r="2471" spans="1:5" x14ac:dyDescent="0.25">
      <c r="A2471" s="2" t="s">
        <v>2576</v>
      </c>
      <c r="B2471" s="2" t="s">
        <v>2577</v>
      </c>
      <c r="C2471" s="2">
        <v>2</v>
      </c>
      <c r="D2471" t="str">
        <f t="shared" si="38"/>
        <v>CA-2015-134992_FUR-FU-10002554</v>
      </c>
      <c r="E2471" t="str">
        <f>IF(COUNTIF(data1!$D:$D,D2471)=0,"Missing in Data1","Present")</f>
        <v>Present</v>
      </c>
    </row>
    <row r="2472" spans="1:5" x14ac:dyDescent="0.25">
      <c r="A2472" s="2" t="s">
        <v>2576</v>
      </c>
      <c r="B2472" s="2" t="s">
        <v>1431</v>
      </c>
      <c r="C2472" s="2">
        <v>5</v>
      </c>
      <c r="D2472" t="str">
        <f t="shared" si="38"/>
        <v>CA-2015-134992_OFF-PA-10001972</v>
      </c>
      <c r="E2472" t="str">
        <f>IF(COUNTIF(data1!$D:$D,D2472)=0,"Missing in Data1","Present")</f>
        <v>Present</v>
      </c>
    </row>
    <row r="2473" spans="1:5" x14ac:dyDescent="0.25">
      <c r="A2473" s="2" t="s">
        <v>2578</v>
      </c>
      <c r="B2473" s="2" t="s">
        <v>1789</v>
      </c>
      <c r="C2473" s="2">
        <v>2</v>
      </c>
      <c r="D2473" t="str">
        <f t="shared" si="38"/>
        <v>CA-2015-135020_OFF-BI-10000605</v>
      </c>
      <c r="E2473" t="str">
        <f>IF(COUNTIF(data1!$D:$D,D2473)=0,"Missing in Data1","Present")</f>
        <v>Present</v>
      </c>
    </row>
    <row r="2474" spans="1:5" x14ac:dyDescent="0.25">
      <c r="A2474" s="2" t="s">
        <v>2578</v>
      </c>
      <c r="B2474" s="2" t="s">
        <v>34</v>
      </c>
      <c r="C2474" s="2">
        <v>3</v>
      </c>
      <c r="D2474" t="str">
        <f t="shared" si="38"/>
        <v>CA-2015-135020_OFF-ST-10001490</v>
      </c>
      <c r="E2474" t="str">
        <f>IF(COUNTIF(data1!$D:$D,D2474)=0,"Missing in Data1","Present")</f>
        <v>Present</v>
      </c>
    </row>
    <row r="2475" spans="1:5" x14ac:dyDescent="0.25">
      <c r="A2475" s="2" t="s">
        <v>2578</v>
      </c>
      <c r="B2475" s="2" t="s">
        <v>1522</v>
      </c>
      <c r="C2475" s="2">
        <v>1</v>
      </c>
      <c r="D2475" t="str">
        <f t="shared" si="38"/>
        <v>CA-2015-135020_TEC-PH-10004093</v>
      </c>
      <c r="E2475" t="str">
        <f>IF(COUNTIF(data1!$D:$D,D2475)=0,"Missing in Data1","Present")</f>
        <v>Present</v>
      </c>
    </row>
    <row r="2476" spans="1:5" x14ac:dyDescent="0.25">
      <c r="A2476" s="2" t="s">
        <v>2580</v>
      </c>
      <c r="B2476" s="2" t="s">
        <v>602</v>
      </c>
      <c r="C2476" s="2">
        <v>5</v>
      </c>
      <c r="D2476" t="str">
        <f t="shared" si="38"/>
        <v>CA-2015-135174_TEC-PH-10001530</v>
      </c>
      <c r="E2476" t="str">
        <f>IF(COUNTIF(data1!$D:$D,D2476)=0,"Missing in Data1","Present")</f>
        <v>Present</v>
      </c>
    </row>
    <row r="2477" spans="1:5" x14ac:dyDescent="0.25">
      <c r="A2477" s="2" t="s">
        <v>2581</v>
      </c>
      <c r="B2477" s="2" t="s">
        <v>1983</v>
      </c>
      <c r="C2477" s="2">
        <v>3</v>
      </c>
      <c r="D2477" t="str">
        <f t="shared" si="38"/>
        <v>CA-2015-135251_FUR-BO-10003965</v>
      </c>
      <c r="E2477" t="str">
        <f>IF(COUNTIF(data1!$D:$D,D2477)=0,"Missing in Data1","Present")</f>
        <v>Present</v>
      </c>
    </row>
    <row r="2478" spans="1:5" x14ac:dyDescent="0.25">
      <c r="A2478" s="2" t="s">
        <v>2581</v>
      </c>
      <c r="B2478" s="2" t="s">
        <v>65</v>
      </c>
      <c r="C2478" s="2">
        <v>5</v>
      </c>
      <c r="D2478" t="str">
        <f t="shared" si="38"/>
        <v>CA-2015-135251_OFF-BI-10001097</v>
      </c>
      <c r="E2478" t="str">
        <f>IF(COUNTIF(data1!$D:$D,D2478)=0,"Missing in Data1","Present")</f>
        <v>Present</v>
      </c>
    </row>
    <row r="2479" spans="1:5" x14ac:dyDescent="0.25">
      <c r="A2479" s="2" t="s">
        <v>2581</v>
      </c>
      <c r="B2479" s="2" t="s">
        <v>2582</v>
      </c>
      <c r="C2479" s="2">
        <v>3</v>
      </c>
      <c r="D2479" t="str">
        <f t="shared" si="38"/>
        <v>CA-2015-135251_OFF-LA-10004544</v>
      </c>
      <c r="E2479" t="str">
        <f>IF(COUNTIF(data1!$D:$D,D2479)=0,"Missing in Data1","Present")</f>
        <v>Present</v>
      </c>
    </row>
    <row r="2480" spans="1:5" x14ac:dyDescent="0.25">
      <c r="A2480" s="2" t="s">
        <v>2581</v>
      </c>
      <c r="B2480" s="2" t="s">
        <v>1234</v>
      </c>
      <c r="C2480" s="2">
        <v>2</v>
      </c>
      <c r="D2480" t="str">
        <f t="shared" si="38"/>
        <v>CA-2015-135251_OFF-PA-10003302</v>
      </c>
      <c r="E2480" t="str">
        <f>IF(COUNTIF(data1!$D:$D,D2480)=0,"Missing in Data1","Present")</f>
        <v>Present</v>
      </c>
    </row>
    <row r="2481" spans="1:5" x14ac:dyDescent="0.25">
      <c r="A2481" s="2" t="s">
        <v>2583</v>
      </c>
      <c r="B2481" s="2" t="s">
        <v>359</v>
      </c>
      <c r="C2481" s="2">
        <v>4</v>
      </c>
      <c r="D2481" t="str">
        <f t="shared" si="38"/>
        <v>CA-2015-135272_FUR-FU-10002759</v>
      </c>
      <c r="E2481" t="str">
        <f>IF(COUNTIF(data1!$D:$D,D2481)=0,"Missing in Data1","Present")</f>
        <v>Present</v>
      </c>
    </row>
    <row r="2482" spans="1:5" x14ac:dyDescent="0.25">
      <c r="A2482" s="2" t="s">
        <v>2584</v>
      </c>
      <c r="B2482" s="2" t="s">
        <v>817</v>
      </c>
      <c r="C2482" s="2">
        <v>3</v>
      </c>
      <c r="D2482" t="str">
        <f t="shared" si="38"/>
        <v>CA-2015-135314_TEC-PH-10003072</v>
      </c>
      <c r="E2482" t="str">
        <f>IF(COUNTIF(data1!$D:$D,D2482)=0,"Missing in Data1","Present")</f>
        <v>Present</v>
      </c>
    </row>
    <row r="2483" spans="1:5" x14ac:dyDescent="0.25">
      <c r="A2483" s="2" t="s">
        <v>2585</v>
      </c>
      <c r="B2483" s="2" t="s">
        <v>721</v>
      </c>
      <c r="C2483" s="2">
        <v>1</v>
      </c>
      <c r="D2483" t="str">
        <f t="shared" si="38"/>
        <v>CA-2015-135363_OFF-PA-10000533</v>
      </c>
      <c r="E2483" t="str">
        <f>IF(COUNTIF(data1!$D:$D,D2483)=0,"Missing in Data1","Present")</f>
        <v>Present</v>
      </c>
    </row>
    <row r="2484" spans="1:5" x14ac:dyDescent="0.25">
      <c r="A2484" s="2" t="s">
        <v>2585</v>
      </c>
      <c r="B2484" s="2" t="s">
        <v>1158</v>
      </c>
      <c r="C2484" s="2">
        <v>3</v>
      </c>
      <c r="D2484" t="str">
        <f t="shared" si="38"/>
        <v>CA-2015-135363_OFF-PA-10003177</v>
      </c>
      <c r="E2484" t="str">
        <f>IF(COUNTIF(data1!$D:$D,D2484)=0,"Missing in Data1","Present")</f>
        <v>Missing in Data1</v>
      </c>
    </row>
    <row r="2485" spans="1:5" x14ac:dyDescent="0.25">
      <c r="A2485" s="2" t="s">
        <v>2586</v>
      </c>
      <c r="B2485" s="2" t="s">
        <v>1318</v>
      </c>
      <c r="C2485" s="2">
        <v>2</v>
      </c>
      <c r="D2485" t="str">
        <f t="shared" si="38"/>
        <v>CA-2015-135391_FUR-FU-10001986</v>
      </c>
      <c r="E2485" t="str">
        <f>IF(COUNTIF(data1!$D:$D,D2485)=0,"Missing in Data1","Present")</f>
        <v>Missing in Data1</v>
      </c>
    </row>
    <row r="2486" spans="1:5" x14ac:dyDescent="0.25">
      <c r="A2486" s="2" t="s">
        <v>2589</v>
      </c>
      <c r="B2486" s="2" t="s">
        <v>2590</v>
      </c>
      <c r="C2486" s="2">
        <v>4</v>
      </c>
      <c r="D2486" t="str">
        <f t="shared" si="38"/>
        <v>CA-2015-135510_FUR-FU-10000820</v>
      </c>
      <c r="E2486" t="str">
        <f>IF(COUNTIF(data1!$D:$D,D2486)=0,"Missing in Data1","Present")</f>
        <v>Present</v>
      </c>
    </row>
    <row r="2487" spans="1:5" x14ac:dyDescent="0.25">
      <c r="A2487" s="2" t="s">
        <v>2591</v>
      </c>
      <c r="B2487" s="2" t="s">
        <v>1083</v>
      </c>
      <c r="C2487" s="2">
        <v>4</v>
      </c>
      <c r="D2487" t="str">
        <f t="shared" si="38"/>
        <v>CA-2015-135538_FUR-CH-10004287</v>
      </c>
      <c r="E2487" t="str">
        <f>IF(COUNTIF(data1!$D:$D,D2487)=0,"Missing in Data1","Present")</f>
        <v>Present</v>
      </c>
    </row>
    <row r="2488" spans="1:5" x14ac:dyDescent="0.25">
      <c r="A2488" s="2" t="s">
        <v>2592</v>
      </c>
      <c r="B2488" s="2" t="s">
        <v>1299</v>
      </c>
      <c r="C2488" s="2">
        <v>4</v>
      </c>
      <c r="D2488" t="str">
        <f t="shared" si="38"/>
        <v>CA-2015-135545_FUR-FU-10000397</v>
      </c>
      <c r="E2488" t="str">
        <f>IF(COUNTIF(data1!$D:$D,D2488)=0,"Missing in Data1","Present")</f>
        <v>Present</v>
      </c>
    </row>
    <row r="2489" spans="1:5" x14ac:dyDescent="0.25">
      <c r="A2489" s="2" t="s">
        <v>2592</v>
      </c>
      <c r="B2489" s="2" t="s">
        <v>774</v>
      </c>
      <c r="C2489" s="2">
        <v>6</v>
      </c>
      <c r="D2489" t="str">
        <f t="shared" si="38"/>
        <v>CA-2015-135545_OFF-BI-10001078</v>
      </c>
      <c r="E2489" t="str">
        <f>IF(COUNTIF(data1!$D:$D,D2489)=0,"Missing in Data1","Present")</f>
        <v>Present</v>
      </c>
    </row>
    <row r="2490" spans="1:5" x14ac:dyDescent="0.25">
      <c r="A2490" s="2" t="s">
        <v>2592</v>
      </c>
      <c r="B2490" s="2" t="s">
        <v>2593</v>
      </c>
      <c r="C2490" s="2">
        <v>3</v>
      </c>
      <c r="D2490" t="str">
        <f t="shared" si="38"/>
        <v>CA-2015-135545_OFF-PA-10003892</v>
      </c>
      <c r="E2490" t="str">
        <f>IF(COUNTIF(data1!$D:$D,D2490)=0,"Missing in Data1","Present")</f>
        <v>Present</v>
      </c>
    </row>
    <row r="2491" spans="1:5" x14ac:dyDescent="0.25">
      <c r="A2491" s="2" t="s">
        <v>2592</v>
      </c>
      <c r="B2491" s="2" t="s">
        <v>1007</v>
      </c>
      <c r="C2491" s="2">
        <v>2</v>
      </c>
      <c r="D2491" t="str">
        <f t="shared" si="38"/>
        <v>CA-2015-135545_TEC-AC-10004633</v>
      </c>
      <c r="E2491" t="str">
        <f>IF(COUNTIF(data1!$D:$D,D2491)=0,"Missing in Data1","Present")</f>
        <v>Present</v>
      </c>
    </row>
    <row r="2492" spans="1:5" x14ac:dyDescent="0.25">
      <c r="A2492" s="2" t="s">
        <v>2594</v>
      </c>
      <c r="B2492" s="2" t="s">
        <v>2027</v>
      </c>
      <c r="C2492" s="2">
        <v>3</v>
      </c>
      <c r="D2492" t="str">
        <f t="shared" si="38"/>
        <v>CA-2015-135580_OFF-EN-10003296</v>
      </c>
      <c r="E2492" t="str">
        <f>IF(COUNTIF(data1!$D:$D,D2492)=0,"Missing in Data1","Present")</f>
        <v>Present</v>
      </c>
    </row>
    <row r="2493" spans="1:5" x14ac:dyDescent="0.25">
      <c r="A2493" s="2" t="s">
        <v>2594</v>
      </c>
      <c r="B2493" s="2" t="s">
        <v>421</v>
      </c>
      <c r="C2493" s="2">
        <v>3</v>
      </c>
      <c r="D2493" t="str">
        <f t="shared" si="38"/>
        <v>CA-2015-135580_OFF-PA-10000595</v>
      </c>
      <c r="E2493" t="str">
        <f>IF(COUNTIF(data1!$D:$D,D2493)=0,"Missing in Data1","Present")</f>
        <v>Present</v>
      </c>
    </row>
    <row r="2494" spans="1:5" x14ac:dyDescent="0.25">
      <c r="A2494" s="2" t="s">
        <v>2594</v>
      </c>
      <c r="B2494" s="2" t="s">
        <v>295</v>
      </c>
      <c r="C2494" s="2">
        <v>3</v>
      </c>
      <c r="D2494" t="str">
        <f t="shared" si="38"/>
        <v>CA-2015-135580_OFF-ST-10000798</v>
      </c>
      <c r="E2494" t="str">
        <f>IF(COUNTIF(data1!$D:$D,D2494)=0,"Missing in Data1","Present")</f>
        <v>Present</v>
      </c>
    </row>
    <row r="2495" spans="1:5" x14ac:dyDescent="0.25">
      <c r="A2495" s="2" t="s">
        <v>2594</v>
      </c>
      <c r="B2495" s="2" t="s">
        <v>2595</v>
      </c>
      <c r="C2495" s="2">
        <v>6</v>
      </c>
      <c r="D2495" t="str">
        <f t="shared" si="38"/>
        <v>CA-2015-135580_TEC-MA-10004002</v>
      </c>
      <c r="E2495" t="str">
        <f>IF(COUNTIF(data1!$D:$D,D2495)=0,"Missing in Data1","Present")</f>
        <v>Present</v>
      </c>
    </row>
    <row r="2496" spans="1:5" x14ac:dyDescent="0.25">
      <c r="A2496" s="2" t="s">
        <v>2594</v>
      </c>
      <c r="B2496" s="2" t="s">
        <v>2596</v>
      </c>
      <c r="C2496" s="2">
        <v>3</v>
      </c>
      <c r="D2496" t="str">
        <f t="shared" si="38"/>
        <v>CA-2015-135580_TEC-PH-10004345</v>
      </c>
      <c r="E2496" t="str">
        <f>IF(COUNTIF(data1!$D:$D,D2496)=0,"Missing in Data1","Present")</f>
        <v>Present</v>
      </c>
    </row>
    <row r="2497" spans="1:5" x14ac:dyDescent="0.25">
      <c r="A2497" s="2" t="s">
        <v>2597</v>
      </c>
      <c r="B2497" s="2" t="s">
        <v>915</v>
      </c>
      <c r="C2497" s="2">
        <v>11</v>
      </c>
      <c r="D2497" t="str">
        <f t="shared" si="38"/>
        <v>CA-2015-135622_OFF-PA-10000100</v>
      </c>
      <c r="E2497" t="str">
        <f>IF(COUNTIF(data1!$D:$D,D2497)=0,"Missing in Data1","Present")</f>
        <v>Present</v>
      </c>
    </row>
    <row r="2498" spans="1:5" x14ac:dyDescent="0.25">
      <c r="A2498" s="2" t="s">
        <v>2597</v>
      </c>
      <c r="B2498" s="2" t="s">
        <v>2598</v>
      </c>
      <c r="C2498" s="2">
        <v>6</v>
      </c>
      <c r="D2498" t="str">
        <f t="shared" si="38"/>
        <v>CA-2015-135622_TEC-PH-10001817</v>
      </c>
      <c r="E2498" t="str">
        <f>IF(COUNTIF(data1!$D:$D,D2498)=0,"Missing in Data1","Present")</f>
        <v>Present</v>
      </c>
    </row>
    <row r="2499" spans="1:5" x14ac:dyDescent="0.25">
      <c r="A2499" s="2" t="s">
        <v>2599</v>
      </c>
      <c r="B2499" s="2" t="s">
        <v>2600</v>
      </c>
      <c r="C2499" s="2">
        <v>6</v>
      </c>
      <c r="D2499" t="str">
        <f t="shared" ref="D2499:D2562" si="39">A2499&amp;"_"&amp;B2499</f>
        <v>CA-2015-135685_FUR-FU-10001185</v>
      </c>
      <c r="E2499" t="str">
        <f>IF(COUNTIF(data1!$D:$D,D2499)=0,"Missing in Data1","Present")</f>
        <v>Present</v>
      </c>
    </row>
    <row r="2500" spans="1:5" x14ac:dyDescent="0.25">
      <c r="A2500" s="2" t="s">
        <v>2599</v>
      </c>
      <c r="B2500" s="2" t="s">
        <v>1840</v>
      </c>
      <c r="C2500" s="2">
        <v>3</v>
      </c>
      <c r="D2500" t="str">
        <f t="shared" si="39"/>
        <v>CA-2015-135685_FUR-TA-10000688</v>
      </c>
      <c r="E2500" t="str">
        <f>IF(COUNTIF(data1!$D:$D,D2500)=0,"Missing in Data1","Present")</f>
        <v>Present</v>
      </c>
    </row>
    <row r="2501" spans="1:5" x14ac:dyDescent="0.25">
      <c r="A2501" s="2" t="s">
        <v>2599</v>
      </c>
      <c r="B2501" s="2" t="s">
        <v>2601</v>
      </c>
      <c r="C2501" s="2">
        <v>3</v>
      </c>
      <c r="D2501" t="str">
        <f t="shared" si="39"/>
        <v>CA-2015-135685_FUR-TA-10001520</v>
      </c>
      <c r="E2501" t="str">
        <f>IF(COUNTIF(data1!$D:$D,D2501)=0,"Missing in Data1","Present")</f>
        <v>Present</v>
      </c>
    </row>
    <row r="2502" spans="1:5" x14ac:dyDescent="0.25">
      <c r="A2502" s="2" t="s">
        <v>2599</v>
      </c>
      <c r="B2502" s="2" t="s">
        <v>2602</v>
      </c>
      <c r="C2502" s="2">
        <v>9</v>
      </c>
      <c r="D2502" t="str">
        <f t="shared" si="39"/>
        <v>CA-2015-135685_OFF-PA-10000157</v>
      </c>
      <c r="E2502" t="str">
        <f>IF(COUNTIF(data1!$D:$D,D2502)=0,"Missing in Data1","Present")</f>
        <v>Present</v>
      </c>
    </row>
    <row r="2503" spans="1:5" x14ac:dyDescent="0.25">
      <c r="A2503" s="2" t="s">
        <v>2599</v>
      </c>
      <c r="B2503" s="2" t="s">
        <v>2603</v>
      </c>
      <c r="C2503" s="2">
        <v>4</v>
      </c>
      <c r="D2503" t="str">
        <f t="shared" si="39"/>
        <v>CA-2015-135685_TEC-AC-10004145</v>
      </c>
      <c r="E2503" t="str">
        <f>IF(COUNTIF(data1!$D:$D,D2503)=0,"Missing in Data1","Present")</f>
        <v>Present</v>
      </c>
    </row>
    <row r="2504" spans="1:5" x14ac:dyDescent="0.25">
      <c r="A2504" s="2" t="s">
        <v>2604</v>
      </c>
      <c r="B2504" s="2" t="s">
        <v>2527</v>
      </c>
      <c r="C2504" s="2">
        <v>7</v>
      </c>
      <c r="D2504" t="str">
        <f t="shared" si="39"/>
        <v>CA-2015-135727_FUR-CH-10004540</v>
      </c>
      <c r="E2504" t="str">
        <f>IF(COUNTIF(data1!$D:$D,D2504)=0,"Missing in Data1","Present")</f>
        <v>Present</v>
      </c>
    </row>
    <row r="2505" spans="1:5" x14ac:dyDescent="0.25">
      <c r="A2505" s="2" t="s">
        <v>2605</v>
      </c>
      <c r="B2505" s="2" t="s">
        <v>1686</v>
      </c>
      <c r="C2505" s="2">
        <v>2</v>
      </c>
      <c r="D2505" t="str">
        <f t="shared" si="39"/>
        <v>CA-2015-135853_OFF-BI-10004965</v>
      </c>
      <c r="E2505" t="str">
        <f>IF(COUNTIF(data1!$D:$D,D2505)=0,"Missing in Data1","Present")</f>
        <v>Present</v>
      </c>
    </row>
    <row r="2506" spans="1:5" x14ac:dyDescent="0.25">
      <c r="A2506" s="2" t="s">
        <v>2605</v>
      </c>
      <c r="B2506" s="2" t="s">
        <v>2025</v>
      </c>
      <c r="C2506" s="2">
        <v>11</v>
      </c>
      <c r="D2506" t="str">
        <f t="shared" si="39"/>
        <v>CA-2015-135853_TEC-AC-10004761</v>
      </c>
      <c r="E2506" t="str">
        <f>IF(COUNTIF(data1!$D:$D,D2506)=0,"Missing in Data1","Present")</f>
        <v>Present</v>
      </c>
    </row>
    <row r="2507" spans="1:5" x14ac:dyDescent="0.25">
      <c r="A2507" s="2" t="s">
        <v>2605</v>
      </c>
      <c r="B2507" s="2" t="s">
        <v>350</v>
      </c>
      <c r="C2507" s="2">
        <v>1</v>
      </c>
      <c r="D2507" t="str">
        <f t="shared" si="39"/>
        <v>CA-2015-135853_TEC-PH-10003691</v>
      </c>
      <c r="E2507" t="str">
        <f>IF(COUNTIF(data1!$D:$D,D2507)=0,"Missing in Data1","Present")</f>
        <v>Present</v>
      </c>
    </row>
    <row r="2508" spans="1:5" x14ac:dyDescent="0.25">
      <c r="A2508" s="2" t="s">
        <v>2606</v>
      </c>
      <c r="B2508" s="2" t="s">
        <v>260</v>
      </c>
      <c r="C2508" s="2">
        <v>2</v>
      </c>
      <c r="D2508" t="str">
        <f t="shared" si="39"/>
        <v>CA-2015-136105_OFF-ST-10002444</v>
      </c>
      <c r="E2508" t="str">
        <f>IF(COUNTIF(data1!$D:$D,D2508)=0,"Missing in Data1","Present")</f>
        <v>Present</v>
      </c>
    </row>
    <row r="2509" spans="1:5" x14ac:dyDescent="0.25">
      <c r="A2509" s="2" t="s">
        <v>2607</v>
      </c>
      <c r="B2509" s="2" t="s">
        <v>2608</v>
      </c>
      <c r="C2509" s="2">
        <v>6</v>
      </c>
      <c r="D2509" t="str">
        <f t="shared" si="39"/>
        <v>CA-2015-136147_OFF-BI-10004224</v>
      </c>
      <c r="E2509" t="str">
        <f>IF(COUNTIF(data1!$D:$D,D2509)=0,"Missing in Data1","Present")</f>
        <v>Present</v>
      </c>
    </row>
    <row r="2510" spans="1:5" x14ac:dyDescent="0.25">
      <c r="A2510" s="2" t="s">
        <v>2607</v>
      </c>
      <c r="B2510" s="2" t="s">
        <v>2609</v>
      </c>
      <c r="C2510" s="2">
        <v>5</v>
      </c>
      <c r="D2510" t="str">
        <f t="shared" si="39"/>
        <v>CA-2015-136147_TEC-AC-10004568</v>
      </c>
      <c r="E2510" t="str">
        <f>IF(COUNTIF(data1!$D:$D,D2510)=0,"Missing in Data1","Present")</f>
        <v>Present</v>
      </c>
    </row>
    <row r="2511" spans="1:5" x14ac:dyDescent="0.25">
      <c r="A2511" s="2" t="s">
        <v>2610</v>
      </c>
      <c r="B2511" s="2" t="s">
        <v>1830</v>
      </c>
      <c r="C2511" s="2">
        <v>3</v>
      </c>
      <c r="D2511" t="str">
        <f t="shared" si="39"/>
        <v>CA-2015-136196_FUR-FU-10004017</v>
      </c>
      <c r="E2511" t="str">
        <f>IF(COUNTIF(data1!$D:$D,D2511)=0,"Missing in Data1","Present")</f>
        <v>Present</v>
      </c>
    </row>
    <row r="2512" spans="1:5" x14ac:dyDescent="0.25">
      <c r="A2512" s="2" t="s">
        <v>2611</v>
      </c>
      <c r="B2512" s="2" t="s">
        <v>574</v>
      </c>
      <c r="C2512" s="2">
        <v>3</v>
      </c>
      <c r="D2512" t="str">
        <f t="shared" si="39"/>
        <v>CA-2015-136224_OFF-AR-10003504</v>
      </c>
      <c r="E2512" t="str">
        <f>IF(COUNTIF(data1!$D:$D,D2512)=0,"Missing in Data1","Present")</f>
        <v>Present</v>
      </c>
    </row>
    <row r="2513" spans="1:5" x14ac:dyDescent="0.25">
      <c r="A2513" s="2" t="s">
        <v>2612</v>
      </c>
      <c r="B2513" s="2" t="s">
        <v>2040</v>
      </c>
      <c r="C2513" s="2">
        <v>3</v>
      </c>
      <c r="D2513" t="str">
        <f t="shared" si="39"/>
        <v>CA-2015-136378_OFF-BI-10003707</v>
      </c>
      <c r="E2513" t="str">
        <f>IF(COUNTIF(data1!$D:$D,D2513)=0,"Missing in Data1","Present")</f>
        <v>Present</v>
      </c>
    </row>
    <row r="2514" spans="1:5" x14ac:dyDescent="0.25">
      <c r="A2514" s="2" t="s">
        <v>2613</v>
      </c>
      <c r="B2514" s="2" t="s">
        <v>337</v>
      </c>
      <c r="C2514" s="2">
        <v>4</v>
      </c>
      <c r="D2514" t="str">
        <f t="shared" si="39"/>
        <v>CA-2015-136420_OFF-BI-10002854</v>
      </c>
      <c r="E2514" t="str">
        <f>IF(COUNTIF(data1!$D:$D,D2514)=0,"Missing in Data1","Present")</f>
        <v>Present</v>
      </c>
    </row>
    <row r="2515" spans="1:5" x14ac:dyDescent="0.25">
      <c r="A2515" s="2" t="s">
        <v>2613</v>
      </c>
      <c r="B2515" s="2" t="s">
        <v>557</v>
      </c>
      <c r="C2515" s="2">
        <v>4</v>
      </c>
      <c r="D2515" t="str">
        <f t="shared" si="39"/>
        <v>CA-2015-136420_OFF-LA-10002762</v>
      </c>
      <c r="E2515" t="str">
        <f>IF(COUNTIF(data1!$D:$D,D2515)=0,"Missing in Data1","Present")</f>
        <v>Present</v>
      </c>
    </row>
    <row r="2516" spans="1:5" x14ac:dyDescent="0.25">
      <c r="A2516" s="2" t="s">
        <v>2614</v>
      </c>
      <c r="B2516" s="2" t="s">
        <v>2601</v>
      </c>
      <c r="C2516" s="2">
        <v>4</v>
      </c>
      <c r="D2516" t="str">
        <f t="shared" si="39"/>
        <v>CA-2015-136469_FUR-TA-10001520</v>
      </c>
      <c r="E2516" t="str">
        <f>IF(COUNTIF(data1!$D:$D,D2516)=0,"Missing in Data1","Present")</f>
        <v>Present</v>
      </c>
    </row>
    <row r="2517" spans="1:5" x14ac:dyDescent="0.25">
      <c r="A2517" s="2" t="s">
        <v>2614</v>
      </c>
      <c r="B2517" s="2" t="s">
        <v>2041</v>
      </c>
      <c r="C2517" s="2">
        <v>7</v>
      </c>
      <c r="D2517" t="str">
        <f t="shared" si="39"/>
        <v>CA-2015-136469_OFF-BI-10004492</v>
      </c>
      <c r="E2517" t="str">
        <f>IF(COUNTIF(data1!$D:$D,D2517)=0,"Missing in Data1","Present")</f>
        <v>Present</v>
      </c>
    </row>
    <row r="2518" spans="1:5" x14ac:dyDescent="0.25">
      <c r="A2518" s="2" t="s">
        <v>2614</v>
      </c>
      <c r="B2518" s="2" t="s">
        <v>2598</v>
      </c>
      <c r="C2518" s="2">
        <v>2</v>
      </c>
      <c r="D2518" t="str">
        <f t="shared" si="39"/>
        <v>CA-2015-136469_TEC-PH-10001817</v>
      </c>
      <c r="E2518" t="str">
        <f>IF(COUNTIF(data1!$D:$D,D2518)=0,"Missing in Data1","Present")</f>
        <v>Present</v>
      </c>
    </row>
    <row r="2519" spans="1:5" x14ac:dyDescent="0.25">
      <c r="A2519" s="2" t="s">
        <v>2615</v>
      </c>
      <c r="B2519" s="2" t="s">
        <v>2616</v>
      </c>
      <c r="C2519" s="2">
        <v>2</v>
      </c>
      <c r="D2519" t="str">
        <f t="shared" si="39"/>
        <v>CA-2015-136658_OFF-AR-10000817</v>
      </c>
      <c r="E2519" t="str">
        <f>IF(COUNTIF(data1!$D:$D,D2519)=0,"Missing in Data1","Present")</f>
        <v>Present</v>
      </c>
    </row>
    <row r="2520" spans="1:5" x14ac:dyDescent="0.25">
      <c r="A2520" s="2" t="s">
        <v>2617</v>
      </c>
      <c r="B2520" s="2" t="s">
        <v>588</v>
      </c>
      <c r="C2520" s="2">
        <v>2</v>
      </c>
      <c r="D2520" t="str">
        <f t="shared" si="39"/>
        <v>CA-2015-136700_OFF-PA-10004519</v>
      </c>
      <c r="E2520" t="str">
        <f>IF(COUNTIF(data1!$D:$D,D2520)=0,"Missing in Data1","Present")</f>
        <v>Present</v>
      </c>
    </row>
    <row r="2521" spans="1:5" x14ac:dyDescent="0.25">
      <c r="A2521" s="2" t="s">
        <v>2618</v>
      </c>
      <c r="B2521" s="2" t="s">
        <v>621</v>
      </c>
      <c r="C2521" s="2">
        <v>4</v>
      </c>
      <c r="D2521" t="str">
        <f t="shared" si="39"/>
        <v>CA-2015-136728_FUR-CH-10003817</v>
      </c>
      <c r="E2521" t="str">
        <f>IF(COUNTIF(data1!$D:$D,D2521)=0,"Missing in Data1","Present")</f>
        <v>Present</v>
      </c>
    </row>
    <row r="2522" spans="1:5" x14ac:dyDescent="0.25">
      <c r="A2522" s="2" t="s">
        <v>2618</v>
      </c>
      <c r="B2522" s="2" t="s">
        <v>1612</v>
      </c>
      <c r="C2522" s="2">
        <v>1</v>
      </c>
      <c r="D2522" t="str">
        <f t="shared" si="39"/>
        <v>CA-2015-136728_OFF-EN-10002621</v>
      </c>
      <c r="E2522" t="str">
        <f>IF(COUNTIF(data1!$D:$D,D2522)=0,"Missing in Data1","Present")</f>
        <v>Present</v>
      </c>
    </row>
    <row r="2523" spans="1:5" x14ac:dyDescent="0.25">
      <c r="A2523" s="2" t="s">
        <v>2619</v>
      </c>
      <c r="B2523" s="2" t="s">
        <v>1646</v>
      </c>
      <c r="C2523" s="2">
        <v>2</v>
      </c>
      <c r="D2523" t="str">
        <f t="shared" si="39"/>
        <v>CA-2015-136735_OFF-EN-10002230</v>
      </c>
      <c r="E2523" t="str">
        <f>IF(COUNTIF(data1!$D:$D,D2523)=0,"Missing in Data1","Present")</f>
        <v>Present</v>
      </c>
    </row>
    <row r="2524" spans="1:5" x14ac:dyDescent="0.25">
      <c r="A2524" s="2" t="s">
        <v>2620</v>
      </c>
      <c r="B2524" s="2" t="s">
        <v>160</v>
      </c>
      <c r="C2524" s="2">
        <v>3</v>
      </c>
      <c r="D2524" t="str">
        <f t="shared" si="39"/>
        <v>CA-2015-136798_FUR-FU-10000723</v>
      </c>
      <c r="E2524" t="str">
        <f>IF(COUNTIF(data1!$D:$D,D2524)=0,"Missing in Data1","Present")</f>
        <v>Present</v>
      </c>
    </row>
    <row r="2525" spans="1:5" x14ac:dyDescent="0.25">
      <c r="A2525" s="2" t="s">
        <v>2620</v>
      </c>
      <c r="B2525" s="2" t="s">
        <v>229</v>
      </c>
      <c r="C2525" s="2">
        <v>2</v>
      </c>
      <c r="D2525" t="str">
        <f t="shared" si="39"/>
        <v>CA-2015-136798_OFF-BI-10003684</v>
      </c>
      <c r="E2525" t="str">
        <f>IF(COUNTIF(data1!$D:$D,D2525)=0,"Missing in Data1","Present")</f>
        <v>Present</v>
      </c>
    </row>
    <row r="2526" spans="1:5" x14ac:dyDescent="0.25">
      <c r="A2526" s="2" t="s">
        <v>2620</v>
      </c>
      <c r="B2526" s="2" t="s">
        <v>1316</v>
      </c>
      <c r="C2526" s="2">
        <v>3</v>
      </c>
      <c r="D2526" t="str">
        <f t="shared" si="39"/>
        <v>CA-2015-136798_TEC-PH-10000441</v>
      </c>
      <c r="E2526" t="str">
        <f>IF(COUNTIF(data1!$D:$D,D2526)=0,"Missing in Data1","Present")</f>
        <v>Present</v>
      </c>
    </row>
    <row r="2527" spans="1:5" x14ac:dyDescent="0.25">
      <c r="A2527" s="2" t="s">
        <v>2621</v>
      </c>
      <c r="B2527" s="2" t="s">
        <v>1290</v>
      </c>
      <c r="C2527" s="2">
        <v>9</v>
      </c>
      <c r="D2527" t="str">
        <f t="shared" si="39"/>
        <v>CA-2015-136805_FUR-FU-10003724</v>
      </c>
      <c r="E2527" t="str">
        <f>IF(COUNTIF(data1!$D:$D,D2527)=0,"Missing in Data1","Present")</f>
        <v>Present</v>
      </c>
    </row>
    <row r="2528" spans="1:5" x14ac:dyDescent="0.25">
      <c r="A2528" s="2" t="s">
        <v>2621</v>
      </c>
      <c r="B2528" s="2" t="s">
        <v>2622</v>
      </c>
      <c r="C2528" s="2">
        <v>5</v>
      </c>
      <c r="D2528" t="str">
        <f t="shared" si="39"/>
        <v>CA-2015-136805_OFF-AP-10001394</v>
      </c>
      <c r="E2528" t="str">
        <f>IF(COUNTIF(data1!$D:$D,D2528)=0,"Missing in Data1","Present")</f>
        <v>Present</v>
      </c>
    </row>
    <row r="2529" spans="1:5" x14ac:dyDescent="0.25">
      <c r="A2529" s="2" t="s">
        <v>2623</v>
      </c>
      <c r="B2529" s="2" t="s">
        <v>1175</v>
      </c>
      <c r="C2529" s="2">
        <v>3</v>
      </c>
      <c r="D2529" t="str">
        <f t="shared" si="39"/>
        <v>CA-2015-137064_OFF-BI-10002049</v>
      </c>
      <c r="E2529" t="str">
        <f>IF(COUNTIF(data1!$D:$D,D2529)=0,"Missing in Data1","Present")</f>
        <v>Present</v>
      </c>
    </row>
    <row r="2530" spans="1:5" x14ac:dyDescent="0.25">
      <c r="A2530" s="2" t="s">
        <v>2623</v>
      </c>
      <c r="B2530" s="2" t="s">
        <v>304</v>
      </c>
      <c r="C2530" s="2">
        <v>3</v>
      </c>
      <c r="D2530" t="str">
        <f t="shared" si="39"/>
        <v>CA-2015-137064_OFF-ST-10003470</v>
      </c>
      <c r="E2530" t="str">
        <f>IF(COUNTIF(data1!$D:$D,D2530)=0,"Missing in Data1","Present")</f>
        <v>Present</v>
      </c>
    </row>
    <row r="2531" spans="1:5" x14ac:dyDescent="0.25">
      <c r="A2531" s="2" t="s">
        <v>2623</v>
      </c>
      <c r="B2531" s="2" t="s">
        <v>4861</v>
      </c>
      <c r="C2531" s="2">
        <v>2</v>
      </c>
      <c r="D2531" t="str">
        <f t="shared" si="39"/>
        <v>CA-2015-137064_TEC-AC-10003499</v>
      </c>
      <c r="E2531" t="str">
        <f>IF(COUNTIF(data1!$D:$D,D2531)=0,"Missing in Data1","Present")</f>
        <v>Missing in Data1</v>
      </c>
    </row>
    <row r="2532" spans="1:5" x14ac:dyDescent="0.25">
      <c r="A2532" s="2" t="s">
        <v>2626</v>
      </c>
      <c r="B2532" s="2" t="s">
        <v>583</v>
      </c>
      <c r="C2532" s="2">
        <v>5</v>
      </c>
      <c r="D2532" t="str">
        <f t="shared" si="39"/>
        <v>CA-2015-137113_FUR-CH-10001215</v>
      </c>
      <c r="E2532" t="str">
        <f>IF(COUNTIF(data1!$D:$D,D2532)=0,"Missing in Data1","Present")</f>
        <v>Present</v>
      </c>
    </row>
    <row r="2533" spans="1:5" x14ac:dyDescent="0.25">
      <c r="A2533" s="2" t="s">
        <v>2626</v>
      </c>
      <c r="B2533" s="2" t="s">
        <v>2627</v>
      </c>
      <c r="C2533" s="2">
        <v>9</v>
      </c>
      <c r="D2533" t="str">
        <f t="shared" si="39"/>
        <v>CA-2015-137113_FUR-TA-10001705</v>
      </c>
      <c r="E2533" t="str">
        <f>IF(COUNTIF(data1!$D:$D,D2533)=0,"Missing in Data1","Present")</f>
        <v>Present</v>
      </c>
    </row>
    <row r="2534" spans="1:5" x14ac:dyDescent="0.25">
      <c r="A2534" s="2" t="s">
        <v>2626</v>
      </c>
      <c r="B2534" s="2" t="s">
        <v>2628</v>
      </c>
      <c r="C2534" s="2">
        <v>5</v>
      </c>
      <c r="D2534" t="str">
        <f t="shared" si="39"/>
        <v>CA-2015-137113_OFF-PA-10002222</v>
      </c>
      <c r="E2534" t="str">
        <f>IF(COUNTIF(data1!$D:$D,D2534)=0,"Missing in Data1","Present")</f>
        <v>Present</v>
      </c>
    </row>
    <row r="2535" spans="1:5" x14ac:dyDescent="0.25">
      <c r="A2535" s="2" t="s">
        <v>2626</v>
      </c>
      <c r="B2535" s="2" t="s">
        <v>2579</v>
      </c>
      <c r="C2535" s="2">
        <v>5</v>
      </c>
      <c r="D2535" t="str">
        <f t="shared" si="39"/>
        <v>CA-2015-137113_OFF-PA-10004255</v>
      </c>
      <c r="E2535" t="str">
        <f>IF(COUNTIF(data1!$D:$D,D2535)=0,"Missing in Data1","Present")</f>
        <v>Present</v>
      </c>
    </row>
    <row r="2536" spans="1:5" x14ac:dyDescent="0.25">
      <c r="A2536" s="2" t="s">
        <v>2626</v>
      </c>
      <c r="B2536" s="2" t="s">
        <v>1756</v>
      </c>
      <c r="C2536" s="2">
        <v>3</v>
      </c>
      <c r="D2536" t="str">
        <f t="shared" si="39"/>
        <v>CA-2015-137113_OFF-ST-10002554</v>
      </c>
      <c r="E2536" t="str">
        <f>IF(COUNTIF(data1!$D:$D,D2536)=0,"Missing in Data1","Present")</f>
        <v>Present</v>
      </c>
    </row>
    <row r="2537" spans="1:5" x14ac:dyDescent="0.25">
      <c r="A2537" s="2" t="s">
        <v>2629</v>
      </c>
      <c r="B2537" s="2" t="s">
        <v>2562</v>
      </c>
      <c r="C2537" s="2">
        <v>1</v>
      </c>
      <c r="D2537" t="str">
        <f t="shared" si="39"/>
        <v>CA-2015-137225_OFF-AR-10001940</v>
      </c>
      <c r="E2537" t="str">
        <f>IF(COUNTIF(data1!$D:$D,D2537)=0,"Missing in Data1","Present")</f>
        <v>Present</v>
      </c>
    </row>
    <row r="2538" spans="1:5" x14ac:dyDescent="0.25">
      <c r="A2538" s="2" t="s">
        <v>2630</v>
      </c>
      <c r="B2538" s="2" t="s">
        <v>2631</v>
      </c>
      <c r="C2538" s="2">
        <v>1</v>
      </c>
      <c r="D2538" t="str">
        <f t="shared" si="39"/>
        <v>CA-2015-137281_OFF-PA-10001870</v>
      </c>
      <c r="E2538" t="str">
        <f>IF(COUNTIF(data1!$D:$D,D2538)=0,"Missing in Data1","Present")</f>
        <v>Present</v>
      </c>
    </row>
    <row r="2539" spans="1:5" x14ac:dyDescent="0.25">
      <c r="A2539" s="2" t="s">
        <v>2632</v>
      </c>
      <c r="B2539" s="2" t="s">
        <v>2633</v>
      </c>
      <c r="C2539" s="2">
        <v>3</v>
      </c>
      <c r="D2539" t="str">
        <f t="shared" si="39"/>
        <v>CA-2015-137302_FUR-CH-10002017</v>
      </c>
      <c r="E2539" t="str">
        <f>IF(COUNTIF(data1!$D:$D,D2539)=0,"Missing in Data1","Present")</f>
        <v>Present</v>
      </c>
    </row>
    <row r="2540" spans="1:5" x14ac:dyDescent="0.25">
      <c r="A2540" s="2" t="s">
        <v>2632</v>
      </c>
      <c r="B2540" s="2" t="s">
        <v>1821</v>
      </c>
      <c r="C2540" s="2">
        <v>3</v>
      </c>
      <c r="D2540" t="str">
        <f t="shared" si="39"/>
        <v>CA-2015-137302_OFF-AR-10000588</v>
      </c>
      <c r="E2540" t="str">
        <f>IF(COUNTIF(data1!$D:$D,D2540)=0,"Missing in Data1","Present")</f>
        <v>Present</v>
      </c>
    </row>
    <row r="2541" spans="1:5" x14ac:dyDescent="0.25">
      <c r="A2541" s="2" t="s">
        <v>2632</v>
      </c>
      <c r="B2541" s="2" t="s">
        <v>1815</v>
      </c>
      <c r="C2541" s="2">
        <v>3</v>
      </c>
      <c r="D2541" t="str">
        <f t="shared" si="39"/>
        <v>CA-2015-137302_OFF-BI-10001524</v>
      </c>
      <c r="E2541" t="str">
        <f>IF(COUNTIF(data1!$D:$D,D2541)=0,"Missing in Data1","Present")</f>
        <v>Present</v>
      </c>
    </row>
    <row r="2542" spans="1:5" x14ac:dyDescent="0.25">
      <c r="A2542" s="2" t="s">
        <v>2632</v>
      </c>
      <c r="B2542" s="2" t="s">
        <v>2399</v>
      </c>
      <c r="C2542" s="2">
        <v>3</v>
      </c>
      <c r="D2542" t="str">
        <f t="shared" si="39"/>
        <v>CA-2015-137302_TEC-PH-10003174</v>
      </c>
      <c r="E2542" t="str">
        <f>IF(COUNTIF(data1!$D:$D,D2542)=0,"Missing in Data1","Present")</f>
        <v>Missing in Data1</v>
      </c>
    </row>
    <row r="2543" spans="1:5" x14ac:dyDescent="0.25">
      <c r="A2543" s="2" t="s">
        <v>2634</v>
      </c>
      <c r="B2543" s="2" t="s">
        <v>2635</v>
      </c>
      <c r="C2543" s="2">
        <v>2</v>
      </c>
      <c r="D2543" t="str">
        <f t="shared" si="39"/>
        <v>CA-2015-137512_FUR-TA-10001095</v>
      </c>
      <c r="E2543" t="str">
        <f>IF(COUNTIF(data1!$D:$D,D2543)=0,"Missing in Data1","Present")</f>
        <v>Present</v>
      </c>
    </row>
    <row r="2544" spans="1:5" x14ac:dyDescent="0.25">
      <c r="A2544" s="2" t="s">
        <v>2634</v>
      </c>
      <c r="B2544" s="2" t="s">
        <v>519</v>
      </c>
      <c r="C2544" s="2">
        <v>4</v>
      </c>
      <c r="D2544" t="str">
        <f t="shared" si="39"/>
        <v>CA-2015-137512_OFF-PA-10000213</v>
      </c>
      <c r="E2544" t="str">
        <f>IF(COUNTIF(data1!$D:$D,D2544)=0,"Missing in Data1","Present")</f>
        <v>Present</v>
      </c>
    </row>
    <row r="2545" spans="1:5" x14ac:dyDescent="0.25">
      <c r="A2545" s="2" t="s">
        <v>2636</v>
      </c>
      <c r="B2545" s="2" t="s">
        <v>979</v>
      </c>
      <c r="C2545" s="2">
        <v>4</v>
      </c>
      <c r="D2545" t="str">
        <f t="shared" si="39"/>
        <v>CA-2015-137526_FUR-FU-10001861</v>
      </c>
      <c r="E2545" t="str">
        <f>IF(COUNTIF(data1!$D:$D,D2545)=0,"Missing in Data1","Present")</f>
        <v>Present</v>
      </c>
    </row>
    <row r="2546" spans="1:5" x14ac:dyDescent="0.25">
      <c r="A2546" s="2" t="s">
        <v>2636</v>
      </c>
      <c r="B2546" s="2" t="s">
        <v>2637</v>
      </c>
      <c r="C2546" s="2">
        <v>9</v>
      </c>
      <c r="D2546" t="str">
        <f t="shared" si="39"/>
        <v>CA-2015-137526_FUR-FU-10004845</v>
      </c>
      <c r="E2546" t="str">
        <f>IF(COUNTIF(data1!$D:$D,D2546)=0,"Missing in Data1","Present")</f>
        <v>Present</v>
      </c>
    </row>
    <row r="2547" spans="1:5" x14ac:dyDescent="0.25">
      <c r="A2547" s="2" t="s">
        <v>2636</v>
      </c>
      <c r="B2547" s="2" t="s">
        <v>2638</v>
      </c>
      <c r="C2547" s="2">
        <v>3</v>
      </c>
      <c r="D2547" t="str">
        <f t="shared" si="39"/>
        <v>CA-2015-137526_OFF-BI-10003364</v>
      </c>
      <c r="E2547" t="str">
        <f>IF(COUNTIF(data1!$D:$D,D2547)=0,"Missing in Data1","Present")</f>
        <v>Present</v>
      </c>
    </row>
    <row r="2548" spans="1:5" x14ac:dyDescent="0.25">
      <c r="A2548" s="2" t="s">
        <v>2639</v>
      </c>
      <c r="B2548" s="2" t="s">
        <v>2640</v>
      </c>
      <c r="C2548" s="2">
        <v>5</v>
      </c>
      <c r="D2548" t="str">
        <f t="shared" si="39"/>
        <v>CA-2015-137603_OFF-AR-10001972</v>
      </c>
      <c r="E2548" t="str">
        <f>IF(COUNTIF(data1!$D:$D,D2548)=0,"Missing in Data1","Present")</f>
        <v>Present</v>
      </c>
    </row>
    <row r="2549" spans="1:5" x14ac:dyDescent="0.25">
      <c r="A2549" s="2" t="s">
        <v>2641</v>
      </c>
      <c r="B2549" s="2" t="s">
        <v>7</v>
      </c>
      <c r="C2549" s="2">
        <v>2</v>
      </c>
      <c r="D2549" t="str">
        <f t="shared" si="39"/>
        <v>CA-2015-137708_OFF-PA-10000176</v>
      </c>
      <c r="E2549" t="str">
        <f>IF(COUNTIF(data1!$D:$D,D2549)=0,"Missing in Data1","Present")</f>
        <v>Present</v>
      </c>
    </row>
    <row r="2550" spans="1:5" x14ac:dyDescent="0.25">
      <c r="A2550" s="2" t="s">
        <v>2641</v>
      </c>
      <c r="B2550" s="2" t="s">
        <v>408</v>
      </c>
      <c r="C2550" s="2">
        <v>10</v>
      </c>
      <c r="D2550" t="str">
        <f t="shared" si="39"/>
        <v>CA-2015-137708_OFF-PA-10000327</v>
      </c>
      <c r="E2550" t="str">
        <f>IF(COUNTIF(data1!$D:$D,D2550)=0,"Missing in Data1","Present")</f>
        <v>Present</v>
      </c>
    </row>
    <row r="2551" spans="1:5" x14ac:dyDescent="0.25">
      <c r="A2551" s="2" t="s">
        <v>2641</v>
      </c>
      <c r="B2551" s="2" t="s">
        <v>1087</v>
      </c>
      <c r="C2551" s="2">
        <v>3</v>
      </c>
      <c r="D2551" t="str">
        <f t="shared" si="39"/>
        <v>CA-2015-137708_OFF-ST-10004634</v>
      </c>
      <c r="E2551" t="str">
        <f>IF(COUNTIF(data1!$D:$D,D2551)=0,"Missing in Data1","Present")</f>
        <v>Present</v>
      </c>
    </row>
    <row r="2552" spans="1:5" x14ac:dyDescent="0.25">
      <c r="A2552" s="2" t="s">
        <v>2642</v>
      </c>
      <c r="B2552" s="2" t="s">
        <v>1845</v>
      </c>
      <c r="C2552" s="2">
        <v>5</v>
      </c>
      <c r="D2552" t="str">
        <f t="shared" si="39"/>
        <v>CA-2015-137750_FUR-FU-10001979</v>
      </c>
      <c r="E2552" t="str">
        <f>IF(COUNTIF(data1!$D:$D,D2552)=0,"Missing in Data1","Present")</f>
        <v>Present</v>
      </c>
    </row>
    <row r="2553" spans="1:5" x14ac:dyDescent="0.25">
      <c r="A2553" s="2" t="s">
        <v>2643</v>
      </c>
      <c r="B2553" s="2" t="s">
        <v>2644</v>
      </c>
      <c r="C2553" s="2">
        <v>5</v>
      </c>
      <c r="D2553" t="str">
        <f t="shared" si="39"/>
        <v>CA-2015-137897_OFF-PA-10004041</v>
      </c>
      <c r="E2553" t="str">
        <f>IF(COUNTIF(data1!$D:$D,D2553)=0,"Missing in Data1","Present")</f>
        <v>Present</v>
      </c>
    </row>
    <row r="2554" spans="1:5" x14ac:dyDescent="0.25">
      <c r="A2554" s="2" t="s">
        <v>2643</v>
      </c>
      <c r="B2554" s="2" t="s">
        <v>261</v>
      </c>
      <c r="C2554" s="2">
        <v>2</v>
      </c>
      <c r="D2554" t="str">
        <f t="shared" si="39"/>
        <v>CA-2015-137897_TEC-AC-10001267</v>
      </c>
      <c r="E2554" t="str">
        <f>IF(COUNTIF(data1!$D:$D,D2554)=0,"Missing in Data1","Present")</f>
        <v>Present</v>
      </c>
    </row>
    <row r="2555" spans="1:5" x14ac:dyDescent="0.25">
      <c r="A2555" s="2" t="s">
        <v>2646</v>
      </c>
      <c r="B2555" s="2" t="s">
        <v>1760</v>
      </c>
      <c r="C2555" s="2">
        <v>12</v>
      </c>
      <c r="D2555" t="str">
        <f t="shared" si="39"/>
        <v>CA-2015-137925_FUR-BO-10001608</v>
      </c>
      <c r="E2555" t="str">
        <f>IF(COUNTIF(data1!$D:$D,D2555)=0,"Missing in Data1","Present")</f>
        <v>Present</v>
      </c>
    </row>
    <row r="2556" spans="1:5" x14ac:dyDescent="0.25">
      <c r="A2556" s="2" t="s">
        <v>2646</v>
      </c>
      <c r="B2556" s="2" t="s">
        <v>129</v>
      </c>
      <c r="C2556" s="2">
        <v>7</v>
      </c>
      <c r="D2556" t="str">
        <f t="shared" si="39"/>
        <v>CA-2015-137925_OFF-PA-10002659</v>
      </c>
      <c r="E2556" t="str">
        <f>IF(COUNTIF(data1!$D:$D,D2556)=0,"Missing in Data1","Present")</f>
        <v>Missing in Data1</v>
      </c>
    </row>
    <row r="2557" spans="1:5" x14ac:dyDescent="0.25">
      <c r="A2557" s="2" t="s">
        <v>2647</v>
      </c>
      <c r="B2557" s="2" t="s">
        <v>2648</v>
      </c>
      <c r="C2557" s="2">
        <v>1</v>
      </c>
      <c r="D2557" t="str">
        <f t="shared" si="39"/>
        <v>CA-2015-137946_OFF-BI-10001922</v>
      </c>
      <c r="E2557" t="str">
        <f>IF(COUNTIF(data1!$D:$D,D2557)=0,"Missing in Data1","Present")</f>
        <v>Present</v>
      </c>
    </row>
    <row r="2558" spans="1:5" x14ac:dyDescent="0.25">
      <c r="A2558" s="2" t="s">
        <v>2647</v>
      </c>
      <c r="B2558" s="2" t="s">
        <v>70</v>
      </c>
      <c r="C2558" s="2">
        <v>4</v>
      </c>
      <c r="D2558" t="str">
        <f t="shared" si="39"/>
        <v>CA-2015-137946_OFF-BI-10004140</v>
      </c>
      <c r="E2558" t="str">
        <f>IF(COUNTIF(data1!$D:$D,D2558)=0,"Missing in Data1","Present")</f>
        <v>Present</v>
      </c>
    </row>
    <row r="2559" spans="1:5" x14ac:dyDescent="0.25">
      <c r="A2559" s="2" t="s">
        <v>2647</v>
      </c>
      <c r="B2559" s="2" t="s">
        <v>567</v>
      </c>
      <c r="C2559" s="2">
        <v>2</v>
      </c>
      <c r="D2559" t="str">
        <f t="shared" si="39"/>
        <v>CA-2015-137946_TEC-CO-10001449</v>
      </c>
      <c r="E2559" t="str">
        <f>IF(COUNTIF(data1!$D:$D,D2559)=0,"Missing in Data1","Present")</f>
        <v>Present</v>
      </c>
    </row>
    <row r="2560" spans="1:5" x14ac:dyDescent="0.25">
      <c r="A2560" s="2" t="s">
        <v>2649</v>
      </c>
      <c r="B2560" s="2" t="s">
        <v>1852</v>
      </c>
      <c r="C2560" s="2">
        <v>9</v>
      </c>
      <c r="D2560" t="str">
        <f t="shared" si="39"/>
        <v>CA-2015-137974_FUR-BO-10001519</v>
      </c>
      <c r="E2560" t="str">
        <f>IF(COUNTIF(data1!$D:$D,D2560)=0,"Missing in Data1","Present")</f>
        <v>Present</v>
      </c>
    </row>
    <row r="2561" spans="1:5" x14ac:dyDescent="0.25">
      <c r="A2561" s="2" t="s">
        <v>2649</v>
      </c>
      <c r="B2561" s="2" t="s">
        <v>494</v>
      </c>
      <c r="C2561" s="2">
        <v>7</v>
      </c>
      <c r="D2561" t="str">
        <f t="shared" si="39"/>
        <v>CA-2015-137974_FUR-FU-10001468</v>
      </c>
      <c r="E2561" t="str">
        <f>IF(COUNTIF(data1!$D:$D,D2561)=0,"Missing in Data1","Present")</f>
        <v>Present</v>
      </c>
    </row>
    <row r="2562" spans="1:5" x14ac:dyDescent="0.25">
      <c r="A2562" s="2" t="s">
        <v>2649</v>
      </c>
      <c r="B2562" s="2" t="s">
        <v>811</v>
      </c>
      <c r="C2562" s="2">
        <v>1</v>
      </c>
      <c r="D2562" t="str">
        <f t="shared" si="39"/>
        <v>CA-2015-137974_OFF-BI-10001036</v>
      </c>
      <c r="E2562" t="str">
        <f>IF(COUNTIF(data1!$D:$D,D2562)=0,"Missing in Data1","Present")</f>
        <v>Present</v>
      </c>
    </row>
    <row r="2563" spans="1:5" x14ac:dyDescent="0.25">
      <c r="A2563" s="2" t="s">
        <v>2649</v>
      </c>
      <c r="B2563" s="2" t="s">
        <v>547</v>
      </c>
      <c r="C2563" s="2">
        <v>2</v>
      </c>
      <c r="D2563" t="str">
        <f t="shared" ref="D2563:D2626" si="40">A2563&amp;"_"&amp;B2563</f>
        <v>CA-2015-137974_TEC-PH-10002033</v>
      </c>
      <c r="E2563" t="str">
        <f>IF(COUNTIF(data1!$D:$D,D2563)=0,"Missing in Data1","Present")</f>
        <v>Present</v>
      </c>
    </row>
    <row r="2564" spans="1:5" x14ac:dyDescent="0.25">
      <c r="A2564" s="2" t="s">
        <v>2650</v>
      </c>
      <c r="B2564" s="2" t="s">
        <v>2651</v>
      </c>
      <c r="C2564" s="2">
        <v>3</v>
      </c>
      <c r="D2564" t="str">
        <f t="shared" si="40"/>
        <v>CA-2015-138002_FUR-FU-10004748</v>
      </c>
      <c r="E2564" t="str">
        <f>IF(COUNTIF(data1!$D:$D,D2564)=0,"Missing in Data1","Present")</f>
        <v>Present</v>
      </c>
    </row>
    <row r="2565" spans="1:5" x14ac:dyDescent="0.25">
      <c r="A2565" s="2" t="s">
        <v>2650</v>
      </c>
      <c r="B2565" s="2" t="s">
        <v>197</v>
      </c>
      <c r="C2565" s="2">
        <v>2</v>
      </c>
      <c r="D2565" t="str">
        <f t="shared" si="40"/>
        <v>CA-2015-138002_OFF-BI-10002160</v>
      </c>
      <c r="E2565" t="str">
        <f>IF(COUNTIF(data1!$D:$D,D2565)=0,"Missing in Data1","Present")</f>
        <v>Present</v>
      </c>
    </row>
    <row r="2566" spans="1:5" x14ac:dyDescent="0.25">
      <c r="A2566" s="2" t="s">
        <v>2652</v>
      </c>
      <c r="B2566" s="2" t="s">
        <v>1894</v>
      </c>
      <c r="C2566" s="2">
        <v>2</v>
      </c>
      <c r="D2566" t="str">
        <f t="shared" si="40"/>
        <v>CA-2015-138009_FUR-CH-10004853</v>
      </c>
      <c r="E2566" t="str">
        <f>IF(COUNTIF(data1!$D:$D,D2566)=0,"Missing in Data1","Present")</f>
        <v>Present</v>
      </c>
    </row>
    <row r="2567" spans="1:5" x14ac:dyDescent="0.25">
      <c r="A2567" s="2" t="s">
        <v>2652</v>
      </c>
      <c r="B2567" s="2" t="s">
        <v>1867</v>
      </c>
      <c r="C2567" s="2">
        <v>5</v>
      </c>
      <c r="D2567" t="str">
        <f t="shared" si="40"/>
        <v>CA-2015-138009_OFF-AP-10000179</v>
      </c>
      <c r="E2567" t="str">
        <f>IF(COUNTIF(data1!$D:$D,D2567)=0,"Missing in Data1","Present")</f>
        <v>Present</v>
      </c>
    </row>
    <row r="2568" spans="1:5" x14ac:dyDescent="0.25">
      <c r="A2568" s="2" t="s">
        <v>2652</v>
      </c>
      <c r="B2568" s="2" t="s">
        <v>839</v>
      </c>
      <c r="C2568" s="2">
        <v>9</v>
      </c>
      <c r="D2568" t="str">
        <f t="shared" si="40"/>
        <v>CA-2015-138009_OFF-AR-10004042</v>
      </c>
      <c r="E2568" t="str">
        <f>IF(COUNTIF(data1!$D:$D,D2568)=0,"Missing in Data1","Present")</f>
        <v>Present</v>
      </c>
    </row>
    <row r="2569" spans="1:5" x14ac:dyDescent="0.25">
      <c r="A2569" s="2" t="s">
        <v>2652</v>
      </c>
      <c r="B2569" s="2" t="s">
        <v>2653</v>
      </c>
      <c r="C2569" s="2">
        <v>4</v>
      </c>
      <c r="D2569" t="str">
        <f t="shared" si="40"/>
        <v>CA-2015-138009_OFF-ST-10001272</v>
      </c>
      <c r="E2569" t="str">
        <f>IF(COUNTIF(data1!$D:$D,D2569)=0,"Missing in Data1","Present")</f>
        <v>Present</v>
      </c>
    </row>
    <row r="2570" spans="1:5" x14ac:dyDescent="0.25">
      <c r="A2570" s="2" t="s">
        <v>2654</v>
      </c>
      <c r="B2570" s="2" t="s">
        <v>2655</v>
      </c>
      <c r="C2570" s="2">
        <v>4</v>
      </c>
      <c r="D2570" t="str">
        <f t="shared" si="40"/>
        <v>CA-2015-138219_OFF-PA-10000380</v>
      </c>
      <c r="E2570" t="str">
        <f>IF(COUNTIF(data1!$D:$D,D2570)=0,"Missing in Data1","Present")</f>
        <v>Present</v>
      </c>
    </row>
    <row r="2571" spans="1:5" x14ac:dyDescent="0.25">
      <c r="A2571" s="2" t="s">
        <v>2656</v>
      </c>
      <c r="B2571" s="2" t="s">
        <v>744</v>
      </c>
      <c r="C2571" s="2">
        <v>10</v>
      </c>
      <c r="D2571" t="str">
        <f t="shared" si="40"/>
        <v>CA-2015-138331_OFF-AR-10002952</v>
      </c>
      <c r="E2571" t="str">
        <f>IF(COUNTIF(data1!$D:$D,D2571)=0,"Missing in Data1","Present")</f>
        <v>Present</v>
      </c>
    </row>
    <row r="2572" spans="1:5" x14ac:dyDescent="0.25">
      <c r="A2572" s="2" t="s">
        <v>2657</v>
      </c>
      <c r="B2572" s="2" t="s">
        <v>2658</v>
      </c>
      <c r="C2572" s="2">
        <v>4</v>
      </c>
      <c r="D2572" t="str">
        <f t="shared" si="40"/>
        <v>CA-2015-138457_OFF-BI-10000014</v>
      </c>
      <c r="E2572" t="str">
        <f>IF(COUNTIF(data1!$D:$D,D2572)=0,"Missing in Data1","Present")</f>
        <v>Present</v>
      </c>
    </row>
    <row r="2573" spans="1:5" x14ac:dyDescent="0.25">
      <c r="A2573" s="2" t="s">
        <v>2659</v>
      </c>
      <c r="B2573" s="2" t="s">
        <v>1817</v>
      </c>
      <c r="C2573" s="2">
        <v>9</v>
      </c>
      <c r="D2573" t="str">
        <f t="shared" si="40"/>
        <v>CA-2015-138485_TEC-AC-10002076</v>
      </c>
      <c r="E2573" t="str">
        <f>IF(COUNTIF(data1!$D:$D,D2573)=0,"Missing in Data1","Present")</f>
        <v>Present</v>
      </c>
    </row>
    <row r="2574" spans="1:5" x14ac:dyDescent="0.25">
      <c r="A2574" s="2" t="s">
        <v>2660</v>
      </c>
      <c r="B2574" s="2" t="s">
        <v>1268</v>
      </c>
      <c r="C2574" s="2">
        <v>2</v>
      </c>
      <c r="D2574" t="str">
        <f t="shared" si="40"/>
        <v>CA-2015-138492_OFF-ST-10002583</v>
      </c>
      <c r="E2574" t="str">
        <f>IF(COUNTIF(data1!$D:$D,D2574)=0,"Missing in Data1","Present")</f>
        <v>Present</v>
      </c>
    </row>
    <row r="2575" spans="1:5" x14ac:dyDescent="0.25">
      <c r="A2575" s="2" t="s">
        <v>2661</v>
      </c>
      <c r="B2575" s="2" t="s">
        <v>635</v>
      </c>
      <c r="C2575" s="2">
        <v>2</v>
      </c>
      <c r="D2575" t="str">
        <f t="shared" si="40"/>
        <v>CA-2015-138534_FUR-BO-10003159</v>
      </c>
      <c r="E2575" t="str">
        <f>IF(COUNTIF(data1!$D:$D,D2575)=0,"Missing in Data1","Present")</f>
        <v>Present</v>
      </c>
    </row>
    <row r="2576" spans="1:5" x14ac:dyDescent="0.25">
      <c r="A2576" s="2" t="s">
        <v>2662</v>
      </c>
      <c r="B2576" s="2" t="s">
        <v>2663</v>
      </c>
      <c r="C2576" s="2">
        <v>4</v>
      </c>
      <c r="D2576" t="str">
        <f t="shared" si="40"/>
        <v>CA-2015-138625_OFF-AP-10003099</v>
      </c>
      <c r="E2576" t="str">
        <f>IF(COUNTIF(data1!$D:$D,D2576)=0,"Missing in Data1","Present")</f>
        <v>Present</v>
      </c>
    </row>
    <row r="2577" spans="1:5" x14ac:dyDescent="0.25">
      <c r="A2577" s="2" t="s">
        <v>2664</v>
      </c>
      <c r="B2577" s="2" t="s">
        <v>552</v>
      </c>
      <c r="C2577" s="2">
        <v>5</v>
      </c>
      <c r="D2577" t="str">
        <f t="shared" si="40"/>
        <v>CA-2015-138674_OFF-FA-10000304</v>
      </c>
      <c r="E2577" t="str">
        <f>IF(COUNTIF(data1!$D:$D,D2577)=0,"Missing in Data1","Present")</f>
        <v>Present</v>
      </c>
    </row>
    <row r="2578" spans="1:5" x14ac:dyDescent="0.25">
      <c r="A2578" s="2" t="s">
        <v>2664</v>
      </c>
      <c r="B2578" s="2" t="s">
        <v>2665</v>
      </c>
      <c r="C2578" s="2">
        <v>3</v>
      </c>
      <c r="D2578" t="str">
        <f t="shared" si="40"/>
        <v>CA-2015-138674_TEC-AC-10000358</v>
      </c>
      <c r="E2578" t="str">
        <f>IF(COUNTIF(data1!$D:$D,D2578)=0,"Missing in Data1","Present")</f>
        <v>Present</v>
      </c>
    </row>
    <row r="2579" spans="1:5" x14ac:dyDescent="0.25">
      <c r="A2579" s="2" t="s">
        <v>2664</v>
      </c>
      <c r="B2579" s="2" t="s">
        <v>507</v>
      </c>
      <c r="C2579" s="2">
        <v>4</v>
      </c>
      <c r="D2579" t="str">
        <f t="shared" si="40"/>
        <v>CA-2015-138674_TEC-AC-10002800</v>
      </c>
      <c r="E2579" t="str">
        <f>IF(COUNTIF(data1!$D:$D,D2579)=0,"Missing in Data1","Present")</f>
        <v>Present</v>
      </c>
    </row>
    <row r="2580" spans="1:5" x14ac:dyDescent="0.25">
      <c r="A2580" s="2" t="s">
        <v>2666</v>
      </c>
      <c r="B2580" s="2" t="s">
        <v>2088</v>
      </c>
      <c r="C2580" s="2">
        <v>13</v>
      </c>
      <c r="D2580" t="str">
        <f t="shared" si="40"/>
        <v>CA-2015-138898_OFF-AP-10004487</v>
      </c>
      <c r="E2580" t="str">
        <f>IF(COUNTIF(data1!$D:$D,D2580)=0,"Missing in Data1","Present")</f>
        <v>Present</v>
      </c>
    </row>
    <row r="2581" spans="1:5" x14ac:dyDescent="0.25">
      <c r="A2581" s="2" t="s">
        <v>2667</v>
      </c>
      <c r="B2581" s="2" t="s">
        <v>1034</v>
      </c>
      <c r="C2581" s="2">
        <v>6</v>
      </c>
      <c r="D2581" t="str">
        <f t="shared" si="40"/>
        <v>CA-2015-138954_OFF-AR-10001955</v>
      </c>
      <c r="E2581" t="str">
        <f>IF(COUNTIF(data1!$D:$D,D2581)=0,"Missing in Data1","Present")</f>
        <v>Present</v>
      </c>
    </row>
    <row r="2582" spans="1:5" x14ac:dyDescent="0.25">
      <c r="A2582" s="2" t="s">
        <v>2667</v>
      </c>
      <c r="B2582" s="2" t="s">
        <v>599</v>
      </c>
      <c r="C2582" s="2">
        <v>3</v>
      </c>
      <c r="D2582" t="str">
        <f t="shared" si="40"/>
        <v>CA-2015-138954_OFF-ST-10003058</v>
      </c>
      <c r="E2582" t="str">
        <f>IF(COUNTIF(data1!$D:$D,D2582)=0,"Missing in Data1","Present")</f>
        <v>Present</v>
      </c>
    </row>
    <row r="2583" spans="1:5" x14ac:dyDescent="0.25">
      <c r="A2583" s="2" t="s">
        <v>2669</v>
      </c>
      <c r="B2583" s="2" t="s">
        <v>37</v>
      </c>
      <c r="C2583" s="2">
        <v>2</v>
      </c>
      <c r="D2583" t="str">
        <f t="shared" si="40"/>
        <v>CA-2015-139094_FUR-TA-10004607</v>
      </c>
      <c r="E2583" t="str">
        <f>IF(COUNTIF(data1!$D:$D,D2583)=0,"Missing in Data1","Present")</f>
        <v>Present</v>
      </c>
    </row>
    <row r="2584" spans="1:5" x14ac:dyDescent="0.25">
      <c r="A2584" s="2" t="s">
        <v>2670</v>
      </c>
      <c r="B2584" s="2" t="s">
        <v>1395</v>
      </c>
      <c r="C2584" s="2">
        <v>3</v>
      </c>
      <c r="D2584" t="str">
        <f t="shared" si="40"/>
        <v>CA-2015-139164_OFF-FA-10003059</v>
      </c>
      <c r="E2584" t="str">
        <f>IF(COUNTIF(data1!$D:$D,D2584)=0,"Missing in Data1","Present")</f>
        <v>Present</v>
      </c>
    </row>
    <row r="2585" spans="1:5" x14ac:dyDescent="0.25">
      <c r="A2585" s="2" t="s">
        <v>2670</v>
      </c>
      <c r="B2585" s="2" t="s">
        <v>200</v>
      </c>
      <c r="C2585" s="2">
        <v>2</v>
      </c>
      <c r="D2585" t="str">
        <f t="shared" si="40"/>
        <v>CA-2015-139164_TEC-PH-10002468</v>
      </c>
      <c r="E2585" t="str">
        <f>IF(COUNTIF(data1!$D:$D,D2585)=0,"Missing in Data1","Present")</f>
        <v>Present</v>
      </c>
    </row>
    <row r="2586" spans="1:5" x14ac:dyDescent="0.25">
      <c r="A2586" s="2" t="s">
        <v>2671</v>
      </c>
      <c r="B2586" s="2" t="s">
        <v>2421</v>
      </c>
      <c r="C2586" s="2">
        <v>5</v>
      </c>
      <c r="D2586" t="str">
        <f t="shared" si="40"/>
        <v>CA-2015-139248_TEC-PH-10004094</v>
      </c>
      <c r="E2586" t="str">
        <f>IF(COUNTIF(data1!$D:$D,D2586)=0,"Missing in Data1","Present")</f>
        <v>Present</v>
      </c>
    </row>
    <row r="2587" spans="1:5" x14ac:dyDescent="0.25">
      <c r="A2587" s="2" t="s">
        <v>2674</v>
      </c>
      <c r="B2587" s="2" t="s">
        <v>1296</v>
      </c>
      <c r="C2587" s="2">
        <v>1</v>
      </c>
      <c r="D2587" t="str">
        <f t="shared" si="40"/>
        <v>CA-2015-139374_FUR-CH-10003981</v>
      </c>
      <c r="E2587" t="str">
        <f>IF(COUNTIF(data1!$D:$D,D2587)=0,"Missing in Data1","Present")</f>
        <v>Present</v>
      </c>
    </row>
    <row r="2588" spans="1:5" x14ac:dyDescent="0.25">
      <c r="A2588" s="2" t="s">
        <v>2675</v>
      </c>
      <c r="B2588" s="2" t="s">
        <v>544</v>
      </c>
      <c r="C2588" s="2">
        <v>2</v>
      </c>
      <c r="D2588" t="str">
        <f t="shared" si="40"/>
        <v>CA-2015-139584_FUR-TA-10001539</v>
      </c>
      <c r="E2588" t="str">
        <f>IF(COUNTIF(data1!$D:$D,D2588)=0,"Missing in Data1","Present")</f>
        <v>Present</v>
      </c>
    </row>
    <row r="2589" spans="1:5" x14ac:dyDescent="0.25">
      <c r="A2589" s="2" t="s">
        <v>2675</v>
      </c>
      <c r="B2589" s="2" t="s">
        <v>1097</v>
      </c>
      <c r="C2589" s="2">
        <v>2</v>
      </c>
      <c r="D2589" t="str">
        <f t="shared" si="40"/>
        <v>CA-2015-139584_TEC-AC-10001266</v>
      </c>
      <c r="E2589" t="str">
        <f>IF(COUNTIF(data1!$D:$D,D2589)=0,"Missing in Data1","Present")</f>
        <v>Present</v>
      </c>
    </row>
    <row r="2590" spans="1:5" x14ac:dyDescent="0.25">
      <c r="A2590" s="2" t="s">
        <v>2676</v>
      </c>
      <c r="B2590" s="2" t="s">
        <v>561</v>
      </c>
      <c r="C2590" s="2">
        <v>5</v>
      </c>
      <c r="D2590" t="str">
        <f t="shared" si="40"/>
        <v>CA-2015-139731_FUR-CH-10002024</v>
      </c>
      <c r="E2590" t="str">
        <f>IF(COUNTIF(data1!$D:$D,D2590)=0,"Missing in Data1","Present")</f>
        <v>Present</v>
      </c>
    </row>
    <row r="2591" spans="1:5" x14ac:dyDescent="0.25">
      <c r="A2591" s="2" t="s">
        <v>2676</v>
      </c>
      <c r="B2591" s="2" t="s">
        <v>2677</v>
      </c>
      <c r="C2591" s="2">
        <v>3</v>
      </c>
      <c r="D2591" t="str">
        <f t="shared" si="40"/>
        <v>CA-2015-139731_TEC-AC-10004975</v>
      </c>
      <c r="E2591" t="str">
        <f>IF(COUNTIF(data1!$D:$D,D2591)=0,"Missing in Data1","Present")</f>
        <v>Present</v>
      </c>
    </row>
    <row r="2592" spans="1:5" x14ac:dyDescent="0.25">
      <c r="A2592" s="2" t="s">
        <v>2678</v>
      </c>
      <c r="B2592" s="2" t="s">
        <v>1422</v>
      </c>
      <c r="C2592" s="2">
        <v>7</v>
      </c>
      <c r="D2592" t="str">
        <f t="shared" si="40"/>
        <v>CA-2015-139738_OFF-AR-10004602</v>
      </c>
      <c r="E2592" t="str">
        <f>IF(COUNTIF(data1!$D:$D,D2592)=0,"Missing in Data1","Present")</f>
        <v>Present</v>
      </c>
    </row>
    <row r="2593" spans="1:5" x14ac:dyDescent="0.25">
      <c r="A2593" s="2" t="s">
        <v>2679</v>
      </c>
      <c r="B2593" s="2" t="s">
        <v>2680</v>
      </c>
      <c r="C2593" s="2">
        <v>8</v>
      </c>
      <c r="D2593" t="str">
        <f t="shared" si="40"/>
        <v>CA-2015-139780_OFF-BI-10004139</v>
      </c>
      <c r="E2593" t="str">
        <f>IF(COUNTIF(data1!$D:$D,D2593)=0,"Missing in Data1","Present")</f>
        <v>Present</v>
      </c>
    </row>
    <row r="2594" spans="1:5" x14ac:dyDescent="0.25">
      <c r="A2594" s="2" t="s">
        <v>2681</v>
      </c>
      <c r="B2594" s="2" t="s">
        <v>991</v>
      </c>
      <c r="C2594" s="2">
        <v>2</v>
      </c>
      <c r="D2594" t="str">
        <f t="shared" si="40"/>
        <v>CA-2015-139850_FUR-FU-10003623</v>
      </c>
      <c r="E2594" t="str">
        <f>IF(COUNTIF(data1!$D:$D,D2594)=0,"Missing in Data1","Present")</f>
        <v>Present</v>
      </c>
    </row>
    <row r="2595" spans="1:5" x14ac:dyDescent="0.25">
      <c r="A2595" s="2" t="s">
        <v>2681</v>
      </c>
      <c r="B2595" s="2" t="s">
        <v>2011</v>
      </c>
      <c r="C2595" s="2">
        <v>4</v>
      </c>
      <c r="D2595" t="str">
        <f t="shared" si="40"/>
        <v>CA-2015-139850_OFF-PA-10003848</v>
      </c>
      <c r="E2595" t="str">
        <f>IF(COUNTIF(data1!$D:$D,D2595)=0,"Missing in Data1","Present")</f>
        <v>Present</v>
      </c>
    </row>
    <row r="2596" spans="1:5" x14ac:dyDescent="0.25">
      <c r="A2596" s="2" t="s">
        <v>2682</v>
      </c>
      <c r="B2596" s="2" t="s">
        <v>1709</v>
      </c>
      <c r="C2596" s="2">
        <v>2</v>
      </c>
      <c r="D2596" t="str">
        <f t="shared" si="40"/>
        <v>CA-2015-139962_OFF-BI-10004738</v>
      </c>
      <c r="E2596" t="str">
        <f>IF(COUNTIF(data1!$D:$D,D2596)=0,"Missing in Data1","Present")</f>
        <v>Present</v>
      </c>
    </row>
    <row r="2597" spans="1:5" x14ac:dyDescent="0.25">
      <c r="A2597" s="2" t="s">
        <v>2682</v>
      </c>
      <c r="B2597" s="2" t="s">
        <v>2683</v>
      </c>
      <c r="C2597" s="2">
        <v>3</v>
      </c>
      <c r="D2597" t="str">
        <f t="shared" si="40"/>
        <v>CA-2015-139962_OFF-PA-10004451</v>
      </c>
      <c r="E2597" t="str">
        <f>IF(COUNTIF(data1!$D:$D,D2597)=0,"Missing in Data1","Present")</f>
        <v>Present</v>
      </c>
    </row>
    <row r="2598" spans="1:5" x14ac:dyDescent="0.25">
      <c r="A2598" s="2" t="s">
        <v>2684</v>
      </c>
      <c r="B2598" s="2" t="s">
        <v>1233</v>
      </c>
      <c r="C2598" s="2">
        <v>8</v>
      </c>
      <c r="D2598" t="str">
        <f t="shared" si="40"/>
        <v>CA-2015-140025_OFF-AP-10002651</v>
      </c>
      <c r="E2598" t="str">
        <f>IF(COUNTIF(data1!$D:$D,D2598)=0,"Missing in Data1","Present")</f>
        <v>Present</v>
      </c>
    </row>
    <row r="2599" spans="1:5" x14ac:dyDescent="0.25">
      <c r="A2599" s="2" t="s">
        <v>2684</v>
      </c>
      <c r="B2599" s="2" t="s">
        <v>1862</v>
      </c>
      <c r="C2599" s="2">
        <v>6</v>
      </c>
      <c r="D2599" t="str">
        <f t="shared" si="40"/>
        <v>CA-2015-140025_TEC-AC-10002402</v>
      </c>
      <c r="E2599" t="str">
        <f>IF(COUNTIF(data1!$D:$D,D2599)=0,"Missing in Data1","Present")</f>
        <v>Present</v>
      </c>
    </row>
    <row r="2600" spans="1:5" x14ac:dyDescent="0.25">
      <c r="A2600" s="2" t="s">
        <v>2685</v>
      </c>
      <c r="B2600" s="2" t="s">
        <v>491</v>
      </c>
      <c r="C2600" s="2">
        <v>6</v>
      </c>
      <c r="D2600" t="str">
        <f t="shared" si="40"/>
        <v>CA-2015-140144_FUR-FU-10002253</v>
      </c>
      <c r="E2600" t="str">
        <f>IF(COUNTIF(data1!$D:$D,D2600)=0,"Missing in Data1","Present")</f>
        <v>Present</v>
      </c>
    </row>
    <row r="2601" spans="1:5" x14ac:dyDescent="0.25">
      <c r="A2601" s="2" t="s">
        <v>2685</v>
      </c>
      <c r="B2601" s="2" t="s">
        <v>244</v>
      </c>
      <c r="C2601" s="2">
        <v>3</v>
      </c>
      <c r="D2601" t="str">
        <f t="shared" si="40"/>
        <v>CA-2015-140144_TEC-PH-10002726</v>
      </c>
      <c r="E2601" t="str">
        <f>IF(COUNTIF(data1!$D:$D,D2601)=0,"Missing in Data1","Present")</f>
        <v>Present</v>
      </c>
    </row>
    <row r="2602" spans="1:5" x14ac:dyDescent="0.25">
      <c r="A2602" s="2" t="s">
        <v>2686</v>
      </c>
      <c r="B2602" s="2" t="s">
        <v>1324</v>
      </c>
      <c r="C2602" s="2">
        <v>2</v>
      </c>
      <c r="D2602" t="str">
        <f t="shared" si="40"/>
        <v>CA-2015-140221_FUR-FU-10000023</v>
      </c>
      <c r="E2602" t="str">
        <f>IF(COUNTIF(data1!$D:$D,D2602)=0,"Missing in Data1","Present")</f>
        <v>Missing in Data1</v>
      </c>
    </row>
    <row r="2603" spans="1:5" x14ac:dyDescent="0.25">
      <c r="A2603" s="2" t="s">
        <v>2686</v>
      </c>
      <c r="B2603" s="2" t="s">
        <v>337</v>
      </c>
      <c r="C2603" s="2">
        <v>2</v>
      </c>
      <c r="D2603" t="str">
        <f t="shared" si="40"/>
        <v>CA-2015-140221_OFF-BI-10002854</v>
      </c>
      <c r="E2603" t="str">
        <f>IF(COUNTIF(data1!$D:$D,D2603)=0,"Missing in Data1","Present")</f>
        <v>Present</v>
      </c>
    </row>
    <row r="2604" spans="1:5" x14ac:dyDescent="0.25">
      <c r="A2604" s="2" t="s">
        <v>2686</v>
      </c>
      <c r="B2604" s="2" t="s">
        <v>202</v>
      </c>
      <c r="C2604" s="2">
        <v>2</v>
      </c>
      <c r="D2604" t="str">
        <f t="shared" si="40"/>
        <v>CA-2015-140221_OFF-ST-10000777</v>
      </c>
      <c r="E2604" t="str">
        <f>IF(COUNTIF(data1!$D:$D,D2604)=0,"Missing in Data1","Present")</f>
        <v>Missing in Data1</v>
      </c>
    </row>
    <row r="2605" spans="1:5" x14ac:dyDescent="0.25">
      <c r="A2605" s="2" t="s">
        <v>2687</v>
      </c>
      <c r="B2605" s="2" t="s">
        <v>152</v>
      </c>
      <c r="C2605" s="2">
        <v>1</v>
      </c>
      <c r="D2605" t="str">
        <f t="shared" si="40"/>
        <v>CA-2015-140375_OFF-BI-10000320</v>
      </c>
      <c r="E2605" t="str">
        <f>IF(COUNTIF(data1!$D:$D,D2605)=0,"Missing in Data1","Present")</f>
        <v>Present</v>
      </c>
    </row>
    <row r="2606" spans="1:5" x14ac:dyDescent="0.25">
      <c r="A2606" s="2" t="s">
        <v>2687</v>
      </c>
      <c r="B2606" s="2" t="s">
        <v>2631</v>
      </c>
      <c r="C2606" s="2">
        <v>3</v>
      </c>
      <c r="D2606" t="str">
        <f t="shared" si="40"/>
        <v>CA-2015-140375_OFF-PA-10001870</v>
      </c>
      <c r="E2606" t="str">
        <f>IF(COUNTIF(data1!$D:$D,D2606)=0,"Missing in Data1","Present")</f>
        <v>Present</v>
      </c>
    </row>
    <row r="2607" spans="1:5" x14ac:dyDescent="0.25">
      <c r="A2607" s="2" t="s">
        <v>2688</v>
      </c>
      <c r="B2607" s="2" t="s">
        <v>2689</v>
      </c>
      <c r="C2607" s="2">
        <v>3</v>
      </c>
      <c r="D2607" t="str">
        <f t="shared" si="40"/>
        <v>CA-2015-140410_FUR-FU-10003347</v>
      </c>
      <c r="E2607" t="str">
        <f>IF(COUNTIF(data1!$D:$D,D2607)=0,"Missing in Data1","Present")</f>
        <v>Present</v>
      </c>
    </row>
    <row r="2608" spans="1:5" x14ac:dyDescent="0.25">
      <c r="A2608" s="2" t="s">
        <v>2688</v>
      </c>
      <c r="B2608" s="2" t="s">
        <v>2691</v>
      </c>
      <c r="C2608" s="2">
        <v>7</v>
      </c>
      <c r="D2608" t="str">
        <f t="shared" si="40"/>
        <v>CA-2015-140410_TEC-PH-10003580</v>
      </c>
      <c r="E2608" t="str">
        <f>IF(COUNTIF(data1!$D:$D,D2608)=0,"Missing in Data1","Present")</f>
        <v>Present</v>
      </c>
    </row>
    <row r="2609" spans="1:5" x14ac:dyDescent="0.25">
      <c r="A2609" s="2" t="s">
        <v>2692</v>
      </c>
      <c r="B2609" s="2" t="s">
        <v>1862</v>
      </c>
      <c r="C2609" s="2">
        <v>7</v>
      </c>
      <c r="D2609" t="str">
        <f t="shared" si="40"/>
        <v>CA-2015-140557_TEC-AC-10002402</v>
      </c>
      <c r="E2609" t="str">
        <f>IF(COUNTIF(data1!$D:$D,D2609)=0,"Missing in Data1","Present")</f>
        <v>Present</v>
      </c>
    </row>
    <row r="2610" spans="1:5" x14ac:dyDescent="0.25">
      <c r="A2610" s="2" t="s">
        <v>2693</v>
      </c>
      <c r="B2610" s="2" t="s">
        <v>3486</v>
      </c>
      <c r="C2610" s="2">
        <v>10</v>
      </c>
      <c r="D2610" t="str">
        <f t="shared" si="40"/>
        <v>CA-2015-140718_FUR-FU-10000076</v>
      </c>
      <c r="E2610" t="str">
        <f>IF(COUNTIF(data1!$D:$D,D2610)=0,"Missing in Data1","Present")</f>
        <v>Missing in Data1</v>
      </c>
    </row>
    <row r="2611" spans="1:5" x14ac:dyDescent="0.25">
      <c r="A2611" s="2" t="s">
        <v>2693</v>
      </c>
      <c r="B2611" s="2" t="s">
        <v>1680</v>
      </c>
      <c r="C2611" s="2">
        <v>2</v>
      </c>
      <c r="D2611" t="str">
        <f t="shared" si="40"/>
        <v>CA-2015-140718_OFF-BI-10004728</v>
      </c>
      <c r="E2611" t="str">
        <f>IF(COUNTIF(data1!$D:$D,D2611)=0,"Missing in Data1","Present")</f>
        <v>Present</v>
      </c>
    </row>
    <row r="2612" spans="1:5" x14ac:dyDescent="0.25">
      <c r="A2612" s="2" t="s">
        <v>2693</v>
      </c>
      <c r="B2612" s="2" t="s">
        <v>2694</v>
      </c>
      <c r="C2612" s="2">
        <v>2</v>
      </c>
      <c r="D2612" t="str">
        <f t="shared" si="40"/>
        <v>CA-2015-140718_OFF-PA-10002250</v>
      </c>
      <c r="E2612" t="str">
        <f>IF(COUNTIF(data1!$D:$D,D2612)=0,"Missing in Data1","Present")</f>
        <v>Present</v>
      </c>
    </row>
    <row r="2613" spans="1:5" x14ac:dyDescent="0.25">
      <c r="A2613" s="2" t="s">
        <v>2693</v>
      </c>
      <c r="B2613" s="2" t="s">
        <v>139</v>
      </c>
      <c r="C2613" s="2">
        <v>1</v>
      </c>
      <c r="D2613" t="str">
        <f t="shared" si="40"/>
        <v>CA-2015-140718_TEC-PH-10003505</v>
      </c>
      <c r="E2613" t="str">
        <f>IF(COUNTIF(data1!$D:$D,D2613)=0,"Missing in Data1","Present")</f>
        <v>Present</v>
      </c>
    </row>
    <row r="2614" spans="1:5" x14ac:dyDescent="0.25">
      <c r="A2614" s="2" t="s">
        <v>2695</v>
      </c>
      <c r="B2614" s="2" t="s">
        <v>1855</v>
      </c>
      <c r="C2614" s="2">
        <v>2</v>
      </c>
      <c r="D2614" t="str">
        <f t="shared" si="40"/>
        <v>CA-2015-140830_OFF-EN-10000461</v>
      </c>
      <c r="E2614" t="str">
        <f>IF(COUNTIF(data1!$D:$D,D2614)=0,"Missing in Data1","Present")</f>
        <v>Present</v>
      </c>
    </row>
    <row r="2615" spans="1:5" x14ac:dyDescent="0.25">
      <c r="A2615" s="2" t="s">
        <v>2695</v>
      </c>
      <c r="B2615" s="2" t="s">
        <v>4125</v>
      </c>
      <c r="C2615" s="2">
        <v>2</v>
      </c>
      <c r="D2615" t="str">
        <f t="shared" si="40"/>
        <v>CA-2015-140830_OFF-EN-10002831</v>
      </c>
      <c r="E2615" t="str">
        <f>IF(COUNTIF(data1!$D:$D,D2615)=0,"Missing in Data1","Present")</f>
        <v>Missing in Data1</v>
      </c>
    </row>
    <row r="2616" spans="1:5" x14ac:dyDescent="0.25">
      <c r="A2616" s="2" t="s">
        <v>6778</v>
      </c>
      <c r="B2616" s="2" t="s">
        <v>2689</v>
      </c>
      <c r="C2616" s="2">
        <v>2</v>
      </c>
      <c r="D2616" t="str">
        <f t="shared" si="40"/>
        <v>CA-2015-140921_FUR-FU-10003347</v>
      </c>
      <c r="E2616" t="str">
        <f>IF(COUNTIF(data1!$D:$D,D2616)=0,"Missing in Data1","Present")</f>
        <v>Missing in Data1</v>
      </c>
    </row>
    <row r="2617" spans="1:5" x14ac:dyDescent="0.25">
      <c r="A2617" s="2" t="s">
        <v>6778</v>
      </c>
      <c r="B2617" s="2" t="s">
        <v>5395</v>
      </c>
      <c r="C2617" s="2">
        <v>3</v>
      </c>
      <c r="D2617" t="str">
        <f t="shared" si="40"/>
        <v>CA-2015-140921_TEC-AC-10004901</v>
      </c>
      <c r="E2617" t="str">
        <f>IF(COUNTIF(data1!$D:$D,D2617)=0,"Missing in Data1","Present")</f>
        <v>Missing in Data1</v>
      </c>
    </row>
    <row r="2618" spans="1:5" x14ac:dyDescent="0.25">
      <c r="A2618" s="2" t="s">
        <v>2696</v>
      </c>
      <c r="B2618" s="2" t="s">
        <v>1225</v>
      </c>
      <c r="C2618" s="2">
        <v>9</v>
      </c>
      <c r="D2618" t="str">
        <f t="shared" si="40"/>
        <v>CA-2015-140984_OFF-BI-10002012</v>
      </c>
      <c r="E2618" t="str">
        <f>IF(COUNTIF(data1!$D:$D,D2618)=0,"Missing in Data1","Present")</f>
        <v>Present</v>
      </c>
    </row>
    <row r="2619" spans="1:5" x14ac:dyDescent="0.25">
      <c r="A2619" s="2" t="s">
        <v>2696</v>
      </c>
      <c r="B2619" s="2" t="s">
        <v>254</v>
      </c>
      <c r="C2619" s="2">
        <v>6</v>
      </c>
      <c r="D2619" t="str">
        <f t="shared" si="40"/>
        <v>CA-2015-140984_OFF-ST-10000585</v>
      </c>
      <c r="E2619" t="str">
        <f>IF(COUNTIF(data1!$D:$D,D2619)=0,"Missing in Data1","Present")</f>
        <v>Present</v>
      </c>
    </row>
    <row r="2620" spans="1:5" x14ac:dyDescent="0.25">
      <c r="A2620" s="2" t="s">
        <v>2696</v>
      </c>
      <c r="B2620" s="2" t="s">
        <v>759</v>
      </c>
      <c r="C2620" s="2">
        <v>2</v>
      </c>
      <c r="D2620" t="str">
        <f t="shared" si="40"/>
        <v>CA-2015-140984_TEC-CO-10001571</v>
      </c>
      <c r="E2620" t="str">
        <f>IF(COUNTIF(data1!$D:$D,D2620)=0,"Missing in Data1","Present")</f>
        <v>Present</v>
      </c>
    </row>
    <row r="2621" spans="1:5" x14ac:dyDescent="0.25">
      <c r="A2621" s="2" t="s">
        <v>2697</v>
      </c>
      <c r="B2621" s="2" t="s">
        <v>125</v>
      </c>
      <c r="C2621" s="2">
        <v>4</v>
      </c>
      <c r="D2621" t="str">
        <f t="shared" si="40"/>
        <v>CA-2015-141012_FUR-FU-10003192</v>
      </c>
      <c r="E2621" t="str">
        <f>IF(COUNTIF(data1!$D:$D,D2621)=0,"Missing in Data1","Present")</f>
        <v>Present</v>
      </c>
    </row>
    <row r="2622" spans="1:5" x14ac:dyDescent="0.25">
      <c r="A2622" s="2" t="s">
        <v>2697</v>
      </c>
      <c r="B2622" s="2" t="s">
        <v>2698</v>
      </c>
      <c r="C2622" s="2">
        <v>3</v>
      </c>
      <c r="D2622" t="str">
        <f t="shared" si="40"/>
        <v>CA-2015-141012_TEC-PH-10004522</v>
      </c>
      <c r="E2622" t="str">
        <f>IF(COUNTIF(data1!$D:$D,D2622)=0,"Missing in Data1","Present")</f>
        <v>Present</v>
      </c>
    </row>
    <row r="2623" spans="1:5" x14ac:dyDescent="0.25">
      <c r="A2623" s="2" t="s">
        <v>2699</v>
      </c>
      <c r="B2623" s="2" t="s">
        <v>1094</v>
      </c>
      <c r="C2623" s="2">
        <v>4</v>
      </c>
      <c r="D2623" t="str">
        <f t="shared" si="40"/>
        <v>CA-2015-141040_OFF-PA-10002245</v>
      </c>
      <c r="E2623" t="str">
        <f>IF(COUNTIF(data1!$D:$D,D2623)=0,"Missing in Data1","Present")</f>
        <v>Present</v>
      </c>
    </row>
    <row r="2624" spans="1:5" x14ac:dyDescent="0.25">
      <c r="A2624" s="2" t="s">
        <v>2699</v>
      </c>
      <c r="B2624" s="2" t="s">
        <v>1169</v>
      </c>
      <c r="C2624" s="2">
        <v>4</v>
      </c>
      <c r="D2624" t="str">
        <f t="shared" si="40"/>
        <v>CA-2015-141040_TEC-PH-10001835</v>
      </c>
      <c r="E2624" t="str">
        <f>IF(COUNTIF(data1!$D:$D,D2624)=0,"Missing in Data1","Present")</f>
        <v>Present</v>
      </c>
    </row>
    <row r="2625" spans="1:5" x14ac:dyDescent="0.25">
      <c r="A2625" s="2" t="s">
        <v>2700</v>
      </c>
      <c r="B2625" s="2" t="s">
        <v>161</v>
      </c>
      <c r="C2625" s="2">
        <v>3</v>
      </c>
      <c r="D2625" t="str">
        <f t="shared" si="40"/>
        <v>CA-2015-141145_TEC-AC-10001465</v>
      </c>
      <c r="E2625" t="str">
        <f>IF(COUNTIF(data1!$D:$D,D2625)=0,"Missing in Data1","Present")</f>
        <v>Present</v>
      </c>
    </row>
    <row r="2626" spans="1:5" x14ac:dyDescent="0.25">
      <c r="A2626" s="2" t="s">
        <v>2701</v>
      </c>
      <c r="B2626" s="2" t="s">
        <v>437</v>
      </c>
      <c r="C2626" s="2">
        <v>9</v>
      </c>
      <c r="D2626" t="str">
        <f t="shared" si="40"/>
        <v>CA-2015-141243_FUR-BO-10003272</v>
      </c>
      <c r="E2626" t="str">
        <f>IF(COUNTIF(data1!$D:$D,D2626)=0,"Missing in Data1","Present")</f>
        <v>Present</v>
      </c>
    </row>
    <row r="2627" spans="1:5" x14ac:dyDescent="0.25">
      <c r="A2627" s="2" t="s">
        <v>2701</v>
      </c>
      <c r="B2627" s="2" t="s">
        <v>2156</v>
      </c>
      <c r="C2627" s="2">
        <v>3</v>
      </c>
      <c r="D2627" t="str">
        <f t="shared" ref="D2627:D2690" si="41">A2627&amp;"_"&amp;B2627</f>
        <v>CA-2015-141243_OFF-AR-10001246</v>
      </c>
      <c r="E2627" t="str">
        <f>IF(COUNTIF(data1!$D:$D,D2627)=0,"Missing in Data1","Present")</f>
        <v>Present</v>
      </c>
    </row>
    <row r="2628" spans="1:5" x14ac:dyDescent="0.25">
      <c r="A2628" s="2" t="s">
        <v>2701</v>
      </c>
      <c r="B2628" s="2" t="s">
        <v>1476</v>
      </c>
      <c r="C2628" s="2">
        <v>5</v>
      </c>
      <c r="D2628" t="str">
        <f t="shared" si="41"/>
        <v>CA-2015-141243_TEC-AC-10003198</v>
      </c>
      <c r="E2628" t="str">
        <f>IF(COUNTIF(data1!$D:$D,D2628)=0,"Missing in Data1","Present")</f>
        <v>Present</v>
      </c>
    </row>
    <row r="2629" spans="1:5" x14ac:dyDescent="0.25">
      <c r="A2629" s="2" t="s">
        <v>2702</v>
      </c>
      <c r="B2629" s="2" t="s">
        <v>1674</v>
      </c>
      <c r="C2629" s="2">
        <v>4</v>
      </c>
      <c r="D2629" t="str">
        <f t="shared" si="41"/>
        <v>CA-2015-141250_FUR-CH-10004875</v>
      </c>
      <c r="E2629" t="str">
        <f>IF(COUNTIF(data1!$D:$D,D2629)=0,"Missing in Data1","Present")</f>
        <v>Present</v>
      </c>
    </row>
    <row r="2630" spans="1:5" x14ac:dyDescent="0.25">
      <c r="A2630" s="2" t="s">
        <v>2702</v>
      </c>
      <c r="B2630" s="2" t="s">
        <v>2413</v>
      </c>
      <c r="C2630" s="2">
        <v>1</v>
      </c>
      <c r="D2630" t="str">
        <f t="shared" si="41"/>
        <v>CA-2015-141250_FUR-TA-10002855</v>
      </c>
      <c r="E2630" t="str">
        <f>IF(COUNTIF(data1!$D:$D,D2630)=0,"Missing in Data1","Present")</f>
        <v>Present</v>
      </c>
    </row>
    <row r="2631" spans="1:5" x14ac:dyDescent="0.25">
      <c r="A2631" s="2" t="s">
        <v>2703</v>
      </c>
      <c r="B2631" s="2" t="s">
        <v>2704</v>
      </c>
      <c r="C2631" s="2">
        <v>2</v>
      </c>
      <c r="D2631" t="str">
        <f t="shared" si="41"/>
        <v>CA-2015-141327_FUR-FU-10000576</v>
      </c>
      <c r="E2631" t="str">
        <f>IF(COUNTIF(data1!$D:$D,D2631)=0,"Missing in Data1","Present")</f>
        <v>Present</v>
      </c>
    </row>
    <row r="2632" spans="1:5" x14ac:dyDescent="0.25">
      <c r="A2632" s="2" t="s">
        <v>2703</v>
      </c>
      <c r="B2632" s="2" t="s">
        <v>1636</v>
      </c>
      <c r="C2632" s="2">
        <v>7</v>
      </c>
      <c r="D2632" t="str">
        <f t="shared" si="41"/>
        <v>CA-2015-141327_OFF-BI-10000546</v>
      </c>
      <c r="E2632" t="str">
        <f>IF(COUNTIF(data1!$D:$D,D2632)=0,"Missing in Data1","Present")</f>
        <v>Present</v>
      </c>
    </row>
    <row r="2633" spans="1:5" x14ac:dyDescent="0.25">
      <c r="A2633" s="2" t="s">
        <v>2705</v>
      </c>
      <c r="B2633" s="2" t="s">
        <v>2499</v>
      </c>
      <c r="C2633" s="2">
        <v>6</v>
      </c>
      <c r="D2633" t="str">
        <f t="shared" si="41"/>
        <v>CA-2015-141565_OFF-BI-10000545</v>
      </c>
      <c r="E2633" t="str">
        <f>IF(COUNTIF(data1!$D:$D,D2633)=0,"Missing in Data1","Present")</f>
        <v>Present</v>
      </c>
    </row>
    <row r="2634" spans="1:5" x14ac:dyDescent="0.25">
      <c r="A2634" s="2" t="s">
        <v>2705</v>
      </c>
      <c r="B2634" s="2" t="s">
        <v>374</v>
      </c>
      <c r="C2634" s="2">
        <v>4</v>
      </c>
      <c r="D2634" t="str">
        <f t="shared" si="41"/>
        <v>CA-2015-141565_OFF-ST-10001522</v>
      </c>
      <c r="E2634" t="str">
        <f>IF(COUNTIF(data1!$D:$D,D2634)=0,"Missing in Data1","Present")</f>
        <v>Present</v>
      </c>
    </row>
    <row r="2635" spans="1:5" x14ac:dyDescent="0.25">
      <c r="A2635" s="2" t="s">
        <v>2706</v>
      </c>
      <c r="B2635" s="2" t="s">
        <v>2707</v>
      </c>
      <c r="C2635" s="2">
        <v>2</v>
      </c>
      <c r="D2635" t="str">
        <f t="shared" si="41"/>
        <v>CA-2015-141593_FUR-TA-10002622</v>
      </c>
      <c r="E2635" t="str">
        <f>IF(COUNTIF(data1!$D:$D,D2635)=0,"Missing in Data1","Present")</f>
        <v>Present</v>
      </c>
    </row>
    <row r="2636" spans="1:5" x14ac:dyDescent="0.25">
      <c r="A2636" s="2" t="s">
        <v>2706</v>
      </c>
      <c r="B2636" s="2" t="s">
        <v>974</v>
      </c>
      <c r="C2636" s="2">
        <v>3</v>
      </c>
      <c r="D2636" t="str">
        <f t="shared" si="41"/>
        <v>CA-2015-141593_OFF-BI-10000948</v>
      </c>
      <c r="E2636" t="str">
        <f>IF(COUNTIF(data1!$D:$D,D2636)=0,"Missing in Data1","Present")</f>
        <v>Present</v>
      </c>
    </row>
    <row r="2637" spans="1:5" x14ac:dyDescent="0.25">
      <c r="A2637" s="2" t="s">
        <v>2706</v>
      </c>
      <c r="B2637" s="2" t="s">
        <v>2708</v>
      </c>
      <c r="C2637" s="2">
        <v>2</v>
      </c>
      <c r="D2637" t="str">
        <f t="shared" si="41"/>
        <v>CA-2015-141593_OFF-BI-10001153</v>
      </c>
      <c r="E2637" t="str">
        <f>IF(COUNTIF(data1!$D:$D,D2637)=0,"Missing in Data1","Present")</f>
        <v>Present</v>
      </c>
    </row>
    <row r="2638" spans="1:5" x14ac:dyDescent="0.25">
      <c r="A2638" s="2" t="s">
        <v>2706</v>
      </c>
      <c r="B2638" s="2" t="s">
        <v>177</v>
      </c>
      <c r="C2638" s="2">
        <v>1</v>
      </c>
      <c r="D2638" t="str">
        <f t="shared" si="41"/>
        <v>CA-2015-141593_OFF-PA-10004983</v>
      </c>
      <c r="E2638" t="str">
        <f>IF(COUNTIF(data1!$D:$D,D2638)=0,"Missing in Data1","Present")</f>
        <v>Missing in Data1</v>
      </c>
    </row>
    <row r="2639" spans="1:5" x14ac:dyDescent="0.25">
      <c r="A2639" s="2" t="s">
        <v>2709</v>
      </c>
      <c r="B2639" s="2" t="s">
        <v>2710</v>
      </c>
      <c r="C2639" s="2">
        <v>2</v>
      </c>
      <c r="D2639" t="str">
        <f t="shared" si="41"/>
        <v>CA-2015-141740_FUR-CH-10001545</v>
      </c>
      <c r="E2639" t="str">
        <f>IF(COUNTIF(data1!$D:$D,D2639)=0,"Missing in Data1","Present")</f>
        <v>Present</v>
      </c>
    </row>
    <row r="2640" spans="1:5" x14ac:dyDescent="0.25">
      <c r="A2640" s="2" t="s">
        <v>2711</v>
      </c>
      <c r="B2640" s="2" t="s">
        <v>2712</v>
      </c>
      <c r="C2640" s="2">
        <v>2</v>
      </c>
      <c r="D2640" t="str">
        <f t="shared" si="41"/>
        <v>CA-2015-141754_OFF-LA-10004093</v>
      </c>
      <c r="E2640" t="str">
        <f>IF(COUNTIF(data1!$D:$D,D2640)=0,"Missing in Data1","Present")</f>
        <v>Present</v>
      </c>
    </row>
    <row r="2641" spans="1:5" x14ac:dyDescent="0.25">
      <c r="A2641" s="2" t="s">
        <v>2713</v>
      </c>
      <c r="B2641" s="2" t="s">
        <v>21</v>
      </c>
      <c r="C2641" s="2">
        <v>3</v>
      </c>
      <c r="D2641" t="str">
        <f t="shared" si="41"/>
        <v>CA-2015-141768_FUR-FU-10002268</v>
      </c>
      <c r="E2641" t="str">
        <f>IF(COUNTIF(data1!$D:$D,D2641)=0,"Missing in Data1","Present")</f>
        <v>Present</v>
      </c>
    </row>
    <row r="2642" spans="1:5" x14ac:dyDescent="0.25">
      <c r="A2642" s="2" t="s">
        <v>2714</v>
      </c>
      <c r="B2642" s="2" t="s">
        <v>1815</v>
      </c>
      <c r="C2642" s="2">
        <v>7</v>
      </c>
      <c r="D2642" t="str">
        <f t="shared" si="41"/>
        <v>CA-2015-141810_OFF-BI-10001524</v>
      </c>
      <c r="E2642" t="str">
        <f>IF(COUNTIF(data1!$D:$D,D2642)=0,"Missing in Data1","Present")</f>
        <v>Present</v>
      </c>
    </row>
    <row r="2643" spans="1:5" x14ac:dyDescent="0.25">
      <c r="A2643" s="2" t="s">
        <v>2714</v>
      </c>
      <c r="B2643" s="2" t="s">
        <v>2715</v>
      </c>
      <c r="C2643" s="2">
        <v>2</v>
      </c>
      <c r="D2643" t="str">
        <f t="shared" si="41"/>
        <v>CA-2015-141810_TEC-PH-10002200</v>
      </c>
      <c r="E2643" t="str">
        <f>IF(COUNTIF(data1!$D:$D,D2643)=0,"Missing in Data1","Present")</f>
        <v>Present</v>
      </c>
    </row>
    <row r="2644" spans="1:5" x14ac:dyDescent="0.25">
      <c r="A2644" s="2" t="s">
        <v>2716</v>
      </c>
      <c r="B2644" s="2" t="s">
        <v>2006</v>
      </c>
      <c r="C2644" s="2">
        <v>3</v>
      </c>
      <c r="D2644" t="str">
        <f t="shared" si="41"/>
        <v>CA-2015-141936_OFF-BI-10002194</v>
      </c>
      <c r="E2644" t="str">
        <f>IF(COUNTIF(data1!$D:$D,D2644)=0,"Missing in Data1","Present")</f>
        <v>Present</v>
      </c>
    </row>
    <row r="2645" spans="1:5" x14ac:dyDescent="0.25">
      <c r="A2645" s="2" t="s">
        <v>2717</v>
      </c>
      <c r="B2645" s="2" t="s">
        <v>2718</v>
      </c>
      <c r="C2645" s="2">
        <v>3</v>
      </c>
      <c r="D2645" t="str">
        <f t="shared" si="41"/>
        <v>CA-2015-142027_FUR-TA-10002774</v>
      </c>
      <c r="E2645" t="str">
        <f>IF(COUNTIF(data1!$D:$D,D2645)=0,"Missing in Data1","Present")</f>
        <v>Present</v>
      </c>
    </row>
    <row r="2646" spans="1:5" x14ac:dyDescent="0.25">
      <c r="A2646" s="2" t="s">
        <v>2719</v>
      </c>
      <c r="B2646" s="2" t="s">
        <v>1655</v>
      </c>
      <c r="C2646" s="2">
        <v>5</v>
      </c>
      <c r="D2646" t="str">
        <f t="shared" si="41"/>
        <v>CA-2015-142041_OFF-BI-10004187</v>
      </c>
      <c r="E2646" t="str">
        <f>IF(COUNTIF(data1!$D:$D,D2646)=0,"Missing in Data1","Present")</f>
        <v>Present</v>
      </c>
    </row>
    <row r="2647" spans="1:5" x14ac:dyDescent="0.25">
      <c r="A2647" s="2" t="s">
        <v>2721</v>
      </c>
      <c r="B2647" s="2" t="s">
        <v>957</v>
      </c>
      <c r="C2647" s="2">
        <v>4</v>
      </c>
      <c r="D2647" t="str">
        <f t="shared" si="41"/>
        <v>CA-2015-142139_OFF-PA-10003883</v>
      </c>
      <c r="E2647" t="str">
        <f>IF(COUNTIF(data1!$D:$D,D2647)=0,"Missing in Data1","Present")</f>
        <v>Present</v>
      </c>
    </row>
    <row r="2648" spans="1:5" x14ac:dyDescent="0.25">
      <c r="A2648" s="2" t="s">
        <v>2722</v>
      </c>
      <c r="B2648" s="2" t="s">
        <v>1476</v>
      </c>
      <c r="C2648" s="2">
        <v>9</v>
      </c>
      <c r="D2648" t="str">
        <f t="shared" si="41"/>
        <v>CA-2015-142202_TEC-AC-10003198</v>
      </c>
      <c r="E2648" t="str">
        <f>IF(COUNTIF(data1!$D:$D,D2648)=0,"Missing in Data1","Present")</f>
        <v>Present</v>
      </c>
    </row>
    <row r="2649" spans="1:5" x14ac:dyDescent="0.25">
      <c r="A2649" s="2" t="s">
        <v>2723</v>
      </c>
      <c r="B2649" s="2" t="s">
        <v>246</v>
      </c>
      <c r="C2649" s="2">
        <v>8</v>
      </c>
      <c r="D2649" t="str">
        <f t="shared" si="41"/>
        <v>CA-2015-142237_FUR-CH-10003833</v>
      </c>
      <c r="E2649" t="str">
        <f>IF(COUNTIF(data1!$D:$D,D2649)=0,"Missing in Data1","Present")</f>
        <v>Present</v>
      </c>
    </row>
    <row r="2650" spans="1:5" x14ac:dyDescent="0.25">
      <c r="A2650" s="2" t="s">
        <v>2723</v>
      </c>
      <c r="B2650" s="2" t="s">
        <v>2724</v>
      </c>
      <c r="C2650" s="2">
        <v>6</v>
      </c>
      <c r="D2650" t="str">
        <f t="shared" si="41"/>
        <v>CA-2015-142237_FUR-FU-10003142</v>
      </c>
      <c r="E2650" t="str">
        <f>IF(COUNTIF(data1!$D:$D,D2650)=0,"Missing in Data1","Present")</f>
        <v>Present</v>
      </c>
    </row>
    <row r="2651" spans="1:5" x14ac:dyDescent="0.25">
      <c r="A2651" s="2" t="s">
        <v>2723</v>
      </c>
      <c r="B2651" s="2" t="s">
        <v>2725</v>
      </c>
      <c r="C2651" s="2">
        <v>7</v>
      </c>
      <c r="D2651" t="str">
        <f t="shared" si="41"/>
        <v>CA-2015-142237_FUR-FU-10004848</v>
      </c>
      <c r="E2651" t="str">
        <f>IF(COUNTIF(data1!$D:$D,D2651)=0,"Missing in Data1","Present")</f>
        <v>Present</v>
      </c>
    </row>
    <row r="2652" spans="1:5" x14ac:dyDescent="0.25">
      <c r="A2652" s="2" t="s">
        <v>2723</v>
      </c>
      <c r="B2652" s="2" t="s">
        <v>1596</v>
      </c>
      <c r="C2652" s="2">
        <v>5</v>
      </c>
      <c r="D2652" t="str">
        <f t="shared" si="41"/>
        <v>CA-2015-142237_OFF-AR-10003732</v>
      </c>
      <c r="E2652" t="str">
        <f>IF(COUNTIF(data1!$D:$D,D2652)=0,"Missing in Data1","Present")</f>
        <v>Present</v>
      </c>
    </row>
    <row r="2653" spans="1:5" x14ac:dyDescent="0.25">
      <c r="A2653" s="2" t="s">
        <v>2723</v>
      </c>
      <c r="B2653" s="2" t="s">
        <v>1203</v>
      </c>
      <c r="C2653" s="2">
        <v>4</v>
      </c>
      <c r="D2653" t="str">
        <f t="shared" si="41"/>
        <v>CA-2015-142237_OFF-BI-10003669</v>
      </c>
      <c r="E2653" t="str">
        <f>IF(COUNTIF(data1!$D:$D,D2653)=0,"Missing in Data1","Present")</f>
        <v>Present</v>
      </c>
    </row>
    <row r="2654" spans="1:5" x14ac:dyDescent="0.25">
      <c r="A2654" s="2" t="s">
        <v>2723</v>
      </c>
      <c r="B2654" s="2" t="s">
        <v>2726</v>
      </c>
      <c r="C2654" s="2">
        <v>3</v>
      </c>
      <c r="D2654" t="str">
        <f t="shared" si="41"/>
        <v>CA-2015-142237_OFF-BI-10004022</v>
      </c>
      <c r="E2654" t="str">
        <f>IF(COUNTIF(data1!$D:$D,D2654)=0,"Missing in Data1","Present")</f>
        <v>Present</v>
      </c>
    </row>
    <row r="2655" spans="1:5" x14ac:dyDescent="0.25">
      <c r="A2655" s="2" t="s">
        <v>2727</v>
      </c>
      <c r="B2655" s="2" t="s">
        <v>1039</v>
      </c>
      <c r="C2655" s="2">
        <v>7</v>
      </c>
      <c r="D2655" t="str">
        <f t="shared" si="41"/>
        <v>CA-2015-142377_OFF-PA-10001970</v>
      </c>
      <c r="E2655" t="str">
        <f>IF(COUNTIF(data1!$D:$D,D2655)=0,"Missing in Data1","Present")</f>
        <v>Present</v>
      </c>
    </row>
    <row r="2656" spans="1:5" x14ac:dyDescent="0.25">
      <c r="A2656" s="2" t="s">
        <v>2728</v>
      </c>
      <c r="B2656" s="2" t="s">
        <v>2729</v>
      </c>
      <c r="C2656" s="2">
        <v>3</v>
      </c>
      <c r="D2656" t="str">
        <f t="shared" si="41"/>
        <v>CA-2015-142419_OFF-PA-10001763</v>
      </c>
      <c r="E2656" t="str">
        <f>IF(COUNTIF(data1!$D:$D,D2656)=0,"Missing in Data1","Present")</f>
        <v>Present</v>
      </c>
    </row>
    <row r="2657" spans="1:5" x14ac:dyDescent="0.25">
      <c r="A2657" s="2" t="s">
        <v>2730</v>
      </c>
      <c r="B2657" s="2" t="s">
        <v>592</v>
      </c>
      <c r="C2657" s="2">
        <v>3</v>
      </c>
      <c r="D2657" t="str">
        <f t="shared" si="41"/>
        <v>CA-2015-142433_OFF-PA-10002377</v>
      </c>
      <c r="E2657" t="str">
        <f>IF(COUNTIF(data1!$D:$D,D2657)=0,"Missing in Data1","Present")</f>
        <v>Present</v>
      </c>
    </row>
    <row r="2658" spans="1:5" x14ac:dyDescent="0.25">
      <c r="A2658" s="2" t="s">
        <v>2731</v>
      </c>
      <c r="B2658" s="2" t="s">
        <v>278</v>
      </c>
      <c r="C2658" s="2">
        <v>7</v>
      </c>
      <c r="D2658" t="str">
        <f t="shared" si="41"/>
        <v>CA-2015-142454_FUR-FU-10004018</v>
      </c>
      <c r="E2658" t="str">
        <f>IF(COUNTIF(data1!$D:$D,D2658)=0,"Missing in Data1","Present")</f>
        <v>Present</v>
      </c>
    </row>
    <row r="2659" spans="1:5" x14ac:dyDescent="0.25">
      <c r="A2659" s="2" t="s">
        <v>2731</v>
      </c>
      <c r="B2659" s="2" t="s">
        <v>2732</v>
      </c>
      <c r="C2659" s="2">
        <v>3</v>
      </c>
      <c r="D2659" t="str">
        <f t="shared" si="41"/>
        <v>CA-2015-142454_OFF-ST-10003638</v>
      </c>
      <c r="E2659" t="str">
        <f>IF(COUNTIF(data1!$D:$D,D2659)=0,"Missing in Data1","Present")</f>
        <v>Present</v>
      </c>
    </row>
    <row r="2660" spans="1:5" x14ac:dyDescent="0.25">
      <c r="A2660" s="2" t="s">
        <v>2733</v>
      </c>
      <c r="B2660" s="2" t="s">
        <v>2734</v>
      </c>
      <c r="C2660" s="2">
        <v>6</v>
      </c>
      <c r="D2660" t="str">
        <f t="shared" si="41"/>
        <v>CA-2015-142475_OFF-BI-10003718</v>
      </c>
      <c r="E2660" t="str">
        <f>IF(COUNTIF(data1!$D:$D,D2660)=0,"Missing in Data1","Present")</f>
        <v>Present</v>
      </c>
    </row>
    <row r="2661" spans="1:5" x14ac:dyDescent="0.25">
      <c r="A2661" s="2" t="s">
        <v>2735</v>
      </c>
      <c r="B2661" s="2" t="s">
        <v>4140</v>
      </c>
      <c r="C2661" s="2">
        <v>2</v>
      </c>
      <c r="D2661" t="str">
        <f t="shared" si="41"/>
        <v>CA-2015-142601_OFF-PA-10000483</v>
      </c>
      <c r="E2661" t="str">
        <f>IF(COUNTIF(data1!$D:$D,D2661)=0,"Missing in Data1","Present")</f>
        <v>Missing in Data1</v>
      </c>
    </row>
    <row r="2662" spans="1:5" x14ac:dyDescent="0.25">
      <c r="A2662" s="2" t="s">
        <v>2735</v>
      </c>
      <c r="B2662" s="2" t="s">
        <v>2078</v>
      </c>
      <c r="C2662" s="2">
        <v>7</v>
      </c>
      <c r="D2662" t="str">
        <f t="shared" si="41"/>
        <v>CA-2015-142601_OFF-ST-10002756</v>
      </c>
      <c r="E2662" t="str">
        <f>IF(COUNTIF(data1!$D:$D,D2662)=0,"Missing in Data1","Present")</f>
        <v>Present</v>
      </c>
    </row>
    <row r="2663" spans="1:5" x14ac:dyDescent="0.25">
      <c r="A2663" s="2" t="s">
        <v>2736</v>
      </c>
      <c r="B2663" s="2" t="s">
        <v>70</v>
      </c>
      <c r="C2663" s="2">
        <v>1</v>
      </c>
      <c r="D2663" t="str">
        <f t="shared" si="41"/>
        <v>CA-2015-142692_OFF-BI-10004140</v>
      </c>
      <c r="E2663" t="str">
        <f>IF(COUNTIF(data1!$D:$D,D2663)=0,"Missing in Data1","Present")</f>
        <v>Present</v>
      </c>
    </row>
    <row r="2664" spans="1:5" x14ac:dyDescent="0.25">
      <c r="A2664" s="2" t="s">
        <v>2737</v>
      </c>
      <c r="B2664" s="2" t="s">
        <v>2738</v>
      </c>
      <c r="C2664" s="2">
        <v>2</v>
      </c>
      <c r="D2664" t="str">
        <f t="shared" si="41"/>
        <v>CA-2015-142734_FUR-CH-10003968</v>
      </c>
      <c r="E2664" t="str">
        <f>IF(COUNTIF(data1!$D:$D,D2664)=0,"Missing in Data1","Present")</f>
        <v>Present</v>
      </c>
    </row>
    <row r="2665" spans="1:5" x14ac:dyDescent="0.25">
      <c r="A2665" s="2" t="s">
        <v>2739</v>
      </c>
      <c r="B2665" s="2" t="s">
        <v>1231</v>
      </c>
      <c r="C2665" s="2">
        <v>2</v>
      </c>
      <c r="D2665" t="str">
        <f t="shared" si="41"/>
        <v>CA-2015-142755_OFF-EN-10004459</v>
      </c>
      <c r="E2665" t="str">
        <f>IF(COUNTIF(data1!$D:$D,D2665)=0,"Missing in Data1","Present")</f>
        <v>Present</v>
      </c>
    </row>
    <row r="2666" spans="1:5" x14ac:dyDescent="0.25">
      <c r="A2666" s="2" t="s">
        <v>2739</v>
      </c>
      <c r="B2666" s="2" t="s">
        <v>1349</v>
      </c>
      <c r="C2666" s="2">
        <v>2</v>
      </c>
      <c r="D2666" t="str">
        <f t="shared" si="41"/>
        <v>CA-2015-142755_OFF-PA-10000141</v>
      </c>
      <c r="E2666" t="str">
        <f>IF(COUNTIF(data1!$D:$D,D2666)=0,"Missing in Data1","Present")</f>
        <v>Present</v>
      </c>
    </row>
    <row r="2667" spans="1:5" x14ac:dyDescent="0.25">
      <c r="A2667" s="2" t="s">
        <v>2739</v>
      </c>
      <c r="B2667" s="2" t="s">
        <v>1039</v>
      </c>
      <c r="C2667" s="2">
        <v>5</v>
      </c>
      <c r="D2667" t="str">
        <f t="shared" si="41"/>
        <v>CA-2015-142755_OFF-PA-10001970</v>
      </c>
      <c r="E2667" t="str">
        <f>IF(COUNTIF(data1!$D:$D,D2667)=0,"Missing in Data1","Present")</f>
        <v>Present</v>
      </c>
    </row>
    <row r="2668" spans="1:5" x14ac:dyDescent="0.25">
      <c r="A2668" s="2" t="s">
        <v>2739</v>
      </c>
      <c r="B2668" s="2" t="s">
        <v>1053</v>
      </c>
      <c r="C2668" s="2">
        <v>5</v>
      </c>
      <c r="D2668" t="str">
        <f t="shared" si="41"/>
        <v>CA-2015-142755_TEC-AC-10002049</v>
      </c>
      <c r="E2668" t="str">
        <f>IF(COUNTIF(data1!$D:$D,D2668)=0,"Missing in Data1","Present")</f>
        <v>Present</v>
      </c>
    </row>
    <row r="2669" spans="1:5" x14ac:dyDescent="0.25">
      <c r="A2669" s="2" t="s">
        <v>2740</v>
      </c>
      <c r="B2669" s="2" t="s">
        <v>1212</v>
      </c>
      <c r="C2669" s="2">
        <v>4</v>
      </c>
      <c r="D2669" t="str">
        <f t="shared" si="41"/>
        <v>CA-2015-142930_OFF-PA-10003395</v>
      </c>
      <c r="E2669" t="str">
        <f>IF(COUNTIF(data1!$D:$D,D2669)=0,"Missing in Data1","Present")</f>
        <v>Present</v>
      </c>
    </row>
    <row r="2670" spans="1:5" x14ac:dyDescent="0.25">
      <c r="A2670" s="2" t="s">
        <v>2741</v>
      </c>
      <c r="B2670" s="2" t="s">
        <v>2183</v>
      </c>
      <c r="C2670" s="2">
        <v>2</v>
      </c>
      <c r="D2670" t="str">
        <f t="shared" si="41"/>
        <v>CA-2015-142937_OFF-AR-10003582</v>
      </c>
      <c r="E2670" t="str">
        <f>IF(COUNTIF(data1!$D:$D,D2670)=0,"Missing in Data1","Present")</f>
        <v>Present</v>
      </c>
    </row>
    <row r="2671" spans="1:5" x14ac:dyDescent="0.25">
      <c r="A2671" s="2" t="s">
        <v>2742</v>
      </c>
      <c r="B2671" s="2" t="s">
        <v>1698</v>
      </c>
      <c r="C2671" s="2">
        <v>7</v>
      </c>
      <c r="D2671" t="str">
        <f t="shared" si="41"/>
        <v>CA-2015-142944_FUR-FU-10000308</v>
      </c>
      <c r="E2671" t="str">
        <f>IF(COUNTIF(data1!$D:$D,D2671)=0,"Missing in Data1","Present")</f>
        <v>Present</v>
      </c>
    </row>
    <row r="2672" spans="1:5" x14ac:dyDescent="0.25">
      <c r="A2672" s="2" t="s">
        <v>2742</v>
      </c>
      <c r="B2672" s="2" t="s">
        <v>2743</v>
      </c>
      <c r="C2672" s="2">
        <v>2</v>
      </c>
      <c r="D2672" t="str">
        <f t="shared" si="41"/>
        <v>CA-2015-142944_TEC-CO-10003763</v>
      </c>
      <c r="E2672" t="str">
        <f>IF(COUNTIF(data1!$D:$D,D2672)=0,"Missing in Data1","Present")</f>
        <v>Present</v>
      </c>
    </row>
    <row r="2673" spans="1:5" x14ac:dyDescent="0.25">
      <c r="A2673" s="2" t="s">
        <v>2744</v>
      </c>
      <c r="B2673" s="2" t="s">
        <v>195</v>
      </c>
      <c r="C2673" s="2">
        <v>2</v>
      </c>
      <c r="D2673" t="str">
        <f t="shared" si="41"/>
        <v>CA-2015-142993_OFF-ST-10000934</v>
      </c>
      <c r="E2673" t="str">
        <f>IF(COUNTIF(data1!$D:$D,D2673)=0,"Missing in Data1","Present")</f>
        <v>Present</v>
      </c>
    </row>
    <row r="2674" spans="1:5" x14ac:dyDescent="0.25">
      <c r="A2674" s="2" t="s">
        <v>2744</v>
      </c>
      <c r="B2674" s="2" t="s">
        <v>311</v>
      </c>
      <c r="C2674" s="2">
        <v>2</v>
      </c>
      <c r="D2674" t="str">
        <f t="shared" si="41"/>
        <v>CA-2015-142993_TEC-AC-10003038</v>
      </c>
      <c r="E2674" t="str">
        <f>IF(COUNTIF(data1!$D:$D,D2674)=0,"Missing in Data1","Present")</f>
        <v>Present</v>
      </c>
    </row>
    <row r="2675" spans="1:5" x14ac:dyDescent="0.25">
      <c r="A2675" s="2" t="s">
        <v>2745</v>
      </c>
      <c r="B2675" s="2" t="s">
        <v>2746</v>
      </c>
      <c r="C2675" s="2">
        <v>2</v>
      </c>
      <c r="D2675" t="str">
        <f t="shared" si="41"/>
        <v>CA-2015-143077_FUR-FU-10003535</v>
      </c>
      <c r="E2675" t="str">
        <f>IF(COUNTIF(data1!$D:$D,D2675)=0,"Missing in Data1","Present")</f>
        <v>Present</v>
      </c>
    </row>
    <row r="2676" spans="1:5" x14ac:dyDescent="0.25">
      <c r="A2676" s="2" t="s">
        <v>2745</v>
      </c>
      <c r="B2676" s="2" t="s">
        <v>2140</v>
      </c>
      <c r="C2676" s="2">
        <v>3</v>
      </c>
      <c r="D2676" t="str">
        <f t="shared" si="41"/>
        <v>CA-2015-143077_OFF-BI-10000088</v>
      </c>
      <c r="E2676" t="str">
        <f>IF(COUNTIF(data1!$D:$D,D2676)=0,"Missing in Data1","Present")</f>
        <v>Present</v>
      </c>
    </row>
    <row r="2677" spans="1:5" x14ac:dyDescent="0.25">
      <c r="A2677" s="2" t="s">
        <v>2747</v>
      </c>
      <c r="B2677" s="2" t="s">
        <v>2712</v>
      </c>
      <c r="C2677" s="2">
        <v>1</v>
      </c>
      <c r="D2677" t="str">
        <f t="shared" si="41"/>
        <v>CA-2015-143105_OFF-LA-10004093</v>
      </c>
      <c r="E2677" t="str">
        <f>IF(COUNTIF(data1!$D:$D,D2677)=0,"Missing in Data1","Present")</f>
        <v>Present</v>
      </c>
    </row>
    <row r="2678" spans="1:5" x14ac:dyDescent="0.25">
      <c r="A2678" s="2" t="s">
        <v>2747</v>
      </c>
      <c r="B2678" s="2" t="s">
        <v>2264</v>
      </c>
      <c r="C2678" s="2">
        <v>7</v>
      </c>
      <c r="D2678" t="str">
        <f t="shared" si="41"/>
        <v>CA-2015-143105_OFF-PA-10002254</v>
      </c>
      <c r="E2678" t="str">
        <f>IF(COUNTIF(data1!$D:$D,D2678)=0,"Missing in Data1","Present")</f>
        <v>Present</v>
      </c>
    </row>
    <row r="2679" spans="1:5" x14ac:dyDescent="0.25">
      <c r="A2679" s="2" t="s">
        <v>2747</v>
      </c>
      <c r="B2679" s="2" t="s">
        <v>2748</v>
      </c>
      <c r="C2679" s="2">
        <v>6</v>
      </c>
      <c r="D2679" t="str">
        <f t="shared" si="41"/>
        <v>CA-2015-143105_OFF-PA-10002713</v>
      </c>
      <c r="E2679" t="str">
        <f>IF(COUNTIF(data1!$D:$D,D2679)=0,"Missing in Data1","Present")</f>
        <v>Present</v>
      </c>
    </row>
    <row r="2680" spans="1:5" x14ac:dyDescent="0.25">
      <c r="A2680" s="2" t="s">
        <v>2747</v>
      </c>
      <c r="B2680" s="2" t="s">
        <v>1688</v>
      </c>
      <c r="C2680" s="2">
        <v>2</v>
      </c>
      <c r="D2680" t="str">
        <f t="shared" si="41"/>
        <v>CA-2015-143105_TEC-CO-10002095</v>
      </c>
      <c r="E2680" t="str">
        <f>IF(COUNTIF(data1!$D:$D,D2680)=0,"Missing in Data1","Present")</f>
        <v>Present</v>
      </c>
    </row>
    <row r="2681" spans="1:5" x14ac:dyDescent="0.25">
      <c r="A2681" s="2" t="s">
        <v>2749</v>
      </c>
      <c r="B2681" s="2" t="s">
        <v>976</v>
      </c>
      <c r="C2681" s="2">
        <v>6</v>
      </c>
      <c r="D2681" t="str">
        <f t="shared" si="41"/>
        <v>CA-2015-143119_FUR-CH-10001270</v>
      </c>
      <c r="E2681" t="str">
        <f>IF(COUNTIF(data1!$D:$D,D2681)=0,"Missing in Data1","Present")</f>
        <v>Present</v>
      </c>
    </row>
    <row r="2682" spans="1:5" x14ac:dyDescent="0.25">
      <c r="A2682" s="2" t="s">
        <v>2750</v>
      </c>
      <c r="B2682" s="2" t="s">
        <v>474</v>
      </c>
      <c r="C2682" s="2">
        <v>1</v>
      </c>
      <c r="D2682" t="str">
        <f t="shared" si="41"/>
        <v>CA-2015-143147_FUR-CH-10000863</v>
      </c>
      <c r="E2682" t="str">
        <f>IF(COUNTIF(data1!$D:$D,D2682)=0,"Missing in Data1","Present")</f>
        <v>Present</v>
      </c>
    </row>
    <row r="2683" spans="1:5" x14ac:dyDescent="0.25">
      <c r="A2683" s="2" t="s">
        <v>2750</v>
      </c>
      <c r="B2683" s="2" t="s">
        <v>1502</v>
      </c>
      <c r="C2683" s="2">
        <v>5</v>
      </c>
      <c r="D2683" t="str">
        <f t="shared" si="41"/>
        <v>CA-2015-143147_FUR-CH-10004754</v>
      </c>
      <c r="E2683" t="str">
        <f>IF(COUNTIF(data1!$D:$D,D2683)=0,"Missing in Data1","Present")</f>
        <v>Present</v>
      </c>
    </row>
    <row r="2684" spans="1:5" x14ac:dyDescent="0.25">
      <c r="A2684" s="2" t="s">
        <v>2750</v>
      </c>
      <c r="B2684" s="2" t="s">
        <v>690</v>
      </c>
      <c r="C2684" s="2">
        <v>2</v>
      </c>
      <c r="D2684" t="str">
        <f t="shared" si="41"/>
        <v>CA-2015-143147_TEC-MA-10004679</v>
      </c>
      <c r="E2684" t="str">
        <f>IF(COUNTIF(data1!$D:$D,D2684)=0,"Missing in Data1","Present")</f>
        <v>Present</v>
      </c>
    </row>
    <row r="2685" spans="1:5" x14ac:dyDescent="0.25">
      <c r="A2685" s="2" t="s">
        <v>6779</v>
      </c>
      <c r="B2685" s="2" t="s">
        <v>4861</v>
      </c>
      <c r="C2685" s="2">
        <v>4</v>
      </c>
      <c r="D2685" t="str">
        <f t="shared" si="41"/>
        <v>CA-2015-143238_TEC-AC-10003499</v>
      </c>
      <c r="E2685" t="str">
        <f>IF(COUNTIF(data1!$D:$D,D2685)=0,"Missing in Data1","Present")</f>
        <v>Missing in Data1</v>
      </c>
    </row>
    <row r="2686" spans="1:5" x14ac:dyDescent="0.25">
      <c r="A2686" s="2" t="s">
        <v>2751</v>
      </c>
      <c r="B2686" s="2" t="s">
        <v>1760</v>
      </c>
      <c r="C2686" s="2">
        <v>6</v>
      </c>
      <c r="D2686" t="str">
        <f t="shared" si="41"/>
        <v>CA-2015-143364_FUR-BO-10001608</v>
      </c>
      <c r="E2686" t="str">
        <f>IF(COUNTIF(data1!$D:$D,D2686)=0,"Missing in Data1","Present")</f>
        <v>Present</v>
      </c>
    </row>
    <row r="2687" spans="1:5" x14ac:dyDescent="0.25">
      <c r="A2687" s="2" t="s">
        <v>2751</v>
      </c>
      <c r="B2687" s="2" t="s">
        <v>2752</v>
      </c>
      <c r="C2687" s="2">
        <v>4</v>
      </c>
      <c r="D2687" t="str">
        <f t="shared" si="41"/>
        <v>CA-2015-143364_OFF-PA-10001846</v>
      </c>
      <c r="E2687" t="str">
        <f>IF(COUNTIF(data1!$D:$D,D2687)=0,"Missing in Data1","Present")</f>
        <v>Present</v>
      </c>
    </row>
    <row r="2688" spans="1:5" x14ac:dyDescent="0.25">
      <c r="A2688" s="2" t="s">
        <v>2751</v>
      </c>
      <c r="B2688" s="2" t="s">
        <v>444</v>
      </c>
      <c r="C2688" s="2">
        <v>3</v>
      </c>
      <c r="D2688" t="str">
        <f t="shared" si="41"/>
        <v>CA-2015-143364_OFF-ST-10002743</v>
      </c>
      <c r="E2688" t="str">
        <f>IF(COUNTIF(data1!$D:$D,D2688)=0,"Missing in Data1","Present")</f>
        <v>Present</v>
      </c>
    </row>
    <row r="2689" spans="1:5" x14ac:dyDescent="0.25">
      <c r="A2689" s="2" t="s">
        <v>2753</v>
      </c>
      <c r="B2689" s="2" t="s">
        <v>744</v>
      </c>
      <c r="C2689" s="2">
        <v>9</v>
      </c>
      <c r="D2689" t="str">
        <f t="shared" si="41"/>
        <v>CA-2015-143490_OFF-AR-10002952</v>
      </c>
      <c r="E2689" t="str">
        <f>IF(COUNTIF(data1!$D:$D,D2689)=0,"Missing in Data1","Present")</f>
        <v>Present</v>
      </c>
    </row>
    <row r="2690" spans="1:5" x14ac:dyDescent="0.25">
      <c r="A2690" s="2" t="s">
        <v>2753</v>
      </c>
      <c r="B2690" s="2" t="s">
        <v>199</v>
      </c>
      <c r="C2690" s="2">
        <v>2</v>
      </c>
      <c r="D2690" t="str">
        <f t="shared" si="41"/>
        <v>CA-2015-143490_TEC-PH-10000576</v>
      </c>
      <c r="E2690" t="str">
        <f>IF(COUNTIF(data1!$D:$D,D2690)=0,"Missing in Data1","Present")</f>
        <v>Present</v>
      </c>
    </row>
    <row r="2691" spans="1:5" x14ac:dyDescent="0.25">
      <c r="A2691" s="2" t="s">
        <v>2754</v>
      </c>
      <c r="B2691" s="2" t="s">
        <v>861</v>
      </c>
      <c r="C2691" s="2">
        <v>3</v>
      </c>
      <c r="D2691" t="str">
        <f t="shared" ref="D2691:D2754" si="42">A2691&amp;"_"&amp;B2691</f>
        <v>CA-2015-143532_OFF-PA-10001560</v>
      </c>
      <c r="E2691" t="str">
        <f>IF(COUNTIF(data1!$D:$D,D2691)=0,"Missing in Data1","Present")</f>
        <v>Present</v>
      </c>
    </row>
    <row r="2692" spans="1:5" x14ac:dyDescent="0.25">
      <c r="A2692" s="2" t="s">
        <v>2755</v>
      </c>
      <c r="B2692" s="2" t="s">
        <v>2262</v>
      </c>
      <c r="C2692" s="2">
        <v>3</v>
      </c>
      <c r="D2692" t="str">
        <f t="shared" si="42"/>
        <v>CA-2015-143602_OFF-BI-10002071</v>
      </c>
      <c r="E2692" t="str">
        <f>IF(COUNTIF(data1!$D:$D,D2692)=0,"Missing in Data1","Present")</f>
        <v>Present</v>
      </c>
    </row>
    <row r="2693" spans="1:5" x14ac:dyDescent="0.25">
      <c r="A2693" s="2" t="s">
        <v>2756</v>
      </c>
      <c r="B2693" s="2" t="s">
        <v>585</v>
      </c>
      <c r="C2693" s="2">
        <v>5</v>
      </c>
      <c r="D2693" t="str">
        <f t="shared" si="42"/>
        <v>CA-2015-143616_OFF-AR-10002067</v>
      </c>
      <c r="E2693" t="str">
        <f>IF(COUNTIF(data1!$D:$D,D2693)=0,"Missing in Data1","Present")</f>
        <v>Present</v>
      </c>
    </row>
    <row r="2694" spans="1:5" x14ac:dyDescent="0.25">
      <c r="A2694" s="2" t="s">
        <v>2757</v>
      </c>
      <c r="B2694" s="2" t="s">
        <v>1724</v>
      </c>
      <c r="C2694" s="2">
        <v>2</v>
      </c>
      <c r="D2694" t="str">
        <f t="shared" si="42"/>
        <v>CA-2015-143700_OFF-PA-10003072</v>
      </c>
      <c r="E2694" t="str">
        <f>IF(COUNTIF(data1!$D:$D,D2694)=0,"Missing in Data1","Present")</f>
        <v>Present</v>
      </c>
    </row>
    <row r="2695" spans="1:5" x14ac:dyDescent="0.25">
      <c r="A2695" s="2" t="s">
        <v>2758</v>
      </c>
      <c r="B2695" s="2" t="s">
        <v>2759</v>
      </c>
      <c r="C2695" s="2">
        <v>9</v>
      </c>
      <c r="D2695" t="str">
        <f t="shared" si="42"/>
        <v>CA-2015-143882_OFF-PA-10004040</v>
      </c>
      <c r="E2695" t="str">
        <f>IF(COUNTIF(data1!$D:$D,D2695)=0,"Missing in Data1","Present")</f>
        <v>Present</v>
      </c>
    </row>
    <row r="2696" spans="1:5" x14ac:dyDescent="0.25">
      <c r="A2696" s="2" t="s">
        <v>2760</v>
      </c>
      <c r="B2696" s="2" t="s">
        <v>2267</v>
      </c>
      <c r="C2696" s="2">
        <v>2</v>
      </c>
      <c r="D2696" t="str">
        <f t="shared" si="42"/>
        <v>CA-2015-143980_OFF-AP-10003779</v>
      </c>
      <c r="E2696" t="str">
        <f>IF(COUNTIF(data1!$D:$D,D2696)=0,"Missing in Data1","Present")</f>
        <v>Present</v>
      </c>
    </row>
    <row r="2697" spans="1:5" x14ac:dyDescent="0.25">
      <c r="A2697" s="2" t="s">
        <v>2762</v>
      </c>
      <c r="B2697" s="2" t="s">
        <v>774</v>
      </c>
      <c r="C2697" s="2">
        <v>1</v>
      </c>
      <c r="D2697" t="str">
        <f t="shared" si="42"/>
        <v>CA-2015-144099_OFF-BI-10001078</v>
      </c>
      <c r="E2697" t="str">
        <f>IF(COUNTIF(data1!$D:$D,D2697)=0,"Missing in Data1","Present")</f>
        <v>Present</v>
      </c>
    </row>
    <row r="2698" spans="1:5" x14ac:dyDescent="0.25">
      <c r="A2698" s="2" t="s">
        <v>2763</v>
      </c>
      <c r="B2698" s="2" t="s">
        <v>1219</v>
      </c>
      <c r="C2698" s="2">
        <v>2</v>
      </c>
      <c r="D2698" t="str">
        <f t="shared" si="42"/>
        <v>CA-2015-144190_OFF-PA-10000304</v>
      </c>
      <c r="E2698" t="str">
        <f>IF(COUNTIF(data1!$D:$D,D2698)=0,"Missing in Data1","Present")</f>
        <v>Present</v>
      </c>
    </row>
    <row r="2699" spans="1:5" x14ac:dyDescent="0.25">
      <c r="A2699" s="2" t="s">
        <v>2764</v>
      </c>
      <c r="B2699" s="2" t="s">
        <v>2765</v>
      </c>
      <c r="C2699" s="2">
        <v>2</v>
      </c>
      <c r="D2699" t="str">
        <f t="shared" si="42"/>
        <v>CA-2015-144253_FUR-FU-10002671</v>
      </c>
      <c r="E2699" t="str">
        <f>IF(COUNTIF(data1!$D:$D,D2699)=0,"Missing in Data1","Present")</f>
        <v>Present</v>
      </c>
    </row>
    <row r="2700" spans="1:5" x14ac:dyDescent="0.25">
      <c r="A2700" s="2" t="s">
        <v>2766</v>
      </c>
      <c r="B2700" s="2" t="s">
        <v>2767</v>
      </c>
      <c r="C2700" s="2">
        <v>3</v>
      </c>
      <c r="D2700" t="str">
        <f t="shared" si="42"/>
        <v>CA-2015-144267_FUR-CH-10002335</v>
      </c>
      <c r="E2700" t="str">
        <f>IF(COUNTIF(data1!$D:$D,D2700)=0,"Missing in Data1","Present")</f>
        <v>Present</v>
      </c>
    </row>
    <row r="2701" spans="1:5" x14ac:dyDescent="0.25">
      <c r="A2701" s="2" t="s">
        <v>2766</v>
      </c>
      <c r="B2701" s="2" t="s">
        <v>2602</v>
      </c>
      <c r="C2701" s="2">
        <v>3</v>
      </c>
      <c r="D2701" t="str">
        <f t="shared" si="42"/>
        <v>CA-2015-144267_OFF-PA-10000157</v>
      </c>
      <c r="E2701" t="str">
        <f>IF(COUNTIF(data1!$D:$D,D2701)=0,"Missing in Data1","Present")</f>
        <v>Present</v>
      </c>
    </row>
    <row r="2702" spans="1:5" x14ac:dyDescent="0.25">
      <c r="A2702" s="2" t="s">
        <v>2766</v>
      </c>
      <c r="B2702" s="2" t="s">
        <v>1440</v>
      </c>
      <c r="C2702" s="2">
        <v>4</v>
      </c>
      <c r="D2702" t="str">
        <f t="shared" si="42"/>
        <v>CA-2015-144267_OFF-PA-10001947</v>
      </c>
      <c r="E2702" t="str">
        <f>IF(COUNTIF(data1!$D:$D,D2702)=0,"Missing in Data1","Present")</f>
        <v>Present</v>
      </c>
    </row>
    <row r="2703" spans="1:5" x14ac:dyDescent="0.25">
      <c r="A2703" s="2" t="s">
        <v>2766</v>
      </c>
      <c r="B2703" s="2" t="s">
        <v>2768</v>
      </c>
      <c r="C2703" s="2">
        <v>1</v>
      </c>
      <c r="D2703" t="str">
        <f t="shared" si="42"/>
        <v>CA-2015-144267_OFF-PA-10003657</v>
      </c>
      <c r="E2703" t="str">
        <f>IF(COUNTIF(data1!$D:$D,D2703)=0,"Missing in Data1","Present")</f>
        <v>Present</v>
      </c>
    </row>
    <row r="2704" spans="1:5" x14ac:dyDescent="0.25">
      <c r="A2704" s="2" t="s">
        <v>2769</v>
      </c>
      <c r="B2704" s="2" t="s">
        <v>2562</v>
      </c>
      <c r="C2704" s="2">
        <v>4</v>
      </c>
      <c r="D2704" t="str">
        <f t="shared" si="42"/>
        <v>CA-2015-144274_OFF-AR-10001940</v>
      </c>
      <c r="E2704" t="str">
        <f>IF(COUNTIF(data1!$D:$D,D2704)=0,"Missing in Data1","Present")</f>
        <v>Present</v>
      </c>
    </row>
    <row r="2705" spans="1:5" x14ac:dyDescent="0.25">
      <c r="A2705" s="2" t="s">
        <v>2769</v>
      </c>
      <c r="B2705" s="2" t="s">
        <v>481</v>
      </c>
      <c r="C2705" s="2">
        <v>2</v>
      </c>
      <c r="D2705" t="str">
        <f t="shared" si="42"/>
        <v>CA-2015-144274_OFF-EN-10003286</v>
      </c>
      <c r="E2705" t="str">
        <f>IF(COUNTIF(data1!$D:$D,D2705)=0,"Missing in Data1","Present")</f>
        <v>Present</v>
      </c>
    </row>
    <row r="2706" spans="1:5" x14ac:dyDescent="0.25">
      <c r="A2706" s="2" t="s">
        <v>2769</v>
      </c>
      <c r="B2706" s="2" t="s">
        <v>897</v>
      </c>
      <c r="C2706" s="2">
        <v>6</v>
      </c>
      <c r="D2706" t="str">
        <f t="shared" si="42"/>
        <v>CA-2015-144274_OFF-PA-10001583</v>
      </c>
      <c r="E2706" t="str">
        <f>IF(COUNTIF(data1!$D:$D,D2706)=0,"Missing in Data1","Present")</f>
        <v>Present</v>
      </c>
    </row>
    <row r="2707" spans="1:5" x14ac:dyDescent="0.25">
      <c r="A2707" s="2" t="s">
        <v>2769</v>
      </c>
      <c r="B2707" s="2" t="s">
        <v>1737</v>
      </c>
      <c r="C2707" s="2">
        <v>6</v>
      </c>
      <c r="D2707" t="str">
        <f t="shared" si="42"/>
        <v>CA-2015-144274_OFF-PA-10003441</v>
      </c>
      <c r="E2707" t="str">
        <f>IF(COUNTIF(data1!$D:$D,D2707)=0,"Missing in Data1","Present")</f>
        <v>Present</v>
      </c>
    </row>
    <row r="2708" spans="1:5" x14ac:dyDescent="0.25">
      <c r="A2708" s="2" t="s">
        <v>2770</v>
      </c>
      <c r="B2708" s="2" t="s">
        <v>2339</v>
      </c>
      <c r="C2708" s="2">
        <v>4</v>
      </c>
      <c r="D2708" t="str">
        <f t="shared" si="42"/>
        <v>CA-2015-144288_OFF-LA-10003190</v>
      </c>
      <c r="E2708" t="str">
        <f>IF(COUNTIF(data1!$D:$D,D2708)=0,"Missing in Data1","Present")</f>
        <v>Present</v>
      </c>
    </row>
    <row r="2709" spans="1:5" x14ac:dyDescent="0.25">
      <c r="A2709" s="2" t="s">
        <v>2770</v>
      </c>
      <c r="B2709" s="2" t="s">
        <v>2771</v>
      </c>
      <c r="C2709" s="2">
        <v>2</v>
      </c>
      <c r="D2709" t="str">
        <f t="shared" si="42"/>
        <v>CA-2015-144288_OFF-PA-10002787</v>
      </c>
      <c r="E2709" t="str">
        <f>IF(COUNTIF(data1!$D:$D,D2709)=0,"Missing in Data1","Present")</f>
        <v>Present</v>
      </c>
    </row>
    <row r="2710" spans="1:5" x14ac:dyDescent="0.25">
      <c r="A2710" s="2" t="s">
        <v>2772</v>
      </c>
      <c r="B2710" s="2" t="s">
        <v>534</v>
      </c>
      <c r="C2710" s="2">
        <v>2</v>
      </c>
      <c r="D2710" t="str">
        <f t="shared" si="42"/>
        <v>CA-2015-144302_OFF-BI-10001107</v>
      </c>
      <c r="E2710" t="str">
        <f>IF(COUNTIF(data1!$D:$D,D2710)=0,"Missing in Data1","Present")</f>
        <v>Present</v>
      </c>
    </row>
    <row r="2711" spans="1:5" x14ac:dyDescent="0.25">
      <c r="A2711" s="2" t="s">
        <v>6780</v>
      </c>
      <c r="B2711" s="2" t="s">
        <v>301</v>
      </c>
      <c r="C2711" s="2">
        <v>6</v>
      </c>
      <c r="D2711" t="str">
        <f t="shared" si="42"/>
        <v>CA-2015-144386_OFF-BI-10001116</v>
      </c>
      <c r="E2711" t="str">
        <f>IF(COUNTIF(data1!$D:$D,D2711)=0,"Missing in Data1","Present")</f>
        <v>Missing in Data1</v>
      </c>
    </row>
    <row r="2712" spans="1:5" x14ac:dyDescent="0.25">
      <c r="A2712" s="2" t="s">
        <v>2773</v>
      </c>
      <c r="B2712" s="2" t="s">
        <v>1988</v>
      </c>
      <c r="C2712" s="2">
        <v>7</v>
      </c>
      <c r="D2712" t="str">
        <f t="shared" si="42"/>
        <v>CA-2015-144519_FUR-FU-10000794</v>
      </c>
      <c r="E2712" t="str">
        <f>IF(COUNTIF(data1!$D:$D,D2712)=0,"Missing in Data1","Present")</f>
        <v>Present</v>
      </c>
    </row>
    <row r="2713" spans="1:5" x14ac:dyDescent="0.25">
      <c r="A2713" s="2" t="s">
        <v>2773</v>
      </c>
      <c r="B2713" s="2" t="s">
        <v>2563</v>
      </c>
      <c r="C2713" s="2">
        <v>5</v>
      </c>
      <c r="D2713" t="str">
        <f t="shared" si="42"/>
        <v>CA-2015-144519_TEC-PH-10004908</v>
      </c>
      <c r="E2713" t="str">
        <f>IF(COUNTIF(data1!$D:$D,D2713)=0,"Missing in Data1","Present")</f>
        <v>Present</v>
      </c>
    </row>
    <row r="2714" spans="1:5" x14ac:dyDescent="0.25">
      <c r="A2714" s="2" t="s">
        <v>2774</v>
      </c>
      <c r="B2714" s="2" t="s">
        <v>1596</v>
      </c>
      <c r="C2714" s="2">
        <v>7</v>
      </c>
      <c r="D2714" t="str">
        <f t="shared" si="42"/>
        <v>CA-2015-144652_OFF-AR-10003732</v>
      </c>
      <c r="E2714" t="str">
        <f>IF(COUNTIF(data1!$D:$D,D2714)=0,"Missing in Data1","Present")</f>
        <v>Present</v>
      </c>
    </row>
    <row r="2715" spans="1:5" x14ac:dyDescent="0.25">
      <c r="A2715" s="2" t="s">
        <v>2775</v>
      </c>
      <c r="B2715" s="2" t="s">
        <v>2776</v>
      </c>
      <c r="C2715" s="2">
        <v>1</v>
      </c>
      <c r="D2715" t="str">
        <f t="shared" si="42"/>
        <v>CA-2015-144722_FUR-FU-10001215</v>
      </c>
      <c r="E2715" t="str">
        <f>IF(COUNTIF(data1!$D:$D,D2715)=0,"Missing in Data1","Present")</f>
        <v>Present</v>
      </c>
    </row>
    <row r="2716" spans="1:5" x14ac:dyDescent="0.25">
      <c r="A2716" s="2" t="s">
        <v>2777</v>
      </c>
      <c r="B2716" s="2" t="s">
        <v>491</v>
      </c>
      <c r="C2716" s="2">
        <v>6</v>
      </c>
      <c r="D2716" t="str">
        <f t="shared" si="42"/>
        <v>CA-2015-144806_FUR-FU-10002253</v>
      </c>
      <c r="E2716" t="str">
        <f>IF(COUNTIF(data1!$D:$D,D2716)=0,"Missing in Data1","Present")</f>
        <v>Present</v>
      </c>
    </row>
    <row r="2717" spans="1:5" x14ac:dyDescent="0.25">
      <c r="A2717" s="2" t="s">
        <v>2777</v>
      </c>
      <c r="B2717" s="2" t="s">
        <v>839</v>
      </c>
      <c r="C2717" s="2">
        <v>6</v>
      </c>
      <c r="D2717" t="str">
        <f t="shared" si="42"/>
        <v>CA-2015-144806_OFF-AR-10004042</v>
      </c>
      <c r="E2717" t="str">
        <f>IF(COUNTIF(data1!$D:$D,D2717)=0,"Missing in Data1","Present")</f>
        <v>Present</v>
      </c>
    </row>
    <row r="2718" spans="1:5" x14ac:dyDescent="0.25">
      <c r="A2718" s="2" t="s">
        <v>2777</v>
      </c>
      <c r="B2718" s="2" t="s">
        <v>1051</v>
      </c>
      <c r="C2718" s="2">
        <v>5</v>
      </c>
      <c r="D2718" t="str">
        <f t="shared" si="42"/>
        <v>CA-2015-144806_OFF-PA-10002586</v>
      </c>
      <c r="E2718" t="str">
        <f>IF(COUNTIF(data1!$D:$D,D2718)=0,"Missing in Data1","Present")</f>
        <v>Present</v>
      </c>
    </row>
    <row r="2719" spans="1:5" x14ac:dyDescent="0.25">
      <c r="A2719" s="2" t="s">
        <v>2777</v>
      </c>
      <c r="B2719" s="2" t="s">
        <v>1006</v>
      </c>
      <c r="C2719" s="2">
        <v>8</v>
      </c>
      <c r="D2719" t="str">
        <f t="shared" si="42"/>
        <v>CA-2015-144806_OFF-PA-10003039</v>
      </c>
      <c r="E2719" t="str">
        <f>IF(COUNTIF(data1!$D:$D,D2719)=0,"Missing in Data1","Present")</f>
        <v>Present</v>
      </c>
    </row>
    <row r="2720" spans="1:5" x14ac:dyDescent="0.25">
      <c r="A2720" s="2" t="s">
        <v>2777</v>
      </c>
      <c r="B2720" s="2" t="s">
        <v>2460</v>
      </c>
      <c r="C2720" s="2">
        <v>6</v>
      </c>
      <c r="D2720" t="str">
        <f t="shared" si="42"/>
        <v>CA-2015-144806_OFF-ST-10004804</v>
      </c>
      <c r="E2720" t="str">
        <f>IF(COUNTIF(data1!$D:$D,D2720)=0,"Missing in Data1","Present")</f>
        <v>Present</v>
      </c>
    </row>
    <row r="2721" spans="1:5" x14ac:dyDescent="0.25">
      <c r="A2721" s="2" t="s">
        <v>6781</v>
      </c>
      <c r="B2721" s="2" t="s">
        <v>785</v>
      </c>
      <c r="C2721" s="2">
        <v>2</v>
      </c>
      <c r="D2721" t="str">
        <f t="shared" si="42"/>
        <v>CA-2015-144890_OFF-PA-10001526</v>
      </c>
      <c r="E2721" t="str">
        <f>IF(COUNTIF(data1!$D:$D,D2721)=0,"Missing in Data1","Present")</f>
        <v>Missing in Data1</v>
      </c>
    </row>
    <row r="2722" spans="1:5" x14ac:dyDescent="0.25">
      <c r="A2722" s="2" t="s">
        <v>2778</v>
      </c>
      <c r="B2722" s="2" t="s">
        <v>2779</v>
      </c>
      <c r="C2722" s="2">
        <v>2</v>
      </c>
      <c r="D2722" t="str">
        <f t="shared" si="42"/>
        <v>CA-2015-145065_OFF-BI-10002437</v>
      </c>
      <c r="E2722" t="str">
        <f>IF(COUNTIF(data1!$D:$D,D2722)=0,"Missing in Data1","Present")</f>
        <v>Present</v>
      </c>
    </row>
    <row r="2723" spans="1:5" x14ac:dyDescent="0.25">
      <c r="A2723" s="2" t="s">
        <v>2778</v>
      </c>
      <c r="B2723" s="2" t="s">
        <v>1994</v>
      </c>
      <c r="C2723" s="2">
        <v>2</v>
      </c>
      <c r="D2723" t="str">
        <f t="shared" si="42"/>
        <v>CA-2015-145065_OFF-FA-10001229</v>
      </c>
      <c r="E2723" t="str">
        <f>IF(COUNTIF(data1!$D:$D,D2723)=0,"Missing in Data1","Present")</f>
        <v>Present</v>
      </c>
    </row>
    <row r="2724" spans="1:5" x14ac:dyDescent="0.25">
      <c r="A2724" s="2" t="s">
        <v>2780</v>
      </c>
      <c r="B2724" s="2" t="s">
        <v>2781</v>
      </c>
      <c r="C2724" s="2">
        <v>3</v>
      </c>
      <c r="D2724" t="str">
        <f t="shared" si="42"/>
        <v>CA-2015-145184_TEC-AC-10000397</v>
      </c>
      <c r="E2724" t="str">
        <f>IF(COUNTIF(data1!$D:$D,D2724)=0,"Missing in Data1","Present")</f>
        <v>Present</v>
      </c>
    </row>
    <row r="2725" spans="1:5" x14ac:dyDescent="0.25">
      <c r="A2725" s="2" t="s">
        <v>2780</v>
      </c>
      <c r="B2725" s="2" t="s">
        <v>2782</v>
      </c>
      <c r="C2725" s="2">
        <v>3</v>
      </c>
      <c r="D2725" t="str">
        <f t="shared" si="42"/>
        <v>CA-2015-145184_TEC-PH-10002350</v>
      </c>
      <c r="E2725" t="str">
        <f>IF(COUNTIF(data1!$D:$D,D2725)=0,"Missing in Data1","Present")</f>
        <v>Present</v>
      </c>
    </row>
    <row r="2726" spans="1:5" x14ac:dyDescent="0.25">
      <c r="A2726" s="2" t="s">
        <v>2783</v>
      </c>
      <c r="B2726" s="2" t="s">
        <v>359</v>
      </c>
      <c r="C2726" s="2">
        <v>2</v>
      </c>
      <c r="D2726" t="str">
        <f t="shared" si="42"/>
        <v>CA-2015-145324_FUR-FU-10002759</v>
      </c>
      <c r="E2726" t="str">
        <f>IF(COUNTIF(data1!$D:$D,D2726)=0,"Missing in Data1","Present")</f>
        <v>Present</v>
      </c>
    </row>
    <row r="2727" spans="1:5" x14ac:dyDescent="0.25">
      <c r="A2727" s="2" t="s">
        <v>2784</v>
      </c>
      <c r="B2727" s="2" t="s">
        <v>1776</v>
      </c>
      <c r="C2727" s="2">
        <v>1</v>
      </c>
      <c r="D2727" t="str">
        <f t="shared" si="42"/>
        <v>CA-2015-145352_OFF-AR-10001662</v>
      </c>
      <c r="E2727" t="str">
        <f>IF(COUNTIF(data1!$D:$D,D2727)=0,"Missing in Data1","Present")</f>
        <v>Present</v>
      </c>
    </row>
    <row r="2728" spans="1:5" x14ac:dyDescent="0.25">
      <c r="A2728" s="2" t="s">
        <v>2784</v>
      </c>
      <c r="B2728" s="2" t="s">
        <v>2785</v>
      </c>
      <c r="C2728" s="2">
        <v>3</v>
      </c>
      <c r="D2728" t="str">
        <f t="shared" si="42"/>
        <v>CA-2015-145352_OFF-AR-10003856</v>
      </c>
      <c r="E2728" t="str">
        <f>IF(COUNTIF(data1!$D:$D,D2728)=0,"Missing in Data1","Present")</f>
        <v>Present</v>
      </c>
    </row>
    <row r="2729" spans="1:5" x14ac:dyDescent="0.25">
      <c r="A2729" s="2" t="s">
        <v>2784</v>
      </c>
      <c r="B2729" s="2" t="s">
        <v>907</v>
      </c>
      <c r="C2729" s="2">
        <v>5</v>
      </c>
      <c r="D2729" t="str">
        <f t="shared" si="42"/>
        <v>CA-2015-145352_OFF-BI-10003527</v>
      </c>
      <c r="E2729" t="str">
        <f>IF(COUNTIF(data1!$D:$D,D2729)=0,"Missing in Data1","Present")</f>
        <v>Present</v>
      </c>
    </row>
    <row r="2730" spans="1:5" x14ac:dyDescent="0.25">
      <c r="A2730" s="2" t="s">
        <v>2784</v>
      </c>
      <c r="B2730" s="2" t="s">
        <v>1024</v>
      </c>
      <c r="C2730" s="2">
        <v>3</v>
      </c>
      <c r="D2730" t="str">
        <f t="shared" si="42"/>
        <v>CA-2015-145352_OFF-ST-10001228</v>
      </c>
      <c r="E2730" t="str">
        <f>IF(COUNTIF(data1!$D:$D,D2730)=0,"Missing in Data1","Present")</f>
        <v>Present</v>
      </c>
    </row>
    <row r="2731" spans="1:5" x14ac:dyDescent="0.25">
      <c r="A2731" s="2" t="s">
        <v>2786</v>
      </c>
      <c r="B2731" s="2" t="s">
        <v>2776</v>
      </c>
      <c r="C2731" s="2">
        <v>2</v>
      </c>
      <c r="D2731" t="str">
        <f t="shared" si="42"/>
        <v>CA-2015-145394_FUR-FU-10001215</v>
      </c>
      <c r="E2731" t="str">
        <f>IF(COUNTIF(data1!$D:$D,D2731)=0,"Missing in Data1","Present")</f>
        <v>Missing in Data1</v>
      </c>
    </row>
    <row r="2732" spans="1:5" x14ac:dyDescent="0.25">
      <c r="A2732" s="2" t="s">
        <v>2786</v>
      </c>
      <c r="B2732" s="2" t="s">
        <v>2556</v>
      </c>
      <c r="C2732" s="2">
        <v>2</v>
      </c>
      <c r="D2732" t="str">
        <f t="shared" si="42"/>
        <v>CA-2015-145394_OFF-ST-10000344</v>
      </c>
      <c r="E2732" t="str">
        <f>IF(COUNTIF(data1!$D:$D,D2732)=0,"Missing in Data1","Present")</f>
        <v>Present</v>
      </c>
    </row>
    <row r="2733" spans="1:5" x14ac:dyDescent="0.25">
      <c r="A2733" s="2" t="s">
        <v>2786</v>
      </c>
      <c r="B2733" s="2" t="s">
        <v>87</v>
      </c>
      <c r="C2733" s="2">
        <v>3</v>
      </c>
      <c r="D2733" t="str">
        <f t="shared" si="42"/>
        <v>CA-2015-145394_TEC-PH-10001051</v>
      </c>
      <c r="E2733" t="str">
        <f>IF(COUNTIF(data1!$D:$D,D2733)=0,"Missing in Data1","Present")</f>
        <v>Present</v>
      </c>
    </row>
    <row r="2734" spans="1:5" x14ac:dyDescent="0.25">
      <c r="A2734" s="2" t="s">
        <v>6782</v>
      </c>
      <c r="B2734" s="2" t="s">
        <v>4257</v>
      </c>
      <c r="C2734" s="2">
        <v>6</v>
      </c>
      <c r="D2734" t="str">
        <f t="shared" si="42"/>
        <v>CA-2015-145401_OFF-PA-10004405</v>
      </c>
      <c r="E2734" t="str">
        <f>IF(COUNTIF(data1!$D:$D,D2734)=0,"Missing in Data1","Present")</f>
        <v>Missing in Data1</v>
      </c>
    </row>
    <row r="2735" spans="1:5" x14ac:dyDescent="0.25">
      <c r="A2735" s="2" t="s">
        <v>2787</v>
      </c>
      <c r="B2735" s="2" t="s">
        <v>1827</v>
      </c>
      <c r="C2735" s="2">
        <v>3</v>
      </c>
      <c r="D2735" t="str">
        <f t="shared" si="42"/>
        <v>CA-2015-145415_OFF-ST-10000419</v>
      </c>
      <c r="E2735" t="str">
        <f>IF(COUNTIF(data1!$D:$D,D2735)=0,"Missing in Data1","Present")</f>
        <v>Present</v>
      </c>
    </row>
    <row r="2736" spans="1:5" x14ac:dyDescent="0.25">
      <c r="A2736" s="2" t="s">
        <v>2788</v>
      </c>
      <c r="B2736" s="2" t="s">
        <v>2789</v>
      </c>
      <c r="C2736" s="2">
        <v>5</v>
      </c>
      <c r="D2736" t="str">
        <f t="shared" si="42"/>
        <v>CA-2015-145457_FUR-FU-10003832</v>
      </c>
      <c r="E2736" t="str">
        <f>IF(COUNTIF(data1!$D:$D,D2736)=0,"Missing in Data1","Present")</f>
        <v>Present</v>
      </c>
    </row>
    <row r="2737" spans="1:5" x14ac:dyDescent="0.25">
      <c r="A2737" s="2" t="s">
        <v>2790</v>
      </c>
      <c r="B2737" s="2" t="s">
        <v>2791</v>
      </c>
      <c r="C2737" s="2">
        <v>4</v>
      </c>
      <c r="D2737" t="str">
        <f t="shared" si="42"/>
        <v>CA-2015-145485_OFF-ST-10000649</v>
      </c>
      <c r="E2737" t="str">
        <f>IF(COUNTIF(data1!$D:$D,D2737)=0,"Missing in Data1","Present")</f>
        <v>Present</v>
      </c>
    </row>
    <row r="2738" spans="1:5" x14ac:dyDescent="0.25">
      <c r="A2738" s="2" t="s">
        <v>6783</v>
      </c>
      <c r="B2738" s="2" t="s">
        <v>6784</v>
      </c>
      <c r="C2738" s="2">
        <v>4</v>
      </c>
      <c r="D2738" t="str">
        <f t="shared" si="42"/>
        <v>CA-2015-145758_TEC-MA-10004552</v>
      </c>
      <c r="E2738" t="str">
        <f>IF(COUNTIF(data1!$D:$D,D2738)=0,"Missing in Data1","Present")</f>
        <v>Missing in Data1</v>
      </c>
    </row>
    <row r="2739" spans="1:5" x14ac:dyDescent="0.25">
      <c r="A2739" s="2" t="s">
        <v>2792</v>
      </c>
      <c r="B2739" s="2" t="s">
        <v>1525</v>
      </c>
      <c r="C2739" s="2">
        <v>2</v>
      </c>
      <c r="D2739" t="str">
        <f t="shared" si="42"/>
        <v>CA-2015-145814_OFF-BI-10003196</v>
      </c>
      <c r="E2739" t="str">
        <f>IF(COUNTIF(data1!$D:$D,D2739)=0,"Missing in Data1","Present")</f>
        <v>Present</v>
      </c>
    </row>
    <row r="2740" spans="1:5" x14ac:dyDescent="0.25">
      <c r="A2740" s="2" t="s">
        <v>2792</v>
      </c>
      <c r="B2740" s="2" t="s">
        <v>2715</v>
      </c>
      <c r="C2740" s="2">
        <v>4</v>
      </c>
      <c r="D2740" t="str">
        <f t="shared" si="42"/>
        <v>CA-2015-145814_TEC-PH-10002200</v>
      </c>
      <c r="E2740" t="str">
        <f>IF(COUNTIF(data1!$D:$D,D2740)=0,"Missing in Data1","Present")</f>
        <v>Present</v>
      </c>
    </row>
    <row r="2741" spans="1:5" x14ac:dyDescent="0.25">
      <c r="A2741" s="2" t="s">
        <v>2793</v>
      </c>
      <c r="B2741" s="2" t="s">
        <v>2794</v>
      </c>
      <c r="C2741" s="2">
        <v>3</v>
      </c>
      <c r="D2741" t="str">
        <f t="shared" si="42"/>
        <v>CA-2015-145821_TEC-PH-10004348</v>
      </c>
      <c r="E2741" t="str">
        <f>IF(COUNTIF(data1!$D:$D,D2741)=0,"Missing in Data1","Present")</f>
        <v>Present</v>
      </c>
    </row>
    <row r="2742" spans="1:5" x14ac:dyDescent="0.25">
      <c r="A2742" s="2" t="s">
        <v>2795</v>
      </c>
      <c r="B2742" s="2" t="s">
        <v>731</v>
      </c>
      <c r="C2742" s="2">
        <v>3</v>
      </c>
      <c r="D2742" t="str">
        <f t="shared" si="42"/>
        <v>CA-2015-145828_TEC-AC-10002323</v>
      </c>
      <c r="E2742" t="str">
        <f>IF(COUNTIF(data1!$D:$D,D2742)=0,"Missing in Data1","Present")</f>
        <v>Present</v>
      </c>
    </row>
    <row r="2743" spans="1:5" x14ac:dyDescent="0.25">
      <c r="A2743" s="2" t="s">
        <v>2796</v>
      </c>
      <c r="B2743" s="2" t="s">
        <v>913</v>
      </c>
      <c r="C2743" s="2">
        <v>4</v>
      </c>
      <c r="D2743" t="str">
        <f t="shared" si="42"/>
        <v>CA-2015-145835_OFF-FA-10002280</v>
      </c>
      <c r="E2743" t="str">
        <f>IF(COUNTIF(data1!$D:$D,D2743)=0,"Missing in Data1","Present")</f>
        <v>Present</v>
      </c>
    </row>
    <row r="2744" spans="1:5" x14ac:dyDescent="0.25">
      <c r="A2744" s="2" t="s">
        <v>2796</v>
      </c>
      <c r="B2744" s="2" t="s">
        <v>1205</v>
      </c>
      <c r="C2744" s="2">
        <v>2</v>
      </c>
      <c r="D2744" t="str">
        <f t="shared" si="42"/>
        <v>CA-2015-145835_TEC-PH-10004447</v>
      </c>
      <c r="E2744" t="str">
        <f>IF(COUNTIF(data1!$D:$D,D2744)=0,"Missing in Data1","Present")</f>
        <v>Present</v>
      </c>
    </row>
    <row r="2745" spans="1:5" x14ac:dyDescent="0.25">
      <c r="A2745" s="2" t="s">
        <v>2797</v>
      </c>
      <c r="B2745" s="2" t="s">
        <v>2616</v>
      </c>
      <c r="C2745" s="2">
        <v>8</v>
      </c>
      <c r="D2745" t="str">
        <f t="shared" si="42"/>
        <v>CA-2015-145849_OFF-AR-10000817</v>
      </c>
      <c r="E2745" t="str">
        <f>IF(COUNTIF(data1!$D:$D,D2745)=0,"Missing in Data1","Present")</f>
        <v>Present</v>
      </c>
    </row>
    <row r="2746" spans="1:5" x14ac:dyDescent="0.25">
      <c r="A2746" s="2" t="s">
        <v>2798</v>
      </c>
      <c r="B2746" s="2" t="s">
        <v>1207</v>
      </c>
      <c r="C2746" s="2">
        <v>5</v>
      </c>
      <c r="D2746" t="str">
        <f t="shared" si="42"/>
        <v>CA-2015-146038_FUR-CH-10002774</v>
      </c>
      <c r="E2746" t="str">
        <f>IF(COUNTIF(data1!$D:$D,D2746)=0,"Missing in Data1","Present")</f>
        <v>Present</v>
      </c>
    </row>
    <row r="2747" spans="1:5" x14ac:dyDescent="0.25">
      <c r="A2747" s="2" t="s">
        <v>2799</v>
      </c>
      <c r="B2747" s="2" t="s">
        <v>2800</v>
      </c>
      <c r="C2747" s="2">
        <v>2</v>
      </c>
      <c r="D2747" t="str">
        <f t="shared" si="42"/>
        <v>CA-2015-146087_FUR-BO-10002824</v>
      </c>
      <c r="E2747" t="str">
        <f>IF(COUNTIF(data1!$D:$D,D2747)=0,"Missing in Data1","Present")</f>
        <v>Present</v>
      </c>
    </row>
    <row r="2748" spans="1:5" x14ac:dyDescent="0.25">
      <c r="A2748" s="2" t="s">
        <v>2801</v>
      </c>
      <c r="B2748" s="2" t="s">
        <v>59</v>
      </c>
      <c r="C2748" s="2">
        <v>2</v>
      </c>
      <c r="D2748" t="str">
        <f t="shared" si="42"/>
        <v>CA-2015-146255_OFF-BI-10000309</v>
      </c>
      <c r="E2748" t="str">
        <f>IF(COUNTIF(data1!$D:$D,D2748)=0,"Missing in Data1","Present")</f>
        <v>Present</v>
      </c>
    </row>
    <row r="2749" spans="1:5" x14ac:dyDescent="0.25">
      <c r="A2749" s="2" t="s">
        <v>2801</v>
      </c>
      <c r="B2749" s="2" t="s">
        <v>224</v>
      </c>
      <c r="C2749" s="2">
        <v>2</v>
      </c>
      <c r="D2749" t="str">
        <f t="shared" si="42"/>
        <v>CA-2015-146255_OFF-BI-10001765</v>
      </c>
      <c r="E2749" t="str">
        <f>IF(COUNTIF(data1!$D:$D,D2749)=0,"Missing in Data1","Present")</f>
        <v>Present</v>
      </c>
    </row>
    <row r="2750" spans="1:5" x14ac:dyDescent="0.25">
      <c r="A2750" s="2" t="s">
        <v>2801</v>
      </c>
      <c r="B2750" s="2" t="s">
        <v>2802</v>
      </c>
      <c r="C2750" s="2">
        <v>3</v>
      </c>
      <c r="D2750" t="str">
        <f t="shared" si="42"/>
        <v>CA-2015-146255_TEC-AC-10004469</v>
      </c>
      <c r="E2750" t="str">
        <f>IF(COUNTIF(data1!$D:$D,D2750)=0,"Missing in Data1","Present")</f>
        <v>Present</v>
      </c>
    </row>
    <row r="2751" spans="1:5" x14ac:dyDescent="0.25">
      <c r="A2751" s="2" t="s">
        <v>2801</v>
      </c>
      <c r="B2751" s="2" t="s">
        <v>1892</v>
      </c>
      <c r="C2751" s="2">
        <v>3</v>
      </c>
      <c r="D2751" t="str">
        <f t="shared" si="42"/>
        <v>CA-2015-146255_TEC-PH-10001619</v>
      </c>
      <c r="E2751" t="str">
        <f>IF(COUNTIF(data1!$D:$D,D2751)=0,"Missing in Data1","Present")</f>
        <v>Present</v>
      </c>
    </row>
    <row r="2752" spans="1:5" x14ac:dyDescent="0.25">
      <c r="A2752" s="2" t="s">
        <v>2803</v>
      </c>
      <c r="B2752" s="2" t="s">
        <v>2278</v>
      </c>
      <c r="C2752" s="2">
        <v>5</v>
      </c>
      <c r="D2752" t="str">
        <f t="shared" si="42"/>
        <v>CA-2015-146262_FUR-BO-10004695</v>
      </c>
      <c r="E2752" t="str">
        <f>IF(COUNTIF(data1!$D:$D,D2752)=0,"Missing in Data1","Present")</f>
        <v>Present</v>
      </c>
    </row>
    <row r="2753" spans="1:5" x14ac:dyDescent="0.25">
      <c r="A2753" s="2" t="s">
        <v>2803</v>
      </c>
      <c r="B2753" s="2" t="s">
        <v>2582</v>
      </c>
      <c r="C2753" s="2">
        <v>2</v>
      </c>
      <c r="D2753" t="str">
        <f t="shared" si="42"/>
        <v>CA-2015-146262_OFF-LA-10004544</v>
      </c>
      <c r="E2753" t="str">
        <f>IF(COUNTIF(data1!$D:$D,D2753)=0,"Missing in Data1","Present")</f>
        <v>Present</v>
      </c>
    </row>
    <row r="2754" spans="1:5" x14ac:dyDescent="0.25">
      <c r="A2754" s="2" t="s">
        <v>2803</v>
      </c>
      <c r="B2754" s="2" t="s">
        <v>185</v>
      </c>
      <c r="C2754" s="2">
        <v>2</v>
      </c>
      <c r="D2754" t="str">
        <f t="shared" si="42"/>
        <v>CA-2015-146262_TEC-AC-10000109</v>
      </c>
      <c r="E2754" t="str">
        <f>IF(COUNTIF(data1!$D:$D,D2754)=0,"Missing in Data1","Present")</f>
        <v>Present</v>
      </c>
    </row>
    <row r="2755" spans="1:5" x14ac:dyDescent="0.25">
      <c r="A2755" s="2" t="s">
        <v>2803</v>
      </c>
      <c r="B2755" s="2" t="s">
        <v>1891</v>
      </c>
      <c r="C2755" s="2">
        <v>9</v>
      </c>
      <c r="D2755" t="str">
        <f t="shared" ref="D2755:D2818" si="43">A2755&amp;"_"&amp;B2755</f>
        <v>CA-2015-146262_TEC-MA-10000864</v>
      </c>
      <c r="E2755" t="str">
        <f>IF(COUNTIF(data1!$D:$D,D2755)=0,"Missing in Data1","Present")</f>
        <v>Present</v>
      </c>
    </row>
    <row r="2756" spans="1:5" x14ac:dyDescent="0.25">
      <c r="A2756" s="2" t="s">
        <v>2803</v>
      </c>
      <c r="B2756" s="2" t="s">
        <v>1937</v>
      </c>
      <c r="C2756" s="2">
        <v>3</v>
      </c>
      <c r="D2756" t="str">
        <f t="shared" si="43"/>
        <v>CA-2015-146262_TEC-PH-10002844</v>
      </c>
      <c r="E2756" t="str">
        <f>IF(COUNTIF(data1!$D:$D,D2756)=0,"Missing in Data1","Present")</f>
        <v>Present</v>
      </c>
    </row>
    <row r="2757" spans="1:5" x14ac:dyDescent="0.25">
      <c r="A2757" s="2" t="s">
        <v>2804</v>
      </c>
      <c r="B2757" s="2" t="s">
        <v>1080</v>
      </c>
      <c r="C2757" s="2">
        <v>7</v>
      </c>
      <c r="D2757" t="str">
        <f t="shared" si="43"/>
        <v>CA-2015-146290_OFF-AR-10001897</v>
      </c>
      <c r="E2757" t="str">
        <f>IF(COUNTIF(data1!$D:$D,D2757)=0,"Missing in Data1","Present")</f>
        <v>Present</v>
      </c>
    </row>
    <row r="2758" spans="1:5" x14ac:dyDescent="0.25">
      <c r="A2758" s="2" t="s">
        <v>2805</v>
      </c>
      <c r="B2758" s="2" t="s">
        <v>2806</v>
      </c>
      <c r="C2758" s="2">
        <v>9</v>
      </c>
      <c r="D2758" t="str">
        <f t="shared" si="43"/>
        <v>CA-2015-146465_OFF-BI-10004528</v>
      </c>
      <c r="E2758" t="str">
        <f>IF(COUNTIF(data1!$D:$D,D2758)=0,"Missing in Data1","Present")</f>
        <v>Present</v>
      </c>
    </row>
    <row r="2759" spans="1:5" x14ac:dyDescent="0.25">
      <c r="A2759" s="2" t="s">
        <v>2807</v>
      </c>
      <c r="B2759" s="2" t="s">
        <v>2505</v>
      </c>
      <c r="C2759" s="2">
        <v>6</v>
      </c>
      <c r="D2759" t="str">
        <f t="shared" si="43"/>
        <v>CA-2015-146486_OFF-EN-10001509</v>
      </c>
      <c r="E2759" t="str">
        <f>IF(COUNTIF(data1!$D:$D,D2759)=0,"Missing in Data1","Present")</f>
        <v>Present</v>
      </c>
    </row>
    <row r="2760" spans="1:5" x14ac:dyDescent="0.25">
      <c r="A2760" s="2" t="s">
        <v>2807</v>
      </c>
      <c r="B2760" s="2" t="s">
        <v>1756</v>
      </c>
      <c r="C2760" s="2">
        <v>5</v>
      </c>
      <c r="D2760" t="str">
        <f t="shared" si="43"/>
        <v>CA-2015-146486_OFF-ST-10002554</v>
      </c>
      <c r="E2760" t="str">
        <f>IF(COUNTIF(data1!$D:$D,D2760)=0,"Missing in Data1","Present")</f>
        <v>Present</v>
      </c>
    </row>
    <row r="2761" spans="1:5" x14ac:dyDescent="0.25">
      <c r="A2761" s="2" t="s">
        <v>2807</v>
      </c>
      <c r="B2761" s="2" t="s">
        <v>2124</v>
      </c>
      <c r="C2761" s="2">
        <v>2</v>
      </c>
      <c r="D2761" t="str">
        <f t="shared" si="43"/>
        <v>CA-2015-146486_TEC-AC-10002018</v>
      </c>
      <c r="E2761" t="str">
        <f>IF(COUNTIF(data1!$D:$D,D2761)=0,"Missing in Data1","Present")</f>
        <v>Present</v>
      </c>
    </row>
    <row r="2762" spans="1:5" x14ac:dyDescent="0.25">
      <c r="A2762" s="2" t="s">
        <v>2807</v>
      </c>
      <c r="B2762" s="2" t="s">
        <v>2808</v>
      </c>
      <c r="C2762" s="2">
        <v>5</v>
      </c>
      <c r="D2762" t="str">
        <f t="shared" si="43"/>
        <v>CA-2015-146486_TEC-AC-10002637</v>
      </c>
      <c r="E2762" t="str">
        <f>IF(COUNTIF(data1!$D:$D,D2762)=0,"Missing in Data1","Present")</f>
        <v>Present</v>
      </c>
    </row>
    <row r="2763" spans="1:5" x14ac:dyDescent="0.25">
      <c r="A2763" s="2" t="s">
        <v>2809</v>
      </c>
      <c r="B2763" s="2" t="s">
        <v>1733</v>
      </c>
      <c r="C2763" s="2">
        <v>5</v>
      </c>
      <c r="D2763" t="str">
        <f t="shared" si="43"/>
        <v>CA-2015-146563_FUR-TA-10001768</v>
      </c>
      <c r="E2763" t="str">
        <f>IF(COUNTIF(data1!$D:$D,D2763)=0,"Missing in Data1","Present")</f>
        <v>Missing in Data1</v>
      </c>
    </row>
    <row r="2764" spans="1:5" x14ac:dyDescent="0.25">
      <c r="A2764" s="2" t="s">
        <v>2809</v>
      </c>
      <c r="B2764" s="2" t="s">
        <v>1105</v>
      </c>
      <c r="C2764" s="2">
        <v>3</v>
      </c>
      <c r="D2764" t="str">
        <f t="shared" si="43"/>
        <v>CA-2015-146563_OFF-BI-10003981</v>
      </c>
      <c r="E2764" t="str">
        <f>IF(COUNTIF(data1!$D:$D,D2764)=0,"Missing in Data1","Present")</f>
        <v>Present</v>
      </c>
    </row>
    <row r="2765" spans="1:5" x14ac:dyDescent="0.25">
      <c r="A2765" s="2" t="s">
        <v>2809</v>
      </c>
      <c r="B2765" s="2" t="s">
        <v>34</v>
      </c>
      <c r="C2765" s="2">
        <v>7</v>
      </c>
      <c r="D2765" t="str">
        <f t="shared" si="43"/>
        <v>CA-2015-146563_OFF-ST-10001490</v>
      </c>
      <c r="E2765" t="str">
        <f>IF(COUNTIF(data1!$D:$D,D2765)=0,"Missing in Data1","Present")</f>
        <v>Present</v>
      </c>
    </row>
    <row r="2766" spans="1:5" x14ac:dyDescent="0.25">
      <c r="A2766" s="2" t="s">
        <v>2809</v>
      </c>
      <c r="B2766" s="2" t="s">
        <v>81</v>
      </c>
      <c r="C2766" s="2">
        <v>14</v>
      </c>
      <c r="D2766" t="str">
        <f t="shared" si="43"/>
        <v>CA-2015-146563_OFF-ST-10001511</v>
      </c>
      <c r="E2766" t="str">
        <f>IF(COUNTIF(data1!$D:$D,D2766)=0,"Missing in Data1","Present")</f>
        <v>Present</v>
      </c>
    </row>
    <row r="2767" spans="1:5" x14ac:dyDescent="0.25">
      <c r="A2767" s="2" t="s">
        <v>2810</v>
      </c>
      <c r="B2767" s="2" t="s">
        <v>1877</v>
      </c>
      <c r="C2767" s="2">
        <v>3</v>
      </c>
      <c r="D2767" t="str">
        <f t="shared" si="43"/>
        <v>CA-2015-146675_TEC-AC-10004396</v>
      </c>
      <c r="E2767" t="str">
        <f>IF(COUNTIF(data1!$D:$D,D2767)=0,"Missing in Data1","Present")</f>
        <v>Present</v>
      </c>
    </row>
    <row r="2768" spans="1:5" x14ac:dyDescent="0.25">
      <c r="A2768" s="2" t="s">
        <v>2810</v>
      </c>
      <c r="B2768" s="2" t="s">
        <v>1142</v>
      </c>
      <c r="C2768" s="2">
        <v>4</v>
      </c>
      <c r="D2768" t="str">
        <f t="shared" si="43"/>
        <v>CA-2015-146675_TEC-CO-10001766</v>
      </c>
      <c r="E2768" t="str">
        <f>IF(COUNTIF(data1!$D:$D,D2768)=0,"Missing in Data1","Present")</f>
        <v>Present</v>
      </c>
    </row>
    <row r="2769" spans="1:5" x14ac:dyDescent="0.25">
      <c r="A2769" s="2" t="s">
        <v>2811</v>
      </c>
      <c r="B2769" s="2" t="s">
        <v>1338</v>
      </c>
      <c r="C2769" s="2">
        <v>2</v>
      </c>
      <c r="D2769" t="str">
        <f t="shared" si="43"/>
        <v>CA-2015-146696_OFF-BI-10002432</v>
      </c>
      <c r="E2769" t="str">
        <f>IF(COUNTIF(data1!$D:$D,D2769)=0,"Missing in Data1","Present")</f>
        <v>Present</v>
      </c>
    </row>
    <row r="2770" spans="1:5" x14ac:dyDescent="0.25">
      <c r="A2770" s="2" t="s">
        <v>2813</v>
      </c>
      <c r="B2770" s="2" t="s">
        <v>1894</v>
      </c>
      <c r="C2770" s="2">
        <v>1</v>
      </c>
      <c r="D2770" t="str">
        <f t="shared" si="43"/>
        <v>CA-2015-146948_FUR-CH-10004853</v>
      </c>
      <c r="E2770" t="str">
        <f>IF(COUNTIF(data1!$D:$D,D2770)=0,"Missing in Data1","Present")</f>
        <v>Present</v>
      </c>
    </row>
    <row r="2771" spans="1:5" x14ac:dyDescent="0.25">
      <c r="A2771" s="2" t="s">
        <v>2813</v>
      </c>
      <c r="B2771" s="2" t="s">
        <v>2574</v>
      </c>
      <c r="C2771" s="2">
        <v>9</v>
      </c>
      <c r="D2771" t="str">
        <f t="shared" si="43"/>
        <v>CA-2015-146948_OFF-EN-10000483</v>
      </c>
      <c r="E2771" t="str">
        <f>IF(COUNTIF(data1!$D:$D,D2771)=0,"Missing in Data1","Present")</f>
        <v>Present</v>
      </c>
    </row>
    <row r="2772" spans="1:5" x14ac:dyDescent="0.25">
      <c r="A2772" s="2" t="s">
        <v>2813</v>
      </c>
      <c r="B2772" s="2" t="s">
        <v>2814</v>
      </c>
      <c r="C2772" s="2">
        <v>4</v>
      </c>
      <c r="D2772" t="str">
        <f t="shared" si="43"/>
        <v>CA-2015-146948_OFF-FA-10001332</v>
      </c>
      <c r="E2772" t="str">
        <f>IF(COUNTIF(data1!$D:$D,D2772)=0,"Missing in Data1","Present")</f>
        <v>Present</v>
      </c>
    </row>
    <row r="2773" spans="1:5" x14ac:dyDescent="0.25">
      <c r="A2773" s="2" t="s">
        <v>2815</v>
      </c>
      <c r="B2773" s="2" t="s">
        <v>236</v>
      </c>
      <c r="C2773" s="2">
        <v>4</v>
      </c>
      <c r="D2773" t="str">
        <f t="shared" si="43"/>
        <v>CA-2015-147011_OFF-AR-10002399</v>
      </c>
      <c r="E2773" t="str">
        <f>IF(COUNTIF(data1!$D:$D,D2773)=0,"Missing in Data1","Present")</f>
        <v>Present</v>
      </c>
    </row>
    <row r="2774" spans="1:5" x14ac:dyDescent="0.25">
      <c r="A2774" s="2" t="s">
        <v>2816</v>
      </c>
      <c r="B2774" s="2" t="s">
        <v>2817</v>
      </c>
      <c r="C2774" s="2">
        <v>4</v>
      </c>
      <c r="D2774" t="str">
        <f t="shared" si="43"/>
        <v>CA-2015-147102_TEC-AC-10000682</v>
      </c>
      <c r="E2774" t="str">
        <f>IF(COUNTIF(data1!$D:$D,D2774)=0,"Missing in Data1","Present")</f>
        <v>Present</v>
      </c>
    </row>
    <row r="2775" spans="1:5" x14ac:dyDescent="0.25">
      <c r="A2775" s="2" t="s">
        <v>2818</v>
      </c>
      <c r="B2775" s="2" t="s">
        <v>2819</v>
      </c>
      <c r="C2775" s="2">
        <v>2</v>
      </c>
      <c r="D2775" t="str">
        <f t="shared" si="43"/>
        <v>CA-2015-147501_OFF-BI-10002003</v>
      </c>
      <c r="E2775" t="str">
        <f>IF(COUNTIF(data1!$D:$D,D2775)=0,"Missing in Data1","Present")</f>
        <v>Present</v>
      </c>
    </row>
    <row r="2776" spans="1:5" x14ac:dyDescent="0.25">
      <c r="A2776" s="2" t="s">
        <v>2818</v>
      </c>
      <c r="B2776" s="2" t="s">
        <v>1762</v>
      </c>
      <c r="C2776" s="2">
        <v>2</v>
      </c>
      <c r="D2776" t="str">
        <f t="shared" si="43"/>
        <v>CA-2015-147501_TEC-MA-10001972</v>
      </c>
      <c r="E2776" t="str">
        <f>IF(COUNTIF(data1!$D:$D,D2776)=0,"Missing in Data1","Present")</f>
        <v>Present</v>
      </c>
    </row>
    <row r="2777" spans="1:5" x14ac:dyDescent="0.25">
      <c r="A2777" s="2" t="s">
        <v>2820</v>
      </c>
      <c r="B2777" s="2" t="s">
        <v>18</v>
      </c>
      <c r="C2777" s="2">
        <v>5</v>
      </c>
      <c r="D2777" t="str">
        <f t="shared" si="43"/>
        <v>CA-2015-147529_OFF-EN-10000056</v>
      </c>
      <c r="E2777" t="str">
        <f>IF(COUNTIF(data1!$D:$D,D2777)=0,"Missing in Data1","Present")</f>
        <v>Present</v>
      </c>
    </row>
    <row r="2778" spans="1:5" x14ac:dyDescent="0.25">
      <c r="A2778" s="2" t="s">
        <v>2820</v>
      </c>
      <c r="B2778" s="2" t="s">
        <v>105</v>
      </c>
      <c r="C2778" s="2">
        <v>2</v>
      </c>
      <c r="D2778" t="str">
        <f t="shared" si="43"/>
        <v>CA-2015-147529_OFF-PA-10003349</v>
      </c>
      <c r="E2778" t="str">
        <f>IF(COUNTIF(data1!$D:$D,D2778)=0,"Missing in Data1","Present")</f>
        <v>Present</v>
      </c>
    </row>
    <row r="2779" spans="1:5" x14ac:dyDescent="0.25">
      <c r="A2779" s="2" t="s">
        <v>2821</v>
      </c>
      <c r="B2779" s="2" t="s">
        <v>2019</v>
      </c>
      <c r="C2779" s="2">
        <v>6</v>
      </c>
      <c r="D2779" t="str">
        <f t="shared" si="43"/>
        <v>CA-2015-147690_OFF-ST-10001526</v>
      </c>
      <c r="E2779" t="str">
        <f>IF(COUNTIF(data1!$D:$D,D2779)=0,"Missing in Data1","Present")</f>
        <v>Present</v>
      </c>
    </row>
    <row r="2780" spans="1:5" x14ac:dyDescent="0.25">
      <c r="A2780" s="2" t="s">
        <v>2822</v>
      </c>
      <c r="B2780" s="2" t="s">
        <v>1958</v>
      </c>
      <c r="C2780" s="2">
        <v>7</v>
      </c>
      <c r="D2780" t="str">
        <f t="shared" si="43"/>
        <v>CA-2015-147788_FUR-BO-10004357</v>
      </c>
      <c r="E2780" t="str">
        <f>IF(COUNTIF(data1!$D:$D,D2780)=0,"Missing in Data1","Present")</f>
        <v>Present</v>
      </c>
    </row>
    <row r="2781" spans="1:5" x14ac:dyDescent="0.25">
      <c r="A2781" s="2" t="s">
        <v>2822</v>
      </c>
      <c r="B2781" s="2" t="s">
        <v>1849</v>
      </c>
      <c r="C2781" s="2">
        <v>5</v>
      </c>
      <c r="D2781" t="str">
        <f t="shared" si="43"/>
        <v>CA-2015-147788_OFF-LA-10003766</v>
      </c>
      <c r="E2781" t="str">
        <f>IF(COUNTIF(data1!$D:$D,D2781)=0,"Missing in Data1","Present")</f>
        <v>Present</v>
      </c>
    </row>
    <row r="2782" spans="1:5" x14ac:dyDescent="0.25">
      <c r="A2782" s="2" t="s">
        <v>2822</v>
      </c>
      <c r="B2782" s="2" t="s">
        <v>435</v>
      </c>
      <c r="C2782" s="2">
        <v>2</v>
      </c>
      <c r="D2782" t="str">
        <f t="shared" si="43"/>
        <v>CA-2015-147788_OFF-ST-10000046</v>
      </c>
      <c r="E2782" t="str">
        <f>IF(COUNTIF(data1!$D:$D,D2782)=0,"Missing in Data1","Present")</f>
        <v>Present</v>
      </c>
    </row>
    <row r="2783" spans="1:5" x14ac:dyDescent="0.25">
      <c r="A2783" s="2" t="s">
        <v>2823</v>
      </c>
      <c r="B2783" s="2" t="s">
        <v>934</v>
      </c>
      <c r="C2783" s="2">
        <v>2</v>
      </c>
      <c r="D2783" t="str">
        <f t="shared" si="43"/>
        <v>CA-2015-147816_TEC-PH-10003095</v>
      </c>
      <c r="E2783" t="str">
        <f>IF(COUNTIF(data1!$D:$D,D2783)=0,"Missing in Data1","Present")</f>
        <v>Present</v>
      </c>
    </row>
    <row r="2784" spans="1:5" x14ac:dyDescent="0.25">
      <c r="A2784" s="2" t="s">
        <v>2824</v>
      </c>
      <c r="B2784" s="2" t="s">
        <v>118</v>
      </c>
      <c r="C2784" s="2">
        <v>7</v>
      </c>
      <c r="D2784" t="str">
        <f t="shared" si="43"/>
        <v>CA-2015-147830_FUR-FU-10004091</v>
      </c>
      <c r="E2784" t="str">
        <f>IF(COUNTIF(data1!$D:$D,D2784)=0,"Missing in Data1","Present")</f>
        <v>Present</v>
      </c>
    </row>
    <row r="2785" spans="1:5" x14ac:dyDescent="0.25">
      <c r="A2785" s="2" t="s">
        <v>2824</v>
      </c>
      <c r="B2785" s="2" t="s">
        <v>1053</v>
      </c>
      <c r="C2785" s="2">
        <v>6</v>
      </c>
      <c r="D2785" t="str">
        <f t="shared" si="43"/>
        <v>CA-2015-147830_TEC-AC-10002049</v>
      </c>
      <c r="E2785" t="str">
        <f>IF(COUNTIF(data1!$D:$D,D2785)=0,"Missing in Data1","Present")</f>
        <v>Present</v>
      </c>
    </row>
    <row r="2786" spans="1:5" x14ac:dyDescent="0.25">
      <c r="A2786" s="2" t="s">
        <v>2824</v>
      </c>
      <c r="B2786" s="2" t="s">
        <v>2825</v>
      </c>
      <c r="C2786" s="2">
        <v>2</v>
      </c>
      <c r="D2786" t="str">
        <f t="shared" si="43"/>
        <v>CA-2015-147830_TEC-MA-10000418</v>
      </c>
      <c r="E2786" t="str">
        <f>IF(COUNTIF(data1!$D:$D,D2786)=0,"Missing in Data1","Present")</f>
        <v>Present</v>
      </c>
    </row>
    <row r="2787" spans="1:5" x14ac:dyDescent="0.25">
      <c r="A2787" s="2" t="s">
        <v>2824</v>
      </c>
      <c r="B2787" s="2" t="s">
        <v>2563</v>
      </c>
      <c r="C2787" s="2">
        <v>2</v>
      </c>
      <c r="D2787" t="str">
        <f t="shared" si="43"/>
        <v>CA-2015-147830_TEC-PH-10004908</v>
      </c>
      <c r="E2787" t="str">
        <f>IF(COUNTIF(data1!$D:$D,D2787)=0,"Missing in Data1","Present")</f>
        <v>Present</v>
      </c>
    </row>
    <row r="2788" spans="1:5" x14ac:dyDescent="0.25">
      <c r="A2788" s="2" t="s">
        <v>2826</v>
      </c>
      <c r="B2788" s="2" t="s">
        <v>2806</v>
      </c>
      <c r="C2788" s="2">
        <v>4</v>
      </c>
      <c r="D2788" t="str">
        <f t="shared" si="43"/>
        <v>CA-2015-147851_OFF-BI-10004528</v>
      </c>
      <c r="E2788" t="str">
        <f>IF(COUNTIF(data1!$D:$D,D2788)=0,"Missing in Data1","Present")</f>
        <v>Present</v>
      </c>
    </row>
    <row r="2789" spans="1:5" x14ac:dyDescent="0.25">
      <c r="A2789" s="2" t="s">
        <v>2827</v>
      </c>
      <c r="B2789" s="2" t="s">
        <v>849</v>
      </c>
      <c r="C2789" s="2">
        <v>2</v>
      </c>
      <c r="D2789" t="str">
        <f t="shared" si="43"/>
        <v>CA-2015-147879_OFF-PA-10001952</v>
      </c>
      <c r="E2789" t="str">
        <f>IF(COUNTIF(data1!$D:$D,D2789)=0,"Missing in Data1","Present")</f>
        <v>Present</v>
      </c>
    </row>
    <row r="2790" spans="1:5" x14ac:dyDescent="0.25">
      <c r="A2790" s="2" t="s">
        <v>2828</v>
      </c>
      <c r="B2790" s="2" t="s">
        <v>585</v>
      </c>
      <c r="C2790" s="2">
        <v>5</v>
      </c>
      <c r="D2790" t="str">
        <f t="shared" si="43"/>
        <v>CA-2015-148180_OFF-AR-10002067</v>
      </c>
      <c r="E2790" t="str">
        <f>IF(COUNTIF(data1!$D:$D,D2790)=0,"Missing in Data1","Present")</f>
        <v>Present</v>
      </c>
    </row>
    <row r="2791" spans="1:5" x14ac:dyDescent="0.25">
      <c r="A2791" s="2" t="s">
        <v>2828</v>
      </c>
      <c r="B2791" s="2" t="s">
        <v>1789</v>
      </c>
      <c r="C2791" s="2">
        <v>3</v>
      </c>
      <c r="D2791" t="str">
        <f t="shared" si="43"/>
        <v>CA-2015-148180_OFF-BI-10000605</v>
      </c>
      <c r="E2791" t="str">
        <f>IF(COUNTIF(data1!$D:$D,D2791)=0,"Missing in Data1","Present")</f>
        <v>Present</v>
      </c>
    </row>
    <row r="2792" spans="1:5" x14ac:dyDescent="0.25">
      <c r="A2792" s="2" t="s">
        <v>2828</v>
      </c>
      <c r="B2792" s="2" t="s">
        <v>940</v>
      </c>
      <c r="C2792" s="2">
        <v>6</v>
      </c>
      <c r="D2792" t="str">
        <f t="shared" si="43"/>
        <v>CA-2015-148180_OFF-BI-10003314</v>
      </c>
      <c r="E2792" t="str">
        <f>IF(COUNTIF(data1!$D:$D,D2792)=0,"Missing in Data1","Present")</f>
        <v>Present</v>
      </c>
    </row>
    <row r="2793" spans="1:5" x14ac:dyDescent="0.25">
      <c r="A2793" s="2" t="s">
        <v>2829</v>
      </c>
      <c r="B2793" s="2" t="s">
        <v>2830</v>
      </c>
      <c r="C2793" s="2">
        <v>4</v>
      </c>
      <c r="D2793" t="str">
        <f t="shared" si="43"/>
        <v>CA-2015-148250_OFF-AP-10003040</v>
      </c>
      <c r="E2793" t="str">
        <f>IF(COUNTIF(data1!$D:$D,D2793)=0,"Missing in Data1","Present")</f>
        <v>Present</v>
      </c>
    </row>
    <row r="2794" spans="1:5" x14ac:dyDescent="0.25">
      <c r="A2794" s="2" t="s">
        <v>2829</v>
      </c>
      <c r="B2794" s="2" t="s">
        <v>961</v>
      </c>
      <c r="C2794" s="2">
        <v>2</v>
      </c>
      <c r="D2794" t="str">
        <f t="shared" si="43"/>
        <v>CA-2015-148250_OFF-PA-10000289</v>
      </c>
      <c r="E2794" t="str">
        <f>IF(COUNTIF(data1!$D:$D,D2794)=0,"Missing in Data1","Present")</f>
        <v>Present</v>
      </c>
    </row>
    <row r="2795" spans="1:5" x14ac:dyDescent="0.25">
      <c r="A2795" s="2" t="s">
        <v>2831</v>
      </c>
      <c r="B2795" s="2" t="s">
        <v>1457</v>
      </c>
      <c r="C2795" s="2">
        <v>2</v>
      </c>
      <c r="D2795" t="str">
        <f t="shared" si="43"/>
        <v>CA-2015-148376_OFF-AP-10000240</v>
      </c>
      <c r="E2795" t="str">
        <f>IF(COUNTIF(data1!$D:$D,D2795)=0,"Missing in Data1","Present")</f>
        <v>Missing in Data1</v>
      </c>
    </row>
    <row r="2796" spans="1:5" x14ac:dyDescent="0.25">
      <c r="A2796" s="2" t="s">
        <v>2831</v>
      </c>
      <c r="B2796" s="2" t="s">
        <v>2832</v>
      </c>
      <c r="C2796" s="2">
        <v>7</v>
      </c>
      <c r="D2796" t="str">
        <f t="shared" si="43"/>
        <v>CA-2015-148376_OFF-LA-10002381</v>
      </c>
      <c r="E2796" t="str">
        <f>IF(COUNTIF(data1!$D:$D,D2796)=0,"Missing in Data1","Present")</f>
        <v>Present</v>
      </c>
    </row>
    <row r="2797" spans="1:5" x14ac:dyDescent="0.25">
      <c r="A2797" s="2" t="s">
        <v>2833</v>
      </c>
      <c r="B2797" s="2" t="s">
        <v>2834</v>
      </c>
      <c r="C2797" s="2">
        <v>7</v>
      </c>
      <c r="D2797" t="str">
        <f t="shared" si="43"/>
        <v>CA-2015-148432_OFF-FA-10004968</v>
      </c>
      <c r="E2797" t="str">
        <f>IF(COUNTIF(data1!$D:$D,D2797)=0,"Missing in Data1","Present")</f>
        <v>Present</v>
      </c>
    </row>
    <row r="2798" spans="1:5" x14ac:dyDescent="0.25">
      <c r="A2798" s="2" t="s">
        <v>2833</v>
      </c>
      <c r="B2798" s="2" t="s">
        <v>2218</v>
      </c>
      <c r="C2798" s="2">
        <v>2</v>
      </c>
      <c r="D2798" t="str">
        <f t="shared" si="43"/>
        <v>CA-2015-148432_OFF-PA-10001274</v>
      </c>
      <c r="E2798" t="str">
        <f>IF(COUNTIF(data1!$D:$D,D2798)=0,"Missing in Data1","Present")</f>
        <v>Present</v>
      </c>
    </row>
    <row r="2799" spans="1:5" x14ac:dyDescent="0.25">
      <c r="A2799" s="2" t="s">
        <v>2835</v>
      </c>
      <c r="B2799" s="2" t="s">
        <v>377</v>
      </c>
      <c r="C2799" s="2">
        <v>3</v>
      </c>
      <c r="D2799" t="str">
        <f t="shared" si="43"/>
        <v>CA-2015-148495_FUR-FU-10001889</v>
      </c>
      <c r="E2799" t="str">
        <f>IF(COUNTIF(data1!$D:$D,D2799)=0,"Missing in Data1","Present")</f>
        <v>Present</v>
      </c>
    </row>
    <row r="2800" spans="1:5" x14ac:dyDescent="0.25">
      <c r="A2800" s="2" t="s">
        <v>2836</v>
      </c>
      <c r="B2800" s="2" t="s">
        <v>957</v>
      </c>
      <c r="C2800" s="2">
        <v>5</v>
      </c>
      <c r="D2800" t="str">
        <f t="shared" si="43"/>
        <v>CA-2015-148628_OFF-PA-10003883</v>
      </c>
      <c r="E2800" t="str">
        <f>IF(COUNTIF(data1!$D:$D,D2800)=0,"Missing in Data1","Present")</f>
        <v>Present</v>
      </c>
    </row>
    <row r="2801" spans="1:5" x14ac:dyDescent="0.25">
      <c r="A2801" s="2" t="s">
        <v>2837</v>
      </c>
      <c r="B2801" s="2" t="s">
        <v>815</v>
      </c>
      <c r="C2801" s="2">
        <v>5</v>
      </c>
      <c r="D2801" t="str">
        <f t="shared" si="43"/>
        <v>CA-2015-148635_FUR-BO-10002213</v>
      </c>
      <c r="E2801" t="str">
        <f>IF(COUNTIF(data1!$D:$D,D2801)=0,"Missing in Data1","Present")</f>
        <v>Present</v>
      </c>
    </row>
    <row r="2802" spans="1:5" x14ac:dyDescent="0.25">
      <c r="A2802" s="2" t="s">
        <v>2837</v>
      </c>
      <c r="B2802" s="2" t="s">
        <v>658</v>
      </c>
      <c r="C2802" s="2">
        <v>2</v>
      </c>
      <c r="D2802" t="str">
        <f t="shared" si="43"/>
        <v>CA-2015-148635_FUR-CH-10001854</v>
      </c>
      <c r="E2802" t="str">
        <f>IF(COUNTIF(data1!$D:$D,D2802)=0,"Missing in Data1","Present")</f>
        <v>Present</v>
      </c>
    </row>
    <row r="2803" spans="1:5" x14ac:dyDescent="0.25">
      <c r="A2803" s="2" t="s">
        <v>2837</v>
      </c>
      <c r="B2803" s="2" t="s">
        <v>977</v>
      </c>
      <c r="C2803" s="2">
        <v>2</v>
      </c>
      <c r="D2803" t="str">
        <f t="shared" si="43"/>
        <v>CA-2015-148635_OFF-FA-10004395</v>
      </c>
      <c r="E2803" t="str">
        <f>IF(COUNTIF(data1!$D:$D,D2803)=0,"Missing in Data1","Present")</f>
        <v>Present</v>
      </c>
    </row>
    <row r="2804" spans="1:5" x14ac:dyDescent="0.25">
      <c r="A2804" s="2" t="s">
        <v>2837</v>
      </c>
      <c r="B2804" s="2" t="s">
        <v>2838</v>
      </c>
      <c r="C2804" s="2">
        <v>2</v>
      </c>
      <c r="D2804" t="str">
        <f t="shared" si="43"/>
        <v>CA-2015-148635_OFF-PA-10004782</v>
      </c>
      <c r="E2804" t="str">
        <f>IF(COUNTIF(data1!$D:$D,D2804)=0,"Missing in Data1","Present")</f>
        <v>Present</v>
      </c>
    </row>
    <row r="2805" spans="1:5" x14ac:dyDescent="0.25">
      <c r="A2805" s="2" t="s">
        <v>2839</v>
      </c>
      <c r="B2805" s="2" t="s">
        <v>215</v>
      </c>
      <c r="C2805" s="2">
        <v>2</v>
      </c>
      <c r="D2805" t="str">
        <f t="shared" si="43"/>
        <v>CA-2015-148705_OFF-LA-10001641</v>
      </c>
      <c r="E2805" t="str">
        <f>IF(COUNTIF(data1!$D:$D,D2805)=0,"Missing in Data1","Present")</f>
        <v>Present</v>
      </c>
    </row>
    <row r="2806" spans="1:5" x14ac:dyDescent="0.25">
      <c r="A2806" s="2" t="s">
        <v>2840</v>
      </c>
      <c r="B2806" s="2" t="s">
        <v>2841</v>
      </c>
      <c r="C2806" s="2">
        <v>3</v>
      </c>
      <c r="D2806" t="str">
        <f t="shared" si="43"/>
        <v>CA-2015-148712_OFF-AR-10000614</v>
      </c>
      <c r="E2806" t="str">
        <f>IF(COUNTIF(data1!$D:$D,D2806)=0,"Missing in Data1","Present")</f>
        <v>Present</v>
      </c>
    </row>
    <row r="2807" spans="1:5" x14ac:dyDescent="0.25">
      <c r="A2807" s="2" t="s">
        <v>2840</v>
      </c>
      <c r="B2807" s="2" t="s">
        <v>2483</v>
      </c>
      <c r="C2807" s="2">
        <v>13</v>
      </c>
      <c r="D2807" t="str">
        <f t="shared" si="43"/>
        <v>CA-2015-148712_OFF-BI-10001900</v>
      </c>
      <c r="E2807" t="str">
        <f>IF(COUNTIF(data1!$D:$D,D2807)=0,"Missing in Data1","Present")</f>
        <v>Missing in Data1</v>
      </c>
    </row>
    <row r="2808" spans="1:5" x14ac:dyDescent="0.25">
      <c r="A2808" s="2" t="s">
        <v>2840</v>
      </c>
      <c r="B2808" s="2" t="s">
        <v>1476</v>
      </c>
      <c r="C2808" s="2">
        <v>1</v>
      </c>
      <c r="D2808" t="str">
        <f t="shared" si="43"/>
        <v>CA-2015-148712_TEC-AC-10003198</v>
      </c>
      <c r="E2808" t="str">
        <f>IF(COUNTIF(data1!$D:$D,D2808)=0,"Missing in Data1","Present")</f>
        <v>Present</v>
      </c>
    </row>
    <row r="2809" spans="1:5" x14ac:dyDescent="0.25">
      <c r="A2809" s="2" t="s">
        <v>2842</v>
      </c>
      <c r="B2809" s="2" t="s">
        <v>45</v>
      </c>
      <c r="C2809" s="2">
        <v>2</v>
      </c>
      <c r="D2809" t="str">
        <f t="shared" si="43"/>
        <v>CA-2015-148859_OFF-ST-10004950</v>
      </c>
      <c r="E2809" t="str">
        <f>IF(COUNTIF(data1!$D:$D,D2809)=0,"Missing in Data1","Present")</f>
        <v>Present</v>
      </c>
    </row>
    <row r="2810" spans="1:5" x14ac:dyDescent="0.25">
      <c r="A2810" s="2" t="s">
        <v>2843</v>
      </c>
      <c r="B2810" s="2" t="s">
        <v>1525</v>
      </c>
      <c r="C2810" s="2">
        <v>4</v>
      </c>
      <c r="D2810" t="str">
        <f t="shared" si="43"/>
        <v>CA-2015-148873_OFF-BI-10003196</v>
      </c>
      <c r="E2810" t="str">
        <f>IF(COUNTIF(data1!$D:$D,D2810)=0,"Missing in Data1","Present")</f>
        <v>Present</v>
      </c>
    </row>
    <row r="2811" spans="1:5" x14ac:dyDescent="0.25">
      <c r="A2811" s="2" t="s">
        <v>2843</v>
      </c>
      <c r="B2811" s="2" t="s">
        <v>2249</v>
      </c>
      <c r="C2811" s="2">
        <v>4</v>
      </c>
      <c r="D2811" t="str">
        <f t="shared" si="43"/>
        <v>CA-2015-148873_TEC-AC-10003657</v>
      </c>
      <c r="E2811" t="str">
        <f>IF(COUNTIF(data1!$D:$D,D2811)=0,"Missing in Data1","Present")</f>
        <v>Present</v>
      </c>
    </row>
    <row r="2812" spans="1:5" x14ac:dyDescent="0.25">
      <c r="A2812" s="2" t="s">
        <v>2844</v>
      </c>
      <c r="B2812" s="2" t="s">
        <v>1503</v>
      </c>
      <c r="C2812" s="2">
        <v>1</v>
      </c>
      <c r="D2812" t="str">
        <f t="shared" si="43"/>
        <v>CA-2015-148964_FUR-FU-10003849</v>
      </c>
      <c r="E2812" t="str">
        <f>IF(COUNTIF(data1!$D:$D,D2812)=0,"Missing in Data1","Present")</f>
        <v>Present</v>
      </c>
    </row>
    <row r="2813" spans="1:5" x14ac:dyDescent="0.25">
      <c r="A2813" s="2" t="s">
        <v>2845</v>
      </c>
      <c r="B2813" s="2" t="s">
        <v>1333</v>
      </c>
      <c r="C2813" s="2">
        <v>4</v>
      </c>
      <c r="D2813" t="str">
        <f t="shared" si="43"/>
        <v>CA-2015-149083_FUR-CH-10004289</v>
      </c>
      <c r="E2813" t="str">
        <f>IF(COUNTIF(data1!$D:$D,D2813)=0,"Missing in Data1","Present")</f>
        <v>Present</v>
      </c>
    </row>
    <row r="2814" spans="1:5" x14ac:dyDescent="0.25">
      <c r="A2814" s="2" t="s">
        <v>2845</v>
      </c>
      <c r="B2814" s="2" t="s">
        <v>720</v>
      </c>
      <c r="C2814" s="2">
        <v>2</v>
      </c>
      <c r="D2814" t="str">
        <f t="shared" si="43"/>
        <v>CA-2015-149083_OFF-LA-10002945</v>
      </c>
      <c r="E2814" t="str">
        <f>IF(COUNTIF(data1!$D:$D,D2814)=0,"Missing in Data1","Present")</f>
        <v>Present</v>
      </c>
    </row>
    <row r="2815" spans="1:5" x14ac:dyDescent="0.25">
      <c r="A2815" s="2" t="s">
        <v>2845</v>
      </c>
      <c r="B2815" s="2" t="s">
        <v>710</v>
      </c>
      <c r="C2815" s="2">
        <v>2</v>
      </c>
      <c r="D2815" t="str">
        <f t="shared" si="43"/>
        <v>CA-2015-149083_TEC-AC-10002567</v>
      </c>
      <c r="E2815" t="str">
        <f>IF(COUNTIF(data1!$D:$D,D2815)=0,"Missing in Data1","Present")</f>
        <v>Present</v>
      </c>
    </row>
    <row r="2816" spans="1:5" x14ac:dyDescent="0.25">
      <c r="A2816" s="2" t="s">
        <v>2846</v>
      </c>
      <c r="B2816" s="2" t="s">
        <v>2847</v>
      </c>
      <c r="C2816" s="2">
        <v>7</v>
      </c>
      <c r="D2816" t="str">
        <f t="shared" si="43"/>
        <v>CA-2015-149097_FUR-FU-10003424</v>
      </c>
      <c r="E2816" t="str">
        <f>IF(COUNTIF(data1!$D:$D,D2816)=0,"Missing in Data1","Present")</f>
        <v>Present</v>
      </c>
    </row>
    <row r="2817" spans="1:5" x14ac:dyDescent="0.25">
      <c r="A2817" s="2" t="s">
        <v>2846</v>
      </c>
      <c r="B2817" s="2" t="s">
        <v>2848</v>
      </c>
      <c r="C2817" s="2">
        <v>3</v>
      </c>
      <c r="D2817" t="str">
        <f t="shared" si="43"/>
        <v>CA-2015-149097_FUR-TA-10001086</v>
      </c>
      <c r="E2817" t="str">
        <f>IF(COUNTIF(data1!$D:$D,D2817)=0,"Missing in Data1","Present")</f>
        <v>Present</v>
      </c>
    </row>
    <row r="2818" spans="1:5" x14ac:dyDescent="0.25">
      <c r="A2818" s="2" t="s">
        <v>6785</v>
      </c>
      <c r="B2818" s="2" t="s">
        <v>187</v>
      </c>
      <c r="C2818" s="2">
        <v>3</v>
      </c>
      <c r="D2818" t="str">
        <f t="shared" si="43"/>
        <v>CA-2015-149300_TEC-MA-10000423</v>
      </c>
      <c r="E2818" t="str">
        <f>IF(COUNTIF(data1!$D:$D,D2818)=0,"Missing in Data1","Present")</f>
        <v>Missing in Data1</v>
      </c>
    </row>
    <row r="2819" spans="1:5" x14ac:dyDescent="0.25">
      <c r="A2819" s="2" t="s">
        <v>2849</v>
      </c>
      <c r="B2819" s="2" t="s">
        <v>2850</v>
      </c>
      <c r="C2819" s="2">
        <v>6</v>
      </c>
      <c r="D2819" t="str">
        <f t="shared" ref="D2819:D2882" si="44">A2819&amp;"_"&amp;B2819</f>
        <v>CA-2015-149342_FUR-FU-10002937</v>
      </c>
      <c r="E2819" t="str">
        <f>IF(COUNTIF(data1!$D:$D,D2819)=0,"Missing in Data1","Present")</f>
        <v>Present</v>
      </c>
    </row>
    <row r="2820" spans="1:5" x14ac:dyDescent="0.25">
      <c r="A2820" s="2" t="s">
        <v>2849</v>
      </c>
      <c r="B2820" s="2" t="s">
        <v>1378</v>
      </c>
      <c r="C2820" s="2">
        <v>2</v>
      </c>
      <c r="D2820" t="str">
        <f t="shared" si="44"/>
        <v>CA-2015-149342_OFF-PA-10001166</v>
      </c>
      <c r="E2820" t="str">
        <f>IF(COUNTIF(data1!$D:$D,D2820)=0,"Missing in Data1","Present")</f>
        <v>Present</v>
      </c>
    </row>
    <row r="2821" spans="1:5" x14ac:dyDescent="0.25">
      <c r="A2821" s="2" t="s">
        <v>2849</v>
      </c>
      <c r="B2821" s="2" t="s">
        <v>312</v>
      </c>
      <c r="C2821" s="2">
        <v>3</v>
      </c>
      <c r="D2821" t="str">
        <f t="shared" si="44"/>
        <v>CA-2015-149342_TEC-PH-10001557</v>
      </c>
      <c r="E2821" t="str">
        <f>IF(COUNTIF(data1!$D:$D,D2821)=0,"Missing in Data1","Present")</f>
        <v>Present</v>
      </c>
    </row>
    <row r="2822" spans="1:5" x14ac:dyDescent="0.25">
      <c r="A2822" s="2" t="s">
        <v>2851</v>
      </c>
      <c r="B2822" s="2" t="s">
        <v>1525</v>
      </c>
      <c r="C2822" s="2">
        <v>3</v>
      </c>
      <c r="D2822" t="str">
        <f t="shared" si="44"/>
        <v>CA-2015-149384_OFF-BI-10003196</v>
      </c>
      <c r="E2822" t="str">
        <f>IF(COUNTIF(data1!$D:$D,D2822)=0,"Missing in Data1","Present")</f>
        <v>Present</v>
      </c>
    </row>
    <row r="2823" spans="1:5" x14ac:dyDescent="0.25">
      <c r="A2823" s="2" t="s">
        <v>2852</v>
      </c>
      <c r="B2823" s="2" t="s">
        <v>2291</v>
      </c>
      <c r="C2823" s="2">
        <v>3</v>
      </c>
      <c r="D2823" t="str">
        <f t="shared" si="44"/>
        <v>CA-2015-149517_FUR-FU-10003464</v>
      </c>
      <c r="E2823" t="str">
        <f>IF(COUNTIF(data1!$D:$D,D2823)=0,"Missing in Data1","Present")</f>
        <v>Present</v>
      </c>
    </row>
    <row r="2824" spans="1:5" x14ac:dyDescent="0.25">
      <c r="A2824" s="2" t="s">
        <v>2853</v>
      </c>
      <c r="B2824" s="2" t="s">
        <v>627</v>
      </c>
      <c r="C2824" s="2">
        <v>4</v>
      </c>
      <c r="D2824" t="str">
        <f t="shared" si="44"/>
        <v>CA-2015-149566_OFF-LA-10000452</v>
      </c>
      <c r="E2824" t="str">
        <f>IF(COUNTIF(data1!$D:$D,D2824)=0,"Missing in Data1","Present")</f>
        <v>Present</v>
      </c>
    </row>
    <row r="2825" spans="1:5" x14ac:dyDescent="0.25">
      <c r="A2825" s="2" t="s">
        <v>2853</v>
      </c>
      <c r="B2825" s="2" t="s">
        <v>1097</v>
      </c>
      <c r="C2825" s="2">
        <v>3</v>
      </c>
      <c r="D2825" t="str">
        <f t="shared" si="44"/>
        <v>CA-2015-149566_TEC-AC-10001266</v>
      </c>
      <c r="E2825" t="str">
        <f>IF(COUNTIF(data1!$D:$D,D2825)=0,"Missing in Data1","Present")</f>
        <v>Present</v>
      </c>
    </row>
    <row r="2826" spans="1:5" x14ac:dyDescent="0.25">
      <c r="A2826" s="2" t="s">
        <v>2854</v>
      </c>
      <c r="B2826" s="2" t="s">
        <v>2021</v>
      </c>
      <c r="C2826" s="2">
        <v>3</v>
      </c>
      <c r="D2826" t="str">
        <f t="shared" si="44"/>
        <v>CA-2015-149587_FUR-FU-10003799</v>
      </c>
      <c r="E2826" t="str">
        <f>IF(COUNTIF(data1!$D:$D,D2826)=0,"Missing in Data1","Present")</f>
        <v>Present</v>
      </c>
    </row>
    <row r="2827" spans="1:5" x14ac:dyDescent="0.25">
      <c r="A2827" s="2" t="s">
        <v>2854</v>
      </c>
      <c r="B2827" s="2" t="s">
        <v>480</v>
      </c>
      <c r="C2827" s="2">
        <v>2</v>
      </c>
      <c r="D2827" t="str">
        <f t="shared" si="44"/>
        <v>CA-2015-149587_OFF-BI-10002852</v>
      </c>
      <c r="E2827" t="str">
        <f>IF(COUNTIF(data1!$D:$D,D2827)=0,"Missing in Data1","Present")</f>
        <v>Present</v>
      </c>
    </row>
    <row r="2828" spans="1:5" x14ac:dyDescent="0.25">
      <c r="A2828" s="2" t="s">
        <v>2854</v>
      </c>
      <c r="B2828" s="2" t="s">
        <v>1158</v>
      </c>
      <c r="C2828" s="2">
        <v>2</v>
      </c>
      <c r="D2828" t="str">
        <f t="shared" si="44"/>
        <v>CA-2015-149587_OFF-PA-10003177</v>
      </c>
      <c r="E2828" t="str">
        <f>IF(COUNTIF(data1!$D:$D,D2828)=0,"Missing in Data1","Present")</f>
        <v>Present</v>
      </c>
    </row>
    <row r="2829" spans="1:5" x14ac:dyDescent="0.25">
      <c r="A2829" s="2" t="s">
        <v>2855</v>
      </c>
      <c r="B2829" s="2" t="s">
        <v>2856</v>
      </c>
      <c r="C2829" s="2">
        <v>5</v>
      </c>
      <c r="D2829" t="str">
        <f t="shared" si="44"/>
        <v>CA-2015-149601_OFF-ST-10001328</v>
      </c>
      <c r="E2829" t="str">
        <f>IF(COUNTIF(data1!$D:$D,D2829)=0,"Missing in Data1","Present")</f>
        <v>Present</v>
      </c>
    </row>
    <row r="2830" spans="1:5" x14ac:dyDescent="0.25">
      <c r="A2830" s="2" t="s">
        <v>2855</v>
      </c>
      <c r="B2830" s="2" t="s">
        <v>1735</v>
      </c>
      <c r="C2830" s="2">
        <v>1</v>
      </c>
      <c r="D2830" t="str">
        <f t="shared" si="44"/>
        <v>CA-2015-149601_OFF-ST-10001558</v>
      </c>
      <c r="E2830" t="str">
        <f>IF(COUNTIF(data1!$D:$D,D2830)=0,"Missing in Data1","Present")</f>
        <v>Present</v>
      </c>
    </row>
    <row r="2831" spans="1:5" x14ac:dyDescent="0.25">
      <c r="A2831" s="2" t="s">
        <v>2857</v>
      </c>
      <c r="B2831" s="2" t="s">
        <v>735</v>
      </c>
      <c r="C2831" s="2">
        <v>2</v>
      </c>
      <c r="D2831" t="str">
        <f t="shared" si="44"/>
        <v>CA-2015-149636_OFF-BI-10002764</v>
      </c>
      <c r="E2831" t="str">
        <f>IF(COUNTIF(data1!$D:$D,D2831)=0,"Missing in Data1","Present")</f>
        <v>Present</v>
      </c>
    </row>
    <row r="2832" spans="1:5" x14ac:dyDescent="0.25">
      <c r="A2832" s="2" t="s">
        <v>2857</v>
      </c>
      <c r="B2832" s="2" t="s">
        <v>2644</v>
      </c>
      <c r="C2832" s="2">
        <v>5</v>
      </c>
      <c r="D2832" t="str">
        <f t="shared" si="44"/>
        <v>CA-2015-149636_OFF-PA-10004041</v>
      </c>
      <c r="E2832" t="str">
        <f>IF(COUNTIF(data1!$D:$D,D2832)=0,"Missing in Data1","Present")</f>
        <v>Present</v>
      </c>
    </row>
    <row r="2833" spans="1:5" x14ac:dyDescent="0.25">
      <c r="A2833" s="2" t="s">
        <v>2859</v>
      </c>
      <c r="B2833" s="2" t="s">
        <v>2537</v>
      </c>
      <c r="C2833" s="2">
        <v>1</v>
      </c>
      <c r="D2833" t="str">
        <f t="shared" si="44"/>
        <v>CA-2015-149678_OFF-SU-10004498</v>
      </c>
      <c r="E2833" t="str">
        <f>IF(COUNTIF(data1!$D:$D,D2833)=0,"Missing in Data1","Present")</f>
        <v>Present</v>
      </c>
    </row>
    <row r="2834" spans="1:5" x14ac:dyDescent="0.25">
      <c r="A2834" s="2" t="s">
        <v>2860</v>
      </c>
      <c r="B2834" s="2" t="s">
        <v>2861</v>
      </c>
      <c r="C2834" s="2">
        <v>4</v>
      </c>
      <c r="D2834" t="str">
        <f t="shared" si="44"/>
        <v>CA-2015-149713_OFF-PA-10001450</v>
      </c>
      <c r="E2834" t="str">
        <f>IF(COUNTIF(data1!$D:$D,D2834)=0,"Missing in Data1","Present")</f>
        <v>Present</v>
      </c>
    </row>
    <row r="2835" spans="1:5" x14ac:dyDescent="0.25">
      <c r="A2835" s="2" t="s">
        <v>2860</v>
      </c>
      <c r="B2835" s="2" t="s">
        <v>386</v>
      </c>
      <c r="C2835" s="2">
        <v>14</v>
      </c>
      <c r="D2835" t="str">
        <f t="shared" si="44"/>
        <v>CA-2015-149713_OFF-PA-10004530</v>
      </c>
      <c r="E2835" t="str">
        <f>IF(COUNTIF(data1!$D:$D,D2835)=0,"Missing in Data1","Present")</f>
        <v>Missing in Data1</v>
      </c>
    </row>
    <row r="2836" spans="1:5" x14ac:dyDescent="0.25">
      <c r="A2836" s="2" t="s">
        <v>2860</v>
      </c>
      <c r="B2836" s="2" t="s">
        <v>911</v>
      </c>
      <c r="C2836" s="2">
        <v>2</v>
      </c>
      <c r="D2836" t="str">
        <f t="shared" si="44"/>
        <v>CA-2015-149713_OFF-SU-10001574</v>
      </c>
      <c r="E2836" t="str">
        <f>IF(COUNTIF(data1!$D:$D,D2836)=0,"Missing in Data1","Present")</f>
        <v>Present</v>
      </c>
    </row>
    <row r="2837" spans="1:5" x14ac:dyDescent="0.25">
      <c r="A2837" s="2" t="s">
        <v>2862</v>
      </c>
      <c r="B2837" s="2" t="s">
        <v>2236</v>
      </c>
      <c r="C2837" s="2">
        <v>7</v>
      </c>
      <c r="D2837" t="str">
        <f t="shared" si="44"/>
        <v>CA-2015-149734_OFF-EN-10000927</v>
      </c>
      <c r="E2837" t="str">
        <f>IF(COUNTIF(data1!$D:$D,D2837)=0,"Missing in Data1","Present")</f>
        <v>Present</v>
      </c>
    </row>
    <row r="2838" spans="1:5" x14ac:dyDescent="0.25">
      <c r="A2838" s="2" t="s">
        <v>2863</v>
      </c>
      <c r="B2838" s="2" t="s">
        <v>2864</v>
      </c>
      <c r="C2838" s="2">
        <v>2</v>
      </c>
      <c r="D2838" t="str">
        <f t="shared" si="44"/>
        <v>CA-2015-149748_FUR-FU-10001847</v>
      </c>
      <c r="E2838" t="str">
        <f>IF(COUNTIF(data1!$D:$D,D2838)=0,"Missing in Data1","Present")</f>
        <v>Present</v>
      </c>
    </row>
    <row r="2839" spans="1:5" x14ac:dyDescent="0.25">
      <c r="A2839" s="2" t="s">
        <v>2863</v>
      </c>
      <c r="B2839" s="2" t="s">
        <v>1414</v>
      </c>
      <c r="C2839" s="2">
        <v>5</v>
      </c>
      <c r="D2839" t="str">
        <f t="shared" si="44"/>
        <v>CA-2015-149748_OFF-PA-10002120</v>
      </c>
      <c r="E2839" t="str">
        <f>IF(COUNTIF(data1!$D:$D,D2839)=0,"Missing in Data1","Present")</f>
        <v>Present</v>
      </c>
    </row>
    <row r="2840" spans="1:5" x14ac:dyDescent="0.25">
      <c r="A2840" s="2" t="s">
        <v>2863</v>
      </c>
      <c r="B2840" s="2" t="s">
        <v>1360</v>
      </c>
      <c r="C2840" s="2">
        <v>1</v>
      </c>
      <c r="D2840" t="str">
        <f t="shared" si="44"/>
        <v>CA-2015-149748_OFF-ST-10004340</v>
      </c>
      <c r="E2840" t="str">
        <f>IF(COUNTIF(data1!$D:$D,D2840)=0,"Missing in Data1","Present")</f>
        <v>Present</v>
      </c>
    </row>
    <row r="2841" spans="1:5" x14ac:dyDescent="0.25">
      <c r="A2841" s="2" t="s">
        <v>2865</v>
      </c>
      <c r="B2841" s="2" t="s">
        <v>206</v>
      </c>
      <c r="C2841" s="2">
        <v>3</v>
      </c>
      <c r="D2841" t="str">
        <f t="shared" si="44"/>
        <v>CA-2015-149811_OFF-BI-10003676</v>
      </c>
      <c r="E2841" t="str">
        <f>IF(COUNTIF(data1!$D:$D,D2841)=0,"Missing in Data1","Present")</f>
        <v>Present</v>
      </c>
    </row>
    <row r="2842" spans="1:5" x14ac:dyDescent="0.25">
      <c r="A2842" s="2" t="s">
        <v>2865</v>
      </c>
      <c r="B2842" s="2" t="s">
        <v>25</v>
      </c>
      <c r="C2842" s="2">
        <v>5</v>
      </c>
      <c r="D2842" t="str">
        <f t="shared" si="44"/>
        <v>CA-2015-149811_OFF-PA-10004082</v>
      </c>
      <c r="E2842" t="str">
        <f>IF(COUNTIF(data1!$D:$D,D2842)=0,"Missing in Data1","Present")</f>
        <v>Present</v>
      </c>
    </row>
    <row r="2843" spans="1:5" x14ac:dyDescent="0.25">
      <c r="A2843" s="2" t="s">
        <v>2866</v>
      </c>
      <c r="B2843" s="2" t="s">
        <v>1711</v>
      </c>
      <c r="C2843" s="2">
        <v>2</v>
      </c>
      <c r="D2843" t="str">
        <f t="shared" si="44"/>
        <v>CA-2015-149846_OFF-LA-10004484</v>
      </c>
      <c r="E2843" t="str">
        <f>IF(COUNTIF(data1!$D:$D,D2843)=0,"Missing in Data1","Present")</f>
        <v>Present</v>
      </c>
    </row>
    <row r="2844" spans="1:5" x14ac:dyDescent="0.25">
      <c r="A2844" s="2" t="s">
        <v>2866</v>
      </c>
      <c r="B2844" s="2" t="s">
        <v>1809</v>
      </c>
      <c r="C2844" s="2">
        <v>7</v>
      </c>
      <c r="D2844" t="str">
        <f t="shared" si="44"/>
        <v>CA-2015-149846_OFF-ST-10002406</v>
      </c>
      <c r="E2844" t="str">
        <f>IF(COUNTIF(data1!$D:$D,D2844)=0,"Missing in Data1","Present")</f>
        <v>Present</v>
      </c>
    </row>
    <row r="2845" spans="1:5" x14ac:dyDescent="0.25">
      <c r="A2845" s="2" t="s">
        <v>2866</v>
      </c>
      <c r="B2845" s="2" t="s">
        <v>2595</v>
      </c>
      <c r="C2845" s="2">
        <v>7</v>
      </c>
      <c r="D2845" t="str">
        <f t="shared" si="44"/>
        <v>CA-2015-149846_TEC-MA-10004002</v>
      </c>
      <c r="E2845" t="str">
        <f>IF(COUNTIF(data1!$D:$D,D2845)=0,"Missing in Data1","Present")</f>
        <v>Present</v>
      </c>
    </row>
    <row r="2846" spans="1:5" x14ac:dyDescent="0.25">
      <c r="A2846" s="2" t="s">
        <v>2866</v>
      </c>
      <c r="B2846" s="2" t="s">
        <v>998</v>
      </c>
      <c r="C2846" s="2">
        <v>6</v>
      </c>
      <c r="D2846" t="str">
        <f t="shared" si="44"/>
        <v>CA-2015-149846_TEC-PH-10003645</v>
      </c>
      <c r="E2846" t="str">
        <f>IF(COUNTIF(data1!$D:$D,D2846)=0,"Missing in Data1","Present")</f>
        <v>Present</v>
      </c>
    </row>
    <row r="2847" spans="1:5" x14ac:dyDescent="0.25">
      <c r="A2847" s="2" t="s">
        <v>2867</v>
      </c>
      <c r="B2847" s="2" t="s">
        <v>2868</v>
      </c>
      <c r="C2847" s="2">
        <v>7</v>
      </c>
      <c r="D2847" t="str">
        <f t="shared" si="44"/>
        <v>CA-2015-149909_OFF-PA-10000726</v>
      </c>
      <c r="E2847" t="str">
        <f>IF(COUNTIF(data1!$D:$D,D2847)=0,"Missing in Data1","Present")</f>
        <v>Present</v>
      </c>
    </row>
    <row r="2848" spans="1:5" x14ac:dyDescent="0.25">
      <c r="A2848" s="2" t="s">
        <v>2867</v>
      </c>
      <c r="B2848" s="2" t="s">
        <v>2090</v>
      </c>
      <c r="C2848" s="2">
        <v>2</v>
      </c>
      <c r="D2848" t="str">
        <f t="shared" si="44"/>
        <v>CA-2015-149909_OFF-PA-10001790</v>
      </c>
      <c r="E2848" t="str">
        <f>IF(COUNTIF(data1!$D:$D,D2848)=0,"Missing in Data1","Present")</f>
        <v>Present</v>
      </c>
    </row>
    <row r="2849" spans="1:5" x14ac:dyDescent="0.25">
      <c r="A2849" s="2" t="s">
        <v>2867</v>
      </c>
      <c r="B2849" s="2" t="s">
        <v>1634</v>
      </c>
      <c r="C2849" s="2">
        <v>3</v>
      </c>
      <c r="D2849" t="str">
        <f t="shared" si="44"/>
        <v>CA-2015-149909_TEC-PH-10001536</v>
      </c>
      <c r="E2849" t="str">
        <f>IF(COUNTIF(data1!$D:$D,D2849)=0,"Missing in Data1","Present")</f>
        <v>Present</v>
      </c>
    </row>
    <row r="2850" spans="1:5" x14ac:dyDescent="0.25">
      <c r="A2850" s="2" t="s">
        <v>2869</v>
      </c>
      <c r="B2850" s="2" t="s">
        <v>680</v>
      </c>
      <c r="C2850" s="2">
        <v>4</v>
      </c>
      <c r="D2850" t="str">
        <f t="shared" si="44"/>
        <v>CA-2015-149972_FUR-CH-10004997</v>
      </c>
      <c r="E2850" t="str">
        <f>IF(COUNTIF(data1!$D:$D,D2850)=0,"Missing in Data1","Present")</f>
        <v>Present</v>
      </c>
    </row>
    <row r="2851" spans="1:5" x14ac:dyDescent="0.25">
      <c r="A2851" s="2" t="s">
        <v>2869</v>
      </c>
      <c r="B2851" s="2" t="s">
        <v>454</v>
      </c>
      <c r="C2851" s="2">
        <v>2</v>
      </c>
      <c r="D2851" t="str">
        <f t="shared" si="44"/>
        <v>CA-2015-149972_OFF-FA-10002763</v>
      </c>
      <c r="E2851" t="str">
        <f>IF(COUNTIF(data1!$D:$D,D2851)=0,"Missing in Data1","Present")</f>
        <v>Present</v>
      </c>
    </row>
    <row r="2852" spans="1:5" x14ac:dyDescent="0.25">
      <c r="A2852" s="2" t="s">
        <v>2870</v>
      </c>
      <c r="B2852" s="2" t="s">
        <v>1358</v>
      </c>
      <c r="C2852" s="2">
        <v>5</v>
      </c>
      <c r="D2852" t="str">
        <f t="shared" si="44"/>
        <v>CA-2015-149993_OFF-FA-10001561</v>
      </c>
      <c r="E2852" t="str">
        <f>IF(COUNTIF(data1!$D:$D,D2852)=0,"Missing in Data1","Present")</f>
        <v>Present</v>
      </c>
    </row>
    <row r="2853" spans="1:5" x14ac:dyDescent="0.25">
      <c r="A2853" s="2" t="s">
        <v>2871</v>
      </c>
      <c r="B2853" s="2" t="s">
        <v>1405</v>
      </c>
      <c r="C2853" s="2">
        <v>3</v>
      </c>
      <c r="D2853" t="str">
        <f t="shared" si="44"/>
        <v>CA-2015-150196_OFF-PA-10003797</v>
      </c>
      <c r="E2853" t="str">
        <f>IF(COUNTIF(data1!$D:$D,D2853)=0,"Missing in Data1","Present")</f>
        <v>Present</v>
      </c>
    </row>
    <row r="2854" spans="1:5" x14ac:dyDescent="0.25">
      <c r="A2854" s="2" t="s">
        <v>2872</v>
      </c>
      <c r="B2854" s="2" t="s">
        <v>2873</v>
      </c>
      <c r="C2854" s="2">
        <v>3</v>
      </c>
      <c r="D2854" t="str">
        <f t="shared" si="44"/>
        <v>CA-2015-150308_TEC-PH-10001433</v>
      </c>
      <c r="E2854" t="str">
        <f>IF(COUNTIF(data1!$D:$D,D2854)=0,"Missing in Data1","Present")</f>
        <v>Present</v>
      </c>
    </row>
    <row r="2855" spans="1:5" x14ac:dyDescent="0.25">
      <c r="A2855" s="2" t="s">
        <v>2874</v>
      </c>
      <c r="B2855" s="2" t="s">
        <v>2875</v>
      </c>
      <c r="C2855" s="2">
        <v>1</v>
      </c>
      <c r="D2855" t="str">
        <f t="shared" si="44"/>
        <v>CA-2015-150413_OFF-BI-10000404</v>
      </c>
      <c r="E2855" t="str">
        <f>IF(COUNTIF(data1!$D:$D,D2855)=0,"Missing in Data1","Present")</f>
        <v>Present</v>
      </c>
    </row>
    <row r="2856" spans="1:5" x14ac:dyDescent="0.25">
      <c r="A2856" s="2" t="s">
        <v>2876</v>
      </c>
      <c r="B2856" s="2" t="s">
        <v>446</v>
      </c>
      <c r="C2856" s="2">
        <v>4</v>
      </c>
      <c r="D2856" t="str">
        <f t="shared" si="44"/>
        <v>CA-2015-150441_OFF-BI-10003529</v>
      </c>
      <c r="E2856" t="str">
        <f>IF(COUNTIF(data1!$D:$D,D2856)=0,"Missing in Data1","Present")</f>
        <v>Present</v>
      </c>
    </row>
    <row r="2857" spans="1:5" x14ac:dyDescent="0.25">
      <c r="A2857" s="2" t="s">
        <v>2877</v>
      </c>
      <c r="B2857" s="2" t="s">
        <v>2062</v>
      </c>
      <c r="C2857" s="2">
        <v>2</v>
      </c>
      <c r="D2857" t="str">
        <f t="shared" si="44"/>
        <v>CA-2015-150511_OFF-PA-10001776</v>
      </c>
      <c r="E2857" t="str">
        <f>IF(COUNTIF(data1!$D:$D,D2857)=0,"Missing in Data1","Present")</f>
        <v>Present</v>
      </c>
    </row>
    <row r="2858" spans="1:5" x14ac:dyDescent="0.25">
      <c r="A2858" s="2" t="s">
        <v>2878</v>
      </c>
      <c r="B2858" s="2" t="s">
        <v>24</v>
      </c>
      <c r="C2858" s="2">
        <v>2</v>
      </c>
      <c r="D2858" t="str">
        <f t="shared" si="44"/>
        <v>CA-2015-150560_OFF-LA-10003930</v>
      </c>
      <c r="E2858" t="str">
        <f>IF(COUNTIF(data1!$D:$D,D2858)=0,"Missing in Data1","Present")</f>
        <v>Present</v>
      </c>
    </row>
    <row r="2859" spans="1:5" x14ac:dyDescent="0.25">
      <c r="A2859" s="2" t="s">
        <v>2879</v>
      </c>
      <c r="B2859" s="2" t="s">
        <v>1183</v>
      </c>
      <c r="C2859" s="2">
        <v>5</v>
      </c>
      <c r="D2859" t="str">
        <f t="shared" si="44"/>
        <v>CA-2015-150714_OFF-AP-10003287</v>
      </c>
      <c r="E2859" t="str">
        <f>IF(COUNTIF(data1!$D:$D,D2859)=0,"Missing in Data1","Present")</f>
        <v>Present</v>
      </c>
    </row>
    <row r="2860" spans="1:5" x14ac:dyDescent="0.25">
      <c r="A2860" s="2" t="s">
        <v>2879</v>
      </c>
      <c r="B2860" s="2" t="s">
        <v>1734</v>
      </c>
      <c r="C2860" s="2">
        <v>7</v>
      </c>
      <c r="D2860" t="str">
        <f t="shared" si="44"/>
        <v>CA-2015-150714_OFF-BI-10002982</v>
      </c>
      <c r="E2860" t="str">
        <f>IF(COUNTIF(data1!$D:$D,D2860)=0,"Missing in Data1","Present")</f>
        <v>Present</v>
      </c>
    </row>
    <row r="2861" spans="1:5" x14ac:dyDescent="0.25">
      <c r="A2861" s="2" t="s">
        <v>2879</v>
      </c>
      <c r="B2861" s="2" t="s">
        <v>391</v>
      </c>
      <c r="C2861" s="2">
        <v>6</v>
      </c>
      <c r="D2861" t="str">
        <f t="shared" si="44"/>
        <v>CA-2015-150714_OFF-LA-10001474</v>
      </c>
      <c r="E2861" t="str">
        <f>IF(COUNTIF(data1!$D:$D,D2861)=0,"Missing in Data1","Present")</f>
        <v>Present</v>
      </c>
    </row>
    <row r="2862" spans="1:5" x14ac:dyDescent="0.25">
      <c r="A2862" s="2" t="s">
        <v>2879</v>
      </c>
      <c r="B2862" s="2" t="s">
        <v>2880</v>
      </c>
      <c r="C2862" s="2">
        <v>3</v>
      </c>
      <c r="D2862" t="str">
        <f t="shared" si="44"/>
        <v>CA-2015-150714_OFF-PA-10001497</v>
      </c>
      <c r="E2862" t="str">
        <f>IF(COUNTIF(data1!$D:$D,D2862)=0,"Missing in Data1","Present")</f>
        <v>Present</v>
      </c>
    </row>
    <row r="2863" spans="1:5" x14ac:dyDescent="0.25">
      <c r="A2863" s="2" t="s">
        <v>2879</v>
      </c>
      <c r="B2863" s="2" t="s">
        <v>465</v>
      </c>
      <c r="C2863" s="2">
        <v>10</v>
      </c>
      <c r="D2863" t="str">
        <f t="shared" si="44"/>
        <v>CA-2015-150714_OFF-ST-10001809</v>
      </c>
      <c r="E2863" t="str">
        <f>IF(COUNTIF(data1!$D:$D,D2863)=0,"Missing in Data1","Present")</f>
        <v>Present</v>
      </c>
    </row>
    <row r="2864" spans="1:5" x14ac:dyDescent="0.25">
      <c r="A2864" s="2" t="s">
        <v>2881</v>
      </c>
      <c r="B2864" s="2" t="s">
        <v>1596</v>
      </c>
      <c r="C2864" s="2">
        <v>2</v>
      </c>
      <c r="D2864" t="str">
        <f t="shared" si="44"/>
        <v>CA-2015-150749_OFF-AR-10003732</v>
      </c>
      <c r="E2864" t="str">
        <f>IF(COUNTIF(data1!$D:$D,D2864)=0,"Missing in Data1","Present")</f>
        <v>Present</v>
      </c>
    </row>
    <row r="2865" spans="1:5" x14ac:dyDescent="0.25">
      <c r="A2865" s="2" t="s">
        <v>2882</v>
      </c>
      <c r="B2865" s="2" t="s">
        <v>2156</v>
      </c>
      <c r="C2865" s="2">
        <v>3</v>
      </c>
      <c r="D2865" t="str">
        <f t="shared" si="44"/>
        <v>CA-2015-150770_OFF-AR-10001246</v>
      </c>
      <c r="E2865" t="str">
        <f>IF(COUNTIF(data1!$D:$D,D2865)=0,"Missing in Data1","Present")</f>
        <v>Present</v>
      </c>
    </row>
    <row r="2866" spans="1:5" x14ac:dyDescent="0.25">
      <c r="A2866" s="2" t="s">
        <v>2882</v>
      </c>
      <c r="B2866" s="2" t="s">
        <v>539</v>
      </c>
      <c r="C2866" s="2">
        <v>2</v>
      </c>
      <c r="D2866" t="str">
        <f t="shared" si="44"/>
        <v>CA-2015-150770_OFF-BI-10001575</v>
      </c>
      <c r="E2866" t="str">
        <f>IF(COUNTIF(data1!$D:$D,D2866)=0,"Missing in Data1","Present")</f>
        <v>Present</v>
      </c>
    </row>
    <row r="2867" spans="1:5" x14ac:dyDescent="0.25">
      <c r="A2867" s="2" t="s">
        <v>2882</v>
      </c>
      <c r="B2867" s="2" t="s">
        <v>637</v>
      </c>
      <c r="C2867" s="2">
        <v>2</v>
      </c>
      <c r="D2867" t="str">
        <f t="shared" si="44"/>
        <v>CA-2015-150770_OFF-BI-10002026</v>
      </c>
      <c r="E2867" t="str">
        <f>IF(COUNTIF(data1!$D:$D,D2867)=0,"Missing in Data1","Present")</f>
        <v>Present</v>
      </c>
    </row>
    <row r="2868" spans="1:5" x14ac:dyDescent="0.25">
      <c r="A2868" s="2" t="s">
        <v>2882</v>
      </c>
      <c r="B2868" s="2" t="s">
        <v>265</v>
      </c>
      <c r="C2868" s="2">
        <v>4</v>
      </c>
      <c r="D2868" t="str">
        <f t="shared" si="44"/>
        <v>CA-2015-150770_TEC-AC-10000844</v>
      </c>
      <c r="E2868" t="str">
        <f>IF(COUNTIF(data1!$D:$D,D2868)=0,"Missing in Data1","Present")</f>
        <v>Missing in Data1</v>
      </c>
    </row>
    <row r="2869" spans="1:5" x14ac:dyDescent="0.25">
      <c r="A2869" s="2" t="s">
        <v>2883</v>
      </c>
      <c r="B2869" s="2" t="s">
        <v>2884</v>
      </c>
      <c r="C2869" s="2">
        <v>2</v>
      </c>
      <c r="D2869" t="str">
        <f t="shared" si="44"/>
        <v>CA-2015-150791_FUR-CH-10000665</v>
      </c>
      <c r="E2869" t="str">
        <f>IF(COUNTIF(data1!$D:$D,D2869)=0,"Missing in Data1","Present")</f>
        <v>Present</v>
      </c>
    </row>
    <row r="2870" spans="1:5" x14ac:dyDescent="0.25">
      <c r="A2870" s="2" t="s">
        <v>2885</v>
      </c>
      <c r="B2870" s="2" t="s">
        <v>869</v>
      </c>
      <c r="C2870" s="2">
        <v>2</v>
      </c>
      <c r="D2870" t="str">
        <f t="shared" si="44"/>
        <v>CA-2015-150875_FUR-TA-10000577</v>
      </c>
      <c r="E2870" t="str">
        <f>IF(COUNTIF(data1!$D:$D,D2870)=0,"Missing in Data1","Present")</f>
        <v>Present</v>
      </c>
    </row>
    <row r="2871" spans="1:5" x14ac:dyDescent="0.25">
      <c r="A2871" s="2" t="s">
        <v>2885</v>
      </c>
      <c r="B2871" s="2" t="s">
        <v>2886</v>
      </c>
      <c r="C2871" s="2">
        <v>3</v>
      </c>
      <c r="D2871" t="str">
        <f t="shared" si="44"/>
        <v>CA-2015-150875_TEC-PH-10001254</v>
      </c>
      <c r="E2871" t="str">
        <f>IF(COUNTIF(data1!$D:$D,D2871)=0,"Missing in Data1","Present")</f>
        <v>Present</v>
      </c>
    </row>
    <row r="2872" spans="1:5" x14ac:dyDescent="0.25">
      <c r="A2872" s="2" t="s">
        <v>2887</v>
      </c>
      <c r="B2872" s="2" t="s">
        <v>2888</v>
      </c>
      <c r="C2872" s="2">
        <v>2</v>
      </c>
      <c r="D2872" t="str">
        <f t="shared" si="44"/>
        <v>CA-2015-151043_TEC-AC-10001090</v>
      </c>
      <c r="E2872" t="str">
        <f>IF(COUNTIF(data1!$D:$D,D2872)=0,"Missing in Data1","Present")</f>
        <v>Present</v>
      </c>
    </row>
    <row r="2873" spans="1:5" x14ac:dyDescent="0.25">
      <c r="A2873" s="2" t="s">
        <v>2889</v>
      </c>
      <c r="B2873" s="2" t="s">
        <v>2239</v>
      </c>
      <c r="C2873" s="2">
        <v>3</v>
      </c>
      <c r="D2873" t="str">
        <f t="shared" si="44"/>
        <v>CA-2015-151253_OFF-AR-10004691</v>
      </c>
      <c r="E2873" t="str">
        <f>IF(COUNTIF(data1!$D:$D,D2873)=0,"Missing in Data1","Present")</f>
        <v>Present</v>
      </c>
    </row>
    <row r="2874" spans="1:5" x14ac:dyDescent="0.25">
      <c r="A2874" s="2" t="s">
        <v>2890</v>
      </c>
      <c r="B2874" s="2" t="s">
        <v>2891</v>
      </c>
      <c r="C2874" s="2">
        <v>11</v>
      </c>
      <c r="D2874" t="str">
        <f t="shared" si="44"/>
        <v>CA-2015-151470_OFF-BI-10004040</v>
      </c>
      <c r="E2874" t="str">
        <f>IF(COUNTIF(data1!$D:$D,D2874)=0,"Missing in Data1","Present")</f>
        <v>Present</v>
      </c>
    </row>
    <row r="2875" spans="1:5" x14ac:dyDescent="0.25">
      <c r="A2875" s="2" t="s">
        <v>2892</v>
      </c>
      <c r="B2875" s="2" t="s">
        <v>1850</v>
      </c>
      <c r="C2875" s="2">
        <v>8</v>
      </c>
      <c r="D2875" t="str">
        <f t="shared" si="44"/>
        <v>CA-2015-151547_OFF-SU-10000898</v>
      </c>
      <c r="E2875" t="str">
        <f>IF(COUNTIF(data1!$D:$D,D2875)=0,"Missing in Data1","Present")</f>
        <v>Present</v>
      </c>
    </row>
    <row r="2876" spans="1:5" x14ac:dyDescent="0.25">
      <c r="A2876" s="2" t="s">
        <v>2893</v>
      </c>
      <c r="B2876" s="2" t="s">
        <v>1052</v>
      </c>
      <c r="C2876" s="2">
        <v>4</v>
      </c>
      <c r="D2876" t="str">
        <f t="shared" si="44"/>
        <v>CA-2015-151589_OFF-PA-10003228</v>
      </c>
      <c r="E2876" t="str">
        <f>IF(COUNTIF(data1!$D:$D,D2876)=0,"Missing in Data1","Present")</f>
        <v>Present</v>
      </c>
    </row>
    <row r="2877" spans="1:5" x14ac:dyDescent="0.25">
      <c r="A2877" s="2" t="s">
        <v>2893</v>
      </c>
      <c r="B2877" s="2" t="s">
        <v>2596</v>
      </c>
      <c r="C2877" s="2">
        <v>2</v>
      </c>
      <c r="D2877" t="str">
        <f t="shared" si="44"/>
        <v>CA-2015-151589_TEC-PH-10004345</v>
      </c>
      <c r="E2877" t="str">
        <f>IF(COUNTIF(data1!$D:$D,D2877)=0,"Missing in Data1","Present")</f>
        <v>Missing in Data1</v>
      </c>
    </row>
    <row r="2878" spans="1:5" x14ac:dyDescent="0.25">
      <c r="A2878" s="2" t="s">
        <v>2894</v>
      </c>
      <c r="B2878" s="2" t="s">
        <v>128</v>
      </c>
      <c r="C2878" s="2">
        <v>8</v>
      </c>
      <c r="D2878" t="str">
        <f t="shared" si="44"/>
        <v>CA-2015-151624_FUR-FU-10001731</v>
      </c>
      <c r="E2878" t="str">
        <f>IF(COUNTIF(data1!$D:$D,D2878)=0,"Missing in Data1","Present")</f>
        <v>Present</v>
      </c>
    </row>
    <row r="2879" spans="1:5" x14ac:dyDescent="0.25">
      <c r="A2879" s="2" t="s">
        <v>2895</v>
      </c>
      <c r="B2879" s="2" t="s">
        <v>2896</v>
      </c>
      <c r="C2879" s="2">
        <v>2</v>
      </c>
      <c r="D2879" t="str">
        <f t="shared" si="44"/>
        <v>CA-2015-151680_FUR-FU-10000305</v>
      </c>
      <c r="E2879" t="str">
        <f>IF(COUNTIF(data1!$D:$D,D2879)=0,"Missing in Data1","Present")</f>
        <v>Present</v>
      </c>
    </row>
    <row r="2880" spans="1:5" x14ac:dyDescent="0.25">
      <c r="A2880" s="2" t="s">
        <v>2897</v>
      </c>
      <c r="B2880" s="2" t="s">
        <v>1718</v>
      </c>
      <c r="C2880" s="2">
        <v>4</v>
      </c>
      <c r="D2880" t="str">
        <f t="shared" si="44"/>
        <v>CA-2015-151722_TEC-AC-10000892</v>
      </c>
      <c r="E2880" t="str">
        <f>IF(COUNTIF(data1!$D:$D,D2880)=0,"Missing in Data1","Present")</f>
        <v>Present</v>
      </c>
    </row>
    <row r="2881" spans="1:5" x14ac:dyDescent="0.25">
      <c r="A2881" s="2" t="s">
        <v>2898</v>
      </c>
      <c r="B2881" s="2" t="s">
        <v>11</v>
      </c>
      <c r="C2881" s="2">
        <v>6</v>
      </c>
      <c r="D2881" t="str">
        <f t="shared" si="44"/>
        <v>CA-2015-151785_OFF-FA-10000611</v>
      </c>
      <c r="E2881" t="str">
        <f>IF(COUNTIF(data1!$D:$D,D2881)=0,"Missing in Data1","Present")</f>
        <v>Present</v>
      </c>
    </row>
    <row r="2882" spans="1:5" x14ac:dyDescent="0.25">
      <c r="A2882" s="2" t="s">
        <v>2899</v>
      </c>
      <c r="B2882" s="2" t="s">
        <v>2346</v>
      </c>
      <c r="C2882" s="2">
        <v>5</v>
      </c>
      <c r="D2882" t="str">
        <f t="shared" si="44"/>
        <v>CA-2015-151841_OFF-AP-10003971</v>
      </c>
      <c r="E2882" t="str">
        <f>IF(COUNTIF(data1!$D:$D,D2882)=0,"Missing in Data1","Present")</f>
        <v>Present</v>
      </c>
    </row>
    <row r="2883" spans="1:5" x14ac:dyDescent="0.25">
      <c r="A2883" s="2" t="s">
        <v>2899</v>
      </c>
      <c r="B2883" s="2" t="s">
        <v>911</v>
      </c>
      <c r="C2883" s="2">
        <v>2</v>
      </c>
      <c r="D2883" t="str">
        <f t="shared" ref="D2883:D2946" si="45">A2883&amp;"_"&amp;B2883</f>
        <v>CA-2015-151841_OFF-SU-10001574</v>
      </c>
      <c r="E2883" t="str">
        <f>IF(COUNTIF(data1!$D:$D,D2883)=0,"Missing in Data1","Present")</f>
        <v>Present</v>
      </c>
    </row>
    <row r="2884" spans="1:5" x14ac:dyDescent="0.25">
      <c r="A2884" s="2" t="s">
        <v>2900</v>
      </c>
      <c r="B2884" s="2" t="s">
        <v>2710</v>
      </c>
      <c r="C2884" s="2">
        <v>1</v>
      </c>
      <c r="D2884" t="str">
        <f t="shared" si="45"/>
        <v>CA-2015-151869_FUR-CH-10001545</v>
      </c>
      <c r="E2884" t="str">
        <f>IF(COUNTIF(data1!$D:$D,D2884)=0,"Missing in Data1","Present")</f>
        <v>Present</v>
      </c>
    </row>
    <row r="2885" spans="1:5" x14ac:dyDescent="0.25">
      <c r="A2885" s="2" t="s">
        <v>2900</v>
      </c>
      <c r="B2885" s="2" t="s">
        <v>610</v>
      </c>
      <c r="C2885" s="2">
        <v>3</v>
      </c>
      <c r="D2885" t="str">
        <f t="shared" si="45"/>
        <v>CA-2015-151869_OFF-PA-10002947</v>
      </c>
      <c r="E2885" t="str">
        <f>IF(COUNTIF(data1!$D:$D,D2885)=0,"Missing in Data1","Present")</f>
        <v>Present</v>
      </c>
    </row>
    <row r="2886" spans="1:5" x14ac:dyDescent="0.25">
      <c r="A2886" s="2" t="s">
        <v>2901</v>
      </c>
      <c r="B2886" s="2" t="s">
        <v>965</v>
      </c>
      <c r="C2886" s="2">
        <v>2</v>
      </c>
      <c r="D2886" t="str">
        <f t="shared" si="45"/>
        <v>CA-2015-152513_OFF-BI-10002706</v>
      </c>
      <c r="E2886" t="str">
        <f>IF(COUNTIF(data1!$D:$D,D2886)=0,"Missing in Data1","Present")</f>
        <v>Present</v>
      </c>
    </row>
    <row r="2887" spans="1:5" x14ac:dyDescent="0.25">
      <c r="A2887" s="2" t="s">
        <v>6786</v>
      </c>
      <c r="B2887" s="2" t="s">
        <v>39</v>
      </c>
      <c r="C2887" s="2">
        <v>2</v>
      </c>
      <c r="D2887" t="str">
        <f t="shared" si="45"/>
        <v>CA-2015-152527_OFF-ST-10003479</v>
      </c>
      <c r="E2887" t="str">
        <f>IF(COUNTIF(data1!$D:$D,D2887)=0,"Missing in Data1","Present")</f>
        <v>Missing in Data1</v>
      </c>
    </row>
    <row r="2888" spans="1:5" x14ac:dyDescent="0.25">
      <c r="A2888" s="2" t="s">
        <v>2902</v>
      </c>
      <c r="B2888" s="2" t="s">
        <v>2903</v>
      </c>
      <c r="C2888" s="2">
        <v>7</v>
      </c>
      <c r="D2888" t="str">
        <f t="shared" si="45"/>
        <v>CA-2015-152611_OFF-AR-10003903</v>
      </c>
      <c r="E2888" t="str">
        <f>IF(COUNTIF(data1!$D:$D,D2888)=0,"Missing in Data1","Present")</f>
        <v>Present</v>
      </c>
    </row>
    <row r="2889" spans="1:5" x14ac:dyDescent="0.25">
      <c r="A2889" s="2" t="s">
        <v>2904</v>
      </c>
      <c r="B2889" s="2" t="s">
        <v>1319</v>
      </c>
      <c r="C2889" s="2">
        <v>2</v>
      </c>
      <c r="D2889" t="str">
        <f t="shared" si="45"/>
        <v>CA-2015-152681_OFF-AR-10003183</v>
      </c>
      <c r="E2889" t="str">
        <f>IF(COUNTIF(data1!$D:$D,D2889)=0,"Missing in Data1","Present")</f>
        <v>Present</v>
      </c>
    </row>
    <row r="2890" spans="1:5" x14ac:dyDescent="0.25">
      <c r="A2890" s="2" t="s">
        <v>2905</v>
      </c>
      <c r="B2890" s="2" t="s">
        <v>1837</v>
      </c>
      <c r="C2890" s="2">
        <v>3</v>
      </c>
      <c r="D2890" t="str">
        <f t="shared" si="45"/>
        <v>CA-2015-152891_FUR-TA-10001857</v>
      </c>
      <c r="E2890" t="str">
        <f>IF(COUNTIF(data1!$D:$D,D2890)=0,"Missing in Data1","Present")</f>
        <v>Present</v>
      </c>
    </row>
    <row r="2891" spans="1:5" x14ac:dyDescent="0.25">
      <c r="A2891" s="2" t="s">
        <v>2905</v>
      </c>
      <c r="B2891" s="2" t="s">
        <v>1853</v>
      </c>
      <c r="C2891" s="2">
        <v>3</v>
      </c>
      <c r="D2891" t="str">
        <f t="shared" si="45"/>
        <v>CA-2015-152891_OFF-AR-10004648</v>
      </c>
      <c r="E2891" t="str">
        <f>IF(COUNTIF(data1!$D:$D,D2891)=0,"Missing in Data1","Present")</f>
        <v>Present</v>
      </c>
    </row>
    <row r="2892" spans="1:5" x14ac:dyDescent="0.25">
      <c r="A2892" s="2" t="s">
        <v>2906</v>
      </c>
      <c r="B2892" s="2" t="s">
        <v>339</v>
      </c>
      <c r="C2892" s="2">
        <v>5</v>
      </c>
      <c r="D2892" t="str">
        <f t="shared" si="45"/>
        <v>CA-2015-153038_FUR-FU-10000221</v>
      </c>
      <c r="E2892" t="str">
        <f>IF(COUNTIF(data1!$D:$D,D2892)=0,"Missing in Data1","Present")</f>
        <v>Present</v>
      </c>
    </row>
    <row r="2893" spans="1:5" x14ac:dyDescent="0.25">
      <c r="A2893" s="2" t="s">
        <v>2906</v>
      </c>
      <c r="B2893" s="2" t="s">
        <v>2673</v>
      </c>
      <c r="C2893" s="2">
        <v>8</v>
      </c>
      <c r="D2893" t="str">
        <f t="shared" si="45"/>
        <v>CA-2015-153038_OFF-LA-10004008</v>
      </c>
      <c r="E2893" t="str">
        <f>IF(COUNTIF(data1!$D:$D,D2893)=0,"Missing in Data1","Present")</f>
        <v>Present</v>
      </c>
    </row>
    <row r="2894" spans="1:5" x14ac:dyDescent="0.25">
      <c r="A2894" s="2" t="s">
        <v>2907</v>
      </c>
      <c r="B2894" s="2" t="s">
        <v>2908</v>
      </c>
      <c r="C2894" s="2">
        <v>9</v>
      </c>
      <c r="D2894" t="str">
        <f t="shared" si="45"/>
        <v>CA-2015-153073_FUR-FU-10001025</v>
      </c>
      <c r="E2894" t="str">
        <f>IF(COUNTIF(data1!$D:$D,D2894)=0,"Missing in Data1","Present")</f>
        <v>Present</v>
      </c>
    </row>
    <row r="2895" spans="1:5" x14ac:dyDescent="0.25">
      <c r="A2895" s="2" t="s">
        <v>2909</v>
      </c>
      <c r="B2895" s="2" t="s">
        <v>2910</v>
      </c>
      <c r="C2895" s="2">
        <v>7</v>
      </c>
      <c r="D2895" t="str">
        <f t="shared" si="45"/>
        <v>CA-2015-153108_OFF-AP-10002222</v>
      </c>
      <c r="E2895" t="str">
        <f>IF(COUNTIF(data1!$D:$D,D2895)=0,"Missing in Data1","Present")</f>
        <v>Present</v>
      </c>
    </row>
    <row r="2896" spans="1:5" x14ac:dyDescent="0.25">
      <c r="A2896" s="2" t="s">
        <v>2911</v>
      </c>
      <c r="B2896" s="2" t="s">
        <v>1156</v>
      </c>
      <c r="C2896" s="2">
        <v>5</v>
      </c>
      <c r="D2896" t="str">
        <f t="shared" si="45"/>
        <v>CA-2015-153220_OFF-PA-10003016</v>
      </c>
      <c r="E2896" t="str">
        <f>IF(COUNTIF(data1!$D:$D,D2896)=0,"Missing in Data1","Present")</f>
        <v>Present</v>
      </c>
    </row>
    <row r="2897" spans="1:5" x14ac:dyDescent="0.25">
      <c r="A2897" s="2" t="s">
        <v>2912</v>
      </c>
      <c r="B2897" s="2" t="s">
        <v>2913</v>
      </c>
      <c r="C2897" s="2">
        <v>4</v>
      </c>
      <c r="D2897" t="str">
        <f t="shared" si="45"/>
        <v>CA-2015-153325_OFF-BI-10004236</v>
      </c>
      <c r="E2897" t="str">
        <f>IF(COUNTIF(data1!$D:$D,D2897)=0,"Missing in Data1","Present")</f>
        <v>Present</v>
      </c>
    </row>
    <row r="2898" spans="1:5" x14ac:dyDescent="0.25">
      <c r="A2898" s="2" t="s">
        <v>2914</v>
      </c>
      <c r="B2898" s="2" t="s">
        <v>221</v>
      </c>
      <c r="C2898" s="2">
        <v>10</v>
      </c>
      <c r="D2898" t="str">
        <f t="shared" si="45"/>
        <v>CA-2015-153381_FUR-CH-10000988</v>
      </c>
      <c r="E2898" t="str">
        <f>IF(COUNTIF(data1!$D:$D,D2898)=0,"Missing in Data1","Present")</f>
        <v>Present</v>
      </c>
    </row>
    <row r="2899" spans="1:5" x14ac:dyDescent="0.25">
      <c r="A2899" s="2" t="s">
        <v>2914</v>
      </c>
      <c r="B2899" s="2" t="s">
        <v>1369</v>
      </c>
      <c r="C2899" s="2">
        <v>4</v>
      </c>
      <c r="D2899" t="str">
        <f t="shared" si="45"/>
        <v>CA-2015-153381_OFF-BI-10001525</v>
      </c>
      <c r="E2899" t="str">
        <f>IF(COUNTIF(data1!$D:$D,D2899)=0,"Missing in Data1","Present")</f>
        <v>Present</v>
      </c>
    </row>
    <row r="2900" spans="1:5" x14ac:dyDescent="0.25">
      <c r="A2900" s="2" t="s">
        <v>2915</v>
      </c>
      <c r="B2900" s="2" t="s">
        <v>4</v>
      </c>
      <c r="C2900" s="2">
        <v>6</v>
      </c>
      <c r="D2900" t="str">
        <f t="shared" si="45"/>
        <v>CA-2015-153388_FUR-TA-10003715</v>
      </c>
      <c r="E2900" t="str">
        <f>IF(COUNTIF(data1!$D:$D,D2900)=0,"Missing in Data1","Present")</f>
        <v>Present</v>
      </c>
    </row>
    <row r="2901" spans="1:5" x14ac:dyDescent="0.25">
      <c r="A2901" s="2" t="s">
        <v>2915</v>
      </c>
      <c r="B2901" s="2" t="s">
        <v>17</v>
      </c>
      <c r="C2901" s="2">
        <v>4</v>
      </c>
      <c r="D2901" t="str">
        <f t="shared" si="45"/>
        <v>CA-2015-153388_OFF-AR-10001868</v>
      </c>
      <c r="E2901" t="str">
        <f>IF(COUNTIF(data1!$D:$D,D2901)=0,"Missing in Data1","Present")</f>
        <v>Missing in Data1</v>
      </c>
    </row>
    <row r="2902" spans="1:5" x14ac:dyDescent="0.25">
      <c r="A2902" s="2" t="s">
        <v>2916</v>
      </c>
      <c r="B2902" s="2" t="s">
        <v>965</v>
      </c>
      <c r="C2902" s="2">
        <v>8</v>
      </c>
      <c r="D2902" t="str">
        <f t="shared" si="45"/>
        <v>CA-2015-153416_OFF-BI-10002706</v>
      </c>
      <c r="E2902" t="str">
        <f>IF(COUNTIF(data1!$D:$D,D2902)=0,"Missing in Data1","Present")</f>
        <v>Present</v>
      </c>
    </row>
    <row r="2903" spans="1:5" x14ac:dyDescent="0.25">
      <c r="A2903" s="2" t="s">
        <v>2916</v>
      </c>
      <c r="B2903" s="2" t="s">
        <v>2917</v>
      </c>
      <c r="C2903" s="2">
        <v>2</v>
      </c>
      <c r="D2903" t="str">
        <f t="shared" si="45"/>
        <v>CA-2015-153416_OFF-BI-10002813</v>
      </c>
      <c r="E2903" t="str">
        <f>IF(COUNTIF(data1!$D:$D,D2903)=0,"Missing in Data1","Present")</f>
        <v>Present</v>
      </c>
    </row>
    <row r="2904" spans="1:5" x14ac:dyDescent="0.25">
      <c r="A2904" s="2" t="s">
        <v>2916</v>
      </c>
      <c r="B2904" s="2" t="s">
        <v>2918</v>
      </c>
      <c r="C2904" s="2">
        <v>7</v>
      </c>
      <c r="D2904" t="str">
        <f t="shared" si="45"/>
        <v>CA-2015-153416_OFF-ST-10000060</v>
      </c>
      <c r="E2904" t="str">
        <f>IF(COUNTIF(data1!$D:$D,D2904)=0,"Missing in Data1","Present")</f>
        <v>Present</v>
      </c>
    </row>
    <row r="2905" spans="1:5" x14ac:dyDescent="0.25">
      <c r="A2905" s="2" t="s">
        <v>2919</v>
      </c>
      <c r="B2905" s="2" t="s">
        <v>2499</v>
      </c>
      <c r="C2905" s="2">
        <v>2</v>
      </c>
      <c r="D2905" t="str">
        <f t="shared" si="45"/>
        <v>CA-2015-153423_OFF-BI-10000545</v>
      </c>
      <c r="E2905" t="str">
        <f>IF(COUNTIF(data1!$D:$D,D2905)=0,"Missing in Data1","Present")</f>
        <v>Present</v>
      </c>
    </row>
    <row r="2906" spans="1:5" x14ac:dyDescent="0.25">
      <c r="A2906" s="2" t="s">
        <v>2920</v>
      </c>
      <c r="B2906" s="2" t="s">
        <v>1318</v>
      </c>
      <c r="C2906" s="2">
        <v>4</v>
      </c>
      <c r="D2906" t="str">
        <f t="shared" si="45"/>
        <v>CA-2015-153535_FUR-FU-10001986</v>
      </c>
      <c r="E2906" t="str">
        <f>IF(COUNTIF(data1!$D:$D,D2906)=0,"Missing in Data1","Present")</f>
        <v>Present</v>
      </c>
    </row>
    <row r="2907" spans="1:5" x14ac:dyDescent="0.25">
      <c r="A2907" s="2" t="s">
        <v>2920</v>
      </c>
      <c r="B2907" s="2" t="s">
        <v>773</v>
      </c>
      <c r="C2907" s="2">
        <v>4</v>
      </c>
      <c r="D2907" t="str">
        <f t="shared" si="45"/>
        <v>CA-2015-153535_OFF-BI-10001031</v>
      </c>
      <c r="E2907" t="str">
        <f>IF(COUNTIF(data1!$D:$D,D2907)=0,"Missing in Data1","Present")</f>
        <v>Present</v>
      </c>
    </row>
    <row r="2908" spans="1:5" x14ac:dyDescent="0.25">
      <c r="A2908" s="2" t="s">
        <v>2921</v>
      </c>
      <c r="B2908" s="2" t="s">
        <v>2153</v>
      </c>
      <c r="C2908" s="2">
        <v>5</v>
      </c>
      <c r="D2908" t="str">
        <f t="shared" si="45"/>
        <v>CA-2015-153549_FUR-CH-10004086</v>
      </c>
      <c r="E2908" t="str">
        <f>IF(COUNTIF(data1!$D:$D,D2908)=0,"Missing in Data1","Present")</f>
        <v>Present</v>
      </c>
    </row>
    <row r="2909" spans="1:5" x14ac:dyDescent="0.25">
      <c r="A2909" s="2" t="s">
        <v>6787</v>
      </c>
      <c r="B2909" s="2" t="s">
        <v>4919</v>
      </c>
      <c r="C2909" s="2">
        <v>4</v>
      </c>
      <c r="D2909" t="str">
        <f t="shared" si="45"/>
        <v>CA-2015-153612_OFF-AR-10000203</v>
      </c>
      <c r="E2909" t="str">
        <f>IF(COUNTIF(data1!$D:$D,D2909)=0,"Missing in Data1","Present")</f>
        <v>Missing in Data1</v>
      </c>
    </row>
    <row r="2910" spans="1:5" x14ac:dyDescent="0.25">
      <c r="A2910" s="2" t="s">
        <v>2922</v>
      </c>
      <c r="B2910" s="2" t="s">
        <v>395</v>
      </c>
      <c r="C2910" s="2">
        <v>3</v>
      </c>
      <c r="D2910" t="str">
        <f t="shared" si="45"/>
        <v>CA-2015-153626_OFF-AR-10000657</v>
      </c>
      <c r="E2910" t="str">
        <f>IF(COUNTIF(data1!$D:$D,D2910)=0,"Missing in Data1","Present")</f>
        <v>Present</v>
      </c>
    </row>
    <row r="2911" spans="1:5" x14ac:dyDescent="0.25">
      <c r="A2911" s="2" t="s">
        <v>2923</v>
      </c>
      <c r="B2911" s="2" t="s">
        <v>2924</v>
      </c>
      <c r="C2911" s="2">
        <v>1</v>
      </c>
      <c r="D2911" t="str">
        <f t="shared" si="45"/>
        <v>CA-2015-153717_FUR-BO-10004360</v>
      </c>
      <c r="E2911" t="str">
        <f>IF(COUNTIF(data1!$D:$D,D2911)=0,"Missing in Data1","Present")</f>
        <v>Present</v>
      </c>
    </row>
    <row r="2912" spans="1:5" x14ac:dyDescent="0.25">
      <c r="A2912" s="2" t="s">
        <v>2923</v>
      </c>
      <c r="B2912" s="2" t="s">
        <v>396</v>
      </c>
      <c r="C2912" s="2">
        <v>1</v>
      </c>
      <c r="D2912" t="str">
        <f t="shared" si="45"/>
        <v>CA-2015-153717_OFF-AR-10002375</v>
      </c>
      <c r="E2912" t="str">
        <f>IF(COUNTIF(data1!$D:$D,D2912)=0,"Missing in Data1","Present")</f>
        <v>Present</v>
      </c>
    </row>
    <row r="2913" spans="1:5" x14ac:dyDescent="0.25">
      <c r="A2913" s="2" t="s">
        <v>2923</v>
      </c>
      <c r="B2913" s="2" t="s">
        <v>2415</v>
      </c>
      <c r="C2913" s="2">
        <v>3</v>
      </c>
      <c r="D2913" t="str">
        <f t="shared" si="45"/>
        <v>CA-2015-153717_OFF-PA-10002160</v>
      </c>
      <c r="E2913" t="str">
        <f>IF(COUNTIF(data1!$D:$D,D2913)=0,"Missing in Data1","Present")</f>
        <v>Present</v>
      </c>
    </row>
    <row r="2914" spans="1:5" x14ac:dyDescent="0.25">
      <c r="A2914" s="2" t="s">
        <v>2923</v>
      </c>
      <c r="B2914" s="2" t="s">
        <v>82</v>
      </c>
      <c r="C2914" s="2">
        <v>2</v>
      </c>
      <c r="D2914" t="str">
        <f t="shared" si="45"/>
        <v>CA-2015-153717_TEC-PH-10002923</v>
      </c>
      <c r="E2914" t="str">
        <f>IF(COUNTIF(data1!$D:$D,D2914)=0,"Missing in Data1","Present")</f>
        <v>Present</v>
      </c>
    </row>
    <row r="2915" spans="1:5" x14ac:dyDescent="0.25">
      <c r="A2915" s="2" t="s">
        <v>2925</v>
      </c>
      <c r="B2915" s="2" t="s">
        <v>2292</v>
      </c>
      <c r="C2915" s="2">
        <v>6</v>
      </c>
      <c r="D2915" t="str">
        <f t="shared" si="45"/>
        <v>CA-2015-153738_OFF-BI-10001308</v>
      </c>
      <c r="E2915" t="str">
        <f>IF(COUNTIF(data1!$D:$D,D2915)=0,"Missing in Data1","Present")</f>
        <v>Present</v>
      </c>
    </row>
    <row r="2916" spans="1:5" x14ac:dyDescent="0.25">
      <c r="A2916" s="2" t="s">
        <v>2926</v>
      </c>
      <c r="B2916" s="2" t="s">
        <v>107</v>
      </c>
      <c r="C2916" s="2">
        <v>6</v>
      </c>
      <c r="D2916" t="str">
        <f t="shared" si="45"/>
        <v>CA-2015-153752_TEC-PH-10001615</v>
      </c>
      <c r="E2916" t="str">
        <f>IF(COUNTIF(data1!$D:$D,D2916)=0,"Missing in Data1","Present")</f>
        <v>Present</v>
      </c>
    </row>
    <row r="2917" spans="1:5" x14ac:dyDescent="0.25">
      <c r="A2917" s="2" t="s">
        <v>2927</v>
      </c>
      <c r="B2917" s="2" t="s">
        <v>23</v>
      </c>
      <c r="C2917" s="2">
        <v>7</v>
      </c>
      <c r="D2917" t="str">
        <f t="shared" si="45"/>
        <v>CA-2015-153794_OFF-AR-10000380</v>
      </c>
      <c r="E2917" t="str">
        <f>IF(COUNTIF(data1!$D:$D,D2917)=0,"Missing in Data1","Present")</f>
        <v>Present</v>
      </c>
    </row>
    <row r="2918" spans="1:5" x14ac:dyDescent="0.25">
      <c r="A2918" s="2" t="s">
        <v>2928</v>
      </c>
      <c r="B2918" s="2" t="s">
        <v>2238</v>
      </c>
      <c r="C2918" s="2">
        <v>5</v>
      </c>
      <c r="D2918" t="str">
        <f t="shared" si="45"/>
        <v>CA-2015-153878_OFF-AP-10001205</v>
      </c>
      <c r="E2918" t="str">
        <f>IF(COUNTIF(data1!$D:$D,D2918)=0,"Missing in Data1","Present")</f>
        <v>Present</v>
      </c>
    </row>
    <row r="2919" spans="1:5" x14ac:dyDescent="0.25">
      <c r="A2919" s="2" t="s">
        <v>2928</v>
      </c>
      <c r="B2919" s="2" t="s">
        <v>1917</v>
      </c>
      <c r="C2919" s="2">
        <v>5</v>
      </c>
      <c r="D2919" t="str">
        <f t="shared" si="45"/>
        <v>CA-2015-153878_OFF-AR-10000658</v>
      </c>
      <c r="E2919" t="str">
        <f>IF(COUNTIF(data1!$D:$D,D2919)=0,"Missing in Data1","Present")</f>
        <v>Present</v>
      </c>
    </row>
    <row r="2920" spans="1:5" x14ac:dyDescent="0.25">
      <c r="A2920" s="2" t="s">
        <v>2929</v>
      </c>
      <c r="B2920" s="2" t="s">
        <v>1914</v>
      </c>
      <c r="C2920" s="2">
        <v>2</v>
      </c>
      <c r="D2920" t="str">
        <f t="shared" si="45"/>
        <v>CA-2015-153906_TEC-PH-10001527</v>
      </c>
      <c r="E2920" t="str">
        <f>IF(COUNTIF(data1!$D:$D,D2920)=0,"Missing in Data1","Present")</f>
        <v>Present</v>
      </c>
    </row>
    <row r="2921" spans="1:5" x14ac:dyDescent="0.25">
      <c r="A2921" s="2" t="s">
        <v>2930</v>
      </c>
      <c r="B2921" s="2" t="s">
        <v>477</v>
      </c>
      <c r="C2921" s="2">
        <v>1</v>
      </c>
      <c r="D2921" t="str">
        <f t="shared" si="45"/>
        <v>CA-2015-154144_OFF-PA-10004071</v>
      </c>
      <c r="E2921" t="str">
        <f>IF(COUNTIF(data1!$D:$D,D2921)=0,"Missing in Data1","Present")</f>
        <v>Present</v>
      </c>
    </row>
    <row r="2922" spans="1:5" x14ac:dyDescent="0.25">
      <c r="A2922" s="2" t="s">
        <v>2931</v>
      </c>
      <c r="B2922" s="2" t="s">
        <v>1693</v>
      </c>
      <c r="C2922" s="2">
        <v>2</v>
      </c>
      <c r="D2922" t="str">
        <f t="shared" si="45"/>
        <v>CA-2015-154200_OFF-AR-10001044</v>
      </c>
      <c r="E2922" t="str">
        <f>IF(COUNTIF(data1!$D:$D,D2922)=0,"Missing in Data1","Present")</f>
        <v>Present</v>
      </c>
    </row>
    <row r="2923" spans="1:5" x14ac:dyDescent="0.25">
      <c r="A2923" s="2" t="s">
        <v>2932</v>
      </c>
      <c r="B2923" s="2" t="s">
        <v>2933</v>
      </c>
      <c r="C2923" s="2">
        <v>3</v>
      </c>
      <c r="D2923" t="str">
        <f t="shared" si="45"/>
        <v>CA-2015-154284_FUR-FU-10003039</v>
      </c>
      <c r="E2923" t="str">
        <f>IF(COUNTIF(data1!$D:$D,D2923)=0,"Missing in Data1","Present")</f>
        <v>Present</v>
      </c>
    </row>
    <row r="2924" spans="1:5" x14ac:dyDescent="0.25">
      <c r="A2924" s="2" t="s">
        <v>2932</v>
      </c>
      <c r="B2924" s="2" t="s">
        <v>2120</v>
      </c>
      <c r="C2924" s="2">
        <v>2</v>
      </c>
      <c r="D2924" t="str">
        <f t="shared" si="45"/>
        <v>CA-2015-154284_OFF-AR-10001468</v>
      </c>
      <c r="E2924" t="str">
        <f>IF(COUNTIF(data1!$D:$D,D2924)=0,"Missing in Data1","Present")</f>
        <v>Present</v>
      </c>
    </row>
    <row r="2925" spans="1:5" x14ac:dyDescent="0.25">
      <c r="A2925" s="2" t="s">
        <v>2932</v>
      </c>
      <c r="B2925" s="2" t="s">
        <v>1476</v>
      </c>
      <c r="C2925" s="2">
        <v>8</v>
      </c>
      <c r="D2925" t="str">
        <f t="shared" si="45"/>
        <v>CA-2015-154284_TEC-AC-10003198</v>
      </c>
      <c r="E2925" t="str">
        <f>IF(COUNTIF(data1!$D:$D,D2925)=0,"Missing in Data1","Present")</f>
        <v>Present</v>
      </c>
    </row>
    <row r="2926" spans="1:5" x14ac:dyDescent="0.25">
      <c r="A2926" s="2" t="s">
        <v>2932</v>
      </c>
      <c r="B2926" s="2" t="s">
        <v>1361</v>
      </c>
      <c r="C2926" s="2">
        <v>2</v>
      </c>
      <c r="D2926" t="str">
        <f t="shared" si="45"/>
        <v>CA-2015-154284_TEC-MA-10004241</v>
      </c>
      <c r="E2926" t="str">
        <f>IF(COUNTIF(data1!$D:$D,D2926)=0,"Missing in Data1","Present")</f>
        <v>Present</v>
      </c>
    </row>
    <row r="2927" spans="1:5" x14ac:dyDescent="0.25">
      <c r="A2927" s="2" t="s">
        <v>2934</v>
      </c>
      <c r="B2927" s="2" t="s">
        <v>238</v>
      </c>
      <c r="C2927" s="2">
        <v>2</v>
      </c>
      <c r="D2927" t="str">
        <f t="shared" si="45"/>
        <v>CA-2015-154291_FUR-TA-10002041</v>
      </c>
      <c r="E2927" t="str">
        <f>IF(COUNTIF(data1!$D:$D,D2927)=0,"Missing in Data1","Present")</f>
        <v>Present</v>
      </c>
    </row>
    <row r="2928" spans="1:5" x14ac:dyDescent="0.25">
      <c r="A2928" s="2" t="s">
        <v>2934</v>
      </c>
      <c r="B2928" s="2" t="s">
        <v>1155</v>
      </c>
      <c r="C2928" s="2">
        <v>9</v>
      </c>
      <c r="D2928" t="str">
        <f t="shared" si="45"/>
        <v>CA-2015-154291_OFF-EN-10001335</v>
      </c>
      <c r="E2928" t="str">
        <f>IF(COUNTIF(data1!$D:$D,D2928)=0,"Missing in Data1","Present")</f>
        <v>Present</v>
      </c>
    </row>
    <row r="2929" spans="1:5" x14ac:dyDescent="0.25">
      <c r="A2929" s="2" t="s">
        <v>2935</v>
      </c>
      <c r="B2929" s="2" t="s">
        <v>2609</v>
      </c>
      <c r="C2929" s="2">
        <v>5</v>
      </c>
      <c r="D2929" t="str">
        <f t="shared" si="45"/>
        <v>CA-2015-154326_TEC-AC-10004568</v>
      </c>
      <c r="E2929" t="str">
        <f>IF(COUNTIF(data1!$D:$D,D2929)=0,"Missing in Data1","Present")</f>
        <v>Present</v>
      </c>
    </row>
    <row r="2930" spans="1:5" x14ac:dyDescent="0.25">
      <c r="A2930" s="2" t="s">
        <v>2935</v>
      </c>
      <c r="B2930" s="2" t="s">
        <v>234</v>
      </c>
      <c r="C2930" s="2">
        <v>2</v>
      </c>
      <c r="D2930" t="str">
        <f t="shared" si="45"/>
        <v>CA-2015-154326_TEC-PH-10000560</v>
      </c>
      <c r="E2930" t="str">
        <f>IF(COUNTIF(data1!$D:$D,D2930)=0,"Missing in Data1","Present")</f>
        <v>Present</v>
      </c>
    </row>
    <row r="2931" spans="1:5" x14ac:dyDescent="0.25">
      <c r="A2931" s="2" t="s">
        <v>2935</v>
      </c>
      <c r="B2931" s="2" t="s">
        <v>1647</v>
      </c>
      <c r="C2931" s="2">
        <v>3</v>
      </c>
      <c r="D2931" t="str">
        <f t="shared" si="45"/>
        <v>CA-2015-154326_TEC-PH-10001819</v>
      </c>
      <c r="E2931" t="str">
        <f>IF(COUNTIF(data1!$D:$D,D2931)=0,"Missing in Data1","Present")</f>
        <v>Present</v>
      </c>
    </row>
    <row r="2932" spans="1:5" x14ac:dyDescent="0.25">
      <c r="A2932" s="2" t="s">
        <v>2936</v>
      </c>
      <c r="B2932" s="2" t="s">
        <v>2183</v>
      </c>
      <c r="C2932" s="2">
        <v>2</v>
      </c>
      <c r="D2932" t="str">
        <f t="shared" si="45"/>
        <v>CA-2015-154340_OFF-AR-10003582</v>
      </c>
      <c r="E2932" t="str">
        <f>IF(COUNTIF(data1!$D:$D,D2932)=0,"Missing in Data1","Present")</f>
        <v>Present</v>
      </c>
    </row>
    <row r="2933" spans="1:5" x14ac:dyDescent="0.25">
      <c r="A2933" s="2" t="s">
        <v>2937</v>
      </c>
      <c r="B2933" s="2" t="s">
        <v>62</v>
      </c>
      <c r="C2933" s="2">
        <v>2</v>
      </c>
      <c r="D2933" t="str">
        <f t="shared" si="45"/>
        <v>CA-2015-154620_FUR-CH-10004675</v>
      </c>
      <c r="E2933" t="str">
        <f>IF(COUNTIF(data1!$D:$D,D2933)=0,"Missing in Data1","Present")</f>
        <v>Present</v>
      </c>
    </row>
    <row r="2934" spans="1:5" x14ac:dyDescent="0.25">
      <c r="A2934" s="2" t="s">
        <v>2938</v>
      </c>
      <c r="B2934" s="2" t="s">
        <v>2939</v>
      </c>
      <c r="C2934" s="2">
        <v>3</v>
      </c>
      <c r="D2934" t="str">
        <f t="shared" si="45"/>
        <v>CA-2015-154746_OFF-AP-10003057</v>
      </c>
      <c r="E2934" t="str">
        <f>IF(COUNTIF(data1!$D:$D,D2934)=0,"Missing in Data1","Present")</f>
        <v>Present</v>
      </c>
    </row>
    <row r="2935" spans="1:5" x14ac:dyDescent="0.25">
      <c r="A2935" s="2" t="s">
        <v>2938</v>
      </c>
      <c r="B2935" s="2" t="s">
        <v>1656</v>
      </c>
      <c r="C2935" s="2">
        <v>2</v>
      </c>
      <c r="D2935" t="str">
        <f t="shared" si="45"/>
        <v>CA-2015-154746_OFF-EN-10001532</v>
      </c>
      <c r="E2935" t="str">
        <f>IF(COUNTIF(data1!$D:$D,D2935)=0,"Missing in Data1","Present")</f>
        <v>Present</v>
      </c>
    </row>
    <row r="2936" spans="1:5" x14ac:dyDescent="0.25">
      <c r="A2936" s="2" t="s">
        <v>2940</v>
      </c>
      <c r="B2936" s="2" t="s">
        <v>756</v>
      </c>
      <c r="C2936" s="2">
        <v>2</v>
      </c>
      <c r="D2936" t="str">
        <f t="shared" si="45"/>
        <v>CA-2015-154795_FUR-FU-10002088</v>
      </c>
      <c r="E2936" t="str">
        <f>IF(COUNTIF(data1!$D:$D,D2936)=0,"Missing in Data1","Present")</f>
        <v>Present</v>
      </c>
    </row>
    <row r="2937" spans="1:5" x14ac:dyDescent="0.25">
      <c r="A2937" s="2" t="s">
        <v>2940</v>
      </c>
      <c r="B2937" s="2" t="s">
        <v>2143</v>
      </c>
      <c r="C2937" s="2">
        <v>1</v>
      </c>
      <c r="D2937" t="str">
        <f t="shared" si="45"/>
        <v>CA-2015-154795_OFF-EN-10003068</v>
      </c>
      <c r="E2937" t="str">
        <f>IF(COUNTIF(data1!$D:$D,D2937)=0,"Missing in Data1","Present")</f>
        <v>Present</v>
      </c>
    </row>
    <row r="2938" spans="1:5" x14ac:dyDescent="0.25">
      <c r="A2938" s="2" t="s">
        <v>2941</v>
      </c>
      <c r="B2938" s="2" t="s">
        <v>1682</v>
      </c>
      <c r="C2938" s="2">
        <v>3</v>
      </c>
      <c r="D2938" t="str">
        <f t="shared" si="45"/>
        <v>CA-2015-154823_FUR-CH-10003379</v>
      </c>
      <c r="E2938" t="str">
        <f>IF(COUNTIF(data1!$D:$D,D2938)=0,"Missing in Data1","Present")</f>
        <v>Present</v>
      </c>
    </row>
    <row r="2939" spans="1:5" x14ac:dyDescent="0.25">
      <c r="A2939" s="2" t="s">
        <v>2941</v>
      </c>
      <c r="B2939" s="2" t="s">
        <v>846</v>
      </c>
      <c r="C2939" s="2">
        <v>1</v>
      </c>
      <c r="D2939" t="str">
        <f t="shared" si="45"/>
        <v>CA-2015-154823_FUR-FU-10000193</v>
      </c>
      <c r="E2939" t="str">
        <f>IF(COUNTIF(data1!$D:$D,D2939)=0,"Missing in Data1","Present")</f>
        <v>Present</v>
      </c>
    </row>
    <row r="2940" spans="1:5" x14ac:dyDescent="0.25">
      <c r="A2940" s="2" t="s">
        <v>2941</v>
      </c>
      <c r="B2940" s="2" t="s">
        <v>2048</v>
      </c>
      <c r="C2940" s="2">
        <v>2</v>
      </c>
      <c r="D2940" t="str">
        <f t="shared" si="45"/>
        <v>CA-2015-154823_OFF-BI-10001098</v>
      </c>
      <c r="E2940" t="str">
        <f>IF(COUNTIF(data1!$D:$D,D2940)=0,"Missing in Data1","Present")</f>
        <v>Present</v>
      </c>
    </row>
    <row r="2941" spans="1:5" x14ac:dyDescent="0.25">
      <c r="A2941" s="2" t="s">
        <v>2942</v>
      </c>
      <c r="B2941" s="2" t="s">
        <v>2489</v>
      </c>
      <c r="C2941" s="2">
        <v>2</v>
      </c>
      <c r="D2941" t="str">
        <f t="shared" si="45"/>
        <v>CA-2015-154886_TEC-AC-10001956</v>
      </c>
      <c r="E2941" t="str">
        <f>IF(COUNTIF(data1!$D:$D,D2941)=0,"Missing in Data1","Present")</f>
        <v>Present</v>
      </c>
    </row>
    <row r="2942" spans="1:5" x14ac:dyDescent="0.25">
      <c r="A2942" s="2" t="s">
        <v>2943</v>
      </c>
      <c r="B2942" s="2" t="s">
        <v>215</v>
      </c>
      <c r="C2942" s="2">
        <v>1</v>
      </c>
      <c r="D2942" t="str">
        <f t="shared" si="45"/>
        <v>CA-2015-154900_OFF-LA-10001641</v>
      </c>
      <c r="E2942" t="str">
        <f>IF(COUNTIF(data1!$D:$D,D2942)=0,"Missing in Data1","Present")</f>
        <v>Present</v>
      </c>
    </row>
    <row r="2943" spans="1:5" x14ac:dyDescent="0.25">
      <c r="A2943" s="2" t="s">
        <v>2943</v>
      </c>
      <c r="B2943" s="2" t="s">
        <v>592</v>
      </c>
      <c r="C2943" s="2">
        <v>4</v>
      </c>
      <c r="D2943" t="str">
        <f t="shared" si="45"/>
        <v>CA-2015-154900_OFF-PA-10002377</v>
      </c>
      <c r="E2943" t="str">
        <f>IF(COUNTIF(data1!$D:$D,D2943)=0,"Missing in Data1","Present")</f>
        <v>Present</v>
      </c>
    </row>
    <row r="2944" spans="1:5" x14ac:dyDescent="0.25">
      <c r="A2944" s="2" t="s">
        <v>2944</v>
      </c>
      <c r="B2944" s="2" t="s">
        <v>18</v>
      </c>
      <c r="C2944" s="2">
        <v>3</v>
      </c>
      <c r="D2944" t="str">
        <f t="shared" si="45"/>
        <v>CA-2015-154921_OFF-EN-10000056</v>
      </c>
      <c r="E2944" t="str">
        <f>IF(COUNTIF(data1!$D:$D,D2944)=0,"Missing in Data1","Present")</f>
        <v>Present</v>
      </c>
    </row>
    <row r="2945" spans="1:5" x14ac:dyDescent="0.25">
      <c r="A2945" s="2" t="s">
        <v>2945</v>
      </c>
      <c r="B2945" s="2" t="s">
        <v>2074</v>
      </c>
      <c r="C2945" s="2">
        <v>4</v>
      </c>
      <c r="D2945" t="str">
        <f t="shared" si="45"/>
        <v>CA-2015-154956_TEC-PH-10004165</v>
      </c>
      <c r="E2945" t="str">
        <f>IF(COUNTIF(data1!$D:$D,D2945)=0,"Missing in Data1","Present")</f>
        <v>Present</v>
      </c>
    </row>
    <row r="2946" spans="1:5" x14ac:dyDescent="0.25">
      <c r="A2946" s="2" t="s">
        <v>2946</v>
      </c>
      <c r="B2946" s="2" t="s">
        <v>858</v>
      </c>
      <c r="C2946" s="2">
        <v>1</v>
      </c>
      <c r="D2946" t="str">
        <f t="shared" si="45"/>
        <v>CA-2015-154970_FUR-CH-10003396</v>
      </c>
      <c r="E2946" t="str">
        <f>IF(COUNTIF(data1!$D:$D,D2946)=0,"Missing in Data1","Present")</f>
        <v>Present</v>
      </c>
    </row>
    <row r="2947" spans="1:5" x14ac:dyDescent="0.25">
      <c r="A2947" s="2" t="s">
        <v>2948</v>
      </c>
      <c r="B2947" s="2" t="s">
        <v>1255</v>
      </c>
      <c r="C2947" s="2">
        <v>2</v>
      </c>
      <c r="D2947" t="str">
        <f t="shared" ref="D2947:D3010" si="46">A2947&amp;"_"&amp;B2947</f>
        <v>CA-2015-155054_OFF-BI-10002824</v>
      </c>
      <c r="E2947" t="str">
        <f>IF(COUNTIF(data1!$D:$D,D2947)=0,"Missing in Data1","Present")</f>
        <v>Present</v>
      </c>
    </row>
    <row r="2948" spans="1:5" x14ac:dyDescent="0.25">
      <c r="A2948" s="2" t="s">
        <v>2948</v>
      </c>
      <c r="B2948" s="2" t="s">
        <v>651</v>
      </c>
      <c r="C2948" s="2">
        <v>2</v>
      </c>
      <c r="D2948" t="str">
        <f t="shared" si="46"/>
        <v>CA-2015-155054_OFF-BI-10004970</v>
      </c>
      <c r="E2948" t="str">
        <f>IF(COUNTIF(data1!$D:$D,D2948)=0,"Missing in Data1","Present")</f>
        <v>Present</v>
      </c>
    </row>
    <row r="2949" spans="1:5" x14ac:dyDescent="0.25">
      <c r="A2949" s="2" t="s">
        <v>2948</v>
      </c>
      <c r="B2949" s="2" t="s">
        <v>2249</v>
      </c>
      <c r="C2949" s="2">
        <v>2</v>
      </c>
      <c r="D2949" t="str">
        <f t="shared" si="46"/>
        <v>CA-2015-155054_TEC-AC-10003657</v>
      </c>
      <c r="E2949" t="str">
        <f>IF(COUNTIF(data1!$D:$D,D2949)=0,"Missing in Data1","Present")</f>
        <v>Present</v>
      </c>
    </row>
    <row r="2950" spans="1:5" x14ac:dyDescent="0.25">
      <c r="A2950" s="2" t="s">
        <v>2949</v>
      </c>
      <c r="B2950" s="2" t="s">
        <v>1036</v>
      </c>
      <c r="C2950" s="2">
        <v>2</v>
      </c>
      <c r="D2950" t="str">
        <f t="shared" si="46"/>
        <v>CA-2015-155068_OFF-AR-10002656</v>
      </c>
      <c r="E2950" t="str">
        <f>IF(COUNTIF(data1!$D:$D,D2950)=0,"Missing in Data1","Present")</f>
        <v>Present</v>
      </c>
    </row>
    <row r="2951" spans="1:5" x14ac:dyDescent="0.25">
      <c r="A2951" s="2" t="s">
        <v>2949</v>
      </c>
      <c r="B2951" s="2" t="s">
        <v>1466</v>
      </c>
      <c r="C2951" s="2">
        <v>7</v>
      </c>
      <c r="D2951" t="str">
        <f t="shared" si="46"/>
        <v>CA-2015-155068_TEC-PH-10004897</v>
      </c>
      <c r="E2951" t="str">
        <f>IF(COUNTIF(data1!$D:$D,D2951)=0,"Missing in Data1","Present")</f>
        <v>Present</v>
      </c>
    </row>
    <row r="2952" spans="1:5" x14ac:dyDescent="0.25">
      <c r="A2952" s="2" t="s">
        <v>2949</v>
      </c>
      <c r="B2952" s="2" t="s">
        <v>2950</v>
      </c>
      <c r="C2952" s="2">
        <v>2</v>
      </c>
      <c r="D2952" t="str">
        <f t="shared" si="46"/>
        <v>CA-2015-155068_TEC-PH-10004924</v>
      </c>
      <c r="E2952" t="str">
        <f>IF(COUNTIF(data1!$D:$D,D2952)=0,"Missing in Data1","Present")</f>
        <v>Present</v>
      </c>
    </row>
    <row r="2953" spans="1:5" x14ac:dyDescent="0.25">
      <c r="A2953" s="2" t="s">
        <v>2951</v>
      </c>
      <c r="B2953" s="2" t="s">
        <v>2952</v>
      </c>
      <c r="C2953" s="2">
        <v>3</v>
      </c>
      <c r="D2953" t="str">
        <f t="shared" si="46"/>
        <v>CA-2015-155124_TEC-PH-10003356</v>
      </c>
      <c r="E2953" t="str">
        <f>IF(COUNTIF(data1!$D:$D,D2953)=0,"Missing in Data1","Present")</f>
        <v>Present</v>
      </c>
    </row>
    <row r="2954" spans="1:5" x14ac:dyDescent="0.25">
      <c r="A2954" s="2" t="s">
        <v>2953</v>
      </c>
      <c r="B2954" s="2" t="s">
        <v>553</v>
      </c>
      <c r="C2954" s="2">
        <v>8</v>
      </c>
      <c r="D2954" t="str">
        <f t="shared" si="46"/>
        <v>CA-2015-155145_TEC-AC-10003709</v>
      </c>
      <c r="E2954" t="str">
        <f>IF(COUNTIF(data1!$D:$D,D2954)=0,"Missing in Data1","Present")</f>
        <v>Present</v>
      </c>
    </row>
    <row r="2955" spans="1:5" x14ac:dyDescent="0.25">
      <c r="A2955" s="2" t="s">
        <v>2954</v>
      </c>
      <c r="B2955" s="2" t="s">
        <v>1233</v>
      </c>
      <c r="C2955" s="2">
        <v>5</v>
      </c>
      <c r="D2955" t="str">
        <f t="shared" si="46"/>
        <v>CA-2015-155306_OFF-AP-10002651</v>
      </c>
      <c r="E2955" t="str">
        <f>IF(COUNTIF(data1!$D:$D,D2955)=0,"Missing in Data1","Present")</f>
        <v>Present</v>
      </c>
    </row>
    <row r="2956" spans="1:5" x14ac:dyDescent="0.25">
      <c r="A2956" s="2" t="s">
        <v>2954</v>
      </c>
      <c r="B2956" s="2" t="s">
        <v>1920</v>
      </c>
      <c r="C2956" s="2">
        <v>2</v>
      </c>
      <c r="D2956" t="str">
        <f t="shared" si="46"/>
        <v>CA-2015-155306_OFF-AR-10003251</v>
      </c>
      <c r="E2956" t="str">
        <f>IF(COUNTIF(data1!$D:$D,D2956)=0,"Missing in Data1","Present")</f>
        <v>Present</v>
      </c>
    </row>
    <row r="2957" spans="1:5" x14ac:dyDescent="0.25">
      <c r="A2957" s="2" t="s">
        <v>2954</v>
      </c>
      <c r="B2957" s="2" t="s">
        <v>2955</v>
      </c>
      <c r="C2957" s="2">
        <v>2</v>
      </c>
      <c r="D2957" t="str">
        <f t="shared" si="46"/>
        <v>CA-2015-155306_OFF-PA-10001184</v>
      </c>
      <c r="E2957" t="str">
        <f>IF(COUNTIF(data1!$D:$D,D2957)=0,"Missing in Data1","Present")</f>
        <v>Present</v>
      </c>
    </row>
    <row r="2958" spans="1:5" x14ac:dyDescent="0.25">
      <c r="A2958" s="2" t="s">
        <v>2954</v>
      </c>
      <c r="B2958" s="2" t="s">
        <v>1658</v>
      </c>
      <c r="C2958" s="2">
        <v>3</v>
      </c>
      <c r="D2958" t="str">
        <f t="shared" si="46"/>
        <v>CA-2015-155306_TEC-AC-10003174</v>
      </c>
      <c r="E2958" t="str">
        <f>IF(COUNTIF(data1!$D:$D,D2958)=0,"Missing in Data1","Present")</f>
        <v>Present</v>
      </c>
    </row>
    <row r="2959" spans="1:5" x14ac:dyDescent="0.25">
      <c r="A2959" s="2" t="s">
        <v>2954</v>
      </c>
      <c r="B2959" s="2" t="s">
        <v>831</v>
      </c>
      <c r="C2959" s="2">
        <v>5</v>
      </c>
      <c r="D2959" t="str">
        <f t="shared" si="46"/>
        <v>CA-2015-155306_TEC-PH-10002310</v>
      </c>
      <c r="E2959" t="str">
        <f>IF(COUNTIF(data1!$D:$D,D2959)=0,"Missing in Data1","Present")</f>
        <v>Present</v>
      </c>
    </row>
    <row r="2960" spans="1:5" x14ac:dyDescent="0.25">
      <c r="A2960" s="2" t="s">
        <v>2956</v>
      </c>
      <c r="B2960" s="2" t="s">
        <v>779</v>
      </c>
      <c r="C2960" s="2">
        <v>3</v>
      </c>
      <c r="D2960" t="str">
        <f t="shared" si="46"/>
        <v>CA-2015-155334_FUR-FU-10003274</v>
      </c>
      <c r="E2960" t="str">
        <f>IF(COUNTIF(data1!$D:$D,D2960)=0,"Missing in Data1","Present")</f>
        <v>Present</v>
      </c>
    </row>
    <row r="2961" spans="1:5" x14ac:dyDescent="0.25">
      <c r="A2961" s="2" t="s">
        <v>2956</v>
      </c>
      <c r="B2961" s="2" t="s">
        <v>1825</v>
      </c>
      <c r="C2961" s="2">
        <v>3</v>
      </c>
      <c r="D2961" t="str">
        <f t="shared" si="46"/>
        <v>CA-2015-155334_OFF-BI-10002557</v>
      </c>
      <c r="E2961" t="str">
        <f>IF(COUNTIF(data1!$D:$D,D2961)=0,"Missing in Data1","Present")</f>
        <v>Present</v>
      </c>
    </row>
    <row r="2962" spans="1:5" x14ac:dyDescent="0.25">
      <c r="A2962" s="2" t="s">
        <v>2956</v>
      </c>
      <c r="B2962" s="2" t="s">
        <v>131</v>
      </c>
      <c r="C2962" s="2">
        <v>7</v>
      </c>
      <c r="D2962" t="str">
        <f t="shared" si="46"/>
        <v>CA-2015-155334_TEC-AC-10003628</v>
      </c>
      <c r="E2962" t="str">
        <f>IF(COUNTIF(data1!$D:$D,D2962)=0,"Missing in Data1","Present")</f>
        <v>Present</v>
      </c>
    </row>
    <row r="2963" spans="1:5" x14ac:dyDescent="0.25">
      <c r="A2963" s="2" t="s">
        <v>2957</v>
      </c>
      <c r="B2963" s="2" t="s">
        <v>776</v>
      </c>
      <c r="C2963" s="2">
        <v>2</v>
      </c>
      <c r="D2963" t="str">
        <f t="shared" si="46"/>
        <v>CA-2015-155453_OFF-LA-10001613</v>
      </c>
      <c r="E2963" t="str">
        <f>IF(COUNTIF(data1!$D:$D,D2963)=0,"Missing in Data1","Present")</f>
        <v>Present</v>
      </c>
    </row>
    <row r="2964" spans="1:5" x14ac:dyDescent="0.25">
      <c r="A2964" s="2" t="s">
        <v>2958</v>
      </c>
      <c r="B2964" s="2" t="s">
        <v>2227</v>
      </c>
      <c r="C2964" s="2">
        <v>1</v>
      </c>
      <c r="D2964" t="str">
        <f t="shared" si="46"/>
        <v>CA-2015-155586_OFF-AR-10001547</v>
      </c>
      <c r="E2964" t="str">
        <f>IF(COUNTIF(data1!$D:$D,D2964)=0,"Missing in Data1","Present")</f>
        <v>Missing in Data1</v>
      </c>
    </row>
    <row r="2965" spans="1:5" x14ac:dyDescent="0.25">
      <c r="A2965" s="2" t="s">
        <v>2958</v>
      </c>
      <c r="B2965" s="2" t="s">
        <v>808</v>
      </c>
      <c r="C2965" s="2">
        <v>4</v>
      </c>
      <c r="D2965" t="str">
        <f t="shared" si="46"/>
        <v>CA-2015-155586_OFF-EN-10003072</v>
      </c>
      <c r="E2965" t="str">
        <f>IF(COUNTIF(data1!$D:$D,D2965)=0,"Missing in Data1","Present")</f>
        <v>Present</v>
      </c>
    </row>
    <row r="2966" spans="1:5" x14ac:dyDescent="0.25">
      <c r="A2966" s="2" t="s">
        <v>2958</v>
      </c>
      <c r="B2966" s="2" t="s">
        <v>2868</v>
      </c>
      <c r="C2966" s="2">
        <v>4</v>
      </c>
      <c r="D2966" t="str">
        <f t="shared" si="46"/>
        <v>CA-2015-155586_OFF-PA-10000726</v>
      </c>
      <c r="E2966" t="str">
        <f>IF(COUNTIF(data1!$D:$D,D2966)=0,"Missing in Data1","Present")</f>
        <v>Present</v>
      </c>
    </row>
    <row r="2967" spans="1:5" x14ac:dyDescent="0.25">
      <c r="A2967" s="2" t="s">
        <v>2959</v>
      </c>
      <c r="B2967" s="2" t="s">
        <v>640</v>
      </c>
      <c r="C2967" s="2">
        <v>4</v>
      </c>
      <c r="D2967" t="str">
        <f t="shared" si="46"/>
        <v>CA-2015-155600_OFF-AR-10003752</v>
      </c>
      <c r="E2967" t="str">
        <f>IF(COUNTIF(data1!$D:$D,D2967)=0,"Missing in Data1","Present")</f>
        <v>Present</v>
      </c>
    </row>
    <row r="2968" spans="1:5" x14ac:dyDescent="0.25">
      <c r="A2968" s="2" t="s">
        <v>2959</v>
      </c>
      <c r="B2968" s="2" t="s">
        <v>2499</v>
      </c>
      <c r="C2968" s="2">
        <v>7</v>
      </c>
      <c r="D2968" t="str">
        <f t="shared" si="46"/>
        <v>CA-2015-155600_OFF-BI-10000545</v>
      </c>
      <c r="E2968" t="str">
        <f>IF(COUNTIF(data1!$D:$D,D2968)=0,"Missing in Data1","Present")</f>
        <v>Present</v>
      </c>
    </row>
    <row r="2969" spans="1:5" x14ac:dyDescent="0.25">
      <c r="A2969" s="2" t="s">
        <v>2960</v>
      </c>
      <c r="B2969" s="2" t="s">
        <v>1014</v>
      </c>
      <c r="C2969" s="2">
        <v>3</v>
      </c>
      <c r="D2969" t="str">
        <f t="shared" si="46"/>
        <v>CA-2015-155635_OFF-BI-10000962</v>
      </c>
      <c r="E2969" t="str">
        <f>IF(COUNTIF(data1!$D:$D,D2969)=0,"Missing in Data1","Present")</f>
        <v>Present</v>
      </c>
    </row>
    <row r="2970" spans="1:5" x14ac:dyDescent="0.25">
      <c r="A2970" s="2" t="s">
        <v>2961</v>
      </c>
      <c r="B2970" s="2" t="s">
        <v>166</v>
      </c>
      <c r="C2970" s="2">
        <v>3</v>
      </c>
      <c r="D2970" t="str">
        <f t="shared" si="46"/>
        <v>CA-2015-155761_OFF-ST-10000943</v>
      </c>
      <c r="E2970" t="str">
        <f>IF(COUNTIF(data1!$D:$D,D2970)=0,"Missing in Data1","Present")</f>
        <v>Present</v>
      </c>
    </row>
    <row r="2971" spans="1:5" x14ac:dyDescent="0.25">
      <c r="A2971" s="2" t="s">
        <v>2961</v>
      </c>
      <c r="B2971" s="2" t="s">
        <v>1128</v>
      </c>
      <c r="C2971" s="2">
        <v>2</v>
      </c>
      <c r="D2971" t="str">
        <f t="shared" si="46"/>
        <v>CA-2015-155761_TEC-AC-10001606</v>
      </c>
      <c r="E2971" t="str">
        <f>IF(COUNTIF(data1!$D:$D,D2971)=0,"Missing in Data1","Present")</f>
        <v>Present</v>
      </c>
    </row>
    <row r="2972" spans="1:5" x14ac:dyDescent="0.25">
      <c r="A2972" s="2" t="s">
        <v>2962</v>
      </c>
      <c r="B2972" s="2" t="s">
        <v>2779</v>
      </c>
      <c r="C2972" s="2">
        <v>2</v>
      </c>
      <c r="D2972" t="str">
        <f t="shared" si="46"/>
        <v>CA-2015-156013_OFF-BI-10002437</v>
      </c>
      <c r="E2972" t="str">
        <f>IF(COUNTIF(data1!$D:$D,D2972)=0,"Missing in Data1","Present")</f>
        <v>Present</v>
      </c>
    </row>
    <row r="2973" spans="1:5" x14ac:dyDescent="0.25">
      <c r="A2973" s="2" t="s">
        <v>2963</v>
      </c>
      <c r="B2973" s="2" t="s">
        <v>1688</v>
      </c>
      <c r="C2973" s="2">
        <v>2</v>
      </c>
      <c r="D2973" t="str">
        <f t="shared" si="46"/>
        <v>CA-2015-156104_TEC-CO-10002095</v>
      </c>
      <c r="E2973" t="str">
        <f>IF(COUNTIF(data1!$D:$D,D2973)=0,"Missing in Data1","Present")</f>
        <v>Present</v>
      </c>
    </row>
    <row r="2974" spans="1:5" x14ac:dyDescent="0.25">
      <c r="A2974" s="2" t="s">
        <v>2964</v>
      </c>
      <c r="B2974" s="2" t="s">
        <v>721</v>
      </c>
      <c r="C2974" s="2">
        <v>3</v>
      </c>
      <c r="D2974" t="str">
        <f t="shared" si="46"/>
        <v>CA-2015-156118_OFF-PA-10000533</v>
      </c>
      <c r="E2974" t="str">
        <f>IF(COUNTIF(data1!$D:$D,D2974)=0,"Missing in Data1","Present")</f>
        <v>Present</v>
      </c>
    </row>
    <row r="2975" spans="1:5" x14ac:dyDescent="0.25">
      <c r="A2975" s="2" t="s">
        <v>2965</v>
      </c>
      <c r="B2975" s="2" t="s">
        <v>1914</v>
      </c>
      <c r="C2975" s="2">
        <v>2</v>
      </c>
      <c r="D2975" t="str">
        <f t="shared" si="46"/>
        <v>CA-2015-156146_TEC-PH-10001527</v>
      </c>
      <c r="E2975" t="str">
        <f>IF(COUNTIF(data1!$D:$D,D2975)=0,"Missing in Data1","Present")</f>
        <v>Present</v>
      </c>
    </row>
    <row r="2976" spans="1:5" x14ac:dyDescent="0.25">
      <c r="A2976" s="2" t="s">
        <v>2965</v>
      </c>
      <c r="B2976" s="2" t="s">
        <v>2325</v>
      </c>
      <c r="C2976" s="2">
        <v>2</v>
      </c>
      <c r="D2976" t="str">
        <f t="shared" si="46"/>
        <v>CA-2015-156146_TEC-PH-10001700</v>
      </c>
      <c r="E2976" t="str">
        <f>IF(COUNTIF(data1!$D:$D,D2976)=0,"Missing in Data1","Present")</f>
        <v>Missing in Data1</v>
      </c>
    </row>
    <row r="2977" spans="1:5" x14ac:dyDescent="0.25">
      <c r="A2977" s="2" t="s">
        <v>2966</v>
      </c>
      <c r="B2977" s="2" t="s">
        <v>1859</v>
      </c>
      <c r="C2977" s="2">
        <v>6</v>
      </c>
      <c r="D2977" t="str">
        <f t="shared" si="46"/>
        <v>CA-2015-156153_OFF-FA-10003472</v>
      </c>
      <c r="E2977" t="str">
        <f>IF(COUNTIF(data1!$D:$D,D2977)=0,"Missing in Data1","Present")</f>
        <v>Present</v>
      </c>
    </row>
    <row r="2978" spans="1:5" x14ac:dyDescent="0.25">
      <c r="A2978" s="2" t="s">
        <v>2967</v>
      </c>
      <c r="B2978" s="2" t="s">
        <v>2968</v>
      </c>
      <c r="C2978" s="2">
        <v>3</v>
      </c>
      <c r="D2978" t="str">
        <f t="shared" si="46"/>
        <v>CA-2015-156328_TEC-PH-10001198</v>
      </c>
      <c r="E2978" t="str">
        <f>IF(COUNTIF(data1!$D:$D,D2978)=0,"Missing in Data1","Present")</f>
        <v>Present</v>
      </c>
    </row>
    <row r="2979" spans="1:5" x14ac:dyDescent="0.25">
      <c r="A2979" s="2" t="s">
        <v>2969</v>
      </c>
      <c r="B2979" s="2" t="s">
        <v>940</v>
      </c>
      <c r="C2979" s="2">
        <v>3</v>
      </c>
      <c r="D2979" t="str">
        <f t="shared" si="46"/>
        <v>CA-2015-156335_OFF-BI-10003314</v>
      </c>
      <c r="E2979" t="str">
        <f>IF(COUNTIF(data1!$D:$D,D2979)=0,"Missing in Data1","Present")</f>
        <v>Present</v>
      </c>
    </row>
    <row r="2980" spans="1:5" x14ac:dyDescent="0.25">
      <c r="A2980" s="2" t="s">
        <v>2969</v>
      </c>
      <c r="B2980" s="2" t="s">
        <v>1603</v>
      </c>
      <c r="C2980" s="2">
        <v>4</v>
      </c>
      <c r="D2980" t="str">
        <f t="shared" si="46"/>
        <v>CA-2015-156335_TEC-AC-10002006</v>
      </c>
      <c r="E2980" t="str">
        <f>IF(COUNTIF(data1!$D:$D,D2980)=0,"Missing in Data1","Present")</f>
        <v>Present</v>
      </c>
    </row>
    <row r="2981" spans="1:5" x14ac:dyDescent="0.25">
      <c r="A2981" s="2" t="s">
        <v>2969</v>
      </c>
      <c r="B2981" s="2" t="s">
        <v>244</v>
      </c>
      <c r="C2981" s="2">
        <v>2</v>
      </c>
      <c r="D2981" t="str">
        <f t="shared" si="46"/>
        <v>CA-2015-156335_TEC-PH-10002726</v>
      </c>
      <c r="E2981" t="str">
        <f>IF(COUNTIF(data1!$D:$D,D2981)=0,"Missing in Data1","Present")</f>
        <v>Present</v>
      </c>
    </row>
    <row r="2982" spans="1:5" x14ac:dyDescent="0.25">
      <c r="A2982" s="2" t="s">
        <v>2970</v>
      </c>
      <c r="B2982" s="2" t="s">
        <v>1325</v>
      </c>
      <c r="C2982" s="2">
        <v>5</v>
      </c>
      <c r="D2982" t="str">
        <f t="shared" si="46"/>
        <v>CA-2015-156377_FUR-FU-10002364</v>
      </c>
      <c r="E2982" t="str">
        <f>IF(COUNTIF(data1!$D:$D,D2982)=0,"Missing in Data1","Present")</f>
        <v>Present</v>
      </c>
    </row>
    <row r="2983" spans="1:5" x14ac:dyDescent="0.25">
      <c r="A2983" s="2" t="s">
        <v>2971</v>
      </c>
      <c r="B2983" s="2" t="s">
        <v>1111</v>
      </c>
      <c r="C2983" s="2">
        <v>2</v>
      </c>
      <c r="D2983" t="str">
        <f t="shared" si="46"/>
        <v>CA-2015-156440_FUR-FU-10004090</v>
      </c>
      <c r="E2983" t="str">
        <f>IF(COUNTIF(data1!$D:$D,D2983)=0,"Missing in Data1","Present")</f>
        <v>Present</v>
      </c>
    </row>
    <row r="2984" spans="1:5" x14ac:dyDescent="0.25">
      <c r="A2984" s="2" t="s">
        <v>2972</v>
      </c>
      <c r="B2984" s="2" t="s">
        <v>2180</v>
      </c>
      <c r="C2984" s="2">
        <v>4</v>
      </c>
      <c r="D2984" t="str">
        <f t="shared" si="46"/>
        <v>CA-2015-156482_FUR-BO-10002598</v>
      </c>
      <c r="E2984" t="str">
        <f>IF(COUNTIF(data1!$D:$D,D2984)=0,"Missing in Data1","Present")</f>
        <v>Present</v>
      </c>
    </row>
    <row r="2985" spans="1:5" x14ac:dyDescent="0.25">
      <c r="A2985" s="2" t="s">
        <v>2972</v>
      </c>
      <c r="B2985" s="2" t="s">
        <v>2229</v>
      </c>
      <c r="C2985" s="2">
        <v>9</v>
      </c>
      <c r="D2985" t="str">
        <f t="shared" si="46"/>
        <v>CA-2015-156482_FUR-CH-10001708</v>
      </c>
      <c r="E2985" t="str">
        <f>IF(COUNTIF(data1!$D:$D,D2985)=0,"Missing in Data1","Present")</f>
        <v>Present</v>
      </c>
    </row>
    <row r="2986" spans="1:5" x14ac:dyDescent="0.25">
      <c r="A2986" s="2" t="s">
        <v>2972</v>
      </c>
      <c r="B2986" s="2" t="s">
        <v>38</v>
      </c>
      <c r="C2986" s="2">
        <v>2</v>
      </c>
      <c r="D2986" t="str">
        <f t="shared" si="46"/>
        <v>CA-2015-156482_OFF-AR-10001022</v>
      </c>
      <c r="E2986" t="str">
        <f>IF(COUNTIF(data1!$D:$D,D2986)=0,"Missing in Data1","Present")</f>
        <v>Present</v>
      </c>
    </row>
    <row r="2987" spans="1:5" x14ac:dyDescent="0.25">
      <c r="A2987" s="2" t="s">
        <v>2973</v>
      </c>
      <c r="B2987" s="2" t="s">
        <v>693</v>
      </c>
      <c r="C2987" s="2">
        <v>1</v>
      </c>
      <c r="D2987" t="str">
        <f t="shared" si="46"/>
        <v>CA-2015-156510_OFF-AR-10004930</v>
      </c>
      <c r="E2987" t="str">
        <f>IF(COUNTIF(data1!$D:$D,D2987)=0,"Missing in Data1","Present")</f>
        <v>Present</v>
      </c>
    </row>
    <row r="2988" spans="1:5" x14ac:dyDescent="0.25">
      <c r="A2988" s="2" t="s">
        <v>2973</v>
      </c>
      <c r="B2988" s="2" t="s">
        <v>1196</v>
      </c>
      <c r="C2988" s="2">
        <v>2</v>
      </c>
      <c r="D2988" t="str">
        <f t="shared" si="46"/>
        <v>CA-2015-156510_OFF-BI-10000822</v>
      </c>
      <c r="E2988" t="str">
        <f>IF(COUNTIF(data1!$D:$D,D2988)=0,"Missing in Data1","Present")</f>
        <v>Present</v>
      </c>
    </row>
    <row r="2989" spans="1:5" x14ac:dyDescent="0.25">
      <c r="A2989" s="2" t="s">
        <v>2973</v>
      </c>
      <c r="B2989" s="2" t="s">
        <v>2628</v>
      </c>
      <c r="C2989" s="2">
        <v>2</v>
      </c>
      <c r="D2989" t="str">
        <f t="shared" si="46"/>
        <v>CA-2015-156510_OFF-PA-10002222</v>
      </c>
      <c r="E2989" t="str">
        <f>IF(COUNTIF(data1!$D:$D,D2989)=0,"Missing in Data1","Present")</f>
        <v>Present</v>
      </c>
    </row>
    <row r="2990" spans="1:5" x14ac:dyDescent="0.25">
      <c r="A2990" s="2" t="s">
        <v>2974</v>
      </c>
      <c r="B2990" s="2" t="s">
        <v>957</v>
      </c>
      <c r="C2990" s="2">
        <v>3</v>
      </c>
      <c r="D2990" t="str">
        <f t="shared" si="46"/>
        <v>CA-2015-156524_OFF-PA-10003883</v>
      </c>
      <c r="E2990" t="str">
        <f>IF(COUNTIF(data1!$D:$D,D2990)=0,"Missing in Data1","Present")</f>
        <v>Present</v>
      </c>
    </row>
    <row r="2991" spans="1:5" x14ac:dyDescent="0.25">
      <c r="A2991" s="2" t="s">
        <v>2975</v>
      </c>
      <c r="B2991" s="2" t="s">
        <v>2598</v>
      </c>
      <c r="C2991" s="2">
        <v>2</v>
      </c>
      <c r="D2991" t="str">
        <f t="shared" si="46"/>
        <v>CA-2015-156566_TEC-PH-10001817</v>
      </c>
      <c r="E2991" t="str">
        <f>IF(COUNTIF(data1!$D:$D,D2991)=0,"Missing in Data1","Present")</f>
        <v>Present</v>
      </c>
    </row>
    <row r="2992" spans="1:5" x14ac:dyDescent="0.25">
      <c r="A2992" s="2" t="s">
        <v>2976</v>
      </c>
      <c r="B2992" s="2" t="s">
        <v>70</v>
      </c>
      <c r="C2992" s="2">
        <v>4</v>
      </c>
      <c r="D2992" t="str">
        <f t="shared" si="46"/>
        <v>CA-2015-156608_OFF-BI-10004140</v>
      </c>
      <c r="E2992" t="str">
        <f>IF(COUNTIF(data1!$D:$D,D2992)=0,"Missing in Data1","Present")</f>
        <v>Present</v>
      </c>
    </row>
    <row r="2993" spans="1:5" x14ac:dyDescent="0.25">
      <c r="A2993" s="2" t="s">
        <v>2977</v>
      </c>
      <c r="B2993" s="2" t="s">
        <v>1734</v>
      </c>
      <c r="C2993" s="2">
        <v>3</v>
      </c>
      <c r="D2993" t="str">
        <f t="shared" si="46"/>
        <v>CA-2015-156734_OFF-BI-10002982</v>
      </c>
      <c r="E2993" t="str">
        <f>IF(COUNTIF(data1!$D:$D,D2993)=0,"Missing in Data1","Present")</f>
        <v>Present</v>
      </c>
    </row>
    <row r="2994" spans="1:5" x14ac:dyDescent="0.25">
      <c r="A2994" s="2" t="s">
        <v>2977</v>
      </c>
      <c r="B2994" s="2" t="s">
        <v>1785</v>
      </c>
      <c r="C2994" s="2">
        <v>4</v>
      </c>
      <c r="D2994" t="str">
        <f t="shared" si="46"/>
        <v>CA-2015-156734_OFF-PA-10001937</v>
      </c>
      <c r="E2994" t="str">
        <f>IF(COUNTIF(data1!$D:$D,D2994)=0,"Missing in Data1","Present")</f>
        <v>Present</v>
      </c>
    </row>
    <row r="2995" spans="1:5" x14ac:dyDescent="0.25">
      <c r="A2995" s="2" t="s">
        <v>2978</v>
      </c>
      <c r="B2995" s="2" t="s">
        <v>790</v>
      </c>
      <c r="C2995" s="2">
        <v>3</v>
      </c>
      <c r="D2995" t="str">
        <f t="shared" si="46"/>
        <v>CA-2015-156755_OFF-ST-10002615</v>
      </c>
      <c r="E2995" t="str">
        <f>IF(COUNTIF(data1!$D:$D,D2995)=0,"Missing in Data1","Present")</f>
        <v>Present</v>
      </c>
    </row>
    <row r="2996" spans="1:5" x14ac:dyDescent="0.25">
      <c r="A2996" s="2" t="s">
        <v>2979</v>
      </c>
      <c r="B2996" s="2" t="s">
        <v>2980</v>
      </c>
      <c r="C2996" s="2">
        <v>7</v>
      </c>
      <c r="D2996" t="str">
        <f t="shared" si="46"/>
        <v>CA-2015-156853_OFF-PA-10003656</v>
      </c>
      <c r="E2996" t="str">
        <f>IF(COUNTIF(data1!$D:$D,D2996)=0,"Missing in Data1","Present")</f>
        <v>Present</v>
      </c>
    </row>
    <row r="2997" spans="1:5" x14ac:dyDescent="0.25">
      <c r="A2997" s="2" t="s">
        <v>2981</v>
      </c>
      <c r="B2997" s="2" t="s">
        <v>1932</v>
      </c>
      <c r="C2997" s="2">
        <v>6</v>
      </c>
      <c r="D2997" t="str">
        <f t="shared" si="46"/>
        <v>CA-2015-156923_OFF-PA-10002751</v>
      </c>
      <c r="E2997" t="str">
        <f>IF(COUNTIF(data1!$D:$D,D2997)=0,"Missing in Data1","Present")</f>
        <v>Present</v>
      </c>
    </row>
    <row r="2998" spans="1:5" x14ac:dyDescent="0.25">
      <c r="A2998" s="2" t="s">
        <v>2982</v>
      </c>
      <c r="B2998" s="2" t="s">
        <v>1190</v>
      </c>
      <c r="C2998" s="2">
        <v>2</v>
      </c>
      <c r="D2998" t="str">
        <f t="shared" si="46"/>
        <v>CA-2015-157028_OFF-AR-10004441</v>
      </c>
      <c r="E2998" t="str">
        <f>IF(COUNTIF(data1!$D:$D,D2998)=0,"Missing in Data1","Present")</f>
        <v>Present</v>
      </c>
    </row>
    <row r="2999" spans="1:5" x14ac:dyDescent="0.25">
      <c r="A2999" s="2" t="s">
        <v>2983</v>
      </c>
      <c r="B2999" s="2" t="s">
        <v>2984</v>
      </c>
      <c r="C2999" s="2">
        <v>3</v>
      </c>
      <c r="D2999" t="str">
        <f t="shared" si="46"/>
        <v>CA-2015-157035_OFF-PA-10004156</v>
      </c>
      <c r="E2999" t="str">
        <f>IF(COUNTIF(data1!$D:$D,D2999)=0,"Missing in Data1","Present")</f>
        <v>Present</v>
      </c>
    </row>
    <row r="3000" spans="1:5" x14ac:dyDescent="0.25">
      <c r="A3000" s="2" t="s">
        <v>2985</v>
      </c>
      <c r="B3000" s="2" t="s">
        <v>1053</v>
      </c>
      <c r="C3000" s="2">
        <v>3</v>
      </c>
      <c r="D3000" t="str">
        <f t="shared" si="46"/>
        <v>CA-2015-157084_TEC-AC-10002049</v>
      </c>
      <c r="E3000" t="str">
        <f>IF(COUNTIF(data1!$D:$D,D3000)=0,"Missing in Data1","Present")</f>
        <v>Present</v>
      </c>
    </row>
    <row r="3001" spans="1:5" x14ac:dyDescent="0.25">
      <c r="A3001" s="2" t="s">
        <v>2985</v>
      </c>
      <c r="B3001" s="2" t="s">
        <v>2066</v>
      </c>
      <c r="C3001" s="2">
        <v>5</v>
      </c>
      <c r="D3001" t="str">
        <f t="shared" si="46"/>
        <v>CA-2015-157084_TEC-PH-10002922</v>
      </c>
      <c r="E3001" t="str">
        <f>IF(COUNTIF(data1!$D:$D,D3001)=0,"Missing in Data1","Present")</f>
        <v>Present</v>
      </c>
    </row>
    <row r="3002" spans="1:5" x14ac:dyDescent="0.25">
      <c r="A3002" s="2" t="s">
        <v>2986</v>
      </c>
      <c r="B3002" s="2" t="s">
        <v>2459</v>
      </c>
      <c r="C3002" s="2">
        <v>5</v>
      </c>
      <c r="D3002" t="str">
        <f t="shared" si="46"/>
        <v>CA-2015-157133_FUR-FU-10004904</v>
      </c>
      <c r="E3002" t="str">
        <f>IF(COUNTIF(data1!$D:$D,D3002)=0,"Missing in Data1","Present")</f>
        <v>Present</v>
      </c>
    </row>
    <row r="3003" spans="1:5" x14ac:dyDescent="0.25">
      <c r="A3003" s="2" t="s">
        <v>2987</v>
      </c>
      <c r="B3003" s="2" t="s">
        <v>976</v>
      </c>
      <c r="C3003" s="2">
        <v>7</v>
      </c>
      <c r="D3003" t="str">
        <f t="shared" si="46"/>
        <v>CA-2015-157287_FUR-CH-10001270</v>
      </c>
      <c r="E3003" t="str">
        <f>IF(COUNTIF(data1!$D:$D,D3003)=0,"Missing in Data1","Present")</f>
        <v>Present</v>
      </c>
    </row>
    <row r="3004" spans="1:5" x14ac:dyDescent="0.25">
      <c r="A3004" s="2" t="s">
        <v>2987</v>
      </c>
      <c r="B3004" s="2" t="s">
        <v>2144</v>
      </c>
      <c r="C3004" s="2">
        <v>2</v>
      </c>
      <c r="D3004" t="str">
        <f t="shared" si="46"/>
        <v>CA-2015-157287_OFF-ST-10001172</v>
      </c>
      <c r="E3004" t="str">
        <f>IF(COUNTIF(data1!$D:$D,D3004)=0,"Missing in Data1","Present")</f>
        <v>Present</v>
      </c>
    </row>
    <row r="3005" spans="1:5" x14ac:dyDescent="0.25">
      <c r="A3005" s="2" t="s">
        <v>2988</v>
      </c>
      <c r="B3005" s="2" t="s">
        <v>373</v>
      </c>
      <c r="C3005" s="2">
        <v>6</v>
      </c>
      <c r="D3005" t="str">
        <f t="shared" si="46"/>
        <v>CA-2015-157322_FUR-CH-10003774</v>
      </c>
      <c r="E3005" t="str">
        <f>IF(COUNTIF(data1!$D:$D,D3005)=0,"Missing in Data1","Present")</f>
        <v>Present</v>
      </c>
    </row>
    <row r="3006" spans="1:5" x14ac:dyDescent="0.25">
      <c r="A3006" s="2" t="s">
        <v>2988</v>
      </c>
      <c r="B3006" s="2" t="s">
        <v>2153</v>
      </c>
      <c r="C3006" s="2">
        <v>2</v>
      </c>
      <c r="D3006" t="str">
        <f t="shared" si="46"/>
        <v>CA-2015-157322_FUR-CH-10004086</v>
      </c>
      <c r="E3006" t="str">
        <f>IF(COUNTIF(data1!$D:$D,D3006)=0,"Missing in Data1","Present")</f>
        <v>Present</v>
      </c>
    </row>
    <row r="3007" spans="1:5" x14ac:dyDescent="0.25">
      <c r="A3007" s="2" t="s">
        <v>2988</v>
      </c>
      <c r="B3007" s="2" t="s">
        <v>622</v>
      </c>
      <c r="C3007" s="2">
        <v>2</v>
      </c>
      <c r="D3007" t="str">
        <f t="shared" si="46"/>
        <v>CA-2015-157322_OFF-PA-10000659</v>
      </c>
      <c r="E3007" t="str">
        <f>IF(COUNTIF(data1!$D:$D,D3007)=0,"Missing in Data1","Present")</f>
        <v>Present</v>
      </c>
    </row>
    <row r="3008" spans="1:5" x14ac:dyDescent="0.25">
      <c r="A3008" s="2" t="s">
        <v>2988</v>
      </c>
      <c r="B3008" s="2" t="s">
        <v>550</v>
      </c>
      <c r="C3008" s="2">
        <v>3</v>
      </c>
      <c r="D3008" t="str">
        <f t="shared" si="46"/>
        <v>CA-2015-157322_OFF-ST-10003208</v>
      </c>
      <c r="E3008" t="str">
        <f>IF(COUNTIF(data1!$D:$D,D3008)=0,"Missing in Data1","Present")</f>
        <v>Present</v>
      </c>
    </row>
    <row r="3009" spans="1:5" x14ac:dyDescent="0.25">
      <c r="A3009" s="2" t="s">
        <v>2988</v>
      </c>
      <c r="B3009" s="2" t="s">
        <v>1772</v>
      </c>
      <c r="C3009" s="2">
        <v>5</v>
      </c>
      <c r="D3009" t="str">
        <f t="shared" si="46"/>
        <v>CA-2015-157322_OFF-ST-10004507</v>
      </c>
      <c r="E3009" t="str">
        <f>IF(COUNTIF(data1!$D:$D,D3009)=0,"Missing in Data1","Present")</f>
        <v>Present</v>
      </c>
    </row>
    <row r="3010" spans="1:5" x14ac:dyDescent="0.25">
      <c r="A3010" s="2" t="s">
        <v>2989</v>
      </c>
      <c r="B3010" s="2" t="s">
        <v>1319</v>
      </c>
      <c r="C3010" s="2">
        <v>3</v>
      </c>
      <c r="D3010" t="str">
        <f t="shared" si="46"/>
        <v>CA-2015-157343_OFF-AR-10003183</v>
      </c>
      <c r="E3010" t="str">
        <f>IF(COUNTIF(data1!$D:$D,D3010)=0,"Missing in Data1","Present")</f>
        <v>Present</v>
      </c>
    </row>
    <row r="3011" spans="1:5" x14ac:dyDescent="0.25">
      <c r="A3011" s="2" t="s">
        <v>2989</v>
      </c>
      <c r="B3011" s="2" t="s">
        <v>2040</v>
      </c>
      <c r="C3011" s="2">
        <v>4</v>
      </c>
      <c r="D3011" t="str">
        <f t="shared" ref="D3011:D3074" si="47">A3011&amp;"_"&amp;B3011</f>
        <v>CA-2015-157343_OFF-BI-10003707</v>
      </c>
      <c r="E3011" t="str">
        <f>IF(COUNTIF(data1!$D:$D,D3011)=0,"Missing in Data1","Present")</f>
        <v>Present</v>
      </c>
    </row>
    <row r="3012" spans="1:5" x14ac:dyDescent="0.25">
      <c r="A3012" s="2" t="s">
        <v>2989</v>
      </c>
      <c r="B3012" s="2" t="s">
        <v>727</v>
      </c>
      <c r="C3012" s="2">
        <v>5</v>
      </c>
      <c r="D3012" t="str">
        <f t="shared" si="47"/>
        <v>CA-2015-157343_OFF-PA-10000552</v>
      </c>
      <c r="E3012" t="str">
        <f>IF(COUNTIF(data1!$D:$D,D3012)=0,"Missing in Data1","Present")</f>
        <v>Present</v>
      </c>
    </row>
    <row r="3013" spans="1:5" x14ac:dyDescent="0.25">
      <c r="A3013" s="2" t="s">
        <v>2990</v>
      </c>
      <c r="B3013" s="2" t="s">
        <v>785</v>
      </c>
      <c r="C3013" s="2">
        <v>2</v>
      </c>
      <c r="D3013" t="str">
        <f t="shared" si="47"/>
        <v>CA-2015-157434_OFF-PA-10001526</v>
      </c>
      <c r="E3013" t="str">
        <f>IF(COUNTIF(data1!$D:$D,D3013)=0,"Missing in Data1","Present")</f>
        <v>Present</v>
      </c>
    </row>
    <row r="3014" spans="1:5" x14ac:dyDescent="0.25">
      <c r="A3014" s="2" t="s">
        <v>2991</v>
      </c>
      <c r="B3014" s="2" t="s">
        <v>211</v>
      </c>
      <c r="C3014" s="2">
        <v>5</v>
      </c>
      <c r="D3014" t="str">
        <f t="shared" si="47"/>
        <v>CA-2015-157770_OFF-BI-10000050</v>
      </c>
      <c r="E3014" t="str">
        <f>IF(COUNTIF(data1!$D:$D,D3014)=0,"Missing in Data1","Present")</f>
        <v>Missing in Data1</v>
      </c>
    </row>
    <row r="3015" spans="1:5" x14ac:dyDescent="0.25">
      <c r="A3015" s="2" t="s">
        <v>2991</v>
      </c>
      <c r="B3015" s="2" t="s">
        <v>2375</v>
      </c>
      <c r="C3015" s="2">
        <v>5</v>
      </c>
      <c r="D3015" t="str">
        <f t="shared" si="47"/>
        <v>CA-2015-157770_TEC-AC-10001552</v>
      </c>
      <c r="E3015" t="str">
        <f>IF(COUNTIF(data1!$D:$D,D3015)=0,"Missing in Data1","Present")</f>
        <v>Present</v>
      </c>
    </row>
    <row r="3016" spans="1:5" x14ac:dyDescent="0.25">
      <c r="A3016" s="2" t="s">
        <v>2991</v>
      </c>
      <c r="B3016" s="2" t="s">
        <v>382</v>
      </c>
      <c r="C3016" s="2">
        <v>1</v>
      </c>
      <c r="D3016" t="str">
        <f t="shared" si="47"/>
        <v>CA-2015-157770_TEC-AC-10003399</v>
      </c>
      <c r="E3016" t="str">
        <f>IF(COUNTIF(data1!$D:$D,D3016)=0,"Missing in Data1","Present")</f>
        <v>Present</v>
      </c>
    </row>
    <row r="3017" spans="1:5" x14ac:dyDescent="0.25">
      <c r="A3017" s="2" t="s">
        <v>2991</v>
      </c>
      <c r="B3017" s="2" t="s">
        <v>602</v>
      </c>
      <c r="C3017" s="2">
        <v>3</v>
      </c>
      <c r="D3017" t="str">
        <f t="shared" si="47"/>
        <v>CA-2015-157770_TEC-PH-10001530</v>
      </c>
      <c r="E3017" t="str">
        <f>IF(COUNTIF(data1!$D:$D,D3017)=0,"Missing in Data1","Present")</f>
        <v>Present</v>
      </c>
    </row>
    <row r="3018" spans="1:5" x14ac:dyDescent="0.25">
      <c r="A3018" s="2" t="s">
        <v>2992</v>
      </c>
      <c r="B3018" s="2" t="s">
        <v>1205</v>
      </c>
      <c r="C3018" s="2">
        <v>5</v>
      </c>
      <c r="D3018" t="str">
        <f t="shared" si="47"/>
        <v>CA-2015-157805_TEC-PH-10004447</v>
      </c>
      <c r="E3018" t="str">
        <f>IF(COUNTIF(data1!$D:$D,D3018)=0,"Missing in Data1","Present")</f>
        <v>Present</v>
      </c>
    </row>
    <row r="3019" spans="1:5" x14ac:dyDescent="0.25">
      <c r="A3019" s="2" t="s">
        <v>2993</v>
      </c>
      <c r="B3019" s="2" t="s">
        <v>2994</v>
      </c>
      <c r="C3019" s="2">
        <v>9</v>
      </c>
      <c r="D3019" t="str">
        <f t="shared" si="47"/>
        <v>CA-2015-157812_OFF-BI-10000285</v>
      </c>
      <c r="E3019" t="str">
        <f>IF(COUNTIF(data1!$D:$D,D3019)=0,"Missing in Data1","Present")</f>
        <v>Present</v>
      </c>
    </row>
    <row r="3020" spans="1:5" x14ac:dyDescent="0.25">
      <c r="A3020" s="2" t="s">
        <v>2993</v>
      </c>
      <c r="B3020" s="2" t="s">
        <v>299</v>
      </c>
      <c r="C3020" s="2">
        <v>2</v>
      </c>
      <c r="D3020" t="str">
        <f t="shared" si="47"/>
        <v>CA-2015-157812_OFF-ST-10000736</v>
      </c>
      <c r="E3020" t="str">
        <f>IF(COUNTIF(data1!$D:$D,D3020)=0,"Missing in Data1","Present")</f>
        <v>Present</v>
      </c>
    </row>
    <row r="3021" spans="1:5" x14ac:dyDescent="0.25">
      <c r="A3021" s="2" t="s">
        <v>2993</v>
      </c>
      <c r="B3021" s="2" t="s">
        <v>2057</v>
      </c>
      <c r="C3021" s="2">
        <v>1</v>
      </c>
      <c r="D3021" t="str">
        <f t="shared" si="47"/>
        <v>CA-2015-157812_TEC-AC-10000171</v>
      </c>
      <c r="E3021" t="str">
        <f>IF(COUNTIF(data1!$D:$D,D3021)=0,"Missing in Data1","Present")</f>
        <v>Present</v>
      </c>
    </row>
    <row r="3022" spans="1:5" x14ac:dyDescent="0.25">
      <c r="A3022" s="2" t="s">
        <v>2995</v>
      </c>
      <c r="B3022" s="2" t="s">
        <v>2996</v>
      </c>
      <c r="C3022" s="2">
        <v>4</v>
      </c>
      <c r="D3022" t="str">
        <f t="shared" si="47"/>
        <v>CA-2015-157959_FUR-FU-10004093</v>
      </c>
      <c r="E3022" t="str">
        <f>IF(COUNTIF(data1!$D:$D,D3022)=0,"Missing in Data1","Present")</f>
        <v>Present</v>
      </c>
    </row>
    <row r="3023" spans="1:5" x14ac:dyDescent="0.25">
      <c r="A3023" s="2" t="s">
        <v>2997</v>
      </c>
      <c r="B3023" s="2" t="s">
        <v>797</v>
      </c>
      <c r="C3023" s="2">
        <v>3</v>
      </c>
      <c r="D3023" t="str">
        <f t="shared" si="47"/>
        <v>CA-2015-158148_OFF-AP-10003281</v>
      </c>
      <c r="E3023" t="str">
        <f>IF(COUNTIF(data1!$D:$D,D3023)=0,"Missing in Data1","Present")</f>
        <v>Present</v>
      </c>
    </row>
    <row r="3024" spans="1:5" x14ac:dyDescent="0.25">
      <c r="A3024" s="2" t="s">
        <v>2998</v>
      </c>
      <c r="B3024" s="2" t="s">
        <v>643</v>
      </c>
      <c r="C3024" s="2">
        <v>2</v>
      </c>
      <c r="D3024" t="str">
        <f t="shared" si="47"/>
        <v>CA-2015-158323_FUR-FU-10001546</v>
      </c>
      <c r="E3024" t="str">
        <f>IF(COUNTIF(data1!$D:$D,D3024)=0,"Missing in Data1","Present")</f>
        <v>Present</v>
      </c>
    </row>
    <row r="3025" spans="1:5" x14ac:dyDescent="0.25">
      <c r="A3025" s="2" t="s">
        <v>2999</v>
      </c>
      <c r="B3025" s="2" t="s">
        <v>2146</v>
      </c>
      <c r="C3025" s="2">
        <v>2</v>
      </c>
      <c r="D3025" t="str">
        <f t="shared" si="47"/>
        <v>CA-2015-158351_TEC-AC-10001838</v>
      </c>
      <c r="E3025" t="str">
        <f>IF(COUNTIF(data1!$D:$D,D3025)=0,"Missing in Data1","Present")</f>
        <v>Present</v>
      </c>
    </row>
    <row r="3026" spans="1:5" x14ac:dyDescent="0.25">
      <c r="A3026" s="2" t="s">
        <v>3000</v>
      </c>
      <c r="B3026" s="2" t="s">
        <v>2351</v>
      </c>
      <c r="C3026" s="2">
        <v>4</v>
      </c>
      <c r="D3026" t="str">
        <f t="shared" si="47"/>
        <v>CA-2015-158421_FUR-CH-10000309</v>
      </c>
      <c r="E3026" t="str">
        <f>IF(COUNTIF(data1!$D:$D,D3026)=0,"Missing in Data1","Present")</f>
        <v>Present</v>
      </c>
    </row>
    <row r="3027" spans="1:5" x14ac:dyDescent="0.25">
      <c r="A3027" s="2" t="s">
        <v>3000</v>
      </c>
      <c r="B3027" s="2" t="s">
        <v>211</v>
      </c>
      <c r="C3027" s="2">
        <v>2</v>
      </c>
      <c r="D3027" t="str">
        <f t="shared" si="47"/>
        <v>CA-2015-158421_OFF-BI-10000050</v>
      </c>
      <c r="E3027" t="str">
        <f>IF(COUNTIF(data1!$D:$D,D3027)=0,"Missing in Data1","Present")</f>
        <v>Missing in Data1</v>
      </c>
    </row>
    <row r="3028" spans="1:5" x14ac:dyDescent="0.25">
      <c r="A3028" s="2" t="s">
        <v>3000</v>
      </c>
      <c r="B3028" s="2" t="s">
        <v>452</v>
      </c>
      <c r="C3028" s="2">
        <v>2</v>
      </c>
      <c r="D3028" t="str">
        <f t="shared" si="47"/>
        <v>CA-2015-158421_OFF-EN-10001453</v>
      </c>
      <c r="E3028" t="str">
        <f>IF(COUNTIF(data1!$D:$D,D3028)=0,"Missing in Data1","Present")</f>
        <v>Present</v>
      </c>
    </row>
    <row r="3029" spans="1:5" x14ac:dyDescent="0.25">
      <c r="A3029" s="2" t="s">
        <v>3000</v>
      </c>
      <c r="B3029" s="2" t="s">
        <v>3001</v>
      </c>
      <c r="C3029" s="2">
        <v>4</v>
      </c>
      <c r="D3029" t="str">
        <f t="shared" si="47"/>
        <v>CA-2015-158421_OFF-PA-10001801</v>
      </c>
      <c r="E3029" t="str">
        <f>IF(COUNTIF(data1!$D:$D,D3029)=0,"Missing in Data1","Present")</f>
        <v>Present</v>
      </c>
    </row>
    <row r="3030" spans="1:5" x14ac:dyDescent="0.25">
      <c r="A3030" s="2" t="s">
        <v>3000</v>
      </c>
      <c r="B3030" s="2" t="s">
        <v>1339</v>
      </c>
      <c r="C3030" s="2">
        <v>2</v>
      </c>
      <c r="D3030" t="str">
        <f t="shared" si="47"/>
        <v>CA-2015-158421_OFF-ST-10000563</v>
      </c>
      <c r="E3030" t="str">
        <f>IF(COUNTIF(data1!$D:$D,D3030)=0,"Missing in Data1","Present")</f>
        <v>Present</v>
      </c>
    </row>
    <row r="3031" spans="1:5" x14ac:dyDescent="0.25">
      <c r="A3031" s="2" t="s">
        <v>3000</v>
      </c>
      <c r="B3031" s="2" t="s">
        <v>260</v>
      </c>
      <c r="C3031" s="2">
        <v>7</v>
      </c>
      <c r="D3031" t="str">
        <f t="shared" si="47"/>
        <v>CA-2015-158421_OFF-ST-10002444</v>
      </c>
      <c r="E3031" t="str">
        <f>IF(COUNTIF(data1!$D:$D,D3031)=0,"Missing in Data1","Present")</f>
        <v>Present</v>
      </c>
    </row>
    <row r="3032" spans="1:5" x14ac:dyDescent="0.25">
      <c r="A3032" s="2" t="s">
        <v>3000</v>
      </c>
      <c r="B3032" s="2" t="s">
        <v>231</v>
      </c>
      <c r="C3032" s="2">
        <v>8</v>
      </c>
      <c r="D3032" t="str">
        <f t="shared" si="47"/>
        <v>CA-2015-158421_OFF-ST-10004186</v>
      </c>
      <c r="E3032" t="str">
        <f>IF(COUNTIF(data1!$D:$D,D3032)=0,"Missing in Data1","Present")</f>
        <v>Present</v>
      </c>
    </row>
    <row r="3033" spans="1:5" x14ac:dyDescent="0.25">
      <c r="A3033" s="2" t="s">
        <v>3000</v>
      </c>
      <c r="B3033" s="2" t="s">
        <v>1763</v>
      </c>
      <c r="C3033" s="2">
        <v>5</v>
      </c>
      <c r="D3033" t="str">
        <f t="shared" si="47"/>
        <v>CA-2015-158421_TEC-PH-10000369</v>
      </c>
      <c r="E3033" t="str">
        <f>IF(COUNTIF(data1!$D:$D,D3033)=0,"Missing in Data1","Present")</f>
        <v>Present</v>
      </c>
    </row>
    <row r="3034" spans="1:5" x14ac:dyDescent="0.25">
      <c r="A3034" s="2" t="s">
        <v>3000</v>
      </c>
      <c r="B3034" s="2" t="s">
        <v>1741</v>
      </c>
      <c r="C3034" s="2">
        <v>3</v>
      </c>
      <c r="D3034" t="str">
        <f t="shared" si="47"/>
        <v>CA-2015-158421_TEC-PH-10002538</v>
      </c>
      <c r="E3034" t="str">
        <f>IF(COUNTIF(data1!$D:$D,D3034)=0,"Missing in Data1","Present")</f>
        <v>Present</v>
      </c>
    </row>
    <row r="3035" spans="1:5" x14ac:dyDescent="0.25">
      <c r="A3035" s="2" t="s">
        <v>3002</v>
      </c>
      <c r="B3035" s="2" t="s">
        <v>65</v>
      </c>
      <c r="C3035" s="2">
        <v>4</v>
      </c>
      <c r="D3035" t="str">
        <f t="shared" si="47"/>
        <v>CA-2015-158456_OFF-BI-10001097</v>
      </c>
      <c r="E3035" t="str">
        <f>IF(COUNTIF(data1!$D:$D,D3035)=0,"Missing in Data1","Present")</f>
        <v>Missing in Data1</v>
      </c>
    </row>
    <row r="3036" spans="1:5" x14ac:dyDescent="0.25">
      <c r="A3036" s="2" t="s">
        <v>3002</v>
      </c>
      <c r="B3036" s="2" t="s">
        <v>417</v>
      </c>
      <c r="C3036" s="2">
        <v>4</v>
      </c>
      <c r="D3036" t="str">
        <f t="shared" si="47"/>
        <v>CA-2015-158456_OFF-FA-10004854</v>
      </c>
      <c r="E3036" t="str">
        <f>IF(COUNTIF(data1!$D:$D,D3036)=0,"Missing in Data1","Present")</f>
        <v>Present</v>
      </c>
    </row>
    <row r="3037" spans="1:5" x14ac:dyDescent="0.25">
      <c r="A3037" s="2" t="s">
        <v>6788</v>
      </c>
      <c r="B3037" s="2" t="s">
        <v>1811</v>
      </c>
      <c r="C3037" s="2">
        <v>3</v>
      </c>
      <c r="D3037" t="str">
        <f t="shared" si="47"/>
        <v>CA-2015-158554_OFF-PA-10004000</v>
      </c>
      <c r="E3037" t="str">
        <f>IF(COUNTIF(data1!$D:$D,D3037)=0,"Missing in Data1","Present")</f>
        <v>Missing in Data1</v>
      </c>
    </row>
    <row r="3038" spans="1:5" x14ac:dyDescent="0.25">
      <c r="A3038" s="2" t="s">
        <v>3006</v>
      </c>
      <c r="B3038" s="2" t="s">
        <v>1291</v>
      </c>
      <c r="C3038" s="2">
        <v>5</v>
      </c>
      <c r="D3038" t="str">
        <f t="shared" si="47"/>
        <v>CA-2015-158659_OFF-ST-10003306</v>
      </c>
      <c r="E3038" t="str">
        <f>IF(COUNTIF(data1!$D:$D,D3038)=0,"Missing in Data1","Present")</f>
        <v>Present</v>
      </c>
    </row>
    <row r="3039" spans="1:5" x14ac:dyDescent="0.25">
      <c r="A3039" s="2" t="s">
        <v>3007</v>
      </c>
      <c r="B3039" s="2" t="s">
        <v>1618</v>
      </c>
      <c r="C3039" s="2">
        <v>6</v>
      </c>
      <c r="D3039" t="str">
        <f t="shared" si="47"/>
        <v>CA-2015-158701_OFF-AP-10004859</v>
      </c>
      <c r="E3039" t="str">
        <f>IF(COUNTIF(data1!$D:$D,D3039)=0,"Missing in Data1","Present")</f>
        <v>Present</v>
      </c>
    </row>
    <row r="3040" spans="1:5" x14ac:dyDescent="0.25">
      <c r="A3040" s="2" t="s">
        <v>3007</v>
      </c>
      <c r="B3040" s="2" t="s">
        <v>604</v>
      </c>
      <c r="C3040" s="2">
        <v>6</v>
      </c>
      <c r="D3040" t="str">
        <f t="shared" si="47"/>
        <v>CA-2015-158701_OFF-BI-10001294</v>
      </c>
      <c r="E3040" t="str">
        <f>IF(COUNTIF(data1!$D:$D,D3040)=0,"Missing in Data1","Present")</f>
        <v>Present</v>
      </c>
    </row>
    <row r="3041" spans="1:5" x14ac:dyDescent="0.25">
      <c r="A3041" s="2" t="s">
        <v>3008</v>
      </c>
      <c r="B3041" s="2" t="s">
        <v>571</v>
      </c>
      <c r="C3041" s="2">
        <v>5</v>
      </c>
      <c r="D3041" t="str">
        <f t="shared" si="47"/>
        <v>CA-2015-158792_OFF-FA-10002815</v>
      </c>
      <c r="E3041" t="str">
        <f>IF(COUNTIF(data1!$D:$D,D3041)=0,"Missing in Data1","Present")</f>
        <v>Present</v>
      </c>
    </row>
    <row r="3042" spans="1:5" x14ac:dyDescent="0.25">
      <c r="A3042" s="2" t="s">
        <v>3009</v>
      </c>
      <c r="B3042" s="2" t="s">
        <v>1798</v>
      </c>
      <c r="C3042" s="2">
        <v>4</v>
      </c>
      <c r="D3042" t="str">
        <f t="shared" si="47"/>
        <v>CA-2015-158918_OFF-PA-10004947</v>
      </c>
      <c r="E3042" t="str">
        <f>IF(COUNTIF(data1!$D:$D,D3042)=0,"Missing in Data1","Present")</f>
        <v>Present</v>
      </c>
    </row>
    <row r="3043" spans="1:5" x14ac:dyDescent="0.25">
      <c r="A3043" s="2" t="s">
        <v>3010</v>
      </c>
      <c r="B3043" s="2" t="s">
        <v>3011</v>
      </c>
      <c r="C3043" s="2">
        <v>1</v>
      </c>
      <c r="D3043" t="str">
        <f t="shared" si="47"/>
        <v>CA-2015-158939_TEC-CO-10002313</v>
      </c>
      <c r="E3043" t="str">
        <f>IF(COUNTIF(data1!$D:$D,D3043)=0,"Missing in Data1","Present")</f>
        <v>Present</v>
      </c>
    </row>
    <row r="3044" spans="1:5" x14ac:dyDescent="0.25">
      <c r="A3044" s="2" t="s">
        <v>3012</v>
      </c>
      <c r="B3044" s="2" t="s">
        <v>3013</v>
      </c>
      <c r="C3044" s="2">
        <v>3</v>
      </c>
      <c r="D3044" t="str">
        <f t="shared" si="47"/>
        <v>CA-2015-159380_OFF-PA-10003893</v>
      </c>
      <c r="E3044" t="str">
        <f>IF(COUNTIF(data1!$D:$D,D3044)=0,"Missing in Data1","Present")</f>
        <v>Present</v>
      </c>
    </row>
    <row r="3045" spans="1:5" x14ac:dyDescent="0.25">
      <c r="A3045" s="2" t="s">
        <v>3012</v>
      </c>
      <c r="B3045" s="2" t="s">
        <v>3014</v>
      </c>
      <c r="C3045" s="2">
        <v>6</v>
      </c>
      <c r="D3045" t="str">
        <f t="shared" si="47"/>
        <v>CA-2015-159380_OFF-PA-10004239</v>
      </c>
      <c r="E3045" t="str">
        <f>IF(COUNTIF(data1!$D:$D,D3045)=0,"Missing in Data1","Present")</f>
        <v>Present</v>
      </c>
    </row>
    <row r="3046" spans="1:5" x14ac:dyDescent="0.25">
      <c r="A3046" s="2" t="s">
        <v>3015</v>
      </c>
      <c r="B3046" s="2" t="s">
        <v>702</v>
      </c>
      <c r="C3046" s="2">
        <v>8</v>
      </c>
      <c r="D3046" t="str">
        <f t="shared" si="47"/>
        <v>CA-2015-159534_OFF-BI-10003656</v>
      </c>
      <c r="E3046" t="str">
        <f>IF(COUNTIF(data1!$D:$D,D3046)=0,"Missing in Data1","Present")</f>
        <v>Present</v>
      </c>
    </row>
    <row r="3047" spans="1:5" x14ac:dyDescent="0.25">
      <c r="A3047" s="2" t="s">
        <v>3015</v>
      </c>
      <c r="B3047" s="2" t="s">
        <v>1117</v>
      </c>
      <c r="C3047" s="2">
        <v>3</v>
      </c>
      <c r="D3047" t="str">
        <f t="shared" si="47"/>
        <v>CA-2015-159534_OFF-BI-10003982</v>
      </c>
      <c r="E3047" t="str">
        <f>IF(COUNTIF(data1!$D:$D,D3047)=0,"Missing in Data1","Present")</f>
        <v>Present</v>
      </c>
    </row>
    <row r="3048" spans="1:5" x14ac:dyDescent="0.25">
      <c r="A3048" s="2" t="s">
        <v>3015</v>
      </c>
      <c r="B3048" s="2" t="s">
        <v>3016</v>
      </c>
      <c r="C3048" s="2">
        <v>1</v>
      </c>
      <c r="D3048" t="str">
        <f t="shared" si="47"/>
        <v>CA-2015-159534_OFF-EN-10004386</v>
      </c>
      <c r="E3048" t="str">
        <f>IF(COUNTIF(data1!$D:$D,D3048)=0,"Missing in Data1","Present")</f>
        <v>Present</v>
      </c>
    </row>
    <row r="3049" spans="1:5" x14ac:dyDescent="0.25">
      <c r="A3049" s="2" t="s">
        <v>3015</v>
      </c>
      <c r="B3049" s="2" t="s">
        <v>2144</v>
      </c>
      <c r="C3049" s="2">
        <v>4</v>
      </c>
      <c r="D3049" t="str">
        <f t="shared" si="47"/>
        <v>CA-2015-159534_OFF-ST-10001172</v>
      </c>
      <c r="E3049" t="str">
        <f>IF(COUNTIF(data1!$D:$D,D3049)=0,"Missing in Data1","Present")</f>
        <v>Present</v>
      </c>
    </row>
    <row r="3050" spans="1:5" x14ac:dyDescent="0.25">
      <c r="A3050" s="2" t="s">
        <v>3015</v>
      </c>
      <c r="B3050" s="2" t="s">
        <v>831</v>
      </c>
      <c r="C3050" s="2">
        <v>2</v>
      </c>
      <c r="D3050" t="str">
        <f t="shared" si="47"/>
        <v>CA-2015-159534_TEC-PH-10002310</v>
      </c>
      <c r="E3050" t="str">
        <f>IF(COUNTIF(data1!$D:$D,D3050)=0,"Missing in Data1","Present")</f>
        <v>Present</v>
      </c>
    </row>
    <row r="3051" spans="1:5" x14ac:dyDescent="0.25">
      <c r="A3051" s="2" t="s">
        <v>3017</v>
      </c>
      <c r="B3051" s="2" t="s">
        <v>598</v>
      </c>
      <c r="C3051" s="2">
        <v>2</v>
      </c>
      <c r="D3051" t="str">
        <f t="shared" si="47"/>
        <v>CA-2015-159590_OFF-AR-10003190</v>
      </c>
      <c r="E3051" t="str">
        <f>IF(COUNTIF(data1!$D:$D,D3051)=0,"Missing in Data1","Present")</f>
        <v>Present</v>
      </c>
    </row>
    <row r="3052" spans="1:5" x14ac:dyDescent="0.25">
      <c r="A3052" s="2" t="s">
        <v>3018</v>
      </c>
      <c r="B3052" s="2" t="s">
        <v>165</v>
      </c>
      <c r="C3052" s="2">
        <v>2</v>
      </c>
      <c r="D3052" t="str">
        <f t="shared" si="47"/>
        <v>CA-2015-159779_OFF-BI-10002735</v>
      </c>
      <c r="E3052" t="str">
        <f>IF(COUNTIF(data1!$D:$D,D3052)=0,"Missing in Data1","Present")</f>
        <v>Present</v>
      </c>
    </row>
    <row r="3053" spans="1:5" x14ac:dyDescent="0.25">
      <c r="A3053" s="2" t="s">
        <v>3019</v>
      </c>
      <c r="B3053" s="2" t="s">
        <v>3020</v>
      </c>
      <c r="C3053" s="2">
        <v>1</v>
      </c>
      <c r="D3053" t="str">
        <f t="shared" si="47"/>
        <v>CA-2015-159786_FUR-TA-10001307</v>
      </c>
      <c r="E3053" t="str">
        <f>IF(COUNTIF(data1!$D:$D,D3053)=0,"Missing in Data1","Present")</f>
        <v>Present</v>
      </c>
    </row>
    <row r="3054" spans="1:5" x14ac:dyDescent="0.25">
      <c r="A3054" s="2" t="s">
        <v>3021</v>
      </c>
      <c r="B3054" s="2" t="s">
        <v>185</v>
      </c>
      <c r="C3054" s="2">
        <v>3</v>
      </c>
      <c r="D3054" t="str">
        <f t="shared" si="47"/>
        <v>CA-2015-159863_TEC-AC-10000109</v>
      </c>
      <c r="E3054" t="str">
        <f>IF(COUNTIF(data1!$D:$D,D3054)=0,"Missing in Data1","Present")</f>
        <v>Present</v>
      </c>
    </row>
    <row r="3055" spans="1:5" x14ac:dyDescent="0.25">
      <c r="A3055" s="2" t="s">
        <v>3022</v>
      </c>
      <c r="B3055" s="2" t="s">
        <v>1152</v>
      </c>
      <c r="C3055" s="2">
        <v>2</v>
      </c>
      <c r="D3055" t="str">
        <f t="shared" si="47"/>
        <v>CA-2015-160059_OFF-BI-10000145</v>
      </c>
      <c r="E3055" t="str">
        <f>IF(COUNTIF(data1!$D:$D,D3055)=0,"Missing in Data1","Present")</f>
        <v>Present</v>
      </c>
    </row>
    <row r="3056" spans="1:5" x14ac:dyDescent="0.25">
      <c r="A3056" s="2" t="s">
        <v>3023</v>
      </c>
      <c r="B3056" s="2" t="s">
        <v>2327</v>
      </c>
      <c r="C3056" s="2">
        <v>5</v>
      </c>
      <c r="D3056" t="str">
        <f t="shared" si="47"/>
        <v>CA-2015-160171_OFF-AP-10000275</v>
      </c>
      <c r="E3056" t="str">
        <f>IF(COUNTIF(data1!$D:$D,D3056)=0,"Missing in Data1","Present")</f>
        <v>Present</v>
      </c>
    </row>
    <row r="3057" spans="1:5" x14ac:dyDescent="0.25">
      <c r="A3057" s="2" t="s">
        <v>3023</v>
      </c>
      <c r="B3057" s="2" t="s">
        <v>1718</v>
      </c>
      <c r="C3057" s="2">
        <v>3</v>
      </c>
      <c r="D3057" t="str">
        <f t="shared" si="47"/>
        <v>CA-2015-160171_TEC-AC-10000892</v>
      </c>
      <c r="E3057" t="str">
        <f>IF(COUNTIF(data1!$D:$D,D3057)=0,"Missing in Data1","Present")</f>
        <v>Present</v>
      </c>
    </row>
    <row r="3058" spans="1:5" x14ac:dyDescent="0.25">
      <c r="A3058" s="2" t="s">
        <v>3024</v>
      </c>
      <c r="B3058" s="2" t="s">
        <v>2011</v>
      </c>
      <c r="C3058" s="2">
        <v>3</v>
      </c>
      <c r="D3058" t="str">
        <f t="shared" si="47"/>
        <v>CA-2015-160213_OFF-PA-10003848</v>
      </c>
      <c r="E3058" t="str">
        <f>IF(COUNTIF(data1!$D:$D,D3058)=0,"Missing in Data1","Present")</f>
        <v>Present</v>
      </c>
    </row>
    <row r="3059" spans="1:5" x14ac:dyDescent="0.25">
      <c r="A3059" s="2" t="s">
        <v>3025</v>
      </c>
      <c r="B3059" s="2" t="s">
        <v>2077</v>
      </c>
      <c r="C3059" s="2">
        <v>11</v>
      </c>
      <c r="D3059" t="str">
        <f t="shared" si="47"/>
        <v>CA-2015-160227_FUR-CH-10002073</v>
      </c>
      <c r="E3059" t="str">
        <f>IF(COUNTIF(data1!$D:$D,D3059)=0,"Missing in Data1","Present")</f>
        <v>Present</v>
      </c>
    </row>
    <row r="3060" spans="1:5" x14ac:dyDescent="0.25">
      <c r="A3060" s="2" t="s">
        <v>3026</v>
      </c>
      <c r="B3060" s="2" t="s">
        <v>2574</v>
      </c>
      <c r="C3060" s="2">
        <v>7</v>
      </c>
      <c r="D3060" t="str">
        <f t="shared" si="47"/>
        <v>CA-2015-160472_OFF-EN-10000483</v>
      </c>
      <c r="E3060" t="str">
        <f>IF(COUNTIF(data1!$D:$D,D3060)=0,"Missing in Data1","Present")</f>
        <v>Present</v>
      </c>
    </row>
    <row r="3061" spans="1:5" x14ac:dyDescent="0.25">
      <c r="A3061" s="2" t="s">
        <v>3026</v>
      </c>
      <c r="B3061" s="2" t="s">
        <v>392</v>
      </c>
      <c r="C3061" s="2">
        <v>5</v>
      </c>
      <c r="D3061" t="str">
        <f t="shared" si="47"/>
        <v>CA-2015-160472_OFF-PA-10000528</v>
      </c>
      <c r="E3061" t="str">
        <f>IF(COUNTIF(data1!$D:$D,D3061)=0,"Missing in Data1","Present")</f>
        <v>Present</v>
      </c>
    </row>
    <row r="3062" spans="1:5" x14ac:dyDescent="0.25">
      <c r="A3062" s="2" t="s">
        <v>3026</v>
      </c>
      <c r="B3062" s="2" t="s">
        <v>3027</v>
      </c>
      <c r="C3062" s="2">
        <v>2</v>
      </c>
      <c r="D3062" t="str">
        <f t="shared" si="47"/>
        <v>CA-2015-160472_OFF-PA-10003129</v>
      </c>
      <c r="E3062" t="str">
        <f>IF(COUNTIF(data1!$D:$D,D3062)=0,"Missing in Data1","Present")</f>
        <v>Present</v>
      </c>
    </row>
    <row r="3063" spans="1:5" x14ac:dyDescent="0.25">
      <c r="A3063" s="2" t="s">
        <v>3026</v>
      </c>
      <c r="B3063" s="2" t="s">
        <v>1471</v>
      </c>
      <c r="C3063" s="2">
        <v>1</v>
      </c>
      <c r="D3063" t="str">
        <f t="shared" si="47"/>
        <v>CA-2015-160472_OFF-ST-10000464</v>
      </c>
      <c r="E3063" t="str">
        <f>IF(COUNTIF(data1!$D:$D,D3063)=0,"Missing in Data1","Present")</f>
        <v>Present</v>
      </c>
    </row>
    <row r="3064" spans="1:5" x14ac:dyDescent="0.25">
      <c r="A3064" s="2" t="s">
        <v>3026</v>
      </c>
      <c r="B3064" s="2" t="s">
        <v>71</v>
      </c>
      <c r="C3064" s="2">
        <v>5</v>
      </c>
      <c r="D3064" t="str">
        <f t="shared" si="47"/>
        <v>CA-2015-160472_OFF-ST-10003442</v>
      </c>
      <c r="E3064" t="str">
        <f>IF(COUNTIF(data1!$D:$D,D3064)=0,"Missing in Data1","Present")</f>
        <v>Present</v>
      </c>
    </row>
    <row r="3065" spans="1:5" x14ac:dyDescent="0.25">
      <c r="A3065" s="2" t="s">
        <v>3026</v>
      </c>
      <c r="B3065" s="2" t="s">
        <v>2507</v>
      </c>
      <c r="C3065" s="2">
        <v>5</v>
      </c>
      <c r="D3065" t="str">
        <f t="shared" si="47"/>
        <v>CA-2015-160472_TEC-AC-10002253</v>
      </c>
      <c r="E3065" t="str">
        <f>IF(COUNTIF(data1!$D:$D,D3065)=0,"Missing in Data1","Present")</f>
        <v>Present</v>
      </c>
    </row>
    <row r="3066" spans="1:5" x14ac:dyDescent="0.25">
      <c r="A3066" s="2" t="s">
        <v>3028</v>
      </c>
      <c r="B3066" s="2" t="s">
        <v>1395</v>
      </c>
      <c r="C3066" s="2">
        <v>5</v>
      </c>
      <c r="D3066" t="str">
        <f t="shared" si="47"/>
        <v>CA-2015-160696_OFF-FA-10003059</v>
      </c>
      <c r="E3066" t="str">
        <f>IF(COUNTIF(data1!$D:$D,D3066)=0,"Missing in Data1","Present")</f>
        <v>Present</v>
      </c>
    </row>
    <row r="3067" spans="1:5" x14ac:dyDescent="0.25">
      <c r="A3067" s="2" t="s">
        <v>3029</v>
      </c>
      <c r="B3067" s="2" t="s">
        <v>688</v>
      </c>
      <c r="C3067" s="2">
        <v>2</v>
      </c>
      <c r="D3067" t="str">
        <f t="shared" si="47"/>
        <v>CA-2015-160787_OFF-BI-10003712</v>
      </c>
      <c r="E3067" t="str">
        <f>IF(COUNTIF(data1!$D:$D,D3067)=0,"Missing in Data1","Present")</f>
        <v>Present</v>
      </c>
    </row>
    <row r="3068" spans="1:5" x14ac:dyDescent="0.25">
      <c r="A3068" s="2" t="s">
        <v>3030</v>
      </c>
      <c r="B3068" s="2" t="s">
        <v>2984</v>
      </c>
      <c r="C3068" s="2">
        <v>3</v>
      </c>
      <c r="D3068" t="str">
        <f t="shared" si="47"/>
        <v>CA-2015-160794_OFF-PA-10004156</v>
      </c>
      <c r="E3068" t="str">
        <f>IF(COUNTIF(data1!$D:$D,D3068)=0,"Missing in Data1","Present")</f>
        <v>Present</v>
      </c>
    </row>
    <row r="3069" spans="1:5" x14ac:dyDescent="0.25">
      <c r="A3069" s="2" t="s">
        <v>3031</v>
      </c>
      <c r="B3069" s="2" t="s">
        <v>483</v>
      </c>
      <c r="C3069" s="2">
        <v>3</v>
      </c>
      <c r="D3069" t="str">
        <f t="shared" si="47"/>
        <v>CA-2015-160864_OFF-BI-10004654</v>
      </c>
      <c r="E3069" t="str">
        <f>IF(COUNTIF(data1!$D:$D,D3069)=0,"Missing in Data1","Present")</f>
        <v>Present</v>
      </c>
    </row>
    <row r="3070" spans="1:5" x14ac:dyDescent="0.25">
      <c r="A3070" s="2" t="s">
        <v>3032</v>
      </c>
      <c r="B3070" s="2" t="s">
        <v>2856</v>
      </c>
      <c r="C3070" s="2">
        <v>5</v>
      </c>
      <c r="D3070" t="str">
        <f t="shared" si="47"/>
        <v>CA-2015-161214_OFF-ST-10001328</v>
      </c>
      <c r="E3070" t="str">
        <f>IF(COUNTIF(data1!$D:$D,D3070)=0,"Missing in Data1","Present")</f>
        <v>Present</v>
      </c>
    </row>
    <row r="3071" spans="1:5" x14ac:dyDescent="0.25">
      <c r="A3071" s="2" t="s">
        <v>3033</v>
      </c>
      <c r="B3071" s="2" t="s">
        <v>309</v>
      </c>
      <c r="C3071" s="2">
        <v>2</v>
      </c>
      <c r="D3071" t="str">
        <f t="shared" si="47"/>
        <v>CA-2015-161242_OFF-PA-10001838</v>
      </c>
      <c r="E3071" t="str">
        <f>IF(COUNTIF(data1!$D:$D,D3071)=0,"Missing in Data1","Present")</f>
        <v>Present</v>
      </c>
    </row>
    <row r="3072" spans="1:5" x14ac:dyDescent="0.25">
      <c r="A3072" s="2" t="s">
        <v>3034</v>
      </c>
      <c r="B3072" s="2" t="s">
        <v>514</v>
      </c>
      <c r="C3072" s="2">
        <v>3</v>
      </c>
      <c r="D3072" t="str">
        <f t="shared" si="47"/>
        <v>CA-2015-161263_OFF-AP-10002350</v>
      </c>
      <c r="E3072" t="str">
        <f>IF(COUNTIF(data1!$D:$D,D3072)=0,"Missing in Data1","Present")</f>
        <v>Present</v>
      </c>
    </row>
    <row r="3073" spans="1:5" x14ac:dyDescent="0.25">
      <c r="A3073" s="2" t="s">
        <v>3034</v>
      </c>
      <c r="B3073" s="2" t="s">
        <v>58</v>
      </c>
      <c r="C3073" s="2">
        <v>3</v>
      </c>
      <c r="D3073" t="str">
        <f t="shared" si="47"/>
        <v>CA-2015-161263_OFF-AR-10004757</v>
      </c>
      <c r="E3073" t="str">
        <f>IF(COUNTIF(data1!$D:$D,D3073)=0,"Missing in Data1","Present")</f>
        <v>Present</v>
      </c>
    </row>
    <row r="3074" spans="1:5" x14ac:dyDescent="0.25">
      <c r="A3074" s="2" t="s">
        <v>3034</v>
      </c>
      <c r="B3074" s="2" t="s">
        <v>2193</v>
      </c>
      <c r="C3074" s="2">
        <v>5</v>
      </c>
      <c r="D3074" t="str">
        <f t="shared" si="47"/>
        <v>CA-2015-161263_OFF-BI-10004330</v>
      </c>
      <c r="E3074" t="str">
        <f>IF(COUNTIF(data1!$D:$D,D3074)=0,"Missing in Data1","Present")</f>
        <v>Present</v>
      </c>
    </row>
    <row r="3075" spans="1:5" x14ac:dyDescent="0.25">
      <c r="A3075" s="2" t="s">
        <v>3034</v>
      </c>
      <c r="B3075" s="2" t="s">
        <v>1395</v>
      </c>
      <c r="C3075" s="2">
        <v>1</v>
      </c>
      <c r="D3075" t="str">
        <f t="shared" ref="D3075:D3138" si="48">A3075&amp;"_"&amp;B3075</f>
        <v>CA-2015-161263_OFF-FA-10003059</v>
      </c>
      <c r="E3075" t="str">
        <f>IF(COUNTIF(data1!$D:$D,D3075)=0,"Missing in Data1","Present")</f>
        <v>Present</v>
      </c>
    </row>
    <row r="3076" spans="1:5" x14ac:dyDescent="0.25">
      <c r="A3076" s="2" t="s">
        <v>3034</v>
      </c>
      <c r="B3076" s="2" t="s">
        <v>1639</v>
      </c>
      <c r="C3076" s="2">
        <v>7</v>
      </c>
      <c r="D3076" t="str">
        <f t="shared" si="48"/>
        <v>CA-2015-161263_OFF-FA-10004838</v>
      </c>
      <c r="E3076" t="str">
        <f>IF(COUNTIF(data1!$D:$D,D3076)=0,"Missing in Data1","Present")</f>
        <v>Present</v>
      </c>
    </row>
    <row r="3077" spans="1:5" x14ac:dyDescent="0.25">
      <c r="A3077" s="2" t="s">
        <v>3034</v>
      </c>
      <c r="B3077" s="2" t="s">
        <v>3035</v>
      </c>
      <c r="C3077" s="2">
        <v>3</v>
      </c>
      <c r="D3077" t="str">
        <f t="shared" si="48"/>
        <v>CA-2015-161263_TEC-PH-10002115</v>
      </c>
      <c r="E3077" t="str">
        <f>IF(COUNTIF(data1!$D:$D,D3077)=0,"Missing in Data1","Present")</f>
        <v>Present</v>
      </c>
    </row>
    <row r="3078" spans="1:5" x14ac:dyDescent="0.25">
      <c r="A3078" s="2" t="s">
        <v>3036</v>
      </c>
      <c r="B3078" s="2" t="s">
        <v>1062</v>
      </c>
      <c r="C3078" s="2">
        <v>4</v>
      </c>
      <c r="D3078" t="str">
        <f t="shared" si="48"/>
        <v>CA-2015-161445_OFF-AR-10001953</v>
      </c>
      <c r="E3078" t="str">
        <f>IF(COUNTIF(data1!$D:$D,D3078)=0,"Missing in Data1","Present")</f>
        <v>Present</v>
      </c>
    </row>
    <row r="3079" spans="1:5" x14ac:dyDescent="0.25">
      <c r="A3079" s="2" t="s">
        <v>3037</v>
      </c>
      <c r="B3079" s="2" t="s">
        <v>807</v>
      </c>
      <c r="C3079" s="2">
        <v>3</v>
      </c>
      <c r="D3079" t="str">
        <f t="shared" si="48"/>
        <v>CA-2015-161452_FUR-CH-10003973</v>
      </c>
      <c r="E3079" t="str">
        <f>IF(COUNTIF(data1!$D:$D,D3079)=0,"Missing in Data1","Present")</f>
        <v>Present</v>
      </c>
    </row>
    <row r="3080" spans="1:5" x14ac:dyDescent="0.25">
      <c r="A3080" s="2" t="s">
        <v>3038</v>
      </c>
      <c r="B3080" s="2" t="s">
        <v>2738</v>
      </c>
      <c r="C3080" s="2">
        <v>3</v>
      </c>
      <c r="D3080" t="str">
        <f t="shared" si="48"/>
        <v>CA-2015-161627_FUR-CH-10003968</v>
      </c>
      <c r="E3080" t="str">
        <f>IF(COUNTIF(data1!$D:$D,D3080)=0,"Missing in Data1","Present")</f>
        <v>Present</v>
      </c>
    </row>
    <row r="3081" spans="1:5" x14ac:dyDescent="0.25">
      <c r="A3081" s="2" t="s">
        <v>3039</v>
      </c>
      <c r="B3081" s="2" t="s">
        <v>1899</v>
      </c>
      <c r="C3081" s="2">
        <v>3</v>
      </c>
      <c r="D3081" t="str">
        <f t="shared" si="48"/>
        <v>CA-2015-161711_FUR-FU-10000087</v>
      </c>
      <c r="E3081" t="str">
        <f>IF(COUNTIF(data1!$D:$D,D3081)=0,"Missing in Data1","Present")</f>
        <v>Present</v>
      </c>
    </row>
    <row r="3082" spans="1:5" x14ac:dyDescent="0.25">
      <c r="A3082" s="2" t="s">
        <v>3039</v>
      </c>
      <c r="B3082" s="2" t="s">
        <v>1493</v>
      </c>
      <c r="C3082" s="2">
        <v>8</v>
      </c>
      <c r="D3082" t="str">
        <f t="shared" si="48"/>
        <v>CA-2015-161711_OFF-EN-10001539</v>
      </c>
      <c r="E3082" t="str">
        <f>IF(COUNTIF(data1!$D:$D,D3082)=0,"Missing in Data1","Present")</f>
        <v>Missing in Data1</v>
      </c>
    </row>
    <row r="3083" spans="1:5" x14ac:dyDescent="0.25">
      <c r="A3083" s="2" t="s">
        <v>3040</v>
      </c>
      <c r="B3083" s="2" t="s">
        <v>733</v>
      </c>
      <c r="C3083" s="2">
        <v>5</v>
      </c>
      <c r="D3083" t="str">
        <f t="shared" si="48"/>
        <v>CA-2015-161718_FUR-CH-10002372</v>
      </c>
      <c r="E3083" t="str">
        <f>IF(COUNTIF(data1!$D:$D,D3083)=0,"Missing in Data1","Present")</f>
        <v>Present</v>
      </c>
    </row>
    <row r="3084" spans="1:5" x14ac:dyDescent="0.25">
      <c r="A3084" s="2" t="s">
        <v>3040</v>
      </c>
      <c r="B3084" s="2" t="s">
        <v>949</v>
      </c>
      <c r="C3084" s="2">
        <v>2</v>
      </c>
      <c r="D3084" t="str">
        <f t="shared" si="48"/>
        <v>CA-2015-161718_FUR-CH-10002965</v>
      </c>
      <c r="E3084" t="str">
        <f>IF(COUNTIF(data1!$D:$D,D3084)=0,"Missing in Data1","Present")</f>
        <v>Missing in Data1</v>
      </c>
    </row>
    <row r="3085" spans="1:5" x14ac:dyDescent="0.25">
      <c r="A3085" s="2" t="s">
        <v>3040</v>
      </c>
      <c r="B3085" s="2" t="s">
        <v>3041</v>
      </c>
      <c r="C3085" s="2">
        <v>3</v>
      </c>
      <c r="D3085" t="str">
        <f t="shared" si="48"/>
        <v>CA-2015-161718_FUR-FU-10002445</v>
      </c>
      <c r="E3085" t="str">
        <f>IF(COUNTIF(data1!$D:$D,D3085)=0,"Missing in Data1","Present")</f>
        <v>Present</v>
      </c>
    </row>
    <row r="3086" spans="1:5" x14ac:dyDescent="0.25">
      <c r="A3086" s="2" t="s">
        <v>3040</v>
      </c>
      <c r="B3086" s="2" t="s">
        <v>614</v>
      </c>
      <c r="C3086" s="2">
        <v>4</v>
      </c>
      <c r="D3086" t="str">
        <f t="shared" si="48"/>
        <v>CA-2015-161718_TEC-PH-10000376</v>
      </c>
      <c r="E3086" t="str">
        <f>IF(COUNTIF(data1!$D:$D,D3086)=0,"Missing in Data1","Present")</f>
        <v>Present</v>
      </c>
    </row>
    <row r="3087" spans="1:5" x14ac:dyDescent="0.25">
      <c r="A3087" s="2" t="s">
        <v>3042</v>
      </c>
      <c r="B3087" s="2" t="s">
        <v>3043</v>
      </c>
      <c r="C3087" s="2">
        <v>2</v>
      </c>
      <c r="D3087" t="str">
        <f t="shared" si="48"/>
        <v>CA-2015-161767_TEC-MA-10002790</v>
      </c>
      <c r="E3087" t="str">
        <f>IF(COUNTIF(data1!$D:$D,D3087)=0,"Missing in Data1","Present")</f>
        <v>Present</v>
      </c>
    </row>
    <row r="3088" spans="1:5" x14ac:dyDescent="0.25">
      <c r="A3088" s="2" t="s">
        <v>3044</v>
      </c>
      <c r="B3088" s="2" t="s">
        <v>899</v>
      </c>
      <c r="C3088" s="2">
        <v>2</v>
      </c>
      <c r="D3088" t="str">
        <f t="shared" si="48"/>
        <v>CA-2015-161795_OFF-AR-10001919</v>
      </c>
      <c r="E3088" t="str">
        <f>IF(COUNTIF(data1!$D:$D,D3088)=0,"Missing in Data1","Present")</f>
        <v>Present</v>
      </c>
    </row>
    <row r="3089" spans="1:5" x14ac:dyDescent="0.25">
      <c r="A3089" s="2" t="s">
        <v>3045</v>
      </c>
      <c r="B3089" s="2" t="s">
        <v>839</v>
      </c>
      <c r="C3089" s="2">
        <v>2</v>
      </c>
      <c r="D3089" t="str">
        <f t="shared" si="48"/>
        <v>CA-2015-161830_OFF-AR-10004042</v>
      </c>
      <c r="E3089" t="str">
        <f>IF(COUNTIF(data1!$D:$D,D3089)=0,"Missing in Data1","Present")</f>
        <v>Present</v>
      </c>
    </row>
    <row r="3090" spans="1:5" x14ac:dyDescent="0.25">
      <c r="A3090" s="2" t="s">
        <v>3045</v>
      </c>
      <c r="B3090" s="2" t="s">
        <v>65</v>
      </c>
      <c r="C3090" s="2">
        <v>3</v>
      </c>
      <c r="D3090" t="str">
        <f t="shared" si="48"/>
        <v>CA-2015-161830_OFF-BI-10001097</v>
      </c>
      <c r="E3090" t="str">
        <f>IF(COUNTIF(data1!$D:$D,D3090)=0,"Missing in Data1","Present")</f>
        <v>Present</v>
      </c>
    </row>
    <row r="3091" spans="1:5" x14ac:dyDescent="0.25">
      <c r="A3091" s="2" t="s">
        <v>3046</v>
      </c>
      <c r="B3091" s="2" t="s">
        <v>538</v>
      </c>
      <c r="C3091" s="2">
        <v>3</v>
      </c>
      <c r="D3091" t="str">
        <f t="shared" si="48"/>
        <v>CA-2015-161998_FUR-FU-10001095</v>
      </c>
      <c r="E3091" t="str">
        <f>IF(COUNTIF(data1!$D:$D,D3091)=0,"Missing in Data1","Present")</f>
        <v>Present</v>
      </c>
    </row>
    <row r="3092" spans="1:5" x14ac:dyDescent="0.25">
      <c r="A3092" s="2" t="s">
        <v>3046</v>
      </c>
      <c r="B3092" s="2" t="s">
        <v>3047</v>
      </c>
      <c r="C3092" s="2">
        <v>6</v>
      </c>
      <c r="D3092" t="str">
        <f t="shared" si="48"/>
        <v>CA-2015-161998_OFF-AR-10004022</v>
      </c>
      <c r="E3092" t="str">
        <f>IF(COUNTIF(data1!$D:$D,D3092)=0,"Missing in Data1","Present")</f>
        <v>Present</v>
      </c>
    </row>
    <row r="3093" spans="1:5" x14ac:dyDescent="0.25">
      <c r="A3093" s="2" t="s">
        <v>3046</v>
      </c>
      <c r="B3093" s="2" t="s">
        <v>3048</v>
      </c>
      <c r="C3093" s="2">
        <v>3</v>
      </c>
      <c r="D3093" t="str">
        <f t="shared" si="48"/>
        <v>CA-2015-161998_OFF-SU-10004261</v>
      </c>
      <c r="E3093" t="str">
        <f>IF(COUNTIF(data1!$D:$D,D3093)=0,"Missing in Data1","Present")</f>
        <v>Present</v>
      </c>
    </row>
    <row r="3094" spans="1:5" x14ac:dyDescent="0.25">
      <c r="A3094" s="2" t="s">
        <v>3049</v>
      </c>
      <c r="B3094" s="2" t="s">
        <v>1540</v>
      </c>
      <c r="C3094" s="2">
        <v>10</v>
      </c>
      <c r="D3094" t="str">
        <f t="shared" si="48"/>
        <v>CA-2015-162047_FUR-CH-10004983</v>
      </c>
      <c r="E3094" t="str">
        <f>IF(COUNTIF(data1!$D:$D,D3094)=0,"Missing in Data1","Present")</f>
        <v>Present</v>
      </c>
    </row>
    <row r="3095" spans="1:5" x14ac:dyDescent="0.25">
      <c r="A3095" s="2" t="s">
        <v>3050</v>
      </c>
      <c r="B3095" s="2" t="s">
        <v>3051</v>
      </c>
      <c r="C3095" s="2">
        <v>5</v>
      </c>
      <c r="D3095" t="str">
        <f t="shared" si="48"/>
        <v>CA-2015-162166_OFF-PA-10002606</v>
      </c>
      <c r="E3095" t="str">
        <f>IF(COUNTIF(data1!$D:$D,D3095)=0,"Missing in Data1","Present")</f>
        <v>Present</v>
      </c>
    </row>
    <row r="3096" spans="1:5" x14ac:dyDescent="0.25">
      <c r="A3096" s="2" t="s">
        <v>3052</v>
      </c>
      <c r="B3096" s="2" t="s">
        <v>2600</v>
      </c>
      <c r="C3096" s="2">
        <v>7</v>
      </c>
      <c r="D3096" t="str">
        <f t="shared" si="48"/>
        <v>CA-2015-162201_FUR-FU-10001185</v>
      </c>
      <c r="E3096" t="str">
        <f>IF(COUNTIF(data1!$D:$D,D3096)=0,"Missing in Data1","Present")</f>
        <v>Present</v>
      </c>
    </row>
    <row r="3097" spans="1:5" x14ac:dyDescent="0.25">
      <c r="A3097" s="2" t="s">
        <v>3052</v>
      </c>
      <c r="B3097" s="2" t="s">
        <v>2785</v>
      </c>
      <c r="C3097" s="2">
        <v>2</v>
      </c>
      <c r="D3097" t="str">
        <f t="shared" si="48"/>
        <v>CA-2015-162201_OFF-AR-10003856</v>
      </c>
      <c r="E3097" t="str">
        <f>IF(COUNTIF(data1!$D:$D,D3097)=0,"Missing in Data1","Present")</f>
        <v>Present</v>
      </c>
    </row>
    <row r="3098" spans="1:5" x14ac:dyDescent="0.25">
      <c r="A3098" s="2" t="s">
        <v>3052</v>
      </c>
      <c r="B3098" s="2" t="s">
        <v>150</v>
      </c>
      <c r="C3098" s="2">
        <v>2</v>
      </c>
      <c r="D3098" t="str">
        <f t="shared" si="48"/>
        <v>CA-2015-162201_OFF-BI-10002429</v>
      </c>
      <c r="E3098" t="str">
        <f>IF(COUNTIF(data1!$D:$D,D3098)=0,"Missing in Data1","Present")</f>
        <v>Present</v>
      </c>
    </row>
    <row r="3099" spans="1:5" x14ac:dyDescent="0.25">
      <c r="A3099" s="2" t="s">
        <v>3052</v>
      </c>
      <c r="B3099" s="2" t="s">
        <v>27</v>
      </c>
      <c r="C3099" s="2">
        <v>3</v>
      </c>
      <c r="D3099" t="str">
        <f t="shared" si="48"/>
        <v>CA-2015-162201_OFF-LA-10001982</v>
      </c>
      <c r="E3099" t="str">
        <f>IF(COUNTIF(data1!$D:$D,D3099)=0,"Missing in Data1","Present")</f>
        <v>Present</v>
      </c>
    </row>
    <row r="3100" spans="1:5" x14ac:dyDescent="0.25">
      <c r="A3100" s="2" t="s">
        <v>3052</v>
      </c>
      <c r="B3100" s="2" t="s">
        <v>3053</v>
      </c>
      <c r="C3100" s="2">
        <v>10</v>
      </c>
      <c r="D3100" t="str">
        <f t="shared" si="48"/>
        <v>CA-2015-162201_OFF-PA-10001215</v>
      </c>
      <c r="E3100" t="str">
        <f>IF(COUNTIF(data1!$D:$D,D3100)=0,"Missing in Data1","Present")</f>
        <v>Present</v>
      </c>
    </row>
    <row r="3101" spans="1:5" x14ac:dyDescent="0.25">
      <c r="A3101" s="2" t="s">
        <v>3052</v>
      </c>
      <c r="B3101" s="2" t="s">
        <v>1376</v>
      </c>
      <c r="C3101" s="2">
        <v>7</v>
      </c>
      <c r="D3101" t="str">
        <f t="shared" si="48"/>
        <v>CA-2015-162201_OFF-PA-10002581</v>
      </c>
      <c r="E3101" t="str">
        <f>IF(COUNTIF(data1!$D:$D,D3101)=0,"Missing in Data1","Present")</f>
        <v>Present</v>
      </c>
    </row>
    <row r="3102" spans="1:5" x14ac:dyDescent="0.25">
      <c r="A3102" s="2" t="s">
        <v>3052</v>
      </c>
      <c r="B3102" s="2" t="s">
        <v>435</v>
      </c>
      <c r="C3102" s="2">
        <v>4</v>
      </c>
      <c r="D3102" t="str">
        <f t="shared" si="48"/>
        <v>CA-2015-162201_OFF-ST-10000046</v>
      </c>
      <c r="E3102" t="str">
        <f>IF(COUNTIF(data1!$D:$D,D3102)=0,"Missing in Data1","Present")</f>
        <v>Missing in Data1</v>
      </c>
    </row>
    <row r="3103" spans="1:5" x14ac:dyDescent="0.25">
      <c r="A3103" s="2" t="s">
        <v>3054</v>
      </c>
      <c r="B3103" s="2" t="s">
        <v>435</v>
      </c>
      <c r="C3103" s="2">
        <v>2</v>
      </c>
      <c r="D3103" t="str">
        <f t="shared" si="48"/>
        <v>CA-2015-162369_OFF-ST-10000046</v>
      </c>
      <c r="E3103" t="str">
        <f>IF(COUNTIF(data1!$D:$D,D3103)=0,"Missing in Data1","Present")</f>
        <v>Present</v>
      </c>
    </row>
    <row r="3104" spans="1:5" x14ac:dyDescent="0.25">
      <c r="A3104" s="2" t="s">
        <v>3055</v>
      </c>
      <c r="B3104" s="2" t="s">
        <v>1278</v>
      </c>
      <c r="C3104" s="2">
        <v>4</v>
      </c>
      <c r="D3104" t="str">
        <f t="shared" si="48"/>
        <v>CA-2015-162376_OFF-AR-10003056</v>
      </c>
      <c r="E3104" t="str">
        <f>IF(COUNTIF(data1!$D:$D,D3104)=0,"Missing in Data1","Present")</f>
        <v>Present</v>
      </c>
    </row>
    <row r="3105" spans="1:5" x14ac:dyDescent="0.25">
      <c r="A3105" s="2" t="s">
        <v>3057</v>
      </c>
      <c r="B3105" s="2" t="s">
        <v>1260</v>
      </c>
      <c r="C3105" s="2">
        <v>7</v>
      </c>
      <c r="D3105" t="str">
        <f t="shared" si="48"/>
        <v>CA-2015-162537_FUR-FU-10001918</v>
      </c>
      <c r="E3105" t="str">
        <f>IF(COUNTIF(data1!$D:$D,D3105)=0,"Missing in Data1","Present")</f>
        <v>Present</v>
      </c>
    </row>
    <row r="3106" spans="1:5" x14ac:dyDescent="0.25">
      <c r="A3106" s="2" t="s">
        <v>3057</v>
      </c>
      <c r="B3106" s="2" t="s">
        <v>2254</v>
      </c>
      <c r="C3106" s="2">
        <v>5</v>
      </c>
      <c r="D3106" t="str">
        <f t="shared" si="48"/>
        <v>CA-2015-162537_FUR-FU-10002885</v>
      </c>
      <c r="E3106" t="str">
        <f>IF(COUNTIF(data1!$D:$D,D3106)=0,"Missing in Data1","Present")</f>
        <v>Present</v>
      </c>
    </row>
    <row r="3107" spans="1:5" x14ac:dyDescent="0.25">
      <c r="A3107" s="2" t="s">
        <v>3057</v>
      </c>
      <c r="B3107" s="2" t="s">
        <v>2178</v>
      </c>
      <c r="C3107" s="2">
        <v>1</v>
      </c>
      <c r="D3107" t="str">
        <f t="shared" si="48"/>
        <v>CA-2015-162537_OFF-EN-10003862</v>
      </c>
      <c r="E3107" t="str">
        <f>IF(COUNTIF(data1!$D:$D,D3107)=0,"Missing in Data1","Present")</f>
        <v>Present</v>
      </c>
    </row>
    <row r="3108" spans="1:5" x14ac:dyDescent="0.25">
      <c r="A3108" s="2" t="s">
        <v>3057</v>
      </c>
      <c r="B3108" s="2" t="s">
        <v>178</v>
      </c>
      <c r="C3108" s="2">
        <v>3</v>
      </c>
      <c r="D3108" t="str">
        <f t="shared" si="48"/>
        <v>CA-2015-162537_OFF-ST-10004258</v>
      </c>
      <c r="E3108" t="str">
        <f>IF(COUNTIF(data1!$D:$D,D3108)=0,"Missing in Data1","Present")</f>
        <v>Present</v>
      </c>
    </row>
    <row r="3109" spans="1:5" x14ac:dyDescent="0.25">
      <c r="A3109" s="2" t="s">
        <v>3058</v>
      </c>
      <c r="B3109" s="2" t="s">
        <v>1366</v>
      </c>
      <c r="C3109" s="2">
        <v>1</v>
      </c>
      <c r="D3109" t="str">
        <f t="shared" si="48"/>
        <v>CA-2015-162544_OFF-PA-10004948</v>
      </c>
      <c r="E3109" t="str">
        <f>IF(COUNTIF(data1!$D:$D,D3109)=0,"Missing in Data1","Present")</f>
        <v>Present</v>
      </c>
    </row>
    <row r="3110" spans="1:5" x14ac:dyDescent="0.25">
      <c r="A3110" s="2" t="s">
        <v>3059</v>
      </c>
      <c r="B3110" s="2" t="s">
        <v>1727</v>
      </c>
      <c r="C3110" s="2">
        <v>3</v>
      </c>
      <c r="D3110" t="str">
        <f t="shared" si="48"/>
        <v>CA-2015-162607_OFF-BI-10002949</v>
      </c>
      <c r="E3110" t="str">
        <f>IF(COUNTIF(data1!$D:$D,D3110)=0,"Missing in Data1","Present")</f>
        <v>Present</v>
      </c>
    </row>
    <row r="3111" spans="1:5" x14ac:dyDescent="0.25">
      <c r="A3111" s="2" t="s">
        <v>3060</v>
      </c>
      <c r="B3111" s="2" t="s">
        <v>1014</v>
      </c>
      <c r="C3111" s="2">
        <v>5</v>
      </c>
      <c r="D3111" t="str">
        <f t="shared" si="48"/>
        <v>CA-2015-162621_OFF-BI-10000962</v>
      </c>
      <c r="E3111" t="str">
        <f>IF(COUNTIF(data1!$D:$D,D3111)=0,"Missing in Data1","Present")</f>
        <v>Present</v>
      </c>
    </row>
    <row r="3112" spans="1:5" x14ac:dyDescent="0.25">
      <c r="A3112" s="2" t="s">
        <v>3060</v>
      </c>
      <c r="B3112" s="2" t="s">
        <v>310</v>
      </c>
      <c r="C3112" s="2">
        <v>9</v>
      </c>
      <c r="D3112" t="str">
        <f t="shared" si="48"/>
        <v>CA-2015-162621_OFF-SU-10003567</v>
      </c>
      <c r="E3112" t="str">
        <f>IF(COUNTIF(data1!$D:$D,D3112)=0,"Missing in Data1","Present")</f>
        <v>Present</v>
      </c>
    </row>
    <row r="3113" spans="1:5" x14ac:dyDescent="0.25">
      <c r="A3113" s="2" t="s">
        <v>3061</v>
      </c>
      <c r="B3113" s="2" t="s">
        <v>3062</v>
      </c>
      <c r="C3113" s="2">
        <v>8</v>
      </c>
      <c r="D3113" t="str">
        <f t="shared" si="48"/>
        <v>CA-2015-162761_OFF-AR-10001761</v>
      </c>
      <c r="E3113" t="str">
        <f>IF(COUNTIF(data1!$D:$D,D3113)=0,"Missing in Data1","Present")</f>
        <v>Present</v>
      </c>
    </row>
    <row r="3114" spans="1:5" x14ac:dyDescent="0.25">
      <c r="A3114" s="2" t="s">
        <v>3061</v>
      </c>
      <c r="B3114" s="2" t="s">
        <v>1152</v>
      </c>
      <c r="C3114" s="2">
        <v>2</v>
      </c>
      <c r="D3114" t="str">
        <f t="shared" si="48"/>
        <v>CA-2015-162761_OFF-BI-10000145</v>
      </c>
      <c r="E3114" t="str">
        <f>IF(COUNTIF(data1!$D:$D,D3114)=0,"Missing in Data1","Present")</f>
        <v>Present</v>
      </c>
    </row>
    <row r="3115" spans="1:5" x14ac:dyDescent="0.25">
      <c r="A3115" s="2" t="s">
        <v>3061</v>
      </c>
      <c r="B3115" s="2" t="s">
        <v>1564</v>
      </c>
      <c r="C3115" s="2">
        <v>2</v>
      </c>
      <c r="D3115" t="str">
        <f t="shared" si="48"/>
        <v>CA-2015-162761_OFF-BI-10002498</v>
      </c>
      <c r="E3115" t="str">
        <f>IF(COUNTIF(data1!$D:$D,D3115)=0,"Missing in Data1","Present")</f>
        <v>Present</v>
      </c>
    </row>
    <row r="3116" spans="1:5" x14ac:dyDescent="0.25">
      <c r="A3116" s="2" t="s">
        <v>3063</v>
      </c>
      <c r="B3116" s="2" t="s">
        <v>907</v>
      </c>
      <c r="C3116" s="2">
        <v>2</v>
      </c>
      <c r="D3116" t="str">
        <f t="shared" si="48"/>
        <v>CA-2015-162782_OFF-BI-10003527</v>
      </c>
      <c r="E3116" t="str">
        <f>IF(COUNTIF(data1!$D:$D,D3116)=0,"Missing in Data1","Present")</f>
        <v>Present</v>
      </c>
    </row>
    <row r="3117" spans="1:5" x14ac:dyDescent="0.25">
      <c r="A3117" s="2" t="s">
        <v>3064</v>
      </c>
      <c r="B3117" s="2" t="s">
        <v>1520</v>
      </c>
      <c r="C3117" s="2">
        <v>3</v>
      </c>
      <c r="D3117" t="str">
        <f t="shared" si="48"/>
        <v>CA-2015-162887_FUR-CH-10000595</v>
      </c>
      <c r="E3117" t="str">
        <f>IF(COUNTIF(data1!$D:$D,D3117)=0,"Missing in Data1","Present")</f>
        <v>Present</v>
      </c>
    </row>
    <row r="3118" spans="1:5" x14ac:dyDescent="0.25">
      <c r="A3118" s="2" t="s">
        <v>3065</v>
      </c>
      <c r="B3118" s="2" t="s">
        <v>3066</v>
      </c>
      <c r="C3118" s="2">
        <v>6</v>
      </c>
      <c r="D3118" t="str">
        <f t="shared" si="48"/>
        <v>CA-2015-162950_FUR-BO-10001918</v>
      </c>
      <c r="E3118" t="str">
        <f>IF(COUNTIF(data1!$D:$D,D3118)=0,"Missing in Data1","Present")</f>
        <v>Present</v>
      </c>
    </row>
    <row r="3119" spans="1:5" x14ac:dyDescent="0.25">
      <c r="A3119" s="2" t="s">
        <v>3065</v>
      </c>
      <c r="B3119" s="2" t="s">
        <v>1158</v>
      </c>
      <c r="C3119" s="2">
        <v>3</v>
      </c>
      <c r="D3119" t="str">
        <f t="shared" si="48"/>
        <v>CA-2015-162950_OFF-PA-10003177</v>
      </c>
      <c r="E3119" t="str">
        <f>IF(COUNTIF(data1!$D:$D,D3119)=0,"Missing in Data1","Present")</f>
        <v>Present</v>
      </c>
    </row>
    <row r="3120" spans="1:5" x14ac:dyDescent="0.25">
      <c r="A3120" s="2" t="s">
        <v>3067</v>
      </c>
      <c r="B3120" s="2" t="s">
        <v>1970</v>
      </c>
      <c r="C3120" s="2">
        <v>7</v>
      </c>
      <c r="D3120" t="str">
        <f t="shared" si="48"/>
        <v>CA-2015-162964_OFF-EN-10003055</v>
      </c>
      <c r="E3120" t="str">
        <f>IF(COUNTIF(data1!$D:$D,D3120)=0,"Missing in Data1","Present")</f>
        <v>Present</v>
      </c>
    </row>
    <row r="3121" spans="1:5" x14ac:dyDescent="0.25">
      <c r="A3121" s="2" t="s">
        <v>3067</v>
      </c>
      <c r="B3121" s="2" t="s">
        <v>105</v>
      </c>
      <c r="C3121" s="2">
        <v>3</v>
      </c>
      <c r="D3121" t="str">
        <f t="shared" si="48"/>
        <v>CA-2015-162964_OFF-PA-10003349</v>
      </c>
      <c r="E3121" t="str">
        <f>IF(COUNTIF(data1!$D:$D,D3121)=0,"Missing in Data1","Present")</f>
        <v>Present</v>
      </c>
    </row>
    <row r="3122" spans="1:5" x14ac:dyDescent="0.25">
      <c r="A3122" s="2" t="s">
        <v>3067</v>
      </c>
      <c r="B3122" s="2" t="s">
        <v>715</v>
      </c>
      <c r="C3122" s="2">
        <v>1</v>
      </c>
      <c r="D3122" t="str">
        <f t="shared" si="48"/>
        <v>CA-2015-162964_OFF-ST-10002344</v>
      </c>
      <c r="E3122" t="str">
        <f>IF(COUNTIF(data1!$D:$D,D3122)=0,"Missing in Data1","Present")</f>
        <v>Present</v>
      </c>
    </row>
    <row r="3123" spans="1:5" x14ac:dyDescent="0.25">
      <c r="A3123" s="2" t="s">
        <v>3068</v>
      </c>
      <c r="B3123" s="2" t="s">
        <v>1427</v>
      </c>
      <c r="C3123" s="2">
        <v>5</v>
      </c>
      <c r="D3123" t="str">
        <f t="shared" si="48"/>
        <v>CA-2015-163055_FUR-TA-10003748</v>
      </c>
      <c r="E3123" t="str">
        <f>IF(COUNTIF(data1!$D:$D,D3123)=0,"Missing in Data1","Present")</f>
        <v>Present</v>
      </c>
    </row>
    <row r="3124" spans="1:5" x14ac:dyDescent="0.25">
      <c r="A3124" s="2" t="s">
        <v>3068</v>
      </c>
      <c r="B3124" s="2" t="s">
        <v>3069</v>
      </c>
      <c r="C3124" s="2">
        <v>1</v>
      </c>
      <c r="D3124" t="str">
        <f t="shared" si="48"/>
        <v>CA-2015-163055_OFF-AR-10001026</v>
      </c>
      <c r="E3124" t="str">
        <f>IF(COUNTIF(data1!$D:$D,D3124)=0,"Missing in Data1","Present")</f>
        <v>Present</v>
      </c>
    </row>
    <row r="3125" spans="1:5" x14ac:dyDescent="0.25">
      <c r="A3125" s="2" t="s">
        <v>3068</v>
      </c>
      <c r="B3125" s="2" t="s">
        <v>3070</v>
      </c>
      <c r="C3125" s="2">
        <v>1</v>
      </c>
      <c r="D3125" t="str">
        <f t="shared" si="48"/>
        <v>CA-2015-163055_OFF-ST-10002485</v>
      </c>
      <c r="E3125" t="str">
        <f>IF(COUNTIF(data1!$D:$D,D3125)=0,"Missing in Data1","Present")</f>
        <v>Present</v>
      </c>
    </row>
    <row r="3126" spans="1:5" x14ac:dyDescent="0.25">
      <c r="A3126" s="2" t="s">
        <v>3071</v>
      </c>
      <c r="B3126" s="2" t="s">
        <v>803</v>
      </c>
      <c r="C3126" s="2">
        <v>5</v>
      </c>
      <c r="D3126" t="str">
        <f t="shared" si="48"/>
        <v>CA-2015-163090_OFF-SU-10002537</v>
      </c>
      <c r="E3126" t="str">
        <f>IF(COUNTIF(data1!$D:$D,D3126)=0,"Missing in Data1","Present")</f>
        <v>Present</v>
      </c>
    </row>
    <row r="3127" spans="1:5" x14ac:dyDescent="0.25">
      <c r="A3127" s="2" t="s">
        <v>3072</v>
      </c>
      <c r="B3127" s="2" t="s">
        <v>1440</v>
      </c>
      <c r="C3127" s="2">
        <v>2</v>
      </c>
      <c r="D3127" t="str">
        <f t="shared" si="48"/>
        <v>CA-2015-163104_OFF-PA-10001947</v>
      </c>
      <c r="E3127" t="str">
        <f>IF(COUNTIF(data1!$D:$D,D3127)=0,"Missing in Data1","Present")</f>
        <v>Present</v>
      </c>
    </row>
    <row r="3128" spans="1:5" x14ac:dyDescent="0.25">
      <c r="A3128" s="2" t="s">
        <v>3073</v>
      </c>
      <c r="B3128" s="2" t="s">
        <v>846</v>
      </c>
      <c r="C3128" s="2">
        <v>5</v>
      </c>
      <c r="D3128" t="str">
        <f t="shared" si="48"/>
        <v>CA-2015-163181_FUR-FU-10000193</v>
      </c>
      <c r="E3128" t="str">
        <f>IF(COUNTIF(data1!$D:$D,D3128)=0,"Missing in Data1","Present")</f>
        <v>Present</v>
      </c>
    </row>
    <row r="3129" spans="1:5" x14ac:dyDescent="0.25">
      <c r="A3129" s="2" t="s">
        <v>3073</v>
      </c>
      <c r="B3129" s="2" t="s">
        <v>1327</v>
      </c>
      <c r="C3129" s="2">
        <v>3</v>
      </c>
      <c r="D3129" t="str">
        <f t="shared" si="48"/>
        <v>CA-2015-163181_OFF-AR-10001683</v>
      </c>
      <c r="E3129" t="str">
        <f>IF(COUNTIF(data1!$D:$D,D3129)=0,"Missing in Data1","Present")</f>
        <v>Present</v>
      </c>
    </row>
    <row r="3130" spans="1:5" x14ac:dyDescent="0.25">
      <c r="A3130" s="2" t="s">
        <v>3073</v>
      </c>
      <c r="B3130" s="2" t="s">
        <v>606</v>
      </c>
      <c r="C3130" s="2">
        <v>10</v>
      </c>
      <c r="D3130" t="str">
        <f t="shared" si="48"/>
        <v>CA-2015-163181_OFF-BI-10000474</v>
      </c>
      <c r="E3130" t="str">
        <f>IF(COUNTIF(data1!$D:$D,D3130)=0,"Missing in Data1","Present")</f>
        <v>Present</v>
      </c>
    </row>
    <row r="3131" spans="1:5" x14ac:dyDescent="0.25">
      <c r="A3131" s="2" t="s">
        <v>3073</v>
      </c>
      <c r="B3131" s="2" t="s">
        <v>2397</v>
      </c>
      <c r="C3131" s="2">
        <v>2</v>
      </c>
      <c r="D3131" t="str">
        <f t="shared" si="48"/>
        <v>CA-2015-163181_OFF-ST-10000129</v>
      </c>
      <c r="E3131" t="str">
        <f>IF(COUNTIF(data1!$D:$D,D3131)=0,"Missing in Data1","Present")</f>
        <v>Present</v>
      </c>
    </row>
    <row r="3132" spans="1:5" x14ac:dyDescent="0.25">
      <c r="A3132" s="2" t="s">
        <v>3073</v>
      </c>
      <c r="B3132" s="2" t="s">
        <v>1347</v>
      </c>
      <c r="C3132" s="2">
        <v>2</v>
      </c>
      <c r="D3132" t="str">
        <f t="shared" si="48"/>
        <v>CA-2015-163181_OFF-ST-10001713</v>
      </c>
      <c r="E3132" t="str">
        <f>IF(COUNTIF(data1!$D:$D,D3132)=0,"Missing in Data1","Present")</f>
        <v>Present</v>
      </c>
    </row>
    <row r="3133" spans="1:5" x14ac:dyDescent="0.25">
      <c r="A3133" s="2" t="s">
        <v>3073</v>
      </c>
      <c r="B3133" s="2" t="s">
        <v>3074</v>
      </c>
      <c r="C3133" s="2">
        <v>3</v>
      </c>
      <c r="D3133" t="str">
        <f t="shared" si="48"/>
        <v>CA-2015-163181_TEC-MA-10001016</v>
      </c>
      <c r="E3133" t="str">
        <f>IF(COUNTIF(data1!$D:$D,D3133)=0,"Missing in Data1","Present")</f>
        <v>Present</v>
      </c>
    </row>
    <row r="3134" spans="1:5" x14ac:dyDescent="0.25">
      <c r="A3134" s="2" t="s">
        <v>3075</v>
      </c>
      <c r="B3134" s="2" t="s">
        <v>3076</v>
      </c>
      <c r="C3134" s="2">
        <v>2</v>
      </c>
      <c r="D3134" t="str">
        <f t="shared" si="48"/>
        <v>CA-2015-163237_OFF-LA-10004545</v>
      </c>
      <c r="E3134" t="str">
        <f>IF(COUNTIF(data1!$D:$D,D3134)=0,"Missing in Data1","Present")</f>
        <v>Present</v>
      </c>
    </row>
    <row r="3135" spans="1:5" x14ac:dyDescent="0.25">
      <c r="A3135" s="2" t="s">
        <v>3075</v>
      </c>
      <c r="B3135" s="2" t="s">
        <v>3077</v>
      </c>
      <c r="C3135" s="2">
        <v>3</v>
      </c>
      <c r="D3135" t="str">
        <f t="shared" si="48"/>
        <v>CA-2015-163237_TEC-PH-10003601</v>
      </c>
      <c r="E3135" t="str">
        <f>IF(COUNTIF(data1!$D:$D,D3135)=0,"Missing in Data1","Present")</f>
        <v>Present</v>
      </c>
    </row>
    <row r="3136" spans="1:5" x14ac:dyDescent="0.25">
      <c r="A3136" s="2" t="s">
        <v>3078</v>
      </c>
      <c r="B3136" s="2" t="s">
        <v>614</v>
      </c>
      <c r="C3136" s="2">
        <v>2</v>
      </c>
      <c r="D3136" t="str">
        <f t="shared" si="48"/>
        <v>CA-2015-163440_TEC-PH-10000376</v>
      </c>
      <c r="E3136" t="str">
        <f>IF(COUNTIF(data1!$D:$D,D3136)=0,"Missing in Data1","Present")</f>
        <v>Present</v>
      </c>
    </row>
    <row r="3137" spans="1:5" x14ac:dyDescent="0.25">
      <c r="A3137" s="2" t="s">
        <v>3079</v>
      </c>
      <c r="B3137" s="2" t="s">
        <v>5266</v>
      </c>
      <c r="C3137" s="2">
        <v>3</v>
      </c>
      <c r="D3137" t="str">
        <f t="shared" si="48"/>
        <v>CA-2015-163587_OFF-BI-10003091</v>
      </c>
      <c r="E3137" t="str">
        <f>IF(COUNTIF(data1!$D:$D,D3137)=0,"Missing in Data1","Present")</f>
        <v>Missing in Data1</v>
      </c>
    </row>
    <row r="3138" spans="1:5" x14ac:dyDescent="0.25">
      <c r="A3138" s="2" t="s">
        <v>3079</v>
      </c>
      <c r="B3138" s="2" t="s">
        <v>1711</v>
      </c>
      <c r="C3138" s="2">
        <v>4</v>
      </c>
      <c r="D3138" t="str">
        <f t="shared" si="48"/>
        <v>CA-2015-163587_OFF-LA-10004484</v>
      </c>
      <c r="E3138" t="str">
        <f>IF(COUNTIF(data1!$D:$D,D3138)=0,"Missing in Data1","Present")</f>
        <v>Present</v>
      </c>
    </row>
    <row r="3139" spans="1:5" x14ac:dyDescent="0.25">
      <c r="A3139" s="2" t="s">
        <v>3080</v>
      </c>
      <c r="B3139" s="2" t="s">
        <v>1800</v>
      </c>
      <c r="C3139" s="2">
        <v>5</v>
      </c>
      <c r="D3139" t="str">
        <f t="shared" ref="D3139:D3202" si="49">A3139&amp;"_"&amp;B3139</f>
        <v>CA-2015-163734_OFF-ST-10003692</v>
      </c>
      <c r="E3139" t="str">
        <f>IF(COUNTIF(data1!$D:$D,D3139)=0,"Missing in Data1","Present")</f>
        <v>Present</v>
      </c>
    </row>
    <row r="3140" spans="1:5" x14ac:dyDescent="0.25">
      <c r="A3140" s="2" t="s">
        <v>3081</v>
      </c>
      <c r="B3140" s="2" t="s">
        <v>1819</v>
      </c>
      <c r="C3140" s="2">
        <v>3</v>
      </c>
      <c r="D3140" t="str">
        <f t="shared" si="49"/>
        <v>CA-2015-163762_OFF-AR-10001915</v>
      </c>
      <c r="E3140" t="str">
        <f>IF(COUNTIF(data1!$D:$D,D3140)=0,"Missing in Data1","Present")</f>
        <v>Present</v>
      </c>
    </row>
    <row r="3141" spans="1:5" x14ac:dyDescent="0.25">
      <c r="A3141" s="2" t="s">
        <v>3082</v>
      </c>
      <c r="B3141" s="2" t="s">
        <v>651</v>
      </c>
      <c r="C3141" s="2">
        <v>1</v>
      </c>
      <c r="D3141" t="str">
        <f t="shared" si="49"/>
        <v>CA-2015-163895_OFF-BI-10004970</v>
      </c>
      <c r="E3141" t="str">
        <f>IF(COUNTIF(data1!$D:$D,D3141)=0,"Missing in Data1","Present")</f>
        <v>Present</v>
      </c>
    </row>
    <row r="3142" spans="1:5" x14ac:dyDescent="0.25">
      <c r="A3142" s="2" t="s">
        <v>3083</v>
      </c>
      <c r="B3142" s="2" t="s">
        <v>2665</v>
      </c>
      <c r="C3142" s="2">
        <v>4</v>
      </c>
      <c r="D3142" t="str">
        <f t="shared" si="49"/>
        <v>CA-2015-163923_TEC-AC-10000358</v>
      </c>
      <c r="E3142" t="str">
        <f>IF(COUNTIF(data1!$D:$D,D3142)=0,"Missing in Data1","Present")</f>
        <v>Present</v>
      </c>
    </row>
    <row r="3143" spans="1:5" x14ac:dyDescent="0.25">
      <c r="A3143" s="2" t="s">
        <v>3084</v>
      </c>
      <c r="B3143" s="2" t="s">
        <v>69</v>
      </c>
      <c r="C3143" s="2">
        <v>3</v>
      </c>
      <c r="D3143" t="str">
        <f t="shared" si="49"/>
        <v>CA-2015-163965_FUR-BO-10001337</v>
      </c>
      <c r="E3143" t="str">
        <f>IF(COUNTIF(data1!$D:$D,D3143)=0,"Missing in Data1","Present")</f>
        <v>Present</v>
      </c>
    </row>
    <row r="3144" spans="1:5" x14ac:dyDescent="0.25">
      <c r="A3144" s="2" t="s">
        <v>3084</v>
      </c>
      <c r="B3144" s="2" t="s">
        <v>404</v>
      </c>
      <c r="C3144" s="2">
        <v>4</v>
      </c>
      <c r="D3144" t="str">
        <f t="shared" si="49"/>
        <v>CA-2015-163965_OFF-BI-10004593</v>
      </c>
      <c r="E3144" t="str">
        <f>IF(COUNTIF(data1!$D:$D,D3144)=0,"Missing in Data1","Present")</f>
        <v>Present</v>
      </c>
    </row>
    <row r="3145" spans="1:5" x14ac:dyDescent="0.25">
      <c r="A3145" s="2" t="s">
        <v>3084</v>
      </c>
      <c r="B3145" s="2" t="s">
        <v>1680</v>
      </c>
      <c r="C3145" s="2">
        <v>5</v>
      </c>
      <c r="D3145" t="str">
        <f t="shared" si="49"/>
        <v>CA-2015-163965_OFF-BI-10004728</v>
      </c>
      <c r="E3145" t="str">
        <f>IF(COUNTIF(data1!$D:$D,D3145)=0,"Missing in Data1","Present")</f>
        <v>Present</v>
      </c>
    </row>
    <row r="3146" spans="1:5" x14ac:dyDescent="0.25">
      <c r="A3146" s="2" t="s">
        <v>3084</v>
      </c>
      <c r="B3146" s="2" t="s">
        <v>173</v>
      </c>
      <c r="C3146" s="2">
        <v>2</v>
      </c>
      <c r="D3146" t="str">
        <f t="shared" si="49"/>
        <v>CA-2015-163965_OFF-ST-10000918</v>
      </c>
      <c r="E3146" t="str">
        <f>IF(COUNTIF(data1!$D:$D,D3146)=0,"Missing in Data1","Present")</f>
        <v>Missing in Data1</v>
      </c>
    </row>
    <row r="3147" spans="1:5" x14ac:dyDescent="0.25">
      <c r="A3147" s="2" t="s">
        <v>3085</v>
      </c>
      <c r="B3147" s="2" t="s">
        <v>2130</v>
      </c>
      <c r="C3147" s="2">
        <v>2</v>
      </c>
      <c r="D3147" t="str">
        <f t="shared" si="49"/>
        <v>CA-2015-164007_OFF-AP-10003849</v>
      </c>
      <c r="E3147" t="str">
        <f>IF(COUNTIF(data1!$D:$D,D3147)=0,"Missing in Data1","Present")</f>
        <v>Present</v>
      </c>
    </row>
    <row r="3148" spans="1:5" x14ac:dyDescent="0.25">
      <c r="A3148" s="2" t="s">
        <v>3085</v>
      </c>
      <c r="B3148" s="2" t="s">
        <v>1753</v>
      </c>
      <c r="C3148" s="2">
        <v>3</v>
      </c>
      <c r="D3148" t="str">
        <f t="shared" si="49"/>
        <v>CA-2015-164007_TEC-AC-10003433</v>
      </c>
      <c r="E3148" t="str">
        <f>IF(COUNTIF(data1!$D:$D,D3148)=0,"Missing in Data1","Present")</f>
        <v>Present</v>
      </c>
    </row>
    <row r="3149" spans="1:5" x14ac:dyDescent="0.25">
      <c r="A3149" s="2" t="s">
        <v>3086</v>
      </c>
      <c r="B3149" s="2" t="s">
        <v>766</v>
      </c>
      <c r="C3149" s="2">
        <v>2</v>
      </c>
      <c r="D3149" t="str">
        <f t="shared" si="49"/>
        <v>CA-2015-164084_FUR-TA-10003569</v>
      </c>
      <c r="E3149" t="str">
        <f>IF(COUNTIF(data1!$D:$D,D3149)=0,"Missing in Data1","Present")</f>
        <v>Present</v>
      </c>
    </row>
    <row r="3150" spans="1:5" x14ac:dyDescent="0.25">
      <c r="A3150" s="2" t="s">
        <v>3086</v>
      </c>
      <c r="B3150" s="2" t="s">
        <v>1789</v>
      </c>
      <c r="C3150" s="2">
        <v>2</v>
      </c>
      <c r="D3150" t="str">
        <f t="shared" si="49"/>
        <v>CA-2015-164084_OFF-BI-10000605</v>
      </c>
      <c r="E3150" t="str">
        <f>IF(COUNTIF(data1!$D:$D,D3150)=0,"Missing in Data1","Present")</f>
        <v>Present</v>
      </c>
    </row>
    <row r="3151" spans="1:5" x14ac:dyDescent="0.25">
      <c r="A3151" s="2" t="s">
        <v>3086</v>
      </c>
      <c r="B3151" s="2" t="s">
        <v>2732</v>
      </c>
      <c r="C3151" s="2">
        <v>3</v>
      </c>
      <c r="D3151" t="str">
        <f t="shared" si="49"/>
        <v>CA-2015-164084_OFF-ST-10003638</v>
      </c>
      <c r="E3151" t="str">
        <f>IF(COUNTIF(data1!$D:$D,D3151)=0,"Missing in Data1","Present")</f>
        <v>Present</v>
      </c>
    </row>
    <row r="3152" spans="1:5" x14ac:dyDescent="0.25">
      <c r="A3152" s="2" t="s">
        <v>3086</v>
      </c>
      <c r="B3152" s="2" t="s">
        <v>3087</v>
      </c>
      <c r="C3152" s="2">
        <v>5</v>
      </c>
      <c r="D3152" t="str">
        <f t="shared" si="49"/>
        <v>CA-2015-164084_TEC-AC-10002305</v>
      </c>
      <c r="E3152" t="str">
        <f>IF(COUNTIF(data1!$D:$D,D3152)=0,"Missing in Data1","Present")</f>
        <v>Present</v>
      </c>
    </row>
    <row r="3153" spans="1:5" x14ac:dyDescent="0.25">
      <c r="A3153" s="2" t="s">
        <v>3088</v>
      </c>
      <c r="B3153" s="2" t="s">
        <v>1130</v>
      </c>
      <c r="C3153" s="2">
        <v>8</v>
      </c>
      <c r="D3153" t="str">
        <f t="shared" si="49"/>
        <v>CA-2015-164301_FUR-TA-10001889</v>
      </c>
      <c r="E3153" t="str">
        <f>IF(COUNTIF(data1!$D:$D,D3153)=0,"Missing in Data1","Present")</f>
        <v>Present</v>
      </c>
    </row>
    <row r="3154" spans="1:5" x14ac:dyDescent="0.25">
      <c r="A3154" s="2" t="s">
        <v>3089</v>
      </c>
      <c r="B3154" s="2" t="s">
        <v>1735</v>
      </c>
      <c r="C3154" s="2">
        <v>3</v>
      </c>
      <c r="D3154" t="str">
        <f t="shared" si="49"/>
        <v>CA-2015-164336_OFF-ST-10001558</v>
      </c>
      <c r="E3154" t="str">
        <f>IF(COUNTIF(data1!$D:$D,D3154)=0,"Missing in Data1","Present")</f>
        <v>Present</v>
      </c>
    </row>
    <row r="3155" spans="1:5" x14ac:dyDescent="0.25">
      <c r="A3155" s="2" t="s">
        <v>3089</v>
      </c>
      <c r="B3155" s="2" t="s">
        <v>1587</v>
      </c>
      <c r="C3155" s="2">
        <v>3</v>
      </c>
      <c r="D3155" t="str">
        <f t="shared" si="49"/>
        <v>CA-2015-164336_TEC-AC-10002345</v>
      </c>
      <c r="E3155" t="str">
        <f>IF(COUNTIF(data1!$D:$D,D3155)=0,"Missing in Data1","Present")</f>
        <v>Present</v>
      </c>
    </row>
    <row r="3156" spans="1:5" x14ac:dyDescent="0.25">
      <c r="A3156" s="2" t="s">
        <v>3090</v>
      </c>
      <c r="B3156" s="2" t="s">
        <v>2802</v>
      </c>
      <c r="C3156" s="2">
        <v>6</v>
      </c>
      <c r="D3156" t="str">
        <f t="shared" si="49"/>
        <v>CA-2015-164427_TEC-AC-10004469</v>
      </c>
      <c r="E3156" t="str">
        <f>IF(COUNTIF(data1!$D:$D,D3156)=0,"Missing in Data1","Present")</f>
        <v>Present</v>
      </c>
    </row>
    <row r="3157" spans="1:5" x14ac:dyDescent="0.25">
      <c r="A3157" s="2" t="s">
        <v>3091</v>
      </c>
      <c r="B3157" s="2" t="s">
        <v>2648</v>
      </c>
      <c r="C3157" s="2">
        <v>11</v>
      </c>
      <c r="D3157" t="str">
        <f t="shared" si="49"/>
        <v>CA-2015-164441_OFF-BI-10001922</v>
      </c>
      <c r="E3157" t="str">
        <f>IF(COUNTIF(data1!$D:$D,D3157)=0,"Missing in Data1","Present")</f>
        <v>Missing in Data1</v>
      </c>
    </row>
    <row r="3158" spans="1:5" x14ac:dyDescent="0.25">
      <c r="A3158" s="2" t="s">
        <v>3091</v>
      </c>
      <c r="B3158" s="2" t="s">
        <v>1250</v>
      </c>
      <c r="C3158" s="2">
        <v>3</v>
      </c>
      <c r="D3158" t="str">
        <f t="shared" si="49"/>
        <v>CA-2015-164441_OFF-PA-10001667</v>
      </c>
      <c r="E3158" t="str">
        <f>IF(COUNTIF(data1!$D:$D,D3158)=0,"Missing in Data1","Present")</f>
        <v>Present</v>
      </c>
    </row>
    <row r="3159" spans="1:5" x14ac:dyDescent="0.25">
      <c r="A3159" s="2" t="s">
        <v>3092</v>
      </c>
      <c r="B3159" s="2" t="s">
        <v>3093</v>
      </c>
      <c r="C3159" s="2">
        <v>4</v>
      </c>
      <c r="D3159" t="str">
        <f t="shared" si="49"/>
        <v>CA-2015-164497_OFF-AP-10004655</v>
      </c>
      <c r="E3159" t="str">
        <f>IF(COUNTIF(data1!$D:$D,D3159)=0,"Missing in Data1","Present")</f>
        <v>Present</v>
      </c>
    </row>
    <row r="3160" spans="1:5" x14ac:dyDescent="0.25">
      <c r="A3160" s="2" t="s">
        <v>3094</v>
      </c>
      <c r="B3160" s="2" t="s">
        <v>3095</v>
      </c>
      <c r="C3160" s="2">
        <v>5</v>
      </c>
      <c r="D3160" t="str">
        <f t="shared" si="49"/>
        <v>CA-2015-164539_OFF-AP-10002457</v>
      </c>
      <c r="E3160" t="str">
        <f>IF(COUNTIF(data1!$D:$D,D3160)=0,"Missing in Data1","Present")</f>
        <v>Present</v>
      </c>
    </row>
    <row r="3161" spans="1:5" x14ac:dyDescent="0.25">
      <c r="A3161" s="2" t="s">
        <v>6789</v>
      </c>
      <c r="B3161" s="2" t="s">
        <v>1425</v>
      </c>
      <c r="C3161" s="2">
        <v>3</v>
      </c>
      <c r="D3161" t="str">
        <f t="shared" si="49"/>
        <v>CA-2015-164567_TEC-PH-10002103</v>
      </c>
      <c r="E3161" t="str">
        <f>IF(COUNTIF(data1!$D:$D,D3161)=0,"Missing in Data1","Present")</f>
        <v>Missing in Data1</v>
      </c>
    </row>
    <row r="3162" spans="1:5" x14ac:dyDescent="0.25">
      <c r="A3162" s="2" t="s">
        <v>3096</v>
      </c>
      <c r="B3162" s="2" t="s">
        <v>2455</v>
      </c>
      <c r="C3162" s="2">
        <v>2</v>
      </c>
      <c r="D3162" t="str">
        <f t="shared" si="49"/>
        <v>CA-2015-164623_OFF-PA-10000249</v>
      </c>
      <c r="E3162" t="str">
        <f>IF(COUNTIF(data1!$D:$D,D3162)=0,"Missing in Data1","Present")</f>
        <v>Present</v>
      </c>
    </row>
    <row r="3163" spans="1:5" x14ac:dyDescent="0.25">
      <c r="A3163" s="2" t="s">
        <v>3097</v>
      </c>
      <c r="B3163" s="2" t="s">
        <v>561</v>
      </c>
      <c r="C3163" s="2">
        <v>5</v>
      </c>
      <c r="D3163" t="str">
        <f t="shared" si="49"/>
        <v>CA-2015-164777_FUR-CH-10002024</v>
      </c>
      <c r="E3163" t="str">
        <f>IF(COUNTIF(data1!$D:$D,D3163)=0,"Missing in Data1","Present")</f>
        <v>Present</v>
      </c>
    </row>
    <row r="3164" spans="1:5" x14ac:dyDescent="0.25">
      <c r="A3164" s="2" t="s">
        <v>3098</v>
      </c>
      <c r="B3164" s="2" t="s">
        <v>1194</v>
      </c>
      <c r="C3164" s="2">
        <v>2</v>
      </c>
      <c r="D3164" t="str">
        <f t="shared" si="49"/>
        <v>CA-2015-164833_OFF-AR-10004685</v>
      </c>
      <c r="E3164" t="str">
        <f>IF(COUNTIF(data1!$D:$D,D3164)=0,"Missing in Data1","Present")</f>
        <v>Present</v>
      </c>
    </row>
    <row r="3165" spans="1:5" x14ac:dyDescent="0.25">
      <c r="A3165" s="2" t="s">
        <v>3099</v>
      </c>
      <c r="B3165" s="2" t="s">
        <v>815</v>
      </c>
      <c r="C3165" s="2">
        <v>1</v>
      </c>
      <c r="D3165" t="str">
        <f t="shared" si="49"/>
        <v>CA-2015-164882_FUR-BO-10002213</v>
      </c>
      <c r="E3165" t="str">
        <f>IF(COUNTIF(data1!$D:$D,D3165)=0,"Missing in Data1","Present")</f>
        <v>Present</v>
      </c>
    </row>
    <row r="3166" spans="1:5" x14ac:dyDescent="0.25">
      <c r="A3166" s="2" t="s">
        <v>3099</v>
      </c>
      <c r="B3166" s="2" t="s">
        <v>1050</v>
      </c>
      <c r="C3166" s="2">
        <v>4</v>
      </c>
      <c r="D3166" t="str">
        <f t="shared" si="49"/>
        <v>CA-2015-164882_FUR-CH-10004218</v>
      </c>
      <c r="E3166" t="str">
        <f>IF(COUNTIF(data1!$D:$D,D3166)=0,"Missing in Data1","Present")</f>
        <v>Present</v>
      </c>
    </row>
    <row r="3167" spans="1:5" x14ac:dyDescent="0.25">
      <c r="A3167" s="2" t="s">
        <v>3099</v>
      </c>
      <c r="B3167" s="2" t="s">
        <v>1248</v>
      </c>
      <c r="C3167" s="2">
        <v>3</v>
      </c>
      <c r="D3167" t="str">
        <f t="shared" si="49"/>
        <v>CA-2015-164882_OFF-AR-10004272</v>
      </c>
      <c r="E3167" t="str">
        <f>IF(COUNTIF(data1!$D:$D,D3167)=0,"Missing in Data1","Present")</f>
        <v>Present</v>
      </c>
    </row>
    <row r="3168" spans="1:5" x14ac:dyDescent="0.25">
      <c r="A3168" s="2" t="s">
        <v>3099</v>
      </c>
      <c r="B3168" s="2" t="s">
        <v>1989</v>
      </c>
      <c r="C3168" s="2">
        <v>3</v>
      </c>
      <c r="D3168" t="str">
        <f t="shared" si="49"/>
        <v>CA-2015-164882_OFF-BI-10004519</v>
      </c>
      <c r="E3168" t="str">
        <f>IF(COUNTIF(data1!$D:$D,D3168)=0,"Missing in Data1","Present")</f>
        <v>Present</v>
      </c>
    </row>
    <row r="3169" spans="1:5" x14ac:dyDescent="0.25">
      <c r="A3169" s="2" t="s">
        <v>3099</v>
      </c>
      <c r="B3169" s="2" t="s">
        <v>685</v>
      </c>
      <c r="C3169" s="2">
        <v>5</v>
      </c>
      <c r="D3169" t="str">
        <f t="shared" si="49"/>
        <v>CA-2015-164882_OFF-FA-10000585</v>
      </c>
      <c r="E3169" t="str">
        <f>IF(COUNTIF(data1!$D:$D,D3169)=0,"Missing in Data1","Present")</f>
        <v>Present</v>
      </c>
    </row>
    <row r="3170" spans="1:5" x14ac:dyDescent="0.25">
      <c r="A3170" s="2" t="s">
        <v>3099</v>
      </c>
      <c r="B3170" s="2" t="s">
        <v>2602</v>
      </c>
      <c r="C3170" s="2">
        <v>1</v>
      </c>
      <c r="D3170" t="str">
        <f t="shared" si="49"/>
        <v>CA-2015-164882_OFF-PA-10000157</v>
      </c>
      <c r="E3170" t="str">
        <f>IF(COUNTIF(data1!$D:$D,D3170)=0,"Missing in Data1","Present")</f>
        <v>Present</v>
      </c>
    </row>
    <row r="3171" spans="1:5" x14ac:dyDescent="0.25">
      <c r="A3171" s="2" t="s">
        <v>3099</v>
      </c>
      <c r="B3171" s="2" t="s">
        <v>2732</v>
      </c>
      <c r="C3171" s="2">
        <v>2</v>
      </c>
      <c r="D3171" t="str">
        <f t="shared" si="49"/>
        <v>CA-2015-164882_OFF-ST-10003638</v>
      </c>
      <c r="E3171" t="str">
        <f>IF(COUNTIF(data1!$D:$D,D3171)=0,"Missing in Data1","Present")</f>
        <v>Present</v>
      </c>
    </row>
    <row r="3172" spans="1:5" x14ac:dyDescent="0.25">
      <c r="A3172" s="2" t="s">
        <v>3099</v>
      </c>
      <c r="B3172" s="2" t="s">
        <v>2166</v>
      </c>
      <c r="C3172" s="2">
        <v>3</v>
      </c>
      <c r="D3172" t="str">
        <f t="shared" si="49"/>
        <v>CA-2015-164882_OFF-SU-10004231</v>
      </c>
      <c r="E3172" t="str">
        <f>IF(COUNTIF(data1!$D:$D,D3172)=0,"Missing in Data1","Present")</f>
        <v>Present</v>
      </c>
    </row>
    <row r="3173" spans="1:5" x14ac:dyDescent="0.25">
      <c r="A3173" s="2" t="s">
        <v>3099</v>
      </c>
      <c r="B3173" s="2" t="s">
        <v>2514</v>
      </c>
      <c r="C3173" s="2">
        <v>4</v>
      </c>
      <c r="D3173" t="str">
        <f t="shared" si="49"/>
        <v>CA-2015-164882_TEC-PH-10001578</v>
      </c>
      <c r="E3173" t="str">
        <f>IF(COUNTIF(data1!$D:$D,D3173)=0,"Missing in Data1","Present")</f>
        <v>Present</v>
      </c>
    </row>
    <row r="3174" spans="1:5" x14ac:dyDescent="0.25">
      <c r="A3174" s="2" t="s">
        <v>3100</v>
      </c>
      <c r="B3174" s="2" t="s">
        <v>773</v>
      </c>
      <c r="C3174" s="2">
        <v>5</v>
      </c>
      <c r="D3174" t="str">
        <f t="shared" si="49"/>
        <v>CA-2015-165050_OFF-BI-10001031</v>
      </c>
      <c r="E3174" t="str">
        <f>IF(COUNTIF(data1!$D:$D,D3174)=0,"Missing in Data1","Present")</f>
        <v>Present</v>
      </c>
    </row>
    <row r="3175" spans="1:5" x14ac:dyDescent="0.25">
      <c r="A3175" s="2" t="s">
        <v>3100</v>
      </c>
      <c r="B3175" s="2" t="s">
        <v>1526</v>
      </c>
      <c r="C3175" s="2">
        <v>2</v>
      </c>
      <c r="D3175" t="str">
        <f t="shared" si="49"/>
        <v>CA-2015-165050_OFF-BI-10003727</v>
      </c>
      <c r="E3175" t="str">
        <f>IF(COUNTIF(data1!$D:$D,D3175)=0,"Missing in Data1","Present")</f>
        <v>Present</v>
      </c>
    </row>
    <row r="3176" spans="1:5" x14ac:dyDescent="0.25">
      <c r="A3176" s="2" t="s">
        <v>3100</v>
      </c>
      <c r="B3176" s="2" t="s">
        <v>292</v>
      </c>
      <c r="C3176" s="2">
        <v>6</v>
      </c>
      <c r="D3176" t="str">
        <f t="shared" si="49"/>
        <v>CA-2015-165050_TEC-PH-10001336</v>
      </c>
      <c r="E3176" t="str">
        <f>IF(COUNTIF(data1!$D:$D,D3176)=0,"Missing in Data1","Present")</f>
        <v>Present</v>
      </c>
    </row>
    <row r="3177" spans="1:5" x14ac:dyDescent="0.25">
      <c r="A3177" s="2" t="s">
        <v>3101</v>
      </c>
      <c r="B3177" s="2" t="s">
        <v>1853</v>
      </c>
      <c r="C3177" s="2">
        <v>9</v>
      </c>
      <c r="D3177" t="str">
        <f t="shared" si="49"/>
        <v>CA-2015-165057_OFF-AR-10004648</v>
      </c>
      <c r="E3177" t="str">
        <f>IF(COUNTIF(data1!$D:$D,D3177)=0,"Missing in Data1","Present")</f>
        <v>Present</v>
      </c>
    </row>
    <row r="3178" spans="1:5" x14ac:dyDescent="0.25">
      <c r="A3178" s="2" t="s">
        <v>3101</v>
      </c>
      <c r="B3178" s="2" t="s">
        <v>2339</v>
      </c>
      <c r="C3178" s="2">
        <v>3</v>
      </c>
      <c r="D3178" t="str">
        <f t="shared" si="49"/>
        <v>CA-2015-165057_OFF-LA-10003190</v>
      </c>
      <c r="E3178" t="str">
        <f>IF(COUNTIF(data1!$D:$D,D3178)=0,"Missing in Data1","Present")</f>
        <v>Present</v>
      </c>
    </row>
    <row r="3179" spans="1:5" x14ac:dyDescent="0.25">
      <c r="A3179" s="2" t="s">
        <v>3102</v>
      </c>
      <c r="B3179" s="2" t="s">
        <v>1189</v>
      </c>
      <c r="C3179" s="2">
        <v>2</v>
      </c>
      <c r="D3179" t="str">
        <f t="shared" si="49"/>
        <v>CA-2015-165085_OFF-AP-10002518</v>
      </c>
      <c r="E3179" t="str">
        <f>IF(COUNTIF(data1!$D:$D,D3179)=0,"Missing in Data1","Present")</f>
        <v>Present</v>
      </c>
    </row>
    <row r="3180" spans="1:5" x14ac:dyDescent="0.25">
      <c r="A3180" s="2" t="s">
        <v>3102</v>
      </c>
      <c r="B3180" s="2" t="s">
        <v>3103</v>
      </c>
      <c r="C3180" s="2">
        <v>5</v>
      </c>
      <c r="D3180" t="str">
        <f t="shared" si="49"/>
        <v>CA-2015-165085_OFF-PA-10000605</v>
      </c>
      <c r="E3180" t="str">
        <f>IF(COUNTIF(data1!$D:$D,D3180)=0,"Missing in Data1","Present")</f>
        <v>Present</v>
      </c>
    </row>
    <row r="3181" spans="1:5" x14ac:dyDescent="0.25">
      <c r="A3181" s="2" t="s">
        <v>3104</v>
      </c>
      <c r="B3181" s="2" t="s">
        <v>304</v>
      </c>
      <c r="C3181" s="2">
        <v>4</v>
      </c>
      <c r="D3181" t="str">
        <f t="shared" si="49"/>
        <v>CA-2015-165162_OFF-ST-10003470</v>
      </c>
      <c r="E3181" t="str">
        <f>IF(COUNTIF(data1!$D:$D,D3181)=0,"Missing in Data1","Present")</f>
        <v>Present</v>
      </c>
    </row>
    <row r="3182" spans="1:5" x14ac:dyDescent="0.25">
      <c r="A3182" s="2" t="s">
        <v>3105</v>
      </c>
      <c r="B3182" s="2" t="s">
        <v>3106</v>
      </c>
      <c r="C3182" s="2">
        <v>3</v>
      </c>
      <c r="D3182" t="str">
        <f t="shared" si="49"/>
        <v>CA-2015-165414_TEC-PH-10002293</v>
      </c>
      <c r="E3182" t="str">
        <f>IF(COUNTIF(data1!$D:$D,D3182)=0,"Missing in Data1","Present")</f>
        <v>Present</v>
      </c>
    </row>
    <row r="3183" spans="1:5" x14ac:dyDescent="0.25">
      <c r="A3183" s="2" t="s">
        <v>3107</v>
      </c>
      <c r="B3183" s="2" t="s">
        <v>1552</v>
      </c>
      <c r="C3183" s="2">
        <v>2</v>
      </c>
      <c r="D3183" t="str">
        <f t="shared" si="49"/>
        <v>CA-2015-165554_OFF-PA-10003724</v>
      </c>
      <c r="E3183" t="str">
        <f>IF(COUNTIF(data1!$D:$D,D3183)=0,"Missing in Data1","Present")</f>
        <v>Present</v>
      </c>
    </row>
    <row r="3184" spans="1:5" x14ac:dyDescent="0.25">
      <c r="A3184" s="2" t="s">
        <v>3108</v>
      </c>
      <c r="B3184" s="2" t="s">
        <v>2407</v>
      </c>
      <c r="C3184" s="2">
        <v>3</v>
      </c>
      <c r="D3184" t="str">
        <f t="shared" si="49"/>
        <v>CA-2015-165624_OFF-AP-10000828</v>
      </c>
      <c r="E3184" t="str">
        <f>IF(COUNTIF(data1!$D:$D,D3184)=0,"Missing in Data1","Present")</f>
        <v>Present</v>
      </c>
    </row>
    <row r="3185" spans="1:5" x14ac:dyDescent="0.25">
      <c r="A3185" s="2" t="s">
        <v>3108</v>
      </c>
      <c r="B3185" s="2" t="s">
        <v>1310</v>
      </c>
      <c r="C3185" s="2">
        <v>3</v>
      </c>
      <c r="D3185" t="str">
        <f t="shared" si="49"/>
        <v>CA-2015-165624_OFF-AP-10001492</v>
      </c>
      <c r="E3185" t="str">
        <f>IF(COUNTIF(data1!$D:$D,D3185)=0,"Missing in Data1","Present")</f>
        <v>Present</v>
      </c>
    </row>
    <row r="3186" spans="1:5" x14ac:dyDescent="0.25">
      <c r="A3186" s="2" t="s">
        <v>3108</v>
      </c>
      <c r="B3186" s="2" t="s">
        <v>1284</v>
      </c>
      <c r="C3186" s="2">
        <v>5</v>
      </c>
      <c r="D3186" t="str">
        <f t="shared" si="49"/>
        <v>CA-2015-165624_OFF-PA-10002319</v>
      </c>
      <c r="E3186" t="str">
        <f>IF(COUNTIF(data1!$D:$D,D3186)=0,"Missing in Data1","Present")</f>
        <v>Present</v>
      </c>
    </row>
    <row r="3187" spans="1:5" x14ac:dyDescent="0.25">
      <c r="A3187" s="2" t="s">
        <v>3108</v>
      </c>
      <c r="B3187" s="2" t="s">
        <v>3109</v>
      </c>
      <c r="C3187" s="2">
        <v>2</v>
      </c>
      <c r="D3187" t="str">
        <f t="shared" si="49"/>
        <v>CA-2015-165624_OFF-PA-10002499</v>
      </c>
      <c r="E3187" t="str">
        <f>IF(COUNTIF(data1!$D:$D,D3187)=0,"Missing in Data1","Present")</f>
        <v>Present</v>
      </c>
    </row>
    <row r="3188" spans="1:5" x14ac:dyDescent="0.25">
      <c r="A3188" s="2" t="s">
        <v>3108</v>
      </c>
      <c r="B3188" s="2" t="s">
        <v>3013</v>
      </c>
      <c r="C3188" s="2">
        <v>5</v>
      </c>
      <c r="D3188" t="str">
        <f t="shared" si="49"/>
        <v>CA-2015-165624_OFF-PA-10003893</v>
      </c>
      <c r="E3188" t="str">
        <f>IF(COUNTIF(data1!$D:$D,D3188)=0,"Missing in Data1","Present")</f>
        <v>Present</v>
      </c>
    </row>
    <row r="3189" spans="1:5" x14ac:dyDescent="0.25">
      <c r="A3189" s="2" t="s">
        <v>3108</v>
      </c>
      <c r="B3189" s="2" t="s">
        <v>2609</v>
      </c>
      <c r="C3189" s="2">
        <v>9</v>
      </c>
      <c r="D3189" t="str">
        <f t="shared" si="49"/>
        <v>CA-2015-165624_TEC-AC-10004568</v>
      </c>
      <c r="E3189" t="str">
        <f>IF(COUNTIF(data1!$D:$D,D3189)=0,"Missing in Data1","Present")</f>
        <v>Present</v>
      </c>
    </row>
    <row r="3190" spans="1:5" x14ac:dyDescent="0.25">
      <c r="A3190" s="2" t="s">
        <v>3110</v>
      </c>
      <c r="B3190" s="2" t="s">
        <v>1375</v>
      </c>
      <c r="C3190" s="2">
        <v>1</v>
      </c>
      <c r="D3190" t="str">
        <f t="shared" si="49"/>
        <v>CA-2015-165799_FUR-CH-10001482</v>
      </c>
      <c r="E3190" t="str">
        <f>IF(COUNTIF(data1!$D:$D,D3190)=0,"Missing in Data1","Present")</f>
        <v>Present</v>
      </c>
    </row>
    <row r="3191" spans="1:5" x14ac:dyDescent="0.25">
      <c r="A3191" s="2" t="s">
        <v>3111</v>
      </c>
      <c r="B3191" s="2" t="s">
        <v>178</v>
      </c>
      <c r="C3191" s="2">
        <v>3</v>
      </c>
      <c r="D3191" t="str">
        <f t="shared" si="49"/>
        <v>CA-2015-165813_OFF-ST-10004258</v>
      </c>
      <c r="E3191" t="str">
        <f>IF(COUNTIF(data1!$D:$D,D3191)=0,"Missing in Data1","Present")</f>
        <v>Present</v>
      </c>
    </row>
    <row r="3192" spans="1:5" x14ac:dyDescent="0.25">
      <c r="A3192" s="2" t="s">
        <v>3112</v>
      </c>
      <c r="B3192" s="2" t="s">
        <v>1717</v>
      </c>
      <c r="C3192" s="2">
        <v>4</v>
      </c>
      <c r="D3192" t="str">
        <f t="shared" si="49"/>
        <v>CA-2015-166135_OFF-ST-10002974</v>
      </c>
      <c r="E3192" t="str">
        <f>IF(COUNTIF(data1!$D:$D,D3192)=0,"Missing in Data1","Present")</f>
        <v>Present</v>
      </c>
    </row>
    <row r="3193" spans="1:5" x14ac:dyDescent="0.25">
      <c r="A3193" s="2" t="s">
        <v>3113</v>
      </c>
      <c r="B3193" s="2" t="s">
        <v>37</v>
      </c>
      <c r="C3193" s="2">
        <v>1</v>
      </c>
      <c r="D3193" t="str">
        <f t="shared" si="49"/>
        <v>CA-2015-166219_FUR-TA-10004607</v>
      </c>
      <c r="E3193" t="str">
        <f>IF(COUNTIF(data1!$D:$D,D3193)=0,"Missing in Data1","Present")</f>
        <v>Present</v>
      </c>
    </row>
    <row r="3194" spans="1:5" x14ac:dyDescent="0.25">
      <c r="A3194" s="2" t="s">
        <v>3113</v>
      </c>
      <c r="B3194" s="2" t="s">
        <v>2074</v>
      </c>
      <c r="C3194" s="2">
        <v>5</v>
      </c>
      <c r="D3194" t="str">
        <f t="shared" si="49"/>
        <v>CA-2015-166219_TEC-PH-10004165</v>
      </c>
      <c r="E3194" t="str">
        <f>IF(COUNTIF(data1!$D:$D,D3194)=0,"Missing in Data1","Present")</f>
        <v>Present</v>
      </c>
    </row>
    <row r="3195" spans="1:5" x14ac:dyDescent="0.25">
      <c r="A3195" s="2" t="s">
        <v>3115</v>
      </c>
      <c r="B3195" s="2" t="s">
        <v>3116</v>
      </c>
      <c r="C3195" s="2">
        <v>4</v>
      </c>
      <c r="D3195" t="str">
        <f t="shared" si="49"/>
        <v>CA-2015-166464_OFF-LA-10001317</v>
      </c>
      <c r="E3195" t="str">
        <f>IF(COUNTIF(data1!$D:$D,D3195)=0,"Missing in Data1","Present")</f>
        <v>Present</v>
      </c>
    </row>
    <row r="3196" spans="1:5" x14ac:dyDescent="0.25">
      <c r="A3196" s="2" t="s">
        <v>3115</v>
      </c>
      <c r="B3196" s="2" t="s">
        <v>3908</v>
      </c>
      <c r="C3196" s="2">
        <v>2</v>
      </c>
      <c r="D3196" t="str">
        <f t="shared" si="49"/>
        <v>CA-2015-166464_TEC-CO-10000971</v>
      </c>
      <c r="E3196" t="str">
        <f>IF(COUNTIF(data1!$D:$D,D3196)=0,"Missing in Data1","Present")</f>
        <v>Missing in Data1</v>
      </c>
    </row>
    <row r="3197" spans="1:5" x14ac:dyDescent="0.25">
      <c r="A3197" s="2" t="s">
        <v>3117</v>
      </c>
      <c r="B3197" s="2" t="s">
        <v>1644</v>
      </c>
      <c r="C3197" s="2">
        <v>4</v>
      </c>
      <c r="D3197" t="str">
        <f t="shared" si="49"/>
        <v>CA-2015-166492_OFF-PA-10002262</v>
      </c>
      <c r="E3197" t="str">
        <f>IF(COUNTIF(data1!$D:$D,D3197)=0,"Missing in Data1","Present")</f>
        <v>Present</v>
      </c>
    </row>
    <row r="3198" spans="1:5" x14ac:dyDescent="0.25">
      <c r="A3198" s="2" t="s">
        <v>3117</v>
      </c>
      <c r="B3198" s="2" t="s">
        <v>652</v>
      </c>
      <c r="C3198" s="2">
        <v>2</v>
      </c>
      <c r="D3198" t="str">
        <f t="shared" si="49"/>
        <v>CA-2015-166492_OFF-ST-10002214</v>
      </c>
      <c r="E3198" t="str">
        <f>IF(COUNTIF(data1!$D:$D,D3198)=0,"Missing in Data1","Present")</f>
        <v>Present</v>
      </c>
    </row>
    <row r="3199" spans="1:5" x14ac:dyDescent="0.25">
      <c r="A3199" s="2" t="s">
        <v>3118</v>
      </c>
      <c r="B3199" s="2" t="s">
        <v>2514</v>
      </c>
      <c r="C3199" s="2">
        <v>3</v>
      </c>
      <c r="D3199" t="str">
        <f t="shared" si="49"/>
        <v>CA-2015-166583_TEC-PH-10001578</v>
      </c>
      <c r="E3199" t="str">
        <f>IF(COUNTIF(data1!$D:$D,D3199)=0,"Missing in Data1","Present")</f>
        <v>Present</v>
      </c>
    </row>
    <row r="3200" spans="1:5" x14ac:dyDescent="0.25">
      <c r="A3200" s="2" t="s">
        <v>3119</v>
      </c>
      <c r="B3200" s="2" t="s">
        <v>2480</v>
      </c>
      <c r="C3200" s="2">
        <v>3</v>
      </c>
      <c r="D3200" t="str">
        <f t="shared" si="49"/>
        <v>CA-2015-166604_OFF-EN-10004147</v>
      </c>
      <c r="E3200" t="str">
        <f>IF(COUNTIF(data1!$D:$D,D3200)=0,"Missing in Data1","Present")</f>
        <v>Present</v>
      </c>
    </row>
    <row r="3201" spans="1:5" x14ac:dyDescent="0.25">
      <c r="A3201" s="2" t="s">
        <v>3120</v>
      </c>
      <c r="B3201" s="2" t="s">
        <v>1084</v>
      </c>
      <c r="C3201" s="2">
        <v>4</v>
      </c>
      <c r="D3201" t="str">
        <f t="shared" si="49"/>
        <v>CA-2015-166800_OFF-AP-10004868</v>
      </c>
      <c r="E3201" t="str">
        <f>IF(COUNTIF(data1!$D:$D,D3201)=0,"Missing in Data1","Present")</f>
        <v>Present</v>
      </c>
    </row>
    <row r="3202" spans="1:5" x14ac:dyDescent="0.25">
      <c r="A3202" s="2" t="s">
        <v>3121</v>
      </c>
      <c r="B3202" s="2" t="s">
        <v>680</v>
      </c>
      <c r="C3202" s="2">
        <v>9</v>
      </c>
      <c r="D3202" t="str">
        <f t="shared" si="49"/>
        <v>CA-2015-166947_FUR-CH-10004997</v>
      </c>
      <c r="E3202" t="str">
        <f>IF(COUNTIF(data1!$D:$D,D3202)=0,"Missing in Data1","Present")</f>
        <v>Present</v>
      </c>
    </row>
    <row r="3203" spans="1:5" x14ac:dyDescent="0.25">
      <c r="A3203" s="2" t="s">
        <v>3122</v>
      </c>
      <c r="B3203" s="2" t="s">
        <v>3123</v>
      </c>
      <c r="C3203" s="2">
        <v>11</v>
      </c>
      <c r="D3203" t="str">
        <f t="shared" ref="D3203:D3266" si="50">A3203&amp;"_"&amp;B3203</f>
        <v>CA-2015-166975_FUR-FU-10003930</v>
      </c>
      <c r="E3203" t="str">
        <f>IF(COUNTIF(data1!$D:$D,D3203)=0,"Missing in Data1","Present")</f>
        <v>Present</v>
      </c>
    </row>
    <row r="3204" spans="1:5" x14ac:dyDescent="0.25">
      <c r="A3204" s="2" t="s">
        <v>3124</v>
      </c>
      <c r="B3204" s="2" t="s">
        <v>427</v>
      </c>
      <c r="C3204" s="2">
        <v>5</v>
      </c>
      <c r="D3204" t="str">
        <f t="shared" si="50"/>
        <v>CA-2015-167010_FUR-BO-10004218</v>
      </c>
      <c r="E3204" t="str">
        <f>IF(COUNTIF(data1!$D:$D,D3204)=0,"Missing in Data1","Present")</f>
        <v>Present</v>
      </c>
    </row>
    <row r="3205" spans="1:5" x14ac:dyDescent="0.25">
      <c r="A3205" s="2" t="s">
        <v>3124</v>
      </c>
      <c r="B3205" s="2" t="s">
        <v>3125</v>
      </c>
      <c r="C3205" s="2">
        <v>1</v>
      </c>
      <c r="D3205" t="str">
        <f t="shared" si="50"/>
        <v>CA-2015-167010_FUR-FU-10001037</v>
      </c>
      <c r="E3205" t="str">
        <f>IF(COUNTIF(data1!$D:$D,D3205)=0,"Missing in Data1","Present")</f>
        <v>Present</v>
      </c>
    </row>
    <row r="3206" spans="1:5" x14ac:dyDescent="0.25">
      <c r="A3206" s="2" t="s">
        <v>3124</v>
      </c>
      <c r="B3206" s="2" t="s">
        <v>494</v>
      </c>
      <c r="C3206" s="2">
        <v>4</v>
      </c>
      <c r="D3206" t="str">
        <f t="shared" si="50"/>
        <v>CA-2015-167010_FUR-FU-10001468</v>
      </c>
      <c r="E3206" t="str">
        <f>IF(COUNTIF(data1!$D:$D,D3206)=0,"Missing in Data1","Present")</f>
        <v>Present</v>
      </c>
    </row>
    <row r="3207" spans="1:5" x14ac:dyDescent="0.25">
      <c r="A3207" s="2" t="s">
        <v>3124</v>
      </c>
      <c r="B3207" s="2" t="s">
        <v>3906</v>
      </c>
      <c r="C3207" s="2">
        <v>7</v>
      </c>
      <c r="D3207" t="str">
        <f t="shared" si="50"/>
        <v>CA-2015-167010_OFF-AP-10004036</v>
      </c>
      <c r="E3207" t="str">
        <f>IF(COUNTIF(data1!$D:$D,D3207)=0,"Missing in Data1","Present")</f>
        <v>Missing in Data1</v>
      </c>
    </row>
    <row r="3208" spans="1:5" x14ac:dyDescent="0.25">
      <c r="A3208" s="2" t="s">
        <v>3124</v>
      </c>
      <c r="B3208" s="2" t="s">
        <v>3126</v>
      </c>
      <c r="C3208" s="2">
        <v>4</v>
      </c>
      <c r="D3208" t="str">
        <f t="shared" si="50"/>
        <v>CA-2015-167010_OFF-BI-10002072</v>
      </c>
      <c r="E3208" t="str">
        <f>IF(COUNTIF(data1!$D:$D,D3208)=0,"Missing in Data1","Present")</f>
        <v>Present</v>
      </c>
    </row>
    <row r="3209" spans="1:5" x14ac:dyDescent="0.25">
      <c r="A3209" s="2" t="s">
        <v>3124</v>
      </c>
      <c r="B3209" s="2" t="s">
        <v>2294</v>
      </c>
      <c r="C3209" s="2">
        <v>4</v>
      </c>
      <c r="D3209" t="str">
        <f t="shared" si="50"/>
        <v>CA-2015-167010_OFF-ST-10003816</v>
      </c>
      <c r="E3209" t="str">
        <f>IF(COUNTIF(data1!$D:$D,D3209)=0,"Missing in Data1","Present")</f>
        <v>Present</v>
      </c>
    </row>
    <row r="3210" spans="1:5" x14ac:dyDescent="0.25">
      <c r="A3210" s="2" t="s">
        <v>3124</v>
      </c>
      <c r="B3210" s="2" t="s">
        <v>1918</v>
      </c>
      <c r="C3210" s="2">
        <v>5</v>
      </c>
      <c r="D3210" t="str">
        <f t="shared" si="50"/>
        <v>CA-2015-167010_TEC-PH-10000347</v>
      </c>
      <c r="E3210" t="str">
        <f>IF(COUNTIF(data1!$D:$D,D3210)=0,"Missing in Data1","Present")</f>
        <v>Present</v>
      </c>
    </row>
    <row r="3211" spans="1:5" x14ac:dyDescent="0.25">
      <c r="A3211" s="2" t="s">
        <v>3124</v>
      </c>
      <c r="B3211" s="2" t="s">
        <v>1937</v>
      </c>
      <c r="C3211" s="2">
        <v>2</v>
      </c>
      <c r="D3211" t="str">
        <f t="shared" si="50"/>
        <v>CA-2015-167010_TEC-PH-10002844</v>
      </c>
      <c r="E3211" t="str">
        <f>IF(COUNTIF(data1!$D:$D,D3211)=0,"Missing in Data1","Present")</f>
        <v>Present</v>
      </c>
    </row>
    <row r="3212" spans="1:5" x14ac:dyDescent="0.25">
      <c r="A3212" s="2" t="s">
        <v>3127</v>
      </c>
      <c r="B3212" s="2" t="s">
        <v>592</v>
      </c>
      <c r="C3212" s="2">
        <v>3</v>
      </c>
      <c r="D3212" t="str">
        <f t="shared" si="50"/>
        <v>CA-2015-167255_OFF-PA-10002377</v>
      </c>
      <c r="E3212" t="str">
        <f>IF(COUNTIF(data1!$D:$D,D3212)=0,"Missing in Data1","Present")</f>
        <v>Present</v>
      </c>
    </row>
    <row r="3213" spans="1:5" x14ac:dyDescent="0.25">
      <c r="A3213" s="2" t="s">
        <v>3127</v>
      </c>
      <c r="B3213" s="2" t="s">
        <v>1737</v>
      </c>
      <c r="C3213" s="2">
        <v>2</v>
      </c>
      <c r="D3213" t="str">
        <f t="shared" si="50"/>
        <v>CA-2015-167255_OFF-PA-10003441</v>
      </c>
      <c r="E3213" t="str">
        <f>IF(COUNTIF(data1!$D:$D,D3213)=0,"Missing in Data1","Present")</f>
        <v>Present</v>
      </c>
    </row>
    <row r="3214" spans="1:5" x14ac:dyDescent="0.25">
      <c r="A3214" s="2" t="s">
        <v>3127</v>
      </c>
      <c r="B3214" s="2" t="s">
        <v>2856</v>
      </c>
      <c r="C3214" s="2">
        <v>1</v>
      </c>
      <c r="D3214" t="str">
        <f t="shared" si="50"/>
        <v>CA-2015-167255_OFF-ST-10001328</v>
      </c>
      <c r="E3214" t="str">
        <f>IF(COUNTIF(data1!$D:$D,D3214)=0,"Missing in Data1","Present")</f>
        <v>Present</v>
      </c>
    </row>
    <row r="3215" spans="1:5" x14ac:dyDescent="0.25">
      <c r="A3215" s="2" t="s">
        <v>3128</v>
      </c>
      <c r="B3215" s="2" t="s">
        <v>808</v>
      </c>
      <c r="C3215" s="2">
        <v>2</v>
      </c>
      <c r="D3215" t="str">
        <f t="shared" si="50"/>
        <v>CA-2015-167269_OFF-EN-10003072</v>
      </c>
      <c r="E3215" t="str">
        <f>IF(COUNTIF(data1!$D:$D,D3215)=0,"Missing in Data1","Present")</f>
        <v>Present</v>
      </c>
    </row>
    <row r="3216" spans="1:5" x14ac:dyDescent="0.25">
      <c r="A3216" s="2" t="s">
        <v>3129</v>
      </c>
      <c r="B3216" s="2" t="s">
        <v>2363</v>
      </c>
      <c r="C3216" s="2">
        <v>6</v>
      </c>
      <c r="D3216" t="str">
        <f t="shared" si="50"/>
        <v>CA-2015-167374_OFF-PA-10001950</v>
      </c>
      <c r="E3216" t="str">
        <f>IF(COUNTIF(data1!$D:$D,D3216)=0,"Missing in Data1","Present")</f>
        <v>Present</v>
      </c>
    </row>
    <row r="3217" spans="1:5" x14ac:dyDescent="0.25">
      <c r="A3217" s="2" t="s">
        <v>3130</v>
      </c>
      <c r="B3217" s="2" t="s">
        <v>1359</v>
      </c>
      <c r="C3217" s="2">
        <v>3</v>
      </c>
      <c r="D3217" t="str">
        <f t="shared" si="50"/>
        <v>CA-2015-167479_OFF-PA-10002105</v>
      </c>
      <c r="E3217" t="str">
        <f>IF(COUNTIF(data1!$D:$D,D3217)=0,"Missing in Data1","Present")</f>
        <v>Present</v>
      </c>
    </row>
    <row r="3218" spans="1:5" x14ac:dyDescent="0.25">
      <c r="A3218" s="2" t="s">
        <v>3131</v>
      </c>
      <c r="B3218" s="2" t="s">
        <v>1493</v>
      </c>
      <c r="C3218" s="2">
        <v>4</v>
      </c>
      <c r="D3218" t="str">
        <f t="shared" si="50"/>
        <v>CA-2015-167696_OFF-EN-10001539</v>
      </c>
      <c r="E3218" t="str">
        <f>IF(COUNTIF(data1!$D:$D,D3218)=0,"Missing in Data1","Present")</f>
        <v>Present</v>
      </c>
    </row>
    <row r="3219" spans="1:5" x14ac:dyDescent="0.25">
      <c r="A3219" s="2" t="s">
        <v>3132</v>
      </c>
      <c r="B3219" s="2" t="s">
        <v>124</v>
      </c>
      <c r="C3219" s="2">
        <v>2</v>
      </c>
      <c r="D3219" t="str">
        <f t="shared" si="50"/>
        <v>CA-2015-167745_FUR-FU-10001591</v>
      </c>
      <c r="E3219" t="str">
        <f>IF(COUNTIF(data1!$D:$D,D3219)=0,"Missing in Data1","Present")</f>
        <v>Present</v>
      </c>
    </row>
    <row r="3220" spans="1:5" x14ac:dyDescent="0.25">
      <c r="A3220" s="2" t="s">
        <v>3132</v>
      </c>
      <c r="B3220" s="2" t="s">
        <v>2303</v>
      </c>
      <c r="C3220" s="2">
        <v>2</v>
      </c>
      <c r="D3220" t="str">
        <f t="shared" si="50"/>
        <v>CA-2015-167745_OFF-AR-10003602</v>
      </c>
      <c r="E3220" t="str">
        <f>IF(COUNTIF(data1!$D:$D,D3220)=0,"Missing in Data1","Present")</f>
        <v>Present</v>
      </c>
    </row>
    <row r="3221" spans="1:5" x14ac:dyDescent="0.25">
      <c r="A3221" s="2" t="s">
        <v>3132</v>
      </c>
      <c r="B3221" s="2" t="s">
        <v>3133</v>
      </c>
      <c r="C3221" s="2">
        <v>2</v>
      </c>
      <c r="D3221" t="str">
        <f t="shared" si="50"/>
        <v>CA-2015-167745_OFF-SU-10004782</v>
      </c>
      <c r="E3221" t="str">
        <f>IF(COUNTIF(data1!$D:$D,D3221)=0,"Missing in Data1","Present")</f>
        <v>Present</v>
      </c>
    </row>
    <row r="3222" spans="1:5" x14ac:dyDescent="0.25">
      <c r="A3222" s="2" t="s">
        <v>3134</v>
      </c>
      <c r="B3222" s="2" t="s">
        <v>1375</v>
      </c>
      <c r="C3222" s="2">
        <v>3</v>
      </c>
      <c r="D3222" t="str">
        <f t="shared" si="50"/>
        <v>CA-2015-168004_FUR-CH-10001482</v>
      </c>
      <c r="E3222" t="str">
        <f>IF(COUNTIF(data1!$D:$D,D3222)=0,"Missing in Data1","Present")</f>
        <v>Present</v>
      </c>
    </row>
    <row r="3223" spans="1:5" x14ac:dyDescent="0.25">
      <c r="A3223" s="2" t="s">
        <v>3135</v>
      </c>
      <c r="B3223" s="2" t="s">
        <v>427</v>
      </c>
      <c r="C3223" s="2">
        <v>4</v>
      </c>
      <c r="D3223" t="str">
        <f t="shared" si="50"/>
        <v>CA-2015-168088_FUR-BO-10004218</v>
      </c>
      <c r="E3223" t="str">
        <f>IF(COUNTIF(data1!$D:$D,D3223)=0,"Missing in Data1","Present")</f>
        <v>Present</v>
      </c>
    </row>
    <row r="3224" spans="1:5" x14ac:dyDescent="0.25">
      <c r="A3224" s="2" t="s">
        <v>3135</v>
      </c>
      <c r="B3224" s="2" t="s">
        <v>1670</v>
      </c>
      <c r="C3224" s="2">
        <v>2</v>
      </c>
      <c r="D3224" t="str">
        <f t="shared" si="50"/>
        <v>CA-2015-168088_OFF-PA-10000675</v>
      </c>
      <c r="E3224" t="str">
        <f>IF(COUNTIF(data1!$D:$D,D3224)=0,"Missing in Data1","Present")</f>
        <v>Present</v>
      </c>
    </row>
    <row r="3225" spans="1:5" x14ac:dyDescent="0.25">
      <c r="A3225" s="2" t="s">
        <v>3136</v>
      </c>
      <c r="B3225" s="2" t="s">
        <v>250</v>
      </c>
      <c r="C3225" s="2">
        <v>3</v>
      </c>
      <c r="D3225" t="str">
        <f t="shared" si="50"/>
        <v>CA-2015-168186_OFF-PA-10000477</v>
      </c>
      <c r="E3225" t="str">
        <f>IF(COUNTIF(data1!$D:$D,D3225)=0,"Missing in Data1","Present")</f>
        <v>Present</v>
      </c>
    </row>
    <row r="3226" spans="1:5" x14ac:dyDescent="0.25">
      <c r="A3226" s="2" t="s">
        <v>3137</v>
      </c>
      <c r="B3226" s="2" t="s">
        <v>1958</v>
      </c>
      <c r="C3226" s="2">
        <v>3</v>
      </c>
      <c r="D3226" t="str">
        <f t="shared" si="50"/>
        <v>CA-2015-168207_FUR-BO-10004357</v>
      </c>
      <c r="E3226" t="str">
        <f>IF(COUNTIF(data1!$D:$D,D3226)=0,"Missing in Data1","Present")</f>
        <v>Present</v>
      </c>
    </row>
    <row r="3227" spans="1:5" x14ac:dyDescent="0.25">
      <c r="A3227" s="2" t="s">
        <v>3137</v>
      </c>
      <c r="B3227" s="2" t="s">
        <v>3138</v>
      </c>
      <c r="C3227" s="2">
        <v>6</v>
      </c>
      <c r="D3227" t="str">
        <f t="shared" si="50"/>
        <v>CA-2015-168207_FUR-FU-10004909</v>
      </c>
      <c r="E3227" t="str">
        <f>IF(COUNTIF(data1!$D:$D,D3227)=0,"Missing in Data1","Present")</f>
        <v>Present</v>
      </c>
    </row>
    <row r="3228" spans="1:5" x14ac:dyDescent="0.25">
      <c r="A3228" s="2" t="s">
        <v>3137</v>
      </c>
      <c r="B3228" s="2" t="s">
        <v>1815</v>
      </c>
      <c r="C3228" s="2">
        <v>7</v>
      </c>
      <c r="D3228" t="str">
        <f t="shared" si="50"/>
        <v>CA-2015-168207_OFF-BI-10001524</v>
      </c>
      <c r="E3228" t="str">
        <f>IF(COUNTIF(data1!$D:$D,D3228)=0,"Missing in Data1","Present")</f>
        <v>Present</v>
      </c>
    </row>
    <row r="3229" spans="1:5" x14ac:dyDescent="0.25">
      <c r="A3229" s="2" t="s">
        <v>3137</v>
      </c>
      <c r="B3229" s="2" t="s">
        <v>1478</v>
      </c>
      <c r="C3229" s="2">
        <v>3</v>
      </c>
      <c r="D3229" t="str">
        <f t="shared" si="50"/>
        <v>CA-2015-168207_OFF-BI-10003355</v>
      </c>
      <c r="E3229" t="str">
        <f>IF(COUNTIF(data1!$D:$D,D3229)=0,"Missing in Data1","Present")</f>
        <v>Present</v>
      </c>
    </row>
    <row r="3230" spans="1:5" x14ac:dyDescent="0.25">
      <c r="A3230" s="2" t="s">
        <v>3139</v>
      </c>
      <c r="B3230" s="2" t="s">
        <v>1711</v>
      </c>
      <c r="C3230" s="2">
        <v>3</v>
      </c>
      <c r="D3230" t="str">
        <f t="shared" si="50"/>
        <v>CA-2015-168277_OFF-LA-10004484</v>
      </c>
      <c r="E3230" t="str">
        <f>IF(COUNTIF(data1!$D:$D,D3230)=0,"Missing in Data1","Present")</f>
        <v>Present</v>
      </c>
    </row>
    <row r="3231" spans="1:5" x14ac:dyDescent="0.25">
      <c r="A3231" s="2" t="s">
        <v>3140</v>
      </c>
      <c r="B3231" s="2" t="s">
        <v>688</v>
      </c>
      <c r="C3231" s="2">
        <v>2</v>
      </c>
      <c r="D3231" t="str">
        <f t="shared" si="50"/>
        <v>CA-2015-168459_OFF-BI-10003712</v>
      </c>
      <c r="E3231" t="str">
        <f>IF(COUNTIF(data1!$D:$D,D3231)=0,"Missing in Data1","Present")</f>
        <v>Present</v>
      </c>
    </row>
    <row r="3232" spans="1:5" x14ac:dyDescent="0.25">
      <c r="A3232" s="2" t="s">
        <v>3140</v>
      </c>
      <c r="B3232" s="2" t="s">
        <v>417</v>
      </c>
      <c r="C3232" s="2">
        <v>6</v>
      </c>
      <c r="D3232" t="str">
        <f t="shared" si="50"/>
        <v>CA-2015-168459_OFF-FA-10004854</v>
      </c>
      <c r="E3232" t="str">
        <f>IF(COUNTIF(data1!$D:$D,D3232)=0,"Missing in Data1","Present")</f>
        <v>Present</v>
      </c>
    </row>
    <row r="3233" spans="1:5" x14ac:dyDescent="0.25">
      <c r="A3233" s="2" t="s">
        <v>3141</v>
      </c>
      <c r="B3233" s="2" t="s">
        <v>1559</v>
      </c>
      <c r="C3233" s="2">
        <v>4</v>
      </c>
      <c r="D3233" t="str">
        <f t="shared" si="50"/>
        <v>CA-2015-168480_FUR-BO-10000468</v>
      </c>
      <c r="E3233" t="str">
        <f>IF(COUNTIF(data1!$D:$D,D3233)=0,"Missing in Data1","Present")</f>
        <v>Present</v>
      </c>
    </row>
    <row r="3234" spans="1:5" x14ac:dyDescent="0.25">
      <c r="A3234" s="2" t="s">
        <v>3141</v>
      </c>
      <c r="B3234" s="2" t="s">
        <v>1693</v>
      </c>
      <c r="C3234" s="2">
        <v>1</v>
      </c>
      <c r="D3234" t="str">
        <f t="shared" si="50"/>
        <v>CA-2015-168480_OFF-AR-10001044</v>
      </c>
      <c r="E3234" t="str">
        <f>IF(COUNTIF(data1!$D:$D,D3234)=0,"Missing in Data1","Present")</f>
        <v>Present</v>
      </c>
    </row>
    <row r="3235" spans="1:5" x14ac:dyDescent="0.25">
      <c r="A3235" s="2" t="s">
        <v>3142</v>
      </c>
      <c r="B3235" s="2" t="s">
        <v>678</v>
      </c>
      <c r="C3235" s="2">
        <v>5</v>
      </c>
      <c r="D3235" t="str">
        <f t="shared" si="50"/>
        <v>CA-2015-168529_FUR-FU-10001588</v>
      </c>
      <c r="E3235" t="str">
        <f>IF(COUNTIF(data1!$D:$D,D3235)=0,"Missing in Data1","Present")</f>
        <v>Present</v>
      </c>
    </row>
    <row r="3236" spans="1:5" x14ac:dyDescent="0.25">
      <c r="A3236" s="2" t="s">
        <v>3143</v>
      </c>
      <c r="B3236" s="2" t="s">
        <v>2213</v>
      </c>
      <c r="C3236" s="2">
        <v>1</v>
      </c>
      <c r="D3236" t="str">
        <f t="shared" si="50"/>
        <v>CA-2015-168564_FUR-CH-10000785</v>
      </c>
      <c r="E3236" t="str">
        <f>IF(COUNTIF(data1!$D:$D,D3236)=0,"Missing in Data1","Present")</f>
        <v>Present</v>
      </c>
    </row>
    <row r="3237" spans="1:5" x14ac:dyDescent="0.25">
      <c r="A3237" s="2" t="s">
        <v>3143</v>
      </c>
      <c r="B3237" s="2" t="s">
        <v>1825</v>
      </c>
      <c r="C3237" s="2">
        <v>2</v>
      </c>
      <c r="D3237" t="str">
        <f t="shared" si="50"/>
        <v>CA-2015-168564_OFF-BI-10002557</v>
      </c>
      <c r="E3237" t="str">
        <f>IF(COUNTIF(data1!$D:$D,D3237)=0,"Missing in Data1","Present")</f>
        <v>Present</v>
      </c>
    </row>
    <row r="3238" spans="1:5" x14ac:dyDescent="0.25">
      <c r="A3238" s="2" t="s">
        <v>3143</v>
      </c>
      <c r="B3238" s="2" t="s">
        <v>651</v>
      </c>
      <c r="C3238" s="2">
        <v>2</v>
      </c>
      <c r="D3238" t="str">
        <f t="shared" si="50"/>
        <v>CA-2015-168564_OFF-BI-10004970</v>
      </c>
      <c r="E3238" t="str">
        <f>IF(COUNTIF(data1!$D:$D,D3238)=0,"Missing in Data1","Present")</f>
        <v>Present</v>
      </c>
    </row>
    <row r="3239" spans="1:5" x14ac:dyDescent="0.25">
      <c r="A3239" s="2" t="s">
        <v>3144</v>
      </c>
      <c r="B3239" s="2" t="s">
        <v>1453</v>
      </c>
      <c r="C3239" s="2">
        <v>2</v>
      </c>
      <c r="D3239" t="str">
        <f t="shared" si="50"/>
        <v>CA-2015-168634_OFF-AP-10001626</v>
      </c>
      <c r="E3239" t="str">
        <f>IF(COUNTIF(data1!$D:$D,D3239)=0,"Missing in Data1","Present")</f>
        <v>Present</v>
      </c>
    </row>
    <row r="3240" spans="1:5" x14ac:dyDescent="0.25">
      <c r="A3240" s="2" t="s">
        <v>3145</v>
      </c>
      <c r="B3240" s="2" t="s">
        <v>665</v>
      </c>
      <c r="C3240" s="2">
        <v>2</v>
      </c>
      <c r="D3240" t="str">
        <f t="shared" si="50"/>
        <v>CA-2015-168746_FUR-CH-10000513</v>
      </c>
      <c r="E3240" t="str">
        <f>IF(COUNTIF(data1!$D:$D,D3240)=0,"Missing in Data1","Present")</f>
        <v>Present</v>
      </c>
    </row>
    <row r="3241" spans="1:5" x14ac:dyDescent="0.25">
      <c r="A3241" s="2" t="s">
        <v>3145</v>
      </c>
      <c r="B3241" s="2" t="s">
        <v>148</v>
      </c>
      <c r="C3241" s="2">
        <v>4</v>
      </c>
      <c r="D3241" t="str">
        <f t="shared" si="50"/>
        <v>CA-2015-168746_TEC-PH-10000895</v>
      </c>
      <c r="E3241" t="str">
        <f>IF(COUNTIF(data1!$D:$D,D3241)=0,"Missing in Data1","Present")</f>
        <v>Present</v>
      </c>
    </row>
    <row r="3242" spans="1:5" x14ac:dyDescent="0.25">
      <c r="A3242" s="2" t="s">
        <v>3145</v>
      </c>
      <c r="B3242" s="2" t="s">
        <v>3146</v>
      </c>
      <c r="C3242" s="2">
        <v>1</v>
      </c>
      <c r="D3242" t="str">
        <f t="shared" si="50"/>
        <v>CA-2015-168746_TEC-PH-10002555</v>
      </c>
      <c r="E3242" t="str">
        <f>IF(COUNTIF(data1!$D:$D,D3242)=0,"Missing in Data1","Present")</f>
        <v>Present</v>
      </c>
    </row>
    <row r="3243" spans="1:5" x14ac:dyDescent="0.25">
      <c r="A3243" s="2" t="s">
        <v>3147</v>
      </c>
      <c r="B3243" s="2" t="s">
        <v>3148</v>
      </c>
      <c r="C3243" s="2">
        <v>3</v>
      </c>
      <c r="D3243" t="str">
        <f t="shared" si="50"/>
        <v>CA-2015-168760_OFF-AP-10004532</v>
      </c>
      <c r="E3243" t="str">
        <f>IF(COUNTIF(data1!$D:$D,D3243)=0,"Missing in Data1","Present")</f>
        <v>Present</v>
      </c>
    </row>
    <row r="3244" spans="1:5" x14ac:dyDescent="0.25">
      <c r="A3244" s="2" t="s">
        <v>3149</v>
      </c>
      <c r="B3244" s="2" t="s">
        <v>1412</v>
      </c>
      <c r="C3244" s="2">
        <v>2</v>
      </c>
      <c r="D3244" t="str">
        <f t="shared" si="50"/>
        <v>CA-2015-168767_OFF-BI-10000773</v>
      </c>
      <c r="E3244" t="str">
        <f>IF(COUNTIF(data1!$D:$D,D3244)=0,"Missing in Data1","Present")</f>
        <v>Present</v>
      </c>
    </row>
    <row r="3245" spans="1:5" x14ac:dyDescent="0.25">
      <c r="A3245" s="2" t="s">
        <v>3150</v>
      </c>
      <c r="B3245" s="2" t="s">
        <v>1529</v>
      </c>
      <c r="C3245" s="2">
        <v>2</v>
      </c>
      <c r="D3245" t="str">
        <f t="shared" si="50"/>
        <v>CA-2015-168809_FUR-FU-10001473</v>
      </c>
      <c r="E3245" t="str">
        <f>IF(COUNTIF(data1!$D:$D,D3245)=0,"Missing in Data1","Present")</f>
        <v>Present</v>
      </c>
    </row>
    <row r="3246" spans="1:5" x14ac:dyDescent="0.25">
      <c r="A3246" s="2" t="s">
        <v>3150</v>
      </c>
      <c r="B3246" s="2" t="s">
        <v>2171</v>
      </c>
      <c r="C3246" s="2">
        <v>5</v>
      </c>
      <c r="D3246" t="str">
        <f t="shared" si="50"/>
        <v>CA-2015-168809_FUR-FU-10002240</v>
      </c>
      <c r="E3246" t="str">
        <f>IF(COUNTIF(data1!$D:$D,D3246)=0,"Missing in Data1","Present")</f>
        <v>Present</v>
      </c>
    </row>
    <row r="3247" spans="1:5" x14ac:dyDescent="0.25">
      <c r="A3247" s="2" t="s">
        <v>3150</v>
      </c>
      <c r="B3247" s="2" t="s">
        <v>1386</v>
      </c>
      <c r="C3247" s="2">
        <v>1</v>
      </c>
      <c r="D3247" t="str">
        <f t="shared" si="50"/>
        <v>CA-2015-168809_OFF-BI-10000315</v>
      </c>
      <c r="E3247" t="str">
        <f>IF(COUNTIF(data1!$D:$D,D3247)=0,"Missing in Data1","Present")</f>
        <v>Present</v>
      </c>
    </row>
    <row r="3248" spans="1:5" x14ac:dyDescent="0.25">
      <c r="A3248" s="2" t="s">
        <v>3151</v>
      </c>
      <c r="B3248" s="2" t="s">
        <v>1221</v>
      </c>
      <c r="C3248" s="2">
        <v>3</v>
      </c>
      <c r="D3248" t="str">
        <f t="shared" si="50"/>
        <v>CA-2015-169201_OFF-AP-10000696</v>
      </c>
      <c r="E3248" t="str">
        <f>IF(COUNTIF(data1!$D:$D,D3248)=0,"Missing in Data1","Present")</f>
        <v>Present</v>
      </c>
    </row>
    <row r="3249" spans="1:5" x14ac:dyDescent="0.25">
      <c r="A3249" s="2" t="s">
        <v>3151</v>
      </c>
      <c r="B3249" s="2" t="s">
        <v>3152</v>
      </c>
      <c r="C3249" s="2">
        <v>2</v>
      </c>
      <c r="D3249" t="str">
        <f t="shared" si="50"/>
        <v>CA-2015-169201_OFF-AP-10002082</v>
      </c>
      <c r="E3249" t="str">
        <f>IF(COUNTIF(data1!$D:$D,D3249)=0,"Missing in Data1","Present")</f>
        <v>Present</v>
      </c>
    </row>
    <row r="3250" spans="1:5" x14ac:dyDescent="0.25">
      <c r="A3250" s="2" t="s">
        <v>3153</v>
      </c>
      <c r="B3250" s="2" t="s">
        <v>951</v>
      </c>
      <c r="C3250" s="2">
        <v>4</v>
      </c>
      <c r="D3250" t="str">
        <f t="shared" si="50"/>
        <v>CA-2015-169278_OFF-BI-10001636</v>
      </c>
      <c r="E3250" t="str">
        <f>IF(COUNTIF(data1!$D:$D,D3250)=0,"Missing in Data1","Present")</f>
        <v>Present</v>
      </c>
    </row>
    <row r="3251" spans="1:5" x14ac:dyDescent="0.25">
      <c r="A3251" s="2" t="s">
        <v>3154</v>
      </c>
      <c r="B3251" s="2" t="s">
        <v>882</v>
      </c>
      <c r="C3251" s="2">
        <v>3</v>
      </c>
      <c r="D3251" t="str">
        <f t="shared" si="50"/>
        <v>CA-2015-169299_OFF-AR-10002053</v>
      </c>
      <c r="E3251" t="str">
        <f>IF(COUNTIF(data1!$D:$D,D3251)=0,"Missing in Data1","Present")</f>
        <v>Present</v>
      </c>
    </row>
    <row r="3252" spans="1:5" x14ac:dyDescent="0.25">
      <c r="A3252" s="2" t="s">
        <v>3155</v>
      </c>
      <c r="B3252" s="2" t="s">
        <v>1899</v>
      </c>
      <c r="C3252" s="2">
        <v>4</v>
      </c>
      <c r="D3252" t="str">
        <f t="shared" si="50"/>
        <v>CA-2015-169397_FUR-FU-10000087</v>
      </c>
      <c r="E3252" t="str">
        <f>IF(COUNTIF(data1!$D:$D,D3252)=0,"Missing in Data1","Present")</f>
        <v>Present</v>
      </c>
    </row>
    <row r="3253" spans="1:5" x14ac:dyDescent="0.25">
      <c r="A3253" s="2" t="s">
        <v>3155</v>
      </c>
      <c r="B3253" s="2" t="s">
        <v>3156</v>
      </c>
      <c r="C3253" s="2">
        <v>2</v>
      </c>
      <c r="D3253" t="str">
        <f t="shared" si="50"/>
        <v>CA-2015-169397_OFF-AR-10001958</v>
      </c>
      <c r="E3253" t="str">
        <f>IF(COUNTIF(data1!$D:$D,D3253)=0,"Missing in Data1","Present")</f>
        <v>Present</v>
      </c>
    </row>
    <row r="3254" spans="1:5" x14ac:dyDescent="0.25">
      <c r="A3254" s="2" t="s">
        <v>3155</v>
      </c>
      <c r="B3254" s="2" t="s">
        <v>685</v>
      </c>
      <c r="C3254" s="2">
        <v>2</v>
      </c>
      <c r="D3254" t="str">
        <f t="shared" si="50"/>
        <v>CA-2015-169397_OFF-FA-10000585</v>
      </c>
      <c r="E3254" t="str">
        <f>IF(COUNTIF(data1!$D:$D,D3254)=0,"Missing in Data1","Present")</f>
        <v>Present</v>
      </c>
    </row>
    <row r="3255" spans="1:5" x14ac:dyDescent="0.25">
      <c r="A3255" s="2" t="s">
        <v>3155</v>
      </c>
      <c r="B3255" s="2" t="s">
        <v>1811</v>
      </c>
      <c r="C3255" s="2">
        <v>6</v>
      </c>
      <c r="D3255" t="str">
        <f t="shared" si="50"/>
        <v>CA-2015-169397_OFF-PA-10004000</v>
      </c>
      <c r="E3255" t="str">
        <f>IF(COUNTIF(data1!$D:$D,D3255)=0,"Missing in Data1","Present")</f>
        <v>Present</v>
      </c>
    </row>
    <row r="3256" spans="1:5" x14ac:dyDescent="0.25">
      <c r="A3256" s="2" t="s">
        <v>3155</v>
      </c>
      <c r="B3256" s="2" t="s">
        <v>3157</v>
      </c>
      <c r="C3256" s="2">
        <v>4</v>
      </c>
      <c r="D3256" t="str">
        <f t="shared" si="50"/>
        <v>CA-2015-169397_TEC-MA-10001148</v>
      </c>
      <c r="E3256" t="str">
        <f>IF(COUNTIF(data1!$D:$D,D3256)=0,"Missing in Data1","Present")</f>
        <v>Present</v>
      </c>
    </row>
    <row r="3257" spans="1:5" x14ac:dyDescent="0.25">
      <c r="A3257" s="2" t="s">
        <v>3158</v>
      </c>
      <c r="B3257" s="2" t="s">
        <v>27</v>
      </c>
      <c r="C3257" s="2">
        <v>2</v>
      </c>
      <c r="D3257" t="str">
        <f t="shared" si="50"/>
        <v>CA-2015-169537_OFF-LA-10001982</v>
      </c>
      <c r="E3257" t="str">
        <f>IF(COUNTIF(data1!$D:$D,D3257)=0,"Missing in Data1","Present")</f>
        <v>Present</v>
      </c>
    </row>
    <row r="3258" spans="1:5" x14ac:dyDescent="0.25">
      <c r="A3258" s="2" t="s">
        <v>3159</v>
      </c>
      <c r="B3258" s="2" t="s">
        <v>256</v>
      </c>
      <c r="C3258" s="2">
        <v>9</v>
      </c>
      <c r="D3258" t="str">
        <f t="shared" si="50"/>
        <v>CA-2015-169572_OFF-BI-10002799</v>
      </c>
      <c r="E3258" t="str">
        <f>IF(COUNTIF(data1!$D:$D,D3258)=0,"Missing in Data1","Present")</f>
        <v>Present</v>
      </c>
    </row>
    <row r="3259" spans="1:5" x14ac:dyDescent="0.25">
      <c r="A3259" s="2" t="s">
        <v>3160</v>
      </c>
      <c r="B3259" s="2" t="s">
        <v>2294</v>
      </c>
      <c r="C3259" s="2">
        <v>3</v>
      </c>
      <c r="D3259" t="str">
        <f t="shared" si="50"/>
        <v>CA-2015-169656_OFF-ST-10003816</v>
      </c>
      <c r="E3259" t="str">
        <f>IF(COUNTIF(data1!$D:$D,D3259)=0,"Missing in Data1","Present")</f>
        <v>Present</v>
      </c>
    </row>
    <row r="3260" spans="1:5" x14ac:dyDescent="0.25">
      <c r="A3260" s="2" t="s">
        <v>3161</v>
      </c>
      <c r="B3260" s="2" t="s">
        <v>443</v>
      </c>
      <c r="C3260" s="2">
        <v>2</v>
      </c>
      <c r="D3260" t="str">
        <f t="shared" si="50"/>
        <v>CA-2015-169677_OFF-LA-10003223</v>
      </c>
      <c r="E3260" t="str">
        <f>IF(COUNTIF(data1!$D:$D,D3260)=0,"Missing in Data1","Present")</f>
        <v>Present</v>
      </c>
    </row>
    <row r="3261" spans="1:5" x14ac:dyDescent="0.25">
      <c r="A3261" s="2" t="s">
        <v>3162</v>
      </c>
      <c r="B3261" s="2" t="s">
        <v>381</v>
      </c>
      <c r="C3261" s="2">
        <v>1</v>
      </c>
      <c r="D3261" t="str">
        <f t="shared" si="50"/>
        <v>CA-2015-169733_OFF-ST-10000876</v>
      </c>
      <c r="E3261" t="str">
        <f>IF(COUNTIF(data1!$D:$D,D3261)=0,"Missing in Data1","Present")</f>
        <v>Present</v>
      </c>
    </row>
    <row r="3262" spans="1:5" x14ac:dyDescent="0.25">
      <c r="A3262" s="2" t="s">
        <v>3163</v>
      </c>
      <c r="B3262" s="2" t="s">
        <v>3164</v>
      </c>
      <c r="C3262" s="2">
        <v>1</v>
      </c>
      <c r="D3262" t="str">
        <f t="shared" si="50"/>
        <v>CA-2015-169740_TEC-AC-10000927</v>
      </c>
      <c r="E3262" t="str">
        <f>IF(COUNTIF(data1!$D:$D,D3262)=0,"Missing in Data1","Present")</f>
        <v>Present</v>
      </c>
    </row>
    <row r="3263" spans="1:5" x14ac:dyDescent="0.25">
      <c r="A3263" s="2" t="s">
        <v>3165</v>
      </c>
      <c r="B3263" s="2" t="s">
        <v>6768</v>
      </c>
      <c r="C3263" s="2">
        <v>2</v>
      </c>
      <c r="D3263" t="str">
        <f t="shared" si="50"/>
        <v>CA-2015-169796_TEC-MA-10000045</v>
      </c>
      <c r="E3263" t="str">
        <f>IF(COUNTIF(data1!$D:$D,D3263)=0,"Missing in Data1","Present")</f>
        <v>Missing in Data1</v>
      </c>
    </row>
    <row r="3264" spans="1:5" x14ac:dyDescent="0.25">
      <c r="A3264" s="2" t="s">
        <v>3166</v>
      </c>
      <c r="B3264" s="2" t="s">
        <v>9</v>
      </c>
      <c r="C3264" s="2">
        <v>1</v>
      </c>
      <c r="D3264" t="str">
        <f t="shared" si="50"/>
        <v>CA-2016-100041_OFF-BI-10000343</v>
      </c>
      <c r="E3264" t="str">
        <f>IF(COUNTIF(data1!$D:$D,D3264)=0,"Missing in Data1","Present")</f>
        <v>Present</v>
      </c>
    </row>
    <row r="3265" spans="1:5" x14ac:dyDescent="0.25">
      <c r="A3265" s="2" t="s">
        <v>3166</v>
      </c>
      <c r="B3265" s="2" t="s">
        <v>1243</v>
      </c>
      <c r="C3265" s="2">
        <v>3</v>
      </c>
      <c r="D3265" t="str">
        <f t="shared" si="50"/>
        <v>CA-2016-100041_OFF-PA-10000418</v>
      </c>
      <c r="E3265" t="str">
        <f>IF(COUNTIF(data1!$D:$D,D3265)=0,"Missing in Data1","Present")</f>
        <v>Present</v>
      </c>
    </row>
    <row r="3266" spans="1:5" x14ac:dyDescent="0.25">
      <c r="A3266" s="2" t="s">
        <v>3166</v>
      </c>
      <c r="B3266" s="2" t="s">
        <v>144</v>
      </c>
      <c r="C3266" s="2">
        <v>2</v>
      </c>
      <c r="D3266" t="str">
        <f t="shared" si="50"/>
        <v>CA-2016-100041_OFF-PA-10001622</v>
      </c>
      <c r="E3266" t="str">
        <f>IF(COUNTIF(data1!$D:$D,D3266)=0,"Missing in Data1","Present")</f>
        <v>Present</v>
      </c>
    </row>
    <row r="3267" spans="1:5" x14ac:dyDescent="0.25">
      <c r="A3267" s="2" t="s">
        <v>3167</v>
      </c>
      <c r="B3267" s="2" t="s">
        <v>3168</v>
      </c>
      <c r="C3267" s="2">
        <v>1</v>
      </c>
      <c r="D3267" t="str">
        <f t="shared" ref="D3267:D3330" si="51">A3267&amp;"_"&amp;B3267</f>
        <v>CA-2016-100083_OFF-PA-10000241</v>
      </c>
      <c r="E3267" t="str">
        <f>IF(COUNTIF(data1!$D:$D,D3267)=0,"Missing in Data1","Present")</f>
        <v>Present</v>
      </c>
    </row>
    <row r="3268" spans="1:5" x14ac:dyDescent="0.25">
      <c r="A3268" s="2" t="s">
        <v>3169</v>
      </c>
      <c r="B3268" s="2" t="s">
        <v>1779</v>
      </c>
      <c r="C3268" s="2">
        <v>4</v>
      </c>
      <c r="D3268" t="str">
        <f t="shared" si="51"/>
        <v>CA-2016-100153_TEC-AC-10001772</v>
      </c>
      <c r="E3268" t="str">
        <f>IF(COUNTIF(data1!$D:$D,D3268)=0,"Missing in Data1","Present")</f>
        <v>Present</v>
      </c>
    </row>
    <row r="3269" spans="1:5" x14ac:dyDescent="0.25">
      <c r="A3269" s="2" t="s">
        <v>3170</v>
      </c>
      <c r="B3269" s="2" t="s">
        <v>3171</v>
      </c>
      <c r="C3269" s="2">
        <v>4</v>
      </c>
      <c r="D3269" t="str">
        <f t="shared" si="51"/>
        <v>CA-2016-100244_OFF-AR-10000940</v>
      </c>
      <c r="E3269" t="str">
        <f>IF(COUNTIF(data1!$D:$D,D3269)=0,"Missing in Data1","Present")</f>
        <v>Present</v>
      </c>
    </row>
    <row r="3270" spans="1:5" x14ac:dyDescent="0.25">
      <c r="A3270" s="2" t="s">
        <v>3170</v>
      </c>
      <c r="B3270" s="2" t="s">
        <v>859</v>
      </c>
      <c r="C3270" s="2">
        <v>2</v>
      </c>
      <c r="D3270" t="str">
        <f t="shared" si="51"/>
        <v>CA-2016-100244_OFF-BI-10000977</v>
      </c>
      <c r="E3270" t="str">
        <f>IF(COUNTIF(data1!$D:$D,D3270)=0,"Missing in Data1","Present")</f>
        <v>Present</v>
      </c>
    </row>
    <row r="3271" spans="1:5" x14ac:dyDescent="0.25">
      <c r="A3271" s="2" t="s">
        <v>3170</v>
      </c>
      <c r="B3271" s="2" t="s">
        <v>702</v>
      </c>
      <c r="C3271" s="2">
        <v>2</v>
      </c>
      <c r="D3271" t="str">
        <f t="shared" si="51"/>
        <v>CA-2016-100244_OFF-BI-10003656</v>
      </c>
      <c r="E3271" t="str">
        <f>IF(COUNTIF(data1!$D:$D,D3271)=0,"Missing in Data1","Present")</f>
        <v>Present</v>
      </c>
    </row>
    <row r="3272" spans="1:5" x14ac:dyDescent="0.25">
      <c r="A3272" s="2" t="s">
        <v>3170</v>
      </c>
      <c r="B3272" s="2" t="s">
        <v>14</v>
      </c>
      <c r="C3272" s="2">
        <v>9</v>
      </c>
      <c r="D3272" t="str">
        <f t="shared" si="51"/>
        <v>CA-2016-100244_OFF-PA-10001471</v>
      </c>
      <c r="E3272" t="str">
        <f>IF(COUNTIF(data1!$D:$D,D3272)=0,"Missing in Data1","Present")</f>
        <v>Present</v>
      </c>
    </row>
    <row r="3273" spans="1:5" x14ac:dyDescent="0.25">
      <c r="A3273" s="2" t="s">
        <v>3170</v>
      </c>
      <c r="B3273" s="2" t="s">
        <v>1284</v>
      </c>
      <c r="C3273" s="2">
        <v>2</v>
      </c>
      <c r="D3273" t="str">
        <f t="shared" si="51"/>
        <v>CA-2016-100244_OFF-PA-10002319</v>
      </c>
      <c r="E3273" t="str">
        <f>IF(COUNTIF(data1!$D:$D,D3273)=0,"Missing in Data1","Present")</f>
        <v>Present</v>
      </c>
    </row>
    <row r="3274" spans="1:5" x14ac:dyDescent="0.25">
      <c r="A3274" s="2" t="s">
        <v>3172</v>
      </c>
      <c r="B3274" s="2" t="s">
        <v>1243</v>
      </c>
      <c r="C3274" s="2">
        <v>1</v>
      </c>
      <c r="D3274" t="str">
        <f t="shared" si="51"/>
        <v>CA-2016-100300_OFF-PA-10000418</v>
      </c>
      <c r="E3274" t="str">
        <f>IF(COUNTIF(data1!$D:$D,D3274)=0,"Missing in Data1","Present")</f>
        <v>Missing in Data1</v>
      </c>
    </row>
    <row r="3275" spans="1:5" x14ac:dyDescent="0.25">
      <c r="A3275" s="2" t="s">
        <v>3172</v>
      </c>
      <c r="B3275" s="2" t="s">
        <v>3174</v>
      </c>
      <c r="C3275" s="2">
        <v>4</v>
      </c>
      <c r="D3275" t="str">
        <f t="shared" si="51"/>
        <v>CA-2016-100300_TEC-MA-10000984</v>
      </c>
      <c r="E3275" t="str">
        <f>IF(COUNTIF(data1!$D:$D,D3275)=0,"Missing in Data1","Present")</f>
        <v>Present</v>
      </c>
    </row>
    <row r="3276" spans="1:5" x14ac:dyDescent="0.25">
      <c r="A3276" s="2" t="s">
        <v>3175</v>
      </c>
      <c r="B3276" s="2" t="s">
        <v>3176</v>
      </c>
      <c r="C3276" s="2">
        <v>3</v>
      </c>
      <c r="D3276" t="str">
        <f t="shared" si="51"/>
        <v>CA-2016-100307_OFF-PA-10002552</v>
      </c>
      <c r="E3276" t="str">
        <f>IF(COUNTIF(data1!$D:$D,D3276)=0,"Missing in Data1","Present")</f>
        <v>Present</v>
      </c>
    </row>
    <row r="3277" spans="1:5" x14ac:dyDescent="0.25">
      <c r="A3277" s="2" t="s">
        <v>3177</v>
      </c>
      <c r="B3277" s="2" t="s">
        <v>856</v>
      </c>
      <c r="C3277" s="2">
        <v>2</v>
      </c>
      <c r="D3277" t="str">
        <f t="shared" si="51"/>
        <v>CA-2016-100468_FUR-FU-10000010</v>
      </c>
      <c r="E3277" t="str">
        <f>IF(COUNTIF(data1!$D:$D,D3277)=0,"Missing in Data1","Present")</f>
        <v>Present</v>
      </c>
    </row>
    <row r="3278" spans="1:5" x14ac:dyDescent="0.25">
      <c r="A3278" s="2" t="s">
        <v>3177</v>
      </c>
      <c r="B3278" s="2" t="s">
        <v>3178</v>
      </c>
      <c r="C3278" s="2">
        <v>2</v>
      </c>
      <c r="D3278" t="str">
        <f t="shared" si="51"/>
        <v>CA-2016-100468_TEC-PH-10001300</v>
      </c>
      <c r="E3278" t="str">
        <f>IF(COUNTIF(data1!$D:$D,D3278)=0,"Missing in Data1","Present")</f>
        <v>Present</v>
      </c>
    </row>
    <row r="3279" spans="1:5" x14ac:dyDescent="0.25">
      <c r="A3279" s="2" t="s">
        <v>3179</v>
      </c>
      <c r="B3279" s="2" t="s">
        <v>331</v>
      </c>
      <c r="C3279" s="2">
        <v>3</v>
      </c>
      <c r="D3279" t="str">
        <f t="shared" si="51"/>
        <v>CA-2016-100510_FUR-FU-10000320</v>
      </c>
      <c r="E3279" t="str">
        <f>IF(COUNTIF(data1!$D:$D,D3279)=0,"Missing in Data1","Present")</f>
        <v>Present</v>
      </c>
    </row>
    <row r="3280" spans="1:5" x14ac:dyDescent="0.25">
      <c r="A3280" s="2" t="s">
        <v>3179</v>
      </c>
      <c r="B3280" s="2" t="s">
        <v>1169</v>
      </c>
      <c r="C3280" s="2">
        <v>4</v>
      </c>
      <c r="D3280" t="str">
        <f t="shared" si="51"/>
        <v>CA-2016-100510_TEC-PH-10001835</v>
      </c>
      <c r="E3280" t="str">
        <f>IF(COUNTIF(data1!$D:$D,D3280)=0,"Missing in Data1","Present")</f>
        <v>Present</v>
      </c>
    </row>
    <row r="3281" spans="1:5" x14ac:dyDescent="0.25">
      <c r="A3281" s="2" t="s">
        <v>3180</v>
      </c>
      <c r="B3281" s="2" t="s">
        <v>1446</v>
      </c>
      <c r="C3281" s="2">
        <v>1</v>
      </c>
      <c r="D3281" t="str">
        <f t="shared" si="51"/>
        <v>CA-2016-100587_OFF-PA-10004609</v>
      </c>
      <c r="E3281" t="str">
        <f>IF(COUNTIF(data1!$D:$D,D3281)=0,"Missing in Data1","Present")</f>
        <v>Present</v>
      </c>
    </row>
    <row r="3282" spans="1:5" x14ac:dyDescent="0.25">
      <c r="A3282" s="2" t="s">
        <v>3182</v>
      </c>
      <c r="B3282" s="2" t="s">
        <v>298</v>
      </c>
      <c r="C3282" s="2">
        <v>5</v>
      </c>
      <c r="D3282" t="str">
        <f t="shared" si="51"/>
        <v>CA-2016-100790_OFF-AR-10003045</v>
      </c>
      <c r="E3282" t="str">
        <f>IF(COUNTIF(data1!$D:$D,D3282)=0,"Missing in Data1","Present")</f>
        <v>Present</v>
      </c>
    </row>
    <row r="3283" spans="1:5" x14ac:dyDescent="0.25">
      <c r="A3283" s="2" t="s">
        <v>3182</v>
      </c>
      <c r="B3283" s="2" t="s">
        <v>1235</v>
      </c>
      <c r="C3283" s="2">
        <v>5</v>
      </c>
      <c r="D3283" t="str">
        <f t="shared" si="51"/>
        <v>CA-2016-100790_OFF-ST-10000689</v>
      </c>
      <c r="E3283" t="str">
        <f>IF(COUNTIF(data1!$D:$D,D3283)=0,"Missing in Data1","Present")</f>
        <v>Present</v>
      </c>
    </row>
    <row r="3284" spans="1:5" x14ac:dyDescent="0.25">
      <c r="A3284" s="2" t="s">
        <v>3183</v>
      </c>
      <c r="B3284" s="2" t="s">
        <v>221</v>
      </c>
      <c r="C3284" s="2">
        <v>5</v>
      </c>
      <c r="D3284" t="str">
        <f t="shared" si="51"/>
        <v>CA-2016-100944_FUR-CH-10000988</v>
      </c>
      <c r="E3284" t="str">
        <f>IF(COUNTIF(data1!$D:$D,D3284)=0,"Missing in Data1","Present")</f>
        <v>Present</v>
      </c>
    </row>
    <row r="3285" spans="1:5" x14ac:dyDescent="0.25">
      <c r="A3285" s="2" t="s">
        <v>3183</v>
      </c>
      <c r="B3285" s="2" t="s">
        <v>452</v>
      </c>
      <c r="C3285" s="2">
        <v>5</v>
      </c>
      <c r="D3285" t="str">
        <f t="shared" si="51"/>
        <v>CA-2016-100944_OFF-EN-10001453</v>
      </c>
      <c r="E3285" t="str">
        <f>IF(COUNTIF(data1!$D:$D,D3285)=0,"Missing in Data1","Present")</f>
        <v>Present</v>
      </c>
    </row>
    <row r="3286" spans="1:5" x14ac:dyDescent="0.25">
      <c r="A3286" s="2" t="s">
        <v>3184</v>
      </c>
      <c r="B3286" s="2" t="s">
        <v>2933</v>
      </c>
      <c r="C3286" s="2">
        <v>5</v>
      </c>
      <c r="D3286" t="str">
        <f t="shared" si="51"/>
        <v>CA-2016-100965_FUR-FU-10003039</v>
      </c>
      <c r="E3286" t="str">
        <f>IF(COUNTIF(data1!$D:$D,D3286)=0,"Missing in Data1","Present")</f>
        <v>Present</v>
      </c>
    </row>
    <row r="3287" spans="1:5" x14ac:dyDescent="0.25">
      <c r="A3287" s="2" t="s">
        <v>3185</v>
      </c>
      <c r="B3287" s="2" t="s">
        <v>2635</v>
      </c>
      <c r="C3287" s="2">
        <v>4</v>
      </c>
      <c r="D3287" t="str">
        <f t="shared" si="51"/>
        <v>CA-2016-100993_FUR-TA-10001095</v>
      </c>
      <c r="E3287" t="str">
        <f>IF(COUNTIF(data1!$D:$D,D3287)=0,"Missing in Data1","Present")</f>
        <v>Present</v>
      </c>
    </row>
    <row r="3288" spans="1:5" x14ac:dyDescent="0.25">
      <c r="A3288" s="2" t="s">
        <v>3185</v>
      </c>
      <c r="B3288" s="2" t="s">
        <v>443</v>
      </c>
      <c r="C3288" s="2">
        <v>3</v>
      </c>
      <c r="D3288" t="str">
        <f t="shared" si="51"/>
        <v>CA-2016-100993_OFF-LA-10003223</v>
      </c>
      <c r="E3288" t="str">
        <f>IF(COUNTIF(data1!$D:$D,D3288)=0,"Missing in Data1","Present")</f>
        <v>Present</v>
      </c>
    </row>
    <row r="3289" spans="1:5" x14ac:dyDescent="0.25">
      <c r="A3289" s="2" t="s">
        <v>3185</v>
      </c>
      <c r="B3289" s="2" t="s">
        <v>1360</v>
      </c>
      <c r="C3289" s="2">
        <v>3</v>
      </c>
      <c r="D3289" t="str">
        <f t="shared" si="51"/>
        <v>CA-2016-100993_OFF-ST-10004340</v>
      </c>
      <c r="E3289" t="str">
        <f>IF(COUNTIF(data1!$D:$D,D3289)=0,"Missing in Data1","Present")</f>
        <v>Present</v>
      </c>
    </row>
    <row r="3290" spans="1:5" x14ac:dyDescent="0.25">
      <c r="A3290" s="2" t="s">
        <v>3185</v>
      </c>
      <c r="B3290" s="2" t="s">
        <v>3186</v>
      </c>
      <c r="C3290" s="2">
        <v>4</v>
      </c>
      <c r="D3290" t="str">
        <f t="shared" si="51"/>
        <v>CA-2016-100993_TEC-PH-10001448</v>
      </c>
      <c r="E3290" t="str">
        <f>IF(COUNTIF(data1!$D:$D,D3290)=0,"Missing in Data1","Present")</f>
        <v>Present</v>
      </c>
    </row>
    <row r="3291" spans="1:5" x14ac:dyDescent="0.25">
      <c r="A3291" s="2" t="s">
        <v>3187</v>
      </c>
      <c r="B3291" s="2" t="s">
        <v>2746</v>
      </c>
      <c r="C3291" s="2">
        <v>3</v>
      </c>
      <c r="D3291" t="str">
        <f t="shared" si="51"/>
        <v>CA-2016-101161_FUR-FU-10003535</v>
      </c>
      <c r="E3291" t="str">
        <f>IF(COUNTIF(data1!$D:$D,D3291)=0,"Missing in Data1","Present")</f>
        <v>Present</v>
      </c>
    </row>
    <row r="3292" spans="1:5" x14ac:dyDescent="0.25">
      <c r="A3292" s="2" t="s">
        <v>3187</v>
      </c>
      <c r="B3292" s="2" t="s">
        <v>3188</v>
      </c>
      <c r="C3292" s="2">
        <v>5</v>
      </c>
      <c r="D3292" t="str">
        <f t="shared" si="51"/>
        <v>CA-2016-101161_OFF-AR-10001860</v>
      </c>
      <c r="E3292" t="str">
        <f>IF(COUNTIF(data1!$D:$D,D3292)=0,"Missing in Data1","Present")</f>
        <v>Present</v>
      </c>
    </row>
    <row r="3293" spans="1:5" x14ac:dyDescent="0.25">
      <c r="A3293" s="2" t="s">
        <v>3187</v>
      </c>
      <c r="B3293" s="2" t="s">
        <v>1593</v>
      </c>
      <c r="C3293" s="2">
        <v>5</v>
      </c>
      <c r="D3293" t="str">
        <f t="shared" si="51"/>
        <v>CA-2016-101161_OFF-LA-10000407</v>
      </c>
      <c r="E3293" t="str">
        <f>IF(COUNTIF(data1!$D:$D,D3293)=0,"Missing in Data1","Present")</f>
        <v>Present</v>
      </c>
    </row>
    <row r="3294" spans="1:5" x14ac:dyDescent="0.25">
      <c r="A3294" s="2" t="s">
        <v>3187</v>
      </c>
      <c r="B3294" s="2" t="s">
        <v>1506</v>
      </c>
      <c r="C3294" s="2">
        <v>2</v>
      </c>
      <c r="D3294" t="str">
        <f t="shared" si="51"/>
        <v>CA-2016-101161_OFF-PA-10001295</v>
      </c>
      <c r="E3294" t="str">
        <f>IF(COUNTIF(data1!$D:$D,D3294)=0,"Missing in Data1","Present")</f>
        <v>Present</v>
      </c>
    </row>
    <row r="3295" spans="1:5" x14ac:dyDescent="0.25">
      <c r="A3295" s="2" t="s">
        <v>3187</v>
      </c>
      <c r="B3295" s="2" t="s">
        <v>1465</v>
      </c>
      <c r="C3295" s="2">
        <v>3</v>
      </c>
      <c r="D3295" t="str">
        <f t="shared" si="51"/>
        <v>CA-2016-101161_OFF-ST-10003123</v>
      </c>
      <c r="E3295" t="str">
        <f>IF(COUNTIF(data1!$D:$D,D3295)=0,"Missing in Data1","Present")</f>
        <v>Present</v>
      </c>
    </row>
    <row r="3296" spans="1:5" x14ac:dyDescent="0.25">
      <c r="A3296" s="2" t="s">
        <v>3189</v>
      </c>
      <c r="B3296" s="2" t="s">
        <v>2724</v>
      </c>
      <c r="C3296" s="2">
        <v>4</v>
      </c>
      <c r="D3296" t="str">
        <f t="shared" si="51"/>
        <v>CA-2016-101168_FUR-FU-10003142</v>
      </c>
      <c r="E3296" t="str">
        <f>IF(COUNTIF(data1!$D:$D,D3296)=0,"Missing in Data1","Present")</f>
        <v>Present</v>
      </c>
    </row>
    <row r="3297" spans="1:5" x14ac:dyDescent="0.25">
      <c r="A3297" s="2" t="s">
        <v>3190</v>
      </c>
      <c r="B3297" s="2" t="s">
        <v>3191</v>
      </c>
      <c r="C3297" s="2">
        <v>2</v>
      </c>
      <c r="D3297" t="str">
        <f t="shared" si="51"/>
        <v>CA-2016-101189_OFF-ST-10004180</v>
      </c>
      <c r="E3297" t="str">
        <f>IF(COUNTIF(data1!$D:$D,D3297)=0,"Missing in Data1","Present")</f>
        <v>Present</v>
      </c>
    </row>
    <row r="3298" spans="1:5" x14ac:dyDescent="0.25">
      <c r="A3298" s="2" t="s">
        <v>3192</v>
      </c>
      <c r="B3298" s="2" t="s">
        <v>598</v>
      </c>
      <c r="C3298" s="2">
        <v>1</v>
      </c>
      <c r="D3298" t="str">
        <f t="shared" si="51"/>
        <v>CA-2016-101329_OFF-AR-10003190</v>
      </c>
      <c r="E3298" t="str">
        <f>IF(COUNTIF(data1!$D:$D,D3298)=0,"Missing in Data1","Present")</f>
        <v>Present</v>
      </c>
    </row>
    <row r="3299" spans="1:5" x14ac:dyDescent="0.25">
      <c r="A3299" s="2" t="s">
        <v>3193</v>
      </c>
      <c r="B3299" s="2" t="s">
        <v>2183</v>
      </c>
      <c r="C3299" s="2">
        <v>5</v>
      </c>
      <c r="D3299" t="str">
        <f t="shared" si="51"/>
        <v>CA-2016-101336_OFF-AR-10003582</v>
      </c>
      <c r="E3299" t="str">
        <f>IF(COUNTIF(data1!$D:$D,D3299)=0,"Missing in Data1","Present")</f>
        <v>Present</v>
      </c>
    </row>
    <row r="3300" spans="1:5" x14ac:dyDescent="0.25">
      <c r="A3300" s="2" t="s">
        <v>3193</v>
      </c>
      <c r="B3300" s="2" t="s">
        <v>381</v>
      </c>
      <c r="C3300" s="2">
        <v>2</v>
      </c>
      <c r="D3300" t="str">
        <f t="shared" si="51"/>
        <v>CA-2016-101336_OFF-ST-10000876</v>
      </c>
      <c r="E3300" t="str">
        <f>IF(COUNTIF(data1!$D:$D,D3300)=0,"Missing in Data1","Present")</f>
        <v>Present</v>
      </c>
    </row>
    <row r="3301" spans="1:5" x14ac:dyDescent="0.25">
      <c r="A3301" s="2" t="s">
        <v>3193</v>
      </c>
      <c r="B3301" s="2" t="s">
        <v>1433</v>
      </c>
      <c r="C3301" s="2">
        <v>5</v>
      </c>
      <c r="D3301" t="str">
        <f t="shared" si="51"/>
        <v>CA-2016-101336_OFF-ST-10003455</v>
      </c>
      <c r="E3301" t="str">
        <f>IF(COUNTIF(data1!$D:$D,D3301)=0,"Missing in Data1","Present")</f>
        <v>Present</v>
      </c>
    </row>
    <row r="3302" spans="1:5" x14ac:dyDescent="0.25">
      <c r="A3302" s="2" t="s">
        <v>3193</v>
      </c>
      <c r="B3302" s="2" t="s">
        <v>178</v>
      </c>
      <c r="C3302" s="2">
        <v>3</v>
      </c>
      <c r="D3302" t="str">
        <f t="shared" si="51"/>
        <v>CA-2016-101336_OFF-ST-10004258</v>
      </c>
      <c r="E3302" t="str">
        <f>IF(COUNTIF(data1!$D:$D,D3302)=0,"Missing in Data1","Present")</f>
        <v>Present</v>
      </c>
    </row>
    <row r="3303" spans="1:5" x14ac:dyDescent="0.25">
      <c r="A3303" s="2" t="s">
        <v>3194</v>
      </c>
      <c r="B3303" s="2" t="s">
        <v>39</v>
      </c>
      <c r="C3303" s="2">
        <v>2</v>
      </c>
      <c r="D3303" t="str">
        <f t="shared" si="51"/>
        <v>CA-2016-101343_OFF-ST-10003479</v>
      </c>
      <c r="E3303" t="str">
        <f>IF(COUNTIF(data1!$D:$D,D3303)=0,"Missing in Data1","Present")</f>
        <v>Present</v>
      </c>
    </row>
    <row r="3304" spans="1:5" x14ac:dyDescent="0.25">
      <c r="A3304" s="2" t="s">
        <v>3195</v>
      </c>
      <c r="B3304" s="2" t="s">
        <v>1587</v>
      </c>
      <c r="C3304" s="2">
        <v>2</v>
      </c>
      <c r="D3304" t="str">
        <f t="shared" si="51"/>
        <v>CA-2016-101378_TEC-AC-10002345</v>
      </c>
      <c r="E3304" t="str">
        <f>IF(COUNTIF(data1!$D:$D,D3304)=0,"Missing in Data1","Present")</f>
        <v>Present</v>
      </c>
    </row>
    <row r="3305" spans="1:5" x14ac:dyDescent="0.25">
      <c r="A3305" s="2" t="s">
        <v>3196</v>
      </c>
      <c r="B3305" s="2" t="s">
        <v>1190</v>
      </c>
      <c r="C3305" s="2">
        <v>4</v>
      </c>
      <c r="D3305" t="str">
        <f t="shared" si="51"/>
        <v>CA-2016-101385_OFF-AR-10004441</v>
      </c>
      <c r="E3305" t="str">
        <f>IF(COUNTIF(data1!$D:$D,D3305)=0,"Missing in Data1","Present")</f>
        <v>Present</v>
      </c>
    </row>
    <row r="3306" spans="1:5" x14ac:dyDescent="0.25">
      <c r="A3306" s="2" t="s">
        <v>3197</v>
      </c>
      <c r="B3306" s="2" t="s">
        <v>1709</v>
      </c>
      <c r="C3306" s="2">
        <v>3</v>
      </c>
      <c r="D3306" t="str">
        <f t="shared" si="51"/>
        <v>CA-2016-101448_OFF-BI-10004738</v>
      </c>
      <c r="E3306" t="str">
        <f>IF(COUNTIF(data1!$D:$D,D3306)=0,"Missing in Data1","Present")</f>
        <v>Present</v>
      </c>
    </row>
    <row r="3307" spans="1:5" x14ac:dyDescent="0.25">
      <c r="A3307" s="2" t="s">
        <v>3198</v>
      </c>
      <c r="B3307" s="2" t="s">
        <v>3199</v>
      </c>
      <c r="C3307" s="2">
        <v>2</v>
      </c>
      <c r="D3307" t="str">
        <f t="shared" si="51"/>
        <v>CA-2016-101469_OFF-AR-10003986</v>
      </c>
      <c r="E3307" t="str">
        <f>IF(COUNTIF(data1!$D:$D,D3307)=0,"Missing in Data1","Present")</f>
        <v>Present</v>
      </c>
    </row>
    <row r="3308" spans="1:5" x14ac:dyDescent="0.25">
      <c r="A3308" s="2" t="s">
        <v>3200</v>
      </c>
      <c r="B3308" s="2" t="s">
        <v>286</v>
      </c>
      <c r="C3308" s="2">
        <v>2</v>
      </c>
      <c r="D3308" t="str">
        <f t="shared" si="51"/>
        <v>CA-2016-101525_OFF-AR-10000716</v>
      </c>
      <c r="E3308" t="str">
        <f>IF(COUNTIF(data1!$D:$D,D3308)=0,"Missing in Data1","Present")</f>
        <v>Present</v>
      </c>
    </row>
    <row r="3309" spans="1:5" x14ac:dyDescent="0.25">
      <c r="A3309" s="2" t="s">
        <v>3200</v>
      </c>
      <c r="B3309" s="2" t="s">
        <v>2880</v>
      </c>
      <c r="C3309" s="2">
        <v>2</v>
      </c>
      <c r="D3309" t="str">
        <f t="shared" si="51"/>
        <v>CA-2016-101525_OFF-PA-10001497</v>
      </c>
      <c r="E3309" t="str">
        <f>IF(COUNTIF(data1!$D:$D,D3309)=0,"Missing in Data1","Present")</f>
        <v>Present</v>
      </c>
    </row>
    <row r="3310" spans="1:5" x14ac:dyDescent="0.25">
      <c r="A3310" s="2" t="s">
        <v>3200</v>
      </c>
      <c r="B3310" s="2" t="s">
        <v>385</v>
      </c>
      <c r="C3310" s="2">
        <v>3</v>
      </c>
      <c r="D3310" t="str">
        <f t="shared" si="51"/>
        <v>CA-2016-101525_OFF-PA-10003936</v>
      </c>
      <c r="E3310" t="str">
        <f>IF(COUNTIF(data1!$D:$D,D3310)=0,"Missing in Data1","Present")</f>
        <v>Present</v>
      </c>
    </row>
    <row r="3311" spans="1:5" x14ac:dyDescent="0.25">
      <c r="A3311" s="2" t="s">
        <v>3201</v>
      </c>
      <c r="B3311" s="2" t="s">
        <v>502</v>
      </c>
      <c r="C3311" s="2">
        <v>2</v>
      </c>
      <c r="D3311" t="str">
        <f t="shared" si="51"/>
        <v>CA-2016-101546_OFF-BI-10001359</v>
      </c>
      <c r="E3311" t="str">
        <f>IF(COUNTIF(data1!$D:$D,D3311)=0,"Missing in Data1","Present")</f>
        <v>Present</v>
      </c>
    </row>
    <row r="3312" spans="1:5" x14ac:dyDescent="0.25">
      <c r="A3312" s="2" t="s">
        <v>3202</v>
      </c>
      <c r="B3312" s="2" t="s">
        <v>1499</v>
      </c>
      <c r="C3312" s="2">
        <v>6</v>
      </c>
      <c r="D3312" t="str">
        <f t="shared" si="51"/>
        <v>CA-2016-101623_OFF-FA-10003495</v>
      </c>
      <c r="E3312" t="str">
        <f>IF(COUNTIF(data1!$D:$D,D3312)=0,"Missing in Data1","Present")</f>
        <v>Present</v>
      </c>
    </row>
    <row r="3313" spans="1:5" x14ac:dyDescent="0.25">
      <c r="A3313" s="2" t="s">
        <v>3203</v>
      </c>
      <c r="B3313" s="2" t="s">
        <v>153</v>
      </c>
      <c r="C3313" s="2">
        <v>3</v>
      </c>
      <c r="D3313" t="str">
        <f t="shared" si="51"/>
        <v>CA-2016-101630_OFF-LA-10004425</v>
      </c>
      <c r="E3313" t="str">
        <f>IF(COUNTIF(data1!$D:$D,D3313)=0,"Missing in Data1","Present")</f>
        <v>Missing in Data1</v>
      </c>
    </row>
    <row r="3314" spans="1:5" x14ac:dyDescent="0.25">
      <c r="A3314" s="2" t="s">
        <v>3203</v>
      </c>
      <c r="B3314" s="2" t="s">
        <v>1352</v>
      </c>
      <c r="C3314" s="2">
        <v>3</v>
      </c>
      <c r="D3314" t="str">
        <f t="shared" si="51"/>
        <v>CA-2016-101630_OFF-SU-10001664</v>
      </c>
      <c r="E3314" t="str">
        <f>IF(COUNTIF(data1!$D:$D,D3314)=0,"Missing in Data1","Present")</f>
        <v>Present</v>
      </c>
    </row>
    <row r="3315" spans="1:5" x14ac:dyDescent="0.25">
      <c r="A3315" s="2" t="s">
        <v>3204</v>
      </c>
      <c r="B3315" s="2" t="s">
        <v>176</v>
      </c>
      <c r="C3315" s="2">
        <v>7</v>
      </c>
      <c r="D3315" t="str">
        <f t="shared" si="51"/>
        <v>CA-2016-101651_FUR-FU-10000771</v>
      </c>
      <c r="E3315" t="str">
        <f>IF(COUNTIF(data1!$D:$D,D3315)=0,"Missing in Data1","Present")</f>
        <v>Present</v>
      </c>
    </row>
    <row r="3316" spans="1:5" x14ac:dyDescent="0.25">
      <c r="A3316" s="2" t="s">
        <v>3204</v>
      </c>
      <c r="B3316" s="2" t="s">
        <v>281</v>
      </c>
      <c r="C3316" s="2">
        <v>7</v>
      </c>
      <c r="D3316" t="str">
        <f t="shared" si="51"/>
        <v>CA-2016-101651_OFF-EN-10001990</v>
      </c>
      <c r="E3316" t="str">
        <f>IF(COUNTIF(data1!$D:$D,D3316)=0,"Missing in Data1","Present")</f>
        <v>Present</v>
      </c>
    </row>
    <row r="3317" spans="1:5" x14ac:dyDescent="0.25">
      <c r="A3317" s="2" t="s">
        <v>3205</v>
      </c>
      <c r="B3317" s="2" t="s">
        <v>181</v>
      </c>
      <c r="C3317" s="2">
        <v>4</v>
      </c>
      <c r="D3317" t="str">
        <f t="shared" si="51"/>
        <v>CA-2016-101672_FUR-CH-10004063</v>
      </c>
      <c r="E3317" t="str">
        <f>IF(COUNTIF(data1!$D:$D,D3317)=0,"Missing in Data1","Present")</f>
        <v>Present</v>
      </c>
    </row>
    <row r="3318" spans="1:5" x14ac:dyDescent="0.25">
      <c r="A3318" s="2" t="s">
        <v>3205</v>
      </c>
      <c r="B3318" s="2" t="s">
        <v>671</v>
      </c>
      <c r="C3318" s="2">
        <v>2</v>
      </c>
      <c r="D3318" t="str">
        <f t="shared" si="51"/>
        <v>CA-2016-101672_OFF-LA-10002271</v>
      </c>
      <c r="E3318" t="str">
        <f>IF(COUNTIF(data1!$D:$D,D3318)=0,"Missing in Data1","Present")</f>
        <v>Present</v>
      </c>
    </row>
    <row r="3319" spans="1:5" x14ac:dyDescent="0.25">
      <c r="A3319" s="2" t="s">
        <v>3205</v>
      </c>
      <c r="B3319" s="2" t="s">
        <v>425</v>
      </c>
      <c r="C3319" s="2">
        <v>2</v>
      </c>
      <c r="D3319" t="str">
        <f t="shared" si="51"/>
        <v>CA-2016-101672_OFF-PA-10001878</v>
      </c>
      <c r="E3319" t="str">
        <f>IF(COUNTIF(data1!$D:$D,D3319)=0,"Missing in Data1","Present")</f>
        <v>Present</v>
      </c>
    </row>
    <row r="3320" spans="1:5" x14ac:dyDescent="0.25">
      <c r="A3320" s="2" t="s">
        <v>3205</v>
      </c>
      <c r="B3320" s="2" t="s">
        <v>837</v>
      </c>
      <c r="C3320" s="2">
        <v>2</v>
      </c>
      <c r="D3320" t="str">
        <f t="shared" si="51"/>
        <v>CA-2016-101672_OFF-PA-10004610</v>
      </c>
      <c r="E3320" t="str">
        <f>IF(COUNTIF(data1!$D:$D,D3320)=0,"Missing in Data1","Present")</f>
        <v>Present</v>
      </c>
    </row>
    <row r="3321" spans="1:5" x14ac:dyDescent="0.25">
      <c r="A3321" s="2" t="s">
        <v>3206</v>
      </c>
      <c r="B3321" s="2" t="s">
        <v>370</v>
      </c>
      <c r="C3321" s="2">
        <v>2</v>
      </c>
      <c r="D3321" t="str">
        <f t="shared" si="51"/>
        <v>CA-2016-101693_FUR-CH-10001146</v>
      </c>
      <c r="E3321" t="str">
        <f>IF(COUNTIF(data1!$D:$D,D3321)=0,"Missing in Data1","Present")</f>
        <v>Present</v>
      </c>
    </row>
    <row r="3322" spans="1:5" x14ac:dyDescent="0.25">
      <c r="A3322" s="2" t="s">
        <v>3206</v>
      </c>
      <c r="B3322" s="2" t="s">
        <v>3207</v>
      </c>
      <c r="C3322" s="2">
        <v>2</v>
      </c>
      <c r="D3322" t="str">
        <f t="shared" si="51"/>
        <v>CA-2016-101693_FUR-FU-10003919</v>
      </c>
      <c r="E3322" t="str">
        <f>IF(COUNTIF(data1!$D:$D,D3322)=0,"Missing in Data1","Present")</f>
        <v>Present</v>
      </c>
    </row>
    <row r="3323" spans="1:5" x14ac:dyDescent="0.25">
      <c r="A3323" s="2" t="s">
        <v>3208</v>
      </c>
      <c r="B3323" s="2" t="s">
        <v>1655</v>
      </c>
      <c r="C3323" s="2">
        <v>7</v>
      </c>
      <c r="D3323" t="str">
        <f t="shared" si="51"/>
        <v>CA-2016-101742_OFF-BI-10004187</v>
      </c>
      <c r="E3323" t="str">
        <f>IF(COUNTIF(data1!$D:$D,D3323)=0,"Missing in Data1","Present")</f>
        <v>Present</v>
      </c>
    </row>
    <row r="3324" spans="1:5" x14ac:dyDescent="0.25">
      <c r="A3324" s="2" t="s">
        <v>3209</v>
      </c>
      <c r="B3324" s="2" t="s">
        <v>1452</v>
      </c>
      <c r="C3324" s="2">
        <v>2</v>
      </c>
      <c r="D3324" t="str">
        <f t="shared" si="51"/>
        <v>CA-2016-101791_FUR-FU-10002191</v>
      </c>
      <c r="E3324" t="str">
        <f>IF(COUNTIF(data1!$D:$D,D3324)=0,"Missing in Data1","Present")</f>
        <v>Present</v>
      </c>
    </row>
    <row r="3325" spans="1:5" x14ac:dyDescent="0.25">
      <c r="A3325" s="2" t="s">
        <v>3209</v>
      </c>
      <c r="B3325" s="2" t="s">
        <v>258</v>
      </c>
      <c r="C3325" s="2">
        <v>9</v>
      </c>
      <c r="D3325" t="str">
        <f t="shared" si="51"/>
        <v>CA-2016-101791_OFF-ST-10001496</v>
      </c>
      <c r="E3325" t="str">
        <f>IF(COUNTIF(data1!$D:$D,D3325)=0,"Missing in Data1","Present")</f>
        <v>Present</v>
      </c>
    </row>
    <row r="3326" spans="1:5" x14ac:dyDescent="0.25">
      <c r="A3326" s="2" t="s">
        <v>3210</v>
      </c>
      <c r="B3326" s="2" t="s">
        <v>2553</v>
      </c>
      <c r="C3326" s="2">
        <v>1</v>
      </c>
      <c r="D3326" t="str">
        <f t="shared" si="51"/>
        <v>CA-2016-101938_OFF-AR-10003696</v>
      </c>
      <c r="E3326" t="str">
        <f>IF(COUNTIF(data1!$D:$D,D3326)=0,"Missing in Data1","Present")</f>
        <v>Present</v>
      </c>
    </row>
    <row r="3327" spans="1:5" x14ac:dyDescent="0.25">
      <c r="A3327" s="2" t="s">
        <v>3211</v>
      </c>
      <c r="B3327" s="2" t="s">
        <v>3212</v>
      </c>
      <c r="C3327" s="2">
        <v>7</v>
      </c>
      <c r="D3327" t="str">
        <f t="shared" si="51"/>
        <v>CA-2016-101966_TEC-PH-10003437</v>
      </c>
      <c r="E3327" t="str">
        <f>IF(COUNTIF(data1!$D:$D,D3327)=0,"Missing in Data1","Present")</f>
        <v>Present</v>
      </c>
    </row>
    <row r="3328" spans="1:5" x14ac:dyDescent="0.25">
      <c r="A3328" s="2" t="s">
        <v>3213</v>
      </c>
      <c r="B3328" s="2" t="s">
        <v>687</v>
      </c>
      <c r="C3328" s="2">
        <v>6</v>
      </c>
      <c r="D3328" t="str">
        <f t="shared" si="51"/>
        <v>CA-2016-101980_OFF-BI-10000666</v>
      </c>
      <c r="E3328" t="str">
        <f>IF(COUNTIF(data1!$D:$D,D3328)=0,"Missing in Data1","Present")</f>
        <v>Present</v>
      </c>
    </row>
    <row r="3329" spans="1:5" x14ac:dyDescent="0.25">
      <c r="A3329" s="2" t="s">
        <v>3213</v>
      </c>
      <c r="B3329" s="2" t="s">
        <v>891</v>
      </c>
      <c r="C3329" s="2">
        <v>5</v>
      </c>
      <c r="D3329" t="str">
        <f t="shared" si="51"/>
        <v>CA-2016-101980_OFF-BI-10003429</v>
      </c>
      <c r="E3329" t="str">
        <f>IF(COUNTIF(data1!$D:$D,D3329)=0,"Missing in Data1","Present")</f>
        <v>Present</v>
      </c>
    </row>
    <row r="3330" spans="1:5" x14ac:dyDescent="0.25">
      <c r="A3330" s="2" t="s">
        <v>3213</v>
      </c>
      <c r="B3330" s="2" t="s">
        <v>3214</v>
      </c>
      <c r="C3330" s="2">
        <v>2</v>
      </c>
      <c r="D3330" t="str">
        <f t="shared" si="51"/>
        <v>CA-2016-101980_OFF-BI-10004318</v>
      </c>
      <c r="E3330" t="str">
        <f>IF(COUNTIF(data1!$D:$D,D3330)=0,"Missing in Data1","Present")</f>
        <v>Present</v>
      </c>
    </row>
    <row r="3331" spans="1:5" x14ac:dyDescent="0.25">
      <c r="A3331" s="2" t="s">
        <v>3215</v>
      </c>
      <c r="B3331" s="2" t="s">
        <v>1527</v>
      </c>
      <c r="C3331" s="2">
        <v>9</v>
      </c>
      <c r="D3331" t="str">
        <f t="shared" ref="D3331:D3394" si="52">A3331&amp;"_"&amp;B3331</f>
        <v>CA-2016-101987_TEC-PH-10001305</v>
      </c>
      <c r="E3331" t="str">
        <f>IF(COUNTIF(data1!$D:$D,D3331)=0,"Missing in Data1","Present")</f>
        <v>Present</v>
      </c>
    </row>
    <row r="3332" spans="1:5" x14ac:dyDescent="0.25">
      <c r="A3332" s="2" t="s">
        <v>3216</v>
      </c>
      <c r="B3332" s="2" t="s">
        <v>1996</v>
      </c>
      <c r="C3332" s="2">
        <v>7</v>
      </c>
      <c r="D3332" t="str">
        <f t="shared" si="52"/>
        <v>CA-2016-102092_FUR-TA-10002530</v>
      </c>
      <c r="E3332" t="str">
        <f>IF(COUNTIF(data1!$D:$D,D3332)=0,"Missing in Data1","Present")</f>
        <v>Present</v>
      </c>
    </row>
    <row r="3333" spans="1:5" x14ac:dyDescent="0.25">
      <c r="A3333" s="2" t="s">
        <v>3217</v>
      </c>
      <c r="B3333" s="2" t="s">
        <v>3218</v>
      </c>
      <c r="C3333" s="2">
        <v>3</v>
      </c>
      <c r="D3333" t="str">
        <f t="shared" si="52"/>
        <v>CA-2016-102127_FUR-FU-10003976</v>
      </c>
      <c r="E3333" t="str">
        <f>IF(COUNTIF(data1!$D:$D,D3333)=0,"Missing in Data1","Present")</f>
        <v>Present</v>
      </c>
    </row>
    <row r="3334" spans="1:5" x14ac:dyDescent="0.25">
      <c r="A3334" s="2" t="s">
        <v>3217</v>
      </c>
      <c r="B3334" s="2" t="s">
        <v>2781</v>
      </c>
      <c r="C3334" s="2">
        <v>4</v>
      </c>
      <c r="D3334" t="str">
        <f t="shared" si="52"/>
        <v>CA-2016-102127_TEC-AC-10000397</v>
      </c>
      <c r="E3334" t="str">
        <f>IF(COUNTIF(data1!$D:$D,D3334)=0,"Missing in Data1","Present")</f>
        <v>Present</v>
      </c>
    </row>
    <row r="3335" spans="1:5" x14ac:dyDescent="0.25">
      <c r="A3335" s="2" t="s">
        <v>3217</v>
      </c>
      <c r="B3335" s="2" t="s">
        <v>2124</v>
      </c>
      <c r="C3335" s="2">
        <v>3</v>
      </c>
      <c r="D3335" t="str">
        <f t="shared" si="52"/>
        <v>CA-2016-102127_TEC-AC-10002018</v>
      </c>
      <c r="E3335" t="str">
        <f>IF(COUNTIF(data1!$D:$D,D3335)=0,"Missing in Data1","Present")</f>
        <v>Present</v>
      </c>
    </row>
    <row r="3336" spans="1:5" x14ac:dyDescent="0.25">
      <c r="A3336" s="2" t="s">
        <v>3219</v>
      </c>
      <c r="B3336" s="2" t="s">
        <v>1290</v>
      </c>
      <c r="C3336" s="2">
        <v>2</v>
      </c>
      <c r="D3336" t="str">
        <f t="shared" si="52"/>
        <v>CA-2016-102134_FUR-FU-10003724</v>
      </c>
      <c r="E3336" t="str">
        <f>IF(COUNTIF(data1!$D:$D,D3336)=0,"Missing in Data1","Present")</f>
        <v>Present</v>
      </c>
    </row>
    <row r="3337" spans="1:5" x14ac:dyDescent="0.25">
      <c r="A3337" s="2" t="s">
        <v>3220</v>
      </c>
      <c r="B3337" s="2" t="s">
        <v>3221</v>
      </c>
      <c r="C3337" s="2">
        <v>1</v>
      </c>
      <c r="D3337" t="str">
        <f t="shared" si="52"/>
        <v>CA-2016-102162_OFF-EN-10002312</v>
      </c>
      <c r="E3337" t="str">
        <f>IF(COUNTIF(data1!$D:$D,D3337)=0,"Missing in Data1","Present")</f>
        <v>Present</v>
      </c>
    </row>
    <row r="3338" spans="1:5" x14ac:dyDescent="0.25">
      <c r="A3338" s="2" t="s">
        <v>3220</v>
      </c>
      <c r="B3338" s="2" t="s">
        <v>2030</v>
      </c>
      <c r="C3338" s="2">
        <v>8</v>
      </c>
      <c r="D3338" t="str">
        <f t="shared" si="52"/>
        <v>CA-2016-102162_TEC-CO-10001943</v>
      </c>
      <c r="E3338" t="str">
        <f>IF(COUNTIF(data1!$D:$D,D3338)=0,"Missing in Data1","Present")</f>
        <v>Present</v>
      </c>
    </row>
    <row r="3339" spans="1:5" x14ac:dyDescent="0.25">
      <c r="A3339" s="2" t="s">
        <v>3222</v>
      </c>
      <c r="B3339" s="2" t="s">
        <v>662</v>
      </c>
      <c r="C3339" s="2">
        <v>3</v>
      </c>
      <c r="D3339" t="str">
        <f t="shared" si="52"/>
        <v>CA-2016-102456_OFF-AP-10004336</v>
      </c>
      <c r="E3339" t="str">
        <f>IF(COUNTIF(data1!$D:$D,D3339)=0,"Missing in Data1","Present")</f>
        <v>Present</v>
      </c>
    </row>
    <row r="3340" spans="1:5" x14ac:dyDescent="0.25">
      <c r="A3340" s="2" t="s">
        <v>3223</v>
      </c>
      <c r="B3340" s="2" t="s">
        <v>1788</v>
      </c>
      <c r="C3340" s="2">
        <v>5</v>
      </c>
      <c r="D3340" t="str">
        <f t="shared" si="52"/>
        <v>CA-2016-102498_OFF-AR-10004456</v>
      </c>
      <c r="E3340" t="str">
        <f>IF(COUNTIF(data1!$D:$D,D3340)=0,"Missing in Data1","Present")</f>
        <v>Present</v>
      </c>
    </row>
    <row r="3341" spans="1:5" x14ac:dyDescent="0.25">
      <c r="A3341" s="2" t="s">
        <v>3224</v>
      </c>
      <c r="B3341" s="2" t="s">
        <v>1945</v>
      </c>
      <c r="C3341" s="2">
        <v>8</v>
      </c>
      <c r="D3341" t="str">
        <f t="shared" si="52"/>
        <v>CA-2016-102561_OFF-AR-10001545</v>
      </c>
      <c r="E3341" t="str">
        <f>IF(COUNTIF(data1!$D:$D,D3341)=0,"Missing in Data1","Present")</f>
        <v>Present</v>
      </c>
    </row>
    <row r="3342" spans="1:5" x14ac:dyDescent="0.25">
      <c r="A3342" s="2" t="s">
        <v>3224</v>
      </c>
      <c r="B3342" s="2" t="s">
        <v>2528</v>
      </c>
      <c r="C3342" s="2">
        <v>4</v>
      </c>
      <c r="D3342" t="str">
        <f t="shared" si="52"/>
        <v>CA-2016-102561_OFF-PA-10004971</v>
      </c>
      <c r="E3342" t="str">
        <f>IF(COUNTIF(data1!$D:$D,D3342)=0,"Missing in Data1","Present")</f>
        <v>Present</v>
      </c>
    </row>
    <row r="3343" spans="1:5" x14ac:dyDescent="0.25">
      <c r="A3343" s="2" t="s">
        <v>3224</v>
      </c>
      <c r="B3343" s="2" t="s">
        <v>2565</v>
      </c>
      <c r="C3343" s="2">
        <v>10</v>
      </c>
      <c r="D3343" t="str">
        <f t="shared" si="52"/>
        <v>CA-2016-102561_OFF-ST-10001476</v>
      </c>
      <c r="E3343" t="str">
        <f>IF(COUNTIF(data1!$D:$D,D3343)=0,"Missing in Data1","Present")</f>
        <v>Present</v>
      </c>
    </row>
    <row r="3344" spans="1:5" x14ac:dyDescent="0.25">
      <c r="A3344" s="2" t="s">
        <v>3225</v>
      </c>
      <c r="B3344" s="2" t="s">
        <v>993</v>
      </c>
      <c r="C3344" s="2">
        <v>6</v>
      </c>
      <c r="D3344" t="str">
        <f t="shared" si="52"/>
        <v>CA-2016-102596_OFF-FA-10000621</v>
      </c>
      <c r="E3344" t="str">
        <f>IF(COUNTIF(data1!$D:$D,D3344)=0,"Missing in Data1","Present")</f>
        <v>Present</v>
      </c>
    </row>
    <row r="3345" spans="1:5" x14ac:dyDescent="0.25">
      <c r="A3345" s="2" t="s">
        <v>3226</v>
      </c>
      <c r="B3345" s="2" t="s">
        <v>58</v>
      </c>
      <c r="C3345" s="2">
        <v>3</v>
      </c>
      <c r="D3345" t="str">
        <f t="shared" si="52"/>
        <v>CA-2016-102792_OFF-AR-10004757</v>
      </c>
      <c r="E3345" t="str">
        <f>IF(COUNTIF(data1!$D:$D,D3345)=0,"Missing in Data1","Present")</f>
        <v>Present</v>
      </c>
    </row>
    <row r="3346" spans="1:5" x14ac:dyDescent="0.25">
      <c r="A3346" s="2" t="s">
        <v>3227</v>
      </c>
      <c r="B3346" s="2" t="s">
        <v>2884</v>
      </c>
      <c r="C3346" s="2">
        <v>5</v>
      </c>
      <c r="D3346" t="str">
        <f t="shared" si="52"/>
        <v>CA-2016-102813_FUR-CH-10000665</v>
      </c>
      <c r="E3346" t="str">
        <f>IF(COUNTIF(data1!$D:$D,D3346)=0,"Missing in Data1","Present")</f>
        <v>Present</v>
      </c>
    </row>
    <row r="3347" spans="1:5" x14ac:dyDescent="0.25">
      <c r="A3347" s="2" t="s">
        <v>3227</v>
      </c>
      <c r="B3347" s="2" t="s">
        <v>3228</v>
      </c>
      <c r="C3347" s="2">
        <v>8</v>
      </c>
      <c r="D3347" t="str">
        <f t="shared" si="52"/>
        <v>CA-2016-102813_OFF-PA-10000520</v>
      </c>
      <c r="E3347" t="str">
        <f>IF(COUNTIF(data1!$D:$D,D3347)=0,"Missing in Data1","Present")</f>
        <v>Present</v>
      </c>
    </row>
    <row r="3348" spans="1:5" x14ac:dyDescent="0.25">
      <c r="A3348" s="2" t="s">
        <v>3229</v>
      </c>
      <c r="B3348" s="2" t="s">
        <v>1651</v>
      </c>
      <c r="C3348" s="2">
        <v>6</v>
      </c>
      <c r="D3348" t="str">
        <f t="shared" si="52"/>
        <v>CA-2016-102932_OFF-BI-10000756</v>
      </c>
      <c r="E3348" t="str">
        <f>IF(COUNTIF(data1!$D:$D,D3348)=0,"Missing in Data1","Present")</f>
        <v>Present</v>
      </c>
    </row>
    <row r="3349" spans="1:5" x14ac:dyDescent="0.25">
      <c r="A3349" s="2" t="s">
        <v>3229</v>
      </c>
      <c r="B3349" s="2" t="s">
        <v>1822</v>
      </c>
      <c r="C3349" s="2">
        <v>3</v>
      </c>
      <c r="D3349" t="str">
        <f t="shared" si="52"/>
        <v>CA-2016-102932_OFF-SU-10000381</v>
      </c>
      <c r="E3349" t="str">
        <f>IF(COUNTIF(data1!$D:$D,D3349)=0,"Missing in Data1","Present")</f>
        <v>Present</v>
      </c>
    </row>
    <row r="3350" spans="1:5" x14ac:dyDescent="0.25">
      <c r="A3350" s="2" t="s">
        <v>3230</v>
      </c>
      <c r="B3350" s="2" t="s">
        <v>2465</v>
      </c>
      <c r="C3350" s="2">
        <v>3</v>
      </c>
      <c r="D3350" t="str">
        <f t="shared" si="52"/>
        <v>CA-2016-102981_FUR-BO-10001811</v>
      </c>
      <c r="E3350" t="str">
        <f>IF(COUNTIF(data1!$D:$D,D3350)=0,"Missing in Data1","Present")</f>
        <v>Present</v>
      </c>
    </row>
    <row r="3351" spans="1:5" x14ac:dyDescent="0.25">
      <c r="A3351" s="2" t="s">
        <v>3231</v>
      </c>
      <c r="B3351" s="2" t="s">
        <v>3232</v>
      </c>
      <c r="C3351" s="2">
        <v>4</v>
      </c>
      <c r="D3351" t="str">
        <f t="shared" si="52"/>
        <v>CA-2016-103037_OFF-LA-10004345</v>
      </c>
      <c r="E3351" t="str">
        <f>IF(COUNTIF(data1!$D:$D,D3351)=0,"Missing in Data1","Present")</f>
        <v>Present</v>
      </c>
    </row>
    <row r="3352" spans="1:5" x14ac:dyDescent="0.25">
      <c r="A3352" s="2" t="s">
        <v>3233</v>
      </c>
      <c r="B3352" s="2" t="s">
        <v>339</v>
      </c>
      <c r="C3352" s="2">
        <v>5</v>
      </c>
      <c r="D3352" t="str">
        <f t="shared" si="52"/>
        <v>CA-2016-103107_FUR-FU-10000221</v>
      </c>
      <c r="E3352" t="str">
        <f>IF(COUNTIF(data1!$D:$D,D3352)=0,"Missing in Data1","Present")</f>
        <v>Present</v>
      </c>
    </row>
    <row r="3353" spans="1:5" x14ac:dyDescent="0.25">
      <c r="A3353" s="2" t="s">
        <v>3233</v>
      </c>
      <c r="B3353" s="2" t="s">
        <v>2968</v>
      </c>
      <c r="C3353" s="2">
        <v>3</v>
      </c>
      <c r="D3353" t="str">
        <f t="shared" si="52"/>
        <v>CA-2016-103107_TEC-PH-10001198</v>
      </c>
      <c r="E3353" t="str">
        <f>IF(COUNTIF(data1!$D:$D,D3353)=0,"Missing in Data1","Present")</f>
        <v>Present</v>
      </c>
    </row>
    <row r="3354" spans="1:5" x14ac:dyDescent="0.25">
      <c r="A3354" s="2" t="s">
        <v>3233</v>
      </c>
      <c r="B3354" s="2" t="s">
        <v>2159</v>
      </c>
      <c r="C3354" s="2">
        <v>3</v>
      </c>
      <c r="D3354" t="str">
        <f t="shared" si="52"/>
        <v>CA-2016-103107_TEC-PH-10002564</v>
      </c>
      <c r="E3354" t="str">
        <f>IF(COUNTIF(data1!$D:$D,D3354)=0,"Missing in Data1","Present")</f>
        <v>Present</v>
      </c>
    </row>
    <row r="3355" spans="1:5" x14ac:dyDescent="0.25">
      <c r="A3355" s="2" t="s">
        <v>3234</v>
      </c>
      <c r="B3355" s="2" t="s">
        <v>1047</v>
      </c>
      <c r="C3355" s="2">
        <v>6</v>
      </c>
      <c r="D3355" t="str">
        <f t="shared" si="52"/>
        <v>CA-2016-103128_OFF-AR-10003394</v>
      </c>
      <c r="E3355" t="str">
        <f>IF(COUNTIF(data1!$D:$D,D3355)=0,"Missing in Data1","Present")</f>
        <v>Present</v>
      </c>
    </row>
    <row r="3356" spans="1:5" x14ac:dyDescent="0.25">
      <c r="A3356" s="2" t="s">
        <v>3235</v>
      </c>
      <c r="B3356" s="2" t="s">
        <v>390</v>
      </c>
      <c r="C3356" s="2">
        <v>1</v>
      </c>
      <c r="D3356" t="str">
        <f t="shared" si="52"/>
        <v>CA-2016-103163_OFF-BI-10003305</v>
      </c>
      <c r="E3356" t="str">
        <f>IF(COUNTIF(data1!$D:$D,D3356)=0,"Missing in Data1","Present")</f>
        <v>Present</v>
      </c>
    </row>
    <row r="3357" spans="1:5" x14ac:dyDescent="0.25">
      <c r="A3357" s="2" t="s">
        <v>3235</v>
      </c>
      <c r="B3357" s="2" t="s">
        <v>1811</v>
      </c>
      <c r="C3357" s="2">
        <v>1</v>
      </c>
      <c r="D3357" t="str">
        <f t="shared" si="52"/>
        <v>CA-2016-103163_OFF-PA-10004000</v>
      </c>
      <c r="E3357" t="str">
        <f>IF(COUNTIF(data1!$D:$D,D3357)=0,"Missing in Data1","Present")</f>
        <v>Present</v>
      </c>
    </row>
    <row r="3358" spans="1:5" x14ac:dyDescent="0.25">
      <c r="A3358" s="2" t="s">
        <v>3236</v>
      </c>
      <c r="B3358" s="2" t="s">
        <v>137</v>
      </c>
      <c r="C3358" s="2">
        <v>2</v>
      </c>
      <c r="D3358" t="str">
        <f t="shared" si="52"/>
        <v>CA-2016-103359_OFF-BI-10004233</v>
      </c>
      <c r="E3358" t="str">
        <f>IF(COUNTIF(data1!$D:$D,D3358)=0,"Missing in Data1","Present")</f>
        <v>Present</v>
      </c>
    </row>
    <row r="3359" spans="1:5" x14ac:dyDescent="0.25">
      <c r="A3359" s="2" t="s">
        <v>3237</v>
      </c>
      <c r="B3359" s="2" t="s">
        <v>345</v>
      </c>
      <c r="C3359" s="2">
        <v>5</v>
      </c>
      <c r="D3359" t="str">
        <f t="shared" si="52"/>
        <v>CA-2016-103464_TEC-AC-10002842</v>
      </c>
      <c r="E3359" t="str">
        <f>IF(COUNTIF(data1!$D:$D,D3359)=0,"Missing in Data1","Present")</f>
        <v>Present</v>
      </c>
    </row>
    <row r="3360" spans="1:5" x14ac:dyDescent="0.25">
      <c r="A3360" s="2" t="s">
        <v>3238</v>
      </c>
      <c r="B3360" s="2" t="s">
        <v>904</v>
      </c>
      <c r="C3360" s="2">
        <v>2</v>
      </c>
      <c r="D3360" t="str">
        <f t="shared" si="52"/>
        <v>CA-2016-103709_OFF-AR-10003338</v>
      </c>
      <c r="E3360" t="str">
        <f>IF(COUNTIF(data1!$D:$D,D3360)=0,"Missing in Data1","Present")</f>
        <v>Present</v>
      </c>
    </row>
    <row r="3361" spans="1:5" x14ac:dyDescent="0.25">
      <c r="A3361" s="2" t="s">
        <v>3238</v>
      </c>
      <c r="B3361" s="2" t="s">
        <v>837</v>
      </c>
      <c r="C3361" s="2">
        <v>8</v>
      </c>
      <c r="D3361" t="str">
        <f t="shared" si="52"/>
        <v>CA-2016-103709_OFF-PA-10004610</v>
      </c>
      <c r="E3361" t="str">
        <f>IF(COUNTIF(data1!$D:$D,D3361)=0,"Missing in Data1","Present")</f>
        <v>Present</v>
      </c>
    </row>
    <row r="3362" spans="1:5" x14ac:dyDescent="0.25">
      <c r="A3362" s="2" t="s">
        <v>3238</v>
      </c>
      <c r="B3362" s="2" t="s">
        <v>2653</v>
      </c>
      <c r="C3362" s="2">
        <v>2</v>
      </c>
      <c r="D3362" t="str">
        <f t="shared" si="52"/>
        <v>CA-2016-103709_OFF-ST-10001272</v>
      </c>
      <c r="E3362" t="str">
        <f>IF(COUNTIF(data1!$D:$D,D3362)=0,"Missing in Data1","Present")</f>
        <v>Present</v>
      </c>
    </row>
    <row r="3363" spans="1:5" x14ac:dyDescent="0.25">
      <c r="A3363" s="2" t="s">
        <v>3239</v>
      </c>
      <c r="B3363" s="2" t="s">
        <v>2498</v>
      </c>
      <c r="C3363" s="2">
        <v>3</v>
      </c>
      <c r="D3363" t="str">
        <f t="shared" si="52"/>
        <v>CA-2016-103730_FUR-FU-10002157</v>
      </c>
      <c r="E3363" t="str">
        <f>IF(COUNTIF(data1!$D:$D,D3363)=0,"Missing in Data1","Present")</f>
        <v>Present</v>
      </c>
    </row>
    <row r="3364" spans="1:5" x14ac:dyDescent="0.25">
      <c r="A3364" s="2" t="s">
        <v>3239</v>
      </c>
      <c r="B3364" s="2" t="s">
        <v>546</v>
      </c>
      <c r="C3364" s="2">
        <v>4</v>
      </c>
      <c r="D3364" t="str">
        <f t="shared" si="52"/>
        <v>CA-2016-103730_OFF-BI-10003910</v>
      </c>
      <c r="E3364" t="str">
        <f>IF(COUNTIF(data1!$D:$D,D3364)=0,"Missing in Data1","Present")</f>
        <v>Present</v>
      </c>
    </row>
    <row r="3365" spans="1:5" x14ac:dyDescent="0.25">
      <c r="A3365" s="2" t="s">
        <v>3239</v>
      </c>
      <c r="B3365" s="2" t="s">
        <v>758</v>
      </c>
      <c r="C3365" s="2">
        <v>9</v>
      </c>
      <c r="D3365" t="str">
        <f t="shared" si="52"/>
        <v>CA-2016-103730_OFF-EN-10002500</v>
      </c>
      <c r="E3365" t="str">
        <f>IF(COUNTIF(data1!$D:$D,D3365)=0,"Missing in Data1","Present")</f>
        <v>Present</v>
      </c>
    </row>
    <row r="3366" spans="1:5" x14ac:dyDescent="0.25">
      <c r="A3366" s="2" t="s">
        <v>3239</v>
      </c>
      <c r="B3366" s="2" t="s">
        <v>202</v>
      </c>
      <c r="C3366" s="2">
        <v>6</v>
      </c>
      <c r="D3366" t="str">
        <f t="shared" si="52"/>
        <v>CA-2016-103730_OFF-ST-10000777</v>
      </c>
      <c r="E3366" t="str">
        <f>IF(COUNTIF(data1!$D:$D,D3366)=0,"Missing in Data1","Present")</f>
        <v>Present</v>
      </c>
    </row>
    <row r="3367" spans="1:5" x14ac:dyDescent="0.25">
      <c r="A3367" s="2" t="s">
        <v>3239</v>
      </c>
      <c r="B3367" s="2" t="s">
        <v>2347</v>
      </c>
      <c r="C3367" s="2">
        <v>7</v>
      </c>
      <c r="D3367" t="str">
        <f t="shared" si="52"/>
        <v>CA-2016-103730_TEC-PH-10003875</v>
      </c>
      <c r="E3367" t="str">
        <f>IF(COUNTIF(data1!$D:$D,D3367)=0,"Missing in Data1","Present")</f>
        <v>Present</v>
      </c>
    </row>
    <row r="3368" spans="1:5" x14ac:dyDescent="0.25">
      <c r="A3368" s="2" t="s">
        <v>3240</v>
      </c>
      <c r="B3368" s="2" t="s">
        <v>783</v>
      </c>
      <c r="C3368" s="2">
        <v>6</v>
      </c>
      <c r="D3368" t="str">
        <f t="shared" si="52"/>
        <v>CA-2016-103891_TEC-PH-10000149</v>
      </c>
      <c r="E3368" t="str">
        <f>IF(COUNTIF(data1!$D:$D,D3368)=0,"Missing in Data1","Present")</f>
        <v>Present</v>
      </c>
    </row>
    <row r="3369" spans="1:5" x14ac:dyDescent="0.25">
      <c r="A3369" s="2" t="s">
        <v>3241</v>
      </c>
      <c r="B3369" s="2" t="s">
        <v>1411</v>
      </c>
      <c r="C3369" s="2">
        <v>5</v>
      </c>
      <c r="D3369" t="str">
        <f t="shared" si="52"/>
        <v>CA-2016-103919_FUR-FU-10001756</v>
      </c>
      <c r="E3369" t="str">
        <f>IF(COUNTIF(data1!$D:$D,D3369)=0,"Missing in Data1","Present")</f>
        <v>Present</v>
      </c>
    </row>
    <row r="3370" spans="1:5" x14ac:dyDescent="0.25">
      <c r="A3370" s="2" t="s">
        <v>3242</v>
      </c>
      <c r="B3370" s="2" t="s">
        <v>514</v>
      </c>
      <c r="C3370" s="2">
        <v>2</v>
      </c>
      <c r="D3370" t="str">
        <f t="shared" si="52"/>
        <v>CA-2016-103947_OFF-AP-10002350</v>
      </c>
      <c r="E3370" t="str">
        <f>IF(COUNTIF(data1!$D:$D,D3370)=0,"Missing in Data1","Present")</f>
        <v>Present</v>
      </c>
    </row>
    <row r="3371" spans="1:5" x14ac:dyDescent="0.25">
      <c r="A3371" s="2" t="s">
        <v>3242</v>
      </c>
      <c r="B3371" s="2" t="s">
        <v>1320</v>
      </c>
      <c r="C3371" s="2">
        <v>5</v>
      </c>
      <c r="D3371" t="str">
        <f t="shared" si="52"/>
        <v>CA-2016-103947_OFF-FA-10003112</v>
      </c>
      <c r="E3371" t="str">
        <f>IF(COUNTIF(data1!$D:$D,D3371)=0,"Missing in Data1","Present")</f>
        <v>Present</v>
      </c>
    </row>
    <row r="3372" spans="1:5" x14ac:dyDescent="0.25">
      <c r="A3372" s="2" t="s">
        <v>3243</v>
      </c>
      <c r="B3372" s="2" t="s">
        <v>2814</v>
      </c>
      <c r="C3372" s="2">
        <v>1</v>
      </c>
      <c r="D3372" t="str">
        <f t="shared" si="52"/>
        <v>CA-2016-103982_OFF-FA-10001332</v>
      </c>
      <c r="E3372" t="str">
        <f>IF(COUNTIF(data1!$D:$D,D3372)=0,"Missing in Data1","Present")</f>
        <v>Present</v>
      </c>
    </row>
    <row r="3373" spans="1:5" x14ac:dyDescent="0.25">
      <c r="A3373" s="2" t="s">
        <v>3243</v>
      </c>
      <c r="B3373" s="2" t="s">
        <v>1294</v>
      </c>
      <c r="C3373" s="2">
        <v>3</v>
      </c>
      <c r="D3373" t="str">
        <f t="shared" si="52"/>
        <v>CA-2016-103982_OFF-SU-10000151</v>
      </c>
      <c r="E3373" t="str">
        <f>IF(COUNTIF(data1!$D:$D,D3373)=0,"Missing in Data1","Present")</f>
        <v>Present</v>
      </c>
    </row>
    <row r="3374" spans="1:5" x14ac:dyDescent="0.25">
      <c r="A3374" s="2" t="s">
        <v>3243</v>
      </c>
      <c r="B3374" s="2" t="s">
        <v>786</v>
      </c>
      <c r="C3374" s="2">
        <v>7</v>
      </c>
      <c r="D3374" t="str">
        <f t="shared" si="52"/>
        <v>CA-2016-103982_TEC-AC-10002857</v>
      </c>
      <c r="E3374" t="str">
        <f>IF(COUNTIF(data1!$D:$D,D3374)=0,"Missing in Data1","Present")</f>
        <v>Present</v>
      </c>
    </row>
    <row r="3375" spans="1:5" x14ac:dyDescent="0.25">
      <c r="A3375" s="2" t="s">
        <v>3244</v>
      </c>
      <c r="B3375" s="2" t="s">
        <v>531</v>
      </c>
      <c r="C3375" s="2">
        <v>3</v>
      </c>
      <c r="D3375" t="str">
        <f t="shared" si="52"/>
        <v>CA-2016-104150_OFF-EN-10002504</v>
      </c>
      <c r="E3375" t="str">
        <f>IF(COUNTIF(data1!$D:$D,D3375)=0,"Missing in Data1","Present")</f>
        <v>Present</v>
      </c>
    </row>
    <row r="3376" spans="1:5" x14ac:dyDescent="0.25">
      <c r="A3376" s="2" t="s">
        <v>3244</v>
      </c>
      <c r="B3376" s="2" t="s">
        <v>3958</v>
      </c>
      <c r="C3376" s="2">
        <v>12</v>
      </c>
      <c r="D3376" t="str">
        <f t="shared" si="52"/>
        <v>CA-2016-104150_TEC-AC-10004803</v>
      </c>
      <c r="E3376" t="str">
        <f>IF(COUNTIF(data1!$D:$D,D3376)=0,"Missing in Data1","Present")</f>
        <v>Missing in Data1</v>
      </c>
    </row>
    <row r="3377" spans="1:5" x14ac:dyDescent="0.25">
      <c r="A3377" s="2" t="s">
        <v>3245</v>
      </c>
      <c r="B3377" s="2" t="s">
        <v>3246</v>
      </c>
      <c r="C3377" s="2">
        <v>8</v>
      </c>
      <c r="D3377" t="str">
        <f t="shared" si="52"/>
        <v>CA-2016-104157_FUR-TA-10004915</v>
      </c>
      <c r="E3377" t="str">
        <f>IF(COUNTIF(data1!$D:$D,D3377)=0,"Missing in Data1","Present")</f>
        <v>Present</v>
      </c>
    </row>
    <row r="3378" spans="1:5" x14ac:dyDescent="0.25">
      <c r="A3378" s="2" t="s">
        <v>3245</v>
      </c>
      <c r="B3378" s="2" t="s">
        <v>834</v>
      </c>
      <c r="C3378" s="2">
        <v>5</v>
      </c>
      <c r="D3378" t="str">
        <f t="shared" si="52"/>
        <v>CA-2016-104157_OFF-PA-10004665</v>
      </c>
      <c r="E3378" t="str">
        <f>IF(COUNTIF(data1!$D:$D,D3378)=0,"Missing in Data1","Present")</f>
        <v>Present</v>
      </c>
    </row>
    <row r="3379" spans="1:5" x14ac:dyDescent="0.25">
      <c r="A3379" s="2" t="s">
        <v>3245</v>
      </c>
      <c r="B3379" s="2" t="s">
        <v>1423</v>
      </c>
      <c r="C3379" s="2">
        <v>1</v>
      </c>
      <c r="D3379" t="str">
        <f t="shared" si="52"/>
        <v>CA-2016-104157_OFF-ST-10000321</v>
      </c>
      <c r="E3379" t="str">
        <f>IF(COUNTIF(data1!$D:$D,D3379)=0,"Missing in Data1","Present")</f>
        <v>Present</v>
      </c>
    </row>
    <row r="3380" spans="1:5" x14ac:dyDescent="0.25">
      <c r="A3380" s="2" t="s">
        <v>3247</v>
      </c>
      <c r="B3380" s="2" t="s">
        <v>183</v>
      </c>
      <c r="C3380" s="2">
        <v>7</v>
      </c>
      <c r="D3380" t="str">
        <f t="shared" si="52"/>
        <v>CA-2016-104276_FUR-TA-10001039</v>
      </c>
      <c r="E3380" t="str">
        <f>IF(COUNTIF(data1!$D:$D,D3380)=0,"Missing in Data1","Present")</f>
        <v>Missing in Data1</v>
      </c>
    </row>
    <row r="3381" spans="1:5" x14ac:dyDescent="0.25">
      <c r="A3381" s="2" t="s">
        <v>3247</v>
      </c>
      <c r="B3381" s="2" t="s">
        <v>1663</v>
      </c>
      <c r="C3381" s="2">
        <v>1</v>
      </c>
      <c r="D3381" t="str">
        <f t="shared" si="52"/>
        <v>CA-2016-104276_TEC-PH-10001944</v>
      </c>
      <c r="E3381" t="str">
        <f>IF(COUNTIF(data1!$D:$D,D3381)=0,"Missing in Data1","Present")</f>
        <v>Present</v>
      </c>
    </row>
    <row r="3382" spans="1:5" x14ac:dyDescent="0.25">
      <c r="A3382" s="2" t="s">
        <v>3248</v>
      </c>
      <c r="B3382" s="2" t="s">
        <v>3249</v>
      </c>
      <c r="C3382" s="2">
        <v>2</v>
      </c>
      <c r="D3382" t="str">
        <f t="shared" si="52"/>
        <v>CA-2016-104311_OFF-LA-10000973</v>
      </c>
      <c r="E3382" t="str">
        <f>IF(COUNTIF(data1!$D:$D,D3382)=0,"Missing in Data1","Present")</f>
        <v>Present</v>
      </c>
    </row>
    <row r="3383" spans="1:5" x14ac:dyDescent="0.25">
      <c r="A3383" s="2" t="s">
        <v>3248</v>
      </c>
      <c r="B3383" s="2" t="s">
        <v>1423</v>
      </c>
      <c r="C3383" s="2">
        <v>3</v>
      </c>
      <c r="D3383" t="str">
        <f t="shared" si="52"/>
        <v>CA-2016-104311_OFF-ST-10000321</v>
      </c>
      <c r="E3383" t="str">
        <f>IF(COUNTIF(data1!$D:$D,D3383)=0,"Missing in Data1","Present")</f>
        <v>Present</v>
      </c>
    </row>
    <row r="3384" spans="1:5" x14ac:dyDescent="0.25">
      <c r="A3384" s="2" t="s">
        <v>3248</v>
      </c>
      <c r="B3384" s="2" t="s">
        <v>1045</v>
      </c>
      <c r="C3384" s="2">
        <v>3</v>
      </c>
      <c r="D3384" t="str">
        <f t="shared" si="52"/>
        <v>CA-2016-104311_OFF-ST-10002957</v>
      </c>
      <c r="E3384" t="str">
        <f>IF(COUNTIF(data1!$D:$D,D3384)=0,"Missing in Data1","Present")</f>
        <v>Present</v>
      </c>
    </row>
    <row r="3385" spans="1:5" x14ac:dyDescent="0.25">
      <c r="A3385" s="2" t="s">
        <v>3250</v>
      </c>
      <c r="B3385" s="2" t="s">
        <v>3168</v>
      </c>
      <c r="C3385" s="2">
        <v>6</v>
      </c>
      <c r="D3385" t="str">
        <f t="shared" si="52"/>
        <v>CA-2016-104633_OFF-PA-10000241</v>
      </c>
      <c r="E3385" t="str">
        <f>IF(COUNTIF(data1!$D:$D,D3385)=0,"Missing in Data1","Present")</f>
        <v>Present</v>
      </c>
    </row>
    <row r="3386" spans="1:5" x14ac:dyDescent="0.25">
      <c r="A3386" s="2" t="s">
        <v>3250</v>
      </c>
      <c r="B3386" s="2" t="s">
        <v>2838</v>
      </c>
      <c r="C3386" s="2">
        <v>2</v>
      </c>
      <c r="D3386" t="str">
        <f t="shared" si="52"/>
        <v>CA-2016-104633_OFF-PA-10004782</v>
      </c>
      <c r="E3386" t="str">
        <f>IF(COUNTIF(data1!$D:$D,D3386)=0,"Missing in Data1","Present")</f>
        <v>Present</v>
      </c>
    </row>
    <row r="3387" spans="1:5" x14ac:dyDescent="0.25">
      <c r="A3387" s="2" t="s">
        <v>3251</v>
      </c>
      <c r="B3387" s="2" t="s">
        <v>681</v>
      </c>
      <c r="C3387" s="2">
        <v>8</v>
      </c>
      <c r="D3387" t="str">
        <f t="shared" si="52"/>
        <v>CA-2016-104689_OFF-AR-10001149</v>
      </c>
      <c r="E3387" t="str">
        <f>IF(COUNTIF(data1!$D:$D,D3387)=0,"Missing in Data1","Present")</f>
        <v>Present</v>
      </c>
    </row>
    <row r="3388" spans="1:5" x14ac:dyDescent="0.25">
      <c r="A3388" s="2" t="s">
        <v>3252</v>
      </c>
      <c r="B3388" s="2" t="s">
        <v>2608</v>
      </c>
      <c r="C3388" s="2">
        <v>6</v>
      </c>
      <c r="D3388" t="str">
        <f t="shared" si="52"/>
        <v>CA-2016-104969_OFF-BI-10004224</v>
      </c>
      <c r="E3388" t="str">
        <f>IF(COUNTIF(data1!$D:$D,D3388)=0,"Missing in Data1","Present")</f>
        <v>Present</v>
      </c>
    </row>
    <row r="3389" spans="1:5" x14ac:dyDescent="0.25">
      <c r="A3389" s="2" t="s">
        <v>3252</v>
      </c>
      <c r="B3389" s="2" t="s">
        <v>3221</v>
      </c>
      <c r="C3389" s="2">
        <v>1</v>
      </c>
      <c r="D3389" t="str">
        <f t="shared" si="52"/>
        <v>CA-2016-104969_OFF-EN-10002312</v>
      </c>
      <c r="E3389" t="str">
        <f>IF(COUNTIF(data1!$D:$D,D3389)=0,"Missing in Data1","Present")</f>
        <v>Present</v>
      </c>
    </row>
    <row r="3390" spans="1:5" x14ac:dyDescent="0.25">
      <c r="A3390" s="2" t="s">
        <v>3253</v>
      </c>
      <c r="B3390" s="2" t="s">
        <v>1273</v>
      </c>
      <c r="C3390" s="2">
        <v>5</v>
      </c>
      <c r="D3390" t="str">
        <f t="shared" si="52"/>
        <v>CA-2016-104983_OFF-PA-10000167</v>
      </c>
      <c r="E3390" t="str">
        <f>IF(COUNTIF(data1!$D:$D,D3390)=0,"Missing in Data1","Present")</f>
        <v>Present</v>
      </c>
    </row>
    <row r="3391" spans="1:5" x14ac:dyDescent="0.25">
      <c r="A3391" s="2" t="s">
        <v>3254</v>
      </c>
      <c r="B3391" s="2" t="s">
        <v>1605</v>
      </c>
      <c r="C3391" s="2">
        <v>2</v>
      </c>
      <c r="D3391" t="str">
        <f t="shared" si="52"/>
        <v>CA-2016-105018_OFF-BI-10001890</v>
      </c>
      <c r="E3391" t="str">
        <f>IF(COUNTIF(data1!$D:$D,D3391)=0,"Missing in Data1","Present")</f>
        <v>Present</v>
      </c>
    </row>
    <row r="3392" spans="1:5" x14ac:dyDescent="0.25">
      <c r="A3392" s="2" t="s">
        <v>3255</v>
      </c>
      <c r="B3392" s="2" t="s">
        <v>233</v>
      </c>
      <c r="C3392" s="2">
        <v>3</v>
      </c>
      <c r="D3392" t="str">
        <f t="shared" si="52"/>
        <v>CA-2016-105081_FUR-CH-10000847</v>
      </c>
      <c r="E3392" t="str">
        <f>IF(COUNTIF(data1!$D:$D,D3392)=0,"Missing in Data1","Present")</f>
        <v>Present</v>
      </c>
    </row>
    <row r="3393" spans="1:5" x14ac:dyDescent="0.25">
      <c r="A3393" s="2" t="s">
        <v>3255</v>
      </c>
      <c r="B3393" s="2" t="s">
        <v>3020</v>
      </c>
      <c r="C3393" s="2">
        <v>5</v>
      </c>
      <c r="D3393" t="str">
        <f t="shared" si="52"/>
        <v>CA-2016-105081_FUR-TA-10001307</v>
      </c>
      <c r="E3393" t="str">
        <f>IF(COUNTIF(data1!$D:$D,D3393)=0,"Missing in Data1","Present")</f>
        <v>Present</v>
      </c>
    </row>
    <row r="3394" spans="1:5" x14ac:dyDescent="0.25">
      <c r="A3394" s="2" t="s">
        <v>3256</v>
      </c>
      <c r="B3394" s="2" t="s">
        <v>1115</v>
      </c>
      <c r="C3394" s="2">
        <v>7</v>
      </c>
      <c r="D3394" t="str">
        <f t="shared" si="52"/>
        <v>CA-2016-105207_FUR-TA-10000617</v>
      </c>
      <c r="E3394" t="str">
        <f>IF(COUNTIF(data1!$D:$D,D3394)=0,"Missing in Data1","Present")</f>
        <v>Missing in Data1</v>
      </c>
    </row>
    <row r="3395" spans="1:5" x14ac:dyDescent="0.25">
      <c r="A3395" s="2" t="s">
        <v>3256</v>
      </c>
      <c r="B3395" s="2" t="s">
        <v>432</v>
      </c>
      <c r="C3395" s="2">
        <v>2</v>
      </c>
      <c r="D3395" t="str">
        <f t="shared" ref="D3395:D3458" si="53">A3395&amp;"_"&amp;B3395</f>
        <v>CA-2016-105207_OFF-BI-10004364</v>
      </c>
      <c r="E3395" t="str">
        <f>IF(COUNTIF(data1!$D:$D,D3395)=0,"Missing in Data1","Present")</f>
        <v>Present</v>
      </c>
    </row>
    <row r="3396" spans="1:5" x14ac:dyDescent="0.25">
      <c r="A3396" s="2" t="s">
        <v>3257</v>
      </c>
      <c r="B3396" s="2" t="s">
        <v>602</v>
      </c>
      <c r="C3396" s="2">
        <v>5</v>
      </c>
      <c r="D3396" t="str">
        <f t="shared" si="53"/>
        <v>CA-2016-105256_TEC-PH-10001530</v>
      </c>
      <c r="E3396" t="str">
        <f>IF(COUNTIF(data1!$D:$D,D3396)=0,"Missing in Data1","Present")</f>
        <v>Present</v>
      </c>
    </row>
    <row r="3397" spans="1:5" x14ac:dyDescent="0.25">
      <c r="A3397" s="2" t="s">
        <v>3258</v>
      </c>
      <c r="B3397" s="2" t="s">
        <v>236</v>
      </c>
      <c r="C3397" s="2">
        <v>9</v>
      </c>
      <c r="D3397" t="str">
        <f t="shared" si="53"/>
        <v>CA-2016-105263_OFF-AR-10002399</v>
      </c>
      <c r="E3397" t="str">
        <f>IF(COUNTIF(data1!$D:$D,D3397)=0,"Missing in Data1","Present")</f>
        <v>Present</v>
      </c>
    </row>
    <row r="3398" spans="1:5" x14ac:dyDescent="0.25">
      <c r="A3398" s="2" t="s">
        <v>3259</v>
      </c>
      <c r="B3398" s="2" t="s">
        <v>3260</v>
      </c>
      <c r="C3398" s="2">
        <v>3</v>
      </c>
      <c r="D3398" t="str">
        <f t="shared" si="53"/>
        <v>CA-2016-105277_OFF-BI-10000301</v>
      </c>
      <c r="E3398" t="str">
        <f>IF(COUNTIF(data1!$D:$D,D3398)=0,"Missing in Data1","Present")</f>
        <v>Present</v>
      </c>
    </row>
    <row r="3399" spans="1:5" x14ac:dyDescent="0.25">
      <c r="A3399" s="2" t="s">
        <v>6790</v>
      </c>
      <c r="B3399" s="2" t="s">
        <v>6237</v>
      </c>
      <c r="C3399" s="2">
        <v>3</v>
      </c>
      <c r="D3399" t="str">
        <f t="shared" si="53"/>
        <v>CA-2016-105284_OFF-FA-10001754</v>
      </c>
      <c r="E3399" t="str">
        <f>IF(COUNTIF(data1!$D:$D,D3399)=0,"Missing in Data1","Present")</f>
        <v>Missing in Data1</v>
      </c>
    </row>
    <row r="3400" spans="1:5" x14ac:dyDescent="0.25">
      <c r="A3400" s="2" t="s">
        <v>3262</v>
      </c>
      <c r="B3400" s="2" t="s">
        <v>534</v>
      </c>
      <c r="C3400" s="2">
        <v>8</v>
      </c>
      <c r="D3400" t="str">
        <f t="shared" si="53"/>
        <v>CA-2016-105354_OFF-BI-10001107</v>
      </c>
      <c r="E3400" t="str">
        <f>IF(COUNTIF(data1!$D:$D,D3400)=0,"Missing in Data1","Present")</f>
        <v>Present</v>
      </c>
    </row>
    <row r="3401" spans="1:5" x14ac:dyDescent="0.25">
      <c r="A3401" s="2" t="s">
        <v>3263</v>
      </c>
      <c r="B3401" s="2" t="s">
        <v>2635</v>
      </c>
      <c r="C3401" s="2">
        <v>2</v>
      </c>
      <c r="D3401" t="str">
        <f t="shared" si="53"/>
        <v>CA-2016-105459_FUR-TA-10001095</v>
      </c>
      <c r="E3401" t="str">
        <f>IF(COUNTIF(data1!$D:$D,D3401)=0,"Missing in Data1","Present")</f>
        <v>Present</v>
      </c>
    </row>
    <row r="3402" spans="1:5" x14ac:dyDescent="0.25">
      <c r="A3402" s="2" t="s">
        <v>3263</v>
      </c>
      <c r="B3402" s="2" t="s">
        <v>835</v>
      </c>
      <c r="C3402" s="2">
        <v>6</v>
      </c>
      <c r="D3402" t="str">
        <f t="shared" si="53"/>
        <v>CA-2016-105459_OFF-ST-10000078</v>
      </c>
      <c r="E3402" t="str">
        <f>IF(COUNTIF(data1!$D:$D,D3402)=0,"Missing in Data1","Present")</f>
        <v>Present</v>
      </c>
    </row>
    <row r="3403" spans="1:5" x14ac:dyDescent="0.25">
      <c r="A3403" s="2" t="s">
        <v>3264</v>
      </c>
      <c r="B3403" s="2" t="s">
        <v>310</v>
      </c>
      <c r="C3403" s="2">
        <v>3</v>
      </c>
      <c r="D3403" t="str">
        <f t="shared" si="53"/>
        <v>CA-2016-105473_OFF-SU-10003567</v>
      </c>
      <c r="E3403" t="str">
        <f>IF(COUNTIF(data1!$D:$D,D3403)=0,"Missing in Data1","Present")</f>
        <v>Present</v>
      </c>
    </row>
    <row r="3404" spans="1:5" x14ac:dyDescent="0.25">
      <c r="A3404" s="2" t="s">
        <v>3265</v>
      </c>
      <c r="B3404" s="2" t="s">
        <v>2638</v>
      </c>
      <c r="C3404" s="2">
        <v>3</v>
      </c>
      <c r="D3404" t="str">
        <f t="shared" si="53"/>
        <v>CA-2016-105494_OFF-BI-10003364</v>
      </c>
      <c r="E3404" t="str">
        <f>IF(COUNTIF(data1!$D:$D,D3404)=0,"Missing in Data1","Present")</f>
        <v>Present</v>
      </c>
    </row>
    <row r="3405" spans="1:5" x14ac:dyDescent="0.25">
      <c r="A3405" s="2" t="s">
        <v>3265</v>
      </c>
      <c r="B3405" s="2" t="s">
        <v>3266</v>
      </c>
      <c r="C3405" s="2">
        <v>7</v>
      </c>
      <c r="D3405" t="str">
        <f t="shared" si="53"/>
        <v>CA-2016-105494_OFF-ST-10002205</v>
      </c>
      <c r="E3405" t="str">
        <f>IF(COUNTIF(data1!$D:$D,D3405)=0,"Missing in Data1","Present")</f>
        <v>Present</v>
      </c>
    </row>
    <row r="3406" spans="1:5" x14ac:dyDescent="0.25">
      <c r="A3406" s="2" t="s">
        <v>3267</v>
      </c>
      <c r="B3406" s="2" t="s">
        <v>3268</v>
      </c>
      <c r="C3406" s="2">
        <v>3</v>
      </c>
      <c r="D3406" t="str">
        <f t="shared" si="53"/>
        <v>CA-2016-105585_OFF-FA-10002983</v>
      </c>
      <c r="E3406" t="str">
        <f>IF(COUNTIF(data1!$D:$D,D3406)=0,"Missing in Data1","Present")</f>
        <v>Present</v>
      </c>
    </row>
    <row r="3407" spans="1:5" x14ac:dyDescent="0.25">
      <c r="A3407" s="2" t="s">
        <v>3267</v>
      </c>
      <c r="B3407" s="2" t="s">
        <v>1214</v>
      </c>
      <c r="C3407" s="2">
        <v>5</v>
      </c>
      <c r="D3407" t="str">
        <f t="shared" si="53"/>
        <v>CA-2016-105585_OFF-PA-10003625</v>
      </c>
      <c r="E3407" t="str">
        <f>IF(COUNTIF(data1!$D:$D,D3407)=0,"Missing in Data1","Present")</f>
        <v>Present</v>
      </c>
    </row>
    <row r="3408" spans="1:5" x14ac:dyDescent="0.25">
      <c r="A3408" s="2" t="s">
        <v>3269</v>
      </c>
      <c r="B3408" s="2" t="s">
        <v>3270</v>
      </c>
      <c r="C3408" s="2">
        <v>4</v>
      </c>
      <c r="D3408" t="str">
        <f t="shared" si="53"/>
        <v>CA-2016-105662_OFF-PA-10001001</v>
      </c>
      <c r="E3408" t="str">
        <f>IF(COUNTIF(data1!$D:$D,D3408)=0,"Missing in Data1","Present")</f>
        <v>Present</v>
      </c>
    </row>
    <row r="3409" spans="1:5" x14ac:dyDescent="0.25">
      <c r="A3409" s="2" t="s">
        <v>3269</v>
      </c>
      <c r="B3409" s="2" t="s">
        <v>2968</v>
      </c>
      <c r="C3409" s="2">
        <v>3</v>
      </c>
      <c r="D3409" t="str">
        <f t="shared" si="53"/>
        <v>CA-2016-105662_TEC-PH-10001198</v>
      </c>
      <c r="E3409" t="str">
        <f>IF(COUNTIF(data1!$D:$D,D3409)=0,"Missing in Data1","Present")</f>
        <v>Present</v>
      </c>
    </row>
    <row r="3410" spans="1:5" x14ac:dyDescent="0.25">
      <c r="A3410" s="2" t="s">
        <v>3271</v>
      </c>
      <c r="B3410" s="2" t="s">
        <v>3272</v>
      </c>
      <c r="C3410" s="2">
        <v>14</v>
      </c>
      <c r="D3410" t="str">
        <f t="shared" si="53"/>
        <v>CA-2016-105732_FUR-FU-10003664</v>
      </c>
      <c r="E3410" t="str">
        <f>IF(COUNTIF(data1!$D:$D,D3410)=0,"Missing in Data1","Present")</f>
        <v>Present</v>
      </c>
    </row>
    <row r="3411" spans="1:5" x14ac:dyDescent="0.25">
      <c r="A3411" s="2" t="s">
        <v>3271</v>
      </c>
      <c r="B3411" s="2" t="s">
        <v>2622</v>
      </c>
      <c r="C3411" s="2">
        <v>2</v>
      </c>
      <c r="D3411" t="str">
        <f t="shared" si="53"/>
        <v>CA-2016-105732_OFF-AP-10001394</v>
      </c>
      <c r="E3411" t="str">
        <f>IF(COUNTIF(data1!$D:$D,D3411)=0,"Missing in Data1","Present")</f>
        <v>Present</v>
      </c>
    </row>
    <row r="3412" spans="1:5" x14ac:dyDescent="0.25">
      <c r="A3412" s="2" t="s">
        <v>3271</v>
      </c>
      <c r="B3412" s="2" t="s">
        <v>486</v>
      </c>
      <c r="C3412" s="2">
        <v>5</v>
      </c>
      <c r="D3412" t="str">
        <f t="shared" si="53"/>
        <v>CA-2016-105732_OFF-LA-10004559</v>
      </c>
      <c r="E3412" t="str">
        <f>IF(COUNTIF(data1!$D:$D,D3412)=0,"Missing in Data1","Present")</f>
        <v>Present</v>
      </c>
    </row>
    <row r="3413" spans="1:5" x14ac:dyDescent="0.25">
      <c r="A3413" s="2" t="s">
        <v>3271</v>
      </c>
      <c r="B3413" s="2" t="s">
        <v>309</v>
      </c>
      <c r="C3413" s="2">
        <v>3</v>
      </c>
      <c r="D3413" t="str">
        <f t="shared" si="53"/>
        <v>CA-2016-105732_OFF-PA-10001838</v>
      </c>
      <c r="E3413" t="str">
        <f>IF(COUNTIF(data1!$D:$D,D3413)=0,"Missing in Data1","Present")</f>
        <v>Present</v>
      </c>
    </row>
    <row r="3414" spans="1:5" x14ac:dyDescent="0.25">
      <c r="A3414" s="2" t="s">
        <v>3271</v>
      </c>
      <c r="B3414" s="2" t="s">
        <v>2694</v>
      </c>
      <c r="C3414" s="2">
        <v>3</v>
      </c>
      <c r="D3414" t="str">
        <f t="shared" si="53"/>
        <v>CA-2016-105732_OFF-PA-10002250</v>
      </c>
      <c r="E3414" t="str">
        <f>IF(COUNTIF(data1!$D:$D,D3414)=0,"Missing in Data1","Present")</f>
        <v>Present</v>
      </c>
    </row>
    <row r="3415" spans="1:5" x14ac:dyDescent="0.25">
      <c r="A3415" s="2" t="s">
        <v>3271</v>
      </c>
      <c r="B3415" s="2" t="s">
        <v>1827</v>
      </c>
      <c r="C3415" s="2">
        <v>3</v>
      </c>
      <c r="D3415" t="str">
        <f t="shared" si="53"/>
        <v>CA-2016-105732_OFF-ST-10000419</v>
      </c>
      <c r="E3415" t="str">
        <f>IF(COUNTIF(data1!$D:$D,D3415)=0,"Missing in Data1","Present")</f>
        <v>Missing in Data1</v>
      </c>
    </row>
    <row r="3416" spans="1:5" x14ac:dyDescent="0.25">
      <c r="A3416" s="2" t="s">
        <v>3271</v>
      </c>
      <c r="B3416" s="2" t="s">
        <v>1360</v>
      </c>
      <c r="C3416" s="2">
        <v>6</v>
      </c>
      <c r="D3416" t="str">
        <f t="shared" si="53"/>
        <v>CA-2016-105732_OFF-ST-10004340</v>
      </c>
      <c r="E3416" t="str">
        <f>IF(COUNTIF(data1!$D:$D,D3416)=0,"Missing in Data1","Present")</f>
        <v>Present</v>
      </c>
    </row>
    <row r="3417" spans="1:5" x14ac:dyDescent="0.25">
      <c r="A3417" s="2" t="s">
        <v>3271</v>
      </c>
      <c r="B3417" s="2" t="s">
        <v>3133</v>
      </c>
      <c r="C3417" s="2">
        <v>2</v>
      </c>
      <c r="D3417" t="str">
        <f t="shared" si="53"/>
        <v>CA-2016-105732_OFF-SU-10004782</v>
      </c>
      <c r="E3417" t="str">
        <f>IF(COUNTIF(data1!$D:$D,D3417)=0,"Missing in Data1","Present")</f>
        <v>Present</v>
      </c>
    </row>
    <row r="3418" spans="1:5" x14ac:dyDescent="0.25">
      <c r="A3418" s="2" t="s">
        <v>3271</v>
      </c>
      <c r="B3418" s="2" t="s">
        <v>989</v>
      </c>
      <c r="C3418" s="2">
        <v>5</v>
      </c>
      <c r="D3418" t="str">
        <f t="shared" si="53"/>
        <v>CA-2016-105732_TEC-PH-10001644</v>
      </c>
      <c r="E3418" t="str">
        <f>IF(COUNTIF(data1!$D:$D,D3418)=0,"Missing in Data1","Present")</f>
        <v>Present</v>
      </c>
    </row>
    <row r="3419" spans="1:5" x14ac:dyDescent="0.25">
      <c r="A3419" s="2" t="s">
        <v>3271</v>
      </c>
      <c r="B3419" s="2" t="s">
        <v>1466</v>
      </c>
      <c r="C3419" s="2">
        <v>3</v>
      </c>
      <c r="D3419" t="str">
        <f t="shared" si="53"/>
        <v>CA-2016-105732_TEC-PH-10004897</v>
      </c>
      <c r="E3419" t="str">
        <f>IF(COUNTIF(data1!$D:$D,D3419)=0,"Missing in Data1","Present")</f>
        <v>Present</v>
      </c>
    </row>
    <row r="3420" spans="1:5" x14ac:dyDescent="0.25">
      <c r="A3420" s="2" t="s">
        <v>3273</v>
      </c>
      <c r="B3420" s="2" t="s">
        <v>297</v>
      </c>
      <c r="C3420" s="2">
        <v>1</v>
      </c>
      <c r="D3420" t="str">
        <f t="shared" si="53"/>
        <v>CA-2016-105746_FUR-CH-10000454</v>
      </c>
      <c r="E3420" t="str">
        <f>IF(COUNTIF(data1!$D:$D,D3420)=0,"Missing in Data1","Present")</f>
        <v>Present</v>
      </c>
    </row>
    <row r="3421" spans="1:5" x14ac:dyDescent="0.25">
      <c r="A3421" s="2" t="s">
        <v>3274</v>
      </c>
      <c r="B3421" s="2" t="s">
        <v>189</v>
      </c>
      <c r="C3421" s="2">
        <v>5</v>
      </c>
      <c r="D3421" t="str">
        <f t="shared" si="53"/>
        <v>CA-2016-105753_FUR-FU-10000246</v>
      </c>
      <c r="E3421" t="str">
        <f>IF(COUNTIF(data1!$D:$D,D3421)=0,"Missing in Data1","Present")</f>
        <v>Present</v>
      </c>
    </row>
    <row r="3422" spans="1:5" x14ac:dyDescent="0.25">
      <c r="A3422" s="2" t="s">
        <v>3275</v>
      </c>
      <c r="B3422" s="2" t="s">
        <v>272</v>
      </c>
      <c r="C3422" s="2">
        <v>2</v>
      </c>
      <c r="D3422" t="str">
        <f t="shared" si="53"/>
        <v>CA-2016-105760_OFF-PA-10000350</v>
      </c>
      <c r="E3422" t="str">
        <f>IF(COUNTIF(data1!$D:$D,D3422)=0,"Missing in Data1","Present")</f>
        <v>Present</v>
      </c>
    </row>
    <row r="3423" spans="1:5" x14ac:dyDescent="0.25">
      <c r="A3423" s="2" t="s">
        <v>3276</v>
      </c>
      <c r="B3423" s="2" t="s">
        <v>3277</v>
      </c>
      <c r="C3423" s="2">
        <v>3</v>
      </c>
      <c r="D3423" t="str">
        <f t="shared" si="53"/>
        <v>CA-2016-105781_FUR-CH-10001802</v>
      </c>
      <c r="E3423" t="str">
        <f>IF(COUNTIF(data1!$D:$D,D3423)=0,"Missing in Data1","Present")</f>
        <v>Present</v>
      </c>
    </row>
    <row r="3424" spans="1:5" x14ac:dyDescent="0.25">
      <c r="A3424" s="2" t="s">
        <v>3276</v>
      </c>
      <c r="B3424" s="2" t="s">
        <v>131</v>
      </c>
      <c r="C3424" s="2">
        <v>3</v>
      </c>
      <c r="D3424" t="str">
        <f t="shared" si="53"/>
        <v>CA-2016-105781_TEC-AC-10003628</v>
      </c>
      <c r="E3424" t="str">
        <f>IF(COUNTIF(data1!$D:$D,D3424)=0,"Missing in Data1","Present")</f>
        <v>Present</v>
      </c>
    </row>
    <row r="3425" spans="1:5" x14ac:dyDescent="0.25">
      <c r="A3425" s="2" t="s">
        <v>3278</v>
      </c>
      <c r="B3425" s="2" t="s">
        <v>552</v>
      </c>
      <c r="C3425" s="2">
        <v>7</v>
      </c>
      <c r="D3425" t="str">
        <f t="shared" si="53"/>
        <v>CA-2016-105816_OFF-FA-10000304</v>
      </c>
      <c r="E3425" t="str">
        <f>IF(COUNTIF(data1!$D:$D,D3425)=0,"Missing in Data1","Present")</f>
        <v>Present</v>
      </c>
    </row>
    <row r="3426" spans="1:5" x14ac:dyDescent="0.25">
      <c r="A3426" s="2" t="s">
        <v>3278</v>
      </c>
      <c r="B3426" s="2" t="s">
        <v>3279</v>
      </c>
      <c r="C3426" s="2">
        <v>5</v>
      </c>
      <c r="D3426" t="str">
        <f t="shared" si="53"/>
        <v>CA-2016-105816_TEC-PH-10002447</v>
      </c>
      <c r="E3426" t="str">
        <f>IF(COUNTIF(data1!$D:$D,D3426)=0,"Missing in Data1","Present")</f>
        <v>Present</v>
      </c>
    </row>
    <row r="3427" spans="1:5" x14ac:dyDescent="0.25">
      <c r="A3427" s="2" t="s">
        <v>3280</v>
      </c>
      <c r="B3427" s="2" t="s">
        <v>1036</v>
      </c>
      <c r="C3427" s="2">
        <v>5</v>
      </c>
      <c r="D3427" t="str">
        <f t="shared" si="53"/>
        <v>CA-2016-105900_OFF-AR-10002656</v>
      </c>
      <c r="E3427" t="str">
        <f>IF(COUNTIF(data1!$D:$D,D3427)=0,"Missing in Data1","Present")</f>
        <v>Present</v>
      </c>
    </row>
    <row r="3428" spans="1:5" x14ac:dyDescent="0.25">
      <c r="A3428" s="2" t="s">
        <v>3282</v>
      </c>
      <c r="B3428" s="2" t="s">
        <v>483</v>
      </c>
      <c r="C3428" s="2">
        <v>1</v>
      </c>
      <c r="D3428" t="str">
        <f t="shared" si="53"/>
        <v>CA-2016-106075_OFF-BI-10004654</v>
      </c>
      <c r="E3428" t="str">
        <f>IF(COUNTIF(data1!$D:$D,D3428)=0,"Missing in Data1","Present")</f>
        <v>Present</v>
      </c>
    </row>
    <row r="3429" spans="1:5" x14ac:dyDescent="0.25">
      <c r="A3429" s="2" t="s">
        <v>3283</v>
      </c>
      <c r="B3429" s="2" t="s">
        <v>1562</v>
      </c>
      <c r="C3429" s="2">
        <v>5</v>
      </c>
      <c r="D3429" t="str">
        <f t="shared" si="53"/>
        <v>CA-2016-106243_FUR-BO-10003034</v>
      </c>
      <c r="E3429" t="str">
        <f>IF(COUNTIF(data1!$D:$D,D3429)=0,"Missing in Data1","Present")</f>
        <v>Present</v>
      </c>
    </row>
    <row r="3430" spans="1:5" x14ac:dyDescent="0.25">
      <c r="A3430" s="2" t="s">
        <v>3284</v>
      </c>
      <c r="B3430" s="2" t="s">
        <v>2185</v>
      </c>
      <c r="C3430" s="2">
        <v>3</v>
      </c>
      <c r="D3430" t="str">
        <f t="shared" si="53"/>
        <v>CA-2016-106278_FUR-CH-10003061</v>
      </c>
      <c r="E3430" t="str">
        <f>IF(COUNTIF(data1!$D:$D,D3430)=0,"Missing in Data1","Present")</f>
        <v>Present</v>
      </c>
    </row>
    <row r="3431" spans="1:5" x14ac:dyDescent="0.25">
      <c r="A3431" s="2" t="s">
        <v>3284</v>
      </c>
      <c r="B3431" s="2" t="s">
        <v>928</v>
      </c>
      <c r="C3431" s="2">
        <v>3</v>
      </c>
      <c r="D3431" t="str">
        <f t="shared" si="53"/>
        <v>CA-2016-106278_OFF-EN-10003567</v>
      </c>
      <c r="E3431" t="str">
        <f>IF(COUNTIF(data1!$D:$D,D3431)=0,"Missing in Data1","Present")</f>
        <v>Present</v>
      </c>
    </row>
    <row r="3432" spans="1:5" x14ac:dyDescent="0.25">
      <c r="A3432" s="2" t="s">
        <v>3285</v>
      </c>
      <c r="B3432" s="2" t="s">
        <v>206</v>
      </c>
      <c r="C3432" s="2">
        <v>3</v>
      </c>
      <c r="D3432" t="str">
        <f t="shared" si="53"/>
        <v>CA-2016-106306_OFF-BI-10003676</v>
      </c>
      <c r="E3432" t="str">
        <f>IF(COUNTIF(data1!$D:$D,D3432)=0,"Missing in Data1","Present")</f>
        <v>Present</v>
      </c>
    </row>
    <row r="3433" spans="1:5" x14ac:dyDescent="0.25">
      <c r="A3433" s="2" t="s">
        <v>3286</v>
      </c>
      <c r="B3433" s="2" t="s">
        <v>882</v>
      </c>
      <c r="C3433" s="2">
        <v>3</v>
      </c>
      <c r="D3433" t="str">
        <f t="shared" si="53"/>
        <v>CA-2016-106341_OFF-AR-10002053</v>
      </c>
      <c r="E3433" t="str">
        <f>IF(COUNTIF(data1!$D:$D,D3433)=0,"Missing in Data1","Present")</f>
        <v>Present</v>
      </c>
    </row>
    <row r="3434" spans="1:5" x14ac:dyDescent="0.25">
      <c r="A3434" s="2" t="s">
        <v>3287</v>
      </c>
      <c r="B3434" s="2" t="s">
        <v>3288</v>
      </c>
      <c r="C3434" s="2">
        <v>1</v>
      </c>
      <c r="D3434" t="str">
        <f t="shared" si="53"/>
        <v>CA-2016-106383_FUR-BO-10002202</v>
      </c>
      <c r="E3434" t="str">
        <f>IF(COUNTIF(data1!$D:$D,D3434)=0,"Missing in Data1","Present")</f>
        <v>Present</v>
      </c>
    </row>
    <row r="3435" spans="1:5" x14ac:dyDescent="0.25">
      <c r="A3435" s="2" t="s">
        <v>3289</v>
      </c>
      <c r="B3435" s="2" t="s">
        <v>1422</v>
      </c>
      <c r="C3435" s="2">
        <v>2</v>
      </c>
      <c r="D3435" t="str">
        <f t="shared" si="53"/>
        <v>CA-2016-106397_OFF-AR-10004602</v>
      </c>
      <c r="E3435" t="str">
        <f>IF(COUNTIF(data1!$D:$D,D3435)=0,"Missing in Data1","Present")</f>
        <v>Present</v>
      </c>
    </row>
    <row r="3436" spans="1:5" x14ac:dyDescent="0.25">
      <c r="A3436" s="2" t="s">
        <v>3289</v>
      </c>
      <c r="B3436" s="2" t="s">
        <v>1737</v>
      </c>
      <c r="C3436" s="2">
        <v>2</v>
      </c>
      <c r="D3436" t="str">
        <f t="shared" si="53"/>
        <v>CA-2016-106397_OFF-PA-10003441</v>
      </c>
      <c r="E3436" t="str">
        <f>IF(COUNTIF(data1!$D:$D,D3436)=0,"Missing in Data1","Present")</f>
        <v>Present</v>
      </c>
    </row>
    <row r="3437" spans="1:5" x14ac:dyDescent="0.25">
      <c r="A3437" s="2" t="s">
        <v>3290</v>
      </c>
      <c r="B3437" s="2" t="s">
        <v>3291</v>
      </c>
      <c r="C3437" s="2">
        <v>2</v>
      </c>
      <c r="D3437" t="str">
        <f t="shared" si="53"/>
        <v>CA-2016-106460_OFF-PA-10001736</v>
      </c>
      <c r="E3437" t="str">
        <f>IF(COUNTIF(data1!$D:$D,D3437)=0,"Missing in Data1","Present")</f>
        <v>Present</v>
      </c>
    </row>
    <row r="3438" spans="1:5" x14ac:dyDescent="0.25">
      <c r="A3438" s="2" t="s">
        <v>3292</v>
      </c>
      <c r="B3438" s="2" t="s">
        <v>2683</v>
      </c>
      <c r="C3438" s="2">
        <v>2</v>
      </c>
      <c r="D3438" t="str">
        <f t="shared" si="53"/>
        <v>CA-2016-106530_OFF-PA-10004451</v>
      </c>
      <c r="E3438" t="str">
        <f>IF(COUNTIF(data1!$D:$D,D3438)=0,"Missing in Data1","Present")</f>
        <v>Present</v>
      </c>
    </row>
    <row r="3439" spans="1:5" x14ac:dyDescent="0.25">
      <c r="A3439" s="2" t="s">
        <v>3292</v>
      </c>
      <c r="B3439" s="2" t="s">
        <v>2791</v>
      </c>
      <c r="C3439" s="2">
        <v>2</v>
      </c>
      <c r="D3439" t="str">
        <f t="shared" si="53"/>
        <v>CA-2016-106530_OFF-ST-10000649</v>
      </c>
      <c r="E3439" t="str">
        <f>IF(COUNTIF(data1!$D:$D,D3439)=0,"Missing in Data1","Present")</f>
        <v>Present</v>
      </c>
    </row>
    <row r="3440" spans="1:5" x14ac:dyDescent="0.25">
      <c r="A3440" s="2" t="s">
        <v>3292</v>
      </c>
      <c r="B3440" s="2" t="s">
        <v>641</v>
      </c>
      <c r="C3440" s="2">
        <v>3</v>
      </c>
      <c r="D3440" t="str">
        <f t="shared" si="53"/>
        <v>CA-2016-106530_OFF-ST-10002011</v>
      </c>
      <c r="E3440" t="str">
        <f>IF(COUNTIF(data1!$D:$D,D3440)=0,"Missing in Data1","Present")</f>
        <v>Present</v>
      </c>
    </row>
    <row r="3441" spans="1:5" x14ac:dyDescent="0.25">
      <c r="A3441" s="2" t="s">
        <v>3292</v>
      </c>
      <c r="B3441" s="2" t="s">
        <v>161</v>
      </c>
      <c r="C3441" s="2">
        <v>2</v>
      </c>
      <c r="D3441" t="str">
        <f t="shared" si="53"/>
        <v>CA-2016-106530_TEC-AC-10001465</v>
      </c>
      <c r="E3441" t="str">
        <f>IF(COUNTIF(data1!$D:$D,D3441)=0,"Missing in Data1","Present")</f>
        <v>Present</v>
      </c>
    </row>
    <row r="3442" spans="1:5" x14ac:dyDescent="0.25">
      <c r="A3442" s="2" t="s">
        <v>3293</v>
      </c>
      <c r="B3442" s="2" t="s">
        <v>1112</v>
      </c>
      <c r="C3442" s="2">
        <v>4</v>
      </c>
      <c r="D3442" t="str">
        <f t="shared" si="53"/>
        <v>CA-2016-106558_TEC-AC-10001142</v>
      </c>
      <c r="E3442" t="str">
        <f>IF(COUNTIF(data1!$D:$D,D3442)=0,"Missing in Data1","Present")</f>
        <v>Present</v>
      </c>
    </row>
    <row r="3443" spans="1:5" x14ac:dyDescent="0.25">
      <c r="A3443" s="2" t="s">
        <v>3294</v>
      </c>
      <c r="B3443" s="2" t="s">
        <v>396</v>
      </c>
      <c r="C3443" s="2">
        <v>4</v>
      </c>
      <c r="D3443" t="str">
        <f t="shared" si="53"/>
        <v>CA-2016-106621_OFF-AR-10002375</v>
      </c>
      <c r="E3443" t="str">
        <f>IF(COUNTIF(data1!$D:$D,D3443)=0,"Missing in Data1","Present")</f>
        <v>Present</v>
      </c>
    </row>
    <row r="3444" spans="1:5" x14ac:dyDescent="0.25">
      <c r="A3444" s="2" t="s">
        <v>3295</v>
      </c>
      <c r="B3444" s="2" t="s">
        <v>2505</v>
      </c>
      <c r="C3444" s="2">
        <v>2</v>
      </c>
      <c r="D3444" t="str">
        <f t="shared" si="53"/>
        <v>CA-2016-106656_OFF-EN-10001509</v>
      </c>
      <c r="E3444" t="str">
        <f>IF(COUNTIF(data1!$D:$D,D3444)=0,"Missing in Data1","Present")</f>
        <v>Present</v>
      </c>
    </row>
    <row r="3445" spans="1:5" x14ac:dyDescent="0.25">
      <c r="A3445" s="2" t="s">
        <v>3295</v>
      </c>
      <c r="B3445" s="2" t="s">
        <v>1570</v>
      </c>
      <c r="C3445" s="2">
        <v>3</v>
      </c>
      <c r="D3445" t="str">
        <f t="shared" si="53"/>
        <v>CA-2016-106656_OFF-LA-10003148</v>
      </c>
      <c r="E3445" t="str">
        <f>IF(COUNTIF(data1!$D:$D,D3445)=0,"Missing in Data1","Present")</f>
        <v>Present</v>
      </c>
    </row>
    <row r="3446" spans="1:5" x14ac:dyDescent="0.25">
      <c r="A3446" s="2" t="s">
        <v>3296</v>
      </c>
      <c r="B3446" s="2" t="s">
        <v>1623</v>
      </c>
      <c r="C3446" s="2">
        <v>3</v>
      </c>
      <c r="D3446" t="str">
        <f t="shared" si="53"/>
        <v>CA-2016-106894_OFF-LA-10001045</v>
      </c>
      <c r="E3446" t="str">
        <f>IF(COUNTIF(data1!$D:$D,D3446)=0,"Missing in Data1","Present")</f>
        <v>Present</v>
      </c>
    </row>
    <row r="3447" spans="1:5" x14ac:dyDescent="0.25">
      <c r="A3447" s="2" t="s">
        <v>3296</v>
      </c>
      <c r="B3447" s="2" t="s">
        <v>2389</v>
      </c>
      <c r="C3447" s="2">
        <v>4</v>
      </c>
      <c r="D3447" t="str">
        <f t="shared" si="53"/>
        <v>CA-2016-106894_TEC-AC-10003063</v>
      </c>
      <c r="E3447" t="str">
        <f>IF(COUNTIF(data1!$D:$D,D3447)=0,"Missing in Data1","Present")</f>
        <v>Present</v>
      </c>
    </row>
    <row r="3448" spans="1:5" x14ac:dyDescent="0.25">
      <c r="A3448" s="2" t="s">
        <v>3297</v>
      </c>
      <c r="B3448" s="2" t="s">
        <v>286</v>
      </c>
      <c r="C3448" s="2">
        <v>4</v>
      </c>
      <c r="D3448" t="str">
        <f t="shared" si="53"/>
        <v>CA-2016-106915_OFF-AR-10000716</v>
      </c>
      <c r="E3448" t="str">
        <f>IF(COUNTIF(data1!$D:$D,D3448)=0,"Missing in Data1","Present")</f>
        <v>Present</v>
      </c>
    </row>
    <row r="3449" spans="1:5" x14ac:dyDescent="0.25">
      <c r="A3449" s="2" t="s">
        <v>3298</v>
      </c>
      <c r="B3449" s="2" t="s">
        <v>1733</v>
      </c>
      <c r="C3449" s="2">
        <v>3</v>
      </c>
      <c r="D3449" t="str">
        <f t="shared" si="53"/>
        <v>CA-2016-106950_FUR-TA-10001768</v>
      </c>
      <c r="E3449" t="str">
        <f>IF(COUNTIF(data1!$D:$D,D3449)=0,"Missing in Data1","Present")</f>
        <v>Present</v>
      </c>
    </row>
    <row r="3450" spans="1:5" x14ac:dyDescent="0.25">
      <c r="A3450" s="2" t="s">
        <v>3298</v>
      </c>
      <c r="B3450" s="2" t="s">
        <v>3299</v>
      </c>
      <c r="C3450" s="2">
        <v>9</v>
      </c>
      <c r="D3450" t="str">
        <f t="shared" si="53"/>
        <v>CA-2016-106950_OFF-AP-10000159</v>
      </c>
      <c r="E3450" t="str">
        <f>IF(COUNTIF(data1!$D:$D,D3450)=0,"Missing in Data1","Present")</f>
        <v>Present</v>
      </c>
    </row>
    <row r="3451" spans="1:5" x14ac:dyDescent="0.25">
      <c r="A3451" s="2" t="s">
        <v>3298</v>
      </c>
      <c r="B3451" s="2" t="s">
        <v>1535</v>
      </c>
      <c r="C3451" s="2">
        <v>4</v>
      </c>
      <c r="D3451" t="str">
        <f t="shared" si="53"/>
        <v>CA-2016-106950_OFF-AR-10003560</v>
      </c>
      <c r="E3451" t="str">
        <f>IF(COUNTIF(data1!$D:$D,D3451)=0,"Missing in Data1","Present")</f>
        <v>Present</v>
      </c>
    </row>
    <row r="3452" spans="1:5" x14ac:dyDescent="0.25">
      <c r="A3452" s="2" t="s">
        <v>3298</v>
      </c>
      <c r="B3452" s="2" t="s">
        <v>2658</v>
      </c>
      <c r="C3452" s="2">
        <v>7</v>
      </c>
      <c r="D3452" t="str">
        <f t="shared" si="53"/>
        <v>CA-2016-106950_OFF-BI-10000014</v>
      </c>
      <c r="E3452" t="str">
        <f>IF(COUNTIF(data1!$D:$D,D3452)=0,"Missing in Data1","Present")</f>
        <v>Present</v>
      </c>
    </row>
    <row r="3453" spans="1:5" x14ac:dyDescent="0.25">
      <c r="A3453" s="2" t="s">
        <v>3298</v>
      </c>
      <c r="B3453" s="2" t="s">
        <v>2000</v>
      </c>
      <c r="C3453" s="2">
        <v>5</v>
      </c>
      <c r="D3453" t="str">
        <f t="shared" si="53"/>
        <v>CA-2016-106950_OFF-BI-10003166</v>
      </c>
      <c r="E3453" t="str">
        <f>IF(COUNTIF(data1!$D:$D,D3453)=0,"Missing in Data1","Present")</f>
        <v>Present</v>
      </c>
    </row>
    <row r="3454" spans="1:5" x14ac:dyDescent="0.25">
      <c r="A3454" s="2" t="s">
        <v>3298</v>
      </c>
      <c r="B3454" s="2" t="s">
        <v>1053</v>
      </c>
      <c r="C3454" s="2">
        <v>3</v>
      </c>
      <c r="D3454" t="str">
        <f t="shared" si="53"/>
        <v>CA-2016-106950_TEC-AC-10002049</v>
      </c>
      <c r="E3454" t="str">
        <f>IF(COUNTIF(data1!$D:$D,D3454)=0,"Missing in Data1","Present")</f>
        <v>Present</v>
      </c>
    </row>
    <row r="3455" spans="1:5" x14ac:dyDescent="0.25">
      <c r="A3455" s="2" t="s">
        <v>3300</v>
      </c>
      <c r="B3455" s="2" t="s">
        <v>2850</v>
      </c>
      <c r="C3455" s="2">
        <v>6</v>
      </c>
      <c r="D3455" t="str">
        <f t="shared" si="53"/>
        <v>CA-2016-107104_FUR-FU-10002937</v>
      </c>
      <c r="E3455" t="str">
        <f>IF(COUNTIF(data1!$D:$D,D3455)=0,"Missing in Data1","Present")</f>
        <v>Present</v>
      </c>
    </row>
    <row r="3456" spans="1:5" x14ac:dyDescent="0.25">
      <c r="A3456" s="2" t="s">
        <v>3300</v>
      </c>
      <c r="B3456" s="2" t="s">
        <v>3301</v>
      </c>
      <c r="C3456" s="2">
        <v>2</v>
      </c>
      <c r="D3456" t="str">
        <f t="shared" si="53"/>
        <v>CA-2016-107104_OFF-AP-10000055</v>
      </c>
      <c r="E3456" t="str">
        <f>IF(COUNTIF(data1!$D:$D,D3456)=0,"Missing in Data1","Present")</f>
        <v>Present</v>
      </c>
    </row>
    <row r="3457" spans="1:5" x14ac:dyDescent="0.25">
      <c r="A3457" s="2" t="s">
        <v>3300</v>
      </c>
      <c r="B3457" s="2" t="s">
        <v>1557</v>
      </c>
      <c r="C3457" s="2">
        <v>9</v>
      </c>
      <c r="D3457" t="str">
        <f t="shared" si="53"/>
        <v>CA-2016-107104_OFF-AR-10004269</v>
      </c>
      <c r="E3457" t="str">
        <f>IF(COUNTIF(data1!$D:$D,D3457)=0,"Missing in Data1","Present")</f>
        <v>Present</v>
      </c>
    </row>
    <row r="3458" spans="1:5" x14ac:dyDescent="0.25">
      <c r="A3458" s="2" t="s">
        <v>3302</v>
      </c>
      <c r="B3458" s="2" t="s">
        <v>1894</v>
      </c>
      <c r="C3458" s="2">
        <v>4</v>
      </c>
      <c r="D3458" t="str">
        <f t="shared" si="53"/>
        <v>CA-2016-107146_FUR-CH-10004853</v>
      </c>
      <c r="E3458" t="str">
        <f>IF(COUNTIF(data1!$D:$D,D3458)=0,"Missing in Data1","Present")</f>
        <v>Present</v>
      </c>
    </row>
    <row r="3459" spans="1:5" x14ac:dyDescent="0.25">
      <c r="A3459" s="2" t="s">
        <v>3302</v>
      </c>
      <c r="B3459" s="2" t="s">
        <v>1802</v>
      </c>
      <c r="C3459" s="2">
        <v>3</v>
      </c>
      <c r="D3459" t="str">
        <f t="shared" ref="D3459:D3522" si="54">A3459&amp;"_"&amp;B3459</f>
        <v>CA-2016-107146_FUR-FU-10002298</v>
      </c>
      <c r="E3459" t="str">
        <f>IF(COUNTIF(data1!$D:$D,D3459)=0,"Missing in Data1","Present")</f>
        <v>Present</v>
      </c>
    </row>
    <row r="3460" spans="1:5" x14ac:dyDescent="0.25">
      <c r="A3460" s="2" t="s">
        <v>3305</v>
      </c>
      <c r="B3460" s="2" t="s">
        <v>3306</v>
      </c>
      <c r="C3460" s="2">
        <v>3</v>
      </c>
      <c r="D3460" t="str">
        <f t="shared" si="54"/>
        <v>CA-2016-107216_FUR-FU-10000206</v>
      </c>
      <c r="E3460" t="str">
        <f>IF(COUNTIF(data1!$D:$D,D3460)=0,"Missing in Data1","Present")</f>
        <v>Present</v>
      </c>
    </row>
    <row r="3461" spans="1:5" x14ac:dyDescent="0.25">
      <c r="A3461" s="2" t="s">
        <v>3305</v>
      </c>
      <c r="B3461" s="2" t="s">
        <v>1945</v>
      </c>
      <c r="C3461" s="2">
        <v>4</v>
      </c>
      <c r="D3461" t="str">
        <f t="shared" si="54"/>
        <v>CA-2016-107216_OFF-AR-10001545</v>
      </c>
      <c r="E3461" t="str">
        <f>IF(COUNTIF(data1!$D:$D,D3461)=0,"Missing in Data1","Present")</f>
        <v>Present</v>
      </c>
    </row>
    <row r="3462" spans="1:5" x14ac:dyDescent="0.25">
      <c r="A3462" s="2" t="s">
        <v>3305</v>
      </c>
      <c r="B3462" s="2" t="s">
        <v>3307</v>
      </c>
      <c r="C3462" s="2">
        <v>3</v>
      </c>
      <c r="D3462" t="str">
        <f t="shared" si="54"/>
        <v>CA-2016-107216_OFF-AR-10002255</v>
      </c>
      <c r="E3462" t="str">
        <f>IF(COUNTIF(data1!$D:$D,D3462)=0,"Missing in Data1","Present")</f>
        <v>Present</v>
      </c>
    </row>
    <row r="3463" spans="1:5" x14ac:dyDescent="0.25">
      <c r="A3463" s="2" t="s">
        <v>3305</v>
      </c>
      <c r="B3463" s="2" t="s">
        <v>1171</v>
      </c>
      <c r="C3463" s="2">
        <v>1</v>
      </c>
      <c r="D3463" t="str">
        <f t="shared" si="54"/>
        <v>CA-2016-107216_TEC-AC-10001013</v>
      </c>
      <c r="E3463" t="str">
        <f>IF(COUNTIF(data1!$D:$D,D3463)=0,"Missing in Data1","Present")</f>
        <v>Present</v>
      </c>
    </row>
    <row r="3464" spans="1:5" x14ac:dyDescent="0.25">
      <c r="A3464" s="2" t="s">
        <v>3308</v>
      </c>
      <c r="B3464" s="2" t="s">
        <v>2088</v>
      </c>
      <c r="C3464" s="2">
        <v>6</v>
      </c>
      <c r="D3464" t="str">
        <f t="shared" si="54"/>
        <v>CA-2016-107328_OFF-AP-10004487</v>
      </c>
      <c r="E3464" t="str">
        <f>IF(COUNTIF(data1!$D:$D,D3464)=0,"Missing in Data1","Present")</f>
        <v>Present</v>
      </c>
    </row>
    <row r="3465" spans="1:5" x14ac:dyDescent="0.25">
      <c r="A3465" s="2" t="s">
        <v>3308</v>
      </c>
      <c r="B3465" s="2" t="s">
        <v>197</v>
      </c>
      <c r="C3465" s="2">
        <v>5</v>
      </c>
      <c r="D3465" t="str">
        <f t="shared" si="54"/>
        <v>CA-2016-107328_OFF-BI-10002160</v>
      </c>
      <c r="E3465" t="str">
        <f>IF(COUNTIF(data1!$D:$D,D3465)=0,"Missing in Data1","Present")</f>
        <v>Present</v>
      </c>
    </row>
    <row r="3466" spans="1:5" x14ac:dyDescent="0.25">
      <c r="A3466" s="2" t="s">
        <v>3309</v>
      </c>
      <c r="B3466" s="2" t="s">
        <v>1808</v>
      </c>
      <c r="C3466" s="2">
        <v>6</v>
      </c>
      <c r="D3466" t="str">
        <f t="shared" si="54"/>
        <v>CA-2016-107475_OFF-FA-10002988</v>
      </c>
      <c r="E3466" t="str">
        <f>IF(COUNTIF(data1!$D:$D,D3466)=0,"Missing in Data1","Present")</f>
        <v>Present</v>
      </c>
    </row>
    <row r="3467" spans="1:5" x14ac:dyDescent="0.25">
      <c r="A3467" s="2" t="s">
        <v>3310</v>
      </c>
      <c r="B3467" s="2" t="s">
        <v>1171</v>
      </c>
      <c r="C3467" s="2">
        <v>2</v>
      </c>
      <c r="D3467" t="str">
        <f t="shared" si="54"/>
        <v>CA-2016-107615_TEC-AC-10001013</v>
      </c>
      <c r="E3467" t="str">
        <f>IF(COUNTIF(data1!$D:$D,D3467)=0,"Missing in Data1","Present")</f>
        <v>Present</v>
      </c>
    </row>
    <row r="3468" spans="1:5" x14ac:dyDescent="0.25">
      <c r="A3468" s="2" t="s">
        <v>3311</v>
      </c>
      <c r="B3468" s="2" t="s">
        <v>1792</v>
      </c>
      <c r="C3468" s="2">
        <v>5</v>
      </c>
      <c r="D3468" t="str">
        <f t="shared" si="54"/>
        <v>CA-2016-107783_FUR-BO-10004409</v>
      </c>
      <c r="E3468" t="str">
        <f>IF(COUNTIF(data1!$D:$D,D3468)=0,"Missing in Data1","Present")</f>
        <v>Present</v>
      </c>
    </row>
    <row r="3469" spans="1:5" x14ac:dyDescent="0.25">
      <c r="A3469" s="2" t="s">
        <v>3311</v>
      </c>
      <c r="B3469" s="2" t="s">
        <v>2033</v>
      </c>
      <c r="C3469" s="2">
        <v>3</v>
      </c>
      <c r="D3469" t="str">
        <f t="shared" si="54"/>
        <v>CA-2016-107783_OFF-AP-10004052</v>
      </c>
      <c r="E3469" t="str">
        <f>IF(COUNTIF(data1!$D:$D,D3469)=0,"Missing in Data1","Present")</f>
        <v>Present</v>
      </c>
    </row>
    <row r="3470" spans="1:5" x14ac:dyDescent="0.25">
      <c r="A3470" s="2" t="s">
        <v>3312</v>
      </c>
      <c r="B3470" s="2" t="s">
        <v>900</v>
      </c>
      <c r="C3470" s="2">
        <v>1</v>
      </c>
      <c r="D3470" t="str">
        <f t="shared" si="54"/>
        <v>CA-2016-107790_TEC-PH-10004539</v>
      </c>
      <c r="E3470" t="str">
        <f>IF(COUNTIF(data1!$D:$D,D3470)=0,"Missing in Data1","Present")</f>
        <v>Present</v>
      </c>
    </row>
    <row r="3471" spans="1:5" x14ac:dyDescent="0.25">
      <c r="A3471" s="2" t="s">
        <v>3313</v>
      </c>
      <c r="B3471" s="2" t="s">
        <v>2598</v>
      </c>
      <c r="C3471" s="2">
        <v>3</v>
      </c>
      <c r="D3471" t="str">
        <f t="shared" si="54"/>
        <v>CA-2016-108056_TEC-PH-10001817</v>
      </c>
      <c r="E3471" t="str">
        <f>IF(COUNTIF(data1!$D:$D,D3471)=0,"Missing in Data1","Present")</f>
        <v>Present</v>
      </c>
    </row>
    <row r="3472" spans="1:5" x14ac:dyDescent="0.25">
      <c r="A3472" s="2" t="s">
        <v>3314</v>
      </c>
      <c r="B3472" s="2" t="s">
        <v>57</v>
      </c>
      <c r="C3472" s="2">
        <v>4</v>
      </c>
      <c r="D3472" t="str">
        <f t="shared" si="54"/>
        <v>CA-2016-108105_FUR-FU-10003773</v>
      </c>
      <c r="E3472" t="str">
        <f>IF(COUNTIF(data1!$D:$D,D3472)=0,"Missing in Data1","Present")</f>
        <v>Present</v>
      </c>
    </row>
    <row r="3473" spans="1:5" x14ac:dyDescent="0.25">
      <c r="A3473" s="2" t="s">
        <v>3315</v>
      </c>
      <c r="B3473" s="2" t="s">
        <v>2499</v>
      </c>
      <c r="C3473" s="2">
        <v>2</v>
      </c>
      <c r="D3473" t="str">
        <f t="shared" si="54"/>
        <v>CA-2016-108196_OFF-BI-10000545</v>
      </c>
      <c r="E3473" t="str">
        <f>IF(COUNTIF(data1!$D:$D,D3473)=0,"Missing in Data1","Present")</f>
        <v>Present</v>
      </c>
    </row>
    <row r="3474" spans="1:5" x14ac:dyDescent="0.25">
      <c r="A3474" s="2" t="s">
        <v>3315</v>
      </c>
      <c r="B3474" s="2" t="s">
        <v>3316</v>
      </c>
      <c r="C3474" s="2">
        <v>3</v>
      </c>
      <c r="D3474" t="str">
        <f t="shared" si="54"/>
        <v>CA-2016-108196_TEC-AC-10000926</v>
      </c>
      <c r="E3474" t="str">
        <f>IF(COUNTIF(data1!$D:$D,D3474)=0,"Missing in Data1","Present")</f>
        <v>Present</v>
      </c>
    </row>
    <row r="3475" spans="1:5" x14ac:dyDescent="0.25">
      <c r="A3475" s="2" t="s">
        <v>3315</v>
      </c>
      <c r="B3475" s="2" t="s">
        <v>2825</v>
      </c>
      <c r="C3475" s="2">
        <v>5</v>
      </c>
      <c r="D3475" t="str">
        <f t="shared" si="54"/>
        <v>CA-2016-108196_TEC-MA-10000418</v>
      </c>
      <c r="E3475" t="str">
        <f>IF(COUNTIF(data1!$D:$D,D3475)=0,"Missing in Data1","Present")</f>
        <v>Present</v>
      </c>
    </row>
    <row r="3476" spans="1:5" x14ac:dyDescent="0.25">
      <c r="A3476" s="2" t="s">
        <v>3317</v>
      </c>
      <c r="B3476" s="2" t="s">
        <v>185</v>
      </c>
      <c r="C3476" s="2">
        <v>5</v>
      </c>
      <c r="D3476" t="str">
        <f t="shared" si="54"/>
        <v>CA-2016-108210_TEC-AC-10000109</v>
      </c>
      <c r="E3476" t="str">
        <f>IF(COUNTIF(data1!$D:$D,D3476)=0,"Missing in Data1","Present")</f>
        <v>Present</v>
      </c>
    </row>
    <row r="3477" spans="1:5" x14ac:dyDescent="0.25">
      <c r="A3477" s="2" t="s">
        <v>3317</v>
      </c>
      <c r="B3477" s="2" t="s">
        <v>3106</v>
      </c>
      <c r="C3477" s="2">
        <v>5</v>
      </c>
      <c r="D3477" t="str">
        <f t="shared" si="54"/>
        <v>CA-2016-108210_TEC-PH-10002293</v>
      </c>
      <c r="E3477" t="str">
        <f>IF(COUNTIF(data1!$D:$D,D3477)=0,"Missing in Data1","Present")</f>
        <v>Present</v>
      </c>
    </row>
    <row r="3478" spans="1:5" x14ac:dyDescent="0.25">
      <c r="A3478" s="2" t="s">
        <v>3318</v>
      </c>
      <c r="B3478" s="2" t="s">
        <v>877</v>
      </c>
      <c r="C3478" s="2">
        <v>7</v>
      </c>
      <c r="D3478" t="str">
        <f t="shared" si="54"/>
        <v>CA-2016-108224_TEC-AC-10003832</v>
      </c>
      <c r="E3478" t="str">
        <f>IF(COUNTIF(data1!$D:$D,D3478)=0,"Missing in Data1","Present")</f>
        <v>Present</v>
      </c>
    </row>
    <row r="3479" spans="1:5" x14ac:dyDescent="0.25">
      <c r="A3479" s="2" t="s">
        <v>3319</v>
      </c>
      <c r="B3479" s="2" t="s">
        <v>2980</v>
      </c>
      <c r="C3479" s="2">
        <v>4</v>
      </c>
      <c r="D3479" t="str">
        <f t="shared" si="54"/>
        <v>CA-2016-108350_OFF-PA-10003656</v>
      </c>
      <c r="E3479" t="str">
        <f>IF(COUNTIF(data1!$D:$D,D3479)=0,"Missing in Data1","Present")</f>
        <v>Present</v>
      </c>
    </row>
    <row r="3480" spans="1:5" x14ac:dyDescent="0.25">
      <c r="A3480" s="2" t="s">
        <v>3320</v>
      </c>
      <c r="B3480" s="2" t="s">
        <v>1225</v>
      </c>
      <c r="C3480" s="2">
        <v>5</v>
      </c>
      <c r="D3480" t="str">
        <f t="shared" si="54"/>
        <v>CA-2016-108364_OFF-BI-10002012</v>
      </c>
      <c r="E3480" t="str">
        <f>IF(COUNTIF(data1!$D:$D,D3480)=0,"Missing in Data1","Present")</f>
        <v>Present</v>
      </c>
    </row>
    <row r="3481" spans="1:5" x14ac:dyDescent="0.25">
      <c r="A3481" s="2" t="s">
        <v>3321</v>
      </c>
      <c r="B3481" s="2" t="s">
        <v>790</v>
      </c>
      <c r="C3481" s="2">
        <v>3</v>
      </c>
      <c r="D3481" t="str">
        <f t="shared" si="54"/>
        <v>CA-2016-108434_OFF-ST-10002615</v>
      </c>
      <c r="E3481" t="str">
        <f>IF(COUNTIF(data1!$D:$D,D3481)=0,"Missing in Data1","Present")</f>
        <v>Present</v>
      </c>
    </row>
    <row r="3482" spans="1:5" x14ac:dyDescent="0.25">
      <c r="A3482" s="2" t="s">
        <v>3322</v>
      </c>
      <c r="B3482" s="2" t="s">
        <v>70</v>
      </c>
      <c r="C3482" s="2">
        <v>2</v>
      </c>
      <c r="D3482" t="str">
        <f t="shared" si="54"/>
        <v>CA-2016-108567_OFF-BI-10004140</v>
      </c>
      <c r="E3482" t="str">
        <f>IF(COUNTIF(data1!$D:$D,D3482)=0,"Missing in Data1","Present")</f>
        <v>Present</v>
      </c>
    </row>
    <row r="3483" spans="1:5" x14ac:dyDescent="0.25">
      <c r="A3483" s="2" t="s">
        <v>3323</v>
      </c>
      <c r="B3483" s="2" t="s">
        <v>2165</v>
      </c>
      <c r="C3483" s="2">
        <v>2</v>
      </c>
      <c r="D3483" t="str">
        <f t="shared" si="54"/>
        <v>CA-2016-108581_OFF-PA-10000809</v>
      </c>
      <c r="E3483" t="str">
        <f>IF(COUNTIF(data1!$D:$D,D3483)=0,"Missing in Data1","Present")</f>
        <v>Present</v>
      </c>
    </row>
    <row r="3484" spans="1:5" x14ac:dyDescent="0.25">
      <c r="A3484" s="2" t="s">
        <v>3323</v>
      </c>
      <c r="B3484" s="2" t="s">
        <v>2690</v>
      </c>
      <c r="C3484" s="2">
        <v>4</v>
      </c>
      <c r="D3484" t="str">
        <f t="shared" si="54"/>
        <v>CA-2016-108581_TEC-AC-10001109</v>
      </c>
      <c r="E3484" t="str">
        <f>IF(COUNTIF(data1!$D:$D,D3484)=0,"Missing in Data1","Present")</f>
        <v>Present</v>
      </c>
    </row>
    <row r="3485" spans="1:5" x14ac:dyDescent="0.25">
      <c r="A3485" s="2" t="s">
        <v>3324</v>
      </c>
      <c r="B3485" s="2" t="s">
        <v>681</v>
      </c>
      <c r="C3485" s="2">
        <v>9</v>
      </c>
      <c r="D3485" t="str">
        <f t="shared" si="54"/>
        <v>CA-2016-108616_OFF-AR-10001149</v>
      </c>
      <c r="E3485" t="str">
        <f>IF(COUNTIF(data1!$D:$D,D3485)=0,"Missing in Data1","Present")</f>
        <v>Present</v>
      </c>
    </row>
    <row r="3486" spans="1:5" x14ac:dyDescent="0.25">
      <c r="A3486" s="2" t="s">
        <v>3324</v>
      </c>
      <c r="B3486" s="2" t="s">
        <v>1223</v>
      </c>
      <c r="C3486" s="2">
        <v>3</v>
      </c>
      <c r="D3486" t="str">
        <f t="shared" si="54"/>
        <v>CA-2016-108616_OFF-BI-10001989</v>
      </c>
      <c r="E3486" t="str">
        <f>IF(COUNTIF(data1!$D:$D,D3486)=0,"Missing in Data1","Present")</f>
        <v>Present</v>
      </c>
    </row>
    <row r="3487" spans="1:5" x14ac:dyDescent="0.25">
      <c r="A3487" s="2" t="s">
        <v>3324</v>
      </c>
      <c r="B3487" s="2" t="s">
        <v>3325</v>
      </c>
      <c r="C3487" s="2">
        <v>3</v>
      </c>
      <c r="D3487" t="str">
        <f t="shared" si="54"/>
        <v>CA-2016-108616_TEC-AC-10000420</v>
      </c>
      <c r="E3487" t="str">
        <f>IF(COUNTIF(data1!$D:$D,D3487)=0,"Missing in Data1","Present")</f>
        <v>Present</v>
      </c>
    </row>
    <row r="3488" spans="1:5" x14ac:dyDescent="0.25">
      <c r="A3488" s="2" t="s">
        <v>3326</v>
      </c>
      <c r="B3488" s="2" t="s">
        <v>2779</v>
      </c>
      <c r="C3488" s="2">
        <v>5</v>
      </c>
      <c r="D3488" t="str">
        <f t="shared" si="54"/>
        <v>CA-2016-108630_OFF-BI-10002437</v>
      </c>
      <c r="E3488" t="str">
        <f>IF(COUNTIF(data1!$D:$D,D3488)=0,"Missing in Data1","Present")</f>
        <v>Present</v>
      </c>
    </row>
    <row r="3489" spans="1:5" x14ac:dyDescent="0.25">
      <c r="A3489" s="2" t="s">
        <v>3327</v>
      </c>
      <c r="B3489" s="2" t="s">
        <v>9</v>
      </c>
      <c r="C3489" s="2">
        <v>2</v>
      </c>
      <c r="D3489" t="str">
        <f t="shared" si="54"/>
        <v>CA-2016-108644_OFF-BI-10000343</v>
      </c>
      <c r="E3489" t="str">
        <f>IF(COUNTIF(data1!$D:$D,D3489)=0,"Missing in Data1","Present")</f>
        <v>Present</v>
      </c>
    </row>
    <row r="3490" spans="1:5" x14ac:dyDescent="0.25">
      <c r="A3490" s="2" t="s">
        <v>3328</v>
      </c>
      <c r="B3490" s="2" t="s">
        <v>3329</v>
      </c>
      <c r="C3490" s="2">
        <v>3</v>
      </c>
      <c r="D3490" t="str">
        <f t="shared" si="54"/>
        <v>CA-2016-108735_FUR-BO-10003441</v>
      </c>
      <c r="E3490" t="str">
        <f>IF(COUNTIF(data1!$D:$D,D3490)=0,"Missing in Data1","Present")</f>
        <v>Present</v>
      </c>
    </row>
    <row r="3491" spans="1:5" x14ac:dyDescent="0.25">
      <c r="A3491" s="2" t="s">
        <v>3330</v>
      </c>
      <c r="B3491" s="2" t="s">
        <v>1062</v>
      </c>
      <c r="C3491" s="2">
        <v>2</v>
      </c>
      <c r="D3491" t="str">
        <f t="shared" si="54"/>
        <v>CA-2016-108868_OFF-AR-10001953</v>
      </c>
      <c r="E3491" t="str">
        <f>IF(COUNTIF(data1!$D:$D,D3491)=0,"Missing in Data1","Present")</f>
        <v>Present</v>
      </c>
    </row>
    <row r="3492" spans="1:5" x14ac:dyDescent="0.25">
      <c r="A3492" s="2" t="s">
        <v>3330</v>
      </c>
      <c r="B3492" s="2" t="s">
        <v>2340</v>
      </c>
      <c r="C3492" s="2">
        <v>5</v>
      </c>
      <c r="D3492" t="str">
        <f t="shared" si="54"/>
        <v>CA-2016-108868_TEC-PH-10000923</v>
      </c>
      <c r="E3492" t="str">
        <f>IF(COUNTIF(data1!$D:$D,D3492)=0,"Missing in Data1","Present")</f>
        <v>Present</v>
      </c>
    </row>
    <row r="3493" spans="1:5" x14ac:dyDescent="0.25">
      <c r="A3493" s="2" t="s">
        <v>3331</v>
      </c>
      <c r="B3493" s="2" t="s">
        <v>2765</v>
      </c>
      <c r="C3493" s="2">
        <v>2</v>
      </c>
      <c r="D3493" t="str">
        <f t="shared" si="54"/>
        <v>CA-2016-108875_FUR-FU-10002671</v>
      </c>
      <c r="E3493" t="str">
        <f>IF(COUNTIF(data1!$D:$D,D3493)=0,"Missing in Data1","Present")</f>
        <v>Present</v>
      </c>
    </row>
    <row r="3494" spans="1:5" x14ac:dyDescent="0.25">
      <c r="A3494" s="2" t="s">
        <v>3331</v>
      </c>
      <c r="B3494" s="2" t="s">
        <v>559</v>
      </c>
      <c r="C3494" s="2">
        <v>9</v>
      </c>
      <c r="D3494" t="str">
        <f t="shared" si="54"/>
        <v>CA-2016-108875_OFF-ST-10001370</v>
      </c>
      <c r="E3494" t="str">
        <f>IF(COUNTIF(data1!$D:$D,D3494)=0,"Missing in Data1","Present")</f>
        <v>Missing in Data1</v>
      </c>
    </row>
    <row r="3495" spans="1:5" x14ac:dyDescent="0.25">
      <c r="A3495" s="2" t="s">
        <v>3332</v>
      </c>
      <c r="B3495" s="2" t="s">
        <v>3325</v>
      </c>
      <c r="C3495" s="2">
        <v>5</v>
      </c>
      <c r="D3495" t="str">
        <f t="shared" si="54"/>
        <v>CA-2016-108882_TEC-AC-10000420</v>
      </c>
      <c r="E3495" t="str">
        <f>IF(COUNTIF(data1!$D:$D,D3495)=0,"Missing in Data1","Present")</f>
        <v>Present</v>
      </c>
    </row>
    <row r="3496" spans="1:5" x14ac:dyDescent="0.25">
      <c r="A3496" s="2" t="s">
        <v>3332</v>
      </c>
      <c r="B3496" s="2" t="s">
        <v>244</v>
      </c>
      <c r="C3496" s="2">
        <v>9</v>
      </c>
      <c r="D3496" t="str">
        <f t="shared" si="54"/>
        <v>CA-2016-108882_TEC-PH-10002726</v>
      </c>
      <c r="E3496" t="str">
        <f>IF(COUNTIF(data1!$D:$D,D3496)=0,"Missing in Data1","Present")</f>
        <v>Present</v>
      </c>
    </row>
    <row r="3497" spans="1:5" x14ac:dyDescent="0.25">
      <c r="A3497" s="2" t="s">
        <v>3333</v>
      </c>
      <c r="B3497" s="2" t="s">
        <v>2653</v>
      </c>
      <c r="C3497" s="2">
        <v>1</v>
      </c>
      <c r="D3497" t="str">
        <f t="shared" si="54"/>
        <v>CA-2016-108959_OFF-ST-10001272</v>
      </c>
      <c r="E3497" t="str">
        <f>IF(COUNTIF(data1!$D:$D,D3497)=0,"Missing in Data1","Present")</f>
        <v>Present</v>
      </c>
    </row>
    <row r="3498" spans="1:5" x14ac:dyDescent="0.25">
      <c r="A3498" s="2" t="s">
        <v>3334</v>
      </c>
      <c r="B3498" s="2" t="s">
        <v>2206</v>
      </c>
      <c r="C3498" s="2">
        <v>4</v>
      </c>
      <c r="D3498" t="str">
        <f t="shared" si="54"/>
        <v>CA-2016-108987_FUR-BO-10004834</v>
      </c>
      <c r="E3498" t="str">
        <f>IF(COUNTIF(data1!$D:$D,D3498)=0,"Missing in Data1","Present")</f>
        <v>Present</v>
      </c>
    </row>
    <row r="3499" spans="1:5" x14ac:dyDescent="0.25">
      <c r="A3499" s="2" t="s">
        <v>3334</v>
      </c>
      <c r="B3499" s="2" t="s">
        <v>195</v>
      </c>
      <c r="C3499" s="2">
        <v>4</v>
      </c>
      <c r="D3499" t="str">
        <f t="shared" si="54"/>
        <v>CA-2016-108987_OFF-ST-10000934</v>
      </c>
      <c r="E3499" t="str">
        <f>IF(COUNTIF(data1!$D:$D,D3499)=0,"Missing in Data1","Present")</f>
        <v>Present</v>
      </c>
    </row>
    <row r="3500" spans="1:5" x14ac:dyDescent="0.25">
      <c r="A3500" s="2" t="s">
        <v>3334</v>
      </c>
      <c r="B3500" s="2" t="s">
        <v>3335</v>
      </c>
      <c r="C3500" s="2">
        <v>3</v>
      </c>
      <c r="D3500" t="str">
        <f t="shared" si="54"/>
        <v>CA-2016-108987_OFF-ST-10001580</v>
      </c>
      <c r="E3500" t="str">
        <f>IF(COUNTIF(data1!$D:$D,D3500)=0,"Missing in Data1","Present")</f>
        <v>Present</v>
      </c>
    </row>
    <row r="3501" spans="1:5" x14ac:dyDescent="0.25">
      <c r="A3501" s="2" t="s">
        <v>3334</v>
      </c>
      <c r="B3501" s="2" t="s">
        <v>2371</v>
      </c>
      <c r="C3501" s="2">
        <v>2</v>
      </c>
      <c r="D3501" t="str">
        <f t="shared" si="54"/>
        <v>CA-2016-108987_TEC-AC-10000158</v>
      </c>
      <c r="E3501" t="str">
        <f>IF(COUNTIF(data1!$D:$D,D3501)=0,"Missing in Data1","Present")</f>
        <v>Present</v>
      </c>
    </row>
    <row r="3502" spans="1:5" x14ac:dyDescent="0.25">
      <c r="A3502" s="2" t="s">
        <v>3336</v>
      </c>
      <c r="B3502" s="2" t="s">
        <v>1809</v>
      </c>
      <c r="C3502" s="2">
        <v>2</v>
      </c>
      <c r="D3502" t="str">
        <f t="shared" si="54"/>
        <v>CA-2016-109057_OFF-ST-10002406</v>
      </c>
      <c r="E3502" t="str">
        <f>IF(COUNTIF(data1!$D:$D,D3502)=0,"Missing in Data1","Present")</f>
        <v>Present</v>
      </c>
    </row>
    <row r="3503" spans="1:5" x14ac:dyDescent="0.25">
      <c r="A3503" s="2" t="s">
        <v>3337</v>
      </c>
      <c r="B3503" s="2" t="s">
        <v>1034</v>
      </c>
      <c r="C3503" s="2">
        <v>5</v>
      </c>
      <c r="D3503" t="str">
        <f t="shared" si="54"/>
        <v>CA-2016-109176_OFF-AR-10001955</v>
      </c>
      <c r="E3503" t="str">
        <f>IF(COUNTIF(data1!$D:$D,D3503)=0,"Missing in Data1","Present")</f>
        <v>Present</v>
      </c>
    </row>
    <row r="3504" spans="1:5" x14ac:dyDescent="0.25">
      <c r="A3504" s="2" t="s">
        <v>3337</v>
      </c>
      <c r="B3504" s="2" t="s">
        <v>860</v>
      </c>
      <c r="C3504" s="2">
        <v>1</v>
      </c>
      <c r="D3504" t="str">
        <f t="shared" si="54"/>
        <v>CA-2016-109176_OFF-EN-10003134</v>
      </c>
      <c r="E3504" t="str">
        <f>IF(COUNTIF(data1!$D:$D,D3504)=0,"Missing in Data1","Present")</f>
        <v>Present</v>
      </c>
    </row>
    <row r="3505" spans="1:5" x14ac:dyDescent="0.25">
      <c r="A3505" s="2" t="s">
        <v>3338</v>
      </c>
      <c r="B3505" s="2" t="s">
        <v>3339</v>
      </c>
      <c r="C3505" s="2">
        <v>3</v>
      </c>
      <c r="D3505" t="str">
        <f t="shared" si="54"/>
        <v>CA-2016-109344_TEC-PH-10002624</v>
      </c>
      <c r="E3505" t="str">
        <f>IF(COUNTIF(data1!$D:$D,D3505)=0,"Missing in Data1","Present")</f>
        <v>Present</v>
      </c>
    </row>
    <row r="3506" spans="1:5" x14ac:dyDescent="0.25">
      <c r="A3506" s="2" t="s">
        <v>3340</v>
      </c>
      <c r="B3506" s="2" t="s">
        <v>1182</v>
      </c>
      <c r="C3506" s="2">
        <v>2</v>
      </c>
      <c r="D3506" t="str">
        <f t="shared" si="54"/>
        <v>CA-2016-109365_OFF-AP-10002998</v>
      </c>
      <c r="E3506" t="str">
        <f>IF(COUNTIF(data1!$D:$D,D3506)=0,"Missing in Data1","Present")</f>
        <v>Present</v>
      </c>
    </row>
    <row r="3507" spans="1:5" x14ac:dyDescent="0.25">
      <c r="A3507" s="2" t="s">
        <v>3340</v>
      </c>
      <c r="B3507" s="2" t="s">
        <v>2262</v>
      </c>
      <c r="C3507" s="2">
        <v>2</v>
      </c>
      <c r="D3507" t="str">
        <f t="shared" si="54"/>
        <v>CA-2016-109365_OFF-BI-10002071</v>
      </c>
      <c r="E3507" t="str">
        <f>IF(COUNTIF(data1!$D:$D,D3507)=0,"Missing in Data1","Present")</f>
        <v>Present</v>
      </c>
    </row>
    <row r="3508" spans="1:5" x14ac:dyDescent="0.25">
      <c r="A3508" s="2" t="s">
        <v>3340</v>
      </c>
      <c r="B3508" s="2" t="s">
        <v>1105</v>
      </c>
      <c r="C3508" s="2">
        <v>12</v>
      </c>
      <c r="D3508" t="str">
        <f t="shared" si="54"/>
        <v>CA-2016-109365_OFF-BI-10003981</v>
      </c>
      <c r="E3508" t="str">
        <f>IF(COUNTIF(data1!$D:$D,D3508)=0,"Missing in Data1","Present")</f>
        <v>Present</v>
      </c>
    </row>
    <row r="3509" spans="1:5" x14ac:dyDescent="0.25">
      <c r="A3509" s="2" t="s">
        <v>3340</v>
      </c>
      <c r="B3509" s="2" t="s">
        <v>250</v>
      </c>
      <c r="C3509" s="2">
        <v>3</v>
      </c>
      <c r="D3509" t="str">
        <f t="shared" si="54"/>
        <v>CA-2016-109365_OFF-PA-10000477</v>
      </c>
      <c r="E3509" t="str">
        <f>IF(COUNTIF(data1!$D:$D,D3509)=0,"Missing in Data1","Present")</f>
        <v>Present</v>
      </c>
    </row>
    <row r="3510" spans="1:5" x14ac:dyDescent="0.25">
      <c r="A3510" s="2" t="s">
        <v>3340</v>
      </c>
      <c r="B3510" s="2" t="s">
        <v>1549</v>
      </c>
      <c r="C3510" s="2">
        <v>3</v>
      </c>
      <c r="D3510" t="str">
        <f t="shared" si="54"/>
        <v>CA-2016-109365_OFF-PA-10001725</v>
      </c>
      <c r="E3510" t="str">
        <f>IF(COUNTIF(data1!$D:$D,D3510)=0,"Missing in Data1","Present")</f>
        <v>Missing in Data1</v>
      </c>
    </row>
    <row r="3511" spans="1:5" x14ac:dyDescent="0.25">
      <c r="A3511" s="2" t="s">
        <v>3340</v>
      </c>
      <c r="B3511" s="2" t="s">
        <v>80</v>
      </c>
      <c r="C3511" s="2">
        <v>3</v>
      </c>
      <c r="D3511" t="str">
        <f t="shared" si="54"/>
        <v>CA-2016-109365_OFF-PA-10004359</v>
      </c>
      <c r="E3511" t="str">
        <f>IF(COUNTIF(data1!$D:$D,D3511)=0,"Missing in Data1","Present")</f>
        <v>Present</v>
      </c>
    </row>
    <row r="3512" spans="1:5" x14ac:dyDescent="0.25">
      <c r="A3512" s="2" t="s">
        <v>3341</v>
      </c>
      <c r="B3512" s="2" t="s">
        <v>1766</v>
      </c>
      <c r="C3512" s="2">
        <v>4</v>
      </c>
      <c r="D3512" t="str">
        <f t="shared" si="54"/>
        <v>CA-2016-109400_FUR-CH-10003298</v>
      </c>
      <c r="E3512" t="str">
        <f>IF(COUNTIF(data1!$D:$D,D3512)=0,"Missing in Data1","Present")</f>
        <v>Present</v>
      </c>
    </row>
    <row r="3513" spans="1:5" x14ac:dyDescent="0.25">
      <c r="A3513" s="2" t="s">
        <v>3342</v>
      </c>
      <c r="B3513" s="2" t="s">
        <v>2994</v>
      </c>
      <c r="C3513" s="2">
        <v>4</v>
      </c>
      <c r="D3513" t="str">
        <f t="shared" si="54"/>
        <v>CA-2016-109407_OFF-BI-10000285</v>
      </c>
      <c r="E3513" t="str">
        <f>IF(COUNTIF(data1!$D:$D,D3513)=0,"Missing in Data1","Present")</f>
        <v>Present</v>
      </c>
    </row>
    <row r="3514" spans="1:5" x14ac:dyDescent="0.25">
      <c r="A3514" s="2" t="s">
        <v>3343</v>
      </c>
      <c r="B3514" s="2" t="s">
        <v>903</v>
      </c>
      <c r="C3514" s="2">
        <v>4</v>
      </c>
      <c r="D3514" t="str">
        <f t="shared" si="54"/>
        <v>CA-2016-109652_OFF-AR-10000034</v>
      </c>
      <c r="E3514" t="str">
        <f>IF(COUNTIF(data1!$D:$D,D3514)=0,"Missing in Data1","Present")</f>
        <v>Present</v>
      </c>
    </row>
    <row r="3515" spans="1:5" x14ac:dyDescent="0.25">
      <c r="A3515" s="2" t="s">
        <v>3344</v>
      </c>
      <c r="B3515" s="2" t="s">
        <v>3047</v>
      </c>
      <c r="C3515" s="2">
        <v>2</v>
      </c>
      <c r="D3515" t="str">
        <f t="shared" si="54"/>
        <v>CA-2016-109666_OFF-AR-10004022</v>
      </c>
      <c r="E3515" t="str">
        <f>IF(COUNTIF(data1!$D:$D,D3515)=0,"Missing in Data1","Present")</f>
        <v>Present</v>
      </c>
    </row>
    <row r="3516" spans="1:5" x14ac:dyDescent="0.25">
      <c r="A3516" s="2" t="s">
        <v>3344</v>
      </c>
      <c r="B3516" s="2" t="s">
        <v>723</v>
      </c>
      <c r="C3516" s="2">
        <v>2</v>
      </c>
      <c r="D3516" t="str">
        <f t="shared" si="54"/>
        <v>CA-2016-109666_OFF-AR-10004582</v>
      </c>
      <c r="E3516" t="str">
        <f>IF(COUNTIF(data1!$D:$D,D3516)=0,"Missing in Data1","Present")</f>
        <v>Present</v>
      </c>
    </row>
    <row r="3517" spans="1:5" x14ac:dyDescent="0.25">
      <c r="A3517" s="2" t="s">
        <v>3344</v>
      </c>
      <c r="B3517" s="2" t="s">
        <v>423</v>
      </c>
      <c r="C3517" s="2">
        <v>2</v>
      </c>
      <c r="D3517" t="str">
        <f t="shared" si="54"/>
        <v>CA-2016-109666_OFF-BI-10000174</v>
      </c>
      <c r="E3517" t="str">
        <f>IF(COUNTIF(data1!$D:$D,D3517)=0,"Missing in Data1","Present")</f>
        <v>Present</v>
      </c>
    </row>
    <row r="3518" spans="1:5" x14ac:dyDescent="0.25">
      <c r="A3518" s="2" t="s">
        <v>3344</v>
      </c>
      <c r="B3518" s="2" t="s">
        <v>1875</v>
      </c>
      <c r="C3518" s="2">
        <v>5</v>
      </c>
      <c r="D3518" t="str">
        <f t="shared" si="54"/>
        <v>CA-2016-109666_OFF-SU-10001218</v>
      </c>
      <c r="E3518" t="str">
        <f>IF(COUNTIF(data1!$D:$D,D3518)=0,"Missing in Data1","Present")</f>
        <v>Present</v>
      </c>
    </row>
    <row r="3519" spans="1:5" x14ac:dyDescent="0.25">
      <c r="A3519" s="2" t="s">
        <v>3344</v>
      </c>
      <c r="B3519" s="2" t="s">
        <v>1341</v>
      </c>
      <c r="C3519" s="2">
        <v>2</v>
      </c>
      <c r="D3519" t="str">
        <f t="shared" si="54"/>
        <v>CA-2016-109666_OFF-SU-10002522</v>
      </c>
      <c r="E3519" t="str">
        <f>IF(COUNTIF(data1!$D:$D,D3519)=0,"Missing in Data1","Present")</f>
        <v>Present</v>
      </c>
    </row>
    <row r="3520" spans="1:5" x14ac:dyDescent="0.25">
      <c r="A3520" s="2" t="s">
        <v>3344</v>
      </c>
      <c r="B3520" s="2" t="s">
        <v>2344</v>
      </c>
      <c r="C3520" s="2">
        <v>2</v>
      </c>
      <c r="D3520" t="str">
        <f t="shared" si="54"/>
        <v>CA-2016-109666_TEC-PH-10004774</v>
      </c>
      <c r="E3520" t="str">
        <f>IF(COUNTIF(data1!$D:$D,D3520)=0,"Missing in Data1","Present")</f>
        <v>Present</v>
      </c>
    </row>
    <row r="3521" spans="1:5" x14ac:dyDescent="0.25">
      <c r="A3521" s="2" t="s">
        <v>3345</v>
      </c>
      <c r="B3521" s="2" t="s">
        <v>2918</v>
      </c>
      <c r="C3521" s="2">
        <v>9</v>
      </c>
      <c r="D3521" t="str">
        <f t="shared" si="54"/>
        <v>CA-2016-109722_OFF-ST-10000060</v>
      </c>
      <c r="E3521" t="str">
        <f>IF(COUNTIF(data1!$D:$D,D3521)=0,"Missing in Data1","Present")</f>
        <v>Present</v>
      </c>
    </row>
    <row r="3522" spans="1:5" x14ac:dyDescent="0.25">
      <c r="A3522" s="2" t="s">
        <v>3345</v>
      </c>
      <c r="B3522" s="2" t="s">
        <v>234</v>
      </c>
      <c r="C3522" s="2">
        <v>2</v>
      </c>
      <c r="D3522" t="str">
        <f t="shared" si="54"/>
        <v>CA-2016-109722_TEC-PH-10000560</v>
      </c>
      <c r="E3522" t="str">
        <f>IF(COUNTIF(data1!$D:$D,D3522)=0,"Missing in Data1","Present")</f>
        <v>Present</v>
      </c>
    </row>
    <row r="3523" spans="1:5" x14ac:dyDescent="0.25">
      <c r="A3523" s="2" t="s">
        <v>3346</v>
      </c>
      <c r="B3523" s="2" t="s">
        <v>3347</v>
      </c>
      <c r="C3523" s="2">
        <v>3</v>
      </c>
      <c r="D3523" t="str">
        <f t="shared" ref="D3523:D3586" si="55">A3523&amp;"_"&amp;B3523</f>
        <v>CA-2016-109743_OFF-AR-10003727</v>
      </c>
      <c r="E3523" t="str">
        <f>IF(COUNTIF(data1!$D:$D,D3523)=0,"Missing in Data1","Present")</f>
        <v>Present</v>
      </c>
    </row>
    <row r="3524" spans="1:5" x14ac:dyDescent="0.25">
      <c r="A3524" s="2" t="s">
        <v>3346</v>
      </c>
      <c r="B3524" s="2" t="s">
        <v>3348</v>
      </c>
      <c r="C3524" s="2">
        <v>8</v>
      </c>
      <c r="D3524" t="str">
        <f t="shared" si="55"/>
        <v>CA-2016-109743_TEC-PH-10004071</v>
      </c>
      <c r="E3524" t="str">
        <f>IF(COUNTIF(data1!$D:$D,D3524)=0,"Missing in Data1","Present")</f>
        <v>Present</v>
      </c>
    </row>
    <row r="3525" spans="1:5" x14ac:dyDescent="0.25">
      <c r="A3525" s="2" t="s">
        <v>3349</v>
      </c>
      <c r="B3525" s="2" t="s">
        <v>693</v>
      </c>
      <c r="C3525" s="2">
        <v>3</v>
      </c>
      <c r="D3525" t="str">
        <f t="shared" si="55"/>
        <v>CA-2016-109806_OFF-AR-10004930</v>
      </c>
      <c r="E3525" t="str">
        <f>IF(COUNTIF(data1!$D:$D,D3525)=0,"Missing in Data1","Present")</f>
        <v>Present</v>
      </c>
    </row>
    <row r="3526" spans="1:5" x14ac:dyDescent="0.25">
      <c r="A3526" s="2" t="s">
        <v>3349</v>
      </c>
      <c r="B3526" s="2" t="s">
        <v>1219</v>
      </c>
      <c r="C3526" s="2">
        <v>1</v>
      </c>
      <c r="D3526" t="str">
        <f t="shared" si="55"/>
        <v>CA-2016-109806_OFF-PA-10000304</v>
      </c>
      <c r="E3526" t="str">
        <f>IF(COUNTIF(data1!$D:$D,D3526)=0,"Missing in Data1","Present")</f>
        <v>Present</v>
      </c>
    </row>
    <row r="3527" spans="1:5" x14ac:dyDescent="0.25">
      <c r="A3527" s="2" t="s">
        <v>3349</v>
      </c>
      <c r="B3527" s="2" t="s">
        <v>1522</v>
      </c>
      <c r="C3527" s="2">
        <v>2</v>
      </c>
      <c r="D3527" t="str">
        <f t="shared" si="55"/>
        <v>CA-2016-109806_TEC-PH-10004093</v>
      </c>
      <c r="E3527" t="str">
        <f>IF(COUNTIF(data1!$D:$D,D3527)=0,"Missing in Data1","Present")</f>
        <v>Present</v>
      </c>
    </row>
    <row r="3528" spans="1:5" x14ac:dyDescent="0.25">
      <c r="A3528" s="2" t="s">
        <v>3350</v>
      </c>
      <c r="B3528" s="2" t="s">
        <v>606</v>
      </c>
      <c r="C3528" s="2">
        <v>3</v>
      </c>
      <c r="D3528" t="str">
        <f t="shared" si="55"/>
        <v>CA-2016-109820_OFF-BI-10000474</v>
      </c>
      <c r="E3528" t="str">
        <f>IF(COUNTIF(data1!$D:$D,D3528)=0,"Missing in Data1","Present")</f>
        <v>Present</v>
      </c>
    </row>
    <row r="3529" spans="1:5" x14ac:dyDescent="0.25">
      <c r="A3529" s="2" t="s">
        <v>3350</v>
      </c>
      <c r="B3529" s="2" t="s">
        <v>2342</v>
      </c>
      <c r="C3529" s="2">
        <v>2</v>
      </c>
      <c r="D3529" t="str">
        <f t="shared" si="55"/>
        <v>CA-2016-109820_OFF-BI-10003460</v>
      </c>
      <c r="E3529" t="str">
        <f>IF(COUNTIF(data1!$D:$D,D3529)=0,"Missing in Data1","Present")</f>
        <v>Present</v>
      </c>
    </row>
    <row r="3530" spans="1:5" x14ac:dyDescent="0.25">
      <c r="A3530" s="2" t="s">
        <v>3350</v>
      </c>
      <c r="B3530" s="2" t="s">
        <v>871</v>
      </c>
      <c r="C3530" s="2">
        <v>3</v>
      </c>
      <c r="D3530" t="str">
        <f t="shared" si="55"/>
        <v>CA-2016-109820_OFF-PA-10000955</v>
      </c>
      <c r="E3530" t="str">
        <f>IF(COUNTIF(data1!$D:$D,D3530)=0,"Missing in Data1","Present")</f>
        <v>Present</v>
      </c>
    </row>
    <row r="3531" spans="1:5" x14ac:dyDescent="0.25">
      <c r="A3531" s="2" t="s">
        <v>3351</v>
      </c>
      <c r="B3531" s="2" t="s">
        <v>1502</v>
      </c>
      <c r="C3531" s="2">
        <v>2</v>
      </c>
      <c r="D3531" t="str">
        <f t="shared" si="55"/>
        <v>CA-2016-109827_FUR-CH-10004754</v>
      </c>
      <c r="E3531" t="str">
        <f>IF(COUNTIF(data1!$D:$D,D3531)=0,"Missing in Data1","Present")</f>
        <v>Present</v>
      </c>
    </row>
    <row r="3532" spans="1:5" x14ac:dyDescent="0.25">
      <c r="A3532" s="2" t="s">
        <v>3351</v>
      </c>
      <c r="B3532" s="2" t="s">
        <v>752</v>
      </c>
      <c r="C3532" s="2">
        <v>1</v>
      </c>
      <c r="D3532" t="str">
        <f t="shared" si="55"/>
        <v>CA-2016-109827_FUR-TA-10002607</v>
      </c>
      <c r="E3532" t="str">
        <f>IF(COUNTIF(data1!$D:$D,D3532)=0,"Missing in Data1","Present")</f>
        <v>Missing in Data1</v>
      </c>
    </row>
    <row r="3533" spans="1:5" x14ac:dyDescent="0.25">
      <c r="A3533" s="2" t="s">
        <v>3351</v>
      </c>
      <c r="B3533" s="2" t="s">
        <v>2645</v>
      </c>
      <c r="C3533" s="2">
        <v>3</v>
      </c>
      <c r="D3533" t="str">
        <f t="shared" si="55"/>
        <v>CA-2016-109827_TEC-AC-10002217</v>
      </c>
      <c r="E3533" t="str">
        <f>IF(COUNTIF(data1!$D:$D,D3533)=0,"Missing in Data1","Present")</f>
        <v>Present</v>
      </c>
    </row>
    <row r="3534" spans="1:5" x14ac:dyDescent="0.25">
      <c r="A3534" s="2" t="s">
        <v>3351</v>
      </c>
      <c r="B3534" s="2" t="s">
        <v>409</v>
      </c>
      <c r="C3534" s="2">
        <v>2</v>
      </c>
      <c r="D3534" t="str">
        <f t="shared" si="55"/>
        <v>CA-2016-109827_TEC-AC-10004353</v>
      </c>
      <c r="E3534" t="str">
        <f>IF(COUNTIF(data1!$D:$D,D3534)=0,"Missing in Data1","Present")</f>
        <v>Present</v>
      </c>
    </row>
    <row r="3535" spans="1:5" x14ac:dyDescent="0.25">
      <c r="A3535" s="2" t="s">
        <v>3351</v>
      </c>
      <c r="B3535" s="2" t="s">
        <v>3352</v>
      </c>
      <c r="C3535" s="2">
        <v>2</v>
      </c>
      <c r="D3535" t="str">
        <f t="shared" si="55"/>
        <v>CA-2016-109827_TEC-MA-10003356</v>
      </c>
      <c r="E3535" t="str">
        <f>IF(COUNTIF(data1!$D:$D,D3535)=0,"Missing in Data1","Present")</f>
        <v>Present</v>
      </c>
    </row>
    <row r="3536" spans="1:5" x14ac:dyDescent="0.25">
      <c r="A3536" s="2" t="s">
        <v>3353</v>
      </c>
      <c r="B3536" s="2" t="s">
        <v>1324</v>
      </c>
      <c r="C3536" s="2">
        <v>5</v>
      </c>
      <c r="D3536" t="str">
        <f t="shared" si="55"/>
        <v>CA-2016-109869_FUR-FU-10000023</v>
      </c>
      <c r="E3536" t="str">
        <f>IF(COUNTIF(data1!$D:$D,D3536)=0,"Missing in Data1","Present")</f>
        <v>Present</v>
      </c>
    </row>
    <row r="3537" spans="1:5" x14ac:dyDescent="0.25">
      <c r="A3537" s="2" t="s">
        <v>3353</v>
      </c>
      <c r="B3537" s="2" t="s">
        <v>1130</v>
      </c>
      <c r="C3537" s="2">
        <v>6</v>
      </c>
      <c r="D3537" t="str">
        <f t="shared" si="55"/>
        <v>CA-2016-109869_FUR-TA-10001889</v>
      </c>
      <c r="E3537" t="str">
        <f>IF(COUNTIF(data1!$D:$D,D3537)=0,"Missing in Data1","Present")</f>
        <v>Present</v>
      </c>
    </row>
    <row r="3538" spans="1:5" x14ac:dyDescent="0.25">
      <c r="A3538" s="2" t="s">
        <v>3353</v>
      </c>
      <c r="B3538" s="2" t="s">
        <v>518</v>
      </c>
      <c r="C3538" s="2">
        <v>2</v>
      </c>
      <c r="D3538" t="str">
        <f t="shared" si="55"/>
        <v>CA-2016-109869_OFF-AP-10002578</v>
      </c>
      <c r="E3538" t="str">
        <f>IF(COUNTIF(data1!$D:$D,D3538)=0,"Missing in Data1","Present")</f>
        <v>Missing in Data1</v>
      </c>
    </row>
    <row r="3539" spans="1:5" x14ac:dyDescent="0.25">
      <c r="A3539" s="2" t="s">
        <v>3353</v>
      </c>
      <c r="B3539" s="2" t="s">
        <v>3354</v>
      </c>
      <c r="C3539" s="2">
        <v>2</v>
      </c>
      <c r="D3539" t="str">
        <f t="shared" si="55"/>
        <v>CA-2016-109869_OFF-SU-10003505</v>
      </c>
      <c r="E3539" t="str">
        <f>IF(COUNTIF(data1!$D:$D,D3539)=0,"Missing in Data1","Present")</f>
        <v>Present</v>
      </c>
    </row>
    <row r="3540" spans="1:5" x14ac:dyDescent="0.25">
      <c r="A3540" s="2" t="s">
        <v>3355</v>
      </c>
      <c r="B3540" s="2" t="s">
        <v>1776</v>
      </c>
      <c r="C3540" s="2">
        <v>4</v>
      </c>
      <c r="D3540" t="str">
        <f t="shared" si="55"/>
        <v>CA-2016-109911_OFF-AR-10001662</v>
      </c>
      <c r="E3540" t="str">
        <f>IF(COUNTIF(data1!$D:$D,D3540)=0,"Missing in Data1","Present")</f>
        <v>Present</v>
      </c>
    </row>
    <row r="3541" spans="1:5" x14ac:dyDescent="0.25">
      <c r="A3541" s="2" t="s">
        <v>3356</v>
      </c>
      <c r="B3541" s="2" t="s">
        <v>71</v>
      </c>
      <c r="C3541" s="2">
        <v>3</v>
      </c>
      <c r="D3541" t="str">
        <f t="shared" si="55"/>
        <v>CA-2016-109925_OFF-ST-10003442</v>
      </c>
      <c r="E3541" t="str">
        <f>IF(COUNTIF(data1!$D:$D,D3541)=0,"Missing in Data1","Present")</f>
        <v>Present</v>
      </c>
    </row>
    <row r="3542" spans="1:5" x14ac:dyDescent="0.25">
      <c r="A3542" s="2" t="s">
        <v>3357</v>
      </c>
      <c r="B3542" s="2" t="s">
        <v>2387</v>
      </c>
      <c r="C3542" s="2">
        <v>4</v>
      </c>
      <c r="D3542" t="str">
        <f t="shared" si="55"/>
        <v>CA-2016-109953_FUR-FU-10000073</v>
      </c>
      <c r="E3542" t="str">
        <f>IF(COUNTIF(data1!$D:$D,D3542)=0,"Missing in Data1","Present")</f>
        <v>Present</v>
      </c>
    </row>
    <row r="3543" spans="1:5" x14ac:dyDescent="0.25">
      <c r="A3543" s="2" t="s">
        <v>3357</v>
      </c>
      <c r="B3543" s="2" t="s">
        <v>1182</v>
      </c>
      <c r="C3543" s="2">
        <v>7</v>
      </c>
      <c r="D3543" t="str">
        <f t="shared" si="55"/>
        <v>CA-2016-109953_OFF-AP-10002998</v>
      </c>
      <c r="E3543" t="str">
        <f>IF(COUNTIF(data1!$D:$D,D3543)=0,"Missing in Data1","Present")</f>
        <v>Present</v>
      </c>
    </row>
    <row r="3544" spans="1:5" x14ac:dyDescent="0.25">
      <c r="A3544" s="2" t="s">
        <v>3357</v>
      </c>
      <c r="B3544" s="2" t="s">
        <v>1522</v>
      </c>
      <c r="C3544" s="2">
        <v>3</v>
      </c>
      <c r="D3544" t="str">
        <f t="shared" si="55"/>
        <v>CA-2016-109953_TEC-PH-10004093</v>
      </c>
      <c r="E3544" t="str">
        <f>IF(COUNTIF(data1!$D:$D,D3544)=0,"Missing in Data1","Present")</f>
        <v>Present</v>
      </c>
    </row>
    <row r="3545" spans="1:5" x14ac:dyDescent="0.25">
      <c r="A3545" s="2" t="s">
        <v>3358</v>
      </c>
      <c r="B3545" s="2" t="s">
        <v>2933</v>
      </c>
      <c r="C3545" s="2">
        <v>1</v>
      </c>
      <c r="D3545" t="str">
        <f t="shared" si="55"/>
        <v>CA-2016-110009_FUR-FU-10003039</v>
      </c>
      <c r="E3545" t="str">
        <f>IF(COUNTIF(data1!$D:$D,D3545)=0,"Missing in Data1","Present")</f>
        <v>Present</v>
      </c>
    </row>
    <row r="3546" spans="1:5" x14ac:dyDescent="0.25">
      <c r="A3546" s="2" t="s">
        <v>3358</v>
      </c>
      <c r="B3546" s="2" t="s">
        <v>1968</v>
      </c>
      <c r="C3546" s="2">
        <v>7</v>
      </c>
      <c r="D3546" t="str">
        <f t="shared" si="55"/>
        <v>CA-2016-110009_OFF-PA-10002615</v>
      </c>
      <c r="E3546" t="str">
        <f>IF(COUNTIF(data1!$D:$D,D3546)=0,"Missing in Data1","Present")</f>
        <v>Present</v>
      </c>
    </row>
    <row r="3547" spans="1:5" x14ac:dyDescent="0.25">
      <c r="A3547" s="2" t="s">
        <v>3359</v>
      </c>
      <c r="B3547" s="2" t="s">
        <v>811</v>
      </c>
      <c r="C3547" s="2">
        <v>2</v>
      </c>
      <c r="D3547" t="str">
        <f t="shared" si="55"/>
        <v>CA-2016-110023_OFF-BI-10001036</v>
      </c>
      <c r="E3547" t="str">
        <f>IF(COUNTIF(data1!$D:$D,D3547)=0,"Missing in Data1","Present")</f>
        <v>Present</v>
      </c>
    </row>
    <row r="3548" spans="1:5" x14ac:dyDescent="0.25">
      <c r="A3548" s="2" t="s">
        <v>3360</v>
      </c>
      <c r="B3548" s="2" t="s">
        <v>923</v>
      </c>
      <c r="C3548" s="2">
        <v>3</v>
      </c>
      <c r="D3548" t="str">
        <f t="shared" si="55"/>
        <v>CA-2016-110044_TEC-PH-10001299</v>
      </c>
      <c r="E3548" t="str">
        <f>IF(COUNTIF(data1!$D:$D,D3548)=0,"Missing in Data1","Present")</f>
        <v>Present</v>
      </c>
    </row>
    <row r="3549" spans="1:5" x14ac:dyDescent="0.25">
      <c r="A3549" s="2" t="s">
        <v>3361</v>
      </c>
      <c r="B3549" s="2" t="s">
        <v>923</v>
      </c>
      <c r="C3549" s="2">
        <v>2</v>
      </c>
      <c r="D3549" t="str">
        <f t="shared" si="55"/>
        <v>CA-2016-110086_TEC-PH-10001299</v>
      </c>
      <c r="E3549" t="str">
        <f>IF(COUNTIF(data1!$D:$D,D3549)=0,"Missing in Data1","Present")</f>
        <v>Present</v>
      </c>
    </row>
    <row r="3550" spans="1:5" x14ac:dyDescent="0.25">
      <c r="A3550" s="2" t="s">
        <v>3362</v>
      </c>
      <c r="B3550" s="2" t="s">
        <v>124</v>
      </c>
      <c r="C3550" s="2">
        <v>9</v>
      </c>
      <c r="D3550" t="str">
        <f t="shared" si="55"/>
        <v>CA-2016-110254_FUR-FU-10001591</v>
      </c>
      <c r="E3550" t="str">
        <f>IF(COUNTIF(data1!$D:$D,D3550)=0,"Missing in Data1","Present")</f>
        <v>Present</v>
      </c>
    </row>
    <row r="3551" spans="1:5" x14ac:dyDescent="0.25">
      <c r="A3551" s="2" t="s">
        <v>3362</v>
      </c>
      <c r="B3551" s="2" t="s">
        <v>3363</v>
      </c>
      <c r="C3551" s="2">
        <v>2</v>
      </c>
      <c r="D3551" t="str">
        <f t="shared" si="55"/>
        <v>CA-2016-110254_OFF-LA-10002034</v>
      </c>
      <c r="E3551" t="str">
        <f>IF(COUNTIF(data1!$D:$D,D3551)=0,"Missing in Data1","Present")</f>
        <v>Present</v>
      </c>
    </row>
    <row r="3552" spans="1:5" x14ac:dyDescent="0.25">
      <c r="A3552" s="2" t="s">
        <v>3362</v>
      </c>
      <c r="B3552" s="2" t="s">
        <v>1711</v>
      </c>
      <c r="C3552" s="2">
        <v>1</v>
      </c>
      <c r="D3552" t="str">
        <f t="shared" si="55"/>
        <v>CA-2016-110254_OFF-LA-10004484</v>
      </c>
      <c r="E3552" t="str">
        <f>IF(COUNTIF(data1!$D:$D,D3552)=0,"Missing in Data1","Present")</f>
        <v>Present</v>
      </c>
    </row>
    <row r="3553" spans="1:5" x14ac:dyDescent="0.25">
      <c r="A3553" s="2" t="s">
        <v>3362</v>
      </c>
      <c r="B3553" s="2" t="s">
        <v>1948</v>
      </c>
      <c r="C3553" s="2">
        <v>2</v>
      </c>
      <c r="D3553" t="str">
        <f t="shared" si="55"/>
        <v>CA-2016-110254_OFF-SU-10002573</v>
      </c>
      <c r="E3553" t="str">
        <f>IF(COUNTIF(data1!$D:$D,D3553)=0,"Missing in Data1","Present")</f>
        <v>Present</v>
      </c>
    </row>
    <row r="3554" spans="1:5" x14ac:dyDescent="0.25">
      <c r="A3554" s="2" t="s">
        <v>3364</v>
      </c>
      <c r="B3554" s="2" t="s">
        <v>2725</v>
      </c>
      <c r="C3554" s="2">
        <v>2</v>
      </c>
      <c r="D3554" t="str">
        <f t="shared" si="55"/>
        <v>CA-2016-110366_FUR-FU-10004848</v>
      </c>
      <c r="E3554" t="str">
        <f>IF(COUNTIF(data1!$D:$D,D3554)=0,"Missing in Data1","Present")</f>
        <v>Present</v>
      </c>
    </row>
    <row r="3555" spans="1:5" x14ac:dyDescent="0.25">
      <c r="A3555" s="2" t="s">
        <v>3365</v>
      </c>
      <c r="B3555" s="2" t="s">
        <v>1311</v>
      </c>
      <c r="C3555" s="2">
        <v>4</v>
      </c>
      <c r="D3555" t="str">
        <f t="shared" si="55"/>
        <v>CA-2016-110492_OFF-BI-10003274</v>
      </c>
      <c r="E3555" t="str">
        <f>IF(COUNTIF(data1!$D:$D,D3555)=0,"Missing in Data1","Present")</f>
        <v>Present</v>
      </c>
    </row>
    <row r="3556" spans="1:5" x14ac:dyDescent="0.25">
      <c r="A3556" s="2" t="s">
        <v>3365</v>
      </c>
      <c r="B3556" s="2" t="s">
        <v>495</v>
      </c>
      <c r="C3556" s="2">
        <v>6</v>
      </c>
      <c r="D3556" t="str">
        <f t="shared" si="55"/>
        <v>CA-2016-110492_OFF-ST-10003716</v>
      </c>
      <c r="E3556" t="str">
        <f>IF(COUNTIF(data1!$D:$D,D3556)=0,"Missing in Data1","Present")</f>
        <v>Present</v>
      </c>
    </row>
    <row r="3557" spans="1:5" x14ac:dyDescent="0.25">
      <c r="A3557" s="2" t="s">
        <v>3366</v>
      </c>
      <c r="B3557" s="2" t="s">
        <v>1688</v>
      </c>
      <c r="C3557" s="2">
        <v>3</v>
      </c>
      <c r="D3557" t="str">
        <f t="shared" si="55"/>
        <v>CA-2016-110499_TEC-CO-10002095</v>
      </c>
      <c r="E3557" t="str">
        <f>IF(COUNTIF(data1!$D:$D,D3557)=0,"Missing in Data1","Present")</f>
        <v>Present</v>
      </c>
    </row>
    <row r="3558" spans="1:5" x14ac:dyDescent="0.25">
      <c r="A3558" s="2" t="s">
        <v>3367</v>
      </c>
      <c r="B3558" s="2" t="s">
        <v>122</v>
      </c>
      <c r="C3558" s="2">
        <v>2</v>
      </c>
      <c r="D3558" t="str">
        <f t="shared" si="55"/>
        <v>CA-2016-110730_OFF-SU-10004737</v>
      </c>
      <c r="E3558" t="str">
        <f>IF(COUNTIF(data1!$D:$D,D3558)=0,"Missing in Data1","Present")</f>
        <v>Present</v>
      </c>
    </row>
    <row r="3559" spans="1:5" x14ac:dyDescent="0.25">
      <c r="A3559" s="2" t="s">
        <v>3368</v>
      </c>
      <c r="B3559" s="2" t="s">
        <v>1960</v>
      </c>
      <c r="C3559" s="2">
        <v>3</v>
      </c>
      <c r="D3559" t="str">
        <f t="shared" si="55"/>
        <v>CA-2016-110772_FUR-BO-10004709</v>
      </c>
      <c r="E3559" t="str">
        <f>IF(COUNTIF(data1!$D:$D,D3559)=0,"Missing in Data1","Present")</f>
        <v>Present</v>
      </c>
    </row>
    <row r="3560" spans="1:5" x14ac:dyDescent="0.25">
      <c r="A3560" s="2" t="s">
        <v>3368</v>
      </c>
      <c r="B3560" s="2" t="s">
        <v>3268</v>
      </c>
      <c r="C3560" s="2">
        <v>7</v>
      </c>
      <c r="D3560" t="str">
        <f t="shared" si="55"/>
        <v>CA-2016-110772_OFF-FA-10002983</v>
      </c>
      <c r="E3560" t="str">
        <f>IF(COUNTIF(data1!$D:$D,D3560)=0,"Missing in Data1","Present")</f>
        <v>Present</v>
      </c>
    </row>
    <row r="3561" spans="1:5" x14ac:dyDescent="0.25">
      <c r="A3561" s="2" t="s">
        <v>3368</v>
      </c>
      <c r="B3561" s="2" t="s">
        <v>1480</v>
      </c>
      <c r="C3561" s="2">
        <v>8</v>
      </c>
      <c r="D3561" t="str">
        <f t="shared" si="55"/>
        <v>CA-2016-110772_OFF-LA-10004689</v>
      </c>
      <c r="E3561" t="str">
        <f>IF(COUNTIF(data1!$D:$D,D3561)=0,"Missing in Data1","Present")</f>
        <v>Present</v>
      </c>
    </row>
    <row r="3562" spans="1:5" x14ac:dyDescent="0.25">
      <c r="A3562" s="2" t="s">
        <v>3368</v>
      </c>
      <c r="B3562" s="2" t="s">
        <v>1823</v>
      </c>
      <c r="C3562" s="2">
        <v>2</v>
      </c>
      <c r="D3562" t="str">
        <f t="shared" si="55"/>
        <v>CA-2016-110772_TEC-AC-10002001</v>
      </c>
      <c r="E3562" t="str">
        <f>IF(COUNTIF(data1!$D:$D,D3562)=0,"Missing in Data1","Present")</f>
        <v>Missing in Data1</v>
      </c>
    </row>
    <row r="3563" spans="1:5" x14ac:dyDescent="0.25">
      <c r="A3563" s="2" t="s">
        <v>3369</v>
      </c>
      <c r="B3563" s="2" t="s">
        <v>57</v>
      </c>
      <c r="C3563" s="2">
        <v>5</v>
      </c>
      <c r="D3563" t="str">
        <f t="shared" si="55"/>
        <v>CA-2016-110898_FUR-FU-10003773</v>
      </c>
      <c r="E3563" t="str">
        <f>IF(COUNTIF(data1!$D:$D,D3563)=0,"Missing in Data1","Present")</f>
        <v>Present</v>
      </c>
    </row>
    <row r="3564" spans="1:5" x14ac:dyDescent="0.25">
      <c r="A3564" s="2" t="s">
        <v>3369</v>
      </c>
      <c r="B3564" s="2" t="s">
        <v>1696</v>
      </c>
      <c r="C3564" s="2">
        <v>2</v>
      </c>
      <c r="D3564" t="str">
        <f t="shared" si="55"/>
        <v>CA-2016-110898_FUR-TA-10000849</v>
      </c>
      <c r="E3564" t="str">
        <f>IF(COUNTIF(data1!$D:$D,D3564)=0,"Missing in Data1","Present")</f>
        <v>Present</v>
      </c>
    </row>
    <row r="3565" spans="1:5" x14ac:dyDescent="0.25">
      <c r="A3565" s="2" t="s">
        <v>3369</v>
      </c>
      <c r="B3565" s="2" t="s">
        <v>1453</v>
      </c>
      <c r="C3565" s="2">
        <v>3</v>
      </c>
      <c r="D3565" t="str">
        <f t="shared" si="55"/>
        <v>CA-2016-110898_OFF-AP-10001626</v>
      </c>
      <c r="E3565" t="str">
        <f>IF(COUNTIF(data1!$D:$D,D3565)=0,"Missing in Data1","Present")</f>
        <v>Present</v>
      </c>
    </row>
    <row r="3566" spans="1:5" x14ac:dyDescent="0.25">
      <c r="A3566" s="2" t="s">
        <v>3369</v>
      </c>
      <c r="B3566" s="2" t="s">
        <v>853</v>
      </c>
      <c r="C3566" s="2">
        <v>4</v>
      </c>
      <c r="D3566" t="str">
        <f t="shared" si="55"/>
        <v>CA-2016-110898_OFF-BI-10004656</v>
      </c>
      <c r="E3566" t="str">
        <f>IF(COUNTIF(data1!$D:$D,D3566)=0,"Missing in Data1","Present")</f>
        <v>Present</v>
      </c>
    </row>
    <row r="3567" spans="1:5" x14ac:dyDescent="0.25">
      <c r="A3567" s="2" t="s">
        <v>3370</v>
      </c>
      <c r="B3567" s="2" t="s">
        <v>2170</v>
      </c>
      <c r="C3567" s="2">
        <v>3</v>
      </c>
      <c r="D3567" t="str">
        <f t="shared" si="55"/>
        <v>CA-2016-110975_FUR-CH-10003746</v>
      </c>
      <c r="E3567" t="str">
        <f>IF(COUNTIF(data1!$D:$D,D3567)=0,"Missing in Data1","Present")</f>
        <v>Present</v>
      </c>
    </row>
    <row r="3568" spans="1:5" x14ac:dyDescent="0.25">
      <c r="A3568" s="2" t="s">
        <v>3370</v>
      </c>
      <c r="B3568" s="2" t="s">
        <v>841</v>
      </c>
      <c r="C3568" s="2">
        <v>2</v>
      </c>
      <c r="D3568" t="str">
        <f t="shared" si="55"/>
        <v>CA-2016-110975_FUR-TA-10002958</v>
      </c>
      <c r="E3568" t="str">
        <f>IF(COUNTIF(data1!$D:$D,D3568)=0,"Missing in Data1","Present")</f>
        <v>Missing in Data1</v>
      </c>
    </row>
    <row r="3569" spans="1:5" x14ac:dyDescent="0.25">
      <c r="A3569" s="2" t="s">
        <v>3371</v>
      </c>
      <c r="B3569" s="2" t="s">
        <v>1618</v>
      </c>
      <c r="C3569" s="2">
        <v>4</v>
      </c>
      <c r="D3569" t="str">
        <f t="shared" si="55"/>
        <v>CA-2016-110982_OFF-AP-10004859</v>
      </c>
      <c r="E3569" t="str">
        <f>IF(COUNTIF(data1!$D:$D,D3569)=0,"Missing in Data1","Present")</f>
        <v>Present</v>
      </c>
    </row>
    <row r="3570" spans="1:5" x14ac:dyDescent="0.25">
      <c r="A3570" s="2" t="s">
        <v>3371</v>
      </c>
      <c r="B3570" s="2" t="s">
        <v>419</v>
      </c>
      <c r="C3570" s="2">
        <v>6</v>
      </c>
      <c r="D3570" t="str">
        <f t="shared" si="55"/>
        <v>CA-2016-110982_OFF-BI-10000829</v>
      </c>
      <c r="E3570" t="str">
        <f>IF(COUNTIF(data1!$D:$D,D3570)=0,"Missing in Data1","Present")</f>
        <v>Present</v>
      </c>
    </row>
    <row r="3571" spans="1:5" x14ac:dyDescent="0.25">
      <c r="A3571" s="2" t="s">
        <v>3373</v>
      </c>
      <c r="B3571" s="2" t="s">
        <v>1303</v>
      </c>
      <c r="C3571" s="2">
        <v>6</v>
      </c>
      <c r="D3571" t="str">
        <f t="shared" si="55"/>
        <v>CA-2016-111115_OFF-FA-10000624</v>
      </c>
      <c r="E3571" t="str">
        <f>IF(COUNTIF(data1!$D:$D,D3571)=0,"Missing in Data1","Present")</f>
        <v>Present</v>
      </c>
    </row>
    <row r="3572" spans="1:5" x14ac:dyDescent="0.25">
      <c r="A3572" s="2" t="s">
        <v>3374</v>
      </c>
      <c r="B3572" s="2" t="s">
        <v>2280</v>
      </c>
      <c r="C3572" s="2">
        <v>3</v>
      </c>
      <c r="D3572" t="str">
        <f t="shared" si="55"/>
        <v>CA-2016-111143_OFF-AP-10001947</v>
      </c>
      <c r="E3572" t="str">
        <f>IF(COUNTIF(data1!$D:$D,D3572)=0,"Missing in Data1","Present")</f>
        <v>Present</v>
      </c>
    </row>
    <row r="3573" spans="1:5" x14ac:dyDescent="0.25">
      <c r="A3573" s="2" t="s">
        <v>3375</v>
      </c>
      <c r="B3573" s="2" t="s">
        <v>297</v>
      </c>
      <c r="C3573" s="2">
        <v>6</v>
      </c>
      <c r="D3573" t="str">
        <f t="shared" si="55"/>
        <v>CA-2016-111213_FUR-CH-10000454</v>
      </c>
      <c r="E3573" t="str">
        <f>IF(COUNTIF(data1!$D:$D,D3573)=0,"Missing in Data1","Present")</f>
        <v>Present</v>
      </c>
    </row>
    <row r="3574" spans="1:5" x14ac:dyDescent="0.25">
      <c r="A3574" s="2" t="s">
        <v>3375</v>
      </c>
      <c r="B3574" s="2" t="s">
        <v>70</v>
      </c>
      <c r="C3574" s="2">
        <v>1</v>
      </c>
      <c r="D3574" t="str">
        <f t="shared" si="55"/>
        <v>CA-2016-111213_OFF-BI-10004140</v>
      </c>
      <c r="E3574" t="str">
        <f>IF(COUNTIF(data1!$D:$D,D3574)=0,"Missing in Data1","Present")</f>
        <v>Present</v>
      </c>
    </row>
    <row r="3575" spans="1:5" x14ac:dyDescent="0.25">
      <c r="A3575" s="2" t="s">
        <v>3375</v>
      </c>
      <c r="B3575" s="2" t="s">
        <v>3376</v>
      </c>
      <c r="C3575" s="2">
        <v>8</v>
      </c>
      <c r="D3575" t="str">
        <f t="shared" si="55"/>
        <v>CA-2016-111213_OFF-SU-10000946</v>
      </c>
      <c r="E3575" t="str">
        <f>IF(COUNTIF(data1!$D:$D,D3575)=0,"Missing in Data1","Present")</f>
        <v>Present</v>
      </c>
    </row>
    <row r="3576" spans="1:5" x14ac:dyDescent="0.25">
      <c r="A3576" s="2" t="s">
        <v>3377</v>
      </c>
      <c r="B3576" s="2" t="s">
        <v>1492</v>
      </c>
      <c r="C3576" s="2">
        <v>7</v>
      </c>
      <c r="D3576" t="str">
        <f t="shared" si="55"/>
        <v>CA-2016-111283_OFF-AR-10001615</v>
      </c>
      <c r="E3576" t="str">
        <f>IF(COUNTIF(data1!$D:$D,D3576)=0,"Missing in Data1","Present")</f>
        <v>Present</v>
      </c>
    </row>
    <row r="3577" spans="1:5" x14ac:dyDescent="0.25">
      <c r="A3577" s="2" t="s">
        <v>3378</v>
      </c>
      <c r="B3577" s="2" t="s">
        <v>347</v>
      </c>
      <c r="C3577" s="2">
        <v>8</v>
      </c>
      <c r="D3577" t="str">
        <f t="shared" si="55"/>
        <v>CA-2016-111318_TEC-PH-10004100</v>
      </c>
      <c r="E3577" t="str">
        <f>IF(COUNTIF(data1!$D:$D,D3577)=0,"Missing in Data1","Present")</f>
        <v>Present</v>
      </c>
    </row>
    <row r="3578" spans="1:5" x14ac:dyDescent="0.25">
      <c r="A3578" s="2" t="s">
        <v>3379</v>
      </c>
      <c r="B3578" s="2" t="s">
        <v>997</v>
      </c>
      <c r="C3578" s="2">
        <v>1</v>
      </c>
      <c r="D3578" t="str">
        <f t="shared" si="55"/>
        <v>CA-2016-111409_OFF-LA-10002787</v>
      </c>
      <c r="E3578" t="str">
        <f>IF(COUNTIF(data1!$D:$D,D3578)=0,"Missing in Data1","Present")</f>
        <v>Present</v>
      </c>
    </row>
    <row r="3579" spans="1:5" x14ac:dyDescent="0.25">
      <c r="A3579" s="2" t="s">
        <v>3380</v>
      </c>
      <c r="B3579" s="2" t="s">
        <v>637</v>
      </c>
      <c r="C3579" s="2">
        <v>5</v>
      </c>
      <c r="D3579" t="str">
        <f t="shared" si="55"/>
        <v>CA-2016-111416_OFF-BI-10002026</v>
      </c>
      <c r="E3579" t="str">
        <f>IF(COUNTIF(data1!$D:$D,D3579)=0,"Missing in Data1","Present")</f>
        <v>Present</v>
      </c>
    </row>
    <row r="3580" spans="1:5" x14ac:dyDescent="0.25">
      <c r="A3580" s="2" t="s">
        <v>3381</v>
      </c>
      <c r="B3580" s="2" t="s">
        <v>676</v>
      </c>
      <c r="C3580" s="2">
        <v>6</v>
      </c>
      <c r="D3580" t="str">
        <f t="shared" si="55"/>
        <v>CA-2016-111493_TEC-AC-10004510</v>
      </c>
      <c r="E3580" t="str">
        <f>IF(COUNTIF(data1!$D:$D,D3580)=0,"Missing in Data1","Present")</f>
        <v>Present</v>
      </c>
    </row>
    <row r="3581" spans="1:5" x14ac:dyDescent="0.25">
      <c r="A3581" s="2" t="s">
        <v>3382</v>
      </c>
      <c r="B3581" s="2" t="s">
        <v>1783</v>
      </c>
      <c r="C3581" s="2">
        <v>1</v>
      </c>
      <c r="D3581" t="str">
        <f t="shared" si="55"/>
        <v>CA-2016-111605_OFF-LA-10002368</v>
      </c>
      <c r="E3581" t="str">
        <f>IF(COUNTIF(data1!$D:$D,D3581)=0,"Missing in Data1","Present")</f>
        <v>Present</v>
      </c>
    </row>
    <row r="3582" spans="1:5" x14ac:dyDescent="0.25">
      <c r="A3582" s="2" t="s">
        <v>3383</v>
      </c>
      <c r="B3582" s="2" t="s">
        <v>2738</v>
      </c>
      <c r="C3582" s="2">
        <v>5</v>
      </c>
      <c r="D3582" t="str">
        <f t="shared" si="55"/>
        <v>CA-2016-111682_FUR-CH-10003968</v>
      </c>
      <c r="E3582" t="str">
        <f>IF(COUNTIF(data1!$D:$D,D3582)=0,"Missing in Data1","Present")</f>
        <v>Present</v>
      </c>
    </row>
    <row r="3583" spans="1:5" x14ac:dyDescent="0.25">
      <c r="A3583" s="2" t="s">
        <v>3383</v>
      </c>
      <c r="B3583" s="2" t="s">
        <v>17</v>
      </c>
      <c r="C3583" s="2">
        <v>1</v>
      </c>
      <c r="D3583" t="str">
        <f t="shared" si="55"/>
        <v>CA-2016-111682_OFF-AR-10001868</v>
      </c>
      <c r="E3583" t="str">
        <f>IF(COUNTIF(data1!$D:$D,D3583)=0,"Missing in Data1","Present")</f>
        <v>Present</v>
      </c>
    </row>
    <row r="3584" spans="1:5" x14ac:dyDescent="0.25">
      <c r="A3584" s="2" t="s">
        <v>3383</v>
      </c>
      <c r="B3584" s="2" t="s">
        <v>1843</v>
      </c>
      <c r="C3584" s="2">
        <v>4</v>
      </c>
      <c r="D3584" t="str">
        <f t="shared" si="55"/>
        <v>CA-2016-111682_OFF-BI-10001460</v>
      </c>
      <c r="E3584" t="str">
        <f>IF(COUNTIF(data1!$D:$D,D3584)=0,"Missing in Data1","Present")</f>
        <v>Present</v>
      </c>
    </row>
    <row r="3585" spans="1:5" x14ac:dyDescent="0.25">
      <c r="A3585" s="2" t="s">
        <v>3383</v>
      </c>
      <c r="B3585" s="2" t="s">
        <v>282</v>
      </c>
      <c r="C3585" s="2">
        <v>2</v>
      </c>
      <c r="D3585" t="str">
        <f t="shared" si="55"/>
        <v>CA-2016-111682_OFF-PA-10000587</v>
      </c>
      <c r="E3585" t="str">
        <f>IF(COUNTIF(data1!$D:$D,D3585)=0,"Missing in Data1","Present")</f>
        <v>Present</v>
      </c>
    </row>
    <row r="3586" spans="1:5" x14ac:dyDescent="0.25">
      <c r="A3586" s="2" t="s">
        <v>3383</v>
      </c>
      <c r="B3586" s="2" t="s">
        <v>931</v>
      </c>
      <c r="C3586" s="2">
        <v>5</v>
      </c>
      <c r="D3586" t="str">
        <f t="shared" si="55"/>
        <v>CA-2016-111682_OFF-PA-10001569</v>
      </c>
      <c r="E3586" t="str">
        <f>IF(COUNTIF(data1!$D:$D,D3586)=0,"Missing in Data1","Present")</f>
        <v>Present</v>
      </c>
    </row>
    <row r="3587" spans="1:5" x14ac:dyDescent="0.25">
      <c r="A3587" s="2" t="s">
        <v>3383</v>
      </c>
      <c r="B3587" s="2" t="s">
        <v>2149</v>
      </c>
      <c r="C3587" s="2">
        <v>6</v>
      </c>
      <c r="D3587" t="str">
        <f t="shared" ref="D3587:D3650" si="56">A3587&amp;"_"&amp;B3587</f>
        <v>CA-2016-111682_OFF-ST-10000604</v>
      </c>
      <c r="E3587" t="str">
        <f>IF(COUNTIF(data1!$D:$D,D3587)=0,"Missing in Data1","Present")</f>
        <v>Present</v>
      </c>
    </row>
    <row r="3588" spans="1:5" x14ac:dyDescent="0.25">
      <c r="A3588" s="2" t="s">
        <v>3383</v>
      </c>
      <c r="B3588" s="2" t="s">
        <v>1315</v>
      </c>
      <c r="C3588" s="2">
        <v>2</v>
      </c>
      <c r="D3588" t="str">
        <f t="shared" si="56"/>
        <v>CA-2016-111682_TEC-AC-10002167</v>
      </c>
      <c r="E3588" t="str">
        <f>IF(COUNTIF(data1!$D:$D,D3588)=0,"Missing in Data1","Present")</f>
        <v>Present</v>
      </c>
    </row>
    <row r="3589" spans="1:5" x14ac:dyDescent="0.25">
      <c r="A3589" s="2" t="s">
        <v>3384</v>
      </c>
      <c r="B3589" s="2" t="s">
        <v>1932</v>
      </c>
      <c r="C3589" s="2">
        <v>3</v>
      </c>
      <c r="D3589" t="str">
        <f t="shared" si="56"/>
        <v>CA-2016-111696_OFF-PA-10002751</v>
      </c>
      <c r="E3589" t="str">
        <f>IF(COUNTIF(data1!$D:$D,D3589)=0,"Missing in Data1","Present")</f>
        <v>Present</v>
      </c>
    </row>
    <row r="3590" spans="1:5" x14ac:dyDescent="0.25">
      <c r="A3590" s="2" t="s">
        <v>3385</v>
      </c>
      <c r="B3590" s="2" t="s">
        <v>433</v>
      </c>
      <c r="C3590" s="2">
        <v>1</v>
      </c>
      <c r="D3590" t="str">
        <f t="shared" si="56"/>
        <v>CA-2016-111794_OFF-PA-10000474</v>
      </c>
      <c r="E3590" t="str">
        <f>IF(COUNTIF(data1!$D:$D,D3590)=0,"Missing in Data1","Present")</f>
        <v>Present</v>
      </c>
    </row>
    <row r="3591" spans="1:5" x14ac:dyDescent="0.25">
      <c r="A3591" s="2" t="s">
        <v>3385</v>
      </c>
      <c r="B3591" s="2" t="s">
        <v>877</v>
      </c>
      <c r="C3591" s="2">
        <v>3</v>
      </c>
      <c r="D3591" t="str">
        <f t="shared" si="56"/>
        <v>CA-2016-111794_TEC-AC-10003832</v>
      </c>
      <c r="E3591" t="str">
        <f>IF(COUNTIF(data1!$D:$D,D3591)=0,"Missing in Data1","Present")</f>
        <v>Present</v>
      </c>
    </row>
    <row r="3592" spans="1:5" x14ac:dyDescent="0.25">
      <c r="A3592" s="2" t="s">
        <v>3386</v>
      </c>
      <c r="B3592" s="2" t="s">
        <v>9</v>
      </c>
      <c r="C3592" s="2">
        <v>3</v>
      </c>
      <c r="D3592" t="str">
        <f t="shared" si="56"/>
        <v>CA-2016-111913_OFF-BI-10000343</v>
      </c>
      <c r="E3592" t="str">
        <f>IF(COUNTIF(data1!$D:$D,D3592)=0,"Missing in Data1","Present")</f>
        <v>Present</v>
      </c>
    </row>
    <row r="3593" spans="1:5" x14ac:dyDescent="0.25">
      <c r="A3593" s="2" t="s">
        <v>3386</v>
      </c>
      <c r="B3593" s="2" t="s">
        <v>548</v>
      </c>
      <c r="C3593" s="2">
        <v>2</v>
      </c>
      <c r="D3593" t="str">
        <f t="shared" si="56"/>
        <v>CA-2016-111913_TEC-PH-10002275</v>
      </c>
      <c r="E3593" t="str">
        <f>IF(COUNTIF(data1!$D:$D,D3593)=0,"Missing in Data1","Present")</f>
        <v>Present</v>
      </c>
    </row>
    <row r="3594" spans="1:5" x14ac:dyDescent="0.25">
      <c r="A3594" s="2" t="s">
        <v>3387</v>
      </c>
      <c r="B3594" s="2" t="s">
        <v>1815</v>
      </c>
      <c r="C3594" s="2">
        <v>2</v>
      </c>
      <c r="D3594" t="str">
        <f t="shared" si="56"/>
        <v>CA-2016-111941_OFF-BI-10001524</v>
      </c>
      <c r="E3594" t="str">
        <f>IF(COUNTIF(data1!$D:$D,D3594)=0,"Missing in Data1","Present")</f>
        <v>Present</v>
      </c>
    </row>
    <row r="3595" spans="1:5" x14ac:dyDescent="0.25">
      <c r="A3595" s="2" t="s">
        <v>3388</v>
      </c>
      <c r="B3595" s="2" t="s">
        <v>2834</v>
      </c>
      <c r="C3595" s="2">
        <v>2</v>
      </c>
      <c r="D3595" t="str">
        <f t="shared" si="56"/>
        <v>CA-2016-111976_OFF-FA-10004968</v>
      </c>
      <c r="E3595" t="str">
        <f>IF(COUNTIF(data1!$D:$D,D3595)=0,"Missing in Data1","Present")</f>
        <v>Present</v>
      </c>
    </row>
    <row r="3596" spans="1:5" x14ac:dyDescent="0.25">
      <c r="A3596" s="2" t="s">
        <v>3388</v>
      </c>
      <c r="B3596" s="2" t="s">
        <v>737</v>
      </c>
      <c r="C3596" s="2">
        <v>4</v>
      </c>
      <c r="D3596" t="str">
        <f t="shared" si="56"/>
        <v>CA-2016-111976_TEC-PH-10002890</v>
      </c>
      <c r="E3596" t="str">
        <f>IF(COUNTIF(data1!$D:$D,D3596)=0,"Missing in Data1","Present")</f>
        <v>Present</v>
      </c>
    </row>
    <row r="3597" spans="1:5" x14ac:dyDescent="0.25">
      <c r="A3597" s="2" t="s">
        <v>3389</v>
      </c>
      <c r="B3597" s="2" t="s">
        <v>955</v>
      </c>
      <c r="C3597" s="2">
        <v>3</v>
      </c>
      <c r="D3597" t="str">
        <f t="shared" si="56"/>
        <v>CA-2016-112025_OFF-BI-10002353</v>
      </c>
      <c r="E3597" t="str">
        <f>IF(COUNTIF(data1!$D:$D,D3597)=0,"Missing in Data1","Present")</f>
        <v>Present</v>
      </c>
    </row>
    <row r="3598" spans="1:5" x14ac:dyDescent="0.25">
      <c r="A3598" s="2" t="s">
        <v>3390</v>
      </c>
      <c r="B3598" s="2" t="s">
        <v>2100</v>
      </c>
      <c r="C3598" s="2">
        <v>1</v>
      </c>
      <c r="D3598" t="str">
        <f t="shared" si="56"/>
        <v>CA-2016-112060_OFF-PA-10000994</v>
      </c>
      <c r="E3598" t="str">
        <f>IF(COUNTIF(data1!$D:$D,D3598)=0,"Missing in Data1","Present")</f>
        <v>Present</v>
      </c>
    </row>
    <row r="3599" spans="1:5" x14ac:dyDescent="0.25">
      <c r="A3599" s="2" t="s">
        <v>3391</v>
      </c>
      <c r="B3599" s="2" t="s">
        <v>1100</v>
      </c>
      <c r="C3599" s="2">
        <v>4</v>
      </c>
      <c r="D3599" t="str">
        <f t="shared" si="56"/>
        <v>CA-2016-112102_FUR-TA-10004086</v>
      </c>
      <c r="E3599" t="str">
        <f>IF(COUNTIF(data1!$D:$D,D3599)=0,"Missing in Data1","Present")</f>
        <v>Present</v>
      </c>
    </row>
    <row r="3600" spans="1:5" x14ac:dyDescent="0.25">
      <c r="A3600" s="2" t="s">
        <v>3391</v>
      </c>
      <c r="B3600" s="2" t="s">
        <v>758</v>
      </c>
      <c r="C3600" s="2">
        <v>5</v>
      </c>
      <c r="D3600" t="str">
        <f t="shared" si="56"/>
        <v>CA-2016-112102_OFF-EN-10002500</v>
      </c>
      <c r="E3600" t="str">
        <f>IF(COUNTIF(data1!$D:$D,D3600)=0,"Missing in Data1","Present")</f>
        <v>Missing in Data1</v>
      </c>
    </row>
    <row r="3601" spans="1:5" x14ac:dyDescent="0.25">
      <c r="A3601" s="2" t="s">
        <v>3391</v>
      </c>
      <c r="B3601" s="2" t="s">
        <v>915</v>
      </c>
      <c r="C3601" s="2">
        <v>1</v>
      </c>
      <c r="D3601" t="str">
        <f t="shared" si="56"/>
        <v>CA-2016-112102_OFF-PA-10000100</v>
      </c>
      <c r="E3601" t="str">
        <f>IF(COUNTIF(data1!$D:$D,D3601)=0,"Missing in Data1","Present")</f>
        <v>Present</v>
      </c>
    </row>
    <row r="3602" spans="1:5" x14ac:dyDescent="0.25">
      <c r="A3602" s="2" t="s">
        <v>3392</v>
      </c>
      <c r="B3602" s="2" t="s">
        <v>1083</v>
      </c>
      <c r="C3602" s="2">
        <v>3</v>
      </c>
      <c r="D3602" t="str">
        <f t="shared" si="56"/>
        <v>CA-2016-112109_FUR-CH-10004287</v>
      </c>
      <c r="E3602" t="str">
        <f>IF(COUNTIF(data1!$D:$D,D3602)=0,"Missing in Data1","Present")</f>
        <v>Present</v>
      </c>
    </row>
    <row r="3603" spans="1:5" x14ac:dyDescent="0.25">
      <c r="A3603" s="2" t="s">
        <v>3392</v>
      </c>
      <c r="B3603" s="2" t="s">
        <v>3393</v>
      </c>
      <c r="C3603" s="2">
        <v>4</v>
      </c>
      <c r="D3603" t="str">
        <f t="shared" si="56"/>
        <v>CA-2016-112109_OFF-BI-10001634</v>
      </c>
      <c r="E3603" t="str">
        <f>IF(COUNTIF(data1!$D:$D,D3603)=0,"Missing in Data1","Present")</f>
        <v>Present</v>
      </c>
    </row>
    <row r="3604" spans="1:5" x14ac:dyDescent="0.25">
      <c r="A3604" s="2" t="s">
        <v>3392</v>
      </c>
      <c r="B3604" s="2" t="s">
        <v>1961</v>
      </c>
      <c r="C3604" s="2">
        <v>2</v>
      </c>
      <c r="D3604" t="str">
        <f t="shared" si="56"/>
        <v>CA-2016-112109_OFF-BI-10002082</v>
      </c>
      <c r="E3604" t="str">
        <f>IF(COUNTIF(data1!$D:$D,D3604)=0,"Missing in Data1","Present")</f>
        <v>Present</v>
      </c>
    </row>
    <row r="3605" spans="1:5" x14ac:dyDescent="0.25">
      <c r="A3605" s="2" t="s">
        <v>3392</v>
      </c>
      <c r="B3605" s="2" t="s">
        <v>487</v>
      </c>
      <c r="C3605" s="2">
        <v>7</v>
      </c>
      <c r="D3605" t="str">
        <f t="shared" si="56"/>
        <v>CA-2016-112109_OFF-ST-10001505</v>
      </c>
      <c r="E3605" t="str">
        <f>IF(COUNTIF(data1!$D:$D,D3605)=0,"Missing in Data1","Present")</f>
        <v>Present</v>
      </c>
    </row>
    <row r="3606" spans="1:5" x14ac:dyDescent="0.25">
      <c r="A3606" s="2" t="s">
        <v>3394</v>
      </c>
      <c r="B3606" s="2" t="s">
        <v>921</v>
      </c>
      <c r="C3606" s="2">
        <v>7</v>
      </c>
      <c r="D3606" t="str">
        <f t="shared" si="56"/>
        <v>CA-2016-112123_OFF-BI-10001071</v>
      </c>
      <c r="E3606" t="str">
        <f>IF(COUNTIF(data1!$D:$D,D3606)=0,"Missing in Data1","Present")</f>
        <v>Present</v>
      </c>
    </row>
    <row r="3607" spans="1:5" x14ac:dyDescent="0.25">
      <c r="A3607" s="2" t="s">
        <v>3394</v>
      </c>
      <c r="B3607" s="2" t="s">
        <v>92</v>
      </c>
      <c r="C3607" s="2">
        <v>3</v>
      </c>
      <c r="D3607" t="str">
        <f t="shared" si="56"/>
        <v>CA-2016-112123_OFF-PA-10001977</v>
      </c>
      <c r="E3607" t="str">
        <f>IF(COUNTIF(data1!$D:$D,D3607)=0,"Missing in Data1","Present")</f>
        <v>Present</v>
      </c>
    </row>
    <row r="3608" spans="1:5" x14ac:dyDescent="0.25">
      <c r="A3608" s="2" t="s">
        <v>3394</v>
      </c>
      <c r="B3608" s="2" t="s">
        <v>312</v>
      </c>
      <c r="C3608" s="2">
        <v>5</v>
      </c>
      <c r="D3608" t="str">
        <f t="shared" si="56"/>
        <v>CA-2016-112123_TEC-PH-10001557</v>
      </c>
      <c r="E3608" t="str">
        <f>IF(COUNTIF(data1!$D:$D,D3608)=0,"Missing in Data1","Present")</f>
        <v>Present</v>
      </c>
    </row>
    <row r="3609" spans="1:5" x14ac:dyDescent="0.25">
      <c r="A3609" s="2" t="s">
        <v>3395</v>
      </c>
      <c r="B3609" s="2" t="s">
        <v>3396</v>
      </c>
      <c r="C3609" s="2">
        <v>2</v>
      </c>
      <c r="D3609" t="str">
        <f t="shared" si="56"/>
        <v>CA-2016-112256_OFF-AR-10001216</v>
      </c>
      <c r="E3609" t="str">
        <f>IF(COUNTIF(data1!$D:$D,D3609)=0,"Missing in Data1","Present")</f>
        <v>Present</v>
      </c>
    </row>
    <row r="3610" spans="1:5" x14ac:dyDescent="0.25">
      <c r="A3610" s="2" t="s">
        <v>3395</v>
      </c>
      <c r="B3610" s="2" t="s">
        <v>1062</v>
      </c>
      <c r="C3610" s="2">
        <v>5</v>
      </c>
      <c r="D3610" t="str">
        <f t="shared" si="56"/>
        <v>CA-2016-112256_OFF-AR-10001953</v>
      </c>
      <c r="E3610" t="str">
        <f>IF(COUNTIF(data1!$D:$D,D3610)=0,"Missing in Data1","Present")</f>
        <v>Present</v>
      </c>
    </row>
    <row r="3611" spans="1:5" x14ac:dyDescent="0.25">
      <c r="A3611" s="2" t="s">
        <v>3395</v>
      </c>
      <c r="B3611" s="2" t="s">
        <v>432</v>
      </c>
      <c r="C3611" s="2">
        <v>4</v>
      </c>
      <c r="D3611" t="str">
        <f t="shared" si="56"/>
        <v>CA-2016-112256_OFF-BI-10004364</v>
      </c>
      <c r="E3611" t="str">
        <f>IF(COUNTIF(data1!$D:$D,D3611)=0,"Missing in Data1","Present")</f>
        <v>Present</v>
      </c>
    </row>
    <row r="3612" spans="1:5" x14ac:dyDescent="0.25">
      <c r="A3612" s="2" t="s">
        <v>3395</v>
      </c>
      <c r="B3612" s="2" t="s">
        <v>2301</v>
      </c>
      <c r="C3612" s="2">
        <v>1</v>
      </c>
      <c r="D3612" t="str">
        <f t="shared" si="56"/>
        <v>CA-2016-112256_OFF-PA-10004355</v>
      </c>
      <c r="E3612" t="str">
        <f>IF(COUNTIF(data1!$D:$D,D3612)=0,"Missing in Data1","Present")</f>
        <v>Present</v>
      </c>
    </row>
    <row r="3613" spans="1:5" x14ac:dyDescent="0.25">
      <c r="A3613" s="2" t="s">
        <v>3395</v>
      </c>
      <c r="B3613" s="2" t="s">
        <v>2141</v>
      </c>
      <c r="C3613" s="2">
        <v>2</v>
      </c>
      <c r="D3613" t="str">
        <f t="shared" si="56"/>
        <v>CA-2016-112256_OFF-SU-10001165</v>
      </c>
      <c r="E3613" t="str">
        <f>IF(COUNTIF(data1!$D:$D,D3613)=0,"Missing in Data1","Present")</f>
        <v>Present</v>
      </c>
    </row>
    <row r="3614" spans="1:5" x14ac:dyDescent="0.25">
      <c r="A3614" s="2" t="s">
        <v>3397</v>
      </c>
      <c r="B3614" s="2" t="s">
        <v>139</v>
      </c>
      <c r="C3614" s="2">
        <v>7</v>
      </c>
      <c r="D3614" t="str">
        <f t="shared" si="56"/>
        <v>CA-2016-112277_TEC-PH-10003505</v>
      </c>
      <c r="E3614" t="str">
        <f>IF(COUNTIF(data1!$D:$D,D3614)=0,"Missing in Data1","Present")</f>
        <v>Present</v>
      </c>
    </row>
    <row r="3615" spans="1:5" x14ac:dyDescent="0.25">
      <c r="A3615" s="2" t="s">
        <v>3398</v>
      </c>
      <c r="B3615" s="2" t="s">
        <v>3399</v>
      </c>
      <c r="C3615" s="2">
        <v>3</v>
      </c>
      <c r="D3615" t="str">
        <f t="shared" si="56"/>
        <v>CA-2016-112340_OFF-PA-10001892</v>
      </c>
      <c r="E3615" t="str">
        <f>IF(COUNTIF(data1!$D:$D,D3615)=0,"Missing in Data1","Present")</f>
        <v>Present</v>
      </c>
    </row>
    <row r="3616" spans="1:5" x14ac:dyDescent="0.25">
      <c r="A3616" s="2" t="s">
        <v>3400</v>
      </c>
      <c r="B3616" s="2" t="s">
        <v>924</v>
      </c>
      <c r="C3616" s="2">
        <v>2</v>
      </c>
      <c r="D3616" t="str">
        <f t="shared" si="56"/>
        <v>CA-2016-112382_TEC-PH-10001552</v>
      </c>
      <c r="E3616" t="str">
        <f>IF(COUNTIF(data1!$D:$D,D3616)=0,"Missing in Data1","Present")</f>
        <v>Present</v>
      </c>
    </row>
    <row r="3617" spans="1:5" x14ac:dyDescent="0.25">
      <c r="A3617" s="2" t="s">
        <v>3401</v>
      </c>
      <c r="B3617" s="2" t="s">
        <v>1453</v>
      </c>
      <c r="C3617" s="2">
        <v>3</v>
      </c>
      <c r="D3617" t="str">
        <f t="shared" si="56"/>
        <v>CA-2016-112389_OFF-AP-10001626</v>
      </c>
      <c r="E3617" t="str">
        <f>IF(COUNTIF(data1!$D:$D,D3617)=0,"Missing in Data1","Present")</f>
        <v>Present</v>
      </c>
    </row>
    <row r="3618" spans="1:5" x14ac:dyDescent="0.25">
      <c r="A3618" s="2" t="s">
        <v>3401</v>
      </c>
      <c r="B3618" s="2" t="s">
        <v>1827</v>
      </c>
      <c r="C3618" s="2">
        <v>3</v>
      </c>
      <c r="D3618" t="str">
        <f t="shared" si="56"/>
        <v>CA-2016-112389_OFF-ST-10000419</v>
      </c>
      <c r="E3618" t="str">
        <f>IF(COUNTIF(data1!$D:$D,D3618)=0,"Missing in Data1","Present")</f>
        <v>Present</v>
      </c>
    </row>
    <row r="3619" spans="1:5" x14ac:dyDescent="0.25">
      <c r="A3619" s="2" t="s">
        <v>3402</v>
      </c>
      <c r="B3619" s="2" t="s">
        <v>865</v>
      </c>
      <c r="C3619" s="2">
        <v>1</v>
      </c>
      <c r="D3619" t="str">
        <f t="shared" si="56"/>
        <v>CA-2016-112578_OFF-ST-10003722</v>
      </c>
      <c r="E3619" t="str">
        <f>IF(COUNTIF(data1!$D:$D,D3619)=0,"Missing in Data1","Present")</f>
        <v>Present</v>
      </c>
    </row>
    <row r="3620" spans="1:5" x14ac:dyDescent="0.25">
      <c r="A3620" s="2" t="s">
        <v>3402</v>
      </c>
      <c r="B3620" s="2" t="s">
        <v>2539</v>
      </c>
      <c r="C3620" s="2">
        <v>2</v>
      </c>
      <c r="D3620" t="str">
        <f t="shared" si="56"/>
        <v>CA-2016-112578_OFF-SU-10002557</v>
      </c>
      <c r="E3620" t="str">
        <f>IF(COUNTIF(data1!$D:$D,D3620)=0,"Missing in Data1","Present")</f>
        <v>Present</v>
      </c>
    </row>
    <row r="3621" spans="1:5" x14ac:dyDescent="0.25">
      <c r="A3621" s="2" t="s">
        <v>3403</v>
      </c>
      <c r="B3621" s="2" t="s">
        <v>2130</v>
      </c>
      <c r="C3621" s="2">
        <v>2</v>
      </c>
      <c r="D3621" t="str">
        <f t="shared" si="56"/>
        <v>CA-2016-112585_OFF-AP-10003849</v>
      </c>
      <c r="E3621" t="str">
        <f>IF(COUNTIF(data1!$D:$D,D3621)=0,"Missing in Data1","Present")</f>
        <v>Present</v>
      </c>
    </row>
    <row r="3622" spans="1:5" x14ac:dyDescent="0.25">
      <c r="A3622" s="2" t="s">
        <v>3404</v>
      </c>
      <c r="B3622" s="2" t="s">
        <v>2153</v>
      </c>
      <c r="C3622" s="2">
        <v>4</v>
      </c>
      <c r="D3622" t="str">
        <f t="shared" si="56"/>
        <v>CA-2016-112669_FUR-CH-10004086</v>
      </c>
      <c r="E3622" t="str">
        <f>IF(COUNTIF(data1!$D:$D,D3622)=0,"Missing in Data1","Present")</f>
        <v>Present</v>
      </c>
    </row>
    <row r="3623" spans="1:5" x14ac:dyDescent="0.25">
      <c r="A3623" s="2" t="s">
        <v>3404</v>
      </c>
      <c r="B3623" s="2" t="s">
        <v>1024</v>
      </c>
      <c r="C3623" s="2">
        <v>4</v>
      </c>
      <c r="D3623" t="str">
        <f t="shared" si="56"/>
        <v>CA-2016-112669_OFF-ST-10001228</v>
      </c>
      <c r="E3623" t="str">
        <f>IF(COUNTIF(data1!$D:$D,D3623)=0,"Missing in Data1","Present")</f>
        <v>Present</v>
      </c>
    </row>
    <row r="3624" spans="1:5" x14ac:dyDescent="0.25">
      <c r="A3624" s="2" t="s">
        <v>3405</v>
      </c>
      <c r="B3624" s="2" t="s">
        <v>887</v>
      </c>
      <c r="C3624" s="2">
        <v>3</v>
      </c>
      <c r="D3624" t="str">
        <f t="shared" si="56"/>
        <v>CA-2016-112676_OFF-PA-10003971</v>
      </c>
      <c r="E3624" t="str">
        <f>IF(COUNTIF(data1!$D:$D,D3624)=0,"Missing in Data1","Present")</f>
        <v>Present</v>
      </c>
    </row>
    <row r="3625" spans="1:5" x14ac:dyDescent="0.25">
      <c r="A3625" s="2" t="s">
        <v>3406</v>
      </c>
      <c r="B3625" s="2" t="s">
        <v>2333</v>
      </c>
      <c r="C3625" s="2">
        <v>2</v>
      </c>
      <c r="D3625" t="str">
        <f t="shared" si="56"/>
        <v>CA-2016-112697_OFF-AP-10002684</v>
      </c>
      <c r="E3625" t="str">
        <f>IF(COUNTIF(data1!$D:$D,D3625)=0,"Missing in Data1","Present")</f>
        <v>Present</v>
      </c>
    </row>
    <row r="3626" spans="1:5" x14ac:dyDescent="0.25">
      <c r="A3626" s="2" t="s">
        <v>3406</v>
      </c>
      <c r="B3626" s="2" t="s">
        <v>2358</v>
      </c>
      <c r="C3626" s="2">
        <v>7</v>
      </c>
      <c r="D3626" t="str">
        <f t="shared" si="56"/>
        <v>CA-2016-112697_OFF-BI-10000778</v>
      </c>
      <c r="E3626" t="str">
        <f>IF(COUNTIF(data1!$D:$D,D3626)=0,"Missing in Data1","Present")</f>
        <v>Present</v>
      </c>
    </row>
    <row r="3627" spans="1:5" x14ac:dyDescent="0.25">
      <c r="A3627" s="2" t="s">
        <v>3406</v>
      </c>
      <c r="B3627" s="2" t="s">
        <v>72</v>
      </c>
      <c r="C3627" s="2">
        <v>5</v>
      </c>
      <c r="D3627" t="str">
        <f t="shared" si="56"/>
        <v>CA-2016-112697_OFF-SU-10000646</v>
      </c>
      <c r="E3627" t="str">
        <f>IF(COUNTIF(data1!$D:$D,D3627)=0,"Missing in Data1","Present")</f>
        <v>Present</v>
      </c>
    </row>
    <row r="3628" spans="1:5" x14ac:dyDescent="0.25">
      <c r="A3628" s="2" t="s">
        <v>3407</v>
      </c>
      <c r="B3628" s="2" t="s">
        <v>930</v>
      </c>
      <c r="C3628" s="2">
        <v>8</v>
      </c>
      <c r="D3628" t="str">
        <f t="shared" si="56"/>
        <v>CA-2016-112739_OFF-BI-10001132</v>
      </c>
      <c r="E3628" t="str">
        <f>IF(COUNTIF(data1!$D:$D,D3628)=0,"Missing in Data1","Present")</f>
        <v>Present</v>
      </c>
    </row>
    <row r="3629" spans="1:5" x14ac:dyDescent="0.25">
      <c r="A3629" s="2" t="s">
        <v>3407</v>
      </c>
      <c r="B3629" s="2" t="s">
        <v>3408</v>
      </c>
      <c r="C3629" s="2">
        <v>5</v>
      </c>
      <c r="D3629" t="str">
        <f t="shared" si="56"/>
        <v>CA-2016-112739_TEC-AC-10001714</v>
      </c>
      <c r="E3629" t="str">
        <f>IF(COUNTIF(data1!$D:$D,D3629)=0,"Missing in Data1","Present")</f>
        <v>Present</v>
      </c>
    </row>
    <row r="3630" spans="1:5" x14ac:dyDescent="0.25">
      <c r="A3630" s="2" t="s">
        <v>3409</v>
      </c>
      <c r="B3630" s="2" t="s">
        <v>263</v>
      </c>
      <c r="C3630" s="2">
        <v>3</v>
      </c>
      <c r="D3630" t="str">
        <f t="shared" si="56"/>
        <v>CA-2016-112830_FUR-FU-10004306</v>
      </c>
      <c r="E3630" t="str">
        <f>IF(COUNTIF(data1!$D:$D,D3630)=0,"Missing in Data1","Present")</f>
        <v>Present</v>
      </c>
    </row>
    <row r="3631" spans="1:5" x14ac:dyDescent="0.25">
      <c r="A3631" s="2" t="s">
        <v>3409</v>
      </c>
      <c r="B3631" s="2" t="s">
        <v>2637</v>
      </c>
      <c r="C3631" s="2">
        <v>2</v>
      </c>
      <c r="D3631" t="str">
        <f t="shared" si="56"/>
        <v>CA-2016-112830_FUR-FU-10004845</v>
      </c>
      <c r="E3631" t="str">
        <f>IF(COUNTIF(data1!$D:$D,D3631)=0,"Missing in Data1","Present")</f>
        <v>Present</v>
      </c>
    </row>
    <row r="3632" spans="1:5" x14ac:dyDescent="0.25">
      <c r="A3632" s="2" t="s">
        <v>6791</v>
      </c>
      <c r="B3632" s="2" t="s">
        <v>483</v>
      </c>
      <c r="C3632" s="2">
        <v>4</v>
      </c>
      <c r="D3632" t="str">
        <f t="shared" si="56"/>
        <v>CA-2016-112893_OFF-BI-10004654</v>
      </c>
      <c r="E3632" t="str">
        <f>IF(COUNTIF(data1!$D:$D,D3632)=0,"Missing in Data1","Present")</f>
        <v>Missing in Data1</v>
      </c>
    </row>
    <row r="3633" spans="1:5" x14ac:dyDescent="0.25">
      <c r="A3633" s="2" t="s">
        <v>3410</v>
      </c>
      <c r="B3633" s="2" t="s">
        <v>75</v>
      </c>
      <c r="C3633" s="2">
        <v>3</v>
      </c>
      <c r="D3633" t="str">
        <f t="shared" si="56"/>
        <v>CA-2016-112942_OFF-PA-10004092</v>
      </c>
      <c r="E3633" t="str">
        <f>IF(COUNTIF(data1!$D:$D,D3633)=0,"Missing in Data1","Present")</f>
        <v>Present</v>
      </c>
    </row>
    <row r="3634" spans="1:5" x14ac:dyDescent="0.25">
      <c r="A3634" s="2" t="s">
        <v>3411</v>
      </c>
      <c r="B3634" s="2" t="s">
        <v>1238</v>
      </c>
      <c r="C3634" s="2">
        <v>2</v>
      </c>
      <c r="D3634" t="str">
        <f t="shared" si="56"/>
        <v>CA-2016-113061_FUR-FU-10003975</v>
      </c>
      <c r="E3634" t="str">
        <f>IF(COUNTIF(data1!$D:$D,D3634)=0,"Missing in Data1","Present")</f>
        <v>Present</v>
      </c>
    </row>
    <row r="3635" spans="1:5" x14ac:dyDescent="0.25">
      <c r="A3635" s="2" t="s">
        <v>3412</v>
      </c>
      <c r="B3635" s="2" t="s">
        <v>1286</v>
      </c>
      <c r="C3635" s="2">
        <v>2</v>
      </c>
      <c r="D3635" t="str">
        <f t="shared" si="56"/>
        <v>CA-2016-113082_FUR-FU-10002813</v>
      </c>
      <c r="E3635" t="str">
        <f>IF(COUNTIF(data1!$D:$D,D3635)=0,"Missing in Data1","Present")</f>
        <v>Present</v>
      </c>
    </row>
    <row r="3636" spans="1:5" x14ac:dyDescent="0.25">
      <c r="A3636" s="2" t="s">
        <v>3413</v>
      </c>
      <c r="B3636" s="2" t="s">
        <v>1433</v>
      </c>
      <c r="C3636" s="2">
        <v>3</v>
      </c>
      <c r="D3636" t="str">
        <f t="shared" si="56"/>
        <v>CA-2016-113096_OFF-ST-10003455</v>
      </c>
      <c r="E3636" t="str">
        <f>IF(COUNTIF(data1!$D:$D,D3636)=0,"Missing in Data1","Present")</f>
        <v>Present</v>
      </c>
    </row>
    <row r="3637" spans="1:5" x14ac:dyDescent="0.25">
      <c r="A3637" s="2" t="s">
        <v>3414</v>
      </c>
      <c r="B3637" s="2" t="s">
        <v>780</v>
      </c>
      <c r="C3637" s="2">
        <v>5</v>
      </c>
      <c r="D3637" t="str">
        <f t="shared" si="56"/>
        <v>CA-2016-113117_OFF-PA-10000019</v>
      </c>
      <c r="E3637" t="str">
        <f>IF(COUNTIF(data1!$D:$D,D3637)=0,"Missing in Data1","Present")</f>
        <v>Present</v>
      </c>
    </row>
    <row r="3638" spans="1:5" x14ac:dyDescent="0.25">
      <c r="A3638" s="2" t="s">
        <v>3415</v>
      </c>
      <c r="B3638" s="2" t="s">
        <v>3416</v>
      </c>
      <c r="C3638" s="2">
        <v>6</v>
      </c>
      <c r="D3638" t="str">
        <f t="shared" si="56"/>
        <v>CA-2016-113138_OFF-AR-10003770</v>
      </c>
      <c r="E3638" t="str">
        <f>IF(COUNTIF(data1!$D:$D,D3638)=0,"Missing in Data1","Present")</f>
        <v>Present</v>
      </c>
    </row>
    <row r="3639" spans="1:5" x14ac:dyDescent="0.25">
      <c r="A3639" s="2" t="s">
        <v>3415</v>
      </c>
      <c r="B3639" s="2" t="s">
        <v>152</v>
      </c>
      <c r="C3639" s="2">
        <v>3</v>
      </c>
      <c r="D3639" t="str">
        <f t="shared" si="56"/>
        <v>CA-2016-113138_OFF-BI-10000320</v>
      </c>
      <c r="E3639" t="str">
        <f>IF(COUNTIF(data1!$D:$D,D3639)=0,"Missing in Data1","Present")</f>
        <v>Present</v>
      </c>
    </row>
    <row r="3640" spans="1:5" x14ac:dyDescent="0.25">
      <c r="A3640" s="2" t="s">
        <v>3417</v>
      </c>
      <c r="B3640" s="2" t="s">
        <v>51</v>
      </c>
      <c r="C3640" s="2">
        <v>6</v>
      </c>
      <c r="D3640" t="str">
        <f t="shared" si="56"/>
        <v>CA-2016-113236_OFF-ST-10000532</v>
      </c>
      <c r="E3640" t="str">
        <f>IF(COUNTIF(data1!$D:$D,D3640)=0,"Missing in Data1","Present")</f>
        <v>Present</v>
      </c>
    </row>
    <row r="3641" spans="1:5" x14ac:dyDescent="0.25">
      <c r="A3641" s="2" t="s">
        <v>3417</v>
      </c>
      <c r="B3641" s="2" t="s">
        <v>261</v>
      </c>
      <c r="C3641" s="2">
        <v>2</v>
      </c>
      <c r="D3641" t="str">
        <f t="shared" si="56"/>
        <v>CA-2016-113236_TEC-AC-10001267</v>
      </c>
      <c r="E3641" t="str">
        <f>IF(COUNTIF(data1!$D:$D,D3641)=0,"Missing in Data1","Present")</f>
        <v>Present</v>
      </c>
    </row>
    <row r="3642" spans="1:5" x14ac:dyDescent="0.25">
      <c r="A3642" s="2" t="s">
        <v>3418</v>
      </c>
      <c r="B3642" s="2" t="s">
        <v>3420</v>
      </c>
      <c r="C3642" s="2">
        <v>2</v>
      </c>
      <c r="D3642" t="str">
        <f t="shared" si="56"/>
        <v>CA-2016-113243_OFF-LA-10001297</v>
      </c>
      <c r="E3642" t="str">
        <f>IF(COUNTIF(data1!$D:$D,D3642)=0,"Missing in Data1","Present")</f>
        <v>Present</v>
      </c>
    </row>
    <row r="3643" spans="1:5" x14ac:dyDescent="0.25">
      <c r="A3643" s="2" t="s">
        <v>3418</v>
      </c>
      <c r="B3643" s="2" t="s">
        <v>1737</v>
      </c>
      <c r="C3643" s="2">
        <v>5</v>
      </c>
      <c r="D3643" t="str">
        <f t="shared" si="56"/>
        <v>CA-2016-113243_OFF-PA-10003441</v>
      </c>
      <c r="E3643" t="str">
        <f>IF(COUNTIF(data1!$D:$D,D3643)=0,"Missing in Data1","Present")</f>
        <v>Present</v>
      </c>
    </row>
    <row r="3644" spans="1:5" x14ac:dyDescent="0.25">
      <c r="A3644" s="2" t="s">
        <v>3421</v>
      </c>
      <c r="B3644" s="2" t="s">
        <v>827</v>
      </c>
      <c r="C3644" s="2">
        <v>3</v>
      </c>
      <c r="D3644" t="str">
        <f t="shared" si="56"/>
        <v>CA-2016-113292_OFF-AP-10003590</v>
      </c>
      <c r="E3644" t="str">
        <f>IF(COUNTIF(data1!$D:$D,D3644)=0,"Missing in Data1","Present")</f>
        <v>Present</v>
      </c>
    </row>
    <row r="3645" spans="1:5" x14ac:dyDescent="0.25">
      <c r="A3645" s="2" t="s">
        <v>3423</v>
      </c>
      <c r="B3645" s="2" t="s">
        <v>2546</v>
      </c>
      <c r="C3645" s="2">
        <v>3</v>
      </c>
      <c r="D3645" t="str">
        <f t="shared" si="56"/>
        <v>CA-2016-113390_OFF-AR-10001446</v>
      </c>
      <c r="E3645" t="str">
        <f>IF(COUNTIF(data1!$D:$D,D3645)=0,"Missing in Data1","Present")</f>
        <v>Missing in Data1</v>
      </c>
    </row>
    <row r="3646" spans="1:5" x14ac:dyDescent="0.25">
      <c r="A3646" s="2" t="s">
        <v>3423</v>
      </c>
      <c r="B3646" s="2" t="s">
        <v>1319</v>
      </c>
      <c r="C3646" s="2">
        <v>2</v>
      </c>
      <c r="D3646" t="str">
        <f t="shared" si="56"/>
        <v>CA-2016-113390_OFF-AR-10003183</v>
      </c>
      <c r="E3646" t="str">
        <f>IF(COUNTIF(data1!$D:$D,D3646)=0,"Missing in Data1","Present")</f>
        <v>Present</v>
      </c>
    </row>
    <row r="3647" spans="1:5" x14ac:dyDescent="0.25">
      <c r="A3647" s="2" t="s">
        <v>3424</v>
      </c>
      <c r="B3647" s="2" t="s">
        <v>2180</v>
      </c>
      <c r="C3647" s="2">
        <v>2</v>
      </c>
      <c r="D3647" t="str">
        <f t="shared" si="56"/>
        <v>CA-2016-113425_FUR-BO-10002598</v>
      </c>
      <c r="E3647" t="str">
        <f>IF(COUNTIF(data1!$D:$D,D3647)=0,"Missing in Data1","Present")</f>
        <v>Present</v>
      </c>
    </row>
    <row r="3648" spans="1:5" x14ac:dyDescent="0.25">
      <c r="A3648" s="2" t="s">
        <v>3425</v>
      </c>
      <c r="B3648" s="2" t="s">
        <v>1223</v>
      </c>
      <c r="C3648" s="2">
        <v>4</v>
      </c>
      <c r="D3648" t="str">
        <f t="shared" si="56"/>
        <v>CA-2016-113516_OFF-BI-10001989</v>
      </c>
      <c r="E3648" t="str">
        <f>IF(COUNTIF(data1!$D:$D,D3648)=0,"Missing in Data1","Present")</f>
        <v>Present</v>
      </c>
    </row>
    <row r="3649" spans="1:5" x14ac:dyDescent="0.25">
      <c r="A3649" s="2" t="s">
        <v>3425</v>
      </c>
      <c r="B3649" s="2" t="s">
        <v>824</v>
      </c>
      <c r="C3649" s="2">
        <v>2</v>
      </c>
      <c r="D3649" t="str">
        <f t="shared" si="56"/>
        <v>CA-2016-113516_OFF-BI-10002225</v>
      </c>
      <c r="E3649" t="str">
        <f>IF(COUNTIF(data1!$D:$D,D3649)=0,"Missing in Data1","Present")</f>
        <v>Present</v>
      </c>
    </row>
    <row r="3650" spans="1:5" x14ac:dyDescent="0.25">
      <c r="A3650" s="2" t="s">
        <v>3426</v>
      </c>
      <c r="B3650" s="2" t="s">
        <v>509</v>
      </c>
      <c r="C3650" s="2">
        <v>1</v>
      </c>
      <c r="D3650" t="str">
        <f t="shared" si="56"/>
        <v>CA-2016-113551_OFF-BI-10001617</v>
      </c>
      <c r="E3650" t="str">
        <f>IF(COUNTIF(data1!$D:$D,D3650)=0,"Missing in Data1","Present")</f>
        <v>Present</v>
      </c>
    </row>
    <row r="3651" spans="1:5" x14ac:dyDescent="0.25">
      <c r="A3651" s="2" t="s">
        <v>3426</v>
      </c>
      <c r="B3651" s="2" t="s">
        <v>834</v>
      </c>
      <c r="C3651" s="2">
        <v>8</v>
      </c>
      <c r="D3651" t="str">
        <f t="shared" ref="D3651:D3714" si="57">A3651&amp;"_"&amp;B3651</f>
        <v>CA-2016-113551_OFF-PA-10004665</v>
      </c>
      <c r="E3651" t="str">
        <f>IF(COUNTIF(data1!$D:$D,D3651)=0,"Missing in Data1","Present")</f>
        <v>Present</v>
      </c>
    </row>
    <row r="3652" spans="1:5" x14ac:dyDescent="0.25">
      <c r="A3652" s="2" t="s">
        <v>3427</v>
      </c>
      <c r="B3652" s="2" t="s">
        <v>1384</v>
      </c>
      <c r="C3652" s="2">
        <v>3</v>
      </c>
      <c r="D3652" t="str">
        <f t="shared" si="57"/>
        <v>CA-2016-113600_OFF-BI-10000201</v>
      </c>
      <c r="E3652" t="str">
        <f>IF(COUNTIF(data1!$D:$D,D3652)=0,"Missing in Data1","Present")</f>
        <v>Present</v>
      </c>
    </row>
    <row r="3653" spans="1:5" x14ac:dyDescent="0.25">
      <c r="A3653" s="2" t="s">
        <v>3428</v>
      </c>
      <c r="B3653" s="2" t="s">
        <v>1039</v>
      </c>
      <c r="C3653" s="2">
        <v>2</v>
      </c>
      <c r="D3653" t="str">
        <f t="shared" si="57"/>
        <v>CA-2016-113607_OFF-PA-10001970</v>
      </c>
      <c r="E3653" t="str">
        <f>IF(COUNTIF(data1!$D:$D,D3653)=0,"Missing in Data1","Present")</f>
        <v>Present</v>
      </c>
    </row>
    <row r="3654" spans="1:5" x14ac:dyDescent="0.25">
      <c r="A3654" s="2" t="s">
        <v>3428</v>
      </c>
      <c r="B3654" s="2" t="s">
        <v>2421</v>
      </c>
      <c r="C3654" s="2">
        <v>7</v>
      </c>
      <c r="D3654" t="str">
        <f t="shared" si="57"/>
        <v>CA-2016-113607_TEC-PH-10004094</v>
      </c>
      <c r="E3654" t="str">
        <f>IF(COUNTIF(data1!$D:$D,D3654)=0,"Missing in Data1","Present")</f>
        <v>Present</v>
      </c>
    </row>
    <row r="3655" spans="1:5" x14ac:dyDescent="0.25">
      <c r="A3655" s="2" t="s">
        <v>3429</v>
      </c>
      <c r="B3655" s="2" t="s">
        <v>976</v>
      </c>
      <c r="C3655" s="2">
        <v>2</v>
      </c>
      <c r="D3655" t="str">
        <f t="shared" si="57"/>
        <v>CA-2016-113621_FUR-CH-10001270</v>
      </c>
      <c r="E3655" t="str">
        <f>IF(COUNTIF(data1!$D:$D,D3655)=0,"Missing in Data1","Present")</f>
        <v>Present</v>
      </c>
    </row>
    <row r="3656" spans="1:5" x14ac:dyDescent="0.25">
      <c r="A3656" s="2" t="s">
        <v>3429</v>
      </c>
      <c r="B3656" s="2" t="s">
        <v>1192</v>
      </c>
      <c r="C3656" s="2">
        <v>3</v>
      </c>
      <c r="D3656" t="str">
        <f t="shared" si="57"/>
        <v>CA-2016-113621_TEC-PH-10003931</v>
      </c>
      <c r="E3656" t="str">
        <f>IF(COUNTIF(data1!$D:$D,D3656)=0,"Missing in Data1","Present")</f>
        <v>Present</v>
      </c>
    </row>
    <row r="3657" spans="1:5" x14ac:dyDescent="0.25">
      <c r="A3657" s="2" t="s">
        <v>3430</v>
      </c>
      <c r="B3657" s="2" t="s">
        <v>556</v>
      </c>
      <c r="C3657" s="2">
        <v>7</v>
      </c>
      <c r="D3657" t="str">
        <f t="shared" si="57"/>
        <v>CA-2016-113656_FUR-FU-10000719</v>
      </c>
      <c r="E3657" t="str">
        <f>IF(COUNTIF(data1!$D:$D,D3657)=0,"Missing in Data1","Present")</f>
        <v>Present</v>
      </c>
    </row>
    <row r="3658" spans="1:5" x14ac:dyDescent="0.25">
      <c r="A3658" s="2" t="s">
        <v>3431</v>
      </c>
      <c r="B3658" s="2" t="s">
        <v>2746</v>
      </c>
      <c r="C3658" s="2">
        <v>3</v>
      </c>
      <c r="D3658" t="str">
        <f t="shared" si="57"/>
        <v>CA-2016-113726_FUR-FU-10003535</v>
      </c>
      <c r="E3658" t="str">
        <f>IF(COUNTIF(data1!$D:$D,D3658)=0,"Missing in Data1","Present")</f>
        <v>Present</v>
      </c>
    </row>
    <row r="3659" spans="1:5" x14ac:dyDescent="0.25">
      <c r="A3659" s="2" t="s">
        <v>3432</v>
      </c>
      <c r="B3659" s="2" t="s">
        <v>1076</v>
      </c>
      <c r="C3659" s="2">
        <v>3</v>
      </c>
      <c r="D3659" t="str">
        <f t="shared" si="57"/>
        <v>CA-2016-113733_TEC-AC-10002473</v>
      </c>
      <c r="E3659" t="str">
        <f>IF(COUNTIF(data1!$D:$D,D3659)=0,"Missing in Data1","Present")</f>
        <v>Missing in Data1</v>
      </c>
    </row>
    <row r="3660" spans="1:5" x14ac:dyDescent="0.25">
      <c r="A3660" s="2" t="s">
        <v>3432</v>
      </c>
      <c r="B3660" s="2" t="s">
        <v>511</v>
      </c>
      <c r="C3660" s="2">
        <v>3</v>
      </c>
      <c r="D3660" t="str">
        <f t="shared" si="57"/>
        <v>CA-2016-113733_TEC-AC-10004877</v>
      </c>
      <c r="E3660" t="str">
        <f>IF(COUNTIF(data1!$D:$D,D3660)=0,"Missing in Data1","Present")</f>
        <v>Present</v>
      </c>
    </row>
    <row r="3661" spans="1:5" x14ac:dyDescent="0.25">
      <c r="A3661" s="2" t="s">
        <v>3432</v>
      </c>
      <c r="B3661" s="2" t="s">
        <v>2176</v>
      </c>
      <c r="C3661" s="2">
        <v>2</v>
      </c>
      <c r="D3661" t="str">
        <f t="shared" si="57"/>
        <v>CA-2016-113733_TEC-PH-10002496</v>
      </c>
      <c r="E3661" t="str">
        <f>IF(COUNTIF(data1!$D:$D,D3661)=0,"Missing in Data1","Present")</f>
        <v>Present</v>
      </c>
    </row>
    <row r="3662" spans="1:5" x14ac:dyDescent="0.25">
      <c r="A3662" s="2" t="s">
        <v>3433</v>
      </c>
      <c r="B3662" s="2" t="s">
        <v>1700</v>
      </c>
      <c r="C3662" s="2">
        <v>6</v>
      </c>
      <c r="D3662" t="str">
        <f t="shared" si="57"/>
        <v>CA-2016-113747_OFF-AR-10003373</v>
      </c>
      <c r="E3662" t="str">
        <f>IF(COUNTIF(data1!$D:$D,D3662)=0,"Missing in Data1","Present")</f>
        <v>Present</v>
      </c>
    </row>
    <row r="3663" spans="1:5" x14ac:dyDescent="0.25">
      <c r="A3663" s="2" t="s">
        <v>3434</v>
      </c>
      <c r="B3663" s="2" t="s">
        <v>3435</v>
      </c>
      <c r="C3663" s="2">
        <v>1</v>
      </c>
      <c r="D3663" t="str">
        <f t="shared" si="57"/>
        <v>CA-2016-113803_OFF-PA-10001994</v>
      </c>
      <c r="E3663" t="str">
        <f>IF(COUNTIF(data1!$D:$D,D3663)=0,"Missing in Data1","Present")</f>
        <v>Present</v>
      </c>
    </row>
    <row r="3664" spans="1:5" x14ac:dyDescent="0.25">
      <c r="A3664" s="2" t="s">
        <v>6792</v>
      </c>
      <c r="B3664" s="2" t="s">
        <v>2543</v>
      </c>
      <c r="C3664" s="2">
        <v>2</v>
      </c>
      <c r="D3664" t="str">
        <f t="shared" si="57"/>
        <v>CA-2016-113817_OFF-BI-10004002</v>
      </c>
      <c r="E3664" t="str">
        <f>IF(COUNTIF(data1!$D:$D,D3664)=0,"Missing in Data1","Present")</f>
        <v>Missing in Data1</v>
      </c>
    </row>
    <row r="3665" spans="1:5" x14ac:dyDescent="0.25">
      <c r="A3665" s="2" t="s">
        <v>3436</v>
      </c>
      <c r="B3665" s="2" t="s">
        <v>2366</v>
      </c>
      <c r="C3665" s="2">
        <v>10</v>
      </c>
      <c r="D3665" t="str">
        <f t="shared" si="57"/>
        <v>CA-2016-113831_FUR-TA-10002645</v>
      </c>
      <c r="E3665" t="str">
        <f>IF(COUNTIF(data1!$D:$D,D3665)=0,"Missing in Data1","Present")</f>
        <v>Present</v>
      </c>
    </row>
    <row r="3666" spans="1:5" x14ac:dyDescent="0.25">
      <c r="A3666" s="2" t="s">
        <v>3436</v>
      </c>
      <c r="B3666" s="2" t="s">
        <v>3420</v>
      </c>
      <c r="C3666" s="2">
        <v>6</v>
      </c>
      <c r="D3666" t="str">
        <f t="shared" si="57"/>
        <v>CA-2016-113831_OFF-LA-10001297</v>
      </c>
      <c r="E3666" t="str">
        <f>IF(COUNTIF(data1!$D:$D,D3666)=0,"Missing in Data1","Present")</f>
        <v>Present</v>
      </c>
    </row>
    <row r="3667" spans="1:5" x14ac:dyDescent="0.25">
      <c r="A3667" s="2" t="s">
        <v>3436</v>
      </c>
      <c r="B3667" s="2" t="s">
        <v>2361</v>
      </c>
      <c r="C3667" s="2">
        <v>6</v>
      </c>
      <c r="D3667" t="str">
        <f t="shared" si="57"/>
        <v>CA-2016-113831_TEC-AC-10003033</v>
      </c>
      <c r="E3667" t="str">
        <f>IF(COUNTIF(data1!$D:$D,D3667)=0,"Missing in Data1","Present")</f>
        <v>Present</v>
      </c>
    </row>
    <row r="3668" spans="1:5" x14ac:dyDescent="0.25">
      <c r="A3668" s="2" t="s">
        <v>3437</v>
      </c>
      <c r="B3668" s="2" t="s">
        <v>2278</v>
      </c>
      <c r="C3668" s="2">
        <v>2</v>
      </c>
      <c r="D3668" t="str">
        <f t="shared" si="57"/>
        <v>CA-2016-113845_FUR-BO-10004695</v>
      </c>
      <c r="E3668" t="str">
        <f>IF(COUNTIF(data1!$D:$D,D3668)=0,"Missing in Data1","Present")</f>
        <v>Present</v>
      </c>
    </row>
    <row r="3669" spans="1:5" x14ac:dyDescent="0.25">
      <c r="A3669" s="2" t="s">
        <v>3437</v>
      </c>
      <c r="B3669" s="2" t="s">
        <v>607</v>
      </c>
      <c r="C3669" s="2">
        <v>5</v>
      </c>
      <c r="D3669" t="str">
        <f t="shared" si="57"/>
        <v>CA-2016-113845_OFF-ST-10003327</v>
      </c>
      <c r="E3669" t="str">
        <f>IF(COUNTIF(data1!$D:$D,D3669)=0,"Missing in Data1","Present")</f>
        <v>Missing in Data1</v>
      </c>
    </row>
    <row r="3670" spans="1:5" x14ac:dyDescent="0.25">
      <c r="A3670" s="2" t="s">
        <v>3437</v>
      </c>
      <c r="B3670" s="2" t="s">
        <v>2256</v>
      </c>
      <c r="C3670" s="2">
        <v>4</v>
      </c>
      <c r="D3670" t="str">
        <f t="shared" si="57"/>
        <v>CA-2016-113845_TEC-PH-10003357</v>
      </c>
      <c r="E3670" t="str">
        <f>IF(COUNTIF(data1!$D:$D,D3670)=0,"Missing in Data1","Present")</f>
        <v>Present</v>
      </c>
    </row>
    <row r="3671" spans="1:5" x14ac:dyDescent="0.25">
      <c r="A3671" s="2" t="s">
        <v>3438</v>
      </c>
      <c r="B3671" s="2" t="s">
        <v>2130</v>
      </c>
      <c r="C3671" s="2">
        <v>1</v>
      </c>
      <c r="D3671" t="str">
        <f t="shared" si="57"/>
        <v>CA-2016-113978_OFF-AP-10003849</v>
      </c>
      <c r="E3671" t="str">
        <f>IF(COUNTIF(data1!$D:$D,D3671)=0,"Missing in Data1","Present")</f>
        <v>Present</v>
      </c>
    </row>
    <row r="3672" spans="1:5" x14ac:dyDescent="0.25">
      <c r="A3672" s="2" t="s">
        <v>3438</v>
      </c>
      <c r="B3672" s="2" t="s">
        <v>116</v>
      </c>
      <c r="C3672" s="2">
        <v>3</v>
      </c>
      <c r="D3672" t="str">
        <f t="shared" si="57"/>
        <v>CA-2016-113978_OFF-ST-10002574</v>
      </c>
      <c r="E3672" t="str">
        <f>IF(COUNTIF(data1!$D:$D,D3672)=0,"Missing in Data1","Present")</f>
        <v>Present</v>
      </c>
    </row>
    <row r="3673" spans="1:5" x14ac:dyDescent="0.25">
      <c r="A3673" s="2" t="s">
        <v>3438</v>
      </c>
      <c r="B3673" s="2" t="s">
        <v>167</v>
      </c>
      <c r="C3673" s="2">
        <v>2</v>
      </c>
      <c r="D3673" t="str">
        <f t="shared" si="57"/>
        <v>CA-2016-113978_OFF-ST-10004963</v>
      </c>
      <c r="E3673" t="str">
        <f>IF(COUNTIF(data1!$D:$D,D3673)=0,"Missing in Data1","Present")</f>
        <v>Present</v>
      </c>
    </row>
    <row r="3674" spans="1:5" x14ac:dyDescent="0.25">
      <c r="A3674" s="2" t="s">
        <v>3439</v>
      </c>
      <c r="B3674" s="2" t="s">
        <v>3440</v>
      </c>
      <c r="C3674" s="2">
        <v>7</v>
      </c>
      <c r="D3674" t="str">
        <f t="shared" si="57"/>
        <v>CA-2016-114104_TEC-PH-10004536</v>
      </c>
      <c r="E3674" t="str">
        <f>IF(COUNTIF(data1!$D:$D,D3674)=0,"Missing in Data1","Present")</f>
        <v>Present</v>
      </c>
    </row>
    <row r="3675" spans="1:5" x14ac:dyDescent="0.25">
      <c r="A3675" s="2" t="s">
        <v>3441</v>
      </c>
      <c r="B3675" s="2" t="s">
        <v>9</v>
      </c>
      <c r="C3675" s="2">
        <v>2</v>
      </c>
      <c r="D3675" t="str">
        <f t="shared" si="57"/>
        <v>CA-2016-114209_OFF-BI-10000343</v>
      </c>
      <c r="E3675" t="str">
        <f>IF(COUNTIF(data1!$D:$D,D3675)=0,"Missing in Data1","Present")</f>
        <v>Present</v>
      </c>
    </row>
    <row r="3676" spans="1:5" x14ac:dyDescent="0.25">
      <c r="A3676" s="2" t="s">
        <v>3441</v>
      </c>
      <c r="B3676" s="2" t="s">
        <v>67</v>
      </c>
      <c r="C3676" s="2">
        <v>9</v>
      </c>
      <c r="D3676" t="str">
        <f t="shared" si="57"/>
        <v>CA-2016-114209_OFF-PA-10003591</v>
      </c>
      <c r="E3676" t="str">
        <f>IF(COUNTIF(data1!$D:$D,D3676)=0,"Missing in Data1","Present")</f>
        <v>Present</v>
      </c>
    </row>
    <row r="3677" spans="1:5" x14ac:dyDescent="0.25">
      <c r="A3677" s="2" t="s">
        <v>3442</v>
      </c>
      <c r="B3677" s="2" t="s">
        <v>1988</v>
      </c>
      <c r="C3677" s="2">
        <v>3</v>
      </c>
      <c r="D3677" t="str">
        <f t="shared" si="57"/>
        <v>CA-2016-114307_FUR-FU-10000794</v>
      </c>
      <c r="E3677" t="str">
        <f>IF(COUNTIF(data1!$D:$D,D3677)=0,"Missing in Data1","Present")</f>
        <v>Present</v>
      </c>
    </row>
    <row r="3678" spans="1:5" x14ac:dyDescent="0.25">
      <c r="A3678" s="2" t="s">
        <v>3442</v>
      </c>
      <c r="B3678" s="2" t="s">
        <v>514</v>
      </c>
      <c r="C3678" s="2">
        <v>2</v>
      </c>
      <c r="D3678" t="str">
        <f t="shared" si="57"/>
        <v>CA-2016-114307_OFF-AP-10002350</v>
      </c>
      <c r="E3678" t="str">
        <f>IF(COUNTIF(data1!$D:$D,D3678)=0,"Missing in Data1","Present")</f>
        <v>Present</v>
      </c>
    </row>
    <row r="3679" spans="1:5" x14ac:dyDescent="0.25">
      <c r="A3679" s="2" t="s">
        <v>3442</v>
      </c>
      <c r="B3679" s="2" t="s">
        <v>1728</v>
      </c>
      <c r="C3679" s="2">
        <v>8</v>
      </c>
      <c r="D3679" t="str">
        <f t="shared" si="57"/>
        <v>CA-2016-114307_OFF-PA-10004100</v>
      </c>
      <c r="E3679" t="str">
        <f>IF(COUNTIF(data1!$D:$D,D3679)=0,"Missing in Data1","Present")</f>
        <v>Present</v>
      </c>
    </row>
    <row r="3680" spans="1:5" x14ac:dyDescent="0.25">
      <c r="A3680" s="2" t="s">
        <v>3443</v>
      </c>
      <c r="B3680" s="2" t="s">
        <v>1027</v>
      </c>
      <c r="C3680" s="2">
        <v>3</v>
      </c>
      <c r="D3680" t="str">
        <f t="shared" si="57"/>
        <v>CA-2016-114405_OFF-AP-10003278</v>
      </c>
      <c r="E3680" t="str">
        <f>IF(COUNTIF(data1!$D:$D,D3680)=0,"Missing in Data1","Present")</f>
        <v>Present</v>
      </c>
    </row>
    <row r="3681" spans="1:5" x14ac:dyDescent="0.25">
      <c r="A3681" s="2" t="s">
        <v>3443</v>
      </c>
      <c r="B3681" s="2" t="s">
        <v>3444</v>
      </c>
      <c r="C3681" s="2">
        <v>3</v>
      </c>
      <c r="D3681" t="str">
        <f t="shared" si="57"/>
        <v>CA-2016-114405_OFF-ST-10001627</v>
      </c>
      <c r="E3681" t="str">
        <f>IF(COUNTIF(data1!$D:$D,D3681)=0,"Missing in Data1","Present")</f>
        <v>Present</v>
      </c>
    </row>
    <row r="3682" spans="1:5" x14ac:dyDescent="0.25">
      <c r="A3682" s="2" t="s">
        <v>3445</v>
      </c>
      <c r="B3682" s="2" t="s">
        <v>3446</v>
      </c>
      <c r="C3682" s="2">
        <v>3</v>
      </c>
      <c r="D3682" t="str">
        <f t="shared" si="57"/>
        <v>CA-2016-114482_TEC-PH-10001580</v>
      </c>
      <c r="E3682" t="str">
        <f>IF(COUNTIF(data1!$D:$D,D3682)=0,"Missing in Data1","Present")</f>
        <v>Present</v>
      </c>
    </row>
    <row r="3683" spans="1:5" x14ac:dyDescent="0.25">
      <c r="A3683" s="2" t="s">
        <v>3447</v>
      </c>
      <c r="B3683" s="2" t="s">
        <v>297</v>
      </c>
      <c r="C3683" s="2">
        <v>8</v>
      </c>
      <c r="D3683" t="str">
        <f t="shared" si="57"/>
        <v>CA-2016-114489_FUR-CH-10000454</v>
      </c>
      <c r="E3683" t="str">
        <f>IF(COUNTIF(data1!$D:$D,D3683)=0,"Missing in Data1","Present")</f>
        <v>Present</v>
      </c>
    </row>
    <row r="3684" spans="1:5" x14ac:dyDescent="0.25">
      <c r="A3684" s="2" t="s">
        <v>3447</v>
      </c>
      <c r="B3684" s="2" t="s">
        <v>165</v>
      </c>
      <c r="C3684" s="2">
        <v>5</v>
      </c>
      <c r="D3684" t="str">
        <f t="shared" si="57"/>
        <v>CA-2016-114489_OFF-BI-10002735</v>
      </c>
      <c r="E3684" t="str">
        <f>IF(COUNTIF(data1!$D:$D,D3684)=0,"Missing in Data1","Present")</f>
        <v>Present</v>
      </c>
    </row>
    <row r="3685" spans="1:5" x14ac:dyDescent="0.25">
      <c r="A3685" s="2" t="s">
        <v>3447</v>
      </c>
      <c r="B3685" s="2" t="s">
        <v>742</v>
      </c>
      <c r="C3685" s="2">
        <v>11</v>
      </c>
      <c r="D3685" t="str">
        <f t="shared" si="57"/>
        <v>CA-2016-114489_TEC-PH-10000215</v>
      </c>
      <c r="E3685" t="str">
        <f>IF(COUNTIF(data1!$D:$D,D3685)=0,"Missing in Data1","Present")</f>
        <v>Present</v>
      </c>
    </row>
    <row r="3686" spans="1:5" x14ac:dyDescent="0.25">
      <c r="A3686" s="2" t="s">
        <v>3447</v>
      </c>
      <c r="B3686" s="2" t="s">
        <v>3186</v>
      </c>
      <c r="C3686" s="2">
        <v>3</v>
      </c>
      <c r="D3686" t="str">
        <f t="shared" si="57"/>
        <v>CA-2016-114489_TEC-PH-10001448</v>
      </c>
      <c r="E3686" t="str">
        <f>IF(COUNTIF(data1!$D:$D,D3686)=0,"Missing in Data1","Present")</f>
        <v>Present</v>
      </c>
    </row>
    <row r="3687" spans="1:5" x14ac:dyDescent="0.25">
      <c r="A3687" s="2" t="s">
        <v>3448</v>
      </c>
      <c r="B3687" s="2" t="s">
        <v>889</v>
      </c>
      <c r="C3687" s="2">
        <v>2</v>
      </c>
      <c r="D3687" t="str">
        <f t="shared" si="57"/>
        <v>CA-2016-114538_OFF-AR-10002445</v>
      </c>
      <c r="E3687" t="str">
        <f>IF(COUNTIF(data1!$D:$D,D3687)=0,"Missing in Data1","Present")</f>
        <v>Present</v>
      </c>
    </row>
    <row r="3688" spans="1:5" x14ac:dyDescent="0.25">
      <c r="A3688" s="2" t="s">
        <v>3449</v>
      </c>
      <c r="B3688" s="2" t="s">
        <v>718</v>
      </c>
      <c r="C3688" s="2">
        <v>4</v>
      </c>
      <c r="D3688" t="str">
        <f t="shared" si="57"/>
        <v>CA-2016-114601_FUR-TA-10004147</v>
      </c>
      <c r="E3688" t="str">
        <f>IF(COUNTIF(data1!$D:$D,D3688)=0,"Missing in Data1","Present")</f>
        <v>Present</v>
      </c>
    </row>
    <row r="3689" spans="1:5" x14ac:dyDescent="0.25">
      <c r="A3689" s="2" t="s">
        <v>3449</v>
      </c>
      <c r="B3689" s="2" t="s">
        <v>1745</v>
      </c>
      <c r="C3689" s="2">
        <v>3</v>
      </c>
      <c r="D3689" t="str">
        <f t="shared" si="57"/>
        <v>CA-2016-114601_OFF-AR-10002578</v>
      </c>
      <c r="E3689" t="str">
        <f>IF(COUNTIF(data1!$D:$D,D3689)=0,"Missing in Data1","Present")</f>
        <v>Present</v>
      </c>
    </row>
    <row r="3690" spans="1:5" x14ac:dyDescent="0.25">
      <c r="A3690" s="2" t="s">
        <v>3449</v>
      </c>
      <c r="B3690" s="2" t="s">
        <v>3103</v>
      </c>
      <c r="C3690" s="2">
        <v>2</v>
      </c>
      <c r="D3690" t="str">
        <f t="shared" si="57"/>
        <v>CA-2016-114601_OFF-PA-10000605</v>
      </c>
      <c r="E3690" t="str">
        <f>IF(COUNTIF(data1!$D:$D,D3690)=0,"Missing in Data1","Present")</f>
        <v>Present</v>
      </c>
    </row>
    <row r="3691" spans="1:5" x14ac:dyDescent="0.25">
      <c r="A3691" s="2" t="s">
        <v>3449</v>
      </c>
      <c r="B3691" s="2" t="s">
        <v>1574</v>
      </c>
      <c r="C3691" s="2">
        <v>3</v>
      </c>
      <c r="D3691" t="str">
        <f t="shared" si="57"/>
        <v>CA-2016-114601_TEC-AC-10003911</v>
      </c>
      <c r="E3691" t="str">
        <f>IF(COUNTIF(data1!$D:$D,D3691)=0,"Missing in Data1","Present")</f>
        <v>Present</v>
      </c>
    </row>
    <row r="3692" spans="1:5" x14ac:dyDescent="0.25">
      <c r="A3692" s="2" t="s">
        <v>6793</v>
      </c>
      <c r="B3692" s="2" t="s">
        <v>1314</v>
      </c>
      <c r="C3692" s="2">
        <v>7</v>
      </c>
      <c r="D3692" t="str">
        <f t="shared" si="57"/>
        <v>CA-2016-114713_OFF-SU-10004664</v>
      </c>
      <c r="E3692" t="str">
        <f>IF(COUNTIF(data1!$D:$D,D3692)=0,"Missing in Data1","Present")</f>
        <v>Missing in Data1</v>
      </c>
    </row>
    <row r="3693" spans="1:5" x14ac:dyDescent="0.25">
      <c r="A3693" s="2" t="s">
        <v>3450</v>
      </c>
      <c r="B3693" s="2" t="s">
        <v>3451</v>
      </c>
      <c r="C3693" s="2">
        <v>3</v>
      </c>
      <c r="D3693" t="str">
        <f t="shared" si="57"/>
        <v>CA-2016-114727_FUR-CH-10002331</v>
      </c>
      <c r="E3693" t="str">
        <f>IF(COUNTIF(data1!$D:$D,D3693)=0,"Missing in Data1","Present")</f>
        <v>Present</v>
      </c>
    </row>
    <row r="3694" spans="1:5" x14ac:dyDescent="0.25">
      <c r="A3694" s="2" t="s">
        <v>3450</v>
      </c>
      <c r="B3694" s="2" t="s">
        <v>2767</v>
      </c>
      <c r="C3694" s="2">
        <v>3</v>
      </c>
      <c r="D3694" t="str">
        <f t="shared" si="57"/>
        <v>CA-2016-114727_FUR-CH-10002335</v>
      </c>
      <c r="E3694" t="str">
        <f>IF(COUNTIF(data1!$D:$D,D3694)=0,"Missing in Data1","Present")</f>
        <v>Present</v>
      </c>
    </row>
    <row r="3695" spans="1:5" x14ac:dyDescent="0.25">
      <c r="A3695" s="2" t="s">
        <v>3450</v>
      </c>
      <c r="B3695" s="2" t="s">
        <v>3452</v>
      </c>
      <c r="C3695" s="2">
        <v>3</v>
      </c>
      <c r="D3695" t="str">
        <f t="shared" si="57"/>
        <v>CA-2016-114727_OFF-BI-10004967</v>
      </c>
      <c r="E3695" t="str">
        <f>IF(COUNTIF(data1!$D:$D,D3695)=0,"Missing in Data1","Present")</f>
        <v>Present</v>
      </c>
    </row>
    <row r="3696" spans="1:5" x14ac:dyDescent="0.25">
      <c r="A3696" s="2" t="s">
        <v>3450</v>
      </c>
      <c r="B3696" s="2" t="s">
        <v>1235</v>
      </c>
      <c r="C3696" s="2">
        <v>3</v>
      </c>
      <c r="D3696" t="str">
        <f t="shared" si="57"/>
        <v>CA-2016-114727_OFF-ST-10000689</v>
      </c>
      <c r="E3696" t="str">
        <f>IF(COUNTIF(data1!$D:$D,D3696)=0,"Missing in Data1","Present")</f>
        <v>Present</v>
      </c>
    </row>
    <row r="3697" spans="1:5" x14ac:dyDescent="0.25">
      <c r="A3697" s="2" t="s">
        <v>3450</v>
      </c>
      <c r="B3697" s="2" t="s">
        <v>3453</v>
      </c>
      <c r="C3697" s="2">
        <v>2</v>
      </c>
      <c r="D3697" t="str">
        <f t="shared" si="57"/>
        <v>CA-2016-114727_OFF-ST-10002292</v>
      </c>
      <c r="E3697" t="str">
        <f>IF(COUNTIF(data1!$D:$D,D3697)=0,"Missing in Data1","Present")</f>
        <v>Present</v>
      </c>
    </row>
    <row r="3698" spans="1:5" x14ac:dyDescent="0.25">
      <c r="A3698" s="2" t="s">
        <v>3454</v>
      </c>
      <c r="B3698" s="2" t="s">
        <v>3455</v>
      </c>
      <c r="C3698" s="2">
        <v>2</v>
      </c>
      <c r="D3698" t="str">
        <f t="shared" si="57"/>
        <v>CA-2016-114748_FUR-FU-10001488</v>
      </c>
      <c r="E3698" t="str">
        <f>IF(COUNTIF(data1!$D:$D,D3698)=0,"Missing in Data1","Present")</f>
        <v>Present</v>
      </c>
    </row>
    <row r="3699" spans="1:5" x14ac:dyDescent="0.25">
      <c r="A3699" s="2" t="s">
        <v>3454</v>
      </c>
      <c r="B3699" s="2" t="s">
        <v>564</v>
      </c>
      <c r="C3699" s="2">
        <v>1</v>
      </c>
      <c r="D3699" t="str">
        <f t="shared" si="57"/>
        <v>CA-2016-114748_OFF-AR-10001315</v>
      </c>
      <c r="E3699" t="str">
        <f>IF(COUNTIF(data1!$D:$D,D3699)=0,"Missing in Data1","Present")</f>
        <v>Present</v>
      </c>
    </row>
    <row r="3700" spans="1:5" x14ac:dyDescent="0.25">
      <c r="A3700" s="2" t="s">
        <v>3456</v>
      </c>
      <c r="B3700" s="2" t="s">
        <v>505</v>
      </c>
      <c r="C3700" s="2">
        <v>8</v>
      </c>
      <c r="D3700" t="str">
        <f t="shared" si="57"/>
        <v>CA-2016-114860_FUR-FU-10000277</v>
      </c>
      <c r="E3700" t="str">
        <f>IF(COUNTIF(data1!$D:$D,D3700)=0,"Missing in Data1","Present")</f>
        <v>Present</v>
      </c>
    </row>
    <row r="3701" spans="1:5" x14ac:dyDescent="0.25">
      <c r="A3701" s="2" t="s">
        <v>3456</v>
      </c>
      <c r="B3701" s="2" t="s">
        <v>3457</v>
      </c>
      <c r="C3701" s="2">
        <v>2</v>
      </c>
      <c r="D3701" t="str">
        <f t="shared" si="57"/>
        <v>CA-2016-114860_FUR-FU-10001934</v>
      </c>
      <c r="E3701" t="str">
        <f>IF(COUNTIF(data1!$D:$D,D3701)=0,"Missing in Data1","Present")</f>
        <v>Present</v>
      </c>
    </row>
    <row r="3702" spans="1:5" x14ac:dyDescent="0.25">
      <c r="A3702" s="2" t="s">
        <v>3458</v>
      </c>
      <c r="B3702" s="2" t="s">
        <v>250</v>
      </c>
      <c r="C3702" s="2">
        <v>2</v>
      </c>
      <c r="D3702" t="str">
        <f t="shared" si="57"/>
        <v>CA-2016-114867_OFF-PA-10000477</v>
      </c>
      <c r="E3702" t="str">
        <f>IF(COUNTIF(data1!$D:$D,D3702)=0,"Missing in Data1","Present")</f>
        <v>Present</v>
      </c>
    </row>
    <row r="3703" spans="1:5" x14ac:dyDescent="0.25">
      <c r="A3703" s="2" t="s">
        <v>3458</v>
      </c>
      <c r="B3703" s="2" t="s">
        <v>3459</v>
      </c>
      <c r="C3703" s="2">
        <v>5</v>
      </c>
      <c r="D3703" t="str">
        <f t="shared" si="57"/>
        <v>CA-2016-114867_TEC-PH-10002645</v>
      </c>
      <c r="E3703" t="str">
        <f>IF(COUNTIF(data1!$D:$D,D3703)=0,"Missing in Data1","Present")</f>
        <v>Present</v>
      </c>
    </row>
    <row r="3704" spans="1:5" x14ac:dyDescent="0.25">
      <c r="A3704" s="2" t="s">
        <v>3460</v>
      </c>
      <c r="B3704" s="2" t="s">
        <v>3461</v>
      </c>
      <c r="C3704" s="2">
        <v>2</v>
      </c>
      <c r="D3704" t="str">
        <f t="shared" si="57"/>
        <v>CA-2016-114895_OFF-PA-10000232</v>
      </c>
      <c r="E3704" t="str">
        <f>IF(COUNTIF(data1!$D:$D,D3704)=0,"Missing in Data1","Present")</f>
        <v>Present</v>
      </c>
    </row>
    <row r="3705" spans="1:5" x14ac:dyDescent="0.25">
      <c r="A3705" s="2" t="s">
        <v>3462</v>
      </c>
      <c r="B3705" s="2" t="s">
        <v>2593</v>
      </c>
      <c r="C3705" s="2">
        <v>4</v>
      </c>
      <c r="D3705" t="str">
        <f t="shared" si="57"/>
        <v>CA-2016-114944_OFF-PA-10003892</v>
      </c>
      <c r="E3705" t="str">
        <f>IF(COUNTIF(data1!$D:$D,D3705)=0,"Missing in Data1","Present")</f>
        <v>Present</v>
      </c>
    </row>
    <row r="3706" spans="1:5" x14ac:dyDescent="0.25">
      <c r="A3706" s="2" t="s">
        <v>3463</v>
      </c>
      <c r="B3706" s="2" t="s">
        <v>1325</v>
      </c>
      <c r="C3706" s="2">
        <v>3</v>
      </c>
      <c r="D3706" t="str">
        <f t="shared" si="57"/>
        <v>CA-2016-114951_FUR-FU-10002364</v>
      </c>
      <c r="E3706" t="str">
        <f>IF(COUNTIF(data1!$D:$D,D3706)=0,"Missing in Data1","Present")</f>
        <v>Present</v>
      </c>
    </row>
    <row r="3707" spans="1:5" x14ac:dyDescent="0.25">
      <c r="A3707" s="2" t="s">
        <v>3464</v>
      </c>
      <c r="B3707" s="2" t="s">
        <v>3465</v>
      </c>
      <c r="C3707" s="2">
        <v>2</v>
      </c>
      <c r="D3707" t="str">
        <f t="shared" si="57"/>
        <v>CA-2016-114972_FUR-CH-10001190</v>
      </c>
      <c r="E3707" t="str">
        <f>IF(COUNTIF(data1!$D:$D,D3707)=0,"Missing in Data1","Present")</f>
        <v>Present</v>
      </c>
    </row>
    <row r="3708" spans="1:5" x14ac:dyDescent="0.25">
      <c r="A3708" s="2" t="s">
        <v>3464</v>
      </c>
      <c r="B3708" s="2" t="s">
        <v>2939</v>
      </c>
      <c r="C3708" s="2">
        <v>4</v>
      </c>
      <c r="D3708" t="str">
        <f t="shared" si="57"/>
        <v>CA-2016-114972_OFF-AP-10003057</v>
      </c>
      <c r="E3708" t="str">
        <f>IF(COUNTIF(data1!$D:$D,D3708)=0,"Missing in Data1","Present")</f>
        <v>Present</v>
      </c>
    </row>
    <row r="3709" spans="1:5" x14ac:dyDescent="0.25">
      <c r="A3709" s="2" t="s">
        <v>3464</v>
      </c>
      <c r="B3709" s="2" t="s">
        <v>3076</v>
      </c>
      <c r="C3709" s="2">
        <v>7</v>
      </c>
      <c r="D3709" t="str">
        <f t="shared" si="57"/>
        <v>CA-2016-114972_OFF-LA-10004545</v>
      </c>
      <c r="E3709" t="str">
        <f>IF(COUNTIF(data1!$D:$D,D3709)=0,"Missing in Data1","Present")</f>
        <v>Missing in Data1</v>
      </c>
    </row>
    <row r="3710" spans="1:5" x14ac:dyDescent="0.25">
      <c r="A3710" s="2" t="s">
        <v>3464</v>
      </c>
      <c r="B3710" s="2" t="s">
        <v>2817</v>
      </c>
      <c r="C3710" s="2">
        <v>5</v>
      </c>
      <c r="D3710" t="str">
        <f t="shared" si="57"/>
        <v>CA-2016-114972_TEC-AC-10000682</v>
      </c>
      <c r="E3710" t="str">
        <f>IF(COUNTIF(data1!$D:$D,D3710)=0,"Missing in Data1","Present")</f>
        <v>Present</v>
      </c>
    </row>
    <row r="3711" spans="1:5" x14ac:dyDescent="0.25">
      <c r="A3711" s="2" t="s">
        <v>3466</v>
      </c>
      <c r="B3711" s="2" t="s">
        <v>1443</v>
      </c>
      <c r="C3711" s="2">
        <v>3</v>
      </c>
      <c r="D3711" t="str">
        <f t="shared" si="57"/>
        <v>CA-2016-115224_OFF-ST-10000615</v>
      </c>
      <c r="E3711" t="str">
        <f>IF(COUNTIF(data1!$D:$D,D3711)=0,"Missing in Data1","Present")</f>
        <v>Present</v>
      </c>
    </row>
    <row r="3712" spans="1:5" x14ac:dyDescent="0.25">
      <c r="A3712" s="2" t="s">
        <v>3466</v>
      </c>
      <c r="B3712" s="2" t="s">
        <v>2294</v>
      </c>
      <c r="C3712" s="2">
        <v>2</v>
      </c>
      <c r="D3712" t="str">
        <f t="shared" si="57"/>
        <v>CA-2016-115224_OFF-ST-10003816</v>
      </c>
      <c r="E3712" t="str">
        <f>IF(COUNTIF(data1!$D:$D,D3712)=0,"Missing in Data1","Present")</f>
        <v>Missing in Data1</v>
      </c>
    </row>
    <row r="3713" spans="1:5" x14ac:dyDescent="0.25">
      <c r="A3713" s="2" t="s">
        <v>3467</v>
      </c>
      <c r="B3713" s="2" t="s">
        <v>474</v>
      </c>
      <c r="C3713" s="2">
        <v>2</v>
      </c>
      <c r="D3713" t="str">
        <f t="shared" si="57"/>
        <v>CA-2016-115378_FUR-CH-10000863</v>
      </c>
      <c r="E3713" t="str">
        <f>IF(COUNTIF(data1!$D:$D,D3713)=0,"Missing in Data1","Present")</f>
        <v>Present</v>
      </c>
    </row>
    <row r="3714" spans="1:5" x14ac:dyDescent="0.25">
      <c r="A3714" s="2" t="s">
        <v>3468</v>
      </c>
      <c r="B3714" s="2" t="s">
        <v>1014</v>
      </c>
      <c r="C3714" s="2">
        <v>2</v>
      </c>
      <c r="D3714" t="str">
        <f t="shared" si="57"/>
        <v>CA-2016-115476_OFF-BI-10000962</v>
      </c>
      <c r="E3714" t="str">
        <f>IF(COUNTIF(data1!$D:$D,D3714)=0,"Missing in Data1","Present")</f>
        <v>Present</v>
      </c>
    </row>
    <row r="3715" spans="1:5" x14ac:dyDescent="0.25">
      <c r="A3715" s="2" t="s">
        <v>3468</v>
      </c>
      <c r="B3715" s="2" t="s">
        <v>863</v>
      </c>
      <c r="C3715" s="2">
        <v>2</v>
      </c>
      <c r="D3715" t="str">
        <f t="shared" ref="D3715:D3778" si="58">A3715&amp;"_"&amp;B3715</f>
        <v>CA-2016-115476_TEC-PH-10000673</v>
      </c>
      <c r="E3715" t="str">
        <f>IF(COUNTIF(data1!$D:$D,D3715)=0,"Missing in Data1","Present")</f>
        <v>Present</v>
      </c>
    </row>
    <row r="3716" spans="1:5" x14ac:dyDescent="0.25">
      <c r="A3716" s="2" t="s">
        <v>3469</v>
      </c>
      <c r="B3716" s="2" t="s">
        <v>2880</v>
      </c>
      <c r="C3716" s="2">
        <v>5</v>
      </c>
      <c r="D3716" t="str">
        <f t="shared" si="58"/>
        <v>CA-2016-115483_OFF-PA-10001497</v>
      </c>
      <c r="E3716" t="str">
        <f>IF(COUNTIF(data1!$D:$D,D3716)=0,"Missing in Data1","Present")</f>
        <v>Present</v>
      </c>
    </row>
    <row r="3717" spans="1:5" x14ac:dyDescent="0.25">
      <c r="A3717" s="2" t="s">
        <v>3470</v>
      </c>
      <c r="B3717" s="2" t="s">
        <v>3471</v>
      </c>
      <c r="C3717" s="2">
        <v>2</v>
      </c>
      <c r="D3717" t="str">
        <f t="shared" si="58"/>
        <v>CA-2016-115504_OFF-PA-10003953</v>
      </c>
      <c r="E3717" t="str">
        <f>IF(COUNTIF(data1!$D:$D,D3717)=0,"Missing in Data1","Present")</f>
        <v>Present</v>
      </c>
    </row>
    <row r="3718" spans="1:5" x14ac:dyDescent="0.25">
      <c r="A3718" s="2" t="s">
        <v>3472</v>
      </c>
      <c r="B3718" s="2" t="s">
        <v>1975</v>
      </c>
      <c r="C3718" s="2">
        <v>5</v>
      </c>
      <c r="D3718" t="str">
        <f t="shared" si="58"/>
        <v>CA-2016-115525_OFF-AP-10000026</v>
      </c>
      <c r="E3718" t="str">
        <f>IF(COUNTIF(data1!$D:$D,D3718)=0,"Missing in Data1","Present")</f>
        <v>Present</v>
      </c>
    </row>
    <row r="3719" spans="1:5" x14ac:dyDescent="0.25">
      <c r="A3719" s="2" t="s">
        <v>3473</v>
      </c>
      <c r="B3719" s="2" t="s">
        <v>3329</v>
      </c>
      <c r="C3719" s="2">
        <v>2</v>
      </c>
      <c r="D3719" t="str">
        <f t="shared" si="58"/>
        <v>CA-2016-115574_FUR-BO-10003441</v>
      </c>
      <c r="E3719" t="str">
        <f>IF(COUNTIF(data1!$D:$D,D3719)=0,"Missing in Data1","Present")</f>
        <v>Present</v>
      </c>
    </row>
    <row r="3720" spans="1:5" x14ac:dyDescent="0.25">
      <c r="A3720" s="2" t="s">
        <v>3474</v>
      </c>
      <c r="B3720" s="2" t="s">
        <v>1735</v>
      </c>
      <c r="C3720" s="2">
        <v>3</v>
      </c>
      <c r="D3720" t="str">
        <f t="shared" si="58"/>
        <v>CA-2016-115588_OFF-ST-10001558</v>
      </c>
      <c r="E3720" t="str">
        <f>IF(COUNTIF(data1!$D:$D,D3720)=0,"Missing in Data1","Present")</f>
        <v>Present</v>
      </c>
    </row>
    <row r="3721" spans="1:5" x14ac:dyDescent="0.25">
      <c r="A3721" s="2" t="s">
        <v>3474</v>
      </c>
      <c r="B3721" s="2" t="s">
        <v>219</v>
      </c>
      <c r="C3721" s="2">
        <v>5</v>
      </c>
      <c r="D3721" t="str">
        <f t="shared" si="58"/>
        <v>CA-2016-115588_OFF-SU-10001225</v>
      </c>
      <c r="E3721" t="str">
        <f>IF(COUNTIF(data1!$D:$D,D3721)=0,"Missing in Data1","Present")</f>
        <v>Present</v>
      </c>
    </row>
    <row r="3722" spans="1:5" x14ac:dyDescent="0.25">
      <c r="A3722" s="2" t="s">
        <v>3475</v>
      </c>
      <c r="B3722" s="2" t="s">
        <v>733</v>
      </c>
      <c r="C3722" s="2">
        <v>3</v>
      </c>
      <c r="D3722" t="str">
        <f t="shared" si="58"/>
        <v>CA-2016-115756_FUR-CH-10002372</v>
      </c>
      <c r="E3722" t="str">
        <f>IF(COUNTIF(data1!$D:$D,D3722)=0,"Missing in Data1","Present")</f>
        <v>Present</v>
      </c>
    </row>
    <row r="3723" spans="1:5" x14ac:dyDescent="0.25">
      <c r="A3723" s="2" t="s">
        <v>3475</v>
      </c>
      <c r="B3723" s="2" t="s">
        <v>189</v>
      </c>
      <c r="C3723" s="2">
        <v>1</v>
      </c>
      <c r="D3723" t="str">
        <f t="shared" si="58"/>
        <v>CA-2016-115756_FUR-FU-10000246</v>
      </c>
      <c r="E3723" t="str">
        <f>IF(COUNTIF(data1!$D:$D,D3723)=0,"Missing in Data1","Present")</f>
        <v>Present</v>
      </c>
    </row>
    <row r="3724" spans="1:5" x14ac:dyDescent="0.25">
      <c r="A3724" s="2" t="s">
        <v>3475</v>
      </c>
      <c r="B3724" s="2" t="s">
        <v>3116</v>
      </c>
      <c r="C3724" s="2">
        <v>7</v>
      </c>
      <c r="D3724" t="str">
        <f t="shared" si="58"/>
        <v>CA-2016-115756_OFF-LA-10001317</v>
      </c>
      <c r="E3724" t="str">
        <f>IF(COUNTIF(data1!$D:$D,D3724)=0,"Missing in Data1","Present")</f>
        <v>Present</v>
      </c>
    </row>
    <row r="3725" spans="1:5" x14ac:dyDescent="0.25">
      <c r="A3725" s="2" t="s">
        <v>3475</v>
      </c>
      <c r="B3725" s="2" t="s">
        <v>2628</v>
      </c>
      <c r="C3725" s="2">
        <v>4</v>
      </c>
      <c r="D3725" t="str">
        <f t="shared" si="58"/>
        <v>CA-2016-115756_OFF-PA-10002222</v>
      </c>
      <c r="E3725" t="str">
        <f>IF(COUNTIF(data1!$D:$D,D3725)=0,"Missing in Data1","Present")</f>
        <v>Present</v>
      </c>
    </row>
    <row r="3726" spans="1:5" x14ac:dyDescent="0.25">
      <c r="A3726" s="2" t="s">
        <v>3475</v>
      </c>
      <c r="B3726" s="2" t="s">
        <v>2918</v>
      </c>
      <c r="C3726" s="2">
        <v>3</v>
      </c>
      <c r="D3726" t="str">
        <f t="shared" si="58"/>
        <v>CA-2016-115756_OFF-ST-10000060</v>
      </c>
      <c r="E3726" t="str">
        <f>IF(COUNTIF(data1!$D:$D,D3726)=0,"Missing in Data1","Present")</f>
        <v>Present</v>
      </c>
    </row>
    <row r="3727" spans="1:5" x14ac:dyDescent="0.25">
      <c r="A3727" s="2" t="s">
        <v>3475</v>
      </c>
      <c r="B3727" s="2" t="s">
        <v>599</v>
      </c>
      <c r="C3727" s="2">
        <v>3</v>
      </c>
      <c r="D3727" t="str">
        <f t="shared" si="58"/>
        <v>CA-2016-115756_OFF-ST-10003058</v>
      </c>
      <c r="E3727" t="str">
        <f>IF(COUNTIF(data1!$D:$D,D3727)=0,"Missing in Data1","Present")</f>
        <v>Present</v>
      </c>
    </row>
    <row r="3728" spans="1:5" x14ac:dyDescent="0.25">
      <c r="A3728" s="2" t="s">
        <v>3476</v>
      </c>
      <c r="B3728" s="2" t="s">
        <v>2704</v>
      </c>
      <c r="C3728" s="2">
        <v>5</v>
      </c>
      <c r="D3728" t="str">
        <f t="shared" si="58"/>
        <v>CA-2016-115917_FUR-FU-10000576</v>
      </c>
      <c r="E3728" t="str">
        <f>IF(COUNTIF(data1!$D:$D,D3728)=0,"Missing in Data1","Present")</f>
        <v>Present</v>
      </c>
    </row>
    <row r="3729" spans="1:5" x14ac:dyDescent="0.25">
      <c r="A3729" s="2" t="s">
        <v>3476</v>
      </c>
      <c r="B3729" s="2" t="s">
        <v>1680</v>
      </c>
      <c r="C3729" s="2">
        <v>4</v>
      </c>
      <c r="D3729" t="str">
        <f t="shared" si="58"/>
        <v>CA-2016-115917_OFF-BI-10004728</v>
      </c>
      <c r="E3729" t="str">
        <f>IF(COUNTIF(data1!$D:$D,D3729)=0,"Missing in Data1","Present")</f>
        <v>Present</v>
      </c>
    </row>
    <row r="3730" spans="1:5" x14ac:dyDescent="0.25">
      <c r="A3730" s="2" t="s">
        <v>3477</v>
      </c>
      <c r="B3730" s="2" t="s">
        <v>2726</v>
      </c>
      <c r="C3730" s="2">
        <v>9</v>
      </c>
      <c r="D3730" t="str">
        <f t="shared" si="58"/>
        <v>CA-2016-116232_OFF-BI-10004022</v>
      </c>
      <c r="E3730" t="str">
        <f>IF(COUNTIF(data1!$D:$D,D3730)=0,"Missing in Data1","Present")</f>
        <v>Present</v>
      </c>
    </row>
    <row r="3731" spans="1:5" x14ac:dyDescent="0.25">
      <c r="A3731" s="2" t="s">
        <v>3477</v>
      </c>
      <c r="B3731" s="2" t="s">
        <v>775</v>
      </c>
      <c r="C3731" s="2">
        <v>2</v>
      </c>
      <c r="D3731" t="str">
        <f t="shared" si="58"/>
        <v>CA-2016-116232_OFF-LA-10001158</v>
      </c>
      <c r="E3731" t="str">
        <f>IF(COUNTIF(data1!$D:$D,D3731)=0,"Missing in Data1","Present")</f>
        <v>Present</v>
      </c>
    </row>
    <row r="3732" spans="1:5" x14ac:dyDescent="0.25">
      <c r="A3732" s="2" t="s">
        <v>3478</v>
      </c>
      <c r="B3732" s="2" t="s">
        <v>3479</v>
      </c>
      <c r="C3732" s="2">
        <v>5</v>
      </c>
      <c r="D3732" t="str">
        <f t="shared" si="58"/>
        <v>CA-2016-116337_FUR-FU-10002030</v>
      </c>
      <c r="E3732" t="str">
        <f>IF(COUNTIF(data1!$D:$D,D3732)=0,"Missing in Data1","Present")</f>
        <v>Present</v>
      </c>
    </row>
    <row r="3733" spans="1:5" x14ac:dyDescent="0.25">
      <c r="A3733" s="2" t="s">
        <v>3478</v>
      </c>
      <c r="B3733" s="2" t="s">
        <v>2653</v>
      </c>
      <c r="C3733" s="2">
        <v>3</v>
      </c>
      <c r="D3733" t="str">
        <f t="shared" si="58"/>
        <v>CA-2016-116337_OFF-ST-10001272</v>
      </c>
      <c r="E3733" t="str">
        <f>IF(COUNTIF(data1!$D:$D,D3733)=0,"Missing in Data1","Present")</f>
        <v>Present</v>
      </c>
    </row>
    <row r="3734" spans="1:5" x14ac:dyDescent="0.25">
      <c r="A3734" s="2" t="s">
        <v>3480</v>
      </c>
      <c r="B3734" s="2" t="s">
        <v>1347</v>
      </c>
      <c r="C3734" s="2">
        <v>2</v>
      </c>
      <c r="D3734" t="str">
        <f t="shared" si="58"/>
        <v>CA-2016-116344_OFF-ST-10001713</v>
      </c>
      <c r="E3734" t="str">
        <f>IF(COUNTIF(data1!$D:$D,D3734)=0,"Missing in Data1","Present")</f>
        <v>Present</v>
      </c>
    </row>
    <row r="3735" spans="1:5" x14ac:dyDescent="0.25">
      <c r="A3735" s="2" t="s">
        <v>3481</v>
      </c>
      <c r="B3735" s="2" t="s">
        <v>1413</v>
      </c>
      <c r="C3735" s="2">
        <v>2</v>
      </c>
      <c r="D3735" t="str">
        <f t="shared" si="58"/>
        <v>CA-2016-116379_OFF-BI-10001543</v>
      </c>
      <c r="E3735" t="str">
        <f>IF(COUNTIF(data1!$D:$D,D3735)=0,"Missing in Data1","Present")</f>
        <v>Present</v>
      </c>
    </row>
    <row r="3736" spans="1:5" x14ac:dyDescent="0.25">
      <c r="A3736" s="2" t="s">
        <v>3482</v>
      </c>
      <c r="B3736" s="2" t="s">
        <v>3095</v>
      </c>
      <c r="C3736" s="2">
        <v>4</v>
      </c>
      <c r="D3736" t="str">
        <f t="shared" si="58"/>
        <v>CA-2016-116526_OFF-AP-10002457</v>
      </c>
      <c r="E3736" t="str">
        <f>IF(COUNTIF(data1!$D:$D,D3736)=0,"Missing in Data1","Present")</f>
        <v>Present</v>
      </c>
    </row>
    <row r="3737" spans="1:5" x14ac:dyDescent="0.25">
      <c r="A3737" s="2" t="s">
        <v>3482</v>
      </c>
      <c r="B3737" s="2" t="s">
        <v>352</v>
      </c>
      <c r="C3737" s="2">
        <v>2</v>
      </c>
      <c r="D3737" t="str">
        <f t="shared" si="58"/>
        <v>CA-2016-116526_OFF-AR-10004999</v>
      </c>
      <c r="E3737" t="str">
        <f>IF(COUNTIF(data1!$D:$D,D3737)=0,"Missing in Data1","Present")</f>
        <v>Present</v>
      </c>
    </row>
    <row r="3738" spans="1:5" x14ac:dyDescent="0.25">
      <c r="A3738" s="2" t="s">
        <v>3482</v>
      </c>
      <c r="B3738" s="2" t="s">
        <v>152</v>
      </c>
      <c r="C3738" s="2">
        <v>4</v>
      </c>
      <c r="D3738" t="str">
        <f t="shared" si="58"/>
        <v>CA-2016-116526_OFF-BI-10000320</v>
      </c>
      <c r="E3738" t="str">
        <f>IF(COUNTIF(data1!$D:$D,D3738)=0,"Missing in Data1","Present")</f>
        <v>Present</v>
      </c>
    </row>
    <row r="3739" spans="1:5" x14ac:dyDescent="0.25">
      <c r="A3739" s="2" t="s">
        <v>3482</v>
      </c>
      <c r="B3739" s="2" t="s">
        <v>301</v>
      </c>
      <c r="C3739" s="2">
        <v>5</v>
      </c>
      <c r="D3739" t="str">
        <f t="shared" si="58"/>
        <v>CA-2016-116526_OFF-BI-10001116</v>
      </c>
      <c r="E3739" t="str">
        <f>IF(COUNTIF(data1!$D:$D,D3739)=0,"Missing in Data1","Present")</f>
        <v>Present</v>
      </c>
    </row>
    <row r="3740" spans="1:5" x14ac:dyDescent="0.25">
      <c r="A3740" s="2" t="s">
        <v>3482</v>
      </c>
      <c r="B3740" s="2" t="s">
        <v>3483</v>
      </c>
      <c r="C3740" s="2">
        <v>1</v>
      </c>
      <c r="D3740" t="str">
        <f t="shared" si="58"/>
        <v>CA-2016-116526_TEC-PH-10002365</v>
      </c>
      <c r="E3740" t="str">
        <f>IF(COUNTIF(data1!$D:$D,D3740)=0,"Missing in Data1","Present")</f>
        <v>Present</v>
      </c>
    </row>
    <row r="3741" spans="1:5" x14ac:dyDescent="0.25">
      <c r="A3741" s="2" t="s">
        <v>3484</v>
      </c>
      <c r="B3741" s="2" t="s">
        <v>651</v>
      </c>
      <c r="C3741" s="2">
        <v>2</v>
      </c>
      <c r="D3741" t="str">
        <f t="shared" si="58"/>
        <v>CA-2016-116540_OFF-BI-10004970</v>
      </c>
      <c r="E3741" t="str">
        <f>IF(COUNTIF(data1!$D:$D,D3741)=0,"Missing in Data1","Present")</f>
        <v>Present</v>
      </c>
    </row>
    <row r="3742" spans="1:5" x14ac:dyDescent="0.25">
      <c r="A3742" s="2" t="s">
        <v>3484</v>
      </c>
      <c r="B3742" s="2" t="s">
        <v>420</v>
      </c>
      <c r="C3742" s="2">
        <v>1</v>
      </c>
      <c r="D3742" t="str">
        <f t="shared" si="58"/>
        <v>CA-2016-116540_OFF-FA-10002676</v>
      </c>
      <c r="E3742" t="str">
        <f>IF(COUNTIF(data1!$D:$D,D3742)=0,"Missing in Data1","Present")</f>
        <v>Missing in Data1</v>
      </c>
    </row>
    <row r="3743" spans="1:5" x14ac:dyDescent="0.25">
      <c r="A3743" s="2" t="s">
        <v>3485</v>
      </c>
      <c r="B3743" s="2" t="s">
        <v>3486</v>
      </c>
      <c r="C3743" s="2">
        <v>4</v>
      </c>
      <c r="D3743" t="str">
        <f t="shared" si="58"/>
        <v>CA-2016-116547_FUR-FU-10000076</v>
      </c>
      <c r="E3743" t="str">
        <f>IF(COUNTIF(data1!$D:$D,D3743)=0,"Missing in Data1","Present")</f>
        <v>Present</v>
      </c>
    </row>
    <row r="3744" spans="1:5" x14ac:dyDescent="0.25">
      <c r="A3744" s="2" t="s">
        <v>3488</v>
      </c>
      <c r="B3744" s="2" t="s">
        <v>190</v>
      </c>
      <c r="C3744" s="2">
        <v>2</v>
      </c>
      <c r="D3744" t="str">
        <f t="shared" si="58"/>
        <v>CA-2016-116561_OFF-BI-10001658</v>
      </c>
      <c r="E3744" t="str">
        <f>IF(COUNTIF(data1!$D:$D,D3744)=0,"Missing in Data1","Present")</f>
        <v>Missing in Data1</v>
      </c>
    </row>
    <row r="3745" spans="1:5" x14ac:dyDescent="0.25">
      <c r="A3745" s="2" t="s">
        <v>3488</v>
      </c>
      <c r="B3745" s="2" t="s">
        <v>231</v>
      </c>
      <c r="C3745" s="2">
        <v>3</v>
      </c>
      <c r="D3745" t="str">
        <f t="shared" si="58"/>
        <v>CA-2016-116561_OFF-ST-10004186</v>
      </c>
      <c r="E3745" t="str">
        <f>IF(COUNTIF(data1!$D:$D,D3745)=0,"Missing in Data1","Present")</f>
        <v>Present</v>
      </c>
    </row>
    <row r="3746" spans="1:5" x14ac:dyDescent="0.25">
      <c r="A3746" s="2" t="s">
        <v>3489</v>
      </c>
      <c r="B3746" s="2" t="s">
        <v>555</v>
      </c>
      <c r="C3746" s="2">
        <v>14</v>
      </c>
      <c r="D3746" t="str">
        <f t="shared" si="58"/>
        <v>CA-2016-116596_FUR-CH-10000553</v>
      </c>
      <c r="E3746" t="str">
        <f>IF(COUNTIF(data1!$D:$D,D3746)=0,"Missing in Data1","Present")</f>
        <v>Present</v>
      </c>
    </row>
    <row r="3747" spans="1:5" x14ac:dyDescent="0.25">
      <c r="A3747" s="2" t="s">
        <v>3489</v>
      </c>
      <c r="B3747" s="2" t="s">
        <v>1727</v>
      </c>
      <c r="C3747" s="2">
        <v>2</v>
      </c>
      <c r="D3747" t="str">
        <f t="shared" si="58"/>
        <v>CA-2016-116596_OFF-BI-10002949</v>
      </c>
      <c r="E3747" t="str">
        <f>IF(COUNTIF(data1!$D:$D,D3747)=0,"Missing in Data1","Present")</f>
        <v>Present</v>
      </c>
    </row>
    <row r="3748" spans="1:5" x14ac:dyDescent="0.25">
      <c r="A3748" s="2" t="s">
        <v>3489</v>
      </c>
      <c r="B3748" s="2" t="s">
        <v>397</v>
      </c>
      <c r="C3748" s="2">
        <v>7</v>
      </c>
      <c r="D3748" t="str">
        <f t="shared" si="58"/>
        <v>CA-2016-116596_OFF-FA-10000134</v>
      </c>
      <c r="E3748" t="str">
        <f>IF(COUNTIF(data1!$D:$D,D3748)=0,"Missing in Data1","Present")</f>
        <v>Present</v>
      </c>
    </row>
    <row r="3749" spans="1:5" x14ac:dyDescent="0.25">
      <c r="A3749" s="2" t="s">
        <v>3489</v>
      </c>
      <c r="B3749" s="2" t="s">
        <v>962</v>
      </c>
      <c r="C3749" s="2">
        <v>2</v>
      </c>
      <c r="D3749" t="str">
        <f t="shared" si="58"/>
        <v>CA-2016-116596_OFF-ST-10000636</v>
      </c>
      <c r="E3749" t="str">
        <f>IF(COUNTIF(data1!$D:$D,D3749)=0,"Missing in Data1","Present")</f>
        <v>Present</v>
      </c>
    </row>
    <row r="3750" spans="1:5" x14ac:dyDescent="0.25">
      <c r="A3750" s="2" t="s">
        <v>3490</v>
      </c>
      <c r="B3750" s="2" t="s">
        <v>545</v>
      </c>
      <c r="C3750" s="2">
        <v>2</v>
      </c>
      <c r="D3750" t="str">
        <f t="shared" si="58"/>
        <v>CA-2016-116603_OFF-AP-10002892</v>
      </c>
      <c r="E3750" t="str">
        <f>IF(COUNTIF(data1!$D:$D,D3750)=0,"Missing in Data1","Present")</f>
        <v>Present</v>
      </c>
    </row>
    <row r="3751" spans="1:5" x14ac:dyDescent="0.25">
      <c r="A3751" s="2" t="s">
        <v>3491</v>
      </c>
      <c r="B3751" s="2" t="s">
        <v>680</v>
      </c>
      <c r="C3751" s="2">
        <v>3</v>
      </c>
      <c r="D3751" t="str">
        <f t="shared" si="58"/>
        <v>CA-2016-116722_FUR-CH-10004997</v>
      </c>
      <c r="E3751" t="str">
        <f>IF(COUNTIF(data1!$D:$D,D3751)=0,"Missing in Data1","Present")</f>
        <v>Present</v>
      </c>
    </row>
    <row r="3752" spans="1:5" x14ac:dyDescent="0.25">
      <c r="A3752" s="2" t="s">
        <v>3491</v>
      </c>
      <c r="B3752" s="2" t="s">
        <v>3457</v>
      </c>
      <c r="C3752" s="2">
        <v>2</v>
      </c>
      <c r="D3752" t="str">
        <f t="shared" si="58"/>
        <v>CA-2016-116722_FUR-FU-10001934</v>
      </c>
      <c r="E3752" t="str">
        <f>IF(COUNTIF(data1!$D:$D,D3752)=0,"Missing in Data1","Present")</f>
        <v>Present</v>
      </c>
    </row>
    <row r="3753" spans="1:5" x14ac:dyDescent="0.25">
      <c r="A3753" s="2" t="s">
        <v>3491</v>
      </c>
      <c r="B3753" s="2" t="s">
        <v>1605</v>
      </c>
      <c r="C3753" s="2">
        <v>11</v>
      </c>
      <c r="D3753" t="str">
        <f t="shared" si="58"/>
        <v>CA-2016-116722_OFF-BI-10001890</v>
      </c>
      <c r="E3753" t="str">
        <f>IF(COUNTIF(data1!$D:$D,D3753)=0,"Missing in Data1","Present")</f>
        <v>Present</v>
      </c>
    </row>
    <row r="3754" spans="1:5" x14ac:dyDescent="0.25">
      <c r="A3754" s="2" t="s">
        <v>3492</v>
      </c>
      <c r="B3754" s="2" t="s">
        <v>1830</v>
      </c>
      <c r="C3754" s="2">
        <v>3</v>
      </c>
      <c r="D3754" t="str">
        <f t="shared" si="58"/>
        <v>CA-2016-116736_FUR-FU-10004017</v>
      </c>
      <c r="E3754" t="str">
        <f>IF(COUNTIF(data1!$D:$D,D3754)=0,"Missing in Data1","Present")</f>
        <v>Present</v>
      </c>
    </row>
    <row r="3755" spans="1:5" x14ac:dyDescent="0.25">
      <c r="A3755" s="2" t="s">
        <v>3492</v>
      </c>
      <c r="B3755" s="2" t="s">
        <v>1053</v>
      </c>
      <c r="C3755" s="2">
        <v>3</v>
      </c>
      <c r="D3755" t="str">
        <f t="shared" si="58"/>
        <v>CA-2016-116736_TEC-AC-10002049</v>
      </c>
      <c r="E3755" t="str">
        <f>IF(COUNTIF(data1!$D:$D,D3755)=0,"Missing in Data1","Present")</f>
        <v>Present</v>
      </c>
    </row>
    <row r="3756" spans="1:5" x14ac:dyDescent="0.25">
      <c r="A3756" s="2" t="s">
        <v>3492</v>
      </c>
      <c r="B3756" s="2" t="s">
        <v>131</v>
      </c>
      <c r="C3756" s="2">
        <v>1</v>
      </c>
      <c r="D3756" t="str">
        <f t="shared" si="58"/>
        <v>CA-2016-116736_TEC-AC-10003628</v>
      </c>
      <c r="E3756" t="str">
        <f>IF(COUNTIF(data1!$D:$D,D3756)=0,"Missing in Data1","Present")</f>
        <v>Missing in Data1</v>
      </c>
    </row>
    <row r="3757" spans="1:5" x14ac:dyDescent="0.25">
      <c r="A3757" s="2" t="s">
        <v>6794</v>
      </c>
      <c r="B3757" s="2" t="s">
        <v>6795</v>
      </c>
      <c r="C3757" s="2">
        <v>4</v>
      </c>
      <c r="D3757" t="str">
        <f t="shared" si="58"/>
        <v>CA-2016-116764_OFF-LA-10002473</v>
      </c>
      <c r="E3757" t="str">
        <f>IF(COUNTIF(data1!$D:$D,D3757)=0,"Missing in Data1","Present")</f>
        <v>Missing in Data1</v>
      </c>
    </row>
    <row r="3758" spans="1:5" x14ac:dyDescent="0.25">
      <c r="A3758" s="2" t="s">
        <v>3493</v>
      </c>
      <c r="B3758" s="2" t="s">
        <v>1540</v>
      </c>
      <c r="C3758" s="2">
        <v>5</v>
      </c>
      <c r="D3758" t="str">
        <f t="shared" si="58"/>
        <v>CA-2016-116799_FUR-CH-10004983</v>
      </c>
      <c r="E3758" t="str">
        <f>IF(COUNTIF(data1!$D:$D,D3758)=0,"Missing in Data1","Present")</f>
        <v>Present</v>
      </c>
    </row>
    <row r="3759" spans="1:5" x14ac:dyDescent="0.25">
      <c r="A3759" s="2" t="s">
        <v>3493</v>
      </c>
      <c r="B3759" s="2" t="s">
        <v>3399</v>
      </c>
      <c r="C3759" s="2">
        <v>7</v>
      </c>
      <c r="D3759" t="str">
        <f t="shared" si="58"/>
        <v>CA-2016-116799_OFF-PA-10001892</v>
      </c>
      <c r="E3759" t="str">
        <f>IF(COUNTIF(data1!$D:$D,D3759)=0,"Missing in Data1","Present")</f>
        <v>Present</v>
      </c>
    </row>
    <row r="3760" spans="1:5" x14ac:dyDescent="0.25">
      <c r="A3760" s="2" t="s">
        <v>3494</v>
      </c>
      <c r="B3760" s="2" t="s">
        <v>1806</v>
      </c>
      <c r="C3760" s="2">
        <v>3</v>
      </c>
      <c r="D3760" t="str">
        <f t="shared" si="58"/>
        <v>CA-2016-116911_FUR-TA-10003473</v>
      </c>
      <c r="E3760" t="str">
        <f>IF(COUNTIF(data1!$D:$D,D3760)=0,"Missing in Data1","Present")</f>
        <v>Present</v>
      </c>
    </row>
    <row r="3761" spans="1:5" x14ac:dyDescent="0.25">
      <c r="A3761" s="2" t="s">
        <v>3494</v>
      </c>
      <c r="B3761" s="2" t="s">
        <v>819</v>
      </c>
      <c r="C3761" s="2">
        <v>4</v>
      </c>
      <c r="D3761" t="str">
        <f t="shared" si="58"/>
        <v>CA-2016-116911_OFF-BI-10001249</v>
      </c>
      <c r="E3761" t="str">
        <f>IF(COUNTIF(data1!$D:$D,D3761)=0,"Missing in Data1","Present")</f>
        <v>Present</v>
      </c>
    </row>
    <row r="3762" spans="1:5" x14ac:dyDescent="0.25">
      <c r="A3762" s="2" t="s">
        <v>3495</v>
      </c>
      <c r="B3762" s="2" t="s">
        <v>516</v>
      </c>
      <c r="C3762" s="2">
        <v>8</v>
      </c>
      <c r="D3762" t="str">
        <f t="shared" si="58"/>
        <v>CA-2016-116918_OFF-AR-10003631</v>
      </c>
      <c r="E3762" t="str">
        <f>IF(COUNTIF(data1!$D:$D,D3762)=0,"Missing in Data1","Present")</f>
        <v>Missing in Data1</v>
      </c>
    </row>
    <row r="3763" spans="1:5" x14ac:dyDescent="0.25">
      <c r="A3763" s="2" t="s">
        <v>3495</v>
      </c>
      <c r="B3763" s="2" t="s">
        <v>70</v>
      </c>
      <c r="C3763" s="2">
        <v>4</v>
      </c>
      <c r="D3763" t="str">
        <f t="shared" si="58"/>
        <v>CA-2016-116918_OFF-BI-10004140</v>
      </c>
      <c r="E3763" t="str">
        <f>IF(COUNTIF(data1!$D:$D,D3763)=0,"Missing in Data1","Present")</f>
        <v>Present</v>
      </c>
    </row>
    <row r="3764" spans="1:5" x14ac:dyDescent="0.25">
      <c r="A3764" s="2" t="s">
        <v>3496</v>
      </c>
      <c r="B3764" s="2" t="s">
        <v>1466</v>
      </c>
      <c r="C3764" s="2">
        <v>4</v>
      </c>
      <c r="D3764" t="str">
        <f t="shared" si="58"/>
        <v>CA-2016-116974_TEC-PH-10004897</v>
      </c>
      <c r="E3764" t="str">
        <f>IF(COUNTIF(data1!$D:$D,D3764)=0,"Missing in Data1","Present")</f>
        <v>Present</v>
      </c>
    </row>
    <row r="3765" spans="1:5" x14ac:dyDescent="0.25">
      <c r="A3765" s="2" t="s">
        <v>3497</v>
      </c>
      <c r="B3765" s="2" t="s">
        <v>2499</v>
      </c>
      <c r="C3765" s="2">
        <v>13</v>
      </c>
      <c r="D3765" t="str">
        <f t="shared" si="58"/>
        <v>CA-2016-117121_OFF-BI-10000545</v>
      </c>
      <c r="E3765" t="str">
        <f>IF(COUNTIF(data1!$D:$D,D3765)=0,"Missing in Data1","Present")</f>
        <v>Present</v>
      </c>
    </row>
    <row r="3766" spans="1:5" x14ac:dyDescent="0.25">
      <c r="A3766" s="2" t="s">
        <v>3498</v>
      </c>
      <c r="B3766" s="2" t="s">
        <v>483</v>
      </c>
      <c r="C3766" s="2">
        <v>6</v>
      </c>
      <c r="D3766" t="str">
        <f t="shared" si="58"/>
        <v>CA-2016-117226_OFF-BI-10004654</v>
      </c>
      <c r="E3766" t="str">
        <f>IF(COUNTIF(data1!$D:$D,D3766)=0,"Missing in Data1","Present")</f>
        <v>Present</v>
      </c>
    </row>
    <row r="3767" spans="1:5" x14ac:dyDescent="0.25">
      <c r="A3767" s="2" t="s">
        <v>3499</v>
      </c>
      <c r="B3767" s="2" t="s">
        <v>442</v>
      </c>
      <c r="C3767" s="2">
        <v>2</v>
      </c>
      <c r="D3767" t="str">
        <f t="shared" si="58"/>
        <v>CA-2016-117282_OFF-BI-10004094</v>
      </c>
      <c r="E3767" t="str">
        <f>IF(COUNTIF(data1!$D:$D,D3767)=0,"Missing in Data1","Present")</f>
        <v>Present</v>
      </c>
    </row>
    <row r="3768" spans="1:5" x14ac:dyDescent="0.25">
      <c r="A3768" s="2" t="s">
        <v>3500</v>
      </c>
      <c r="B3768" s="2" t="s">
        <v>3335</v>
      </c>
      <c r="C3768" s="2">
        <v>2</v>
      </c>
      <c r="D3768" t="str">
        <f t="shared" si="58"/>
        <v>CA-2016-117408_OFF-ST-10001580</v>
      </c>
      <c r="E3768" t="str">
        <f>IF(COUNTIF(data1!$D:$D,D3768)=0,"Missing in Data1","Present")</f>
        <v>Present</v>
      </c>
    </row>
    <row r="3769" spans="1:5" x14ac:dyDescent="0.25">
      <c r="A3769" s="2" t="s">
        <v>3501</v>
      </c>
      <c r="B3769" s="2" t="s">
        <v>1917</v>
      </c>
      <c r="C3769" s="2">
        <v>3</v>
      </c>
      <c r="D3769" t="str">
        <f t="shared" si="58"/>
        <v>CA-2016-117583_OFF-AR-10000658</v>
      </c>
      <c r="E3769" t="str">
        <f>IF(COUNTIF(data1!$D:$D,D3769)=0,"Missing in Data1","Present")</f>
        <v>Present</v>
      </c>
    </row>
    <row r="3770" spans="1:5" x14ac:dyDescent="0.25">
      <c r="A3770" s="2" t="s">
        <v>3501</v>
      </c>
      <c r="B3770" s="2" t="s">
        <v>137</v>
      </c>
      <c r="C3770" s="2">
        <v>5</v>
      </c>
      <c r="D3770" t="str">
        <f t="shared" si="58"/>
        <v>CA-2016-117583_OFF-BI-10004233</v>
      </c>
      <c r="E3770" t="str">
        <f>IF(COUNTIF(data1!$D:$D,D3770)=0,"Missing in Data1","Present")</f>
        <v>Present</v>
      </c>
    </row>
    <row r="3771" spans="1:5" x14ac:dyDescent="0.25">
      <c r="A3771" s="2" t="s">
        <v>3501</v>
      </c>
      <c r="B3771" s="2" t="s">
        <v>915</v>
      </c>
      <c r="C3771" s="2">
        <v>5</v>
      </c>
      <c r="D3771" t="str">
        <f t="shared" si="58"/>
        <v>CA-2016-117583_OFF-PA-10000100</v>
      </c>
      <c r="E3771" t="str">
        <f>IF(COUNTIF(data1!$D:$D,D3771)=0,"Missing in Data1","Present")</f>
        <v>Present</v>
      </c>
    </row>
    <row r="3772" spans="1:5" x14ac:dyDescent="0.25">
      <c r="A3772" s="2" t="s">
        <v>3501</v>
      </c>
      <c r="B3772" s="2" t="s">
        <v>3502</v>
      </c>
      <c r="C3772" s="2">
        <v>4</v>
      </c>
      <c r="D3772" t="str">
        <f t="shared" si="58"/>
        <v>CA-2016-117583_OFF-PA-10001246</v>
      </c>
      <c r="E3772" t="str">
        <f>IF(COUNTIF(data1!$D:$D,D3772)=0,"Missing in Data1","Present")</f>
        <v>Present</v>
      </c>
    </row>
    <row r="3773" spans="1:5" x14ac:dyDescent="0.25">
      <c r="A3773" s="2" t="s">
        <v>3503</v>
      </c>
      <c r="B3773" s="2" t="s">
        <v>3272</v>
      </c>
      <c r="C3773" s="2">
        <v>5</v>
      </c>
      <c r="D3773" t="str">
        <f t="shared" si="58"/>
        <v>CA-2016-117590_FUR-FU-10003664</v>
      </c>
      <c r="E3773" t="str">
        <f>IF(COUNTIF(data1!$D:$D,D3773)=0,"Missing in Data1","Present")</f>
        <v>Present</v>
      </c>
    </row>
    <row r="3774" spans="1:5" x14ac:dyDescent="0.25">
      <c r="A3774" s="2" t="s">
        <v>3503</v>
      </c>
      <c r="B3774" s="2" t="s">
        <v>1113</v>
      </c>
      <c r="C3774" s="2">
        <v>7</v>
      </c>
      <c r="D3774" t="str">
        <f t="shared" si="58"/>
        <v>CA-2016-117590_TEC-PH-10004977</v>
      </c>
      <c r="E3774" t="str">
        <f>IF(COUNTIF(data1!$D:$D,D3774)=0,"Missing in Data1","Present")</f>
        <v>Present</v>
      </c>
    </row>
    <row r="3775" spans="1:5" x14ac:dyDescent="0.25">
      <c r="A3775" s="2" t="s">
        <v>3504</v>
      </c>
      <c r="B3775" s="2" t="s">
        <v>2394</v>
      </c>
      <c r="C3775" s="2">
        <v>5</v>
      </c>
      <c r="D3775" t="str">
        <f t="shared" si="58"/>
        <v>CA-2016-117604_OFF-PA-10001357</v>
      </c>
      <c r="E3775" t="str">
        <f>IF(COUNTIF(data1!$D:$D,D3775)=0,"Missing in Data1","Present")</f>
        <v>Present</v>
      </c>
    </row>
    <row r="3776" spans="1:5" x14ac:dyDescent="0.25">
      <c r="A3776" s="2" t="s">
        <v>3505</v>
      </c>
      <c r="B3776" s="2" t="s">
        <v>3506</v>
      </c>
      <c r="C3776" s="2">
        <v>2</v>
      </c>
      <c r="D3776" t="str">
        <f t="shared" si="58"/>
        <v>CA-2016-117625_OFF-EN-10001535</v>
      </c>
      <c r="E3776" t="str">
        <f>IF(COUNTIF(data1!$D:$D,D3776)=0,"Missing in Data1","Present")</f>
        <v>Present</v>
      </c>
    </row>
    <row r="3777" spans="1:5" x14ac:dyDescent="0.25">
      <c r="A3777" s="2" t="s">
        <v>3507</v>
      </c>
      <c r="B3777" s="2" t="s">
        <v>114</v>
      </c>
      <c r="C3777" s="2">
        <v>2</v>
      </c>
      <c r="D3777" t="str">
        <f t="shared" si="58"/>
        <v>CA-2016-117660_OFF-LA-10003720</v>
      </c>
      <c r="E3777" t="str">
        <f>IF(COUNTIF(data1!$D:$D,D3777)=0,"Missing in Data1","Present")</f>
        <v>Present</v>
      </c>
    </row>
    <row r="3778" spans="1:5" x14ac:dyDescent="0.25">
      <c r="A3778" s="2" t="s">
        <v>3507</v>
      </c>
      <c r="B3778" s="2" t="s">
        <v>1352</v>
      </c>
      <c r="C3778" s="2">
        <v>2</v>
      </c>
      <c r="D3778" t="str">
        <f t="shared" si="58"/>
        <v>CA-2016-117660_OFF-SU-10001664</v>
      </c>
      <c r="E3778" t="str">
        <f>IF(COUNTIF(data1!$D:$D,D3778)=0,"Missing in Data1","Present")</f>
        <v>Present</v>
      </c>
    </row>
    <row r="3779" spans="1:5" x14ac:dyDescent="0.25">
      <c r="A3779" s="2" t="s">
        <v>3508</v>
      </c>
      <c r="B3779" s="2" t="s">
        <v>3509</v>
      </c>
      <c r="C3779" s="2">
        <v>5</v>
      </c>
      <c r="D3779" t="str">
        <f t="shared" ref="D3779:D3842" si="59">A3779&amp;"_"&amp;B3779</f>
        <v>CA-2016-117681_FUR-BO-10001798</v>
      </c>
      <c r="E3779" t="str">
        <f>IF(COUNTIF(data1!$D:$D,D3779)=0,"Missing in Data1","Present")</f>
        <v>Present</v>
      </c>
    </row>
    <row r="3780" spans="1:5" x14ac:dyDescent="0.25">
      <c r="A3780" s="2" t="s">
        <v>3510</v>
      </c>
      <c r="B3780" s="2" t="s">
        <v>3511</v>
      </c>
      <c r="C3780" s="2">
        <v>3</v>
      </c>
      <c r="D3780" t="str">
        <f t="shared" si="59"/>
        <v>CA-2016-117849_OFF-PA-10004327</v>
      </c>
      <c r="E3780" t="str">
        <f>IF(COUNTIF(data1!$D:$D,D3780)=0,"Missing in Data1","Present")</f>
        <v>Present</v>
      </c>
    </row>
    <row r="3781" spans="1:5" x14ac:dyDescent="0.25">
      <c r="A3781" s="2" t="s">
        <v>3512</v>
      </c>
      <c r="B3781" s="2" t="s">
        <v>756</v>
      </c>
      <c r="C3781" s="2">
        <v>2</v>
      </c>
      <c r="D3781" t="str">
        <f t="shared" si="59"/>
        <v>CA-2016-117912_FUR-FU-10002088</v>
      </c>
      <c r="E3781" t="str">
        <f>IF(COUNTIF(data1!$D:$D,D3781)=0,"Missing in Data1","Present")</f>
        <v>Present</v>
      </c>
    </row>
    <row r="3782" spans="1:5" x14ac:dyDescent="0.25">
      <c r="A3782" s="2" t="s">
        <v>3513</v>
      </c>
      <c r="B3782" s="2" t="s">
        <v>2168</v>
      </c>
      <c r="C3782" s="2">
        <v>1</v>
      </c>
      <c r="D3782" t="str">
        <f t="shared" si="59"/>
        <v>CA-2016-117919_OFF-ST-10003572</v>
      </c>
      <c r="E3782" t="str">
        <f>IF(COUNTIF(data1!$D:$D,D3782)=0,"Missing in Data1","Present")</f>
        <v>Present</v>
      </c>
    </row>
    <row r="3783" spans="1:5" x14ac:dyDescent="0.25">
      <c r="A3783" s="2" t="s">
        <v>3514</v>
      </c>
      <c r="B3783" s="2" t="s">
        <v>2725</v>
      </c>
      <c r="C3783" s="2">
        <v>7</v>
      </c>
      <c r="D3783" t="str">
        <f t="shared" si="59"/>
        <v>CA-2016-118052_FUR-FU-10004848</v>
      </c>
      <c r="E3783" t="str">
        <f>IF(COUNTIF(data1!$D:$D,D3783)=0,"Missing in Data1","Present")</f>
        <v>Present</v>
      </c>
    </row>
    <row r="3784" spans="1:5" x14ac:dyDescent="0.25">
      <c r="A3784" s="2" t="s">
        <v>3514</v>
      </c>
      <c r="B3784" s="2" t="s">
        <v>1662</v>
      </c>
      <c r="C3784" s="2">
        <v>2</v>
      </c>
      <c r="D3784" t="str">
        <f t="shared" si="59"/>
        <v>CA-2016-118052_OFF-FA-10004248</v>
      </c>
      <c r="E3784" t="str">
        <f>IF(COUNTIF(data1!$D:$D,D3784)=0,"Missing in Data1","Present")</f>
        <v>Present</v>
      </c>
    </row>
    <row r="3785" spans="1:5" x14ac:dyDescent="0.25">
      <c r="A3785" s="2" t="s">
        <v>3514</v>
      </c>
      <c r="B3785" s="2" t="s">
        <v>1376</v>
      </c>
      <c r="C3785" s="2">
        <v>2</v>
      </c>
      <c r="D3785" t="str">
        <f t="shared" si="59"/>
        <v>CA-2016-118052_OFF-PA-10002581</v>
      </c>
      <c r="E3785" t="str">
        <f>IF(COUNTIF(data1!$D:$D,D3785)=0,"Missing in Data1","Present")</f>
        <v>Present</v>
      </c>
    </row>
    <row r="3786" spans="1:5" x14ac:dyDescent="0.25">
      <c r="A3786" s="2" t="s">
        <v>3515</v>
      </c>
      <c r="B3786" s="2" t="s">
        <v>1679</v>
      </c>
      <c r="C3786" s="2">
        <v>7</v>
      </c>
      <c r="D3786" t="str">
        <f t="shared" si="59"/>
        <v>CA-2016-118073_FUR-TA-10002533</v>
      </c>
      <c r="E3786" t="str">
        <f>IF(COUNTIF(data1!$D:$D,D3786)=0,"Missing in Data1","Present")</f>
        <v>Present</v>
      </c>
    </row>
    <row r="3787" spans="1:5" x14ac:dyDescent="0.25">
      <c r="A3787" s="2" t="s">
        <v>3516</v>
      </c>
      <c r="B3787" s="2" t="s">
        <v>1412</v>
      </c>
      <c r="C3787" s="2">
        <v>1</v>
      </c>
      <c r="D3787" t="str">
        <f t="shared" si="59"/>
        <v>CA-2016-118101_OFF-BI-10000773</v>
      </c>
      <c r="E3787" t="str">
        <f>IF(COUNTIF(data1!$D:$D,D3787)=0,"Missing in Data1","Present")</f>
        <v>Present</v>
      </c>
    </row>
    <row r="3788" spans="1:5" x14ac:dyDescent="0.25">
      <c r="A3788" s="2" t="s">
        <v>3516</v>
      </c>
      <c r="B3788" s="2" t="s">
        <v>41</v>
      </c>
      <c r="C3788" s="2">
        <v>9</v>
      </c>
      <c r="D3788" t="str">
        <f t="shared" si="59"/>
        <v>CA-2016-118101_OFF-PA-10000357</v>
      </c>
      <c r="E3788" t="str">
        <f>IF(COUNTIF(data1!$D:$D,D3788)=0,"Missing in Data1","Present")</f>
        <v>Present</v>
      </c>
    </row>
    <row r="3789" spans="1:5" x14ac:dyDescent="0.25">
      <c r="A3789" s="2" t="s">
        <v>3516</v>
      </c>
      <c r="B3789" s="2" t="s">
        <v>1297</v>
      </c>
      <c r="C3789" s="2">
        <v>4</v>
      </c>
      <c r="D3789" t="str">
        <f t="shared" si="59"/>
        <v>CA-2016-118101_OFF-ST-10001837</v>
      </c>
      <c r="E3789" t="str">
        <f>IF(COUNTIF(data1!$D:$D,D3789)=0,"Missing in Data1","Present")</f>
        <v>Present</v>
      </c>
    </row>
    <row r="3790" spans="1:5" x14ac:dyDescent="0.25">
      <c r="A3790" s="2" t="s">
        <v>3517</v>
      </c>
      <c r="B3790" s="2" t="s">
        <v>2459</v>
      </c>
      <c r="C3790" s="2">
        <v>5</v>
      </c>
      <c r="D3790" t="str">
        <f t="shared" si="59"/>
        <v>CA-2016-118129_FUR-FU-10004904</v>
      </c>
      <c r="E3790" t="str">
        <f>IF(COUNTIF(data1!$D:$D,D3790)=0,"Missing in Data1","Present")</f>
        <v>Present</v>
      </c>
    </row>
    <row r="3791" spans="1:5" x14ac:dyDescent="0.25">
      <c r="A3791" s="2" t="s">
        <v>3518</v>
      </c>
      <c r="B3791" s="2" t="s">
        <v>2708</v>
      </c>
      <c r="C3791" s="2">
        <v>3</v>
      </c>
      <c r="D3791" t="str">
        <f t="shared" si="59"/>
        <v>CA-2016-118178_OFF-BI-10001153</v>
      </c>
      <c r="E3791" t="str">
        <f>IF(COUNTIF(data1!$D:$D,D3791)=0,"Missing in Data1","Present")</f>
        <v>Present</v>
      </c>
    </row>
    <row r="3792" spans="1:5" x14ac:dyDescent="0.25">
      <c r="A3792" s="2" t="s">
        <v>3519</v>
      </c>
      <c r="B3792" s="2" t="s">
        <v>485</v>
      </c>
      <c r="C3792" s="2">
        <v>2</v>
      </c>
      <c r="D3792" t="str">
        <f t="shared" si="59"/>
        <v>CA-2016-118255_OFF-BI-10003291</v>
      </c>
      <c r="E3792" t="str">
        <f>IF(COUNTIF(data1!$D:$D,D3792)=0,"Missing in Data1","Present")</f>
        <v>Present</v>
      </c>
    </row>
    <row r="3793" spans="1:5" x14ac:dyDescent="0.25">
      <c r="A3793" s="2" t="s">
        <v>3519</v>
      </c>
      <c r="B3793" s="2" t="s">
        <v>2057</v>
      </c>
      <c r="C3793" s="2">
        <v>2</v>
      </c>
      <c r="D3793" t="str">
        <f t="shared" si="59"/>
        <v>CA-2016-118255_TEC-AC-10000171</v>
      </c>
      <c r="E3793" t="str">
        <f>IF(COUNTIF(data1!$D:$D,D3793)=0,"Missing in Data1","Present")</f>
        <v>Present</v>
      </c>
    </row>
    <row r="3794" spans="1:5" x14ac:dyDescent="0.25">
      <c r="A3794" s="2" t="s">
        <v>3520</v>
      </c>
      <c r="B3794" s="2" t="s">
        <v>1718</v>
      </c>
      <c r="C3794" s="2">
        <v>5</v>
      </c>
      <c r="D3794" t="str">
        <f t="shared" si="59"/>
        <v>CA-2016-118311_TEC-AC-10000892</v>
      </c>
      <c r="E3794" t="str">
        <f>IF(COUNTIF(data1!$D:$D,D3794)=0,"Missing in Data1","Present")</f>
        <v>Present</v>
      </c>
    </row>
    <row r="3795" spans="1:5" x14ac:dyDescent="0.25">
      <c r="A3795" s="2" t="s">
        <v>3521</v>
      </c>
      <c r="B3795" s="2" t="s">
        <v>2229</v>
      </c>
      <c r="C3795" s="2">
        <v>5</v>
      </c>
      <c r="D3795" t="str">
        <f t="shared" si="59"/>
        <v>CA-2016-118332_FUR-CH-10001708</v>
      </c>
      <c r="E3795" t="str">
        <f>IF(COUNTIF(data1!$D:$D,D3795)=0,"Missing in Data1","Present")</f>
        <v>Present</v>
      </c>
    </row>
    <row r="3796" spans="1:5" x14ac:dyDescent="0.25">
      <c r="A3796" s="2" t="s">
        <v>3522</v>
      </c>
      <c r="B3796" s="2" t="s">
        <v>2166</v>
      </c>
      <c r="C3796" s="2">
        <v>5</v>
      </c>
      <c r="D3796" t="str">
        <f t="shared" si="59"/>
        <v>CA-2016-118500_OFF-SU-10004231</v>
      </c>
      <c r="E3796" t="str">
        <f>IF(COUNTIF(data1!$D:$D,D3796)=0,"Missing in Data1","Present")</f>
        <v>Present</v>
      </c>
    </row>
    <row r="3797" spans="1:5" x14ac:dyDescent="0.25">
      <c r="A3797" s="2" t="s">
        <v>3523</v>
      </c>
      <c r="B3797" s="2" t="s">
        <v>1430</v>
      </c>
      <c r="C3797" s="2">
        <v>4</v>
      </c>
      <c r="D3797" t="str">
        <f t="shared" si="59"/>
        <v>CA-2016-118514_FUR-CH-10000015</v>
      </c>
      <c r="E3797" t="str">
        <f>IF(COUNTIF(data1!$D:$D,D3797)=0,"Missing in Data1","Present")</f>
        <v>Present</v>
      </c>
    </row>
    <row r="3798" spans="1:5" x14ac:dyDescent="0.25">
      <c r="A3798" s="2" t="s">
        <v>3524</v>
      </c>
      <c r="B3798" s="2" t="s">
        <v>789</v>
      </c>
      <c r="C3798" s="2">
        <v>7</v>
      </c>
      <c r="D3798" t="str">
        <f t="shared" si="59"/>
        <v>CA-2016-118570_OFF-PA-10001289</v>
      </c>
      <c r="E3798" t="str">
        <f>IF(COUNTIF(data1!$D:$D,D3798)=0,"Missing in Data1","Present")</f>
        <v>Present</v>
      </c>
    </row>
    <row r="3799" spans="1:5" x14ac:dyDescent="0.25">
      <c r="A3799" s="2" t="s">
        <v>3525</v>
      </c>
      <c r="B3799" s="2" t="s">
        <v>1763</v>
      </c>
      <c r="C3799" s="2">
        <v>7</v>
      </c>
      <c r="D3799" t="str">
        <f t="shared" si="59"/>
        <v>CA-2016-118626_TEC-PH-10000369</v>
      </c>
      <c r="E3799" t="str">
        <f>IF(COUNTIF(data1!$D:$D,D3799)=0,"Missing in Data1","Present")</f>
        <v>Present</v>
      </c>
    </row>
    <row r="3800" spans="1:5" x14ac:dyDescent="0.25">
      <c r="A3800" s="2" t="s">
        <v>3526</v>
      </c>
      <c r="B3800" s="2" t="s">
        <v>3156</v>
      </c>
      <c r="C3800" s="2">
        <v>2</v>
      </c>
      <c r="D3800" t="str">
        <f t="shared" si="59"/>
        <v>CA-2016-118689_OFF-AR-10001958</v>
      </c>
      <c r="E3800" t="str">
        <f>IF(COUNTIF(data1!$D:$D,D3800)=0,"Missing in Data1","Present")</f>
        <v>Present</v>
      </c>
    </row>
    <row r="3801" spans="1:5" x14ac:dyDescent="0.25">
      <c r="A3801" s="2" t="s">
        <v>3526</v>
      </c>
      <c r="B3801" s="2" t="s">
        <v>688</v>
      </c>
      <c r="C3801" s="2">
        <v>7</v>
      </c>
      <c r="D3801" t="str">
        <f t="shared" si="59"/>
        <v>CA-2016-118689_OFF-BI-10003712</v>
      </c>
      <c r="E3801" t="str">
        <f>IF(COUNTIF(data1!$D:$D,D3801)=0,"Missing in Data1","Present")</f>
        <v>Present</v>
      </c>
    </row>
    <row r="3802" spans="1:5" x14ac:dyDescent="0.25">
      <c r="A3802" s="2" t="s">
        <v>3526</v>
      </c>
      <c r="B3802" s="2" t="s">
        <v>113</v>
      </c>
      <c r="C3802" s="2">
        <v>2</v>
      </c>
      <c r="D3802" t="str">
        <f t="shared" si="59"/>
        <v>CA-2016-118689_OFF-BI-10004600</v>
      </c>
      <c r="E3802" t="str">
        <f>IF(COUNTIF(data1!$D:$D,D3802)=0,"Missing in Data1","Present")</f>
        <v>Present</v>
      </c>
    </row>
    <row r="3803" spans="1:5" x14ac:dyDescent="0.25">
      <c r="A3803" s="2" t="s">
        <v>3526</v>
      </c>
      <c r="B3803" s="2" t="s">
        <v>1735</v>
      </c>
      <c r="C3803" s="2">
        <v>2</v>
      </c>
      <c r="D3803" t="str">
        <f t="shared" si="59"/>
        <v>CA-2016-118689_OFF-ST-10001558</v>
      </c>
      <c r="E3803" t="str">
        <f>IF(COUNTIF(data1!$D:$D,D3803)=0,"Missing in Data1","Present")</f>
        <v>Present</v>
      </c>
    </row>
    <row r="3804" spans="1:5" x14ac:dyDescent="0.25">
      <c r="A3804" s="2" t="s">
        <v>3526</v>
      </c>
      <c r="B3804" s="2" t="s">
        <v>3527</v>
      </c>
      <c r="C3804" s="2">
        <v>5</v>
      </c>
      <c r="D3804" t="str">
        <f t="shared" si="59"/>
        <v>CA-2016-118689_TEC-CO-10004722</v>
      </c>
      <c r="E3804" t="str">
        <f>IF(COUNTIF(data1!$D:$D,D3804)=0,"Missing in Data1","Present")</f>
        <v>Present</v>
      </c>
    </row>
    <row r="3805" spans="1:5" x14ac:dyDescent="0.25">
      <c r="A3805" s="2" t="s">
        <v>3528</v>
      </c>
      <c r="B3805" s="2" t="s">
        <v>1806</v>
      </c>
      <c r="C3805" s="2">
        <v>3</v>
      </c>
      <c r="D3805" t="str">
        <f t="shared" si="59"/>
        <v>CA-2016-118745_FUR-TA-10003473</v>
      </c>
      <c r="E3805" t="str">
        <f>IF(COUNTIF(data1!$D:$D,D3805)=0,"Missing in Data1","Present")</f>
        <v>Present</v>
      </c>
    </row>
    <row r="3806" spans="1:5" x14ac:dyDescent="0.25">
      <c r="A3806" s="2" t="s">
        <v>3529</v>
      </c>
      <c r="B3806" s="2" t="s">
        <v>2767</v>
      </c>
      <c r="C3806" s="2">
        <v>2</v>
      </c>
      <c r="D3806" t="str">
        <f t="shared" si="59"/>
        <v>CA-2016-118759_FUR-CH-10002335</v>
      </c>
      <c r="E3806" t="str">
        <f>IF(COUNTIF(data1!$D:$D,D3806)=0,"Missing in Data1","Present")</f>
        <v>Present</v>
      </c>
    </row>
    <row r="3807" spans="1:5" x14ac:dyDescent="0.25">
      <c r="A3807" s="2" t="s">
        <v>3529</v>
      </c>
      <c r="B3807" s="2" t="s">
        <v>2282</v>
      </c>
      <c r="C3807" s="2">
        <v>3</v>
      </c>
      <c r="D3807" t="str">
        <f t="shared" si="59"/>
        <v>CA-2016-118759_OFF-ST-10001590</v>
      </c>
      <c r="E3807" t="str">
        <f>IF(COUNTIF(data1!$D:$D,D3807)=0,"Missing in Data1","Present")</f>
        <v>Present</v>
      </c>
    </row>
    <row r="3808" spans="1:5" x14ac:dyDescent="0.25">
      <c r="A3808" s="2" t="s">
        <v>3530</v>
      </c>
      <c r="B3808" s="2" t="s">
        <v>1502</v>
      </c>
      <c r="C3808" s="2">
        <v>7</v>
      </c>
      <c r="D3808" t="str">
        <f t="shared" si="59"/>
        <v>CA-2016-118899_FUR-CH-10004754</v>
      </c>
      <c r="E3808" t="str">
        <f>IF(COUNTIF(data1!$D:$D,D3808)=0,"Missing in Data1","Present")</f>
        <v>Present</v>
      </c>
    </row>
    <row r="3809" spans="1:5" x14ac:dyDescent="0.25">
      <c r="A3809" s="2" t="s">
        <v>3531</v>
      </c>
      <c r="B3809" s="2" t="s">
        <v>647</v>
      </c>
      <c r="C3809" s="2">
        <v>3</v>
      </c>
      <c r="D3809" t="str">
        <f t="shared" si="59"/>
        <v>CA-2016-118913_OFF-AP-10000692</v>
      </c>
      <c r="E3809" t="str">
        <f>IF(COUNTIF(data1!$D:$D,D3809)=0,"Missing in Data1","Present")</f>
        <v>Present</v>
      </c>
    </row>
    <row r="3810" spans="1:5" x14ac:dyDescent="0.25">
      <c r="A3810" s="2" t="s">
        <v>3532</v>
      </c>
      <c r="B3810" s="2" t="s">
        <v>940</v>
      </c>
      <c r="C3810" s="2">
        <v>3</v>
      </c>
      <c r="D3810" t="str">
        <f t="shared" si="59"/>
        <v>CA-2016-118934_OFF-BI-10003314</v>
      </c>
      <c r="E3810" t="str">
        <f>IF(COUNTIF(data1!$D:$D,D3810)=0,"Missing in Data1","Present")</f>
        <v>Present</v>
      </c>
    </row>
    <row r="3811" spans="1:5" x14ac:dyDescent="0.25">
      <c r="A3811" s="2" t="s">
        <v>3532</v>
      </c>
      <c r="B3811" s="2" t="s">
        <v>3533</v>
      </c>
      <c r="C3811" s="2">
        <v>5</v>
      </c>
      <c r="D3811" t="str">
        <f t="shared" si="59"/>
        <v>CA-2016-118934_OFF-BI-10004465</v>
      </c>
      <c r="E3811" t="str">
        <f>IF(COUNTIF(data1!$D:$D,D3811)=0,"Missing in Data1","Present")</f>
        <v>Present</v>
      </c>
    </row>
    <row r="3812" spans="1:5" x14ac:dyDescent="0.25">
      <c r="A3812" s="2" t="s">
        <v>3534</v>
      </c>
      <c r="B3812" s="2" t="s">
        <v>150</v>
      </c>
      <c r="C3812" s="2">
        <v>6</v>
      </c>
      <c r="D3812" t="str">
        <f t="shared" si="59"/>
        <v>CA-2016-118969_OFF-BI-10002429</v>
      </c>
      <c r="E3812" t="str">
        <f>IF(COUNTIF(data1!$D:$D,D3812)=0,"Missing in Data1","Present")</f>
        <v>Present</v>
      </c>
    </row>
    <row r="3813" spans="1:5" x14ac:dyDescent="0.25">
      <c r="A3813" s="2" t="s">
        <v>3535</v>
      </c>
      <c r="B3813" s="2" t="s">
        <v>492</v>
      </c>
      <c r="C3813" s="2">
        <v>1</v>
      </c>
      <c r="D3813" t="str">
        <f t="shared" si="59"/>
        <v>CA-2016-119018_OFF-BI-10000494</v>
      </c>
      <c r="E3813" t="str">
        <f>IF(COUNTIF(data1!$D:$D,D3813)=0,"Missing in Data1","Present")</f>
        <v>Present</v>
      </c>
    </row>
    <row r="3814" spans="1:5" x14ac:dyDescent="0.25">
      <c r="A3814" s="2" t="s">
        <v>3535</v>
      </c>
      <c r="B3814" s="2" t="s">
        <v>940</v>
      </c>
      <c r="C3814" s="2">
        <v>2</v>
      </c>
      <c r="D3814" t="str">
        <f t="shared" si="59"/>
        <v>CA-2016-119018_OFF-BI-10003314</v>
      </c>
      <c r="E3814" t="str">
        <f>IF(COUNTIF(data1!$D:$D,D3814)=0,"Missing in Data1","Present")</f>
        <v>Present</v>
      </c>
    </row>
    <row r="3815" spans="1:5" x14ac:dyDescent="0.25">
      <c r="A3815" s="2" t="s">
        <v>3535</v>
      </c>
      <c r="B3815" s="2" t="s">
        <v>1545</v>
      </c>
      <c r="C3815" s="2">
        <v>6</v>
      </c>
      <c r="D3815" t="str">
        <f t="shared" si="59"/>
        <v>CA-2016-119018_OFF-PA-10000295</v>
      </c>
      <c r="E3815" t="str">
        <f>IF(COUNTIF(data1!$D:$D,D3815)=0,"Missing in Data1","Present")</f>
        <v>Missing in Data1</v>
      </c>
    </row>
    <row r="3816" spans="1:5" x14ac:dyDescent="0.25">
      <c r="A3816" s="2" t="s">
        <v>3536</v>
      </c>
      <c r="B3816" s="2" t="s">
        <v>2238</v>
      </c>
      <c r="C3816" s="2">
        <v>9</v>
      </c>
      <c r="D3816" t="str">
        <f t="shared" si="59"/>
        <v>CA-2016-119025_OFF-AP-10001205</v>
      </c>
      <c r="E3816" t="str">
        <f>IF(COUNTIF(data1!$D:$D,D3816)=0,"Missing in Data1","Present")</f>
        <v>Present</v>
      </c>
    </row>
    <row r="3817" spans="1:5" x14ac:dyDescent="0.25">
      <c r="A3817" s="2" t="s">
        <v>3537</v>
      </c>
      <c r="B3817" s="2" t="s">
        <v>3539</v>
      </c>
      <c r="C3817" s="2">
        <v>1</v>
      </c>
      <c r="D3817" t="str">
        <f t="shared" si="59"/>
        <v>CA-2016-119074_FUR-FU-10004053</v>
      </c>
      <c r="E3817" t="str">
        <f>IF(COUNTIF(data1!$D:$D,D3817)=0,"Missing in Data1","Present")</f>
        <v>Present</v>
      </c>
    </row>
    <row r="3818" spans="1:5" x14ac:dyDescent="0.25">
      <c r="A3818" s="2" t="s">
        <v>3537</v>
      </c>
      <c r="B3818" s="2" t="s">
        <v>1014</v>
      </c>
      <c r="C3818" s="2">
        <v>2</v>
      </c>
      <c r="D3818" t="str">
        <f t="shared" si="59"/>
        <v>CA-2016-119074_OFF-BI-10000962</v>
      </c>
      <c r="E3818" t="str">
        <f>IF(COUNTIF(data1!$D:$D,D3818)=0,"Missing in Data1","Present")</f>
        <v>Present</v>
      </c>
    </row>
    <row r="3819" spans="1:5" x14ac:dyDescent="0.25">
      <c r="A3819" s="2" t="s">
        <v>3540</v>
      </c>
      <c r="B3819" s="2" t="s">
        <v>811</v>
      </c>
      <c r="C3819" s="2">
        <v>7</v>
      </c>
      <c r="D3819" t="str">
        <f t="shared" si="59"/>
        <v>CA-2016-119123_OFF-BI-10001036</v>
      </c>
      <c r="E3819" t="str">
        <f>IF(COUNTIF(data1!$D:$D,D3819)=0,"Missing in Data1","Present")</f>
        <v>Present</v>
      </c>
    </row>
    <row r="3820" spans="1:5" x14ac:dyDescent="0.25">
      <c r="A3820" s="2" t="s">
        <v>3541</v>
      </c>
      <c r="B3820" s="2" t="s">
        <v>221</v>
      </c>
      <c r="C3820" s="2">
        <v>5</v>
      </c>
      <c r="D3820" t="str">
        <f t="shared" si="59"/>
        <v>CA-2016-119165_FUR-CH-10000988</v>
      </c>
      <c r="E3820" t="str">
        <f>IF(COUNTIF(data1!$D:$D,D3820)=0,"Missing in Data1","Present")</f>
        <v>Present</v>
      </c>
    </row>
    <row r="3821" spans="1:5" x14ac:dyDescent="0.25">
      <c r="A3821" s="2" t="s">
        <v>3542</v>
      </c>
      <c r="B3821" s="2" t="s">
        <v>2759</v>
      </c>
      <c r="C3821" s="2">
        <v>3</v>
      </c>
      <c r="D3821" t="str">
        <f t="shared" si="59"/>
        <v>CA-2016-119186_OFF-PA-10004040</v>
      </c>
      <c r="E3821" t="str">
        <f>IF(COUNTIF(data1!$D:$D,D3821)=0,"Missing in Data1","Present")</f>
        <v>Present</v>
      </c>
    </row>
    <row r="3822" spans="1:5" x14ac:dyDescent="0.25">
      <c r="A3822" s="2" t="s">
        <v>3542</v>
      </c>
      <c r="B3822" s="2" t="s">
        <v>2081</v>
      </c>
      <c r="C3822" s="2">
        <v>2</v>
      </c>
      <c r="D3822" t="str">
        <f t="shared" si="59"/>
        <v>CA-2016-119186_OFF-PA-10004621</v>
      </c>
      <c r="E3822" t="str">
        <f>IF(COUNTIF(data1!$D:$D,D3822)=0,"Missing in Data1","Present")</f>
        <v>Present</v>
      </c>
    </row>
    <row r="3823" spans="1:5" x14ac:dyDescent="0.25">
      <c r="A3823" s="2" t="s">
        <v>3542</v>
      </c>
      <c r="B3823" s="2" t="s">
        <v>3543</v>
      </c>
      <c r="C3823" s="2">
        <v>1</v>
      </c>
      <c r="D3823" t="str">
        <f t="shared" si="59"/>
        <v>CA-2016-119186_TEC-AC-10000580</v>
      </c>
      <c r="E3823" t="str">
        <f>IF(COUNTIF(data1!$D:$D,D3823)=0,"Missing in Data1","Present")</f>
        <v>Present</v>
      </c>
    </row>
    <row r="3824" spans="1:5" x14ac:dyDescent="0.25">
      <c r="A3824" s="2" t="s">
        <v>3544</v>
      </c>
      <c r="B3824" s="2" t="s">
        <v>462</v>
      </c>
      <c r="C3824" s="2">
        <v>5</v>
      </c>
      <c r="D3824" t="str">
        <f t="shared" si="59"/>
        <v>CA-2016-119445_OFF-ST-10000617</v>
      </c>
      <c r="E3824" t="str">
        <f>IF(COUNTIF(data1!$D:$D,D3824)=0,"Missing in Data1","Present")</f>
        <v>Present</v>
      </c>
    </row>
    <row r="3825" spans="1:5" x14ac:dyDescent="0.25">
      <c r="A3825" s="2" t="s">
        <v>3545</v>
      </c>
      <c r="B3825" s="2" t="s">
        <v>727</v>
      </c>
      <c r="C3825" s="2">
        <v>3</v>
      </c>
      <c r="D3825" t="str">
        <f t="shared" si="59"/>
        <v>CA-2016-119515_OFF-PA-10000552</v>
      </c>
      <c r="E3825" t="str">
        <f>IF(COUNTIF(data1!$D:$D,D3825)=0,"Missing in Data1","Present")</f>
        <v>Present</v>
      </c>
    </row>
    <row r="3826" spans="1:5" x14ac:dyDescent="0.25">
      <c r="A3826" s="2" t="s">
        <v>3546</v>
      </c>
      <c r="B3826" s="2" t="s">
        <v>3041</v>
      </c>
      <c r="C3826" s="2">
        <v>2</v>
      </c>
      <c r="D3826" t="str">
        <f t="shared" si="59"/>
        <v>CA-2016-119641_FUR-FU-10002445</v>
      </c>
      <c r="E3826" t="str">
        <f>IF(COUNTIF(data1!$D:$D,D3826)=0,"Missing in Data1","Present")</f>
        <v>Present</v>
      </c>
    </row>
    <row r="3827" spans="1:5" x14ac:dyDescent="0.25">
      <c r="A3827" s="2" t="s">
        <v>3547</v>
      </c>
      <c r="B3827" s="2" t="s">
        <v>284</v>
      </c>
      <c r="C3827" s="2">
        <v>3</v>
      </c>
      <c r="D3827" t="str">
        <f t="shared" si="59"/>
        <v>CA-2016-119683_OFF-EN-10001099</v>
      </c>
      <c r="E3827" t="str">
        <f>IF(COUNTIF(data1!$D:$D,D3827)=0,"Missing in Data1","Present")</f>
        <v>Present</v>
      </c>
    </row>
    <row r="3828" spans="1:5" x14ac:dyDescent="0.25">
      <c r="A3828" s="2" t="s">
        <v>3548</v>
      </c>
      <c r="B3828" s="2" t="s">
        <v>1335</v>
      </c>
      <c r="C3828" s="2">
        <v>2</v>
      </c>
      <c r="D3828" t="str">
        <f t="shared" si="59"/>
        <v>CA-2016-119823_OFF-PA-10000482</v>
      </c>
      <c r="E3828" t="str">
        <f>IF(COUNTIF(data1!$D:$D,D3828)=0,"Missing in Data1","Present")</f>
        <v>Present</v>
      </c>
    </row>
    <row r="3829" spans="1:5" x14ac:dyDescent="0.25">
      <c r="A3829" s="2" t="s">
        <v>3549</v>
      </c>
      <c r="B3829" s="2" t="s">
        <v>437</v>
      </c>
      <c r="C3829" s="2">
        <v>2</v>
      </c>
      <c r="D3829" t="str">
        <f t="shared" si="59"/>
        <v>CA-2016-119865_FUR-BO-10003272</v>
      </c>
      <c r="E3829" t="str">
        <f>IF(COUNTIF(data1!$D:$D,D3829)=0,"Missing in Data1","Present")</f>
        <v>Present</v>
      </c>
    </row>
    <row r="3830" spans="1:5" x14ac:dyDescent="0.25">
      <c r="A3830" s="2" t="s">
        <v>3549</v>
      </c>
      <c r="B3830" s="2" t="s">
        <v>1042</v>
      </c>
      <c r="C3830" s="2">
        <v>5</v>
      </c>
      <c r="D3830" t="str">
        <f t="shared" si="59"/>
        <v>CA-2016-119865_OFF-BI-10001553</v>
      </c>
      <c r="E3830" t="str">
        <f>IF(COUNTIF(data1!$D:$D,D3830)=0,"Missing in Data1","Present")</f>
        <v>Present</v>
      </c>
    </row>
    <row r="3831" spans="1:5" x14ac:dyDescent="0.25">
      <c r="A3831" s="2" t="s">
        <v>3549</v>
      </c>
      <c r="B3831" s="2" t="s">
        <v>510</v>
      </c>
      <c r="C3831" s="2">
        <v>6</v>
      </c>
      <c r="D3831" t="str">
        <f t="shared" si="59"/>
        <v>CA-2016-119865_OFF-BI-10003007</v>
      </c>
      <c r="E3831" t="str">
        <f>IF(COUNTIF(data1!$D:$D,D3831)=0,"Missing in Data1","Present")</f>
        <v>Missing in Data1</v>
      </c>
    </row>
    <row r="3832" spans="1:5" x14ac:dyDescent="0.25">
      <c r="A3832" s="2" t="s">
        <v>3550</v>
      </c>
      <c r="B3832" s="2" t="s">
        <v>2427</v>
      </c>
      <c r="C3832" s="2">
        <v>2</v>
      </c>
      <c r="D3832" t="str">
        <f t="shared" si="59"/>
        <v>CA-2016-119935_FUR-FU-10001085</v>
      </c>
      <c r="E3832" t="str">
        <f>IF(COUNTIF(data1!$D:$D,D3832)=0,"Missing in Data1","Present")</f>
        <v>Present</v>
      </c>
    </row>
    <row r="3833" spans="1:5" x14ac:dyDescent="0.25">
      <c r="A3833" s="2" t="s">
        <v>3550</v>
      </c>
      <c r="B3833" s="2" t="s">
        <v>5</v>
      </c>
      <c r="C3833" s="2">
        <v>2</v>
      </c>
      <c r="D3833" t="str">
        <f t="shared" si="59"/>
        <v>CA-2016-119935_OFF-BI-10001597</v>
      </c>
      <c r="E3833" t="str">
        <f>IF(COUNTIF(data1!$D:$D,D3833)=0,"Missing in Data1","Present")</f>
        <v>Missing in Data1</v>
      </c>
    </row>
    <row r="3834" spans="1:5" x14ac:dyDescent="0.25">
      <c r="A3834" s="2" t="s">
        <v>3551</v>
      </c>
      <c r="B3834" s="2" t="s">
        <v>621</v>
      </c>
      <c r="C3834" s="2">
        <v>6</v>
      </c>
      <c r="D3834" t="str">
        <f t="shared" si="59"/>
        <v>CA-2016-119963_FUR-CH-10003817</v>
      </c>
      <c r="E3834" t="str">
        <f>IF(COUNTIF(data1!$D:$D,D3834)=0,"Missing in Data1","Present")</f>
        <v>Present</v>
      </c>
    </row>
    <row r="3835" spans="1:5" x14ac:dyDescent="0.25">
      <c r="A3835" s="2" t="s">
        <v>3551</v>
      </c>
      <c r="B3835" s="2" t="s">
        <v>204</v>
      </c>
      <c r="C3835" s="2">
        <v>2</v>
      </c>
      <c r="D3835" t="str">
        <f t="shared" si="59"/>
        <v>CA-2016-119963_OFF-AR-10003514</v>
      </c>
      <c r="E3835" t="str">
        <f>IF(COUNTIF(data1!$D:$D,D3835)=0,"Missing in Data1","Present")</f>
        <v>Present</v>
      </c>
    </row>
    <row r="3836" spans="1:5" x14ac:dyDescent="0.25">
      <c r="A3836" s="2" t="s">
        <v>3551</v>
      </c>
      <c r="B3836" s="2" t="s">
        <v>1125</v>
      </c>
      <c r="C3836" s="2">
        <v>2</v>
      </c>
      <c r="D3836" t="str">
        <f t="shared" si="59"/>
        <v>CA-2016-119963_OFF-LA-10003510</v>
      </c>
      <c r="E3836" t="str">
        <f>IF(COUNTIF(data1!$D:$D,D3836)=0,"Missing in Data1","Present")</f>
        <v>Present</v>
      </c>
    </row>
    <row r="3837" spans="1:5" x14ac:dyDescent="0.25">
      <c r="A3837" s="2" t="s">
        <v>3551</v>
      </c>
      <c r="B3837" s="2" t="s">
        <v>1039</v>
      </c>
      <c r="C3837" s="2">
        <v>2</v>
      </c>
      <c r="D3837" t="str">
        <f t="shared" si="59"/>
        <v>CA-2016-119963_OFF-PA-10001970</v>
      </c>
      <c r="E3837" t="str">
        <f>IF(COUNTIF(data1!$D:$D,D3837)=0,"Missing in Data1","Present")</f>
        <v>Present</v>
      </c>
    </row>
    <row r="3838" spans="1:5" x14ac:dyDescent="0.25">
      <c r="A3838" s="2" t="s">
        <v>3552</v>
      </c>
      <c r="B3838" s="2" t="s">
        <v>389</v>
      </c>
      <c r="C3838" s="2">
        <v>3</v>
      </c>
      <c r="D3838" t="str">
        <f t="shared" si="59"/>
        <v>CA-2016-120005_FUR-FU-10000672</v>
      </c>
      <c r="E3838" t="str">
        <f>IF(COUNTIF(data1!$D:$D,D3838)=0,"Missing in Data1","Present")</f>
        <v>Present</v>
      </c>
    </row>
    <row r="3839" spans="1:5" x14ac:dyDescent="0.25">
      <c r="A3839" s="2" t="s">
        <v>3552</v>
      </c>
      <c r="B3839" s="2" t="s">
        <v>3133</v>
      </c>
      <c r="C3839" s="2">
        <v>3</v>
      </c>
      <c r="D3839" t="str">
        <f t="shared" si="59"/>
        <v>CA-2016-120005_OFF-SU-10004782</v>
      </c>
      <c r="E3839" t="str">
        <f>IF(COUNTIF(data1!$D:$D,D3839)=0,"Missing in Data1","Present")</f>
        <v>Present</v>
      </c>
    </row>
    <row r="3840" spans="1:5" x14ac:dyDescent="0.25">
      <c r="A3840" s="2" t="s">
        <v>6796</v>
      </c>
      <c r="B3840" s="2" t="s">
        <v>1034</v>
      </c>
      <c r="C3840" s="2">
        <v>3</v>
      </c>
      <c r="D3840" t="str">
        <f t="shared" si="59"/>
        <v>CA-2016-120082_OFF-AR-10001955</v>
      </c>
      <c r="E3840" t="str">
        <f>IF(COUNTIF(data1!$D:$D,D3840)=0,"Missing in Data1","Present")</f>
        <v>Missing in Data1</v>
      </c>
    </row>
    <row r="3841" spans="1:5" x14ac:dyDescent="0.25">
      <c r="A3841" s="2" t="s">
        <v>3553</v>
      </c>
      <c r="B3841" s="2" t="s">
        <v>667</v>
      </c>
      <c r="C3841" s="2">
        <v>2</v>
      </c>
      <c r="D3841" t="str">
        <f t="shared" si="59"/>
        <v>CA-2016-120180_OFF-SU-10004115</v>
      </c>
      <c r="E3841" t="str">
        <f>IF(COUNTIF(data1!$D:$D,D3841)=0,"Missing in Data1","Present")</f>
        <v>Present</v>
      </c>
    </row>
    <row r="3842" spans="1:5" x14ac:dyDescent="0.25">
      <c r="A3842" s="2" t="s">
        <v>3554</v>
      </c>
      <c r="B3842" s="2" t="s">
        <v>2847</v>
      </c>
      <c r="C3842" s="2">
        <v>3</v>
      </c>
      <c r="D3842" t="str">
        <f t="shared" si="59"/>
        <v>CA-2016-120250_FUR-FU-10003424</v>
      </c>
      <c r="E3842" t="str">
        <f>IF(COUNTIF(data1!$D:$D,D3842)=0,"Missing in Data1","Present")</f>
        <v>Present</v>
      </c>
    </row>
    <row r="3843" spans="1:5" x14ac:dyDescent="0.25">
      <c r="A3843" s="2" t="s">
        <v>3556</v>
      </c>
      <c r="B3843" s="2" t="s">
        <v>294</v>
      </c>
      <c r="C3843" s="2">
        <v>2</v>
      </c>
      <c r="D3843" t="str">
        <f t="shared" ref="D3843:D3906" si="60">A3843&amp;"_"&amp;B3843</f>
        <v>CA-2016-120355_FUR-CH-10001394</v>
      </c>
      <c r="E3843" t="str">
        <f>IF(COUNTIF(data1!$D:$D,D3843)=0,"Missing in Data1","Present")</f>
        <v>Present</v>
      </c>
    </row>
    <row r="3844" spans="1:5" x14ac:dyDescent="0.25">
      <c r="A3844" s="2" t="s">
        <v>3556</v>
      </c>
      <c r="B3844" s="2" t="s">
        <v>3539</v>
      </c>
      <c r="C3844" s="2">
        <v>3</v>
      </c>
      <c r="D3844" t="str">
        <f t="shared" si="60"/>
        <v>CA-2016-120355_FUR-FU-10004053</v>
      </c>
      <c r="E3844" t="str">
        <f>IF(COUNTIF(data1!$D:$D,D3844)=0,"Missing in Data1","Present")</f>
        <v>Present</v>
      </c>
    </row>
    <row r="3845" spans="1:5" x14ac:dyDescent="0.25">
      <c r="A3845" s="2" t="s">
        <v>3557</v>
      </c>
      <c r="B3845" s="2" t="s">
        <v>3558</v>
      </c>
      <c r="C3845" s="2">
        <v>5</v>
      </c>
      <c r="D3845" t="str">
        <f t="shared" si="60"/>
        <v>CA-2016-120369_FUR-FU-10003806</v>
      </c>
      <c r="E3845" t="str">
        <f>IF(COUNTIF(data1!$D:$D,D3845)=0,"Missing in Data1","Present")</f>
        <v>Present</v>
      </c>
    </row>
    <row r="3846" spans="1:5" x14ac:dyDescent="0.25">
      <c r="A3846" s="2" t="s">
        <v>3559</v>
      </c>
      <c r="B3846" s="2" t="s">
        <v>297</v>
      </c>
      <c r="C3846" s="2">
        <v>3</v>
      </c>
      <c r="D3846" t="str">
        <f t="shared" si="60"/>
        <v>CA-2016-120530_FUR-CH-10000454</v>
      </c>
      <c r="E3846" t="str">
        <f>IF(COUNTIF(data1!$D:$D,D3846)=0,"Missing in Data1","Present")</f>
        <v>Present</v>
      </c>
    </row>
    <row r="3847" spans="1:5" x14ac:dyDescent="0.25">
      <c r="A3847" s="2" t="s">
        <v>3560</v>
      </c>
      <c r="B3847" s="2" t="s">
        <v>1737</v>
      </c>
      <c r="C3847" s="2">
        <v>5</v>
      </c>
      <c r="D3847" t="str">
        <f t="shared" si="60"/>
        <v>CA-2016-120558_OFF-PA-10003441</v>
      </c>
      <c r="E3847" t="str">
        <f>IF(COUNTIF(data1!$D:$D,D3847)=0,"Missing in Data1","Present")</f>
        <v>Present</v>
      </c>
    </row>
    <row r="3848" spans="1:5" x14ac:dyDescent="0.25">
      <c r="A3848" s="2" t="s">
        <v>3561</v>
      </c>
      <c r="B3848" s="2" t="s">
        <v>2193</v>
      </c>
      <c r="C3848" s="2">
        <v>9</v>
      </c>
      <c r="D3848" t="str">
        <f t="shared" si="60"/>
        <v>CA-2016-120796_OFF-BI-10004330</v>
      </c>
      <c r="E3848" t="str">
        <f>IF(COUNTIF(data1!$D:$D,D3848)=0,"Missing in Data1","Present")</f>
        <v>Present</v>
      </c>
    </row>
    <row r="3849" spans="1:5" x14ac:dyDescent="0.25">
      <c r="A3849" s="2" t="s">
        <v>3562</v>
      </c>
      <c r="B3849" s="2" t="s">
        <v>2802</v>
      </c>
      <c r="C3849" s="2">
        <v>5</v>
      </c>
      <c r="D3849" t="str">
        <f t="shared" si="60"/>
        <v>CA-2016-120803_TEC-AC-10004469</v>
      </c>
      <c r="E3849" t="str">
        <f>IF(COUNTIF(data1!$D:$D,D3849)=0,"Missing in Data1","Present")</f>
        <v>Present</v>
      </c>
    </row>
    <row r="3850" spans="1:5" x14ac:dyDescent="0.25">
      <c r="A3850" s="2" t="s">
        <v>3563</v>
      </c>
      <c r="B3850" s="2" t="s">
        <v>1578</v>
      </c>
      <c r="C3850" s="2">
        <v>2</v>
      </c>
      <c r="D3850" t="str">
        <f t="shared" si="60"/>
        <v>CA-2016-120824_FUR-CH-10000229</v>
      </c>
      <c r="E3850" t="str">
        <f>IF(COUNTIF(data1!$D:$D,D3850)=0,"Missing in Data1","Present")</f>
        <v>Present</v>
      </c>
    </row>
    <row r="3851" spans="1:5" x14ac:dyDescent="0.25">
      <c r="A3851" s="2" t="s">
        <v>3563</v>
      </c>
      <c r="B3851" s="2" t="s">
        <v>1071</v>
      </c>
      <c r="C3851" s="2">
        <v>2</v>
      </c>
      <c r="D3851" t="str">
        <f t="shared" si="60"/>
        <v>CA-2016-120824_FUR-FU-10001424</v>
      </c>
      <c r="E3851" t="str">
        <f>IF(COUNTIF(data1!$D:$D,D3851)=0,"Missing in Data1","Present")</f>
        <v>Present</v>
      </c>
    </row>
    <row r="3852" spans="1:5" x14ac:dyDescent="0.25">
      <c r="A3852" s="2" t="s">
        <v>3563</v>
      </c>
      <c r="B3852" s="2" t="s">
        <v>3173</v>
      </c>
      <c r="C3852" s="2">
        <v>4</v>
      </c>
      <c r="D3852" t="str">
        <f t="shared" si="60"/>
        <v>CA-2016-120824_OFF-AP-10001242</v>
      </c>
      <c r="E3852" t="str">
        <f>IF(COUNTIF(data1!$D:$D,D3852)=0,"Missing in Data1","Present")</f>
        <v>Present</v>
      </c>
    </row>
    <row r="3853" spans="1:5" x14ac:dyDescent="0.25">
      <c r="A3853" s="2" t="s">
        <v>3563</v>
      </c>
      <c r="B3853" s="2" t="s">
        <v>719</v>
      </c>
      <c r="C3853" s="2">
        <v>8</v>
      </c>
      <c r="D3853" t="str">
        <f t="shared" si="60"/>
        <v>CA-2016-120824_OFF-AR-10003469</v>
      </c>
      <c r="E3853" t="str">
        <f>IF(COUNTIF(data1!$D:$D,D3853)=0,"Missing in Data1","Present")</f>
        <v>Present</v>
      </c>
    </row>
    <row r="3854" spans="1:5" x14ac:dyDescent="0.25">
      <c r="A3854" s="2" t="s">
        <v>3563</v>
      </c>
      <c r="B3854" s="2" t="s">
        <v>1369</v>
      </c>
      <c r="C3854" s="2">
        <v>2</v>
      </c>
      <c r="D3854" t="str">
        <f t="shared" si="60"/>
        <v>CA-2016-120824_OFF-BI-10001525</v>
      </c>
      <c r="E3854" t="str">
        <f>IF(COUNTIF(data1!$D:$D,D3854)=0,"Missing in Data1","Present")</f>
        <v>Present</v>
      </c>
    </row>
    <row r="3855" spans="1:5" x14ac:dyDescent="0.25">
      <c r="A3855" s="2" t="s">
        <v>3563</v>
      </c>
      <c r="B3855" s="2" t="s">
        <v>3461</v>
      </c>
      <c r="C3855" s="2">
        <v>3</v>
      </c>
      <c r="D3855" t="str">
        <f t="shared" si="60"/>
        <v>CA-2016-120824_OFF-PA-10000232</v>
      </c>
      <c r="E3855" t="str">
        <f>IF(COUNTIF(data1!$D:$D,D3855)=0,"Missing in Data1","Present")</f>
        <v>Present</v>
      </c>
    </row>
    <row r="3856" spans="1:5" x14ac:dyDescent="0.25">
      <c r="A3856" s="2" t="s">
        <v>3563</v>
      </c>
      <c r="B3856" s="2" t="s">
        <v>1660</v>
      </c>
      <c r="C3856" s="2">
        <v>9</v>
      </c>
      <c r="D3856" t="str">
        <f t="shared" si="60"/>
        <v>CA-2016-120824_OFF-ST-10002562</v>
      </c>
      <c r="E3856" t="str">
        <f>IF(COUNTIF(data1!$D:$D,D3856)=0,"Missing in Data1","Present")</f>
        <v>Missing in Data1</v>
      </c>
    </row>
    <row r="3857" spans="1:5" x14ac:dyDescent="0.25">
      <c r="A3857" s="2" t="s">
        <v>3564</v>
      </c>
      <c r="B3857" s="2" t="s">
        <v>1155</v>
      </c>
      <c r="C3857" s="2">
        <v>2</v>
      </c>
      <c r="D3857" t="str">
        <f t="shared" si="60"/>
        <v>CA-2016-120859_OFF-EN-10001335</v>
      </c>
      <c r="E3857" t="str">
        <f>IF(COUNTIF(data1!$D:$D,D3857)=0,"Missing in Data1","Present")</f>
        <v>Present</v>
      </c>
    </row>
    <row r="3858" spans="1:5" x14ac:dyDescent="0.25">
      <c r="A3858" s="2" t="s">
        <v>3565</v>
      </c>
      <c r="B3858" s="2" t="s">
        <v>233</v>
      </c>
      <c r="C3858" s="2">
        <v>1</v>
      </c>
      <c r="D3858" t="str">
        <f t="shared" si="60"/>
        <v>CA-2016-120873_FUR-CH-10000847</v>
      </c>
      <c r="E3858" t="str">
        <f>IF(COUNTIF(data1!$D:$D,D3858)=0,"Missing in Data1","Present")</f>
        <v>Present</v>
      </c>
    </row>
    <row r="3859" spans="1:5" x14ac:dyDescent="0.25">
      <c r="A3859" s="2" t="s">
        <v>3566</v>
      </c>
      <c r="B3859" s="2" t="s">
        <v>3567</v>
      </c>
      <c r="C3859" s="2">
        <v>3</v>
      </c>
      <c r="D3859" t="str">
        <f t="shared" si="60"/>
        <v>CA-2016-121020_TEC-PH-10001061</v>
      </c>
      <c r="E3859" t="str">
        <f>IF(COUNTIF(data1!$D:$D,D3859)=0,"Missing in Data1","Present")</f>
        <v>Present</v>
      </c>
    </row>
    <row r="3860" spans="1:5" x14ac:dyDescent="0.25">
      <c r="A3860" s="2" t="s">
        <v>3568</v>
      </c>
      <c r="B3860" s="2" t="s">
        <v>685</v>
      </c>
      <c r="C3860" s="2">
        <v>4</v>
      </c>
      <c r="D3860" t="str">
        <f t="shared" si="60"/>
        <v>CA-2016-121034_OFF-FA-10000585</v>
      </c>
      <c r="E3860" t="str">
        <f>IF(COUNTIF(data1!$D:$D,D3860)=0,"Missing in Data1","Present")</f>
        <v>Present</v>
      </c>
    </row>
    <row r="3861" spans="1:5" x14ac:dyDescent="0.25">
      <c r="A3861" s="2" t="s">
        <v>3568</v>
      </c>
      <c r="B3861" s="2" t="s">
        <v>3435</v>
      </c>
      <c r="C3861" s="2">
        <v>3</v>
      </c>
      <c r="D3861" t="str">
        <f t="shared" si="60"/>
        <v>CA-2016-121034_OFF-PA-10001994</v>
      </c>
      <c r="E3861" t="str">
        <f>IF(COUNTIF(data1!$D:$D,D3861)=0,"Missing in Data1","Present")</f>
        <v>Present</v>
      </c>
    </row>
    <row r="3862" spans="1:5" x14ac:dyDescent="0.25">
      <c r="A3862" s="2" t="s">
        <v>3569</v>
      </c>
      <c r="B3862" s="2" t="s">
        <v>1073</v>
      </c>
      <c r="C3862" s="2">
        <v>2</v>
      </c>
      <c r="D3862" t="str">
        <f t="shared" si="60"/>
        <v>CA-2016-121223_OFF-PA-10001204</v>
      </c>
      <c r="E3862" t="str">
        <f>IF(COUNTIF(data1!$D:$D,D3862)=0,"Missing in Data1","Present")</f>
        <v>Present</v>
      </c>
    </row>
    <row r="3863" spans="1:5" x14ac:dyDescent="0.25">
      <c r="A3863" s="2" t="s">
        <v>3569</v>
      </c>
      <c r="B3863" s="2" t="s">
        <v>142</v>
      </c>
      <c r="C3863" s="2">
        <v>9</v>
      </c>
      <c r="D3863" t="str">
        <f t="shared" si="60"/>
        <v>CA-2016-121223_TEC-PH-10004667</v>
      </c>
      <c r="E3863" t="str">
        <f>IF(COUNTIF(data1!$D:$D,D3863)=0,"Missing in Data1","Present")</f>
        <v>Present</v>
      </c>
    </row>
    <row r="3864" spans="1:5" x14ac:dyDescent="0.25">
      <c r="A3864" s="2" t="s">
        <v>6797</v>
      </c>
      <c r="B3864" s="2" t="s">
        <v>823</v>
      </c>
      <c r="C3864" s="2">
        <v>3</v>
      </c>
      <c r="D3864" t="str">
        <f t="shared" si="60"/>
        <v>CA-2016-121356_OFF-BI-10002133</v>
      </c>
      <c r="E3864" t="str">
        <f>IF(COUNTIF(data1!$D:$D,D3864)=0,"Missing in Data1","Present")</f>
        <v>Missing in Data1</v>
      </c>
    </row>
    <row r="3865" spans="1:5" x14ac:dyDescent="0.25">
      <c r="A3865" s="2" t="s">
        <v>3570</v>
      </c>
      <c r="B3865" s="2" t="s">
        <v>2213</v>
      </c>
      <c r="C3865" s="2">
        <v>3</v>
      </c>
      <c r="D3865" t="str">
        <f t="shared" si="60"/>
        <v>CA-2016-121370_FUR-CH-10000785</v>
      </c>
      <c r="E3865" t="str">
        <f>IF(COUNTIF(data1!$D:$D,D3865)=0,"Missing in Data1","Present")</f>
        <v>Present</v>
      </c>
    </row>
    <row r="3866" spans="1:5" x14ac:dyDescent="0.25">
      <c r="A3866" s="2" t="s">
        <v>3570</v>
      </c>
      <c r="B3866" s="2" t="s">
        <v>1286</v>
      </c>
      <c r="C3866" s="2">
        <v>3</v>
      </c>
      <c r="D3866" t="str">
        <f t="shared" si="60"/>
        <v>CA-2016-121370_FUR-FU-10002813</v>
      </c>
      <c r="E3866" t="str">
        <f>IF(COUNTIF(data1!$D:$D,D3866)=0,"Missing in Data1","Present")</f>
        <v>Present</v>
      </c>
    </row>
    <row r="3867" spans="1:5" x14ac:dyDescent="0.25">
      <c r="A3867" s="2" t="s">
        <v>3570</v>
      </c>
      <c r="B3867" s="2" t="s">
        <v>986</v>
      </c>
      <c r="C3867" s="2">
        <v>4</v>
      </c>
      <c r="D3867" t="str">
        <f t="shared" si="60"/>
        <v>CA-2016-121370_TEC-CO-10004115</v>
      </c>
      <c r="E3867" t="str">
        <f>IF(COUNTIF(data1!$D:$D,D3867)=0,"Missing in Data1","Present")</f>
        <v>Present</v>
      </c>
    </row>
    <row r="3868" spans="1:5" x14ac:dyDescent="0.25">
      <c r="A3868" s="2" t="s">
        <v>3571</v>
      </c>
      <c r="B3868" s="2" t="s">
        <v>2598</v>
      </c>
      <c r="C3868" s="2">
        <v>1</v>
      </c>
      <c r="D3868" t="str">
        <f t="shared" si="60"/>
        <v>CA-2016-121377_TEC-PH-10001817</v>
      </c>
      <c r="E3868" t="str">
        <f>IF(COUNTIF(data1!$D:$D,D3868)=0,"Missing in Data1","Present")</f>
        <v>Present</v>
      </c>
    </row>
    <row r="3869" spans="1:5" x14ac:dyDescent="0.25">
      <c r="A3869" s="2" t="s">
        <v>3572</v>
      </c>
      <c r="B3869" s="2" t="s">
        <v>979</v>
      </c>
      <c r="C3869" s="2">
        <v>7</v>
      </c>
      <c r="D3869" t="str">
        <f t="shared" si="60"/>
        <v>CA-2016-121447_FUR-FU-10001861</v>
      </c>
      <c r="E3869" t="str">
        <f>IF(COUNTIF(data1!$D:$D,D3869)=0,"Missing in Data1","Present")</f>
        <v>Present</v>
      </c>
    </row>
    <row r="3870" spans="1:5" x14ac:dyDescent="0.25">
      <c r="A3870" s="2" t="s">
        <v>3573</v>
      </c>
      <c r="B3870" s="2" t="s">
        <v>2178</v>
      </c>
      <c r="C3870" s="2">
        <v>7</v>
      </c>
      <c r="D3870" t="str">
        <f t="shared" si="60"/>
        <v>CA-2016-121601_OFF-EN-10003862</v>
      </c>
      <c r="E3870" t="str">
        <f>IF(COUNTIF(data1!$D:$D,D3870)=0,"Missing in Data1","Present")</f>
        <v>Present</v>
      </c>
    </row>
    <row r="3871" spans="1:5" x14ac:dyDescent="0.25">
      <c r="A3871" s="2" t="s">
        <v>3574</v>
      </c>
      <c r="B3871" s="2" t="s">
        <v>14</v>
      </c>
      <c r="C3871" s="2">
        <v>3</v>
      </c>
      <c r="D3871" t="str">
        <f t="shared" si="60"/>
        <v>CA-2016-121671_OFF-PA-10001471</v>
      </c>
      <c r="E3871" t="str">
        <f>IF(COUNTIF(data1!$D:$D,D3871)=0,"Missing in Data1","Present")</f>
        <v>Present</v>
      </c>
    </row>
    <row r="3872" spans="1:5" x14ac:dyDescent="0.25">
      <c r="A3872" s="2" t="s">
        <v>3574</v>
      </c>
      <c r="B3872" s="2" t="s">
        <v>3399</v>
      </c>
      <c r="C3872" s="2">
        <v>1</v>
      </c>
      <c r="D3872" t="str">
        <f t="shared" si="60"/>
        <v>CA-2016-121671_OFF-PA-10001892</v>
      </c>
      <c r="E3872" t="str">
        <f>IF(COUNTIF(data1!$D:$D,D3872)=0,"Missing in Data1","Present")</f>
        <v>Present</v>
      </c>
    </row>
    <row r="3873" spans="1:5" x14ac:dyDescent="0.25">
      <c r="A3873" s="2" t="s">
        <v>3574</v>
      </c>
      <c r="B3873" s="2" t="s">
        <v>3575</v>
      </c>
      <c r="C3873" s="2">
        <v>8</v>
      </c>
      <c r="D3873" t="str">
        <f t="shared" si="60"/>
        <v>CA-2016-121671_OFF-PA-10001934</v>
      </c>
      <c r="E3873" t="str">
        <f>IF(COUNTIF(data1!$D:$D,D3873)=0,"Missing in Data1","Present")</f>
        <v>Present</v>
      </c>
    </row>
    <row r="3874" spans="1:5" x14ac:dyDescent="0.25">
      <c r="A3874" s="2" t="s">
        <v>3574</v>
      </c>
      <c r="B3874" s="2" t="s">
        <v>835</v>
      </c>
      <c r="C3874" s="2">
        <v>1</v>
      </c>
      <c r="D3874" t="str">
        <f t="shared" si="60"/>
        <v>CA-2016-121671_OFF-ST-10000078</v>
      </c>
      <c r="E3874" t="str">
        <f>IF(COUNTIF(data1!$D:$D,D3874)=0,"Missing in Data1","Present")</f>
        <v>Present</v>
      </c>
    </row>
    <row r="3875" spans="1:5" x14ac:dyDescent="0.25">
      <c r="A3875" s="2" t="s">
        <v>3574</v>
      </c>
      <c r="B3875" s="2" t="s">
        <v>715</v>
      </c>
      <c r="C3875" s="2">
        <v>3</v>
      </c>
      <c r="D3875" t="str">
        <f t="shared" si="60"/>
        <v>CA-2016-121671_OFF-ST-10002344</v>
      </c>
      <c r="E3875" t="str">
        <f>IF(COUNTIF(data1!$D:$D,D3875)=0,"Missing in Data1","Present")</f>
        <v>Present</v>
      </c>
    </row>
    <row r="3876" spans="1:5" x14ac:dyDescent="0.25">
      <c r="A3876" s="2" t="s">
        <v>3576</v>
      </c>
      <c r="B3876" s="2" t="s">
        <v>2808</v>
      </c>
      <c r="C3876" s="2">
        <v>2</v>
      </c>
      <c r="D3876" t="str">
        <f t="shared" si="60"/>
        <v>CA-2016-121748_TEC-AC-10002637</v>
      </c>
      <c r="E3876" t="str">
        <f>IF(COUNTIF(data1!$D:$D,D3876)=0,"Missing in Data1","Present")</f>
        <v>Present</v>
      </c>
    </row>
    <row r="3877" spans="1:5" x14ac:dyDescent="0.25">
      <c r="A3877" s="2" t="s">
        <v>3576</v>
      </c>
      <c r="B3877" s="2" t="s">
        <v>2389</v>
      </c>
      <c r="C3877" s="2">
        <v>4</v>
      </c>
      <c r="D3877" t="str">
        <f t="shared" si="60"/>
        <v>CA-2016-121748_TEC-AC-10003063</v>
      </c>
      <c r="E3877" t="str">
        <f>IF(COUNTIF(data1!$D:$D,D3877)=0,"Missing in Data1","Present")</f>
        <v>Present</v>
      </c>
    </row>
    <row r="3878" spans="1:5" x14ac:dyDescent="0.25">
      <c r="A3878" s="2" t="s">
        <v>3577</v>
      </c>
      <c r="B3878" s="2" t="s">
        <v>3393</v>
      </c>
      <c r="C3878" s="2">
        <v>2</v>
      </c>
      <c r="D3878" t="str">
        <f t="shared" si="60"/>
        <v>CA-2016-121755_OFF-BI-10001634</v>
      </c>
      <c r="E3878" t="str">
        <f>IF(COUNTIF(data1!$D:$D,D3878)=0,"Missing in Data1","Present")</f>
        <v>Present</v>
      </c>
    </row>
    <row r="3879" spans="1:5" x14ac:dyDescent="0.25">
      <c r="A3879" s="2" t="s">
        <v>3577</v>
      </c>
      <c r="B3879" s="2" t="s">
        <v>6470</v>
      </c>
      <c r="C3879" s="2">
        <v>3</v>
      </c>
      <c r="D3879" t="str">
        <f t="shared" si="60"/>
        <v>CA-2016-121755_TEC-AC-10003027</v>
      </c>
      <c r="E3879" t="str">
        <f>IF(COUNTIF(data1!$D:$D,D3879)=0,"Missing in Data1","Present")</f>
        <v>Missing in Data1</v>
      </c>
    </row>
    <row r="3880" spans="1:5" x14ac:dyDescent="0.25">
      <c r="A3880" s="2" t="s">
        <v>3578</v>
      </c>
      <c r="B3880" s="2" t="s">
        <v>1822</v>
      </c>
      <c r="C3880" s="2">
        <v>7</v>
      </c>
      <c r="D3880" t="str">
        <f t="shared" si="60"/>
        <v>CA-2016-121958_OFF-SU-10000381</v>
      </c>
      <c r="E3880" t="str">
        <f>IF(COUNTIF(data1!$D:$D,D3880)=0,"Missing in Data1","Present")</f>
        <v>Present</v>
      </c>
    </row>
    <row r="3881" spans="1:5" x14ac:dyDescent="0.25">
      <c r="A3881" s="2" t="s">
        <v>3579</v>
      </c>
      <c r="B3881" s="2" t="s">
        <v>114</v>
      </c>
      <c r="C3881" s="2">
        <v>8</v>
      </c>
      <c r="D3881" t="str">
        <f t="shared" si="60"/>
        <v>CA-2016-121993_OFF-LA-10003720</v>
      </c>
      <c r="E3881" t="str">
        <f>IF(COUNTIF(data1!$D:$D,D3881)=0,"Missing in Data1","Present")</f>
        <v>Present</v>
      </c>
    </row>
    <row r="3882" spans="1:5" x14ac:dyDescent="0.25">
      <c r="A3882" s="2" t="s">
        <v>3580</v>
      </c>
      <c r="B3882" s="2" t="s">
        <v>389</v>
      </c>
      <c r="C3882" s="2">
        <v>6</v>
      </c>
      <c r="D3882" t="str">
        <f t="shared" si="60"/>
        <v>CA-2016-122017_FUR-FU-10000672</v>
      </c>
      <c r="E3882" t="str">
        <f>IF(COUNTIF(data1!$D:$D,D3882)=0,"Missing in Data1","Present")</f>
        <v>Present</v>
      </c>
    </row>
    <row r="3883" spans="1:5" x14ac:dyDescent="0.25">
      <c r="A3883" s="2" t="s">
        <v>3580</v>
      </c>
      <c r="B3883" s="2" t="s">
        <v>650</v>
      </c>
      <c r="C3883" s="2">
        <v>2</v>
      </c>
      <c r="D3883" t="str">
        <f t="shared" si="60"/>
        <v>CA-2016-122017_OFF-AP-10001293</v>
      </c>
      <c r="E3883" t="str">
        <f>IF(COUNTIF(data1!$D:$D,D3883)=0,"Missing in Data1","Present")</f>
        <v>Present</v>
      </c>
    </row>
    <row r="3884" spans="1:5" x14ac:dyDescent="0.25">
      <c r="A3884" s="2" t="s">
        <v>3581</v>
      </c>
      <c r="B3884" s="2" t="s">
        <v>939</v>
      </c>
      <c r="C3884" s="2">
        <v>2</v>
      </c>
      <c r="D3884" t="str">
        <f t="shared" si="60"/>
        <v>CA-2016-122063_FUR-TA-10004575</v>
      </c>
      <c r="E3884" t="str">
        <f>IF(COUNTIF(data1!$D:$D,D3884)=0,"Missing in Data1","Present")</f>
        <v>Present</v>
      </c>
    </row>
    <row r="3885" spans="1:5" x14ac:dyDescent="0.25">
      <c r="A3885" s="2" t="s">
        <v>3582</v>
      </c>
      <c r="B3885" s="2" t="s">
        <v>116</v>
      </c>
      <c r="C3885" s="2">
        <v>4</v>
      </c>
      <c r="D3885" t="str">
        <f t="shared" si="60"/>
        <v>CA-2016-122133_OFF-ST-10002574</v>
      </c>
      <c r="E3885" t="str">
        <f>IF(COUNTIF(data1!$D:$D,D3885)=0,"Missing in Data1","Present")</f>
        <v>Present</v>
      </c>
    </row>
    <row r="3886" spans="1:5" x14ac:dyDescent="0.25">
      <c r="A3886" s="2" t="s">
        <v>3583</v>
      </c>
      <c r="B3886" s="2" t="s">
        <v>3584</v>
      </c>
      <c r="C3886" s="2">
        <v>5</v>
      </c>
      <c r="D3886" t="str">
        <f t="shared" si="60"/>
        <v>CA-2016-122322_OFF-SU-10000952</v>
      </c>
      <c r="E3886" t="str">
        <f>IF(COUNTIF(data1!$D:$D,D3886)=0,"Missing in Data1","Present")</f>
        <v>Present</v>
      </c>
    </row>
    <row r="3887" spans="1:5" x14ac:dyDescent="0.25">
      <c r="A3887" s="2" t="s">
        <v>3585</v>
      </c>
      <c r="B3887" s="2" t="s">
        <v>100</v>
      </c>
      <c r="C3887" s="2">
        <v>2</v>
      </c>
      <c r="D3887" t="str">
        <f t="shared" si="60"/>
        <v>CA-2016-122392_FUR-FU-10002456</v>
      </c>
      <c r="E3887" t="str">
        <f>IF(COUNTIF(data1!$D:$D,D3887)=0,"Missing in Data1","Present")</f>
        <v>Present</v>
      </c>
    </row>
    <row r="3888" spans="1:5" x14ac:dyDescent="0.25">
      <c r="A3888" s="2" t="s">
        <v>3585</v>
      </c>
      <c r="B3888" s="2" t="s">
        <v>3586</v>
      </c>
      <c r="C3888" s="2">
        <v>2</v>
      </c>
      <c r="D3888" t="str">
        <f t="shared" si="60"/>
        <v>CA-2016-122392_OFF-AR-10002221</v>
      </c>
      <c r="E3888" t="str">
        <f>IF(COUNTIF(data1!$D:$D,D3888)=0,"Missing in Data1","Present")</f>
        <v>Present</v>
      </c>
    </row>
    <row r="3889" spans="1:5" x14ac:dyDescent="0.25">
      <c r="A3889" s="2" t="s">
        <v>3587</v>
      </c>
      <c r="B3889" s="2" t="s">
        <v>1207</v>
      </c>
      <c r="C3889" s="2">
        <v>3</v>
      </c>
      <c r="D3889" t="str">
        <f t="shared" si="60"/>
        <v>CA-2016-122448_FUR-CH-10002774</v>
      </c>
      <c r="E3889" t="str">
        <f>IF(COUNTIF(data1!$D:$D,D3889)=0,"Missing in Data1","Present")</f>
        <v>Present</v>
      </c>
    </row>
    <row r="3890" spans="1:5" x14ac:dyDescent="0.25">
      <c r="A3890" s="2" t="s">
        <v>3590</v>
      </c>
      <c r="B3890" s="2" t="s">
        <v>3591</v>
      </c>
      <c r="C3890" s="2">
        <v>7</v>
      </c>
      <c r="D3890" t="str">
        <f t="shared" si="60"/>
        <v>CA-2016-122581_FUR-CH-10002961</v>
      </c>
      <c r="E3890" t="str">
        <f>IF(COUNTIF(data1!$D:$D,D3890)=0,"Missing in Data1","Present")</f>
        <v>Present</v>
      </c>
    </row>
    <row r="3891" spans="1:5" x14ac:dyDescent="0.25">
      <c r="A3891" s="2" t="s">
        <v>3592</v>
      </c>
      <c r="B3891" s="2" t="s">
        <v>2759</v>
      </c>
      <c r="C3891" s="2">
        <v>3</v>
      </c>
      <c r="D3891" t="str">
        <f t="shared" si="60"/>
        <v>CA-2016-122728_OFF-PA-10004040</v>
      </c>
      <c r="E3891" t="str">
        <f>IF(COUNTIF(data1!$D:$D,D3891)=0,"Missing in Data1","Present")</f>
        <v>Present</v>
      </c>
    </row>
    <row r="3892" spans="1:5" x14ac:dyDescent="0.25">
      <c r="A3892" s="2" t="s">
        <v>3592</v>
      </c>
      <c r="B3892" s="2" t="s">
        <v>2149</v>
      </c>
      <c r="C3892" s="2">
        <v>3</v>
      </c>
      <c r="D3892" t="str">
        <f t="shared" si="60"/>
        <v>CA-2016-122728_OFF-ST-10000604</v>
      </c>
      <c r="E3892" t="str">
        <f>IF(COUNTIF(data1!$D:$D,D3892)=0,"Missing in Data1","Present")</f>
        <v>Present</v>
      </c>
    </row>
    <row r="3893" spans="1:5" x14ac:dyDescent="0.25">
      <c r="A3893" s="2" t="s">
        <v>3593</v>
      </c>
      <c r="B3893" s="2" t="s">
        <v>561</v>
      </c>
      <c r="C3893" s="2">
        <v>5</v>
      </c>
      <c r="D3893" t="str">
        <f t="shared" si="60"/>
        <v>CA-2016-122903_FUR-CH-10002024</v>
      </c>
      <c r="E3893" t="str">
        <f>IF(COUNTIF(data1!$D:$D,D3893)=0,"Missing in Data1","Present")</f>
        <v>Present</v>
      </c>
    </row>
    <row r="3894" spans="1:5" x14ac:dyDescent="0.25">
      <c r="A3894" s="2" t="s">
        <v>3593</v>
      </c>
      <c r="B3894" s="2" t="s">
        <v>2100</v>
      </c>
      <c r="C3894" s="2">
        <v>3</v>
      </c>
      <c r="D3894" t="str">
        <f t="shared" si="60"/>
        <v>CA-2016-122903_OFF-PA-10000994</v>
      </c>
      <c r="E3894" t="str">
        <f>IF(COUNTIF(data1!$D:$D,D3894)=0,"Missing in Data1","Present")</f>
        <v>Present</v>
      </c>
    </row>
    <row r="3895" spans="1:5" x14ac:dyDescent="0.25">
      <c r="A3895" s="2" t="s">
        <v>3593</v>
      </c>
      <c r="B3895" s="2" t="s">
        <v>2090</v>
      </c>
      <c r="C3895" s="2">
        <v>3</v>
      </c>
      <c r="D3895" t="str">
        <f t="shared" si="60"/>
        <v>CA-2016-122903_OFF-PA-10001790</v>
      </c>
      <c r="E3895" t="str">
        <f>IF(COUNTIF(data1!$D:$D,D3895)=0,"Missing in Data1","Present")</f>
        <v>Present</v>
      </c>
    </row>
    <row r="3896" spans="1:5" x14ac:dyDescent="0.25">
      <c r="A3896" s="2" t="s">
        <v>3594</v>
      </c>
      <c r="B3896" s="2" t="s">
        <v>3452</v>
      </c>
      <c r="C3896" s="2">
        <v>3</v>
      </c>
      <c r="D3896" t="str">
        <f t="shared" si="60"/>
        <v>CA-2016-123015_OFF-BI-10004967</v>
      </c>
      <c r="E3896" t="str">
        <f>IF(COUNTIF(data1!$D:$D,D3896)=0,"Missing in Data1","Present")</f>
        <v>Present</v>
      </c>
    </row>
    <row r="3897" spans="1:5" x14ac:dyDescent="0.25">
      <c r="A3897" s="2" t="s">
        <v>3595</v>
      </c>
      <c r="B3897" s="2" t="s">
        <v>160</v>
      </c>
      <c r="C3897" s="2">
        <v>2</v>
      </c>
      <c r="D3897" t="str">
        <f t="shared" si="60"/>
        <v>CA-2016-123050_FUR-FU-10000723</v>
      </c>
      <c r="E3897" t="str">
        <f>IF(COUNTIF(data1!$D:$D,D3897)=0,"Missing in Data1","Present")</f>
        <v>Missing in Data1</v>
      </c>
    </row>
    <row r="3898" spans="1:5" x14ac:dyDescent="0.25">
      <c r="A3898" s="2" t="s">
        <v>3595</v>
      </c>
      <c r="B3898" s="2" t="s">
        <v>1433</v>
      </c>
      <c r="C3898" s="2">
        <v>2</v>
      </c>
      <c r="D3898" t="str">
        <f t="shared" si="60"/>
        <v>CA-2016-123050_OFF-ST-10003455</v>
      </c>
      <c r="E3898" t="str">
        <f>IF(COUNTIF(data1!$D:$D,D3898)=0,"Missing in Data1","Present")</f>
        <v>Present</v>
      </c>
    </row>
    <row r="3899" spans="1:5" x14ac:dyDescent="0.25">
      <c r="A3899" s="2" t="s">
        <v>3595</v>
      </c>
      <c r="B3899" s="2" t="s">
        <v>2690</v>
      </c>
      <c r="C3899" s="2">
        <v>3</v>
      </c>
      <c r="D3899" t="str">
        <f t="shared" si="60"/>
        <v>CA-2016-123050_TEC-AC-10001109</v>
      </c>
      <c r="E3899" t="str">
        <f>IF(COUNTIF(data1!$D:$D,D3899)=0,"Missing in Data1","Present")</f>
        <v>Present</v>
      </c>
    </row>
    <row r="3900" spans="1:5" x14ac:dyDescent="0.25">
      <c r="A3900" s="2" t="s">
        <v>3596</v>
      </c>
      <c r="B3900" s="2" t="s">
        <v>2651</v>
      </c>
      <c r="C3900" s="2">
        <v>1</v>
      </c>
      <c r="D3900" t="str">
        <f t="shared" si="60"/>
        <v>CA-2016-123120_FUR-FU-10004748</v>
      </c>
      <c r="E3900" t="str">
        <f>IF(COUNTIF(data1!$D:$D,D3900)=0,"Missing in Data1","Present")</f>
        <v>Present</v>
      </c>
    </row>
    <row r="3901" spans="1:5" x14ac:dyDescent="0.25">
      <c r="A3901" s="2" t="s">
        <v>3596</v>
      </c>
      <c r="B3901" s="2" t="s">
        <v>1843</v>
      </c>
      <c r="C3901" s="2">
        <v>5</v>
      </c>
      <c r="D3901" t="str">
        <f t="shared" si="60"/>
        <v>CA-2016-123120_OFF-BI-10001460</v>
      </c>
      <c r="E3901" t="str">
        <f>IF(COUNTIF(data1!$D:$D,D3901)=0,"Missing in Data1","Present")</f>
        <v>Present</v>
      </c>
    </row>
    <row r="3902" spans="1:5" x14ac:dyDescent="0.25">
      <c r="A3902" s="2" t="s">
        <v>3596</v>
      </c>
      <c r="B3902" s="2" t="s">
        <v>4297</v>
      </c>
      <c r="C3902" s="2">
        <v>4</v>
      </c>
      <c r="D3902" t="str">
        <f t="shared" si="60"/>
        <v>CA-2016-123120_OFF-SU-10002503</v>
      </c>
      <c r="E3902" t="str">
        <f>IF(COUNTIF(data1!$D:$D,D3902)=0,"Missing in Data1","Present")</f>
        <v>Missing in Data1</v>
      </c>
    </row>
    <row r="3903" spans="1:5" x14ac:dyDescent="0.25">
      <c r="A3903" s="2" t="s">
        <v>3597</v>
      </c>
      <c r="B3903" s="2" t="s">
        <v>1194</v>
      </c>
      <c r="C3903" s="2">
        <v>3</v>
      </c>
      <c r="D3903" t="str">
        <f t="shared" si="60"/>
        <v>CA-2016-123176_OFF-AR-10004685</v>
      </c>
      <c r="E3903" t="str">
        <f>IF(COUNTIF(data1!$D:$D,D3903)=0,"Missing in Data1","Present")</f>
        <v>Present</v>
      </c>
    </row>
    <row r="3904" spans="1:5" x14ac:dyDescent="0.25">
      <c r="A3904" s="2" t="s">
        <v>3597</v>
      </c>
      <c r="B3904" s="2" t="s">
        <v>887</v>
      </c>
      <c r="C3904" s="2">
        <v>3</v>
      </c>
      <c r="D3904" t="str">
        <f t="shared" si="60"/>
        <v>CA-2016-123176_OFF-PA-10003971</v>
      </c>
      <c r="E3904" t="str">
        <f>IF(COUNTIF(data1!$D:$D,D3904)=0,"Missing in Data1","Present")</f>
        <v>Present</v>
      </c>
    </row>
    <row r="3905" spans="1:5" x14ac:dyDescent="0.25">
      <c r="A3905" s="2" t="s">
        <v>3598</v>
      </c>
      <c r="B3905" s="2" t="s">
        <v>1111</v>
      </c>
      <c r="C3905" s="2">
        <v>2</v>
      </c>
      <c r="D3905" t="str">
        <f t="shared" si="60"/>
        <v>CA-2016-123274_FUR-FU-10004090</v>
      </c>
      <c r="E3905" t="str">
        <f>IF(COUNTIF(data1!$D:$D,D3905)=0,"Missing in Data1","Present")</f>
        <v>Present</v>
      </c>
    </row>
    <row r="3906" spans="1:5" x14ac:dyDescent="0.25">
      <c r="A3906" s="2" t="s">
        <v>3598</v>
      </c>
      <c r="B3906" s="2" t="s">
        <v>299</v>
      </c>
      <c r="C3906" s="2">
        <v>3</v>
      </c>
      <c r="D3906" t="str">
        <f t="shared" si="60"/>
        <v>CA-2016-123274_OFF-ST-10000736</v>
      </c>
      <c r="E3906" t="str">
        <f>IF(COUNTIF(data1!$D:$D,D3906)=0,"Missing in Data1","Present")</f>
        <v>Present</v>
      </c>
    </row>
    <row r="3907" spans="1:5" x14ac:dyDescent="0.25">
      <c r="A3907" s="2" t="s">
        <v>3599</v>
      </c>
      <c r="B3907" s="2" t="s">
        <v>3066</v>
      </c>
      <c r="C3907" s="2">
        <v>2</v>
      </c>
      <c r="D3907" t="str">
        <f t="shared" ref="D3907:D3970" si="61">A3907&amp;"_"&amp;B3907</f>
        <v>CA-2016-123337_FUR-BO-10001918</v>
      </c>
      <c r="E3907" t="str">
        <f>IF(COUNTIF(data1!$D:$D,D3907)=0,"Missing in Data1","Present")</f>
        <v>Present</v>
      </c>
    </row>
    <row r="3908" spans="1:5" x14ac:dyDescent="0.25">
      <c r="A3908" s="2" t="s">
        <v>3599</v>
      </c>
      <c r="B3908" s="2" t="s">
        <v>3600</v>
      </c>
      <c r="C3908" s="2">
        <v>4</v>
      </c>
      <c r="D3908" t="str">
        <f t="shared" si="61"/>
        <v>CA-2016-123337_OFF-AP-10002287</v>
      </c>
      <c r="E3908" t="str">
        <f>IF(COUNTIF(data1!$D:$D,D3908)=0,"Missing in Data1","Present")</f>
        <v>Present</v>
      </c>
    </row>
    <row r="3909" spans="1:5" x14ac:dyDescent="0.25">
      <c r="A3909" s="2" t="s">
        <v>3601</v>
      </c>
      <c r="B3909" s="2" t="s">
        <v>1992</v>
      </c>
      <c r="C3909" s="2">
        <v>3</v>
      </c>
      <c r="D3909" t="str">
        <f t="shared" si="61"/>
        <v>CA-2016-123358_OFF-AP-10004980</v>
      </c>
      <c r="E3909" t="str">
        <f>IF(COUNTIF(data1!$D:$D,D3909)=0,"Missing in Data1","Present")</f>
        <v>Present</v>
      </c>
    </row>
    <row r="3910" spans="1:5" x14ac:dyDescent="0.25">
      <c r="A3910" s="2" t="s">
        <v>3601</v>
      </c>
      <c r="B3910" s="2" t="s">
        <v>1149</v>
      </c>
      <c r="C3910" s="2">
        <v>4</v>
      </c>
      <c r="D3910" t="str">
        <f t="shared" si="61"/>
        <v>CA-2016-123358_OFF-BI-10000069</v>
      </c>
      <c r="E3910" t="str">
        <f>IF(COUNTIF(data1!$D:$D,D3910)=0,"Missing in Data1","Present")</f>
        <v>Present</v>
      </c>
    </row>
    <row r="3911" spans="1:5" x14ac:dyDescent="0.25">
      <c r="A3911" s="2" t="s">
        <v>3601</v>
      </c>
      <c r="B3911" s="2" t="s">
        <v>962</v>
      </c>
      <c r="C3911" s="2">
        <v>9</v>
      </c>
      <c r="D3911" t="str">
        <f t="shared" si="61"/>
        <v>CA-2016-123358_OFF-ST-10000636</v>
      </c>
      <c r="E3911" t="str">
        <f>IF(COUNTIF(data1!$D:$D,D3911)=0,"Missing in Data1","Present")</f>
        <v>Present</v>
      </c>
    </row>
    <row r="3912" spans="1:5" x14ac:dyDescent="0.25">
      <c r="A3912" s="2" t="s">
        <v>3601</v>
      </c>
      <c r="B3912" s="2" t="s">
        <v>342</v>
      </c>
      <c r="C3912" s="2">
        <v>3</v>
      </c>
      <c r="D3912" t="str">
        <f t="shared" si="61"/>
        <v>CA-2016-123358_OFF-ST-10001932</v>
      </c>
      <c r="E3912" t="str">
        <f>IF(COUNTIF(data1!$D:$D,D3912)=0,"Missing in Data1","Present")</f>
        <v>Present</v>
      </c>
    </row>
    <row r="3913" spans="1:5" x14ac:dyDescent="0.25">
      <c r="A3913" s="2" t="s">
        <v>3602</v>
      </c>
      <c r="B3913" s="2" t="s">
        <v>486</v>
      </c>
      <c r="C3913" s="2">
        <v>4</v>
      </c>
      <c r="D3913" t="str">
        <f t="shared" si="61"/>
        <v>CA-2016-123414_OFF-LA-10004559</v>
      </c>
      <c r="E3913" t="str">
        <f>IF(COUNTIF(data1!$D:$D,D3913)=0,"Missing in Data1","Present")</f>
        <v>Missing in Data1</v>
      </c>
    </row>
    <row r="3914" spans="1:5" x14ac:dyDescent="0.25">
      <c r="A3914" s="2" t="s">
        <v>3602</v>
      </c>
      <c r="B3914" s="2" t="s">
        <v>1948</v>
      </c>
      <c r="C3914" s="2">
        <v>2</v>
      </c>
      <c r="D3914" t="str">
        <f t="shared" si="61"/>
        <v>CA-2016-123414_OFF-SU-10002573</v>
      </c>
      <c r="E3914" t="str">
        <f>IF(COUNTIF(data1!$D:$D,D3914)=0,"Missing in Data1","Present")</f>
        <v>Present</v>
      </c>
    </row>
    <row r="3915" spans="1:5" x14ac:dyDescent="0.25">
      <c r="A3915" s="2" t="s">
        <v>3603</v>
      </c>
      <c r="B3915" s="2" t="s">
        <v>427</v>
      </c>
      <c r="C3915" s="2">
        <v>2</v>
      </c>
      <c r="D3915" t="str">
        <f t="shared" si="61"/>
        <v>CA-2016-123512_FUR-BO-10004218</v>
      </c>
      <c r="E3915" t="str">
        <f>IF(COUNTIF(data1!$D:$D,D3915)=0,"Missing in Data1","Present")</f>
        <v>Present</v>
      </c>
    </row>
    <row r="3916" spans="1:5" x14ac:dyDescent="0.25">
      <c r="A3916" s="2" t="s">
        <v>3603</v>
      </c>
      <c r="B3916" s="2" t="s">
        <v>3604</v>
      </c>
      <c r="C3916" s="2">
        <v>6</v>
      </c>
      <c r="D3916" t="str">
        <f t="shared" si="61"/>
        <v>CA-2016-123512_OFF-LA-10000081</v>
      </c>
      <c r="E3916" t="str">
        <f>IF(COUNTIF(data1!$D:$D,D3916)=0,"Missing in Data1","Present")</f>
        <v>Present</v>
      </c>
    </row>
    <row r="3917" spans="1:5" x14ac:dyDescent="0.25">
      <c r="A3917" s="2" t="s">
        <v>3603</v>
      </c>
      <c r="B3917" s="2" t="s">
        <v>2880</v>
      </c>
      <c r="C3917" s="2">
        <v>4</v>
      </c>
      <c r="D3917" t="str">
        <f t="shared" si="61"/>
        <v>CA-2016-123512_OFF-PA-10001497</v>
      </c>
      <c r="E3917" t="str">
        <f>IF(COUNTIF(data1!$D:$D,D3917)=0,"Missing in Data1","Present")</f>
        <v>Present</v>
      </c>
    </row>
    <row r="3918" spans="1:5" x14ac:dyDescent="0.25">
      <c r="A3918" s="2" t="s">
        <v>3605</v>
      </c>
      <c r="B3918" s="2" t="s">
        <v>47</v>
      </c>
      <c r="C3918" s="2">
        <v>5</v>
      </c>
      <c r="D3918" t="str">
        <f t="shared" si="61"/>
        <v>CA-2016-123526_OFF-PA-10002986</v>
      </c>
      <c r="E3918" t="str">
        <f>IF(COUNTIF(data1!$D:$D,D3918)=0,"Missing in Data1","Present")</f>
        <v>Present</v>
      </c>
    </row>
    <row r="3919" spans="1:5" x14ac:dyDescent="0.25">
      <c r="A3919" s="2" t="s">
        <v>3606</v>
      </c>
      <c r="B3919" s="2" t="s">
        <v>3607</v>
      </c>
      <c r="C3919" s="2">
        <v>5</v>
      </c>
      <c r="D3919" t="str">
        <f t="shared" si="61"/>
        <v>CA-2016-123533_FUR-BO-10001619</v>
      </c>
      <c r="E3919" t="str">
        <f>IF(COUNTIF(data1!$D:$D,D3919)=0,"Missing in Data1","Present")</f>
        <v>Present</v>
      </c>
    </row>
    <row r="3920" spans="1:5" x14ac:dyDescent="0.25">
      <c r="A3920" s="2" t="s">
        <v>3606</v>
      </c>
      <c r="B3920" s="2" t="s">
        <v>894</v>
      </c>
      <c r="C3920" s="2">
        <v>2</v>
      </c>
      <c r="D3920" t="str">
        <f t="shared" si="61"/>
        <v>CA-2016-123533_OFF-AP-10002765</v>
      </c>
      <c r="E3920" t="str">
        <f>IF(COUNTIF(data1!$D:$D,D3920)=0,"Missing in Data1","Present")</f>
        <v>Present</v>
      </c>
    </row>
    <row r="3921" spans="1:5" x14ac:dyDescent="0.25">
      <c r="A3921" s="2" t="s">
        <v>3606</v>
      </c>
      <c r="B3921" s="2" t="s">
        <v>1517</v>
      </c>
      <c r="C3921" s="2">
        <v>4</v>
      </c>
      <c r="D3921" t="str">
        <f t="shared" si="61"/>
        <v>CA-2016-123533_OFF-PA-10001609</v>
      </c>
      <c r="E3921" t="str">
        <f>IF(COUNTIF(data1!$D:$D,D3921)=0,"Missing in Data1","Present")</f>
        <v>Present</v>
      </c>
    </row>
    <row r="3922" spans="1:5" x14ac:dyDescent="0.25">
      <c r="A3922" s="2" t="s">
        <v>3608</v>
      </c>
      <c r="B3922" s="2" t="s">
        <v>233</v>
      </c>
      <c r="C3922" s="2">
        <v>5</v>
      </c>
      <c r="D3922" t="str">
        <f t="shared" si="61"/>
        <v>CA-2016-123540_FUR-CH-10000847</v>
      </c>
      <c r="E3922" t="str">
        <f>IF(COUNTIF(data1!$D:$D,D3922)=0,"Missing in Data1","Present")</f>
        <v>Present</v>
      </c>
    </row>
    <row r="3923" spans="1:5" x14ac:dyDescent="0.25">
      <c r="A3923" s="2" t="s">
        <v>3610</v>
      </c>
      <c r="B3923" s="2" t="s">
        <v>374</v>
      </c>
      <c r="C3923" s="2">
        <v>5</v>
      </c>
      <c r="D3923" t="str">
        <f t="shared" si="61"/>
        <v>CA-2016-123666_OFF-ST-10001522</v>
      </c>
      <c r="E3923" t="str">
        <f>IF(COUNTIF(data1!$D:$D,D3923)=0,"Missing in Data1","Present")</f>
        <v>Present</v>
      </c>
    </row>
    <row r="3924" spans="1:5" x14ac:dyDescent="0.25">
      <c r="A3924" s="2" t="s">
        <v>3611</v>
      </c>
      <c r="B3924" s="2" t="s">
        <v>279</v>
      </c>
      <c r="C3924" s="2">
        <v>4</v>
      </c>
      <c r="D3924" t="str">
        <f t="shared" si="61"/>
        <v>CA-2016-123722_OFF-LA-10001569</v>
      </c>
      <c r="E3924" t="str">
        <f>IF(COUNTIF(data1!$D:$D,D3924)=0,"Missing in Data1","Present")</f>
        <v>Present</v>
      </c>
    </row>
    <row r="3925" spans="1:5" x14ac:dyDescent="0.25">
      <c r="A3925" s="2" t="s">
        <v>3612</v>
      </c>
      <c r="B3925" s="2" t="s">
        <v>1397</v>
      </c>
      <c r="C3925" s="2">
        <v>4</v>
      </c>
      <c r="D3925" t="str">
        <f t="shared" si="61"/>
        <v>CA-2016-123806_FUR-FU-10000965</v>
      </c>
      <c r="E3925" t="str">
        <f>IF(COUNTIF(data1!$D:$D,D3925)=0,"Missing in Data1","Present")</f>
        <v>Present</v>
      </c>
    </row>
    <row r="3926" spans="1:5" x14ac:dyDescent="0.25">
      <c r="A3926" s="2" t="s">
        <v>3613</v>
      </c>
      <c r="B3926" s="2" t="s">
        <v>3279</v>
      </c>
      <c r="C3926" s="2">
        <v>2</v>
      </c>
      <c r="D3926" t="str">
        <f t="shared" si="61"/>
        <v>CA-2016-123932_TEC-PH-10002447</v>
      </c>
      <c r="E3926" t="str">
        <f>IF(COUNTIF(data1!$D:$D,D3926)=0,"Missing in Data1","Present")</f>
        <v>Missing in Data1</v>
      </c>
    </row>
    <row r="3927" spans="1:5" x14ac:dyDescent="0.25">
      <c r="A3927" s="2" t="s">
        <v>3614</v>
      </c>
      <c r="B3927" s="2" t="s">
        <v>2077</v>
      </c>
      <c r="C3927" s="2">
        <v>4</v>
      </c>
      <c r="D3927" t="str">
        <f t="shared" si="61"/>
        <v>CA-2016-123946_FUR-CH-10002073</v>
      </c>
      <c r="E3927" t="str">
        <f>IF(COUNTIF(data1!$D:$D,D3927)=0,"Missing in Data1","Present")</f>
        <v>Present</v>
      </c>
    </row>
    <row r="3928" spans="1:5" x14ac:dyDescent="0.25">
      <c r="A3928" s="2" t="s">
        <v>3614</v>
      </c>
      <c r="B3928" s="2" t="s">
        <v>249</v>
      </c>
      <c r="C3928" s="2">
        <v>3</v>
      </c>
      <c r="D3928" t="str">
        <f t="shared" si="61"/>
        <v>CA-2016-123946_OFF-FA-10002975</v>
      </c>
      <c r="E3928" t="str">
        <f>IF(COUNTIF(data1!$D:$D,D3928)=0,"Missing in Data1","Present")</f>
        <v>Present</v>
      </c>
    </row>
    <row r="3929" spans="1:5" x14ac:dyDescent="0.25">
      <c r="A3929" s="2" t="s">
        <v>3614</v>
      </c>
      <c r="B3929" s="2" t="s">
        <v>1827</v>
      </c>
      <c r="C3929" s="2">
        <v>5</v>
      </c>
      <c r="D3929" t="str">
        <f t="shared" si="61"/>
        <v>CA-2016-123946_OFF-ST-10000419</v>
      </c>
      <c r="E3929" t="str">
        <f>IF(COUNTIF(data1!$D:$D,D3929)=0,"Missing in Data1","Present")</f>
        <v>Present</v>
      </c>
    </row>
    <row r="3930" spans="1:5" x14ac:dyDescent="0.25">
      <c r="A3930" s="2" t="s">
        <v>3614</v>
      </c>
      <c r="B3930" s="2" t="s">
        <v>511</v>
      </c>
      <c r="C3930" s="2">
        <v>3</v>
      </c>
      <c r="D3930" t="str">
        <f t="shared" si="61"/>
        <v>CA-2016-123946_TEC-AC-10004877</v>
      </c>
      <c r="E3930" t="str">
        <f>IF(COUNTIF(data1!$D:$D,D3930)=0,"Missing in Data1","Present")</f>
        <v>Present</v>
      </c>
    </row>
    <row r="3931" spans="1:5" x14ac:dyDescent="0.25">
      <c r="A3931" s="2" t="s">
        <v>3615</v>
      </c>
      <c r="B3931" s="2" t="s">
        <v>3616</v>
      </c>
      <c r="C3931" s="2">
        <v>4</v>
      </c>
      <c r="D3931" t="str">
        <f t="shared" si="61"/>
        <v>CA-2016-124016_FUR-FU-10004963</v>
      </c>
      <c r="E3931" t="str">
        <f>IF(COUNTIF(data1!$D:$D,D3931)=0,"Missing in Data1","Present")</f>
        <v>Present</v>
      </c>
    </row>
    <row r="3932" spans="1:5" x14ac:dyDescent="0.25">
      <c r="A3932" s="2" t="s">
        <v>3615</v>
      </c>
      <c r="B3932" s="2" t="s">
        <v>2262</v>
      </c>
      <c r="C3932" s="2">
        <v>7</v>
      </c>
      <c r="D3932" t="str">
        <f t="shared" si="61"/>
        <v>CA-2016-124016_OFF-BI-10002071</v>
      </c>
      <c r="E3932" t="str">
        <f>IF(COUNTIF(data1!$D:$D,D3932)=0,"Missing in Data1","Present")</f>
        <v>Present</v>
      </c>
    </row>
    <row r="3933" spans="1:5" x14ac:dyDescent="0.25">
      <c r="A3933" s="2" t="s">
        <v>3615</v>
      </c>
      <c r="B3933" s="2" t="s">
        <v>1051</v>
      </c>
      <c r="C3933" s="2">
        <v>3</v>
      </c>
      <c r="D3933" t="str">
        <f t="shared" si="61"/>
        <v>CA-2016-124016_OFF-PA-10002586</v>
      </c>
      <c r="E3933" t="str">
        <f>IF(COUNTIF(data1!$D:$D,D3933)=0,"Missing in Data1","Present")</f>
        <v>Present</v>
      </c>
    </row>
    <row r="3934" spans="1:5" x14ac:dyDescent="0.25">
      <c r="A3934" s="2" t="s">
        <v>3617</v>
      </c>
      <c r="B3934" s="2" t="s">
        <v>789</v>
      </c>
      <c r="C3934" s="2">
        <v>6</v>
      </c>
      <c r="D3934" t="str">
        <f t="shared" si="61"/>
        <v>CA-2016-124051_OFF-PA-10001289</v>
      </c>
      <c r="E3934" t="str">
        <f>IF(COUNTIF(data1!$D:$D,D3934)=0,"Missing in Data1","Present")</f>
        <v>Present</v>
      </c>
    </row>
    <row r="3935" spans="1:5" x14ac:dyDescent="0.25">
      <c r="A3935" s="2" t="s">
        <v>3618</v>
      </c>
      <c r="B3935" s="2" t="s">
        <v>621</v>
      </c>
      <c r="C3935" s="2">
        <v>6</v>
      </c>
      <c r="D3935" t="str">
        <f t="shared" si="61"/>
        <v>CA-2016-124100_FUR-CH-10003817</v>
      </c>
      <c r="E3935" t="str">
        <f>IF(COUNTIF(data1!$D:$D,D3935)=0,"Missing in Data1","Present")</f>
        <v>Present</v>
      </c>
    </row>
    <row r="3936" spans="1:5" x14ac:dyDescent="0.25">
      <c r="A3936" s="2" t="s">
        <v>3619</v>
      </c>
      <c r="B3936" s="2" t="s">
        <v>3620</v>
      </c>
      <c r="C3936" s="2">
        <v>6</v>
      </c>
      <c r="D3936" t="str">
        <f t="shared" si="61"/>
        <v>CA-2016-124149_OFF-PA-10002421</v>
      </c>
      <c r="E3936" t="str">
        <f>IF(COUNTIF(data1!$D:$D,D3936)=0,"Missing in Data1","Present")</f>
        <v>Present</v>
      </c>
    </row>
    <row r="3937" spans="1:5" x14ac:dyDescent="0.25">
      <c r="A3937" s="2" t="s">
        <v>3619</v>
      </c>
      <c r="B3937" s="2" t="s">
        <v>1262</v>
      </c>
      <c r="C3937" s="2">
        <v>2</v>
      </c>
      <c r="D3937" t="str">
        <f t="shared" si="61"/>
        <v>CA-2016-124149_OFF-PA-10002923</v>
      </c>
      <c r="E3937" t="str">
        <f>IF(COUNTIF(data1!$D:$D,D3937)=0,"Missing in Data1","Present")</f>
        <v>Present</v>
      </c>
    </row>
    <row r="3938" spans="1:5" x14ac:dyDescent="0.25">
      <c r="A3938" s="2" t="s">
        <v>3619</v>
      </c>
      <c r="B3938" s="2" t="s">
        <v>1790</v>
      </c>
      <c r="C3938" s="2">
        <v>5</v>
      </c>
      <c r="D3938" t="str">
        <f t="shared" si="61"/>
        <v>CA-2016-124149_OFF-ST-10000760</v>
      </c>
      <c r="E3938" t="str">
        <f>IF(COUNTIF(data1!$D:$D,D3938)=0,"Missing in Data1","Present")</f>
        <v>Present</v>
      </c>
    </row>
    <row r="3939" spans="1:5" x14ac:dyDescent="0.25">
      <c r="A3939" s="2" t="s">
        <v>3621</v>
      </c>
      <c r="B3939" s="2" t="s">
        <v>3622</v>
      </c>
      <c r="C3939" s="2">
        <v>5</v>
      </c>
      <c r="D3939" t="str">
        <f t="shared" si="61"/>
        <v>CA-2016-124233_FUR-FU-10002597</v>
      </c>
      <c r="E3939" t="str">
        <f>IF(COUNTIF(data1!$D:$D,D3939)=0,"Missing in Data1","Present")</f>
        <v>Present</v>
      </c>
    </row>
    <row r="3940" spans="1:5" x14ac:dyDescent="0.25">
      <c r="A3940" s="2" t="s">
        <v>3623</v>
      </c>
      <c r="B3940" s="2" t="s">
        <v>3624</v>
      </c>
      <c r="C3940" s="2">
        <v>3</v>
      </c>
      <c r="D3940" t="str">
        <f t="shared" si="61"/>
        <v>CA-2016-124254_OFF-PA-10000807</v>
      </c>
      <c r="E3940" t="str">
        <f>IF(COUNTIF(data1!$D:$D,D3940)=0,"Missing in Data1","Present")</f>
        <v>Present</v>
      </c>
    </row>
    <row r="3941" spans="1:5" x14ac:dyDescent="0.25">
      <c r="A3941" s="2" t="s">
        <v>3623</v>
      </c>
      <c r="B3941" s="2" t="s">
        <v>2918</v>
      </c>
      <c r="C3941" s="2">
        <v>1</v>
      </c>
      <c r="D3941" t="str">
        <f t="shared" si="61"/>
        <v>CA-2016-124254_OFF-ST-10000060</v>
      </c>
      <c r="E3941" t="str">
        <f>IF(COUNTIF(data1!$D:$D,D3941)=0,"Missing in Data1","Present")</f>
        <v>Present</v>
      </c>
    </row>
    <row r="3942" spans="1:5" x14ac:dyDescent="0.25">
      <c r="A3942" s="2" t="s">
        <v>3623</v>
      </c>
      <c r="B3942" s="2" t="s">
        <v>764</v>
      </c>
      <c r="C3942" s="2">
        <v>3</v>
      </c>
      <c r="D3942" t="str">
        <f t="shared" si="61"/>
        <v>CA-2016-124254_OFF-ST-10001469</v>
      </c>
      <c r="E3942" t="str">
        <f>IF(COUNTIF(data1!$D:$D,D3942)=0,"Missing in Data1","Present")</f>
        <v>Present</v>
      </c>
    </row>
    <row r="3943" spans="1:5" x14ac:dyDescent="0.25">
      <c r="A3943" s="2" t="s">
        <v>3625</v>
      </c>
      <c r="B3943" s="2" t="s">
        <v>1233</v>
      </c>
      <c r="C3943" s="2">
        <v>3</v>
      </c>
      <c r="D3943" t="str">
        <f t="shared" si="61"/>
        <v>CA-2016-124352_OFF-AP-10002651</v>
      </c>
      <c r="E3943" t="str">
        <f>IF(COUNTIF(data1!$D:$D,D3943)=0,"Missing in Data1","Present")</f>
        <v>Present</v>
      </c>
    </row>
    <row r="3944" spans="1:5" x14ac:dyDescent="0.25">
      <c r="A3944" s="2" t="s">
        <v>3625</v>
      </c>
      <c r="B3944" s="2" t="s">
        <v>859</v>
      </c>
      <c r="C3944" s="2">
        <v>4</v>
      </c>
      <c r="D3944" t="str">
        <f t="shared" si="61"/>
        <v>CA-2016-124352_OFF-BI-10000977</v>
      </c>
      <c r="E3944" t="str">
        <f>IF(COUNTIF(data1!$D:$D,D3944)=0,"Missing in Data1","Present")</f>
        <v>Present</v>
      </c>
    </row>
    <row r="3945" spans="1:5" x14ac:dyDescent="0.25">
      <c r="A3945" s="2" t="s">
        <v>3625</v>
      </c>
      <c r="B3945" s="2" t="s">
        <v>443</v>
      </c>
      <c r="C3945" s="2">
        <v>6</v>
      </c>
      <c r="D3945" t="str">
        <f t="shared" si="61"/>
        <v>CA-2016-124352_OFF-LA-10003223</v>
      </c>
      <c r="E3945" t="str">
        <f>IF(COUNTIF(data1!$D:$D,D3945)=0,"Missing in Data1","Present")</f>
        <v>Present</v>
      </c>
    </row>
    <row r="3946" spans="1:5" x14ac:dyDescent="0.25">
      <c r="A3946" s="2" t="s">
        <v>3625</v>
      </c>
      <c r="B3946" s="2" t="s">
        <v>486</v>
      </c>
      <c r="C3946" s="2">
        <v>7</v>
      </c>
      <c r="D3946" t="str">
        <f t="shared" si="61"/>
        <v>CA-2016-124352_OFF-LA-10004559</v>
      </c>
      <c r="E3946" t="str">
        <f>IF(COUNTIF(data1!$D:$D,D3946)=0,"Missing in Data1","Present")</f>
        <v>Missing in Data1</v>
      </c>
    </row>
    <row r="3947" spans="1:5" x14ac:dyDescent="0.25">
      <c r="A3947" s="2" t="s">
        <v>3625</v>
      </c>
      <c r="B3947" s="2" t="s">
        <v>1158</v>
      </c>
      <c r="C3947" s="2">
        <v>2</v>
      </c>
      <c r="D3947" t="str">
        <f t="shared" si="61"/>
        <v>CA-2016-124352_OFF-PA-10003177</v>
      </c>
      <c r="E3947" t="str">
        <f>IF(COUNTIF(data1!$D:$D,D3947)=0,"Missing in Data1","Present")</f>
        <v>Present</v>
      </c>
    </row>
    <row r="3948" spans="1:5" x14ac:dyDescent="0.25">
      <c r="A3948" s="2" t="s">
        <v>3625</v>
      </c>
      <c r="B3948" s="2" t="s">
        <v>3626</v>
      </c>
      <c r="C3948" s="2">
        <v>1</v>
      </c>
      <c r="D3948" t="str">
        <f t="shared" si="61"/>
        <v>CA-2016-124352_TEC-PH-10003442</v>
      </c>
      <c r="E3948" t="str">
        <f>IF(COUNTIF(data1!$D:$D,D3948)=0,"Missing in Data1","Present")</f>
        <v>Present</v>
      </c>
    </row>
    <row r="3949" spans="1:5" x14ac:dyDescent="0.25">
      <c r="A3949" s="2" t="s">
        <v>3627</v>
      </c>
      <c r="B3949" s="2" t="s">
        <v>581</v>
      </c>
      <c r="C3949" s="2">
        <v>1</v>
      </c>
      <c r="D3949" t="str">
        <f t="shared" si="61"/>
        <v>CA-2016-124485_OFF-PA-10004888</v>
      </c>
      <c r="E3949" t="str">
        <f>IF(COUNTIF(data1!$D:$D,D3949)=0,"Missing in Data1","Present")</f>
        <v>Present</v>
      </c>
    </row>
    <row r="3950" spans="1:5" x14ac:dyDescent="0.25">
      <c r="A3950" s="2" t="s">
        <v>3627</v>
      </c>
      <c r="B3950" s="2" t="s">
        <v>2528</v>
      </c>
      <c r="C3950" s="2">
        <v>2</v>
      </c>
      <c r="D3950" t="str">
        <f t="shared" si="61"/>
        <v>CA-2016-124485_OFF-PA-10004971</v>
      </c>
      <c r="E3950" t="str">
        <f>IF(COUNTIF(data1!$D:$D,D3950)=0,"Missing in Data1","Present")</f>
        <v>Present</v>
      </c>
    </row>
    <row r="3951" spans="1:5" x14ac:dyDescent="0.25">
      <c r="A3951" s="2" t="s">
        <v>3627</v>
      </c>
      <c r="B3951" s="2" t="s">
        <v>731</v>
      </c>
      <c r="C3951" s="2">
        <v>4</v>
      </c>
      <c r="D3951" t="str">
        <f t="shared" si="61"/>
        <v>CA-2016-124485_TEC-AC-10002323</v>
      </c>
      <c r="E3951" t="str">
        <f>IF(COUNTIF(data1!$D:$D,D3951)=0,"Missing in Data1","Present")</f>
        <v>Present</v>
      </c>
    </row>
    <row r="3952" spans="1:5" x14ac:dyDescent="0.25">
      <c r="A3952" s="2" t="s">
        <v>3628</v>
      </c>
      <c r="B3952" s="2" t="s">
        <v>2527</v>
      </c>
      <c r="C3952" s="2">
        <v>2</v>
      </c>
      <c r="D3952" t="str">
        <f t="shared" si="61"/>
        <v>CA-2016-124506_FUR-CH-10004540</v>
      </c>
      <c r="E3952" t="str">
        <f>IF(COUNTIF(data1!$D:$D,D3952)=0,"Missing in Data1","Present")</f>
        <v>Present</v>
      </c>
    </row>
    <row r="3953" spans="1:5" x14ac:dyDescent="0.25">
      <c r="A3953" s="2" t="s">
        <v>3628</v>
      </c>
      <c r="B3953" s="2" t="s">
        <v>1870</v>
      </c>
      <c r="C3953" s="2">
        <v>4</v>
      </c>
      <c r="D3953" t="str">
        <f t="shared" si="61"/>
        <v>CA-2016-124506_TEC-AC-10003280</v>
      </c>
      <c r="E3953" t="str">
        <f>IF(COUNTIF(data1!$D:$D,D3953)=0,"Missing in Data1","Present")</f>
        <v>Present</v>
      </c>
    </row>
    <row r="3954" spans="1:5" x14ac:dyDescent="0.25">
      <c r="A3954" s="2" t="s">
        <v>3629</v>
      </c>
      <c r="B3954" s="2" t="s">
        <v>3452</v>
      </c>
      <c r="C3954" s="2">
        <v>5</v>
      </c>
      <c r="D3954" t="str">
        <f t="shared" si="61"/>
        <v>CA-2016-124527_OFF-BI-10004967</v>
      </c>
      <c r="E3954" t="str">
        <f>IF(COUNTIF(data1!$D:$D,D3954)=0,"Missing in Data1","Present")</f>
        <v>Present</v>
      </c>
    </row>
    <row r="3955" spans="1:5" x14ac:dyDescent="0.25">
      <c r="A3955" s="2" t="s">
        <v>3630</v>
      </c>
      <c r="B3955" s="2" t="s">
        <v>1721</v>
      </c>
      <c r="C3955" s="2">
        <v>7</v>
      </c>
      <c r="D3955" t="str">
        <f t="shared" si="61"/>
        <v>CA-2016-124562_OFF-BI-10001267</v>
      </c>
      <c r="E3955" t="str">
        <f>IF(COUNTIF(data1!$D:$D,D3955)=0,"Missing in Data1","Present")</f>
        <v>Present</v>
      </c>
    </row>
    <row r="3956" spans="1:5" x14ac:dyDescent="0.25">
      <c r="A3956" s="2" t="s">
        <v>3631</v>
      </c>
      <c r="B3956" s="2" t="s">
        <v>758</v>
      </c>
      <c r="C3956" s="2">
        <v>1</v>
      </c>
      <c r="D3956" t="str">
        <f t="shared" si="61"/>
        <v>CA-2016-124583_OFF-EN-10002500</v>
      </c>
      <c r="E3956" t="str">
        <f>IF(COUNTIF(data1!$D:$D,D3956)=0,"Missing in Data1","Present")</f>
        <v>Present</v>
      </c>
    </row>
    <row r="3957" spans="1:5" x14ac:dyDescent="0.25">
      <c r="A3957" s="2" t="s">
        <v>3632</v>
      </c>
      <c r="B3957" s="2" t="s">
        <v>297</v>
      </c>
      <c r="C3957" s="2">
        <v>9</v>
      </c>
      <c r="D3957" t="str">
        <f t="shared" si="61"/>
        <v>CA-2016-124590_FUR-CH-10000454</v>
      </c>
      <c r="E3957" t="str">
        <f>IF(COUNTIF(data1!$D:$D,D3957)=0,"Missing in Data1","Present")</f>
        <v>Present</v>
      </c>
    </row>
    <row r="3958" spans="1:5" x14ac:dyDescent="0.25">
      <c r="A3958" s="2" t="s">
        <v>3632</v>
      </c>
      <c r="B3958" s="2" t="s">
        <v>2170</v>
      </c>
      <c r="C3958" s="2">
        <v>2</v>
      </c>
      <c r="D3958" t="str">
        <f t="shared" si="61"/>
        <v>CA-2016-124590_FUR-CH-10003746</v>
      </c>
      <c r="E3958" t="str">
        <f>IF(COUNTIF(data1!$D:$D,D3958)=0,"Missing in Data1","Present")</f>
        <v>Present</v>
      </c>
    </row>
    <row r="3959" spans="1:5" x14ac:dyDescent="0.25">
      <c r="A3959" s="2" t="s">
        <v>3632</v>
      </c>
      <c r="B3959" s="2" t="s">
        <v>1787</v>
      </c>
      <c r="C3959" s="2">
        <v>2</v>
      </c>
      <c r="D3959" t="str">
        <f t="shared" si="61"/>
        <v>CA-2016-124590_OFF-AP-10002311</v>
      </c>
      <c r="E3959" t="str">
        <f>IF(COUNTIF(data1!$D:$D,D3959)=0,"Missing in Data1","Present")</f>
        <v>Present</v>
      </c>
    </row>
    <row r="3960" spans="1:5" x14ac:dyDescent="0.25">
      <c r="A3960" s="2" t="s">
        <v>3632</v>
      </c>
      <c r="B3960" s="2" t="s">
        <v>685</v>
      </c>
      <c r="C3960" s="2">
        <v>6</v>
      </c>
      <c r="D3960" t="str">
        <f t="shared" si="61"/>
        <v>CA-2016-124590_OFF-FA-10000585</v>
      </c>
      <c r="E3960" t="str">
        <f>IF(COUNTIF(data1!$D:$D,D3960)=0,"Missing in Data1","Present")</f>
        <v>Present</v>
      </c>
    </row>
    <row r="3961" spans="1:5" x14ac:dyDescent="0.25">
      <c r="A3961" s="2" t="s">
        <v>3633</v>
      </c>
      <c r="B3961" s="2" t="s">
        <v>1002</v>
      </c>
      <c r="C3961" s="2">
        <v>1</v>
      </c>
      <c r="D3961" t="str">
        <f t="shared" si="61"/>
        <v>CA-2016-124667_OFF-ST-10002276</v>
      </c>
      <c r="E3961" t="str">
        <f>IF(COUNTIF(data1!$D:$D,D3961)=0,"Missing in Data1","Present")</f>
        <v>Present</v>
      </c>
    </row>
    <row r="3962" spans="1:5" x14ac:dyDescent="0.25">
      <c r="A3962" s="2" t="s">
        <v>3633</v>
      </c>
      <c r="B3962" s="2" t="s">
        <v>1619</v>
      </c>
      <c r="C3962" s="2">
        <v>3</v>
      </c>
      <c r="D3962" t="str">
        <f t="shared" si="61"/>
        <v>CA-2016-124667_TEC-AC-10003447</v>
      </c>
      <c r="E3962" t="str">
        <f>IF(COUNTIF(data1!$D:$D,D3962)=0,"Missing in Data1","Present")</f>
        <v>Present</v>
      </c>
    </row>
    <row r="3963" spans="1:5" x14ac:dyDescent="0.25">
      <c r="A3963" s="2" t="s">
        <v>3634</v>
      </c>
      <c r="B3963" s="2" t="s">
        <v>2433</v>
      </c>
      <c r="C3963" s="2">
        <v>3</v>
      </c>
      <c r="D3963" t="str">
        <f t="shared" si="61"/>
        <v>CA-2016-124681_TEC-AC-10000487</v>
      </c>
      <c r="E3963" t="str">
        <f>IF(COUNTIF(data1!$D:$D,D3963)=0,"Missing in Data1","Present")</f>
        <v>Present</v>
      </c>
    </row>
    <row r="3964" spans="1:5" x14ac:dyDescent="0.25">
      <c r="A3964" s="2" t="s">
        <v>3635</v>
      </c>
      <c r="B3964" s="2" t="s">
        <v>2651</v>
      </c>
      <c r="C3964" s="2">
        <v>3</v>
      </c>
      <c r="D3964" t="str">
        <f t="shared" si="61"/>
        <v>CA-2016-124772_FUR-FU-10004748</v>
      </c>
      <c r="E3964" t="str">
        <f>IF(COUNTIF(data1!$D:$D,D3964)=0,"Missing in Data1","Present")</f>
        <v>Present</v>
      </c>
    </row>
    <row r="3965" spans="1:5" x14ac:dyDescent="0.25">
      <c r="A3965" s="2" t="s">
        <v>3636</v>
      </c>
      <c r="B3965" s="2" t="s">
        <v>1497</v>
      </c>
      <c r="C3965" s="2">
        <v>2</v>
      </c>
      <c r="D3965" t="str">
        <f t="shared" si="61"/>
        <v>CA-2016-124793_FUR-CH-10002880</v>
      </c>
      <c r="E3965" t="str">
        <f>IF(COUNTIF(data1!$D:$D,D3965)=0,"Missing in Data1","Present")</f>
        <v>Present</v>
      </c>
    </row>
    <row r="3966" spans="1:5" x14ac:dyDescent="0.25">
      <c r="A3966" s="2" t="s">
        <v>3637</v>
      </c>
      <c r="B3966" s="2" t="s">
        <v>423</v>
      </c>
      <c r="C3966" s="2">
        <v>5</v>
      </c>
      <c r="D3966" t="str">
        <f t="shared" si="61"/>
        <v>CA-2016-124814_OFF-BI-10000174</v>
      </c>
      <c r="E3966" t="str">
        <f>IF(COUNTIF(data1!$D:$D,D3966)=0,"Missing in Data1","Present")</f>
        <v>Present</v>
      </c>
    </row>
    <row r="3967" spans="1:5" x14ac:dyDescent="0.25">
      <c r="A3967" s="2" t="s">
        <v>3637</v>
      </c>
      <c r="B3967" s="2" t="s">
        <v>2771</v>
      </c>
      <c r="C3967" s="2">
        <v>2</v>
      </c>
      <c r="D3967" t="str">
        <f t="shared" si="61"/>
        <v>CA-2016-124814_OFF-PA-10002787</v>
      </c>
      <c r="E3967" t="str">
        <f>IF(COUNTIF(data1!$D:$D,D3967)=0,"Missing in Data1","Present")</f>
        <v>Present</v>
      </c>
    </row>
    <row r="3968" spans="1:5" x14ac:dyDescent="0.25">
      <c r="A3968" s="2" t="s">
        <v>3638</v>
      </c>
      <c r="B3968" s="2" t="s">
        <v>160</v>
      </c>
      <c r="C3968" s="2">
        <v>4</v>
      </c>
      <c r="D3968" t="str">
        <f t="shared" si="61"/>
        <v>CA-2016-125017_FUR-FU-10000723</v>
      </c>
      <c r="E3968" t="str">
        <f>IF(COUNTIF(data1!$D:$D,D3968)=0,"Missing in Data1","Present")</f>
        <v>Present</v>
      </c>
    </row>
    <row r="3969" spans="1:5" x14ac:dyDescent="0.25">
      <c r="A3969" s="2" t="s">
        <v>3639</v>
      </c>
      <c r="B3969" s="2" t="s">
        <v>1326</v>
      </c>
      <c r="C3969" s="2">
        <v>2</v>
      </c>
      <c r="D3969" t="str">
        <f t="shared" si="61"/>
        <v>CA-2016-125080_FUR-TA-10003238</v>
      </c>
      <c r="E3969" t="str">
        <f>IF(COUNTIF(data1!$D:$D,D3969)=0,"Missing in Data1","Present")</f>
        <v>Present</v>
      </c>
    </row>
    <row r="3970" spans="1:5" x14ac:dyDescent="0.25">
      <c r="A3970" s="2" t="s">
        <v>3640</v>
      </c>
      <c r="B3970" s="2" t="s">
        <v>1497</v>
      </c>
      <c r="C3970" s="2">
        <v>4</v>
      </c>
      <c r="D3970" t="str">
        <f t="shared" si="61"/>
        <v>CA-2016-125087_FUR-CH-10002880</v>
      </c>
      <c r="E3970" t="str">
        <f>IF(COUNTIF(data1!$D:$D,D3970)=0,"Missing in Data1","Present")</f>
        <v>Present</v>
      </c>
    </row>
    <row r="3971" spans="1:5" x14ac:dyDescent="0.25">
      <c r="A3971" s="2" t="s">
        <v>3640</v>
      </c>
      <c r="B3971" s="2" t="s">
        <v>2651</v>
      </c>
      <c r="C3971" s="2">
        <v>5</v>
      </c>
      <c r="D3971" t="str">
        <f t="shared" ref="D3971:D4034" si="62">A3971&amp;"_"&amp;B3971</f>
        <v>CA-2016-125087_FUR-FU-10004748</v>
      </c>
      <c r="E3971" t="str">
        <f>IF(COUNTIF(data1!$D:$D,D3971)=0,"Missing in Data1","Present")</f>
        <v>Present</v>
      </c>
    </row>
    <row r="3972" spans="1:5" x14ac:dyDescent="0.25">
      <c r="A3972" s="2" t="s">
        <v>3640</v>
      </c>
      <c r="B3972" s="2" t="s">
        <v>2293</v>
      </c>
      <c r="C3972" s="2">
        <v>3</v>
      </c>
      <c r="D3972" t="str">
        <f t="shared" si="62"/>
        <v>CA-2016-125087_OFF-ST-10001780</v>
      </c>
      <c r="E3972" t="str">
        <f>IF(COUNTIF(data1!$D:$D,D3972)=0,"Missing in Data1","Present")</f>
        <v>Present</v>
      </c>
    </row>
    <row r="3973" spans="1:5" x14ac:dyDescent="0.25">
      <c r="A3973" s="2" t="s">
        <v>3641</v>
      </c>
      <c r="B3973" s="2" t="s">
        <v>3642</v>
      </c>
      <c r="C3973" s="2">
        <v>4</v>
      </c>
      <c r="D3973" t="str">
        <f t="shared" si="62"/>
        <v>CA-2016-125094_TEC-AC-10004420</v>
      </c>
      <c r="E3973" t="str">
        <f>IF(COUNTIF(data1!$D:$D,D3973)=0,"Missing in Data1","Present")</f>
        <v>Present</v>
      </c>
    </row>
    <row r="3974" spans="1:5" x14ac:dyDescent="0.25">
      <c r="A3974" s="2" t="s">
        <v>3643</v>
      </c>
      <c r="B3974" s="2" t="s">
        <v>666</v>
      </c>
      <c r="C3974" s="2">
        <v>1</v>
      </c>
      <c r="D3974" t="str">
        <f t="shared" si="62"/>
        <v>CA-2016-125164_OFF-BI-10001191</v>
      </c>
      <c r="E3974" t="str">
        <f>IF(COUNTIF(data1!$D:$D,D3974)=0,"Missing in Data1","Present")</f>
        <v>Present</v>
      </c>
    </row>
    <row r="3975" spans="1:5" x14ac:dyDescent="0.25">
      <c r="A3975" s="2" t="s">
        <v>3643</v>
      </c>
      <c r="B3975" s="2" t="s">
        <v>1117</v>
      </c>
      <c r="C3975" s="2">
        <v>3</v>
      </c>
      <c r="D3975" t="str">
        <f t="shared" si="62"/>
        <v>CA-2016-125164_OFF-BI-10003982</v>
      </c>
      <c r="E3975" t="str">
        <f>IF(COUNTIF(data1!$D:$D,D3975)=0,"Missing in Data1","Present")</f>
        <v>Present</v>
      </c>
    </row>
    <row r="3976" spans="1:5" x14ac:dyDescent="0.25">
      <c r="A3976" s="2" t="s">
        <v>3644</v>
      </c>
      <c r="B3976" s="2" t="s">
        <v>1800</v>
      </c>
      <c r="C3976" s="2">
        <v>2</v>
      </c>
      <c r="D3976" t="str">
        <f t="shared" si="62"/>
        <v>CA-2016-125206_OFF-ST-10003692</v>
      </c>
      <c r="E3976" t="str">
        <f>IF(COUNTIF(data1!$D:$D,D3976)=0,"Missing in Data1","Present")</f>
        <v>Present</v>
      </c>
    </row>
    <row r="3977" spans="1:5" x14ac:dyDescent="0.25">
      <c r="A3977" s="2" t="s">
        <v>3645</v>
      </c>
      <c r="B3977" s="2" t="s">
        <v>2361</v>
      </c>
      <c r="C3977" s="2">
        <v>5</v>
      </c>
      <c r="D3977" t="str">
        <f t="shared" si="62"/>
        <v>CA-2016-125220_TEC-AC-10003033</v>
      </c>
      <c r="E3977" t="str">
        <f>IF(COUNTIF(data1!$D:$D,D3977)=0,"Missing in Data1","Present")</f>
        <v>Present</v>
      </c>
    </row>
    <row r="3978" spans="1:5" x14ac:dyDescent="0.25">
      <c r="A3978" s="2" t="s">
        <v>3646</v>
      </c>
      <c r="B3978" s="2" t="s">
        <v>2873</v>
      </c>
      <c r="C3978" s="2">
        <v>4</v>
      </c>
      <c r="D3978" t="str">
        <f t="shared" si="62"/>
        <v>CA-2016-125318_TEC-PH-10001433</v>
      </c>
      <c r="E3978" t="str">
        <f>IF(COUNTIF(data1!$D:$D,D3978)=0,"Missing in Data1","Present")</f>
        <v>Present</v>
      </c>
    </row>
    <row r="3979" spans="1:5" x14ac:dyDescent="0.25">
      <c r="A3979" s="2" t="s">
        <v>3647</v>
      </c>
      <c r="B3979" s="2" t="s">
        <v>1656</v>
      </c>
      <c r="C3979" s="2">
        <v>3</v>
      </c>
      <c r="D3979" t="str">
        <f t="shared" si="62"/>
        <v>CA-2016-125661_OFF-EN-10001532</v>
      </c>
      <c r="E3979" t="str">
        <f>IF(COUNTIF(data1!$D:$D,D3979)=0,"Missing in Data1","Present")</f>
        <v>Present</v>
      </c>
    </row>
    <row r="3980" spans="1:5" x14ac:dyDescent="0.25">
      <c r="A3980" s="2" t="s">
        <v>3647</v>
      </c>
      <c r="B3980" s="2" t="s">
        <v>3648</v>
      </c>
      <c r="C3980" s="2">
        <v>5</v>
      </c>
      <c r="D3980" t="str">
        <f t="shared" si="62"/>
        <v>CA-2016-125661_TEC-AC-10004855</v>
      </c>
      <c r="E3980" t="str">
        <f>IF(COUNTIF(data1!$D:$D,D3980)=0,"Missing in Data1","Present")</f>
        <v>Present</v>
      </c>
    </row>
    <row r="3981" spans="1:5" x14ac:dyDescent="0.25">
      <c r="A3981" s="2" t="s">
        <v>3649</v>
      </c>
      <c r="B3981" s="2" t="s">
        <v>189</v>
      </c>
      <c r="C3981" s="2">
        <v>7</v>
      </c>
      <c r="D3981" t="str">
        <f t="shared" si="62"/>
        <v>CA-2016-125724_FUR-FU-10000246</v>
      </c>
      <c r="E3981" t="str">
        <f>IF(COUNTIF(data1!$D:$D,D3981)=0,"Missing in Data1","Present")</f>
        <v>Present</v>
      </c>
    </row>
    <row r="3982" spans="1:5" x14ac:dyDescent="0.25">
      <c r="A3982" s="2" t="s">
        <v>3650</v>
      </c>
      <c r="B3982" s="2" t="s">
        <v>626</v>
      </c>
      <c r="C3982" s="2">
        <v>5</v>
      </c>
      <c r="D3982" t="str">
        <f t="shared" si="62"/>
        <v>CA-2016-125738_OFF-BI-10001628</v>
      </c>
      <c r="E3982" t="str">
        <f>IF(COUNTIF(data1!$D:$D,D3982)=0,"Missing in Data1","Present")</f>
        <v>Present</v>
      </c>
    </row>
    <row r="3983" spans="1:5" x14ac:dyDescent="0.25">
      <c r="A3983" s="2" t="s">
        <v>3650</v>
      </c>
      <c r="B3983" s="2" t="s">
        <v>3651</v>
      </c>
      <c r="C3983" s="2">
        <v>2</v>
      </c>
      <c r="D3983" t="str">
        <f t="shared" si="62"/>
        <v>CA-2016-125738_OFF-PA-10000740</v>
      </c>
      <c r="E3983" t="str">
        <f>IF(COUNTIF(data1!$D:$D,D3983)=0,"Missing in Data1","Present")</f>
        <v>Present</v>
      </c>
    </row>
    <row r="3984" spans="1:5" x14ac:dyDescent="0.25">
      <c r="A3984" s="2" t="s">
        <v>3650</v>
      </c>
      <c r="B3984" s="2" t="s">
        <v>1307</v>
      </c>
      <c r="C3984" s="2">
        <v>8</v>
      </c>
      <c r="D3984" t="str">
        <f t="shared" si="62"/>
        <v>CA-2016-125738_OFF-PA-10001509</v>
      </c>
      <c r="E3984" t="str">
        <f>IF(COUNTIF(data1!$D:$D,D3984)=0,"Missing in Data1","Present")</f>
        <v>Present</v>
      </c>
    </row>
    <row r="3985" spans="1:5" x14ac:dyDescent="0.25">
      <c r="A3985" s="2" t="s">
        <v>3650</v>
      </c>
      <c r="B3985" s="2" t="s">
        <v>1102</v>
      </c>
      <c r="C3985" s="2">
        <v>9</v>
      </c>
      <c r="D3985" t="str">
        <f t="shared" si="62"/>
        <v>CA-2016-125738_OFF-PA-10003001</v>
      </c>
      <c r="E3985" t="str">
        <f>IF(COUNTIF(data1!$D:$D,D3985)=0,"Missing in Data1","Present")</f>
        <v>Present</v>
      </c>
    </row>
    <row r="3986" spans="1:5" x14ac:dyDescent="0.25">
      <c r="A3986" s="2" t="s">
        <v>3653</v>
      </c>
      <c r="B3986" s="2" t="s">
        <v>1190</v>
      </c>
      <c r="C3986" s="2">
        <v>3</v>
      </c>
      <c r="D3986" t="str">
        <f t="shared" si="62"/>
        <v>CA-2016-125815_OFF-AR-10004441</v>
      </c>
      <c r="E3986" t="str">
        <f>IF(COUNTIF(data1!$D:$D,D3986)=0,"Missing in Data1","Present")</f>
        <v>Present</v>
      </c>
    </row>
    <row r="3987" spans="1:5" x14ac:dyDescent="0.25">
      <c r="A3987" s="2" t="s">
        <v>3654</v>
      </c>
      <c r="B3987" s="2" t="s">
        <v>3655</v>
      </c>
      <c r="C3987" s="2">
        <v>4</v>
      </c>
      <c r="D3987" t="str">
        <f t="shared" si="62"/>
        <v>CA-2016-125843_OFF-BI-10002309</v>
      </c>
      <c r="E3987" t="str">
        <f>IF(COUNTIF(data1!$D:$D,D3987)=0,"Missing in Data1","Present")</f>
        <v>Present</v>
      </c>
    </row>
    <row r="3988" spans="1:5" x14ac:dyDescent="0.25">
      <c r="A3988" s="2" t="s">
        <v>3654</v>
      </c>
      <c r="B3988" s="2" t="s">
        <v>86</v>
      </c>
      <c r="C3988" s="2">
        <v>7</v>
      </c>
      <c r="D3988" t="str">
        <f t="shared" si="62"/>
        <v>CA-2016-125843_OFF-LA-10003923</v>
      </c>
      <c r="E3988" t="str">
        <f>IF(COUNTIF(data1!$D:$D,D3988)=0,"Missing in Data1","Present")</f>
        <v>Present</v>
      </c>
    </row>
    <row r="3989" spans="1:5" x14ac:dyDescent="0.25">
      <c r="A3989" s="2" t="s">
        <v>3656</v>
      </c>
      <c r="B3989" s="2" t="s">
        <v>1711</v>
      </c>
      <c r="C3989" s="2">
        <v>5</v>
      </c>
      <c r="D3989" t="str">
        <f t="shared" si="62"/>
        <v>CA-2016-125850_OFF-LA-10004484</v>
      </c>
      <c r="E3989" t="str">
        <f>IF(COUNTIF(data1!$D:$D,D3989)=0,"Missing in Data1","Present")</f>
        <v>Present</v>
      </c>
    </row>
    <row r="3990" spans="1:5" x14ac:dyDescent="0.25">
      <c r="A3990" s="2" t="s">
        <v>3657</v>
      </c>
      <c r="B3990" s="2" t="s">
        <v>891</v>
      </c>
      <c r="C3990" s="2">
        <v>3</v>
      </c>
      <c r="D3990" t="str">
        <f t="shared" si="62"/>
        <v>CA-2016-125920_OFF-BI-10003429</v>
      </c>
      <c r="E3990" t="str">
        <f>IF(COUNTIF(data1!$D:$D,D3990)=0,"Missing in Data1","Present")</f>
        <v>Present</v>
      </c>
    </row>
    <row r="3991" spans="1:5" x14ac:dyDescent="0.25">
      <c r="A3991" s="2" t="s">
        <v>3658</v>
      </c>
      <c r="B3991" s="2" t="s">
        <v>1448</v>
      </c>
      <c r="C3991" s="2">
        <v>3</v>
      </c>
      <c r="D3991" t="str">
        <f t="shared" si="62"/>
        <v>CA-2016-126004_FUR-FU-10001602</v>
      </c>
      <c r="E3991" t="str">
        <f>IF(COUNTIF(data1!$D:$D,D3991)=0,"Missing in Data1","Present")</f>
        <v>Missing in Data1</v>
      </c>
    </row>
    <row r="3992" spans="1:5" x14ac:dyDescent="0.25">
      <c r="A3992" s="2" t="s">
        <v>3658</v>
      </c>
      <c r="B3992" s="2" t="s">
        <v>853</v>
      </c>
      <c r="C3992" s="2">
        <v>1</v>
      </c>
      <c r="D3992" t="str">
        <f t="shared" si="62"/>
        <v>CA-2016-126004_OFF-BI-10004656</v>
      </c>
      <c r="E3992" t="str">
        <f>IF(COUNTIF(data1!$D:$D,D3992)=0,"Missing in Data1","Present")</f>
        <v>Missing in Data1</v>
      </c>
    </row>
    <row r="3993" spans="1:5" x14ac:dyDescent="0.25">
      <c r="A3993" s="2" t="s">
        <v>3658</v>
      </c>
      <c r="B3993" s="2" t="s">
        <v>1373</v>
      </c>
      <c r="C3993" s="2">
        <v>4</v>
      </c>
      <c r="D3993" t="str">
        <f t="shared" si="62"/>
        <v>CA-2016-126004_OFF-PA-10001685</v>
      </c>
      <c r="E3993" t="str">
        <f>IF(COUNTIF(data1!$D:$D,D3993)=0,"Missing in Data1","Present")</f>
        <v>Present</v>
      </c>
    </row>
    <row r="3994" spans="1:5" x14ac:dyDescent="0.25">
      <c r="A3994" s="2" t="s">
        <v>3658</v>
      </c>
      <c r="B3994" s="2" t="s">
        <v>3659</v>
      </c>
      <c r="C3994" s="2">
        <v>2</v>
      </c>
      <c r="D3994" t="str">
        <f t="shared" si="62"/>
        <v>CA-2016-126004_OFF-ST-10000676</v>
      </c>
      <c r="E3994" t="str">
        <f>IF(COUNTIF(data1!$D:$D,D3994)=0,"Missing in Data1","Present")</f>
        <v>Present</v>
      </c>
    </row>
    <row r="3995" spans="1:5" x14ac:dyDescent="0.25">
      <c r="A3995" s="2" t="s">
        <v>3658</v>
      </c>
      <c r="B3995" s="2" t="s">
        <v>2398</v>
      </c>
      <c r="C3995" s="2">
        <v>3</v>
      </c>
      <c r="D3995" t="str">
        <f t="shared" si="62"/>
        <v>CA-2016-126004_OFF-ST-10001418</v>
      </c>
      <c r="E3995" t="str">
        <f>IF(COUNTIF(data1!$D:$D,D3995)=0,"Missing in Data1","Present")</f>
        <v>Missing in Data1</v>
      </c>
    </row>
    <row r="3996" spans="1:5" x14ac:dyDescent="0.25">
      <c r="A3996" s="2" t="s">
        <v>3658</v>
      </c>
      <c r="B3996" s="2" t="s">
        <v>880</v>
      </c>
      <c r="C3996" s="2">
        <v>1</v>
      </c>
      <c r="D3996" t="str">
        <f t="shared" si="62"/>
        <v>CA-2016-126004_TEC-AC-10001432</v>
      </c>
      <c r="E3996" t="str">
        <f>IF(COUNTIF(data1!$D:$D,D3996)=0,"Missing in Data1","Present")</f>
        <v>Present</v>
      </c>
    </row>
    <row r="3997" spans="1:5" x14ac:dyDescent="0.25">
      <c r="A3997" s="2" t="s">
        <v>3660</v>
      </c>
      <c r="B3997" s="2" t="s">
        <v>3214</v>
      </c>
      <c r="C3997" s="2">
        <v>2</v>
      </c>
      <c r="D3997" t="str">
        <f t="shared" si="62"/>
        <v>CA-2016-126102_OFF-BI-10004318</v>
      </c>
      <c r="E3997" t="str">
        <f>IF(COUNTIF(data1!$D:$D,D3997)=0,"Missing in Data1","Present")</f>
        <v>Present</v>
      </c>
    </row>
    <row r="3998" spans="1:5" x14ac:dyDescent="0.25">
      <c r="A3998" s="2" t="s">
        <v>3661</v>
      </c>
      <c r="B3998" s="2" t="s">
        <v>16</v>
      </c>
      <c r="C3998" s="2">
        <v>2</v>
      </c>
      <c r="D3998" t="str">
        <f t="shared" si="62"/>
        <v>CA-2016-126158_FUR-CH-10002602</v>
      </c>
      <c r="E3998" t="str">
        <f>IF(COUNTIF(data1!$D:$D,D3998)=0,"Missing in Data1","Present")</f>
        <v>Present</v>
      </c>
    </row>
    <row r="3999" spans="1:5" x14ac:dyDescent="0.25">
      <c r="A3999" s="2" t="s">
        <v>3661</v>
      </c>
      <c r="B3999" s="2" t="s">
        <v>2387</v>
      </c>
      <c r="C3999" s="2">
        <v>9</v>
      </c>
      <c r="D3999" t="str">
        <f t="shared" si="62"/>
        <v>CA-2016-126158_FUR-FU-10000073</v>
      </c>
      <c r="E3999" t="str">
        <f>IF(COUNTIF(data1!$D:$D,D3999)=0,"Missing in Data1","Present")</f>
        <v>Present</v>
      </c>
    </row>
    <row r="4000" spans="1:5" x14ac:dyDescent="0.25">
      <c r="A4000" s="2" t="s">
        <v>3661</v>
      </c>
      <c r="B4000" s="2" t="s">
        <v>226</v>
      </c>
      <c r="C4000" s="2">
        <v>4</v>
      </c>
      <c r="D4000" t="str">
        <f t="shared" si="62"/>
        <v>CA-2016-126158_FUR-FU-10004864</v>
      </c>
      <c r="E4000" t="str">
        <f>IF(COUNTIF(data1!$D:$D,D4000)=0,"Missing in Data1","Present")</f>
        <v>Present</v>
      </c>
    </row>
    <row r="4001" spans="1:5" x14ac:dyDescent="0.25">
      <c r="A4001" s="2" t="s">
        <v>3661</v>
      </c>
      <c r="B4001" s="2" t="s">
        <v>1564</v>
      </c>
      <c r="C4001" s="2">
        <v>8</v>
      </c>
      <c r="D4001" t="str">
        <f t="shared" si="62"/>
        <v>CA-2016-126158_OFF-BI-10002498</v>
      </c>
      <c r="E4001" t="str">
        <f>IF(COUNTIF(data1!$D:$D,D4001)=0,"Missing in Data1","Present")</f>
        <v>Present</v>
      </c>
    </row>
    <row r="4002" spans="1:5" x14ac:dyDescent="0.25">
      <c r="A4002" s="2" t="s">
        <v>3662</v>
      </c>
      <c r="B4002" s="2" t="s">
        <v>513</v>
      </c>
      <c r="C4002" s="2">
        <v>2</v>
      </c>
      <c r="D4002" t="str">
        <f t="shared" si="62"/>
        <v>CA-2016-126165_FUR-TA-10001676</v>
      </c>
      <c r="E4002" t="str">
        <f>IF(COUNTIF(data1!$D:$D,D4002)=0,"Missing in Data1","Present")</f>
        <v>Present</v>
      </c>
    </row>
    <row r="4003" spans="1:5" x14ac:dyDescent="0.25">
      <c r="A4003" s="2" t="s">
        <v>3663</v>
      </c>
      <c r="B4003" s="2" t="s">
        <v>735</v>
      </c>
      <c r="C4003" s="2">
        <v>7</v>
      </c>
      <c r="D4003" t="str">
        <f t="shared" si="62"/>
        <v>CA-2016-126270_OFF-BI-10002764</v>
      </c>
      <c r="E4003" t="str">
        <f>IF(COUNTIF(data1!$D:$D,D4003)=0,"Missing in Data1","Present")</f>
        <v>Present</v>
      </c>
    </row>
    <row r="4004" spans="1:5" x14ac:dyDescent="0.25">
      <c r="A4004" s="2" t="s">
        <v>3663</v>
      </c>
      <c r="B4004" s="2" t="s">
        <v>3016</v>
      </c>
      <c r="C4004" s="2">
        <v>3</v>
      </c>
      <c r="D4004" t="str">
        <f t="shared" si="62"/>
        <v>CA-2016-126270_OFF-EN-10004386</v>
      </c>
      <c r="E4004" t="str">
        <f>IF(COUNTIF(data1!$D:$D,D4004)=0,"Missing in Data1","Present")</f>
        <v>Present</v>
      </c>
    </row>
    <row r="4005" spans="1:5" x14ac:dyDescent="0.25">
      <c r="A4005" s="2" t="s">
        <v>3664</v>
      </c>
      <c r="B4005" s="2" t="s">
        <v>1106</v>
      </c>
      <c r="C4005" s="2">
        <v>5</v>
      </c>
      <c r="D4005" t="str">
        <f t="shared" si="62"/>
        <v>CA-2016-126284_OFF-BI-10004828</v>
      </c>
      <c r="E4005" t="str">
        <f>IF(COUNTIF(data1!$D:$D,D4005)=0,"Missing in Data1","Present")</f>
        <v>Present</v>
      </c>
    </row>
    <row r="4006" spans="1:5" x14ac:dyDescent="0.25">
      <c r="A4006" s="2" t="s">
        <v>3665</v>
      </c>
      <c r="B4006" s="2" t="s">
        <v>1378</v>
      </c>
      <c r="C4006" s="2">
        <v>3</v>
      </c>
      <c r="D4006" t="str">
        <f t="shared" si="62"/>
        <v>CA-2016-126529_OFF-PA-10001166</v>
      </c>
      <c r="E4006" t="str">
        <f>IF(COUNTIF(data1!$D:$D,D4006)=0,"Missing in Data1","Present")</f>
        <v>Present</v>
      </c>
    </row>
    <row r="4007" spans="1:5" x14ac:dyDescent="0.25">
      <c r="A4007" s="2" t="s">
        <v>3665</v>
      </c>
      <c r="B4007" s="2" t="s">
        <v>2980</v>
      </c>
      <c r="C4007" s="2">
        <v>3</v>
      </c>
      <c r="D4007" t="str">
        <f t="shared" si="62"/>
        <v>CA-2016-126529_OFF-PA-10003656</v>
      </c>
      <c r="E4007" t="str">
        <f>IF(COUNTIF(data1!$D:$D,D4007)=0,"Missing in Data1","Present")</f>
        <v>Present</v>
      </c>
    </row>
    <row r="4008" spans="1:5" x14ac:dyDescent="0.25">
      <c r="A4008" s="2" t="s">
        <v>3665</v>
      </c>
      <c r="B4008" s="2" t="s">
        <v>3666</v>
      </c>
      <c r="C4008" s="2">
        <v>2</v>
      </c>
      <c r="D4008" t="str">
        <f t="shared" si="62"/>
        <v>CA-2016-126529_TEC-PH-10000148</v>
      </c>
      <c r="E4008" t="str">
        <f>IF(COUNTIF(data1!$D:$D,D4008)=0,"Missing in Data1","Present")</f>
        <v>Present</v>
      </c>
    </row>
    <row r="4009" spans="1:5" x14ac:dyDescent="0.25">
      <c r="A4009" s="2" t="s">
        <v>3667</v>
      </c>
      <c r="B4009" s="2" t="s">
        <v>3041</v>
      </c>
      <c r="C4009" s="2">
        <v>2</v>
      </c>
      <c r="D4009" t="str">
        <f t="shared" si="62"/>
        <v>CA-2016-126543_FUR-FU-10002445</v>
      </c>
      <c r="E4009" t="str">
        <f>IF(COUNTIF(data1!$D:$D,D4009)=0,"Missing in Data1","Present")</f>
        <v>Present</v>
      </c>
    </row>
    <row r="4010" spans="1:5" x14ac:dyDescent="0.25">
      <c r="A4010" s="2" t="s">
        <v>3668</v>
      </c>
      <c r="B4010" s="2" t="s">
        <v>2467</v>
      </c>
      <c r="C4010" s="2">
        <v>2</v>
      </c>
      <c r="D4010" t="str">
        <f t="shared" si="62"/>
        <v>CA-2016-126613_OFF-ST-10001325</v>
      </c>
      <c r="E4010" t="str">
        <f>IF(COUNTIF(data1!$D:$D,D4010)=0,"Missing in Data1","Present")</f>
        <v>Present</v>
      </c>
    </row>
    <row r="4011" spans="1:5" x14ac:dyDescent="0.25">
      <c r="A4011" s="2" t="s">
        <v>3669</v>
      </c>
      <c r="B4011" s="2" t="s">
        <v>3616</v>
      </c>
      <c r="C4011" s="2">
        <v>4</v>
      </c>
      <c r="D4011" t="str">
        <f t="shared" si="62"/>
        <v>CA-2016-126627_FUR-FU-10004963</v>
      </c>
      <c r="E4011" t="str">
        <f>IF(COUNTIF(data1!$D:$D,D4011)=0,"Missing in Data1","Present")</f>
        <v>Present</v>
      </c>
    </row>
    <row r="4012" spans="1:5" x14ac:dyDescent="0.25">
      <c r="A4012" s="2" t="s">
        <v>3669</v>
      </c>
      <c r="B4012" s="2" t="s">
        <v>5</v>
      </c>
      <c r="C4012" s="2">
        <v>2</v>
      </c>
      <c r="D4012" t="str">
        <f t="shared" si="62"/>
        <v>CA-2016-126627_OFF-BI-10001597</v>
      </c>
      <c r="E4012" t="str">
        <f>IF(COUNTIF(data1!$D:$D,D4012)=0,"Missing in Data1","Present")</f>
        <v>Present</v>
      </c>
    </row>
    <row r="4013" spans="1:5" x14ac:dyDescent="0.25">
      <c r="A4013" s="2" t="s">
        <v>3670</v>
      </c>
      <c r="B4013" s="2" t="s">
        <v>377</v>
      </c>
      <c r="C4013" s="2">
        <v>9</v>
      </c>
      <c r="D4013" t="str">
        <f t="shared" si="62"/>
        <v>CA-2016-126732_FUR-FU-10001889</v>
      </c>
      <c r="E4013" t="str">
        <f>IF(COUNTIF(data1!$D:$D,D4013)=0,"Missing in Data1","Present")</f>
        <v>Present</v>
      </c>
    </row>
    <row r="4014" spans="1:5" x14ac:dyDescent="0.25">
      <c r="A4014" s="2" t="s">
        <v>3670</v>
      </c>
      <c r="B4014" s="2" t="s">
        <v>544</v>
      </c>
      <c r="C4014" s="2">
        <v>3</v>
      </c>
      <c r="D4014" t="str">
        <f t="shared" si="62"/>
        <v>CA-2016-126732_FUR-TA-10001539</v>
      </c>
      <c r="E4014" t="str">
        <f>IF(COUNTIF(data1!$D:$D,D4014)=0,"Missing in Data1","Present")</f>
        <v>Present</v>
      </c>
    </row>
    <row r="4015" spans="1:5" x14ac:dyDescent="0.25">
      <c r="A4015" s="2" t="s">
        <v>3670</v>
      </c>
      <c r="B4015" s="2" t="s">
        <v>625</v>
      </c>
      <c r="C4015" s="2">
        <v>7</v>
      </c>
      <c r="D4015" t="str">
        <f t="shared" si="62"/>
        <v>CA-2016-126732_OFF-AR-10004752</v>
      </c>
      <c r="E4015" t="str">
        <f>IF(COUNTIF(data1!$D:$D,D4015)=0,"Missing in Data1","Present")</f>
        <v>Missing in Data1</v>
      </c>
    </row>
    <row r="4016" spans="1:5" x14ac:dyDescent="0.25">
      <c r="A4016" s="2" t="s">
        <v>3670</v>
      </c>
      <c r="B4016" s="2" t="s">
        <v>1042</v>
      </c>
      <c r="C4016" s="2">
        <v>1</v>
      </c>
      <c r="D4016" t="str">
        <f t="shared" si="62"/>
        <v>CA-2016-126732_OFF-BI-10001553</v>
      </c>
      <c r="E4016" t="str">
        <f>IF(COUNTIF(data1!$D:$D,D4016)=0,"Missing in Data1","Present")</f>
        <v>Present</v>
      </c>
    </row>
    <row r="4017" spans="1:5" x14ac:dyDescent="0.25">
      <c r="A4017" s="2" t="s">
        <v>3670</v>
      </c>
      <c r="B4017" s="2" t="s">
        <v>1423</v>
      </c>
      <c r="C4017" s="2">
        <v>3</v>
      </c>
      <c r="D4017" t="str">
        <f t="shared" si="62"/>
        <v>CA-2016-126732_OFF-ST-10000321</v>
      </c>
      <c r="E4017" t="str">
        <f>IF(COUNTIF(data1!$D:$D,D4017)=0,"Missing in Data1","Present")</f>
        <v>Missing in Data1</v>
      </c>
    </row>
    <row r="4018" spans="1:5" x14ac:dyDescent="0.25">
      <c r="A4018" s="2" t="s">
        <v>3670</v>
      </c>
      <c r="B4018" s="2" t="s">
        <v>602</v>
      </c>
      <c r="C4018" s="2">
        <v>4</v>
      </c>
      <c r="D4018" t="str">
        <f t="shared" si="62"/>
        <v>CA-2016-126732_TEC-PH-10001530</v>
      </c>
      <c r="E4018" t="str">
        <f>IF(COUNTIF(data1!$D:$D,D4018)=0,"Missing in Data1","Present")</f>
        <v>Present</v>
      </c>
    </row>
    <row r="4019" spans="1:5" x14ac:dyDescent="0.25">
      <c r="A4019" s="2" t="s">
        <v>3671</v>
      </c>
      <c r="B4019" s="2" t="s">
        <v>1223</v>
      </c>
      <c r="C4019" s="2">
        <v>2</v>
      </c>
      <c r="D4019" t="str">
        <f t="shared" si="62"/>
        <v>CA-2016-126795_OFF-BI-10001989</v>
      </c>
      <c r="E4019" t="str">
        <f>IF(COUNTIF(data1!$D:$D,D4019)=0,"Missing in Data1","Present")</f>
        <v>Present</v>
      </c>
    </row>
    <row r="4020" spans="1:5" x14ac:dyDescent="0.25">
      <c r="A4020" s="2" t="s">
        <v>3673</v>
      </c>
      <c r="B4020" s="2" t="s">
        <v>1649</v>
      </c>
      <c r="C4020" s="2">
        <v>2</v>
      </c>
      <c r="D4020" t="str">
        <f t="shared" si="62"/>
        <v>CA-2016-126858_FUR-FU-10000448</v>
      </c>
      <c r="E4020" t="str">
        <f>IF(COUNTIF(data1!$D:$D,D4020)=0,"Missing in Data1","Present")</f>
        <v>Present</v>
      </c>
    </row>
    <row r="4021" spans="1:5" x14ac:dyDescent="0.25">
      <c r="A4021" s="2" t="s">
        <v>3674</v>
      </c>
      <c r="B4021" s="2" t="s">
        <v>1950</v>
      </c>
      <c r="C4021" s="2">
        <v>1</v>
      </c>
      <c r="D4021" t="str">
        <f t="shared" si="62"/>
        <v>CA-2016-126935_OFF-BI-10004817</v>
      </c>
      <c r="E4021" t="str">
        <f>IF(COUNTIF(data1!$D:$D,D4021)=0,"Missing in Data1","Present")</f>
        <v>Present</v>
      </c>
    </row>
    <row r="4022" spans="1:5" x14ac:dyDescent="0.25">
      <c r="A4022" s="2" t="s">
        <v>3675</v>
      </c>
      <c r="B4022" s="2" t="s">
        <v>2170</v>
      </c>
      <c r="C4022" s="2">
        <v>3</v>
      </c>
      <c r="D4022" t="str">
        <f t="shared" si="62"/>
        <v>CA-2016-127138_FUR-CH-10003746</v>
      </c>
      <c r="E4022" t="str">
        <f>IF(COUNTIF(data1!$D:$D,D4022)=0,"Missing in Data1","Present")</f>
        <v>Present</v>
      </c>
    </row>
    <row r="4023" spans="1:5" x14ac:dyDescent="0.25">
      <c r="A4023" s="2" t="s">
        <v>3675</v>
      </c>
      <c r="B4023" s="2" t="s">
        <v>816</v>
      </c>
      <c r="C4023" s="2">
        <v>5</v>
      </c>
      <c r="D4023" t="str">
        <f t="shared" si="62"/>
        <v>CA-2016-127138_OFF-AP-10003842</v>
      </c>
      <c r="E4023" t="str">
        <f>IF(COUNTIF(data1!$D:$D,D4023)=0,"Missing in Data1","Present")</f>
        <v>Missing in Data1</v>
      </c>
    </row>
    <row r="4024" spans="1:5" x14ac:dyDescent="0.25">
      <c r="A4024" s="2" t="s">
        <v>3675</v>
      </c>
      <c r="B4024" s="2" t="s">
        <v>1231</v>
      </c>
      <c r="C4024" s="2">
        <v>4</v>
      </c>
      <c r="D4024" t="str">
        <f t="shared" si="62"/>
        <v>CA-2016-127138_OFF-EN-10004459</v>
      </c>
      <c r="E4024" t="str">
        <f>IF(COUNTIF(data1!$D:$D,D4024)=0,"Missing in Data1","Present")</f>
        <v>Present</v>
      </c>
    </row>
    <row r="4025" spans="1:5" x14ac:dyDescent="0.25">
      <c r="A4025" s="2" t="s">
        <v>3675</v>
      </c>
      <c r="B4025" s="2" t="s">
        <v>2078</v>
      </c>
      <c r="C4025" s="2">
        <v>5</v>
      </c>
      <c r="D4025" t="str">
        <f t="shared" si="62"/>
        <v>CA-2016-127138_OFF-ST-10002756</v>
      </c>
      <c r="E4025" t="str">
        <f>IF(COUNTIF(data1!$D:$D,D4025)=0,"Missing in Data1","Present")</f>
        <v>Present</v>
      </c>
    </row>
    <row r="4026" spans="1:5" x14ac:dyDescent="0.25">
      <c r="A4026" s="2" t="s">
        <v>3676</v>
      </c>
      <c r="B4026" s="2" t="s">
        <v>622</v>
      </c>
      <c r="C4026" s="2">
        <v>9</v>
      </c>
      <c r="D4026" t="str">
        <f t="shared" si="62"/>
        <v>CA-2016-127194_OFF-PA-10000659</v>
      </c>
      <c r="E4026" t="str">
        <f>IF(COUNTIF(data1!$D:$D,D4026)=0,"Missing in Data1","Present")</f>
        <v>Present</v>
      </c>
    </row>
    <row r="4027" spans="1:5" x14ac:dyDescent="0.25">
      <c r="A4027" s="2" t="s">
        <v>3677</v>
      </c>
      <c r="B4027" s="2" t="s">
        <v>563</v>
      </c>
      <c r="C4027" s="2">
        <v>1</v>
      </c>
      <c r="D4027" t="str">
        <f t="shared" si="62"/>
        <v>CA-2016-127208_OFF-AP-10002118</v>
      </c>
      <c r="E4027" t="str">
        <f>IF(COUNTIF(data1!$D:$D,D4027)=0,"Missing in Data1","Present")</f>
        <v>Present</v>
      </c>
    </row>
    <row r="4028" spans="1:5" x14ac:dyDescent="0.25">
      <c r="A4028" s="2" t="s">
        <v>3677</v>
      </c>
      <c r="B4028" s="2" t="s">
        <v>3655</v>
      </c>
      <c r="C4028" s="2">
        <v>3</v>
      </c>
      <c r="D4028" t="str">
        <f t="shared" si="62"/>
        <v>CA-2016-127208_OFF-BI-10002309</v>
      </c>
      <c r="E4028" t="str">
        <f>IF(COUNTIF(data1!$D:$D,D4028)=0,"Missing in Data1","Present")</f>
        <v>Present</v>
      </c>
    </row>
    <row r="4029" spans="1:5" x14ac:dyDescent="0.25">
      <c r="A4029" s="2" t="s">
        <v>3678</v>
      </c>
      <c r="B4029" s="2" t="s">
        <v>631</v>
      </c>
      <c r="C4029" s="2">
        <v>5</v>
      </c>
      <c r="D4029" t="str">
        <f t="shared" si="62"/>
        <v>CA-2016-127236_FUR-BO-10004015</v>
      </c>
      <c r="E4029" t="str">
        <f>IF(COUNTIF(data1!$D:$D,D4029)=0,"Missing in Data1","Present")</f>
        <v>Present</v>
      </c>
    </row>
    <row r="4030" spans="1:5" x14ac:dyDescent="0.25">
      <c r="A4030" s="2" t="s">
        <v>3678</v>
      </c>
      <c r="B4030" s="2" t="s">
        <v>3679</v>
      </c>
      <c r="C4030" s="2">
        <v>4</v>
      </c>
      <c r="D4030" t="str">
        <f t="shared" si="62"/>
        <v>CA-2016-127236_TEC-PH-10000141</v>
      </c>
      <c r="E4030" t="str">
        <f>IF(COUNTIF(data1!$D:$D,D4030)=0,"Missing in Data1","Present")</f>
        <v>Present</v>
      </c>
    </row>
    <row r="4031" spans="1:5" x14ac:dyDescent="0.25">
      <c r="A4031" s="2" t="s">
        <v>3680</v>
      </c>
      <c r="B4031" s="2" t="s">
        <v>1419</v>
      </c>
      <c r="C4031" s="2">
        <v>7</v>
      </c>
      <c r="D4031" t="str">
        <f t="shared" si="62"/>
        <v>CA-2016-127243_FUR-CH-10002647</v>
      </c>
      <c r="E4031" t="str">
        <f>IF(COUNTIF(data1!$D:$D,D4031)=0,"Missing in Data1","Present")</f>
        <v>Present</v>
      </c>
    </row>
    <row r="4032" spans="1:5" x14ac:dyDescent="0.25">
      <c r="A4032" s="2" t="s">
        <v>3680</v>
      </c>
      <c r="B4032" s="2" t="s">
        <v>2000</v>
      </c>
      <c r="C4032" s="2">
        <v>2</v>
      </c>
      <c r="D4032" t="str">
        <f t="shared" si="62"/>
        <v>CA-2016-127243_OFF-BI-10003166</v>
      </c>
      <c r="E4032" t="str">
        <f>IF(COUNTIF(data1!$D:$D,D4032)=0,"Missing in Data1","Present")</f>
        <v>Present</v>
      </c>
    </row>
    <row r="4033" spans="1:5" x14ac:dyDescent="0.25">
      <c r="A4033" s="2" t="s">
        <v>3680</v>
      </c>
      <c r="B4033" s="2" t="s">
        <v>3681</v>
      </c>
      <c r="C4033" s="2">
        <v>8</v>
      </c>
      <c r="D4033" t="str">
        <f t="shared" si="62"/>
        <v>CA-2016-127243_OFF-FA-10004076</v>
      </c>
      <c r="E4033" t="str">
        <f>IF(COUNTIF(data1!$D:$D,D4033)=0,"Missing in Data1","Present")</f>
        <v>Present</v>
      </c>
    </row>
    <row r="4034" spans="1:5" x14ac:dyDescent="0.25">
      <c r="A4034" s="2" t="s">
        <v>3680</v>
      </c>
      <c r="B4034" s="2" t="s">
        <v>900</v>
      </c>
      <c r="C4034" s="2">
        <v>3</v>
      </c>
      <c r="D4034" t="str">
        <f t="shared" si="62"/>
        <v>CA-2016-127243_TEC-PH-10004539</v>
      </c>
      <c r="E4034" t="str">
        <f>IF(COUNTIF(data1!$D:$D,D4034)=0,"Missing in Data1","Present")</f>
        <v>Present</v>
      </c>
    </row>
    <row r="4035" spans="1:5" x14ac:dyDescent="0.25">
      <c r="A4035" s="2" t="s">
        <v>3682</v>
      </c>
      <c r="B4035" s="2" t="s">
        <v>1047</v>
      </c>
      <c r="C4035" s="2">
        <v>3</v>
      </c>
      <c r="D4035" t="str">
        <f t="shared" ref="D4035:D4098" si="63">A4035&amp;"_"&amp;B4035</f>
        <v>CA-2016-127250_OFF-AR-10003394</v>
      </c>
      <c r="E4035" t="str">
        <f>IF(COUNTIF(data1!$D:$D,D4035)=0,"Missing in Data1","Present")</f>
        <v>Present</v>
      </c>
    </row>
    <row r="4036" spans="1:5" x14ac:dyDescent="0.25">
      <c r="A4036" s="2" t="s">
        <v>3683</v>
      </c>
      <c r="B4036" s="2" t="s">
        <v>1291</v>
      </c>
      <c r="C4036" s="2">
        <v>5</v>
      </c>
      <c r="D4036" t="str">
        <f t="shared" si="63"/>
        <v>CA-2016-127369_OFF-ST-10003306</v>
      </c>
      <c r="E4036" t="str">
        <f>IF(COUNTIF(data1!$D:$D,D4036)=0,"Missing in Data1","Present")</f>
        <v>Present</v>
      </c>
    </row>
    <row r="4037" spans="1:5" x14ac:dyDescent="0.25">
      <c r="A4037" s="2" t="s">
        <v>3684</v>
      </c>
      <c r="B4037" s="2" t="s">
        <v>3685</v>
      </c>
      <c r="C4037" s="2">
        <v>2</v>
      </c>
      <c r="D4037" t="str">
        <f t="shared" si="63"/>
        <v>CA-2016-127642_OFF-PA-10000565</v>
      </c>
      <c r="E4037" t="str">
        <f>IF(COUNTIF(data1!$D:$D,D4037)=0,"Missing in Data1","Present")</f>
        <v>Present</v>
      </c>
    </row>
    <row r="4038" spans="1:5" x14ac:dyDescent="0.25">
      <c r="A4038" s="2" t="s">
        <v>3686</v>
      </c>
      <c r="B4038" s="2" t="s">
        <v>1762</v>
      </c>
      <c r="C4038" s="2">
        <v>3</v>
      </c>
      <c r="D4038" t="str">
        <f t="shared" si="63"/>
        <v>CA-2016-127649_TEC-MA-10001972</v>
      </c>
      <c r="E4038" t="str">
        <f>IF(COUNTIF(data1!$D:$D,D4038)=0,"Missing in Data1","Present")</f>
        <v>Present</v>
      </c>
    </row>
    <row r="4039" spans="1:5" x14ac:dyDescent="0.25">
      <c r="A4039" s="2" t="s">
        <v>3687</v>
      </c>
      <c r="B4039" s="2" t="s">
        <v>2635</v>
      </c>
      <c r="C4039" s="2">
        <v>4</v>
      </c>
      <c r="D4039" t="str">
        <f t="shared" si="63"/>
        <v>CA-2016-127670_FUR-TA-10001095</v>
      </c>
      <c r="E4039" t="str">
        <f>IF(COUNTIF(data1!$D:$D,D4039)=0,"Missing in Data1","Present")</f>
        <v>Present</v>
      </c>
    </row>
    <row r="4040" spans="1:5" x14ac:dyDescent="0.25">
      <c r="A4040" s="2" t="s">
        <v>3688</v>
      </c>
      <c r="B4040" s="2" t="s">
        <v>713</v>
      </c>
      <c r="C4040" s="2">
        <v>9</v>
      </c>
      <c r="D4040" t="str">
        <f t="shared" si="63"/>
        <v>CA-2016-127698_TEC-PH-10003811</v>
      </c>
      <c r="E4040" t="str">
        <f>IF(COUNTIF(data1!$D:$D,D4040)=0,"Missing in Data1","Present")</f>
        <v>Present</v>
      </c>
    </row>
    <row r="4041" spans="1:5" x14ac:dyDescent="0.25">
      <c r="A4041" s="2" t="s">
        <v>3689</v>
      </c>
      <c r="B4041" s="2" t="s">
        <v>350</v>
      </c>
      <c r="C4041" s="2">
        <v>7</v>
      </c>
      <c r="D4041" t="str">
        <f t="shared" si="63"/>
        <v>CA-2016-127761_TEC-PH-10003691</v>
      </c>
      <c r="E4041" t="str">
        <f>IF(COUNTIF(data1!$D:$D,D4041)=0,"Missing in Data1","Present")</f>
        <v>Present</v>
      </c>
    </row>
    <row r="4042" spans="1:5" x14ac:dyDescent="0.25">
      <c r="A4042" s="2" t="s">
        <v>3690</v>
      </c>
      <c r="B4042" s="2" t="s">
        <v>1862</v>
      </c>
      <c r="C4042" s="2">
        <v>3</v>
      </c>
      <c r="D4042" t="str">
        <f t="shared" si="63"/>
        <v>CA-2016-127775_TEC-AC-10002402</v>
      </c>
      <c r="E4042" t="str">
        <f>IF(COUNTIF(data1!$D:$D,D4042)=0,"Missing in Data1","Present")</f>
        <v>Present</v>
      </c>
    </row>
    <row r="4043" spans="1:5" x14ac:dyDescent="0.25">
      <c r="A4043" s="2" t="s">
        <v>3691</v>
      </c>
      <c r="B4043" s="2" t="s">
        <v>779</v>
      </c>
      <c r="C4043" s="2">
        <v>4</v>
      </c>
      <c r="D4043" t="str">
        <f t="shared" si="63"/>
        <v>CA-2016-127985_FUR-FU-10003274</v>
      </c>
      <c r="E4043" t="str">
        <f>IF(COUNTIF(data1!$D:$D,D4043)=0,"Missing in Data1","Present")</f>
        <v>Present</v>
      </c>
    </row>
    <row r="4044" spans="1:5" x14ac:dyDescent="0.25">
      <c r="A4044" s="2" t="s">
        <v>3692</v>
      </c>
      <c r="B4044" s="2" t="s">
        <v>1821</v>
      </c>
      <c r="C4044" s="2">
        <v>2</v>
      </c>
      <c r="D4044" t="str">
        <f t="shared" si="63"/>
        <v>CA-2016-128111_OFF-AR-10000588</v>
      </c>
      <c r="E4044" t="str">
        <f>IF(COUNTIF(data1!$D:$D,D4044)=0,"Missing in Data1","Present")</f>
        <v>Present</v>
      </c>
    </row>
    <row r="4045" spans="1:5" x14ac:dyDescent="0.25">
      <c r="A4045" s="2" t="s">
        <v>3693</v>
      </c>
      <c r="B4045" s="2" t="s">
        <v>3694</v>
      </c>
      <c r="C4045" s="2">
        <v>7</v>
      </c>
      <c r="D4045" t="str">
        <f t="shared" si="63"/>
        <v>CA-2016-128223_FUR-TA-10001771</v>
      </c>
      <c r="E4045" t="str">
        <f>IF(COUNTIF(data1!$D:$D,D4045)=0,"Missing in Data1","Present")</f>
        <v>Present</v>
      </c>
    </row>
    <row r="4046" spans="1:5" x14ac:dyDescent="0.25">
      <c r="A4046" s="2" t="s">
        <v>6798</v>
      </c>
      <c r="B4046" s="2" t="s">
        <v>2984</v>
      </c>
      <c r="C4046" s="2">
        <v>1</v>
      </c>
      <c r="D4046" t="str">
        <f t="shared" si="63"/>
        <v>CA-2016-128258_OFF-PA-10004156</v>
      </c>
      <c r="E4046" t="str">
        <f>IF(COUNTIF(data1!$D:$D,D4046)=0,"Missing in Data1","Present")</f>
        <v>Missing in Data1</v>
      </c>
    </row>
    <row r="4047" spans="1:5" x14ac:dyDescent="0.25">
      <c r="A4047" s="2" t="s">
        <v>3695</v>
      </c>
      <c r="B4047" s="2" t="s">
        <v>1399</v>
      </c>
      <c r="C4047" s="2">
        <v>1</v>
      </c>
      <c r="D4047" t="str">
        <f t="shared" si="63"/>
        <v>CA-2016-128307_OFF-EN-10003040</v>
      </c>
      <c r="E4047" t="str">
        <f>IF(COUNTIF(data1!$D:$D,D4047)=0,"Missing in Data1","Present")</f>
        <v>Present</v>
      </c>
    </row>
    <row r="4048" spans="1:5" x14ac:dyDescent="0.25">
      <c r="A4048" s="2" t="s">
        <v>3696</v>
      </c>
      <c r="B4048" s="2" t="s">
        <v>3697</v>
      </c>
      <c r="C4048" s="2">
        <v>3</v>
      </c>
      <c r="D4048" t="str">
        <f t="shared" si="63"/>
        <v>CA-2016-128412_OFF-AP-10000252</v>
      </c>
      <c r="E4048" t="str">
        <f>IF(COUNTIF(data1!$D:$D,D4048)=0,"Missing in Data1","Present")</f>
        <v>Present</v>
      </c>
    </row>
    <row r="4049" spans="1:5" x14ac:dyDescent="0.25">
      <c r="A4049" s="2" t="s">
        <v>3696</v>
      </c>
      <c r="B4049" s="2" t="s">
        <v>3152</v>
      </c>
      <c r="C4049" s="2">
        <v>3</v>
      </c>
      <c r="D4049" t="str">
        <f t="shared" si="63"/>
        <v>CA-2016-128412_OFF-AP-10002082</v>
      </c>
      <c r="E4049" t="str">
        <f>IF(COUNTIF(data1!$D:$D,D4049)=0,"Missing in Data1","Present")</f>
        <v>Missing in Data1</v>
      </c>
    </row>
    <row r="4050" spans="1:5" x14ac:dyDescent="0.25">
      <c r="A4050" s="2" t="s">
        <v>3696</v>
      </c>
      <c r="B4050" s="2" t="s">
        <v>2324</v>
      </c>
      <c r="C4050" s="2">
        <v>3</v>
      </c>
      <c r="D4050" t="str">
        <f t="shared" si="63"/>
        <v>CA-2016-128412_OFF-BI-10001718</v>
      </c>
      <c r="E4050" t="str">
        <f>IF(COUNTIF(data1!$D:$D,D4050)=0,"Missing in Data1","Present")</f>
        <v>Present</v>
      </c>
    </row>
    <row r="4051" spans="1:5" x14ac:dyDescent="0.25">
      <c r="A4051" s="2" t="s">
        <v>3696</v>
      </c>
      <c r="B4051" s="2" t="s">
        <v>781</v>
      </c>
      <c r="C4051" s="2">
        <v>4</v>
      </c>
      <c r="D4051" t="str">
        <f t="shared" si="63"/>
        <v>CA-2016-128412_OFF-PA-10001125</v>
      </c>
      <c r="E4051" t="str">
        <f>IF(COUNTIF(data1!$D:$D,D4051)=0,"Missing in Data1","Present")</f>
        <v>Present</v>
      </c>
    </row>
    <row r="4052" spans="1:5" x14ac:dyDescent="0.25">
      <c r="A4052" s="2" t="s">
        <v>3696</v>
      </c>
      <c r="B4052" s="2" t="s">
        <v>311</v>
      </c>
      <c r="C4052" s="2">
        <v>5</v>
      </c>
      <c r="D4052" t="str">
        <f t="shared" si="63"/>
        <v>CA-2016-128412_TEC-AC-10003038</v>
      </c>
      <c r="E4052" t="str">
        <f>IF(COUNTIF(data1!$D:$D,D4052)=0,"Missing in Data1","Present")</f>
        <v>Present</v>
      </c>
    </row>
    <row r="4053" spans="1:5" x14ac:dyDescent="0.25">
      <c r="A4053" s="2" t="s">
        <v>3698</v>
      </c>
      <c r="B4053" s="2" t="s">
        <v>3699</v>
      </c>
      <c r="C4053" s="2">
        <v>2</v>
      </c>
      <c r="D4053" t="str">
        <f t="shared" si="63"/>
        <v>CA-2016-128517_OFF-BI-10000831</v>
      </c>
      <c r="E4053" t="str">
        <f>IF(COUNTIF(data1!$D:$D,D4053)=0,"Missing in Data1","Present")</f>
        <v>Present</v>
      </c>
    </row>
    <row r="4054" spans="1:5" x14ac:dyDescent="0.25">
      <c r="A4054" s="2" t="s">
        <v>3698</v>
      </c>
      <c r="B4054" s="2" t="s">
        <v>3146</v>
      </c>
      <c r="C4054" s="2">
        <v>2</v>
      </c>
      <c r="D4054" t="str">
        <f t="shared" si="63"/>
        <v>CA-2016-128517_TEC-PH-10002555</v>
      </c>
      <c r="E4054" t="str">
        <f>IF(COUNTIF(data1!$D:$D,D4054)=0,"Missing in Data1","Present")</f>
        <v>Present</v>
      </c>
    </row>
    <row r="4055" spans="1:5" x14ac:dyDescent="0.25">
      <c r="A4055" s="2" t="s">
        <v>3700</v>
      </c>
      <c r="B4055" s="2" t="s">
        <v>1739</v>
      </c>
      <c r="C4055" s="2">
        <v>3</v>
      </c>
      <c r="D4055" t="str">
        <f t="shared" si="63"/>
        <v>CA-2016-128531_OFF-AR-10003405</v>
      </c>
      <c r="E4055" t="str">
        <f>IF(COUNTIF(data1!$D:$D,D4055)=0,"Missing in Data1","Present")</f>
        <v>Present</v>
      </c>
    </row>
    <row r="4056" spans="1:5" x14ac:dyDescent="0.25">
      <c r="A4056" s="2" t="s">
        <v>3700</v>
      </c>
      <c r="B4056" s="2" t="s">
        <v>420</v>
      </c>
      <c r="C4056" s="2">
        <v>3</v>
      </c>
      <c r="D4056" t="str">
        <f t="shared" si="63"/>
        <v>CA-2016-128531_OFF-FA-10002676</v>
      </c>
      <c r="E4056" t="str">
        <f>IF(COUNTIF(data1!$D:$D,D4056)=0,"Missing in Data1","Present")</f>
        <v>Missing in Data1</v>
      </c>
    </row>
    <row r="4057" spans="1:5" x14ac:dyDescent="0.25">
      <c r="A4057" s="2" t="s">
        <v>3700</v>
      </c>
      <c r="B4057" s="2" t="s">
        <v>1273</v>
      </c>
      <c r="C4057" s="2">
        <v>3</v>
      </c>
      <c r="D4057" t="str">
        <f t="shared" si="63"/>
        <v>CA-2016-128531_OFF-PA-10000167</v>
      </c>
      <c r="E4057" t="str">
        <f>IF(COUNTIF(data1!$D:$D,D4057)=0,"Missing in Data1","Present")</f>
        <v>Present</v>
      </c>
    </row>
    <row r="4058" spans="1:5" x14ac:dyDescent="0.25">
      <c r="A4058" s="2" t="s">
        <v>3700</v>
      </c>
      <c r="B4058" s="2" t="s">
        <v>2467</v>
      </c>
      <c r="C4058" s="2">
        <v>5</v>
      </c>
      <c r="D4058" t="str">
        <f t="shared" si="63"/>
        <v>CA-2016-128531_OFF-ST-10001325</v>
      </c>
      <c r="E4058" t="str">
        <f>IF(COUNTIF(data1!$D:$D,D4058)=0,"Missing in Data1","Present")</f>
        <v>Present</v>
      </c>
    </row>
    <row r="4059" spans="1:5" x14ac:dyDescent="0.25">
      <c r="A4059" s="2" t="s">
        <v>3700</v>
      </c>
      <c r="B4059" s="2" t="s">
        <v>1053</v>
      </c>
      <c r="C4059" s="2">
        <v>3</v>
      </c>
      <c r="D4059" t="str">
        <f t="shared" si="63"/>
        <v>CA-2016-128531_TEC-AC-10002049</v>
      </c>
      <c r="E4059" t="str">
        <f>IF(COUNTIF(data1!$D:$D,D4059)=0,"Missing in Data1","Present")</f>
        <v>Present</v>
      </c>
    </row>
    <row r="4060" spans="1:5" x14ac:dyDescent="0.25">
      <c r="A4060" s="2" t="s">
        <v>3700</v>
      </c>
      <c r="B4060" s="2" t="s">
        <v>324</v>
      </c>
      <c r="C4060" s="2">
        <v>2</v>
      </c>
      <c r="D4060" t="str">
        <f t="shared" si="63"/>
        <v>CA-2016-128531_TEC-AC-10003023</v>
      </c>
      <c r="E4060" t="str">
        <f>IF(COUNTIF(data1!$D:$D,D4060)=0,"Missing in Data1","Present")</f>
        <v>Present</v>
      </c>
    </row>
    <row r="4061" spans="1:5" x14ac:dyDescent="0.25">
      <c r="A4061" s="2" t="s">
        <v>6799</v>
      </c>
      <c r="B4061" s="2" t="s">
        <v>583</v>
      </c>
      <c r="C4061" s="2">
        <v>4</v>
      </c>
      <c r="D4061" t="str">
        <f t="shared" si="63"/>
        <v>CA-2016-128594_FUR-CH-10001215</v>
      </c>
      <c r="E4061" t="str">
        <f>IF(COUNTIF(data1!$D:$D,D4061)=0,"Missing in Data1","Present")</f>
        <v>Missing in Data1</v>
      </c>
    </row>
    <row r="4062" spans="1:5" x14ac:dyDescent="0.25">
      <c r="A4062" s="2" t="s">
        <v>3701</v>
      </c>
      <c r="B4062" s="2" t="s">
        <v>510</v>
      </c>
      <c r="C4062" s="2">
        <v>2</v>
      </c>
      <c r="D4062" t="str">
        <f t="shared" si="63"/>
        <v>CA-2016-128671_OFF-BI-10003007</v>
      </c>
      <c r="E4062" t="str">
        <f>IF(COUNTIF(data1!$D:$D,D4062)=0,"Missing in Data1","Present")</f>
        <v>Present</v>
      </c>
    </row>
    <row r="4063" spans="1:5" x14ac:dyDescent="0.25">
      <c r="A4063" s="2" t="s">
        <v>3701</v>
      </c>
      <c r="B4063" s="2" t="s">
        <v>390</v>
      </c>
      <c r="C4063" s="2">
        <v>7</v>
      </c>
      <c r="D4063" t="str">
        <f t="shared" si="63"/>
        <v>CA-2016-128671_OFF-BI-10003305</v>
      </c>
      <c r="E4063" t="str">
        <f>IF(COUNTIF(data1!$D:$D,D4063)=0,"Missing in Data1","Present")</f>
        <v>Present</v>
      </c>
    </row>
    <row r="4064" spans="1:5" x14ac:dyDescent="0.25">
      <c r="A4064" s="2" t="s">
        <v>3701</v>
      </c>
      <c r="B4064" s="2" t="s">
        <v>2631</v>
      </c>
      <c r="C4064" s="2">
        <v>5</v>
      </c>
      <c r="D4064" t="str">
        <f t="shared" si="63"/>
        <v>CA-2016-128671_OFF-PA-10001870</v>
      </c>
      <c r="E4064" t="str">
        <f>IF(COUNTIF(data1!$D:$D,D4064)=0,"Missing in Data1","Present")</f>
        <v>Present</v>
      </c>
    </row>
    <row r="4065" spans="1:5" x14ac:dyDescent="0.25">
      <c r="A4065" s="2" t="s">
        <v>3702</v>
      </c>
      <c r="B4065" s="2" t="s">
        <v>3539</v>
      </c>
      <c r="C4065" s="2">
        <v>2</v>
      </c>
      <c r="D4065" t="str">
        <f t="shared" si="63"/>
        <v>CA-2016-128706_FUR-FU-10004053</v>
      </c>
      <c r="E4065" t="str">
        <f>IF(COUNTIF(data1!$D:$D,D4065)=0,"Missing in Data1","Present")</f>
        <v>Present</v>
      </c>
    </row>
    <row r="4066" spans="1:5" x14ac:dyDescent="0.25">
      <c r="A4066" s="2" t="s">
        <v>3703</v>
      </c>
      <c r="B4066" s="2" t="s">
        <v>3626</v>
      </c>
      <c r="C4066" s="2">
        <v>4</v>
      </c>
      <c r="D4066" t="str">
        <f t="shared" si="63"/>
        <v>CA-2016-128727_TEC-PH-10003442</v>
      </c>
      <c r="E4066" t="str">
        <f>IF(COUNTIF(data1!$D:$D,D4066)=0,"Missing in Data1","Present")</f>
        <v>Present</v>
      </c>
    </row>
    <row r="4067" spans="1:5" x14ac:dyDescent="0.25">
      <c r="A4067" s="2" t="s">
        <v>3704</v>
      </c>
      <c r="B4067" s="2" t="s">
        <v>3260</v>
      </c>
      <c r="C4067" s="2">
        <v>4</v>
      </c>
      <c r="D4067" t="str">
        <f t="shared" si="63"/>
        <v>CA-2016-128811_OFF-BI-10000301</v>
      </c>
      <c r="E4067" t="str">
        <f>IF(COUNTIF(data1!$D:$D,D4067)=0,"Missing in Data1","Present")</f>
        <v>Present</v>
      </c>
    </row>
    <row r="4068" spans="1:5" x14ac:dyDescent="0.25">
      <c r="A4068" s="2" t="s">
        <v>3704</v>
      </c>
      <c r="B4068" s="2" t="s">
        <v>685</v>
      </c>
      <c r="C4068" s="2">
        <v>3</v>
      </c>
      <c r="D4068" t="str">
        <f t="shared" si="63"/>
        <v>CA-2016-128811_OFF-FA-10000585</v>
      </c>
      <c r="E4068" t="str">
        <f>IF(COUNTIF(data1!$D:$D,D4068)=0,"Missing in Data1","Present")</f>
        <v>Present</v>
      </c>
    </row>
    <row r="4069" spans="1:5" x14ac:dyDescent="0.25">
      <c r="A4069" s="2" t="s">
        <v>3704</v>
      </c>
      <c r="B4069" s="2" t="s">
        <v>114</v>
      </c>
      <c r="C4069" s="2">
        <v>3</v>
      </c>
      <c r="D4069" t="str">
        <f t="shared" si="63"/>
        <v>CA-2016-128811_OFF-LA-10003720</v>
      </c>
      <c r="E4069" t="str">
        <f>IF(COUNTIF(data1!$D:$D,D4069)=0,"Missing in Data1","Present")</f>
        <v>Present</v>
      </c>
    </row>
    <row r="4070" spans="1:5" x14ac:dyDescent="0.25">
      <c r="A4070" s="2" t="s">
        <v>3705</v>
      </c>
      <c r="B4070" s="2" t="s">
        <v>1978</v>
      </c>
      <c r="C4070" s="2">
        <v>4</v>
      </c>
      <c r="D4070" t="str">
        <f t="shared" si="63"/>
        <v>CA-2016-128818_FUR-CH-10002084</v>
      </c>
      <c r="E4070" t="str">
        <f>IF(COUNTIF(data1!$D:$D,D4070)=0,"Missing in Data1","Present")</f>
        <v>Present</v>
      </c>
    </row>
    <row r="4071" spans="1:5" x14ac:dyDescent="0.25">
      <c r="A4071" s="2" t="s">
        <v>3705</v>
      </c>
      <c r="B4071" s="2" t="s">
        <v>661</v>
      </c>
      <c r="C4071" s="2">
        <v>8</v>
      </c>
      <c r="D4071" t="str">
        <f t="shared" si="63"/>
        <v>CA-2016-128818_FUR-FU-10001940</v>
      </c>
      <c r="E4071" t="str">
        <f>IF(COUNTIF(data1!$D:$D,D4071)=0,"Missing in Data1","Present")</f>
        <v>Present</v>
      </c>
    </row>
    <row r="4072" spans="1:5" x14ac:dyDescent="0.25">
      <c r="A4072" s="2" t="s">
        <v>3705</v>
      </c>
      <c r="B4072" s="2" t="s">
        <v>59</v>
      </c>
      <c r="C4072" s="2">
        <v>7</v>
      </c>
      <c r="D4072" t="str">
        <f t="shared" si="63"/>
        <v>CA-2016-128818_OFF-BI-10000309</v>
      </c>
      <c r="E4072" t="str">
        <f>IF(COUNTIF(data1!$D:$D,D4072)=0,"Missing in Data1","Present")</f>
        <v>Present</v>
      </c>
    </row>
    <row r="4073" spans="1:5" x14ac:dyDescent="0.25">
      <c r="A4073" s="2" t="s">
        <v>3705</v>
      </c>
      <c r="B4073" s="2" t="s">
        <v>1904</v>
      </c>
      <c r="C4073" s="2">
        <v>5</v>
      </c>
      <c r="D4073" t="str">
        <f t="shared" si="63"/>
        <v>CA-2016-128818_TEC-AC-10001767</v>
      </c>
      <c r="E4073" t="str">
        <f>IF(COUNTIF(data1!$D:$D,D4073)=0,"Missing in Data1","Present")</f>
        <v>Present</v>
      </c>
    </row>
    <row r="4074" spans="1:5" x14ac:dyDescent="0.25">
      <c r="A4074" s="2" t="s">
        <v>3705</v>
      </c>
      <c r="B4074" s="2" t="s">
        <v>2298</v>
      </c>
      <c r="C4074" s="2">
        <v>5</v>
      </c>
      <c r="D4074" t="str">
        <f t="shared" si="63"/>
        <v>CA-2016-128818_TEC-MA-10000488</v>
      </c>
      <c r="E4074" t="str">
        <f>IF(COUNTIF(data1!$D:$D,D4074)=0,"Missing in Data1","Present")</f>
        <v>Present</v>
      </c>
    </row>
    <row r="4075" spans="1:5" x14ac:dyDescent="0.25">
      <c r="A4075" s="2" t="s">
        <v>3706</v>
      </c>
      <c r="B4075" s="2" t="s">
        <v>23</v>
      </c>
      <c r="C4075" s="2">
        <v>2</v>
      </c>
      <c r="D4075" t="str">
        <f t="shared" si="63"/>
        <v>CA-2016-128867_OFF-AR-10000380</v>
      </c>
      <c r="E4075" t="str">
        <f>IF(COUNTIF(data1!$D:$D,D4075)=0,"Missing in Data1","Present")</f>
        <v>Present</v>
      </c>
    </row>
    <row r="4076" spans="1:5" x14ac:dyDescent="0.25">
      <c r="A4076" s="2" t="s">
        <v>3706</v>
      </c>
      <c r="B4076" s="2" t="s">
        <v>1105</v>
      </c>
      <c r="C4076" s="2">
        <v>6</v>
      </c>
      <c r="D4076" t="str">
        <f t="shared" si="63"/>
        <v>CA-2016-128867_OFF-BI-10003981</v>
      </c>
      <c r="E4076" t="str">
        <f>IF(COUNTIF(data1!$D:$D,D4076)=0,"Missing in Data1","Present")</f>
        <v>Present</v>
      </c>
    </row>
    <row r="4077" spans="1:5" x14ac:dyDescent="0.25">
      <c r="A4077" s="2" t="s">
        <v>3707</v>
      </c>
      <c r="B4077" s="2" t="s">
        <v>661</v>
      </c>
      <c r="C4077" s="2">
        <v>3</v>
      </c>
      <c r="D4077" t="str">
        <f t="shared" si="63"/>
        <v>CA-2016-128916_FUR-FU-10001940</v>
      </c>
      <c r="E4077" t="str">
        <f>IF(COUNTIF(data1!$D:$D,D4077)=0,"Missing in Data1","Present")</f>
        <v>Missing in Data1</v>
      </c>
    </row>
    <row r="4078" spans="1:5" x14ac:dyDescent="0.25">
      <c r="A4078" s="2" t="s">
        <v>3708</v>
      </c>
      <c r="B4078" s="2" t="s">
        <v>659</v>
      </c>
      <c r="C4078" s="2">
        <v>1</v>
      </c>
      <c r="D4078" t="str">
        <f t="shared" si="63"/>
        <v>CA-2016-128923_OFF-AR-10000475</v>
      </c>
      <c r="E4078" t="str">
        <f>IF(COUNTIF(data1!$D:$D,D4078)=0,"Missing in Data1","Present")</f>
        <v>Present</v>
      </c>
    </row>
    <row r="4079" spans="1:5" x14ac:dyDescent="0.25">
      <c r="A4079" s="2" t="s">
        <v>3708</v>
      </c>
      <c r="B4079" s="2" t="s">
        <v>2694</v>
      </c>
      <c r="C4079" s="2">
        <v>2</v>
      </c>
      <c r="D4079" t="str">
        <f t="shared" si="63"/>
        <v>CA-2016-128923_OFF-PA-10002250</v>
      </c>
      <c r="E4079" t="str">
        <f>IF(COUNTIF(data1!$D:$D,D4079)=0,"Missing in Data1","Present")</f>
        <v>Present</v>
      </c>
    </row>
    <row r="4080" spans="1:5" x14ac:dyDescent="0.25">
      <c r="A4080" s="2" t="s">
        <v>3709</v>
      </c>
      <c r="B4080" s="2" t="s">
        <v>1547</v>
      </c>
      <c r="C4080" s="2">
        <v>4</v>
      </c>
      <c r="D4080" t="str">
        <f t="shared" si="63"/>
        <v>CA-2016-128972_FUR-FU-10003096</v>
      </c>
      <c r="E4080" t="str">
        <f>IF(COUNTIF(data1!$D:$D,D4080)=0,"Missing in Data1","Present")</f>
        <v>Present</v>
      </c>
    </row>
    <row r="4081" spans="1:5" x14ac:dyDescent="0.25">
      <c r="A4081" s="2" t="s">
        <v>3710</v>
      </c>
      <c r="B4081" s="2" t="s">
        <v>2850</v>
      </c>
      <c r="C4081" s="2">
        <v>4</v>
      </c>
      <c r="D4081" t="str">
        <f t="shared" si="63"/>
        <v>CA-2016-129126_FUR-FU-10002937</v>
      </c>
      <c r="E4081" t="str">
        <f>IF(COUNTIF(data1!$D:$D,D4081)=0,"Missing in Data1","Present")</f>
        <v>Present</v>
      </c>
    </row>
    <row r="4082" spans="1:5" x14ac:dyDescent="0.25">
      <c r="A4082" s="2" t="s">
        <v>3710</v>
      </c>
      <c r="B4082" s="2" t="s">
        <v>3711</v>
      </c>
      <c r="C4082" s="2">
        <v>2</v>
      </c>
      <c r="D4082" t="str">
        <f t="shared" si="63"/>
        <v>CA-2016-129126_OFF-BI-10000279</v>
      </c>
      <c r="E4082" t="str">
        <f>IF(COUNTIF(data1!$D:$D,D4082)=0,"Missing in Data1","Present")</f>
        <v>Present</v>
      </c>
    </row>
    <row r="4083" spans="1:5" x14ac:dyDescent="0.25">
      <c r="A4083" s="2" t="s">
        <v>3710</v>
      </c>
      <c r="B4083" s="2" t="s">
        <v>2339</v>
      </c>
      <c r="C4083" s="2">
        <v>2</v>
      </c>
      <c r="D4083" t="str">
        <f t="shared" si="63"/>
        <v>CA-2016-129126_OFF-LA-10003190</v>
      </c>
      <c r="E4083" t="str">
        <f>IF(COUNTIF(data1!$D:$D,D4083)=0,"Missing in Data1","Present")</f>
        <v>Present</v>
      </c>
    </row>
    <row r="4084" spans="1:5" x14ac:dyDescent="0.25">
      <c r="A4084" s="2" t="s">
        <v>3710</v>
      </c>
      <c r="B4084" s="2" t="s">
        <v>1772</v>
      </c>
      <c r="C4084" s="2">
        <v>1</v>
      </c>
      <c r="D4084" t="str">
        <f t="shared" si="63"/>
        <v>CA-2016-129126_OFF-ST-10004507</v>
      </c>
      <c r="E4084" t="str">
        <f>IF(COUNTIF(data1!$D:$D,D4084)=0,"Missing in Data1","Present")</f>
        <v>Present</v>
      </c>
    </row>
    <row r="4085" spans="1:5" x14ac:dyDescent="0.25">
      <c r="A4085" s="2" t="s">
        <v>3712</v>
      </c>
      <c r="B4085" s="2" t="s">
        <v>1076</v>
      </c>
      <c r="C4085" s="2">
        <v>3</v>
      </c>
      <c r="D4085" t="str">
        <f t="shared" si="63"/>
        <v>CA-2016-129196_TEC-AC-10002473</v>
      </c>
      <c r="E4085" t="str">
        <f>IF(COUNTIF(data1!$D:$D,D4085)=0,"Missing in Data1","Present")</f>
        <v>Present</v>
      </c>
    </row>
    <row r="4086" spans="1:5" x14ac:dyDescent="0.25">
      <c r="A4086" s="2" t="s">
        <v>3713</v>
      </c>
      <c r="B4086" s="2" t="s">
        <v>3714</v>
      </c>
      <c r="C4086" s="2">
        <v>5</v>
      </c>
      <c r="D4086" t="str">
        <f t="shared" si="63"/>
        <v>CA-2016-129238_OFF-PA-10002764</v>
      </c>
      <c r="E4086" t="str">
        <f>IF(COUNTIF(data1!$D:$D,D4086)=0,"Missing in Data1","Present")</f>
        <v>Present</v>
      </c>
    </row>
    <row r="4087" spans="1:5" x14ac:dyDescent="0.25">
      <c r="A4087" s="2" t="s">
        <v>3713</v>
      </c>
      <c r="B4087" s="2" t="s">
        <v>3715</v>
      </c>
      <c r="C4087" s="2">
        <v>1</v>
      </c>
      <c r="D4087" t="str">
        <f t="shared" si="63"/>
        <v>CA-2016-129238_TEC-PH-10004120</v>
      </c>
      <c r="E4087" t="str">
        <f>IF(COUNTIF(data1!$D:$D,D4087)=0,"Missing in Data1","Present")</f>
        <v>Present</v>
      </c>
    </row>
    <row r="4088" spans="1:5" x14ac:dyDescent="0.25">
      <c r="A4088" s="2" t="s">
        <v>3716</v>
      </c>
      <c r="B4088" s="2" t="s">
        <v>1163</v>
      </c>
      <c r="C4088" s="2">
        <v>2</v>
      </c>
      <c r="D4088" t="str">
        <f t="shared" si="63"/>
        <v>CA-2016-129280_FUR-FU-10001876</v>
      </c>
      <c r="E4088" t="str">
        <f>IF(COUNTIF(data1!$D:$D,D4088)=0,"Missing in Data1","Present")</f>
        <v>Present</v>
      </c>
    </row>
    <row r="4089" spans="1:5" x14ac:dyDescent="0.25">
      <c r="A4089" s="2" t="s">
        <v>3716</v>
      </c>
      <c r="B4089" s="2" t="s">
        <v>3604</v>
      </c>
      <c r="C4089" s="2">
        <v>2</v>
      </c>
      <c r="D4089" t="str">
        <f t="shared" si="63"/>
        <v>CA-2016-129280_OFF-LA-10000081</v>
      </c>
      <c r="E4089" t="str">
        <f>IF(COUNTIF(data1!$D:$D,D4089)=0,"Missing in Data1","Present")</f>
        <v>Present</v>
      </c>
    </row>
    <row r="4090" spans="1:5" x14ac:dyDescent="0.25">
      <c r="A4090" s="2" t="s">
        <v>3716</v>
      </c>
      <c r="B4090" s="2" t="s">
        <v>1756</v>
      </c>
      <c r="C4090" s="2">
        <v>5</v>
      </c>
      <c r="D4090" t="str">
        <f t="shared" si="63"/>
        <v>CA-2016-129280_OFF-ST-10002554</v>
      </c>
      <c r="E4090" t="str">
        <f>IF(COUNTIF(data1!$D:$D,D4090)=0,"Missing in Data1","Present")</f>
        <v>Missing in Data1</v>
      </c>
    </row>
    <row r="4091" spans="1:5" x14ac:dyDescent="0.25">
      <c r="A4091" s="2" t="s">
        <v>3716</v>
      </c>
      <c r="B4091" s="2" t="s">
        <v>2808</v>
      </c>
      <c r="C4091" s="2">
        <v>3</v>
      </c>
      <c r="D4091" t="str">
        <f t="shared" si="63"/>
        <v>CA-2016-129280_TEC-AC-10002637</v>
      </c>
      <c r="E4091" t="str">
        <f>IF(COUNTIF(data1!$D:$D,D4091)=0,"Missing in Data1","Present")</f>
        <v>Present</v>
      </c>
    </row>
    <row r="4092" spans="1:5" x14ac:dyDescent="0.25">
      <c r="A4092" s="2" t="s">
        <v>3716</v>
      </c>
      <c r="B4092" s="2" t="s">
        <v>877</v>
      </c>
      <c r="C4092" s="2">
        <v>5</v>
      </c>
      <c r="D4092" t="str">
        <f t="shared" si="63"/>
        <v>CA-2016-129280_TEC-AC-10003832</v>
      </c>
      <c r="E4092" t="str">
        <f>IF(COUNTIF(data1!$D:$D,D4092)=0,"Missing in Data1","Present")</f>
        <v>Present</v>
      </c>
    </row>
    <row r="4093" spans="1:5" x14ac:dyDescent="0.25">
      <c r="A4093" s="2" t="s">
        <v>3718</v>
      </c>
      <c r="B4093" s="2" t="s">
        <v>2292</v>
      </c>
      <c r="C4093" s="2">
        <v>5</v>
      </c>
      <c r="D4093" t="str">
        <f t="shared" si="63"/>
        <v>CA-2016-129308_OFF-BI-10001308</v>
      </c>
      <c r="E4093" t="str">
        <f>IF(COUNTIF(data1!$D:$D,D4093)=0,"Missing in Data1","Present")</f>
        <v>Present</v>
      </c>
    </row>
    <row r="4094" spans="1:5" x14ac:dyDescent="0.25">
      <c r="A4094" s="2" t="s">
        <v>3718</v>
      </c>
      <c r="B4094" s="2" t="s">
        <v>1369</v>
      </c>
      <c r="C4094" s="2">
        <v>5</v>
      </c>
      <c r="D4094" t="str">
        <f t="shared" si="63"/>
        <v>CA-2016-129308_OFF-BI-10001525</v>
      </c>
      <c r="E4094" t="str">
        <f>IF(COUNTIF(data1!$D:$D,D4094)=0,"Missing in Data1","Present")</f>
        <v>Present</v>
      </c>
    </row>
    <row r="4095" spans="1:5" x14ac:dyDescent="0.25">
      <c r="A4095" s="2" t="s">
        <v>3718</v>
      </c>
      <c r="B4095" s="2" t="s">
        <v>831</v>
      </c>
      <c r="C4095" s="2">
        <v>1</v>
      </c>
      <c r="D4095" t="str">
        <f t="shared" si="63"/>
        <v>CA-2016-129308_TEC-PH-10002310</v>
      </c>
      <c r="E4095" t="str">
        <f>IF(COUNTIF(data1!$D:$D,D4095)=0,"Missing in Data1","Present")</f>
        <v>Present</v>
      </c>
    </row>
    <row r="4096" spans="1:5" x14ac:dyDescent="0.25">
      <c r="A4096" s="2" t="s">
        <v>3719</v>
      </c>
      <c r="B4096" s="2" t="s">
        <v>3720</v>
      </c>
      <c r="C4096" s="2">
        <v>3</v>
      </c>
      <c r="D4096" t="str">
        <f t="shared" si="63"/>
        <v>CA-2016-129630_FUR-FU-10000260</v>
      </c>
      <c r="E4096" t="str">
        <f>IF(COUNTIF(data1!$D:$D,D4096)=0,"Missing in Data1","Present")</f>
        <v>Present</v>
      </c>
    </row>
    <row r="4097" spans="1:5" x14ac:dyDescent="0.25">
      <c r="A4097" s="2" t="s">
        <v>3719</v>
      </c>
      <c r="B4097" s="2" t="s">
        <v>2743</v>
      </c>
      <c r="C4097" s="2">
        <v>5</v>
      </c>
      <c r="D4097" t="str">
        <f t="shared" si="63"/>
        <v>CA-2016-129630_TEC-CO-10003763</v>
      </c>
      <c r="E4097" t="str">
        <f>IF(COUNTIF(data1!$D:$D,D4097)=0,"Missing in Data1","Present")</f>
        <v>Present</v>
      </c>
    </row>
    <row r="4098" spans="1:5" x14ac:dyDescent="0.25">
      <c r="A4098" s="2" t="s">
        <v>3721</v>
      </c>
      <c r="B4098" s="2" t="s">
        <v>184</v>
      </c>
      <c r="C4098" s="2">
        <v>2</v>
      </c>
      <c r="D4098" t="str">
        <f t="shared" si="63"/>
        <v>CA-2016-129686_OFF-ST-10004337</v>
      </c>
      <c r="E4098" t="str">
        <f>IF(COUNTIF(data1!$D:$D,D4098)=0,"Missing in Data1","Present")</f>
        <v>Present</v>
      </c>
    </row>
    <row r="4099" spans="1:5" x14ac:dyDescent="0.25">
      <c r="A4099" s="2" t="s">
        <v>3721</v>
      </c>
      <c r="B4099" s="2" t="s">
        <v>1097</v>
      </c>
      <c r="C4099" s="2">
        <v>6</v>
      </c>
      <c r="D4099" t="str">
        <f t="shared" ref="D4099:D4162" si="64">A4099&amp;"_"&amp;B4099</f>
        <v>CA-2016-129686_TEC-AC-10001266</v>
      </c>
      <c r="E4099" t="str">
        <f>IF(COUNTIF(data1!$D:$D,D4099)=0,"Missing in Data1","Present")</f>
        <v>Present</v>
      </c>
    </row>
    <row r="4100" spans="1:5" x14ac:dyDescent="0.25">
      <c r="A4100" s="2" t="s">
        <v>3722</v>
      </c>
      <c r="B4100" s="2" t="s">
        <v>1038</v>
      </c>
      <c r="C4100" s="2">
        <v>2</v>
      </c>
      <c r="D4100" t="str">
        <f t="shared" si="64"/>
        <v>CA-2016-129693_OFF-BI-10002954</v>
      </c>
      <c r="E4100" t="str">
        <f>IF(COUNTIF(data1!$D:$D,D4100)=0,"Missing in Data1","Present")</f>
        <v>Present</v>
      </c>
    </row>
    <row r="4101" spans="1:5" x14ac:dyDescent="0.25">
      <c r="A4101" s="2" t="s">
        <v>3723</v>
      </c>
      <c r="B4101" s="2" t="s">
        <v>197</v>
      </c>
      <c r="C4101" s="2">
        <v>1</v>
      </c>
      <c r="D4101" t="str">
        <f t="shared" si="64"/>
        <v>CA-2016-129714_OFF-BI-10002160</v>
      </c>
      <c r="E4101" t="str">
        <f>IF(COUNTIF(data1!$D:$D,D4101)=0,"Missing in Data1","Present")</f>
        <v>Present</v>
      </c>
    </row>
    <row r="4102" spans="1:5" x14ac:dyDescent="0.25">
      <c r="A4102" s="2" t="s">
        <v>3723</v>
      </c>
      <c r="B4102" s="2" t="s">
        <v>1302</v>
      </c>
      <c r="C4102" s="2">
        <v>4</v>
      </c>
      <c r="D4102" t="str">
        <f t="shared" si="64"/>
        <v>CA-2016-129714_OFF-BI-10004995</v>
      </c>
      <c r="E4102" t="str">
        <f>IF(COUNTIF(data1!$D:$D,D4102)=0,"Missing in Data1","Present")</f>
        <v>Present</v>
      </c>
    </row>
    <row r="4103" spans="1:5" x14ac:dyDescent="0.25">
      <c r="A4103" s="2" t="s">
        <v>3723</v>
      </c>
      <c r="B4103" s="2" t="s">
        <v>1039</v>
      </c>
      <c r="C4103" s="2">
        <v>6</v>
      </c>
      <c r="D4103" t="str">
        <f t="shared" si="64"/>
        <v>CA-2016-129714_OFF-PA-10001970</v>
      </c>
      <c r="E4103" t="str">
        <f>IF(COUNTIF(data1!$D:$D,D4103)=0,"Missing in Data1","Present")</f>
        <v>Present</v>
      </c>
    </row>
    <row r="4104" spans="1:5" x14ac:dyDescent="0.25">
      <c r="A4104" s="2" t="s">
        <v>3723</v>
      </c>
      <c r="B4104" s="2" t="s">
        <v>406</v>
      </c>
      <c r="C4104" s="2">
        <v>1</v>
      </c>
      <c r="D4104" t="str">
        <f t="shared" si="64"/>
        <v>CA-2016-129714_TEC-AC-10000290</v>
      </c>
      <c r="E4104" t="str">
        <f>IF(COUNTIF(data1!$D:$D,D4104)=0,"Missing in Data1","Present")</f>
        <v>Present</v>
      </c>
    </row>
    <row r="4105" spans="1:5" x14ac:dyDescent="0.25">
      <c r="A4105" s="2" t="s">
        <v>3724</v>
      </c>
      <c r="B4105" s="2" t="s">
        <v>2369</v>
      </c>
      <c r="C4105" s="2">
        <v>8</v>
      </c>
      <c r="D4105" t="str">
        <f t="shared" si="64"/>
        <v>CA-2016-129728_FUR-FU-10003247</v>
      </c>
      <c r="E4105" t="str">
        <f>IF(COUNTIF(data1!$D:$D,D4105)=0,"Missing in Data1","Present")</f>
        <v>Present</v>
      </c>
    </row>
    <row r="4106" spans="1:5" x14ac:dyDescent="0.25">
      <c r="A4106" s="2" t="s">
        <v>3725</v>
      </c>
      <c r="B4106" s="2" t="s">
        <v>505</v>
      </c>
      <c r="C4106" s="2">
        <v>2</v>
      </c>
      <c r="D4106" t="str">
        <f t="shared" si="64"/>
        <v>CA-2016-129847_FUR-FU-10000277</v>
      </c>
      <c r="E4106" t="str">
        <f>IF(COUNTIF(data1!$D:$D,D4106)=0,"Missing in Data1","Present")</f>
        <v>Present</v>
      </c>
    </row>
    <row r="4107" spans="1:5" x14ac:dyDescent="0.25">
      <c r="A4107" s="2" t="s">
        <v>3726</v>
      </c>
      <c r="B4107" s="2" t="s">
        <v>4</v>
      </c>
      <c r="C4107" s="2">
        <v>3</v>
      </c>
      <c r="D4107" t="str">
        <f t="shared" si="64"/>
        <v>CA-2016-129861_FUR-TA-10003715</v>
      </c>
      <c r="E4107" t="str">
        <f>IF(COUNTIF(data1!$D:$D,D4107)=0,"Missing in Data1","Present")</f>
        <v>Present</v>
      </c>
    </row>
    <row r="4108" spans="1:5" x14ac:dyDescent="0.25">
      <c r="A4108" s="2" t="s">
        <v>3727</v>
      </c>
      <c r="B4108" s="2" t="s">
        <v>1857</v>
      </c>
      <c r="C4108" s="2">
        <v>3</v>
      </c>
      <c r="D4108" t="str">
        <f t="shared" si="64"/>
        <v>CA-2016-129868_FUR-CH-10003535</v>
      </c>
      <c r="E4108" t="str">
        <f>IF(COUNTIF(data1!$D:$D,D4108)=0,"Missing in Data1","Present")</f>
        <v>Present</v>
      </c>
    </row>
    <row r="4109" spans="1:5" x14ac:dyDescent="0.25">
      <c r="A4109" s="2" t="s">
        <v>3727</v>
      </c>
      <c r="B4109" s="2" t="s">
        <v>1080</v>
      </c>
      <c r="C4109" s="2">
        <v>3</v>
      </c>
      <c r="D4109" t="str">
        <f t="shared" si="64"/>
        <v>CA-2016-129868_OFF-AR-10001897</v>
      </c>
      <c r="E4109" t="str">
        <f>IF(COUNTIF(data1!$D:$D,D4109)=0,"Missing in Data1","Present")</f>
        <v>Present</v>
      </c>
    </row>
    <row r="4110" spans="1:5" x14ac:dyDescent="0.25">
      <c r="A4110" s="2" t="s">
        <v>3727</v>
      </c>
      <c r="B4110" s="2" t="s">
        <v>3584</v>
      </c>
      <c r="C4110" s="2">
        <v>2</v>
      </c>
      <c r="D4110" t="str">
        <f t="shared" si="64"/>
        <v>CA-2016-129868_OFF-SU-10000952</v>
      </c>
      <c r="E4110" t="str">
        <f>IF(COUNTIF(data1!$D:$D,D4110)=0,"Missing in Data1","Present")</f>
        <v>Present</v>
      </c>
    </row>
    <row r="4111" spans="1:5" x14ac:dyDescent="0.25">
      <c r="A4111" s="2" t="s">
        <v>3727</v>
      </c>
      <c r="B4111" s="2" t="s">
        <v>548</v>
      </c>
      <c r="C4111" s="2">
        <v>2</v>
      </c>
      <c r="D4111" t="str">
        <f t="shared" si="64"/>
        <v>CA-2016-129868_TEC-PH-10002275</v>
      </c>
      <c r="E4111" t="str">
        <f>IF(COUNTIF(data1!$D:$D,D4111)=0,"Missing in Data1","Present")</f>
        <v>Present</v>
      </c>
    </row>
    <row r="4112" spans="1:5" x14ac:dyDescent="0.25">
      <c r="A4112" s="2" t="s">
        <v>3728</v>
      </c>
      <c r="B4112" s="2" t="s">
        <v>2759</v>
      </c>
      <c r="C4112" s="2">
        <v>4</v>
      </c>
      <c r="D4112" t="str">
        <f t="shared" si="64"/>
        <v>CA-2016-129903_OFF-PA-10004040</v>
      </c>
      <c r="E4112" t="str">
        <f>IF(COUNTIF(data1!$D:$D,D4112)=0,"Missing in Data1","Present")</f>
        <v>Present</v>
      </c>
    </row>
    <row r="4113" spans="1:5" x14ac:dyDescent="0.25">
      <c r="A4113" s="2" t="s">
        <v>3729</v>
      </c>
      <c r="B4113" s="2" t="s">
        <v>3730</v>
      </c>
      <c r="C4113" s="2">
        <v>5</v>
      </c>
      <c r="D4113" t="str">
        <f t="shared" si="64"/>
        <v>CA-2016-130001_OFF-PA-10002666</v>
      </c>
      <c r="E4113" t="str">
        <f>IF(COUNTIF(data1!$D:$D,D4113)=0,"Missing in Data1","Present")</f>
        <v>Present</v>
      </c>
    </row>
    <row r="4114" spans="1:5" x14ac:dyDescent="0.25">
      <c r="A4114" s="2" t="s">
        <v>3731</v>
      </c>
      <c r="B4114" s="2" t="s">
        <v>1964</v>
      </c>
      <c r="C4114" s="2">
        <v>2</v>
      </c>
      <c r="D4114" t="str">
        <f t="shared" si="64"/>
        <v>CA-2016-130029_OFF-FA-10001135</v>
      </c>
      <c r="E4114" t="str">
        <f>IF(COUNTIF(data1!$D:$D,D4114)=0,"Missing in Data1","Present")</f>
        <v>Present</v>
      </c>
    </row>
    <row r="4115" spans="1:5" x14ac:dyDescent="0.25">
      <c r="A4115" s="2" t="s">
        <v>3731</v>
      </c>
      <c r="B4115" s="2" t="s">
        <v>727</v>
      </c>
      <c r="C4115" s="2">
        <v>2</v>
      </c>
      <c r="D4115" t="str">
        <f t="shared" si="64"/>
        <v>CA-2016-130029_OFF-PA-10000552</v>
      </c>
      <c r="E4115" t="str">
        <f>IF(COUNTIF(data1!$D:$D,D4115)=0,"Missing in Data1","Present")</f>
        <v>Present</v>
      </c>
    </row>
    <row r="4116" spans="1:5" x14ac:dyDescent="0.25">
      <c r="A4116" s="2" t="s">
        <v>3732</v>
      </c>
      <c r="B4116" s="2" t="s">
        <v>661</v>
      </c>
      <c r="C4116" s="2">
        <v>3</v>
      </c>
      <c r="D4116" t="str">
        <f t="shared" si="64"/>
        <v>CA-2016-130050_FUR-FU-10001940</v>
      </c>
      <c r="E4116" t="str">
        <f>IF(COUNTIF(data1!$D:$D,D4116)=0,"Missing in Data1","Present")</f>
        <v>Present</v>
      </c>
    </row>
    <row r="4117" spans="1:5" x14ac:dyDescent="0.25">
      <c r="A4117" s="2" t="s">
        <v>3734</v>
      </c>
      <c r="B4117" s="2" t="s">
        <v>2856</v>
      </c>
      <c r="C4117" s="2">
        <v>6</v>
      </c>
      <c r="D4117" t="str">
        <f t="shared" si="64"/>
        <v>CA-2016-130162_OFF-ST-10001328</v>
      </c>
      <c r="E4117" t="str">
        <f>IF(COUNTIF(data1!$D:$D,D4117)=0,"Missing in Data1","Present")</f>
        <v>Present</v>
      </c>
    </row>
    <row r="4118" spans="1:5" x14ac:dyDescent="0.25">
      <c r="A4118" s="2" t="s">
        <v>3734</v>
      </c>
      <c r="B4118" s="2" t="s">
        <v>3735</v>
      </c>
      <c r="C4118" s="2">
        <v>3</v>
      </c>
      <c r="D4118" t="str">
        <f t="shared" si="64"/>
        <v>CA-2016-130162_TEC-PH-10002563</v>
      </c>
      <c r="E4118" t="str">
        <f>IF(COUNTIF(data1!$D:$D,D4118)=0,"Missing in Data1","Present")</f>
        <v>Present</v>
      </c>
    </row>
    <row r="4119" spans="1:5" x14ac:dyDescent="0.25">
      <c r="A4119" s="2" t="s">
        <v>3736</v>
      </c>
      <c r="B4119" s="2" t="s">
        <v>18</v>
      </c>
      <c r="C4119" s="2">
        <v>2</v>
      </c>
      <c r="D4119" t="str">
        <f t="shared" si="64"/>
        <v>CA-2016-130225_OFF-EN-10000056</v>
      </c>
      <c r="E4119" t="str">
        <f>IF(COUNTIF(data1!$D:$D,D4119)=0,"Missing in Data1","Present")</f>
        <v>Present</v>
      </c>
    </row>
    <row r="4120" spans="1:5" x14ac:dyDescent="0.25">
      <c r="A4120" s="2" t="s">
        <v>3737</v>
      </c>
      <c r="B4120" s="2" t="s">
        <v>2628</v>
      </c>
      <c r="C4120" s="2">
        <v>7</v>
      </c>
      <c r="D4120" t="str">
        <f t="shared" si="64"/>
        <v>CA-2016-130267_OFF-PA-10002222</v>
      </c>
      <c r="E4120" t="str">
        <f>IF(COUNTIF(data1!$D:$D,D4120)=0,"Missing in Data1","Present")</f>
        <v>Present</v>
      </c>
    </row>
    <row r="4121" spans="1:5" x14ac:dyDescent="0.25">
      <c r="A4121" s="2" t="s">
        <v>3738</v>
      </c>
      <c r="B4121" s="2" t="s">
        <v>841</v>
      </c>
      <c r="C4121" s="2">
        <v>2</v>
      </c>
      <c r="D4121" t="str">
        <f t="shared" si="64"/>
        <v>CA-2016-130288_FUR-TA-10002958</v>
      </c>
      <c r="E4121" t="str">
        <f>IF(COUNTIF(data1!$D:$D,D4121)=0,"Missing in Data1","Present")</f>
        <v>Present</v>
      </c>
    </row>
    <row r="4122" spans="1:5" x14ac:dyDescent="0.25">
      <c r="A4122" s="2" t="s">
        <v>3739</v>
      </c>
      <c r="B4122" s="2" t="s">
        <v>1419</v>
      </c>
      <c r="C4122" s="2">
        <v>5</v>
      </c>
      <c r="D4122" t="str">
        <f t="shared" si="64"/>
        <v>CA-2016-130393_FUR-CH-10002647</v>
      </c>
      <c r="E4122" t="str">
        <f>IF(COUNTIF(data1!$D:$D,D4122)=0,"Missing in Data1","Present")</f>
        <v>Present</v>
      </c>
    </row>
    <row r="4123" spans="1:5" x14ac:dyDescent="0.25">
      <c r="A4123" s="2" t="s">
        <v>3739</v>
      </c>
      <c r="B4123" s="2" t="s">
        <v>1554</v>
      </c>
      <c r="C4123" s="2">
        <v>2</v>
      </c>
      <c r="D4123" t="str">
        <f t="shared" si="64"/>
        <v>CA-2016-130393_FUR-CH-10004477</v>
      </c>
      <c r="E4123" t="str">
        <f>IF(COUNTIF(data1!$D:$D,D4123)=0,"Missing in Data1","Present")</f>
        <v>Present</v>
      </c>
    </row>
    <row r="4124" spans="1:5" x14ac:dyDescent="0.25">
      <c r="A4124" s="2" t="s">
        <v>3739</v>
      </c>
      <c r="B4124" s="2" t="s">
        <v>1618</v>
      </c>
      <c r="C4124" s="2">
        <v>4</v>
      </c>
      <c r="D4124" t="str">
        <f t="shared" si="64"/>
        <v>CA-2016-130393_OFF-AP-10004859</v>
      </c>
      <c r="E4124" t="str">
        <f>IF(COUNTIF(data1!$D:$D,D4124)=0,"Missing in Data1","Present")</f>
        <v>Present</v>
      </c>
    </row>
    <row r="4125" spans="1:5" x14ac:dyDescent="0.25">
      <c r="A4125" s="2" t="s">
        <v>3740</v>
      </c>
      <c r="B4125" s="2" t="s">
        <v>1065</v>
      </c>
      <c r="C4125" s="2">
        <v>9</v>
      </c>
      <c r="D4125" t="str">
        <f t="shared" si="64"/>
        <v>CA-2016-130400_OFF-BI-10001757</v>
      </c>
      <c r="E4125" t="str">
        <f>IF(COUNTIF(data1!$D:$D,D4125)=0,"Missing in Data1","Present")</f>
        <v>Present</v>
      </c>
    </row>
    <row r="4126" spans="1:5" x14ac:dyDescent="0.25">
      <c r="A4126" s="2" t="s">
        <v>3740</v>
      </c>
      <c r="B4126" s="2" t="s">
        <v>452</v>
      </c>
      <c r="C4126" s="2">
        <v>3</v>
      </c>
      <c r="D4126" t="str">
        <f t="shared" si="64"/>
        <v>CA-2016-130400_OFF-EN-10001453</v>
      </c>
      <c r="E4126" t="str">
        <f>IF(COUNTIF(data1!$D:$D,D4126)=0,"Missing in Data1","Present")</f>
        <v>Present</v>
      </c>
    </row>
    <row r="4127" spans="1:5" x14ac:dyDescent="0.25">
      <c r="A4127" s="2" t="s">
        <v>3740</v>
      </c>
      <c r="B4127" s="2" t="s">
        <v>1007</v>
      </c>
      <c r="C4127" s="2">
        <v>5</v>
      </c>
      <c r="D4127" t="str">
        <f t="shared" si="64"/>
        <v>CA-2016-130400_TEC-AC-10004633</v>
      </c>
      <c r="E4127" t="str">
        <f>IF(COUNTIF(data1!$D:$D,D4127)=0,"Missing in Data1","Present")</f>
        <v>Present</v>
      </c>
    </row>
    <row r="4128" spans="1:5" x14ac:dyDescent="0.25">
      <c r="A4128" s="2" t="s">
        <v>3741</v>
      </c>
      <c r="B4128" s="2" t="s">
        <v>3742</v>
      </c>
      <c r="C4128" s="2">
        <v>2</v>
      </c>
      <c r="D4128" t="str">
        <f t="shared" si="64"/>
        <v>CA-2016-130407_OFF-AR-10002240</v>
      </c>
      <c r="E4128" t="str">
        <f>IF(COUNTIF(data1!$D:$D,D4128)=0,"Missing in Data1","Present")</f>
        <v>Present</v>
      </c>
    </row>
    <row r="4129" spans="1:5" x14ac:dyDescent="0.25">
      <c r="A4129" s="2" t="s">
        <v>3743</v>
      </c>
      <c r="B4129" s="2" t="s">
        <v>1618</v>
      </c>
      <c r="C4129" s="2">
        <v>3</v>
      </c>
      <c r="D4129" t="str">
        <f t="shared" si="64"/>
        <v>CA-2016-130442_OFF-AP-10004859</v>
      </c>
      <c r="E4129" t="str">
        <f>IF(COUNTIF(data1!$D:$D,D4129)=0,"Missing in Data1","Present")</f>
        <v>Present</v>
      </c>
    </row>
    <row r="4130" spans="1:5" x14ac:dyDescent="0.25">
      <c r="A4130" s="2" t="s">
        <v>3744</v>
      </c>
      <c r="B4130" s="2" t="s">
        <v>780</v>
      </c>
      <c r="C4130" s="2">
        <v>2</v>
      </c>
      <c r="D4130" t="str">
        <f t="shared" si="64"/>
        <v>CA-2016-130477_OFF-PA-10000019</v>
      </c>
      <c r="E4130" t="str">
        <f>IF(COUNTIF(data1!$D:$D,D4130)=0,"Missing in Data1","Present")</f>
        <v>Present</v>
      </c>
    </row>
    <row r="4131" spans="1:5" x14ac:dyDescent="0.25">
      <c r="A4131" s="2" t="s">
        <v>3744</v>
      </c>
      <c r="B4131" s="2" t="s">
        <v>610</v>
      </c>
      <c r="C4131" s="2">
        <v>3</v>
      </c>
      <c r="D4131" t="str">
        <f t="shared" si="64"/>
        <v>CA-2016-130477_OFF-PA-10002947</v>
      </c>
      <c r="E4131" t="str">
        <f>IF(COUNTIF(data1!$D:$D,D4131)=0,"Missing in Data1","Present")</f>
        <v>Present</v>
      </c>
    </row>
    <row r="4132" spans="1:5" x14ac:dyDescent="0.25">
      <c r="A4132" s="2" t="s">
        <v>3744</v>
      </c>
      <c r="B4132" s="2" t="s">
        <v>1268</v>
      </c>
      <c r="C4132" s="2">
        <v>2</v>
      </c>
      <c r="D4132" t="str">
        <f t="shared" si="64"/>
        <v>CA-2016-130477_OFF-ST-10002583</v>
      </c>
      <c r="E4132" t="str">
        <f>IF(COUNTIF(data1!$D:$D,D4132)=0,"Missing in Data1","Present")</f>
        <v>Present</v>
      </c>
    </row>
    <row r="4133" spans="1:5" x14ac:dyDescent="0.25">
      <c r="A4133" s="2" t="s">
        <v>3745</v>
      </c>
      <c r="B4133" s="2" t="s">
        <v>2140</v>
      </c>
      <c r="C4133" s="2">
        <v>8</v>
      </c>
      <c r="D4133" t="str">
        <f t="shared" si="64"/>
        <v>CA-2016-130484_OFF-BI-10000088</v>
      </c>
      <c r="E4133" t="str">
        <f>IF(COUNTIF(data1!$D:$D,D4133)=0,"Missing in Data1","Present")</f>
        <v>Present</v>
      </c>
    </row>
    <row r="4134" spans="1:5" x14ac:dyDescent="0.25">
      <c r="A4134" s="2" t="s">
        <v>3746</v>
      </c>
      <c r="B4134" s="2" t="s">
        <v>315</v>
      </c>
      <c r="C4134" s="2">
        <v>4</v>
      </c>
      <c r="D4134" t="str">
        <f t="shared" si="64"/>
        <v>CA-2016-130638_FUR-FU-10002116</v>
      </c>
      <c r="E4134" t="str">
        <f>IF(COUNTIF(data1!$D:$D,D4134)=0,"Missing in Data1","Present")</f>
        <v>Present</v>
      </c>
    </row>
    <row r="4135" spans="1:5" x14ac:dyDescent="0.25">
      <c r="A4135" s="2" t="s">
        <v>3746</v>
      </c>
      <c r="B4135" s="2" t="s">
        <v>945</v>
      </c>
      <c r="C4135" s="2">
        <v>9</v>
      </c>
      <c r="D4135" t="str">
        <f t="shared" si="64"/>
        <v>CA-2016-130638_OFF-LA-10002195</v>
      </c>
      <c r="E4135" t="str">
        <f>IF(COUNTIF(data1!$D:$D,D4135)=0,"Missing in Data1","Present")</f>
        <v>Present</v>
      </c>
    </row>
    <row r="4136" spans="1:5" x14ac:dyDescent="0.25">
      <c r="A4136" s="2" t="s">
        <v>3747</v>
      </c>
      <c r="B4136" s="2" t="s">
        <v>3748</v>
      </c>
      <c r="C4136" s="2">
        <v>4</v>
      </c>
      <c r="D4136" t="str">
        <f t="shared" si="64"/>
        <v>CA-2016-130680_TEC-PH-10004833</v>
      </c>
      <c r="E4136" t="str">
        <f>IF(COUNTIF(data1!$D:$D,D4136)=0,"Missing in Data1","Present")</f>
        <v>Present</v>
      </c>
    </row>
    <row r="4137" spans="1:5" x14ac:dyDescent="0.25">
      <c r="A4137" s="2" t="s">
        <v>3749</v>
      </c>
      <c r="B4137" s="2" t="s">
        <v>3750</v>
      </c>
      <c r="C4137" s="2">
        <v>2</v>
      </c>
      <c r="D4137" t="str">
        <f t="shared" si="64"/>
        <v>CA-2016-130778_OFF-AP-10000595</v>
      </c>
      <c r="E4137" t="str">
        <f>IF(COUNTIF(data1!$D:$D,D4137)=0,"Missing in Data1","Present")</f>
        <v>Present</v>
      </c>
    </row>
    <row r="4138" spans="1:5" x14ac:dyDescent="0.25">
      <c r="A4138" s="2" t="s">
        <v>3749</v>
      </c>
      <c r="B4138" s="2" t="s">
        <v>1307</v>
      </c>
      <c r="C4138" s="2">
        <v>5</v>
      </c>
      <c r="D4138" t="str">
        <f t="shared" si="64"/>
        <v>CA-2016-130778_OFF-PA-10001509</v>
      </c>
      <c r="E4138" t="str">
        <f>IF(COUNTIF(data1!$D:$D,D4138)=0,"Missing in Data1","Present")</f>
        <v>Present</v>
      </c>
    </row>
    <row r="4139" spans="1:5" x14ac:dyDescent="0.25">
      <c r="A4139" s="2" t="s">
        <v>3751</v>
      </c>
      <c r="B4139" s="2" t="s">
        <v>240</v>
      </c>
      <c r="C4139" s="2">
        <v>4</v>
      </c>
      <c r="D4139" t="str">
        <f t="shared" si="64"/>
        <v>CA-2016-130799_FUR-FU-10001852</v>
      </c>
      <c r="E4139" t="str">
        <f>IF(COUNTIF(data1!$D:$D,D4139)=0,"Missing in Data1","Present")</f>
        <v>Present</v>
      </c>
    </row>
    <row r="4140" spans="1:5" x14ac:dyDescent="0.25">
      <c r="A4140" s="2" t="s">
        <v>3752</v>
      </c>
      <c r="B4140" s="2" t="s">
        <v>1733</v>
      </c>
      <c r="C4140" s="2">
        <v>4</v>
      </c>
      <c r="D4140" t="str">
        <f t="shared" si="64"/>
        <v>CA-2016-130820_FUR-TA-10001768</v>
      </c>
      <c r="E4140" t="str">
        <f>IF(COUNTIF(data1!$D:$D,D4140)=0,"Missing in Data1","Present")</f>
        <v>Present</v>
      </c>
    </row>
    <row r="4141" spans="1:5" x14ac:dyDescent="0.25">
      <c r="A4141" s="2" t="s">
        <v>3753</v>
      </c>
      <c r="B4141" s="2" t="s">
        <v>659</v>
      </c>
      <c r="C4141" s="2">
        <v>2</v>
      </c>
      <c r="D4141" t="str">
        <f t="shared" si="64"/>
        <v>CA-2016-130911_OFF-AR-10000475</v>
      </c>
      <c r="E4141" t="str">
        <f>IF(COUNTIF(data1!$D:$D,D4141)=0,"Missing in Data1","Present")</f>
        <v>Present</v>
      </c>
    </row>
    <row r="4142" spans="1:5" x14ac:dyDescent="0.25">
      <c r="A4142" s="2" t="s">
        <v>3754</v>
      </c>
      <c r="B4142" s="2" t="s">
        <v>2527</v>
      </c>
      <c r="C4142" s="2">
        <v>4</v>
      </c>
      <c r="D4142" t="str">
        <f t="shared" si="64"/>
        <v>CA-2016-130946_FUR-CH-10004540</v>
      </c>
      <c r="E4142" t="str">
        <f>IF(COUNTIF(data1!$D:$D,D4142)=0,"Missing in Data1","Present")</f>
        <v>Present</v>
      </c>
    </row>
    <row r="4143" spans="1:5" x14ac:dyDescent="0.25">
      <c r="A4143" s="2" t="s">
        <v>3754</v>
      </c>
      <c r="B4143" s="2" t="s">
        <v>1302</v>
      </c>
      <c r="C4143" s="2">
        <v>4</v>
      </c>
      <c r="D4143" t="str">
        <f t="shared" si="64"/>
        <v>CA-2016-130946_OFF-BI-10004995</v>
      </c>
      <c r="E4143" t="str">
        <f>IF(COUNTIF(data1!$D:$D,D4143)=0,"Missing in Data1","Present")</f>
        <v>Present</v>
      </c>
    </row>
    <row r="4144" spans="1:5" x14ac:dyDescent="0.25">
      <c r="A4144" s="2" t="s">
        <v>3754</v>
      </c>
      <c r="B4144" s="2" t="s">
        <v>3755</v>
      </c>
      <c r="C4144" s="2">
        <v>9</v>
      </c>
      <c r="D4144" t="str">
        <f t="shared" si="64"/>
        <v>CA-2016-130946_TEC-AC-10001990</v>
      </c>
      <c r="E4144" t="str">
        <f>IF(COUNTIF(data1!$D:$D,D4144)=0,"Missing in Data1","Present")</f>
        <v>Present</v>
      </c>
    </row>
    <row r="4145" spans="1:5" x14ac:dyDescent="0.25">
      <c r="A4145" s="2" t="s">
        <v>3756</v>
      </c>
      <c r="B4145" s="2" t="s">
        <v>651</v>
      </c>
      <c r="C4145" s="2">
        <v>2</v>
      </c>
      <c r="D4145" t="str">
        <f t="shared" si="64"/>
        <v>CA-2016-131065_OFF-BI-10004970</v>
      </c>
      <c r="E4145" t="str">
        <f>IF(COUNTIF(data1!$D:$D,D4145)=0,"Missing in Data1","Present")</f>
        <v>Present</v>
      </c>
    </row>
    <row r="4146" spans="1:5" x14ac:dyDescent="0.25">
      <c r="A4146" s="2" t="s">
        <v>3756</v>
      </c>
      <c r="B4146" s="2" t="s">
        <v>682</v>
      </c>
      <c r="C4146" s="2">
        <v>1</v>
      </c>
      <c r="D4146" t="str">
        <f t="shared" si="64"/>
        <v>CA-2016-131065_OFF-PA-10002479</v>
      </c>
      <c r="E4146" t="str">
        <f>IF(COUNTIF(data1!$D:$D,D4146)=0,"Missing in Data1","Present")</f>
        <v>Present</v>
      </c>
    </row>
    <row r="4147" spans="1:5" x14ac:dyDescent="0.25">
      <c r="A4147" s="2" t="s">
        <v>3756</v>
      </c>
      <c r="B4147" s="2" t="s">
        <v>2603</v>
      </c>
      <c r="C4147" s="2">
        <v>2</v>
      </c>
      <c r="D4147" t="str">
        <f t="shared" si="64"/>
        <v>CA-2016-131065_TEC-AC-10004145</v>
      </c>
      <c r="E4147" t="str">
        <f>IF(COUNTIF(data1!$D:$D,D4147)=0,"Missing in Data1","Present")</f>
        <v>Present</v>
      </c>
    </row>
    <row r="4148" spans="1:5" x14ac:dyDescent="0.25">
      <c r="A4148" s="2" t="s">
        <v>3757</v>
      </c>
      <c r="B4148" s="2" t="s">
        <v>3758</v>
      </c>
      <c r="C4148" s="2">
        <v>5</v>
      </c>
      <c r="D4148" t="str">
        <f t="shared" si="64"/>
        <v>CA-2016-131093_OFF-ST-10002790</v>
      </c>
      <c r="E4148" t="str">
        <f>IF(COUNTIF(data1!$D:$D,D4148)=0,"Missing in Data1","Present")</f>
        <v>Present</v>
      </c>
    </row>
    <row r="4149" spans="1:5" x14ac:dyDescent="0.25">
      <c r="A4149" s="2" t="s">
        <v>3759</v>
      </c>
      <c r="B4149" s="2" t="s">
        <v>2689</v>
      </c>
      <c r="C4149" s="2">
        <v>3</v>
      </c>
      <c r="D4149" t="str">
        <f t="shared" si="64"/>
        <v>CA-2016-131205_FUR-FU-10003347</v>
      </c>
      <c r="E4149" t="str">
        <f>IF(COUNTIF(data1!$D:$D,D4149)=0,"Missing in Data1","Present")</f>
        <v>Present</v>
      </c>
    </row>
    <row r="4150" spans="1:5" x14ac:dyDescent="0.25">
      <c r="A4150" s="2" t="s">
        <v>3759</v>
      </c>
      <c r="B4150" s="2" t="s">
        <v>719</v>
      </c>
      <c r="C4150" s="2">
        <v>3</v>
      </c>
      <c r="D4150" t="str">
        <f t="shared" si="64"/>
        <v>CA-2016-131205_OFF-AR-10003469</v>
      </c>
      <c r="E4150" t="str">
        <f>IF(COUNTIF(data1!$D:$D,D4150)=0,"Missing in Data1","Present")</f>
        <v>Present</v>
      </c>
    </row>
    <row r="4151" spans="1:5" x14ac:dyDescent="0.25">
      <c r="A4151" s="2" t="s">
        <v>3759</v>
      </c>
      <c r="B4151" s="2" t="s">
        <v>1386</v>
      </c>
      <c r="C4151" s="2">
        <v>6</v>
      </c>
      <c r="D4151" t="str">
        <f t="shared" si="64"/>
        <v>CA-2016-131205_OFF-BI-10000315</v>
      </c>
      <c r="E4151" t="str">
        <f>IF(COUNTIF(data1!$D:$D,D4151)=0,"Missing in Data1","Present")</f>
        <v>Present</v>
      </c>
    </row>
    <row r="4152" spans="1:5" x14ac:dyDescent="0.25">
      <c r="A4152" s="2" t="s">
        <v>3759</v>
      </c>
      <c r="B4152" s="2" t="s">
        <v>1268</v>
      </c>
      <c r="C4152" s="2">
        <v>4</v>
      </c>
      <c r="D4152" t="str">
        <f t="shared" si="64"/>
        <v>CA-2016-131205_OFF-ST-10002583</v>
      </c>
      <c r="E4152" t="str">
        <f>IF(COUNTIF(data1!$D:$D,D4152)=0,"Missing in Data1","Present")</f>
        <v>Present</v>
      </c>
    </row>
    <row r="4153" spans="1:5" x14ac:dyDescent="0.25">
      <c r="A4153" s="2" t="s">
        <v>3760</v>
      </c>
      <c r="B4153" s="2" t="s">
        <v>318</v>
      </c>
      <c r="C4153" s="2">
        <v>6</v>
      </c>
      <c r="D4153" t="str">
        <f t="shared" si="64"/>
        <v>CA-2016-131289_FUR-TA-10003954</v>
      </c>
      <c r="E4153" t="str">
        <f>IF(COUNTIF(data1!$D:$D,D4153)=0,"Missing in Data1","Present")</f>
        <v>Present</v>
      </c>
    </row>
    <row r="4154" spans="1:5" x14ac:dyDescent="0.25">
      <c r="A4154" s="2" t="s">
        <v>3760</v>
      </c>
      <c r="B4154" s="2" t="s">
        <v>1278</v>
      </c>
      <c r="C4154" s="2">
        <v>2</v>
      </c>
      <c r="D4154" t="str">
        <f t="shared" si="64"/>
        <v>CA-2016-131289_OFF-AR-10003056</v>
      </c>
      <c r="E4154" t="str">
        <f>IF(COUNTIF(data1!$D:$D,D4154)=0,"Missing in Data1","Present")</f>
        <v>Present</v>
      </c>
    </row>
    <row r="4155" spans="1:5" x14ac:dyDescent="0.25">
      <c r="A4155" s="2" t="s">
        <v>3760</v>
      </c>
      <c r="B4155" s="2" t="s">
        <v>1714</v>
      </c>
      <c r="C4155" s="2">
        <v>7</v>
      </c>
      <c r="D4155" t="str">
        <f t="shared" si="64"/>
        <v>CA-2016-131289_OFF-PA-10003363</v>
      </c>
      <c r="E4155" t="str">
        <f>IF(COUNTIF(data1!$D:$D,D4155)=0,"Missing in Data1","Present")</f>
        <v>Present</v>
      </c>
    </row>
    <row r="4156" spans="1:5" x14ac:dyDescent="0.25">
      <c r="A4156" s="2" t="s">
        <v>3761</v>
      </c>
      <c r="B4156" s="2" t="s">
        <v>2707</v>
      </c>
      <c r="C4156" s="2">
        <v>2</v>
      </c>
      <c r="D4156" t="str">
        <f t="shared" si="64"/>
        <v>CA-2016-131296_FUR-TA-10002622</v>
      </c>
      <c r="E4156" t="str">
        <f>IF(COUNTIF(data1!$D:$D,D4156)=0,"Missing in Data1","Present")</f>
        <v>Present</v>
      </c>
    </row>
    <row r="4157" spans="1:5" x14ac:dyDescent="0.25">
      <c r="A4157" s="2" t="s">
        <v>3762</v>
      </c>
      <c r="B4157" s="2" t="s">
        <v>1475</v>
      </c>
      <c r="C4157" s="2">
        <v>1</v>
      </c>
      <c r="D4157" t="str">
        <f t="shared" si="64"/>
        <v>CA-2016-131380_OFF-PA-10001243</v>
      </c>
      <c r="E4157" t="str">
        <f>IF(COUNTIF(data1!$D:$D,D4157)=0,"Missing in Data1","Present")</f>
        <v>Present</v>
      </c>
    </row>
    <row r="4158" spans="1:5" x14ac:dyDescent="0.25">
      <c r="A4158" s="2" t="s">
        <v>3762</v>
      </c>
      <c r="B4158" s="2" t="s">
        <v>3070</v>
      </c>
      <c r="C4158" s="2">
        <v>4</v>
      </c>
      <c r="D4158" t="str">
        <f t="shared" si="64"/>
        <v>CA-2016-131380_OFF-ST-10002485</v>
      </c>
      <c r="E4158" t="str">
        <f>IF(COUNTIF(data1!$D:$D,D4158)=0,"Missing in Data1","Present")</f>
        <v>Present</v>
      </c>
    </row>
    <row r="4159" spans="1:5" x14ac:dyDescent="0.25">
      <c r="A4159" s="2" t="s">
        <v>3763</v>
      </c>
      <c r="B4159" s="2" t="s">
        <v>2267</v>
      </c>
      <c r="C4159" s="2">
        <v>1</v>
      </c>
      <c r="D4159" t="str">
        <f t="shared" si="64"/>
        <v>CA-2016-131499_OFF-AP-10003779</v>
      </c>
      <c r="E4159" t="str">
        <f>IF(COUNTIF(data1!$D:$D,D4159)=0,"Missing in Data1","Present")</f>
        <v>Present</v>
      </c>
    </row>
    <row r="4160" spans="1:5" x14ac:dyDescent="0.25">
      <c r="A4160" s="2" t="s">
        <v>3764</v>
      </c>
      <c r="B4160" s="2" t="s">
        <v>480</v>
      </c>
      <c r="C4160" s="2">
        <v>3</v>
      </c>
      <c r="D4160" t="str">
        <f t="shared" si="64"/>
        <v>CA-2016-131576_OFF-BI-10002852</v>
      </c>
      <c r="E4160" t="str">
        <f>IF(COUNTIF(data1!$D:$D,D4160)=0,"Missing in Data1","Present")</f>
        <v>Present</v>
      </c>
    </row>
    <row r="4161" spans="1:5" x14ac:dyDescent="0.25">
      <c r="A4161" s="2" t="s">
        <v>3765</v>
      </c>
      <c r="B4161" s="2" t="s">
        <v>974</v>
      </c>
      <c r="C4161" s="2">
        <v>1</v>
      </c>
      <c r="D4161" t="str">
        <f t="shared" si="64"/>
        <v>CA-2016-131639_OFF-BI-10000948</v>
      </c>
      <c r="E4161" t="str">
        <f>IF(COUNTIF(data1!$D:$D,D4161)=0,"Missing in Data1","Present")</f>
        <v>Missing in Data1</v>
      </c>
    </row>
    <row r="4162" spans="1:5" x14ac:dyDescent="0.25">
      <c r="A4162" s="2" t="s">
        <v>3765</v>
      </c>
      <c r="B4162" s="2" t="s">
        <v>951</v>
      </c>
      <c r="C4162" s="2">
        <v>2</v>
      </c>
      <c r="D4162" t="str">
        <f t="shared" si="64"/>
        <v>CA-2016-131639_OFF-BI-10001636</v>
      </c>
      <c r="E4162" t="str">
        <f>IF(COUNTIF(data1!$D:$D,D4162)=0,"Missing in Data1","Present")</f>
        <v>Present</v>
      </c>
    </row>
    <row r="4163" spans="1:5" x14ac:dyDescent="0.25">
      <c r="A4163" s="2" t="s">
        <v>3766</v>
      </c>
      <c r="B4163" s="2" t="s">
        <v>263</v>
      </c>
      <c r="C4163" s="2">
        <v>5</v>
      </c>
      <c r="D4163" t="str">
        <f t="shared" ref="D4163:D4226" si="65">A4163&amp;"_"&amp;B4163</f>
        <v>CA-2016-131737_FUR-FU-10004306</v>
      </c>
      <c r="E4163" t="str">
        <f>IF(COUNTIF(data1!$D:$D,D4163)=0,"Missing in Data1","Present")</f>
        <v>Present</v>
      </c>
    </row>
    <row r="4164" spans="1:5" x14ac:dyDescent="0.25">
      <c r="A4164" s="2" t="s">
        <v>3766</v>
      </c>
      <c r="B4164" s="2" t="s">
        <v>1000</v>
      </c>
      <c r="C4164" s="2">
        <v>3</v>
      </c>
      <c r="D4164" t="str">
        <f t="shared" si="65"/>
        <v>CA-2016-131737_OFF-AP-10002945</v>
      </c>
      <c r="E4164" t="str">
        <f>IF(COUNTIF(data1!$D:$D,D4164)=0,"Missing in Data1","Present")</f>
        <v>Present</v>
      </c>
    </row>
    <row r="4165" spans="1:5" x14ac:dyDescent="0.25">
      <c r="A4165" s="2" t="s">
        <v>3766</v>
      </c>
      <c r="B4165" s="2" t="s">
        <v>1970</v>
      </c>
      <c r="C4165" s="2">
        <v>5</v>
      </c>
      <c r="D4165" t="str">
        <f t="shared" si="65"/>
        <v>CA-2016-131737_OFF-EN-10003055</v>
      </c>
      <c r="E4165" t="str">
        <f>IF(COUNTIF(data1!$D:$D,D4165)=0,"Missing in Data1","Present")</f>
        <v>Present</v>
      </c>
    </row>
    <row r="4166" spans="1:5" x14ac:dyDescent="0.25">
      <c r="A4166" s="2" t="s">
        <v>3767</v>
      </c>
      <c r="B4166" s="2" t="s">
        <v>2622</v>
      </c>
      <c r="C4166" s="2">
        <v>3</v>
      </c>
      <c r="D4166" t="str">
        <f t="shared" si="65"/>
        <v>CA-2016-131744_OFF-AP-10001394</v>
      </c>
      <c r="E4166" t="str">
        <f>IF(COUNTIF(data1!$D:$D,D4166)=0,"Missing in Data1","Present")</f>
        <v>Present</v>
      </c>
    </row>
    <row r="4167" spans="1:5" x14ac:dyDescent="0.25">
      <c r="A4167" s="2" t="s">
        <v>3767</v>
      </c>
      <c r="B4167" s="2" t="s">
        <v>546</v>
      </c>
      <c r="C4167" s="2">
        <v>2</v>
      </c>
      <c r="D4167" t="str">
        <f t="shared" si="65"/>
        <v>CA-2016-131744_OFF-BI-10003910</v>
      </c>
      <c r="E4167" t="str">
        <f>IF(COUNTIF(data1!$D:$D,D4167)=0,"Missing in Data1","Present")</f>
        <v>Present</v>
      </c>
    </row>
    <row r="4168" spans="1:5" x14ac:dyDescent="0.25">
      <c r="A4168" s="2" t="s">
        <v>3767</v>
      </c>
      <c r="B4168" s="2" t="s">
        <v>837</v>
      </c>
      <c r="C4168" s="2">
        <v>2</v>
      </c>
      <c r="D4168" t="str">
        <f t="shared" si="65"/>
        <v>CA-2016-131744_OFF-PA-10004610</v>
      </c>
      <c r="E4168" t="str">
        <f>IF(COUNTIF(data1!$D:$D,D4168)=0,"Missing in Data1","Present")</f>
        <v>Present</v>
      </c>
    </row>
    <row r="4169" spans="1:5" x14ac:dyDescent="0.25">
      <c r="A4169" s="2" t="s">
        <v>3768</v>
      </c>
      <c r="B4169" s="2" t="s">
        <v>2088</v>
      </c>
      <c r="C4169" s="2">
        <v>2</v>
      </c>
      <c r="D4169" t="str">
        <f t="shared" si="65"/>
        <v>CA-2016-131835_OFF-AP-10004487</v>
      </c>
      <c r="E4169" t="str">
        <f>IF(COUNTIF(data1!$D:$D,D4169)=0,"Missing in Data1","Present")</f>
        <v>Present</v>
      </c>
    </row>
    <row r="4170" spans="1:5" x14ac:dyDescent="0.25">
      <c r="A4170" s="2" t="s">
        <v>3768</v>
      </c>
      <c r="B4170" s="2" t="s">
        <v>477</v>
      </c>
      <c r="C4170" s="2">
        <v>1</v>
      </c>
      <c r="D4170" t="str">
        <f t="shared" si="65"/>
        <v>CA-2016-131835_OFF-PA-10004071</v>
      </c>
      <c r="E4170" t="str">
        <f>IF(COUNTIF(data1!$D:$D,D4170)=0,"Missing in Data1","Present")</f>
        <v>Present</v>
      </c>
    </row>
    <row r="4171" spans="1:5" x14ac:dyDescent="0.25">
      <c r="A4171" s="2" t="s">
        <v>3768</v>
      </c>
      <c r="B4171" s="2" t="s">
        <v>313</v>
      </c>
      <c r="C4171" s="2">
        <v>3</v>
      </c>
      <c r="D4171" t="str">
        <f t="shared" si="65"/>
        <v>CA-2016-131835_TEC-PH-10001760</v>
      </c>
      <c r="E4171" t="str">
        <f>IF(COUNTIF(data1!$D:$D,D4171)=0,"Missing in Data1","Present")</f>
        <v>Present</v>
      </c>
    </row>
    <row r="4172" spans="1:5" x14ac:dyDescent="0.25">
      <c r="A4172" s="2" t="s">
        <v>3769</v>
      </c>
      <c r="B4172" s="2" t="s">
        <v>3770</v>
      </c>
      <c r="C4172" s="2">
        <v>3</v>
      </c>
      <c r="D4172" t="str">
        <f t="shared" si="65"/>
        <v>CA-2016-131968_OFF-AP-10001058</v>
      </c>
      <c r="E4172" t="str">
        <f>IF(COUNTIF(data1!$D:$D,D4172)=0,"Missing in Data1","Present")</f>
        <v>Present</v>
      </c>
    </row>
    <row r="4173" spans="1:5" x14ac:dyDescent="0.25">
      <c r="A4173" s="2" t="s">
        <v>3769</v>
      </c>
      <c r="B4173" s="2" t="s">
        <v>480</v>
      </c>
      <c r="C4173" s="2">
        <v>2</v>
      </c>
      <c r="D4173" t="str">
        <f t="shared" si="65"/>
        <v>CA-2016-131968_OFF-BI-10002852</v>
      </c>
      <c r="E4173" t="str">
        <f>IF(COUNTIF(data1!$D:$D,D4173)=0,"Missing in Data1","Present")</f>
        <v>Present</v>
      </c>
    </row>
    <row r="4174" spans="1:5" x14ac:dyDescent="0.25">
      <c r="A4174" s="2" t="s">
        <v>3772</v>
      </c>
      <c r="B4174" s="2" t="s">
        <v>544</v>
      </c>
      <c r="C4174" s="2">
        <v>1</v>
      </c>
      <c r="D4174" t="str">
        <f t="shared" si="65"/>
        <v>CA-2016-132066_FUR-TA-10001539</v>
      </c>
      <c r="E4174" t="str">
        <f>IF(COUNTIF(data1!$D:$D,D4174)=0,"Missing in Data1","Present")</f>
        <v>Present</v>
      </c>
    </row>
    <row r="4175" spans="1:5" x14ac:dyDescent="0.25">
      <c r="A4175" s="2" t="s">
        <v>3773</v>
      </c>
      <c r="B4175" s="2" t="s">
        <v>361</v>
      </c>
      <c r="C4175" s="2">
        <v>3</v>
      </c>
      <c r="D4175" t="str">
        <f t="shared" si="65"/>
        <v>CA-2016-132094_OFF-AR-10004165</v>
      </c>
      <c r="E4175" t="str">
        <f>IF(COUNTIF(data1!$D:$D,D4175)=0,"Missing in Data1","Present")</f>
        <v>Present</v>
      </c>
    </row>
    <row r="4176" spans="1:5" x14ac:dyDescent="0.25">
      <c r="A4176" s="2" t="s">
        <v>3773</v>
      </c>
      <c r="B4176" s="2" t="s">
        <v>2690</v>
      </c>
      <c r="C4176" s="2">
        <v>2</v>
      </c>
      <c r="D4176" t="str">
        <f t="shared" si="65"/>
        <v>CA-2016-132094_TEC-AC-10001109</v>
      </c>
      <c r="E4176" t="str">
        <f>IF(COUNTIF(data1!$D:$D,D4176)=0,"Missing in Data1","Present")</f>
        <v>Present</v>
      </c>
    </row>
    <row r="4177" spans="1:5" x14ac:dyDescent="0.25">
      <c r="A4177" s="2" t="s">
        <v>3774</v>
      </c>
      <c r="B4177" s="2" t="s">
        <v>2748</v>
      </c>
      <c r="C4177" s="2">
        <v>7</v>
      </c>
      <c r="D4177" t="str">
        <f t="shared" si="65"/>
        <v>CA-2016-132143_OFF-PA-10002713</v>
      </c>
      <c r="E4177" t="str">
        <f>IF(COUNTIF(data1!$D:$D,D4177)=0,"Missing in Data1","Present")</f>
        <v>Present</v>
      </c>
    </row>
    <row r="4178" spans="1:5" x14ac:dyDescent="0.25">
      <c r="A4178" s="2" t="s">
        <v>3775</v>
      </c>
      <c r="B4178" s="2" t="s">
        <v>2492</v>
      </c>
      <c r="C4178" s="2">
        <v>7</v>
      </c>
      <c r="D4178" t="str">
        <f t="shared" si="65"/>
        <v>CA-2016-132304_FUR-TA-10004619</v>
      </c>
      <c r="E4178" t="str">
        <f>IF(COUNTIF(data1!$D:$D,D4178)=0,"Missing in Data1","Present")</f>
        <v>Present</v>
      </c>
    </row>
    <row r="4179" spans="1:5" x14ac:dyDescent="0.25">
      <c r="A4179" s="2" t="s">
        <v>3776</v>
      </c>
      <c r="B4179" s="2" t="s">
        <v>3152</v>
      </c>
      <c r="C4179" s="2">
        <v>2</v>
      </c>
      <c r="D4179" t="str">
        <f t="shared" si="65"/>
        <v>CA-2016-132409_OFF-AP-10002082</v>
      </c>
      <c r="E4179" t="str">
        <f>IF(COUNTIF(data1!$D:$D,D4179)=0,"Missing in Data1","Present")</f>
        <v>Present</v>
      </c>
    </row>
    <row r="4180" spans="1:5" x14ac:dyDescent="0.25">
      <c r="A4180" s="2" t="s">
        <v>3776</v>
      </c>
      <c r="B4180" s="2" t="s">
        <v>899</v>
      </c>
      <c r="C4180" s="2">
        <v>1</v>
      </c>
      <c r="D4180" t="str">
        <f t="shared" si="65"/>
        <v>CA-2016-132409_OFF-AR-10001919</v>
      </c>
      <c r="E4180" t="str">
        <f>IF(COUNTIF(data1!$D:$D,D4180)=0,"Missing in Data1","Present")</f>
        <v>Present</v>
      </c>
    </row>
    <row r="4181" spans="1:5" x14ac:dyDescent="0.25">
      <c r="A4181" s="2" t="s">
        <v>3777</v>
      </c>
      <c r="B4181" s="2" t="s">
        <v>3778</v>
      </c>
      <c r="C4181" s="2">
        <v>7</v>
      </c>
      <c r="D4181" t="str">
        <f t="shared" si="65"/>
        <v>CA-2016-132479_OFF-BI-10004584</v>
      </c>
      <c r="E4181" t="str">
        <f>IF(COUNTIF(data1!$D:$D,D4181)=0,"Missing in Data1","Present")</f>
        <v>Present</v>
      </c>
    </row>
    <row r="4182" spans="1:5" x14ac:dyDescent="0.25">
      <c r="A4182" s="2" t="s">
        <v>3779</v>
      </c>
      <c r="B4182" s="2" t="s">
        <v>2467</v>
      </c>
      <c r="C4182" s="2">
        <v>7</v>
      </c>
      <c r="D4182" t="str">
        <f t="shared" si="65"/>
        <v>CA-2016-132549_OFF-ST-10001325</v>
      </c>
      <c r="E4182" t="str">
        <f>IF(COUNTIF(data1!$D:$D,D4182)=0,"Missing in Data1","Present")</f>
        <v>Present</v>
      </c>
    </row>
    <row r="4183" spans="1:5" x14ac:dyDescent="0.25">
      <c r="A4183" s="2" t="s">
        <v>3780</v>
      </c>
      <c r="B4183" s="2" t="s">
        <v>1335</v>
      </c>
      <c r="C4183" s="2">
        <v>10</v>
      </c>
      <c r="D4183" t="str">
        <f t="shared" si="65"/>
        <v>CA-2016-132661_OFF-PA-10000482</v>
      </c>
      <c r="E4183" t="str">
        <f>IF(COUNTIF(data1!$D:$D,D4183)=0,"Missing in Data1","Present")</f>
        <v>Present</v>
      </c>
    </row>
    <row r="4184" spans="1:5" x14ac:dyDescent="0.25">
      <c r="A4184" s="2" t="s">
        <v>3782</v>
      </c>
      <c r="B4184" s="2" t="s">
        <v>3306</v>
      </c>
      <c r="C4184" s="2">
        <v>2</v>
      </c>
      <c r="D4184" t="str">
        <f t="shared" si="65"/>
        <v>CA-2016-132829_FUR-FU-10000206</v>
      </c>
      <c r="E4184" t="str">
        <f>IF(COUNTIF(data1!$D:$D,D4184)=0,"Missing in Data1","Present")</f>
        <v>Present</v>
      </c>
    </row>
    <row r="4185" spans="1:5" x14ac:dyDescent="0.25">
      <c r="A4185" s="2" t="s">
        <v>3782</v>
      </c>
      <c r="B4185" s="2" t="s">
        <v>720</v>
      </c>
      <c r="C4185" s="2">
        <v>9</v>
      </c>
      <c r="D4185" t="str">
        <f t="shared" si="65"/>
        <v>CA-2016-132829_OFF-LA-10002945</v>
      </c>
      <c r="E4185" t="str">
        <f>IF(COUNTIF(data1!$D:$D,D4185)=0,"Missing in Data1","Present")</f>
        <v>Present</v>
      </c>
    </row>
    <row r="4186" spans="1:5" x14ac:dyDescent="0.25">
      <c r="A4186" s="2" t="s">
        <v>3782</v>
      </c>
      <c r="B4186" s="2" t="s">
        <v>2596</v>
      </c>
      <c r="C4186" s="2">
        <v>3</v>
      </c>
      <c r="D4186" t="str">
        <f t="shared" si="65"/>
        <v>CA-2016-132829_TEC-PH-10004345</v>
      </c>
      <c r="E4186" t="str">
        <f>IF(COUNTIF(data1!$D:$D,D4186)=0,"Missing in Data1","Present")</f>
        <v>Present</v>
      </c>
    </row>
    <row r="4187" spans="1:5" x14ac:dyDescent="0.25">
      <c r="A4187" s="2" t="s">
        <v>3782</v>
      </c>
      <c r="B4187" s="2" t="s">
        <v>900</v>
      </c>
      <c r="C4187" s="2">
        <v>3</v>
      </c>
      <c r="D4187" t="str">
        <f t="shared" si="65"/>
        <v>CA-2016-132829_TEC-PH-10004539</v>
      </c>
      <c r="E4187" t="str">
        <f>IF(COUNTIF(data1!$D:$D,D4187)=0,"Missing in Data1","Present")</f>
        <v>Missing in Data1</v>
      </c>
    </row>
    <row r="4188" spans="1:5" x14ac:dyDescent="0.25">
      <c r="A4188" s="2" t="s">
        <v>3782</v>
      </c>
      <c r="B4188" s="2" t="s">
        <v>1751</v>
      </c>
      <c r="C4188" s="2">
        <v>3</v>
      </c>
      <c r="D4188" t="str">
        <f t="shared" si="65"/>
        <v>CA-2016-132829_TEC-PH-10004912</v>
      </c>
      <c r="E4188" t="str">
        <f>IF(COUNTIF(data1!$D:$D,D4188)=0,"Missing in Data1","Present")</f>
        <v>Present</v>
      </c>
    </row>
    <row r="4189" spans="1:5" x14ac:dyDescent="0.25">
      <c r="A4189" s="2" t="s">
        <v>3783</v>
      </c>
      <c r="B4189" s="2" t="s">
        <v>79</v>
      </c>
      <c r="C4189" s="2">
        <v>2</v>
      </c>
      <c r="D4189" t="str">
        <f t="shared" si="65"/>
        <v>CA-2016-132899_OFF-AR-10002833</v>
      </c>
      <c r="E4189" t="str">
        <f>IF(COUNTIF(data1!$D:$D,D4189)=0,"Missing in Data1","Present")</f>
        <v>Present</v>
      </c>
    </row>
    <row r="4190" spans="1:5" x14ac:dyDescent="0.25">
      <c r="A4190" s="2" t="s">
        <v>6800</v>
      </c>
      <c r="B4190" s="2" t="s">
        <v>226</v>
      </c>
      <c r="C4190" s="2">
        <v>2</v>
      </c>
      <c r="D4190" t="str">
        <f t="shared" si="65"/>
        <v>CA-2016-132990_FUR-FU-10004864</v>
      </c>
      <c r="E4190" t="str">
        <f>IF(COUNTIF(data1!$D:$D,D4190)=0,"Missing in Data1","Present")</f>
        <v>Missing in Data1</v>
      </c>
    </row>
    <row r="4191" spans="1:5" x14ac:dyDescent="0.25">
      <c r="A4191" s="2" t="s">
        <v>3784</v>
      </c>
      <c r="B4191" s="2" t="s">
        <v>177</v>
      </c>
      <c r="C4191" s="2">
        <v>2</v>
      </c>
      <c r="D4191" t="str">
        <f t="shared" si="65"/>
        <v>CA-2016-132997_OFF-PA-10004983</v>
      </c>
      <c r="E4191" t="str">
        <f>IF(COUNTIF(data1!$D:$D,D4191)=0,"Missing in Data1","Present")</f>
        <v>Present</v>
      </c>
    </row>
    <row r="4192" spans="1:5" x14ac:dyDescent="0.25">
      <c r="A4192" s="2" t="s">
        <v>3784</v>
      </c>
      <c r="B4192" s="2" t="s">
        <v>39</v>
      </c>
      <c r="C4192" s="2">
        <v>3</v>
      </c>
      <c r="D4192" t="str">
        <f t="shared" si="65"/>
        <v>CA-2016-132997_OFF-ST-10003479</v>
      </c>
      <c r="E4192" t="str">
        <f>IF(COUNTIF(data1!$D:$D,D4192)=0,"Missing in Data1","Present")</f>
        <v>Present</v>
      </c>
    </row>
    <row r="4193" spans="1:5" x14ac:dyDescent="0.25">
      <c r="A4193" s="2" t="s">
        <v>3784</v>
      </c>
      <c r="B4193" s="2" t="s">
        <v>383</v>
      </c>
      <c r="C4193" s="2">
        <v>4</v>
      </c>
      <c r="D4193" t="str">
        <f t="shared" si="65"/>
        <v>CA-2016-132997_TEC-PH-10000586</v>
      </c>
      <c r="E4193" t="str">
        <f>IF(COUNTIF(data1!$D:$D,D4193)=0,"Missing in Data1","Present")</f>
        <v>Present</v>
      </c>
    </row>
    <row r="4194" spans="1:5" x14ac:dyDescent="0.25">
      <c r="A4194" s="2" t="s">
        <v>3784</v>
      </c>
      <c r="B4194" s="2" t="s">
        <v>713</v>
      </c>
      <c r="C4194" s="2">
        <v>3</v>
      </c>
      <c r="D4194" t="str">
        <f t="shared" si="65"/>
        <v>CA-2016-132997_TEC-PH-10003811</v>
      </c>
      <c r="E4194" t="str">
        <f>IF(COUNTIF(data1!$D:$D,D4194)=0,"Missing in Data1","Present")</f>
        <v>Present</v>
      </c>
    </row>
    <row r="4195" spans="1:5" x14ac:dyDescent="0.25">
      <c r="A4195" s="2" t="s">
        <v>3785</v>
      </c>
      <c r="B4195" s="2" t="s">
        <v>773</v>
      </c>
      <c r="C4195" s="2">
        <v>2</v>
      </c>
      <c r="D4195" t="str">
        <f t="shared" si="65"/>
        <v>CA-2016-133123_OFF-BI-10001031</v>
      </c>
      <c r="E4195" t="str">
        <f>IF(COUNTIF(data1!$D:$D,D4195)=0,"Missing in Data1","Present")</f>
        <v>Present</v>
      </c>
    </row>
    <row r="4196" spans="1:5" x14ac:dyDescent="0.25">
      <c r="A4196" s="2" t="s">
        <v>3785</v>
      </c>
      <c r="B4196" s="2" t="s">
        <v>1970</v>
      </c>
      <c r="C4196" s="2">
        <v>3</v>
      </c>
      <c r="D4196" t="str">
        <f t="shared" si="65"/>
        <v>CA-2016-133123_OFF-EN-10003055</v>
      </c>
      <c r="E4196" t="str">
        <f>IF(COUNTIF(data1!$D:$D,D4196)=0,"Missing in Data1","Present")</f>
        <v>Present</v>
      </c>
    </row>
    <row r="4197" spans="1:5" x14ac:dyDescent="0.25">
      <c r="A4197" s="2" t="s">
        <v>3786</v>
      </c>
      <c r="B4197" s="2" t="s">
        <v>2528</v>
      </c>
      <c r="C4197" s="2">
        <v>3</v>
      </c>
      <c r="D4197" t="str">
        <f t="shared" si="65"/>
        <v>CA-2016-133144_OFF-PA-10004971</v>
      </c>
      <c r="E4197" t="str">
        <f>IF(COUNTIF(data1!$D:$D,D4197)=0,"Missing in Data1","Present")</f>
        <v>Present</v>
      </c>
    </row>
    <row r="4198" spans="1:5" x14ac:dyDescent="0.25">
      <c r="A4198" s="2" t="s">
        <v>3787</v>
      </c>
      <c r="B4198" s="2" t="s">
        <v>2423</v>
      </c>
      <c r="C4198" s="2">
        <v>4</v>
      </c>
      <c r="D4198" t="str">
        <f t="shared" si="65"/>
        <v>CA-2016-133319_OFF-PA-10001815</v>
      </c>
      <c r="E4198" t="str">
        <f>IF(COUNTIF(data1!$D:$D,D4198)=0,"Missing in Data1","Present")</f>
        <v>Present</v>
      </c>
    </row>
    <row r="4199" spans="1:5" x14ac:dyDescent="0.25">
      <c r="A4199" s="2" t="s">
        <v>3788</v>
      </c>
      <c r="B4199" s="2" t="s">
        <v>1787</v>
      </c>
      <c r="C4199" s="2">
        <v>1</v>
      </c>
      <c r="D4199" t="str">
        <f t="shared" si="65"/>
        <v>CA-2016-133340_OFF-AP-10002311</v>
      </c>
      <c r="E4199" t="str">
        <f>IF(COUNTIF(data1!$D:$D,D4199)=0,"Missing in Data1","Present")</f>
        <v>Present</v>
      </c>
    </row>
    <row r="4200" spans="1:5" x14ac:dyDescent="0.25">
      <c r="A4200" s="2" t="s">
        <v>3788</v>
      </c>
      <c r="B4200" s="2" t="s">
        <v>2690</v>
      </c>
      <c r="C4200" s="2">
        <v>2</v>
      </c>
      <c r="D4200" t="str">
        <f t="shared" si="65"/>
        <v>CA-2016-133340_TEC-AC-10001109</v>
      </c>
      <c r="E4200" t="str">
        <f>IF(COUNTIF(data1!$D:$D,D4200)=0,"Missing in Data1","Present")</f>
        <v>Present</v>
      </c>
    </row>
    <row r="4201" spans="1:5" x14ac:dyDescent="0.25">
      <c r="A4201" s="2" t="s">
        <v>3788</v>
      </c>
      <c r="B4201" s="2" t="s">
        <v>1616</v>
      </c>
      <c r="C4201" s="2">
        <v>1</v>
      </c>
      <c r="D4201" t="str">
        <f t="shared" si="65"/>
        <v>CA-2016-133340_TEC-PH-10003988</v>
      </c>
      <c r="E4201" t="str">
        <f>IF(COUNTIF(data1!$D:$D,D4201)=0,"Missing in Data1","Present")</f>
        <v>Present</v>
      </c>
    </row>
    <row r="4202" spans="1:5" x14ac:dyDescent="0.25">
      <c r="A4202" s="2" t="s">
        <v>3789</v>
      </c>
      <c r="B4202" s="2" t="s">
        <v>3790</v>
      </c>
      <c r="C4202" s="2">
        <v>8</v>
      </c>
      <c r="D4202" t="str">
        <f t="shared" si="65"/>
        <v>CA-2016-133368_FUR-FU-10003374</v>
      </c>
      <c r="E4202" t="str">
        <f>IF(COUNTIF(data1!$D:$D,D4202)=0,"Missing in Data1","Present")</f>
        <v>Present</v>
      </c>
    </row>
    <row r="4203" spans="1:5" x14ac:dyDescent="0.25">
      <c r="A4203" s="2" t="s">
        <v>3789</v>
      </c>
      <c r="B4203" s="2" t="s">
        <v>3791</v>
      </c>
      <c r="C4203" s="2">
        <v>2</v>
      </c>
      <c r="D4203" t="str">
        <f t="shared" si="65"/>
        <v>CA-2016-133368_OFF-PA-10004039</v>
      </c>
      <c r="E4203" t="str">
        <f>IF(COUNTIF(data1!$D:$D,D4203)=0,"Missing in Data1","Present")</f>
        <v>Present</v>
      </c>
    </row>
    <row r="4204" spans="1:5" x14ac:dyDescent="0.25">
      <c r="A4204" s="2" t="s">
        <v>3792</v>
      </c>
      <c r="B4204" s="2" t="s">
        <v>416</v>
      </c>
      <c r="C4204" s="2">
        <v>3</v>
      </c>
      <c r="D4204" t="str">
        <f t="shared" si="65"/>
        <v>CA-2016-133550_FUR-FU-10002918</v>
      </c>
      <c r="E4204" t="str">
        <f>IF(COUNTIF(data1!$D:$D,D4204)=0,"Missing in Data1","Present")</f>
        <v>Present</v>
      </c>
    </row>
    <row r="4205" spans="1:5" x14ac:dyDescent="0.25">
      <c r="A4205" s="2" t="s">
        <v>3792</v>
      </c>
      <c r="B4205" s="2" t="s">
        <v>136</v>
      </c>
      <c r="C4205" s="2">
        <v>4</v>
      </c>
      <c r="D4205" t="str">
        <f t="shared" si="65"/>
        <v>CA-2016-133550_OFF-AP-10001005</v>
      </c>
      <c r="E4205" t="str">
        <f>IF(COUNTIF(data1!$D:$D,D4205)=0,"Missing in Data1","Present")</f>
        <v>Missing in Data1</v>
      </c>
    </row>
    <row r="4206" spans="1:5" x14ac:dyDescent="0.25">
      <c r="A4206" s="2" t="s">
        <v>3792</v>
      </c>
      <c r="B4206" s="2" t="s">
        <v>800</v>
      </c>
      <c r="C4206" s="2">
        <v>1</v>
      </c>
      <c r="D4206" t="str">
        <f t="shared" si="65"/>
        <v>CA-2016-133550_TEC-PH-10001079</v>
      </c>
      <c r="E4206" t="str">
        <f>IF(COUNTIF(data1!$D:$D,D4206)=0,"Missing in Data1","Present")</f>
        <v>Present</v>
      </c>
    </row>
    <row r="4207" spans="1:5" x14ac:dyDescent="0.25">
      <c r="A4207" s="2" t="s">
        <v>3792</v>
      </c>
      <c r="B4207" s="2" t="s">
        <v>2053</v>
      </c>
      <c r="C4207" s="2">
        <v>4</v>
      </c>
      <c r="D4207" t="str">
        <f t="shared" si="65"/>
        <v>CA-2016-133550_TEC-PH-10004042</v>
      </c>
      <c r="E4207" t="str">
        <f>IF(COUNTIF(data1!$D:$D,D4207)=0,"Missing in Data1","Present")</f>
        <v>Present</v>
      </c>
    </row>
    <row r="4208" spans="1:5" x14ac:dyDescent="0.25">
      <c r="A4208" s="2" t="s">
        <v>3793</v>
      </c>
      <c r="B4208" s="2" t="s">
        <v>617</v>
      </c>
      <c r="C4208" s="2">
        <v>3</v>
      </c>
      <c r="D4208" t="str">
        <f t="shared" si="65"/>
        <v>CA-2016-133613_OFF-AR-10003829</v>
      </c>
      <c r="E4208" t="str">
        <f>IF(COUNTIF(data1!$D:$D,D4208)=0,"Missing in Data1","Present")</f>
        <v>Present</v>
      </c>
    </row>
    <row r="4209" spans="1:5" x14ac:dyDescent="0.25">
      <c r="A4209" s="2" t="s">
        <v>3793</v>
      </c>
      <c r="B4209" s="2" t="s">
        <v>2819</v>
      </c>
      <c r="C4209" s="2">
        <v>2</v>
      </c>
      <c r="D4209" t="str">
        <f t="shared" si="65"/>
        <v>CA-2016-133613_OFF-BI-10002003</v>
      </c>
      <c r="E4209" t="str">
        <f>IF(COUNTIF(data1!$D:$D,D4209)=0,"Missing in Data1","Present")</f>
        <v>Present</v>
      </c>
    </row>
    <row r="4210" spans="1:5" x14ac:dyDescent="0.25">
      <c r="A4210" s="2" t="s">
        <v>3793</v>
      </c>
      <c r="B4210" s="2" t="s">
        <v>900</v>
      </c>
      <c r="C4210" s="2">
        <v>3</v>
      </c>
      <c r="D4210" t="str">
        <f t="shared" si="65"/>
        <v>CA-2016-133613_TEC-PH-10004539</v>
      </c>
      <c r="E4210" t="str">
        <f>IF(COUNTIF(data1!$D:$D,D4210)=0,"Missing in Data1","Present")</f>
        <v>Present</v>
      </c>
    </row>
    <row r="4211" spans="1:5" x14ac:dyDescent="0.25">
      <c r="A4211" s="2" t="s">
        <v>3795</v>
      </c>
      <c r="B4211" s="2" t="s">
        <v>733</v>
      </c>
      <c r="C4211" s="2">
        <v>1</v>
      </c>
      <c r="D4211" t="str">
        <f t="shared" si="65"/>
        <v>CA-2016-133697_FUR-CH-10002372</v>
      </c>
      <c r="E4211" t="str">
        <f>IF(COUNTIF(data1!$D:$D,D4211)=0,"Missing in Data1","Present")</f>
        <v>Present</v>
      </c>
    </row>
    <row r="4212" spans="1:5" x14ac:dyDescent="0.25">
      <c r="A4212" s="2" t="s">
        <v>3795</v>
      </c>
      <c r="B4212" s="2" t="s">
        <v>1320</v>
      </c>
      <c r="C4212" s="2">
        <v>4</v>
      </c>
      <c r="D4212" t="str">
        <f t="shared" si="65"/>
        <v>CA-2016-133697_OFF-FA-10003112</v>
      </c>
      <c r="E4212" t="str">
        <f>IF(COUNTIF(data1!$D:$D,D4212)=0,"Missing in Data1","Present")</f>
        <v>Present</v>
      </c>
    </row>
    <row r="4213" spans="1:5" x14ac:dyDescent="0.25">
      <c r="A4213" s="2" t="s">
        <v>3795</v>
      </c>
      <c r="B4213" s="2" t="s">
        <v>2868</v>
      </c>
      <c r="C4213" s="2">
        <v>7</v>
      </c>
      <c r="D4213" t="str">
        <f t="shared" si="65"/>
        <v>CA-2016-133697_OFF-PA-10000726</v>
      </c>
      <c r="E4213" t="str">
        <f>IF(COUNTIF(data1!$D:$D,D4213)=0,"Missing in Data1","Present")</f>
        <v>Present</v>
      </c>
    </row>
    <row r="4214" spans="1:5" x14ac:dyDescent="0.25">
      <c r="A4214" s="2" t="s">
        <v>3796</v>
      </c>
      <c r="B4214" s="2" t="s">
        <v>687</v>
      </c>
      <c r="C4214" s="2">
        <v>3</v>
      </c>
      <c r="D4214" t="str">
        <f t="shared" si="65"/>
        <v>CA-2016-133711_OFF-BI-10000666</v>
      </c>
      <c r="E4214" t="str">
        <f>IF(COUNTIF(data1!$D:$D,D4214)=0,"Missing in Data1","Present")</f>
        <v>Present</v>
      </c>
    </row>
    <row r="4215" spans="1:5" x14ac:dyDescent="0.25">
      <c r="A4215" s="2" t="s">
        <v>3796</v>
      </c>
      <c r="B4215" s="2" t="s">
        <v>3797</v>
      </c>
      <c r="C4215" s="2">
        <v>5</v>
      </c>
      <c r="D4215" t="str">
        <f t="shared" si="65"/>
        <v>CA-2016-133711_OFF-BI-10004352</v>
      </c>
      <c r="E4215" t="str">
        <f>IF(COUNTIF(data1!$D:$D,D4215)=0,"Missing in Data1","Present")</f>
        <v>Present</v>
      </c>
    </row>
    <row r="4216" spans="1:5" x14ac:dyDescent="0.25">
      <c r="A4216" s="2" t="s">
        <v>3796</v>
      </c>
      <c r="B4216" s="2" t="s">
        <v>1373</v>
      </c>
      <c r="C4216" s="2">
        <v>7</v>
      </c>
      <c r="D4216" t="str">
        <f t="shared" si="65"/>
        <v>CA-2016-133711_OFF-PA-10001685</v>
      </c>
      <c r="E4216" t="str">
        <f>IF(COUNTIF(data1!$D:$D,D4216)=0,"Missing in Data1","Present")</f>
        <v>Present</v>
      </c>
    </row>
    <row r="4217" spans="1:5" x14ac:dyDescent="0.25">
      <c r="A4217" s="2" t="s">
        <v>3796</v>
      </c>
      <c r="B4217" s="2" t="s">
        <v>3798</v>
      </c>
      <c r="C4217" s="2">
        <v>8</v>
      </c>
      <c r="D4217" t="str">
        <f t="shared" si="65"/>
        <v>CA-2016-133711_TEC-MA-10000010</v>
      </c>
      <c r="E4217" t="str">
        <f>IF(COUNTIF(data1!$D:$D,D4217)=0,"Missing in Data1","Present")</f>
        <v>Present</v>
      </c>
    </row>
    <row r="4218" spans="1:5" x14ac:dyDescent="0.25">
      <c r="A4218" s="2" t="s">
        <v>3799</v>
      </c>
      <c r="B4218" s="2" t="s">
        <v>2074</v>
      </c>
      <c r="C4218" s="2">
        <v>9</v>
      </c>
      <c r="D4218" t="str">
        <f t="shared" si="65"/>
        <v>CA-2016-133725_TEC-PH-10004165</v>
      </c>
      <c r="E4218" t="str">
        <f>IF(COUNTIF(data1!$D:$D,D4218)=0,"Missing in Data1","Present")</f>
        <v>Present</v>
      </c>
    </row>
    <row r="4219" spans="1:5" x14ac:dyDescent="0.25">
      <c r="A4219" s="2" t="s">
        <v>3800</v>
      </c>
      <c r="B4219" s="2" t="s">
        <v>3538</v>
      </c>
      <c r="C4219" s="2">
        <v>4</v>
      </c>
      <c r="D4219" t="str">
        <f t="shared" si="65"/>
        <v>CA-2016-133795_FUR-FU-10003731</v>
      </c>
      <c r="E4219" t="str">
        <f>IF(COUNTIF(data1!$D:$D,D4219)=0,"Missing in Data1","Present")</f>
        <v>Present</v>
      </c>
    </row>
    <row r="4220" spans="1:5" x14ac:dyDescent="0.25">
      <c r="A4220" s="2" t="s">
        <v>3800</v>
      </c>
      <c r="B4220" s="2" t="s">
        <v>161</v>
      </c>
      <c r="C4220" s="2">
        <v>2</v>
      </c>
      <c r="D4220" t="str">
        <f t="shared" si="65"/>
        <v>CA-2016-133795_TEC-AC-10001465</v>
      </c>
      <c r="E4220" t="str">
        <f>IF(COUNTIF(data1!$D:$D,D4220)=0,"Missing in Data1","Present")</f>
        <v>Present</v>
      </c>
    </row>
    <row r="4221" spans="1:5" x14ac:dyDescent="0.25">
      <c r="A4221" s="2" t="s">
        <v>3800</v>
      </c>
      <c r="B4221" s="2" t="s">
        <v>877</v>
      </c>
      <c r="C4221" s="2">
        <v>3</v>
      </c>
      <c r="D4221" t="str">
        <f t="shared" si="65"/>
        <v>CA-2016-133795_TEC-AC-10003832</v>
      </c>
      <c r="E4221" t="str">
        <f>IF(COUNTIF(data1!$D:$D,D4221)=0,"Missing in Data1","Present")</f>
        <v>Present</v>
      </c>
    </row>
    <row r="4222" spans="1:5" x14ac:dyDescent="0.25">
      <c r="A4222" s="2" t="s">
        <v>3801</v>
      </c>
      <c r="B4222" s="2" t="s">
        <v>485</v>
      </c>
      <c r="C4222" s="2">
        <v>6</v>
      </c>
      <c r="D4222" t="str">
        <f t="shared" si="65"/>
        <v>CA-2016-133802_OFF-BI-10003291</v>
      </c>
      <c r="E4222" t="str">
        <f>IF(COUNTIF(data1!$D:$D,D4222)=0,"Missing in Data1","Present")</f>
        <v>Present</v>
      </c>
    </row>
    <row r="4223" spans="1:5" x14ac:dyDescent="0.25">
      <c r="A4223" s="2" t="s">
        <v>3803</v>
      </c>
      <c r="B4223" s="2" t="s">
        <v>1961</v>
      </c>
      <c r="C4223" s="2">
        <v>4</v>
      </c>
      <c r="D4223" t="str">
        <f t="shared" si="65"/>
        <v>CA-2016-133872_OFF-BI-10002082</v>
      </c>
      <c r="E4223" t="str">
        <f>IF(COUNTIF(data1!$D:$D,D4223)=0,"Missing in Data1","Present")</f>
        <v>Present</v>
      </c>
    </row>
    <row r="4224" spans="1:5" x14ac:dyDescent="0.25">
      <c r="A4224" s="2" t="s">
        <v>3803</v>
      </c>
      <c r="B4224" s="2" t="s">
        <v>1976</v>
      </c>
      <c r="C4224" s="2">
        <v>2</v>
      </c>
      <c r="D4224" t="str">
        <f t="shared" si="65"/>
        <v>CA-2016-133872_TEC-AC-10000521</v>
      </c>
      <c r="E4224" t="str">
        <f>IF(COUNTIF(data1!$D:$D,D4224)=0,"Missing in Data1","Present")</f>
        <v>Present</v>
      </c>
    </row>
    <row r="4225" spans="1:5" x14ac:dyDescent="0.25">
      <c r="A4225" s="2" t="s">
        <v>3804</v>
      </c>
      <c r="B4225" s="2" t="s">
        <v>583</v>
      </c>
      <c r="C4225" s="2">
        <v>2</v>
      </c>
      <c r="D4225" t="str">
        <f t="shared" si="65"/>
        <v>CA-2016-133935_FUR-CH-10001215</v>
      </c>
      <c r="E4225" t="str">
        <f>IF(COUNTIF(data1!$D:$D,D4225)=0,"Missing in Data1","Present")</f>
        <v>Present</v>
      </c>
    </row>
    <row r="4226" spans="1:5" x14ac:dyDescent="0.25">
      <c r="A4226" s="2" t="s">
        <v>3804</v>
      </c>
      <c r="B4226" s="2" t="s">
        <v>1497</v>
      </c>
      <c r="C4226" s="2">
        <v>9</v>
      </c>
      <c r="D4226" t="str">
        <f t="shared" si="65"/>
        <v>CA-2016-133935_FUR-CH-10002880</v>
      </c>
      <c r="E4226" t="str">
        <f>IF(COUNTIF(data1!$D:$D,D4226)=0,"Missing in Data1","Present")</f>
        <v>Present</v>
      </c>
    </row>
    <row r="4227" spans="1:5" x14ac:dyDescent="0.25">
      <c r="A4227" s="2" t="s">
        <v>3804</v>
      </c>
      <c r="B4227" s="2" t="s">
        <v>915</v>
      </c>
      <c r="C4227" s="2">
        <v>9</v>
      </c>
      <c r="D4227" t="str">
        <f t="shared" ref="D4227:D4290" si="66">A4227&amp;"_"&amp;B4227</f>
        <v>CA-2016-133935_OFF-PA-10000100</v>
      </c>
      <c r="E4227" t="str">
        <f>IF(COUNTIF(data1!$D:$D,D4227)=0,"Missing in Data1","Present")</f>
        <v>Missing in Data1</v>
      </c>
    </row>
    <row r="4228" spans="1:5" x14ac:dyDescent="0.25">
      <c r="A4228" s="2" t="s">
        <v>3805</v>
      </c>
      <c r="B4228" s="2" t="s">
        <v>3806</v>
      </c>
      <c r="C4228" s="2">
        <v>4</v>
      </c>
      <c r="D4228" t="str">
        <f t="shared" si="66"/>
        <v>CA-2016-134110_OFF-PA-10000697</v>
      </c>
      <c r="E4228" t="str">
        <f>IF(COUNTIF(data1!$D:$D,D4228)=0,"Missing in Data1","Present")</f>
        <v>Present</v>
      </c>
    </row>
    <row r="4229" spans="1:5" x14ac:dyDescent="0.25">
      <c r="A4229" s="2" t="s">
        <v>3805</v>
      </c>
      <c r="B4229" s="2" t="s">
        <v>2782</v>
      </c>
      <c r="C4229" s="2">
        <v>3</v>
      </c>
      <c r="D4229" t="str">
        <f t="shared" si="66"/>
        <v>CA-2016-134110_TEC-PH-10002350</v>
      </c>
      <c r="E4229" t="str">
        <f>IF(COUNTIF(data1!$D:$D,D4229)=0,"Missing in Data1","Present")</f>
        <v>Present</v>
      </c>
    </row>
    <row r="4230" spans="1:5" x14ac:dyDescent="0.25">
      <c r="A4230" s="2" t="s">
        <v>3807</v>
      </c>
      <c r="B4230" s="2" t="s">
        <v>2710</v>
      </c>
      <c r="C4230" s="2">
        <v>2</v>
      </c>
      <c r="D4230" t="str">
        <f t="shared" si="66"/>
        <v>CA-2016-134138_FUR-CH-10001545</v>
      </c>
      <c r="E4230" t="str">
        <f>IF(COUNTIF(data1!$D:$D,D4230)=0,"Missing in Data1","Present")</f>
        <v>Present</v>
      </c>
    </row>
    <row r="4231" spans="1:5" x14ac:dyDescent="0.25">
      <c r="A4231" s="2" t="s">
        <v>3808</v>
      </c>
      <c r="B4231" s="2" t="s">
        <v>1368</v>
      </c>
      <c r="C4231" s="2">
        <v>7</v>
      </c>
      <c r="D4231" t="str">
        <f t="shared" si="66"/>
        <v>CA-2016-134180_FUR-CH-10004886</v>
      </c>
      <c r="E4231" t="str">
        <f>IF(COUNTIF(data1!$D:$D,D4231)=0,"Missing in Data1","Present")</f>
        <v>Present</v>
      </c>
    </row>
    <row r="4232" spans="1:5" x14ac:dyDescent="0.25">
      <c r="A4232" s="2" t="s">
        <v>3808</v>
      </c>
      <c r="B4232" s="2" t="s">
        <v>1718</v>
      </c>
      <c r="C4232" s="2">
        <v>1</v>
      </c>
      <c r="D4232" t="str">
        <f t="shared" si="66"/>
        <v>CA-2016-134180_TEC-AC-10000892</v>
      </c>
      <c r="E4232" t="str">
        <f>IF(COUNTIF(data1!$D:$D,D4232)=0,"Missing in Data1","Present")</f>
        <v>Present</v>
      </c>
    </row>
    <row r="4233" spans="1:5" x14ac:dyDescent="0.25">
      <c r="A4233" s="2" t="s">
        <v>3809</v>
      </c>
      <c r="B4233" s="2" t="s">
        <v>3810</v>
      </c>
      <c r="C4233" s="2">
        <v>4</v>
      </c>
      <c r="D4233" t="str">
        <f t="shared" si="66"/>
        <v>CA-2016-134208_TEC-MA-10004458</v>
      </c>
      <c r="E4233" t="str">
        <f>IF(COUNTIF(data1!$D:$D,D4233)=0,"Missing in Data1","Present")</f>
        <v>Present</v>
      </c>
    </row>
    <row r="4234" spans="1:5" x14ac:dyDescent="0.25">
      <c r="A4234" s="2" t="s">
        <v>3811</v>
      </c>
      <c r="B4234" s="2" t="s">
        <v>190</v>
      </c>
      <c r="C4234" s="2">
        <v>6</v>
      </c>
      <c r="D4234" t="str">
        <f t="shared" si="66"/>
        <v>CA-2016-134222_OFF-BI-10001658</v>
      </c>
      <c r="E4234" t="str">
        <f>IF(COUNTIF(data1!$D:$D,D4234)=0,"Missing in Data1","Present")</f>
        <v>Present</v>
      </c>
    </row>
    <row r="4235" spans="1:5" x14ac:dyDescent="0.25">
      <c r="A4235" s="2" t="s">
        <v>3812</v>
      </c>
      <c r="B4235" s="2" t="s">
        <v>779</v>
      </c>
      <c r="C4235" s="2">
        <v>6</v>
      </c>
      <c r="D4235" t="str">
        <f t="shared" si="66"/>
        <v>CA-2016-134334_FUR-FU-10003274</v>
      </c>
      <c r="E4235" t="str">
        <f>IF(COUNTIF(data1!$D:$D,D4235)=0,"Missing in Data1","Present")</f>
        <v>Present</v>
      </c>
    </row>
    <row r="4236" spans="1:5" x14ac:dyDescent="0.25">
      <c r="A4236" s="2" t="s">
        <v>3812</v>
      </c>
      <c r="B4236" s="2" t="s">
        <v>1439</v>
      </c>
      <c r="C4236" s="2">
        <v>3</v>
      </c>
      <c r="D4236" t="str">
        <f t="shared" si="66"/>
        <v>CA-2016-134334_FUR-TA-10002356</v>
      </c>
      <c r="E4236" t="str">
        <f>IF(COUNTIF(data1!$D:$D,D4236)=0,"Missing in Data1","Present")</f>
        <v>Present</v>
      </c>
    </row>
    <row r="4237" spans="1:5" x14ac:dyDescent="0.25">
      <c r="A4237" s="2" t="s">
        <v>3812</v>
      </c>
      <c r="B4237" s="2" t="s">
        <v>3813</v>
      </c>
      <c r="C4237" s="2">
        <v>3</v>
      </c>
      <c r="D4237" t="str">
        <f t="shared" si="66"/>
        <v>CA-2016-134334_OFF-AR-10001770</v>
      </c>
      <c r="E4237" t="str">
        <f>IF(COUNTIF(data1!$D:$D,D4237)=0,"Missing in Data1","Present")</f>
        <v>Present</v>
      </c>
    </row>
    <row r="4238" spans="1:5" x14ac:dyDescent="0.25">
      <c r="A4238" s="2" t="s">
        <v>3812</v>
      </c>
      <c r="B4238" s="2" t="s">
        <v>3814</v>
      </c>
      <c r="C4238" s="2">
        <v>1</v>
      </c>
      <c r="D4238" t="str">
        <f t="shared" si="66"/>
        <v>CA-2016-134334_OFF-PA-10000791</v>
      </c>
      <c r="E4238" t="str">
        <f>IF(COUNTIF(data1!$D:$D,D4238)=0,"Missing in Data1","Present")</f>
        <v>Present</v>
      </c>
    </row>
    <row r="4239" spans="1:5" x14ac:dyDescent="0.25">
      <c r="A4239" s="2" t="s">
        <v>3815</v>
      </c>
      <c r="B4239" s="2" t="s">
        <v>1526</v>
      </c>
      <c r="C4239" s="2">
        <v>5</v>
      </c>
      <c r="D4239" t="str">
        <f t="shared" si="66"/>
        <v>CA-2016-134348_OFF-BI-10003727</v>
      </c>
      <c r="E4239" t="str">
        <f>IF(COUNTIF(data1!$D:$D,D4239)=0,"Missing in Data1","Present")</f>
        <v>Present</v>
      </c>
    </row>
    <row r="4240" spans="1:5" x14ac:dyDescent="0.25">
      <c r="A4240" s="2" t="s">
        <v>3815</v>
      </c>
      <c r="B4240" s="2" t="s">
        <v>3452</v>
      </c>
      <c r="C4240" s="2">
        <v>7</v>
      </c>
      <c r="D4240" t="str">
        <f t="shared" si="66"/>
        <v>CA-2016-134348_OFF-BI-10004967</v>
      </c>
      <c r="E4240" t="str">
        <f>IF(COUNTIF(data1!$D:$D,D4240)=0,"Missing in Data1","Present")</f>
        <v>Present</v>
      </c>
    </row>
    <row r="4241" spans="1:5" x14ac:dyDescent="0.25">
      <c r="A4241" s="2" t="s">
        <v>3815</v>
      </c>
      <c r="B4241" s="2" t="s">
        <v>1619</v>
      </c>
      <c r="C4241" s="2">
        <v>2</v>
      </c>
      <c r="D4241" t="str">
        <f t="shared" si="66"/>
        <v>CA-2016-134348_TEC-AC-10003447</v>
      </c>
      <c r="E4241" t="str">
        <f>IF(COUNTIF(data1!$D:$D,D4241)=0,"Missing in Data1","Present")</f>
        <v>Present</v>
      </c>
    </row>
    <row r="4242" spans="1:5" x14ac:dyDescent="0.25">
      <c r="A4242" s="2" t="s">
        <v>3816</v>
      </c>
      <c r="B4242" s="2" t="s">
        <v>1803</v>
      </c>
      <c r="C4242" s="2">
        <v>4</v>
      </c>
      <c r="D4242" t="str">
        <f t="shared" si="66"/>
        <v>CA-2016-134362_OFF-LA-10004853</v>
      </c>
      <c r="E4242" t="str">
        <f>IF(COUNTIF(data1!$D:$D,D4242)=0,"Missing in Data1","Present")</f>
        <v>Present</v>
      </c>
    </row>
    <row r="4243" spans="1:5" x14ac:dyDescent="0.25">
      <c r="A4243" s="2" t="s">
        <v>3817</v>
      </c>
      <c r="B4243" s="2" t="s">
        <v>3148</v>
      </c>
      <c r="C4243" s="2">
        <v>3</v>
      </c>
      <c r="D4243" t="str">
        <f t="shared" si="66"/>
        <v>CA-2016-134376_OFF-AP-10004532</v>
      </c>
      <c r="E4243" t="str">
        <f>IF(COUNTIF(data1!$D:$D,D4243)=0,"Missing in Data1","Present")</f>
        <v>Present</v>
      </c>
    </row>
    <row r="4244" spans="1:5" x14ac:dyDescent="0.25">
      <c r="A4244" s="2" t="s">
        <v>3818</v>
      </c>
      <c r="B4244" s="2" t="s">
        <v>2452</v>
      </c>
      <c r="C4244" s="2">
        <v>5</v>
      </c>
      <c r="D4244" t="str">
        <f t="shared" si="66"/>
        <v>CA-2016-134425_TEC-PH-10003555</v>
      </c>
      <c r="E4244" t="str">
        <f>IF(COUNTIF(data1!$D:$D,D4244)=0,"Missing in Data1","Present")</f>
        <v>Present</v>
      </c>
    </row>
    <row r="4245" spans="1:5" x14ac:dyDescent="0.25">
      <c r="A4245" s="2" t="s">
        <v>3819</v>
      </c>
      <c r="B4245" s="2" t="s">
        <v>3820</v>
      </c>
      <c r="C4245" s="2">
        <v>2</v>
      </c>
      <c r="D4245" t="str">
        <f t="shared" si="66"/>
        <v>CA-2016-134474_OFF-AR-10003958</v>
      </c>
      <c r="E4245" t="str">
        <f>IF(COUNTIF(data1!$D:$D,D4245)=0,"Missing in Data1","Present")</f>
        <v>Present</v>
      </c>
    </row>
    <row r="4246" spans="1:5" x14ac:dyDescent="0.25">
      <c r="A4246" s="2" t="s">
        <v>3819</v>
      </c>
      <c r="B4246" s="2" t="s">
        <v>3408</v>
      </c>
      <c r="C4246" s="2">
        <v>6</v>
      </c>
      <c r="D4246" t="str">
        <f t="shared" si="66"/>
        <v>CA-2016-134474_TEC-AC-10001714</v>
      </c>
      <c r="E4246" t="str">
        <f>IF(COUNTIF(data1!$D:$D,D4246)=0,"Missing in Data1","Present")</f>
        <v>Present</v>
      </c>
    </row>
    <row r="4247" spans="1:5" x14ac:dyDescent="0.25">
      <c r="A4247" s="2" t="s">
        <v>3819</v>
      </c>
      <c r="B4247" s="2" t="s">
        <v>82</v>
      </c>
      <c r="C4247" s="2">
        <v>2</v>
      </c>
      <c r="D4247" t="str">
        <f t="shared" si="66"/>
        <v>CA-2016-134474_TEC-PH-10002923</v>
      </c>
      <c r="E4247" t="str">
        <f>IF(COUNTIF(data1!$D:$D,D4247)=0,"Missing in Data1","Present")</f>
        <v>Present</v>
      </c>
    </row>
    <row r="4248" spans="1:5" x14ac:dyDescent="0.25">
      <c r="A4248" s="2" t="s">
        <v>3821</v>
      </c>
      <c r="B4248" s="2" t="s">
        <v>1497</v>
      </c>
      <c r="C4248" s="2">
        <v>1</v>
      </c>
      <c r="D4248" t="str">
        <f t="shared" si="66"/>
        <v>CA-2016-134516_FUR-CH-10002880</v>
      </c>
      <c r="E4248" t="str">
        <f>IF(COUNTIF(data1!$D:$D,D4248)=0,"Missing in Data1","Present")</f>
        <v>Present</v>
      </c>
    </row>
    <row r="4249" spans="1:5" x14ac:dyDescent="0.25">
      <c r="A4249" s="2" t="s">
        <v>3821</v>
      </c>
      <c r="B4249" s="2" t="s">
        <v>643</v>
      </c>
      <c r="C4249" s="2">
        <v>2</v>
      </c>
      <c r="D4249" t="str">
        <f t="shared" si="66"/>
        <v>CA-2016-134516_FUR-FU-10001546</v>
      </c>
      <c r="E4249" t="str">
        <f>IF(COUNTIF(data1!$D:$D,D4249)=0,"Missing in Data1","Present")</f>
        <v>Present</v>
      </c>
    </row>
    <row r="4250" spans="1:5" x14ac:dyDescent="0.25">
      <c r="A4250" s="2" t="s">
        <v>3822</v>
      </c>
      <c r="B4250" s="2" t="s">
        <v>1940</v>
      </c>
      <c r="C4250" s="2">
        <v>2</v>
      </c>
      <c r="D4250" t="str">
        <f t="shared" si="66"/>
        <v>CA-2016-134544_TEC-PH-10003800</v>
      </c>
      <c r="E4250" t="str">
        <f>IF(COUNTIF(data1!$D:$D,D4250)=0,"Missing in Data1","Present")</f>
        <v>Present</v>
      </c>
    </row>
    <row r="4251" spans="1:5" x14ac:dyDescent="0.25">
      <c r="A4251" s="2" t="s">
        <v>6801</v>
      </c>
      <c r="B4251" s="2" t="s">
        <v>2414</v>
      </c>
      <c r="C4251" s="2">
        <v>2</v>
      </c>
      <c r="D4251" t="str">
        <f t="shared" si="66"/>
        <v>CA-2016-134691_OFF-BI-10002393</v>
      </c>
      <c r="E4251" t="str">
        <f>IF(COUNTIF(data1!$D:$D,D4251)=0,"Missing in Data1","Present")</f>
        <v>Missing in Data1</v>
      </c>
    </row>
    <row r="4252" spans="1:5" x14ac:dyDescent="0.25">
      <c r="A4252" s="2" t="s">
        <v>3823</v>
      </c>
      <c r="B4252" s="2" t="s">
        <v>824</v>
      </c>
      <c r="C4252" s="2">
        <v>3</v>
      </c>
      <c r="D4252" t="str">
        <f t="shared" si="66"/>
        <v>CA-2016-134775_OFF-BI-10002225</v>
      </c>
      <c r="E4252" t="str">
        <f>IF(COUNTIF(data1!$D:$D,D4252)=0,"Missing in Data1","Present")</f>
        <v>Present</v>
      </c>
    </row>
    <row r="4253" spans="1:5" x14ac:dyDescent="0.25">
      <c r="A4253" s="2" t="s">
        <v>3823</v>
      </c>
      <c r="B4253" s="2" t="s">
        <v>1166</v>
      </c>
      <c r="C4253" s="2">
        <v>7</v>
      </c>
      <c r="D4253" t="str">
        <f t="shared" si="66"/>
        <v>CA-2016-134775_OFF-PA-10004734</v>
      </c>
      <c r="E4253" t="str">
        <f>IF(COUNTIF(data1!$D:$D,D4253)=0,"Missing in Data1","Present")</f>
        <v>Present</v>
      </c>
    </row>
    <row r="4254" spans="1:5" x14ac:dyDescent="0.25">
      <c r="A4254" s="2" t="s">
        <v>3824</v>
      </c>
      <c r="B4254" s="2" t="s">
        <v>1781</v>
      </c>
      <c r="C4254" s="2">
        <v>4</v>
      </c>
      <c r="D4254" t="str">
        <f t="shared" si="66"/>
        <v>CA-2016-134789_FUR-FU-10003268</v>
      </c>
      <c r="E4254" t="str">
        <f>IF(COUNTIF(data1!$D:$D,D4254)=0,"Missing in Data1","Present")</f>
        <v>Present</v>
      </c>
    </row>
    <row r="4255" spans="1:5" x14ac:dyDescent="0.25">
      <c r="A4255" s="2" t="s">
        <v>3824</v>
      </c>
      <c r="B4255" s="2" t="s">
        <v>913</v>
      </c>
      <c r="C4255" s="2">
        <v>6</v>
      </c>
      <c r="D4255" t="str">
        <f t="shared" si="66"/>
        <v>CA-2016-134789_OFF-FA-10002280</v>
      </c>
      <c r="E4255" t="str">
        <f>IF(COUNTIF(data1!$D:$D,D4255)=0,"Missing in Data1","Present")</f>
        <v>Present</v>
      </c>
    </row>
    <row r="4256" spans="1:5" x14ac:dyDescent="0.25">
      <c r="A4256" s="2" t="s">
        <v>3824</v>
      </c>
      <c r="B4256" s="2" t="s">
        <v>3575</v>
      </c>
      <c r="C4256" s="2">
        <v>4</v>
      </c>
      <c r="D4256" t="str">
        <f t="shared" si="66"/>
        <v>CA-2016-134789_OFF-PA-10001934</v>
      </c>
      <c r="E4256" t="str">
        <f>IF(COUNTIF(data1!$D:$D,D4256)=0,"Missing in Data1","Present")</f>
        <v>Present</v>
      </c>
    </row>
    <row r="4257" spans="1:5" x14ac:dyDescent="0.25">
      <c r="A4257" s="2" t="s">
        <v>3825</v>
      </c>
      <c r="B4257" s="2" t="s">
        <v>3826</v>
      </c>
      <c r="C4257" s="2">
        <v>2</v>
      </c>
      <c r="D4257" t="str">
        <f t="shared" si="66"/>
        <v>CA-2016-134803_OFF-AP-10000891</v>
      </c>
      <c r="E4257" t="str">
        <f>IF(COUNTIF(data1!$D:$D,D4257)=0,"Missing in Data1","Present")</f>
        <v>Present</v>
      </c>
    </row>
    <row r="4258" spans="1:5" x14ac:dyDescent="0.25">
      <c r="A4258" s="2" t="s">
        <v>3825</v>
      </c>
      <c r="B4258" s="2" t="s">
        <v>1279</v>
      </c>
      <c r="C4258" s="2">
        <v>4</v>
      </c>
      <c r="D4258" t="str">
        <f t="shared" si="66"/>
        <v>CA-2016-134803_OFF-BI-10002215</v>
      </c>
      <c r="E4258" t="str">
        <f>IF(COUNTIF(data1!$D:$D,D4258)=0,"Missing in Data1","Present")</f>
        <v>Present</v>
      </c>
    </row>
    <row r="4259" spans="1:5" x14ac:dyDescent="0.25">
      <c r="A4259" s="2" t="s">
        <v>3825</v>
      </c>
      <c r="B4259" s="2" t="s">
        <v>2045</v>
      </c>
      <c r="C4259" s="2">
        <v>8</v>
      </c>
      <c r="D4259" t="str">
        <f t="shared" si="66"/>
        <v>CA-2016-134803_OFF-PA-10003790</v>
      </c>
      <c r="E4259" t="str">
        <f>IF(COUNTIF(data1!$D:$D,D4259)=0,"Missing in Data1","Present")</f>
        <v>Present</v>
      </c>
    </row>
    <row r="4260" spans="1:5" x14ac:dyDescent="0.25">
      <c r="A4260" s="2" t="s">
        <v>3825</v>
      </c>
      <c r="B4260" s="2" t="s">
        <v>2645</v>
      </c>
      <c r="C4260" s="2">
        <v>7</v>
      </c>
      <c r="D4260" t="str">
        <f t="shared" si="66"/>
        <v>CA-2016-134803_TEC-AC-10002217</v>
      </c>
      <c r="E4260" t="str">
        <f>IF(COUNTIF(data1!$D:$D,D4260)=0,"Missing in Data1","Present")</f>
        <v>Present</v>
      </c>
    </row>
    <row r="4261" spans="1:5" x14ac:dyDescent="0.25">
      <c r="A4261" s="2" t="s">
        <v>3825</v>
      </c>
      <c r="B4261" s="2" t="s">
        <v>1762</v>
      </c>
      <c r="C4261" s="2">
        <v>2</v>
      </c>
      <c r="D4261" t="str">
        <f t="shared" si="66"/>
        <v>CA-2016-134803_TEC-MA-10001972</v>
      </c>
      <c r="E4261" t="str">
        <f>IF(COUNTIF(data1!$D:$D,D4261)=0,"Missing in Data1","Present")</f>
        <v>Present</v>
      </c>
    </row>
    <row r="4262" spans="1:5" x14ac:dyDescent="0.25">
      <c r="A4262" s="2" t="s">
        <v>3827</v>
      </c>
      <c r="B4262" s="2" t="s">
        <v>877</v>
      </c>
      <c r="C4262" s="2">
        <v>5</v>
      </c>
      <c r="D4262" t="str">
        <f t="shared" si="66"/>
        <v>CA-2016-134887_TEC-AC-10003832</v>
      </c>
      <c r="E4262" t="str">
        <f>IF(COUNTIF(data1!$D:$D,D4262)=0,"Missing in Data1","Present")</f>
        <v>Present</v>
      </c>
    </row>
    <row r="4263" spans="1:5" x14ac:dyDescent="0.25">
      <c r="A4263" s="2" t="s">
        <v>3828</v>
      </c>
      <c r="B4263" s="2" t="s">
        <v>2848</v>
      </c>
      <c r="C4263" s="2">
        <v>6</v>
      </c>
      <c r="D4263" t="str">
        <f t="shared" si="66"/>
        <v>CA-2016-134936_FUR-TA-10001086</v>
      </c>
      <c r="E4263" t="str">
        <f>IF(COUNTIF(data1!$D:$D,D4263)=0,"Missing in Data1","Present")</f>
        <v>Present</v>
      </c>
    </row>
    <row r="4264" spans="1:5" x14ac:dyDescent="0.25">
      <c r="A4264" s="2" t="s">
        <v>3828</v>
      </c>
      <c r="B4264" s="2" t="s">
        <v>423</v>
      </c>
      <c r="C4264" s="2">
        <v>6</v>
      </c>
      <c r="D4264" t="str">
        <f t="shared" si="66"/>
        <v>CA-2016-134936_OFF-BI-10000174</v>
      </c>
      <c r="E4264" t="str">
        <f>IF(COUNTIF(data1!$D:$D,D4264)=0,"Missing in Data1","Present")</f>
        <v>Present</v>
      </c>
    </row>
    <row r="4265" spans="1:5" x14ac:dyDescent="0.25">
      <c r="A4265" s="2" t="s">
        <v>3828</v>
      </c>
      <c r="B4265" s="2" t="s">
        <v>275</v>
      </c>
      <c r="C4265" s="2">
        <v>2</v>
      </c>
      <c r="D4265" t="str">
        <f t="shared" si="66"/>
        <v>CA-2016-134936_OFF-BI-10002103</v>
      </c>
      <c r="E4265" t="str">
        <f>IF(COUNTIF(data1!$D:$D,D4265)=0,"Missing in Data1","Present")</f>
        <v>Present</v>
      </c>
    </row>
    <row r="4266" spans="1:5" x14ac:dyDescent="0.25">
      <c r="A4266" s="2" t="s">
        <v>3829</v>
      </c>
      <c r="B4266" s="2" t="s">
        <v>2185</v>
      </c>
      <c r="C4266" s="2">
        <v>4</v>
      </c>
      <c r="D4266" t="str">
        <f t="shared" si="66"/>
        <v>CA-2016-135265_FUR-CH-10003061</v>
      </c>
      <c r="E4266" t="str">
        <f>IF(COUNTIF(data1!$D:$D,D4266)=0,"Missing in Data1","Present")</f>
        <v>Present</v>
      </c>
    </row>
    <row r="4267" spans="1:5" x14ac:dyDescent="0.25">
      <c r="A4267" s="2" t="s">
        <v>3829</v>
      </c>
      <c r="B4267" s="2" t="s">
        <v>2743</v>
      </c>
      <c r="C4267" s="2">
        <v>5</v>
      </c>
      <c r="D4267" t="str">
        <f t="shared" si="66"/>
        <v>CA-2016-135265_TEC-CO-10003763</v>
      </c>
      <c r="E4267" t="str">
        <f>IF(COUNTIF(data1!$D:$D,D4267)=0,"Missing in Data1","Present")</f>
        <v>Present</v>
      </c>
    </row>
    <row r="4268" spans="1:5" x14ac:dyDescent="0.25">
      <c r="A4268" s="2" t="s">
        <v>3830</v>
      </c>
      <c r="B4268" s="2" t="s">
        <v>2421</v>
      </c>
      <c r="C4268" s="2">
        <v>5</v>
      </c>
      <c r="D4268" t="str">
        <f t="shared" si="66"/>
        <v>CA-2016-135461_TEC-PH-10004094</v>
      </c>
      <c r="E4268" t="str">
        <f>IF(COUNTIF(data1!$D:$D,D4268)=0,"Missing in Data1","Present")</f>
        <v>Present</v>
      </c>
    </row>
    <row r="4269" spans="1:5" x14ac:dyDescent="0.25">
      <c r="A4269" s="2" t="s">
        <v>3831</v>
      </c>
      <c r="B4269" s="2" t="s">
        <v>311</v>
      </c>
      <c r="C4269" s="2">
        <v>7</v>
      </c>
      <c r="D4269" t="str">
        <f t="shared" si="66"/>
        <v>CA-2016-135594_TEC-AC-10003038</v>
      </c>
      <c r="E4269" t="str">
        <f>IF(COUNTIF(data1!$D:$D,D4269)=0,"Missing in Data1","Present")</f>
        <v>Present</v>
      </c>
    </row>
    <row r="4270" spans="1:5" x14ac:dyDescent="0.25">
      <c r="A4270" s="2" t="s">
        <v>3832</v>
      </c>
      <c r="B4270" s="2" t="s">
        <v>3659</v>
      </c>
      <c r="C4270" s="2">
        <v>5</v>
      </c>
      <c r="D4270" t="str">
        <f t="shared" si="66"/>
        <v>CA-2016-135636_OFF-ST-10000676</v>
      </c>
      <c r="E4270" t="str">
        <f>IF(COUNTIF(data1!$D:$D,D4270)=0,"Missing in Data1","Present")</f>
        <v>Present</v>
      </c>
    </row>
    <row r="4271" spans="1:5" x14ac:dyDescent="0.25">
      <c r="A4271" s="2" t="s">
        <v>3833</v>
      </c>
      <c r="B4271" s="2" t="s">
        <v>3834</v>
      </c>
      <c r="C4271" s="2">
        <v>2</v>
      </c>
      <c r="D4271" t="str">
        <f t="shared" si="66"/>
        <v>CA-2016-135776_OFF-AR-10001231</v>
      </c>
      <c r="E4271" t="str">
        <f>IF(COUNTIF(data1!$D:$D,D4271)=0,"Missing in Data1","Present")</f>
        <v>Present</v>
      </c>
    </row>
    <row r="4272" spans="1:5" x14ac:dyDescent="0.25">
      <c r="A4272" s="2" t="s">
        <v>3833</v>
      </c>
      <c r="B4272" s="2" t="s">
        <v>2156</v>
      </c>
      <c r="C4272" s="2">
        <v>3</v>
      </c>
      <c r="D4272" t="str">
        <f t="shared" si="66"/>
        <v>CA-2016-135776_OFF-AR-10001246</v>
      </c>
      <c r="E4272" t="str">
        <f>IF(COUNTIF(data1!$D:$D,D4272)=0,"Missing in Data1","Present")</f>
        <v>Present</v>
      </c>
    </row>
    <row r="4273" spans="1:5" x14ac:dyDescent="0.25">
      <c r="A4273" s="2" t="s">
        <v>3833</v>
      </c>
      <c r="B4273" s="2" t="s">
        <v>699</v>
      </c>
      <c r="C4273" s="2">
        <v>2</v>
      </c>
      <c r="D4273" t="str">
        <f t="shared" si="66"/>
        <v>CA-2016-135776_OFF-EN-10004773</v>
      </c>
      <c r="E4273" t="str">
        <f>IF(COUNTIF(data1!$D:$D,D4273)=0,"Missing in Data1","Present")</f>
        <v>Present</v>
      </c>
    </row>
    <row r="4274" spans="1:5" x14ac:dyDescent="0.25">
      <c r="A4274" s="2" t="s">
        <v>3833</v>
      </c>
      <c r="B4274" s="2" t="s">
        <v>1506</v>
      </c>
      <c r="C4274" s="2">
        <v>2</v>
      </c>
      <c r="D4274" t="str">
        <f t="shared" si="66"/>
        <v>CA-2016-135776_OFF-PA-10001295</v>
      </c>
      <c r="E4274" t="str">
        <f>IF(COUNTIF(data1!$D:$D,D4274)=0,"Missing in Data1","Present")</f>
        <v>Present</v>
      </c>
    </row>
    <row r="4275" spans="1:5" x14ac:dyDescent="0.25">
      <c r="A4275" s="2" t="s">
        <v>3833</v>
      </c>
      <c r="B4275" s="2" t="s">
        <v>3511</v>
      </c>
      <c r="C4275" s="2">
        <v>1</v>
      </c>
      <c r="D4275" t="str">
        <f t="shared" si="66"/>
        <v>CA-2016-135776_OFF-PA-10004327</v>
      </c>
      <c r="E4275" t="str">
        <f>IF(COUNTIF(data1!$D:$D,D4275)=0,"Missing in Data1","Present")</f>
        <v>Present</v>
      </c>
    </row>
    <row r="4276" spans="1:5" x14ac:dyDescent="0.25">
      <c r="A4276" s="2" t="s">
        <v>3833</v>
      </c>
      <c r="B4276" s="2" t="s">
        <v>444</v>
      </c>
      <c r="C4276" s="2">
        <v>2</v>
      </c>
      <c r="D4276" t="str">
        <f t="shared" si="66"/>
        <v>CA-2016-135776_OFF-ST-10002743</v>
      </c>
      <c r="E4276" t="str">
        <f>IF(COUNTIF(data1!$D:$D,D4276)=0,"Missing in Data1","Present")</f>
        <v>Present</v>
      </c>
    </row>
    <row r="4277" spans="1:5" x14ac:dyDescent="0.25">
      <c r="A4277" s="2" t="s">
        <v>3833</v>
      </c>
      <c r="B4277" s="2" t="s">
        <v>304</v>
      </c>
      <c r="C4277" s="2">
        <v>4</v>
      </c>
      <c r="D4277" t="str">
        <f t="shared" si="66"/>
        <v>CA-2016-135776_OFF-ST-10003470</v>
      </c>
      <c r="E4277" t="str">
        <f>IF(COUNTIF(data1!$D:$D,D4277)=0,"Missing in Data1","Present")</f>
        <v>Present</v>
      </c>
    </row>
    <row r="4278" spans="1:5" x14ac:dyDescent="0.25">
      <c r="A4278" s="2" t="s">
        <v>3835</v>
      </c>
      <c r="B4278" s="2" t="s">
        <v>1178</v>
      </c>
      <c r="C4278" s="2">
        <v>6</v>
      </c>
      <c r="D4278" t="str">
        <f t="shared" si="66"/>
        <v>CA-2016-135965_OFF-ST-10002370</v>
      </c>
      <c r="E4278" t="str">
        <f>IF(COUNTIF(data1!$D:$D,D4278)=0,"Missing in Data1","Present")</f>
        <v>Present</v>
      </c>
    </row>
    <row r="4279" spans="1:5" x14ac:dyDescent="0.25">
      <c r="A4279" s="2" t="s">
        <v>3836</v>
      </c>
      <c r="B4279" s="2" t="s">
        <v>3837</v>
      </c>
      <c r="C4279" s="2">
        <v>3</v>
      </c>
      <c r="D4279" t="str">
        <f t="shared" si="66"/>
        <v>CA-2016-136021_OFF-PA-10000551</v>
      </c>
      <c r="E4279" t="str">
        <f>IF(COUNTIF(data1!$D:$D,D4279)=0,"Missing in Data1","Present")</f>
        <v>Present</v>
      </c>
    </row>
    <row r="4280" spans="1:5" x14ac:dyDescent="0.25">
      <c r="A4280" s="2" t="s">
        <v>3836</v>
      </c>
      <c r="B4280" s="2" t="s">
        <v>187</v>
      </c>
      <c r="C4280" s="2">
        <v>6</v>
      </c>
      <c r="D4280" t="str">
        <f t="shared" si="66"/>
        <v>CA-2016-136021_TEC-MA-10000423</v>
      </c>
      <c r="E4280" t="str">
        <f>IF(COUNTIF(data1!$D:$D,D4280)=0,"Missing in Data1","Present")</f>
        <v>Present</v>
      </c>
    </row>
    <row r="4281" spans="1:5" x14ac:dyDescent="0.25">
      <c r="A4281" s="2" t="s">
        <v>6802</v>
      </c>
      <c r="B4281" s="2" t="s">
        <v>1721</v>
      </c>
      <c r="C4281" s="2">
        <v>3</v>
      </c>
      <c r="D4281" t="str">
        <f t="shared" si="66"/>
        <v>CA-2016-136049_OFF-BI-10001267</v>
      </c>
      <c r="E4281" t="str">
        <f>IF(COUNTIF(data1!$D:$D,D4281)=0,"Missing in Data1","Present")</f>
        <v>Missing in Data1</v>
      </c>
    </row>
    <row r="4282" spans="1:5" x14ac:dyDescent="0.25">
      <c r="A4282" s="2" t="s">
        <v>3838</v>
      </c>
      <c r="B4282" s="2" t="s">
        <v>3511</v>
      </c>
      <c r="C4282" s="2">
        <v>4</v>
      </c>
      <c r="D4282" t="str">
        <f t="shared" si="66"/>
        <v>CA-2016-136126_OFF-PA-10004327</v>
      </c>
      <c r="E4282" t="str">
        <f>IF(COUNTIF(data1!$D:$D,D4282)=0,"Missing in Data1","Present")</f>
        <v>Present</v>
      </c>
    </row>
    <row r="4283" spans="1:5" x14ac:dyDescent="0.25">
      <c r="A4283" s="2" t="s">
        <v>3838</v>
      </c>
      <c r="B4283" s="2" t="s">
        <v>1850</v>
      </c>
      <c r="C4283" s="2">
        <v>5</v>
      </c>
      <c r="D4283" t="str">
        <f t="shared" si="66"/>
        <v>CA-2016-136126_OFF-SU-10000898</v>
      </c>
      <c r="E4283" t="str">
        <f>IF(COUNTIF(data1!$D:$D,D4283)=0,"Missing in Data1","Present")</f>
        <v>Present</v>
      </c>
    </row>
    <row r="4284" spans="1:5" x14ac:dyDescent="0.25">
      <c r="A4284" s="2" t="s">
        <v>3839</v>
      </c>
      <c r="B4284" s="2" t="s">
        <v>754</v>
      </c>
      <c r="C4284" s="2">
        <v>9</v>
      </c>
      <c r="D4284" t="str">
        <f t="shared" si="66"/>
        <v>CA-2016-136133_OFF-AP-10000576</v>
      </c>
      <c r="E4284" t="str">
        <f>IF(COUNTIF(data1!$D:$D,D4284)=0,"Missing in Data1","Present")</f>
        <v>Present</v>
      </c>
    </row>
    <row r="4285" spans="1:5" x14ac:dyDescent="0.25">
      <c r="A4285" s="2" t="s">
        <v>3840</v>
      </c>
      <c r="B4285" s="2" t="s">
        <v>5</v>
      </c>
      <c r="C4285" s="2">
        <v>7</v>
      </c>
      <c r="D4285" t="str">
        <f t="shared" si="66"/>
        <v>CA-2016-136231_OFF-BI-10001597</v>
      </c>
      <c r="E4285" t="str">
        <f>IF(COUNTIF(data1!$D:$D,D4285)=0,"Missing in Data1","Present")</f>
        <v>Present</v>
      </c>
    </row>
    <row r="4286" spans="1:5" x14ac:dyDescent="0.25">
      <c r="A4286" s="2" t="s">
        <v>3840</v>
      </c>
      <c r="B4286" s="2" t="s">
        <v>284</v>
      </c>
      <c r="C4286" s="2">
        <v>3</v>
      </c>
      <c r="D4286" t="str">
        <f t="shared" si="66"/>
        <v>CA-2016-136231_OFF-EN-10001099</v>
      </c>
      <c r="E4286" t="str">
        <f>IF(COUNTIF(data1!$D:$D,D4286)=0,"Missing in Data1","Present")</f>
        <v>Present</v>
      </c>
    </row>
    <row r="4287" spans="1:5" x14ac:dyDescent="0.25">
      <c r="A4287" s="2" t="s">
        <v>3840</v>
      </c>
      <c r="B4287" s="2" t="s">
        <v>408</v>
      </c>
      <c r="C4287" s="2">
        <v>3</v>
      </c>
      <c r="D4287" t="str">
        <f t="shared" si="66"/>
        <v>CA-2016-136231_OFF-PA-10000327</v>
      </c>
      <c r="E4287" t="str">
        <f>IF(COUNTIF(data1!$D:$D,D4287)=0,"Missing in Data1","Present")</f>
        <v>Present</v>
      </c>
    </row>
    <row r="4288" spans="1:5" x14ac:dyDescent="0.25">
      <c r="A4288" s="2" t="s">
        <v>3840</v>
      </c>
      <c r="B4288" s="2" t="s">
        <v>3841</v>
      </c>
      <c r="C4288" s="2">
        <v>2</v>
      </c>
      <c r="D4288" t="str">
        <f t="shared" si="66"/>
        <v>CA-2016-136231_TEC-PH-10002660</v>
      </c>
      <c r="E4288" t="str">
        <f>IF(COUNTIF(data1!$D:$D,D4288)=0,"Missing in Data1","Present")</f>
        <v>Present</v>
      </c>
    </row>
    <row r="4289" spans="1:5" x14ac:dyDescent="0.25">
      <c r="A4289" s="2" t="s">
        <v>3842</v>
      </c>
      <c r="B4289" s="2" t="s">
        <v>1570</v>
      </c>
      <c r="C4289" s="2">
        <v>3</v>
      </c>
      <c r="D4289" t="str">
        <f t="shared" si="66"/>
        <v>CA-2016-136287_OFF-LA-10003148</v>
      </c>
      <c r="E4289" t="str">
        <f>IF(COUNTIF(data1!$D:$D,D4289)=0,"Missing in Data1","Present")</f>
        <v>Present</v>
      </c>
    </row>
    <row r="4290" spans="1:5" x14ac:dyDescent="0.25">
      <c r="A4290" s="2" t="s">
        <v>3843</v>
      </c>
      <c r="B4290" s="2" t="s">
        <v>3844</v>
      </c>
      <c r="C4290" s="2">
        <v>2</v>
      </c>
      <c r="D4290" t="str">
        <f t="shared" si="66"/>
        <v>CA-2016-136301_FUR-FU-10004712</v>
      </c>
      <c r="E4290" t="str">
        <f>IF(COUNTIF(data1!$D:$D,D4290)=0,"Missing in Data1","Present")</f>
        <v>Present</v>
      </c>
    </row>
    <row r="4291" spans="1:5" x14ac:dyDescent="0.25">
      <c r="A4291" s="2" t="s">
        <v>3843</v>
      </c>
      <c r="B4291" s="2" t="s">
        <v>1294</v>
      </c>
      <c r="C4291" s="2">
        <v>3</v>
      </c>
      <c r="D4291" t="str">
        <f t="shared" ref="D4291:D4354" si="67">A4291&amp;"_"&amp;B4291</f>
        <v>CA-2016-136301_OFF-SU-10000151</v>
      </c>
      <c r="E4291" t="str">
        <f>IF(COUNTIF(data1!$D:$D,D4291)=0,"Missing in Data1","Present")</f>
        <v>Present</v>
      </c>
    </row>
    <row r="4292" spans="1:5" x14ac:dyDescent="0.25">
      <c r="A4292" s="2" t="s">
        <v>3845</v>
      </c>
      <c r="B4292" s="2" t="s">
        <v>349</v>
      </c>
      <c r="C4292" s="2">
        <v>2</v>
      </c>
      <c r="D4292" t="str">
        <f t="shared" si="67"/>
        <v>CA-2016-136322_FUR-FU-10002878</v>
      </c>
      <c r="E4292" t="str">
        <f>IF(COUNTIF(data1!$D:$D,D4292)=0,"Missing in Data1","Present")</f>
        <v>Present</v>
      </c>
    </row>
    <row r="4293" spans="1:5" x14ac:dyDescent="0.25">
      <c r="A4293" s="2" t="s">
        <v>3845</v>
      </c>
      <c r="B4293" s="2" t="s">
        <v>1950</v>
      </c>
      <c r="C4293" s="2">
        <v>8</v>
      </c>
      <c r="D4293" t="str">
        <f t="shared" si="67"/>
        <v>CA-2016-136322_OFF-BI-10004817</v>
      </c>
      <c r="E4293" t="str">
        <f>IF(COUNTIF(data1!$D:$D,D4293)=0,"Missing in Data1","Present")</f>
        <v>Present</v>
      </c>
    </row>
    <row r="4294" spans="1:5" x14ac:dyDescent="0.25">
      <c r="A4294" s="2" t="s">
        <v>3846</v>
      </c>
      <c r="B4294" s="2" t="s">
        <v>2767</v>
      </c>
      <c r="C4294" s="2">
        <v>2</v>
      </c>
      <c r="D4294" t="str">
        <f t="shared" si="67"/>
        <v>CA-2016-136329_FUR-CH-10002335</v>
      </c>
      <c r="E4294" t="str">
        <f>IF(COUNTIF(data1!$D:$D,D4294)=0,"Missing in Data1","Present")</f>
        <v>Present</v>
      </c>
    </row>
    <row r="4295" spans="1:5" x14ac:dyDescent="0.25">
      <c r="A4295" s="2" t="s">
        <v>3846</v>
      </c>
      <c r="B4295" s="2" t="s">
        <v>160</v>
      </c>
      <c r="C4295" s="2">
        <v>4</v>
      </c>
      <c r="D4295" t="str">
        <f t="shared" si="67"/>
        <v>CA-2016-136329_FUR-FU-10000723</v>
      </c>
      <c r="E4295" t="str">
        <f>IF(COUNTIF(data1!$D:$D,D4295)=0,"Missing in Data1","Present")</f>
        <v>Present</v>
      </c>
    </row>
    <row r="4296" spans="1:5" x14ac:dyDescent="0.25">
      <c r="A4296" s="2" t="s">
        <v>3847</v>
      </c>
      <c r="B4296" s="2" t="s">
        <v>339</v>
      </c>
      <c r="C4296" s="2">
        <v>4</v>
      </c>
      <c r="D4296" t="str">
        <f t="shared" si="67"/>
        <v>CA-2016-136371_FUR-FU-10000221</v>
      </c>
      <c r="E4296" t="str">
        <f>IF(COUNTIF(data1!$D:$D,D4296)=0,"Missing in Data1","Present")</f>
        <v>Present</v>
      </c>
    </row>
    <row r="4297" spans="1:5" x14ac:dyDescent="0.25">
      <c r="A4297" s="2" t="s">
        <v>3847</v>
      </c>
      <c r="B4297" s="2" t="s">
        <v>53</v>
      </c>
      <c r="C4297" s="2">
        <v>1</v>
      </c>
      <c r="D4297" t="str">
        <f t="shared" si="67"/>
        <v>CA-2016-136371_FUR-FU-10000409</v>
      </c>
      <c r="E4297" t="str">
        <f>IF(COUNTIF(data1!$D:$D,D4297)=0,"Missing in Data1","Present")</f>
        <v>Present</v>
      </c>
    </row>
    <row r="4298" spans="1:5" x14ac:dyDescent="0.25">
      <c r="A4298" s="2" t="s">
        <v>3848</v>
      </c>
      <c r="B4298" s="2" t="s">
        <v>561</v>
      </c>
      <c r="C4298" s="2">
        <v>2</v>
      </c>
      <c r="D4298" t="str">
        <f t="shared" si="67"/>
        <v>CA-2016-136406_FUR-CH-10002024</v>
      </c>
      <c r="E4298" t="str">
        <f>IF(COUNTIF(data1!$D:$D,D4298)=0,"Missing in Data1","Present")</f>
        <v>Present</v>
      </c>
    </row>
    <row r="4299" spans="1:5" x14ac:dyDescent="0.25">
      <c r="A4299" s="2" t="s">
        <v>3849</v>
      </c>
      <c r="B4299" s="2" t="s">
        <v>577</v>
      </c>
      <c r="C4299" s="2">
        <v>3</v>
      </c>
      <c r="D4299" t="str">
        <f t="shared" si="67"/>
        <v>CA-2016-136434_FUR-FU-10001196</v>
      </c>
      <c r="E4299" t="str">
        <f>IF(COUNTIF(data1!$D:$D,D4299)=0,"Missing in Data1","Present")</f>
        <v>Present</v>
      </c>
    </row>
    <row r="4300" spans="1:5" x14ac:dyDescent="0.25">
      <c r="A4300" s="2" t="s">
        <v>3850</v>
      </c>
      <c r="B4300" s="2" t="s">
        <v>3171</v>
      </c>
      <c r="C4300" s="2">
        <v>2</v>
      </c>
      <c r="D4300" t="str">
        <f t="shared" si="67"/>
        <v>CA-2016-136483_OFF-AR-10000940</v>
      </c>
      <c r="E4300" t="str">
        <f>IF(COUNTIF(data1!$D:$D,D4300)=0,"Missing in Data1","Present")</f>
        <v>Present</v>
      </c>
    </row>
    <row r="4301" spans="1:5" x14ac:dyDescent="0.25">
      <c r="A4301" s="2" t="s">
        <v>3851</v>
      </c>
      <c r="B4301" s="2" t="s">
        <v>164</v>
      </c>
      <c r="C4301" s="2">
        <v>3</v>
      </c>
      <c r="D4301" t="str">
        <f t="shared" si="67"/>
        <v>CA-2016-136595_FUR-FU-10004671</v>
      </c>
      <c r="E4301" t="str">
        <f>IF(COUNTIF(data1!$D:$D,D4301)=0,"Missing in Data1","Present")</f>
        <v>Present</v>
      </c>
    </row>
    <row r="4302" spans="1:5" x14ac:dyDescent="0.25">
      <c r="A4302" s="2" t="s">
        <v>3852</v>
      </c>
      <c r="B4302" s="2" t="s">
        <v>226</v>
      </c>
      <c r="C4302" s="2">
        <v>6</v>
      </c>
      <c r="D4302" t="str">
        <f t="shared" si="67"/>
        <v>CA-2016-136686_FUR-FU-10004864</v>
      </c>
      <c r="E4302" t="str">
        <f>IF(COUNTIF(data1!$D:$D,D4302)=0,"Missing in Data1","Present")</f>
        <v>Present</v>
      </c>
    </row>
    <row r="4303" spans="1:5" x14ac:dyDescent="0.25">
      <c r="A4303" s="2" t="s">
        <v>3852</v>
      </c>
      <c r="B4303" s="2" t="s">
        <v>514</v>
      </c>
      <c r="C4303" s="2">
        <v>3</v>
      </c>
      <c r="D4303" t="str">
        <f t="shared" si="67"/>
        <v>CA-2016-136686_OFF-AP-10002350</v>
      </c>
      <c r="E4303" t="str">
        <f>IF(COUNTIF(data1!$D:$D,D4303)=0,"Missing in Data1","Present")</f>
        <v>Present</v>
      </c>
    </row>
    <row r="4304" spans="1:5" x14ac:dyDescent="0.25">
      <c r="A4304" s="2" t="s">
        <v>3853</v>
      </c>
      <c r="B4304" s="2" t="s">
        <v>602</v>
      </c>
      <c r="C4304" s="2">
        <v>2</v>
      </c>
      <c r="D4304" t="str">
        <f t="shared" si="67"/>
        <v>CA-2016-136770_TEC-PH-10001530</v>
      </c>
      <c r="E4304" t="str">
        <f>IF(COUNTIF(data1!$D:$D,D4304)=0,"Missing in Data1","Present")</f>
        <v>Present</v>
      </c>
    </row>
    <row r="4305" spans="1:5" x14ac:dyDescent="0.25">
      <c r="A4305" s="2" t="s">
        <v>3853</v>
      </c>
      <c r="B4305" s="2" t="s">
        <v>2691</v>
      </c>
      <c r="C4305" s="2">
        <v>2</v>
      </c>
      <c r="D4305" t="str">
        <f t="shared" si="67"/>
        <v>CA-2016-136770_TEC-PH-10003580</v>
      </c>
      <c r="E4305" t="str">
        <f>IF(COUNTIF(data1!$D:$D,D4305)=0,"Missing in Data1","Present")</f>
        <v>Present</v>
      </c>
    </row>
    <row r="4306" spans="1:5" x14ac:dyDescent="0.25">
      <c r="A4306" s="2" t="s">
        <v>3854</v>
      </c>
      <c r="B4306" s="2" t="s">
        <v>304</v>
      </c>
      <c r="C4306" s="2">
        <v>4</v>
      </c>
      <c r="D4306" t="str">
        <f t="shared" si="67"/>
        <v>CA-2016-136812_OFF-ST-10003470</v>
      </c>
      <c r="E4306" t="str">
        <f>IF(COUNTIF(data1!$D:$D,D4306)=0,"Missing in Data1","Present")</f>
        <v>Present</v>
      </c>
    </row>
    <row r="4307" spans="1:5" x14ac:dyDescent="0.25">
      <c r="A4307" s="2" t="s">
        <v>3855</v>
      </c>
      <c r="B4307" s="2" t="s">
        <v>2435</v>
      </c>
      <c r="C4307" s="2">
        <v>8</v>
      </c>
      <c r="D4307" t="str">
        <f t="shared" si="67"/>
        <v>CA-2016-136924_TEC-PH-10002262</v>
      </c>
      <c r="E4307" t="str">
        <f>IF(COUNTIF(data1!$D:$D,D4307)=0,"Missing in Data1","Present")</f>
        <v>Present</v>
      </c>
    </row>
    <row r="4308" spans="1:5" x14ac:dyDescent="0.25">
      <c r="A4308" s="2" t="s">
        <v>3856</v>
      </c>
      <c r="B4308" s="2" t="s">
        <v>1707</v>
      </c>
      <c r="C4308" s="2">
        <v>2</v>
      </c>
      <c r="D4308" t="str">
        <f t="shared" si="67"/>
        <v>CA-2016-136994_OFF-PA-10000575</v>
      </c>
      <c r="E4308" t="str">
        <f>IF(COUNTIF(data1!$D:$D,D4308)=0,"Missing in Data1","Present")</f>
        <v>Present</v>
      </c>
    </row>
    <row r="4309" spans="1:5" x14ac:dyDescent="0.25">
      <c r="A4309" s="2" t="s">
        <v>3857</v>
      </c>
      <c r="B4309" s="2" t="s">
        <v>3272</v>
      </c>
      <c r="C4309" s="2">
        <v>9</v>
      </c>
      <c r="D4309" t="str">
        <f t="shared" si="67"/>
        <v>CA-2016-137043_FUR-FU-10003664</v>
      </c>
      <c r="E4309" t="str">
        <f>IF(COUNTIF(data1!$D:$D,D4309)=0,"Missing in Data1","Present")</f>
        <v>Present</v>
      </c>
    </row>
    <row r="4310" spans="1:5" x14ac:dyDescent="0.25">
      <c r="A4310" s="2" t="s">
        <v>3858</v>
      </c>
      <c r="B4310" s="2" t="s">
        <v>352</v>
      </c>
      <c r="C4310" s="2">
        <v>7</v>
      </c>
      <c r="D4310" t="str">
        <f t="shared" si="67"/>
        <v>CA-2016-137050_OFF-AR-10004999</v>
      </c>
      <c r="E4310" t="str">
        <f>IF(COUNTIF(data1!$D:$D,D4310)=0,"Missing in Data1","Present")</f>
        <v>Present</v>
      </c>
    </row>
    <row r="4311" spans="1:5" x14ac:dyDescent="0.25">
      <c r="A4311" s="2" t="s">
        <v>3858</v>
      </c>
      <c r="B4311" s="2" t="s">
        <v>773</v>
      </c>
      <c r="C4311" s="2">
        <v>2</v>
      </c>
      <c r="D4311" t="str">
        <f t="shared" si="67"/>
        <v>CA-2016-137050_OFF-BI-10001031</v>
      </c>
      <c r="E4311" t="str">
        <f>IF(COUNTIF(data1!$D:$D,D4311)=0,"Missing in Data1","Present")</f>
        <v>Present</v>
      </c>
    </row>
    <row r="4312" spans="1:5" x14ac:dyDescent="0.25">
      <c r="A4312" s="2" t="s">
        <v>3858</v>
      </c>
      <c r="B4312" s="2" t="s">
        <v>197</v>
      </c>
      <c r="C4312" s="2">
        <v>3</v>
      </c>
      <c r="D4312" t="str">
        <f t="shared" si="67"/>
        <v>CA-2016-137050_OFF-BI-10002160</v>
      </c>
      <c r="E4312" t="str">
        <f>IF(COUNTIF(data1!$D:$D,D4312)=0,"Missing in Data1","Present")</f>
        <v>Present</v>
      </c>
    </row>
    <row r="4313" spans="1:5" x14ac:dyDescent="0.25">
      <c r="A4313" s="2" t="s">
        <v>3858</v>
      </c>
      <c r="B4313" s="2" t="s">
        <v>1808</v>
      </c>
      <c r="C4313" s="2">
        <v>7</v>
      </c>
      <c r="D4313" t="str">
        <f t="shared" si="67"/>
        <v>CA-2016-137050_OFF-FA-10002988</v>
      </c>
      <c r="E4313" t="str">
        <f>IF(COUNTIF(data1!$D:$D,D4313)=0,"Missing in Data1","Present")</f>
        <v>Present</v>
      </c>
    </row>
    <row r="4314" spans="1:5" x14ac:dyDescent="0.25">
      <c r="A4314" s="2" t="s">
        <v>3858</v>
      </c>
      <c r="B4314" s="2" t="s">
        <v>1087</v>
      </c>
      <c r="C4314" s="2">
        <v>1</v>
      </c>
      <c r="D4314" t="str">
        <f t="shared" si="67"/>
        <v>CA-2016-137050_OFF-ST-10004634</v>
      </c>
      <c r="E4314" t="str">
        <f>IF(COUNTIF(data1!$D:$D,D4314)=0,"Missing in Data1","Present")</f>
        <v>Present</v>
      </c>
    </row>
    <row r="4315" spans="1:5" x14ac:dyDescent="0.25">
      <c r="A4315" s="2" t="s">
        <v>3859</v>
      </c>
      <c r="B4315" s="2" t="s">
        <v>215</v>
      </c>
      <c r="C4315" s="2">
        <v>3</v>
      </c>
      <c r="D4315" t="str">
        <f t="shared" si="67"/>
        <v>CA-2016-137127_OFF-LA-10001641</v>
      </c>
      <c r="E4315" t="str">
        <f>IF(COUNTIF(data1!$D:$D,D4315)=0,"Missing in Data1","Present")</f>
        <v>Present</v>
      </c>
    </row>
    <row r="4316" spans="1:5" x14ac:dyDescent="0.25">
      <c r="A4316" s="2" t="s">
        <v>3860</v>
      </c>
      <c r="B4316" s="2" t="s">
        <v>2789</v>
      </c>
      <c r="C4316" s="2">
        <v>4</v>
      </c>
      <c r="D4316" t="str">
        <f t="shared" si="67"/>
        <v>CA-2016-137176_FUR-FU-10003832</v>
      </c>
      <c r="E4316" t="str">
        <f>IF(COUNTIF(data1!$D:$D,D4316)=0,"Missing in Data1","Present")</f>
        <v>Present</v>
      </c>
    </row>
    <row r="4317" spans="1:5" x14ac:dyDescent="0.25">
      <c r="A4317" s="2" t="s">
        <v>3861</v>
      </c>
      <c r="B4317" s="2" t="s">
        <v>1258</v>
      </c>
      <c r="C4317" s="2">
        <v>2</v>
      </c>
      <c r="D4317" t="str">
        <f t="shared" si="67"/>
        <v>CA-2016-137204_FUR-CH-10002304</v>
      </c>
      <c r="E4317" t="str">
        <f>IF(COUNTIF(data1!$D:$D,D4317)=0,"Missing in Data1","Present")</f>
        <v>Present</v>
      </c>
    </row>
    <row r="4318" spans="1:5" x14ac:dyDescent="0.25">
      <c r="A4318" s="2" t="s">
        <v>3862</v>
      </c>
      <c r="B4318" s="2" t="s">
        <v>2442</v>
      </c>
      <c r="C4318" s="2">
        <v>2</v>
      </c>
      <c r="D4318" t="str">
        <f t="shared" si="67"/>
        <v>CA-2016-137239_OFF-AP-10002439</v>
      </c>
      <c r="E4318" t="str">
        <f>IF(COUNTIF(data1!$D:$D,D4318)=0,"Missing in Data1","Present")</f>
        <v>Present</v>
      </c>
    </row>
    <row r="4319" spans="1:5" x14ac:dyDescent="0.25">
      <c r="A4319" s="2" t="s">
        <v>3862</v>
      </c>
      <c r="B4319" s="2" t="s">
        <v>403</v>
      </c>
      <c r="C4319" s="2">
        <v>2</v>
      </c>
      <c r="D4319" t="str">
        <f t="shared" si="67"/>
        <v>CA-2016-137239_OFF-BI-10002827</v>
      </c>
      <c r="E4319" t="str">
        <f>IF(COUNTIF(data1!$D:$D,D4319)=0,"Missing in Data1","Present")</f>
        <v>Present</v>
      </c>
    </row>
    <row r="4320" spans="1:5" x14ac:dyDescent="0.25">
      <c r="A4320" s="2" t="s">
        <v>3863</v>
      </c>
      <c r="B4320" s="2" t="s">
        <v>1310</v>
      </c>
      <c r="C4320" s="2">
        <v>7</v>
      </c>
      <c r="D4320" t="str">
        <f t="shared" si="67"/>
        <v>CA-2016-137330_OFF-AP-10001492</v>
      </c>
      <c r="E4320" t="str">
        <f>IF(COUNTIF(data1!$D:$D,D4320)=0,"Missing in Data1","Present")</f>
        <v>Present</v>
      </c>
    </row>
    <row r="4321" spans="1:5" x14ac:dyDescent="0.25">
      <c r="A4321" s="2" t="s">
        <v>3863</v>
      </c>
      <c r="B4321" s="2" t="s">
        <v>3864</v>
      </c>
      <c r="C4321" s="2">
        <v>7</v>
      </c>
      <c r="D4321" t="str">
        <f t="shared" si="67"/>
        <v>CA-2016-137330_OFF-AR-10000246</v>
      </c>
      <c r="E4321" t="str">
        <f>IF(COUNTIF(data1!$D:$D,D4321)=0,"Missing in Data1","Present")</f>
        <v>Present</v>
      </c>
    </row>
    <row r="4322" spans="1:5" x14ac:dyDescent="0.25">
      <c r="A4322" s="2" t="s">
        <v>3865</v>
      </c>
      <c r="B4322" s="2" t="s">
        <v>2689</v>
      </c>
      <c r="C4322" s="2">
        <v>8</v>
      </c>
      <c r="D4322" t="str">
        <f t="shared" si="67"/>
        <v>CA-2016-137337_FUR-FU-10003347</v>
      </c>
      <c r="E4322" t="str">
        <f>IF(COUNTIF(data1!$D:$D,D4322)=0,"Missing in Data1","Present")</f>
        <v>Present</v>
      </c>
    </row>
    <row r="4323" spans="1:5" x14ac:dyDescent="0.25">
      <c r="A4323" s="2" t="s">
        <v>3865</v>
      </c>
      <c r="B4323" s="2" t="s">
        <v>740</v>
      </c>
      <c r="C4323" s="2">
        <v>2</v>
      </c>
      <c r="D4323" t="str">
        <f t="shared" si="67"/>
        <v>CA-2016-137337_OFF-BI-10000632</v>
      </c>
      <c r="E4323" t="str">
        <f>IF(COUNTIF(data1!$D:$D,D4323)=0,"Missing in Data1","Present")</f>
        <v>Present</v>
      </c>
    </row>
    <row r="4324" spans="1:5" x14ac:dyDescent="0.25">
      <c r="A4324" s="2" t="s">
        <v>3865</v>
      </c>
      <c r="B4324" s="2" t="s">
        <v>3575</v>
      </c>
      <c r="C4324" s="2">
        <v>2</v>
      </c>
      <c r="D4324" t="str">
        <f t="shared" si="67"/>
        <v>CA-2016-137337_OFF-PA-10001934</v>
      </c>
      <c r="E4324" t="str">
        <f>IF(COUNTIF(data1!$D:$D,D4324)=0,"Missing in Data1","Present")</f>
        <v>Present</v>
      </c>
    </row>
    <row r="4325" spans="1:5" x14ac:dyDescent="0.25">
      <c r="A4325" s="2" t="s">
        <v>3868</v>
      </c>
      <c r="B4325" s="2" t="s">
        <v>1019</v>
      </c>
      <c r="C4325" s="2">
        <v>8</v>
      </c>
      <c r="D4325" t="str">
        <f t="shared" si="67"/>
        <v>CA-2016-137652_OFF-BI-10004099</v>
      </c>
      <c r="E4325" t="str">
        <f>IF(COUNTIF(data1!$D:$D,D4325)=0,"Missing in Data1","Present")</f>
        <v>Present</v>
      </c>
    </row>
    <row r="4326" spans="1:5" x14ac:dyDescent="0.25">
      <c r="A4326" s="2" t="s">
        <v>3869</v>
      </c>
      <c r="B4326" s="2" t="s">
        <v>1587</v>
      </c>
      <c r="C4326" s="2">
        <v>8</v>
      </c>
      <c r="D4326" t="str">
        <f t="shared" si="67"/>
        <v>CA-2016-137673_TEC-AC-10002345</v>
      </c>
      <c r="E4326" t="str">
        <f>IF(COUNTIF(data1!$D:$D,D4326)=0,"Missing in Data1","Present")</f>
        <v>Present</v>
      </c>
    </row>
    <row r="4327" spans="1:5" x14ac:dyDescent="0.25">
      <c r="A4327" s="2" t="s">
        <v>3870</v>
      </c>
      <c r="B4327" s="2" t="s">
        <v>487</v>
      </c>
      <c r="C4327" s="2">
        <v>1</v>
      </c>
      <c r="D4327" t="str">
        <f t="shared" si="67"/>
        <v>CA-2016-137729_OFF-ST-10001505</v>
      </c>
      <c r="E4327" t="str">
        <f>IF(COUNTIF(data1!$D:$D,D4327)=0,"Missing in Data1","Present")</f>
        <v>Present</v>
      </c>
    </row>
    <row r="4328" spans="1:5" x14ac:dyDescent="0.25">
      <c r="A4328" s="2" t="s">
        <v>3870</v>
      </c>
      <c r="B4328" s="2" t="s">
        <v>2873</v>
      </c>
      <c r="C4328" s="2">
        <v>3</v>
      </c>
      <c r="D4328" t="str">
        <f t="shared" si="67"/>
        <v>CA-2016-137729_TEC-PH-10001433</v>
      </c>
      <c r="E4328" t="str">
        <f>IF(COUNTIF(data1!$D:$D,D4328)=0,"Missing in Data1","Present")</f>
        <v>Present</v>
      </c>
    </row>
    <row r="4329" spans="1:5" x14ac:dyDescent="0.25">
      <c r="A4329" s="2" t="s">
        <v>3871</v>
      </c>
      <c r="B4329" s="2" t="s">
        <v>352</v>
      </c>
      <c r="C4329" s="2">
        <v>7</v>
      </c>
      <c r="D4329" t="str">
        <f t="shared" si="67"/>
        <v>CA-2016-137736_OFF-AR-10004999</v>
      </c>
      <c r="E4329" t="str">
        <f>IF(COUNTIF(data1!$D:$D,D4329)=0,"Missing in Data1","Present")</f>
        <v>Present</v>
      </c>
    </row>
    <row r="4330" spans="1:5" x14ac:dyDescent="0.25">
      <c r="A4330" s="2" t="s">
        <v>3872</v>
      </c>
      <c r="B4330" s="2" t="s">
        <v>3873</v>
      </c>
      <c r="C4330" s="2">
        <v>4</v>
      </c>
      <c r="D4330" t="str">
        <f t="shared" si="67"/>
        <v>CA-2016-137743_OFF-LA-10003663</v>
      </c>
      <c r="E4330" t="str">
        <f>IF(COUNTIF(data1!$D:$D,D4330)=0,"Missing in Data1","Present")</f>
        <v>Present</v>
      </c>
    </row>
    <row r="4331" spans="1:5" x14ac:dyDescent="0.25">
      <c r="A4331" s="2" t="s">
        <v>3872</v>
      </c>
      <c r="B4331" s="2" t="s">
        <v>2293</v>
      </c>
      <c r="C4331" s="2">
        <v>2</v>
      </c>
      <c r="D4331" t="str">
        <f t="shared" si="67"/>
        <v>CA-2016-137743_OFF-ST-10001780</v>
      </c>
      <c r="E4331" t="str">
        <f>IF(COUNTIF(data1!$D:$D,D4331)=0,"Missing in Data1","Present")</f>
        <v>Present</v>
      </c>
    </row>
    <row r="4332" spans="1:5" x14ac:dyDescent="0.25">
      <c r="A4332" s="2" t="s">
        <v>3874</v>
      </c>
      <c r="B4332" s="2" t="s">
        <v>824</v>
      </c>
      <c r="C4332" s="2">
        <v>3</v>
      </c>
      <c r="D4332" t="str">
        <f t="shared" si="67"/>
        <v>CA-2016-137848_OFF-BI-10002225</v>
      </c>
      <c r="E4332" t="str">
        <f>IF(COUNTIF(data1!$D:$D,D4332)=0,"Missing in Data1","Present")</f>
        <v>Present</v>
      </c>
    </row>
    <row r="4333" spans="1:5" x14ac:dyDescent="0.25">
      <c r="A4333" s="2" t="s">
        <v>3874</v>
      </c>
      <c r="B4333" s="2" t="s">
        <v>2274</v>
      </c>
      <c r="C4333" s="2">
        <v>4</v>
      </c>
      <c r="D4333" t="str">
        <f t="shared" si="67"/>
        <v>CA-2016-137848_OFF-EN-10001137</v>
      </c>
      <c r="E4333" t="str">
        <f>IF(COUNTIF(data1!$D:$D,D4333)=0,"Missing in Data1","Present")</f>
        <v>Present</v>
      </c>
    </row>
    <row r="4334" spans="1:5" x14ac:dyDescent="0.25">
      <c r="A4334" s="2" t="s">
        <v>3874</v>
      </c>
      <c r="B4334" s="2" t="s">
        <v>1952</v>
      </c>
      <c r="C4334" s="2">
        <v>9</v>
      </c>
      <c r="D4334" t="str">
        <f t="shared" si="67"/>
        <v>CA-2016-137848_OFF-PA-10004285</v>
      </c>
      <c r="E4334" t="str">
        <f>IF(COUNTIF(data1!$D:$D,D4334)=0,"Missing in Data1","Present")</f>
        <v>Present</v>
      </c>
    </row>
    <row r="4335" spans="1:5" x14ac:dyDescent="0.25">
      <c r="A4335" s="2" t="s">
        <v>3875</v>
      </c>
      <c r="B4335" s="2" t="s">
        <v>716</v>
      </c>
      <c r="C4335" s="2">
        <v>5</v>
      </c>
      <c r="D4335" t="str">
        <f t="shared" si="67"/>
        <v>CA-2016-137939_TEC-PH-10003589</v>
      </c>
      <c r="E4335" t="str">
        <f>IF(COUNTIF(data1!$D:$D,D4335)=0,"Missing in Data1","Present")</f>
        <v>Present</v>
      </c>
    </row>
    <row r="4336" spans="1:5" x14ac:dyDescent="0.25">
      <c r="A4336" s="2" t="s">
        <v>3876</v>
      </c>
      <c r="B4336" s="2" t="s">
        <v>1734</v>
      </c>
      <c r="C4336" s="2">
        <v>5</v>
      </c>
      <c r="D4336" t="str">
        <f t="shared" si="67"/>
        <v>CA-2016-138037_OFF-BI-10002982</v>
      </c>
      <c r="E4336" t="str">
        <f>IF(COUNTIF(data1!$D:$D,D4336)=0,"Missing in Data1","Present")</f>
        <v>Present</v>
      </c>
    </row>
    <row r="4337" spans="1:5" x14ac:dyDescent="0.25">
      <c r="A4337" s="2" t="s">
        <v>3877</v>
      </c>
      <c r="B4337" s="2" t="s">
        <v>1690</v>
      </c>
      <c r="C4337" s="2">
        <v>5</v>
      </c>
      <c r="D4337" t="str">
        <f t="shared" si="67"/>
        <v>CA-2016-138079_FUR-FU-10001475</v>
      </c>
      <c r="E4337" t="str">
        <f>IF(COUNTIF(data1!$D:$D,D4337)=0,"Missing in Data1","Present")</f>
        <v>Present</v>
      </c>
    </row>
    <row r="4338" spans="1:5" x14ac:dyDescent="0.25">
      <c r="A4338" s="2" t="s">
        <v>3878</v>
      </c>
      <c r="B4338" s="2" t="s">
        <v>1823</v>
      </c>
      <c r="C4338" s="2">
        <v>3</v>
      </c>
      <c r="D4338" t="str">
        <f t="shared" si="67"/>
        <v>CA-2016-138233_TEC-AC-10002001</v>
      </c>
      <c r="E4338" t="str">
        <f>IF(COUNTIF(data1!$D:$D,D4338)=0,"Missing in Data1","Present")</f>
        <v>Present</v>
      </c>
    </row>
    <row r="4339" spans="1:5" x14ac:dyDescent="0.25">
      <c r="A4339" s="2" t="s">
        <v>3879</v>
      </c>
      <c r="B4339" s="2" t="s">
        <v>1060</v>
      </c>
      <c r="C4339" s="2">
        <v>8</v>
      </c>
      <c r="D4339" t="str">
        <f t="shared" si="67"/>
        <v>CA-2016-138282_OFF-AP-10001366</v>
      </c>
      <c r="E4339" t="str">
        <f>IF(COUNTIF(data1!$D:$D,D4339)=0,"Missing in Data1","Present")</f>
        <v>Present</v>
      </c>
    </row>
    <row r="4340" spans="1:5" x14ac:dyDescent="0.25">
      <c r="A4340" s="2" t="s">
        <v>3880</v>
      </c>
      <c r="B4340" s="2" t="s">
        <v>3742</v>
      </c>
      <c r="C4340" s="2">
        <v>3</v>
      </c>
      <c r="D4340" t="str">
        <f t="shared" si="67"/>
        <v>CA-2016-138478_OFF-AR-10002240</v>
      </c>
      <c r="E4340" t="str">
        <f>IF(COUNTIF(data1!$D:$D,D4340)=0,"Missing in Data1","Present")</f>
        <v>Missing in Data1</v>
      </c>
    </row>
    <row r="4341" spans="1:5" x14ac:dyDescent="0.25">
      <c r="A4341" s="2" t="s">
        <v>3880</v>
      </c>
      <c r="B4341" s="2" t="s">
        <v>580</v>
      </c>
      <c r="C4341" s="2">
        <v>3</v>
      </c>
      <c r="D4341" t="str">
        <f t="shared" si="67"/>
        <v>CA-2016-138478_OFF-BI-10001120</v>
      </c>
      <c r="E4341" t="str">
        <f>IF(COUNTIF(data1!$D:$D,D4341)=0,"Missing in Data1","Present")</f>
        <v>Present</v>
      </c>
    </row>
    <row r="4342" spans="1:5" x14ac:dyDescent="0.25">
      <c r="A4342" s="2" t="s">
        <v>3880</v>
      </c>
      <c r="B4342" s="2" t="s">
        <v>3001</v>
      </c>
      <c r="C4342" s="2">
        <v>6</v>
      </c>
      <c r="D4342" t="str">
        <f t="shared" si="67"/>
        <v>CA-2016-138478_OFF-PA-10001801</v>
      </c>
      <c r="E4342" t="str">
        <f>IF(COUNTIF(data1!$D:$D,D4342)=0,"Missing in Data1","Present")</f>
        <v>Present</v>
      </c>
    </row>
    <row r="4343" spans="1:5" x14ac:dyDescent="0.25">
      <c r="A4343" s="2" t="s">
        <v>3881</v>
      </c>
      <c r="B4343" s="2" t="s">
        <v>3882</v>
      </c>
      <c r="C4343" s="2">
        <v>6</v>
      </c>
      <c r="D4343" t="str">
        <f t="shared" si="67"/>
        <v>CA-2016-138520_FUR-BO-10002268</v>
      </c>
      <c r="E4343" t="str">
        <f>IF(COUNTIF(data1!$D:$D,D4343)=0,"Missing in Data1","Present")</f>
        <v>Present</v>
      </c>
    </row>
    <row r="4344" spans="1:5" x14ac:dyDescent="0.25">
      <c r="A4344" s="2" t="s">
        <v>3881</v>
      </c>
      <c r="B4344" s="2" t="s">
        <v>236</v>
      </c>
      <c r="C4344" s="2">
        <v>4</v>
      </c>
      <c r="D4344" t="str">
        <f t="shared" si="67"/>
        <v>CA-2016-138520_OFF-AR-10002399</v>
      </c>
      <c r="E4344" t="str">
        <f>IF(COUNTIF(data1!$D:$D,D4344)=0,"Missing in Data1","Present")</f>
        <v>Present</v>
      </c>
    </row>
    <row r="4345" spans="1:5" x14ac:dyDescent="0.25">
      <c r="A4345" s="2" t="s">
        <v>3881</v>
      </c>
      <c r="B4345" s="2" t="s">
        <v>2274</v>
      </c>
      <c r="C4345" s="2">
        <v>2</v>
      </c>
      <c r="D4345" t="str">
        <f t="shared" si="67"/>
        <v>CA-2016-138520_OFF-EN-10001137</v>
      </c>
      <c r="E4345" t="str">
        <f>IF(COUNTIF(data1!$D:$D,D4345)=0,"Missing in Data1","Present")</f>
        <v>Present</v>
      </c>
    </row>
    <row r="4346" spans="1:5" x14ac:dyDescent="0.25">
      <c r="A4346" s="2" t="s">
        <v>3883</v>
      </c>
      <c r="B4346" s="2" t="s">
        <v>3188</v>
      </c>
      <c r="C4346" s="2">
        <v>3</v>
      </c>
      <c r="D4346" t="str">
        <f t="shared" si="67"/>
        <v>CA-2016-138583_OFF-AR-10001860</v>
      </c>
      <c r="E4346" t="str">
        <f>IF(COUNTIF(data1!$D:$D,D4346)=0,"Missing in Data1","Present")</f>
        <v>Present</v>
      </c>
    </row>
    <row r="4347" spans="1:5" x14ac:dyDescent="0.25">
      <c r="A4347" s="2" t="s">
        <v>3884</v>
      </c>
      <c r="B4347" s="2" t="s">
        <v>680</v>
      </c>
      <c r="C4347" s="2">
        <v>3</v>
      </c>
      <c r="D4347" t="str">
        <f t="shared" si="67"/>
        <v>CA-2016-138597_FUR-CH-10004997</v>
      </c>
      <c r="E4347" t="str">
        <f>IF(COUNTIF(data1!$D:$D,D4347)=0,"Missing in Data1","Present")</f>
        <v>Present</v>
      </c>
    </row>
    <row r="4348" spans="1:5" x14ac:dyDescent="0.25">
      <c r="A4348" s="2" t="s">
        <v>3885</v>
      </c>
      <c r="B4348" s="2" t="s">
        <v>2389</v>
      </c>
      <c r="C4348" s="2">
        <v>2</v>
      </c>
      <c r="D4348" t="str">
        <f t="shared" si="67"/>
        <v>CA-2016-138667_TEC-AC-10003063</v>
      </c>
      <c r="E4348" t="str">
        <f>IF(COUNTIF(data1!$D:$D,D4348)=0,"Missing in Data1","Present")</f>
        <v>Present</v>
      </c>
    </row>
    <row r="4349" spans="1:5" x14ac:dyDescent="0.25">
      <c r="A4349" s="2" t="s">
        <v>3886</v>
      </c>
      <c r="B4349" s="2" t="s">
        <v>591</v>
      </c>
      <c r="C4349" s="2">
        <v>2</v>
      </c>
      <c r="D4349" t="str">
        <f t="shared" si="67"/>
        <v>CA-2016-138688_OFF-LA-10000240</v>
      </c>
      <c r="E4349" t="str">
        <f>IF(COUNTIF(data1!$D:$D,D4349)=0,"Missing in Data1","Present")</f>
        <v>Present</v>
      </c>
    </row>
    <row r="4350" spans="1:5" x14ac:dyDescent="0.25">
      <c r="A4350" s="2" t="s">
        <v>3887</v>
      </c>
      <c r="B4350" s="2" t="s">
        <v>246</v>
      </c>
      <c r="C4350" s="2">
        <v>8</v>
      </c>
      <c r="D4350" t="str">
        <f t="shared" si="67"/>
        <v>CA-2016-138695_FUR-CH-10003833</v>
      </c>
      <c r="E4350" t="str">
        <f>IF(COUNTIF(data1!$D:$D,D4350)=0,"Missing in Data1","Present")</f>
        <v>Present</v>
      </c>
    </row>
    <row r="4351" spans="1:5" x14ac:dyDescent="0.25">
      <c r="A4351" s="2" t="s">
        <v>3887</v>
      </c>
      <c r="B4351" s="2" t="s">
        <v>1250</v>
      </c>
      <c r="C4351" s="2">
        <v>13</v>
      </c>
      <c r="D4351" t="str">
        <f t="shared" si="67"/>
        <v>CA-2016-138695_OFF-PA-10001667</v>
      </c>
      <c r="E4351" t="str">
        <f>IF(COUNTIF(data1!$D:$D,D4351)=0,"Missing in Data1","Present")</f>
        <v>Present</v>
      </c>
    </row>
    <row r="4352" spans="1:5" x14ac:dyDescent="0.25">
      <c r="A4352" s="2" t="s">
        <v>3888</v>
      </c>
      <c r="B4352" s="2" t="s">
        <v>1478</v>
      </c>
      <c r="C4352" s="2">
        <v>1</v>
      </c>
      <c r="D4352" t="str">
        <f t="shared" si="67"/>
        <v>CA-2016-138933_OFF-BI-10003355</v>
      </c>
      <c r="E4352" t="str">
        <f>IF(COUNTIF(data1!$D:$D,D4352)=0,"Missing in Data1","Present")</f>
        <v>Present</v>
      </c>
    </row>
    <row r="4353" spans="1:5" x14ac:dyDescent="0.25">
      <c r="A4353" s="2" t="s">
        <v>3889</v>
      </c>
      <c r="B4353" s="2" t="s">
        <v>2351</v>
      </c>
      <c r="C4353" s="2">
        <v>4</v>
      </c>
      <c r="D4353" t="str">
        <f t="shared" si="67"/>
        <v>CA-2016-138968_FUR-CH-10000309</v>
      </c>
      <c r="E4353" t="str">
        <f>IF(COUNTIF(data1!$D:$D,D4353)=0,"Missing in Data1","Present")</f>
        <v>Present</v>
      </c>
    </row>
    <row r="4354" spans="1:5" x14ac:dyDescent="0.25">
      <c r="A4354" s="2" t="s">
        <v>3889</v>
      </c>
      <c r="B4354" s="2" t="s">
        <v>446</v>
      </c>
      <c r="C4354" s="2">
        <v>2</v>
      </c>
      <c r="D4354" t="str">
        <f t="shared" si="67"/>
        <v>CA-2016-138968_OFF-BI-10003529</v>
      </c>
      <c r="E4354" t="str">
        <f>IF(COUNTIF(data1!$D:$D,D4354)=0,"Missing in Data1","Present")</f>
        <v>Present</v>
      </c>
    </row>
    <row r="4355" spans="1:5" x14ac:dyDescent="0.25">
      <c r="A4355" s="2" t="s">
        <v>3890</v>
      </c>
      <c r="B4355" s="2" t="s">
        <v>423</v>
      </c>
      <c r="C4355" s="2">
        <v>4</v>
      </c>
      <c r="D4355" t="str">
        <f t="shared" ref="D4355:D4418" si="68">A4355&amp;"_"&amp;B4355</f>
        <v>CA-2016-139010_OFF-BI-10000174</v>
      </c>
      <c r="E4355" t="str">
        <f>IF(COUNTIF(data1!$D:$D,D4355)=0,"Missing in Data1","Present")</f>
        <v>Present</v>
      </c>
    </row>
    <row r="4356" spans="1:5" x14ac:dyDescent="0.25">
      <c r="A4356" s="2" t="s">
        <v>3890</v>
      </c>
      <c r="B4356" s="2" t="s">
        <v>3655</v>
      </c>
      <c r="C4356" s="2">
        <v>7</v>
      </c>
      <c r="D4356" t="str">
        <f t="shared" si="68"/>
        <v>CA-2016-139010_OFF-BI-10002309</v>
      </c>
      <c r="E4356" t="str">
        <f>IF(COUNTIF(data1!$D:$D,D4356)=0,"Missing in Data1","Present")</f>
        <v>Present</v>
      </c>
    </row>
    <row r="4357" spans="1:5" x14ac:dyDescent="0.25">
      <c r="A4357" s="2" t="s">
        <v>3890</v>
      </c>
      <c r="B4357" s="2" t="s">
        <v>465</v>
      </c>
      <c r="C4357" s="2">
        <v>5</v>
      </c>
      <c r="D4357" t="str">
        <f t="shared" si="68"/>
        <v>CA-2016-139010_OFF-ST-10001809</v>
      </c>
      <c r="E4357" t="str">
        <f>IF(COUNTIF(data1!$D:$D,D4357)=0,"Missing in Data1","Present")</f>
        <v>Present</v>
      </c>
    </row>
    <row r="4358" spans="1:5" x14ac:dyDescent="0.25">
      <c r="A4358" s="2" t="s">
        <v>3890</v>
      </c>
      <c r="B4358" s="2" t="s">
        <v>963</v>
      </c>
      <c r="C4358" s="2">
        <v>1</v>
      </c>
      <c r="D4358" t="str">
        <f t="shared" si="68"/>
        <v>CA-2016-139010_TEC-AC-10004227</v>
      </c>
      <c r="E4358" t="str">
        <f>IF(COUNTIF(data1!$D:$D,D4358)=0,"Missing in Data1","Present")</f>
        <v>Present</v>
      </c>
    </row>
    <row r="4359" spans="1:5" x14ac:dyDescent="0.25">
      <c r="A4359" s="2" t="s">
        <v>3891</v>
      </c>
      <c r="B4359" s="2" t="s">
        <v>1326</v>
      </c>
      <c r="C4359" s="2">
        <v>1</v>
      </c>
      <c r="D4359" t="str">
        <f t="shared" si="68"/>
        <v>CA-2016-139157_FUR-TA-10003238</v>
      </c>
      <c r="E4359" t="str">
        <f>IF(COUNTIF(data1!$D:$D,D4359)=0,"Missing in Data1","Present")</f>
        <v>Present</v>
      </c>
    </row>
    <row r="4360" spans="1:5" x14ac:dyDescent="0.25">
      <c r="A4360" s="2" t="s">
        <v>3892</v>
      </c>
      <c r="B4360" s="2" t="s">
        <v>1412</v>
      </c>
      <c r="C4360" s="2">
        <v>2</v>
      </c>
      <c r="D4360" t="str">
        <f t="shared" si="68"/>
        <v>CA-2016-139234_OFF-BI-10000773</v>
      </c>
      <c r="E4360" t="str">
        <f>IF(COUNTIF(data1!$D:$D,D4360)=0,"Missing in Data1","Present")</f>
        <v>Present</v>
      </c>
    </row>
    <row r="4361" spans="1:5" x14ac:dyDescent="0.25">
      <c r="A4361" s="2" t="s">
        <v>3892</v>
      </c>
      <c r="B4361" s="2" t="s">
        <v>676</v>
      </c>
      <c r="C4361" s="2">
        <v>2</v>
      </c>
      <c r="D4361" t="str">
        <f t="shared" si="68"/>
        <v>CA-2016-139234_TEC-AC-10004510</v>
      </c>
      <c r="E4361" t="str">
        <f>IF(COUNTIF(data1!$D:$D,D4361)=0,"Missing in Data1","Present")</f>
        <v>Present</v>
      </c>
    </row>
    <row r="4362" spans="1:5" x14ac:dyDescent="0.25">
      <c r="A4362" s="2" t="s">
        <v>3893</v>
      </c>
      <c r="B4362" s="2" t="s">
        <v>3894</v>
      </c>
      <c r="C4362" s="2">
        <v>4</v>
      </c>
      <c r="D4362" t="str">
        <f t="shared" si="68"/>
        <v>CA-2016-139269_FUR-FU-10000755</v>
      </c>
      <c r="E4362" t="str">
        <f>IF(COUNTIF(data1!$D:$D,D4362)=0,"Missing in Data1","Present")</f>
        <v>Present</v>
      </c>
    </row>
    <row r="4363" spans="1:5" x14ac:dyDescent="0.25">
      <c r="A4363" s="2" t="s">
        <v>3893</v>
      </c>
      <c r="B4363" s="2" t="s">
        <v>936</v>
      </c>
      <c r="C4363" s="2">
        <v>2</v>
      </c>
      <c r="D4363" t="str">
        <f t="shared" si="68"/>
        <v>CA-2016-139269_OFF-PA-10002893</v>
      </c>
      <c r="E4363" t="str">
        <f>IF(COUNTIF(data1!$D:$D,D4363)=0,"Missing in Data1","Present")</f>
        <v>Present</v>
      </c>
    </row>
    <row r="4364" spans="1:5" x14ac:dyDescent="0.25">
      <c r="A4364" s="2" t="s">
        <v>3893</v>
      </c>
      <c r="B4364" s="2" t="s">
        <v>1235</v>
      </c>
      <c r="C4364" s="2">
        <v>9</v>
      </c>
      <c r="D4364" t="str">
        <f t="shared" si="68"/>
        <v>CA-2016-139269_OFF-ST-10000689</v>
      </c>
      <c r="E4364" t="str">
        <f>IF(COUNTIF(data1!$D:$D,D4364)=0,"Missing in Data1","Present")</f>
        <v>Present</v>
      </c>
    </row>
    <row r="4365" spans="1:5" x14ac:dyDescent="0.25">
      <c r="A4365" s="2" t="s">
        <v>3895</v>
      </c>
      <c r="B4365" s="2" t="s">
        <v>1075</v>
      </c>
      <c r="C4365" s="2">
        <v>4</v>
      </c>
      <c r="D4365" t="str">
        <f t="shared" si="68"/>
        <v>CA-2016-139381_OFF-AP-10001271</v>
      </c>
      <c r="E4365" t="str">
        <f>IF(COUNTIF(data1!$D:$D,D4365)=0,"Missing in Data1","Present")</f>
        <v>Present</v>
      </c>
    </row>
    <row r="4366" spans="1:5" x14ac:dyDescent="0.25">
      <c r="A4366" s="2" t="s">
        <v>3895</v>
      </c>
      <c r="B4366" s="2" t="s">
        <v>2950</v>
      </c>
      <c r="C4366" s="2">
        <v>4</v>
      </c>
      <c r="D4366" t="str">
        <f t="shared" si="68"/>
        <v>CA-2016-139381_TEC-PH-10004924</v>
      </c>
      <c r="E4366" t="str">
        <f>IF(COUNTIF(data1!$D:$D,D4366)=0,"Missing in Data1","Present")</f>
        <v>Present</v>
      </c>
    </row>
    <row r="4367" spans="1:5" x14ac:dyDescent="0.25">
      <c r="A4367" s="2" t="s">
        <v>3896</v>
      </c>
      <c r="B4367" s="2" t="s">
        <v>1290</v>
      </c>
      <c r="C4367" s="2">
        <v>4</v>
      </c>
      <c r="D4367" t="str">
        <f t="shared" si="68"/>
        <v>CA-2016-139395_FUR-FU-10003724</v>
      </c>
      <c r="E4367" t="str">
        <f>IF(COUNTIF(data1!$D:$D,D4367)=0,"Missing in Data1","Present")</f>
        <v>Missing in Data1</v>
      </c>
    </row>
    <row r="4368" spans="1:5" x14ac:dyDescent="0.25">
      <c r="A4368" s="2" t="s">
        <v>3896</v>
      </c>
      <c r="B4368" s="2" t="s">
        <v>1596</v>
      </c>
      <c r="C4368" s="2">
        <v>5</v>
      </c>
      <c r="D4368" t="str">
        <f t="shared" si="68"/>
        <v>CA-2016-139395_OFF-AR-10003732</v>
      </c>
      <c r="E4368" t="str">
        <f>IF(COUNTIF(data1!$D:$D,D4368)=0,"Missing in Data1","Present")</f>
        <v>Present</v>
      </c>
    </row>
    <row r="4369" spans="1:5" x14ac:dyDescent="0.25">
      <c r="A4369" s="2" t="s">
        <v>3896</v>
      </c>
      <c r="B4369" s="2" t="s">
        <v>1229</v>
      </c>
      <c r="C4369" s="2">
        <v>2</v>
      </c>
      <c r="D4369" t="str">
        <f t="shared" si="68"/>
        <v>CA-2016-139395_OFF-ST-10000885</v>
      </c>
      <c r="E4369" t="str">
        <f>IF(COUNTIF(data1!$D:$D,D4369)=0,"Missing in Data1","Present")</f>
        <v>Missing in Data1</v>
      </c>
    </row>
    <row r="4370" spans="1:5" x14ac:dyDescent="0.25">
      <c r="A4370" s="2" t="s">
        <v>3896</v>
      </c>
      <c r="B4370" s="2" t="s">
        <v>1425</v>
      </c>
      <c r="C4370" s="2">
        <v>7</v>
      </c>
      <c r="D4370" t="str">
        <f t="shared" si="68"/>
        <v>CA-2016-139395_TEC-PH-10002103</v>
      </c>
      <c r="E4370" t="str">
        <f>IF(COUNTIF(data1!$D:$D,D4370)=0,"Missing in Data1","Present")</f>
        <v>Present</v>
      </c>
    </row>
    <row r="4371" spans="1:5" x14ac:dyDescent="0.25">
      <c r="A4371" s="2" t="s">
        <v>6803</v>
      </c>
      <c r="B4371" s="2" t="s">
        <v>1616</v>
      </c>
      <c r="C4371" s="2">
        <v>4</v>
      </c>
      <c r="D4371" t="str">
        <f t="shared" si="68"/>
        <v>CA-2016-139409_TEC-PH-10003988</v>
      </c>
      <c r="E4371" t="str">
        <f>IF(COUNTIF(data1!$D:$D,D4371)=0,"Missing in Data1","Present")</f>
        <v>Missing in Data1</v>
      </c>
    </row>
    <row r="4372" spans="1:5" x14ac:dyDescent="0.25">
      <c r="A4372" s="2" t="s">
        <v>3897</v>
      </c>
      <c r="B4372" s="2" t="s">
        <v>3277</v>
      </c>
      <c r="C4372" s="2">
        <v>4</v>
      </c>
      <c r="D4372" t="str">
        <f t="shared" si="68"/>
        <v>CA-2016-139549_FUR-CH-10001802</v>
      </c>
      <c r="E4372" t="str">
        <f>IF(COUNTIF(data1!$D:$D,D4372)=0,"Missing in Data1","Present")</f>
        <v>Present</v>
      </c>
    </row>
    <row r="4373" spans="1:5" x14ac:dyDescent="0.25">
      <c r="A4373" s="2" t="s">
        <v>3898</v>
      </c>
      <c r="B4373" s="2" t="s">
        <v>1540</v>
      </c>
      <c r="C4373" s="2">
        <v>3</v>
      </c>
      <c r="D4373" t="str">
        <f t="shared" si="68"/>
        <v>CA-2016-139556_FUR-CH-10004983</v>
      </c>
      <c r="E4373" t="str">
        <f>IF(COUNTIF(data1!$D:$D,D4373)=0,"Missing in Data1","Present")</f>
        <v>Present</v>
      </c>
    </row>
    <row r="4374" spans="1:5" x14ac:dyDescent="0.25">
      <c r="A4374" s="2" t="s">
        <v>3899</v>
      </c>
      <c r="B4374" s="2" t="s">
        <v>1152</v>
      </c>
      <c r="C4374" s="2">
        <v>3</v>
      </c>
      <c r="D4374" t="str">
        <f t="shared" si="68"/>
        <v>CA-2016-139689_OFF-BI-10000145</v>
      </c>
      <c r="E4374" t="str">
        <f>IF(COUNTIF(data1!$D:$D,D4374)=0,"Missing in Data1","Present")</f>
        <v>Missing in Data1</v>
      </c>
    </row>
    <row r="4375" spans="1:5" x14ac:dyDescent="0.25">
      <c r="A4375" s="2" t="s">
        <v>3899</v>
      </c>
      <c r="B4375" s="2" t="s">
        <v>1907</v>
      </c>
      <c r="C4375" s="2">
        <v>4</v>
      </c>
      <c r="D4375" t="str">
        <f t="shared" si="68"/>
        <v>CA-2016-139689_OFF-BI-10004781</v>
      </c>
      <c r="E4375" t="str">
        <f>IF(COUNTIF(data1!$D:$D,D4375)=0,"Missing in Data1","Present")</f>
        <v>Present</v>
      </c>
    </row>
    <row r="4376" spans="1:5" x14ac:dyDescent="0.25">
      <c r="A4376" s="2" t="s">
        <v>3900</v>
      </c>
      <c r="B4376" s="2" t="s">
        <v>1777</v>
      </c>
      <c r="C4376" s="2">
        <v>12</v>
      </c>
      <c r="D4376" t="str">
        <f t="shared" si="68"/>
        <v>CA-2016-139808_OFF-FA-10001883</v>
      </c>
      <c r="E4376" t="str">
        <f>IF(COUNTIF(data1!$D:$D,D4376)=0,"Missing in Data1","Present")</f>
        <v>Present</v>
      </c>
    </row>
    <row r="4377" spans="1:5" x14ac:dyDescent="0.25">
      <c r="A4377" s="2" t="s">
        <v>3901</v>
      </c>
      <c r="B4377" s="2" t="s">
        <v>292</v>
      </c>
      <c r="C4377" s="2">
        <v>2</v>
      </c>
      <c r="D4377" t="str">
        <f t="shared" si="68"/>
        <v>CA-2016-139878_TEC-PH-10001336</v>
      </c>
      <c r="E4377" t="str">
        <f>IF(COUNTIF(data1!$D:$D,D4377)=0,"Missing in Data1","Present")</f>
        <v>Present</v>
      </c>
    </row>
    <row r="4378" spans="1:5" x14ac:dyDescent="0.25">
      <c r="A4378" s="2" t="s">
        <v>3902</v>
      </c>
      <c r="B4378" s="2" t="s">
        <v>3903</v>
      </c>
      <c r="C4378" s="2">
        <v>6</v>
      </c>
      <c r="D4378" t="str">
        <f t="shared" si="68"/>
        <v>CA-2016-139885_OFF-ST-10003324</v>
      </c>
      <c r="E4378" t="str">
        <f>IF(COUNTIF(data1!$D:$D,D4378)=0,"Missing in Data1","Present")</f>
        <v>Present</v>
      </c>
    </row>
    <row r="4379" spans="1:5" x14ac:dyDescent="0.25">
      <c r="A4379" s="2" t="s">
        <v>3904</v>
      </c>
      <c r="B4379" s="2" t="s">
        <v>924</v>
      </c>
      <c r="C4379" s="2">
        <v>7</v>
      </c>
      <c r="D4379" t="str">
        <f t="shared" si="68"/>
        <v>CA-2016-139934_TEC-PH-10001552</v>
      </c>
      <c r="E4379" t="str">
        <f>IF(COUNTIF(data1!$D:$D,D4379)=0,"Missing in Data1","Present")</f>
        <v>Present</v>
      </c>
    </row>
    <row r="4380" spans="1:5" x14ac:dyDescent="0.25">
      <c r="A4380" s="2" t="s">
        <v>3905</v>
      </c>
      <c r="B4380" s="2" t="s">
        <v>3906</v>
      </c>
      <c r="C4380" s="2">
        <v>3</v>
      </c>
      <c r="D4380" t="str">
        <f t="shared" si="68"/>
        <v>CA-2016-139941_OFF-AP-10004036</v>
      </c>
      <c r="E4380" t="str">
        <f>IF(COUNTIF(data1!$D:$D,D4380)=0,"Missing in Data1","Present")</f>
        <v>Present</v>
      </c>
    </row>
    <row r="4381" spans="1:5" x14ac:dyDescent="0.25">
      <c r="A4381" s="2" t="s">
        <v>3905</v>
      </c>
      <c r="B4381" s="2" t="s">
        <v>3168</v>
      </c>
      <c r="C4381" s="2">
        <v>3</v>
      </c>
      <c r="D4381" t="str">
        <f t="shared" si="68"/>
        <v>CA-2016-139941_OFF-PA-10000241</v>
      </c>
      <c r="E4381" t="str">
        <f>IF(COUNTIF(data1!$D:$D,D4381)=0,"Missing in Data1","Present")</f>
        <v>Present</v>
      </c>
    </row>
    <row r="4382" spans="1:5" x14ac:dyDescent="0.25">
      <c r="A4382" s="2" t="s">
        <v>3909</v>
      </c>
      <c r="B4382" s="2" t="s">
        <v>621</v>
      </c>
      <c r="C4382" s="2">
        <v>3</v>
      </c>
      <c r="D4382" t="str">
        <f t="shared" si="68"/>
        <v>CA-2016-140018_FUR-CH-10003817</v>
      </c>
      <c r="E4382" t="str">
        <f>IF(COUNTIF(data1!$D:$D,D4382)=0,"Missing in Data1","Present")</f>
        <v>Present</v>
      </c>
    </row>
    <row r="4383" spans="1:5" x14ac:dyDescent="0.25">
      <c r="A4383" s="2" t="s">
        <v>3909</v>
      </c>
      <c r="B4383" s="2" t="s">
        <v>1163</v>
      </c>
      <c r="C4383" s="2">
        <v>3</v>
      </c>
      <c r="D4383" t="str">
        <f t="shared" si="68"/>
        <v>CA-2016-140018_FUR-FU-10001876</v>
      </c>
      <c r="E4383" t="str">
        <f>IF(COUNTIF(data1!$D:$D,D4383)=0,"Missing in Data1","Present")</f>
        <v>Present</v>
      </c>
    </row>
    <row r="4384" spans="1:5" x14ac:dyDescent="0.25">
      <c r="A4384" s="2" t="s">
        <v>3909</v>
      </c>
      <c r="B4384" s="2" t="s">
        <v>3910</v>
      </c>
      <c r="C4384" s="2">
        <v>7</v>
      </c>
      <c r="D4384" t="str">
        <f t="shared" si="68"/>
        <v>CA-2016-140018_TEC-MA-10000752</v>
      </c>
      <c r="E4384" t="str">
        <f>IF(COUNTIF(data1!$D:$D,D4384)=0,"Missing in Data1","Present")</f>
        <v>Present</v>
      </c>
    </row>
    <row r="4385" spans="1:5" x14ac:dyDescent="0.25">
      <c r="A4385" s="2" t="s">
        <v>3911</v>
      </c>
      <c r="B4385" s="2" t="s">
        <v>575</v>
      </c>
      <c r="C4385" s="2">
        <v>3</v>
      </c>
      <c r="D4385" t="str">
        <f t="shared" si="68"/>
        <v>CA-2016-140046_OFF-LA-10000305</v>
      </c>
      <c r="E4385" t="str">
        <f>IF(COUNTIF(data1!$D:$D,D4385)=0,"Missing in Data1","Present")</f>
        <v>Present</v>
      </c>
    </row>
    <row r="4386" spans="1:5" x14ac:dyDescent="0.25">
      <c r="A4386" s="2" t="s">
        <v>3912</v>
      </c>
      <c r="B4386" s="2" t="s">
        <v>3770</v>
      </c>
      <c r="C4386" s="2">
        <v>2</v>
      </c>
      <c r="D4386" t="str">
        <f t="shared" si="68"/>
        <v>CA-2016-140081_OFF-AP-10001058</v>
      </c>
      <c r="E4386" t="str">
        <f>IF(COUNTIF(data1!$D:$D,D4386)=0,"Missing in Data1","Present")</f>
        <v>Present</v>
      </c>
    </row>
    <row r="4387" spans="1:5" x14ac:dyDescent="0.25">
      <c r="A4387" s="2" t="s">
        <v>3912</v>
      </c>
      <c r="B4387" s="2" t="s">
        <v>2544</v>
      </c>
      <c r="C4387" s="2">
        <v>6</v>
      </c>
      <c r="D4387" t="str">
        <f t="shared" si="68"/>
        <v>CA-2016-140081_OFF-BI-10004826</v>
      </c>
      <c r="E4387" t="str">
        <f>IF(COUNTIF(data1!$D:$D,D4387)=0,"Missing in Data1","Present")</f>
        <v>Present</v>
      </c>
    </row>
    <row r="4388" spans="1:5" x14ac:dyDescent="0.25">
      <c r="A4388" s="2" t="s">
        <v>3912</v>
      </c>
      <c r="B4388" s="2" t="s">
        <v>3913</v>
      </c>
      <c r="C4388" s="2">
        <v>8</v>
      </c>
      <c r="D4388" t="str">
        <f t="shared" si="68"/>
        <v>CA-2016-140081_OFF-PA-10001745</v>
      </c>
      <c r="E4388" t="str">
        <f>IF(COUNTIF(data1!$D:$D,D4388)=0,"Missing in Data1","Present")</f>
        <v>Present</v>
      </c>
    </row>
    <row r="4389" spans="1:5" x14ac:dyDescent="0.25">
      <c r="A4389" s="2" t="s">
        <v>3912</v>
      </c>
      <c r="B4389" s="2" t="s">
        <v>2631</v>
      </c>
      <c r="C4389" s="2">
        <v>3</v>
      </c>
      <c r="D4389" t="str">
        <f t="shared" si="68"/>
        <v>CA-2016-140081_OFF-PA-10001870</v>
      </c>
      <c r="E4389" t="str">
        <f>IF(COUNTIF(data1!$D:$D,D4389)=0,"Missing in Data1","Present")</f>
        <v>Present</v>
      </c>
    </row>
    <row r="4390" spans="1:5" x14ac:dyDescent="0.25">
      <c r="A4390" s="2" t="s">
        <v>3914</v>
      </c>
      <c r="B4390" s="2" t="s">
        <v>1978</v>
      </c>
      <c r="C4390" s="2">
        <v>3</v>
      </c>
      <c r="D4390" t="str">
        <f t="shared" si="68"/>
        <v>CA-2016-140130_FUR-CH-10002084</v>
      </c>
      <c r="E4390" t="str">
        <f>IF(COUNTIF(data1!$D:$D,D4390)=0,"Missing in Data1","Present")</f>
        <v>Present</v>
      </c>
    </row>
    <row r="4391" spans="1:5" x14ac:dyDescent="0.25">
      <c r="A4391" s="2" t="s">
        <v>3914</v>
      </c>
      <c r="B4391" s="2" t="s">
        <v>1557</v>
      </c>
      <c r="C4391" s="2">
        <v>3</v>
      </c>
      <c r="D4391" t="str">
        <f t="shared" si="68"/>
        <v>CA-2016-140130_OFF-AR-10004269</v>
      </c>
      <c r="E4391" t="str">
        <f>IF(COUNTIF(data1!$D:$D,D4391)=0,"Missing in Data1","Present")</f>
        <v>Present</v>
      </c>
    </row>
    <row r="4392" spans="1:5" x14ac:dyDescent="0.25">
      <c r="A4392" s="2" t="s">
        <v>3914</v>
      </c>
      <c r="B4392" s="2" t="s">
        <v>1201</v>
      </c>
      <c r="C4392" s="2">
        <v>3</v>
      </c>
      <c r="D4392" t="str">
        <f t="shared" si="68"/>
        <v>CA-2016-140130_OFF-ST-10001128</v>
      </c>
      <c r="E4392" t="str">
        <f>IF(COUNTIF(data1!$D:$D,D4392)=0,"Missing in Data1","Present")</f>
        <v>Present</v>
      </c>
    </row>
    <row r="4393" spans="1:5" x14ac:dyDescent="0.25">
      <c r="A4393" s="2" t="s">
        <v>3914</v>
      </c>
      <c r="B4393" s="2" t="s">
        <v>1875</v>
      </c>
      <c r="C4393" s="2">
        <v>2</v>
      </c>
      <c r="D4393" t="str">
        <f t="shared" si="68"/>
        <v>CA-2016-140130_OFF-SU-10001218</v>
      </c>
      <c r="E4393" t="str">
        <f>IF(COUNTIF(data1!$D:$D,D4393)=0,"Missing in Data1","Present")</f>
        <v>Present</v>
      </c>
    </row>
    <row r="4394" spans="1:5" x14ac:dyDescent="0.25">
      <c r="A4394" s="2" t="s">
        <v>3915</v>
      </c>
      <c r="B4394" s="2" t="s">
        <v>2668</v>
      </c>
      <c r="C4394" s="2">
        <v>5</v>
      </c>
      <c r="D4394" t="str">
        <f t="shared" si="68"/>
        <v>CA-2016-140207_OFF-BI-10003963</v>
      </c>
      <c r="E4394" t="str">
        <f>IF(COUNTIF(data1!$D:$D,D4394)=0,"Missing in Data1","Present")</f>
        <v>Present</v>
      </c>
    </row>
    <row r="4395" spans="1:5" x14ac:dyDescent="0.25">
      <c r="A4395" s="2" t="s">
        <v>3916</v>
      </c>
      <c r="B4395" s="2" t="s">
        <v>1486</v>
      </c>
      <c r="C4395" s="2">
        <v>2</v>
      </c>
      <c r="D4395" t="str">
        <f t="shared" si="68"/>
        <v>CA-2016-140249_TEC-PH-10002584</v>
      </c>
      <c r="E4395" t="str">
        <f>IF(COUNTIF(data1!$D:$D,D4395)=0,"Missing in Data1","Present")</f>
        <v>Present</v>
      </c>
    </row>
    <row r="4396" spans="1:5" x14ac:dyDescent="0.25">
      <c r="A4396" s="2" t="s">
        <v>3917</v>
      </c>
      <c r="B4396" s="2" t="s">
        <v>3307</v>
      </c>
      <c r="C4396" s="2">
        <v>2</v>
      </c>
      <c r="D4396" t="str">
        <f t="shared" si="68"/>
        <v>CA-2016-140256_OFF-AR-10002255</v>
      </c>
      <c r="E4396" t="str">
        <f>IF(COUNTIF(data1!$D:$D,D4396)=0,"Missing in Data1","Present")</f>
        <v>Present</v>
      </c>
    </row>
    <row r="4397" spans="1:5" x14ac:dyDescent="0.25">
      <c r="A4397" s="2" t="s">
        <v>3918</v>
      </c>
      <c r="B4397" s="2" t="s">
        <v>953</v>
      </c>
      <c r="C4397" s="2">
        <v>3</v>
      </c>
      <c r="D4397" t="str">
        <f t="shared" si="68"/>
        <v>CA-2016-140382_OFF-LA-10001934</v>
      </c>
      <c r="E4397" t="str">
        <f>IF(COUNTIF(data1!$D:$D,D4397)=0,"Missing in Data1","Present")</f>
        <v>Present</v>
      </c>
    </row>
    <row r="4398" spans="1:5" x14ac:dyDescent="0.25">
      <c r="A4398" s="2" t="s">
        <v>3918</v>
      </c>
      <c r="B4398" s="2" t="s">
        <v>802</v>
      </c>
      <c r="C4398" s="2">
        <v>1</v>
      </c>
      <c r="D4398" t="str">
        <f t="shared" si="68"/>
        <v>CA-2016-140382_OFF-PA-10001019</v>
      </c>
      <c r="E4398" t="str">
        <f>IF(COUNTIF(data1!$D:$D,D4398)=0,"Missing in Data1","Present")</f>
        <v>Present</v>
      </c>
    </row>
    <row r="4399" spans="1:5" x14ac:dyDescent="0.25">
      <c r="A4399" s="2" t="s">
        <v>3918</v>
      </c>
      <c r="B4399" s="2" t="s">
        <v>2732</v>
      </c>
      <c r="C4399" s="2">
        <v>4</v>
      </c>
      <c r="D4399" t="str">
        <f t="shared" si="68"/>
        <v>CA-2016-140382_OFF-ST-10003638</v>
      </c>
      <c r="E4399" t="str">
        <f>IF(COUNTIF(data1!$D:$D,D4399)=0,"Missing in Data1","Present")</f>
        <v>Present</v>
      </c>
    </row>
    <row r="4400" spans="1:5" x14ac:dyDescent="0.25">
      <c r="A4400" s="2" t="s">
        <v>3918</v>
      </c>
      <c r="B4400" s="2" t="s">
        <v>1980</v>
      </c>
      <c r="C4400" s="2">
        <v>7</v>
      </c>
      <c r="D4400" t="str">
        <f t="shared" si="68"/>
        <v>CA-2016-140382_TEC-PH-10003012</v>
      </c>
      <c r="E4400" t="str">
        <f>IF(COUNTIF(data1!$D:$D,D4400)=0,"Missing in Data1","Present")</f>
        <v>Present</v>
      </c>
    </row>
    <row r="4401" spans="1:5" x14ac:dyDescent="0.25">
      <c r="A4401" s="2" t="s">
        <v>3919</v>
      </c>
      <c r="B4401" s="2" t="s">
        <v>1106</v>
      </c>
      <c r="C4401" s="2">
        <v>1</v>
      </c>
      <c r="D4401" t="str">
        <f t="shared" si="68"/>
        <v>CA-2016-140417_OFF-BI-10004828</v>
      </c>
      <c r="E4401" t="str">
        <f>IF(COUNTIF(data1!$D:$D,D4401)=0,"Missing in Data1","Present")</f>
        <v>Present</v>
      </c>
    </row>
    <row r="4402" spans="1:5" x14ac:dyDescent="0.25">
      <c r="A4402" s="2" t="s">
        <v>3919</v>
      </c>
      <c r="B4402" s="2" t="s">
        <v>2655</v>
      </c>
      <c r="C4402" s="2">
        <v>9</v>
      </c>
      <c r="D4402" t="str">
        <f t="shared" si="68"/>
        <v>CA-2016-140417_OFF-PA-10000380</v>
      </c>
      <c r="E4402" t="str">
        <f>IF(COUNTIF(data1!$D:$D,D4402)=0,"Missing in Data1","Present")</f>
        <v>Present</v>
      </c>
    </row>
    <row r="4403" spans="1:5" x14ac:dyDescent="0.25">
      <c r="A4403" s="2" t="s">
        <v>3920</v>
      </c>
      <c r="B4403" s="2" t="s">
        <v>1092</v>
      </c>
      <c r="C4403" s="2">
        <v>3</v>
      </c>
      <c r="D4403" t="str">
        <f t="shared" si="68"/>
        <v>CA-2016-140438_TEC-PH-10001750</v>
      </c>
      <c r="E4403" t="str">
        <f>IF(COUNTIF(data1!$D:$D,D4403)=0,"Missing in Data1","Present")</f>
        <v>Present</v>
      </c>
    </row>
    <row r="4404" spans="1:5" x14ac:dyDescent="0.25">
      <c r="A4404" s="2" t="s">
        <v>3921</v>
      </c>
      <c r="B4404" s="2" t="s">
        <v>3681</v>
      </c>
      <c r="C4404" s="2">
        <v>2</v>
      </c>
      <c r="D4404" t="str">
        <f t="shared" si="68"/>
        <v>CA-2016-140501_OFF-FA-10004076</v>
      </c>
      <c r="E4404" t="str">
        <f>IF(COUNTIF(data1!$D:$D,D4404)=0,"Missing in Data1","Present")</f>
        <v>Present</v>
      </c>
    </row>
    <row r="4405" spans="1:5" x14ac:dyDescent="0.25">
      <c r="A4405" s="2" t="s">
        <v>3921</v>
      </c>
      <c r="B4405" s="2" t="s">
        <v>870</v>
      </c>
      <c r="C4405" s="2">
        <v>5</v>
      </c>
      <c r="D4405" t="str">
        <f t="shared" si="68"/>
        <v>CA-2016-140501_OFF-LA-10000248</v>
      </c>
      <c r="E4405" t="str">
        <f>IF(COUNTIF(data1!$D:$D,D4405)=0,"Missing in Data1","Present")</f>
        <v>Present</v>
      </c>
    </row>
    <row r="4406" spans="1:5" x14ac:dyDescent="0.25">
      <c r="A4406" s="2" t="s">
        <v>3921</v>
      </c>
      <c r="B4406" s="2" t="s">
        <v>1125</v>
      </c>
      <c r="C4406" s="2">
        <v>4</v>
      </c>
      <c r="D4406" t="str">
        <f t="shared" si="68"/>
        <v>CA-2016-140501_OFF-LA-10003510</v>
      </c>
      <c r="E4406" t="str">
        <f>IF(COUNTIF(data1!$D:$D,D4406)=0,"Missing in Data1","Present")</f>
        <v>Present</v>
      </c>
    </row>
    <row r="4407" spans="1:5" x14ac:dyDescent="0.25">
      <c r="A4407" s="2" t="s">
        <v>3921</v>
      </c>
      <c r="B4407" s="2" t="s">
        <v>3027</v>
      </c>
      <c r="C4407" s="2">
        <v>3</v>
      </c>
      <c r="D4407" t="str">
        <f t="shared" si="68"/>
        <v>CA-2016-140501_OFF-PA-10003129</v>
      </c>
      <c r="E4407" t="str">
        <f>IF(COUNTIF(data1!$D:$D,D4407)=0,"Missing in Data1","Present")</f>
        <v>Present</v>
      </c>
    </row>
    <row r="4408" spans="1:5" x14ac:dyDescent="0.25">
      <c r="A4408" s="2" t="s">
        <v>3921</v>
      </c>
      <c r="B4408" s="2" t="s">
        <v>2918</v>
      </c>
      <c r="C4408" s="2">
        <v>5</v>
      </c>
      <c r="D4408" t="str">
        <f t="shared" si="68"/>
        <v>CA-2016-140501_OFF-ST-10000060</v>
      </c>
      <c r="E4408" t="str">
        <f>IF(COUNTIF(data1!$D:$D,D4408)=0,"Missing in Data1","Present")</f>
        <v>Present</v>
      </c>
    </row>
    <row r="4409" spans="1:5" x14ac:dyDescent="0.25">
      <c r="A4409" s="2" t="s">
        <v>3922</v>
      </c>
      <c r="B4409" s="2" t="s">
        <v>1339</v>
      </c>
      <c r="C4409" s="2">
        <v>6</v>
      </c>
      <c r="D4409" t="str">
        <f t="shared" si="68"/>
        <v>CA-2016-140543_OFF-ST-10000563</v>
      </c>
      <c r="E4409" t="str">
        <f>IF(COUNTIF(data1!$D:$D,D4409)=0,"Missing in Data1","Present")</f>
        <v>Present</v>
      </c>
    </row>
    <row r="4410" spans="1:5" x14ac:dyDescent="0.25">
      <c r="A4410" s="2" t="s">
        <v>3923</v>
      </c>
      <c r="B4410" s="2" t="s">
        <v>903</v>
      </c>
      <c r="C4410" s="2">
        <v>8</v>
      </c>
      <c r="D4410" t="str">
        <f t="shared" si="68"/>
        <v>CA-2016-140564_OFF-AR-10000034</v>
      </c>
      <c r="E4410" t="str">
        <f>IF(COUNTIF(data1!$D:$D,D4410)=0,"Missing in Data1","Present")</f>
        <v>Present</v>
      </c>
    </row>
    <row r="4411" spans="1:5" x14ac:dyDescent="0.25">
      <c r="A4411" s="2" t="s">
        <v>3924</v>
      </c>
      <c r="B4411" s="2" t="s">
        <v>2512</v>
      </c>
      <c r="C4411" s="2">
        <v>16</v>
      </c>
      <c r="D4411" t="str">
        <f t="shared" si="68"/>
        <v>CA-2016-140571_OFF-PA-10001954</v>
      </c>
      <c r="E4411" t="str">
        <f>IF(COUNTIF(data1!$D:$D,D4411)=0,"Missing in Data1","Present")</f>
        <v>Present</v>
      </c>
    </row>
    <row r="4412" spans="1:5" x14ac:dyDescent="0.25">
      <c r="A4412" s="2" t="s">
        <v>3925</v>
      </c>
      <c r="B4412" s="2" t="s">
        <v>3048</v>
      </c>
      <c r="C4412" s="2">
        <v>5</v>
      </c>
      <c r="D4412" t="str">
        <f t="shared" si="68"/>
        <v>CA-2016-140613_OFF-SU-10004261</v>
      </c>
      <c r="E4412" t="str">
        <f>IF(COUNTIF(data1!$D:$D,D4412)=0,"Missing in Data1","Present")</f>
        <v>Present</v>
      </c>
    </row>
    <row r="4413" spans="1:5" x14ac:dyDescent="0.25">
      <c r="A4413" s="2" t="s">
        <v>3926</v>
      </c>
      <c r="B4413" s="2" t="s">
        <v>284</v>
      </c>
      <c r="C4413" s="2">
        <v>2</v>
      </c>
      <c r="D4413" t="str">
        <f t="shared" si="68"/>
        <v>CA-2016-140634_OFF-EN-10001099</v>
      </c>
      <c r="E4413" t="str">
        <f>IF(COUNTIF(data1!$D:$D,D4413)=0,"Missing in Data1","Present")</f>
        <v>Present</v>
      </c>
    </row>
    <row r="4414" spans="1:5" x14ac:dyDescent="0.25">
      <c r="A4414" s="2" t="s">
        <v>3927</v>
      </c>
      <c r="B4414" s="2" t="s">
        <v>666</v>
      </c>
      <c r="C4414" s="2">
        <v>5</v>
      </c>
      <c r="D4414" t="str">
        <f t="shared" si="68"/>
        <v>CA-2016-140641_OFF-BI-10001191</v>
      </c>
      <c r="E4414" t="str">
        <f>IF(COUNTIF(data1!$D:$D,D4414)=0,"Missing in Data1","Present")</f>
        <v>Present</v>
      </c>
    </row>
    <row r="4415" spans="1:5" x14ac:dyDescent="0.25">
      <c r="A4415" s="2" t="s">
        <v>3928</v>
      </c>
      <c r="B4415" s="2" t="s">
        <v>1456</v>
      </c>
      <c r="C4415" s="2">
        <v>1</v>
      </c>
      <c r="D4415" t="str">
        <f t="shared" si="68"/>
        <v>CA-2016-140746_FUR-TA-10002903</v>
      </c>
      <c r="E4415" t="str">
        <f>IF(COUNTIF(data1!$D:$D,D4415)=0,"Missing in Data1","Present")</f>
        <v>Present</v>
      </c>
    </row>
    <row r="4416" spans="1:5" x14ac:dyDescent="0.25">
      <c r="A4416" s="2" t="s">
        <v>3929</v>
      </c>
      <c r="B4416" s="2" t="s">
        <v>3047</v>
      </c>
      <c r="C4416" s="2">
        <v>3</v>
      </c>
      <c r="D4416" t="str">
        <f t="shared" si="68"/>
        <v>CA-2016-140774_OFF-AR-10004022</v>
      </c>
      <c r="E4416" t="str">
        <f>IF(COUNTIF(data1!$D:$D,D4416)=0,"Missing in Data1","Present")</f>
        <v>Present</v>
      </c>
    </row>
    <row r="4417" spans="1:5" x14ac:dyDescent="0.25">
      <c r="A4417" s="2" t="s">
        <v>3930</v>
      </c>
      <c r="B4417" s="2" t="s">
        <v>2635</v>
      </c>
      <c r="C4417" s="2">
        <v>4</v>
      </c>
      <c r="D4417" t="str">
        <f t="shared" si="68"/>
        <v>CA-2016-140928_FUR-TA-10001095</v>
      </c>
      <c r="E4417" t="str">
        <f>IF(COUNTIF(data1!$D:$D,D4417)=0,"Missing in Data1","Present")</f>
        <v>Present</v>
      </c>
    </row>
    <row r="4418" spans="1:5" x14ac:dyDescent="0.25">
      <c r="A4418" s="2" t="s">
        <v>3931</v>
      </c>
      <c r="B4418" s="2" t="s">
        <v>529</v>
      </c>
      <c r="C4418" s="2">
        <v>2</v>
      </c>
      <c r="D4418" t="str">
        <f t="shared" si="68"/>
        <v>CA-2016-140935_FUR-BO-10003966</v>
      </c>
      <c r="E4418" t="str">
        <f>IF(COUNTIF(data1!$D:$D,D4418)=0,"Missing in Data1","Present")</f>
        <v>Present</v>
      </c>
    </row>
    <row r="4419" spans="1:5" x14ac:dyDescent="0.25">
      <c r="A4419" s="2" t="s">
        <v>3931</v>
      </c>
      <c r="B4419" s="2" t="s">
        <v>2023</v>
      </c>
      <c r="C4419" s="2">
        <v>2</v>
      </c>
      <c r="D4419" t="str">
        <f t="shared" ref="D4419:D4482" si="69">A4419&amp;"_"&amp;B4419</f>
        <v>CA-2016-140935_TEC-PH-10000562</v>
      </c>
      <c r="E4419" t="str">
        <f>IF(COUNTIF(data1!$D:$D,D4419)=0,"Missing in Data1","Present")</f>
        <v>Present</v>
      </c>
    </row>
    <row r="4420" spans="1:5" x14ac:dyDescent="0.25">
      <c r="A4420" s="2" t="s">
        <v>3932</v>
      </c>
      <c r="B4420" s="2" t="s">
        <v>3933</v>
      </c>
      <c r="C4420" s="2">
        <v>1</v>
      </c>
      <c r="D4420" t="str">
        <f t="shared" si="69"/>
        <v>CA-2016-140977_TEC-MA-10003493</v>
      </c>
      <c r="E4420" t="str">
        <f>IF(COUNTIF(data1!$D:$D,D4420)=0,"Missing in Data1","Present")</f>
        <v>Present</v>
      </c>
    </row>
    <row r="4421" spans="1:5" x14ac:dyDescent="0.25">
      <c r="A4421" s="2" t="s">
        <v>3934</v>
      </c>
      <c r="B4421" s="2" t="s">
        <v>2850</v>
      </c>
      <c r="C4421" s="2">
        <v>1</v>
      </c>
      <c r="D4421" t="str">
        <f t="shared" si="69"/>
        <v>CA-2016-141019_FUR-FU-10002937</v>
      </c>
      <c r="E4421" t="str">
        <f>IF(COUNTIF(data1!$D:$D,D4421)=0,"Missing in Data1","Present")</f>
        <v>Present</v>
      </c>
    </row>
    <row r="4422" spans="1:5" x14ac:dyDescent="0.25">
      <c r="A4422" s="2" t="s">
        <v>3935</v>
      </c>
      <c r="B4422" s="2" t="s">
        <v>3936</v>
      </c>
      <c r="C4422" s="2">
        <v>1</v>
      </c>
      <c r="D4422" t="str">
        <f t="shared" si="69"/>
        <v>CA-2016-141082_OFF-LA-10001404</v>
      </c>
      <c r="E4422" t="str">
        <f>IF(COUNTIF(data1!$D:$D,D4422)=0,"Missing in Data1","Present")</f>
        <v>Present</v>
      </c>
    </row>
    <row r="4423" spans="1:5" x14ac:dyDescent="0.25">
      <c r="A4423" s="2" t="s">
        <v>3935</v>
      </c>
      <c r="B4423" s="2" t="s">
        <v>391</v>
      </c>
      <c r="C4423" s="2">
        <v>4</v>
      </c>
      <c r="D4423" t="str">
        <f t="shared" si="69"/>
        <v>CA-2016-141082_OFF-LA-10001474</v>
      </c>
      <c r="E4423" t="str">
        <f>IF(COUNTIF(data1!$D:$D,D4423)=0,"Missing in Data1","Present")</f>
        <v>Present</v>
      </c>
    </row>
    <row r="4424" spans="1:5" x14ac:dyDescent="0.25">
      <c r="A4424" s="2" t="s">
        <v>3937</v>
      </c>
      <c r="B4424" s="2" t="s">
        <v>3260</v>
      </c>
      <c r="C4424" s="2">
        <v>4</v>
      </c>
      <c r="D4424" t="str">
        <f t="shared" si="69"/>
        <v>CA-2016-141180_OFF-BI-10000301</v>
      </c>
      <c r="E4424" t="str">
        <f>IF(COUNTIF(data1!$D:$D,D4424)=0,"Missing in Data1","Present")</f>
        <v>Present</v>
      </c>
    </row>
    <row r="4425" spans="1:5" x14ac:dyDescent="0.25">
      <c r="A4425" s="2" t="s">
        <v>3938</v>
      </c>
      <c r="B4425" s="2" t="s">
        <v>3939</v>
      </c>
      <c r="C4425" s="2">
        <v>2</v>
      </c>
      <c r="D4425" t="str">
        <f t="shared" si="69"/>
        <v>CA-2016-141397_FUR-CH-10003846</v>
      </c>
      <c r="E4425" t="str">
        <f>IF(COUNTIF(data1!$D:$D,D4425)=0,"Missing in Data1","Present")</f>
        <v>Present</v>
      </c>
    </row>
    <row r="4426" spans="1:5" x14ac:dyDescent="0.25">
      <c r="A4426" s="2" t="s">
        <v>3938</v>
      </c>
      <c r="B4426" s="2" t="s">
        <v>2346</v>
      </c>
      <c r="C4426" s="2">
        <v>2</v>
      </c>
      <c r="D4426" t="str">
        <f t="shared" si="69"/>
        <v>CA-2016-141397_OFF-AP-10003971</v>
      </c>
      <c r="E4426" t="str">
        <f>IF(COUNTIF(data1!$D:$D,D4426)=0,"Missing in Data1","Present")</f>
        <v>Present</v>
      </c>
    </row>
    <row r="4427" spans="1:5" x14ac:dyDescent="0.25">
      <c r="A4427" s="2" t="s">
        <v>3938</v>
      </c>
      <c r="B4427" s="2" t="s">
        <v>152</v>
      </c>
      <c r="C4427" s="2">
        <v>3</v>
      </c>
      <c r="D4427" t="str">
        <f t="shared" si="69"/>
        <v>CA-2016-141397_OFF-BI-10000320</v>
      </c>
      <c r="E4427" t="str">
        <f>IF(COUNTIF(data1!$D:$D,D4427)=0,"Missing in Data1","Present")</f>
        <v>Present</v>
      </c>
    </row>
    <row r="4428" spans="1:5" x14ac:dyDescent="0.25">
      <c r="A4428" s="2" t="s">
        <v>3938</v>
      </c>
      <c r="B4428" s="2" t="s">
        <v>47</v>
      </c>
      <c r="C4428" s="2">
        <v>7</v>
      </c>
      <c r="D4428" t="str">
        <f t="shared" si="69"/>
        <v>CA-2016-141397_OFF-PA-10002986</v>
      </c>
      <c r="E4428" t="str">
        <f>IF(COUNTIF(data1!$D:$D,D4428)=0,"Missing in Data1","Present")</f>
        <v>Present</v>
      </c>
    </row>
    <row r="4429" spans="1:5" x14ac:dyDescent="0.25">
      <c r="A4429" s="2" t="s">
        <v>3938</v>
      </c>
      <c r="B4429" s="2" t="s">
        <v>764</v>
      </c>
      <c r="C4429" s="2">
        <v>3</v>
      </c>
      <c r="D4429" t="str">
        <f t="shared" si="69"/>
        <v>CA-2016-141397_OFF-ST-10001469</v>
      </c>
      <c r="E4429" t="str">
        <f>IF(COUNTIF(data1!$D:$D,D4429)=0,"Missing in Data1","Present")</f>
        <v>Present</v>
      </c>
    </row>
    <row r="4430" spans="1:5" x14ac:dyDescent="0.25">
      <c r="A4430" s="2" t="s">
        <v>3940</v>
      </c>
      <c r="B4430" s="2" t="s">
        <v>1945</v>
      </c>
      <c r="C4430" s="2">
        <v>2</v>
      </c>
      <c r="D4430" t="str">
        <f t="shared" si="69"/>
        <v>CA-2016-141523_OFF-AR-10001545</v>
      </c>
      <c r="E4430" t="str">
        <f>IF(COUNTIF(data1!$D:$D,D4430)=0,"Missing in Data1","Present")</f>
        <v>Present</v>
      </c>
    </row>
    <row r="4431" spans="1:5" x14ac:dyDescent="0.25">
      <c r="A4431" s="2" t="s">
        <v>3940</v>
      </c>
      <c r="B4431" s="2" t="s">
        <v>974</v>
      </c>
      <c r="C4431" s="2">
        <v>3</v>
      </c>
      <c r="D4431" t="str">
        <f t="shared" si="69"/>
        <v>CA-2016-141523_OFF-BI-10000948</v>
      </c>
      <c r="E4431" t="str">
        <f>IF(COUNTIF(data1!$D:$D,D4431)=0,"Missing in Data1","Present")</f>
        <v>Present</v>
      </c>
    </row>
    <row r="4432" spans="1:5" x14ac:dyDescent="0.25">
      <c r="A4432" s="2" t="s">
        <v>3941</v>
      </c>
      <c r="B4432" s="2" t="s">
        <v>819</v>
      </c>
      <c r="C4432" s="2">
        <v>1</v>
      </c>
      <c r="D4432" t="str">
        <f t="shared" si="69"/>
        <v>CA-2016-141551_OFF-BI-10001249</v>
      </c>
      <c r="E4432" t="str">
        <f>IF(COUNTIF(data1!$D:$D,D4432)=0,"Missing in Data1","Present")</f>
        <v>Present</v>
      </c>
    </row>
    <row r="4433" spans="1:5" x14ac:dyDescent="0.25">
      <c r="A4433" s="2" t="s">
        <v>3941</v>
      </c>
      <c r="B4433" s="2" t="s">
        <v>931</v>
      </c>
      <c r="C4433" s="2">
        <v>1</v>
      </c>
      <c r="D4433" t="str">
        <f t="shared" si="69"/>
        <v>CA-2016-141551_OFF-PA-10001569</v>
      </c>
      <c r="E4433" t="str">
        <f>IF(COUNTIF(data1!$D:$D,D4433)=0,"Missing in Data1","Present")</f>
        <v>Present</v>
      </c>
    </row>
    <row r="4434" spans="1:5" x14ac:dyDescent="0.25">
      <c r="A4434" s="2" t="s">
        <v>3942</v>
      </c>
      <c r="B4434" s="2" t="s">
        <v>1105</v>
      </c>
      <c r="C4434" s="2">
        <v>5</v>
      </c>
      <c r="D4434" t="str">
        <f t="shared" si="69"/>
        <v>CA-2016-141586_OFF-BI-10003981</v>
      </c>
      <c r="E4434" t="str">
        <f>IF(COUNTIF(data1!$D:$D,D4434)=0,"Missing in Data1","Present")</f>
        <v>Present</v>
      </c>
    </row>
    <row r="4435" spans="1:5" x14ac:dyDescent="0.25">
      <c r="A4435" s="2" t="s">
        <v>3943</v>
      </c>
      <c r="B4435" s="2" t="s">
        <v>21</v>
      </c>
      <c r="C4435" s="2">
        <v>14</v>
      </c>
      <c r="D4435" t="str">
        <f t="shared" si="69"/>
        <v>CA-2016-141887_FUR-FU-10002268</v>
      </c>
      <c r="E4435" t="str">
        <f>IF(COUNTIF(data1!$D:$D,D4435)=0,"Missing in Data1","Present")</f>
        <v>Present</v>
      </c>
    </row>
    <row r="4436" spans="1:5" x14ac:dyDescent="0.25">
      <c r="A4436" s="2" t="s">
        <v>3944</v>
      </c>
      <c r="B4436" s="2" t="s">
        <v>3945</v>
      </c>
      <c r="C4436" s="2">
        <v>2</v>
      </c>
      <c r="D4436" t="str">
        <f t="shared" si="69"/>
        <v>CA-2016-141957_OFF-AR-10000914</v>
      </c>
      <c r="E4436" t="str">
        <f>IF(COUNTIF(data1!$D:$D,D4436)=0,"Missing in Data1","Present")</f>
        <v>Present</v>
      </c>
    </row>
    <row r="4437" spans="1:5" x14ac:dyDescent="0.25">
      <c r="A4437" s="2" t="s">
        <v>3944</v>
      </c>
      <c r="B4437" s="2" t="s">
        <v>301</v>
      </c>
      <c r="C4437" s="2">
        <v>7</v>
      </c>
      <c r="D4437" t="str">
        <f t="shared" si="69"/>
        <v>CA-2016-141957_OFF-BI-10001116</v>
      </c>
      <c r="E4437" t="str">
        <f>IF(COUNTIF(data1!$D:$D,D4437)=0,"Missing in Data1","Present")</f>
        <v>Present</v>
      </c>
    </row>
    <row r="4438" spans="1:5" x14ac:dyDescent="0.25">
      <c r="A4438" s="2" t="s">
        <v>3944</v>
      </c>
      <c r="B4438" s="2" t="s">
        <v>1002</v>
      </c>
      <c r="C4438" s="2">
        <v>1</v>
      </c>
      <c r="D4438" t="str">
        <f t="shared" si="69"/>
        <v>CA-2016-141957_OFF-ST-10002276</v>
      </c>
      <c r="E4438" t="str">
        <f>IF(COUNTIF(data1!$D:$D,D4438)=0,"Missing in Data1","Present")</f>
        <v>Present</v>
      </c>
    </row>
    <row r="4439" spans="1:5" x14ac:dyDescent="0.25">
      <c r="A4439" s="2" t="s">
        <v>3944</v>
      </c>
      <c r="B4439" s="2" t="s">
        <v>1360</v>
      </c>
      <c r="C4439" s="2">
        <v>2</v>
      </c>
      <c r="D4439" t="str">
        <f t="shared" si="69"/>
        <v>CA-2016-141957_OFF-ST-10004340</v>
      </c>
      <c r="E4439" t="str">
        <f>IF(COUNTIF(data1!$D:$D,D4439)=0,"Missing in Data1","Present")</f>
        <v>Present</v>
      </c>
    </row>
    <row r="4440" spans="1:5" x14ac:dyDescent="0.25">
      <c r="A4440" s="2" t="s">
        <v>3946</v>
      </c>
      <c r="B4440" s="2" t="s">
        <v>1221</v>
      </c>
      <c r="C4440" s="2">
        <v>3</v>
      </c>
      <c r="D4440" t="str">
        <f t="shared" si="69"/>
        <v>CA-2016-142097_OFF-AP-10000696</v>
      </c>
      <c r="E4440" t="str">
        <f>IF(COUNTIF(data1!$D:$D,D4440)=0,"Missing in Data1","Present")</f>
        <v>Present</v>
      </c>
    </row>
    <row r="4441" spans="1:5" x14ac:dyDescent="0.25">
      <c r="A4441" s="2" t="s">
        <v>3946</v>
      </c>
      <c r="B4441" s="2" t="s">
        <v>1961</v>
      </c>
      <c r="C4441" s="2">
        <v>7</v>
      </c>
      <c r="D4441" t="str">
        <f t="shared" si="69"/>
        <v>CA-2016-142097_OFF-BI-10002082</v>
      </c>
      <c r="E4441" t="str">
        <f>IF(COUNTIF(data1!$D:$D,D4441)=0,"Missing in Data1","Present")</f>
        <v>Present</v>
      </c>
    </row>
    <row r="4442" spans="1:5" x14ac:dyDescent="0.25">
      <c r="A4442" s="2" t="s">
        <v>3946</v>
      </c>
      <c r="B4442" s="2" t="s">
        <v>3221</v>
      </c>
      <c r="C4442" s="2">
        <v>6</v>
      </c>
      <c r="D4442" t="str">
        <f t="shared" si="69"/>
        <v>CA-2016-142097_OFF-EN-10002312</v>
      </c>
      <c r="E4442" t="str">
        <f>IF(COUNTIF(data1!$D:$D,D4442)=0,"Missing in Data1","Present")</f>
        <v>Present</v>
      </c>
    </row>
    <row r="4443" spans="1:5" x14ac:dyDescent="0.25">
      <c r="A4443" s="2" t="s">
        <v>3947</v>
      </c>
      <c r="B4443" s="2" t="s">
        <v>2199</v>
      </c>
      <c r="C4443" s="2">
        <v>3</v>
      </c>
      <c r="D4443" t="str">
        <f t="shared" si="69"/>
        <v>CA-2016-142335_FUR-TA-10000198</v>
      </c>
      <c r="E4443" t="str">
        <f>IF(COUNTIF(data1!$D:$D,D4443)=0,"Missing in Data1","Present")</f>
        <v>Present</v>
      </c>
    </row>
    <row r="4444" spans="1:5" x14ac:dyDescent="0.25">
      <c r="A4444" s="2" t="s">
        <v>3947</v>
      </c>
      <c r="B4444" s="2" t="s">
        <v>357</v>
      </c>
      <c r="C4444" s="2">
        <v>3</v>
      </c>
      <c r="D4444" t="str">
        <f t="shared" si="69"/>
        <v>CA-2016-142335_OFF-ST-10000036</v>
      </c>
      <c r="E4444" t="str">
        <f>IF(COUNTIF(data1!$D:$D,D4444)=0,"Missing in Data1","Present")</f>
        <v>Present</v>
      </c>
    </row>
    <row r="4445" spans="1:5" x14ac:dyDescent="0.25">
      <c r="A4445" s="2" t="s">
        <v>3948</v>
      </c>
      <c r="B4445" s="2" t="s">
        <v>3949</v>
      </c>
      <c r="C4445" s="2">
        <v>2</v>
      </c>
      <c r="D4445" t="str">
        <f t="shared" si="69"/>
        <v>CA-2016-142370_OFF-SU-10003002</v>
      </c>
      <c r="E4445" t="str">
        <f>IF(COUNTIF(data1!$D:$D,D4445)=0,"Missing in Data1","Present")</f>
        <v>Present</v>
      </c>
    </row>
    <row r="4446" spans="1:5" x14ac:dyDescent="0.25">
      <c r="A4446" s="2" t="s">
        <v>3948</v>
      </c>
      <c r="B4446" s="2" t="s">
        <v>1406</v>
      </c>
      <c r="C4446" s="2">
        <v>5</v>
      </c>
      <c r="D4446" t="str">
        <f t="shared" si="69"/>
        <v>CA-2016-142370_TEC-AC-10002926</v>
      </c>
      <c r="E4446" t="str">
        <f>IF(COUNTIF(data1!$D:$D,D4446)=0,"Missing in Data1","Present")</f>
        <v>Present</v>
      </c>
    </row>
    <row r="4447" spans="1:5" x14ac:dyDescent="0.25">
      <c r="A4447" s="2" t="s">
        <v>3950</v>
      </c>
      <c r="B4447" s="2" t="s">
        <v>2710</v>
      </c>
      <c r="C4447" s="2">
        <v>7</v>
      </c>
      <c r="D4447" t="str">
        <f t="shared" si="69"/>
        <v>CA-2016-142398_FUR-CH-10001545</v>
      </c>
      <c r="E4447" t="str">
        <f>IF(COUNTIF(data1!$D:$D,D4447)=0,"Missing in Data1","Present")</f>
        <v>Present</v>
      </c>
    </row>
    <row r="4448" spans="1:5" x14ac:dyDescent="0.25">
      <c r="A4448" s="2" t="s">
        <v>3950</v>
      </c>
      <c r="B4448" s="2" t="s">
        <v>2544</v>
      </c>
      <c r="C4448" s="2">
        <v>1</v>
      </c>
      <c r="D4448" t="str">
        <f t="shared" si="69"/>
        <v>CA-2016-142398_OFF-BI-10004826</v>
      </c>
      <c r="E4448" t="str">
        <f>IF(COUNTIF(data1!$D:$D,D4448)=0,"Missing in Data1","Present")</f>
        <v>Missing in Data1</v>
      </c>
    </row>
    <row r="4449" spans="1:5" x14ac:dyDescent="0.25">
      <c r="A4449" s="2" t="s">
        <v>3951</v>
      </c>
      <c r="B4449" s="2" t="s">
        <v>1680</v>
      </c>
      <c r="C4449" s="2">
        <v>14</v>
      </c>
      <c r="D4449" t="str">
        <f t="shared" si="69"/>
        <v>CA-2016-142405_OFF-BI-10004728</v>
      </c>
      <c r="E4449" t="str">
        <f>IF(COUNTIF(data1!$D:$D,D4449)=0,"Missing in Data1","Present")</f>
        <v>Present</v>
      </c>
    </row>
    <row r="4450" spans="1:5" x14ac:dyDescent="0.25">
      <c r="A4450" s="2" t="s">
        <v>3951</v>
      </c>
      <c r="B4450" s="2" t="s">
        <v>2712</v>
      </c>
      <c r="C4450" s="2">
        <v>2</v>
      </c>
      <c r="D4450" t="str">
        <f t="shared" si="69"/>
        <v>CA-2016-142405_OFF-LA-10004093</v>
      </c>
      <c r="E4450" t="str">
        <f>IF(COUNTIF(data1!$D:$D,D4450)=0,"Missing in Data1","Present")</f>
        <v>Present</v>
      </c>
    </row>
    <row r="4451" spans="1:5" x14ac:dyDescent="0.25">
      <c r="A4451" s="2" t="s">
        <v>3951</v>
      </c>
      <c r="B4451" s="2" t="s">
        <v>2092</v>
      </c>
      <c r="C4451" s="2">
        <v>3</v>
      </c>
      <c r="D4451" t="str">
        <f t="shared" si="69"/>
        <v>CA-2016-142405_TEC-AC-10003095</v>
      </c>
      <c r="E4451" t="str">
        <f>IF(COUNTIF(data1!$D:$D,D4451)=0,"Missing in Data1","Present")</f>
        <v>Present</v>
      </c>
    </row>
    <row r="4452" spans="1:5" x14ac:dyDescent="0.25">
      <c r="A4452" s="2" t="s">
        <v>3952</v>
      </c>
      <c r="B4452" s="2" t="s">
        <v>185</v>
      </c>
      <c r="C4452" s="2">
        <v>5</v>
      </c>
      <c r="D4452" t="str">
        <f t="shared" si="69"/>
        <v>CA-2016-142524_TEC-AC-10000109</v>
      </c>
      <c r="E4452" t="str">
        <f>IF(COUNTIF(data1!$D:$D,D4452)=0,"Missing in Data1","Present")</f>
        <v>Present</v>
      </c>
    </row>
    <row r="4453" spans="1:5" x14ac:dyDescent="0.25">
      <c r="A4453" s="2" t="s">
        <v>3953</v>
      </c>
      <c r="B4453" s="2" t="s">
        <v>979</v>
      </c>
      <c r="C4453" s="2">
        <v>4</v>
      </c>
      <c r="D4453" t="str">
        <f t="shared" si="69"/>
        <v>CA-2016-142545_FUR-FU-10001861</v>
      </c>
      <c r="E4453" t="str">
        <f>IF(COUNTIF(data1!$D:$D,D4453)=0,"Missing in Data1","Present")</f>
        <v>Present</v>
      </c>
    </row>
    <row r="4454" spans="1:5" x14ac:dyDescent="0.25">
      <c r="A4454" s="2" t="s">
        <v>3953</v>
      </c>
      <c r="B4454" s="2" t="s">
        <v>965</v>
      </c>
      <c r="C4454" s="2">
        <v>1</v>
      </c>
      <c r="D4454" t="str">
        <f t="shared" si="69"/>
        <v>CA-2016-142545_OFF-BI-10002706</v>
      </c>
      <c r="E4454" t="str">
        <f>IF(COUNTIF(data1!$D:$D,D4454)=0,"Missing in Data1","Present")</f>
        <v>Present</v>
      </c>
    </row>
    <row r="4455" spans="1:5" x14ac:dyDescent="0.25">
      <c r="A4455" s="2" t="s">
        <v>3953</v>
      </c>
      <c r="B4455" s="2" t="s">
        <v>1359</v>
      </c>
      <c r="C4455" s="2">
        <v>5</v>
      </c>
      <c r="D4455" t="str">
        <f t="shared" si="69"/>
        <v>CA-2016-142545_OFF-PA-10002105</v>
      </c>
      <c r="E4455" t="str">
        <f>IF(COUNTIF(data1!$D:$D,D4455)=0,"Missing in Data1","Present")</f>
        <v>Present</v>
      </c>
    </row>
    <row r="4456" spans="1:5" x14ac:dyDescent="0.25">
      <c r="A4456" s="2" t="s">
        <v>3953</v>
      </c>
      <c r="B4456" s="2" t="s">
        <v>3954</v>
      </c>
      <c r="C4456" s="2">
        <v>3</v>
      </c>
      <c r="D4456" t="str">
        <f t="shared" si="69"/>
        <v>CA-2016-142545_OFF-PA-10004243</v>
      </c>
      <c r="E4456" t="str">
        <f>IF(COUNTIF(data1!$D:$D,D4456)=0,"Missing in Data1","Present")</f>
        <v>Present</v>
      </c>
    </row>
    <row r="4457" spans="1:5" x14ac:dyDescent="0.25">
      <c r="A4457" s="2" t="s">
        <v>3953</v>
      </c>
      <c r="B4457" s="2" t="s">
        <v>2078</v>
      </c>
      <c r="C4457" s="2">
        <v>8</v>
      </c>
      <c r="D4457" t="str">
        <f t="shared" si="69"/>
        <v>CA-2016-142545_OFF-ST-10002756</v>
      </c>
      <c r="E4457" t="str">
        <f>IF(COUNTIF(data1!$D:$D,D4457)=0,"Missing in Data1","Present")</f>
        <v>Present</v>
      </c>
    </row>
    <row r="4458" spans="1:5" x14ac:dyDescent="0.25">
      <c r="A4458" s="2" t="s">
        <v>3955</v>
      </c>
      <c r="B4458" s="2" t="s">
        <v>3956</v>
      </c>
      <c r="C4458" s="2">
        <v>5</v>
      </c>
      <c r="D4458" t="str">
        <f t="shared" si="69"/>
        <v>CA-2016-142594_FUR-FU-10002045</v>
      </c>
      <c r="E4458" t="str">
        <f>IF(COUNTIF(data1!$D:$D,D4458)=0,"Missing in Data1","Present")</f>
        <v>Present</v>
      </c>
    </row>
    <row r="4459" spans="1:5" x14ac:dyDescent="0.25">
      <c r="A4459" s="2" t="s">
        <v>3955</v>
      </c>
      <c r="B4459" s="2" t="s">
        <v>2635</v>
      </c>
      <c r="C4459" s="2">
        <v>3</v>
      </c>
      <c r="D4459" t="str">
        <f t="shared" si="69"/>
        <v>CA-2016-142594_FUR-TA-10001095</v>
      </c>
      <c r="E4459" t="str">
        <f>IF(COUNTIF(data1!$D:$D,D4459)=0,"Missing in Data1","Present")</f>
        <v>Present</v>
      </c>
    </row>
    <row r="4460" spans="1:5" x14ac:dyDescent="0.25">
      <c r="A4460" s="2" t="s">
        <v>3955</v>
      </c>
      <c r="B4460" s="2" t="s">
        <v>1000</v>
      </c>
      <c r="C4460" s="2">
        <v>3</v>
      </c>
      <c r="D4460" t="str">
        <f t="shared" si="69"/>
        <v>CA-2016-142594_OFF-AP-10002945</v>
      </c>
      <c r="E4460" t="str">
        <f>IF(COUNTIF(data1!$D:$D,D4460)=0,"Missing in Data1","Present")</f>
        <v>Present</v>
      </c>
    </row>
    <row r="4461" spans="1:5" x14ac:dyDescent="0.25">
      <c r="A4461" s="2" t="s">
        <v>3955</v>
      </c>
      <c r="B4461" s="2" t="s">
        <v>2225</v>
      </c>
      <c r="C4461" s="2">
        <v>3</v>
      </c>
      <c r="D4461" t="str">
        <f t="shared" si="69"/>
        <v>CA-2016-142594_TEC-PH-10000193</v>
      </c>
      <c r="E4461" t="str">
        <f>IF(COUNTIF(data1!$D:$D,D4461)=0,"Missing in Data1","Present")</f>
        <v>Present</v>
      </c>
    </row>
    <row r="4462" spans="1:5" x14ac:dyDescent="0.25">
      <c r="A4462" s="2" t="s">
        <v>3957</v>
      </c>
      <c r="B4462" s="2" t="s">
        <v>3958</v>
      </c>
      <c r="C4462" s="2">
        <v>2</v>
      </c>
      <c r="D4462" t="str">
        <f t="shared" si="69"/>
        <v>CA-2016-142615_TEC-AC-10004803</v>
      </c>
      <c r="E4462" t="str">
        <f>IF(COUNTIF(data1!$D:$D,D4462)=0,"Missing in Data1","Present")</f>
        <v>Present</v>
      </c>
    </row>
    <row r="4463" spans="1:5" x14ac:dyDescent="0.25">
      <c r="A4463" s="2" t="s">
        <v>6804</v>
      </c>
      <c r="B4463" s="2" t="s">
        <v>851</v>
      </c>
      <c r="C4463" s="2">
        <v>3</v>
      </c>
      <c r="D4463" t="str">
        <f t="shared" si="69"/>
        <v>CA-2016-142762_FUR-FU-10003691</v>
      </c>
      <c r="E4463" t="str">
        <f>IF(COUNTIF(data1!$D:$D,D4463)=0,"Missing in Data1","Present")</f>
        <v>Missing in Data1</v>
      </c>
    </row>
    <row r="4464" spans="1:5" x14ac:dyDescent="0.25">
      <c r="A4464" s="2" t="s">
        <v>3959</v>
      </c>
      <c r="B4464" s="2" t="s">
        <v>3591</v>
      </c>
      <c r="C4464" s="2">
        <v>5</v>
      </c>
      <c r="D4464" t="str">
        <f t="shared" si="69"/>
        <v>CA-2016-142895_FUR-CH-10002961</v>
      </c>
      <c r="E4464" t="str">
        <f>IF(COUNTIF(data1!$D:$D,D4464)=0,"Missing in Data1","Present")</f>
        <v>Present</v>
      </c>
    </row>
    <row r="4465" spans="1:5" x14ac:dyDescent="0.25">
      <c r="A4465" s="2" t="s">
        <v>3959</v>
      </c>
      <c r="B4465" s="2" t="s">
        <v>379</v>
      </c>
      <c r="C4465" s="2">
        <v>3</v>
      </c>
      <c r="D4465" t="str">
        <f t="shared" si="69"/>
        <v>CA-2016-142895_OFF-LA-10000262</v>
      </c>
      <c r="E4465" t="str">
        <f>IF(COUNTIF(data1!$D:$D,D4465)=0,"Missing in Data1","Present")</f>
        <v>Present</v>
      </c>
    </row>
    <row r="4466" spans="1:5" x14ac:dyDescent="0.25">
      <c r="A4466" s="2" t="s">
        <v>3960</v>
      </c>
      <c r="B4466" s="2" t="s">
        <v>2153</v>
      </c>
      <c r="C4466" s="2">
        <v>2</v>
      </c>
      <c r="D4466" t="str">
        <f t="shared" si="69"/>
        <v>CA-2016-142902_FUR-CH-10004086</v>
      </c>
      <c r="E4466" t="str">
        <f>IF(COUNTIF(data1!$D:$D,D4466)=0,"Missing in Data1","Present")</f>
        <v>Present</v>
      </c>
    </row>
    <row r="4467" spans="1:5" x14ac:dyDescent="0.25">
      <c r="A4467" s="2" t="s">
        <v>3960</v>
      </c>
      <c r="B4467" s="2" t="s">
        <v>1411</v>
      </c>
      <c r="C4467" s="2">
        <v>1</v>
      </c>
      <c r="D4467" t="str">
        <f t="shared" si="69"/>
        <v>CA-2016-142902_FUR-FU-10001756</v>
      </c>
      <c r="E4467" t="str">
        <f>IF(COUNTIF(data1!$D:$D,D4467)=0,"Missing in Data1","Present")</f>
        <v>Present</v>
      </c>
    </row>
    <row r="4468" spans="1:5" x14ac:dyDescent="0.25">
      <c r="A4468" s="2" t="s">
        <v>3960</v>
      </c>
      <c r="B4468" s="2" t="s">
        <v>1260</v>
      </c>
      <c r="C4468" s="2">
        <v>4</v>
      </c>
      <c r="D4468" t="str">
        <f t="shared" si="69"/>
        <v>CA-2016-142902_FUR-FU-10001918</v>
      </c>
      <c r="E4468" t="str">
        <f>IF(COUNTIF(data1!$D:$D,D4468)=0,"Missing in Data1","Present")</f>
        <v>Present</v>
      </c>
    </row>
    <row r="4469" spans="1:5" x14ac:dyDescent="0.25">
      <c r="A4469" s="2" t="s">
        <v>3960</v>
      </c>
      <c r="B4469" s="2" t="s">
        <v>1504</v>
      </c>
      <c r="C4469" s="2">
        <v>3</v>
      </c>
      <c r="D4469" t="str">
        <f t="shared" si="69"/>
        <v>CA-2016-142902_OFF-LA-10000634</v>
      </c>
      <c r="E4469" t="str">
        <f>IF(COUNTIF(data1!$D:$D,D4469)=0,"Missing in Data1","Present")</f>
        <v>Present</v>
      </c>
    </row>
    <row r="4470" spans="1:5" x14ac:dyDescent="0.25">
      <c r="A4470" s="2" t="s">
        <v>3961</v>
      </c>
      <c r="B4470" s="2" t="s">
        <v>869</v>
      </c>
      <c r="C4470" s="2">
        <v>4</v>
      </c>
      <c r="D4470" t="str">
        <f t="shared" si="69"/>
        <v>CA-2016-142958_FUR-TA-10000577</v>
      </c>
      <c r="E4470" t="str">
        <f>IF(COUNTIF(data1!$D:$D,D4470)=0,"Missing in Data1","Present")</f>
        <v>Present</v>
      </c>
    </row>
    <row r="4471" spans="1:5" x14ac:dyDescent="0.25">
      <c r="A4471" s="2" t="s">
        <v>3961</v>
      </c>
      <c r="B4471" s="2" t="s">
        <v>1795</v>
      </c>
      <c r="C4471" s="2">
        <v>2</v>
      </c>
      <c r="D4471" t="str">
        <f t="shared" si="69"/>
        <v>CA-2016-142958_OFF-BI-10001759</v>
      </c>
      <c r="E4471" t="str">
        <f>IF(COUNTIF(data1!$D:$D,D4471)=0,"Missing in Data1","Present")</f>
        <v>Present</v>
      </c>
    </row>
    <row r="4472" spans="1:5" x14ac:dyDescent="0.25">
      <c r="A4472" s="2" t="s">
        <v>3962</v>
      </c>
      <c r="B4472" s="2" t="s">
        <v>578</v>
      </c>
      <c r="C4472" s="2">
        <v>3</v>
      </c>
      <c r="D4472" t="str">
        <f t="shared" si="69"/>
        <v>CA-2016-143154_TEC-AC-10002942</v>
      </c>
      <c r="E4472" t="str">
        <f>IF(COUNTIF(data1!$D:$D,D4472)=0,"Missing in Data1","Present")</f>
        <v>Present</v>
      </c>
    </row>
    <row r="4473" spans="1:5" x14ac:dyDescent="0.25">
      <c r="A4473" s="2" t="s">
        <v>3963</v>
      </c>
      <c r="B4473" s="2" t="s">
        <v>993</v>
      </c>
      <c r="C4473" s="2">
        <v>3</v>
      </c>
      <c r="D4473" t="str">
        <f t="shared" si="69"/>
        <v>CA-2016-143308_OFF-FA-10000621</v>
      </c>
      <c r="E4473" t="str">
        <f>IF(COUNTIF(data1!$D:$D,D4473)=0,"Missing in Data1","Present")</f>
        <v>Present</v>
      </c>
    </row>
    <row r="4474" spans="1:5" x14ac:dyDescent="0.25">
      <c r="A4474" s="2" t="s">
        <v>3964</v>
      </c>
      <c r="B4474" s="2" t="s">
        <v>665</v>
      </c>
      <c r="C4474" s="2">
        <v>5</v>
      </c>
      <c r="D4474" t="str">
        <f t="shared" si="69"/>
        <v>CA-2016-143406_FUR-CH-10000513</v>
      </c>
      <c r="E4474" t="str">
        <f>IF(COUNTIF(data1!$D:$D,D4474)=0,"Missing in Data1","Present")</f>
        <v>Present</v>
      </c>
    </row>
    <row r="4475" spans="1:5" x14ac:dyDescent="0.25">
      <c r="A4475" s="2" t="s">
        <v>3964</v>
      </c>
      <c r="B4475" s="2" t="s">
        <v>3965</v>
      </c>
      <c r="C4475" s="2">
        <v>2</v>
      </c>
      <c r="D4475" t="str">
        <f t="shared" si="69"/>
        <v>CA-2016-143406_OFF-AP-10001564</v>
      </c>
      <c r="E4475" t="str">
        <f>IF(COUNTIF(data1!$D:$D,D4475)=0,"Missing in Data1","Present")</f>
        <v>Present</v>
      </c>
    </row>
    <row r="4476" spans="1:5" x14ac:dyDescent="0.25">
      <c r="A4476" s="2" t="s">
        <v>3966</v>
      </c>
      <c r="B4476" s="2" t="s">
        <v>1044</v>
      </c>
      <c r="C4476" s="2">
        <v>1</v>
      </c>
      <c r="D4476" t="str">
        <f t="shared" si="69"/>
        <v>CA-2016-143441_OFF-LA-10002312</v>
      </c>
      <c r="E4476" t="str">
        <f>IF(COUNTIF(data1!$D:$D,D4476)=0,"Missing in Data1","Present")</f>
        <v>Present</v>
      </c>
    </row>
    <row r="4477" spans="1:5" x14ac:dyDescent="0.25">
      <c r="A4477" s="2" t="s">
        <v>3967</v>
      </c>
      <c r="B4477" s="2" t="s">
        <v>2034</v>
      </c>
      <c r="C4477" s="2">
        <v>2</v>
      </c>
      <c r="D4477" t="str">
        <f t="shared" si="69"/>
        <v>CA-2016-143476_OFF-AR-10003759</v>
      </c>
      <c r="E4477" t="str">
        <f>IF(COUNTIF(data1!$D:$D,D4477)=0,"Missing in Data1","Present")</f>
        <v>Present</v>
      </c>
    </row>
    <row r="4478" spans="1:5" x14ac:dyDescent="0.25">
      <c r="A4478" s="2" t="s">
        <v>3967</v>
      </c>
      <c r="B4478" s="2" t="s">
        <v>1250</v>
      </c>
      <c r="C4478" s="2">
        <v>2</v>
      </c>
      <c r="D4478" t="str">
        <f t="shared" si="69"/>
        <v>CA-2016-143476_OFF-PA-10001667</v>
      </c>
      <c r="E4478" t="str">
        <f>IF(COUNTIF(data1!$D:$D,D4478)=0,"Missing in Data1","Present")</f>
        <v>Present</v>
      </c>
    </row>
    <row r="4479" spans="1:5" x14ac:dyDescent="0.25">
      <c r="A4479" s="2" t="s">
        <v>3967</v>
      </c>
      <c r="B4479" s="2" t="s">
        <v>782</v>
      </c>
      <c r="C4479" s="2">
        <v>4</v>
      </c>
      <c r="D4479" t="str">
        <f t="shared" si="69"/>
        <v>CA-2016-143476_OFF-PA-10001837</v>
      </c>
      <c r="E4479" t="str">
        <f>IF(COUNTIF(data1!$D:$D,D4479)=0,"Missing in Data1","Present")</f>
        <v>Present</v>
      </c>
    </row>
    <row r="4480" spans="1:5" x14ac:dyDescent="0.25">
      <c r="A4480" s="2" t="s">
        <v>3968</v>
      </c>
      <c r="B4480" s="2" t="s">
        <v>1050</v>
      </c>
      <c r="C4480" s="2">
        <v>5</v>
      </c>
      <c r="D4480" t="str">
        <f t="shared" si="69"/>
        <v>CA-2016-143609_FUR-CH-10004218</v>
      </c>
      <c r="E4480" t="str">
        <f>IF(COUNTIF(data1!$D:$D,D4480)=0,"Missing in Data1","Present")</f>
        <v>Present</v>
      </c>
    </row>
    <row r="4481" spans="1:5" x14ac:dyDescent="0.25">
      <c r="A4481" s="2" t="s">
        <v>3969</v>
      </c>
      <c r="B4481" s="2" t="s">
        <v>354</v>
      </c>
      <c r="C4481" s="2">
        <v>1</v>
      </c>
      <c r="D4481" t="str">
        <f t="shared" si="69"/>
        <v>CA-2016-143714_OFF-BI-10004308</v>
      </c>
      <c r="E4481" t="str">
        <f>IF(COUNTIF(data1!$D:$D,D4481)=0,"Missing in Data1","Present")</f>
        <v>Present</v>
      </c>
    </row>
    <row r="4482" spans="1:5" x14ac:dyDescent="0.25">
      <c r="A4482" s="2" t="s">
        <v>3969</v>
      </c>
      <c r="B4482" s="2" t="s">
        <v>316</v>
      </c>
      <c r="C4482" s="2">
        <v>2</v>
      </c>
      <c r="D4482" t="str">
        <f t="shared" si="69"/>
        <v>CA-2016-143714_OFF-PA-10000029</v>
      </c>
      <c r="E4482" t="str">
        <f>IF(COUNTIF(data1!$D:$D,D4482)=0,"Missing in Data1","Present")</f>
        <v>Present</v>
      </c>
    </row>
    <row r="4483" spans="1:5" x14ac:dyDescent="0.25">
      <c r="A4483" s="2" t="s">
        <v>3969</v>
      </c>
      <c r="B4483" s="2" t="s">
        <v>3527</v>
      </c>
      <c r="C4483" s="2">
        <v>4</v>
      </c>
      <c r="D4483" t="str">
        <f t="shared" ref="D4483:D4546" si="70">A4483&amp;"_"&amp;B4483</f>
        <v>CA-2016-143714_TEC-CO-10004722</v>
      </c>
      <c r="E4483" t="str">
        <f>IF(COUNTIF(data1!$D:$D,D4483)=0,"Missing in Data1","Present")</f>
        <v>Missing in Data1</v>
      </c>
    </row>
    <row r="4484" spans="1:5" x14ac:dyDescent="0.25">
      <c r="A4484" s="2" t="s">
        <v>3969</v>
      </c>
      <c r="B4484" s="2" t="s">
        <v>3970</v>
      </c>
      <c r="C4484" s="2">
        <v>3</v>
      </c>
      <c r="D4484" t="str">
        <f t="shared" si="70"/>
        <v>CA-2016-143714_TEC-PH-10004080</v>
      </c>
      <c r="E4484" t="str">
        <f>IF(COUNTIF(data1!$D:$D,D4484)=0,"Missing in Data1","Present")</f>
        <v>Present</v>
      </c>
    </row>
    <row r="4485" spans="1:5" x14ac:dyDescent="0.25">
      <c r="A4485" s="2" t="s">
        <v>3971</v>
      </c>
      <c r="B4485" s="2" t="s">
        <v>1926</v>
      </c>
      <c r="C4485" s="2">
        <v>1</v>
      </c>
      <c r="D4485" t="str">
        <f t="shared" si="70"/>
        <v>CA-2016-143749_FUR-BO-10002853</v>
      </c>
      <c r="E4485" t="str">
        <f>IF(COUNTIF(data1!$D:$D,D4485)=0,"Missing in Data1","Present")</f>
        <v>Present</v>
      </c>
    </row>
    <row r="4486" spans="1:5" x14ac:dyDescent="0.25">
      <c r="A4486" s="2" t="s">
        <v>3972</v>
      </c>
      <c r="B4486" s="2" t="s">
        <v>1000</v>
      </c>
      <c r="C4486" s="2">
        <v>7</v>
      </c>
      <c r="D4486" t="str">
        <f t="shared" si="70"/>
        <v>CA-2016-143805_OFF-AP-10002945</v>
      </c>
      <c r="E4486" t="str">
        <f>IF(COUNTIF(data1!$D:$D,D4486)=0,"Missing in Data1","Present")</f>
        <v>Present</v>
      </c>
    </row>
    <row r="4487" spans="1:5" x14ac:dyDescent="0.25">
      <c r="A4487" s="2" t="s">
        <v>3972</v>
      </c>
      <c r="B4487" s="2" t="s">
        <v>1314</v>
      </c>
      <c r="C4487" s="2">
        <v>5</v>
      </c>
      <c r="D4487" t="str">
        <f t="shared" si="70"/>
        <v>CA-2016-143805_OFF-SU-10004664</v>
      </c>
      <c r="E4487" t="str">
        <f>IF(COUNTIF(data1!$D:$D,D4487)=0,"Missing in Data1","Present")</f>
        <v>Present</v>
      </c>
    </row>
    <row r="4488" spans="1:5" x14ac:dyDescent="0.25">
      <c r="A4488" s="2" t="s">
        <v>3973</v>
      </c>
      <c r="B4488" s="2" t="s">
        <v>1119</v>
      </c>
      <c r="C4488" s="2">
        <v>2</v>
      </c>
      <c r="D4488" t="str">
        <f t="shared" si="70"/>
        <v>CA-2016-143910_FUR-CH-10000225</v>
      </c>
      <c r="E4488" t="str">
        <f>IF(COUNTIF(data1!$D:$D,D4488)=0,"Missing in Data1","Present")</f>
        <v>Present</v>
      </c>
    </row>
    <row r="4489" spans="1:5" x14ac:dyDescent="0.25">
      <c r="A4489" s="2" t="s">
        <v>3974</v>
      </c>
      <c r="B4489" s="2" t="s">
        <v>308</v>
      </c>
      <c r="C4489" s="2">
        <v>7</v>
      </c>
      <c r="D4489" t="str">
        <f t="shared" si="70"/>
        <v>CA-2016-143924_OFF-FA-10000735</v>
      </c>
      <c r="E4489" t="str">
        <f>IF(COUNTIF(data1!$D:$D,D4489)=0,"Missing in Data1","Present")</f>
        <v>Present</v>
      </c>
    </row>
    <row r="4490" spans="1:5" x14ac:dyDescent="0.25">
      <c r="A4490" s="2" t="s">
        <v>3974</v>
      </c>
      <c r="B4490" s="2" t="s">
        <v>1414</v>
      </c>
      <c r="C4490" s="2">
        <v>2</v>
      </c>
      <c r="D4490" t="str">
        <f t="shared" si="70"/>
        <v>CA-2016-143924_OFF-PA-10002120</v>
      </c>
      <c r="E4490" t="str">
        <f>IF(COUNTIF(data1!$D:$D,D4490)=0,"Missing in Data1","Present")</f>
        <v>Present</v>
      </c>
    </row>
    <row r="4491" spans="1:5" x14ac:dyDescent="0.25">
      <c r="A4491" s="2" t="s">
        <v>3975</v>
      </c>
      <c r="B4491" s="2" t="s">
        <v>1303</v>
      </c>
      <c r="C4491" s="2">
        <v>5</v>
      </c>
      <c r="D4491" t="str">
        <f t="shared" si="70"/>
        <v>CA-2016-144015_OFF-FA-10000624</v>
      </c>
      <c r="E4491" t="str">
        <f>IF(COUNTIF(data1!$D:$D,D4491)=0,"Missing in Data1","Present")</f>
        <v>Present</v>
      </c>
    </row>
    <row r="4492" spans="1:5" x14ac:dyDescent="0.25">
      <c r="A4492" s="2" t="s">
        <v>3975</v>
      </c>
      <c r="B4492" s="2" t="s">
        <v>3976</v>
      </c>
      <c r="C4492" s="2">
        <v>2</v>
      </c>
      <c r="D4492" t="str">
        <f t="shared" si="70"/>
        <v>CA-2016-144015_OFF-PA-10002870</v>
      </c>
      <c r="E4492" t="str">
        <f>IF(COUNTIF(data1!$D:$D,D4492)=0,"Missing in Data1","Present")</f>
        <v>Present</v>
      </c>
    </row>
    <row r="4493" spans="1:5" x14ac:dyDescent="0.25">
      <c r="A4493" s="2" t="s">
        <v>3975</v>
      </c>
      <c r="B4493" s="2" t="s">
        <v>3354</v>
      </c>
      <c r="C4493" s="2">
        <v>2</v>
      </c>
      <c r="D4493" t="str">
        <f t="shared" si="70"/>
        <v>CA-2016-144015_OFF-SU-10003505</v>
      </c>
      <c r="E4493" t="str">
        <f>IF(COUNTIF(data1!$D:$D,D4493)=0,"Missing in Data1","Present")</f>
        <v>Present</v>
      </c>
    </row>
    <row r="4494" spans="1:5" x14ac:dyDescent="0.25">
      <c r="A4494" s="2" t="s">
        <v>3977</v>
      </c>
      <c r="B4494" s="2" t="s">
        <v>1674</v>
      </c>
      <c r="C4494" s="2">
        <v>2</v>
      </c>
      <c r="D4494" t="str">
        <f t="shared" si="70"/>
        <v>CA-2016-144092_FUR-CH-10004875</v>
      </c>
      <c r="E4494" t="str">
        <f>IF(COUNTIF(data1!$D:$D,D4494)=0,"Missing in Data1","Present")</f>
        <v>Present</v>
      </c>
    </row>
    <row r="4495" spans="1:5" x14ac:dyDescent="0.25">
      <c r="A4495" s="2" t="s">
        <v>3977</v>
      </c>
      <c r="B4495" s="2" t="s">
        <v>1615</v>
      </c>
      <c r="C4495" s="2">
        <v>3</v>
      </c>
      <c r="D4495" t="str">
        <f t="shared" si="70"/>
        <v>CA-2016-144092_OFF-EN-10001434</v>
      </c>
      <c r="E4495" t="str">
        <f>IF(COUNTIF(data1!$D:$D,D4495)=0,"Missing in Data1","Present")</f>
        <v>Present</v>
      </c>
    </row>
    <row r="4496" spans="1:5" x14ac:dyDescent="0.25">
      <c r="A4496" s="2" t="s">
        <v>3977</v>
      </c>
      <c r="B4496" s="2" t="s">
        <v>3087</v>
      </c>
      <c r="C4496" s="2">
        <v>4</v>
      </c>
      <c r="D4496" t="str">
        <f t="shared" si="70"/>
        <v>CA-2016-144092_TEC-AC-10002305</v>
      </c>
      <c r="E4496" t="str">
        <f>IF(COUNTIF(data1!$D:$D,D4496)=0,"Missing in Data1","Present")</f>
        <v>Present</v>
      </c>
    </row>
    <row r="4497" spans="1:5" x14ac:dyDescent="0.25">
      <c r="A4497" s="2" t="s">
        <v>3978</v>
      </c>
      <c r="B4497" s="2" t="s">
        <v>2718</v>
      </c>
      <c r="C4497" s="2">
        <v>7</v>
      </c>
      <c r="D4497" t="str">
        <f t="shared" si="70"/>
        <v>CA-2016-144148_FUR-TA-10002774</v>
      </c>
      <c r="E4497" t="str">
        <f>IF(COUNTIF(data1!$D:$D,D4497)=0,"Missing in Data1","Present")</f>
        <v>Present</v>
      </c>
    </row>
    <row r="4498" spans="1:5" x14ac:dyDescent="0.25">
      <c r="A4498" s="2" t="s">
        <v>3979</v>
      </c>
      <c r="B4498" s="2" t="s">
        <v>790</v>
      </c>
      <c r="C4498" s="2">
        <v>7</v>
      </c>
      <c r="D4498" t="str">
        <f t="shared" si="70"/>
        <v>CA-2016-144218_OFF-ST-10002615</v>
      </c>
      <c r="E4498" t="str">
        <f>IF(COUNTIF(data1!$D:$D,D4498)=0,"Missing in Data1","Present")</f>
        <v>Present</v>
      </c>
    </row>
    <row r="4499" spans="1:5" x14ac:dyDescent="0.25">
      <c r="A4499" s="2" t="s">
        <v>3980</v>
      </c>
      <c r="B4499" s="2" t="s">
        <v>702</v>
      </c>
      <c r="C4499" s="2">
        <v>5</v>
      </c>
      <c r="D4499" t="str">
        <f t="shared" si="70"/>
        <v>CA-2016-144309_OFF-BI-10003656</v>
      </c>
      <c r="E4499" t="str">
        <f>IF(COUNTIF(data1!$D:$D,D4499)=0,"Missing in Data1","Present")</f>
        <v>Present</v>
      </c>
    </row>
    <row r="4500" spans="1:5" x14ac:dyDescent="0.25">
      <c r="A4500" s="2" t="s">
        <v>3980</v>
      </c>
      <c r="B4500" s="2" t="s">
        <v>2062</v>
      </c>
      <c r="C4500" s="2">
        <v>2</v>
      </c>
      <c r="D4500" t="str">
        <f t="shared" si="70"/>
        <v>CA-2016-144309_OFF-PA-10001776</v>
      </c>
      <c r="E4500" t="str">
        <f>IF(COUNTIF(data1!$D:$D,D4500)=0,"Missing in Data1","Present")</f>
        <v>Present</v>
      </c>
    </row>
    <row r="4501" spans="1:5" x14ac:dyDescent="0.25">
      <c r="A4501" s="2" t="s">
        <v>3981</v>
      </c>
      <c r="B4501" s="2" t="s">
        <v>2455</v>
      </c>
      <c r="C4501" s="2">
        <v>2</v>
      </c>
      <c r="D4501" t="str">
        <f t="shared" si="70"/>
        <v>CA-2016-144337_OFF-PA-10000249</v>
      </c>
      <c r="E4501" t="str">
        <f>IF(COUNTIF(data1!$D:$D,D4501)=0,"Missing in Data1","Present")</f>
        <v>Present</v>
      </c>
    </row>
    <row r="4502" spans="1:5" x14ac:dyDescent="0.25">
      <c r="A4502" s="2" t="s">
        <v>3982</v>
      </c>
      <c r="B4502" s="2" t="s">
        <v>3486</v>
      </c>
      <c r="C4502" s="2">
        <v>3</v>
      </c>
      <c r="D4502" t="str">
        <f t="shared" si="70"/>
        <v>CA-2016-144344_FUR-FU-10000076</v>
      </c>
      <c r="E4502" t="str">
        <f>IF(COUNTIF(data1!$D:$D,D4502)=0,"Missing in Data1","Present")</f>
        <v>Present</v>
      </c>
    </row>
    <row r="4503" spans="1:5" x14ac:dyDescent="0.25">
      <c r="A4503" s="2" t="s">
        <v>3982</v>
      </c>
      <c r="B4503" s="2" t="s">
        <v>1781</v>
      </c>
      <c r="C4503" s="2">
        <v>2</v>
      </c>
      <c r="D4503" t="str">
        <f t="shared" si="70"/>
        <v>CA-2016-144344_FUR-FU-10003268</v>
      </c>
      <c r="E4503" t="str">
        <f>IF(COUNTIF(data1!$D:$D,D4503)=0,"Missing in Data1","Present")</f>
        <v>Present</v>
      </c>
    </row>
    <row r="4504" spans="1:5" x14ac:dyDescent="0.25">
      <c r="A4504" s="2" t="s">
        <v>3982</v>
      </c>
      <c r="B4504" s="2" t="s">
        <v>769</v>
      </c>
      <c r="C4504" s="2">
        <v>3</v>
      </c>
      <c r="D4504" t="str">
        <f t="shared" si="70"/>
        <v>CA-2016-144344_FUR-FU-10003553</v>
      </c>
      <c r="E4504" t="str">
        <f>IF(COUNTIF(data1!$D:$D,D4504)=0,"Missing in Data1","Present")</f>
        <v>Present</v>
      </c>
    </row>
    <row r="4505" spans="1:5" x14ac:dyDescent="0.25">
      <c r="A4505" s="2" t="s">
        <v>3982</v>
      </c>
      <c r="B4505" s="2" t="s">
        <v>1121</v>
      </c>
      <c r="C4505" s="2">
        <v>5</v>
      </c>
      <c r="D4505" t="str">
        <f t="shared" si="70"/>
        <v>CA-2016-144344_OFF-BI-10003719</v>
      </c>
      <c r="E4505" t="str">
        <f>IF(COUNTIF(data1!$D:$D,D4505)=0,"Missing in Data1","Present")</f>
        <v>Present</v>
      </c>
    </row>
    <row r="4506" spans="1:5" x14ac:dyDescent="0.25">
      <c r="A4506" s="2" t="s">
        <v>3983</v>
      </c>
      <c r="B4506" s="2" t="s">
        <v>3016</v>
      </c>
      <c r="C4506" s="2">
        <v>3</v>
      </c>
      <c r="D4506" t="str">
        <f t="shared" si="70"/>
        <v>CA-2016-144400_OFF-EN-10004386</v>
      </c>
      <c r="E4506" t="str">
        <f>IF(COUNTIF(data1!$D:$D,D4506)=0,"Missing in Data1","Present")</f>
        <v>Present</v>
      </c>
    </row>
    <row r="4507" spans="1:5" x14ac:dyDescent="0.25">
      <c r="A4507" s="2" t="s">
        <v>3984</v>
      </c>
      <c r="B4507" s="2" t="s">
        <v>3095</v>
      </c>
      <c r="C4507" s="2">
        <v>3</v>
      </c>
      <c r="D4507" t="str">
        <f t="shared" si="70"/>
        <v>CA-2016-144540_OFF-AP-10002457</v>
      </c>
      <c r="E4507" t="str">
        <f>IF(COUNTIF(data1!$D:$D,D4507)=0,"Missing in Data1","Present")</f>
        <v>Present</v>
      </c>
    </row>
    <row r="4508" spans="1:5" x14ac:dyDescent="0.25">
      <c r="A4508" s="2" t="s">
        <v>3984</v>
      </c>
      <c r="B4508" s="2" t="s">
        <v>454</v>
      </c>
      <c r="C4508" s="2">
        <v>9</v>
      </c>
      <c r="D4508" t="str">
        <f t="shared" si="70"/>
        <v>CA-2016-144540_OFF-FA-10002763</v>
      </c>
      <c r="E4508" t="str">
        <f>IF(COUNTIF(data1!$D:$D,D4508)=0,"Missing in Data1","Present")</f>
        <v>Present</v>
      </c>
    </row>
    <row r="4509" spans="1:5" x14ac:dyDescent="0.25">
      <c r="A4509" s="2" t="s">
        <v>3985</v>
      </c>
      <c r="B4509" s="2" t="s">
        <v>507</v>
      </c>
      <c r="C4509" s="2">
        <v>3</v>
      </c>
      <c r="D4509" t="str">
        <f t="shared" si="70"/>
        <v>CA-2016-144554_TEC-AC-10002800</v>
      </c>
      <c r="E4509" t="str">
        <f>IF(COUNTIF(data1!$D:$D,D4509)=0,"Missing in Data1","Present")</f>
        <v>Present</v>
      </c>
    </row>
    <row r="4510" spans="1:5" x14ac:dyDescent="0.25">
      <c r="A4510" s="2" t="s">
        <v>3986</v>
      </c>
      <c r="B4510" s="2" t="s">
        <v>3987</v>
      </c>
      <c r="C4510" s="2">
        <v>2</v>
      </c>
      <c r="D4510" t="str">
        <f t="shared" si="70"/>
        <v>CA-2016-144645_FUR-FU-10003601</v>
      </c>
      <c r="E4510" t="str">
        <f>IF(COUNTIF(data1!$D:$D,D4510)=0,"Missing in Data1","Present")</f>
        <v>Present</v>
      </c>
    </row>
    <row r="4511" spans="1:5" x14ac:dyDescent="0.25">
      <c r="A4511" s="2" t="s">
        <v>3988</v>
      </c>
      <c r="B4511" s="2" t="s">
        <v>2460</v>
      </c>
      <c r="C4511" s="2">
        <v>3</v>
      </c>
      <c r="D4511" t="str">
        <f t="shared" si="70"/>
        <v>CA-2016-144729_OFF-ST-10004804</v>
      </c>
      <c r="E4511" t="str">
        <f>IF(COUNTIF(data1!$D:$D,D4511)=0,"Missing in Data1","Present")</f>
        <v>Present</v>
      </c>
    </row>
    <row r="4512" spans="1:5" x14ac:dyDescent="0.25">
      <c r="A4512" s="2" t="s">
        <v>3989</v>
      </c>
      <c r="B4512" s="2" t="s">
        <v>591</v>
      </c>
      <c r="C4512" s="2">
        <v>5</v>
      </c>
      <c r="D4512" t="str">
        <f t="shared" si="70"/>
        <v>CA-2016-144764_OFF-LA-10000240</v>
      </c>
      <c r="E4512" t="str">
        <f>IF(COUNTIF(data1!$D:$D,D4512)=0,"Missing in Data1","Present")</f>
        <v>Missing in Data1</v>
      </c>
    </row>
    <row r="4513" spans="1:5" x14ac:dyDescent="0.25">
      <c r="A4513" s="2" t="s">
        <v>3989</v>
      </c>
      <c r="B4513" s="2" t="s">
        <v>3070</v>
      </c>
      <c r="C4513" s="2">
        <v>2</v>
      </c>
      <c r="D4513" t="str">
        <f t="shared" si="70"/>
        <v>CA-2016-144764_OFF-ST-10002485</v>
      </c>
      <c r="E4513" t="str">
        <f>IF(COUNTIF(data1!$D:$D,D4513)=0,"Missing in Data1","Present")</f>
        <v>Present</v>
      </c>
    </row>
    <row r="4514" spans="1:5" x14ac:dyDescent="0.25">
      <c r="A4514" s="2" t="s">
        <v>3989</v>
      </c>
      <c r="B4514" s="2" t="s">
        <v>3990</v>
      </c>
      <c r="C4514" s="2">
        <v>3</v>
      </c>
      <c r="D4514" t="str">
        <f t="shared" si="70"/>
        <v>CA-2016-144764_TEC-MA-10003230</v>
      </c>
      <c r="E4514" t="str">
        <f>IF(COUNTIF(data1!$D:$D,D4514)=0,"Missing in Data1","Present")</f>
        <v>Present</v>
      </c>
    </row>
    <row r="4515" spans="1:5" x14ac:dyDescent="0.25">
      <c r="A4515" s="2" t="s">
        <v>3991</v>
      </c>
      <c r="B4515" s="2" t="s">
        <v>1669</v>
      </c>
      <c r="C4515" s="2">
        <v>3</v>
      </c>
      <c r="D4515" t="str">
        <f t="shared" si="70"/>
        <v>CA-2016-144785_OFF-AR-10001573</v>
      </c>
      <c r="E4515" t="str">
        <f>IF(COUNTIF(data1!$D:$D,D4515)=0,"Missing in Data1","Present")</f>
        <v>Present</v>
      </c>
    </row>
    <row r="4516" spans="1:5" x14ac:dyDescent="0.25">
      <c r="A4516" s="2" t="s">
        <v>3991</v>
      </c>
      <c r="B4516" s="2" t="s">
        <v>355</v>
      </c>
      <c r="C4516" s="2">
        <v>1</v>
      </c>
      <c r="D4516" t="str">
        <f t="shared" si="70"/>
        <v>CA-2016-144785_OFF-SU-10004290</v>
      </c>
      <c r="E4516" t="str">
        <f>IF(COUNTIF(data1!$D:$D,D4516)=0,"Missing in Data1","Present")</f>
        <v>Present</v>
      </c>
    </row>
    <row r="4517" spans="1:5" x14ac:dyDescent="0.25">
      <c r="A4517" s="2" t="s">
        <v>3992</v>
      </c>
      <c r="B4517" s="2" t="s">
        <v>359</v>
      </c>
      <c r="C4517" s="2">
        <v>7</v>
      </c>
      <c r="D4517" t="str">
        <f t="shared" si="70"/>
        <v>CA-2016-144792_FUR-FU-10002759</v>
      </c>
      <c r="E4517" t="str">
        <f>IF(COUNTIF(data1!$D:$D,D4517)=0,"Missing in Data1","Present")</f>
        <v>Present</v>
      </c>
    </row>
    <row r="4518" spans="1:5" x14ac:dyDescent="0.25">
      <c r="A4518" s="2" t="s">
        <v>3993</v>
      </c>
      <c r="B4518" s="2" t="s">
        <v>1849</v>
      </c>
      <c r="C4518" s="2">
        <v>2</v>
      </c>
      <c r="D4518" t="str">
        <f t="shared" si="70"/>
        <v>CA-2016-144855_OFF-LA-10003766</v>
      </c>
      <c r="E4518" t="str">
        <f>IF(COUNTIF(data1!$D:$D,D4518)=0,"Missing in Data1","Present")</f>
        <v>Present</v>
      </c>
    </row>
    <row r="4519" spans="1:5" x14ac:dyDescent="0.25">
      <c r="A4519" s="2" t="s">
        <v>3994</v>
      </c>
      <c r="B4519" s="2" t="s">
        <v>859</v>
      </c>
      <c r="C4519" s="2">
        <v>5</v>
      </c>
      <c r="D4519" t="str">
        <f t="shared" si="70"/>
        <v>CA-2016-144911_OFF-BI-10000977</v>
      </c>
      <c r="E4519" t="str">
        <f>IF(COUNTIF(data1!$D:$D,D4519)=0,"Missing in Data1","Present")</f>
        <v>Present</v>
      </c>
    </row>
    <row r="4520" spans="1:5" x14ac:dyDescent="0.25">
      <c r="A4520" s="2" t="s">
        <v>3994</v>
      </c>
      <c r="B4520" s="2" t="s">
        <v>1007</v>
      </c>
      <c r="C4520" s="2">
        <v>5</v>
      </c>
      <c r="D4520" t="str">
        <f t="shared" si="70"/>
        <v>CA-2016-144911_TEC-AC-10004633</v>
      </c>
      <c r="E4520" t="str">
        <f>IF(COUNTIF(data1!$D:$D,D4520)=0,"Missing in Data1","Present")</f>
        <v>Present</v>
      </c>
    </row>
    <row r="4521" spans="1:5" x14ac:dyDescent="0.25">
      <c r="A4521" s="2" t="s">
        <v>3995</v>
      </c>
      <c r="B4521" s="2" t="s">
        <v>2190</v>
      </c>
      <c r="C4521" s="2">
        <v>6</v>
      </c>
      <c r="D4521" t="str">
        <f t="shared" si="70"/>
        <v>CA-2016-144939_FUR-CH-10003199</v>
      </c>
      <c r="E4521" t="str">
        <f>IF(COUNTIF(data1!$D:$D,D4521)=0,"Missing in Data1","Present")</f>
        <v>Present</v>
      </c>
    </row>
    <row r="4522" spans="1:5" x14ac:dyDescent="0.25">
      <c r="A4522" s="2" t="s">
        <v>3996</v>
      </c>
      <c r="B4522" s="2" t="s">
        <v>1803</v>
      </c>
      <c r="C4522" s="2">
        <v>3</v>
      </c>
      <c r="D4522" t="str">
        <f t="shared" si="70"/>
        <v>CA-2016-145009_OFF-LA-10004853</v>
      </c>
      <c r="E4522" t="str">
        <f>IF(COUNTIF(data1!$D:$D,D4522)=0,"Missing in Data1","Present")</f>
        <v>Present</v>
      </c>
    </row>
    <row r="4523" spans="1:5" x14ac:dyDescent="0.25">
      <c r="A4523" s="2" t="s">
        <v>3997</v>
      </c>
      <c r="B4523" s="2" t="s">
        <v>1952</v>
      </c>
      <c r="C4523" s="2">
        <v>2</v>
      </c>
      <c r="D4523" t="str">
        <f t="shared" si="70"/>
        <v>CA-2016-145135_OFF-PA-10004285</v>
      </c>
      <c r="E4523" t="str">
        <f>IF(COUNTIF(data1!$D:$D,D4523)=0,"Missing in Data1","Present")</f>
        <v>Present</v>
      </c>
    </row>
    <row r="4524" spans="1:5" x14ac:dyDescent="0.25">
      <c r="A4524" s="2" t="s">
        <v>3997</v>
      </c>
      <c r="B4524" s="2" t="s">
        <v>1619</v>
      </c>
      <c r="C4524" s="2">
        <v>3</v>
      </c>
      <c r="D4524" t="str">
        <f t="shared" si="70"/>
        <v>CA-2016-145135_TEC-AC-10003447</v>
      </c>
      <c r="E4524" t="str">
        <f>IF(COUNTIF(data1!$D:$D,D4524)=0,"Missing in Data1","Present")</f>
        <v>Present</v>
      </c>
    </row>
    <row r="4525" spans="1:5" x14ac:dyDescent="0.25">
      <c r="A4525" s="2" t="s">
        <v>3998</v>
      </c>
      <c r="B4525" s="2" t="s">
        <v>669</v>
      </c>
      <c r="C4525" s="2">
        <v>7</v>
      </c>
      <c r="D4525" t="str">
        <f t="shared" si="70"/>
        <v>CA-2016-145177_FUR-FU-10000758</v>
      </c>
      <c r="E4525" t="str">
        <f>IF(COUNTIF(data1!$D:$D,D4525)=0,"Missing in Data1","Present")</f>
        <v>Present</v>
      </c>
    </row>
    <row r="4526" spans="1:5" x14ac:dyDescent="0.25">
      <c r="A4526" s="2" t="s">
        <v>3998</v>
      </c>
      <c r="B4526" s="2" t="s">
        <v>3095</v>
      </c>
      <c r="C4526" s="2">
        <v>4</v>
      </c>
      <c r="D4526" t="str">
        <f t="shared" si="70"/>
        <v>CA-2016-145177_OFF-AP-10002457</v>
      </c>
      <c r="E4526" t="str">
        <f>IF(COUNTIF(data1!$D:$D,D4526)=0,"Missing in Data1","Present")</f>
        <v>Present</v>
      </c>
    </row>
    <row r="4527" spans="1:5" x14ac:dyDescent="0.25">
      <c r="A4527" s="2" t="s">
        <v>3998</v>
      </c>
      <c r="B4527" s="2" t="s">
        <v>1961</v>
      </c>
      <c r="C4527" s="2">
        <v>7</v>
      </c>
      <c r="D4527" t="str">
        <f t="shared" si="70"/>
        <v>CA-2016-145177_OFF-BI-10002082</v>
      </c>
      <c r="E4527" t="str">
        <f>IF(COUNTIF(data1!$D:$D,D4527)=0,"Missing in Data1","Present")</f>
        <v>Present</v>
      </c>
    </row>
    <row r="4528" spans="1:5" x14ac:dyDescent="0.25">
      <c r="A4528" s="2" t="s">
        <v>3998</v>
      </c>
      <c r="B4528" s="2" t="s">
        <v>776</v>
      </c>
      <c r="C4528" s="2">
        <v>4</v>
      </c>
      <c r="D4528" t="str">
        <f t="shared" si="70"/>
        <v>CA-2016-145177_OFF-LA-10001613</v>
      </c>
      <c r="E4528" t="str">
        <f>IF(COUNTIF(data1!$D:$D,D4528)=0,"Missing in Data1","Present")</f>
        <v>Present</v>
      </c>
    </row>
    <row r="4529" spans="1:5" x14ac:dyDescent="0.25">
      <c r="A4529" s="2" t="s">
        <v>3998</v>
      </c>
      <c r="B4529" s="2" t="s">
        <v>3999</v>
      </c>
      <c r="C4529" s="2">
        <v>1</v>
      </c>
      <c r="D4529" t="str">
        <f t="shared" si="70"/>
        <v>CA-2016-145177_OFF-PA-10000682</v>
      </c>
      <c r="E4529" t="str">
        <f>IF(COUNTIF(data1!$D:$D,D4529)=0,"Missing in Data1","Present")</f>
        <v>Present</v>
      </c>
    </row>
    <row r="4530" spans="1:5" x14ac:dyDescent="0.25">
      <c r="A4530" s="2" t="s">
        <v>3998</v>
      </c>
      <c r="B4530" s="2" t="s">
        <v>3791</v>
      </c>
      <c r="C4530" s="2">
        <v>2</v>
      </c>
      <c r="D4530" t="str">
        <f t="shared" si="70"/>
        <v>CA-2016-145177_OFF-PA-10004039</v>
      </c>
      <c r="E4530" t="str">
        <f>IF(COUNTIF(data1!$D:$D,D4530)=0,"Missing in Data1","Present")</f>
        <v>Present</v>
      </c>
    </row>
    <row r="4531" spans="1:5" x14ac:dyDescent="0.25">
      <c r="A4531" s="2" t="s">
        <v>3998</v>
      </c>
      <c r="B4531" s="2" t="s">
        <v>1055</v>
      </c>
      <c r="C4531" s="2">
        <v>7</v>
      </c>
      <c r="D4531" t="str">
        <f t="shared" si="70"/>
        <v>CA-2016-145177_TEC-AC-10002550</v>
      </c>
      <c r="E4531" t="str">
        <f>IF(COUNTIF(data1!$D:$D,D4531)=0,"Missing in Data1","Present")</f>
        <v>Present</v>
      </c>
    </row>
    <row r="4532" spans="1:5" x14ac:dyDescent="0.25">
      <c r="A4532" s="2" t="s">
        <v>4000</v>
      </c>
      <c r="B4532" s="2" t="s">
        <v>2282</v>
      </c>
      <c r="C4532" s="2">
        <v>1</v>
      </c>
      <c r="D4532" t="str">
        <f t="shared" si="70"/>
        <v>CA-2016-145240_OFF-ST-10001590</v>
      </c>
      <c r="E4532" t="str">
        <f>IF(COUNTIF(data1!$D:$D,D4532)=0,"Missing in Data1","Present")</f>
        <v>Present</v>
      </c>
    </row>
    <row r="4533" spans="1:5" x14ac:dyDescent="0.25">
      <c r="A4533" s="2" t="s">
        <v>4001</v>
      </c>
      <c r="B4533" s="2" t="s">
        <v>884</v>
      </c>
      <c r="C4533" s="2">
        <v>3</v>
      </c>
      <c r="D4533" t="str">
        <f t="shared" si="70"/>
        <v>CA-2016-145247_OFF-PA-10003641</v>
      </c>
      <c r="E4533" t="str">
        <f>IF(COUNTIF(data1!$D:$D,D4533)=0,"Missing in Data1","Present")</f>
        <v>Present</v>
      </c>
    </row>
    <row r="4534" spans="1:5" x14ac:dyDescent="0.25">
      <c r="A4534" s="2" t="s">
        <v>4002</v>
      </c>
      <c r="B4534" s="2" t="s">
        <v>1996</v>
      </c>
      <c r="C4534" s="2">
        <v>5</v>
      </c>
      <c r="D4534" t="str">
        <f t="shared" si="70"/>
        <v>CA-2016-145261_FUR-TA-10002530</v>
      </c>
      <c r="E4534" t="str">
        <f>IF(COUNTIF(data1!$D:$D,D4534)=0,"Missing in Data1","Present")</f>
        <v>Present</v>
      </c>
    </row>
    <row r="4535" spans="1:5" x14ac:dyDescent="0.25">
      <c r="A4535" s="2" t="s">
        <v>4002</v>
      </c>
      <c r="B4535" s="2" t="s">
        <v>1096</v>
      </c>
      <c r="C4535" s="2">
        <v>4</v>
      </c>
      <c r="D4535" t="str">
        <f t="shared" si="70"/>
        <v>CA-2016-145261_OFF-AR-10004078</v>
      </c>
      <c r="E4535" t="str">
        <f>IF(COUNTIF(data1!$D:$D,D4535)=0,"Missing in Data1","Present")</f>
        <v>Present</v>
      </c>
    </row>
    <row r="4536" spans="1:5" x14ac:dyDescent="0.25">
      <c r="A4536" s="2" t="s">
        <v>4002</v>
      </c>
      <c r="B4536" s="2" t="s">
        <v>267</v>
      </c>
      <c r="C4536" s="2">
        <v>4</v>
      </c>
      <c r="D4536" t="str">
        <f t="shared" si="70"/>
        <v>CA-2016-145261_OFF-BI-10001670</v>
      </c>
      <c r="E4536" t="str">
        <f>IF(COUNTIF(data1!$D:$D,D4536)=0,"Missing in Data1","Present")</f>
        <v>Present</v>
      </c>
    </row>
    <row r="4537" spans="1:5" x14ac:dyDescent="0.25">
      <c r="A4537" s="2" t="s">
        <v>4002</v>
      </c>
      <c r="B4537" s="2" t="s">
        <v>1593</v>
      </c>
      <c r="C4537" s="2">
        <v>4</v>
      </c>
      <c r="D4537" t="str">
        <f t="shared" si="70"/>
        <v>CA-2016-145261_OFF-LA-10000407</v>
      </c>
      <c r="E4537" t="str">
        <f>IF(COUNTIF(data1!$D:$D,D4537)=0,"Missing in Data1","Present")</f>
        <v>Present</v>
      </c>
    </row>
    <row r="4538" spans="1:5" x14ac:dyDescent="0.25">
      <c r="A4538" s="2" t="s">
        <v>4002</v>
      </c>
      <c r="B4538" s="2" t="s">
        <v>475</v>
      </c>
      <c r="C4538" s="2">
        <v>2</v>
      </c>
      <c r="D4538" t="str">
        <f t="shared" si="70"/>
        <v>CA-2016-145261_OFF-PA-10003036</v>
      </c>
      <c r="E4538" t="str">
        <f>IF(COUNTIF(data1!$D:$D,D4538)=0,"Missing in Data1","Present")</f>
        <v>Present</v>
      </c>
    </row>
    <row r="4539" spans="1:5" x14ac:dyDescent="0.25">
      <c r="A4539" s="2" t="s">
        <v>4002</v>
      </c>
      <c r="B4539" s="2" t="s">
        <v>3748</v>
      </c>
      <c r="C4539" s="2">
        <v>3</v>
      </c>
      <c r="D4539" t="str">
        <f t="shared" si="70"/>
        <v>CA-2016-145261_TEC-PH-10004833</v>
      </c>
      <c r="E4539" t="str">
        <f>IF(COUNTIF(data1!$D:$D,D4539)=0,"Missing in Data1","Present")</f>
        <v>Present</v>
      </c>
    </row>
    <row r="4540" spans="1:5" x14ac:dyDescent="0.25">
      <c r="A4540" s="2" t="s">
        <v>4004</v>
      </c>
      <c r="B4540" s="2" t="s">
        <v>635</v>
      </c>
      <c r="C4540" s="2">
        <v>2</v>
      </c>
      <c r="D4540" t="str">
        <f t="shared" si="70"/>
        <v>CA-2016-145303_FUR-BO-10003159</v>
      </c>
      <c r="E4540" t="str">
        <f>IF(COUNTIF(data1!$D:$D,D4540)=0,"Missing in Data1","Present")</f>
        <v>Present</v>
      </c>
    </row>
    <row r="4541" spans="1:5" x14ac:dyDescent="0.25">
      <c r="A4541" s="2" t="s">
        <v>4004</v>
      </c>
      <c r="B4541" s="2" t="s">
        <v>211</v>
      </c>
      <c r="C4541" s="2">
        <v>9</v>
      </c>
      <c r="D4541" t="str">
        <f t="shared" si="70"/>
        <v>CA-2016-145303_OFF-BI-10000050</v>
      </c>
      <c r="E4541" t="str">
        <f>IF(COUNTIF(data1!$D:$D,D4541)=0,"Missing in Data1","Present")</f>
        <v>Present</v>
      </c>
    </row>
    <row r="4542" spans="1:5" x14ac:dyDescent="0.25">
      <c r="A4542" s="2" t="s">
        <v>4004</v>
      </c>
      <c r="B4542" s="2" t="s">
        <v>4005</v>
      </c>
      <c r="C4542" s="2">
        <v>4</v>
      </c>
      <c r="D4542" t="str">
        <f t="shared" si="70"/>
        <v>CA-2016-145303_OFF-BI-10002414</v>
      </c>
      <c r="E4542" t="str">
        <f>IF(COUNTIF(data1!$D:$D,D4542)=0,"Missing in Data1","Present")</f>
        <v>Present</v>
      </c>
    </row>
    <row r="4543" spans="1:5" x14ac:dyDescent="0.25">
      <c r="A4543" s="2" t="s">
        <v>4006</v>
      </c>
      <c r="B4543" s="2" t="s">
        <v>1058</v>
      </c>
      <c r="C4543" s="2">
        <v>12</v>
      </c>
      <c r="D4543" t="str">
        <f t="shared" si="70"/>
        <v>CA-2016-145492_OFF-AP-10003622</v>
      </c>
      <c r="E4543" t="str">
        <f>IF(COUNTIF(data1!$D:$D,D4543)=0,"Missing in Data1","Present")</f>
        <v>Present</v>
      </c>
    </row>
    <row r="4544" spans="1:5" x14ac:dyDescent="0.25">
      <c r="A4544" s="2" t="s">
        <v>4007</v>
      </c>
      <c r="B4544" s="2" t="s">
        <v>1906</v>
      </c>
      <c r="C4544" s="2">
        <v>2</v>
      </c>
      <c r="D4544" t="str">
        <f t="shared" si="70"/>
        <v>CA-2016-145499_OFF-BI-10000848</v>
      </c>
      <c r="E4544" t="str">
        <f>IF(COUNTIF(data1!$D:$D,D4544)=0,"Missing in Data1","Present")</f>
        <v>Present</v>
      </c>
    </row>
    <row r="4545" spans="1:5" x14ac:dyDescent="0.25">
      <c r="A4545" s="2" t="s">
        <v>4008</v>
      </c>
      <c r="B4545" s="2" t="s">
        <v>373</v>
      </c>
      <c r="C4545" s="2">
        <v>3</v>
      </c>
      <c r="D4545" t="str">
        <f t="shared" si="70"/>
        <v>CA-2016-145548_FUR-CH-10003774</v>
      </c>
      <c r="E4545" t="str">
        <f>IF(COUNTIF(data1!$D:$D,D4545)=0,"Missing in Data1","Present")</f>
        <v>Present</v>
      </c>
    </row>
    <row r="4546" spans="1:5" x14ac:dyDescent="0.25">
      <c r="A4546" s="2" t="s">
        <v>4008</v>
      </c>
      <c r="B4546" s="2" t="s">
        <v>1700</v>
      </c>
      <c r="C4546" s="2">
        <v>3</v>
      </c>
      <c r="D4546" t="str">
        <f t="shared" si="70"/>
        <v>CA-2016-145548_OFF-AR-10003373</v>
      </c>
      <c r="E4546" t="str">
        <f>IF(COUNTIF(data1!$D:$D,D4546)=0,"Missing in Data1","Present")</f>
        <v>Present</v>
      </c>
    </row>
    <row r="4547" spans="1:5" x14ac:dyDescent="0.25">
      <c r="A4547" s="2" t="s">
        <v>4008</v>
      </c>
      <c r="B4547" s="2" t="s">
        <v>1954</v>
      </c>
      <c r="C4547" s="2">
        <v>3</v>
      </c>
      <c r="D4547" t="str">
        <f t="shared" ref="D4547:D4610" si="71">A4547&amp;"_"&amp;B4547</f>
        <v>CA-2016-145548_OFF-BI-10001510</v>
      </c>
      <c r="E4547" t="str">
        <f>IF(COUNTIF(data1!$D:$D,D4547)=0,"Missing in Data1","Present")</f>
        <v>Present</v>
      </c>
    </row>
    <row r="4548" spans="1:5" x14ac:dyDescent="0.25">
      <c r="A4548" s="2" t="s">
        <v>4008</v>
      </c>
      <c r="B4548" s="2" t="s">
        <v>2913</v>
      </c>
      <c r="C4548" s="2">
        <v>3</v>
      </c>
      <c r="D4548" t="str">
        <f t="shared" si="71"/>
        <v>CA-2016-145548_OFF-BI-10004236</v>
      </c>
      <c r="E4548" t="str">
        <f>IF(COUNTIF(data1!$D:$D,D4548)=0,"Missing in Data1","Present")</f>
        <v>Present</v>
      </c>
    </row>
    <row r="4549" spans="1:5" x14ac:dyDescent="0.25">
      <c r="A4549" s="2" t="s">
        <v>4008</v>
      </c>
      <c r="B4549" s="2" t="s">
        <v>3087</v>
      </c>
      <c r="C4549" s="2">
        <v>2</v>
      </c>
      <c r="D4549" t="str">
        <f t="shared" si="71"/>
        <v>CA-2016-145548_TEC-AC-10002305</v>
      </c>
      <c r="E4549" t="str">
        <f>IF(COUNTIF(data1!$D:$D,D4549)=0,"Missing in Data1","Present")</f>
        <v>Present</v>
      </c>
    </row>
    <row r="4550" spans="1:5" x14ac:dyDescent="0.25">
      <c r="A4550" s="2" t="s">
        <v>4009</v>
      </c>
      <c r="B4550" s="2" t="s">
        <v>456</v>
      </c>
      <c r="C4550" s="2">
        <v>14</v>
      </c>
      <c r="D4550" t="str">
        <f t="shared" si="71"/>
        <v>CA-2016-145583_FUR-FU-10001706</v>
      </c>
      <c r="E4550" t="str">
        <f>IF(COUNTIF(data1!$D:$D,D4550)=0,"Missing in Data1","Present")</f>
        <v>Present</v>
      </c>
    </row>
    <row r="4551" spans="1:5" x14ac:dyDescent="0.25">
      <c r="A4551" s="2" t="s">
        <v>4009</v>
      </c>
      <c r="B4551" s="2" t="s">
        <v>681</v>
      </c>
      <c r="C4551" s="2">
        <v>4</v>
      </c>
      <c r="D4551" t="str">
        <f t="shared" si="71"/>
        <v>CA-2016-145583_OFF-AR-10001149</v>
      </c>
      <c r="E4551" t="str">
        <f>IF(COUNTIF(data1!$D:$D,D4551)=0,"Missing in Data1","Present")</f>
        <v>Present</v>
      </c>
    </row>
    <row r="4552" spans="1:5" x14ac:dyDescent="0.25">
      <c r="A4552" s="2" t="s">
        <v>4009</v>
      </c>
      <c r="B4552" s="2" t="s">
        <v>1907</v>
      </c>
      <c r="C4552" s="2">
        <v>3</v>
      </c>
      <c r="D4552" t="str">
        <f t="shared" si="71"/>
        <v>CA-2016-145583_OFF-BI-10004781</v>
      </c>
      <c r="E4552" t="str">
        <f>IF(COUNTIF(data1!$D:$D,D4552)=0,"Missing in Data1","Present")</f>
        <v>Present</v>
      </c>
    </row>
    <row r="4553" spans="1:5" x14ac:dyDescent="0.25">
      <c r="A4553" s="2" t="s">
        <v>4009</v>
      </c>
      <c r="B4553" s="2" t="s">
        <v>1808</v>
      </c>
      <c r="C4553" s="2">
        <v>2</v>
      </c>
      <c r="D4553" t="str">
        <f t="shared" si="71"/>
        <v>CA-2016-145583_OFF-FA-10002988</v>
      </c>
      <c r="E4553" t="str">
        <f>IF(COUNTIF(data1!$D:$D,D4553)=0,"Missing in Data1","Present")</f>
        <v>Present</v>
      </c>
    </row>
    <row r="4554" spans="1:5" x14ac:dyDescent="0.25">
      <c r="A4554" s="2" t="s">
        <v>4009</v>
      </c>
      <c r="B4554" s="2" t="s">
        <v>3291</v>
      </c>
      <c r="C4554" s="2">
        <v>1</v>
      </c>
      <c r="D4554" t="str">
        <f t="shared" si="71"/>
        <v>CA-2016-145583_OFF-PA-10001736</v>
      </c>
      <c r="E4554" t="str">
        <f>IF(COUNTIF(data1!$D:$D,D4554)=0,"Missing in Data1","Present")</f>
        <v>Present</v>
      </c>
    </row>
    <row r="4555" spans="1:5" x14ac:dyDescent="0.25">
      <c r="A4555" s="2" t="s">
        <v>4009</v>
      </c>
      <c r="B4555" s="2" t="s">
        <v>89</v>
      </c>
      <c r="C4555" s="2">
        <v>3</v>
      </c>
      <c r="D4555" t="str">
        <f t="shared" si="71"/>
        <v>CA-2016-145583_OFF-PA-10001804</v>
      </c>
      <c r="E4555" t="str">
        <f>IF(COUNTIF(data1!$D:$D,D4555)=0,"Missing in Data1","Present")</f>
        <v>Missing in Data1</v>
      </c>
    </row>
    <row r="4556" spans="1:5" x14ac:dyDescent="0.25">
      <c r="A4556" s="2" t="s">
        <v>4009</v>
      </c>
      <c r="B4556" s="2" t="s">
        <v>1875</v>
      </c>
      <c r="C4556" s="2">
        <v>6</v>
      </c>
      <c r="D4556" t="str">
        <f t="shared" si="71"/>
        <v>CA-2016-145583_OFF-SU-10001218</v>
      </c>
      <c r="E4556" t="str">
        <f>IF(COUNTIF(data1!$D:$D,D4556)=0,"Missing in Data1","Present")</f>
        <v>Present</v>
      </c>
    </row>
    <row r="4557" spans="1:5" x14ac:dyDescent="0.25">
      <c r="A4557" s="2" t="s">
        <v>4010</v>
      </c>
      <c r="B4557" s="2" t="s">
        <v>136</v>
      </c>
      <c r="C4557" s="2">
        <v>5</v>
      </c>
      <c r="D4557" t="str">
        <f t="shared" si="71"/>
        <v>CA-2016-145611_OFF-AP-10001005</v>
      </c>
      <c r="E4557" t="str">
        <f>IF(COUNTIF(data1!$D:$D,D4557)=0,"Missing in Data1","Present")</f>
        <v>Present</v>
      </c>
    </row>
    <row r="4558" spans="1:5" x14ac:dyDescent="0.25">
      <c r="A4558" s="2" t="s">
        <v>4011</v>
      </c>
      <c r="B4558" s="2" t="s">
        <v>1184</v>
      </c>
      <c r="C4558" s="2">
        <v>1</v>
      </c>
      <c r="D4558" t="str">
        <f t="shared" si="71"/>
        <v>CA-2016-145625_OFF-PA-10004569</v>
      </c>
      <c r="E4558" t="str">
        <f>IF(COUNTIF(data1!$D:$D,D4558)=0,"Missing in Data1","Present")</f>
        <v>Present</v>
      </c>
    </row>
    <row r="4559" spans="1:5" x14ac:dyDescent="0.25">
      <c r="A4559" s="2" t="s">
        <v>4011</v>
      </c>
      <c r="B4559" s="2" t="s">
        <v>877</v>
      </c>
      <c r="C4559" s="2">
        <v>13</v>
      </c>
      <c r="D4559" t="str">
        <f t="shared" si="71"/>
        <v>CA-2016-145625_TEC-AC-10003832</v>
      </c>
      <c r="E4559" t="str">
        <f>IF(COUNTIF(data1!$D:$D,D4559)=0,"Missing in Data1","Present")</f>
        <v>Present</v>
      </c>
    </row>
    <row r="4560" spans="1:5" x14ac:dyDescent="0.25">
      <c r="A4560" s="2" t="s">
        <v>4012</v>
      </c>
      <c r="B4560" s="2" t="s">
        <v>2254</v>
      </c>
      <c r="C4560" s="2">
        <v>3</v>
      </c>
      <c r="D4560" t="str">
        <f t="shared" si="71"/>
        <v>CA-2016-145709_FUR-FU-10002885</v>
      </c>
      <c r="E4560" t="str">
        <f>IF(COUNTIF(data1!$D:$D,D4560)=0,"Missing in Data1","Present")</f>
        <v>Present</v>
      </c>
    </row>
    <row r="4561" spans="1:5" x14ac:dyDescent="0.25">
      <c r="A4561" s="2" t="s">
        <v>4012</v>
      </c>
      <c r="B4561" s="2" t="s">
        <v>934</v>
      </c>
      <c r="C4561" s="2">
        <v>3</v>
      </c>
      <c r="D4561" t="str">
        <f t="shared" si="71"/>
        <v>CA-2016-145709_TEC-PH-10003095</v>
      </c>
      <c r="E4561" t="str">
        <f>IF(COUNTIF(data1!$D:$D,D4561)=0,"Missing in Data1","Present")</f>
        <v>Present</v>
      </c>
    </row>
    <row r="4562" spans="1:5" x14ac:dyDescent="0.25">
      <c r="A4562" s="2" t="s">
        <v>4013</v>
      </c>
      <c r="B4562" s="2" t="s">
        <v>3246</v>
      </c>
      <c r="C4562" s="2">
        <v>3</v>
      </c>
      <c r="D4562" t="str">
        <f t="shared" si="71"/>
        <v>CA-2016-145730_FUR-TA-10004915</v>
      </c>
      <c r="E4562" t="str">
        <f>IF(COUNTIF(data1!$D:$D,D4562)=0,"Missing in Data1","Present")</f>
        <v>Present</v>
      </c>
    </row>
    <row r="4563" spans="1:5" x14ac:dyDescent="0.25">
      <c r="A4563" s="2" t="s">
        <v>4013</v>
      </c>
      <c r="B4563" s="2" t="s">
        <v>2574</v>
      </c>
      <c r="C4563" s="2">
        <v>3</v>
      </c>
      <c r="D4563" t="str">
        <f t="shared" si="71"/>
        <v>CA-2016-145730_OFF-EN-10000483</v>
      </c>
      <c r="E4563" t="str">
        <f>IF(COUNTIF(data1!$D:$D,D4563)=0,"Missing in Data1","Present")</f>
        <v>Present</v>
      </c>
    </row>
    <row r="4564" spans="1:5" x14ac:dyDescent="0.25">
      <c r="A4564" s="2" t="s">
        <v>4014</v>
      </c>
      <c r="B4564" s="2" t="s">
        <v>1827</v>
      </c>
      <c r="C4564" s="2">
        <v>3</v>
      </c>
      <c r="D4564" t="str">
        <f t="shared" si="71"/>
        <v>CA-2016-145842_OFF-ST-10000419</v>
      </c>
      <c r="E4564" t="str">
        <f>IF(COUNTIF(data1!$D:$D,D4564)=0,"Missing in Data1","Present")</f>
        <v>Present</v>
      </c>
    </row>
    <row r="4565" spans="1:5" x14ac:dyDescent="0.25">
      <c r="A4565" s="2" t="s">
        <v>4015</v>
      </c>
      <c r="B4565" s="2" t="s">
        <v>889</v>
      </c>
      <c r="C4565" s="2">
        <v>5</v>
      </c>
      <c r="D4565" t="str">
        <f t="shared" si="71"/>
        <v>CA-2016-145898_OFF-AR-10002445</v>
      </c>
      <c r="E4565" t="str">
        <f>IF(COUNTIF(data1!$D:$D,D4565)=0,"Missing in Data1","Present")</f>
        <v>Present</v>
      </c>
    </row>
    <row r="4566" spans="1:5" x14ac:dyDescent="0.25">
      <c r="A4566" s="2" t="s">
        <v>4015</v>
      </c>
      <c r="B4566" s="2" t="s">
        <v>379</v>
      </c>
      <c r="C4566" s="2">
        <v>3</v>
      </c>
      <c r="D4566" t="str">
        <f t="shared" si="71"/>
        <v>CA-2016-145898_OFF-LA-10000262</v>
      </c>
      <c r="E4566" t="str">
        <f>IF(COUNTIF(data1!$D:$D,D4566)=0,"Missing in Data1","Present")</f>
        <v>Present</v>
      </c>
    </row>
    <row r="4567" spans="1:5" x14ac:dyDescent="0.25">
      <c r="A4567" s="2" t="s">
        <v>4015</v>
      </c>
      <c r="B4567" s="2" t="s">
        <v>1250</v>
      </c>
      <c r="C4567" s="2">
        <v>5</v>
      </c>
      <c r="D4567" t="str">
        <f t="shared" si="71"/>
        <v>CA-2016-145898_OFF-PA-10001667</v>
      </c>
      <c r="E4567" t="str">
        <f>IF(COUNTIF(data1!$D:$D,D4567)=0,"Missing in Data1","Present")</f>
        <v>Present</v>
      </c>
    </row>
    <row r="4568" spans="1:5" x14ac:dyDescent="0.25">
      <c r="A4568" s="2" t="s">
        <v>4015</v>
      </c>
      <c r="B4568" s="2" t="s">
        <v>1772</v>
      </c>
      <c r="C4568" s="2">
        <v>3</v>
      </c>
      <c r="D4568" t="str">
        <f t="shared" si="71"/>
        <v>CA-2016-145898_OFF-ST-10004507</v>
      </c>
      <c r="E4568" t="str">
        <f>IF(COUNTIF(data1!$D:$D,D4568)=0,"Missing in Data1","Present")</f>
        <v>Present</v>
      </c>
    </row>
    <row r="4569" spans="1:5" x14ac:dyDescent="0.25">
      <c r="A4569" s="2" t="s">
        <v>4016</v>
      </c>
      <c r="B4569" s="2" t="s">
        <v>658</v>
      </c>
      <c r="C4569" s="2">
        <v>1</v>
      </c>
      <c r="D4569" t="str">
        <f t="shared" si="71"/>
        <v>CA-2016-145905_FUR-CH-10001854</v>
      </c>
      <c r="E4569" t="str">
        <f>IF(COUNTIF(data1!$D:$D,D4569)=0,"Missing in Data1","Present")</f>
        <v>Present</v>
      </c>
    </row>
    <row r="4570" spans="1:5" x14ac:dyDescent="0.25">
      <c r="A4570" s="2" t="s">
        <v>4016</v>
      </c>
      <c r="B4570" s="2" t="s">
        <v>721</v>
      </c>
      <c r="C4570" s="2">
        <v>2</v>
      </c>
      <c r="D4570" t="str">
        <f t="shared" si="71"/>
        <v>CA-2016-145905_OFF-PA-10000533</v>
      </c>
      <c r="E4570" t="str">
        <f>IF(COUNTIF(data1!$D:$D,D4570)=0,"Missing in Data1","Present")</f>
        <v>Present</v>
      </c>
    </row>
    <row r="4571" spans="1:5" x14ac:dyDescent="0.25">
      <c r="A4571" s="2" t="s">
        <v>4016</v>
      </c>
      <c r="B4571" s="2" t="s">
        <v>495</v>
      </c>
      <c r="C4571" s="2">
        <v>4</v>
      </c>
      <c r="D4571" t="str">
        <f t="shared" si="71"/>
        <v>CA-2016-145905_OFF-ST-10003716</v>
      </c>
      <c r="E4571" t="str">
        <f>IF(COUNTIF(data1!$D:$D,D4571)=0,"Missing in Data1","Present")</f>
        <v>Missing in Data1</v>
      </c>
    </row>
    <row r="4572" spans="1:5" x14ac:dyDescent="0.25">
      <c r="A4572" s="2" t="s">
        <v>4017</v>
      </c>
      <c r="B4572" s="2" t="s">
        <v>4018</v>
      </c>
      <c r="C4572" s="2">
        <v>8</v>
      </c>
      <c r="D4572" t="str">
        <f t="shared" si="71"/>
        <v>CA-2016-145919_FUR-FU-10004960</v>
      </c>
      <c r="E4572" t="str">
        <f>IF(COUNTIF(data1!$D:$D,D4572)=0,"Missing in Data1","Present")</f>
        <v>Present</v>
      </c>
    </row>
    <row r="4573" spans="1:5" x14ac:dyDescent="0.25">
      <c r="A4573" s="2" t="s">
        <v>4017</v>
      </c>
      <c r="B4573" s="2" t="s">
        <v>1724</v>
      </c>
      <c r="C4573" s="2">
        <v>6</v>
      </c>
      <c r="D4573" t="str">
        <f t="shared" si="71"/>
        <v>CA-2016-145919_OFF-PA-10003072</v>
      </c>
      <c r="E4573" t="str">
        <f>IF(COUNTIF(data1!$D:$D,D4573)=0,"Missing in Data1","Present")</f>
        <v>Present</v>
      </c>
    </row>
    <row r="4574" spans="1:5" x14ac:dyDescent="0.25">
      <c r="A4574" s="2" t="s">
        <v>4017</v>
      </c>
      <c r="B4574" s="2" t="s">
        <v>3354</v>
      </c>
      <c r="C4574" s="2">
        <v>5</v>
      </c>
      <c r="D4574" t="str">
        <f t="shared" si="71"/>
        <v>CA-2016-145919_OFF-SU-10003505</v>
      </c>
      <c r="E4574" t="str">
        <f>IF(COUNTIF(data1!$D:$D,D4574)=0,"Missing in Data1","Present")</f>
        <v>Present</v>
      </c>
    </row>
    <row r="4575" spans="1:5" x14ac:dyDescent="0.25">
      <c r="A4575" s="2" t="s">
        <v>4019</v>
      </c>
      <c r="B4575" s="2" t="s">
        <v>3020</v>
      </c>
      <c r="C4575" s="2">
        <v>1</v>
      </c>
      <c r="D4575" t="str">
        <f t="shared" si="71"/>
        <v>CA-2016-145982_FUR-TA-10001307</v>
      </c>
      <c r="E4575" t="str">
        <f>IF(COUNTIF(data1!$D:$D,D4575)=0,"Missing in Data1","Present")</f>
        <v>Present</v>
      </c>
    </row>
    <row r="4576" spans="1:5" x14ac:dyDescent="0.25">
      <c r="A4576" s="2" t="s">
        <v>4019</v>
      </c>
      <c r="B4576" s="2" t="s">
        <v>423</v>
      </c>
      <c r="C4576" s="2">
        <v>5</v>
      </c>
      <c r="D4576" t="str">
        <f t="shared" si="71"/>
        <v>CA-2016-145982_OFF-BI-10000174</v>
      </c>
      <c r="E4576" t="str">
        <f>IF(COUNTIF(data1!$D:$D,D4576)=0,"Missing in Data1","Present")</f>
        <v>Present</v>
      </c>
    </row>
    <row r="4577" spans="1:5" x14ac:dyDescent="0.25">
      <c r="A4577" s="2" t="s">
        <v>4019</v>
      </c>
      <c r="B4577" s="2" t="s">
        <v>308</v>
      </c>
      <c r="C4577" s="2">
        <v>4</v>
      </c>
      <c r="D4577" t="str">
        <f t="shared" si="71"/>
        <v>CA-2016-145982_OFF-FA-10000735</v>
      </c>
      <c r="E4577" t="str">
        <f>IF(COUNTIF(data1!$D:$D,D4577)=0,"Missing in Data1","Present")</f>
        <v>Present</v>
      </c>
    </row>
    <row r="4578" spans="1:5" x14ac:dyDescent="0.25">
      <c r="A4578" s="2" t="s">
        <v>4019</v>
      </c>
      <c r="B4578" s="2" t="s">
        <v>1670</v>
      </c>
      <c r="C4578" s="2">
        <v>3</v>
      </c>
      <c r="D4578" t="str">
        <f t="shared" si="71"/>
        <v>CA-2016-145982_OFF-PA-10000675</v>
      </c>
      <c r="E4578" t="str">
        <f>IF(COUNTIF(data1!$D:$D,D4578)=0,"Missing in Data1","Present")</f>
        <v>Present</v>
      </c>
    </row>
    <row r="4579" spans="1:5" x14ac:dyDescent="0.25">
      <c r="A4579" s="2" t="s">
        <v>4019</v>
      </c>
      <c r="B4579" s="2" t="s">
        <v>3730</v>
      </c>
      <c r="C4579" s="2">
        <v>9</v>
      </c>
      <c r="D4579" t="str">
        <f t="shared" si="71"/>
        <v>CA-2016-145982_OFF-PA-10002666</v>
      </c>
      <c r="E4579" t="str">
        <f>IF(COUNTIF(data1!$D:$D,D4579)=0,"Missing in Data1","Present")</f>
        <v>Present</v>
      </c>
    </row>
    <row r="4580" spans="1:5" x14ac:dyDescent="0.25">
      <c r="A4580" s="2" t="s">
        <v>4019</v>
      </c>
      <c r="B4580" s="2" t="s">
        <v>2588</v>
      </c>
      <c r="C4580" s="2">
        <v>3</v>
      </c>
      <c r="D4580" t="str">
        <f t="shared" si="71"/>
        <v>CA-2016-145982_TEC-PH-10000011</v>
      </c>
      <c r="E4580" t="str">
        <f>IF(COUNTIF(data1!$D:$D,D4580)=0,"Missing in Data1","Present")</f>
        <v>Present</v>
      </c>
    </row>
    <row r="4581" spans="1:5" x14ac:dyDescent="0.25">
      <c r="A4581" s="2" t="s">
        <v>4020</v>
      </c>
      <c r="B4581" s="2" t="s">
        <v>1137</v>
      </c>
      <c r="C4581" s="2">
        <v>7</v>
      </c>
      <c r="D4581" t="str">
        <f t="shared" si="71"/>
        <v>CA-2016-146010_OFF-BI-10003638</v>
      </c>
      <c r="E4581" t="str">
        <f>IF(COUNTIF(data1!$D:$D,D4581)=0,"Missing in Data1","Present")</f>
        <v>Present</v>
      </c>
    </row>
    <row r="4582" spans="1:5" x14ac:dyDescent="0.25">
      <c r="A4582" s="2" t="s">
        <v>4021</v>
      </c>
      <c r="B4582" s="2" t="s">
        <v>3956</v>
      </c>
      <c r="C4582" s="2">
        <v>6</v>
      </c>
      <c r="D4582" t="str">
        <f t="shared" si="71"/>
        <v>CA-2016-146143_FUR-FU-10002045</v>
      </c>
      <c r="E4582" t="str">
        <f>IF(COUNTIF(data1!$D:$D,D4582)=0,"Missing in Data1","Present")</f>
        <v>Present</v>
      </c>
    </row>
    <row r="4583" spans="1:5" x14ac:dyDescent="0.25">
      <c r="A4583" s="2" t="s">
        <v>4022</v>
      </c>
      <c r="B4583" s="2" t="s">
        <v>3742</v>
      </c>
      <c r="C4583" s="2">
        <v>7</v>
      </c>
      <c r="D4583" t="str">
        <f t="shared" si="71"/>
        <v>CA-2016-146150_OFF-AR-10002240</v>
      </c>
      <c r="E4583" t="str">
        <f>IF(COUNTIF(data1!$D:$D,D4583)=0,"Missing in Data1","Present")</f>
        <v>Present</v>
      </c>
    </row>
    <row r="4584" spans="1:5" x14ac:dyDescent="0.25">
      <c r="A4584" s="2" t="s">
        <v>4023</v>
      </c>
      <c r="B4584" s="2" t="s">
        <v>2090</v>
      </c>
      <c r="C4584" s="2">
        <v>1</v>
      </c>
      <c r="D4584" t="str">
        <f t="shared" si="71"/>
        <v>CA-2016-146157_OFF-PA-10001790</v>
      </c>
      <c r="E4584" t="str">
        <f>IF(COUNTIF(data1!$D:$D,D4584)=0,"Missing in Data1","Present")</f>
        <v>Present</v>
      </c>
    </row>
    <row r="4585" spans="1:5" x14ac:dyDescent="0.25">
      <c r="A4585" s="2" t="s">
        <v>4023</v>
      </c>
      <c r="B4585" s="2" t="s">
        <v>2282</v>
      </c>
      <c r="C4585" s="2">
        <v>2</v>
      </c>
      <c r="D4585" t="str">
        <f t="shared" si="71"/>
        <v>CA-2016-146157_OFF-ST-10001590</v>
      </c>
      <c r="E4585" t="str">
        <f>IF(COUNTIF(data1!$D:$D,D4585)=0,"Missing in Data1","Present")</f>
        <v>Present</v>
      </c>
    </row>
    <row r="4586" spans="1:5" x14ac:dyDescent="0.25">
      <c r="A4586" s="2" t="s">
        <v>4023</v>
      </c>
      <c r="B4586" s="2" t="s">
        <v>2249</v>
      </c>
      <c r="C4586" s="2">
        <v>3</v>
      </c>
      <c r="D4586" t="str">
        <f t="shared" si="71"/>
        <v>CA-2016-146157_TEC-AC-10003657</v>
      </c>
      <c r="E4586" t="str">
        <f>IF(COUNTIF(data1!$D:$D,D4586)=0,"Missing in Data1","Present")</f>
        <v>Present</v>
      </c>
    </row>
    <row r="4587" spans="1:5" x14ac:dyDescent="0.25">
      <c r="A4587" s="2" t="s">
        <v>4024</v>
      </c>
      <c r="B4587" s="2" t="s">
        <v>461</v>
      </c>
      <c r="C4587" s="2">
        <v>4</v>
      </c>
      <c r="D4587" t="str">
        <f t="shared" si="71"/>
        <v>CA-2016-146171_FUR-FU-10004270</v>
      </c>
      <c r="E4587" t="str">
        <f>IF(COUNTIF(data1!$D:$D,D4587)=0,"Missing in Data1","Present")</f>
        <v>Present</v>
      </c>
    </row>
    <row r="4588" spans="1:5" x14ac:dyDescent="0.25">
      <c r="A4588" s="2" t="s">
        <v>4024</v>
      </c>
      <c r="B4588" s="2" t="s">
        <v>2019</v>
      </c>
      <c r="C4588" s="2">
        <v>4</v>
      </c>
      <c r="D4588" t="str">
        <f t="shared" si="71"/>
        <v>CA-2016-146171_OFF-ST-10001526</v>
      </c>
      <c r="E4588" t="str">
        <f>IF(COUNTIF(data1!$D:$D,D4588)=0,"Missing in Data1","Present")</f>
        <v>Present</v>
      </c>
    </row>
    <row r="4589" spans="1:5" x14ac:dyDescent="0.25">
      <c r="A4589" s="2" t="s">
        <v>4025</v>
      </c>
      <c r="B4589" s="2" t="s">
        <v>1100</v>
      </c>
      <c r="C4589" s="2">
        <v>5</v>
      </c>
      <c r="D4589" t="str">
        <f t="shared" si="71"/>
        <v>CA-2016-146206_FUR-TA-10004086</v>
      </c>
      <c r="E4589" t="str">
        <f>IF(COUNTIF(data1!$D:$D,D4589)=0,"Missing in Data1","Present")</f>
        <v>Present</v>
      </c>
    </row>
    <row r="4590" spans="1:5" x14ac:dyDescent="0.25">
      <c r="A4590" s="2" t="s">
        <v>4025</v>
      </c>
      <c r="B4590" s="2" t="s">
        <v>148</v>
      </c>
      <c r="C4590" s="2">
        <v>5</v>
      </c>
      <c r="D4590" t="str">
        <f t="shared" si="71"/>
        <v>CA-2016-146206_TEC-PH-10000895</v>
      </c>
      <c r="E4590" t="str">
        <f>IF(COUNTIF(data1!$D:$D,D4590)=0,"Missing in Data1","Present")</f>
        <v>Present</v>
      </c>
    </row>
    <row r="4591" spans="1:5" x14ac:dyDescent="0.25">
      <c r="A4591" s="2" t="s">
        <v>4026</v>
      </c>
      <c r="B4591" s="2" t="s">
        <v>3471</v>
      </c>
      <c r="C4591" s="2">
        <v>2</v>
      </c>
      <c r="D4591" t="str">
        <f t="shared" si="71"/>
        <v>CA-2016-146318_OFF-PA-10003953</v>
      </c>
      <c r="E4591" t="str">
        <f>IF(COUNTIF(data1!$D:$D,D4591)=0,"Missing in Data1","Present")</f>
        <v>Present</v>
      </c>
    </row>
    <row r="4592" spans="1:5" x14ac:dyDescent="0.25">
      <c r="A4592" s="2" t="s">
        <v>4027</v>
      </c>
      <c r="B4592" s="2" t="s">
        <v>370</v>
      </c>
      <c r="C4592" s="2">
        <v>2</v>
      </c>
      <c r="D4592" t="str">
        <f t="shared" si="71"/>
        <v>CA-2016-146325_FUR-CH-10001146</v>
      </c>
      <c r="E4592" t="str">
        <f>IF(COUNTIF(data1!$D:$D,D4592)=0,"Missing in Data1","Present")</f>
        <v>Present</v>
      </c>
    </row>
    <row r="4593" spans="1:5" x14ac:dyDescent="0.25">
      <c r="A4593" s="2" t="s">
        <v>4027</v>
      </c>
      <c r="B4593" s="2" t="s">
        <v>2282</v>
      </c>
      <c r="C4593" s="2">
        <v>10</v>
      </c>
      <c r="D4593" t="str">
        <f t="shared" si="71"/>
        <v>CA-2016-146325_OFF-ST-10001590</v>
      </c>
      <c r="E4593" t="str">
        <f>IF(COUNTIF(data1!$D:$D,D4593)=0,"Missing in Data1","Present")</f>
        <v>Present</v>
      </c>
    </row>
    <row r="4594" spans="1:5" x14ac:dyDescent="0.25">
      <c r="A4594" s="2" t="s">
        <v>4028</v>
      </c>
      <c r="B4594" s="2" t="s">
        <v>2765</v>
      </c>
      <c r="C4594" s="2">
        <v>1</v>
      </c>
      <c r="D4594" t="str">
        <f t="shared" si="71"/>
        <v>CA-2016-146374_FUR-FU-10002671</v>
      </c>
      <c r="E4594" t="str">
        <f>IF(COUNTIF(data1!$D:$D,D4594)=0,"Missing in Data1","Present")</f>
        <v>Present</v>
      </c>
    </row>
    <row r="4595" spans="1:5" x14ac:dyDescent="0.25">
      <c r="A4595" s="2" t="s">
        <v>4028</v>
      </c>
      <c r="B4595" s="2" t="s">
        <v>1494</v>
      </c>
      <c r="C4595" s="2">
        <v>7</v>
      </c>
      <c r="D4595" t="str">
        <f t="shared" si="71"/>
        <v>CA-2016-146374_OFF-EN-10004483</v>
      </c>
      <c r="E4595" t="str">
        <f>IF(COUNTIF(data1!$D:$D,D4595)=0,"Missing in Data1","Present")</f>
        <v>Present</v>
      </c>
    </row>
    <row r="4596" spans="1:5" x14ac:dyDescent="0.25">
      <c r="A4596" s="2" t="s">
        <v>4028</v>
      </c>
      <c r="B4596" s="2" t="s">
        <v>1140</v>
      </c>
      <c r="C4596" s="2">
        <v>1</v>
      </c>
      <c r="D4596" t="str">
        <f t="shared" si="71"/>
        <v>CA-2016-146374_OFF-PA-10000349</v>
      </c>
      <c r="E4596" t="str">
        <f>IF(COUNTIF(data1!$D:$D,D4596)=0,"Missing in Data1","Present")</f>
        <v>Present</v>
      </c>
    </row>
    <row r="4597" spans="1:5" x14ac:dyDescent="0.25">
      <c r="A4597" s="2" t="s">
        <v>4029</v>
      </c>
      <c r="B4597" s="2" t="s">
        <v>2349</v>
      </c>
      <c r="C4597" s="2">
        <v>3</v>
      </c>
      <c r="D4597" t="str">
        <f t="shared" si="71"/>
        <v>CA-2016-146423_OFF-AR-10004817</v>
      </c>
      <c r="E4597" t="str">
        <f>IF(COUNTIF(data1!$D:$D,D4597)=0,"Missing in Data1","Present")</f>
        <v>Present</v>
      </c>
    </row>
    <row r="4598" spans="1:5" x14ac:dyDescent="0.25">
      <c r="A4598" s="2" t="s">
        <v>4029</v>
      </c>
      <c r="B4598" s="2" t="s">
        <v>1405</v>
      </c>
      <c r="C4598" s="2">
        <v>8</v>
      </c>
      <c r="D4598" t="str">
        <f t="shared" si="71"/>
        <v>CA-2016-146423_OFF-PA-10003797</v>
      </c>
      <c r="E4598" t="str">
        <f>IF(COUNTIF(data1!$D:$D,D4598)=0,"Missing in Data1","Present")</f>
        <v>Present</v>
      </c>
    </row>
    <row r="4599" spans="1:5" x14ac:dyDescent="0.25">
      <c r="A4599" s="2" t="s">
        <v>4030</v>
      </c>
      <c r="B4599" s="2" t="s">
        <v>1821</v>
      </c>
      <c r="C4599" s="2">
        <v>2</v>
      </c>
      <c r="D4599" t="str">
        <f t="shared" si="71"/>
        <v>CA-2016-146437_OFF-AR-10000588</v>
      </c>
      <c r="E4599" t="str">
        <f>IF(COUNTIF(data1!$D:$D,D4599)=0,"Missing in Data1","Present")</f>
        <v>Present</v>
      </c>
    </row>
    <row r="4600" spans="1:5" x14ac:dyDescent="0.25">
      <c r="A4600" s="2" t="s">
        <v>4031</v>
      </c>
      <c r="B4600" s="2" t="s">
        <v>3260</v>
      </c>
      <c r="C4600" s="2">
        <v>1</v>
      </c>
      <c r="D4600" t="str">
        <f t="shared" si="71"/>
        <v>CA-2016-146521_OFF-BI-10000301</v>
      </c>
      <c r="E4600" t="str">
        <f>IF(COUNTIF(data1!$D:$D,D4600)=0,"Missing in Data1","Present")</f>
        <v>Present</v>
      </c>
    </row>
    <row r="4601" spans="1:5" x14ac:dyDescent="0.25">
      <c r="A4601" s="2" t="s">
        <v>4032</v>
      </c>
      <c r="B4601" s="2" t="s">
        <v>1734</v>
      </c>
      <c r="C4601" s="2">
        <v>7</v>
      </c>
      <c r="D4601" t="str">
        <f t="shared" si="71"/>
        <v>CA-2016-146633_OFF-BI-10002982</v>
      </c>
      <c r="E4601" t="str">
        <f>IF(COUNTIF(data1!$D:$D,D4601)=0,"Missing in Data1","Present")</f>
        <v>Present</v>
      </c>
    </row>
    <row r="4602" spans="1:5" x14ac:dyDescent="0.25">
      <c r="A4602" s="2" t="s">
        <v>4032</v>
      </c>
      <c r="B4602" s="2" t="s">
        <v>907</v>
      </c>
      <c r="C4602" s="2">
        <v>1</v>
      </c>
      <c r="D4602" t="str">
        <f t="shared" si="71"/>
        <v>CA-2016-146633_OFF-BI-10003527</v>
      </c>
      <c r="E4602" t="str">
        <f>IF(COUNTIF(data1!$D:$D,D4602)=0,"Missing in Data1","Present")</f>
        <v>Present</v>
      </c>
    </row>
    <row r="4603" spans="1:5" x14ac:dyDescent="0.25">
      <c r="A4603" s="2" t="s">
        <v>4033</v>
      </c>
      <c r="B4603" s="2" t="s">
        <v>2765</v>
      </c>
      <c r="C4603" s="2">
        <v>5</v>
      </c>
      <c r="D4603" t="str">
        <f t="shared" si="71"/>
        <v>CA-2016-146682_FUR-FU-10002671</v>
      </c>
      <c r="E4603" t="str">
        <f>IF(COUNTIF(data1!$D:$D,D4603)=0,"Missing in Data1","Present")</f>
        <v>Present</v>
      </c>
    </row>
    <row r="4604" spans="1:5" x14ac:dyDescent="0.25">
      <c r="A4604" s="2" t="s">
        <v>4034</v>
      </c>
      <c r="B4604" s="2" t="s">
        <v>400</v>
      </c>
      <c r="C4604" s="2">
        <v>4</v>
      </c>
      <c r="D4604" t="str">
        <f t="shared" si="71"/>
        <v>CA-2016-146766_OFF-AR-10002135</v>
      </c>
      <c r="E4604" t="str">
        <f>IF(COUNTIF(data1!$D:$D,D4604)=0,"Missing in Data1","Present")</f>
        <v>Present</v>
      </c>
    </row>
    <row r="4605" spans="1:5" x14ac:dyDescent="0.25">
      <c r="A4605" s="2" t="s">
        <v>4035</v>
      </c>
      <c r="B4605" s="2" t="s">
        <v>1386</v>
      </c>
      <c r="C4605" s="2">
        <v>3</v>
      </c>
      <c r="D4605" t="str">
        <f t="shared" si="71"/>
        <v>CA-2016-146836_OFF-BI-10000315</v>
      </c>
      <c r="E4605" t="str">
        <f>IF(COUNTIF(data1!$D:$D,D4605)=0,"Missing in Data1","Present")</f>
        <v>Present</v>
      </c>
    </row>
    <row r="4606" spans="1:5" x14ac:dyDescent="0.25">
      <c r="A4606" s="2" t="s">
        <v>4035</v>
      </c>
      <c r="B4606" s="2" t="s">
        <v>3335</v>
      </c>
      <c r="C4606" s="2">
        <v>3</v>
      </c>
      <c r="D4606" t="str">
        <f t="shared" si="71"/>
        <v>CA-2016-146836_OFF-ST-10001580</v>
      </c>
      <c r="E4606" t="str">
        <f>IF(COUNTIF(data1!$D:$D,D4606)=0,"Missing in Data1","Present")</f>
        <v>Missing in Data1</v>
      </c>
    </row>
    <row r="4607" spans="1:5" x14ac:dyDescent="0.25">
      <c r="A4607" s="2" t="s">
        <v>4036</v>
      </c>
      <c r="B4607" s="2" t="s">
        <v>658</v>
      </c>
      <c r="C4607" s="2">
        <v>5</v>
      </c>
      <c r="D4607" t="str">
        <f t="shared" si="71"/>
        <v>CA-2016-146913_FUR-CH-10001854</v>
      </c>
      <c r="E4607" t="str">
        <f>IF(COUNTIF(data1!$D:$D,D4607)=0,"Missing in Data1","Present")</f>
        <v>Present</v>
      </c>
    </row>
    <row r="4608" spans="1:5" x14ac:dyDescent="0.25">
      <c r="A4608" s="2" t="s">
        <v>4037</v>
      </c>
      <c r="B4608" s="2" t="s">
        <v>1427</v>
      </c>
      <c r="C4608" s="2">
        <v>2</v>
      </c>
      <c r="D4608" t="str">
        <f t="shared" si="71"/>
        <v>CA-2016-146934_FUR-TA-10003748</v>
      </c>
      <c r="E4608" t="str">
        <f>IF(COUNTIF(data1!$D:$D,D4608)=0,"Missing in Data1","Present")</f>
        <v>Present</v>
      </c>
    </row>
    <row r="4609" spans="1:5" x14ac:dyDescent="0.25">
      <c r="A4609" s="2" t="s">
        <v>4037</v>
      </c>
      <c r="B4609" s="2" t="s">
        <v>1240</v>
      </c>
      <c r="C4609" s="2">
        <v>4</v>
      </c>
      <c r="D4609" t="str">
        <f t="shared" si="71"/>
        <v>CA-2016-146934_OFF-AP-10003217</v>
      </c>
      <c r="E4609" t="str">
        <f>IF(COUNTIF(data1!$D:$D,D4609)=0,"Missing in Data1","Present")</f>
        <v>Present</v>
      </c>
    </row>
    <row r="4610" spans="1:5" x14ac:dyDescent="0.25">
      <c r="A4610" s="2" t="s">
        <v>4037</v>
      </c>
      <c r="B4610" s="2" t="s">
        <v>4097</v>
      </c>
      <c r="C4610" s="2">
        <v>6</v>
      </c>
      <c r="D4610" t="str">
        <f t="shared" si="71"/>
        <v>CA-2016-146934_OFF-EN-10002973</v>
      </c>
      <c r="E4610" t="str">
        <f>IF(COUNTIF(data1!$D:$D,D4610)=0,"Missing in Data1","Present")</f>
        <v>Missing in Data1</v>
      </c>
    </row>
    <row r="4611" spans="1:5" x14ac:dyDescent="0.25">
      <c r="A4611" s="2" t="s">
        <v>4037</v>
      </c>
      <c r="B4611" s="2" t="s">
        <v>179</v>
      </c>
      <c r="C4611" s="2">
        <v>5</v>
      </c>
      <c r="D4611" t="str">
        <f t="shared" ref="D4611:D4674" si="72">A4611&amp;"_"&amp;B4611</f>
        <v>CA-2016-146934_TEC-AC-10002399</v>
      </c>
      <c r="E4611" t="str">
        <f>IF(COUNTIF(data1!$D:$D,D4611)=0,"Missing in Data1","Present")</f>
        <v>Present</v>
      </c>
    </row>
    <row r="4612" spans="1:5" x14ac:dyDescent="0.25">
      <c r="A4612" s="2" t="s">
        <v>4037</v>
      </c>
      <c r="B4612" s="2" t="s">
        <v>292</v>
      </c>
      <c r="C4612" s="2">
        <v>2</v>
      </c>
      <c r="D4612" t="str">
        <f t="shared" si="72"/>
        <v>CA-2016-146934_TEC-PH-10001336</v>
      </c>
      <c r="E4612" t="str">
        <f>IF(COUNTIF(data1!$D:$D,D4612)=0,"Missing in Data1","Present")</f>
        <v>Present</v>
      </c>
    </row>
    <row r="4613" spans="1:5" x14ac:dyDescent="0.25">
      <c r="A4613" s="2" t="s">
        <v>4037</v>
      </c>
      <c r="B4613" s="2" t="s">
        <v>541</v>
      </c>
      <c r="C4613" s="2">
        <v>5</v>
      </c>
      <c r="D4613" t="str">
        <f t="shared" si="72"/>
        <v>CA-2016-146934_TEC-PH-10004614</v>
      </c>
      <c r="E4613" t="str">
        <f>IF(COUNTIF(data1!$D:$D,D4613)=0,"Missing in Data1","Present")</f>
        <v>Present</v>
      </c>
    </row>
    <row r="4614" spans="1:5" x14ac:dyDescent="0.25">
      <c r="A4614" s="2" t="s">
        <v>4038</v>
      </c>
      <c r="B4614" s="2" t="s">
        <v>2027</v>
      </c>
      <c r="C4614" s="2">
        <v>4</v>
      </c>
      <c r="D4614" t="str">
        <f t="shared" si="72"/>
        <v>CA-2016-146941_OFF-EN-10003296</v>
      </c>
      <c r="E4614" t="str">
        <f>IF(COUNTIF(data1!$D:$D,D4614)=0,"Missing in Data1","Present")</f>
        <v>Present</v>
      </c>
    </row>
    <row r="4615" spans="1:5" x14ac:dyDescent="0.25">
      <c r="A4615" s="2" t="s">
        <v>4038</v>
      </c>
      <c r="B4615" s="2" t="s">
        <v>1024</v>
      </c>
      <c r="C4615" s="2">
        <v>6</v>
      </c>
      <c r="D4615" t="str">
        <f t="shared" si="72"/>
        <v>CA-2016-146941_OFF-ST-10001228</v>
      </c>
      <c r="E4615" t="str">
        <f>IF(COUNTIF(data1!$D:$D,D4615)=0,"Missing in Data1","Present")</f>
        <v>Present</v>
      </c>
    </row>
    <row r="4616" spans="1:5" x14ac:dyDescent="0.25">
      <c r="A4616" s="2" t="s">
        <v>4039</v>
      </c>
      <c r="B4616" s="2" t="s">
        <v>2300</v>
      </c>
      <c r="C4616" s="2">
        <v>3</v>
      </c>
      <c r="D4616" t="str">
        <f t="shared" si="72"/>
        <v>CA-2016-147067_FUR-FU-10000732</v>
      </c>
      <c r="E4616" t="str">
        <f>IF(COUNTIF(data1!$D:$D,D4616)=0,"Missing in Data1","Present")</f>
        <v>Present</v>
      </c>
    </row>
    <row r="4617" spans="1:5" x14ac:dyDescent="0.25">
      <c r="A4617" s="2" t="s">
        <v>4040</v>
      </c>
      <c r="B4617" s="2" t="s">
        <v>1431</v>
      </c>
      <c r="C4617" s="2">
        <v>10</v>
      </c>
      <c r="D4617" t="str">
        <f t="shared" si="72"/>
        <v>CA-2016-147109_OFF-PA-10001972</v>
      </c>
      <c r="E4617" t="str">
        <f>IF(COUNTIF(data1!$D:$D,D4617)=0,"Missing in Data1","Present")</f>
        <v>Present</v>
      </c>
    </row>
    <row r="4618" spans="1:5" x14ac:dyDescent="0.25">
      <c r="A4618" s="2" t="s">
        <v>4040</v>
      </c>
      <c r="B4618" s="2" t="s">
        <v>578</v>
      </c>
      <c r="C4618" s="2">
        <v>3</v>
      </c>
      <c r="D4618" t="str">
        <f t="shared" si="72"/>
        <v>CA-2016-147109_TEC-AC-10002942</v>
      </c>
      <c r="E4618" t="str">
        <f>IF(COUNTIF(data1!$D:$D,D4618)=0,"Missing in Data1","Present")</f>
        <v>Present</v>
      </c>
    </row>
    <row r="4619" spans="1:5" x14ac:dyDescent="0.25">
      <c r="A4619" s="2" t="s">
        <v>4041</v>
      </c>
      <c r="B4619" s="2" t="s">
        <v>1707</v>
      </c>
      <c r="C4619" s="2">
        <v>12</v>
      </c>
      <c r="D4619" t="str">
        <f t="shared" si="72"/>
        <v>CA-2016-147123_OFF-PA-10000575</v>
      </c>
      <c r="E4619" t="str">
        <f>IF(COUNTIF(data1!$D:$D,D4619)=0,"Missing in Data1","Present")</f>
        <v>Present</v>
      </c>
    </row>
    <row r="4620" spans="1:5" x14ac:dyDescent="0.25">
      <c r="A4620" s="2" t="s">
        <v>4042</v>
      </c>
      <c r="B4620" s="2" t="s">
        <v>2465</v>
      </c>
      <c r="C4620" s="2">
        <v>5</v>
      </c>
      <c r="D4620" t="str">
        <f t="shared" si="72"/>
        <v>CA-2016-147137_FUR-BO-10001811</v>
      </c>
      <c r="E4620" t="str">
        <f>IF(COUNTIF(data1!$D:$D,D4620)=0,"Missing in Data1","Present")</f>
        <v>Present</v>
      </c>
    </row>
    <row r="4621" spans="1:5" x14ac:dyDescent="0.25">
      <c r="A4621" s="2" t="s">
        <v>4042</v>
      </c>
      <c r="B4621" s="2" t="s">
        <v>339</v>
      </c>
      <c r="C4621" s="2">
        <v>5</v>
      </c>
      <c r="D4621" t="str">
        <f t="shared" si="72"/>
        <v>CA-2016-147137_FUR-FU-10000221</v>
      </c>
      <c r="E4621" t="str">
        <f>IF(COUNTIF(data1!$D:$D,D4621)=0,"Missing in Data1","Present")</f>
        <v>Present</v>
      </c>
    </row>
    <row r="4622" spans="1:5" x14ac:dyDescent="0.25">
      <c r="A4622" s="2" t="s">
        <v>4042</v>
      </c>
      <c r="B4622" s="2" t="s">
        <v>928</v>
      </c>
      <c r="C4622" s="2">
        <v>2</v>
      </c>
      <c r="D4622" t="str">
        <f t="shared" si="72"/>
        <v>CA-2016-147137_OFF-EN-10003567</v>
      </c>
      <c r="E4622" t="str">
        <f>IF(COUNTIF(data1!$D:$D,D4622)=0,"Missing in Data1","Present")</f>
        <v>Present</v>
      </c>
    </row>
    <row r="4623" spans="1:5" x14ac:dyDescent="0.25">
      <c r="A4623" s="2" t="s">
        <v>4042</v>
      </c>
      <c r="B4623" s="2" t="s">
        <v>2470</v>
      </c>
      <c r="C4623" s="2">
        <v>4</v>
      </c>
      <c r="D4623" t="str">
        <f t="shared" si="72"/>
        <v>CA-2016-147137_OFF-ST-10002486</v>
      </c>
      <c r="E4623" t="str">
        <f>IF(COUNTIF(data1!$D:$D,D4623)=0,"Missing in Data1","Present")</f>
        <v>Present</v>
      </c>
    </row>
    <row r="4624" spans="1:5" x14ac:dyDescent="0.25">
      <c r="A4624" s="2" t="s">
        <v>4043</v>
      </c>
      <c r="B4624" s="2" t="s">
        <v>2939</v>
      </c>
      <c r="C4624" s="2">
        <v>7</v>
      </c>
      <c r="D4624" t="str">
        <f t="shared" si="72"/>
        <v>CA-2016-147256_OFF-AP-10003057</v>
      </c>
      <c r="E4624" t="str">
        <f>IF(COUNTIF(data1!$D:$D,D4624)=0,"Missing in Data1","Present")</f>
        <v>Present</v>
      </c>
    </row>
    <row r="4625" spans="1:5" x14ac:dyDescent="0.25">
      <c r="A4625" s="2" t="s">
        <v>4043</v>
      </c>
      <c r="B4625" s="2" t="s">
        <v>817</v>
      </c>
      <c r="C4625" s="2">
        <v>3</v>
      </c>
      <c r="D4625" t="str">
        <f t="shared" si="72"/>
        <v>CA-2016-147256_TEC-PH-10003072</v>
      </c>
      <c r="E4625" t="str">
        <f>IF(COUNTIF(data1!$D:$D,D4625)=0,"Missing in Data1","Present")</f>
        <v>Present</v>
      </c>
    </row>
    <row r="4626" spans="1:5" x14ac:dyDescent="0.25">
      <c r="A4626" s="2" t="s">
        <v>4044</v>
      </c>
      <c r="B4626" s="2" t="s">
        <v>4045</v>
      </c>
      <c r="C4626" s="2">
        <v>2</v>
      </c>
      <c r="D4626" t="str">
        <f t="shared" si="72"/>
        <v>CA-2016-147368_TEC-MA-10002178</v>
      </c>
      <c r="E4626" t="str">
        <f>IF(COUNTIF(data1!$D:$D,D4626)=0,"Missing in Data1","Present")</f>
        <v>Present</v>
      </c>
    </row>
    <row r="4627" spans="1:5" x14ac:dyDescent="0.25">
      <c r="A4627" s="2" t="s">
        <v>4046</v>
      </c>
      <c r="B4627" s="2" t="s">
        <v>1039</v>
      </c>
      <c r="C4627" s="2">
        <v>7</v>
      </c>
      <c r="D4627" t="str">
        <f t="shared" si="72"/>
        <v>CA-2016-147375_OFF-PA-10001970</v>
      </c>
      <c r="E4627" t="str">
        <f>IF(COUNTIF(data1!$D:$D,D4627)=0,"Missing in Data1","Present")</f>
        <v>Present</v>
      </c>
    </row>
    <row r="4628" spans="1:5" x14ac:dyDescent="0.25">
      <c r="A4628" s="2" t="s">
        <v>4046</v>
      </c>
      <c r="B4628" s="2" t="s">
        <v>4047</v>
      </c>
      <c r="C4628" s="2">
        <v>3</v>
      </c>
      <c r="D4628" t="str">
        <f t="shared" si="72"/>
        <v>CA-2016-147375_TEC-MA-10002937</v>
      </c>
      <c r="E4628" t="str">
        <f>IF(COUNTIF(data1!$D:$D,D4628)=0,"Missing in Data1","Present")</f>
        <v>Present</v>
      </c>
    </row>
    <row r="4629" spans="1:5" x14ac:dyDescent="0.25">
      <c r="A4629" s="2" t="s">
        <v>4048</v>
      </c>
      <c r="B4629" s="2" t="s">
        <v>567</v>
      </c>
      <c r="C4629" s="2">
        <v>4</v>
      </c>
      <c r="D4629" t="str">
        <f t="shared" si="72"/>
        <v>CA-2016-147417_TEC-CO-10001449</v>
      </c>
      <c r="E4629" t="str">
        <f>IF(COUNTIF(data1!$D:$D,D4629)=0,"Missing in Data1","Present")</f>
        <v>Present</v>
      </c>
    </row>
    <row r="4630" spans="1:5" x14ac:dyDescent="0.25">
      <c r="A4630" s="2" t="s">
        <v>4049</v>
      </c>
      <c r="B4630" s="2" t="s">
        <v>2211</v>
      </c>
      <c r="C4630" s="2">
        <v>2</v>
      </c>
      <c r="D4630" t="str">
        <f t="shared" si="72"/>
        <v>CA-2016-147431_OFF-ST-10003994</v>
      </c>
      <c r="E4630" t="str">
        <f>IF(COUNTIF(data1!$D:$D,D4630)=0,"Missing in Data1","Present")</f>
        <v>Present</v>
      </c>
    </row>
    <row r="4631" spans="1:5" x14ac:dyDescent="0.25">
      <c r="A4631" s="2" t="s">
        <v>4050</v>
      </c>
      <c r="B4631" s="2" t="s">
        <v>2838</v>
      </c>
      <c r="C4631" s="2">
        <v>6</v>
      </c>
      <c r="D4631" t="str">
        <f t="shared" si="72"/>
        <v>CA-2016-147473_OFF-PA-10004782</v>
      </c>
      <c r="E4631" t="str">
        <f>IF(COUNTIF(data1!$D:$D,D4631)=0,"Missing in Data1","Present")</f>
        <v>Present</v>
      </c>
    </row>
    <row r="4632" spans="1:5" x14ac:dyDescent="0.25">
      <c r="A4632" s="2" t="s">
        <v>4051</v>
      </c>
      <c r="B4632" s="2" t="s">
        <v>1870</v>
      </c>
      <c r="C4632" s="2">
        <v>3</v>
      </c>
      <c r="D4632" t="str">
        <f t="shared" si="72"/>
        <v>CA-2016-147536_TEC-AC-10003280</v>
      </c>
      <c r="E4632" t="str">
        <f>IF(COUNTIF(data1!$D:$D,D4632)=0,"Missing in Data1","Present")</f>
        <v>Present</v>
      </c>
    </row>
    <row r="4633" spans="1:5" x14ac:dyDescent="0.25">
      <c r="A4633" s="2" t="s">
        <v>4052</v>
      </c>
      <c r="B4633" s="2" t="s">
        <v>377</v>
      </c>
      <c r="C4633" s="2">
        <v>3</v>
      </c>
      <c r="D4633" t="str">
        <f t="shared" si="72"/>
        <v>CA-2016-147578_FUR-FU-10001889</v>
      </c>
      <c r="E4633" t="str">
        <f>IF(COUNTIF(data1!$D:$D,D4633)=0,"Missing in Data1","Present")</f>
        <v>Present</v>
      </c>
    </row>
    <row r="4634" spans="1:5" x14ac:dyDescent="0.25">
      <c r="A4634" s="2" t="s">
        <v>4054</v>
      </c>
      <c r="B4634" s="2" t="s">
        <v>2725</v>
      </c>
      <c r="C4634" s="2">
        <v>2</v>
      </c>
      <c r="D4634" t="str">
        <f t="shared" si="72"/>
        <v>CA-2016-147683_FUR-FU-10004848</v>
      </c>
      <c r="E4634" t="str">
        <f>IF(COUNTIF(data1!$D:$D,D4634)=0,"Missing in Data1","Present")</f>
        <v>Present</v>
      </c>
    </row>
    <row r="4635" spans="1:5" x14ac:dyDescent="0.25">
      <c r="A4635" s="2" t="s">
        <v>4055</v>
      </c>
      <c r="B4635" s="2" t="s">
        <v>385</v>
      </c>
      <c r="C4635" s="2">
        <v>3</v>
      </c>
      <c r="D4635" t="str">
        <f t="shared" si="72"/>
        <v>CA-2016-147970_OFF-PA-10003936</v>
      </c>
      <c r="E4635" t="str">
        <f>IF(COUNTIF(data1!$D:$D,D4635)=0,"Missing in Data1","Present")</f>
        <v>Present</v>
      </c>
    </row>
    <row r="4636" spans="1:5" x14ac:dyDescent="0.25">
      <c r="A4636" s="2" t="s">
        <v>4056</v>
      </c>
      <c r="B4636" s="2" t="s">
        <v>1939</v>
      </c>
      <c r="C4636" s="2">
        <v>2</v>
      </c>
      <c r="D4636" t="str">
        <f t="shared" si="72"/>
        <v>CA-2016-148096_FUR-TA-10004152</v>
      </c>
      <c r="E4636" t="str">
        <f>IF(COUNTIF(data1!$D:$D,D4636)=0,"Missing in Data1","Present")</f>
        <v>Present</v>
      </c>
    </row>
    <row r="4637" spans="1:5" x14ac:dyDescent="0.25">
      <c r="A4637" s="2" t="s">
        <v>4057</v>
      </c>
      <c r="B4637" s="2" t="s">
        <v>780</v>
      </c>
      <c r="C4637" s="2">
        <v>1</v>
      </c>
      <c r="D4637" t="str">
        <f t="shared" si="72"/>
        <v>CA-2016-148201_OFF-PA-10000019</v>
      </c>
      <c r="E4637" t="str">
        <f>IF(COUNTIF(data1!$D:$D,D4637)=0,"Missing in Data1","Present")</f>
        <v>Present</v>
      </c>
    </row>
    <row r="4638" spans="1:5" x14ac:dyDescent="0.25">
      <c r="A4638" s="2" t="s">
        <v>4058</v>
      </c>
      <c r="B4638" s="2" t="s">
        <v>2057</v>
      </c>
      <c r="C4638" s="2">
        <v>3</v>
      </c>
      <c r="D4638" t="str">
        <f t="shared" si="72"/>
        <v>CA-2016-148208_TEC-AC-10000171</v>
      </c>
      <c r="E4638" t="str">
        <f>IF(COUNTIF(data1!$D:$D,D4638)=0,"Missing in Data1","Present")</f>
        <v>Present</v>
      </c>
    </row>
    <row r="4639" spans="1:5" x14ac:dyDescent="0.25">
      <c r="A4639" s="2" t="s">
        <v>4058</v>
      </c>
      <c r="B4639" s="2" t="s">
        <v>1522</v>
      </c>
      <c r="C4639" s="2">
        <v>4</v>
      </c>
      <c r="D4639" t="str">
        <f t="shared" si="72"/>
        <v>CA-2016-148208_TEC-PH-10004093</v>
      </c>
      <c r="E4639" t="str">
        <f>IF(COUNTIF(data1!$D:$D,D4639)=0,"Missing in Data1","Present")</f>
        <v>Present</v>
      </c>
    </row>
    <row r="4640" spans="1:5" x14ac:dyDescent="0.25">
      <c r="A4640" s="2" t="s">
        <v>4059</v>
      </c>
      <c r="B4640" s="2" t="s">
        <v>4060</v>
      </c>
      <c r="C4640" s="2">
        <v>3</v>
      </c>
      <c r="D4640" t="str">
        <f t="shared" si="72"/>
        <v>CA-2016-148516_TEC-AC-10003610</v>
      </c>
      <c r="E4640" t="str">
        <f>IF(COUNTIF(data1!$D:$D,D4640)=0,"Missing in Data1","Present")</f>
        <v>Present</v>
      </c>
    </row>
    <row r="4641" spans="1:5" x14ac:dyDescent="0.25">
      <c r="A4641" s="2" t="s">
        <v>4061</v>
      </c>
      <c r="B4641" s="2" t="s">
        <v>2062</v>
      </c>
      <c r="C4641" s="2">
        <v>5</v>
      </c>
      <c r="D4641" t="str">
        <f t="shared" si="72"/>
        <v>CA-2016-148593_OFF-PA-10001776</v>
      </c>
      <c r="E4641" t="str">
        <f>IF(COUNTIF(data1!$D:$D,D4641)=0,"Missing in Data1","Present")</f>
        <v>Present</v>
      </c>
    </row>
    <row r="4642" spans="1:5" x14ac:dyDescent="0.25">
      <c r="A4642" s="2" t="s">
        <v>4062</v>
      </c>
      <c r="B4642" s="2" t="s">
        <v>769</v>
      </c>
      <c r="C4642" s="2">
        <v>5</v>
      </c>
      <c r="D4642" t="str">
        <f t="shared" si="72"/>
        <v>CA-2016-148684_FUR-FU-10003553</v>
      </c>
      <c r="E4642" t="str">
        <f>IF(COUNTIF(data1!$D:$D,D4642)=0,"Missing in Data1","Present")</f>
        <v>Present</v>
      </c>
    </row>
    <row r="4643" spans="1:5" x14ac:dyDescent="0.25">
      <c r="A4643" s="2" t="s">
        <v>4062</v>
      </c>
      <c r="B4643" s="2" t="s">
        <v>4063</v>
      </c>
      <c r="C4643" s="2">
        <v>9</v>
      </c>
      <c r="D4643" t="str">
        <f t="shared" si="72"/>
        <v>CA-2016-148684_OFF-AR-10003811</v>
      </c>
      <c r="E4643" t="str">
        <f>IF(COUNTIF(data1!$D:$D,D4643)=0,"Missing in Data1","Present")</f>
        <v>Present</v>
      </c>
    </row>
    <row r="4644" spans="1:5" x14ac:dyDescent="0.25">
      <c r="A4644" s="2" t="s">
        <v>4062</v>
      </c>
      <c r="B4644" s="2" t="s">
        <v>1234</v>
      </c>
      <c r="C4644" s="2">
        <v>3</v>
      </c>
      <c r="D4644" t="str">
        <f t="shared" si="72"/>
        <v>CA-2016-148684_OFF-PA-10003302</v>
      </c>
      <c r="E4644" t="str">
        <f>IF(COUNTIF(data1!$D:$D,D4644)=0,"Missing in Data1","Present")</f>
        <v>Present</v>
      </c>
    </row>
    <row r="4645" spans="1:5" x14ac:dyDescent="0.25">
      <c r="A4645" s="2" t="s">
        <v>4062</v>
      </c>
      <c r="B4645" s="2" t="s">
        <v>2146</v>
      </c>
      <c r="C4645" s="2">
        <v>2</v>
      </c>
      <c r="D4645" t="str">
        <f t="shared" si="72"/>
        <v>CA-2016-148684_TEC-AC-10001838</v>
      </c>
      <c r="E4645" t="str">
        <f>IF(COUNTIF(data1!$D:$D,D4645)=0,"Missing in Data1","Present")</f>
        <v>Present</v>
      </c>
    </row>
    <row r="4646" spans="1:5" x14ac:dyDescent="0.25">
      <c r="A4646" s="2" t="s">
        <v>4065</v>
      </c>
      <c r="B4646" s="2" t="s">
        <v>102</v>
      </c>
      <c r="C4646" s="2">
        <v>2</v>
      </c>
      <c r="D4646" t="str">
        <f t="shared" si="72"/>
        <v>CA-2016-148740_TEC-PH-10002549</v>
      </c>
      <c r="E4646" t="str">
        <f>IF(COUNTIF(data1!$D:$D,D4646)=0,"Missing in Data1","Present")</f>
        <v>Present</v>
      </c>
    </row>
    <row r="4647" spans="1:5" x14ac:dyDescent="0.25">
      <c r="A4647" s="2" t="s">
        <v>4066</v>
      </c>
      <c r="B4647" s="2" t="s">
        <v>1417</v>
      </c>
      <c r="C4647" s="2">
        <v>2</v>
      </c>
      <c r="D4647" t="str">
        <f t="shared" si="72"/>
        <v>CA-2016-148747_FUR-BO-10002613</v>
      </c>
      <c r="E4647" t="str">
        <f>IF(COUNTIF(data1!$D:$D,D4647)=0,"Missing in Data1","Present")</f>
        <v>Present</v>
      </c>
    </row>
    <row r="4648" spans="1:5" x14ac:dyDescent="0.25">
      <c r="A4648" s="2" t="s">
        <v>4067</v>
      </c>
      <c r="B4648" s="2" t="s">
        <v>1368</v>
      </c>
      <c r="C4648" s="2">
        <v>5</v>
      </c>
      <c r="D4648" t="str">
        <f t="shared" si="72"/>
        <v>CA-2016-148796_FUR-CH-10004886</v>
      </c>
      <c r="E4648" t="str">
        <f>IF(COUNTIF(data1!$D:$D,D4648)=0,"Missing in Data1","Present")</f>
        <v>Present</v>
      </c>
    </row>
    <row r="4649" spans="1:5" x14ac:dyDescent="0.25">
      <c r="A4649" s="2" t="s">
        <v>4068</v>
      </c>
      <c r="B4649" s="2" t="s">
        <v>1162</v>
      </c>
      <c r="C4649" s="2">
        <v>6</v>
      </c>
      <c r="D4649" t="str">
        <f t="shared" si="72"/>
        <v>CA-2016-148852_FUR-CH-10004860</v>
      </c>
      <c r="E4649" t="str">
        <f>IF(COUNTIF(data1!$D:$D,D4649)=0,"Missing in Data1","Present")</f>
        <v>Present</v>
      </c>
    </row>
    <row r="4650" spans="1:5" x14ac:dyDescent="0.25">
      <c r="A4650" s="2" t="s">
        <v>4068</v>
      </c>
      <c r="B4650" s="2" t="s">
        <v>1364</v>
      </c>
      <c r="C4650" s="2">
        <v>3</v>
      </c>
      <c r="D4650" t="str">
        <f t="shared" si="72"/>
        <v>CA-2016-148852_OFF-FA-10003467</v>
      </c>
      <c r="E4650" t="str">
        <f>IF(COUNTIF(data1!$D:$D,D4650)=0,"Missing in Data1","Present")</f>
        <v>Present</v>
      </c>
    </row>
    <row r="4651" spans="1:5" x14ac:dyDescent="0.25">
      <c r="A4651" s="2" t="s">
        <v>4068</v>
      </c>
      <c r="B4651" s="2" t="s">
        <v>2571</v>
      </c>
      <c r="C4651" s="2">
        <v>7</v>
      </c>
      <c r="D4651" t="str">
        <f t="shared" si="72"/>
        <v>CA-2016-148852_OFF-PA-10001293</v>
      </c>
      <c r="E4651" t="str">
        <f>IF(COUNTIF(data1!$D:$D,D4651)=0,"Missing in Data1","Present")</f>
        <v>Present</v>
      </c>
    </row>
    <row r="4652" spans="1:5" x14ac:dyDescent="0.25">
      <c r="A4652" s="2" t="s">
        <v>4068</v>
      </c>
      <c r="B4652" s="2" t="s">
        <v>4069</v>
      </c>
      <c r="C4652" s="2">
        <v>3</v>
      </c>
      <c r="D4652" t="str">
        <f t="shared" si="72"/>
        <v>CA-2016-148852_TEC-MA-10002428</v>
      </c>
      <c r="E4652" t="str">
        <f>IF(COUNTIF(data1!$D:$D,D4652)=0,"Missing in Data1","Present")</f>
        <v>Present</v>
      </c>
    </row>
    <row r="4653" spans="1:5" x14ac:dyDescent="0.25">
      <c r="A4653" s="2" t="s">
        <v>4070</v>
      </c>
      <c r="B4653" s="2" t="s">
        <v>1961</v>
      </c>
      <c r="C4653" s="2">
        <v>2</v>
      </c>
      <c r="D4653" t="str">
        <f t="shared" si="72"/>
        <v>CA-2016-148908_OFF-BI-10002082</v>
      </c>
      <c r="E4653" t="str">
        <f>IF(COUNTIF(data1!$D:$D,D4653)=0,"Missing in Data1","Present")</f>
        <v>Present</v>
      </c>
    </row>
    <row r="4654" spans="1:5" x14ac:dyDescent="0.25">
      <c r="A4654" s="2" t="s">
        <v>4071</v>
      </c>
      <c r="B4654" s="2" t="s">
        <v>3306</v>
      </c>
      <c r="C4654" s="2">
        <v>8</v>
      </c>
      <c r="D4654" t="str">
        <f t="shared" si="72"/>
        <v>CA-2016-149111_FUR-FU-10000206</v>
      </c>
      <c r="E4654" t="str">
        <f>IF(COUNTIF(data1!$D:$D,D4654)=0,"Missing in Data1","Present")</f>
        <v>Present</v>
      </c>
    </row>
    <row r="4655" spans="1:5" x14ac:dyDescent="0.25">
      <c r="A4655" s="2" t="s">
        <v>4071</v>
      </c>
      <c r="B4655" s="2" t="s">
        <v>4072</v>
      </c>
      <c r="C4655" s="2">
        <v>1</v>
      </c>
      <c r="D4655" t="str">
        <f t="shared" si="72"/>
        <v>CA-2016-149111_TEC-PH-10003092</v>
      </c>
      <c r="E4655" t="str">
        <f>IF(COUNTIF(data1!$D:$D,D4655)=0,"Missing in Data1","Present")</f>
        <v>Present</v>
      </c>
    </row>
    <row r="4656" spans="1:5" x14ac:dyDescent="0.25">
      <c r="A4656" s="2" t="s">
        <v>4073</v>
      </c>
      <c r="B4656" s="2" t="s">
        <v>1187</v>
      </c>
      <c r="C4656" s="2">
        <v>8</v>
      </c>
      <c r="D4656" t="str">
        <f t="shared" si="72"/>
        <v>CA-2016-149195_OFF-FA-10001843</v>
      </c>
      <c r="E4656" t="str">
        <f>IF(COUNTIF(data1!$D:$D,D4656)=0,"Missing in Data1","Present")</f>
        <v>Present</v>
      </c>
    </row>
    <row r="4657" spans="1:5" x14ac:dyDescent="0.25">
      <c r="A4657" s="2" t="s">
        <v>4073</v>
      </c>
      <c r="B4657" s="2" t="s">
        <v>2631</v>
      </c>
      <c r="C4657" s="2">
        <v>5</v>
      </c>
      <c r="D4657" t="str">
        <f t="shared" si="72"/>
        <v>CA-2016-149195_OFF-PA-10001870</v>
      </c>
      <c r="E4657" t="str">
        <f>IF(COUNTIF(data1!$D:$D,D4657)=0,"Missing in Data1","Present")</f>
        <v>Present</v>
      </c>
    </row>
    <row r="4658" spans="1:5" x14ac:dyDescent="0.25">
      <c r="A4658" s="2" t="s">
        <v>4073</v>
      </c>
      <c r="B4658" s="2" t="s">
        <v>2410</v>
      </c>
      <c r="C4658" s="2">
        <v>2</v>
      </c>
      <c r="D4658" t="str">
        <f t="shared" si="72"/>
        <v>CA-2016-149195_OFF-PA-10002036</v>
      </c>
      <c r="E4658" t="str">
        <f>IF(COUNTIF(data1!$D:$D,D4658)=0,"Missing in Data1","Present")</f>
        <v>Present</v>
      </c>
    </row>
    <row r="4659" spans="1:5" x14ac:dyDescent="0.25">
      <c r="A4659" s="2" t="s">
        <v>4074</v>
      </c>
      <c r="B4659" s="2" t="s">
        <v>796</v>
      </c>
      <c r="C4659" s="2">
        <v>6</v>
      </c>
      <c r="D4659" t="str">
        <f t="shared" si="72"/>
        <v>CA-2016-149223_OFF-AP-10000358</v>
      </c>
      <c r="E4659" t="str">
        <f>IF(COUNTIF(data1!$D:$D,D4659)=0,"Missing in Data1","Present")</f>
        <v>Present</v>
      </c>
    </row>
    <row r="4660" spans="1:5" x14ac:dyDescent="0.25">
      <c r="A4660" s="2" t="s">
        <v>4075</v>
      </c>
      <c r="B4660" s="2" t="s">
        <v>756</v>
      </c>
      <c r="C4660" s="2">
        <v>3</v>
      </c>
      <c r="D4660" t="str">
        <f t="shared" si="72"/>
        <v>CA-2016-149237_FUR-FU-10002088</v>
      </c>
      <c r="E4660" t="str">
        <f>IF(COUNTIF(data1!$D:$D,D4660)=0,"Missing in Data1","Present")</f>
        <v>Present</v>
      </c>
    </row>
    <row r="4661" spans="1:5" x14ac:dyDescent="0.25">
      <c r="A4661" s="2" t="s">
        <v>4076</v>
      </c>
      <c r="B4661" s="2" t="s">
        <v>474</v>
      </c>
      <c r="C4661" s="2">
        <v>5</v>
      </c>
      <c r="D4661" t="str">
        <f t="shared" si="72"/>
        <v>CA-2016-149272_FUR-CH-10000863</v>
      </c>
      <c r="E4661" t="str">
        <f>IF(COUNTIF(data1!$D:$D,D4661)=0,"Missing in Data1","Present")</f>
        <v>Present</v>
      </c>
    </row>
    <row r="4662" spans="1:5" x14ac:dyDescent="0.25">
      <c r="A4662" s="2" t="s">
        <v>4076</v>
      </c>
      <c r="B4662" s="2" t="s">
        <v>137</v>
      </c>
      <c r="C4662" s="2">
        <v>7</v>
      </c>
      <c r="D4662" t="str">
        <f t="shared" si="72"/>
        <v>CA-2016-149272_OFF-BI-10004233</v>
      </c>
      <c r="E4662" t="str">
        <f>IF(COUNTIF(data1!$D:$D,D4662)=0,"Missing in Data1","Present")</f>
        <v>Present</v>
      </c>
    </row>
    <row r="4663" spans="1:5" x14ac:dyDescent="0.25">
      <c r="A4663" s="2" t="s">
        <v>4077</v>
      </c>
      <c r="B4663" s="2" t="s">
        <v>1083</v>
      </c>
      <c r="C4663" s="2">
        <v>6</v>
      </c>
      <c r="D4663" t="str">
        <f t="shared" si="72"/>
        <v>CA-2016-149279_FUR-CH-10004287</v>
      </c>
      <c r="E4663" t="str">
        <f>IF(COUNTIF(data1!$D:$D,D4663)=0,"Missing in Data1","Present")</f>
        <v>Present</v>
      </c>
    </row>
    <row r="4664" spans="1:5" x14ac:dyDescent="0.25">
      <c r="A4664" s="2" t="s">
        <v>4077</v>
      </c>
      <c r="B4664" s="2" t="s">
        <v>2891</v>
      </c>
      <c r="C4664" s="2">
        <v>2</v>
      </c>
      <c r="D4664" t="str">
        <f t="shared" si="72"/>
        <v>CA-2016-149279_OFF-BI-10004040</v>
      </c>
      <c r="E4664" t="str">
        <f>IF(COUNTIF(data1!$D:$D,D4664)=0,"Missing in Data1","Present")</f>
        <v>Present</v>
      </c>
    </row>
    <row r="4665" spans="1:5" x14ac:dyDescent="0.25">
      <c r="A4665" s="2" t="s">
        <v>4077</v>
      </c>
      <c r="B4665" s="2" t="s">
        <v>1737</v>
      </c>
      <c r="C4665" s="2">
        <v>3</v>
      </c>
      <c r="D4665" t="str">
        <f t="shared" si="72"/>
        <v>CA-2016-149279_OFF-PA-10003441</v>
      </c>
      <c r="E4665" t="str">
        <f>IF(COUNTIF(data1!$D:$D,D4665)=0,"Missing in Data1","Present")</f>
        <v>Present</v>
      </c>
    </row>
    <row r="4666" spans="1:5" x14ac:dyDescent="0.25">
      <c r="A4666" s="2" t="s">
        <v>4078</v>
      </c>
      <c r="B4666" s="2" t="s">
        <v>1641</v>
      </c>
      <c r="C4666" s="2">
        <v>1</v>
      </c>
      <c r="D4666" t="str">
        <f t="shared" si="72"/>
        <v>CA-2016-149314_FUR-CH-10002126</v>
      </c>
      <c r="E4666" t="str">
        <f>IF(COUNTIF(data1!$D:$D,D4666)=0,"Missing in Data1","Present")</f>
        <v>Present</v>
      </c>
    </row>
    <row r="4667" spans="1:5" x14ac:dyDescent="0.25">
      <c r="A4667" s="2" t="s">
        <v>4079</v>
      </c>
      <c r="B4667" s="2" t="s">
        <v>4080</v>
      </c>
      <c r="C4667" s="2">
        <v>9</v>
      </c>
      <c r="D4667" t="str">
        <f t="shared" si="72"/>
        <v>CA-2016-149335_OFF-AR-10001419</v>
      </c>
      <c r="E4667" t="str">
        <f>IF(COUNTIF(data1!$D:$D,D4667)=0,"Missing in Data1","Present")</f>
        <v>Present</v>
      </c>
    </row>
    <row r="4668" spans="1:5" x14ac:dyDescent="0.25">
      <c r="A4668" s="2" t="s">
        <v>4081</v>
      </c>
      <c r="B4668" s="2" t="s">
        <v>3125</v>
      </c>
      <c r="C4668" s="2">
        <v>6</v>
      </c>
      <c r="D4668" t="str">
        <f t="shared" si="72"/>
        <v>CA-2016-149349_FUR-FU-10001037</v>
      </c>
      <c r="E4668" t="str">
        <f>IF(COUNTIF(data1!$D:$D,D4668)=0,"Missing in Data1","Present")</f>
        <v>Present</v>
      </c>
    </row>
    <row r="4669" spans="1:5" x14ac:dyDescent="0.25">
      <c r="A4669" s="2" t="s">
        <v>6805</v>
      </c>
      <c r="B4669" s="2" t="s">
        <v>4704</v>
      </c>
      <c r="C4669" s="2">
        <v>1</v>
      </c>
      <c r="D4669" t="str">
        <f t="shared" si="72"/>
        <v>CA-2016-149370_OFF-PA-10003651</v>
      </c>
      <c r="E4669" t="str">
        <f>IF(COUNTIF(data1!$D:$D,D4669)=0,"Missing in Data1","Present")</f>
        <v>Missing in Data1</v>
      </c>
    </row>
    <row r="4670" spans="1:5" x14ac:dyDescent="0.25">
      <c r="A4670" s="2" t="s">
        <v>4083</v>
      </c>
      <c r="B4670" s="2" t="s">
        <v>461</v>
      </c>
      <c r="C4670" s="2">
        <v>1</v>
      </c>
      <c r="D4670" t="str">
        <f t="shared" si="72"/>
        <v>CA-2016-149461_FUR-FU-10004270</v>
      </c>
      <c r="E4670" t="str">
        <f>IF(COUNTIF(data1!$D:$D,D4670)=0,"Missing in Data1","Present")</f>
        <v>Present</v>
      </c>
    </row>
    <row r="4671" spans="1:5" x14ac:dyDescent="0.25">
      <c r="A4671" s="2" t="s">
        <v>4084</v>
      </c>
      <c r="B4671" s="2" t="s">
        <v>870</v>
      </c>
      <c r="C4671" s="2">
        <v>2</v>
      </c>
      <c r="D4671" t="str">
        <f t="shared" si="72"/>
        <v>CA-2016-149482_OFF-LA-10000248</v>
      </c>
      <c r="E4671" t="str">
        <f>IF(COUNTIF(data1!$D:$D,D4671)=0,"Missing in Data1","Present")</f>
        <v>Present</v>
      </c>
    </row>
    <row r="4672" spans="1:5" x14ac:dyDescent="0.25">
      <c r="A4672" s="2" t="s">
        <v>4085</v>
      </c>
      <c r="B4672" s="2" t="s">
        <v>823</v>
      </c>
      <c r="C4672" s="2">
        <v>8</v>
      </c>
      <c r="D4672" t="str">
        <f t="shared" si="72"/>
        <v>CA-2016-149503_OFF-BI-10002133</v>
      </c>
      <c r="E4672" t="str">
        <f>IF(COUNTIF(data1!$D:$D,D4672)=0,"Missing in Data1","Present")</f>
        <v>Present</v>
      </c>
    </row>
    <row r="4673" spans="1:5" x14ac:dyDescent="0.25">
      <c r="A4673" s="2" t="s">
        <v>4086</v>
      </c>
      <c r="B4673" s="2" t="s">
        <v>803</v>
      </c>
      <c r="C4673" s="2">
        <v>6</v>
      </c>
      <c r="D4673" t="str">
        <f t="shared" si="72"/>
        <v>CA-2016-149671_OFF-SU-10002537</v>
      </c>
      <c r="E4673" t="str">
        <f>IF(COUNTIF(data1!$D:$D,D4673)=0,"Missing in Data1","Present")</f>
        <v>Present</v>
      </c>
    </row>
    <row r="4674" spans="1:5" x14ac:dyDescent="0.25">
      <c r="A4674" s="2" t="s">
        <v>4087</v>
      </c>
      <c r="B4674" s="2" t="s">
        <v>3076</v>
      </c>
      <c r="C4674" s="2">
        <v>6</v>
      </c>
      <c r="D4674" t="str">
        <f t="shared" si="72"/>
        <v>CA-2016-149685_OFF-LA-10004545</v>
      </c>
      <c r="E4674" t="str">
        <f>IF(COUNTIF(data1!$D:$D,D4674)=0,"Missing in Data1","Present")</f>
        <v>Present</v>
      </c>
    </row>
    <row r="4675" spans="1:5" x14ac:dyDescent="0.25">
      <c r="A4675" s="2" t="s">
        <v>4088</v>
      </c>
      <c r="B4675" s="2" t="s">
        <v>718</v>
      </c>
      <c r="C4675" s="2">
        <v>3</v>
      </c>
      <c r="D4675" t="str">
        <f t="shared" ref="D4675:D4738" si="73">A4675&amp;"_"&amp;B4675</f>
        <v>CA-2016-149762_FUR-TA-10004147</v>
      </c>
      <c r="E4675" t="str">
        <f>IF(COUNTIF(data1!$D:$D,D4675)=0,"Missing in Data1","Present")</f>
        <v>Present</v>
      </c>
    </row>
    <row r="4676" spans="1:5" x14ac:dyDescent="0.25">
      <c r="A4676" s="2" t="s">
        <v>4088</v>
      </c>
      <c r="B4676" s="2" t="s">
        <v>1776</v>
      </c>
      <c r="C4676" s="2">
        <v>8</v>
      </c>
      <c r="D4676" t="str">
        <f t="shared" si="73"/>
        <v>CA-2016-149762_OFF-AR-10001662</v>
      </c>
      <c r="E4676" t="str">
        <f>IF(COUNTIF(data1!$D:$D,D4676)=0,"Missing in Data1","Present")</f>
        <v>Present</v>
      </c>
    </row>
    <row r="4677" spans="1:5" x14ac:dyDescent="0.25">
      <c r="A4677" s="2" t="s">
        <v>4088</v>
      </c>
      <c r="B4677" s="2" t="s">
        <v>1735</v>
      </c>
      <c r="C4677" s="2">
        <v>3</v>
      </c>
      <c r="D4677" t="str">
        <f t="shared" si="73"/>
        <v>CA-2016-149762_OFF-ST-10001558</v>
      </c>
      <c r="E4677" t="str">
        <f>IF(COUNTIF(data1!$D:$D,D4677)=0,"Missing in Data1","Present")</f>
        <v>Present</v>
      </c>
    </row>
    <row r="4678" spans="1:5" x14ac:dyDescent="0.25">
      <c r="A4678" s="2" t="s">
        <v>4089</v>
      </c>
      <c r="B4678" s="2" t="s">
        <v>2238</v>
      </c>
      <c r="C4678" s="2">
        <v>2</v>
      </c>
      <c r="D4678" t="str">
        <f t="shared" si="73"/>
        <v>CA-2016-149783_OFF-AP-10001205</v>
      </c>
      <c r="E4678" t="str">
        <f>IF(COUNTIF(data1!$D:$D,D4678)=0,"Missing in Data1","Present")</f>
        <v>Present</v>
      </c>
    </row>
    <row r="4679" spans="1:5" x14ac:dyDescent="0.25">
      <c r="A4679" s="2" t="s">
        <v>4089</v>
      </c>
      <c r="B4679" s="2" t="s">
        <v>1270</v>
      </c>
      <c r="C4679" s="2">
        <v>2</v>
      </c>
      <c r="D4679" t="str">
        <f t="shared" si="73"/>
        <v>CA-2016-149783_OFF-AR-10002987</v>
      </c>
      <c r="E4679" t="str">
        <f>IF(COUNTIF(data1!$D:$D,D4679)=0,"Missing in Data1","Present")</f>
        <v>Missing in Data1</v>
      </c>
    </row>
    <row r="4680" spans="1:5" x14ac:dyDescent="0.25">
      <c r="A4680" s="2" t="s">
        <v>4089</v>
      </c>
      <c r="B4680" s="2" t="s">
        <v>157</v>
      </c>
      <c r="C4680" s="2">
        <v>3</v>
      </c>
      <c r="D4680" t="str">
        <f t="shared" si="73"/>
        <v>CA-2016-149783_OFF-PA-10002195</v>
      </c>
      <c r="E4680" t="str">
        <f>IF(COUNTIF(data1!$D:$D,D4680)=0,"Missing in Data1","Present")</f>
        <v>Present</v>
      </c>
    </row>
    <row r="4681" spans="1:5" x14ac:dyDescent="0.25">
      <c r="A4681" s="2" t="s">
        <v>4090</v>
      </c>
      <c r="B4681" s="2" t="s">
        <v>1382</v>
      </c>
      <c r="C4681" s="2">
        <v>2</v>
      </c>
      <c r="D4681" t="str">
        <f t="shared" si="73"/>
        <v>CA-2016-149797_OFF-BI-10003650</v>
      </c>
      <c r="E4681" t="str">
        <f>IF(COUNTIF(data1!$D:$D,D4681)=0,"Missing in Data1","Present")</f>
        <v>Present</v>
      </c>
    </row>
    <row r="4682" spans="1:5" x14ac:dyDescent="0.25">
      <c r="A4682" s="2" t="s">
        <v>4091</v>
      </c>
      <c r="B4682" s="2" t="s">
        <v>4092</v>
      </c>
      <c r="C4682" s="2">
        <v>4</v>
      </c>
      <c r="D4682" t="str">
        <f t="shared" si="73"/>
        <v>CA-2016-149902_OFF-AR-10002956</v>
      </c>
      <c r="E4682" t="str">
        <f>IF(COUNTIF(data1!$D:$D,D4682)=0,"Missing in Data1","Present")</f>
        <v>Present</v>
      </c>
    </row>
    <row r="4683" spans="1:5" x14ac:dyDescent="0.25">
      <c r="A4683" s="2" t="s">
        <v>4093</v>
      </c>
      <c r="B4683" s="2" t="s">
        <v>2543</v>
      </c>
      <c r="C4683" s="2">
        <v>4</v>
      </c>
      <c r="D4683" t="str">
        <f t="shared" si="73"/>
        <v>CA-2016-149916_OFF-BI-10004002</v>
      </c>
      <c r="E4683" t="str">
        <f>IF(COUNTIF(data1!$D:$D,D4683)=0,"Missing in Data1","Present")</f>
        <v>Present</v>
      </c>
    </row>
    <row r="4684" spans="1:5" x14ac:dyDescent="0.25">
      <c r="A4684" s="2" t="s">
        <v>4093</v>
      </c>
      <c r="B4684" s="2" t="s">
        <v>3910</v>
      </c>
      <c r="C4684" s="2">
        <v>1</v>
      </c>
      <c r="D4684" t="str">
        <f t="shared" si="73"/>
        <v>CA-2016-149916_TEC-MA-10000752</v>
      </c>
      <c r="E4684" t="str">
        <f>IF(COUNTIF(data1!$D:$D,D4684)=0,"Missing in Data1","Present")</f>
        <v>Present</v>
      </c>
    </row>
    <row r="4685" spans="1:5" x14ac:dyDescent="0.25">
      <c r="A4685" s="2" t="s">
        <v>4094</v>
      </c>
      <c r="B4685" s="2" t="s">
        <v>461</v>
      </c>
      <c r="C4685" s="2">
        <v>3</v>
      </c>
      <c r="D4685" t="str">
        <f t="shared" si="73"/>
        <v>CA-2016-149965_FUR-FU-10004270</v>
      </c>
      <c r="E4685" t="str">
        <f>IF(COUNTIF(data1!$D:$D,D4685)=0,"Missing in Data1","Present")</f>
        <v>Present</v>
      </c>
    </row>
    <row r="4686" spans="1:5" x14ac:dyDescent="0.25">
      <c r="A4686" s="2" t="s">
        <v>4094</v>
      </c>
      <c r="B4686" s="2" t="s">
        <v>511</v>
      </c>
      <c r="C4686" s="2">
        <v>1</v>
      </c>
      <c r="D4686" t="str">
        <f t="shared" si="73"/>
        <v>CA-2016-149965_TEC-AC-10004877</v>
      </c>
      <c r="E4686" t="str">
        <f>IF(COUNTIF(data1!$D:$D,D4686)=0,"Missing in Data1","Present")</f>
        <v>Present</v>
      </c>
    </row>
    <row r="4687" spans="1:5" x14ac:dyDescent="0.25">
      <c r="A4687" s="2" t="s">
        <v>4095</v>
      </c>
      <c r="B4687" s="2" t="s">
        <v>1978</v>
      </c>
      <c r="C4687" s="2">
        <v>3</v>
      </c>
      <c r="D4687" t="str">
        <f t="shared" si="73"/>
        <v>CA-2016-149979_FUR-CH-10002084</v>
      </c>
      <c r="E4687" t="str">
        <f>IF(COUNTIF(data1!$D:$D,D4687)=0,"Missing in Data1","Present")</f>
        <v>Present</v>
      </c>
    </row>
    <row r="4688" spans="1:5" x14ac:dyDescent="0.25">
      <c r="A4688" s="2" t="s">
        <v>4095</v>
      </c>
      <c r="B4688" s="2" t="s">
        <v>599</v>
      </c>
      <c r="C4688" s="2">
        <v>5</v>
      </c>
      <c r="D4688" t="str">
        <f t="shared" si="73"/>
        <v>CA-2016-149979_OFF-ST-10003058</v>
      </c>
      <c r="E4688" t="str">
        <f>IF(COUNTIF(data1!$D:$D,D4688)=0,"Missing in Data1","Present")</f>
        <v>Present</v>
      </c>
    </row>
    <row r="4689" spans="1:5" x14ac:dyDescent="0.25">
      <c r="A4689" s="2" t="s">
        <v>4096</v>
      </c>
      <c r="B4689" s="2" t="s">
        <v>4097</v>
      </c>
      <c r="C4689" s="2">
        <v>4</v>
      </c>
      <c r="D4689" t="str">
        <f t="shared" si="73"/>
        <v>CA-2016-150000_OFF-EN-10002973</v>
      </c>
      <c r="E4689" t="str">
        <f>IF(COUNTIF(data1!$D:$D,D4689)=0,"Missing in Data1","Present")</f>
        <v>Present</v>
      </c>
    </row>
    <row r="4690" spans="1:5" x14ac:dyDescent="0.25">
      <c r="A4690" s="2" t="s">
        <v>4098</v>
      </c>
      <c r="B4690" s="2" t="s">
        <v>276</v>
      </c>
      <c r="C4690" s="2">
        <v>3</v>
      </c>
      <c r="D4690" t="str">
        <f t="shared" si="73"/>
        <v>CA-2016-150007_OFF-BI-10004141</v>
      </c>
      <c r="E4690" t="str">
        <f>IF(COUNTIF(data1!$D:$D,D4690)=0,"Missing in Data1","Present")</f>
        <v>Present</v>
      </c>
    </row>
    <row r="4691" spans="1:5" x14ac:dyDescent="0.25">
      <c r="A4691" s="2" t="s">
        <v>4098</v>
      </c>
      <c r="B4691" s="2" t="s">
        <v>27</v>
      </c>
      <c r="C4691" s="2">
        <v>2</v>
      </c>
      <c r="D4691" t="str">
        <f t="shared" si="73"/>
        <v>CA-2016-150007_OFF-LA-10001982</v>
      </c>
      <c r="E4691" t="str">
        <f>IF(COUNTIF(data1!$D:$D,D4691)=0,"Missing in Data1","Present")</f>
        <v>Present</v>
      </c>
    </row>
    <row r="4692" spans="1:5" x14ac:dyDescent="0.25">
      <c r="A4692" s="2" t="s">
        <v>4099</v>
      </c>
      <c r="B4692" s="2" t="s">
        <v>737</v>
      </c>
      <c r="C4692" s="2">
        <v>2</v>
      </c>
      <c r="D4692" t="str">
        <f t="shared" si="73"/>
        <v>CA-2016-150077_TEC-PH-10002890</v>
      </c>
      <c r="E4692" t="str">
        <f>IF(COUNTIF(data1!$D:$D,D4692)=0,"Missing in Data1","Present")</f>
        <v>Present</v>
      </c>
    </row>
    <row r="4693" spans="1:5" x14ac:dyDescent="0.25">
      <c r="A4693" s="2" t="s">
        <v>4100</v>
      </c>
      <c r="B4693" s="2" t="s">
        <v>323</v>
      </c>
      <c r="C4693" s="2">
        <v>3</v>
      </c>
      <c r="D4693" t="str">
        <f t="shared" si="73"/>
        <v>CA-2016-150343_OFF-EN-10004030</v>
      </c>
      <c r="E4693" t="str">
        <f>IF(COUNTIF(data1!$D:$D,D4693)=0,"Missing in Data1","Present")</f>
        <v>Present</v>
      </c>
    </row>
    <row r="4694" spans="1:5" x14ac:dyDescent="0.25">
      <c r="A4694" s="2" t="s">
        <v>4101</v>
      </c>
      <c r="B4694" s="2" t="s">
        <v>2314</v>
      </c>
      <c r="C4694" s="2">
        <v>6</v>
      </c>
      <c r="D4694" t="str">
        <f t="shared" si="73"/>
        <v>CA-2016-150350_FUR-CH-10001973</v>
      </c>
      <c r="E4694" t="str">
        <f>IF(COUNTIF(data1!$D:$D,D4694)=0,"Missing in Data1","Present")</f>
        <v>Present</v>
      </c>
    </row>
    <row r="4695" spans="1:5" x14ac:dyDescent="0.25">
      <c r="A4695" s="2" t="s">
        <v>4101</v>
      </c>
      <c r="B4695" s="2" t="s">
        <v>1310</v>
      </c>
      <c r="C4695" s="2">
        <v>5</v>
      </c>
      <c r="D4695" t="str">
        <f t="shared" si="73"/>
        <v>CA-2016-150350_OFF-AP-10001492</v>
      </c>
      <c r="E4695" t="str">
        <f>IF(COUNTIF(data1!$D:$D,D4695)=0,"Missing in Data1","Present")</f>
        <v>Present</v>
      </c>
    </row>
    <row r="4696" spans="1:5" x14ac:dyDescent="0.25">
      <c r="A4696" s="2" t="s">
        <v>4101</v>
      </c>
      <c r="B4696" s="2" t="s">
        <v>531</v>
      </c>
      <c r="C4696" s="2">
        <v>5</v>
      </c>
      <c r="D4696" t="str">
        <f t="shared" si="73"/>
        <v>CA-2016-150350_OFF-EN-10002504</v>
      </c>
      <c r="E4696" t="str">
        <f>IF(COUNTIF(data1!$D:$D,D4696)=0,"Missing in Data1","Present")</f>
        <v>Present</v>
      </c>
    </row>
    <row r="4697" spans="1:5" x14ac:dyDescent="0.25">
      <c r="A4697" s="2" t="s">
        <v>4101</v>
      </c>
      <c r="B4697" s="2" t="s">
        <v>241</v>
      </c>
      <c r="C4697" s="2">
        <v>4</v>
      </c>
      <c r="D4697" t="str">
        <f t="shared" si="73"/>
        <v>CA-2016-150350_OFF-SU-10002189</v>
      </c>
      <c r="E4697" t="str">
        <f>IF(COUNTIF(data1!$D:$D,D4697)=0,"Missing in Data1","Present")</f>
        <v>Present</v>
      </c>
    </row>
    <row r="4698" spans="1:5" x14ac:dyDescent="0.25">
      <c r="A4698" s="2" t="s">
        <v>4101</v>
      </c>
      <c r="B4698" s="2" t="s">
        <v>1762</v>
      </c>
      <c r="C4698" s="2">
        <v>3</v>
      </c>
      <c r="D4698" t="str">
        <f t="shared" si="73"/>
        <v>CA-2016-150350_TEC-MA-10001972</v>
      </c>
      <c r="E4698" t="str">
        <f>IF(COUNTIF(data1!$D:$D,D4698)=0,"Missing in Data1","Present")</f>
        <v>Present</v>
      </c>
    </row>
    <row r="4699" spans="1:5" x14ac:dyDescent="0.25">
      <c r="A4699" s="2" t="s">
        <v>4102</v>
      </c>
      <c r="B4699" s="2" t="s">
        <v>335</v>
      </c>
      <c r="C4699" s="2">
        <v>3</v>
      </c>
      <c r="D4699" t="str">
        <f t="shared" si="73"/>
        <v>CA-2016-150483_FUR-CH-10000422</v>
      </c>
      <c r="E4699" t="str">
        <f>IF(COUNTIF(data1!$D:$D,D4699)=0,"Missing in Data1","Present")</f>
        <v>Present</v>
      </c>
    </row>
    <row r="4700" spans="1:5" x14ac:dyDescent="0.25">
      <c r="A4700" s="2" t="s">
        <v>4102</v>
      </c>
      <c r="B4700" s="2" t="s">
        <v>4103</v>
      </c>
      <c r="C4700" s="2">
        <v>3</v>
      </c>
      <c r="D4700" t="str">
        <f t="shared" si="73"/>
        <v>CA-2016-150483_FUR-FU-10001379</v>
      </c>
      <c r="E4700" t="str">
        <f>IF(COUNTIF(data1!$D:$D,D4700)=0,"Missing in Data1","Present")</f>
        <v>Present</v>
      </c>
    </row>
    <row r="4701" spans="1:5" x14ac:dyDescent="0.25">
      <c r="A4701" s="2" t="s">
        <v>4102</v>
      </c>
      <c r="B4701" s="2" t="s">
        <v>2752</v>
      </c>
      <c r="C4701" s="2">
        <v>4</v>
      </c>
      <c r="D4701" t="str">
        <f t="shared" si="73"/>
        <v>CA-2016-150483_OFF-PA-10001846</v>
      </c>
      <c r="E4701" t="str">
        <f>IF(COUNTIF(data1!$D:$D,D4701)=0,"Missing in Data1","Present")</f>
        <v>Present</v>
      </c>
    </row>
    <row r="4702" spans="1:5" x14ac:dyDescent="0.25">
      <c r="A4702" s="2" t="s">
        <v>6806</v>
      </c>
      <c r="B4702" s="2" t="s">
        <v>70</v>
      </c>
      <c r="C4702" s="2">
        <v>3</v>
      </c>
      <c r="D4702" t="str">
        <f t="shared" si="73"/>
        <v>CA-2016-150658_OFF-BI-10004140</v>
      </c>
      <c r="E4702" t="str">
        <f>IF(COUNTIF(data1!$D:$D,D4702)=0,"Missing in Data1","Present")</f>
        <v>Missing in Data1</v>
      </c>
    </row>
    <row r="4703" spans="1:5" x14ac:dyDescent="0.25">
      <c r="A4703" s="2" t="s">
        <v>4104</v>
      </c>
      <c r="B4703" s="2" t="s">
        <v>4105</v>
      </c>
      <c r="C4703" s="2">
        <v>1</v>
      </c>
      <c r="D4703" t="str">
        <f t="shared" si="73"/>
        <v>CA-2016-150889_TEC-PH-10000004</v>
      </c>
      <c r="E4703" t="str">
        <f>IF(COUNTIF(data1!$D:$D,D4703)=0,"Missing in Data1","Present")</f>
        <v>Present</v>
      </c>
    </row>
    <row r="4704" spans="1:5" x14ac:dyDescent="0.25">
      <c r="A4704" s="2" t="s">
        <v>4106</v>
      </c>
      <c r="B4704" s="2" t="s">
        <v>495</v>
      </c>
      <c r="C4704" s="2">
        <v>4</v>
      </c>
      <c r="D4704" t="str">
        <f t="shared" si="73"/>
        <v>CA-2016-150945_OFF-ST-10003716</v>
      </c>
      <c r="E4704" t="str">
        <f>IF(COUNTIF(data1!$D:$D,D4704)=0,"Missing in Data1","Present")</f>
        <v>Present</v>
      </c>
    </row>
    <row r="4705" spans="1:5" x14ac:dyDescent="0.25">
      <c r="A4705" s="2" t="s">
        <v>4107</v>
      </c>
      <c r="B4705" s="2" t="s">
        <v>2325</v>
      </c>
      <c r="C4705" s="2">
        <v>4</v>
      </c>
      <c r="D4705" t="str">
        <f t="shared" si="73"/>
        <v>CA-2016-151092_TEC-PH-10001700</v>
      </c>
      <c r="E4705" t="str">
        <f>IF(COUNTIF(data1!$D:$D,D4705)=0,"Missing in Data1","Present")</f>
        <v>Present</v>
      </c>
    </row>
    <row r="4706" spans="1:5" x14ac:dyDescent="0.25">
      <c r="A4706" s="2" t="s">
        <v>4108</v>
      </c>
      <c r="B4706" s="2" t="s">
        <v>2950</v>
      </c>
      <c r="C4706" s="2">
        <v>2</v>
      </c>
      <c r="D4706" t="str">
        <f t="shared" si="73"/>
        <v>CA-2016-151141_TEC-PH-10004924</v>
      </c>
      <c r="E4706" t="str">
        <f>IF(COUNTIF(data1!$D:$D,D4706)=0,"Missing in Data1","Present")</f>
        <v>Present</v>
      </c>
    </row>
    <row r="4707" spans="1:5" x14ac:dyDescent="0.25">
      <c r="A4707" s="2" t="s">
        <v>4109</v>
      </c>
      <c r="B4707" s="2" t="s">
        <v>1258</v>
      </c>
      <c r="C4707" s="2">
        <v>4</v>
      </c>
      <c r="D4707" t="str">
        <f t="shared" si="73"/>
        <v>CA-2016-151148_FUR-CH-10002304</v>
      </c>
      <c r="E4707" t="str">
        <f>IF(COUNTIF(data1!$D:$D,D4707)=0,"Missing in Data1","Present")</f>
        <v>Present</v>
      </c>
    </row>
    <row r="4708" spans="1:5" x14ac:dyDescent="0.25">
      <c r="A4708" s="2" t="s">
        <v>4109</v>
      </c>
      <c r="B4708" s="2" t="s">
        <v>1437</v>
      </c>
      <c r="C4708" s="2">
        <v>3</v>
      </c>
      <c r="D4708" t="str">
        <f t="shared" si="73"/>
        <v>CA-2016-151148_TEC-PH-10001870</v>
      </c>
      <c r="E4708" t="str">
        <f>IF(COUNTIF(data1!$D:$D,D4708)=0,"Missing in Data1","Present")</f>
        <v>Present</v>
      </c>
    </row>
    <row r="4709" spans="1:5" x14ac:dyDescent="0.25">
      <c r="A4709" s="2" t="s">
        <v>4110</v>
      </c>
      <c r="B4709" s="2" t="s">
        <v>1260</v>
      </c>
      <c r="C4709" s="2">
        <v>4</v>
      </c>
      <c r="D4709" t="str">
        <f t="shared" si="73"/>
        <v>CA-2016-151155_FUR-FU-10001918</v>
      </c>
      <c r="E4709" t="str">
        <f>IF(COUNTIF(data1!$D:$D,D4709)=0,"Missing in Data1","Present")</f>
        <v>Present</v>
      </c>
    </row>
    <row r="4710" spans="1:5" x14ac:dyDescent="0.25">
      <c r="A4710" s="2" t="s">
        <v>4110</v>
      </c>
      <c r="B4710" s="2" t="s">
        <v>546</v>
      </c>
      <c r="C4710" s="2">
        <v>2</v>
      </c>
      <c r="D4710" t="str">
        <f t="shared" si="73"/>
        <v>CA-2016-151155_OFF-BI-10003910</v>
      </c>
      <c r="E4710" t="str">
        <f>IF(COUNTIF(data1!$D:$D,D4710)=0,"Missing in Data1","Present")</f>
        <v>Present</v>
      </c>
    </row>
    <row r="4711" spans="1:5" x14ac:dyDescent="0.25">
      <c r="A4711" s="2" t="s">
        <v>4111</v>
      </c>
      <c r="B4711" s="2" t="s">
        <v>2917</v>
      </c>
      <c r="C4711" s="2">
        <v>4</v>
      </c>
      <c r="D4711" t="str">
        <f t="shared" si="73"/>
        <v>CA-2016-151169_OFF-BI-10002813</v>
      </c>
      <c r="E4711" t="str">
        <f>IF(COUNTIF(data1!$D:$D,D4711)=0,"Missing in Data1","Present")</f>
        <v>Present</v>
      </c>
    </row>
    <row r="4712" spans="1:5" x14ac:dyDescent="0.25">
      <c r="A4712" s="2" t="s">
        <v>4112</v>
      </c>
      <c r="B4712" s="2" t="s">
        <v>3268</v>
      </c>
      <c r="C4712" s="2">
        <v>5</v>
      </c>
      <c r="D4712" t="str">
        <f t="shared" si="73"/>
        <v>CA-2016-151323_OFF-FA-10002983</v>
      </c>
      <c r="E4712" t="str">
        <f>IF(COUNTIF(data1!$D:$D,D4712)=0,"Missing in Data1","Present")</f>
        <v>Present</v>
      </c>
    </row>
    <row r="4713" spans="1:5" x14ac:dyDescent="0.25">
      <c r="A4713" s="2" t="s">
        <v>4113</v>
      </c>
      <c r="B4713" s="2" t="s">
        <v>211</v>
      </c>
      <c r="C4713" s="2">
        <v>2</v>
      </c>
      <c r="D4713" t="str">
        <f t="shared" si="73"/>
        <v>CA-2016-151372_OFF-BI-10000050</v>
      </c>
      <c r="E4713" t="str">
        <f>IF(COUNTIF(data1!$D:$D,D4713)=0,"Missing in Data1","Present")</f>
        <v>Present</v>
      </c>
    </row>
    <row r="4714" spans="1:5" x14ac:dyDescent="0.25">
      <c r="A4714" s="2" t="s">
        <v>4113</v>
      </c>
      <c r="B4714" s="2" t="s">
        <v>552</v>
      </c>
      <c r="C4714" s="2">
        <v>2</v>
      </c>
      <c r="D4714" t="str">
        <f t="shared" si="73"/>
        <v>CA-2016-151372_OFF-FA-10000304</v>
      </c>
      <c r="E4714" t="str">
        <f>IF(COUNTIF(data1!$D:$D,D4714)=0,"Missing in Data1","Present")</f>
        <v>Present</v>
      </c>
    </row>
    <row r="4715" spans="1:5" x14ac:dyDescent="0.25">
      <c r="A4715" s="2" t="s">
        <v>4113</v>
      </c>
      <c r="B4715" s="2" t="s">
        <v>4114</v>
      </c>
      <c r="C4715" s="2">
        <v>2</v>
      </c>
      <c r="D4715" t="str">
        <f t="shared" si="73"/>
        <v>CA-2016-151372_OFF-PA-10004381</v>
      </c>
      <c r="E4715" t="str">
        <f>IF(COUNTIF(data1!$D:$D,D4715)=0,"Missing in Data1","Present")</f>
        <v>Present</v>
      </c>
    </row>
    <row r="4716" spans="1:5" x14ac:dyDescent="0.25">
      <c r="A4716" s="2" t="s">
        <v>4115</v>
      </c>
      <c r="B4716" s="2" t="s">
        <v>3452</v>
      </c>
      <c r="C4716" s="2">
        <v>5</v>
      </c>
      <c r="D4716" t="str">
        <f t="shared" si="73"/>
        <v>CA-2016-151498_OFF-BI-10004967</v>
      </c>
      <c r="E4716" t="str">
        <f>IF(COUNTIF(data1!$D:$D,D4716)=0,"Missing in Data1","Present")</f>
        <v>Present</v>
      </c>
    </row>
    <row r="4717" spans="1:5" x14ac:dyDescent="0.25">
      <c r="A4717" s="2" t="s">
        <v>4116</v>
      </c>
      <c r="B4717" s="2" t="s">
        <v>3697</v>
      </c>
      <c r="C4717" s="2">
        <v>2</v>
      </c>
      <c r="D4717" t="str">
        <f t="shared" si="73"/>
        <v>CA-2016-151512_OFF-AP-10000252</v>
      </c>
      <c r="E4717" t="str">
        <f>IF(COUNTIF(data1!$D:$D,D4717)=0,"Missing in Data1","Present")</f>
        <v>Present</v>
      </c>
    </row>
    <row r="4718" spans="1:5" x14ac:dyDescent="0.25">
      <c r="A4718" s="2" t="s">
        <v>4117</v>
      </c>
      <c r="B4718" s="2" t="s">
        <v>226</v>
      </c>
      <c r="C4718" s="2">
        <v>3</v>
      </c>
      <c r="D4718" t="str">
        <f t="shared" si="73"/>
        <v>CA-2016-151561_FUR-FU-10004864</v>
      </c>
      <c r="E4718" t="str">
        <f>IF(COUNTIF(data1!$D:$D,D4718)=0,"Missing in Data1","Present")</f>
        <v>Missing in Data1</v>
      </c>
    </row>
    <row r="4719" spans="1:5" x14ac:dyDescent="0.25">
      <c r="A4719" s="2" t="s">
        <v>4117</v>
      </c>
      <c r="B4719" s="2" t="s">
        <v>880</v>
      </c>
      <c r="C4719" s="2">
        <v>6</v>
      </c>
      <c r="D4719" t="str">
        <f t="shared" si="73"/>
        <v>CA-2016-151561_TEC-AC-10001432</v>
      </c>
      <c r="E4719" t="str">
        <f>IF(COUNTIF(data1!$D:$D,D4719)=0,"Missing in Data1","Present")</f>
        <v>Present</v>
      </c>
    </row>
    <row r="4720" spans="1:5" x14ac:dyDescent="0.25">
      <c r="A4720" s="2" t="s">
        <v>4117</v>
      </c>
      <c r="B4720" s="2" t="s">
        <v>382</v>
      </c>
      <c r="C4720" s="2">
        <v>2</v>
      </c>
      <c r="D4720" t="str">
        <f t="shared" si="73"/>
        <v>CA-2016-151561_TEC-AC-10003399</v>
      </c>
      <c r="E4720" t="str">
        <f>IF(COUNTIF(data1!$D:$D,D4720)=0,"Missing in Data1","Present")</f>
        <v>Present</v>
      </c>
    </row>
    <row r="4721" spans="1:5" x14ac:dyDescent="0.25">
      <c r="A4721" s="2" t="s">
        <v>4118</v>
      </c>
      <c r="B4721" s="2" t="s">
        <v>1711</v>
      </c>
      <c r="C4721" s="2">
        <v>5</v>
      </c>
      <c r="D4721" t="str">
        <f t="shared" si="73"/>
        <v>CA-2016-151974_OFF-LA-10004484</v>
      </c>
      <c r="E4721" t="str">
        <f>IF(COUNTIF(data1!$D:$D,D4721)=0,"Missing in Data1","Present")</f>
        <v>Present</v>
      </c>
    </row>
    <row r="4722" spans="1:5" x14ac:dyDescent="0.25">
      <c r="A4722" s="2" t="s">
        <v>4119</v>
      </c>
      <c r="B4722" s="2" t="s">
        <v>1669</v>
      </c>
      <c r="C4722" s="2">
        <v>2</v>
      </c>
      <c r="D4722" t="str">
        <f t="shared" si="73"/>
        <v>CA-2016-152072_OFF-AR-10001573</v>
      </c>
      <c r="E4722" t="str">
        <f>IF(COUNTIF(data1!$D:$D,D4722)=0,"Missing in Data1","Present")</f>
        <v>Present</v>
      </c>
    </row>
    <row r="4723" spans="1:5" x14ac:dyDescent="0.25">
      <c r="A4723" s="2" t="s">
        <v>4119</v>
      </c>
      <c r="B4723" s="2" t="s">
        <v>1399</v>
      </c>
      <c r="C4723" s="2">
        <v>2</v>
      </c>
      <c r="D4723" t="str">
        <f t="shared" si="73"/>
        <v>CA-2016-152072_OFF-EN-10003040</v>
      </c>
      <c r="E4723" t="str">
        <f>IF(COUNTIF(data1!$D:$D,D4723)=0,"Missing in Data1","Present")</f>
        <v>Present</v>
      </c>
    </row>
    <row r="4724" spans="1:5" x14ac:dyDescent="0.25">
      <c r="A4724" s="2" t="s">
        <v>4119</v>
      </c>
      <c r="B4724" s="2" t="s">
        <v>265</v>
      </c>
      <c r="C4724" s="2">
        <v>3</v>
      </c>
      <c r="D4724" t="str">
        <f t="shared" si="73"/>
        <v>CA-2016-152072_TEC-AC-10000844</v>
      </c>
      <c r="E4724" t="str">
        <f>IF(COUNTIF(data1!$D:$D,D4724)=0,"Missing in Data1","Present")</f>
        <v>Present</v>
      </c>
    </row>
    <row r="4725" spans="1:5" x14ac:dyDescent="0.25">
      <c r="A4725" s="2" t="s">
        <v>4122</v>
      </c>
      <c r="B4725" s="2" t="s">
        <v>3509</v>
      </c>
      <c r="C4725" s="2">
        <v>2</v>
      </c>
      <c r="D4725" t="str">
        <f t="shared" si="73"/>
        <v>CA-2016-152156_FUR-BO-10001798</v>
      </c>
      <c r="E4725" t="str">
        <f>IF(COUNTIF(data1!$D:$D,D4725)=0,"Missing in Data1","Present")</f>
        <v>Present</v>
      </c>
    </row>
    <row r="4726" spans="1:5" x14ac:dyDescent="0.25">
      <c r="A4726" s="2" t="s">
        <v>4122</v>
      </c>
      <c r="B4726" s="2" t="s">
        <v>297</v>
      </c>
      <c r="C4726" s="2">
        <v>3</v>
      </c>
      <c r="D4726" t="str">
        <f t="shared" si="73"/>
        <v>CA-2016-152156_FUR-CH-10000454</v>
      </c>
      <c r="E4726" t="str">
        <f>IF(COUNTIF(data1!$D:$D,D4726)=0,"Missing in Data1","Present")</f>
        <v>Present</v>
      </c>
    </row>
    <row r="4727" spans="1:5" x14ac:dyDescent="0.25">
      <c r="A4727" s="2" t="s">
        <v>4123</v>
      </c>
      <c r="B4727" s="2" t="s">
        <v>1279</v>
      </c>
      <c r="C4727" s="2">
        <v>2</v>
      </c>
      <c r="D4727" t="str">
        <f t="shared" si="73"/>
        <v>CA-2016-152163_OFF-BI-10002215</v>
      </c>
      <c r="E4727" t="str">
        <f>IF(COUNTIF(data1!$D:$D,D4727)=0,"Missing in Data1","Present")</f>
        <v>Present</v>
      </c>
    </row>
    <row r="4728" spans="1:5" x14ac:dyDescent="0.25">
      <c r="A4728" s="2" t="s">
        <v>4123</v>
      </c>
      <c r="B4728" s="2" t="s">
        <v>2638</v>
      </c>
      <c r="C4728" s="2">
        <v>2</v>
      </c>
      <c r="D4728" t="str">
        <f t="shared" si="73"/>
        <v>CA-2016-152163_OFF-BI-10003364</v>
      </c>
      <c r="E4728" t="str">
        <f>IF(COUNTIF(data1!$D:$D,D4728)=0,"Missing in Data1","Present")</f>
        <v>Present</v>
      </c>
    </row>
    <row r="4729" spans="1:5" x14ac:dyDescent="0.25">
      <c r="A4729" s="2" t="s">
        <v>4123</v>
      </c>
      <c r="B4729" s="2" t="s">
        <v>320</v>
      </c>
      <c r="C4729" s="2">
        <v>2</v>
      </c>
      <c r="D4729" t="str">
        <f t="shared" si="73"/>
        <v>CA-2016-152163_OFF-PA-10000788</v>
      </c>
      <c r="E4729" t="str">
        <f>IF(COUNTIF(data1!$D:$D,D4729)=0,"Missing in Data1","Present")</f>
        <v>Present</v>
      </c>
    </row>
    <row r="4730" spans="1:5" x14ac:dyDescent="0.25">
      <c r="A4730" s="2" t="s">
        <v>4124</v>
      </c>
      <c r="B4730" s="2" t="s">
        <v>514</v>
      </c>
      <c r="C4730" s="2">
        <v>2</v>
      </c>
      <c r="D4730" t="str">
        <f t="shared" si="73"/>
        <v>CA-2016-152170_OFF-AP-10002350</v>
      </c>
      <c r="E4730" t="str">
        <f>IF(COUNTIF(data1!$D:$D,D4730)=0,"Missing in Data1","Present")</f>
        <v>Present</v>
      </c>
    </row>
    <row r="4731" spans="1:5" x14ac:dyDescent="0.25">
      <c r="A4731" s="2" t="s">
        <v>4124</v>
      </c>
      <c r="B4731" s="2" t="s">
        <v>1047</v>
      </c>
      <c r="C4731" s="2">
        <v>7</v>
      </c>
      <c r="D4731" t="str">
        <f t="shared" si="73"/>
        <v>CA-2016-152170_OFF-AR-10003394</v>
      </c>
      <c r="E4731" t="str">
        <f>IF(COUNTIF(data1!$D:$D,D4731)=0,"Missing in Data1","Present")</f>
        <v>Present</v>
      </c>
    </row>
    <row r="4732" spans="1:5" x14ac:dyDescent="0.25">
      <c r="A4732" s="2" t="s">
        <v>4124</v>
      </c>
      <c r="B4732" s="2" t="s">
        <v>3126</v>
      </c>
      <c r="C4732" s="2">
        <v>2</v>
      </c>
      <c r="D4732" t="str">
        <f t="shared" si="73"/>
        <v>CA-2016-152170_OFF-BI-10002072</v>
      </c>
      <c r="E4732" t="str">
        <f>IF(COUNTIF(data1!$D:$D,D4732)=0,"Missing in Data1","Present")</f>
        <v>Present</v>
      </c>
    </row>
    <row r="4733" spans="1:5" x14ac:dyDescent="0.25">
      <c r="A4733" s="2" t="s">
        <v>4124</v>
      </c>
      <c r="B4733" s="2" t="s">
        <v>4125</v>
      </c>
      <c r="C4733" s="2">
        <v>8</v>
      </c>
      <c r="D4733" t="str">
        <f t="shared" si="73"/>
        <v>CA-2016-152170_OFF-EN-10002831</v>
      </c>
      <c r="E4733" t="str">
        <f>IF(COUNTIF(data1!$D:$D,D4733)=0,"Missing in Data1","Present")</f>
        <v>Present</v>
      </c>
    </row>
    <row r="4734" spans="1:5" x14ac:dyDescent="0.25">
      <c r="A4734" s="2" t="s">
        <v>4124</v>
      </c>
      <c r="B4734" s="2" t="s">
        <v>2729</v>
      </c>
      <c r="C4734" s="2">
        <v>2</v>
      </c>
      <c r="D4734" t="str">
        <f t="shared" si="73"/>
        <v>CA-2016-152170_OFF-PA-10001763</v>
      </c>
      <c r="E4734" t="str">
        <f>IF(COUNTIF(data1!$D:$D,D4734)=0,"Missing in Data1","Present")</f>
        <v>Present</v>
      </c>
    </row>
    <row r="4735" spans="1:5" x14ac:dyDescent="0.25">
      <c r="A4735" s="2" t="s">
        <v>6807</v>
      </c>
      <c r="B4735" s="2" t="s">
        <v>583</v>
      </c>
      <c r="C4735" s="2">
        <v>4</v>
      </c>
      <c r="D4735" t="str">
        <f t="shared" si="73"/>
        <v>CA-2016-152247_FUR-CH-10001215</v>
      </c>
      <c r="E4735" t="str">
        <f>IF(COUNTIF(data1!$D:$D,D4735)=0,"Missing in Data1","Present")</f>
        <v>Missing in Data1</v>
      </c>
    </row>
    <row r="4736" spans="1:5" x14ac:dyDescent="0.25">
      <c r="A4736" s="2" t="s">
        <v>4126</v>
      </c>
      <c r="B4736" s="2" t="s">
        <v>1641</v>
      </c>
      <c r="C4736" s="2">
        <v>6</v>
      </c>
      <c r="D4736" t="str">
        <f t="shared" si="73"/>
        <v>CA-2016-152289_FUR-CH-10002126</v>
      </c>
      <c r="E4736" t="str">
        <f>IF(COUNTIF(data1!$D:$D,D4736)=0,"Missing in Data1","Present")</f>
        <v>Present</v>
      </c>
    </row>
    <row r="4737" spans="1:5" x14ac:dyDescent="0.25">
      <c r="A4737" s="2" t="s">
        <v>4126</v>
      </c>
      <c r="B4737" s="2" t="s">
        <v>1133</v>
      </c>
      <c r="C4737" s="2">
        <v>2</v>
      </c>
      <c r="D4737" t="str">
        <f t="shared" si="73"/>
        <v>CA-2016-152289_TEC-AC-10004571</v>
      </c>
      <c r="E4737" t="str">
        <f>IF(COUNTIF(data1!$D:$D,D4737)=0,"Missing in Data1","Present")</f>
        <v>Present</v>
      </c>
    </row>
    <row r="4738" spans="1:5" x14ac:dyDescent="0.25">
      <c r="A4738" s="2" t="s">
        <v>4127</v>
      </c>
      <c r="B4738" s="2" t="s">
        <v>2227</v>
      </c>
      <c r="C4738" s="2">
        <v>3</v>
      </c>
      <c r="D4738" t="str">
        <f t="shared" si="73"/>
        <v>CA-2016-152331_OFF-AR-10001547</v>
      </c>
      <c r="E4738" t="str">
        <f>IF(COUNTIF(data1!$D:$D,D4738)=0,"Missing in Data1","Present")</f>
        <v>Present</v>
      </c>
    </row>
    <row r="4739" spans="1:5" x14ac:dyDescent="0.25">
      <c r="A4739" s="2" t="s">
        <v>4128</v>
      </c>
      <c r="B4739" s="2" t="s">
        <v>2414</v>
      </c>
      <c r="C4739" s="2">
        <v>3</v>
      </c>
      <c r="D4739" t="str">
        <f t="shared" ref="D4739:D4802" si="74">A4739&amp;"_"&amp;B4739</f>
        <v>CA-2016-152408_OFF-BI-10002393</v>
      </c>
      <c r="E4739" t="str">
        <f>IF(COUNTIF(data1!$D:$D,D4739)=0,"Missing in Data1","Present")</f>
        <v>Present</v>
      </c>
    </row>
    <row r="4740" spans="1:5" x14ac:dyDescent="0.25">
      <c r="A4740" s="2" t="s">
        <v>4129</v>
      </c>
      <c r="B4740" s="2" t="s">
        <v>2045</v>
      </c>
      <c r="C4740" s="2">
        <v>3</v>
      </c>
      <c r="D4740" t="str">
        <f t="shared" si="74"/>
        <v>CA-2016-152457_OFF-PA-10003790</v>
      </c>
      <c r="E4740" t="str">
        <f>IF(COUNTIF(data1!$D:$D,D4740)=0,"Missing in Data1","Present")</f>
        <v>Present</v>
      </c>
    </row>
    <row r="4741" spans="1:5" x14ac:dyDescent="0.25">
      <c r="A4741" s="2" t="s">
        <v>4130</v>
      </c>
      <c r="B4741" s="2" t="s">
        <v>4131</v>
      </c>
      <c r="C4741" s="2">
        <v>2</v>
      </c>
      <c r="D4741" t="str">
        <f t="shared" si="74"/>
        <v>CA-2016-152471_OFF-PA-10004965</v>
      </c>
      <c r="E4741" t="str">
        <f>IF(COUNTIF(data1!$D:$D,D4741)=0,"Missing in Data1","Present")</f>
        <v>Present</v>
      </c>
    </row>
    <row r="4742" spans="1:5" x14ac:dyDescent="0.25">
      <c r="A4742" s="2" t="s">
        <v>4130</v>
      </c>
      <c r="B4742" s="2" t="s">
        <v>4132</v>
      </c>
      <c r="C4742" s="2">
        <v>5</v>
      </c>
      <c r="D4742" t="str">
        <f t="shared" si="74"/>
        <v>CA-2016-152471_TEC-PH-10002824</v>
      </c>
      <c r="E4742" t="str">
        <f>IF(COUNTIF(data1!$D:$D,D4742)=0,"Missing in Data1","Present")</f>
        <v>Present</v>
      </c>
    </row>
    <row r="4743" spans="1:5" x14ac:dyDescent="0.25">
      <c r="A4743" s="2" t="s">
        <v>4133</v>
      </c>
      <c r="B4743" s="2" t="s">
        <v>961</v>
      </c>
      <c r="C4743" s="2">
        <v>2</v>
      </c>
      <c r="D4743" t="str">
        <f t="shared" si="74"/>
        <v>CA-2016-152520_OFF-PA-10000289</v>
      </c>
      <c r="E4743" t="str">
        <f>IF(COUNTIF(data1!$D:$D,D4743)=0,"Missing in Data1","Present")</f>
        <v>Present</v>
      </c>
    </row>
    <row r="4744" spans="1:5" x14ac:dyDescent="0.25">
      <c r="A4744" s="2" t="s">
        <v>4134</v>
      </c>
      <c r="B4744" s="2" t="s">
        <v>1628</v>
      </c>
      <c r="C4744" s="2">
        <v>2</v>
      </c>
      <c r="D4744" t="str">
        <f t="shared" si="74"/>
        <v>CA-2016-152534_OFF-AR-10002335</v>
      </c>
      <c r="E4744" t="str">
        <f>IF(COUNTIF(data1!$D:$D,D4744)=0,"Missing in Data1","Present")</f>
        <v>Present</v>
      </c>
    </row>
    <row r="4745" spans="1:5" x14ac:dyDescent="0.25">
      <c r="A4745" s="2" t="s">
        <v>4135</v>
      </c>
      <c r="B4745" s="2" t="s">
        <v>949</v>
      </c>
      <c r="C4745" s="2">
        <v>6</v>
      </c>
      <c r="D4745" t="str">
        <f t="shared" si="74"/>
        <v>CA-2016-152555_FUR-CH-10002965</v>
      </c>
      <c r="E4745" t="str">
        <f>IF(COUNTIF(data1!$D:$D,D4745)=0,"Missing in Data1","Present")</f>
        <v>Present</v>
      </c>
    </row>
    <row r="4746" spans="1:5" x14ac:dyDescent="0.25">
      <c r="A4746" s="2" t="s">
        <v>4135</v>
      </c>
      <c r="B4746" s="2" t="s">
        <v>1506</v>
      </c>
      <c r="C4746" s="2">
        <v>3</v>
      </c>
      <c r="D4746" t="str">
        <f t="shared" si="74"/>
        <v>CA-2016-152555_OFF-PA-10001295</v>
      </c>
      <c r="E4746" t="str">
        <f>IF(COUNTIF(data1!$D:$D,D4746)=0,"Missing in Data1","Present")</f>
        <v>Present</v>
      </c>
    </row>
    <row r="4747" spans="1:5" x14ac:dyDescent="0.25">
      <c r="A4747" s="2" t="s">
        <v>4135</v>
      </c>
      <c r="B4747" s="2" t="s">
        <v>2886</v>
      </c>
      <c r="C4747" s="2">
        <v>8</v>
      </c>
      <c r="D4747" t="str">
        <f t="shared" si="74"/>
        <v>CA-2016-152555_TEC-PH-10001254</v>
      </c>
      <c r="E4747" t="str">
        <f>IF(COUNTIF(data1!$D:$D,D4747)=0,"Missing in Data1","Present")</f>
        <v>Present</v>
      </c>
    </row>
    <row r="4748" spans="1:5" x14ac:dyDescent="0.25">
      <c r="A4748" s="2" t="s">
        <v>4136</v>
      </c>
      <c r="B4748" s="2" t="s">
        <v>2765</v>
      </c>
      <c r="C4748" s="2">
        <v>3</v>
      </c>
      <c r="D4748" t="str">
        <f t="shared" si="74"/>
        <v>CA-2016-152632_FUR-FU-10002671</v>
      </c>
      <c r="E4748" t="str">
        <f>IF(COUNTIF(data1!$D:$D,D4748)=0,"Missing in Data1","Present")</f>
        <v>Present</v>
      </c>
    </row>
    <row r="4749" spans="1:5" x14ac:dyDescent="0.25">
      <c r="A4749" s="2" t="s">
        <v>6808</v>
      </c>
      <c r="B4749" s="2" t="s">
        <v>2683</v>
      </c>
      <c r="C4749" s="2">
        <v>5</v>
      </c>
      <c r="D4749" t="str">
        <f t="shared" si="74"/>
        <v>CA-2016-152646_OFF-PA-10004451</v>
      </c>
      <c r="E4749" t="str">
        <f>IF(COUNTIF(data1!$D:$D,D4749)=0,"Missing in Data1","Present")</f>
        <v>Missing in Data1</v>
      </c>
    </row>
    <row r="4750" spans="1:5" x14ac:dyDescent="0.25">
      <c r="A4750" s="2" t="s">
        <v>4137</v>
      </c>
      <c r="B4750" s="2" t="s">
        <v>69</v>
      </c>
      <c r="C4750" s="2">
        <v>1</v>
      </c>
      <c r="D4750" t="str">
        <f t="shared" si="74"/>
        <v>CA-2016-152688_FUR-BO-10001337</v>
      </c>
      <c r="E4750" t="str">
        <f>IF(COUNTIF(data1!$D:$D,D4750)=0,"Missing in Data1","Present")</f>
        <v>Present</v>
      </c>
    </row>
    <row r="4751" spans="1:5" x14ac:dyDescent="0.25">
      <c r="A4751" s="2" t="s">
        <v>4137</v>
      </c>
      <c r="B4751" s="2" t="s">
        <v>3778</v>
      </c>
      <c r="C4751" s="2">
        <v>1</v>
      </c>
      <c r="D4751" t="str">
        <f t="shared" si="74"/>
        <v>CA-2016-152688_OFF-BI-10004584</v>
      </c>
      <c r="E4751" t="str">
        <f>IF(COUNTIF(data1!$D:$D,D4751)=0,"Missing in Data1","Present")</f>
        <v>Present</v>
      </c>
    </row>
    <row r="4752" spans="1:5" x14ac:dyDescent="0.25">
      <c r="A4752" s="2" t="s">
        <v>4138</v>
      </c>
      <c r="B4752" s="2" t="s">
        <v>3125</v>
      </c>
      <c r="C4752" s="2">
        <v>5</v>
      </c>
      <c r="D4752" t="str">
        <f t="shared" si="74"/>
        <v>CA-2016-152730_FUR-FU-10001037</v>
      </c>
      <c r="E4752" t="str">
        <f>IF(COUNTIF(data1!$D:$D,D4752)=0,"Missing in Data1","Present")</f>
        <v>Present</v>
      </c>
    </row>
    <row r="4753" spans="1:5" x14ac:dyDescent="0.25">
      <c r="A4753" s="2" t="s">
        <v>4138</v>
      </c>
      <c r="B4753" s="2" t="s">
        <v>2333</v>
      </c>
      <c r="C4753" s="2">
        <v>3</v>
      </c>
      <c r="D4753" t="str">
        <f t="shared" si="74"/>
        <v>CA-2016-152730_OFF-AP-10002684</v>
      </c>
      <c r="E4753" t="str">
        <f>IF(COUNTIF(data1!$D:$D,D4753)=0,"Missing in Data1","Present")</f>
        <v>Present</v>
      </c>
    </row>
    <row r="4754" spans="1:5" x14ac:dyDescent="0.25">
      <c r="A4754" s="2" t="s">
        <v>4138</v>
      </c>
      <c r="B4754" s="2" t="s">
        <v>3171</v>
      </c>
      <c r="C4754" s="2">
        <v>5</v>
      </c>
      <c r="D4754" t="str">
        <f t="shared" si="74"/>
        <v>CA-2016-152730_OFF-AR-10000940</v>
      </c>
      <c r="E4754" t="str">
        <f>IF(COUNTIF(data1!$D:$D,D4754)=0,"Missing in Data1","Present")</f>
        <v>Missing in Data1</v>
      </c>
    </row>
    <row r="4755" spans="1:5" x14ac:dyDescent="0.25">
      <c r="A4755" s="2" t="s">
        <v>4138</v>
      </c>
      <c r="B4755" s="2" t="s">
        <v>1596</v>
      </c>
      <c r="C4755" s="2">
        <v>2</v>
      </c>
      <c r="D4755" t="str">
        <f t="shared" si="74"/>
        <v>CA-2016-152730_OFF-AR-10003732</v>
      </c>
      <c r="E4755" t="str">
        <f>IF(COUNTIF(data1!$D:$D,D4755)=0,"Missing in Data1","Present")</f>
        <v>Present</v>
      </c>
    </row>
    <row r="4756" spans="1:5" x14ac:dyDescent="0.25">
      <c r="A4756" s="2" t="s">
        <v>4138</v>
      </c>
      <c r="B4756" s="2" t="s">
        <v>2100</v>
      </c>
      <c r="C4756" s="2">
        <v>6</v>
      </c>
      <c r="D4756" t="str">
        <f t="shared" si="74"/>
        <v>CA-2016-152730_OFF-PA-10000994</v>
      </c>
      <c r="E4756" t="str">
        <f>IF(COUNTIF(data1!$D:$D,D4756)=0,"Missing in Data1","Present")</f>
        <v>Present</v>
      </c>
    </row>
    <row r="4757" spans="1:5" x14ac:dyDescent="0.25">
      <c r="A4757" s="2" t="s">
        <v>4138</v>
      </c>
      <c r="B4757" s="2" t="s">
        <v>581</v>
      </c>
      <c r="C4757" s="2">
        <v>7</v>
      </c>
      <c r="D4757" t="str">
        <f t="shared" si="74"/>
        <v>CA-2016-152730_OFF-PA-10004888</v>
      </c>
      <c r="E4757" t="str">
        <f>IF(COUNTIF(data1!$D:$D,D4757)=0,"Missing in Data1","Present")</f>
        <v>Missing in Data1</v>
      </c>
    </row>
    <row r="4758" spans="1:5" x14ac:dyDescent="0.25">
      <c r="A4758" s="2" t="s">
        <v>4138</v>
      </c>
      <c r="B4758" s="2" t="s">
        <v>381</v>
      </c>
      <c r="C4758" s="2">
        <v>4</v>
      </c>
      <c r="D4758" t="str">
        <f t="shared" si="74"/>
        <v>CA-2016-152730_OFF-ST-10000876</v>
      </c>
      <c r="E4758" t="str">
        <f>IF(COUNTIF(data1!$D:$D,D4758)=0,"Missing in Data1","Present")</f>
        <v>Present</v>
      </c>
    </row>
    <row r="4759" spans="1:5" x14ac:dyDescent="0.25">
      <c r="A4759" s="2" t="s">
        <v>4138</v>
      </c>
      <c r="B4759" s="2" t="s">
        <v>1316</v>
      </c>
      <c r="C4759" s="2">
        <v>1</v>
      </c>
      <c r="D4759" t="str">
        <f t="shared" si="74"/>
        <v>CA-2016-152730_TEC-PH-10000441</v>
      </c>
      <c r="E4759" t="str">
        <f>IF(COUNTIF(data1!$D:$D,D4759)=0,"Missing in Data1","Present")</f>
        <v>Present</v>
      </c>
    </row>
    <row r="4760" spans="1:5" x14ac:dyDescent="0.25">
      <c r="A4760" s="2" t="s">
        <v>4139</v>
      </c>
      <c r="B4760" s="2" t="s">
        <v>4140</v>
      </c>
      <c r="C4760" s="2">
        <v>7</v>
      </c>
      <c r="D4760" t="str">
        <f t="shared" si="74"/>
        <v>CA-2016-152765_OFF-PA-10000483</v>
      </c>
      <c r="E4760" t="str">
        <f>IF(COUNTIF(data1!$D:$D,D4760)=0,"Missing in Data1","Present")</f>
        <v>Present</v>
      </c>
    </row>
    <row r="4761" spans="1:5" x14ac:dyDescent="0.25">
      <c r="A4761" s="2" t="s">
        <v>4141</v>
      </c>
      <c r="B4761" s="2" t="s">
        <v>2505</v>
      </c>
      <c r="C4761" s="2">
        <v>3</v>
      </c>
      <c r="D4761" t="str">
        <f t="shared" si="74"/>
        <v>CA-2016-152800_OFF-EN-10001509</v>
      </c>
      <c r="E4761" t="str">
        <f>IF(COUNTIF(data1!$D:$D,D4761)=0,"Missing in Data1","Present")</f>
        <v>Present</v>
      </c>
    </row>
    <row r="4762" spans="1:5" x14ac:dyDescent="0.25">
      <c r="A4762" s="2" t="s">
        <v>4142</v>
      </c>
      <c r="B4762" s="2" t="s">
        <v>1039</v>
      </c>
      <c r="C4762" s="2">
        <v>3</v>
      </c>
      <c r="D4762" t="str">
        <f t="shared" si="74"/>
        <v>CA-2016-152814_OFF-PA-10001970</v>
      </c>
      <c r="E4762" t="str">
        <f>IF(COUNTIF(data1!$D:$D,D4762)=0,"Missing in Data1","Present")</f>
        <v>Present</v>
      </c>
    </row>
    <row r="4763" spans="1:5" x14ac:dyDescent="0.25">
      <c r="A4763" s="2" t="s">
        <v>4143</v>
      </c>
      <c r="B4763" s="2" t="s">
        <v>4144</v>
      </c>
      <c r="C4763" s="2">
        <v>1</v>
      </c>
      <c r="D4763" t="str">
        <f t="shared" si="74"/>
        <v>CA-2016-152940_OFF-ST-10000352</v>
      </c>
      <c r="E4763" t="str">
        <f>IF(COUNTIF(data1!$D:$D,D4763)=0,"Missing in Data1","Present")</f>
        <v>Present</v>
      </c>
    </row>
    <row r="4764" spans="1:5" x14ac:dyDescent="0.25">
      <c r="A4764" s="2" t="s">
        <v>4145</v>
      </c>
      <c r="B4764" s="2" t="s">
        <v>770</v>
      </c>
      <c r="C4764" s="2">
        <v>1</v>
      </c>
      <c r="D4764" t="str">
        <f t="shared" si="74"/>
        <v>CA-2016-153101_FUR-TA-10003008</v>
      </c>
      <c r="E4764" t="str">
        <f>IF(COUNTIF(data1!$D:$D,D4764)=0,"Missing in Data1","Present")</f>
        <v>Present</v>
      </c>
    </row>
    <row r="4765" spans="1:5" x14ac:dyDescent="0.25">
      <c r="A4765" s="2" t="s">
        <v>4146</v>
      </c>
      <c r="B4765" s="2" t="s">
        <v>1288</v>
      </c>
      <c r="C4765" s="2">
        <v>5</v>
      </c>
      <c r="D4765" t="str">
        <f t="shared" si="74"/>
        <v>CA-2016-153157_TEC-PH-10003171</v>
      </c>
      <c r="E4765" t="str">
        <f>IF(COUNTIF(data1!$D:$D,D4765)=0,"Missing in Data1","Present")</f>
        <v>Present</v>
      </c>
    </row>
    <row r="4766" spans="1:5" x14ac:dyDescent="0.25">
      <c r="A4766" s="2" t="s">
        <v>4147</v>
      </c>
      <c r="B4766" s="2" t="s">
        <v>895</v>
      </c>
      <c r="C4766" s="2">
        <v>2</v>
      </c>
      <c r="D4766" t="str">
        <f t="shared" si="74"/>
        <v>CA-2016-153178_OFF-BI-10004390</v>
      </c>
      <c r="E4766" t="str">
        <f>IF(COUNTIF(data1!$D:$D,D4766)=0,"Missing in Data1","Present")</f>
        <v>Present</v>
      </c>
    </row>
    <row r="4767" spans="1:5" x14ac:dyDescent="0.25">
      <c r="A4767" s="2" t="s">
        <v>4147</v>
      </c>
      <c r="B4767" s="2" t="s">
        <v>1663</v>
      </c>
      <c r="C4767" s="2">
        <v>3</v>
      </c>
      <c r="D4767" t="str">
        <f t="shared" si="74"/>
        <v>CA-2016-153178_TEC-PH-10001944</v>
      </c>
      <c r="E4767" t="str">
        <f>IF(COUNTIF(data1!$D:$D,D4767)=0,"Missing in Data1","Present")</f>
        <v>Present</v>
      </c>
    </row>
    <row r="4768" spans="1:5" x14ac:dyDescent="0.25">
      <c r="A4768" s="2" t="s">
        <v>4148</v>
      </c>
      <c r="B4768" s="2" t="s">
        <v>1495</v>
      </c>
      <c r="C4768" s="2">
        <v>6</v>
      </c>
      <c r="D4768" t="str">
        <f t="shared" si="74"/>
        <v>CA-2016-153185_OFF-PA-10002246</v>
      </c>
      <c r="E4768" t="str">
        <f>IF(COUNTIF(data1!$D:$D,D4768)=0,"Missing in Data1","Present")</f>
        <v>Present</v>
      </c>
    </row>
    <row r="4769" spans="1:5" x14ac:dyDescent="0.25">
      <c r="A4769" s="2" t="s">
        <v>4149</v>
      </c>
      <c r="B4769" s="2" t="s">
        <v>1419</v>
      </c>
      <c r="C4769" s="2">
        <v>5</v>
      </c>
      <c r="D4769" t="str">
        <f t="shared" si="74"/>
        <v>CA-2016-153269_FUR-CH-10002647</v>
      </c>
      <c r="E4769" t="str">
        <f>IF(COUNTIF(data1!$D:$D,D4769)=0,"Missing in Data1","Present")</f>
        <v>Present</v>
      </c>
    </row>
    <row r="4770" spans="1:5" x14ac:dyDescent="0.25">
      <c r="A4770" s="2" t="s">
        <v>4149</v>
      </c>
      <c r="B4770" s="2" t="s">
        <v>820</v>
      </c>
      <c r="C4770" s="2">
        <v>4</v>
      </c>
      <c r="D4770" t="str">
        <f t="shared" si="74"/>
        <v>CA-2016-153269_OFF-BI-10004632</v>
      </c>
      <c r="E4770" t="str">
        <f>IF(COUNTIF(data1!$D:$D,D4770)=0,"Missing in Data1","Present")</f>
        <v>Present</v>
      </c>
    </row>
    <row r="4771" spans="1:5" x14ac:dyDescent="0.25">
      <c r="A4771" s="2" t="s">
        <v>4149</v>
      </c>
      <c r="B4771" s="2" t="s">
        <v>3001</v>
      </c>
      <c r="C4771" s="2">
        <v>3</v>
      </c>
      <c r="D4771" t="str">
        <f t="shared" si="74"/>
        <v>CA-2016-153269_OFF-PA-10001801</v>
      </c>
      <c r="E4771" t="str">
        <f>IF(COUNTIF(data1!$D:$D,D4771)=0,"Missing in Data1","Present")</f>
        <v>Present</v>
      </c>
    </row>
    <row r="4772" spans="1:5" x14ac:dyDescent="0.25">
      <c r="A4772" s="2" t="s">
        <v>4149</v>
      </c>
      <c r="B4772" s="2" t="s">
        <v>1087</v>
      </c>
      <c r="C4772" s="2">
        <v>1</v>
      </c>
      <c r="D4772" t="str">
        <f t="shared" si="74"/>
        <v>CA-2016-153269_OFF-ST-10004634</v>
      </c>
      <c r="E4772" t="str">
        <f>IF(COUNTIF(data1!$D:$D,D4772)=0,"Missing in Data1","Present")</f>
        <v>Present</v>
      </c>
    </row>
    <row r="4773" spans="1:5" x14ac:dyDescent="0.25">
      <c r="A4773" s="2" t="s">
        <v>4150</v>
      </c>
      <c r="B4773" s="2" t="s">
        <v>520</v>
      </c>
      <c r="C4773" s="2">
        <v>5</v>
      </c>
      <c r="D4773" t="str">
        <f t="shared" si="74"/>
        <v>CA-2016-153318_TEC-PH-10000984</v>
      </c>
      <c r="E4773" t="str">
        <f>IF(COUNTIF(data1!$D:$D,D4773)=0,"Missing in Data1","Present")</f>
        <v>Present</v>
      </c>
    </row>
    <row r="4774" spans="1:5" x14ac:dyDescent="0.25">
      <c r="A4774" s="2" t="s">
        <v>4151</v>
      </c>
      <c r="B4774" s="2" t="s">
        <v>4152</v>
      </c>
      <c r="C4774" s="2">
        <v>3</v>
      </c>
      <c r="D4774" t="str">
        <f t="shared" si="74"/>
        <v>CA-2016-153346_OFF-AR-10000315</v>
      </c>
      <c r="E4774" t="str">
        <f>IF(COUNTIF(data1!$D:$D,D4774)=0,"Missing in Data1","Present")</f>
        <v>Present</v>
      </c>
    </row>
    <row r="4775" spans="1:5" x14ac:dyDescent="0.25">
      <c r="A4775" s="2" t="s">
        <v>4151</v>
      </c>
      <c r="B4775" s="2" t="s">
        <v>4153</v>
      </c>
      <c r="C4775" s="2">
        <v>5</v>
      </c>
      <c r="D4775" t="str">
        <f t="shared" si="74"/>
        <v>CA-2016-153346_OFF-PA-10000007</v>
      </c>
      <c r="E4775" t="str">
        <f>IF(COUNTIF(data1!$D:$D,D4775)=0,"Missing in Data1","Present")</f>
        <v>Present</v>
      </c>
    </row>
    <row r="4776" spans="1:5" x14ac:dyDescent="0.25">
      <c r="A4776" s="2" t="s">
        <v>4154</v>
      </c>
      <c r="B4776" s="2" t="s">
        <v>368</v>
      </c>
      <c r="C4776" s="2">
        <v>1</v>
      </c>
      <c r="D4776" t="str">
        <f t="shared" si="74"/>
        <v>CA-2016-153353_TEC-PH-10000439</v>
      </c>
      <c r="E4776" t="str">
        <f>IF(COUNTIF(data1!$D:$D,D4776)=0,"Missing in Data1","Present")</f>
        <v>Present</v>
      </c>
    </row>
    <row r="4777" spans="1:5" x14ac:dyDescent="0.25">
      <c r="A4777" s="2" t="s">
        <v>4155</v>
      </c>
      <c r="B4777" s="2" t="s">
        <v>1707</v>
      </c>
      <c r="C4777" s="2">
        <v>7</v>
      </c>
      <c r="D4777" t="str">
        <f t="shared" si="74"/>
        <v>CA-2016-153577_OFF-PA-10000575</v>
      </c>
      <c r="E4777" t="str">
        <f>IF(COUNTIF(data1!$D:$D,D4777)=0,"Missing in Data1","Present")</f>
        <v>Present</v>
      </c>
    </row>
    <row r="4778" spans="1:5" x14ac:dyDescent="0.25">
      <c r="A4778" s="2" t="s">
        <v>4156</v>
      </c>
      <c r="B4778" s="2" t="s">
        <v>2427</v>
      </c>
      <c r="C4778" s="2">
        <v>6</v>
      </c>
      <c r="D4778" t="str">
        <f t="shared" si="74"/>
        <v>CA-2016-153598_FUR-FU-10001085</v>
      </c>
      <c r="E4778" t="str">
        <f>IF(COUNTIF(data1!$D:$D,D4778)=0,"Missing in Data1","Present")</f>
        <v>Present</v>
      </c>
    </row>
    <row r="4779" spans="1:5" x14ac:dyDescent="0.25">
      <c r="A4779" s="2" t="s">
        <v>4156</v>
      </c>
      <c r="B4779" s="2" t="s">
        <v>3005</v>
      </c>
      <c r="C4779" s="2">
        <v>5</v>
      </c>
      <c r="D4779" t="str">
        <f t="shared" si="74"/>
        <v>CA-2016-153598_TEC-AC-10003870</v>
      </c>
      <c r="E4779" t="str">
        <f>IF(COUNTIF(data1!$D:$D,D4779)=0,"Missing in Data1","Present")</f>
        <v>Present</v>
      </c>
    </row>
    <row r="4780" spans="1:5" x14ac:dyDescent="0.25">
      <c r="A4780" s="2" t="s">
        <v>4157</v>
      </c>
      <c r="B4780" s="2" t="s">
        <v>1907</v>
      </c>
      <c r="C4780" s="2">
        <v>2</v>
      </c>
      <c r="D4780" t="str">
        <f t="shared" si="74"/>
        <v>CA-2016-153661_OFF-BI-10004781</v>
      </c>
      <c r="E4780" t="str">
        <f>IF(COUNTIF(data1!$D:$D,D4780)=0,"Missing in Data1","Present")</f>
        <v>Present</v>
      </c>
    </row>
    <row r="4781" spans="1:5" x14ac:dyDescent="0.25">
      <c r="A4781" s="2" t="s">
        <v>4157</v>
      </c>
      <c r="B4781" s="2" t="s">
        <v>1480</v>
      </c>
      <c r="C4781" s="2">
        <v>9</v>
      </c>
      <c r="D4781" t="str">
        <f t="shared" si="74"/>
        <v>CA-2016-153661_OFF-LA-10004689</v>
      </c>
      <c r="E4781" t="str">
        <f>IF(COUNTIF(data1!$D:$D,D4781)=0,"Missing in Data1","Present")</f>
        <v>Present</v>
      </c>
    </row>
    <row r="4782" spans="1:5" x14ac:dyDescent="0.25">
      <c r="A4782" s="2" t="s">
        <v>4157</v>
      </c>
      <c r="B4782" s="2" t="s">
        <v>1584</v>
      </c>
      <c r="C4782" s="2">
        <v>9</v>
      </c>
      <c r="D4782" t="str">
        <f t="shared" si="74"/>
        <v>CA-2016-153661_OFF-ST-10000675</v>
      </c>
      <c r="E4782" t="str">
        <f>IF(COUNTIF(data1!$D:$D,D4782)=0,"Missing in Data1","Present")</f>
        <v>Present</v>
      </c>
    </row>
    <row r="4783" spans="1:5" x14ac:dyDescent="0.25">
      <c r="A4783" s="2" t="s">
        <v>4158</v>
      </c>
      <c r="B4783" s="2" t="s">
        <v>1078</v>
      </c>
      <c r="C4783" s="2">
        <v>2</v>
      </c>
      <c r="D4783" t="str">
        <f t="shared" si="74"/>
        <v>CA-2016-153682_TEC-CO-10001046</v>
      </c>
      <c r="E4783" t="str">
        <f>IF(COUNTIF(data1!$D:$D,D4783)=0,"Missing in Data1","Present")</f>
        <v>Present</v>
      </c>
    </row>
    <row r="4784" spans="1:5" x14ac:dyDescent="0.25">
      <c r="A4784" s="2" t="s">
        <v>4159</v>
      </c>
      <c r="B4784" s="2" t="s">
        <v>1422</v>
      </c>
      <c r="C4784" s="2">
        <v>5</v>
      </c>
      <c r="D4784" t="str">
        <f t="shared" si="74"/>
        <v>CA-2016-153836_OFF-AR-10004602</v>
      </c>
      <c r="E4784" t="str">
        <f>IF(COUNTIF(data1!$D:$D,D4784)=0,"Missing in Data1","Present")</f>
        <v>Present</v>
      </c>
    </row>
    <row r="4785" spans="1:5" x14ac:dyDescent="0.25">
      <c r="A4785" s="2" t="s">
        <v>4159</v>
      </c>
      <c r="B4785" s="2" t="s">
        <v>1950</v>
      </c>
      <c r="C4785" s="2">
        <v>3</v>
      </c>
      <c r="D4785" t="str">
        <f t="shared" si="74"/>
        <v>CA-2016-153836_OFF-BI-10004817</v>
      </c>
      <c r="E4785" t="str">
        <f>IF(COUNTIF(data1!$D:$D,D4785)=0,"Missing in Data1","Present")</f>
        <v>Present</v>
      </c>
    </row>
    <row r="4786" spans="1:5" x14ac:dyDescent="0.25">
      <c r="A4786" s="2" t="s">
        <v>4160</v>
      </c>
      <c r="B4786" s="2" t="s">
        <v>2009</v>
      </c>
      <c r="C4786" s="2">
        <v>5</v>
      </c>
      <c r="D4786" t="str">
        <f t="shared" si="74"/>
        <v>CA-2016-154018_FUR-FU-10003394</v>
      </c>
      <c r="E4786" t="str">
        <f>IF(COUNTIF(data1!$D:$D,D4786)=0,"Missing in Data1","Present")</f>
        <v>Present</v>
      </c>
    </row>
    <row r="4787" spans="1:5" x14ac:dyDescent="0.25">
      <c r="A4787" s="2" t="s">
        <v>4160</v>
      </c>
      <c r="B4787" s="2" t="s">
        <v>585</v>
      </c>
      <c r="C4787" s="2">
        <v>1</v>
      </c>
      <c r="D4787" t="str">
        <f t="shared" si="74"/>
        <v>CA-2016-154018_OFF-AR-10002067</v>
      </c>
      <c r="E4787" t="str">
        <f>IF(COUNTIF(data1!$D:$D,D4787)=0,"Missing in Data1","Present")</f>
        <v>Present</v>
      </c>
    </row>
    <row r="4788" spans="1:5" x14ac:dyDescent="0.25">
      <c r="A4788" s="2" t="s">
        <v>4160</v>
      </c>
      <c r="B4788" s="2" t="s">
        <v>70</v>
      </c>
      <c r="C4788" s="2">
        <v>7</v>
      </c>
      <c r="D4788" t="str">
        <f t="shared" si="74"/>
        <v>CA-2016-154018_OFF-BI-10004140</v>
      </c>
      <c r="E4788" t="str">
        <f>IF(COUNTIF(data1!$D:$D,D4788)=0,"Missing in Data1","Present")</f>
        <v>Missing in Data1</v>
      </c>
    </row>
    <row r="4789" spans="1:5" x14ac:dyDescent="0.25">
      <c r="A4789" s="2" t="s">
        <v>4160</v>
      </c>
      <c r="B4789" s="2" t="s">
        <v>3837</v>
      </c>
      <c r="C4789" s="2">
        <v>2</v>
      </c>
      <c r="D4789" t="str">
        <f t="shared" si="74"/>
        <v>CA-2016-154018_OFF-PA-10000551</v>
      </c>
      <c r="E4789" t="str">
        <f>IF(COUNTIF(data1!$D:$D,D4789)=0,"Missing in Data1","Present")</f>
        <v>Present</v>
      </c>
    </row>
    <row r="4790" spans="1:5" x14ac:dyDescent="0.25">
      <c r="A4790" s="2" t="s">
        <v>4160</v>
      </c>
      <c r="B4790" s="2" t="s">
        <v>1862</v>
      </c>
      <c r="C4790" s="2">
        <v>3</v>
      </c>
      <c r="D4790" t="str">
        <f t="shared" si="74"/>
        <v>CA-2016-154018_TEC-AC-10002402</v>
      </c>
      <c r="E4790" t="str">
        <f>IF(COUNTIF(data1!$D:$D,D4790)=0,"Missing in Data1","Present")</f>
        <v>Present</v>
      </c>
    </row>
    <row r="4791" spans="1:5" x14ac:dyDescent="0.25">
      <c r="A4791" s="2" t="s">
        <v>4161</v>
      </c>
      <c r="B4791" s="2" t="s">
        <v>3347</v>
      </c>
      <c r="C4791" s="2">
        <v>1</v>
      </c>
      <c r="D4791" t="str">
        <f t="shared" si="74"/>
        <v>CA-2016-154053_OFF-AR-10003727</v>
      </c>
      <c r="E4791" t="str">
        <f>IF(COUNTIF(data1!$D:$D,D4791)=0,"Missing in Data1","Present")</f>
        <v>Present</v>
      </c>
    </row>
    <row r="4792" spans="1:5" x14ac:dyDescent="0.25">
      <c r="A4792" s="2" t="s">
        <v>4162</v>
      </c>
      <c r="B4792" s="2" t="s">
        <v>1258</v>
      </c>
      <c r="C4792" s="2">
        <v>9</v>
      </c>
      <c r="D4792" t="str">
        <f t="shared" si="74"/>
        <v>CA-2016-154060_FUR-CH-10002304</v>
      </c>
      <c r="E4792" t="str">
        <f>IF(COUNTIF(data1!$D:$D,D4792)=0,"Missing in Data1","Present")</f>
        <v>Present</v>
      </c>
    </row>
    <row r="4793" spans="1:5" x14ac:dyDescent="0.25">
      <c r="A4793" s="2" t="s">
        <v>4163</v>
      </c>
      <c r="B4793" s="2" t="s">
        <v>2264</v>
      </c>
      <c r="C4793" s="2">
        <v>4</v>
      </c>
      <c r="D4793" t="str">
        <f t="shared" si="74"/>
        <v>CA-2016-154067_OFF-PA-10002254</v>
      </c>
      <c r="E4793" t="str">
        <f>IF(COUNTIF(data1!$D:$D,D4793)=0,"Missing in Data1","Present")</f>
        <v>Present</v>
      </c>
    </row>
    <row r="4794" spans="1:5" x14ac:dyDescent="0.25">
      <c r="A4794" s="2" t="s">
        <v>4164</v>
      </c>
      <c r="B4794" s="2" t="s">
        <v>4165</v>
      </c>
      <c r="C4794" s="2">
        <v>2</v>
      </c>
      <c r="D4794" t="str">
        <f t="shared" si="74"/>
        <v>CA-2016-154081_TEC-PH-10001918</v>
      </c>
      <c r="E4794" t="str">
        <f>IF(COUNTIF(data1!$D:$D,D4794)=0,"Missing in Data1","Present")</f>
        <v>Present</v>
      </c>
    </row>
    <row r="4795" spans="1:5" x14ac:dyDescent="0.25">
      <c r="A4795" s="2" t="s">
        <v>4166</v>
      </c>
      <c r="B4795" s="2" t="s">
        <v>450</v>
      </c>
      <c r="C4795" s="2">
        <v>3</v>
      </c>
      <c r="D4795" t="str">
        <f t="shared" si="74"/>
        <v>CA-2016-154235_FUR-FU-10004006</v>
      </c>
      <c r="E4795" t="str">
        <f>IF(COUNTIF(data1!$D:$D,D4795)=0,"Missing in Data1","Present")</f>
        <v>Present</v>
      </c>
    </row>
    <row r="4796" spans="1:5" x14ac:dyDescent="0.25">
      <c r="A4796" s="2" t="s">
        <v>4167</v>
      </c>
      <c r="B4796" s="2" t="s">
        <v>785</v>
      </c>
      <c r="C4796" s="2">
        <v>1</v>
      </c>
      <c r="D4796" t="str">
        <f t="shared" si="74"/>
        <v>CA-2016-154403_OFF-PA-10001526</v>
      </c>
      <c r="E4796" t="str">
        <f>IF(COUNTIF(data1!$D:$D,D4796)=0,"Missing in Data1","Present")</f>
        <v>Present</v>
      </c>
    </row>
    <row r="4797" spans="1:5" x14ac:dyDescent="0.25">
      <c r="A4797" s="2" t="s">
        <v>4168</v>
      </c>
      <c r="B4797" s="2" t="s">
        <v>281</v>
      </c>
      <c r="C4797" s="2">
        <v>5</v>
      </c>
      <c r="D4797" t="str">
        <f t="shared" si="74"/>
        <v>CA-2016-154508_OFF-EN-10001990</v>
      </c>
      <c r="E4797" t="str">
        <f>IF(COUNTIF(data1!$D:$D,D4797)=0,"Missing in Data1","Present")</f>
        <v>Present</v>
      </c>
    </row>
    <row r="4798" spans="1:5" x14ac:dyDescent="0.25">
      <c r="A4798" s="2" t="s">
        <v>4169</v>
      </c>
      <c r="B4798" s="2" t="s">
        <v>2186</v>
      </c>
      <c r="C4798" s="2">
        <v>5</v>
      </c>
      <c r="D4798" t="str">
        <f t="shared" si="74"/>
        <v>CA-2016-154536_OFF-BI-10004410</v>
      </c>
      <c r="E4798" t="str">
        <f>IF(COUNTIF(data1!$D:$D,D4798)=0,"Missing in Data1","Present")</f>
        <v>Present</v>
      </c>
    </row>
    <row r="4799" spans="1:5" x14ac:dyDescent="0.25">
      <c r="A4799" s="2" t="s">
        <v>4171</v>
      </c>
      <c r="B4799" s="2" t="s">
        <v>221</v>
      </c>
      <c r="C4799" s="2">
        <v>2</v>
      </c>
      <c r="D4799" t="str">
        <f t="shared" si="74"/>
        <v>CA-2016-154690_FUR-CH-10000988</v>
      </c>
      <c r="E4799" t="str">
        <f>IF(COUNTIF(data1!$D:$D,D4799)=0,"Missing in Data1","Present")</f>
        <v>Present</v>
      </c>
    </row>
    <row r="4800" spans="1:5" x14ac:dyDescent="0.25">
      <c r="A4800" s="2" t="s">
        <v>4172</v>
      </c>
      <c r="B4800" s="2" t="s">
        <v>1299</v>
      </c>
      <c r="C4800" s="2">
        <v>2</v>
      </c>
      <c r="D4800" t="str">
        <f t="shared" si="74"/>
        <v>CA-2016-154711_FUR-FU-10000397</v>
      </c>
      <c r="E4800" t="str">
        <f>IF(COUNTIF(data1!$D:$D,D4800)=0,"Missing in Data1","Present")</f>
        <v>Present</v>
      </c>
    </row>
    <row r="4801" spans="1:5" x14ac:dyDescent="0.25">
      <c r="A4801" s="2" t="s">
        <v>4172</v>
      </c>
      <c r="B4801" s="2" t="s">
        <v>3188</v>
      </c>
      <c r="C4801" s="2">
        <v>3</v>
      </c>
      <c r="D4801" t="str">
        <f t="shared" si="74"/>
        <v>CA-2016-154711_OFF-AR-10001860</v>
      </c>
      <c r="E4801" t="str">
        <f>IF(COUNTIF(data1!$D:$D,D4801)=0,"Missing in Data1","Present")</f>
        <v>Present</v>
      </c>
    </row>
    <row r="4802" spans="1:5" x14ac:dyDescent="0.25">
      <c r="A4802" s="2" t="s">
        <v>4172</v>
      </c>
      <c r="B4802" s="2" t="s">
        <v>1789</v>
      </c>
      <c r="C4802" s="2">
        <v>4</v>
      </c>
      <c r="D4802" t="str">
        <f t="shared" si="74"/>
        <v>CA-2016-154711_OFF-BI-10000605</v>
      </c>
      <c r="E4802" t="str">
        <f>IF(COUNTIF(data1!$D:$D,D4802)=0,"Missing in Data1","Present")</f>
        <v>Present</v>
      </c>
    </row>
    <row r="4803" spans="1:5" x14ac:dyDescent="0.25">
      <c r="A4803" s="2" t="s">
        <v>4173</v>
      </c>
      <c r="B4803" s="2" t="s">
        <v>949</v>
      </c>
      <c r="C4803" s="2">
        <v>2</v>
      </c>
      <c r="D4803" t="str">
        <f t="shared" ref="D4803:D4866" si="75">A4803&amp;"_"&amp;B4803</f>
        <v>CA-2016-154739_FUR-CH-10002965</v>
      </c>
      <c r="E4803" t="str">
        <f>IF(COUNTIF(data1!$D:$D,D4803)=0,"Missing in Data1","Present")</f>
        <v>Present</v>
      </c>
    </row>
    <row r="4804" spans="1:5" x14ac:dyDescent="0.25">
      <c r="A4804" s="2" t="s">
        <v>4174</v>
      </c>
      <c r="B4804" s="2" t="s">
        <v>1857</v>
      </c>
      <c r="C4804" s="2">
        <v>2</v>
      </c>
      <c r="D4804" t="str">
        <f t="shared" si="75"/>
        <v>CA-2016-154767_FUR-CH-10003535</v>
      </c>
      <c r="E4804" t="str">
        <f>IF(COUNTIF(data1!$D:$D,D4804)=0,"Missing in Data1","Present")</f>
        <v>Present</v>
      </c>
    </row>
    <row r="4805" spans="1:5" x14ac:dyDescent="0.25">
      <c r="A4805" s="2" t="s">
        <v>4174</v>
      </c>
      <c r="B4805" s="2" t="s">
        <v>3750</v>
      </c>
      <c r="C4805" s="2">
        <v>2</v>
      </c>
      <c r="D4805" t="str">
        <f t="shared" si="75"/>
        <v>CA-2016-154767_OFF-AP-10000595</v>
      </c>
      <c r="E4805" t="str">
        <f>IF(COUNTIF(data1!$D:$D,D4805)=0,"Missing in Data1","Present")</f>
        <v>Missing in Data1</v>
      </c>
    </row>
    <row r="4806" spans="1:5" x14ac:dyDescent="0.25">
      <c r="A4806" s="2" t="s">
        <v>4174</v>
      </c>
      <c r="B4806" s="2" t="s">
        <v>1787</v>
      </c>
      <c r="C4806" s="2">
        <v>4</v>
      </c>
      <c r="D4806" t="str">
        <f t="shared" si="75"/>
        <v>CA-2016-154767_OFF-AP-10002311</v>
      </c>
      <c r="E4806" t="str">
        <f>IF(COUNTIF(data1!$D:$D,D4806)=0,"Missing in Data1","Present")</f>
        <v>Present</v>
      </c>
    </row>
    <row r="4807" spans="1:5" x14ac:dyDescent="0.25">
      <c r="A4807" s="2" t="s">
        <v>4174</v>
      </c>
      <c r="B4807" s="2" t="s">
        <v>2819</v>
      </c>
      <c r="C4807" s="2">
        <v>2</v>
      </c>
      <c r="D4807" t="str">
        <f t="shared" si="75"/>
        <v>CA-2016-154767_OFF-BI-10002003</v>
      </c>
      <c r="E4807" t="str">
        <f>IF(COUNTIF(data1!$D:$D,D4807)=0,"Missing in Data1","Present")</f>
        <v>Present</v>
      </c>
    </row>
    <row r="4808" spans="1:5" x14ac:dyDescent="0.25">
      <c r="A4808" s="2" t="s">
        <v>4174</v>
      </c>
      <c r="B4808" s="2" t="s">
        <v>1006</v>
      </c>
      <c r="C4808" s="2">
        <v>2</v>
      </c>
      <c r="D4808" t="str">
        <f t="shared" si="75"/>
        <v>CA-2016-154767_OFF-PA-10003039</v>
      </c>
      <c r="E4808" t="str">
        <f>IF(COUNTIF(data1!$D:$D,D4808)=0,"Missing in Data1","Present")</f>
        <v>Present</v>
      </c>
    </row>
    <row r="4809" spans="1:5" x14ac:dyDescent="0.25">
      <c r="A4809" s="2" t="s">
        <v>4176</v>
      </c>
      <c r="B4809" s="2" t="s">
        <v>3954</v>
      </c>
      <c r="C4809" s="2">
        <v>2</v>
      </c>
      <c r="D4809" t="str">
        <f t="shared" si="75"/>
        <v>CA-2016-154998_OFF-PA-10004243</v>
      </c>
      <c r="E4809" t="str">
        <f>IF(COUNTIF(data1!$D:$D,D4809)=0,"Missing in Data1","Present")</f>
        <v>Present</v>
      </c>
    </row>
    <row r="4810" spans="1:5" x14ac:dyDescent="0.25">
      <c r="A4810" s="2" t="s">
        <v>4177</v>
      </c>
      <c r="B4810" s="2" t="s">
        <v>673</v>
      </c>
      <c r="C4810" s="2">
        <v>3</v>
      </c>
      <c r="D4810" t="str">
        <f t="shared" si="75"/>
        <v>CA-2016-155005_TEC-PH-10003484</v>
      </c>
      <c r="E4810" t="str">
        <f>IF(COUNTIF(data1!$D:$D,D4810)=0,"Missing in Data1","Present")</f>
        <v>Present</v>
      </c>
    </row>
    <row r="4811" spans="1:5" x14ac:dyDescent="0.25">
      <c r="A4811" s="2" t="s">
        <v>4178</v>
      </c>
      <c r="B4811" s="2" t="s">
        <v>1833</v>
      </c>
      <c r="C4811" s="2">
        <v>2</v>
      </c>
      <c r="D4811" t="str">
        <f t="shared" si="75"/>
        <v>CA-2016-155033_OFF-PA-10000143</v>
      </c>
      <c r="E4811" t="str">
        <f>IF(COUNTIF(data1!$D:$D,D4811)=0,"Missing in Data1","Present")</f>
        <v>Present</v>
      </c>
    </row>
    <row r="4812" spans="1:5" x14ac:dyDescent="0.25">
      <c r="A4812" s="2" t="s">
        <v>4179</v>
      </c>
      <c r="B4812" s="2" t="s">
        <v>2359</v>
      </c>
      <c r="C4812" s="2">
        <v>3</v>
      </c>
      <c r="D4812" t="str">
        <f t="shared" si="75"/>
        <v>CA-2016-155138_OFF-PA-10000501</v>
      </c>
      <c r="E4812" t="str">
        <f>IF(COUNTIF(data1!$D:$D,D4812)=0,"Missing in Data1","Present")</f>
        <v>Present</v>
      </c>
    </row>
    <row r="4813" spans="1:5" x14ac:dyDescent="0.25">
      <c r="A4813" s="2" t="s">
        <v>4179</v>
      </c>
      <c r="B4813" s="2" t="s">
        <v>1594</v>
      </c>
      <c r="C4813" s="2">
        <v>4</v>
      </c>
      <c r="D4813" t="str">
        <f t="shared" si="75"/>
        <v>CA-2016-155138_TEC-AC-10004209</v>
      </c>
      <c r="E4813" t="str">
        <f>IF(COUNTIF(data1!$D:$D,D4813)=0,"Missing in Data1","Present")</f>
        <v>Present</v>
      </c>
    </row>
    <row r="4814" spans="1:5" x14ac:dyDescent="0.25">
      <c r="A4814" s="2" t="s">
        <v>4180</v>
      </c>
      <c r="B4814" s="2" t="s">
        <v>2738</v>
      </c>
      <c r="C4814" s="2">
        <v>3</v>
      </c>
      <c r="D4814" t="str">
        <f t="shared" si="75"/>
        <v>CA-2016-155166_FUR-CH-10003968</v>
      </c>
      <c r="E4814" t="str">
        <f>IF(COUNTIF(data1!$D:$D,D4814)=0,"Missing in Data1","Present")</f>
        <v>Present</v>
      </c>
    </row>
    <row r="4815" spans="1:5" x14ac:dyDescent="0.25">
      <c r="A4815" s="2" t="s">
        <v>4180</v>
      </c>
      <c r="B4815" s="2" t="s">
        <v>894</v>
      </c>
      <c r="C4815" s="2">
        <v>1</v>
      </c>
      <c r="D4815" t="str">
        <f t="shared" si="75"/>
        <v>CA-2016-155166_OFF-AP-10002765</v>
      </c>
      <c r="E4815" t="str">
        <f>IF(COUNTIF(data1!$D:$D,D4815)=0,"Missing in Data1","Present")</f>
        <v>Present</v>
      </c>
    </row>
    <row r="4816" spans="1:5" x14ac:dyDescent="0.25">
      <c r="A4816" s="2" t="s">
        <v>4181</v>
      </c>
      <c r="B4816" s="2" t="s">
        <v>2655</v>
      </c>
      <c r="C4816" s="2">
        <v>5</v>
      </c>
      <c r="D4816" t="str">
        <f t="shared" si="75"/>
        <v>CA-2016-155187_OFF-PA-10000380</v>
      </c>
      <c r="E4816" t="str">
        <f>IF(COUNTIF(data1!$D:$D,D4816)=0,"Missing in Data1","Present")</f>
        <v>Present</v>
      </c>
    </row>
    <row r="4817" spans="1:5" x14ac:dyDescent="0.25">
      <c r="A4817" s="2" t="s">
        <v>4181</v>
      </c>
      <c r="B4817" s="2" t="s">
        <v>2500</v>
      </c>
      <c r="C4817" s="2">
        <v>2</v>
      </c>
      <c r="D4817" t="str">
        <f t="shared" si="75"/>
        <v>CA-2016-155187_OFF-ST-10000642</v>
      </c>
      <c r="E4817" t="str">
        <f>IF(COUNTIF(data1!$D:$D,D4817)=0,"Missing in Data1","Present")</f>
        <v>Present</v>
      </c>
    </row>
    <row r="4818" spans="1:5" x14ac:dyDescent="0.25">
      <c r="A4818" s="2" t="s">
        <v>4182</v>
      </c>
      <c r="B4818" s="2" t="s">
        <v>2856</v>
      </c>
      <c r="C4818" s="2">
        <v>3</v>
      </c>
      <c r="D4818" t="str">
        <f t="shared" si="75"/>
        <v>CA-2016-155383_OFF-ST-10001328</v>
      </c>
      <c r="E4818" t="str">
        <f>IF(COUNTIF(data1!$D:$D,D4818)=0,"Missing in Data1","Present")</f>
        <v>Present</v>
      </c>
    </row>
    <row r="4819" spans="1:5" x14ac:dyDescent="0.25">
      <c r="A4819" s="2" t="s">
        <v>4183</v>
      </c>
      <c r="B4819" s="2" t="s">
        <v>316</v>
      </c>
      <c r="C4819" s="2">
        <v>4</v>
      </c>
      <c r="D4819" t="str">
        <f t="shared" si="75"/>
        <v>CA-2016-155439_OFF-PA-10000029</v>
      </c>
      <c r="E4819" t="str">
        <f>IF(COUNTIF(data1!$D:$D,D4819)=0,"Missing in Data1","Present")</f>
        <v>Present</v>
      </c>
    </row>
    <row r="4820" spans="1:5" x14ac:dyDescent="0.25">
      <c r="A4820" s="2" t="s">
        <v>4184</v>
      </c>
      <c r="B4820" s="2" t="s">
        <v>1090</v>
      </c>
      <c r="C4820" s="2">
        <v>7</v>
      </c>
      <c r="D4820" t="str">
        <f t="shared" si="75"/>
        <v>CA-2016-155446_TEC-AC-10001445</v>
      </c>
      <c r="E4820" t="str">
        <f>IF(COUNTIF(data1!$D:$D,D4820)=0,"Missing in Data1","Present")</f>
        <v>Present</v>
      </c>
    </row>
    <row r="4821" spans="1:5" x14ac:dyDescent="0.25">
      <c r="A4821" s="2" t="s">
        <v>4185</v>
      </c>
      <c r="B4821" s="2" t="s">
        <v>248</v>
      </c>
      <c r="C4821" s="2">
        <v>3</v>
      </c>
      <c r="D4821" t="str">
        <f t="shared" si="75"/>
        <v>CA-2016-155474_OFF-BI-10004209</v>
      </c>
      <c r="E4821" t="str">
        <f>IF(COUNTIF(data1!$D:$D,D4821)=0,"Missing in Data1","Present")</f>
        <v>Present</v>
      </c>
    </row>
    <row r="4822" spans="1:5" x14ac:dyDescent="0.25">
      <c r="A4822" s="2" t="s">
        <v>4185</v>
      </c>
      <c r="B4822" s="2" t="s">
        <v>3446</v>
      </c>
      <c r="C4822" s="2">
        <v>1</v>
      </c>
      <c r="D4822" t="str">
        <f t="shared" si="75"/>
        <v>CA-2016-155474_TEC-PH-10001580</v>
      </c>
      <c r="E4822" t="str">
        <f>IF(COUNTIF(data1!$D:$D,D4822)=0,"Missing in Data1","Present")</f>
        <v>Present</v>
      </c>
    </row>
    <row r="4823" spans="1:5" x14ac:dyDescent="0.25">
      <c r="A4823" s="2" t="s">
        <v>4186</v>
      </c>
      <c r="B4823" s="2" t="s">
        <v>703</v>
      </c>
      <c r="C4823" s="2">
        <v>7</v>
      </c>
      <c r="D4823" t="str">
        <f t="shared" si="75"/>
        <v>CA-2016-155481_OFF-FA-10002780</v>
      </c>
      <c r="E4823" t="str">
        <f>IF(COUNTIF(data1!$D:$D,D4823)=0,"Missing in Data1","Present")</f>
        <v>Present</v>
      </c>
    </row>
    <row r="4824" spans="1:5" x14ac:dyDescent="0.25">
      <c r="A4824" s="2" t="s">
        <v>4186</v>
      </c>
      <c r="B4824" s="2" t="s">
        <v>4187</v>
      </c>
      <c r="C4824" s="2">
        <v>6</v>
      </c>
      <c r="D4824" t="str">
        <f t="shared" si="75"/>
        <v>CA-2016-155481_OFF-PA-10004675</v>
      </c>
      <c r="E4824" t="str">
        <f>IF(COUNTIF(data1!$D:$D,D4824)=0,"Missing in Data1","Present")</f>
        <v>Present</v>
      </c>
    </row>
    <row r="4825" spans="1:5" x14ac:dyDescent="0.25">
      <c r="A4825" s="2" t="s">
        <v>4186</v>
      </c>
      <c r="B4825" s="2" t="s">
        <v>3106</v>
      </c>
      <c r="C4825" s="2">
        <v>2</v>
      </c>
      <c r="D4825" t="str">
        <f t="shared" si="75"/>
        <v>CA-2016-155481_TEC-PH-10002293</v>
      </c>
      <c r="E4825" t="str">
        <f>IF(COUNTIF(data1!$D:$D,D4825)=0,"Missing in Data1","Present")</f>
        <v>Present</v>
      </c>
    </row>
    <row r="4826" spans="1:5" x14ac:dyDescent="0.25">
      <c r="A4826" s="2" t="s">
        <v>4188</v>
      </c>
      <c r="B4826" s="2" t="s">
        <v>4092</v>
      </c>
      <c r="C4826" s="2">
        <v>2</v>
      </c>
      <c r="D4826" t="str">
        <f t="shared" si="75"/>
        <v>CA-2016-155488_OFF-AR-10002956</v>
      </c>
      <c r="E4826" t="str">
        <f>IF(COUNTIF(data1!$D:$D,D4826)=0,"Missing in Data1","Present")</f>
        <v>Present</v>
      </c>
    </row>
    <row r="4827" spans="1:5" x14ac:dyDescent="0.25">
      <c r="A4827" s="2" t="s">
        <v>4189</v>
      </c>
      <c r="B4827" s="2" t="s">
        <v>1533</v>
      </c>
      <c r="C4827" s="2">
        <v>4</v>
      </c>
      <c r="D4827" t="str">
        <f t="shared" si="75"/>
        <v>CA-2016-155516_FUR-BO-10002545</v>
      </c>
      <c r="E4827" t="str">
        <f>IF(COUNTIF(data1!$D:$D,D4827)=0,"Missing in Data1","Present")</f>
        <v>Present</v>
      </c>
    </row>
    <row r="4828" spans="1:5" x14ac:dyDescent="0.25">
      <c r="A4828" s="2" t="s">
        <v>4189</v>
      </c>
      <c r="B4828" s="2" t="s">
        <v>2095</v>
      </c>
      <c r="C4828" s="2">
        <v>4</v>
      </c>
      <c r="D4828" t="str">
        <f t="shared" si="75"/>
        <v>CA-2016-155516_OFF-BI-10002412</v>
      </c>
      <c r="E4828" t="str">
        <f>IF(COUNTIF(data1!$D:$D,D4828)=0,"Missing in Data1","Present")</f>
        <v>Present</v>
      </c>
    </row>
    <row r="4829" spans="1:5" x14ac:dyDescent="0.25">
      <c r="A4829" s="2" t="s">
        <v>4189</v>
      </c>
      <c r="B4829" s="2" t="s">
        <v>1809</v>
      </c>
      <c r="C4829" s="2">
        <v>7</v>
      </c>
      <c r="D4829" t="str">
        <f t="shared" si="75"/>
        <v>CA-2016-155516_OFF-ST-10002406</v>
      </c>
      <c r="E4829" t="str">
        <f>IF(COUNTIF(data1!$D:$D,D4829)=0,"Missing in Data1","Present")</f>
        <v>Present</v>
      </c>
    </row>
    <row r="4830" spans="1:5" x14ac:dyDescent="0.25">
      <c r="A4830" s="2" t="s">
        <v>4189</v>
      </c>
      <c r="B4830" s="2" t="s">
        <v>219</v>
      </c>
      <c r="C4830" s="2">
        <v>2</v>
      </c>
      <c r="D4830" t="str">
        <f t="shared" si="75"/>
        <v>CA-2016-155516_OFF-SU-10001225</v>
      </c>
      <c r="E4830" t="str">
        <f>IF(COUNTIF(data1!$D:$D,D4830)=0,"Missing in Data1","Present")</f>
        <v>Present</v>
      </c>
    </row>
    <row r="4831" spans="1:5" x14ac:dyDescent="0.25">
      <c r="A4831" s="2" t="s">
        <v>4190</v>
      </c>
      <c r="B4831" s="2" t="s">
        <v>3419</v>
      </c>
      <c r="C4831" s="2">
        <v>6</v>
      </c>
      <c r="D4831" t="str">
        <f t="shared" si="75"/>
        <v>CA-2016-155530_FUR-TA-10004256</v>
      </c>
      <c r="E4831" t="str">
        <f>IF(COUNTIF(data1!$D:$D,D4831)=0,"Missing in Data1","Present")</f>
        <v>Present</v>
      </c>
    </row>
    <row r="4832" spans="1:5" x14ac:dyDescent="0.25">
      <c r="A4832" s="2" t="s">
        <v>4191</v>
      </c>
      <c r="B4832" s="2" t="s">
        <v>861</v>
      </c>
      <c r="C4832" s="2">
        <v>2</v>
      </c>
      <c r="D4832" t="str">
        <f t="shared" si="75"/>
        <v>CA-2016-155551_OFF-PA-10001560</v>
      </c>
      <c r="E4832" t="str">
        <f>IF(COUNTIF(data1!$D:$D,D4832)=0,"Missing in Data1","Present")</f>
        <v>Present</v>
      </c>
    </row>
    <row r="4833" spans="1:5" x14ac:dyDescent="0.25">
      <c r="A4833" s="2" t="s">
        <v>4191</v>
      </c>
      <c r="B4833" s="2" t="s">
        <v>2072</v>
      </c>
      <c r="C4833" s="2">
        <v>3</v>
      </c>
      <c r="D4833" t="str">
        <f t="shared" si="75"/>
        <v>CA-2016-155551_OFF-ST-10003656</v>
      </c>
      <c r="E4833" t="str">
        <f>IF(COUNTIF(data1!$D:$D,D4833)=0,"Missing in Data1","Present")</f>
        <v>Present</v>
      </c>
    </row>
    <row r="4834" spans="1:5" x14ac:dyDescent="0.25">
      <c r="A4834" s="2" t="s">
        <v>4192</v>
      </c>
      <c r="B4834" s="2" t="s">
        <v>1875</v>
      </c>
      <c r="C4834" s="2">
        <v>5</v>
      </c>
      <c r="D4834" t="str">
        <f t="shared" si="75"/>
        <v>CA-2016-155565_OFF-SU-10001218</v>
      </c>
      <c r="E4834" t="str">
        <f>IF(COUNTIF(data1!$D:$D,D4834)=0,"Missing in Data1","Present")</f>
        <v>Present</v>
      </c>
    </row>
    <row r="4835" spans="1:5" x14ac:dyDescent="0.25">
      <c r="A4835" s="2" t="s">
        <v>4193</v>
      </c>
      <c r="B4835" s="2" t="s">
        <v>1490</v>
      </c>
      <c r="C4835" s="2">
        <v>8</v>
      </c>
      <c r="D4835" t="str">
        <f t="shared" si="75"/>
        <v>CA-2016-155670_OFF-BI-10000138</v>
      </c>
      <c r="E4835" t="str">
        <f>IF(COUNTIF(data1!$D:$D,D4835)=0,"Missing in Data1","Present")</f>
        <v>Present</v>
      </c>
    </row>
    <row r="4836" spans="1:5" x14ac:dyDescent="0.25">
      <c r="A4836" s="2" t="s">
        <v>4193</v>
      </c>
      <c r="B4836" s="2" t="s">
        <v>1798</v>
      </c>
      <c r="C4836" s="2">
        <v>3</v>
      </c>
      <c r="D4836" t="str">
        <f t="shared" si="75"/>
        <v>CA-2016-155670_OFF-PA-10004947</v>
      </c>
      <c r="E4836" t="str">
        <f>IF(COUNTIF(data1!$D:$D,D4836)=0,"Missing in Data1","Present")</f>
        <v>Present</v>
      </c>
    </row>
    <row r="4837" spans="1:5" x14ac:dyDescent="0.25">
      <c r="A4837" s="2" t="s">
        <v>4194</v>
      </c>
      <c r="B4837" s="2" t="s">
        <v>4195</v>
      </c>
      <c r="C4837" s="2">
        <v>2</v>
      </c>
      <c r="D4837" t="str">
        <f t="shared" si="75"/>
        <v>CA-2016-155747_FUR-TA-10003392</v>
      </c>
      <c r="E4837" t="str">
        <f>IF(COUNTIF(data1!$D:$D,D4837)=0,"Missing in Data1","Present")</f>
        <v>Present</v>
      </c>
    </row>
    <row r="4838" spans="1:5" x14ac:dyDescent="0.25">
      <c r="A4838" s="2" t="s">
        <v>4196</v>
      </c>
      <c r="B4838" s="2" t="s">
        <v>2603</v>
      </c>
      <c r="C4838" s="2">
        <v>7</v>
      </c>
      <c r="D4838" t="str">
        <f t="shared" si="75"/>
        <v>CA-2016-155845_TEC-AC-10004145</v>
      </c>
      <c r="E4838" t="str">
        <f>IF(COUNTIF(data1!$D:$D,D4838)=0,"Missing in Data1","Present")</f>
        <v>Present</v>
      </c>
    </row>
    <row r="4839" spans="1:5" x14ac:dyDescent="0.25">
      <c r="A4839" s="2" t="s">
        <v>4197</v>
      </c>
      <c r="B4839" s="2" t="s">
        <v>133</v>
      </c>
      <c r="C4839" s="2">
        <v>2</v>
      </c>
      <c r="D4839" t="str">
        <f t="shared" si="75"/>
        <v>CA-2016-155978_TEC-PH-10002885</v>
      </c>
      <c r="E4839" t="str">
        <f>IF(COUNTIF(data1!$D:$D,D4839)=0,"Missing in Data1","Present")</f>
        <v>Present</v>
      </c>
    </row>
    <row r="4840" spans="1:5" x14ac:dyDescent="0.25">
      <c r="A4840" s="2" t="s">
        <v>6809</v>
      </c>
      <c r="B4840" s="2" t="s">
        <v>1290</v>
      </c>
      <c r="C4840" s="2">
        <v>5</v>
      </c>
      <c r="D4840" t="str">
        <f t="shared" si="75"/>
        <v>CA-2016-155992_FUR-FU-10003724</v>
      </c>
      <c r="E4840" t="str">
        <f>IF(COUNTIF(data1!$D:$D,D4840)=0,"Missing in Data1","Present")</f>
        <v>Missing in Data1</v>
      </c>
    </row>
    <row r="4841" spans="1:5" x14ac:dyDescent="0.25">
      <c r="A4841" s="2" t="s">
        <v>6809</v>
      </c>
      <c r="B4841" s="2" t="s">
        <v>742</v>
      </c>
      <c r="C4841" s="2">
        <v>2</v>
      </c>
      <c r="D4841" t="str">
        <f t="shared" si="75"/>
        <v>CA-2016-155992_TEC-PH-10000215</v>
      </c>
      <c r="E4841" t="str">
        <f>IF(COUNTIF(data1!$D:$D,D4841)=0,"Missing in Data1","Present")</f>
        <v>Missing in Data1</v>
      </c>
    </row>
    <row r="4842" spans="1:5" x14ac:dyDescent="0.25">
      <c r="A4842" s="2" t="s">
        <v>4198</v>
      </c>
      <c r="B4842" s="2" t="s">
        <v>69</v>
      </c>
      <c r="C4842" s="2">
        <v>2</v>
      </c>
      <c r="D4842" t="str">
        <f t="shared" si="75"/>
        <v>CA-2016-156251_FUR-BO-10001337</v>
      </c>
      <c r="E4842" t="str">
        <f>IF(COUNTIF(data1!$D:$D,D4842)=0,"Missing in Data1","Present")</f>
        <v>Present</v>
      </c>
    </row>
    <row r="4843" spans="1:5" x14ac:dyDescent="0.25">
      <c r="A4843" s="2" t="s">
        <v>4198</v>
      </c>
      <c r="B4843" s="2" t="s">
        <v>446</v>
      </c>
      <c r="C4843" s="2">
        <v>3</v>
      </c>
      <c r="D4843" t="str">
        <f t="shared" si="75"/>
        <v>CA-2016-156251_OFF-BI-10003529</v>
      </c>
      <c r="E4843" t="str">
        <f>IF(COUNTIF(data1!$D:$D,D4843)=0,"Missing in Data1","Present")</f>
        <v>Present</v>
      </c>
    </row>
    <row r="4844" spans="1:5" x14ac:dyDescent="0.25">
      <c r="A4844" s="2" t="s">
        <v>4199</v>
      </c>
      <c r="B4844" s="2" t="s">
        <v>4200</v>
      </c>
      <c r="C4844" s="2">
        <v>2</v>
      </c>
      <c r="D4844" t="str">
        <f t="shared" si="75"/>
        <v>CA-2016-156265_FUR-TA-10001691</v>
      </c>
      <c r="E4844" t="str">
        <f>IF(COUNTIF(data1!$D:$D,D4844)=0,"Missing in Data1","Present")</f>
        <v>Present</v>
      </c>
    </row>
    <row r="4845" spans="1:5" x14ac:dyDescent="0.25">
      <c r="A4845" s="2" t="s">
        <v>4199</v>
      </c>
      <c r="B4845" s="2" t="s">
        <v>2994</v>
      </c>
      <c r="C4845" s="2">
        <v>2</v>
      </c>
      <c r="D4845" t="str">
        <f t="shared" si="75"/>
        <v>CA-2016-156265_OFF-BI-10000285</v>
      </c>
      <c r="E4845" t="str">
        <f>IF(COUNTIF(data1!$D:$D,D4845)=0,"Missing in Data1","Present")</f>
        <v>Present</v>
      </c>
    </row>
    <row r="4846" spans="1:5" x14ac:dyDescent="0.25">
      <c r="A4846" s="2" t="s">
        <v>4199</v>
      </c>
      <c r="B4846" s="2" t="s">
        <v>4165</v>
      </c>
      <c r="C4846" s="2">
        <v>3</v>
      </c>
      <c r="D4846" t="str">
        <f t="shared" si="75"/>
        <v>CA-2016-156265_TEC-PH-10001918</v>
      </c>
      <c r="E4846" t="str">
        <f>IF(COUNTIF(data1!$D:$D,D4846)=0,"Missing in Data1","Present")</f>
        <v>Present</v>
      </c>
    </row>
    <row r="4847" spans="1:5" x14ac:dyDescent="0.25">
      <c r="A4847" s="2" t="s">
        <v>4201</v>
      </c>
      <c r="B4847" s="2" t="s">
        <v>84</v>
      </c>
      <c r="C4847" s="2">
        <v>5</v>
      </c>
      <c r="D4847" t="str">
        <f t="shared" si="75"/>
        <v>CA-2016-156300_FUR-CH-10001714</v>
      </c>
      <c r="E4847" t="str">
        <f>IF(COUNTIF(data1!$D:$D,D4847)=0,"Missing in Data1","Present")</f>
        <v>Present</v>
      </c>
    </row>
    <row r="4848" spans="1:5" x14ac:dyDescent="0.25">
      <c r="A4848" s="2" t="s">
        <v>4202</v>
      </c>
      <c r="B4848" s="2" t="s">
        <v>4203</v>
      </c>
      <c r="C4848" s="2">
        <v>1</v>
      </c>
      <c r="D4848" t="str">
        <f t="shared" si="75"/>
        <v>CA-2016-156503_FUR-CH-10003606</v>
      </c>
      <c r="E4848" t="str">
        <f>IF(COUNTIF(data1!$D:$D,D4848)=0,"Missing in Data1","Present")</f>
        <v>Present</v>
      </c>
    </row>
    <row r="4849" spans="1:5" x14ac:dyDescent="0.25">
      <c r="A4849" s="2" t="s">
        <v>4202</v>
      </c>
      <c r="B4849" s="2" t="s">
        <v>1155</v>
      </c>
      <c r="C4849" s="2">
        <v>4</v>
      </c>
      <c r="D4849" t="str">
        <f t="shared" si="75"/>
        <v>CA-2016-156503_OFF-EN-10001335</v>
      </c>
      <c r="E4849" t="str">
        <f>IF(COUNTIF(data1!$D:$D,D4849)=0,"Missing in Data1","Present")</f>
        <v>Present</v>
      </c>
    </row>
    <row r="4850" spans="1:5" x14ac:dyDescent="0.25">
      <c r="A4850" s="2" t="s">
        <v>4202</v>
      </c>
      <c r="B4850" s="2" t="s">
        <v>1284</v>
      </c>
      <c r="C4850" s="2">
        <v>3</v>
      </c>
      <c r="D4850" t="str">
        <f t="shared" si="75"/>
        <v>CA-2016-156503_OFF-PA-10002319</v>
      </c>
      <c r="E4850" t="str">
        <f>IF(COUNTIF(data1!$D:$D,D4850)=0,"Missing in Data1","Present")</f>
        <v>Present</v>
      </c>
    </row>
    <row r="4851" spans="1:5" x14ac:dyDescent="0.25">
      <c r="A4851" s="2" t="s">
        <v>4202</v>
      </c>
      <c r="B4851" s="2" t="s">
        <v>592</v>
      </c>
      <c r="C4851" s="2">
        <v>1</v>
      </c>
      <c r="D4851" t="str">
        <f t="shared" si="75"/>
        <v>CA-2016-156503_OFF-PA-10002377</v>
      </c>
      <c r="E4851" t="str">
        <f>IF(COUNTIF(data1!$D:$D,D4851)=0,"Missing in Data1","Present")</f>
        <v>Present</v>
      </c>
    </row>
    <row r="4852" spans="1:5" x14ac:dyDescent="0.25">
      <c r="A4852" s="2" t="s">
        <v>4202</v>
      </c>
      <c r="B4852" s="2" t="s">
        <v>3376</v>
      </c>
      <c r="C4852" s="2">
        <v>2</v>
      </c>
      <c r="D4852" t="str">
        <f t="shared" si="75"/>
        <v>CA-2016-156503_OFF-SU-10000946</v>
      </c>
      <c r="E4852" t="str">
        <f>IF(COUNTIF(data1!$D:$D,D4852)=0,"Missing in Data1","Present")</f>
        <v>Present</v>
      </c>
    </row>
    <row r="4853" spans="1:5" x14ac:dyDescent="0.25">
      <c r="A4853" s="2" t="s">
        <v>4202</v>
      </c>
      <c r="B4853" s="2" t="s">
        <v>1076</v>
      </c>
      <c r="C4853" s="2">
        <v>1</v>
      </c>
      <c r="D4853" t="str">
        <f t="shared" si="75"/>
        <v>CA-2016-156503_TEC-AC-10002473</v>
      </c>
      <c r="E4853" t="str">
        <f>IF(COUNTIF(data1!$D:$D,D4853)=0,"Missing in Data1","Present")</f>
        <v>Present</v>
      </c>
    </row>
    <row r="4854" spans="1:5" x14ac:dyDescent="0.25">
      <c r="A4854" s="2" t="s">
        <v>4204</v>
      </c>
      <c r="B4854" s="2" t="s">
        <v>2427</v>
      </c>
      <c r="C4854" s="2">
        <v>3</v>
      </c>
      <c r="D4854" t="str">
        <f t="shared" si="75"/>
        <v>CA-2016-156573_FUR-FU-10001085</v>
      </c>
      <c r="E4854" t="str">
        <f>IF(COUNTIF(data1!$D:$D,D4854)=0,"Missing in Data1","Present")</f>
        <v>Present</v>
      </c>
    </row>
    <row r="4855" spans="1:5" x14ac:dyDescent="0.25">
      <c r="A4855" s="2" t="s">
        <v>4204</v>
      </c>
      <c r="B4855" s="2" t="s">
        <v>1596</v>
      </c>
      <c r="C4855" s="2">
        <v>2</v>
      </c>
      <c r="D4855" t="str">
        <f t="shared" si="75"/>
        <v>CA-2016-156573_OFF-AR-10003732</v>
      </c>
      <c r="E4855" t="str">
        <f>IF(COUNTIF(data1!$D:$D,D4855)=0,"Missing in Data1","Present")</f>
        <v>Present</v>
      </c>
    </row>
    <row r="4856" spans="1:5" x14ac:dyDescent="0.25">
      <c r="A4856" s="2" t="s">
        <v>4204</v>
      </c>
      <c r="B4856" s="2" t="s">
        <v>4005</v>
      </c>
      <c r="C4856" s="2">
        <v>3</v>
      </c>
      <c r="D4856" t="str">
        <f t="shared" si="75"/>
        <v>CA-2016-156573_OFF-BI-10002414</v>
      </c>
      <c r="E4856" t="str">
        <f>IF(COUNTIF(data1!$D:$D,D4856)=0,"Missing in Data1","Present")</f>
        <v>Present</v>
      </c>
    </row>
    <row r="4857" spans="1:5" x14ac:dyDescent="0.25">
      <c r="A4857" s="2" t="s">
        <v>4205</v>
      </c>
      <c r="B4857" s="2" t="s">
        <v>2596</v>
      </c>
      <c r="C4857" s="2">
        <v>9</v>
      </c>
      <c r="D4857" t="str">
        <f t="shared" si="75"/>
        <v>CA-2016-156685_TEC-PH-10004345</v>
      </c>
      <c r="E4857" t="str">
        <f>IF(COUNTIF(data1!$D:$D,D4857)=0,"Missing in Data1","Present")</f>
        <v>Present</v>
      </c>
    </row>
    <row r="4858" spans="1:5" x14ac:dyDescent="0.25">
      <c r="A4858" s="2" t="s">
        <v>4206</v>
      </c>
      <c r="B4858" s="2" t="s">
        <v>665</v>
      </c>
      <c r="C4858" s="2">
        <v>3</v>
      </c>
      <c r="D4858" t="str">
        <f t="shared" si="75"/>
        <v>CA-2016-156748_FUR-CH-10000513</v>
      </c>
      <c r="E4858" t="str">
        <f>IF(COUNTIF(data1!$D:$D,D4858)=0,"Missing in Data1","Present")</f>
        <v>Present</v>
      </c>
    </row>
    <row r="4859" spans="1:5" x14ac:dyDescent="0.25">
      <c r="A4859" s="2" t="s">
        <v>4206</v>
      </c>
      <c r="B4859" s="2" t="s">
        <v>2655</v>
      </c>
      <c r="C4859" s="2">
        <v>4</v>
      </c>
      <c r="D4859" t="str">
        <f t="shared" si="75"/>
        <v>CA-2016-156748_OFF-PA-10000380</v>
      </c>
      <c r="E4859" t="str">
        <f>IF(COUNTIF(data1!$D:$D,D4859)=0,"Missing in Data1","Present")</f>
        <v>Present</v>
      </c>
    </row>
    <row r="4860" spans="1:5" x14ac:dyDescent="0.25">
      <c r="A4860" s="2" t="s">
        <v>4206</v>
      </c>
      <c r="B4860" s="2" t="s">
        <v>2748</v>
      </c>
      <c r="C4860" s="2">
        <v>2</v>
      </c>
      <c r="D4860" t="str">
        <f t="shared" si="75"/>
        <v>CA-2016-156748_OFF-PA-10002713</v>
      </c>
      <c r="E4860" t="str">
        <f>IF(COUNTIF(data1!$D:$D,D4860)=0,"Missing in Data1","Present")</f>
        <v>Present</v>
      </c>
    </row>
    <row r="4861" spans="1:5" x14ac:dyDescent="0.25">
      <c r="A4861" s="2" t="s">
        <v>4206</v>
      </c>
      <c r="B4861" s="2" t="s">
        <v>559</v>
      </c>
      <c r="C4861" s="2">
        <v>7</v>
      </c>
      <c r="D4861" t="str">
        <f t="shared" si="75"/>
        <v>CA-2016-156748_OFF-ST-10001370</v>
      </c>
      <c r="E4861" t="str">
        <f>IF(COUNTIF(data1!$D:$D,D4861)=0,"Missing in Data1","Present")</f>
        <v>Present</v>
      </c>
    </row>
    <row r="4862" spans="1:5" x14ac:dyDescent="0.25">
      <c r="A4862" s="2" t="s">
        <v>4207</v>
      </c>
      <c r="B4862" s="2" t="s">
        <v>1060</v>
      </c>
      <c r="C4862" s="2">
        <v>4</v>
      </c>
      <c r="D4862" t="str">
        <f t="shared" si="75"/>
        <v>CA-2016-156811_OFF-AP-10001366</v>
      </c>
      <c r="E4862" t="str">
        <f>IF(COUNTIF(data1!$D:$D,D4862)=0,"Missing in Data1","Present")</f>
        <v>Present</v>
      </c>
    </row>
    <row r="4863" spans="1:5" x14ac:dyDescent="0.25">
      <c r="A4863" s="2" t="s">
        <v>4207</v>
      </c>
      <c r="B4863" s="2" t="s">
        <v>626</v>
      </c>
      <c r="C4863" s="2">
        <v>3</v>
      </c>
      <c r="D4863" t="str">
        <f t="shared" si="75"/>
        <v>CA-2016-156811_OFF-BI-10001628</v>
      </c>
      <c r="E4863" t="str">
        <f>IF(COUNTIF(data1!$D:$D,D4863)=0,"Missing in Data1","Present")</f>
        <v>Present</v>
      </c>
    </row>
    <row r="4864" spans="1:5" x14ac:dyDescent="0.25">
      <c r="A4864" s="2" t="s">
        <v>4208</v>
      </c>
      <c r="B4864" s="2" t="s">
        <v>2363</v>
      </c>
      <c r="C4864" s="2">
        <v>3</v>
      </c>
      <c r="D4864" t="str">
        <f t="shared" si="75"/>
        <v>CA-2016-157000_OFF-PA-10001950</v>
      </c>
      <c r="E4864" t="str">
        <f>IF(COUNTIF(data1!$D:$D,D4864)=0,"Missing in Data1","Present")</f>
        <v>Present</v>
      </c>
    </row>
    <row r="4865" spans="1:5" x14ac:dyDescent="0.25">
      <c r="A4865" s="2" t="s">
        <v>4208</v>
      </c>
      <c r="B4865" s="2" t="s">
        <v>2856</v>
      </c>
      <c r="C4865" s="2">
        <v>3</v>
      </c>
      <c r="D4865" t="str">
        <f t="shared" si="75"/>
        <v>CA-2016-157000_OFF-ST-10001328</v>
      </c>
      <c r="E4865" t="str">
        <f>IF(COUNTIF(data1!$D:$D,D4865)=0,"Missing in Data1","Present")</f>
        <v>Present</v>
      </c>
    </row>
    <row r="4866" spans="1:5" x14ac:dyDescent="0.25">
      <c r="A4866" s="2" t="s">
        <v>4209</v>
      </c>
      <c r="B4866" s="2" t="s">
        <v>904</v>
      </c>
      <c r="C4866" s="2">
        <v>3</v>
      </c>
      <c r="D4866" t="str">
        <f t="shared" si="75"/>
        <v>CA-2016-157161_OFF-AR-10003338</v>
      </c>
      <c r="E4866" t="str">
        <f>IF(COUNTIF(data1!$D:$D,D4866)=0,"Missing in Data1","Present")</f>
        <v>Present</v>
      </c>
    </row>
    <row r="4867" spans="1:5" x14ac:dyDescent="0.25">
      <c r="A4867" s="2" t="s">
        <v>4209</v>
      </c>
      <c r="B4867" s="2" t="s">
        <v>735</v>
      </c>
      <c r="C4867" s="2">
        <v>2</v>
      </c>
      <c r="D4867" t="str">
        <f t="shared" ref="D4867:D4930" si="76">A4867&amp;"_"&amp;B4867</f>
        <v>CA-2016-157161_OFF-BI-10002764</v>
      </c>
      <c r="E4867" t="str">
        <f>IF(COUNTIF(data1!$D:$D,D4867)=0,"Missing in Data1","Present")</f>
        <v>Present</v>
      </c>
    </row>
    <row r="4868" spans="1:5" x14ac:dyDescent="0.25">
      <c r="A4868" s="2" t="s">
        <v>4209</v>
      </c>
      <c r="B4868" s="2" t="s">
        <v>1680</v>
      </c>
      <c r="C4868" s="2">
        <v>5</v>
      </c>
      <c r="D4868" t="str">
        <f t="shared" si="76"/>
        <v>CA-2016-157161_OFF-BI-10004728</v>
      </c>
      <c r="E4868" t="str">
        <f>IF(COUNTIF(data1!$D:$D,D4868)=0,"Missing in Data1","Present")</f>
        <v>Missing in Data1</v>
      </c>
    </row>
    <row r="4869" spans="1:5" x14ac:dyDescent="0.25">
      <c r="A4869" s="2" t="s">
        <v>4209</v>
      </c>
      <c r="B4869" s="2" t="s">
        <v>2505</v>
      </c>
      <c r="C4869" s="2">
        <v>5</v>
      </c>
      <c r="D4869" t="str">
        <f t="shared" si="76"/>
        <v>CA-2016-157161_OFF-EN-10001509</v>
      </c>
      <c r="E4869" t="str">
        <f>IF(COUNTIF(data1!$D:$D,D4869)=0,"Missing in Data1","Present")</f>
        <v>Present</v>
      </c>
    </row>
    <row r="4870" spans="1:5" x14ac:dyDescent="0.25">
      <c r="A4870" s="2" t="s">
        <v>4209</v>
      </c>
      <c r="B4870" s="2" t="s">
        <v>4210</v>
      </c>
      <c r="C4870" s="2">
        <v>9</v>
      </c>
      <c r="D4870" t="str">
        <f t="shared" si="76"/>
        <v>CA-2016-157161_OFF-PA-10001461</v>
      </c>
      <c r="E4870" t="str">
        <f>IF(COUNTIF(data1!$D:$D,D4870)=0,"Missing in Data1","Present")</f>
        <v>Present</v>
      </c>
    </row>
    <row r="4871" spans="1:5" x14ac:dyDescent="0.25">
      <c r="A4871" s="2" t="s">
        <v>4209</v>
      </c>
      <c r="B4871" s="2" t="s">
        <v>2665</v>
      </c>
      <c r="C4871" s="2">
        <v>2</v>
      </c>
      <c r="D4871" t="str">
        <f t="shared" si="76"/>
        <v>CA-2016-157161_TEC-AC-10000358</v>
      </c>
      <c r="E4871" t="str">
        <f>IF(COUNTIF(data1!$D:$D,D4871)=0,"Missing in Data1","Present")</f>
        <v>Present</v>
      </c>
    </row>
    <row r="4872" spans="1:5" x14ac:dyDescent="0.25">
      <c r="A4872" s="2" t="s">
        <v>4211</v>
      </c>
      <c r="B4872" s="2" t="s">
        <v>2092</v>
      </c>
      <c r="C4872" s="2">
        <v>3</v>
      </c>
      <c r="D4872" t="str">
        <f t="shared" si="76"/>
        <v>CA-2016-157217_TEC-AC-10003095</v>
      </c>
      <c r="E4872" t="str">
        <f>IF(COUNTIF(data1!$D:$D,D4872)=0,"Missing in Data1","Present")</f>
        <v>Present</v>
      </c>
    </row>
    <row r="4873" spans="1:5" x14ac:dyDescent="0.25">
      <c r="A4873" s="2" t="s">
        <v>4211</v>
      </c>
      <c r="B4873" s="2" t="s">
        <v>1694</v>
      </c>
      <c r="C4873" s="2">
        <v>2</v>
      </c>
      <c r="D4873" t="str">
        <f t="shared" si="76"/>
        <v>CA-2016-157217_TEC-PH-10002070</v>
      </c>
      <c r="E4873" t="str">
        <f>IF(COUNTIF(data1!$D:$D,D4873)=0,"Missing in Data1","Present")</f>
        <v>Missing in Data1</v>
      </c>
    </row>
    <row r="4874" spans="1:5" x14ac:dyDescent="0.25">
      <c r="A4874" s="2" t="s">
        <v>4212</v>
      </c>
      <c r="B4874" s="2" t="s">
        <v>2170</v>
      </c>
      <c r="C4874" s="2">
        <v>2</v>
      </c>
      <c r="D4874" t="str">
        <f t="shared" si="76"/>
        <v>CA-2016-157245_FUR-CH-10003746</v>
      </c>
      <c r="E4874" t="str">
        <f>IF(COUNTIF(data1!$D:$D,D4874)=0,"Missing in Data1","Present")</f>
        <v>Present</v>
      </c>
    </row>
    <row r="4875" spans="1:5" x14ac:dyDescent="0.25">
      <c r="A4875" s="2" t="s">
        <v>4213</v>
      </c>
      <c r="B4875" s="2" t="s">
        <v>125</v>
      </c>
      <c r="C4875" s="2">
        <v>9</v>
      </c>
      <c r="D4875" t="str">
        <f t="shared" si="76"/>
        <v>CA-2016-157259_FUR-FU-10003192</v>
      </c>
      <c r="E4875" t="str">
        <f>IF(COUNTIF(data1!$D:$D,D4875)=0,"Missing in Data1","Present")</f>
        <v>Present</v>
      </c>
    </row>
    <row r="4876" spans="1:5" x14ac:dyDescent="0.25">
      <c r="A4876" s="2" t="s">
        <v>4214</v>
      </c>
      <c r="B4876" s="2" t="s">
        <v>590</v>
      </c>
      <c r="C4876" s="2">
        <v>3</v>
      </c>
      <c r="D4876" t="str">
        <f t="shared" si="76"/>
        <v>CA-2016-157266_FUR-FU-10000629</v>
      </c>
      <c r="E4876" t="str">
        <f>IF(COUNTIF(data1!$D:$D,D4876)=0,"Missing in Data1","Present")</f>
        <v>Present</v>
      </c>
    </row>
    <row r="4877" spans="1:5" x14ac:dyDescent="0.25">
      <c r="A4877" s="2" t="s">
        <v>4214</v>
      </c>
      <c r="B4877" s="2" t="s">
        <v>1680</v>
      </c>
      <c r="C4877" s="2">
        <v>2</v>
      </c>
      <c r="D4877" t="str">
        <f t="shared" si="76"/>
        <v>CA-2016-157266_OFF-BI-10004728</v>
      </c>
      <c r="E4877" t="str">
        <f>IF(COUNTIF(data1!$D:$D,D4877)=0,"Missing in Data1","Present")</f>
        <v>Present</v>
      </c>
    </row>
    <row r="4878" spans="1:5" x14ac:dyDescent="0.25">
      <c r="A4878" s="2" t="s">
        <v>4214</v>
      </c>
      <c r="B4878" s="2" t="s">
        <v>1085</v>
      </c>
      <c r="C4878" s="2">
        <v>3</v>
      </c>
      <c r="D4878" t="str">
        <f t="shared" si="76"/>
        <v>CA-2016-157266_OFF-PA-10002689</v>
      </c>
      <c r="E4878" t="str">
        <f>IF(COUNTIF(data1!$D:$D,D4878)=0,"Missing in Data1","Present")</f>
        <v>Present</v>
      </c>
    </row>
    <row r="4879" spans="1:5" x14ac:dyDescent="0.25">
      <c r="A4879" s="2" t="s">
        <v>4214</v>
      </c>
      <c r="B4879" s="2" t="s">
        <v>4187</v>
      </c>
      <c r="C4879" s="2">
        <v>2</v>
      </c>
      <c r="D4879" t="str">
        <f t="shared" si="76"/>
        <v>CA-2016-157266_OFF-PA-10004675</v>
      </c>
      <c r="E4879" t="str">
        <f>IF(COUNTIF(data1!$D:$D,D4879)=0,"Missing in Data1","Present")</f>
        <v>Present</v>
      </c>
    </row>
    <row r="4880" spans="1:5" x14ac:dyDescent="0.25">
      <c r="A4880" s="2" t="s">
        <v>4215</v>
      </c>
      <c r="B4880" s="2" t="s">
        <v>3558</v>
      </c>
      <c r="C4880" s="2">
        <v>5</v>
      </c>
      <c r="D4880" t="str">
        <f t="shared" si="76"/>
        <v>CA-2016-157280_FUR-FU-10003806</v>
      </c>
      <c r="E4880" t="str">
        <f>IF(COUNTIF(data1!$D:$D,D4880)=0,"Missing in Data1","Present")</f>
        <v>Present</v>
      </c>
    </row>
    <row r="4881" spans="1:5" x14ac:dyDescent="0.25">
      <c r="A4881" s="2" t="s">
        <v>4215</v>
      </c>
      <c r="B4881" s="2" t="s">
        <v>973</v>
      </c>
      <c r="C4881" s="2">
        <v>2</v>
      </c>
      <c r="D4881" t="str">
        <f t="shared" si="76"/>
        <v>CA-2016-157280_FUR-FU-10004665</v>
      </c>
      <c r="E4881" t="str">
        <f>IF(COUNTIF(data1!$D:$D,D4881)=0,"Missing in Data1","Present")</f>
        <v>Present</v>
      </c>
    </row>
    <row r="4882" spans="1:5" x14ac:dyDescent="0.25">
      <c r="A4882" s="2" t="s">
        <v>4215</v>
      </c>
      <c r="B4882" s="2" t="s">
        <v>4216</v>
      </c>
      <c r="C4882" s="2">
        <v>3</v>
      </c>
      <c r="D4882" t="str">
        <f t="shared" si="76"/>
        <v>CA-2016-157280_TEC-AC-10000057</v>
      </c>
      <c r="E4882" t="str">
        <f>IF(COUNTIF(data1!$D:$D,D4882)=0,"Missing in Data1","Present")</f>
        <v>Present</v>
      </c>
    </row>
    <row r="4883" spans="1:5" x14ac:dyDescent="0.25">
      <c r="A4883" s="2" t="s">
        <v>4217</v>
      </c>
      <c r="B4883" s="2" t="s">
        <v>680</v>
      </c>
      <c r="C4883" s="2">
        <v>4</v>
      </c>
      <c r="D4883" t="str">
        <f t="shared" si="76"/>
        <v>CA-2016-157336_FUR-CH-10004997</v>
      </c>
      <c r="E4883" t="str">
        <f>IF(COUNTIF(data1!$D:$D,D4883)=0,"Missing in Data1","Present")</f>
        <v>Present</v>
      </c>
    </row>
    <row r="4884" spans="1:5" x14ac:dyDescent="0.25">
      <c r="A4884" s="2" t="s">
        <v>4217</v>
      </c>
      <c r="B4884" s="2" t="s">
        <v>2913</v>
      </c>
      <c r="C4884" s="2">
        <v>6</v>
      </c>
      <c r="D4884" t="str">
        <f t="shared" si="76"/>
        <v>CA-2016-157336_OFF-BI-10004236</v>
      </c>
      <c r="E4884" t="str">
        <f>IF(COUNTIF(data1!$D:$D,D4884)=0,"Missing in Data1","Present")</f>
        <v>Present</v>
      </c>
    </row>
    <row r="4885" spans="1:5" x14ac:dyDescent="0.25">
      <c r="A4885" s="2" t="s">
        <v>4218</v>
      </c>
      <c r="B4885" s="2" t="s">
        <v>640</v>
      </c>
      <c r="C4885" s="2">
        <v>2</v>
      </c>
      <c r="D4885" t="str">
        <f t="shared" si="76"/>
        <v>CA-2016-157364_OFF-AR-10003752</v>
      </c>
      <c r="E4885" t="str">
        <f>IF(COUNTIF(data1!$D:$D,D4885)=0,"Missing in Data1","Present")</f>
        <v>Present</v>
      </c>
    </row>
    <row r="4886" spans="1:5" x14ac:dyDescent="0.25">
      <c r="A4886" s="2" t="s">
        <v>4219</v>
      </c>
      <c r="B4886" s="2" t="s">
        <v>1419</v>
      </c>
      <c r="C4886" s="2">
        <v>2</v>
      </c>
      <c r="D4886" t="str">
        <f t="shared" si="76"/>
        <v>CA-2016-157511_FUR-CH-10002647</v>
      </c>
      <c r="E4886" t="str">
        <f>IF(COUNTIF(data1!$D:$D,D4886)=0,"Missing in Data1","Present")</f>
        <v>Present</v>
      </c>
    </row>
    <row r="4887" spans="1:5" x14ac:dyDescent="0.25">
      <c r="A4887" s="2" t="s">
        <v>4219</v>
      </c>
      <c r="B4887" s="2" t="s">
        <v>499</v>
      </c>
      <c r="C4887" s="2">
        <v>3</v>
      </c>
      <c r="D4887" t="str">
        <f t="shared" si="76"/>
        <v>CA-2016-157511_FUR-FU-10002107</v>
      </c>
      <c r="E4887" t="str">
        <f>IF(COUNTIF(data1!$D:$D,D4887)=0,"Missing in Data1","Present")</f>
        <v>Missing in Data1</v>
      </c>
    </row>
    <row r="4888" spans="1:5" x14ac:dyDescent="0.25">
      <c r="A4888" s="2" t="s">
        <v>4219</v>
      </c>
      <c r="B4888" s="2" t="s">
        <v>2005</v>
      </c>
      <c r="C4888" s="2">
        <v>1</v>
      </c>
      <c r="D4888" t="str">
        <f t="shared" si="76"/>
        <v>CA-2016-157511_OFF-AR-10002257</v>
      </c>
      <c r="E4888" t="str">
        <f>IF(COUNTIF(data1!$D:$D,D4888)=0,"Missing in Data1","Present")</f>
        <v>Missing in Data1</v>
      </c>
    </row>
    <row r="4889" spans="1:5" x14ac:dyDescent="0.25">
      <c r="A4889" s="2" t="s">
        <v>4220</v>
      </c>
      <c r="B4889" s="2" t="s">
        <v>2725</v>
      </c>
      <c r="C4889" s="2">
        <v>1</v>
      </c>
      <c r="D4889" t="str">
        <f t="shared" si="76"/>
        <v>CA-2016-157588_FUR-FU-10004848</v>
      </c>
      <c r="E4889" t="str">
        <f>IF(COUNTIF(data1!$D:$D,D4889)=0,"Missing in Data1","Present")</f>
        <v>Present</v>
      </c>
    </row>
    <row r="4890" spans="1:5" x14ac:dyDescent="0.25">
      <c r="A4890" s="2" t="s">
        <v>4220</v>
      </c>
      <c r="B4890" s="2" t="s">
        <v>2668</v>
      </c>
      <c r="C4890" s="2">
        <v>5</v>
      </c>
      <c r="D4890" t="str">
        <f t="shared" si="76"/>
        <v>CA-2016-157588_OFF-BI-10003963</v>
      </c>
      <c r="E4890" t="str">
        <f>IF(COUNTIF(data1!$D:$D,D4890)=0,"Missing in Data1","Present")</f>
        <v>Present</v>
      </c>
    </row>
    <row r="4891" spans="1:5" x14ac:dyDescent="0.25">
      <c r="A4891" s="2" t="s">
        <v>4221</v>
      </c>
      <c r="B4891" s="2" t="s">
        <v>370</v>
      </c>
      <c r="C4891" s="2">
        <v>4</v>
      </c>
      <c r="D4891" t="str">
        <f t="shared" si="76"/>
        <v>CA-2016-157686_FUR-CH-10001146</v>
      </c>
      <c r="E4891" t="str">
        <f>IF(COUNTIF(data1!$D:$D,D4891)=0,"Missing in Data1","Present")</f>
        <v>Present</v>
      </c>
    </row>
    <row r="4892" spans="1:5" x14ac:dyDescent="0.25">
      <c r="A4892" s="2" t="s">
        <v>4222</v>
      </c>
      <c r="B4892" s="2" t="s">
        <v>4223</v>
      </c>
      <c r="C4892" s="2">
        <v>3</v>
      </c>
      <c r="D4892" t="str">
        <f t="shared" si="76"/>
        <v>CA-2016-157707_FUR-BO-10001567</v>
      </c>
      <c r="E4892" t="str">
        <f>IF(COUNTIF(data1!$D:$D,D4892)=0,"Missing in Data1","Present")</f>
        <v>Present</v>
      </c>
    </row>
    <row r="4893" spans="1:5" x14ac:dyDescent="0.25">
      <c r="A4893" s="2" t="s">
        <v>4222</v>
      </c>
      <c r="B4893" s="2" t="s">
        <v>1894</v>
      </c>
      <c r="C4893" s="2">
        <v>1</v>
      </c>
      <c r="D4893" t="str">
        <f t="shared" si="76"/>
        <v>CA-2016-157707_FUR-CH-10004853</v>
      </c>
      <c r="E4893" t="str">
        <f>IF(COUNTIF(data1!$D:$D,D4893)=0,"Missing in Data1","Present")</f>
        <v>Present</v>
      </c>
    </row>
    <row r="4894" spans="1:5" x14ac:dyDescent="0.25">
      <c r="A4894" s="2" t="s">
        <v>4222</v>
      </c>
      <c r="B4894" s="2" t="s">
        <v>1145</v>
      </c>
      <c r="C4894" s="2">
        <v>1</v>
      </c>
      <c r="D4894" t="str">
        <f t="shared" si="76"/>
        <v>CA-2016-157707_TEC-PH-10002583</v>
      </c>
      <c r="E4894" t="str">
        <f>IF(COUNTIF(data1!$D:$D,D4894)=0,"Missing in Data1","Present")</f>
        <v>Present</v>
      </c>
    </row>
    <row r="4895" spans="1:5" x14ac:dyDescent="0.25">
      <c r="A4895" s="2" t="s">
        <v>4224</v>
      </c>
      <c r="B4895" s="2" t="s">
        <v>4225</v>
      </c>
      <c r="C4895" s="2">
        <v>1</v>
      </c>
      <c r="D4895" t="str">
        <f t="shared" si="76"/>
        <v>CA-2016-157714_OFF-PA-10004022</v>
      </c>
      <c r="E4895" t="str">
        <f>IF(COUNTIF(data1!$D:$D,D4895)=0,"Missing in Data1","Present")</f>
        <v>Present</v>
      </c>
    </row>
    <row r="4896" spans="1:5" x14ac:dyDescent="0.25">
      <c r="A4896" s="2" t="s">
        <v>4226</v>
      </c>
      <c r="B4896" s="2" t="s">
        <v>1204</v>
      </c>
      <c r="C4896" s="2">
        <v>3</v>
      </c>
      <c r="D4896" t="str">
        <f t="shared" si="76"/>
        <v>CA-2016-157742_OFF-EN-10002592</v>
      </c>
      <c r="E4896" t="str">
        <f>IF(COUNTIF(data1!$D:$D,D4896)=0,"Missing in Data1","Present")</f>
        <v>Present</v>
      </c>
    </row>
    <row r="4897" spans="1:5" x14ac:dyDescent="0.25">
      <c r="A4897" s="2" t="s">
        <v>4227</v>
      </c>
      <c r="B4897" s="2" t="s">
        <v>2704</v>
      </c>
      <c r="C4897" s="2">
        <v>5</v>
      </c>
      <c r="D4897" t="str">
        <f t="shared" si="76"/>
        <v>CA-2016-157749_FUR-FU-10000576</v>
      </c>
      <c r="E4897" t="str">
        <f>IF(COUNTIF(data1!$D:$D,D4897)=0,"Missing in Data1","Present")</f>
        <v>Missing in Data1</v>
      </c>
    </row>
    <row r="4898" spans="1:5" x14ac:dyDescent="0.25">
      <c r="A4898" s="2" t="s">
        <v>4227</v>
      </c>
      <c r="B4898" s="2" t="s">
        <v>876</v>
      </c>
      <c r="C4898" s="2">
        <v>3</v>
      </c>
      <c r="D4898" t="str">
        <f t="shared" si="76"/>
        <v>CA-2016-157749_FUR-FU-10002505</v>
      </c>
      <c r="E4898" t="str">
        <f>IF(COUNTIF(data1!$D:$D,D4898)=0,"Missing in Data1","Present")</f>
        <v>Present</v>
      </c>
    </row>
    <row r="4899" spans="1:5" x14ac:dyDescent="0.25">
      <c r="A4899" s="2" t="s">
        <v>4227</v>
      </c>
      <c r="B4899" s="2" t="s">
        <v>1293</v>
      </c>
      <c r="C4899" s="2">
        <v>3</v>
      </c>
      <c r="D4899" t="str">
        <f t="shared" si="76"/>
        <v>CA-2016-157749_FUR-FU-10004351</v>
      </c>
      <c r="E4899" t="str">
        <f>IF(COUNTIF(data1!$D:$D,D4899)=0,"Missing in Data1","Present")</f>
        <v>Present</v>
      </c>
    </row>
    <row r="4900" spans="1:5" x14ac:dyDescent="0.25">
      <c r="A4900" s="2" t="s">
        <v>4227</v>
      </c>
      <c r="B4900" s="2" t="s">
        <v>752</v>
      </c>
      <c r="C4900" s="2">
        <v>5</v>
      </c>
      <c r="D4900" t="str">
        <f t="shared" si="76"/>
        <v>CA-2016-157749_FUR-TA-10002607</v>
      </c>
      <c r="E4900" t="str">
        <f>IF(COUNTIF(data1!$D:$D,D4900)=0,"Missing in Data1","Present")</f>
        <v>Missing in Data1</v>
      </c>
    </row>
    <row r="4901" spans="1:5" x14ac:dyDescent="0.25">
      <c r="A4901" s="2" t="s">
        <v>4227</v>
      </c>
      <c r="B4901" s="2" t="s">
        <v>1194</v>
      </c>
      <c r="C4901" s="2">
        <v>2</v>
      </c>
      <c r="D4901" t="str">
        <f t="shared" si="76"/>
        <v>CA-2016-157749_OFF-AR-10004685</v>
      </c>
      <c r="E4901" t="str">
        <f>IF(COUNTIF(data1!$D:$D,D4901)=0,"Missing in Data1","Present")</f>
        <v>Present</v>
      </c>
    </row>
    <row r="4902" spans="1:5" x14ac:dyDescent="0.25">
      <c r="A4902" s="2" t="s">
        <v>4227</v>
      </c>
      <c r="B4902" s="2" t="s">
        <v>105</v>
      </c>
      <c r="C4902" s="2">
        <v>5</v>
      </c>
      <c r="D4902" t="str">
        <f t="shared" si="76"/>
        <v>CA-2016-157749_OFF-PA-10003349</v>
      </c>
      <c r="E4902" t="str">
        <f>IF(COUNTIF(data1!$D:$D,D4902)=0,"Missing in Data1","Present")</f>
        <v>Present</v>
      </c>
    </row>
    <row r="4903" spans="1:5" x14ac:dyDescent="0.25">
      <c r="A4903" s="2" t="s">
        <v>4227</v>
      </c>
      <c r="B4903" s="2" t="s">
        <v>2588</v>
      </c>
      <c r="C4903" s="2">
        <v>2</v>
      </c>
      <c r="D4903" t="str">
        <f t="shared" si="76"/>
        <v>CA-2016-157749_TEC-PH-10000011</v>
      </c>
      <c r="E4903" t="str">
        <f>IF(COUNTIF(data1!$D:$D,D4903)=0,"Missing in Data1","Present")</f>
        <v>Present</v>
      </c>
    </row>
    <row r="4904" spans="1:5" x14ac:dyDescent="0.25">
      <c r="A4904" s="2" t="s">
        <v>4228</v>
      </c>
      <c r="B4904" s="2" t="s">
        <v>221</v>
      </c>
      <c r="C4904" s="2">
        <v>1</v>
      </c>
      <c r="D4904" t="str">
        <f t="shared" si="76"/>
        <v>CA-2016-157763_FUR-CH-10000988</v>
      </c>
      <c r="E4904" t="str">
        <f>IF(COUNTIF(data1!$D:$D,D4904)=0,"Missing in Data1","Present")</f>
        <v>Present</v>
      </c>
    </row>
    <row r="4905" spans="1:5" x14ac:dyDescent="0.25">
      <c r="A4905" s="2" t="s">
        <v>4229</v>
      </c>
      <c r="B4905" s="2" t="s">
        <v>1688</v>
      </c>
      <c r="C4905" s="2">
        <v>4</v>
      </c>
      <c r="D4905" t="str">
        <f t="shared" si="76"/>
        <v>CA-2016-157791_TEC-CO-10002095</v>
      </c>
      <c r="E4905" t="str">
        <f>IF(COUNTIF(data1!$D:$D,D4905)=0,"Missing in Data1","Present")</f>
        <v>Present</v>
      </c>
    </row>
    <row r="4906" spans="1:5" x14ac:dyDescent="0.25">
      <c r="A4906" s="2" t="s">
        <v>4231</v>
      </c>
      <c r="B4906" s="2" t="s">
        <v>563</v>
      </c>
      <c r="C4906" s="2">
        <v>5</v>
      </c>
      <c r="D4906" t="str">
        <f t="shared" si="76"/>
        <v>CA-2016-158001_OFF-AP-10002118</v>
      </c>
      <c r="E4906" t="str">
        <f>IF(COUNTIF(data1!$D:$D,D4906)=0,"Missing in Data1","Present")</f>
        <v>Present</v>
      </c>
    </row>
    <row r="4907" spans="1:5" x14ac:dyDescent="0.25">
      <c r="A4907" s="2" t="s">
        <v>4231</v>
      </c>
      <c r="B4907" s="2" t="s">
        <v>1666</v>
      </c>
      <c r="C4907" s="2">
        <v>6</v>
      </c>
      <c r="D4907" t="str">
        <f t="shared" si="76"/>
        <v>CA-2016-158001_OFF-AR-10001954</v>
      </c>
      <c r="E4907" t="str">
        <f>IF(COUNTIF(data1!$D:$D,D4907)=0,"Missing in Data1","Present")</f>
        <v>Present</v>
      </c>
    </row>
    <row r="4908" spans="1:5" x14ac:dyDescent="0.25">
      <c r="A4908" s="2" t="s">
        <v>4232</v>
      </c>
      <c r="B4908" s="2" t="s">
        <v>860</v>
      </c>
      <c r="C4908" s="2">
        <v>2</v>
      </c>
      <c r="D4908" t="str">
        <f t="shared" si="76"/>
        <v>CA-2016-158043_OFF-EN-10003134</v>
      </c>
      <c r="E4908" t="str">
        <f>IF(COUNTIF(data1!$D:$D,D4908)=0,"Missing in Data1","Present")</f>
        <v>Present</v>
      </c>
    </row>
    <row r="4909" spans="1:5" x14ac:dyDescent="0.25">
      <c r="A4909" s="2" t="s">
        <v>4233</v>
      </c>
      <c r="B4909" s="2" t="s">
        <v>2499</v>
      </c>
      <c r="C4909" s="2">
        <v>5</v>
      </c>
      <c r="D4909" t="str">
        <f t="shared" si="76"/>
        <v>CA-2016-158099_OFF-BI-10000545</v>
      </c>
      <c r="E4909" t="str">
        <f>IF(COUNTIF(data1!$D:$D,D4909)=0,"Missing in Data1","Present")</f>
        <v>Present</v>
      </c>
    </row>
    <row r="4910" spans="1:5" x14ac:dyDescent="0.25">
      <c r="A4910" s="2" t="s">
        <v>4233</v>
      </c>
      <c r="B4910" s="2" t="s">
        <v>2176</v>
      </c>
      <c r="C4910" s="2">
        <v>3</v>
      </c>
      <c r="D4910" t="str">
        <f t="shared" si="76"/>
        <v>CA-2016-158099_TEC-PH-10002496</v>
      </c>
      <c r="E4910" t="str">
        <f>IF(COUNTIF(data1!$D:$D,D4910)=0,"Missing in Data1","Present")</f>
        <v>Present</v>
      </c>
    </row>
    <row r="4911" spans="1:5" x14ac:dyDescent="0.25">
      <c r="A4911" s="2" t="s">
        <v>4234</v>
      </c>
      <c r="B4911" s="2" t="s">
        <v>2300</v>
      </c>
      <c r="C4911" s="2">
        <v>2</v>
      </c>
      <c r="D4911" t="str">
        <f t="shared" si="76"/>
        <v>CA-2016-158155_FUR-FU-10000732</v>
      </c>
      <c r="E4911" t="str">
        <f>IF(COUNTIF(data1!$D:$D,D4911)=0,"Missing in Data1","Present")</f>
        <v>Present</v>
      </c>
    </row>
    <row r="4912" spans="1:5" x14ac:dyDescent="0.25">
      <c r="A4912" s="2" t="s">
        <v>4234</v>
      </c>
      <c r="B4912" s="2" t="s">
        <v>491</v>
      </c>
      <c r="C4912" s="2">
        <v>5</v>
      </c>
      <c r="D4912" t="str">
        <f t="shared" si="76"/>
        <v>CA-2016-158155_FUR-FU-10002253</v>
      </c>
      <c r="E4912" t="str">
        <f>IF(COUNTIF(data1!$D:$D,D4912)=0,"Missing in Data1","Present")</f>
        <v>Present</v>
      </c>
    </row>
    <row r="4913" spans="1:5" x14ac:dyDescent="0.25">
      <c r="A4913" s="2" t="s">
        <v>4234</v>
      </c>
      <c r="B4913" s="2" t="s">
        <v>267</v>
      </c>
      <c r="C4913" s="2">
        <v>3</v>
      </c>
      <c r="D4913" t="str">
        <f t="shared" si="76"/>
        <v>CA-2016-158155_OFF-BI-10001670</v>
      </c>
      <c r="E4913" t="str">
        <f>IF(COUNTIF(data1!$D:$D,D4913)=0,"Missing in Data1","Present")</f>
        <v>Present</v>
      </c>
    </row>
    <row r="4914" spans="1:5" x14ac:dyDescent="0.25">
      <c r="A4914" s="2" t="s">
        <v>4234</v>
      </c>
      <c r="B4914" s="2" t="s">
        <v>721</v>
      </c>
      <c r="C4914" s="2">
        <v>2</v>
      </c>
      <c r="D4914" t="str">
        <f t="shared" si="76"/>
        <v>CA-2016-158155_OFF-PA-10000533</v>
      </c>
      <c r="E4914" t="str">
        <f>IF(COUNTIF(data1!$D:$D,D4914)=0,"Missing in Data1","Present")</f>
        <v>Present</v>
      </c>
    </row>
    <row r="4915" spans="1:5" x14ac:dyDescent="0.25">
      <c r="A4915" s="2" t="s">
        <v>4235</v>
      </c>
      <c r="B4915" s="2" t="s">
        <v>1096</v>
      </c>
      <c r="C4915" s="2">
        <v>1</v>
      </c>
      <c r="D4915" t="str">
        <f t="shared" si="76"/>
        <v>CA-2016-158211_OFF-AR-10004078</v>
      </c>
      <c r="E4915" t="str">
        <f>IF(COUNTIF(data1!$D:$D,D4915)=0,"Missing in Data1","Present")</f>
        <v>Present</v>
      </c>
    </row>
    <row r="4916" spans="1:5" x14ac:dyDescent="0.25">
      <c r="A4916" s="2" t="s">
        <v>4235</v>
      </c>
      <c r="B4916" s="2" t="s">
        <v>637</v>
      </c>
      <c r="C4916" s="2">
        <v>6</v>
      </c>
      <c r="D4916" t="str">
        <f t="shared" si="76"/>
        <v>CA-2016-158211_OFF-BI-10002026</v>
      </c>
      <c r="E4916" t="str">
        <f>IF(COUNTIF(data1!$D:$D,D4916)=0,"Missing in Data1","Present")</f>
        <v>Present</v>
      </c>
    </row>
    <row r="4917" spans="1:5" x14ac:dyDescent="0.25">
      <c r="A4917" s="2" t="s">
        <v>4236</v>
      </c>
      <c r="B4917" s="2" t="s">
        <v>4237</v>
      </c>
      <c r="C4917" s="2">
        <v>2</v>
      </c>
      <c r="D4917" t="str">
        <f t="shared" si="76"/>
        <v>CA-2016-158260_TEC-MA-10003176</v>
      </c>
      <c r="E4917" t="str">
        <f>IF(COUNTIF(data1!$D:$D,D4917)=0,"Missing in Data1","Present")</f>
        <v>Present</v>
      </c>
    </row>
    <row r="4918" spans="1:5" x14ac:dyDescent="0.25">
      <c r="A4918" s="2" t="s">
        <v>4238</v>
      </c>
      <c r="B4918" s="2" t="s">
        <v>1968</v>
      </c>
      <c r="C4918" s="2">
        <v>3</v>
      </c>
      <c r="D4918" t="str">
        <f t="shared" si="76"/>
        <v>CA-2016-158302_OFF-PA-10002615</v>
      </c>
      <c r="E4918" t="str">
        <f>IF(COUNTIF(data1!$D:$D,D4918)=0,"Missing in Data1","Present")</f>
        <v>Present</v>
      </c>
    </row>
    <row r="4919" spans="1:5" x14ac:dyDescent="0.25">
      <c r="A4919" s="2" t="s">
        <v>4239</v>
      </c>
      <c r="B4919" s="2" t="s">
        <v>710</v>
      </c>
      <c r="C4919" s="2">
        <v>2</v>
      </c>
      <c r="D4919" t="str">
        <f t="shared" si="76"/>
        <v>CA-2016-158358_TEC-AC-10002567</v>
      </c>
      <c r="E4919" t="str">
        <f>IF(COUNTIF(data1!$D:$D,D4919)=0,"Missing in Data1","Present")</f>
        <v>Present</v>
      </c>
    </row>
    <row r="4920" spans="1:5" x14ac:dyDescent="0.25">
      <c r="A4920" s="2" t="s">
        <v>4240</v>
      </c>
      <c r="B4920" s="2" t="s">
        <v>1238</v>
      </c>
      <c r="C4920" s="2">
        <v>4</v>
      </c>
      <c r="D4920" t="str">
        <f t="shared" si="76"/>
        <v>CA-2016-158435_FUR-FU-10003975</v>
      </c>
      <c r="E4920" t="str">
        <f>IF(COUNTIF(data1!$D:$D,D4920)=0,"Missing in Data1","Present")</f>
        <v>Present</v>
      </c>
    </row>
    <row r="4921" spans="1:5" x14ac:dyDescent="0.25">
      <c r="A4921" s="2" t="s">
        <v>4240</v>
      </c>
      <c r="B4921" s="2" t="s">
        <v>77</v>
      </c>
      <c r="C4921" s="2">
        <v>2</v>
      </c>
      <c r="D4921" t="str">
        <f t="shared" si="76"/>
        <v>CA-2016-158435_OFF-LA-10002475</v>
      </c>
      <c r="E4921" t="str">
        <f>IF(COUNTIF(data1!$D:$D,D4921)=0,"Missing in Data1","Present")</f>
        <v>Present</v>
      </c>
    </row>
    <row r="4922" spans="1:5" x14ac:dyDescent="0.25">
      <c r="A4922" s="2" t="s">
        <v>4240</v>
      </c>
      <c r="B4922" s="2" t="s">
        <v>1822</v>
      </c>
      <c r="C4922" s="2">
        <v>7</v>
      </c>
      <c r="D4922" t="str">
        <f t="shared" si="76"/>
        <v>CA-2016-158435_OFF-SU-10000381</v>
      </c>
      <c r="E4922" t="str">
        <f>IF(COUNTIF(data1!$D:$D,D4922)=0,"Missing in Data1","Present")</f>
        <v>Present</v>
      </c>
    </row>
    <row r="4923" spans="1:5" x14ac:dyDescent="0.25">
      <c r="A4923" s="2" t="s">
        <v>4241</v>
      </c>
      <c r="B4923" s="2" t="s">
        <v>816</v>
      </c>
      <c r="C4923" s="2">
        <v>5</v>
      </c>
      <c r="D4923" t="str">
        <f t="shared" si="76"/>
        <v>CA-2016-158547_OFF-AP-10003842</v>
      </c>
      <c r="E4923" t="str">
        <f>IF(COUNTIF(data1!$D:$D,D4923)=0,"Missing in Data1","Present")</f>
        <v>Present</v>
      </c>
    </row>
    <row r="4924" spans="1:5" x14ac:dyDescent="0.25">
      <c r="A4924" s="2" t="s">
        <v>4242</v>
      </c>
      <c r="B4924" s="2" t="s">
        <v>459</v>
      </c>
      <c r="C4924" s="2">
        <v>3</v>
      </c>
      <c r="D4924" t="str">
        <f t="shared" si="76"/>
        <v>CA-2016-158568_OFF-BI-10002609</v>
      </c>
      <c r="E4924" t="str">
        <f>IF(COUNTIF(data1!$D:$D,D4924)=0,"Missing in Data1","Present")</f>
        <v>Present</v>
      </c>
    </row>
    <row r="4925" spans="1:5" x14ac:dyDescent="0.25">
      <c r="A4925" s="2" t="s">
        <v>4242</v>
      </c>
      <c r="B4925" s="2" t="s">
        <v>1946</v>
      </c>
      <c r="C4925" s="2">
        <v>7</v>
      </c>
      <c r="D4925" t="str">
        <f t="shared" si="76"/>
        <v>CA-2016-158568_OFF-PA-10003256</v>
      </c>
      <c r="E4925" t="str">
        <f>IF(COUNTIF(data1!$D:$D,D4925)=0,"Missing in Data1","Present")</f>
        <v>Present</v>
      </c>
    </row>
    <row r="4926" spans="1:5" x14ac:dyDescent="0.25">
      <c r="A4926" s="2" t="s">
        <v>4243</v>
      </c>
      <c r="B4926" s="2" t="s">
        <v>1182</v>
      </c>
      <c r="C4926" s="2">
        <v>6</v>
      </c>
      <c r="D4926" t="str">
        <f t="shared" si="76"/>
        <v>CA-2016-158575_OFF-AP-10002998</v>
      </c>
      <c r="E4926" t="str">
        <f>IF(COUNTIF(data1!$D:$D,D4926)=0,"Missing in Data1","Present")</f>
        <v>Present</v>
      </c>
    </row>
    <row r="4927" spans="1:5" x14ac:dyDescent="0.25">
      <c r="A4927" s="2" t="s">
        <v>4244</v>
      </c>
      <c r="B4927" s="2" t="s">
        <v>2149</v>
      </c>
      <c r="C4927" s="2">
        <v>2</v>
      </c>
      <c r="D4927" t="str">
        <f t="shared" si="76"/>
        <v>CA-2016-158610_OFF-ST-10000604</v>
      </c>
      <c r="E4927" t="str">
        <f>IF(COUNTIF(data1!$D:$D,D4927)=0,"Missing in Data1","Present")</f>
        <v>Present</v>
      </c>
    </row>
    <row r="4928" spans="1:5" x14ac:dyDescent="0.25">
      <c r="A4928" s="2" t="s">
        <v>4245</v>
      </c>
      <c r="B4928" s="2" t="s">
        <v>1094</v>
      </c>
      <c r="C4928" s="2">
        <v>6</v>
      </c>
      <c r="D4928" t="str">
        <f t="shared" si="76"/>
        <v>CA-2016-158617_OFF-PA-10002245</v>
      </c>
      <c r="E4928" t="str">
        <f>IF(COUNTIF(data1!$D:$D,D4928)=0,"Missing in Data1","Present")</f>
        <v>Present</v>
      </c>
    </row>
    <row r="4929" spans="1:5" x14ac:dyDescent="0.25">
      <c r="A4929" s="2" t="s">
        <v>4246</v>
      </c>
      <c r="B4929" s="2" t="s">
        <v>1397</v>
      </c>
      <c r="C4929" s="2">
        <v>9</v>
      </c>
      <c r="D4929" t="str">
        <f t="shared" si="76"/>
        <v>CA-2016-158694_FUR-FU-10000965</v>
      </c>
      <c r="E4929" t="str">
        <f>IF(COUNTIF(data1!$D:$D,D4929)=0,"Missing in Data1","Present")</f>
        <v>Present</v>
      </c>
    </row>
    <row r="4930" spans="1:5" x14ac:dyDescent="0.25">
      <c r="A4930" s="2" t="s">
        <v>4246</v>
      </c>
      <c r="B4930" s="2" t="s">
        <v>3301</v>
      </c>
      <c r="C4930" s="2">
        <v>4</v>
      </c>
      <c r="D4930" t="str">
        <f t="shared" si="76"/>
        <v>CA-2016-158694_OFF-AP-10000055</v>
      </c>
      <c r="E4930" t="str">
        <f>IF(COUNTIF(data1!$D:$D,D4930)=0,"Missing in Data1","Present")</f>
        <v>Present</v>
      </c>
    </row>
    <row r="4931" spans="1:5" x14ac:dyDescent="0.25">
      <c r="A4931" s="2" t="s">
        <v>4246</v>
      </c>
      <c r="B4931" s="2" t="s">
        <v>4247</v>
      </c>
      <c r="C4931" s="2">
        <v>5</v>
      </c>
      <c r="D4931" t="str">
        <f t="shared" ref="D4931:D4994" si="77">A4931&amp;"_"&amp;B4931</f>
        <v>CA-2016-158694_OFF-AR-10001227</v>
      </c>
      <c r="E4931" t="str">
        <f>IF(COUNTIF(data1!$D:$D,D4931)=0,"Missing in Data1","Present")</f>
        <v>Present</v>
      </c>
    </row>
    <row r="4932" spans="1:5" x14ac:dyDescent="0.25">
      <c r="A4932" s="2" t="s">
        <v>4246</v>
      </c>
      <c r="B4932" s="2" t="s">
        <v>853</v>
      </c>
      <c r="C4932" s="2">
        <v>3</v>
      </c>
      <c r="D4932" t="str">
        <f t="shared" si="77"/>
        <v>CA-2016-158694_OFF-BI-10004656</v>
      </c>
      <c r="E4932" t="str">
        <f>IF(COUNTIF(data1!$D:$D,D4932)=0,"Missing in Data1","Present")</f>
        <v>Present</v>
      </c>
    </row>
    <row r="4933" spans="1:5" x14ac:dyDescent="0.25">
      <c r="A4933" s="2" t="s">
        <v>4246</v>
      </c>
      <c r="B4933" s="2" t="s">
        <v>60</v>
      </c>
      <c r="C4933" s="2">
        <v>5</v>
      </c>
      <c r="D4933" t="str">
        <f t="shared" si="77"/>
        <v>CA-2016-158694_OFF-PA-10001363</v>
      </c>
      <c r="E4933" t="str">
        <f>IF(COUNTIF(data1!$D:$D,D4933)=0,"Missing in Data1","Present")</f>
        <v>Present</v>
      </c>
    </row>
    <row r="4934" spans="1:5" x14ac:dyDescent="0.25">
      <c r="A4934" s="2" t="s">
        <v>4246</v>
      </c>
      <c r="B4934" s="2" t="s">
        <v>3620</v>
      </c>
      <c r="C4934" s="2">
        <v>3</v>
      </c>
      <c r="D4934" t="str">
        <f t="shared" si="77"/>
        <v>CA-2016-158694_OFF-PA-10002421</v>
      </c>
      <c r="E4934" t="str">
        <f>IF(COUNTIF(data1!$D:$D,D4934)=0,"Missing in Data1","Present")</f>
        <v>Missing in Data1</v>
      </c>
    </row>
    <row r="4935" spans="1:5" x14ac:dyDescent="0.25">
      <c r="A4935" s="2" t="s">
        <v>4246</v>
      </c>
      <c r="B4935" s="2" t="s">
        <v>258</v>
      </c>
      <c r="C4935" s="2">
        <v>4</v>
      </c>
      <c r="D4935" t="str">
        <f t="shared" si="77"/>
        <v>CA-2016-158694_OFF-ST-10001496</v>
      </c>
      <c r="E4935" t="str">
        <f>IF(COUNTIF(data1!$D:$D,D4935)=0,"Missing in Data1","Present")</f>
        <v>Present</v>
      </c>
    </row>
    <row r="4936" spans="1:5" x14ac:dyDescent="0.25">
      <c r="A4936" s="2" t="s">
        <v>4248</v>
      </c>
      <c r="B4936" s="2" t="s">
        <v>2351</v>
      </c>
      <c r="C4936" s="2">
        <v>3</v>
      </c>
      <c r="D4936" t="str">
        <f t="shared" si="77"/>
        <v>CA-2016-158778_FUR-CH-10000309</v>
      </c>
      <c r="E4936" t="str">
        <f>IF(COUNTIF(data1!$D:$D,D4936)=0,"Missing in Data1","Present")</f>
        <v>Present</v>
      </c>
    </row>
    <row r="4937" spans="1:5" x14ac:dyDescent="0.25">
      <c r="A4937" s="2" t="s">
        <v>4248</v>
      </c>
      <c r="B4937" s="2" t="s">
        <v>370</v>
      </c>
      <c r="C4937" s="2">
        <v>2</v>
      </c>
      <c r="D4937" t="str">
        <f t="shared" si="77"/>
        <v>CA-2016-158778_FUR-CH-10001146</v>
      </c>
      <c r="E4937" t="str">
        <f>IF(COUNTIF(data1!$D:$D,D4937)=0,"Missing in Data1","Present")</f>
        <v>Present</v>
      </c>
    </row>
    <row r="4938" spans="1:5" x14ac:dyDescent="0.25">
      <c r="A4938" s="2" t="s">
        <v>4248</v>
      </c>
      <c r="B4938" s="2" t="s">
        <v>3720</v>
      </c>
      <c r="C4938" s="2">
        <v>9</v>
      </c>
      <c r="D4938" t="str">
        <f t="shared" si="77"/>
        <v>CA-2016-158778_FUR-FU-10000260</v>
      </c>
      <c r="E4938" t="str">
        <f>IF(COUNTIF(data1!$D:$D,D4938)=0,"Missing in Data1","Present")</f>
        <v>Present</v>
      </c>
    </row>
    <row r="4939" spans="1:5" x14ac:dyDescent="0.25">
      <c r="A4939" s="2" t="s">
        <v>4248</v>
      </c>
      <c r="B4939" s="2" t="s">
        <v>828</v>
      </c>
      <c r="C4939" s="2">
        <v>3</v>
      </c>
      <c r="D4939" t="str">
        <f t="shared" si="77"/>
        <v>CA-2016-158778_OFF-AR-10000896</v>
      </c>
      <c r="E4939" t="str">
        <f>IF(COUNTIF(data1!$D:$D,D4939)=0,"Missing in Data1","Present")</f>
        <v>Missing in Data1</v>
      </c>
    </row>
    <row r="4940" spans="1:5" x14ac:dyDescent="0.25">
      <c r="A4940" s="2" t="s">
        <v>4249</v>
      </c>
      <c r="B4940" s="2" t="s">
        <v>461</v>
      </c>
      <c r="C4940" s="2">
        <v>3</v>
      </c>
      <c r="D4940" t="str">
        <f t="shared" si="77"/>
        <v>CA-2016-158806_FUR-FU-10004270</v>
      </c>
      <c r="E4940" t="str">
        <f>IF(COUNTIF(data1!$D:$D,D4940)=0,"Missing in Data1","Present")</f>
        <v>Present</v>
      </c>
    </row>
    <row r="4941" spans="1:5" x14ac:dyDescent="0.25">
      <c r="A4941" s="2" t="s">
        <v>4249</v>
      </c>
      <c r="B4941" s="2" t="s">
        <v>2081</v>
      </c>
      <c r="C4941" s="2">
        <v>5</v>
      </c>
      <c r="D4941" t="str">
        <f t="shared" si="77"/>
        <v>CA-2016-158806_OFF-PA-10004621</v>
      </c>
      <c r="E4941" t="str">
        <f>IF(COUNTIF(data1!$D:$D,D4941)=0,"Missing in Data1","Present")</f>
        <v>Present</v>
      </c>
    </row>
    <row r="4942" spans="1:5" x14ac:dyDescent="0.25">
      <c r="A4942" s="2" t="s">
        <v>4250</v>
      </c>
      <c r="B4942" s="2" t="s">
        <v>2886</v>
      </c>
      <c r="C4942" s="2">
        <v>2</v>
      </c>
      <c r="D4942" t="str">
        <f t="shared" si="77"/>
        <v>CA-2016-158834_TEC-PH-10001254</v>
      </c>
      <c r="E4942" t="str">
        <f>IF(COUNTIF(data1!$D:$D,D4942)=0,"Missing in Data1","Present")</f>
        <v>Present</v>
      </c>
    </row>
    <row r="4943" spans="1:5" x14ac:dyDescent="0.25">
      <c r="A4943" s="2" t="s">
        <v>4252</v>
      </c>
      <c r="B4943" s="2" t="s">
        <v>128</v>
      </c>
      <c r="C4943" s="2">
        <v>7</v>
      </c>
      <c r="D4943" t="str">
        <f t="shared" si="77"/>
        <v>CA-2016-158841_FUR-FU-10001731</v>
      </c>
      <c r="E4943" t="str">
        <f>IF(COUNTIF(data1!$D:$D,D4943)=0,"Missing in Data1","Present")</f>
        <v>Present</v>
      </c>
    </row>
    <row r="4944" spans="1:5" x14ac:dyDescent="0.25">
      <c r="A4944" s="2" t="s">
        <v>4252</v>
      </c>
      <c r="B4944" s="2" t="s">
        <v>1825</v>
      </c>
      <c r="C4944" s="2">
        <v>8</v>
      </c>
      <c r="D4944" t="str">
        <f t="shared" si="77"/>
        <v>CA-2016-158841_OFF-BI-10002557</v>
      </c>
      <c r="E4944" t="str">
        <f>IF(COUNTIF(data1!$D:$D,D4944)=0,"Missing in Data1","Present")</f>
        <v>Present</v>
      </c>
    </row>
    <row r="4945" spans="1:5" x14ac:dyDescent="0.25">
      <c r="A4945" s="2" t="s">
        <v>4252</v>
      </c>
      <c r="B4945" s="2" t="s">
        <v>866</v>
      </c>
      <c r="C4945" s="2">
        <v>5</v>
      </c>
      <c r="D4945" t="str">
        <f t="shared" si="77"/>
        <v>CA-2016-158841_TEC-MA-10001127</v>
      </c>
      <c r="E4945" t="str">
        <f>IF(COUNTIF(data1!$D:$D,D4945)=0,"Missing in Data1","Present")</f>
        <v>Missing in Data1</v>
      </c>
    </row>
    <row r="4946" spans="1:5" x14ac:dyDescent="0.25">
      <c r="A4946" s="2" t="s">
        <v>4253</v>
      </c>
      <c r="B4946" s="2" t="s">
        <v>433</v>
      </c>
      <c r="C4946" s="2">
        <v>2</v>
      </c>
      <c r="D4946" t="str">
        <f t="shared" si="77"/>
        <v>CA-2016-158869_OFF-PA-10000474</v>
      </c>
      <c r="E4946" t="str">
        <f>IF(COUNTIF(data1!$D:$D,D4946)=0,"Missing in Data1","Present")</f>
        <v>Present</v>
      </c>
    </row>
    <row r="4947" spans="1:5" x14ac:dyDescent="0.25">
      <c r="A4947" s="2" t="s">
        <v>4254</v>
      </c>
      <c r="B4947" s="2" t="s">
        <v>1724</v>
      </c>
      <c r="C4947" s="2">
        <v>3</v>
      </c>
      <c r="D4947" t="str">
        <f t="shared" si="77"/>
        <v>CA-2016-158925_OFF-PA-10003072</v>
      </c>
      <c r="E4947" t="str">
        <f>IF(COUNTIF(data1!$D:$D,D4947)=0,"Missing in Data1","Present")</f>
        <v>Present</v>
      </c>
    </row>
    <row r="4948" spans="1:5" x14ac:dyDescent="0.25">
      <c r="A4948" s="2" t="s">
        <v>4255</v>
      </c>
      <c r="B4948" s="2" t="s">
        <v>858</v>
      </c>
      <c r="C4948" s="2">
        <v>3</v>
      </c>
      <c r="D4948" t="str">
        <f t="shared" si="77"/>
        <v>CA-2016-159009_FUR-CH-10003396</v>
      </c>
      <c r="E4948" t="str">
        <f>IF(COUNTIF(data1!$D:$D,D4948)=0,"Missing in Data1","Present")</f>
        <v>Present</v>
      </c>
    </row>
    <row r="4949" spans="1:5" x14ac:dyDescent="0.25">
      <c r="A4949" s="2" t="s">
        <v>4255</v>
      </c>
      <c r="B4949" s="2" t="s">
        <v>651</v>
      </c>
      <c r="C4949" s="2">
        <v>4</v>
      </c>
      <c r="D4949" t="str">
        <f t="shared" si="77"/>
        <v>CA-2016-159009_OFF-BI-10004970</v>
      </c>
      <c r="E4949" t="str">
        <f>IF(COUNTIF(data1!$D:$D,D4949)=0,"Missing in Data1","Present")</f>
        <v>Present</v>
      </c>
    </row>
    <row r="4950" spans="1:5" x14ac:dyDescent="0.25">
      <c r="A4950" s="2" t="s">
        <v>4256</v>
      </c>
      <c r="B4950" s="2" t="s">
        <v>4257</v>
      </c>
      <c r="C4950" s="2">
        <v>5</v>
      </c>
      <c r="D4950" t="str">
        <f t="shared" si="77"/>
        <v>CA-2016-159016_OFF-PA-10004405</v>
      </c>
      <c r="E4950" t="str">
        <f>IF(COUNTIF(data1!$D:$D,D4950)=0,"Missing in Data1","Present")</f>
        <v>Present</v>
      </c>
    </row>
    <row r="4951" spans="1:5" x14ac:dyDescent="0.25">
      <c r="A4951" s="2" t="s">
        <v>4256</v>
      </c>
      <c r="B4951" s="2" t="s">
        <v>133</v>
      </c>
      <c r="C4951" s="2">
        <v>8</v>
      </c>
      <c r="D4951" t="str">
        <f t="shared" si="77"/>
        <v>CA-2016-159016_TEC-PH-10002885</v>
      </c>
      <c r="E4951" t="str">
        <f>IF(COUNTIF(data1!$D:$D,D4951)=0,"Missing in Data1","Present")</f>
        <v>Present</v>
      </c>
    </row>
    <row r="4952" spans="1:5" x14ac:dyDescent="0.25">
      <c r="A4952" s="2" t="s">
        <v>4258</v>
      </c>
      <c r="B4952" s="2" t="s">
        <v>2917</v>
      </c>
      <c r="C4952" s="2">
        <v>7</v>
      </c>
      <c r="D4952" t="str">
        <f t="shared" si="77"/>
        <v>CA-2016-159023_OFF-BI-10002813</v>
      </c>
      <c r="E4952" t="str">
        <f>IF(COUNTIF(data1!$D:$D,D4952)=0,"Missing in Data1","Present")</f>
        <v>Present</v>
      </c>
    </row>
    <row r="4953" spans="1:5" x14ac:dyDescent="0.25">
      <c r="A4953" s="2" t="s">
        <v>4258</v>
      </c>
      <c r="B4953" s="2" t="s">
        <v>4259</v>
      </c>
      <c r="C4953" s="2">
        <v>3</v>
      </c>
      <c r="D4953" t="str">
        <f t="shared" si="77"/>
        <v>CA-2016-159023_TEC-MA-10003337</v>
      </c>
      <c r="E4953" t="str">
        <f>IF(COUNTIF(data1!$D:$D,D4953)=0,"Missing in Data1","Present")</f>
        <v>Present</v>
      </c>
    </row>
    <row r="4954" spans="1:5" x14ac:dyDescent="0.25">
      <c r="A4954" s="2" t="s">
        <v>4260</v>
      </c>
      <c r="B4954" s="2" t="s">
        <v>2062</v>
      </c>
      <c r="C4954" s="2">
        <v>3</v>
      </c>
      <c r="D4954" t="str">
        <f t="shared" si="77"/>
        <v>CA-2016-159142_OFF-PA-10001776</v>
      </c>
      <c r="E4954" t="str">
        <f>IF(COUNTIF(data1!$D:$D,D4954)=0,"Missing in Data1","Present")</f>
        <v>Present</v>
      </c>
    </row>
    <row r="4955" spans="1:5" x14ac:dyDescent="0.25">
      <c r="A4955" s="2" t="s">
        <v>4260</v>
      </c>
      <c r="B4955" s="2" t="s">
        <v>3186</v>
      </c>
      <c r="C4955" s="2">
        <v>3</v>
      </c>
      <c r="D4955" t="str">
        <f t="shared" si="77"/>
        <v>CA-2016-159142_TEC-PH-10001448</v>
      </c>
      <c r="E4955" t="str">
        <f>IF(COUNTIF(data1!$D:$D,D4955)=0,"Missing in Data1","Present")</f>
        <v>Present</v>
      </c>
    </row>
    <row r="4956" spans="1:5" x14ac:dyDescent="0.25">
      <c r="A4956" s="2" t="s">
        <v>4261</v>
      </c>
      <c r="B4956" s="2" t="s">
        <v>1646</v>
      </c>
      <c r="C4956" s="2">
        <v>3</v>
      </c>
      <c r="D4956" t="str">
        <f t="shared" si="77"/>
        <v>CA-2016-159212_OFF-EN-10002230</v>
      </c>
      <c r="E4956" t="str">
        <f>IF(COUNTIF(data1!$D:$D,D4956)=0,"Missing in Data1","Present")</f>
        <v>Present</v>
      </c>
    </row>
    <row r="4957" spans="1:5" x14ac:dyDescent="0.25">
      <c r="A4957" s="2" t="s">
        <v>4261</v>
      </c>
      <c r="B4957" s="2" t="s">
        <v>1616</v>
      </c>
      <c r="C4957" s="2">
        <v>2</v>
      </c>
      <c r="D4957" t="str">
        <f t="shared" si="77"/>
        <v>CA-2016-159212_TEC-PH-10003988</v>
      </c>
      <c r="E4957" t="str">
        <f>IF(COUNTIF(data1!$D:$D,D4957)=0,"Missing in Data1","Present")</f>
        <v>Present</v>
      </c>
    </row>
    <row r="4958" spans="1:5" x14ac:dyDescent="0.25">
      <c r="A4958" s="2" t="s">
        <v>4262</v>
      </c>
      <c r="B4958" s="2" t="s">
        <v>829</v>
      </c>
      <c r="C4958" s="2">
        <v>2</v>
      </c>
      <c r="D4958" t="str">
        <f t="shared" si="77"/>
        <v>CA-2016-159345_OFF-PA-10000806</v>
      </c>
      <c r="E4958" t="str">
        <f>IF(COUNTIF(data1!$D:$D,D4958)=0,"Missing in Data1","Present")</f>
        <v>Present</v>
      </c>
    </row>
    <row r="4959" spans="1:5" x14ac:dyDescent="0.25">
      <c r="A4959" s="2" t="s">
        <v>4263</v>
      </c>
      <c r="B4959" s="2" t="s">
        <v>2492</v>
      </c>
      <c r="C4959" s="2">
        <v>5</v>
      </c>
      <c r="D4959" t="str">
        <f t="shared" si="77"/>
        <v>CA-2016-159373_FUR-TA-10004619</v>
      </c>
      <c r="E4959" t="str">
        <f>IF(COUNTIF(data1!$D:$D,D4959)=0,"Missing in Data1","Present")</f>
        <v>Present</v>
      </c>
    </row>
    <row r="4960" spans="1:5" x14ac:dyDescent="0.25">
      <c r="A4960" s="2" t="s">
        <v>4263</v>
      </c>
      <c r="B4960" s="2" t="s">
        <v>276</v>
      </c>
      <c r="C4960" s="2">
        <v>2</v>
      </c>
      <c r="D4960" t="str">
        <f t="shared" si="77"/>
        <v>CA-2016-159373_OFF-BI-10004141</v>
      </c>
      <c r="E4960" t="str">
        <f>IF(COUNTIF(data1!$D:$D,D4960)=0,"Missing in Data1","Present")</f>
        <v>Present</v>
      </c>
    </row>
    <row r="4961" spans="1:5" x14ac:dyDescent="0.25">
      <c r="A4961" s="2" t="s">
        <v>4263</v>
      </c>
      <c r="B4961" s="2" t="s">
        <v>622</v>
      </c>
      <c r="C4961" s="2">
        <v>5</v>
      </c>
      <c r="D4961" t="str">
        <f t="shared" si="77"/>
        <v>CA-2016-159373_OFF-PA-10000659</v>
      </c>
      <c r="E4961" t="str">
        <f>IF(COUNTIF(data1!$D:$D,D4961)=0,"Missing in Data1","Present")</f>
        <v>Present</v>
      </c>
    </row>
    <row r="4962" spans="1:5" x14ac:dyDescent="0.25">
      <c r="A4962" s="2" t="s">
        <v>4264</v>
      </c>
      <c r="B4962" s="2" t="s">
        <v>377</v>
      </c>
      <c r="C4962" s="2">
        <v>3</v>
      </c>
      <c r="D4962" t="str">
        <f t="shared" si="77"/>
        <v>CA-2016-159639_FUR-FU-10001889</v>
      </c>
      <c r="E4962" t="str">
        <f>IF(COUNTIF(data1!$D:$D,D4962)=0,"Missing in Data1","Present")</f>
        <v>Present</v>
      </c>
    </row>
    <row r="4963" spans="1:5" x14ac:dyDescent="0.25">
      <c r="A4963" s="2" t="s">
        <v>4265</v>
      </c>
      <c r="B4963" s="2" t="s">
        <v>3232</v>
      </c>
      <c r="C4963" s="2">
        <v>3</v>
      </c>
      <c r="D4963" t="str">
        <f t="shared" si="77"/>
        <v>CA-2016-159653_OFF-LA-10004345</v>
      </c>
      <c r="E4963" t="str">
        <f>IF(COUNTIF(data1!$D:$D,D4963)=0,"Missing in Data1","Present")</f>
        <v>Present</v>
      </c>
    </row>
    <row r="4964" spans="1:5" x14ac:dyDescent="0.25">
      <c r="A4964" s="2" t="s">
        <v>6810</v>
      </c>
      <c r="B4964" s="2" t="s">
        <v>71</v>
      </c>
      <c r="C4964" s="2">
        <v>7</v>
      </c>
      <c r="D4964" t="str">
        <f t="shared" si="77"/>
        <v>CA-2016-159695_OFF-ST-10003442</v>
      </c>
      <c r="E4964" t="str">
        <f>IF(COUNTIF(data1!$D:$D,D4964)=0,"Missing in Data1","Present")</f>
        <v>Missing in Data1</v>
      </c>
    </row>
    <row r="4965" spans="1:5" x14ac:dyDescent="0.25">
      <c r="A4965" s="2" t="s">
        <v>4266</v>
      </c>
      <c r="B4965" s="2" t="s">
        <v>1674</v>
      </c>
      <c r="C4965" s="2">
        <v>2</v>
      </c>
      <c r="D4965" t="str">
        <f t="shared" si="77"/>
        <v>CA-2016-159730_FUR-CH-10004875</v>
      </c>
      <c r="E4965" t="str">
        <f>IF(COUNTIF(data1!$D:$D,D4965)=0,"Missing in Data1","Present")</f>
        <v>Present</v>
      </c>
    </row>
    <row r="4966" spans="1:5" x14ac:dyDescent="0.25">
      <c r="A4966" s="2" t="s">
        <v>4266</v>
      </c>
      <c r="B4966" s="2" t="s">
        <v>1664</v>
      </c>
      <c r="C4966" s="2">
        <v>2</v>
      </c>
      <c r="D4966" t="str">
        <f t="shared" si="77"/>
        <v>CA-2016-159730_TEC-PH-10002085</v>
      </c>
      <c r="E4966" t="str">
        <f>IF(COUNTIF(data1!$D:$D,D4966)=0,"Missing in Data1","Present")</f>
        <v>Present</v>
      </c>
    </row>
    <row r="4967" spans="1:5" x14ac:dyDescent="0.25">
      <c r="A4967" s="2" t="s">
        <v>4267</v>
      </c>
      <c r="B4967" s="2" t="s">
        <v>2913</v>
      </c>
      <c r="C4967" s="2">
        <v>3</v>
      </c>
      <c r="D4967" t="str">
        <f t="shared" si="77"/>
        <v>CA-2016-159737_OFF-BI-10004236</v>
      </c>
      <c r="E4967" t="str">
        <f>IF(COUNTIF(data1!$D:$D,D4967)=0,"Missing in Data1","Present")</f>
        <v>Present</v>
      </c>
    </row>
    <row r="4968" spans="1:5" x14ac:dyDescent="0.25">
      <c r="A4968" s="2" t="s">
        <v>4268</v>
      </c>
      <c r="B4968" s="2" t="s">
        <v>204</v>
      </c>
      <c r="C4968" s="2">
        <v>7</v>
      </c>
      <c r="D4968" t="str">
        <f t="shared" si="77"/>
        <v>CA-2016-159765_OFF-AR-10003514</v>
      </c>
      <c r="E4968" t="str">
        <f>IF(COUNTIF(data1!$D:$D,D4968)=0,"Missing in Data1","Present")</f>
        <v>Present</v>
      </c>
    </row>
    <row r="4969" spans="1:5" x14ac:dyDescent="0.25">
      <c r="A4969" s="2" t="s">
        <v>4269</v>
      </c>
      <c r="B4969" s="2" t="s">
        <v>907</v>
      </c>
      <c r="C4969" s="2">
        <v>1</v>
      </c>
      <c r="D4969" t="str">
        <f t="shared" si="77"/>
        <v>CA-2016-159891_OFF-BI-10003527</v>
      </c>
      <c r="E4969" t="str">
        <f>IF(COUNTIF(data1!$D:$D,D4969)=0,"Missing in Data1","Present")</f>
        <v>Missing in Data1</v>
      </c>
    </row>
    <row r="4970" spans="1:5" x14ac:dyDescent="0.25">
      <c r="A4970" s="2" t="s">
        <v>4269</v>
      </c>
      <c r="B4970" s="2" t="s">
        <v>1494</v>
      </c>
      <c r="C4970" s="2">
        <v>8</v>
      </c>
      <c r="D4970" t="str">
        <f t="shared" si="77"/>
        <v>CA-2016-159891_OFF-EN-10004483</v>
      </c>
      <c r="E4970" t="str">
        <f>IF(COUNTIF(data1!$D:$D,D4970)=0,"Missing in Data1","Present")</f>
        <v>Present</v>
      </c>
    </row>
    <row r="4971" spans="1:5" x14ac:dyDescent="0.25">
      <c r="A4971" s="2" t="s">
        <v>4270</v>
      </c>
      <c r="B4971" s="2" t="s">
        <v>1926</v>
      </c>
      <c r="C4971" s="2">
        <v>4</v>
      </c>
      <c r="D4971" t="str">
        <f t="shared" si="77"/>
        <v>CA-2016-159912_FUR-BO-10002853</v>
      </c>
      <c r="E4971" t="str">
        <f>IF(COUNTIF(data1!$D:$D,D4971)=0,"Missing in Data1","Present")</f>
        <v>Present</v>
      </c>
    </row>
    <row r="4972" spans="1:5" x14ac:dyDescent="0.25">
      <c r="A4972" s="2" t="s">
        <v>4270</v>
      </c>
      <c r="B4972" s="2" t="s">
        <v>1939</v>
      </c>
      <c r="C4972" s="2">
        <v>4</v>
      </c>
      <c r="D4972" t="str">
        <f t="shared" si="77"/>
        <v>CA-2016-159912_FUR-TA-10004152</v>
      </c>
      <c r="E4972" t="str">
        <f>IF(COUNTIF(data1!$D:$D,D4972)=0,"Missing in Data1","Present")</f>
        <v>Present</v>
      </c>
    </row>
    <row r="4973" spans="1:5" x14ac:dyDescent="0.25">
      <c r="A4973" s="2" t="s">
        <v>4270</v>
      </c>
      <c r="B4973" s="2" t="s">
        <v>2262</v>
      </c>
      <c r="C4973" s="2">
        <v>2</v>
      </c>
      <c r="D4973" t="str">
        <f t="shared" si="77"/>
        <v>CA-2016-159912_OFF-BI-10002071</v>
      </c>
      <c r="E4973" t="str">
        <f>IF(COUNTIF(data1!$D:$D,D4973)=0,"Missing in Data1","Present")</f>
        <v>Present</v>
      </c>
    </row>
    <row r="4974" spans="1:5" x14ac:dyDescent="0.25">
      <c r="A4974" s="2" t="s">
        <v>4270</v>
      </c>
      <c r="B4974" s="2" t="s">
        <v>2305</v>
      </c>
      <c r="C4974" s="2">
        <v>7</v>
      </c>
      <c r="D4974" t="str">
        <f t="shared" si="77"/>
        <v>CA-2016-159912_OFF-FA-10000053</v>
      </c>
      <c r="E4974" t="str">
        <f>IF(COUNTIF(data1!$D:$D,D4974)=0,"Missing in Data1","Present")</f>
        <v>Present</v>
      </c>
    </row>
    <row r="4975" spans="1:5" x14ac:dyDescent="0.25">
      <c r="A4975" s="2" t="s">
        <v>4271</v>
      </c>
      <c r="B4975" s="2" t="s">
        <v>2213</v>
      </c>
      <c r="C4975" s="2">
        <v>2</v>
      </c>
      <c r="D4975" t="str">
        <f t="shared" si="77"/>
        <v>CA-2016-159940_FUR-CH-10000785</v>
      </c>
      <c r="E4975" t="str">
        <f>IF(COUNTIF(data1!$D:$D,D4975)=0,"Missing in Data1","Present")</f>
        <v>Present</v>
      </c>
    </row>
    <row r="4976" spans="1:5" x14ac:dyDescent="0.25">
      <c r="A4976" s="2" t="s">
        <v>4271</v>
      </c>
      <c r="B4976" s="2" t="s">
        <v>2310</v>
      </c>
      <c r="C4976" s="2">
        <v>8</v>
      </c>
      <c r="D4976" t="str">
        <f t="shared" si="77"/>
        <v>CA-2016-159940_FUR-FU-10004973</v>
      </c>
      <c r="E4976" t="str">
        <f>IF(COUNTIF(data1!$D:$D,D4976)=0,"Missing in Data1","Present")</f>
        <v>Present</v>
      </c>
    </row>
    <row r="4977" spans="1:5" x14ac:dyDescent="0.25">
      <c r="A4977" s="2" t="s">
        <v>4271</v>
      </c>
      <c r="B4977" s="2" t="s">
        <v>821</v>
      </c>
      <c r="C4977" s="2">
        <v>1</v>
      </c>
      <c r="D4977" t="str">
        <f t="shared" si="77"/>
        <v>CA-2016-159940_OFF-FA-10000936</v>
      </c>
      <c r="E4977" t="str">
        <f>IF(COUNTIF(data1!$D:$D,D4977)=0,"Missing in Data1","Present")</f>
        <v>Present</v>
      </c>
    </row>
    <row r="4978" spans="1:5" x14ac:dyDescent="0.25">
      <c r="A4978" s="2" t="s">
        <v>4271</v>
      </c>
      <c r="B4978" s="2" t="s">
        <v>1517</v>
      </c>
      <c r="C4978" s="2">
        <v>9</v>
      </c>
      <c r="D4978" t="str">
        <f t="shared" si="77"/>
        <v>CA-2016-159940_OFF-PA-10001609</v>
      </c>
      <c r="E4978" t="str">
        <f>IF(COUNTIF(data1!$D:$D,D4978)=0,"Missing in Data1","Present")</f>
        <v>Present</v>
      </c>
    </row>
    <row r="4979" spans="1:5" x14ac:dyDescent="0.25">
      <c r="A4979" s="2" t="s">
        <v>4272</v>
      </c>
      <c r="B4979" s="2" t="s">
        <v>63</v>
      </c>
      <c r="C4979" s="2">
        <v>3</v>
      </c>
      <c r="D4979" t="str">
        <f t="shared" si="77"/>
        <v>CA-2016-159989_TEC-PH-10000169</v>
      </c>
      <c r="E4979" t="str">
        <f>IF(COUNTIF(data1!$D:$D,D4979)=0,"Missing in Data1","Present")</f>
        <v>Present</v>
      </c>
    </row>
    <row r="4980" spans="1:5" x14ac:dyDescent="0.25">
      <c r="A4980" s="2" t="s">
        <v>4273</v>
      </c>
      <c r="B4980" s="2" t="s">
        <v>1944</v>
      </c>
      <c r="C4980" s="2">
        <v>7</v>
      </c>
      <c r="D4980" t="str">
        <f t="shared" si="77"/>
        <v>CA-2016-160108_FUR-BO-10003450</v>
      </c>
      <c r="E4980" t="str">
        <f>IF(COUNTIF(data1!$D:$D,D4980)=0,"Missing in Data1","Present")</f>
        <v>Present</v>
      </c>
    </row>
    <row r="4981" spans="1:5" x14ac:dyDescent="0.25">
      <c r="A4981" s="2" t="s">
        <v>4273</v>
      </c>
      <c r="B4981" s="2" t="s">
        <v>2767</v>
      </c>
      <c r="C4981" s="2">
        <v>3</v>
      </c>
      <c r="D4981" t="str">
        <f t="shared" si="77"/>
        <v>CA-2016-160108_FUR-CH-10002335</v>
      </c>
      <c r="E4981" t="str">
        <f>IF(COUNTIF(data1!$D:$D,D4981)=0,"Missing in Data1","Present")</f>
        <v>Present</v>
      </c>
    </row>
    <row r="4982" spans="1:5" x14ac:dyDescent="0.25">
      <c r="A4982" s="2" t="s">
        <v>4274</v>
      </c>
      <c r="B4982" s="2" t="s">
        <v>756</v>
      </c>
      <c r="C4982" s="2">
        <v>2</v>
      </c>
      <c r="D4982" t="str">
        <f t="shared" si="77"/>
        <v>CA-2016-160129_FUR-FU-10002088</v>
      </c>
      <c r="E4982" t="str">
        <f>IF(COUNTIF(data1!$D:$D,D4982)=0,"Missing in Data1","Present")</f>
        <v>Present</v>
      </c>
    </row>
    <row r="4983" spans="1:5" x14ac:dyDescent="0.25">
      <c r="A4983" s="2" t="s">
        <v>4274</v>
      </c>
      <c r="B4983" s="2" t="s">
        <v>3218</v>
      </c>
      <c r="C4983" s="2">
        <v>7</v>
      </c>
      <c r="D4983" t="str">
        <f t="shared" si="77"/>
        <v>CA-2016-160129_FUR-FU-10003976</v>
      </c>
      <c r="E4983" t="str">
        <f>IF(COUNTIF(data1!$D:$D,D4983)=0,"Missing in Data1","Present")</f>
        <v>Present</v>
      </c>
    </row>
    <row r="4984" spans="1:5" x14ac:dyDescent="0.25">
      <c r="A4984" s="2" t="s">
        <v>4274</v>
      </c>
      <c r="B4984" s="2" t="s">
        <v>454</v>
      </c>
      <c r="C4984" s="2">
        <v>5</v>
      </c>
      <c r="D4984" t="str">
        <f t="shared" si="77"/>
        <v>CA-2016-160129_OFF-FA-10002763</v>
      </c>
      <c r="E4984" t="str">
        <f>IF(COUNTIF(data1!$D:$D,D4984)=0,"Missing in Data1","Present")</f>
        <v>Present</v>
      </c>
    </row>
    <row r="4985" spans="1:5" x14ac:dyDescent="0.25">
      <c r="A4985" s="2" t="s">
        <v>6811</v>
      </c>
      <c r="B4985" s="2" t="s">
        <v>2415</v>
      </c>
      <c r="C4985" s="2">
        <v>2</v>
      </c>
      <c r="D4985" t="str">
        <f t="shared" si="77"/>
        <v>CA-2016-160136_OFF-PA-10002160</v>
      </c>
      <c r="E4985" t="str">
        <f>IF(COUNTIF(data1!$D:$D,D4985)=0,"Missing in Data1","Present")</f>
        <v>Missing in Data1</v>
      </c>
    </row>
    <row r="4986" spans="1:5" x14ac:dyDescent="0.25">
      <c r="A4986" s="2" t="s">
        <v>4275</v>
      </c>
      <c r="B4986" s="2" t="s">
        <v>462</v>
      </c>
      <c r="C4986" s="2">
        <v>7</v>
      </c>
      <c r="D4986" t="str">
        <f t="shared" si="77"/>
        <v>CA-2016-160220_OFF-ST-10000617</v>
      </c>
      <c r="E4986" t="str">
        <f>IF(COUNTIF(data1!$D:$D,D4986)=0,"Missing in Data1","Present")</f>
        <v>Present</v>
      </c>
    </row>
    <row r="4987" spans="1:5" x14ac:dyDescent="0.25">
      <c r="A4987" s="2" t="s">
        <v>4275</v>
      </c>
      <c r="B4987" s="2" t="s">
        <v>3178</v>
      </c>
      <c r="C4987" s="2">
        <v>6</v>
      </c>
      <c r="D4987" t="str">
        <f t="shared" si="77"/>
        <v>CA-2016-160220_TEC-PH-10001300</v>
      </c>
      <c r="E4987" t="str">
        <f>IF(COUNTIF(data1!$D:$D,D4987)=0,"Missing in Data1","Present")</f>
        <v>Present</v>
      </c>
    </row>
    <row r="4988" spans="1:5" x14ac:dyDescent="0.25">
      <c r="A4988" s="2" t="s">
        <v>4275</v>
      </c>
      <c r="B4988" s="2" t="s">
        <v>312</v>
      </c>
      <c r="C4988" s="2">
        <v>2</v>
      </c>
      <c r="D4988" t="str">
        <f t="shared" si="77"/>
        <v>CA-2016-160220_TEC-PH-10001557</v>
      </c>
      <c r="E4988" t="str">
        <f>IF(COUNTIF(data1!$D:$D,D4988)=0,"Missing in Data1","Present")</f>
        <v>Present</v>
      </c>
    </row>
    <row r="4989" spans="1:5" x14ac:dyDescent="0.25">
      <c r="A4989" s="2" t="s">
        <v>4276</v>
      </c>
      <c r="B4989" s="2" t="s">
        <v>98</v>
      </c>
      <c r="C4989" s="2">
        <v>1</v>
      </c>
      <c r="D4989" t="str">
        <f t="shared" si="77"/>
        <v>CA-2016-160234_TEC-PH-10004434</v>
      </c>
      <c r="E4989" t="str">
        <f>IF(COUNTIF(data1!$D:$D,D4989)=0,"Missing in Data1","Present")</f>
        <v>Present</v>
      </c>
    </row>
    <row r="4990" spans="1:5" x14ac:dyDescent="0.25">
      <c r="A4990" s="2" t="s">
        <v>6812</v>
      </c>
      <c r="B4990" s="2" t="s">
        <v>3558</v>
      </c>
      <c r="C4990" s="2">
        <v>4</v>
      </c>
      <c r="D4990" t="str">
        <f t="shared" si="77"/>
        <v>CA-2016-160241_FUR-FU-10003806</v>
      </c>
      <c r="E4990" t="str">
        <f>IF(COUNTIF(data1!$D:$D,D4990)=0,"Missing in Data1","Present")</f>
        <v>Missing in Data1</v>
      </c>
    </row>
    <row r="4991" spans="1:5" x14ac:dyDescent="0.25">
      <c r="A4991" s="2" t="s">
        <v>4277</v>
      </c>
      <c r="B4991" s="2" t="s">
        <v>1960</v>
      </c>
      <c r="C4991" s="2">
        <v>3</v>
      </c>
      <c r="D4991" t="str">
        <f t="shared" si="77"/>
        <v>CA-2016-160304_FUR-BO-10004709</v>
      </c>
      <c r="E4991" t="str">
        <f>IF(COUNTIF(data1!$D:$D,D4991)=0,"Missing in Data1","Present")</f>
        <v>Present</v>
      </c>
    </row>
    <row r="4992" spans="1:5" x14ac:dyDescent="0.25">
      <c r="A4992" s="2" t="s">
        <v>4277</v>
      </c>
      <c r="B4992" s="2" t="s">
        <v>767</v>
      </c>
      <c r="C4992" s="2">
        <v>2</v>
      </c>
      <c r="D4992" t="str">
        <f t="shared" si="77"/>
        <v>CA-2016-160304_TEC-PH-10000455</v>
      </c>
      <c r="E4992" t="str">
        <f>IF(COUNTIF(data1!$D:$D,D4992)=0,"Missing in Data1","Present")</f>
        <v>Present</v>
      </c>
    </row>
    <row r="4993" spans="1:5" x14ac:dyDescent="0.25">
      <c r="A4993" s="2" t="s">
        <v>4278</v>
      </c>
      <c r="B4993" s="2" t="s">
        <v>889</v>
      </c>
      <c r="C4993" s="2">
        <v>5</v>
      </c>
      <c r="D4993" t="str">
        <f t="shared" si="77"/>
        <v>CA-2016-160479_OFF-AR-10002445</v>
      </c>
      <c r="E4993" t="str">
        <f>IF(COUNTIF(data1!$D:$D,D4993)=0,"Missing in Data1","Present")</f>
        <v>Present</v>
      </c>
    </row>
    <row r="4994" spans="1:5" x14ac:dyDescent="0.25">
      <c r="A4994" s="2" t="s">
        <v>6813</v>
      </c>
      <c r="B4994" s="2" t="s">
        <v>3620</v>
      </c>
      <c r="C4994" s="2">
        <v>4</v>
      </c>
      <c r="D4994" t="str">
        <f t="shared" si="77"/>
        <v>CA-2016-160486_OFF-PA-10002421</v>
      </c>
      <c r="E4994" t="str">
        <f>IF(COUNTIF(data1!$D:$D,D4994)=0,"Missing in Data1","Present")</f>
        <v>Missing in Data1</v>
      </c>
    </row>
    <row r="4995" spans="1:5" x14ac:dyDescent="0.25">
      <c r="A4995" s="2" t="s">
        <v>4279</v>
      </c>
      <c r="B4995" s="2" t="s">
        <v>1427</v>
      </c>
      <c r="C4995" s="2">
        <v>3</v>
      </c>
      <c r="D4995" t="str">
        <f t="shared" ref="D4995:D5058" si="78">A4995&amp;"_"&amp;B4995</f>
        <v>CA-2016-160500_FUR-TA-10003748</v>
      </c>
      <c r="E4995" t="str">
        <f>IF(COUNTIF(data1!$D:$D,D4995)=0,"Missing in Data1","Present")</f>
        <v>Missing in Data1</v>
      </c>
    </row>
    <row r="4996" spans="1:5" x14ac:dyDescent="0.25">
      <c r="A4996" s="2" t="s">
        <v>4280</v>
      </c>
      <c r="B4996" s="2" t="s">
        <v>1235</v>
      </c>
      <c r="C4996" s="2">
        <v>4</v>
      </c>
      <c r="D4996" t="str">
        <f t="shared" si="78"/>
        <v>CA-2016-160535_OFF-ST-10000689</v>
      </c>
      <c r="E4996" t="str">
        <f>IF(COUNTIF(data1!$D:$D,D4996)=0,"Missing in Data1","Present")</f>
        <v>Present</v>
      </c>
    </row>
    <row r="4997" spans="1:5" x14ac:dyDescent="0.25">
      <c r="A4997" s="2" t="s">
        <v>4280</v>
      </c>
      <c r="B4997" s="2" t="s">
        <v>4281</v>
      </c>
      <c r="C4997" s="2">
        <v>8</v>
      </c>
      <c r="D4997" t="str">
        <f t="shared" si="78"/>
        <v>CA-2016-160535_TEC-MA-10004255</v>
      </c>
      <c r="E4997" t="str">
        <f>IF(COUNTIF(data1!$D:$D,D4997)=0,"Missing in Data1","Present")</f>
        <v>Present</v>
      </c>
    </row>
    <row r="4998" spans="1:5" x14ac:dyDescent="0.25">
      <c r="A4998" s="2" t="s">
        <v>4282</v>
      </c>
      <c r="B4998" s="2" t="s">
        <v>1284</v>
      </c>
      <c r="C4998" s="2">
        <v>1</v>
      </c>
      <c r="D4998" t="str">
        <f t="shared" si="78"/>
        <v>CA-2016-160598_OFF-PA-10002319</v>
      </c>
      <c r="E4998" t="str">
        <f>IF(COUNTIF(data1!$D:$D,D4998)=0,"Missing in Data1","Present")</f>
        <v>Present</v>
      </c>
    </row>
    <row r="4999" spans="1:5" x14ac:dyDescent="0.25">
      <c r="A4999" s="2" t="s">
        <v>4283</v>
      </c>
      <c r="B4999" s="2" t="s">
        <v>101</v>
      </c>
      <c r="C4999" s="2">
        <v>2</v>
      </c>
      <c r="D4999" t="str">
        <f t="shared" si="78"/>
        <v>CA-2016-160717_TEC-AC-10002134</v>
      </c>
      <c r="E4999" t="str">
        <f>IF(COUNTIF(data1!$D:$D,D4999)=0,"Missing in Data1","Present")</f>
        <v>Present</v>
      </c>
    </row>
    <row r="5000" spans="1:5" x14ac:dyDescent="0.25">
      <c r="A5000" s="2" t="s">
        <v>4283</v>
      </c>
      <c r="B5000" s="2" t="s">
        <v>984</v>
      </c>
      <c r="C5000" s="2">
        <v>9</v>
      </c>
      <c r="D5000" t="str">
        <f t="shared" si="78"/>
        <v>CA-2016-160717_TEC-PH-10001459</v>
      </c>
      <c r="E5000" t="str">
        <f>IF(COUNTIF(data1!$D:$D,D5000)=0,"Missing in Data1","Present")</f>
        <v>Present</v>
      </c>
    </row>
    <row r="5001" spans="1:5" x14ac:dyDescent="0.25">
      <c r="A5001" s="2" t="s">
        <v>4283</v>
      </c>
      <c r="B5001" s="2" t="s">
        <v>313</v>
      </c>
      <c r="C5001" s="2">
        <v>3</v>
      </c>
      <c r="D5001" t="str">
        <f t="shared" si="78"/>
        <v>CA-2016-160717_TEC-PH-10001760</v>
      </c>
      <c r="E5001" t="str">
        <f>IF(COUNTIF(data1!$D:$D,D5001)=0,"Missing in Data1","Present")</f>
        <v>Present</v>
      </c>
    </row>
    <row r="5002" spans="1:5" x14ac:dyDescent="0.25">
      <c r="A5002" s="2" t="s">
        <v>4284</v>
      </c>
      <c r="B5002" s="2" t="s">
        <v>2317</v>
      </c>
      <c r="C5002" s="2">
        <v>4</v>
      </c>
      <c r="D5002" t="str">
        <f t="shared" si="78"/>
        <v>CA-2016-160745_FUR-FU-10001935</v>
      </c>
      <c r="E5002" t="str">
        <f>IF(COUNTIF(data1!$D:$D,D5002)=0,"Missing in Data1","Present")</f>
        <v>Present</v>
      </c>
    </row>
    <row r="5003" spans="1:5" x14ac:dyDescent="0.25">
      <c r="A5003" s="2" t="s">
        <v>4284</v>
      </c>
      <c r="B5003" s="2" t="s">
        <v>1112</v>
      </c>
      <c r="C5003" s="2">
        <v>4</v>
      </c>
      <c r="D5003" t="str">
        <f t="shared" si="78"/>
        <v>CA-2016-160745_TEC-AC-10001142</v>
      </c>
      <c r="E5003" t="str">
        <f>IF(COUNTIF(data1!$D:$D,D5003)=0,"Missing in Data1","Present")</f>
        <v>Present</v>
      </c>
    </row>
    <row r="5004" spans="1:5" x14ac:dyDescent="0.25">
      <c r="A5004" s="2" t="s">
        <v>4284</v>
      </c>
      <c r="B5004" s="2" t="s">
        <v>31</v>
      </c>
      <c r="C5004" s="2">
        <v>3</v>
      </c>
      <c r="D5004" t="str">
        <f t="shared" si="78"/>
        <v>CA-2016-160745_TEC-PH-10003273</v>
      </c>
      <c r="E5004" t="str">
        <f>IF(COUNTIF(data1!$D:$D,D5004)=0,"Missing in Data1","Present")</f>
        <v>Present</v>
      </c>
    </row>
    <row r="5005" spans="1:5" x14ac:dyDescent="0.25">
      <c r="A5005" s="2" t="s">
        <v>4285</v>
      </c>
      <c r="B5005" s="2" t="s">
        <v>139</v>
      </c>
      <c r="C5005" s="2">
        <v>3</v>
      </c>
      <c r="D5005" t="str">
        <f t="shared" si="78"/>
        <v>CA-2016-160815_TEC-PH-10003505</v>
      </c>
      <c r="E5005" t="str">
        <f>IF(COUNTIF(data1!$D:$D,D5005)=0,"Missing in Data1","Present")</f>
        <v>Present</v>
      </c>
    </row>
    <row r="5006" spans="1:5" x14ac:dyDescent="0.25">
      <c r="A5006" s="2" t="s">
        <v>4286</v>
      </c>
      <c r="B5006" s="2" t="s">
        <v>1849</v>
      </c>
      <c r="C5006" s="2">
        <v>1</v>
      </c>
      <c r="D5006" t="str">
        <f t="shared" si="78"/>
        <v>CA-2016-160941_OFF-LA-10003766</v>
      </c>
      <c r="E5006" t="str">
        <f>IF(COUNTIF(data1!$D:$D,D5006)=0,"Missing in Data1","Present")</f>
        <v>Present</v>
      </c>
    </row>
    <row r="5007" spans="1:5" x14ac:dyDescent="0.25">
      <c r="A5007" s="2" t="s">
        <v>4287</v>
      </c>
      <c r="B5007" s="2" t="s">
        <v>342</v>
      </c>
      <c r="C5007" s="2">
        <v>4</v>
      </c>
      <c r="D5007" t="str">
        <f t="shared" si="78"/>
        <v>CA-2016-161025_OFF-ST-10001932</v>
      </c>
      <c r="E5007" t="str">
        <f>IF(COUNTIF(data1!$D:$D,D5007)=0,"Missing in Data1","Present")</f>
        <v>Present</v>
      </c>
    </row>
    <row r="5008" spans="1:5" x14ac:dyDescent="0.25">
      <c r="A5008" s="2" t="s">
        <v>4288</v>
      </c>
      <c r="B5008" s="2" t="s">
        <v>1815</v>
      </c>
      <c r="C5008" s="2">
        <v>2</v>
      </c>
      <c r="D5008" t="str">
        <f t="shared" si="78"/>
        <v>CA-2016-161095_OFF-BI-10001524</v>
      </c>
      <c r="E5008" t="str">
        <f>IF(COUNTIF(data1!$D:$D,D5008)=0,"Missing in Data1","Present")</f>
        <v>Present</v>
      </c>
    </row>
    <row r="5009" spans="1:5" x14ac:dyDescent="0.25">
      <c r="A5009" s="2" t="s">
        <v>4288</v>
      </c>
      <c r="B5009" s="2" t="s">
        <v>735</v>
      </c>
      <c r="C5009" s="2">
        <v>3</v>
      </c>
      <c r="D5009" t="str">
        <f t="shared" si="78"/>
        <v>CA-2016-161095_OFF-BI-10002764</v>
      </c>
      <c r="E5009" t="str">
        <f>IF(COUNTIF(data1!$D:$D,D5009)=0,"Missing in Data1","Present")</f>
        <v>Present</v>
      </c>
    </row>
    <row r="5010" spans="1:5" x14ac:dyDescent="0.25">
      <c r="A5010" s="2" t="s">
        <v>4289</v>
      </c>
      <c r="B5010" s="2" t="s">
        <v>4290</v>
      </c>
      <c r="C5010" s="2">
        <v>5</v>
      </c>
      <c r="D5010" t="str">
        <f t="shared" si="78"/>
        <v>CA-2016-161158_OFF-AR-10000462</v>
      </c>
      <c r="E5010" t="str">
        <f>IF(COUNTIF(data1!$D:$D,D5010)=0,"Missing in Data1","Present")</f>
        <v>Present</v>
      </c>
    </row>
    <row r="5011" spans="1:5" x14ac:dyDescent="0.25">
      <c r="A5011" s="2" t="s">
        <v>4291</v>
      </c>
      <c r="B5011" s="2" t="s">
        <v>1822</v>
      </c>
      <c r="C5011" s="2">
        <v>3</v>
      </c>
      <c r="D5011" t="str">
        <f t="shared" si="78"/>
        <v>CA-2016-161207_OFF-SU-10000381</v>
      </c>
      <c r="E5011" t="str">
        <f>IF(COUNTIF(data1!$D:$D,D5011)=0,"Missing in Data1","Present")</f>
        <v>Present</v>
      </c>
    </row>
    <row r="5012" spans="1:5" x14ac:dyDescent="0.25">
      <c r="A5012" s="2" t="s">
        <v>4292</v>
      </c>
      <c r="B5012" s="2" t="s">
        <v>309</v>
      </c>
      <c r="C5012" s="2">
        <v>3</v>
      </c>
      <c r="D5012" t="str">
        <f t="shared" si="78"/>
        <v>CA-2016-161361_OFF-PA-10001838</v>
      </c>
      <c r="E5012" t="str">
        <f>IF(COUNTIF(data1!$D:$D,D5012)=0,"Missing in Data1","Present")</f>
        <v>Present</v>
      </c>
    </row>
    <row r="5013" spans="1:5" x14ac:dyDescent="0.25">
      <c r="A5013" s="2" t="s">
        <v>4293</v>
      </c>
      <c r="B5013" s="2" t="s">
        <v>702</v>
      </c>
      <c r="C5013" s="2">
        <v>3</v>
      </c>
      <c r="D5013" t="str">
        <f t="shared" si="78"/>
        <v>CA-2016-161389_OFF-BI-10003656</v>
      </c>
      <c r="E5013" t="str">
        <f>IF(COUNTIF(data1!$D:$D,D5013)=0,"Missing in Data1","Present")</f>
        <v>Present</v>
      </c>
    </row>
    <row r="5014" spans="1:5" x14ac:dyDescent="0.25">
      <c r="A5014" s="2" t="s">
        <v>4294</v>
      </c>
      <c r="B5014" s="2" t="s">
        <v>390</v>
      </c>
      <c r="C5014" s="2">
        <v>3</v>
      </c>
      <c r="D5014" t="str">
        <f t="shared" si="78"/>
        <v>CA-2016-161473_OFF-BI-10003305</v>
      </c>
      <c r="E5014" t="str">
        <f>IF(COUNTIF(data1!$D:$D,D5014)=0,"Missing in Data1","Present")</f>
        <v>Present</v>
      </c>
    </row>
    <row r="5015" spans="1:5" x14ac:dyDescent="0.25">
      <c r="A5015" s="2" t="s">
        <v>4294</v>
      </c>
      <c r="B5015" s="2" t="s">
        <v>3420</v>
      </c>
      <c r="C5015" s="2">
        <v>2</v>
      </c>
      <c r="D5015" t="str">
        <f t="shared" si="78"/>
        <v>CA-2016-161473_OFF-LA-10001297</v>
      </c>
      <c r="E5015" t="str">
        <f>IF(COUNTIF(data1!$D:$D,D5015)=0,"Missing in Data1","Present")</f>
        <v>Present</v>
      </c>
    </row>
    <row r="5016" spans="1:5" x14ac:dyDescent="0.25">
      <c r="A5016" s="2" t="s">
        <v>4294</v>
      </c>
      <c r="B5016" s="2" t="s">
        <v>911</v>
      </c>
      <c r="C5016" s="2">
        <v>3</v>
      </c>
      <c r="D5016" t="str">
        <f t="shared" si="78"/>
        <v>CA-2016-161473_OFF-SU-10001574</v>
      </c>
      <c r="E5016" t="str">
        <f>IF(COUNTIF(data1!$D:$D,D5016)=0,"Missing in Data1","Present")</f>
        <v>Present</v>
      </c>
    </row>
    <row r="5017" spans="1:5" x14ac:dyDescent="0.25">
      <c r="A5017" s="2" t="s">
        <v>4295</v>
      </c>
      <c r="B5017" s="2" t="s">
        <v>887</v>
      </c>
      <c r="C5017" s="2">
        <v>2</v>
      </c>
      <c r="D5017" t="str">
        <f t="shared" si="78"/>
        <v>CA-2016-161543_OFF-PA-10003971</v>
      </c>
      <c r="E5017" t="str">
        <f>IF(COUNTIF(data1!$D:$D,D5017)=0,"Missing in Data1","Present")</f>
        <v>Present</v>
      </c>
    </row>
    <row r="5018" spans="1:5" x14ac:dyDescent="0.25">
      <c r="A5018" s="2" t="s">
        <v>6814</v>
      </c>
      <c r="B5018" s="2" t="s">
        <v>1308</v>
      </c>
      <c r="C5018" s="2">
        <v>2</v>
      </c>
      <c r="D5018" t="str">
        <f t="shared" si="78"/>
        <v>CA-2016-161662_OFF-PA-10003465</v>
      </c>
      <c r="E5018" t="str">
        <f>IF(COUNTIF(data1!$D:$D,D5018)=0,"Missing in Data1","Present")</f>
        <v>Missing in Data1</v>
      </c>
    </row>
    <row r="5019" spans="1:5" x14ac:dyDescent="0.25">
      <c r="A5019" s="2" t="s">
        <v>4296</v>
      </c>
      <c r="B5019" s="2" t="s">
        <v>604</v>
      </c>
      <c r="C5019" s="2">
        <v>4</v>
      </c>
      <c r="D5019" t="str">
        <f t="shared" si="78"/>
        <v>CA-2016-161669_OFF-BI-10001294</v>
      </c>
      <c r="E5019" t="str">
        <f>IF(COUNTIF(data1!$D:$D,D5019)=0,"Missing in Data1","Present")</f>
        <v>Present</v>
      </c>
    </row>
    <row r="5020" spans="1:5" x14ac:dyDescent="0.25">
      <c r="A5020" s="2" t="s">
        <v>4296</v>
      </c>
      <c r="B5020" s="2" t="s">
        <v>4297</v>
      </c>
      <c r="C5020" s="2">
        <v>2</v>
      </c>
      <c r="D5020" t="str">
        <f t="shared" si="78"/>
        <v>CA-2016-161669_OFF-SU-10002503</v>
      </c>
      <c r="E5020" t="str">
        <f>IF(COUNTIF(data1!$D:$D,D5020)=0,"Missing in Data1","Present")</f>
        <v>Present</v>
      </c>
    </row>
    <row r="5021" spans="1:5" x14ac:dyDescent="0.25">
      <c r="A5021" s="2" t="s">
        <v>4298</v>
      </c>
      <c r="B5021" s="2" t="s">
        <v>3133</v>
      </c>
      <c r="C5021" s="2">
        <v>5</v>
      </c>
      <c r="D5021" t="str">
        <f t="shared" si="78"/>
        <v>CA-2016-161676_OFF-SU-10004782</v>
      </c>
      <c r="E5021" t="str">
        <f>IF(COUNTIF(data1!$D:$D,D5021)=0,"Missing in Data1","Present")</f>
        <v>Present</v>
      </c>
    </row>
    <row r="5022" spans="1:5" x14ac:dyDescent="0.25">
      <c r="A5022" s="2" t="s">
        <v>4299</v>
      </c>
      <c r="B5022" s="2" t="s">
        <v>524</v>
      </c>
      <c r="C5022" s="2">
        <v>3</v>
      </c>
      <c r="D5022" t="str">
        <f t="shared" si="78"/>
        <v>CA-2016-161746_FUR-CH-10004626</v>
      </c>
      <c r="E5022" t="str">
        <f>IF(COUNTIF(data1!$D:$D,D5022)=0,"Missing in Data1","Present")</f>
        <v>Present</v>
      </c>
    </row>
    <row r="5023" spans="1:5" x14ac:dyDescent="0.25">
      <c r="A5023" s="2" t="s">
        <v>4299</v>
      </c>
      <c r="B5023" s="2" t="s">
        <v>3538</v>
      </c>
      <c r="C5023" s="2">
        <v>2</v>
      </c>
      <c r="D5023" t="str">
        <f t="shared" si="78"/>
        <v>CA-2016-161746_FUR-FU-10003731</v>
      </c>
      <c r="E5023" t="str">
        <f>IF(COUNTIF(data1!$D:$D,D5023)=0,"Missing in Data1","Present")</f>
        <v>Present</v>
      </c>
    </row>
    <row r="5024" spans="1:5" x14ac:dyDescent="0.25">
      <c r="A5024" s="2" t="s">
        <v>4299</v>
      </c>
      <c r="B5024" s="2" t="s">
        <v>194</v>
      </c>
      <c r="C5024" s="2">
        <v>3</v>
      </c>
      <c r="D5024" t="str">
        <f t="shared" si="78"/>
        <v>CA-2016-161746_OFF-AR-10000390</v>
      </c>
      <c r="E5024" t="str">
        <f>IF(COUNTIF(data1!$D:$D,D5024)=0,"Missing in Data1","Present")</f>
        <v>Present</v>
      </c>
    </row>
    <row r="5025" spans="1:5" x14ac:dyDescent="0.25">
      <c r="A5025" s="2" t="s">
        <v>4299</v>
      </c>
      <c r="B5025" s="2" t="s">
        <v>444</v>
      </c>
      <c r="C5025" s="2">
        <v>3</v>
      </c>
      <c r="D5025" t="str">
        <f t="shared" si="78"/>
        <v>CA-2016-161746_OFF-ST-10002743</v>
      </c>
      <c r="E5025" t="str">
        <f>IF(COUNTIF(data1!$D:$D,D5025)=0,"Missing in Data1","Present")</f>
        <v>Present</v>
      </c>
    </row>
    <row r="5026" spans="1:5" x14ac:dyDescent="0.25">
      <c r="A5026" s="2" t="s">
        <v>4300</v>
      </c>
      <c r="B5026" s="2" t="s">
        <v>4301</v>
      </c>
      <c r="C5026" s="2">
        <v>7</v>
      </c>
      <c r="D5026" t="str">
        <f t="shared" si="78"/>
        <v>CA-2016-161781_OFF-AR-10000255</v>
      </c>
      <c r="E5026" t="str">
        <f>IF(COUNTIF(data1!$D:$D,D5026)=0,"Missing in Data1","Present")</f>
        <v>Present</v>
      </c>
    </row>
    <row r="5027" spans="1:5" x14ac:dyDescent="0.25">
      <c r="A5027" s="2" t="s">
        <v>4302</v>
      </c>
      <c r="B5027" s="2" t="s">
        <v>3232</v>
      </c>
      <c r="C5027" s="2">
        <v>4</v>
      </c>
      <c r="D5027" t="str">
        <f t="shared" si="78"/>
        <v>CA-2016-161816_OFF-LA-10004345</v>
      </c>
      <c r="E5027" t="str">
        <f>IF(COUNTIF(data1!$D:$D,D5027)=0,"Missing in Data1","Present")</f>
        <v>Present</v>
      </c>
    </row>
    <row r="5028" spans="1:5" x14ac:dyDescent="0.25">
      <c r="A5028" s="2" t="s">
        <v>4302</v>
      </c>
      <c r="B5028" s="2" t="s">
        <v>1980</v>
      </c>
      <c r="C5028" s="2">
        <v>3</v>
      </c>
      <c r="D5028" t="str">
        <f t="shared" si="78"/>
        <v>CA-2016-161816_TEC-PH-10003012</v>
      </c>
      <c r="E5028" t="str">
        <f>IF(COUNTIF(data1!$D:$D,D5028)=0,"Missing in Data1","Present")</f>
        <v>Present</v>
      </c>
    </row>
    <row r="5029" spans="1:5" x14ac:dyDescent="0.25">
      <c r="A5029" s="2" t="s">
        <v>4303</v>
      </c>
      <c r="B5029" s="2" t="s">
        <v>72</v>
      </c>
      <c r="C5029" s="2">
        <v>4</v>
      </c>
      <c r="D5029" t="str">
        <f t="shared" si="78"/>
        <v>CA-2016-161907_OFF-SU-10000646</v>
      </c>
      <c r="E5029" t="str">
        <f>IF(COUNTIF(data1!$D:$D,D5029)=0,"Missing in Data1","Present")</f>
        <v>Present</v>
      </c>
    </row>
    <row r="5030" spans="1:5" x14ac:dyDescent="0.25">
      <c r="A5030" s="2" t="s">
        <v>4303</v>
      </c>
      <c r="B5030" s="2" t="s">
        <v>3679</v>
      </c>
      <c r="C5030" s="2">
        <v>3</v>
      </c>
      <c r="D5030" t="str">
        <f t="shared" si="78"/>
        <v>CA-2016-161907_TEC-PH-10000141</v>
      </c>
      <c r="E5030" t="str">
        <f>IF(COUNTIF(data1!$D:$D,D5030)=0,"Missing in Data1","Present")</f>
        <v>Present</v>
      </c>
    </row>
    <row r="5031" spans="1:5" x14ac:dyDescent="0.25">
      <c r="A5031" s="2" t="s">
        <v>4304</v>
      </c>
      <c r="B5031" s="2" t="s">
        <v>673</v>
      </c>
      <c r="C5031" s="2">
        <v>2</v>
      </c>
      <c r="D5031" t="str">
        <f t="shared" si="78"/>
        <v>CA-2016-161928_TEC-PH-10003484</v>
      </c>
      <c r="E5031" t="str">
        <f>IF(COUNTIF(data1!$D:$D,D5031)=0,"Missing in Data1","Present")</f>
        <v>Present</v>
      </c>
    </row>
    <row r="5032" spans="1:5" x14ac:dyDescent="0.25">
      <c r="A5032" s="2" t="s">
        <v>4305</v>
      </c>
      <c r="B5032" s="2" t="s">
        <v>1792</v>
      </c>
      <c r="C5032" s="2">
        <v>5</v>
      </c>
      <c r="D5032" t="str">
        <f t="shared" si="78"/>
        <v>CA-2016-162082_FUR-BO-10004409</v>
      </c>
      <c r="E5032" t="str">
        <f>IF(COUNTIF(data1!$D:$D,D5032)=0,"Missing in Data1","Present")</f>
        <v>Present</v>
      </c>
    </row>
    <row r="5033" spans="1:5" x14ac:dyDescent="0.25">
      <c r="A5033" s="2" t="s">
        <v>4305</v>
      </c>
      <c r="B5033" s="2" t="s">
        <v>1693</v>
      </c>
      <c r="C5033" s="2">
        <v>7</v>
      </c>
      <c r="D5033" t="str">
        <f t="shared" si="78"/>
        <v>CA-2016-162082_OFF-AR-10001044</v>
      </c>
      <c r="E5033" t="str">
        <f>IF(COUNTIF(data1!$D:$D,D5033)=0,"Missing in Data1","Present")</f>
        <v>Present</v>
      </c>
    </row>
    <row r="5034" spans="1:5" x14ac:dyDescent="0.25">
      <c r="A5034" s="2" t="s">
        <v>4305</v>
      </c>
      <c r="B5034" s="2" t="s">
        <v>3575</v>
      </c>
      <c r="C5034" s="2">
        <v>1</v>
      </c>
      <c r="D5034" t="str">
        <f t="shared" si="78"/>
        <v>CA-2016-162082_OFF-PA-10001934</v>
      </c>
      <c r="E5034" t="str">
        <f>IF(COUNTIF(data1!$D:$D,D5034)=0,"Missing in Data1","Present")</f>
        <v>Present</v>
      </c>
    </row>
    <row r="5035" spans="1:5" x14ac:dyDescent="0.25">
      <c r="A5035" s="2" t="s">
        <v>4308</v>
      </c>
      <c r="B5035" s="2" t="s">
        <v>404</v>
      </c>
      <c r="C5035" s="2">
        <v>6</v>
      </c>
      <c r="D5035" t="str">
        <f t="shared" si="78"/>
        <v>CA-2016-162138_OFF-BI-10004593</v>
      </c>
      <c r="E5035" t="str">
        <f>IF(COUNTIF(data1!$D:$D,D5035)=0,"Missing in Data1","Present")</f>
        <v>Present</v>
      </c>
    </row>
    <row r="5036" spans="1:5" x14ac:dyDescent="0.25">
      <c r="A5036" s="2" t="s">
        <v>4308</v>
      </c>
      <c r="B5036" s="2" t="s">
        <v>1428</v>
      </c>
      <c r="C5036" s="2">
        <v>1</v>
      </c>
      <c r="D5036" t="str">
        <f t="shared" si="78"/>
        <v>CA-2016-162138_TEC-AC-10001908</v>
      </c>
      <c r="E5036" t="str">
        <f>IF(COUNTIF(data1!$D:$D,D5036)=0,"Missing in Data1","Present")</f>
        <v>Present</v>
      </c>
    </row>
    <row r="5037" spans="1:5" x14ac:dyDescent="0.25">
      <c r="A5037" s="2" t="s">
        <v>4309</v>
      </c>
      <c r="B5037" s="2" t="s">
        <v>370</v>
      </c>
      <c r="C5037" s="2">
        <v>2</v>
      </c>
      <c r="D5037" t="str">
        <f t="shared" si="78"/>
        <v>CA-2016-162159_FUR-CH-10001146</v>
      </c>
      <c r="E5037" t="str">
        <f>IF(COUNTIF(data1!$D:$D,D5037)=0,"Missing in Data1","Present")</f>
        <v>Present</v>
      </c>
    </row>
    <row r="5038" spans="1:5" x14ac:dyDescent="0.25">
      <c r="A5038" s="2" t="s">
        <v>4310</v>
      </c>
      <c r="B5038" s="2" t="s">
        <v>1766</v>
      </c>
      <c r="C5038" s="2">
        <v>5</v>
      </c>
      <c r="D5038" t="str">
        <f t="shared" si="78"/>
        <v>CA-2016-162187_FUR-CH-10003298</v>
      </c>
      <c r="E5038" t="str">
        <f>IF(COUNTIF(data1!$D:$D,D5038)=0,"Missing in Data1","Present")</f>
        <v>Present</v>
      </c>
    </row>
    <row r="5039" spans="1:5" x14ac:dyDescent="0.25">
      <c r="A5039" s="2" t="s">
        <v>4310</v>
      </c>
      <c r="B5039" s="2" t="s">
        <v>770</v>
      </c>
      <c r="C5039" s="2">
        <v>3</v>
      </c>
      <c r="D5039" t="str">
        <f t="shared" si="78"/>
        <v>CA-2016-162187_FUR-TA-10003008</v>
      </c>
      <c r="E5039" t="str">
        <f>IF(COUNTIF(data1!$D:$D,D5039)=0,"Missing in Data1","Present")</f>
        <v>Present</v>
      </c>
    </row>
    <row r="5040" spans="1:5" x14ac:dyDescent="0.25">
      <c r="A5040" s="2" t="s">
        <v>4310</v>
      </c>
      <c r="B5040" s="2" t="s">
        <v>754</v>
      </c>
      <c r="C5040" s="2">
        <v>4</v>
      </c>
      <c r="D5040" t="str">
        <f t="shared" si="78"/>
        <v>CA-2016-162187_OFF-AP-10000576</v>
      </c>
      <c r="E5040" t="str">
        <f>IF(COUNTIF(data1!$D:$D,D5040)=0,"Missing in Data1","Present")</f>
        <v>Present</v>
      </c>
    </row>
    <row r="5041" spans="1:5" x14ac:dyDescent="0.25">
      <c r="A5041" s="2" t="s">
        <v>4310</v>
      </c>
      <c r="B5041" s="2" t="s">
        <v>1735</v>
      </c>
      <c r="C5041" s="2">
        <v>5</v>
      </c>
      <c r="D5041" t="str">
        <f t="shared" si="78"/>
        <v>CA-2016-162187_OFF-ST-10001558</v>
      </c>
      <c r="E5041" t="str">
        <f>IF(COUNTIF(data1!$D:$D,D5041)=0,"Missing in Data1","Present")</f>
        <v>Present</v>
      </c>
    </row>
    <row r="5042" spans="1:5" x14ac:dyDescent="0.25">
      <c r="A5042" s="2" t="s">
        <v>4310</v>
      </c>
      <c r="B5042" s="2" t="s">
        <v>3133</v>
      </c>
      <c r="C5042" s="2">
        <v>2</v>
      </c>
      <c r="D5042" t="str">
        <f t="shared" si="78"/>
        <v>CA-2016-162187_OFF-SU-10004782</v>
      </c>
      <c r="E5042" t="str">
        <f>IF(COUNTIF(data1!$D:$D,D5042)=0,"Missing in Data1","Present")</f>
        <v>Present</v>
      </c>
    </row>
    <row r="5043" spans="1:5" x14ac:dyDescent="0.25">
      <c r="A5043" s="2" t="s">
        <v>4311</v>
      </c>
      <c r="B5043" s="2" t="s">
        <v>3013</v>
      </c>
      <c r="C5043" s="2">
        <v>3</v>
      </c>
      <c r="D5043" t="str">
        <f t="shared" si="78"/>
        <v>CA-2016-162222_OFF-PA-10003893</v>
      </c>
      <c r="E5043" t="str">
        <f>IF(COUNTIF(data1!$D:$D,D5043)=0,"Missing in Data1","Present")</f>
        <v>Present</v>
      </c>
    </row>
    <row r="5044" spans="1:5" x14ac:dyDescent="0.25">
      <c r="A5044" s="2" t="s">
        <v>4312</v>
      </c>
      <c r="B5044" s="2" t="s">
        <v>1679</v>
      </c>
      <c r="C5044" s="2">
        <v>10</v>
      </c>
      <c r="D5044" t="str">
        <f t="shared" si="78"/>
        <v>CA-2016-162236_FUR-TA-10002533</v>
      </c>
      <c r="E5044" t="str">
        <f>IF(COUNTIF(data1!$D:$D,D5044)=0,"Missing in Data1","Present")</f>
        <v>Present</v>
      </c>
    </row>
    <row r="5045" spans="1:5" x14ac:dyDescent="0.25">
      <c r="A5045" s="2" t="s">
        <v>4312</v>
      </c>
      <c r="B5045" s="2" t="s">
        <v>71</v>
      </c>
      <c r="C5045" s="2">
        <v>2</v>
      </c>
      <c r="D5045" t="str">
        <f t="shared" si="78"/>
        <v>CA-2016-162236_OFF-ST-10003442</v>
      </c>
      <c r="E5045" t="str">
        <f>IF(COUNTIF(data1!$D:$D,D5045)=0,"Missing in Data1","Present")</f>
        <v>Present</v>
      </c>
    </row>
    <row r="5046" spans="1:5" x14ac:dyDescent="0.25">
      <c r="A5046" s="2" t="s">
        <v>4313</v>
      </c>
      <c r="B5046" s="2" t="s">
        <v>816</v>
      </c>
      <c r="C5046" s="2">
        <v>6</v>
      </c>
      <c r="D5046" t="str">
        <f t="shared" si="78"/>
        <v>CA-2016-162313_OFF-AP-10003842</v>
      </c>
      <c r="E5046" t="str">
        <f>IF(COUNTIF(data1!$D:$D,D5046)=0,"Missing in Data1","Present")</f>
        <v>Present</v>
      </c>
    </row>
    <row r="5047" spans="1:5" x14ac:dyDescent="0.25">
      <c r="A5047" s="2" t="s">
        <v>4314</v>
      </c>
      <c r="B5047" s="2" t="s">
        <v>3538</v>
      </c>
      <c r="C5047" s="2">
        <v>1</v>
      </c>
      <c r="D5047" t="str">
        <f t="shared" si="78"/>
        <v>CA-2016-162348_FUR-FU-10003731</v>
      </c>
      <c r="E5047" t="str">
        <f>IF(COUNTIF(data1!$D:$D,D5047)=0,"Missing in Data1","Present")</f>
        <v>Present</v>
      </c>
    </row>
    <row r="5048" spans="1:5" x14ac:dyDescent="0.25">
      <c r="A5048" s="2" t="s">
        <v>4315</v>
      </c>
      <c r="B5048" s="2" t="s">
        <v>2278</v>
      </c>
      <c r="C5048" s="2">
        <v>7</v>
      </c>
      <c r="D5048" t="str">
        <f t="shared" si="78"/>
        <v>CA-2016-162355_FUR-BO-10004695</v>
      </c>
      <c r="E5048" t="str">
        <f>IF(COUNTIF(data1!$D:$D,D5048)=0,"Missing in Data1","Present")</f>
        <v>Present</v>
      </c>
    </row>
    <row r="5049" spans="1:5" x14ac:dyDescent="0.25">
      <c r="A5049" s="2" t="s">
        <v>4315</v>
      </c>
      <c r="B5049" s="2" t="s">
        <v>1544</v>
      </c>
      <c r="C5049" s="2">
        <v>3</v>
      </c>
      <c r="D5049" t="str">
        <f t="shared" si="78"/>
        <v>CA-2016-162355_OFF-AR-10004344</v>
      </c>
      <c r="E5049" t="str">
        <f>IF(COUNTIF(data1!$D:$D,D5049)=0,"Missing in Data1","Present")</f>
        <v>Present</v>
      </c>
    </row>
    <row r="5050" spans="1:5" x14ac:dyDescent="0.25">
      <c r="A5050" s="2" t="s">
        <v>4316</v>
      </c>
      <c r="B5050" s="2" t="s">
        <v>1554</v>
      </c>
      <c r="C5050" s="2">
        <v>2</v>
      </c>
      <c r="D5050" t="str">
        <f t="shared" si="78"/>
        <v>CA-2016-162383_FUR-CH-10004477</v>
      </c>
      <c r="E5050" t="str">
        <f>IF(COUNTIF(data1!$D:$D,D5050)=0,"Missing in Data1","Present")</f>
        <v>Present</v>
      </c>
    </row>
    <row r="5051" spans="1:5" x14ac:dyDescent="0.25">
      <c r="A5051" s="2" t="s">
        <v>4316</v>
      </c>
      <c r="B5051" s="2" t="s">
        <v>1065</v>
      </c>
      <c r="C5051" s="2">
        <v>6</v>
      </c>
      <c r="D5051" t="str">
        <f t="shared" si="78"/>
        <v>CA-2016-162383_OFF-BI-10001757</v>
      </c>
      <c r="E5051" t="str">
        <f>IF(COUNTIF(data1!$D:$D,D5051)=0,"Missing in Data1","Present")</f>
        <v>Present</v>
      </c>
    </row>
    <row r="5052" spans="1:5" x14ac:dyDescent="0.25">
      <c r="A5052" s="2" t="s">
        <v>4316</v>
      </c>
      <c r="B5052" s="2" t="s">
        <v>1255</v>
      </c>
      <c r="C5052" s="2">
        <v>2</v>
      </c>
      <c r="D5052" t="str">
        <f t="shared" si="78"/>
        <v>CA-2016-162383_OFF-BI-10002824</v>
      </c>
      <c r="E5052" t="str">
        <f>IF(COUNTIF(data1!$D:$D,D5052)=0,"Missing in Data1","Present")</f>
        <v>Present</v>
      </c>
    </row>
    <row r="5053" spans="1:5" x14ac:dyDescent="0.25">
      <c r="A5053" s="2" t="s">
        <v>4317</v>
      </c>
      <c r="B5053" s="2" t="s">
        <v>4318</v>
      </c>
      <c r="C5053" s="2">
        <v>13</v>
      </c>
      <c r="D5053" t="str">
        <f t="shared" si="78"/>
        <v>CA-2016-162390_OFF-BI-10001721</v>
      </c>
      <c r="E5053" t="str">
        <f>IF(COUNTIF(data1!$D:$D,D5053)=0,"Missing in Data1","Present")</f>
        <v>Present</v>
      </c>
    </row>
    <row r="5054" spans="1:5" x14ac:dyDescent="0.25">
      <c r="A5054" s="2" t="s">
        <v>4317</v>
      </c>
      <c r="B5054" s="2" t="s">
        <v>3214</v>
      </c>
      <c r="C5054" s="2">
        <v>7</v>
      </c>
      <c r="D5054" t="str">
        <f t="shared" si="78"/>
        <v>CA-2016-162390_OFF-BI-10004318</v>
      </c>
      <c r="E5054" t="str">
        <f>IF(COUNTIF(data1!$D:$D,D5054)=0,"Missing in Data1","Present")</f>
        <v>Present</v>
      </c>
    </row>
    <row r="5055" spans="1:5" x14ac:dyDescent="0.25">
      <c r="A5055" s="2" t="s">
        <v>4319</v>
      </c>
      <c r="B5055" s="2" t="s">
        <v>974</v>
      </c>
      <c r="C5055" s="2">
        <v>4</v>
      </c>
      <c r="D5055" t="str">
        <f t="shared" si="78"/>
        <v>CA-2016-162404_OFF-BI-10000948</v>
      </c>
      <c r="E5055" t="str">
        <f>IF(COUNTIF(data1!$D:$D,D5055)=0,"Missing in Data1","Present")</f>
        <v>Present</v>
      </c>
    </row>
    <row r="5056" spans="1:5" x14ac:dyDescent="0.25">
      <c r="A5056" s="2" t="s">
        <v>4320</v>
      </c>
      <c r="B5056" s="2" t="s">
        <v>2450</v>
      </c>
      <c r="C5056" s="2">
        <v>2</v>
      </c>
      <c r="D5056" t="str">
        <f t="shared" si="78"/>
        <v>CA-2016-162614_OFF-BI-10004001</v>
      </c>
      <c r="E5056" t="str">
        <f>IF(COUNTIF(data1!$D:$D,D5056)=0,"Missing in Data1","Present")</f>
        <v>Present</v>
      </c>
    </row>
    <row r="5057" spans="1:5" x14ac:dyDescent="0.25">
      <c r="A5057" s="2" t="s">
        <v>4321</v>
      </c>
      <c r="B5057" s="2" t="s">
        <v>1431</v>
      </c>
      <c r="C5057" s="2">
        <v>2</v>
      </c>
      <c r="D5057" t="str">
        <f t="shared" si="78"/>
        <v>CA-2016-162726_OFF-PA-10001972</v>
      </c>
      <c r="E5057" t="str">
        <f>IF(COUNTIF(data1!$D:$D,D5057)=0,"Missing in Data1","Present")</f>
        <v>Present</v>
      </c>
    </row>
    <row r="5058" spans="1:5" x14ac:dyDescent="0.25">
      <c r="A5058" s="2" t="s">
        <v>4321</v>
      </c>
      <c r="B5058" s="2" t="s">
        <v>2644</v>
      </c>
      <c r="C5058" s="2">
        <v>4</v>
      </c>
      <c r="D5058" t="str">
        <f t="shared" si="78"/>
        <v>CA-2016-162726_OFF-PA-10004041</v>
      </c>
      <c r="E5058" t="str">
        <f>IF(COUNTIF(data1!$D:$D,D5058)=0,"Missing in Data1","Present")</f>
        <v>Present</v>
      </c>
    </row>
    <row r="5059" spans="1:5" x14ac:dyDescent="0.25">
      <c r="A5059" s="2" t="s">
        <v>6815</v>
      </c>
      <c r="B5059" s="2" t="s">
        <v>1932</v>
      </c>
      <c r="C5059" s="2">
        <v>1</v>
      </c>
      <c r="D5059" t="str">
        <f t="shared" ref="D5059:D5122" si="79">A5059&amp;"_"&amp;B5059</f>
        <v>CA-2016-162733_OFF-PA-10002751</v>
      </c>
      <c r="E5059" t="str">
        <f>IF(COUNTIF(data1!$D:$D,D5059)=0,"Missing in Data1","Present")</f>
        <v>Missing in Data1</v>
      </c>
    </row>
    <row r="5060" spans="1:5" x14ac:dyDescent="0.25">
      <c r="A5060" s="2" t="s">
        <v>4322</v>
      </c>
      <c r="B5060" s="2" t="s">
        <v>851</v>
      </c>
      <c r="C5060" s="2">
        <v>7</v>
      </c>
      <c r="D5060" t="str">
        <f t="shared" si="79"/>
        <v>CA-2016-162747_FUR-FU-10003691</v>
      </c>
      <c r="E5060" t="str">
        <f>IF(COUNTIF(data1!$D:$D,D5060)=0,"Missing in Data1","Present")</f>
        <v>Present</v>
      </c>
    </row>
    <row r="5061" spans="1:5" x14ac:dyDescent="0.25">
      <c r="A5061" s="2" t="s">
        <v>4323</v>
      </c>
      <c r="B5061" s="2" t="s">
        <v>2791</v>
      </c>
      <c r="C5061" s="2">
        <v>2</v>
      </c>
      <c r="D5061" t="str">
        <f t="shared" si="79"/>
        <v>CA-2016-162901_OFF-ST-10000649</v>
      </c>
      <c r="E5061" t="str">
        <f>IF(COUNTIF(data1!$D:$D,D5061)=0,"Missing in Data1","Present")</f>
        <v>Present</v>
      </c>
    </row>
    <row r="5062" spans="1:5" x14ac:dyDescent="0.25">
      <c r="A5062" s="2" t="s">
        <v>4324</v>
      </c>
      <c r="B5062" s="2" t="s">
        <v>2229</v>
      </c>
      <c r="C5062" s="2">
        <v>2</v>
      </c>
      <c r="D5062" t="str">
        <f t="shared" si="79"/>
        <v>CA-2016-162943_FUR-CH-10001708</v>
      </c>
      <c r="E5062" t="str">
        <f>IF(COUNTIF(data1!$D:$D,D5062)=0,"Missing in Data1","Present")</f>
        <v>Present</v>
      </c>
    </row>
    <row r="5063" spans="1:5" x14ac:dyDescent="0.25">
      <c r="A5063" s="2" t="s">
        <v>4325</v>
      </c>
      <c r="B5063" s="2" t="s">
        <v>976</v>
      </c>
      <c r="C5063" s="2">
        <v>4</v>
      </c>
      <c r="D5063" t="str">
        <f t="shared" si="79"/>
        <v>CA-2016-163048_FUR-CH-10001270</v>
      </c>
      <c r="E5063" t="str">
        <f>IF(COUNTIF(data1!$D:$D,D5063)=0,"Missing in Data1","Present")</f>
        <v>Present</v>
      </c>
    </row>
    <row r="5064" spans="1:5" x14ac:dyDescent="0.25">
      <c r="A5064" s="2" t="s">
        <v>4326</v>
      </c>
      <c r="B5064" s="2" t="s">
        <v>597</v>
      </c>
      <c r="C5064" s="2">
        <v>2</v>
      </c>
      <c r="D5064" t="str">
        <f t="shared" si="79"/>
        <v>CA-2016-163153_FUR-TA-10004767</v>
      </c>
      <c r="E5064" t="str">
        <f>IF(COUNTIF(data1!$D:$D,D5064)=0,"Missing in Data1","Present")</f>
        <v>Present</v>
      </c>
    </row>
    <row r="5065" spans="1:5" x14ac:dyDescent="0.25">
      <c r="A5065" s="2" t="s">
        <v>4326</v>
      </c>
      <c r="B5065" s="2" t="s">
        <v>17</v>
      </c>
      <c r="C5065" s="2">
        <v>1</v>
      </c>
      <c r="D5065" t="str">
        <f t="shared" si="79"/>
        <v>CA-2016-163153_OFF-AR-10001868</v>
      </c>
      <c r="E5065" t="str">
        <f>IF(COUNTIF(data1!$D:$D,D5065)=0,"Missing in Data1","Present")</f>
        <v>Present</v>
      </c>
    </row>
    <row r="5066" spans="1:5" x14ac:dyDescent="0.25">
      <c r="A5066" s="2" t="s">
        <v>4327</v>
      </c>
      <c r="B5066" s="2" t="s">
        <v>1554</v>
      </c>
      <c r="C5066" s="2">
        <v>3</v>
      </c>
      <c r="D5066" t="str">
        <f t="shared" si="79"/>
        <v>CA-2016-163167_FUR-CH-10004477</v>
      </c>
      <c r="E5066" t="str">
        <f>IF(COUNTIF(data1!$D:$D,D5066)=0,"Missing in Data1","Present")</f>
        <v>Present</v>
      </c>
    </row>
    <row r="5067" spans="1:5" x14ac:dyDescent="0.25">
      <c r="A5067" s="2" t="s">
        <v>4327</v>
      </c>
      <c r="B5067" s="2" t="s">
        <v>1127</v>
      </c>
      <c r="C5067" s="2">
        <v>6</v>
      </c>
      <c r="D5067" t="str">
        <f t="shared" si="79"/>
        <v>CA-2016-163167_OFF-ST-10003805</v>
      </c>
      <c r="E5067" t="str">
        <f>IF(COUNTIF(data1!$D:$D,D5067)=0,"Missing in Data1","Present")</f>
        <v>Present</v>
      </c>
    </row>
    <row r="5068" spans="1:5" x14ac:dyDescent="0.25">
      <c r="A5068" s="2" t="s">
        <v>4327</v>
      </c>
      <c r="B5068" s="2" t="s">
        <v>1841</v>
      </c>
      <c r="C5068" s="2">
        <v>6</v>
      </c>
      <c r="D5068" t="str">
        <f t="shared" si="79"/>
        <v>CA-2016-163167_TEC-AC-10003441</v>
      </c>
      <c r="E5068" t="str">
        <f>IF(COUNTIF(data1!$D:$D,D5068)=0,"Missing in Data1","Present")</f>
        <v>Present</v>
      </c>
    </row>
    <row r="5069" spans="1:5" x14ac:dyDescent="0.25">
      <c r="A5069" s="2" t="s">
        <v>4328</v>
      </c>
      <c r="B5069" s="2" t="s">
        <v>1698</v>
      </c>
      <c r="C5069" s="2">
        <v>3</v>
      </c>
      <c r="D5069" t="str">
        <f t="shared" si="79"/>
        <v>CA-2016-163174_FUR-FU-10000308</v>
      </c>
      <c r="E5069" t="str">
        <f>IF(COUNTIF(data1!$D:$D,D5069)=0,"Missing in Data1","Present")</f>
        <v>Present</v>
      </c>
    </row>
    <row r="5070" spans="1:5" x14ac:dyDescent="0.25">
      <c r="A5070" s="2" t="s">
        <v>4329</v>
      </c>
      <c r="B5070" s="2" t="s">
        <v>735</v>
      </c>
      <c r="C5070" s="2">
        <v>3</v>
      </c>
      <c r="D5070" t="str">
        <f t="shared" si="79"/>
        <v>CA-2016-163202_OFF-BI-10002764</v>
      </c>
      <c r="E5070" t="str">
        <f>IF(COUNTIF(data1!$D:$D,D5070)=0,"Missing in Data1","Present")</f>
        <v>Present</v>
      </c>
    </row>
    <row r="5071" spans="1:5" x14ac:dyDescent="0.25">
      <c r="A5071" s="2" t="s">
        <v>4330</v>
      </c>
      <c r="B5071" s="2" t="s">
        <v>1874</v>
      </c>
      <c r="C5071" s="2">
        <v>2</v>
      </c>
      <c r="D5071" t="str">
        <f t="shared" si="79"/>
        <v>CA-2016-163216_OFF-LA-10000134</v>
      </c>
      <c r="E5071" t="str">
        <f>IF(COUNTIF(data1!$D:$D,D5071)=0,"Missing in Data1","Present")</f>
        <v>Present</v>
      </c>
    </row>
    <row r="5072" spans="1:5" x14ac:dyDescent="0.25">
      <c r="A5072" s="2" t="s">
        <v>4331</v>
      </c>
      <c r="B5072" s="2" t="s">
        <v>1578</v>
      </c>
      <c r="C5072" s="2">
        <v>3</v>
      </c>
      <c r="D5072" t="str">
        <f t="shared" si="79"/>
        <v>CA-2016-163328_FUR-CH-10000229</v>
      </c>
      <c r="E5072" t="str">
        <f>IF(COUNTIF(data1!$D:$D,D5072)=0,"Missing in Data1","Present")</f>
        <v>Present</v>
      </c>
    </row>
    <row r="5073" spans="1:5" x14ac:dyDescent="0.25">
      <c r="A5073" s="2" t="s">
        <v>4331</v>
      </c>
      <c r="B5073" s="2" t="s">
        <v>1766</v>
      </c>
      <c r="C5073" s="2">
        <v>1</v>
      </c>
      <c r="D5073" t="str">
        <f t="shared" si="79"/>
        <v>CA-2016-163328_FUR-CH-10003298</v>
      </c>
      <c r="E5073" t="str">
        <f>IF(COUNTIF(data1!$D:$D,D5073)=0,"Missing in Data1","Present")</f>
        <v>Present</v>
      </c>
    </row>
    <row r="5074" spans="1:5" x14ac:dyDescent="0.25">
      <c r="A5074" s="2" t="s">
        <v>4331</v>
      </c>
      <c r="B5074" s="2" t="s">
        <v>24</v>
      </c>
      <c r="C5074" s="2">
        <v>8</v>
      </c>
      <c r="D5074" t="str">
        <f t="shared" si="79"/>
        <v>CA-2016-163328_OFF-LA-10003930</v>
      </c>
      <c r="E5074" t="str">
        <f>IF(COUNTIF(data1!$D:$D,D5074)=0,"Missing in Data1","Present")</f>
        <v>Present</v>
      </c>
    </row>
    <row r="5075" spans="1:5" x14ac:dyDescent="0.25">
      <c r="A5075" s="2" t="s">
        <v>4331</v>
      </c>
      <c r="B5075" s="2" t="s">
        <v>7</v>
      </c>
      <c r="C5075" s="2">
        <v>1</v>
      </c>
      <c r="D5075" t="str">
        <f t="shared" si="79"/>
        <v>CA-2016-163328_OFF-PA-10000176</v>
      </c>
      <c r="E5075" t="str">
        <f>IF(COUNTIF(data1!$D:$D,D5075)=0,"Missing in Data1","Present")</f>
        <v>Present</v>
      </c>
    </row>
    <row r="5076" spans="1:5" x14ac:dyDescent="0.25">
      <c r="A5076" s="2" t="s">
        <v>4331</v>
      </c>
      <c r="B5076" s="2" t="s">
        <v>121</v>
      </c>
      <c r="C5076" s="2">
        <v>3</v>
      </c>
      <c r="D5076" t="str">
        <f t="shared" si="79"/>
        <v>CA-2016-163328_OFF-PA-10004353</v>
      </c>
      <c r="E5076" t="str">
        <f>IF(COUNTIF(data1!$D:$D,D5076)=0,"Missing in Data1","Present")</f>
        <v>Present</v>
      </c>
    </row>
    <row r="5077" spans="1:5" x14ac:dyDescent="0.25">
      <c r="A5077" s="2" t="s">
        <v>4331</v>
      </c>
      <c r="B5077" s="2" t="s">
        <v>73</v>
      </c>
      <c r="C5077" s="2">
        <v>7</v>
      </c>
      <c r="D5077" t="str">
        <f t="shared" si="79"/>
        <v>CA-2016-163328_OFF-SU-10002301</v>
      </c>
      <c r="E5077" t="str">
        <f>IF(COUNTIF(data1!$D:$D,D5077)=0,"Missing in Data1","Present")</f>
        <v>Present</v>
      </c>
    </row>
    <row r="5078" spans="1:5" x14ac:dyDescent="0.25">
      <c r="A5078" s="2" t="s">
        <v>4332</v>
      </c>
      <c r="B5078" s="2" t="s">
        <v>651</v>
      </c>
      <c r="C5078" s="2">
        <v>4</v>
      </c>
      <c r="D5078" t="str">
        <f t="shared" si="79"/>
        <v>CA-2016-163384_OFF-BI-10004970</v>
      </c>
      <c r="E5078" t="str">
        <f>IF(COUNTIF(data1!$D:$D,D5078)=0,"Missing in Data1","Present")</f>
        <v>Present</v>
      </c>
    </row>
    <row r="5079" spans="1:5" x14ac:dyDescent="0.25">
      <c r="A5079" s="2" t="s">
        <v>4332</v>
      </c>
      <c r="B5079" s="2" t="s">
        <v>1909</v>
      </c>
      <c r="C5079" s="2">
        <v>5</v>
      </c>
      <c r="D5079" t="str">
        <f t="shared" si="79"/>
        <v>CA-2016-163384_OFF-PA-10003172</v>
      </c>
      <c r="E5079" t="str">
        <f>IF(COUNTIF(data1!$D:$D,D5079)=0,"Missing in Data1","Present")</f>
        <v>Present</v>
      </c>
    </row>
    <row r="5080" spans="1:5" x14ac:dyDescent="0.25">
      <c r="A5080" s="2" t="s">
        <v>4333</v>
      </c>
      <c r="B5080" s="2" t="s">
        <v>1543</v>
      </c>
      <c r="C5080" s="2">
        <v>3</v>
      </c>
      <c r="D5080" t="str">
        <f t="shared" si="79"/>
        <v>CA-2016-163398_OFF-AP-10002403</v>
      </c>
      <c r="E5080" t="str">
        <f>IF(COUNTIF(data1!$D:$D,D5080)=0,"Missing in Data1","Present")</f>
        <v>Present</v>
      </c>
    </row>
    <row r="5081" spans="1:5" x14ac:dyDescent="0.25">
      <c r="A5081" s="2" t="s">
        <v>4333</v>
      </c>
      <c r="B5081" s="2" t="s">
        <v>2285</v>
      </c>
      <c r="C5081" s="2">
        <v>7</v>
      </c>
      <c r="D5081" t="str">
        <f t="shared" si="79"/>
        <v>CA-2016-163398_OFF-AR-10003217</v>
      </c>
      <c r="E5081" t="str">
        <f>IF(COUNTIF(data1!$D:$D,D5081)=0,"Missing in Data1","Present")</f>
        <v>Present</v>
      </c>
    </row>
    <row r="5082" spans="1:5" x14ac:dyDescent="0.25">
      <c r="A5082" s="2" t="s">
        <v>4333</v>
      </c>
      <c r="B5082" s="2" t="s">
        <v>2658</v>
      </c>
      <c r="C5082" s="2">
        <v>1</v>
      </c>
      <c r="D5082" t="str">
        <f t="shared" si="79"/>
        <v>CA-2016-163398_OFF-BI-10000014</v>
      </c>
      <c r="E5082" t="str">
        <f>IF(COUNTIF(data1!$D:$D,D5082)=0,"Missing in Data1","Present")</f>
        <v>Present</v>
      </c>
    </row>
    <row r="5083" spans="1:5" x14ac:dyDescent="0.25">
      <c r="A5083" s="2" t="s">
        <v>4334</v>
      </c>
      <c r="B5083" s="2" t="s">
        <v>820</v>
      </c>
      <c r="C5083" s="2">
        <v>5</v>
      </c>
      <c r="D5083" t="str">
        <f t="shared" si="79"/>
        <v>CA-2016-163573_OFF-BI-10004632</v>
      </c>
      <c r="E5083" t="str">
        <f>IF(COUNTIF(data1!$D:$D,D5083)=0,"Missing in Data1","Present")</f>
        <v>Present</v>
      </c>
    </row>
    <row r="5084" spans="1:5" x14ac:dyDescent="0.25">
      <c r="A5084" s="2" t="s">
        <v>4335</v>
      </c>
      <c r="B5084" s="2" t="s">
        <v>2040</v>
      </c>
      <c r="C5084" s="2">
        <v>3</v>
      </c>
      <c r="D5084" t="str">
        <f t="shared" si="79"/>
        <v>CA-2016-163594_OFF-BI-10003707</v>
      </c>
      <c r="E5084" t="str">
        <f>IF(COUNTIF(data1!$D:$D,D5084)=0,"Missing in Data1","Present")</f>
        <v>Present</v>
      </c>
    </row>
    <row r="5085" spans="1:5" x14ac:dyDescent="0.25">
      <c r="A5085" s="2" t="s">
        <v>4335</v>
      </c>
      <c r="B5085" s="2" t="s">
        <v>2165</v>
      </c>
      <c r="C5085" s="2">
        <v>3</v>
      </c>
      <c r="D5085" t="str">
        <f t="shared" si="79"/>
        <v>CA-2016-163594_OFF-PA-10000809</v>
      </c>
      <c r="E5085" t="str">
        <f>IF(COUNTIF(data1!$D:$D,D5085)=0,"Missing in Data1","Present")</f>
        <v>Present</v>
      </c>
    </row>
    <row r="5086" spans="1:5" x14ac:dyDescent="0.25">
      <c r="A5086" s="2" t="s">
        <v>4336</v>
      </c>
      <c r="B5086" s="2" t="s">
        <v>2227</v>
      </c>
      <c r="C5086" s="2">
        <v>2</v>
      </c>
      <c r="D5086" t="str">
        <f t="shared" si="79"/>
        <v>CA-2016-163636_OFF-AR-10001547</v>
      </c>
      <c r="E5086" t="str">
        <f>IF(COUNTIF(data1!$D:$D,D5086)=0,"Missing in Data1","Present")</f>
        <v>Present</v>
      </c>
    </row>
    <row r="5087" spans="1:5" x14ac:dyDescent="0.25">
      <c r="A5087" s="2" t="s">
        <v>4337</v>
      </c>
      <c r="B5087" s="2" t="s">
        <v>2009</v>
      </c>
      <c r="C5087" s="2">
        <v>3</v>
      </c>
      <c r="D5087" t="str">
        <f t="shared" si="79"/>
        <v>CA-2016-163755_FUR-FU-10003394</v>
      </c>
      <c r="E5087" t="str">
        <f>IF(COUNTIF(data1!$D:$D,D5087)=0,"Missing in Data1","Present")</f>
        <v>Present</v>
      </c>
    </row>
    <row r="5088" spans="1:5" x14ac:dyDescent="0.25">
      <c r="A5088" s="2" t="s">
        <v>4338</v>
      </c>
      <c r="B5088" s="2" t="s">
        <v>1678</v>
      </c>
      <c r="C5088" s="2">
        <v>5</v>
      </c>
      <c r="D5088" t="str">
        <f t="shared" si="79"/>
        <v>CA-2016-163776_FUR-BO-10003546</v>
      </c>
      <c r="E5088" t="str">
        <f>IF(COUNTIF(data1!$D:$D,D5088)=0,"Missing in Data1","Present")</f>
        <v>Present</v>
      </c>
    </row>
    <row r="5089" spans="1:5" x14ac:dyDescent="0.25">
      <c r="A5089" s="2" t="s">
        <v>4338</v>
      </c>
      <c r="B5089" s="2" t="s">
        <v>2600</v>
      </c>
      <c r="C5089" s="2">
        <v>6</v>
      </c>
      <c r="D5089" t="str">
        <f t="shared" si="79"/>
        <v>CA-2016-163776_FUR-FU-10001185</v>
      </c>
      <c r="E5089" t="str">
        <f>IF(COUNTIF(data1!$D:$D,D5089)=0,"Missing in Data1","Present")</f>
        <v>Present</v>
      </c>
    </row>
    <row r="5090" spans="1:5" x14ac:dyDescent="0.25">
      <c r="A5090" s="2" t="s">
        <v>4338</v>
      </c>
      <c r="B5090" s="2" t="s">
        <v>510</v>
      </c>
      <c r="C5090" s="2">
        <v>2</v>
      </c>
      <c r="D5090" t="str">
        <f t="shared" si="79"/>
        <v>CA-2016-163776_OFF-BI-10003007</v>
      </c>
      <c r="E5090" t="str">
        <f>IF(COUNTIF(data1!$D:$D,D5090)=0,"Missing in Data1","Present")</f>
        <v>Present</v>
      </c>
    </row>
    <row r="5091" spans="1:5" x14ac:dyDescent="0.25">
      <c r="A5091" s="2" t="s">
        <v>4338</v>
      </c>
      <c r="B5091" s="2" t="s">
        <v>1435</v>
      </c>
      <c r="C5091" s="2">
        <v>6</v>
      </c>
      <c r="D5091" t="str">
        <f t="shared" si="79"/>
        <v>CA-2016-163776_OFF-PA-10001033</v>
      </c>
      <c r="E5091" t="str">
        <f>IF(COUNTIF(data1!$D:$D,D5091)=0,"Missing in Data1","Present")</f>
        <v>Present</v>
      </c>
    </row>
    <row r="5092" spans="1:5" x14ac:dyDescent="0.25">
      <c r="A5092" s="2" t="s">
        <v>4338</v>
      </c>
      <c r="B5092" s="2" t="s">
        <v>3070</v>
      </c>
      <c r="C5092" s="2">
        <v>4</v>
      </c>
      <c r="D5092" t="str">
        <f t="shared" si="79"/>
        <v>CA-2016-163776_OFF-ST-10002485</v>
      </c>
      <c r="E5092" t="str">
        <f>IF(COUNTIF(data1!$D:$D,D5092)=0,"Missing in Data1","Present")</f>
        <v>Present</v>
      </c>
    </row>
    <row r="5093" spans="1:5" x14ac:dyDescent="0.25">
      <c r="A5093" s="2" t="s">
        <v>4339</v>
      </c>
      <c r="B5093" s="2" t="s">
        <v>226</v>
      </c>
      <c r="C5093" s="2">
        <v>6</v>
      </c>
      <c r="D5093" t="str">
        <f t="shared" si="79"/>
        <v>CA-2016-163804_FUR-FU-10004864</v>
      </c>
      <c r="E5093" t="str">
        <f>IF(COUNTIF(data1!$D:$D,D5093)=0,"Missing in Data1","Present")</f>
        <v>Present</v>
      </c>
    </row>
    <row r="5094" spans="1:5" x14ac:dyDescent="0.25">
      <c r="A5094" s="2" t="s">
        <v>4339</v>
      </c>
      <c r="B5094" s="2" t="s">
        <v>2110</v>
      </c>
      <c r="C5094" s="2">
        <v>5</v>
      </c>
      <c r="D5094" t="str">
        <f t="shared" si="79"/>
        <v>CA-2016-163804_OFF-ST-10000142</v>
      </c>
      <c r="E5094" t="str">
        <f>IF(COUNTIF(data1!$D:$D,D5094)=0,"Missing in Data1","Present")</f>
        <v>Present</v>
      </c>
    </row>
    <row r="5095" spans="1:5" x14ac:dyDescent="0.25">
      <c r="A5095" s="2" t="s">
        <v>4341</v>
      </c>
      <c r="B5095" s="2" t="s">
        <v>1557</v>
      </c>
      <c r="C5095" s="2">
        <v>5</v>
      </c>
      <c r="D5095" t="str">
        <f t="shared" si="79"/>
        <v>CA-2016-163951_OFF-AR-10004269</v>
      </c>
      <c r="E5095" t="str">
        <f>IF(COUNTIF(data1!$D:$D,D5095)=0,"Missing in Data1","Present")</f>
        <v>Present</v>
      </c>
    </row>
    <row r="5096" spans="1:5" x14ac:dyDescent="0.25">
      <c r="A5096" s="2" t="s">
        <v>4342</v>
      </c>
      <c r="B5096" s="2" t="s">
        <v>4343</v>
      </c>
      <c r="C5096" s="2">
        <v>2</v>
      </c>
      <c r="D5096" t="str">
        <f t="shared" si="79"/>
        <v>CA-2016-163972_FUR-BO-10003894</v>
      </c>
      <c r="E5096" t="str">
        <f>IF(COUNTIF(data1!$D:$D,D5096)=0,"Missing in Data1","Present")</f>
        <v>Present</v>
      </c>
    </row>
    <row r="5097" spans="1:5" x14ac:dyDescent="0.25">
      <c r="A5097" s="2" t="s">
        <v>6816</v>
      </c>
      <c r="B5097" s="2" t="s">
        <v>173</v>
      </c>
      <c r="C5097" s="2">
        <v>5</v>
      </c>
      <c r="D5097" t="str">
        <f t="shared" si="79"/>
        <v>CA-2016-163986_OFF-ST-10000918</v>
      </c>
      <c r="E5097" t="str">
        <f>IF(COUNTIF(data1!$D:$D,D5097)=0,"Missing in Data1","Present")</f>
        <v>Missing in Data1</v>
      </c>
    </row>
    <row r="5098" spans="1:5" x14ac:dyDescent="0.25">
      <c r="A5098" s="2" t="s">
        <v>4344</v>
      </c>
      <c r="B5098" s="2" t="s">
        <v>2415</v>
      </c>
      <c r="C5098" s="2">
        <v>5</v>
      </c>
      <c r="D5098" t="str">
        <f t="shared" si="79"/>
        <v>CA-2016-164035_OFF-PA-10002160</v>
      </c>
      <c r="E5098" t="str">
        <f>IF(COUNTIF(data1!$D:$D,D5098)=0,"Missing in Data1","Present")</f>
        <v>Present</v>
      </c>
    </row>
    <row r="5099" spans="1:5" x14ac:dyDescent="0.25">
      <c r="A5099" s="2" t="s">
        <v>4345</v>
      </c>
      <c r="B5099" s="2" t="s">
        <v>1758</v>
      </c>
      <c r="C5099" s="2">
        <v>2</v>
      </c>
      <c r="D5099" t="str">
        <f t="shared" si="79"/>
        <v>CA-2016-164091_FUR-FU-10004952</v>
      </c>
      <c r="E5099" t="str">
        <f>IF(COUNTIF(data1!$D:$D,D5099)=0,"Missing in Data1","Present")</f>
        <v>Present</v>
      </c>
    </row>
    <row r="5100" spans="1:5" x14ac:dyDescent="0.25">
      <c r="A5100" s="2" t="s">
        <v>4345</v>
      </c>
      <c r="B5100" s="2" t="s">
        <v>1663</v>
      </c>
      <c r="C5100" s="2">
        <v>3</v>
      </c>
      <c r="D5100" t="str">
        <f t="shared" si="79"/>
        <v>CA-2016-164091_TEC-PH-10001944</v>
      </c>
      <c r="E5100" t="str">
        <f>IF(COUNTIF(data1!$D:$D,D5100)=0,"Missing in Data1","Present")</f>
        <v>Present</v>
      </c>
    </row>
    <row r="5101" spans="1:5" x14ac:dyDescent="0.25">
      <c r="A5101" s="2" t="s">
        <v>4346</v>
      </c>
      <c r="B5101" s="2" t="s">
        <v>190</v>
      </c>
      <c r="C5101" s="2">
        <v>3</v>
      </c>
      <c r="D5101" t="str">
        <f t="shared" si="79"/>
        <v>CA-2016-164154_OFF-BI-10001658</v>
      </c>
      <c r="E5101" t="str">
        <f>IF(COUNTIF(data1!$D:$D,D5101)=0,"Missing in Data1","Present")</f>
        <v>Present</v>
      </c>
    </row>
    <row r="5102" spans="1:5" x14ac:dyDescent="0.25">
      <c r="A5102" s="2" t="s">
        <v>4346</v>
      </c>
      <c r="B5102" s="2" t="s">
        <v>1660</v>
      </c>
      <c r="C5102" s="2">
        <v>5</v>
      </c>
      <c r="D5102" t="str">
        <f t="shared" si="79"/>
        <v>CA-2016-164154_OFF-ST-10002562</v>
      </c>
      <c r="E5102" t="str">
        <f>IF(COUNTIF(data1!$D:$D,D5102)=0,"Missing in Data1","Present")</f>
        <v>Present</v>
      </c>
    </row>
    <row r="5103" spans="1:5" x14ac:dyDescent="0.25">
      <c r="A5103" s="2" t="s">
        <v>4347</v>
      </c>
      <c r="B5103" s="2" t="s">
        <v>1922</v>
      </c>
      <c r="C5103" s="2">
        <v>3</v>
      </c>
      <c r="D5103" t="str">
        <f t="shared" si="79"/>
        <v>CA-2016-164350_OFF-AR-10000538</v>
      </c>
      <c r="E5103" t="str">
        <f>IF(COUNTIF(data1!$D:$D,D5103)=0,"Missing in Data1","Present")</f>
        <v>Present</v>
      </c>
    </row>
    <row r="5104" spans="1:5" x14ac:dyDescent="0.25">
      <c r="A5104" s="2" t="s">
        <v>4348</v>
      </c>
      <c r="B5104" s="2" t="s">
        <v>4195</v>
      </c>
      <c r="C5104" s="2">
        <v>3</v>
      </c>
      <c r="D5104" t="str">
        <f t="shared" si="79"/>
        <v>CA-2016-164399_FUR-TA-10003392</v>
      </c>
      <c r="E5104" t="str">
        <f>IF(COUNTIF(data1!$D:$D,D5104)=0,"Missing in Data1","Present")</f>
        <v>Present</v>
      </c>
    </row>
    <row r="5105" spans="1:5" x14ac:dyDescent="0.25">
      <c r="A5105" s="2" t="s">
        <v>4348</v>
      </c>
      <c r="B5105" s="2" t="s">
        <v>2563</v>
      </c>
      <c r="C5105" s="2">
        <v>3</v>
      </c>
      <c r="D5105" t="str">
        <f t="shared" si="79"/>
        <v>CA-2016-164399_TEC-PH-10004908</v>
      </c>
      <c r="E5105" t="str">
        <f>IF(COUNTIF(data1!$D:$D,D5105)=0,"Missing in Data1","Present")</f>
        <v>Missing in Data1</v>
      </c>
    </row>
    <row r="5106" spans="1:5" x14ac:dyDescent="0.25">
      <c r="A5106" s="2" t="s">
        <v>4349</v>
      </c>
      <c r="B5106" s="2" t="s">
        <v>2658</v>
      </c>
      <c r="C5106" s="2">
        <v>2</v>
      </c>
      <c r="D5106" t="str">
        <f t="shared" si="79"/>
        <v>CA-2016-164483_OFF-BI-10000014</v>
      </c>
      <c r="E5106" t="str">
        <f>IF(COUNTIF(data1!$D:$D,D5106)=0,"Missing in Data1","Present")</f>
        <v>Present</v>
      </c>
    </row>
    <row r="5107" spans="1:5" x14ac:dyDescent="0.25">
      <c r="A5107" s="2" t="s">
        <v>4350</v>
      </c>
      <c r="B5107" s="2" t="s">
        <v>2528</v>
      </c>
      <c r="C5107" s="2">
        <v>2</v>
      </c>
      <c r="D5107" t="str">
        <f t="shared" si="79"/>
        <v>CA-2016-164490_OFF-PA-10004971</v>
      </c>
      <c r="E5107" t="str">
        <f>IF(COUNTIF(data1!$D:$D,D5107)=0,"Missing in Data1","Present")</f>
        <v>Present</v>
      </c>
    </row>
    <row r="5108" spans="1:5" x14ac:dyDescent="0.25">
      <c r="A5108" s="2" t="s">
        <v>4351</v>
      </c>
      <c r="B5108" s="2" t="s">
        <v>390</v>
      </c>
      <c r="C5108" s="2">
        <v>3</v>
      </c>
      <c r="D5108" t="str">
        <f t="shared" si="79"/>
        <v>CA-2016-164511_OFF-BI-10003305</v>
      </c>
      <c r="E5108" t="str">
        <f>IF(COUNTIF(data1!$D:$D,D5108)=0,"Missing in Data1","Present")</f>
        <v>Present</v>
      </c>
    </row>
    <row r="5109" spans="1:5" x14ac:dyDescent="0.25">
      <c r="A5109" s="2" t="s">
        <v>4351</v>
      </c>
      <c r="B5109" s="2" t="s">
        <v>1268</v>
      </c>
      <c r="C5109" s="2">
        <v>2</v>
      </c>
      <c r="D5109" t="str">
        <f t="shared" si="79"/>
        <v>CA-2016-164511_OFF-ST-10002583</v>
      </c>
      <c r="E5109" t="str">
        <f>IF(COUNTIF(data1!$D:$D,D5109)=0,"Missing in Data1","Present")</f>
        <v>Present</v>
      </c>
    </row>
    <row r="5110" spans="1:5" x14ac:dyDescent="0.25">
      <c r="A5110" s="2" t="s">
        <v>4351</v>
      </c>
      <c r="B5110" s="2" t="s">
        <v>1772</v>
      </c>
      <c r="C5110" s="2">
        <v>4</v>
      </c>
      <c r="D5110" t="str">
        <f t="shared" si="79"/>
        <v>CA-2016-164511_OFF-ST-10004507</v>
      </c>
      <c r="E5110" t="str">
        <f>IF(COUNTIF(data1!$D:$D,D5110)=0,"Missing in Data1","Present")</f>
        <v>Present</v>
      </c>
    </row>
    <row r="5111" spans="1:5" x14ac:dyDescent="0.25">
      <c r="A5111" s="2" t="s">
        <v>4352</v>
      </c>
      <c r="B5111" s="2" t="s">
        <v>150</v>
      </c>
      <c r="C5111" s="2">
        <v>3</v>
      </c>
      <c r="D5111" t="str">
        <f t="shared" si="79"/>
        <v>CA-2016-164574_OFF-BI-10002429</v>
      </c>
      <c r="E5111" t="str">
        <f>IF(COUNTIF(data1!$D:$D,D5111)=0,"Missing in Data1","Present")</f>
        <v>Present</v>
      </c>
    </row>
    <row r="5112" spans="1:5" x14ac:dyDescent="0.25">
      <c r="A5112" s="2" t="s">
        <v>4352</v>
      </c>
      <c r="B5112" s="2" t="s">
        <v>2294</v>
      </c>
      <c r="C5112" s="2">
        <v>5</v>
      </c>
      <c r="D5112" t="str">
        <f t="shared" si="79"/>
        <v>CA-2016-164574_OFF-ST-10003816</v>
      </c>
      <c r="E5112" t="str">
        <f>IF(COUNTIF(data1!$D:$D,D5112)=0,"Missing in Data1","Present")</f>
        <v>Present</v>
      </c>
    </row>
    <row r="5113" spans="1:5" x14ac:dyDescent="0.25">
      <c r="A5113" s="2" t="s">
        <v>4353</v>
      </c>
      <c r="B5113" s="2" t="s">
        <v>303</v>
      </c>
      <c r="C5113" s="2">
        <v>3</v>
      </c>
      <c r="D5113" t="str">
        <f t="shared" si="79"/>
        <v>CA-2016-164637_OFF-BI-10003876</v>
      </c>
      <c r="E5113" t="str">
        <f>IF(COUNTIF(data1!$D:$D,D5113)=0,"Missing in Data1","Present")</f>
        <v>Present</v>
      </c>
    </row>
    <row r="5114" spans="1:5" x14ac:dyDescent="0.25">
      <c r="A5114" s="2" t="s">
        <v>4354</v>
      </c>
      <c r="B5114" s="2" t="s">
        <v>3455</v>
      </c>
      <c r="C5114" s="2">
        <v>2</v>
      </c>
      <c r="D5114" t="str">
        <f t="shared" si="79"/>
        <v>CA-2016-164672_FUR-FU-10001488</v>
      </c>
      <c r="E5114" t="str">
        <f>IF(COUNTIF(data1!$D:$D,D5114)=0,"Missing in Data1","Present")</f>
        <v>Present</v>
      </c>
    </row>
    <row r="5115" spans="1:5" x14ac:dyDescent="0.25">
      <c r="A5115" s="2" t="s">
        <v>4355</v>
      </c>
      <c r="B5115" s="2" t="s">
        <v>1735</v>
      </c>
      <c r="C5115" s="2">
        <v>5</v>
      </c>
      <c r="D5115" t="str">
        <f t="shared" si="79"/>
        <v>CA-2016-164735_OFF-ST-10001558</v>
      </c>
      <c r="E5115" t="str">
        <f>IF(COUNTIF(data1!$D:$D,D5115)=0,"Missing in Data1","Present")</f>
        <v>Present</v>
      </c>
    </row>
    <row r="5116" spans="1:5" x14ac:dyDescent="0.25">
      <c r="A5116" s="2" t="s">
        <v>4356</v>
      </c>
      <c r="B5116" s="2" t="s">
        <v>2475</v>
      </c>
      <c r="C5116" s="2">
        <v>10</v>
      </c>
      <c r="D5116" t="str">
        <f t="shared" si="79"/>
        <v>CA-2016-164770_FUR-BO-10003893</v>
      </c>
      <c r="E5116" t="str">
        <f>IF(COUNTIF(data1!$D:$D,D5116)=0,"Missing in Data1","Present")</f>
        <v>Present</v>
      </c>
    </row>
    <row r="5117" spans="1:5" x14ac:dyDescent="0.25">
      <c r="A5117" s="2" t="s">
        <v>4356</v>
      </c>
      <c r="B5117" s="2" t="s">
        <v>3013</v>
      </c>
      <c r="C5117" s="2">
        <v>9</v>
      </c>
      <c r="D5117" t="str">
        <f t="shared" si="79"/>
        <v>CA-2016-164770_OFF-PA-10003893</v>
      </c>
      <c r="E5117" t="str">
        <f>IF(COUNTIF(data1!$D:$D,D5117)=0,"Missing in Data1","Present")</f>
        <v>Present</v>
      </c>
    </row>
    <row r="5118" spans="1:5" x14ac:dyDescent="0.25">
      <c r="A5118" s="2" t="s">
        <v>4357</v>
      </c>
      <c r="B5118" s="2" t="s">
        <v>1021</v>
      </c>
      <c r="C5118" s="2">
        <v>3</v>
      </c>
      <c r="D5118" t="str">
        <f t="shared" si="79"/>
        <v>CA-2016-164784_FUR-TA-10004534</v>
      </c>
      <c r="E5118" t="str">
        <f>IF(COUNTIF(data1!$D:$D,D5118)=0,"Missing in Data1","Present")</f>
        <v>Present</v>
      </c>
    </row>
    <row r="5119" spans="1:5" x14ac:dyDescent="0.25">
      <c r="A5119" s="2" t="s">
        <v>4357</v>
      </c>
      <c r="B5119" s="2" t="s">
        <v>1038</v>
      </c>
      <c r="C5119" s="2">
        <v>2</v>
      </c>
      <c r="D5119" t="str">
        <f t="shared" si="79"/>
        <v>CA-2016-164784_OFF-BI-10002954</v>
      </c>
      <c r="E5119" t="str">
        <f>IF(COUNTIF(data1!$D:$D,D5119)=0,"Missing in Data1","Present")</f>
        <v>Present</v>
      </c>
    </row>
    <row r="5120" spans="1:5" x14ac:dyDescent="0.25">
      <c r="A5120" s="2" t="s">
        <v>4358</v>
      </c>
      <c r="B5120" s="2" t="s">
        <v>513</v>
      </c>
      <c r="C5120" s="2">
        <v>2</v>
      </c>
      <c r="D5120" t="str">
        <f t="shared" si="79"/>
        <v>CA-2016-164889_FUR-TA-10001676</v>
      </c>
      <c r="E5120" t="str">
        <f>IF(COUNTIF(data1!$D:$D,D5120)=0,"Missing in Data1","Present")</f>
        <v>Present</v>
      </c>
    </row>
    <row r="5121" spans="1:5" x14ac:dyDescent="0.25">
      <c r="A5121" s="2" t="s">
        <v>4359</v>
      </c>
      <c r="B5121" s="2" t="s">
        <v>1495</v>
      </c>
      <c r="C5121" s="2">
        <v>2</v>
      </c>
      <c r="D5121" t="str">
        <f t="shared" si="79"/>
        <v>CA-2016-164896_OFF-PA-10002246</v>
      </c>
      <c r="E5121" t="str">
        <f>IF(COUNTIF(data1!$D:$D,D5121)=0,"Missing in Data1","Present")</f>
        <v>Present</v>
      </c>
    </row>
    <row r="5122" spans="1:5" x14ac:dyDescent="0.25">
      <c r="A5122" s="2" t="s">
        <v>4362</v>
      </c>
      <c r="B5122" s="2" t="s">
        <v>1466</v>
      </c>
      <c r="C5122" s="2">
        <v>7</v>
      </c>
      <c r="D5122" t="str">
        <f t="shared" si="79"/>
        <v>CA-2016-164938_TEC-PH-10004897</v>
      </c>
      <c r="E5122" t="str">
        <f>IF(COUNTIF(data1!$D:$D,D5122)=0,"Missing in Data1","Present")</f>
        <v>Present</v>
      </c>
    </row>
    <row r="5123" spans="1:5" x14ac:dyDescent="0.25">
      <c r="A5123" s="2" t="s">
        <v>4363</v>
      </c>
      <c r="B5123" s="2" t="s">
        <v>860</v>
      </c>
      <c r="C5123" s="2">
        <v>5</v>
      </c>
      <c r="D5123" t="str">
        <f t="shared" ref="D5123:D5186" si="80">A5123&amp;"_"&amp;B5123</f>
        <v>CA-2016-165015_OFF-EN-10003134</v>
      </c>
      <c r="E5123" t="str">
        <f>IF(COUNTIF(data1!$D:$D,D5123)=0,"Missing in Data1","Present")</f>
        <v>Present</v>
      </c>
    </row>
    <row r="5124" spans="1:5" x14ac:dyDescent="0.25">
      <c r="A5124" s="2" t="s">
        <v>4364</v>
      </c>
      <c r="B5124" s="2" t="s">
        <v>2300</v>
      </c>
      <c r="C5124" s="2">
        <v>5</v>
      </c>
      <c r="D5124" t="str">
        <f t="shared" si="80"/>
        <v>CA-2016-165148_FUR-FU-10000732</v>
      </c>
      <c r="E5124" t="str">
        <f>IF(COUNTIF(data1!$D:$D,D5124)=0,"Missing in Data1","Present")</f>
        <v>Present</v>
      </c>
    </row>
    <row r="5125" spans="1:5" x14ac:dyDescent="0.25">
      <c r="A5125" s="2" t="s">
        <v>4365</v>
      </c>
      <c r="B5125" s="2" t="s">
        <v>701</v>
      </c>
      <c r="C5125" s="2">
        <v>2</v>
      </c>
      <c r="D5125" t="str">
        <f t="shared" si="80"/>
        <v>CA-2016-165169_OFF-AR-10000122</v>
      </c>
      <c r="E5125" t="str">
        <f>IF(COUNTIF(data1!$D:$D,D5125)=0,"Missing in Data1","Present")</f>
        <v>Present</v>
      </c>
    </row>
    <row r="5126" spans="1:5" x14ac:dyDescent="0.25">
      <c r="A5126" s="2" t="s">
        <v>4365</v>
      </c>
      <c r="B5126" s="2" t="s">
        <v>1593</v>
      </c>
      <c r="C5126" s="2">
        <v>3</v>
      </c>
      <c r="D5126" t="str">
        <f t="shared" si="80"/>
        <v>CA-2016-165169_OFF-LA-10000407</v>
      </c>
      <c r="E5126" t="str">
        <f>IF(COUNTIF(data1!$D:$D,D5126)=0,"Missing in Data1","Present")</f>
        <v>Present</v>
      </c>
    </row>
    <row r="5127" spans="1:5" x14ac:dyDescent="0.25">
      <c r="A5127" s="2" t="s">
        <v>4365</v>
      </c>
      <c r="B5127" s="2" t="s">
        <v>258</v>
      </c>
      <c r="C5127" s="2">
        <v>2</v>
      </c>
      <c r="D5127" t="str">
        <f t="shared" si="80"/>
        <v>CA-2016-165169_OFF-ST-10001496</v>
      </c>
      <c r="E5127" t="str">
        <f>IF(COUNTIF(data1!$D:$D,D5127)=0,"Missing in Data1","Present")</f>
        <v>Present</v>
      </c>
    </row>
    <row r="5128" spans="1:5" x14ac:dyDescent="0.25">
      <c r="A5128" s="2" t="s">
        <v>4366</v>
      </c>
      <c r="B5128" s="2" t="s">
        <v>18</v>
      </c>
      <c r="C5128" s="2">
        <v>3</v>
      </c>
      <c r="D5128" t="str">
        <f t="shared" si="80"/>
        <v>CA-2016-165218_OFF-EN-10000056</v>
      </c>
      <c r="E5128" t="str">
        <f>IF(COUNTIF(data1!$D:$D,D5128)=0,"Missing in Data1","Present")</f>
        <v>Present</v>
      </c>
    </row>
    <row r="5129" spans="1:5" x14ac:dyDescent="0.25">
      <c r="A5129" s="2" t="s">
        <v>4366</v>
      </c>
      <c r="B5129" s="2" t="s">
        <v>1735</v>
      </c>
      <c r="C5129" s="2">
        <v>1</v>
      </c>
      <c r="D5129" t="str">
        <f t="shared" si="80"/>
        <v>CA-2016-165218_OFF-ST-10001558</v>
      </c>
      <c r="E5129" t="str">
        <f>IF(COUNTIF(data1!$D:$D,D5129)=0,"Missing in Data1","Present")</f>
        <v>Present</v>
      </c>
    </row>
    <row r="5130" spans="1:5" x14ac:dyDescent="0.25">
      <c r="A5130" s="2" t="s">
        <v>4367</v>
      </c>
      <c r="B5130" s="2" t="s">
        <v>2038</v>
      </c>
      <c r="C5130" s="2">
        <v>2</v>
      </c>
      <c r="D5130" t="str">
        <f t="shared" si="80"/>
        <v>CA-2016-165316_OFF-AP-10003266</v>
      </c>
      <c r="E5130" t="str">
        <f>IF(COUNTIF(data1!$D:$D,D5130)=0,"Missing in Data1","Present")</f>
        <v>Present</v>
      </c>
    </row>
    <row r="5131" spans="1:5" x14ac:dyDescent="0.25">
      <c r="A5131" s="2" t="s">
        <v>4367</v>
      </c>
      <c r="B5131" s="2" t="s">
        <v>4092</v>
      </c>
      <c r="C5131" s="2">
        <v>2</v>
      </c>
      <c r="D5131" t="str">
        <f t="shared" si="80"/>
        <v>CA-2016-165316_OFF-AR-10002956</v>
      </c>
      <c r="E5131" t="str">
        <f>IF(COUNTIF(data1!$D:$D,D5131)=0,"Missing in Data1","Present")</f>
        <v>Present</v>
      </c>
    </row>
    <row r="5132" spans="1:5" x14ac:dyDescent="0.25">
      <c r="A5132" s="2" t="s">
        <v>4367</v>
      </c>
      <c r="B5132" s="2" t="s">
        <v>2595</v>
      </c>
      <c r="C5132" s="2">
        <v>1</v>
      </c>
      <c r="D5132" t="str">
        <f t="shared" si="80"/>
        <v>CA-2016-165316_TEC-MA-10004002</v>
      </c>
      <c r="E5132" t="str">
        <f>IF(COUNTIF(data1!$D:$D,D5132)=0,"Missing in Data1","Present")</f>
        <v>Present</v>
      </c>
    </row>
    <row r="5133" spans="1:5" x14ac:dyDescent="0.25">
      <c r="A5133" s="2" t="s">
        <v>4368</v>
      </c>
      <c r="B5133" s="2" t="s">
        <v>373</v>
      </c>
      <c r="C5133" s="2">
        <v>5</v>
      </c>
      <c r="D5133" t="str">
        <f t="shared" si="80"/>
        <v>CA-2016-165330_FUR-CH-10003774</v>
      </c>
      <c r="E5133" t="str">
        <f>IF(COUNTIF(data1!$D:$D,D5133)=0,"Missing in Data1","Present")</f>
        <v>Present</v>
      </c>
    </row>
    <row r="5134" spans="1:5" x14ac:dyDescent="0.25">
      <c r="A5134" s="2" t="s">
        <v>4368</v>
      </c>
      <c r="B5134" s="2" t="s">
        <v>2492</v>
      </c>
      <c r="C5134" s="2">
        <v>7</v>
      </c>
      <c r="D5134" t="str">
        <f t="shared" si="80"/>
        <v>CA-2016-165330_FUR-TA-10004619</v>
      </c>
      <c r="E5134" t="str">
        <f>IF(COUNTIF(data1!$D:$D,D5134)=0,"Missing in Data1","Present")</f>
        <v>Present</v>
      </c>
    </row>
    <row r="5135" spans="1:5" x14ac:dyDescent="0.25">
      <c r="A5135" s="2" t="s">
        <v>4368</v>
      </c>
      <c r="B5135" s="2" t="s">
        <v>1160</v>
      </c>
      <c r="C5135" s="2">
        <v>2</v>
      </c>
      <c r="D5135" t="str">
        <f t="shared" si="80"/>
        <v>CA-2016-165330_OFF-AP-10001469</v>
      </c>
      <c r="E5135" t="str">
        <f>IF(COUNTIF(data1!$D:$D,D5135)=0,"Missing in Data1","Present")</f>
        <v>Present</v>
      </c>
    </row>
    <row r="5136" spans="1:5" x14ac:dyDescent="0.25">
      <c r="A5136" s="2" t="s">
        <v>4368</v>
      </c>
      <c r="B5136" s="2" t="s">
        <v>3945</v>
      </c>
      <c r="C5136" s="2">
        <v>2</v>
      </c>
      <c r="D5136" t="str">
        <f t="shared" si="80"/>
        <v>CA-2016-165330_OFF-AR-10000914</v>
      </c>
      <c r="E5136" t="str">
        <f>IF(COUNTIF(data1!$D:$D,D5136)=0,"Missing in Data1","Present")</f>
        <v>Present</v>
      </c>
    </row>
    <row r="5137" spans="1:5" x14ac:dyDescent="0.25">
      <c r="A5137" s="2" t="s">
        <v>4368</v>
      </c>
      <c r="B5137" s="2" t="s">
        <v>1255</v>
      </c>
      <c r="C5137" s="2">
        <v>3</v>
      </c>
      <c r="D5137" t="str">
        <f t="shared" si="80"/>
        <v>CA-2016-165330_OFF-BI-10002824</v>
      </c>
      <c r="E5137" t="str">
        <f>IF(COUNTIF(data1!$D:$D,D5137)=0,"Missing in Data1","Present")</f>
        <v>Present</v>
      </c>
    </row>
    <row r="5138" spans="1:5" x14ac:dyDescent="0.25">
      <c r="A5138" s="2" t="s">
        <v>4368</v>
      </c>
      <c r="B5138" s="2" t="s">
        <v>2204</v>
      </c>
      <c r="C5138" s="2">
        <v>2</v>
      </c>
      <c r="D5138" t="str">
        <f t="shared" si="80"/>
        <v>CA-2016-165330_OFF-BI-10002897</v>
      </c>
      <c r="E5138" t="str">
        <f>IF(COUNTIF(data1!$D:$D,D5138)=0,"Missing in Data1","Present")</f>
        <v>Present</v>
      </c>
    </row>
    <row r="5139" spans="1:5" x14ac:dyDescent="0.25">
      <c r="A5139" s="2" t="s">
        <v>4368</v>
      </c>
      <c r="B5139" s="2" t="s">
        <v>2450</v>
      </c>
      <c r="C5139" s="2">
        <v>9</v>
      </c>
      <c r="D5139" t="str">
        <f t="shared" si="80"/>
        <v>CA-2016-165330_OFF-BI-10004001</v>
      </c>
      <c r="E5139" t="str">
        <f>IF(COUNTIF(data1!$D:$D,D5139)=0,"Missing in Data1","Present")</f>
        <v>Present</v>
      </c>
    </row>
    <row r="5140" spans="1:5" x14ac:dyDescent="0.25">
      <c r="A5140" s="2" t="s">
        <v>4368</v>
      </c>
      <c r="B5140" s="2" t="s">
        <v>404</v>
      </c>
      <c r="C5140" s="2">
        <v>5</v>
      </c>
      <c r="D5140" t="str">
        <f t="shared" si="80"/>
        <v>CA-2016-165330_OFF-BI-10004593</v>
      </c>
      <c r="E5140" t="str">
        <f>IF(COUNTIF(data1!$D:$D,D5140)=0,"Missing in Data1","Present")</f>
        <v>Present</v>
      </c>
    </row>
    <row r="5141" spans="1:5" x14ac:dyDescent="0.25">
      <c r="A5141" s="2" t="s">
        <v>4368</v>
      </c>
      <c r="B5141" s="2" t="s">
        <v>3168</v>
      </c>
      <c r="C5141" s="2">
        <v>1</v>
      </c>
      <c r="D5141" t="str">
        <f t="shared" si="80"/>
        <v>CA-2016-165330_OFF-PA-10000241</v>
      </c>
      <c r="E5141" t="str">
        <f>IF(COUNTIF(data1!$D:$D,D5141)=0,"Missing in Data1","Present")</f>
        <v>Present</v>
      </c>
    </row>
    <row r="5142" spans="1:5" x14ac:dyDescent="0.25">
      <c r="A5142" s="2" t="s">
        <v>4368</v>
      </c>
      <c r="B5142" s="2" t="s">
        <v>962</v>
      </c>
      <c r="C5142" s="2">
        <v>3</v>
      </c>
      <c r="D5142" t="str">
        <f t="shared" si="80"/>
        <v>CA-2016-165330_OFF-ST-10000636</v>
      </c>
      <c r="E5142" t="str">
        <f>IF(COUNTIF(data1!$D:$D,D5142)=0,"Missing in Data1","Present")</f>
        <v>Present</v>
      </c>
    </row>
    <row r="5143" spans="1:5" x14ac:dyDescent="0.25">
      <c r="A5143" s="2" t="s">
        <v>4368</v>
      </c>
      <c r="B5143" s="2" t="s">
        <v>4216</v>
      </c>
      <c r="C5143" s="2">
        <v>4</v>
      </c>
      <c r="D5143" t="str">
        <f t="shared" si="80"/>
        <v>CA-2016-165330_TEC-AC-10000057</v>
      </c>
      <c r="E5143" t="str">
        <f>IF(COUNTIF(data1!$D:$D,D5143)=0,"Missing in Data1","Present")</f>
        <v>Present</v>
      </c>
    </row>
    <row r="5144" spans="1:5" x14ac:dyDescent="0.25">
      <c r="A5144" s="2" t="s">
        <v>4369</v>
      </c>
      <c r="B5144" s="2" t="s">
        <v>4187</v>
      </c>
      <c r="C5144" s="2">
        <v>1</v>
      </c>
      <c r="D5144" t="str">
        <f t="shared" si="80"/>
        <v>CA-2016-165470_OFF-PA-10004675</v>
      </c>
      <c r="E5144" t="str">
        <f>IF(COUNTIF(data1!$D:$D,D5144)=0,"Missing in Data1","Present")</f>
        <v>Present</v>
      </c>
    </row>
    <row r="5145" spans="1:5" x14ac:dyDescent="0.25">
      <c r="A5145" s="2" t="s">
        <v>4370</v>
      </c>
      <c r="B5145" s="2" t="s">
        <v>577</v>
      </c>
      <c r="C5145" s="2">
        <v>7</v>
      </c>
      <c r="D5145" t="str">
        <f t="shared" si="80"/>
        <v>CA-2016-165484_FUR-FU-10001196</v>
      </c>
      <c r="E5145" t="str">
        <f>IF(COUNTIF(data1!$D:$D,D5145)=0,"Missing in Data1","Present")</f>
        <v>Present</v>
      </c>
    </row>
    <row r="5146" spans="1:5" x14ac:dyDescent="0.25">
      <c r="A5146" s="2" t="s">
        <v>4370</v>
      </c>
      <c r="B5146" s="2" t="s">
        <v>421</v>
      </c>
      <c r="C5146" s="2">
        <v>3</v>
      </c>
      <c r="D5146" t="str">
        <f t="shared" si="80"/>
        <v>CA-2016-165484_OFF-PA-10000595</v>
      </c>
      <c r="E5146" t="str">
        <f>IF(COUNTIF(data1!$D:$D,D5146)=0,"Missing in Data1","Present")</f>
        <v>Present</v>
      </c>
    </row>
    <row r="5147" spans="1:5" x14ac:dyDescent="0.25">
      <c r="A5147" s="2" t="s">
        <v>4371</v>
      </c>
      <c r="B5147" s="2" t="s">
        <v>3133</v>
      </c>
      <c r="C5147" s="2">
        <v>3</v>
      </c>
      <c r="D5147" t="str">
        <f t="shared" si="80"/>
        <v>CA-2016-165561_OFF-SU-10004782</v>
      </c>
      <c r="E5147" t="str">
        <f>IF(COUNTIF(data1!$D:$D,D5147)=0,"Missing in Data1","Present")</f>
        <v>Present</v>
      </c>
    </row>
    <row r="5148" spans="1:5" x14ac:dyDescent="0.25">
      <c r="A5148" s="2" t="s">
        <v>4372</v>
      </c>
      <c r="B5148" s="2" t="s">
        <v>3806</v>
      </c>
      <c r="C5148" s="2">
        <v>4</v>
      </c>
      <c r="D5148" t="str">
        <f t="shared" si="80"/>
        <v>CA-2016-165673_OFF-PA-10000697</v>
      </c>
      <c r="E5148" t="str">
        <f>IF(COUNTIF(data1!$D:$D,D5148)=0,"Missing in Data1","Present")</f>
        <v>Present</v>
      </c>
    </row>
    <row r="5149" spans="1:5" x14ac:dyDescent="0.25">
      <c r="A5149" s="2" t="s">
        <v>4375</v>
      </c>
      <c r="B5149" s="2" t="s">
        <v>377</v>
      </c>
      <c r="C5149" s="2">
        <v>6</v>
      </c>
      <c r="D5149" t="str">
        <f t="shared" si="80"/>
        <v>CA-2016-165827_FUR-FU-10001889</v>
      </c>
      <c r="E5149" t="str">
        <f>IF(COUNTIF(data1!$D:$D,D5149)=0,"Missing in Data1","Present")</f>
        <v>Present</v>
      </c>
    </row>
    <row r="5150" spans="1:5" x14ac:dyDescent="0.25">
      <c r="A5150" s="2" t="s">
        <v>4376</v>
      </c>
      <c r="B5150" s="2" t="s">
        <v>1049</v>
      </c>
      <c r="C5150" s="2">
        <v>1</v>
      </c>
      <c r="D5150" t="str">
        <f t="shared" si="80"/>
        <v>CA-2016-165848_FUR-BO-10000362</v>
      </c>
      <c r="E5150" t="str">
        <f>IF(COUNTIF(data1!$D:$D,D5150)=0,"Missing in Data1","Present")</f>
        <v>Present</v>
      </c>
    </row>
    <row r="5151" spans="1:5" x14ac:dyDescent="0.25">
      <c r="A5151" s="2" t="s">
        <v>4376</v>
      </c>
      <c r="B5151" s="2" t="s">
        <v>1276</v>
      </c>
      <c r="C5151" s="2">
        <v>4</v>
      </c>
      <c r="D5151" t="str">
        <f t="shared" si="80"/>
        <v>CA-2016-165848_FUR-FU-10003878</v>
      </c>
      <c r="E5151" t="str">
        <f>IF(COUNTIF(data1!$D:$D,D5151)=0,"Missing in Data1","Present")</f>
        <v>Present</v>
      </c>
    </row>
    <row r="5152" spans="1:5" x14ac:dyDescent="0.25">
      <c r="A5152" s="2" t="s">
        <v>4376</v>
      </c>
      <c r="B5152" s="2" t="s">
        <v>1140</v>
      </c>
      <c r="C5152" s="2">
        <v>3</v>
      </c>
      <c r="D5152" t="str">
        <f t="shared" si="80"/>
        <v>CA-2016-165848_OFF-PA-10000349</v>
      </c>
      <c r="E5152" t="str">
        <f>IF(COUNTIF(data1!$D:$D,D5152)=0,"Missing in Data1","Present")</f>
        <v>Present</v>
      </c>
    </row>
    <row r="5153" spans="1:5" x14ac:dyDescent="0.25">
      <c r="A5153" s="2" t="s">
        <v>4376</v>
      </c>
      <c r="B5153" s="2" t="s">
        <v>3352</v>
      </c>
      <c r="C5153" s="2">
        <v>3</v>
      </c>
      <c r="D5153" t="str">
        <f t="shared" si="80"/>
        <v>CA-2016-165848_TEC-MA-10003356</v>
      </c>
      <c r="E5153" t="str">
        <f>IF(COUNTIF(data1!$D:$D,D5153)=0,"Missing in Data1","Present")</f>
        <v>Present</v>
      </c>
    </row>
    <row r="5154" spans="1:5" x14ac:dyDescent="0.25">
      <c r="A5154" s="2" t="s">
        <v>4377</v>
      </c>
      <c r="B5154" s="2" t="s">
        <v>432</v>
      </c>
      <c r="C5154" s="2">
        <v>3</v>
      </c>
      <c r="D5154" t="str">
        <f t="shared" si="80"/>
        <v>CA-2016-165918_OFF-BI-10004364</v>
      </c>
      <c r="E5154" t="str">
        <f>IF(COUNTIF(data1!$D:$D,D5154)=0,"Missing in Data1","Present")</f>
        <v>Present</v>
      </c>
    </row>
    <row r="5155" spans="1:5" x14ac:dyDescent="0.25">
      <c r="A5155" s="2" t="s">
        <v>4377</v>
      </c>
      <c r="B5155" s="2" t="s">
        <v>2544</v>
      </c>
      <c r="C5155" s="2">
        <v>3</v>
      </c>
      <c r="D5155" t="str">
        <f t="shared" si="80"/>
        <v>CA-2016-165918_OFF-BI-10004826</v>
      </c>
      <c r="E5155" t="str">
        <f>IF(COUNTIF(data1!$D:$D,D5155)=0,"Missing in Data1","Present")</f>
        <v>Present</v>
      </c>
    </row>
    <row r="5156" spans="1:5" x14ac:dyDescent="0.25">
      <c r="A5156" s="2" t="s">
        <v>4377</v>
      </c>
      <c r="B5156" s="2" t="s">
        <v>114</v>
      </c>
      <c r="C5156" s="2">
        <v>2</v>
      </c>
      <c r="D5156" t="str">
        <f t="shared" si="80"/>
        <v>CA-2016-165918_OFF-LA-10003720</v>
      </c>
      <c r="E5156" t="str">
        <f>IF(COUNTIF(data1!$D:$D,D5156)=0,"Missing in Data1","Present")</f>
        <v>Present</v>
      </c>
    </row>
    <row r="5157" spans="1:5" x14ac:dyDescent="0.25">
      <c r="A5157" s="2" t="s">
        <v>4377</v>
      </c>
      <c r="B5157" s="2" t="s">
        <v>915</v>
      </c>
      <c r="C5157" s="2">
        <v>2</v>
      </c>
      <c r="D5157" t="str">
        <f t="shared" si="80"/>
        <v>CA-2016-165918_OFF-PA-10000100</v>
      </c>
      <c r="E5157" t="str">
        <f>IF(COUNTIF(data1!$D:$D,D5157)=0,"Missing in Data1","Present")</f>
        <v>Present</v>
      </c>
    </row>
    <row r="5158" spans="1:5" x14ac:dyDescent="0.25">
      <c r="A5158" s="2" t="s">
        <v>4378</v>
      </c>
      <c r="B5158" s="2" t="s">
        <v>389</v>
      </c>
      <c r="C5158" s="2">
        <v>4</v>
      </c>
      <c r="D5158" t="str">
        <f t="shared" si="80"/>
        <v>CA-2016-165995_FUR-FU-10000672</v>
      </c>
      <c r="E5158" t="str">
        <f>IF(COUNTIF(data1!$D:$D,D5158)=0,"Missing in Data1","Present")</f>
        <v>Present</v>
      </c>
    </row>
    <row r="5159" spans="1:5" x14ac:dyDescent="0.25">
      <c r="A5159" s="2" t="s">
        <v>4378</v>
      </c>
      <c r="B5159" s="2" t="s">
        <v>2563</v>
      </c>
      <c r="C5159" s="2">
        <v>5</v>
      </c>
      <c r="D5159" t="str">
        <f t="shared" si="80"/>
        <v>CA-2016-165995_TEC-PH-10004908</v>
      </c>
      <c r="E5159" t="str">
        <f>IF(COUNTIF(data1!$D:$D,D5159)=0,"Missing in Data1","Present")</f>
        <v>Present</v>
      </c>
    </row>
    <row r="5160" spans="1:5" x14ac:dyDescent="0.25">
      <c r="A5160" s="2" t="s">
        <v>4379</v>
      </c>
      <c r="B5160" s="2" t="s">
        <v>627</v>
      </c>
      <c r="C5160" s="2">
        <v>1</v>
      </c>
      <c r="D5160" t="str">
        <f t="shared" si="80"/>
        <v>CA-2016-166163_OFF-LA-10000452</v>
      </c>
      <c r="E5160" t="str">
        <f>IF(COUNTIF(data1!$D:$D,D5160)=0,"Missing in Data1","Present")</f>
        <v>Present</v>
      </c>
    </row>
    <row r="5161" spans="1:5" x14ac:dyDescent="0.25">
      <c r="A5161" s="2" t="s">
        <v>4379</v>
      </c>
      <c r="B5161" s="2" t="s">
        <v>1588</v>
      </c>
      <c r="C5161" s="2">
        <v>3</v>
      </c>
      <c r="D5161" t="str">
        <f t="shared" si="80"/>
        <v>CA-2016-166163_TEC-PH-10004896</v>
      </c>
      <c r="E5161" t="str">
        <f>IF(COUNTIF(data1!$D:$D,D5161)=0,"Missing in Data1","Present")</f>
        <v>Present</v>
      </c>
    </row>
    <row r="5162" spans="1:5" x14ac:dyDescent="0.25">
      <c r="A5162" s="2" t="s">
        <v>4380</v>
      </c>
      <c r="B5162" s="2" t="s">
        <v>4381</v>
      </c>
      <c r="C5162" s="2">
        <v>1</v>
      </c>
      <c r="D5162" t="str">
        <f t="shared" si="80"/>
        <v>CA-2016-166226_OFF-AP-10002867</v>
      </c>
      <c r="E5162" t="str">
        <f>IF(COUNTIF(data1!$D:$D,D5162)=0,"Missing in Data1","Present")</f>
        <v>Present</v>
      </c>
    </row>
    <row r="5163" spans="1:5" x14ac:dyDescent="0.25">
      <c r="A5163" s="2" t="s">
        <v>4380</v>
      </c>
      <c r="B5163" s="2" t="s">
        <v>2256</v>
      </c>
      <c r="C5163" s="2">
        <v>1</v>
      </c>
      <c r="D5163" t="str">
        <f t="shared" si="80"/>
        <v>CA-2016-166226_TEC-PH-10003357</v>
      </c>
      <c r="E5163" t="str">
        <f>IF(COUNTIF(data1!$D:$D,D5163)=0,"Missing in Data1","Present")</f>
        <v>Present</v>
      </c>
    </row>
    <row r="5164" spans="1:5" x14ac:dyDescent="0.25">
      <c r="A5164" s="2" t="s">
        <v>4382</v>
      </c>
      <c r="B5164" s="2" t="s">
        <v>3152</v>
      </c>
      <c r="C5164" s="2">
        <v>2</v>
      </c>
      <c r="D5164" t="str">
        <f t="shared" si="80"/>
        <v>CA-2016-166240_OFF-AP-10002082</v>
      </c>
      <c r="E5164" t="str">
        <f>IF(COUNTIF(data1!$D:$D,D5164)=0,"Missing in Data1","Present")</f>
        <v>Present</v>
      </c>
    </row>
    <row r="5165" spans="1:5" x14ac:dyDescent="0.25">
      <c r="A5165" s="2" t="s">
        <v>4383</v>
      </c>
      <c r="B5165" s="2" t="s">
        <v>2146</v>
      </c>
      <c r="C5165" s="2">
        <v>1</v>
      </c>
      <c r="D5165" t="str">
        <f t="shared" si="80"/>
        <v>CA-2016-166275_TEC-AC-10001838</v>
      </c>
      <c r="E5165" t="str">
        <f>IF(COUNTIF(data1!$D:$D,D5165)=0,"Missing in Data1","Present")</f>
        <v>Present</v>
      </c>
    </row>
    <row r="5166" spans="1:5" x14ac:dyDescent="0.25">
      <c r="A5166" s="2" t="s">
        <v>4384</v>
      </c>
      <c r="B5166" s="2" t="s">
        <v>1469</v>
      </c>
      <c r="C5166" s="2">
        <v>7</v>
      </c>
      <c r="D5166" t="str">
        <f t="shared" si="80"/>
        <v>CA-2016-166282_OFF-PA-10003022</v>
      </c>
      <c r="E5166" t="str">
        <f>IF(COUNTIF(data1!$D:$D,D5166)=0,"Missing in Data1","Present")</f>
        <v>Present</v>
      </c>
    </row>
    <row r="5167" spans="1:5" x14ac:dyDescent="0.25">
      <c r="A5167" s="2" t="s">
        <v>4384</v>
      </c>
      <c r="B5167" s="2" t="s">
        <v>1594</v>
      </c>
      <c r="C5167" s="2">
        <v>4</v>
      </c>
      <c r="D5167" t="str">
        <f t="shared" si="80"/>
        <v>CA-2016-166282_TEC-AC-10004209</v>
      </c>
      <c r="E5167" t="str">
        <f>IF(COUNTIF(data1!$D:$D,D5167)=0,"Missing in Data1","Present")</f>
        <v>Present</v>
      </c>
    </row>
    <row r="5168" spans="1:5" x14ac:dyDescent="0.25">
      <c r="A5168" s="2" t="s">
        <v>4385</v>
      </c>
      <c r="B5168" s="2" t="s">
        <v>731</v>
      </c>
      <c r="C5168" s="2">
        <v>6</v>
      </c>
      <c r="D5168" t="str">
        <f t="shared" si="80"/>
        <v>CA-2016-166373_TEC-AC-10002323</v>
      </c>
      <c r="E5168" t="str">
        <f>IF(COUNTIF(data1!$D:$D,D5168)=0,"Missing in Data1","Present")</f>
        <v>Present</v>
      </c>
    </row>
    <row r="5169" spans="1:5" x14ac:dyDescent="0.25">
      <c r="A5169" s="2" t="s">
        <v>4386</v>
      </c>
      <c r="B5169" s="2" t="s">
        <v>532</v>
      </c>
      <c r="C5169" s="2">
        <v>9</v>
      </c>
      <c r="D5169" t="str">
        <f t="shared" si="80"/>
        <v>CA-2016-166380_OFF-EN-10002600</v>
      </c>
      <c r="E5169" t="str">
        <f>IF(COUNTIF(data1!$D:$D,D5169)=0,"Missing in Data1","Present")</f>
        <v>Present</v>
      </c>
    </row>
    <row r="5170" spans="1:5" x14ac:dyDescent="0.25">
      <c r="A5170" s="2" t="s">
        <v>4386</v>
      </c>
      <c r="B5170" s="2" t="s">
        <v>185</v>
      </c>
      <c r="C5170" s="2">
        <v>2</v>
      </c>
      <c r="D5170" t="str">
        <f t="shared" si="80"/>
        <v>CA-2016-166380_TEC-AC-10000109</v>
      </c>
      <c r="E5170" t="str">
        <f>IF(COUNTIF(data1!$D:$D,D5170)=0,"Missing in Data1","Present")</f>
        <v>Present</v>
      </c>
    </row>
    <row r="5171" spans="1:5" x14ac:dyDescent="0.25">
      <c r="A5171" s="2" t="s">
        <v>4387</v>
      </c>
      <c r="B5171" s="2" t="s">
        <v>1688</v>
      </c>
      <c r="C5171" s="2">
        <v>2</v>
      </c>
      <c r="D5171" t="str">
        <f t="shared" si="80"/>
        <v>CA-2016-166429_TEC-CO-10002095</v>
      </c>
      <c r="E5171" t="str">
        <f>IF(COUNTIF(data1!$D:$D,D5171)=0,"Missing in Data1","Present")</f>
        <v>Present</v>
      </c>
    </row>
    <row r="5172" spans="1:5" x14ac:dyDescent="0.25">
      <c r="A5172" s="2" t="s">
        <v>4388</v>
      </c>
      <c r="B5172" s="2" t="s">
        <v>1033</v>
      </c>
      <c r="C5172" s="2">
        <v>7</v>
      </c>
      <c r="D5172" t="str">
        <f t="shared" si="80"/>
        <v>CA-2016-166443_FUR-FU-10004020</v>
      </c>
      <c r="E5172" t="str">
        <f>IF(COUNTIF(data1!$D:$D,D5172)=0,"Missing in Data1","Present")</f>
        <v>Present</v>
      </c>
    </row>
    <row r="5173" spans="1:5" x14ac:dyDescent="0.25">
      <c r="A5173" s="2" t="s">
        <v>4389</v>
      </c>
      <c r="B5173" s="2" t="s">
        <v>2240</v>
      </c>
      <c r="C5173" s="2">
        <v>2</v>
      </c>
      <c r="D5173" t="str">
        <f t="shared" si="80"/>
        <v>CA-2016-166485_OFF-PA-10004996</v>
      </c>
      <c r="E5173" t="str">
        <f>IF(COUNTIF(data1!$D:$D,D5173)=0,"Missing in Data1","Present")</f>
        <v>Present</v>
      </c>
    </row>
    <row r="5174" spans="1:5" x14ac:dyDescent="0.25">
      <c r="A5174" s="2" t="s">
        <v>4390</v>
      </c>
      <c r="B5174" s="2" t="s">
        <v>429</v>
      </c>
      <c r="C5174" s="2">
        <v>1</v>
      </c>
      <c r="D5174" t="str">
        <f t="shared" si="80"/>
        <v>CA-2016-166618_OFF-AR-10001725</v>
      </c>
      <c r="E5174" t="str">
        <f>IF(COUNTIF(data1!$D:$D,D5174)=0,"Missing in Data1","Present")</f>
        <v>Present</v>
      </c>
    </row>
    <row r="5175" spans="1:5" x14ac:dyDescent="0.25">
      <c r="A5175" s="2" t="s">
        <v>4390</v>
      </c>
      <c r="B5175" s="2" t="s">
        <v>2952</v>
      </c>
      <c r="C5175" s="2">
        <v>2</v>
      </c>
      <c r="D5175" t="str">
        <f t="shared" si="80"/>
        <v>CA-2016-166618_TEC-PH-10003356</v>
      </c>
      <c r="E5175" t="str">
        <f>IF(COUNTIF(data1!$D:$D,D5175)=0,"Missing in Data1","Present")</f>
        <v>Present</v>
      </c>
    </row>
    <row r="5176" spans="1:5" x14ac:dyDescent="0.25">
      <c r="A5176" s="2" t="s">
        <v>4391</v>
      </c>
      <c r="B5176" s="2" t="s">
        <v>4005</v>
      </c>
      <c r="C5176" s="2">
        <v>2</v>
      </c>
      <c r="D5176" t="str">
        <f t="shared" si="80"/>
        <v>CA-2016-166625_OFF-BI-10002414</v>
      </c>
      <c r="E5176" t="str">
        <f>IF(COUNTIF(data1!$D:$D,D5176)=0,"Missing in Data1","Present")</f>
        <v>Present</v>
      </c>
    </row>
    <row r="5177" spans="1:5" x14ac:dyDescent="0.25">
      <c r="A5177" s="2" t="s">
        <v>4393</v>
      </c>
      <c r="B5177" s="2" t="s">
        <v>1821</v>
      </c>
      <c r="C5177" s="2">
        <v>3</v>
      </c>
      <c r="D5177" t="str">
        <f t="shared" si="80"/>
        <v>CA-2016-166674_OFF-AR-10000588</v>
      </c>
      <c r="E5177" t="str">
        <f>IF(COUNTIF(data1!$D:$D,D5177)=0,"Missing in Data1","Present")</f>
        <v>Present</v>
      </c>
    </row>
    <row r="5178" spans="1:5" x14ac:dyDescent="0.25">
      <c r="A5178" s="2" t="s">
        <v>4393</v>
      </c>
      <c r="B5178" s="2" t="s">
        <v>1062</v>
      </c>
      <c r="C5178" s="2">
        <v>6</v>
      </c>
      <c r="D5178" t="str">
        <f t="shared" si="80"/>
        <v>CA-2016-166674_OFF-AR-10001953</v>
      </c>
      <c r="E5178" t="str">
        <f>IF(COUNTIF(data1!$D:$D,D5178)=0,"Missing in Data1","Present")</f>
        <v>Present</v>
      </c>
    </row>
    <row r="5179" spans="1:5" x14ac:dyDescent="0.25">
      <c r="A5179" s="2" t="s">
        <v>4393</v>
      </c>
      <c r="B5179" s="2" t="s">
        <v>222</v>
      </c>
      <c r="C5179" s="2">
        <v>3</v>
      </c>
      <c r="D5179" t="str">
        <f t="shared" si="80"/>
        <v>CA-2016-166674_OFF-AR-10003156</v>
      </c>
      <c r="E5179" t="str">
        <f>IF(COUNTIF(data1!$D:$D,D5179)=0,"Missing in Data1","Present")</f>
        <v>Present</v>
      </c>
    </row>
    <row r="5180" spans="1:5" x14ac:dyDescent="0.25">
      <c r="A5180" s="2" t="s">
        <v>4393</v>
      </c>
      <c r="B5180" s="2" t="s">
        <v>4394</v>
      </c>
      <c r="C5180" s="2">
        <v>3</v>
      </c>
      <c r="D5180" t="str">
        <f t="shared" si="80"/>
        <v>CA-2016-166674_OFF-AR-10004974</v>
      </c>
      <c r="E5180" t="str">
        <f>IF(COUNTIF(data1!$D:$D,D5180)=0,"Missing in Data1","Present")</f>
        <v>Present</v>
      </c>
    </row>
    <row r="5181" spans="1:5" x14ac:dyDescent="0.25">
      <c r="A5181" s="2" t="s">
        <v>4393</v>
      </c>
      <c r="B5181" s="2" t="s">
        <v>764</v>
      </c>
      <c r="C5181" s="2">
        <v>3</v>
      </c>
      <c r="D5181" t="str">
        <f t="shared" si="80"/>
        <v>CA-2016-166674_OFF-ST-10001469</v>
      </c>
      <c r="E5181" t="str">
        <f>IF(COUNTIF(data1!$D:$D,D5181)=0,"Missing in Data1","Present")</f>
        <v>Present</v>
      </c>
    </row>
    <row r="5182" spans="1:5" x14ac:dyDescent="0.25">
      <c r="A5182" s="2" t="s">
        <v>4393</v>
      </c>
      <c r="B5182" s="2" t="s">
        <v>3483</v>
      </c>
      <c r="C5182" s="2">
        <v>4</v>
      </c>
      <c r="D5182" t="str">
        <f t="shared" si="80"/>
        <v>CA-2016-166674_TEC-PH-10002365</v>
      </c>
      <c r="E5182" t="str">
        <f>IF(COUNTIF(data1!$D:$D,D5182)=0,"Missing in Data1","Present")</f>
        <v>Present</v>
      </c>
    </row>
    <row r="5183" spans="1:5" x14ac:dyDescent="0.25">
      <c r="A5183" s="2" t="s">
        <v>4395</v>
      </c>
      <c r="B5183" s="2" t="s">
        <v>1926</v>
      </c>
      <c r="C5183" s="2">
        <v>2</v>
      </c>
      <c r="D5183" t="str">
        <f t="shared" si="80"/>
        <v>CA-2016-166772_FUR-BO-10002853</v>
      </c>
      <c r="E5183" t="str">
        <f>IF(COUNTIF(data1!$D:$D,D5183)=0,"Missing in Data1","Present")</f>
        <v>Present</v>
      </c>
    </row>
    <row r="5184" spans="1:5" x14ac:dyDescent="0.25">
      <c r="A5184" s="2" t="s">
        <v>4396</v>
      </c>
      <c r="B5184" s="2" t="s">
        <v>1435</v>
      </c>
      <c r="C5184" s="2">
        <v>2</v>
      </c>
      <c r="D5184" t="str">
        <f t="shared" si="80"/>
        <v>CA-2016-166912_OFF-PA-10001033</v>
      </c>
      <c r="E5184" t="str">
        <f>IF(COUNTIF(data1!$D:$D,D5184)=0,"Missing in Data1","Present")</f>
        <v>Present</v>
      </c>
    </row>
    <row r="5185" spans="1:5" x14ac:dyDescent="0.25">
      <c r="A5185" s="2" t="s">
        <v>4397</v>
      </c>
      <c r="B5185" s="2" t="s">
        <v>113</v>
      </c>
      <c r="C5185" s="2">
        <v>2</v>
      </c>
      <c r="D5185" t="str">
        <f t="shared" si="80"/>
        <v>CA-2016-167115_OFF-BI-10004600</v>
      </c>
      <c r="E5185" t="str">
        <f>IF(COUNTIF(data1!$D:$D,D5185)=0,"Missing in Data1","Present")</f>
        <v>Present</v>
      </c>
    </row>
    <row r="5186" spans="1:5" x14ac:dyDescent="0.25">
      <c r="A5186" s="2" t="s">
        <v>4398</v>
      </c>
      <c r="B5186" s="2" t="s">
        <v>4399</v>
      </c>
      <c r="C5186" s="2">
        <v>3</v>
      </c>
      <c r="D5186" t="str">
        <f t="shared" si="80"/>
        <v>CA-2016-167241_FUR-FU-10004071</v>
      </c>
      <c r="E5186" t="str">
        <f>IF(COUNTIF(data1!$D:$D,D5186)=0,"Missing in Data1","Present")</f>
        <v>Present</v>
      </c>
    </row>
    <row r="5187" spans="1:5" x14ac:dyDescent="0.25">
      <c r="A5187" s="2" t="s">
        <v>4398</v>
      </c>
      <c r="B5187" s="2" t="s">
        <v>4400</v>
      </c>
      <c r="C5187" s="2">
        <v>4</v>
      </c>
      <c r="D5187" t="str">
        <f t="shared" ref="D5187:D5250" si="81">A5187&amp;"_"&amp;B5187</f>
        <v>CA-2016-167241_OFF-PA-10004911</v>
      </c>
      <c r="E5187" t="str">
        <f>IF(COUNTIF(data1!$D:$D,D5187)=0,"Missing in Data1","Present")</f>
        <v>Present</v>
      </c>
    </row>
    <row r="5188" spans="1:5" x14ac:dyDescent="0.25">
      <c r="A5188" s="2" t="s">
        <v>4398</v>
      </c>
      <c r="B5188" s="2" t="s">
        <v>487</v>
      </c>
      <c r="C5188" s="2">
        <v>3</v>
      </c>
      <c r="D5188" t="str">
        <f t="shared" si="81"/>
        <v>CA-2016-167241_OFF-ST-10001505</v>
      </c>
      <c r="E5188" t="str">
        <f>IF(COUNTIF(data1!$D:$D,D5188)=0,"Missing in Data1","Present")</f>
        <v>Present</v>
      </c>
    </row>
    <row r="5189" spans="1:5" x14ac:dyDescent="0.25">
      <c r="A5189" s="2" t="s">
        <v>4398</v>
      </c>
      <c r="B5189" s="2" t="s">
        <v>541</v>
      </c>
      <c r="C5189" s="2">
        <v>3</v>
      </c>
      <c r="D5189" t="str">
        <f t="shared" si="81"/>
        <v>CA-2016-167241_TEC-PH-10004614</v>
      </c>
      <c r="E5189" t="str">
        <f>IF(COUNTIF(data1!$D:$D,D5189)=0,"Missing in Data1","Present")</f>
        <v>Present</v>
      </c>
    </row>
    <row r="5190" spans="1:5" x14ac:dyDescent="0.25">
      <c r="A5190" s="2" t="s">
        <v>4401</v>
      </c>
      <c r="B5190" s="2" t="s">
        <v>1096</v>
      </c>
      <c r="C5190" s="2">
        <v>2</v>
      </c>
      <c r="D5190" t="str">
        <f t="shared" si="81"/>
        <v>CA-2016-167290_OFF-AR-10004078</v>
      </c>
      <c r="E5190" t="str">
        <f>IF(COUNTIF(data1!$D:$D,D5190)=0,"Missing in Data1","Present")</f>
        <v>Present</v>
      </c>
    </row>
    <row r="5191" spans="1:5" x14ac:dyDescent="0.25">
      <c r="A5191" s="2" t="s">
        <v>4402</v>
      </c>
      <c r="B5191" s="2" t="s">
        <v>4403</v>
      </c>
      <c r="C5191" s="2">
        <v>5</v>
      </c>
      <c r="D5191" t="str">
        <f t="shared" si="81"/>
        <v>CA-2016-167416_OFF-EN-10001141</v>
      </c>
      <c r="E5191" t="str">
        <f>IF(COUNTIF(data1!$D:$D,D5191)=0,"Missing in Data1","Present")</f>
        <v>Present</v>
      </c>
    </row>
    <row r="5192" spans="1:5" x14ac:dyDescent="0.25">
      <c r="A5192" s="2" t="s">
        <v>4404</v>
      </c>
      <c r="B5192" s="2" t="s">
        <v>2317</v>
      </c>
      <c r="C5192" s="2">
        <v>4</v>
      </c>
      <c r="D5192" t="str">
        <f t="shared" si="81"/>
        <v>CA-2016-167507_FUR-FU-10001935</v>
      </c>
      <c r="E5192" t="str">
        <f>IF(COUNTIF(data1!$D:$D,D5192)=0,"Missing in Data1","Present")</f>
        <v>Present</v>
      </c>
    </row>
    <row r="5193" spans="1:5" x14ac:dyDescent="0.25">
      <c r="A5193" s="2" t="s">
        <v>4404</v>
      </c>
      <c r="B5193" s="2" t="s">
        <v>349</v>
      </c>
      <c r="C5193" s="2">
        <v>1</v>
      </c>
      <c r="D5193" t="str">
        <f t="shared" si="81"/>
        <v>CA-2016-167507_FUR-FU-10002878</v>
      </c>
      <c r="E5193" t="str">
        <f>IF(COUNTIF(data1!$D:$D,D5193)=0,"Missing in Data1","Present")</f>
        <v>Present</v>
      </c>
    </row>
    <row r="5194" spans="1:5" x14ac:dyDescent="0.25">
      <c r="A5194" s="2" t="s">
        <v>4404</v>
      </c>
      <c r="B5194" s="2" t="s">
        <v>2516</v>
      </c>
      <c r="C5194" s="2">
        <v>10</v>
      </c>
      <c r="D5194" t="str">
        <f t="shared" si="81"/>
        <v>CA-2016-167507_OFF-BI-10003694</v>
      </c>
      <c r="E5194" t="str">
        <f>IF(COUNTIF(data1!$D:$D,D5194)=0,"Missing in Data1","Present")</f>
        <v>Present</v>
      </c>
    </row>
    <row r="5195" spans="1:5" x14ac:dyDescent="0.25">
      <c r="A5195" s="2" t="s">
        <v>4405</v>
      </c>
      <c r="B5195" s="2" t="s">
        <v>2725</v>
      </c>
      <c r="C5195" s="2">
        <v>8</v>
      </c>
      <c r="D5195" t="str">
        <f t="shared" si="81"/>
        <v>CA-2016-167556_FUR-FU-10004848</v>
      </c>
      <c r="E5195" t="str">
        <f>IF(COUNTIF(data1!$D:$D,D5195)=0,"Missing in Data1","Present")</f>
        <v>Present</v>
      </c>
    </row>
    <row r="5196" spans="1:5" x14ac:dyDescent="0.25">
      <c r="A5196" s="2" t="s">
        <v>4405</v>
      </c>
      <c r="B5196" s="2" t="s">
        <v>152</v>
      </c>
      <c r="C5196" s="2">
        <v>7</v>
      </c>
      <c r="D5196" t="str">
        <f t="shared" si="81"/>
        <v>CA-2016-167556_OFF-BI-10000320</v>
      </c>
      <c r="E5196" t="str">
        <f>IF(COUNTIF(data1!$D:$D,D5196)=0,"Missing in Data1","Present")</f>
        <v>Present</v>
      </c>
    </row>
    <row r="5197" spans="1:5" x14ac:dyDescent="0.25">
      <c r="A5197" s="2" t="s">
        <v>4405</v>
      </c>
      <c r="B5197" s="2" t="s">
        <v>227</v>
      </c>
      <c r="C5197" s="2">
        <v>5</v>
      </c>
      <c r="D5197" t="str">
        <f t="shared" si="81"/>
        <v>CA-2016-167556_OFF-BI-10003708</v>
      </c>
      <c r="E5197" t="str">
        <f>IF(COUNTIF(data1!$D:$D,D5197)=0,"Missing in Data1","Present")</f>
        <v>Present</v>
      </c>
    </row>
    <row r="5198" spans="1:5" x14ac:dyDescent="0.25">
      <c r="A5198" s="2" t="s">
        <v>4405</v>
      </c>
      <c r="B5198" s="2" t="s">
        <v>288</v>
      </c>
      <c r="C5198" s="2">
        <v>2</v>
      </c>
      <c r="D5198" t="str">
        <f t="shared" si="81"/>
        <v>CA-2016-167556_OFF-PA-10000466</v>
      </c>
      <c r="E5198" t="str">
        <f>IF(COUNTIF(data1!$D:$D,D5198)=0,"Missing in Data1","Present")</f>
        <v>Present</v>
      </c>
    </row>
    <row r="5199" spans="1:5" x14ac:dyDescent="0.25">
      <c r="A5199" s="2" t="s">
        <v>4406</v>
      </c>
      <c r="B5199" s="2" t="s">
        <v>316</v>
      </c>
      <c r="C5199" s="2">
        <v>1</v>
      </c>
      <c r="D5199" t="str">
        <f t="shared" si="81"/>
        <v>CA-2016-167584_OFF-PA-10000029</v>
      </c>
      <c r="E5199" t="str">
        <f>IF(COUNTIF(data1!$D:$D,D5199)=0,"Missing in Data1","Present")</f>
        <v>Present</v>
      </c>
    </row>
    <row r="5200" spans="1:5" x14ac:dyDescent="0.25">
      <c r="A5200" s="2" t="s">
        <v>4407</v>
      </c>
      <c r="B5200" s="2" t="s">
        <v>1448</v>
      </c>
      <c r="C5200" s="2">
        <v>2</v>
      </c>
      <c r="D5200" t="str">
        <f t="shared" si="81"/>
        <v>CA-2016-167605_FUR-FU-10001602</v>
      </c>
      <c r="E5200" t="str">
        <f>IF(COUNTIF(data1!$D:$D,D5200)=0,"Missing in Data1","Present")</f>
        <v>Present</v>
      </c>
    </row>
    <row r="5201" spans="1:5" x14ac:dyDescent="0.25">
      <c r="A5201" s="2" t="s">
        <v>4408</v>
      </c>
      <c r="B5201" s="2" t="s">
        <v>2021</v>
      </c>
      <c r="C5201" s="2">
        <v>4</v>
      </c>
      <c r="D5201" t="str">
        <f t="shared" si="81"/>
        <v>CA-2016-167682_FUR-FU-10003799</v>
      </c>
      <c r="E5201" t="str">
        <f>IF(COUNTIF(data1!$D:$D,D5201)=0,"Missing in Data1","Present")</f>
        <v>Present</v>
      </c>
    </row>
    <row r="5202" spans="1:5" x14ac:dyDescent="0.25">
      <c r="A5202" s="2" t="s">
        <v>4408</v>
      </c>
      <c r="B5202" s="2" t="s">
        <v>863</v>
      </c>
      <c r="C5202" s="2">
        <v>4</v>
      </c>
      <c r="D5202" t="str">
        <f t="shared" si="81"/>
        <v>CA-2016-167682_TEC-PH-10000673</v>
      </c>
      <c r="E5202" t="str">
        <f>IF(COUNTIF(data1!$D:$D,D5202)=0,"Missing in Data1","Present")</f>
        <v>Present</v>
      </c>
    </row>
    <row r="5203" spans="1:5" x14ac:dyDescent="0.25">
      <c r="A5203" s="2" t="s">
        <v>4409</v>
      </c>
      <c r="B5203" s="2" t="s">
        <v>1288</v>
      </c>
      <c r="C5203" s="2">
        <v>3</v>
      </c>
      <c r="D5203" t="str">
        <f t="shared" si="81"/>
        <v>CA-2016-167759_TEC-PH-10003171</v>
      </c>
      <c r="E5203" t="str">
        <f>IF(COUNTIF(data1!$D:$D,D5203)=0,"Missing in Data1","Present")</f>
        <v>Present</v>
      </c>
    </row>
    <row r="5204" spans="1:5" x14ac:dyDescent="0.25">
      <c r="A5204" s="2" t="s">
        <v>4410</v>
      </c>
      <c r="B5204" s="2" t="s">
        <v>1526</v>
      </c>
      <c r="C5204" s="2">
        <v>10</v>
      </c>
      <c r="D5204" t="str">
        <f t="shared" si="81"/>
        <v>CA-2016-167983_OFF-BI-10003727</v>
      </c>
      <c r="E5204" t="str">
        <f>IF(COUNTIF(data1!$D:$D,D5204)=0,"Missing in Data1","Present")</f>
        <v>Present</v>
      </c>
    </row>
    <row r="5205" spans="1:5" x14ac:dyDescent="0.25">
      <c r="A5205" s="2" t="s">
        <v>4411</v>
      </c>
      <c r="B5205" s="2" t="s">
        <v>1636</v>
      </c>
      <c r="C5205" s="2">
        <v>3</v>
      </c>
      <c r="D5205" t="str">
        <f t="shared" si="81"/>
        <v>CA-2016-168032_OFF-BI-10000546</v>
      </c>
      <c r="E5205" t="str">
        <f>IF(COUNTIF(data1!$D:$D,D5205)=0,"Missing in Data1","Present")</f>
        <v>Present</v>
      </c>
    </row>
    <row r="5206" spans="1:5" x14ac:dyDescent="0.25">
      <c r="A5206" s="2" t="s">
        <v>4411</v>
      </c>
      <c r="B5206" s="2" t="s">
        <v>4412</v>
      </c>
      <c r="C5206" s="2">
        <v>4</v>
      </c>
      <c r="D5206" t="str">
        <f t="shared" si="81"/>
        <v>CA-2016-168032_TEC-PH-10004241</v>
      </c>
      <c r="E5206" t="str">
        <f>IF(COUNTIF(data1!$D:$D,D5206)=0,"Missing in Data1","Present")</f>
        <v>Present</v>
      </c>
    </row>
    <row r="5207" spans="1:5" x14ac:dyDescent="0.25">
      <c r="A5207" s="2" t="s">
        <v>4413</v>
      </c>
      <c r="B5207" s="2" t="s">
        <v>91</v>
      </c>
      <c r="C5207" s="2">
        <v>1</v>
      </c>
      <c r="D5207" t="str">
        <f t="shared" si="81"/>
        <v>CA-2016-168046_FUR-FU-10000747</v>
      </c>
      <c r="E5207" t="str">
        <f>IF(COUNTIF(data1!$D:$D,D5207)=0,"Missing in Data1","Present")</f>
        <v>Present</v>
      </c>
    </row>
    <row r="5208" spans="1:5" x14ac:dyDescent="0.25">
      <c r="A5208" s="2" t="s">
        <v>4413</v>
      </c>
      <c r="B5208" s="2" t="s">
        <v>2635</v>
      </c>
      <c r="C5208" s="2">
        <v>3</v>
      </c>
      <c r="D5208" t="str">
        <f t="shared" si="81"/>
        <v>CA-2016-168046_FUR-TA-10001095</v>
      </c>
      <c r="E5208" t="str">
        <f>IF(COUNTIF(data1!$D:$D,D5208)=0,"Missing in Data1","Present")</f>
        <v>Present</v>
      </c>
    </row>
    <row r="5209" spans="1:5" x14ac:dyDescent="0.25">
      <c r="A5209" s="2" t="s">
        <v>4413</v>
      </c>
      <c r="B5209" s="2" t="s">
        <v>206</v>
      </c>
      <c r="C5209" s="2">
        <v>5</v>
      </c>
      <c r="D5209" t="str">
        <f t="shared" si="81"/>
        <v>CA-2016-168046_OFF-BI-10003676</v>
      </c>
      <c r="E5209" t="str">
        <f>IF(COUNTIF(data1!$D:$D,D5209)=0,"Missing in Data1","Present")</f>
        <v>Present</v>
      </c>
    </row>
    <row r="5210" spans="1:5" x14ac:dyDescent="0.25">
      <c r="A5210" s="2" t="s">
        <v>4413</v>
      </c>
      <c r="B5210" s="2" t="s">
        <v>184</v>
      </c>
      <c r="C5210" s="2">
        <v>7</v>
      </c>
      <c r="D5210" t="str">
        <f t="shared" si="81"/>
        <v>CA-2016-168046_OFF-ST-10004337</v>
      </c>
      <c r="E5210" t="str">
        <f>IF(COUNTIF(data1!$D:$D,D5210)=0,"Missing in Data1","Present")</f>
        <v>Missing in Data1</v>
      </c>
    </row>
    <row r="5211" spans="1:5" x14ac:dyDescent="0.25">
      <c r="A5211" s="2" t="s">
        <v>4414</v>
      </c>
      <c r="B5211" s="2" t="s">
        <v>1658</v>
      </c>
      <c r="C5211" s="2">
        <v>3</v>
      </c>
      <c r="D5211" t="str">
        <f t="shared" si="81"/>
        <v>CA-2016-168081_TEC-AC-10003174</v>
      </c>
      <c r="E5211" t="str">
        <f>IF(COUNTIF(data1!$D:$D,D5211)=0,"Missing in Data1","Present")</f>
        <v>Present</v>
      </c>
    </row>
    <row r="5212" spans="1:5" x14ac:dyDescent="0.25">
      <c r="A5212" s="2" t="s">
        <v>4415</v>
      </c>
      <c r="B5212" s="2" t="s">
        <v>62</v>
      </c>
      <c r="C5212" s="2">
        <v>4</v>
      </c>
      <c r="D5212" t="str">
        <f t="shared" si="81"/>
        <v>CA-2016-168354_FUR-CH-10004675</v>
      </c>
      <c r="E5212" t="str">
        <f>IF(COUNTIF(data1!$D:$D,D5212)=0,"Missing in Data1","Present")</f>
        <v>Present</v>
      </c>
    </row>
    <row r="5213" spans="1:5" x14ac:dyDescent="0.25">
      <c r="A5213" s="2" t="s">
        <v>4415</v>
      </c>
      <c r="B5213" s="2" t="s">
        <v>2544</v>
      </c>
      <c r="C5213" s="2">
        <v>3</v>
      </c>
      <c r="D5213" t="str">
        <f t="shared" si="81"/>
        <v>CA-2016-168354_OFF-BI-10004826</v>
      </c>
      <c r="E5213" t="str">
        <f>IF(COUNTIF(data1!$D:$D,D5213)=0,"Missing in Data1","Present")</f>
        <v>Present</v>
      </c>
    </row>
    <row r="5214" spans="1:5" x14ac:dyDescent="0.25">
      <c r="A5214" s="2" t="s">
        <v>4415</v>
      </c>
      <c r="B5214" s="2" t="s">
        <v>592</v>
      </c>
      <c r="C5214" s="2">
        <v>3</v>
      </c>
      <c r="D5214" t="str">
        <f t="shared" si="81"/>
        <v>CA-2016-168354_OFF-PA-10002377</v>
      </c>
      <c r="E5214" t="str">
        <f>IF(COUNTIF(data1!$D:$D,D5214)=0,"Missing in Data1","Present")</f>
        <v>Present</v>
      </c>
    </row>
    <row r="5215" spans="1:5" x14ac:dyDescent="0.25">
      <c r="A5215" s="2" t="s">
        <v>4415</v>
      </c>
      <c r="B5215" s="2" t="s">
        <v>34</v>
      </c>
      <c r="C5215" s="2">
        <v>9</v>
      </c>
      <c r="D5215" t="str">
        <f t="shared" si="81"/>
        <v>CA-2016-168354_OFF-ST-10001490</v>
      </c>
      <c r="E5215" t="str">
        <f>IF(COUNTIF(data1!$D:$D,D5215)=0,"Missing in Data1","Present")</f>
        <v>Present</v>
      </c>
    </row>
    <row r="5216" spans="1:5" x14ac:dyDescent="0.25">
      <c r="A5216" s="2" t="s">
        <v>4416</v>
      </c>
      <c r="B5216" s="2" t="s">
        <v>1526</v>
      </c>
      <c r="C5216" s="2">
        <v>1</v>
      </c>
      <c r="D5216" t="str">
        <f t="shared" si="81"/>
        <v>CA-2016-168361_OFF-BI-10003727</v>
      </c>
      <c r="E5216" t="str">
        <f>IF(COUNTIF(data1!$D:$D,D5216)=0,"Missing in Data1","Present")</f>
        <v>Present</v>
      </c>
    </row>
    <row r="5217" spans="1:5" x14ac:dyDescent="0.25">
      <c r="A5217" s="2" t="s">
        <v>4417</v>
      </c>
      <c r="B5217" s="2" t="s">
        <v>731</v>
      </c>
      <c r="C5217" s="2">
        <v>3</v>
      </c>
      <c r="D5217" t="str">
        <f t="shared" si="81"/>
        <v>CA-2016-168536_TEC-AC-10002323</v>
      </c>
      <c r="E5217" t="str">
        <f>IF(COUNTIF(data1!$D:$D,D5217)=0,"Missing in Data1","Present")</f>
        <v>Present</v>
      </c>
    </row>
    <row r="5218" spans="1:5" x14ac:dyDescent="0.25">
      <c r="A5218" s="2" t="s">
        <v>4418</v>
      </c>
      <c r="B5218" s="2" t="s">
        <v>4419</v>
      </c>
      <c r="C5218" s="2">
        <v>7</v>
      </c>
      <c r="D5218" t="str">
        <f t="shared" si="81"/>
        <v>CA-2016-168543_OFF-AP-10000938</v>
      </c>
      <c r="E5218" t="str">
        <f>IF(COUNTIF(data1!$D:$D,D5218)=0,"Missing in Data1","Present")</f>
        <v>Present</v>
      </c>
    </row>
    <row r="5219" spans="1:5" x14ac:dyDescent="0.25">
      <c r="A5219" s="2" t="s">
        <v>4420</v>
      </c>
      <c r="B5219" s="2" t="s">
        <v>3655</v>
      </c>
      <c r="C5219" s="2">
        <v>2</v>
      </c>
      <c r="D5219" t="str">
        <f t="shared" si="81"/>
        <v>CA-2016-168557_OFF-BI-10002309</v>
      </c>
      <c r="E5219" t="str">
        <f>IF(COUNTIF(data1!$D:$D,D5219)=0,"Missing in Data1","Present")</f>
        <v>Present</v>
      </c>
    </row>
    <row r="5220" spans="1:5" x14ac:dyDescent="0.25">
      <c r="A5220" s="2" t="s">
        <v>4421</v>
      </c>
      <c r="B5220" s="2" t="s">
        <v>1825</v>
      </c>
      <c r="C5220" s="2">
        <v>5</v>
      </c>
      <c r="D5220" t="str">
        <f t="shared" si="81"/>
        <v>CA-2016-168753_OFF-BI-10002557</v>
      </c>
      <c r="E5220" t="str">
        <f>IF(COUNTIF(data1!$D:$D,D5220)=0,"Missing in Data1","Present")</f>
        <v>Missing in Data1</v>
      </c>
    </row>
    <row r="5221" spans="1:5" x14ac:dyDescent="0.25">
      <c r="A5221" s="2" t="s">
        <v>4421</v>
      </c>
      <c r="B5221" s="2" t="s">
        <v>520</v>
      </c>
      <c r="C5221" s="2">
        <v>5</v>
      </c>
      <c r="D5221" t="str">
        <f t="shared" si="81"/>
        <v>CA-2016-168753_TEC-PH-10000984</v>
      </c>
      <c r="E5221" t="str">
        <f>IF(COUNTIF(data1!$D:$D,D5221)=0,"Missing in Data1","Present")</f>
        <v>Present</v>
      </c>
    </row>
    <row r="5222" spans="1:5" x14ac:dyDescent="0.25">
      <c r="A5222" s="2" t="s">
        <v>4422</v>
      </c>
      <c r="B5222" s="2" t="s">
        <v>34</v>
      </c>
      <c r="C5222" s="2">
        <v>3</v>
      </c>
      <c r="D5222" t="str">
        <f t="shared" si="81"/>
        <v>CA-2016-168774_OFF-ST-10001490</v>
      </c>
      <c r="E5222" t="str">
        <f>IF(COUNTIF(data1!$D:$D,D5222)=0,"Missing in Data1","Present")</f>
        <v>Present</v>
      </c>
    </row>
    <row r="5223" spans="1:5" x14ac:dyDescent="0.25">
      <c r="A5223" s="2" t="s">
        <v>4423</v>
      </c>
      <c r="B5223" s="2" t="s">
        <v>1574</v>
      </c>
      <c r="C5223" s="2">
        <v>3</v>
      </c>
      <c r="D5223" t="str">
        <f t="shared" si="81"/>
        <v>CA-2016-168830_TEC-AC-10003911</v>
      </c>
      <c r="E5223" t="str">
        <f>IF(COUNTIF(data1!$D:$D,D5223)=0,"Missing in Data1","Present")</f>
        <v>Present</v>
      </c>
    </row>
    <row r="5224" spans="1:5" x14ac:dyDescent="0.25">
      <c r="A5224" s="2" t="s">
        <v>4424</v>
      </c>
      <c r="B5224" s="2" t="s">
        <v>459</v>
      </c>
      <c r="C5224" s="2">
        <v>3</v>
      </c>
      <c r="D5224" t="str">
        <f t="shared" si="81"/>
        <v>CA-2016-168844_OFF-BI-10002609</v>
      </c>
      <c r="E5224" t="str">
        <f>IF(COUNTIF(data1!$D:$D,D5224)=0,"Missing in Data1","Present")</f>
        <v>Present</v>
      </c>
    </row>
    <row r="5225" spans="1:5" x14ac:dyDescent="0.25">
      <c r="A5225" s="2" t="s">
        <v>4424</v>
      </c>
      <c r="B5225" s="2" t="s">
        <v>1934</v>
      </c>
      <c r="C5225" s="2">
        <v>6</v>
      </c>
      <c r="D5225" t="str">
        <f t="shared" si="81"/>
        <v>CA-2016-168844_TEC-PH-10003215</v>
      </c>
      <c r="E5225" t="str">
        <f>IF(COUNTIF(data1!$D:$D,D5225)=0,"Missing in Data1","Present")</f>
        <v>Present</v>
      </c>
    </row>
    <row r="5226" spans="1:5" x14ac:dyDescent="0.25">
      <c r="A5226" s="2" t="s">
        <v>4425</v>
      </c>
      <c r="B5226" s="2" t="s">
        <v>2254</v>
      </c>
      <c r="C5226" s="2">
        <v>5</v>
      </c>
      <c r="D5226" t="str">
        <f t="shared" si="81"/>
        <v>CA-2016-168893_FUR-FU-10002885</v>
      </c>
      <c r="E5226" t="str">
        <f>IF(COUNTIF(data1!$D:$D,D5226)=0,"Missing in Data1","Present")</f>
        <v>Present</v>
      </c>
    </row>
    <row r="5227" spans="1:5" x14ac:dyDescent="0.25">
      <c r="A5227" s="2" t="s">
        <v>4425</v>
      </c>
      <c r="B5227" s="2" t="s">
        <v>4195</v>
      </c>
      <c r="C5227" s="2">
        <v>3</v>
      </c>
      <c r="D5227" t="str">
        <f t="shared" si="81"/>
        <v>CA-2016-168893_FUR-TA-10003392</v>
      </c>
      <c r="E5227" t="str">
        <f>IF(COUNTIF(data1!$D:$D,D5227)=0,"Missing in Data1","Present")</f>
        <v>Present</v>
      </c>
    </row>
    <row r="5228" spans="1:5" x14ac:dyDescent="0.25">
      <c r="A5228" s="2" t="s">
        <v>4425</v>
      </c>
      <c r="B5228" s="2" t="s">
        <v>479</v>
      </c>
      <c r="C5228" s="2">
        <v>1</v>
      </c>
      <c r="D5228" t="str">
        <f t="shared" si="81"/>
        <v>CA-2016-168893_OFF-AR-10003772</v>
      </c>
      <c r="E5228" t="str">
        <f>IF(COUNTIF(data1!$D:$D,D5228)=0,"Missing in Data1","Present")</f>
        <v>Present</v>
      </c>
    </row>
    <row r="5229" spans="1:5" x14ac:dyDescent="0.25">
      <c r="A5229" s="2" t="s">
        <v>4425</v>
      </c>
      <c r="B5229" s="2" t="s">
        <v>913</v>
      </c>
      <c r="C5229" s="2">
        <v>4</v>
      </c>
      <c r="D5229" t="str">
        <f t="shared" si="81"/>
        <v>CA-2016-168893_OFF-FA-10002280</v>
      </c>
      <c r="E5229" t="str">
        <f>IF(COUNTIF(data1!$D:$D,D5229)=0,"Missing in Data1","Present")</f>
        <v>Present</v>
      </c>
    </row>
    <row r="5230" spans="1:5" x14ac:dyDescent="0.25">
      <c r="A5230" s="2" t="s">
        <v>4426</v>
      </c>
      <c r="B5230" s="2" t="s">
        <v>248</v>
      </c>
      <c r="C5230" s="2">
        <v>3</v>
      </c>
      <c r="D5230" t="str">
        <f t="shared" si="81"/>
        <v>CA-2016-168921_OFF-BI-10004209</v>
      </c>
      <c r="E5230" t="str">
        <f>IF(COUNTIF(data1!$D:$D,D5230)=0,"Missing in Data1","Present")</f>
        <v>Present</v>
      </c>
    </row>
    <row r="5231" spans="1:5" x14ac:dyDescent="0.25">
      <c r="A5231" s="2" t="s">
        <v>4427</v>
      </c>
      <c r="B5231" s="2" t="s">
        <v>1502</v>
      </c>
      <c r="C5231" s="2">
        <v>3</v>
      </c>
      <c r="D5231" t="str">
        <f t="shared" si="81"/>
        <v>CA-2016-168956_FUR-CH-10004754</v>
      </c>
      <c r="E5231" t="str">
        <f>IF(COUNTIF(data1!$D:$D,D5231)=0,"Missing in Data1","Present")</f>
        <v>Present</v>
      </c>
    </row>
    <row r="5232" spans="1:5" x14ac:dyDescent="0.25">
      <c r="A5232" s="2" t="s">
        <v>4427</v>
      </c>
      <c r="B5232" s="2" t="s">
        <v>4428</v>
      </c>
      <c r="C5232" s="2">
        <v>6</v>
      </c>
      <c r="D5232" t="str">
        <f t="shared" si="81"/>
        <v>CA-2016-168956_OFF-AP-10004233</v>
      </c>
      <c r="E5232" t="str">
        <f>IF(COUNTIF(data1!$D:$D,D5232)=0,"Missing in Data1","Present")</f>
        <v>Present</v>
      </c>
    </row>
    <row r="5233" spans="1:5" x14ac:dyDescent="0.25">
      <c r="A5233" s="2" t="s">
        <v>4427</v>
      </c>
      <c r="B5233" s="2" t="s">
        <v>552</v>
      </c>
      <c r="C5233" s="2">
        <v>4</v>
      </c>
      <c r="D5233" t="str">
        <f t="shared" si="81"/>
        <v>CA-2016-168956_OFF-FA-10000304</v>
      </c>
      <c r="E5233" t="str">
        <f>IF(COUNTIF(data1!$D:$D,D5233)=0,"Missing in Data1","Present")</f>
        <v>Present</v>
      </c>
    </row>
    <row r="5234" spans="1:5" x14ac:dyDescent="0.25">
      <c r="A5234" s="2" t="s">
        <v>4427</v>
      </c>
      <c r="B5234" s="2" t="s">
        <v>2165</v>
      </c>
      <c r="C5234" s="2">
        <v>1</v>
      </c>
      <c r="D5234" t="str">
        <f t="shared" si="81"/>
        <v>CA-2016-168956_OFF-PA-10000809</v>
      </c>
      <c r="E5234" t="str">
        <f>IF(COUNTIF(data1!$D:$D,D5234)=0,"Missing in Data1","Present")</f>
        <v>Present</v>
      </c>
    </row>
    <row r="5235" spans="1:5" x14ac:dyDescent="0.25">
      <c r="A5235" s="2" t="s">
        <v>4429</v>
      </c>
      <c r="B5235" s="2" t="s">
        <v>1777</v>
      </c>
      <c r="C5235" s="2">
        <v>3</v>
      </c>
      <c r="D5235" t="str">
        <f t="shared" si="81"/>
        <v>CA-2016-169026_OFF-FA-10001883</v>
      </c>
      <c r="E5235" t="str">
        <f>IF(COUNTIF(data1!$D:$D,D5235)=0,"Missing in Data1","Present")</f>
        <v>Present</v>
      </c>
    </row>
    <row r="5236" spans="1:5" x14ac:dyDescent="0.25">
      <c r="A5236" s="2" t="s">
        <v>4430</v>
      </c>
      <c r="B5236" s="2" t="s">
        <v>450</v>
      </c>
      <c r="C5236" s="2">
        <v>3</v>
      </c>
      <c r="D5236" t="str">
        <f t="shared" si="81"/>
        <v>CA-2016-169103_FUR-FU-10004006</v>
      </c>
      <c r="E5236" t="str">
        <f>IF(COUNTIF(data1!$D:$D,D5236)=0,"Missing in Data1","Present")</f>
        <v>Present</v>
      </c>
    </row>
    <row r="5237" spans="1:5" x14ac:dyDescent="0.25">
      <c r="A5237" s="2" t="s">
        <v>4430</v>
      </c>
      <c r="B5237" s="2" t="s">
        <v>602</v>
      </c>
      <c r="C5237" s="2">
        <v>5</v>
      </c>
      <c r="D5237" t="str">
        <f t="shared" si="81"/>
        <v>CA-2016-169103_TEC-PH-10001530</v>
      </c>
      <c r="E5237" t="str">
        <f>IF(COUNTIF(data1!$D:$D,D5237)=0,"Missing in Data1","Present")</f>
        <v>Present</v>
      </c>
    </row>
    <row r="5238" spans="1:5" x14ac:dyDescent="0.25">
      <c r="A5238" s="2" t="s">
        <v>4431</v>
      </c>
      <c r="B5238" s="2" t="s">
        <v>4003</v>
      </c>
      <c r="C5238" s="2">
        <v>2</v>
      </c>
      <c r="D5238" t="str">
        <f t="shared" si="81"/>
        <v>CA-2016-169166_TEC-AC-10000991</v>
      </c>
      <c r="E5238" t="str">
        <f>IF(COUNTIF(data1!$D:$D,D5238)=0,"Missing in Data1","Present")</f>
        <v>Present</v>
      </c>
    </row>
    <row r="5239" spans="1:5" x14ac:dyDescent="0.25">
      <c r="A5239" s="2" t="s">
        <v>4432</v>
      </c>
      <c r="B5239" s="2" t="s">
        <v>1315</v>
      </c>
      <c r="C5239" s="2">
        <v>3</v>
      </c>
      <c r="D5239" t="str">
        <f t="shared" si="81"/>
        <v>CA-2016-169194_TEC-AC-10002167</v>
      </c>
      <c r="E5239" t="str">
        <f>IF(COUNTIF(data1!$D:$D,D5239)=0,"Missing in Data1","Present")</f>
        <v>Present</v>
      </c>
    </row>
    <row r="5240" spans="1:5" x14ac:dyDescent="0.25">
      <c r="A5240" s="2" t="s">
        <v>4432</v>
      </c>
      <c r="B5240" s="2" t="s">
        <v>1616</v>
      </c>
      <c r="C5240" s="2">
        <v>2</v>
      </c>
      <c r="D5240" t="str">
        <f t="shared" si="81"/>
        <v>CA-2016-169194_TEC-PH-10003988</v>
      </c>
      <c r="E5240" t="str">
        <f>IF(COUNTIF(data1!$D:$D,D5240)=0,"Missing in Data1","Present")</f>
        <v>Present</v>
      </c>
    </row>
    <row r="5241" spans="1:5" x14ac:dyDescent="0.25">
      <c r="A5241" s="2" t="s">
        <v>4434</v>
      </c>
      <c r="B5241" s="2" t="s">
        <v>45</v>
      </c>
      <c r="C5241" s="2">
        <v>9</v>
      </c>
      <c r="D5241" t="str">
        <f t="shared" si="81"/>
        <v>CA-2016-169334_OFF-ST-10004950</v>
      </c>
      <c r="E5241" t="str">
        <f>IF(COUNTIF(data1!$D:$D,D5241)=0,"Missing in Data1","Present")</f>
        <v>Present</v>
      </c>
    </row>
    <row r="5242" spans="1:5" x14ac:dyDescent="0.25">
      <c r="A5242" s="2" t="s">
        <v>4435</v>
      </c>
      <c r="B5242" s="2" t="s">
        <v>311</v>
      </c>
      <c r="C5242" s="2">
        <v>3</v>
      </c>
      <c r="D5242" t="str">
        <f t="shared" si="81"/>
        <v>CA-2016-169663_TEC-AC-10003038</v>
      </c>
      <c r="E5242" t="str">
        <f>IF(COUNTIF(data1!$D:$D,D5242)=0,"Missing in Data1","Present")</f>
        <v>Present</v>
      </c>
    </row>
    <row r="5243" spans="1:5" x14ac:dyDescent="0.25">
      <c r="A5243" s="2" t="s">
        <v>4435</v>
      </c>
      <c r="B5243" s="2" t="s">
        <v>3174</v>
      </c>
      <c r="C5243" s="2">
        <v>3</v>
      </c>
      <c r="D5243" t="str">
        <f t="shared" si="81"/>
        <v>CA-2016-169663_TEC-MA-10000984</v>
      </c>
      <c r="E5243" t="str">
        <f>IF(COUNTIF(data1!$D:$D,D5243)=0,"Missing in Data1","Present")</f>
        <v>Present</v>
      </c>
    </row>
    <row r="5244" spans="1:5" x14ac:dyDescent="0.25">
      <c r="A5244" s="2" t="s">
        <v>6817</v>
      </c>
      <c r="B5244" s="2" t="s">
        <v>3451</v>
      </c>
      <c r="C5244" s="2">
        <v>8</v>
      </c>
      <c r="D5244" t="str">
        <f t="shared" si="81"/>
        <v>CA-2016-169670_FUR-CH-10002331</v>
      </c>
      <c r="E5244" t="str">
        <f>IF(COUNTIF(data1!$D:$D,D5244)=0,"Missing in Data1","Present")</f>
        <v>Missing in Data1</v>
      </c>
    </row>
    <row r="5245" spans="1:5" x14ac:dyDescent="0.25">
      <c r="A5245" s="2" t="s">
        <v>4436</v>
      </c>
      <c r="B5245" s="2" t="s">
        <v>226</v>
      </c>
      <c r="C5245" s="2">
        <v>5</v>
      </c>
      <c r="D5245" t="str">
        <f t="shared" si="81"/>
        <v>CA-2016-169824_FUR-FU-10004864</v>
      </c>
      <c r="E5245" t="str">
        <f>IF(COUNTIF(data1!$D:$D,D5245)=0,"Missing in Data1","Present")</f>
        <v>Present</v>
      </c>
    </row>
    <row r="5246" spans="1:5" x14ac:dyDescent="0.25">
      <c r="A5246" s="2" t="s">
        <v>4436</v>
      </c>
      <c r="B5246" s="2" t="s">
        <v>4290</v>
      </c>
      <c r="C5246" s="2">
        <v>7</v>
      </c>
      <c r="D5246" t="str">
        <f t="shared" si="81"/>
        <v>CA-2016-169824_OFF-AR-10000462</v>
      </c>
      <c r="E5246" t="str">
        <f>IF(COUNTIF(data1!$D:$D,D5246)=0,"Missing in Data1","Present")</f>
        <v>Present</v>
      </c>
    </row>
    <row r="5247" spans="1:5" x14ac:dyDescent="0.25">
      <c r="A5247" s="2" t="s">
        <v>4436</v>
      </c>
      <c r="B5247" s="2" t="s">
        <v>3584</v>
      </c>
      <c r="C5247" s="2">
        <v>4</v>
      </c>
      <c r="D5247" t="str">
        <f t="shared" si="81"/>
        <v>CA-2016-169824_OFF-SU-10000952</v>
      </c>
      <c r="E5247" t="str">
        <f>IF(COUNTIF(data1!$D:$D,D5247)=0,"Missing in Data1","Present")</f>
        <v>Present</v>
      </c>
    </row>
    <row r="5248" spans="1:5" x14ac:dyDescent="0.25">
      <c r="A5248" s="2" t="s">
        <v>4437</v>
      </c>
      <c r="B5248" s="2" t="s">
        <v>2635</v>
      </c>
      <c r="C5248" s="2">
        <v>9</v>
      </c>
      <c r="D5248" t="str">
        <f t="shared" si="81"/>
        <v>CA-2016-169838_FUR-TA-10001095</v>
      </c>
      <c r="E5248" t="str">
        <f>IF(COUNTIF(data1!$D:$D,D5248)=0,"Missing in Data1","Present")</f>
        <v>Present</v>
      </c>
    </row>
    <row r="5249" spans="1:5" x14ac:dyDescent="0.25">
      <c r="A5249" s="2" t="s">
        <v>4437</v>
      </c>
      <c r="B5249" s="2" t="s">
        <v>2543</v>
      </c>
      <c r="C5249" s="2">
        <v>1</v>
      </c>
      <c r="D5249" t="str">
        <f t="shared" si="81"/>
        <v>CA-2016-169838_OFF-BI-10004002</v>
      </c>
      <c r="E5249" t="str">
        <f>IF(COUNTIF(data1!$D:$D,D5249)=0,"Missing in Data1","Present")</f>
        <v>Present</v>
      </c>
    </row>
    <row r="5250" spans="1:5" x14ac:dyDescent="0.25">
      <c r="A5250" s="2" t="s">
        <v>4437</v>
      </c>
      <c r="B5250" s="2" t="s">
        <v>4438</v>
      </c>
      <c r="C5250" s="2">
        <v>8</v>
      </c>
      <c r="D5250" t="str">
        <f t="shared" si="81"/>
        <v>CA-2016-169838_TEC-AC-10004518</v>
      </c>
      <c r="E5250" t="str">
        <f>IF(COUNTIF(data1!$D:$D,D5250)=0,"Missing in Data1","Present")</f>
        <v>Present</v>
      </c>
    </row>
    <row r="5251" spans="1:5" x14ac:dyDescent="0.25">
      <c r="A5251" s="2" t="s">
        <v>4439</v>
      </c>
      <c r="B5251" s="2" t="s">
        <v>4440</v>
      </c>
      <c r="C5251" s="2">
        <v>3</v>
      </c>
      <c r="D5251" t="str">
        <f t="shared" ref="D5251:D5314" si="82">A5251&amp;"_"&amp;B5251</f>
        <v>CA-2016-169887_FUR-FU-10003095</v>
      </c>
      <c r="E5251" t="str">
        <f>IF(COUNTIF(data1!$D:$D,D5251)=0,"Missing in Data1","Present")</f>
        <v>Present</v>
      </c>
    </row>
    <row r="5252" spans="1:5" x14ac:dyDescent="0.25">
      <c r="A5252" s="2" t="s">
        <v>4439</v>
      </c>
      <c r="B5252" s="2" t="s">
        <v>5364</v>
      </c>
      <c r="C5252" s="2">
        <v>3</v>
      </c>
      <c r="D5252" t="str">
        <f t="shared" si="82"/>
        <v>CA-2016-169887_OFF-AR-10002766</v>
      </c>
      <c r="E5252" t="str">
        <f>IF(COUNTIF(data1!$D:$D,D5252)=0,"Missing in Data1","Present")</f>
        <v>Missing in Data1</v>
      </c>
    </row>
    <row r="5253" spans="1:5" x14ac:dyDescent="0.25">
      <c r="A5253" s="2" t="s">
        <v>4439</v>
      </c>
      <c r="B5253" s="2" t="s">
        <v>1102</v>
      </c>
      <c r="C5253" s="2">
        <v>1</v>
      </c>
      <c r="D5253" t="str">
        <f t="shared" si="82"/>
        <v>CA-2016-169887_OFF-PA-10003001</v>
      </c>
      <c r="E5253" t="str">
        <f>IF(COUNTIF(data1!$D:$D,D5253)=0,"Missing in Data1","Present")</f>
        <v>Present</v>
      </c>
    </row>
    <row r="5254" spans="1:5" x14ac:dyDescent="0.25">
      <c r="A5254" s="2" t="s">
        <v>4441</v>
      </c>
      <c r="B5254" s="2" t="s">
        <v>746</v>
      </c>
      <c r="C5254" s="2">
        <v>7</v>
      </c>
      <c r="D5254" t="str">
        <f t="shared" si="82"/>
        <v>CA-2016-169922_FUR-FU-10004415</v>
      </c>
      <c r="E5254" t="str">
        <f>IF(COUNTIF(data1!$D:$D,D5254)=0,"Missing in Data1","Present")</f>
        <v>Present</v>
      </c>
    </row>
    <row r="5255" spans="1:5" x14ac:dyDescent="0.25">
      <c r="A5255" s="2" t="s">
        <v>4441</v>
      </c>
      <c r="B5255" s="2" t="s">
        <v>509</v>
      </c>
      <c r="C5255" s="2">
        <v>4</v>
      </c>
      <c r="D5255" t="str">
        <f t="shared" si="82"/>
        <v>CA-2016-169922_OFF-BI-10001617</v>
      </c>
      <c r="E5255" t="str">
        <f>IF(COUNTIF(data1!$D:$D,D5255)=0,"Missing in Data1","Present")</f>
        <v>Present</v>
      </c>
    </row>
    <row r="5256" spans="1:5" x14ac:dyDescent="0.25">
      <c r="A5256" s="2" t="s">
        <v>4441</v>
      </c>
      <c r="B5256" s="2" t="s">
        <v>1272</v>
      </c>
      <c r="C5256" s="2">
        <v>4</v>
      </c>
      <c r="D5256" t="str">
        <f t="shared" si="82"/>
        <v>CA-2016-169922_OFF-BI-10003784</v>
      </c>
      <c r="E5256" t="str">
        <f>IF(COUNTIF(data1!$D:$D,D5256)=0,"Missing in Data1","Present")</f>
        <v>Present</v>
      </c>
    </row>
    <row r="5257" spans="1:5" x14ac:dyDescent="0.25">
      <c r="A5257" s="2" t="s">
        <v>4442</v>
      </c>
      <c r="B5257" s="2" t="s">
        <v>856</v>
      </c>
      <c r="C5257" s="2">
        <v>8</v>
      </c>
      <c r="D5257" t="str">
        <f t="shared" si="82"/>
        <v>CA-2016-169943_FUR-FU-10000010</v>
      </c>
      <c r="E5257" t="str">
        <f>IF(COUNTIF(data1!$D:$D,D5257)=0,"Missing in Data1","Present")</f>
        <v>Present</v>
      </c>
    </row>
    <row r="5258" spans="1:5" x14ac:dyDescent="0.25">
      <c r="A5258" s="2" t="s">
        <v>4442</v>
      </c>
      <c r="B5258" s="2" t="s">
        <v>756</v>
      </c>
      <c r="C5258" s="2">
        <v>4</v>
      </c>
      <c r="D5258" t="str">
        <f t="shared" si="82"/>
        <v>CA-2016-169943_FUR-FU-10002088</v>
      </c>
      <c r="E5258" t="str">
        <f>IF(COUNTIF(data1!$D:$D,D5258)=0,"Missing in Data1","Present")</f>
        <v>Present</v>
      </c>
    </row>
    <row r="5259" spans="1:5" x14ac:dyDescent="0.25">
      <c r="A5259" s="2" t="s">
        <v>4442</v>
      </c>
      <c r="B5259" s="2" t="s">
        <v>675</v>
      </c>
      <c r="C5259" s="2">
        <v>5</v>
      </c>
      <c r="D5259" t="str">
        <f t="shared" si="82"/>
        <v>CA-2016-169943_OFF-AP-10001563</v>
      </c>
      <c r="E5259" t="str">
        <f>IF(COUNTIF(data1!$D:$D,D5259)=0,"Missing in Data1","Present")</f>
        <v>Present</v>
      </c>
    </row>
    <row r="5260" spans="1:5" x14ac:dyDescent="0.25">
      <c r="A5260" s="2" t="s">
        <v>4442</v>
      </c>
      <c r="B5260" s="2" t="s">
        <v>1255</v>
      </c>
      <c r="C5260" s="2">
        <v>4</v>
      </c>
      <c r="D5260" t="str">
        <f t="shared" si="82"/>
        <v>CA-2016-169943_OFF-BI-10002824</v>
      </c>
      <c r="E5260" t="str">
        <f>IF(COUNTIF(data1!$D:$D,D5260)=0,"Missing in Data1","Present")</f>
        <v>Present</v>
      </c>
    </row>
    <row r="5261" spans="1:5" x14ac:dyDescent="0.25">
      <c r="A5261" s="2" t="s">
        <v>4442</v>
      </c>
      <c r="B5261" s="2" t="s">
        <v>1761</v>
      </c>
      <c r="C5261" s="2">
        <v>5</v>
      </c>
      <c r="D5261" t="str">
        <f t="shared" si="82"/>
        <v>CA-2016-169943_OFF-ST-10004123</v>
      </c>
      <c r="E5261" t="str">
        <f>IF(COUNTIF(data1!$D:$D,D5261)=0,"Missing in Data1","Present")</f>
        <v>Present</v>
      </c>
    </row>
    <row r="5262" spans="1:5" x14ac:dyDescent="0.25">
      <c r="A5262" s="2" t="s">
        <v>4443</v>
      </c>
      <c r="B5262" s="2" t="s">
        <v>754</v>
      </c>
      <c r="C5262" s="2">
        <v>6</v>
      </c>
      <c r="D5262" t="str">
        <f t="shared" si="82"/>
        <v>CA-2016-169957_OFF-AP-10000576</v>
      </c>
      <c r="E5262" t="str">
        <f>IF(COUNTIF(data1!$D:$D,D5262)=0,"Missing in Data1","Present")</f>
        <v>Present</v>
      </c>
    </row>
    <row r="5263" spans="1:5" x14ac:dyDescent="0.25">
      <c r="A5263" s="2" t="s">
        <v>4443</v>
      </c>
      <c r="B5263" s="2" t="s">
        <v>2759</v>
      </c>
      <c r="C5263" s="2">
        <v>5</v>
      </c>
      <c r="D5263" t="str">
        <f t="shared" si="82"/>
        <v>CA-2016-169957_OFF-PA-10004040</v>
      </c>
      <c r="E5263" t="str">
        <f>IF(COUNTIF(data1!$D:$D,D5263)=0,"Missing in Data1","Present")</f>
        <v>Present</v>
      </c>
    </row>
    <row r="5264" spans="1:5" x14ac:dyDescent="0.25">
      <c r="A5264" s="2" t="s">
        <v>4443</v>
      </c>
      <c r="B5264" s="2" t="s">
        <v>2389</v>
      </c>
      <c r="C5264" s="2">
        <v>4</v>
      </c>
      <c r="D5264" t="str">
        <f t="shared" si="82"/>
        <v>CA-2016-169957_TEC-AC-10003063</v>
      </c>
      <c r="E5264" t="str">
        <f>IF(COUNTIF(data1!$D:$D,D5264)=0,"Missing in Data1","Present")</f>
        <v>Present</v>
      </c>
    </row>
    <row r="5265" spans="1:5" x14ac:dyDescent="0.25">
      <c r="A5265" s="2" t="s">
        <v>4444</v>
      </c>
      <c r="B5265" s="2" t="s">
        <v>1693</v>
      </c>
      <c r="C5265" s="2">
        <v>3</v>
      </c>
      <c r="D5265" t="str">
        <f t="shared" si="82"/>
        <v>CA-2016-169971_OFF-AR-10001044</v>
      </c>
      <c r="E5265" t="str">
        <f>IF(COUNTIF(data1!$D:$D,D5265)=0,"Missing in Data1","Present")</f>
        <v>Present</v>
      </c>
    </row>
    <row r="5266" spans="1:5" x14ac:dyDescent="0.25">
      <c r="A5266" s="2" t="s">
        <v>4444</v>
      </c>
      <c r="B5266" s="2" t="s">
        <v>729</v>
      </c>
      <c r="C5266" s="2">
        <v>1</v>
      </c>
      <c r="D5266" t="str">
        <f t="shared" si="82"/>
        <v>CA-2016-169971_OFF-AR-10002804</v>
      </c>
      <c r="E5266" t="str">
        <f>IF(COUNTIF(data1!$D:$D,D5266)=0,"Missing in Data1","Present")</f>
        <v>Present</v>
      </c>
    </row>
    <row r="5267" spans="1:5" x14ac:dyDescent="0.25">
      <c r="A5267" s="2" t="s">
        <v>4445</v>
      </c>
      <c r="B5267" s="2" t="s">
        <v>1071</v>
      </c>
      <c r="C5267" s="2">
        <v>1</v>
      </c>
      <c r="D5267" t="str">
        <f t="shared" si="82"/>
        <v>CA-2017-100013_FUR-FU-10001424</v>
      </c>
      <c r="E5267" t="str">
        <f>IF(COUNTIF(data1!$D:$D,D5267)=0,"Missing in Data1","Present")</f>
        <v>Present</v>
      </c>
    </row>
    <row r="5268" spans="1:5" x14ac:dyDescent="0.25">
      <c r="A5268" s="2" t="s">
        <v>4445</v>
      </c>
      <c r="B5268" s="2" t="s">
        <v>38</v>
      </c>
      <c r="C5268" s="2">
        <v>2</v>
      </c>
      <c r="D5268" t="str">
        <f t="shared" si="82"/>
        <v>CA-2017-100013_OFF-AR-10001022</v>
      </c>
      <c r="E5268" t="str">
        <f>IF(COUNTIF(data1!$D:$D,D5268)=0,"Missing in Data1","Present")</f>
        <v>Present</v>
      </c>
    </row>
    <row r="5269" spans="1:5" x14ac:dyDescent="0.25">
      <c r="A5269" s="2" t="s">
        <v>4445</v>
      </c>
      <c r="B5269" s="2" t="s">
        <v>909</v>
      </c>
      <c r="C5269" s="2">
        <v>2</v>
      </c>
      <c r="D5269" t="str">
        <f t="shared" si="82"/>
        <v>CA-2017-100013_OFF-EN-10001219</v>
      </c>
      <c r="E5269" t="str">
        <f>IF(COUNTIF(data1!$D:$D,D5269)=0,"Missing in Data1","Present")</f>
        <v>Missing in Data1</v>
      </c>
    </row>
    <row r="5270" spans="1:5" x14ac:dyDescent="0.25">
      <c r="A5270" s="2" t="s">
        <v>4446</v>
      </c>
      <c r="B5270" s="2" t="s">
        <v>1529</v>
      </c>
      <c r="C5270" s="2">
        <v>2</v>
      </c>
      <c r="D5270" t="str">
        <f t="shared" si="82"/>
        <v>CA-2017-100055_FUR-FU-10001473</v>
      </c>
      <c r="E5270" t="str">
        <f>IF(COUNTIF(data1!$D:$D,D5270)=0,"Missing in Data1","Present")</f>
        <v>Present</v>
      </c>
    </row>
    <row r="5271" spans="1:5" x14ac:dyDescent="0.25">
      <c r="A5271" s="2" t="s">
        <v>4446</v>
      </c>
      <c r="B5271" s="2" t="s">
        <v>1160</v>
      </c>
      <c r="C5271" s="2">
        <v>3</v>
      </c>
      <c r="D5271" t="str">
        <f t="shared" si="82"/>
        <v>CA-2017-100055_OFF-AP-10001469</v>
      </c>
      <c r="E5271" t="str">
        <f>IF(COUNTIF(data1!$D:$D,D5271)=0,"Missing in Data1","Present")</f>
        <v>Present</v>
      </c>
    </row>
    <row r="5272" spans="1:5" x14ac:dyDescent="0.25">
      <c r="A5272" s="2" t="s">
        <v>4447</v>
      </c>
      <c r="B5272" s="2" t="s">
        <v>991</v>
      </c>
      <c r="C5272" s="2">
        <v>5</v>
      </c>
      <c r="D5272" t="str">
        <f t="shared" si="82"/>
        <v>CA-2017-100097_FUR-FU-10003623</v>
      </c>
      <c r="E5272" t="str">
        <f>IF(COUNTIF(data1!$D:$D,D5272)=0,"Missing in Data1","Present")</f>
        <v>Present</v>
      </c>
    </row>
    <row r="5273" spans="1:5" x14ac:dyDescent="0.25">
      <c r="A5273" s="2" t="s">
        <v>4447</v>
      </c>
      <c r="B5273" s="2" t="s">
        <v>831</v>
      </c>
      <c r="C5273" s="2">
        <v>5</v>
      </c>
      <c r="D5273" t="str">
        <f t="shared" si="82"/>
        <v>CA-2017-100097_TEC-PH-10002310</v>
      </c>
      <c r="E5273" t="str">
        <f>IF(COUNTIF(data1!$D:$D,D5273)=0,"Missing in Data1","Present")</f>
        <v>Present</v>
      </c>
    </row>
    <row r="5274" spans="1:5" x14ac:dyDescent="0.25">
      <c r="A5274" s="2" t="s">
        <v>4448</v>
      </c>
      <c r="B5274" s="2" t="s">
        <v>583</v>
      </c>
      <c r="C5274" s="2">
        <v>5</v>
      </c>
      <c r="D5274" t="str">
        <f t="shared" si="82"/>
        <v>CA-2017-100111_FUR-CH-10001215</v>
      </c>
      <c r="E5274" t="str">
        <f>IF(COUNTIF(data1!$D:$D,D5274)=0,"Missing in Data1","Present")</f>
        <v>Present</v>
      </c>
    </row>
    <row r="5275" spans="1:5" x14ac:dyDescent="0.25">
      <c r="A5275" s="2" t="s">
        <v>4448</v>
      </c>
      <c r="B5275" s="2" t="s">
        <v>2185</v>
      </c>
      <c r="C5275" s="2">
        <v>1</v>
      </c>
      <c r="D5275" t="str">
        <f t="shared" si="82"/>
        <v>CA-2017-100111_FUR-CH-10003061</v>
      </c>
      <c r="E5275" t="str">
        <f>IF(COUNTIF(data1!$D:$D,D5275)=0,"Missing in Data1","Present")</f>
        <v>Present</v>
      </c>
    </row>
    <row r="5276" spans="1:5" x14ac:dyDescent="0.25">
      <c r="A5276" s="2" t="s">
        <v>4448</v>
      </c>
      <c r="B5276" s="2" t="s">
        <v>3939</v>
      </c>
      <c r="C5276" s="2">
        <v>3</v>
      </c>
      <c r="D5276" t="str">
        <f t="shared" si="82"/>
        <v>CA-2017-100111_FUR-CH-10003846</v>
      </c>
      <c r="E5276" t="str">
        <f>IF(COUNTIF(data1!$D:$D,D5276)=0,"Missing in Data1","Present")</f>
        <v>Present</v>
      </c>
    </row>
    <row r="5277" spans="1:5" x14ac:dyDescent="0.25">
      <c r="A5277" s="2" t="s">
        <v>4448</v>
      </c>
      <c r="B5277" s="2" t="s">
        <v>2153</v>
      </c>
      <c r="C5277" s="2">
        <v>11</v>
      </c>
      <c r="D5277" t="str">
        <f t="shared" si="82"/>
        <v>CA-2017-100111_FUR-CH-10004086</v>
      </c>
      <c r="E5277" t="str">
        <f>IF(COUNTIF(data1!$D:$D,D5277)=0,"Missing in Data1","Present")</f>
        <v>Present</v>
      </c>
    </row>
    <row r="5278" spans="1:5" x14ac:dyDescent="0.25">
      <c r="A5278" s="2" t="s">
        <v>4448</v>
      </c>
      <c r="B5278" s="2" t="s">
        <v>9</v>
      </c>
      <c r="C5278" s="2">
        <v>3</v>
      </c>
      <c r="D5278" t="str">
        <f t="shared" si="82"/>
        <v>CA-2017-100111_OFF-BI-10000343</v>
      </c>
      <c r="E5278" t="str">
        <f>IF(COUNTIF(data1!$D:$D,D5278)=0,"Missing in Data1","Present")</f>
        <v>Present</v>
      </c>
    </row>
    <row r="5279" spans="1:5" x14ac:dyDescent="0.25">
      <c r="A5279" s="2" t="s">
        <v>4448</v>
      </c>
      <c r="B5279" s="2" t="s">
        <v>552</v>
      </c>
      <c r="C5279" s="2">
        <v>2</v>
      </c>
      <c r="D5279" t="str">
        <f t="shared" si="82"/>
        <v>CA-2017-100111_OFF-FA-10000304</v>
      </c>
      <c r="E5279" t="str">
        <f>IF(COUNTIF(data1!$D:$D,D5279)=0,"Missing in Data1","Present")</f>
        <v>Present</v>
      </c>
    </row>
    <row r="5280" spans="1:5" x14ac:dyDescent="0.25">
      <c r="A5280" s="2" t="s">
        <v>4448</v>
      </c>
      <c r="B5280" s="2" t="s">
        <v>3624</v>
      </c>
      <c r="C5280" s="2">
        <v>9</v>
      </c>
      <c r="D5280" t="str">
        <f t="shared" si="82"/>
        <v>CA-2017-100111_OFF-PA-10000807</v>
      </c>
      <c r="E5280" t="str">
        <f>IF(COUNTIF(data1!$D:$D,D5280)=0,"Missing in Data1","Present")</f>
        <v>Present</v>
      </c>
    </row>
    <row r="5281" spans="1:5" x14ac:dyDescent="0.25">
      <c r="A5281" s="2" t="s">
        <v>4448</v>
      </c>
      <c r="B5281" s="2" t="s">
        <v>2748</v>
      </c>
      <c r="C5281" s="2">
        <v>2</v>
      </c>
      <c r="D5281" t="str">
        <f t="shared" si="82"/>
        <v>CA-2017-100111_OFF-PA-10002713</v>
      </c>
      <c r="E5281" t="str">
        <f>IF(COUNTIF(data1!$D:$D,D5281)=0,"Missing in Data1","Present")</f>
        <v>Present</v>
      </c>
    </row>
    <row r="5282" spans="1:5" x14ac:dyDescent="0.25">
      <c r="A5282" s="2" t="s">
        <v>4448</v>
      </c>
      <c r="B5282" s="2" t="s">
        <v>1443</v>
      </c>
      <c r="C5282" s="2">
        <v>4</v>
      </c>
      <c r="D5282" t="str">
        <f t="shared" si="82"/>
        <v>CA-2017-100111_OFF-ST-10000615</v>
      </c>
      <c r="E5282" t="str">
        <f>IF(COUNTIF(data1!$D:$D,D5282)=0,"Missing in Data1","Present")</f>
        <v>Present</v>
      </c>
    </row>
    <row r="5283" spans="1:5" x14ac:dyDescent="0.25">
      <c r="A5283" s="2" t="s">
        <v>4448</v>
      </c>
      <c r="B5283" s="2" t="s">
        <v>161</v>
      </c>
      <c r="C5283" s="2">
        <v>2</v>
      </c>
      <c r="D5283" t="str">
        <f t="shared" si="82"/>
        <v>CA-2017-100111_TEC-AC-10001465</v>
      </c>
      <c r="E5283" t="str">
        <f>IF(COUNTIF(data1!$D:$D,D5283)=0,"Missing in Data1","Present")</f>
        <v>Present</v>
      </c>
    </row>
    <row r="5284" spans="1:5" x14ac:dyDescent="0.25">
      <c r="A5284" s="2" t="s">
        <v>4448</v>
      </c>
      <c r="B5284" s="2" t="s">
        <v>2525</v>
      </c>
      <c r="C5284" s="2">
        <v>3</v>
      </c>
      <c r="D5284" t="str">
        <f t="shared" si="82"/>
        <v>CA-2017-100111_TEC-AC-10001998</v>
      </c>
      <c r="E5284" t="str">
        <f>IF(COUNTIF(data1!$D:$D,D5284)=0,"Missing in Data1","Present")</f>
        <v>Present</v>
      </c>
    </row>
    <row r="5285" spans="1:5" x14ac:dyDescent="0.25">
      <c r="A5285" s="2" t="s">
        <v>4448</v>
      </c>
      <c r="B5285" s="2" t="s">
        <v>174</v>
      </c>
      <c r="C5285" s="2">
        <v>2</v>
      </c>
      <c r="D5285" t="str">
        <f t="shared" si="82"/>
        <v>CA-2017-100111_TEC-AC-10002647</v>
      </c>
      <c r="E5285" t="str">
        <f>IF(COUNTIF(data1!$D:$D,D5285)=0,"Missing in Data1","Present")</f>
        <v>Present</v>
      </c>
    </row>
    <row r="5286" spans="1:5" x14ac:dyDescent="0.25">
      <c r="A5286" s="2" t="s">
        <v>4448</v>
      </c>
      <c r="B5286" s="2" t="s">
        <v>742</v>
      </c>
      <c r="C5286" s="2">
        <v>3</v>
      </c>
      <c r="D5286" t="str">
        <f t="shared" si="82"/>
        <v>CA-2017-100111_TEC-PH-10000215</v>
      </c>
      <c r="E5286" t="str">
        <f>IF(COUNTIF(data1!$D:$D,D5286)=0,"Missing in Data1","Present")</f>
        <v>Present</v>
      </c>
    </row>
    <row r="5287" spans="1:5" x14ac:dyDescent="0.25">
      <c r="A5287" s="2" t="s">
        <v>4448</v>
      </c>
      <c r="B5287" s="2" t="s">
        <v>133</v>
      </c>
      <c r="C5287" s="2">
        <v>2</v>
      </c>
      <c r="D5287" t="str">
        <f t="shared" si="82"/>
        <v>CA-2017-100111_TEC-PH-10002885</v>
      </c>
      <c r="E5287" t="str">
        <f>IF(COUNTIF(data1!$D:$D,D5287)=0,"Missing in Data1","Present")</f>
        <v>Present</v>
      </c>
    </row>
    <row r="5288" spans="1:5" x14ac:dyDescent="0.25">
      <c r="A5288" s="2" t="s">
        <v>4449</v>
      </c>
      <c r="B5288" s="2" t="s">
        <v>2505</v>
      </c>
      <c r="C5288" s="2">
        <v>3</v>
      </c>
      <c r="D5288" t="str">
        <f t="shared" si="82"/>
        <v>CA-2017-100160_OFF-EN-10001509</v>
      </c>
      <c r="E5288" t="str">
        <f>IF(COUNTIF(data1!$D:$D,D5288)=0,"Missing in Data1","Present")</f>
        <v>Present</v>
      </c>
    </row>
    <row r="5289" spans="1:5" x14ac:dyDescent="0.25">
      <c r="A5289" s="2" t="s">
        <v>4449</v>
      </c>
      <c r="B5289" s="2" t="s">
        <v>77</v>
      </c>
      <c r="C5289" s="2">
        <v>5</v>
      </c>
      <c r="D5289" t="str">
        <f t="shared" si="82"/>
        <v>CA-2017-100160_OFF-LA-10002475</v>
      </c>
      <c r="E5289" t="str">
        <f>IF(COUNTIF(data1!$D:$D,D5289)=0,"Missing in Data1","Present")</f>
        <v>Present</v>
      </c>
    </row>
    <row r="5290" spans="1:5" x14ac:dyDescent="0.25">
      <c r="A5290" s="2" t="s">
        <v>4449</v>
      </c>
      <c r="B5290" s="2" t="s">
        <v>1724</v>
      </c>
      <c r="C5290" s="2">
        <v>3</v>
      </c>
      <c r="D5290" t="str">
        <f t="shared" si="82"/>
        <v>CA-2017-100160_OFF-PA-10003072</v>
      </c>
      <c r="E5290" t="str">
        <f>IF(COUNTIF(data1!$D:$D,D5290)=0,"Missing in Data1","Present")</f>
        <v>Present</v>
      </c>
    </row>
    <row r="5291" spans="1:5" x14ac:dyDescent="0.25">
      <c r="A5291" s="2" t="s">
        <v>4450</v>
      </c>
      <c r="B5291" s="2" t="s">
        <v>3735</v>
      </c>
      <c r="C5291" s="2">
        <v>3</v>
      </c>
      <c r="D5291" t="str">
        <f t="shared" si="82"/>
        <v>CA-2017-100202_TEC-PH-10002563</v>
      </c>
      <c r="E5291" t="str">
        <f>IF(COUNTIF(data1!$D:$D,D5291)=0,"Missing in Data1","Present")</f>
        <v>Present</v>
      </c>
    </row>
    <row r="5292" spans="1:5" x14ac:dyDescent="0.25">
      <c r="A5292" s="2" t="s">
        <v>4451</v>
      </c>
      <c r="B5292" s="2" t="s">
        <v>3987</v>
      </c>
      <c r="C5292" s="2">
        <v>9</v>
      </c>
      <c r="D5292" t="str">
        <f t="shared" si="82"/>
        <v>CA-2017-100223_FUR-FU-10003601</v>
      </c>
      <c r="E5292" t="str">
        <f>IF(COUNTIF(data1!$D:$D,D5292)=0,"Missing in Data1","Present")</f>
        <v>Present</v>
      </c>
    </row>
    <row r="5293" spans="1:5" x14ac:dyDescent="0.25">
      <c r="A5293" s="2" t="s">
        <v>4451</v>
      </c>
      <c r="B5293" s="2" t="s">
        <v>891</v>
      </c>
      <c r="C5293" s="2">
        <v>9</v>
      </c>
      <c r="D5293" t="str">
        <f t="shared" si="82"/>
        <v>CA-2017-100223_OFF-BI-10003429</v>
      </c>
      <c r="E5293" t="str">
        <f>IF(COUNTIF(data1!$D:$D,D5293)=0,"Missing in Data1","Present")</f>
        <v>Missing in Data1</v>
      </c>
    </row>
    <row r="5294" spans="1:5" x14ac:dyDescent="0.25">
      <c r="A5294" s="2" t="s">
        <v>4451</v>
      </c>
      <c r="B5294" s="2" t="s">
        <v>2041</v>
      </c>
      <c r="C5294" s="2">
        <v>1</v>
      </c>
      <c r="D5294" t="str">
        <f t="shared" si="82"/>
        <v>CA-2017-100223_OFF-BI-10004492</v>
      </c>
      <c r="E5294" t="str">
        <f>IF(COUNTIF(data1!$D:$D,D5294)=0,"Missing in Data1","Present")</f>
        <v>Present</v>
      </c>
    </row>
    <row r="5295" spans="1:5" x14ac:dyDescent="0.25">
      <c r="A5295" s="2" t="s">
        <v>4451</v>
      </c>
      <c r="B5295" s="2" t="s">
        <v>3461</v>
      </c>
      <c r="C5295" s="2">
        <v>3</v>
      </c>
      <c r="D5295" t="str">
        <f t="shared" si="82"/>
        <v>CA-2017-100223_OFF-PA-10000232</v>
      </c>
      <c r="E5295" t="str">
        <f>IF(COUNTIF(data1!$D:$D,D5295)=0,"Missing in Data1","Present")</f>
        <v>Present</v>
      </c>
    </row>
    <row r="5296" spans="1:5" x14ac:dyDescent="0.25">
      <c r="A5296" s="2" t="s">
        <v>4451</v>
      </c>
      <c r="B5296" s="2" t="s">
        <v>157</v>
      </c>
      <c r="C5296" s="2">
        <v>6</v>
      </c>
      <c r="D5296" t="str">
        <f t="shared" si="82"/>
        <v>CA-2017-100223_OFF-PA-10002195</v>
      </c>
      <c r="E5296" t="str">
        <f>IF(COUNTIF(data1!$D:$D,D5296)=0,"Missing in Data1","Present")</f>
        <v>Present</v>
      </c>
    </row>
    <row r="5297" spans="1:5" x14ac:dyDescent="0.25">
      <c r="A5297" s="2" t="s">
        <v>4452</v>
      </c>
      <c r="B5297" s="2" t="s">
        <v>1564</v>
      </c>
      <c r="C5297" s="2">
        <v>1</v>
      </c>
      <c r="D5297" t="str">
        <f t="shared" si="82"/>
        <v>CA-2017-100230_OFF-BI-10002498</v>
      </c>
      <c r="E5297" t="str">
        <f>IF(COUNTIF(data1!$D:$D,D5297)=0,"Missing in Data1","Present")</f>
        <v>Present</v>
      </c>
    </row>
    <row r="5298" spans="1:5" x14ac:dyDescent="0.25">
      <c r="A5298" s="2" t="s">
        <v>4452</v>
      </c>
      <c r="B5298" s="2" t="s">
        <v>1094</v>
      </c>
      <c r="C5298" s="2">
        <v>3</v>
      </c>
      <c r="D5298" t="str">
        <f t="shared" si="82"/>
        <v>CA-2017-100230_OFF-PA-10002245</v>
      </c>
      <c r="E5298" t="str">
        <f>IF(COUNTIF(data1!$D:$D,D5298)=0,"Missing in Data1","Present")</f>
        <v>Present</v>
      </c>
    </row>
    <row r="5299" spans="1:5" x14ac:dyDescent="0.25">
      <c r="A5299" s="2" t="s">
        <v>4452</v>
      </c>
      <c r="B5299" s="2" t="s">
        <v>2698</v>
      </c>
      <c r="C5299" s="2">
        <v>2</v>
      </c>
      <c r="D5299" t="str">
        <f t="shared" si="82"/>
        <v>CA-2017-100230_TEC-PH-10004522</v>
      </c>
      <c r="E5299" t="str">
        <f>IF(COUNTIF(data1!$D:$D,D5299)=0,"Missing in Data1","Present")</f>
        <v>Present</v>
      </c>
    </row>
    <row r="5300" spans="1:5" x14ac:dyDescent="0.25">
      <c r="A5300" s="2" t="s">
        <v>6818</v>
      </c>
      <c r="B5300" s="2" t="s">
        <v>3062</v>
      </c>
      <c r="C5300" s="2">
        <v>2</v>
      </c>
      <c r="D5300" t="str">
        <f t="shared" si="82"/>
        <v>CA-2017-100237_OFF-AR-10001761</v>
      </c>
      <c r="E5300" t="str">
        <f>IF(COUNTIF(data1!$D:$D,D5300)=0,"Missing in Data1","Present")</f>
        <v>Missing in Data1</v>
      </c>
    </row>
    <row r="5301" spans="1:5" x14ac:dyDescent="0.25">
      <c r="A5301" s="2" t="s">
        <v>4453</v>
      </c>
      <c r="B5301" s="2" t="s">
        <v>1855</v>
      </c>
      <c r="C5301" s="2">
        <v>4</v>
      </c>
      <c r="D5301" t="str">
        <f t="shared" si="82"/>
        <v>CA-2017-100314_OFF-EN-10000461</v>
      </c>
      <c r="E5301" t="str">
        <f>IF(COUNTIF(data1!$D:$D,D5301)=0,"Missing in Data1","Present")</f>
        <v>Present</v>
      </c>
    </row>
    <row r="5302" spans="1:5" x14ac:dyDescent="0.25">
      <c r="A5302" s="2" t="s">
        <v>4453</v>
      </c>
      <c r="B5302" s="2" t="s">
        <v>279</v>
      </c>
      <c r="C5302" s="2">
        <v>2</v>
      </c>
      <c r="D5302" t="str">
        <f t="shared" si="82"/>
        <v>CA-2017-100314_OFF-LA-10001569</v>
      </c>
      <c r="E5302" t="str">
        <f>IF(COUNTIF(data1!$D:$D,D5302)=0,"Missing in Data1","Present")</f>
        <v>Present</v>
      </c>
    </row>
    <row r="5303" spans="1:5" x14ac:dyDescent="0.25">
      <c r="A5303" s="2" t="s">
        <v>4453</v>
      </c>
      <c r="B5303" s="2" t="s">
        <v>4454</v>
      </c>
      <c r="C5303" s="2">
        <v>3</v>
      </c>
      <c r="D5303" t="str">
        <f t="shared" si="82"/>
        <v>CA-2017-100314_TEC-MA-10003066</v>
      </c>
      <c r="E5303" t="str">
        <f>IF(COUNTIF(data1!$D:$D,D5303)=0,"Missing in Data1","Present")</f>
        <v>Present</v>
      </c>
    </row>
    <row r="5304" spans="1:5" x14ac:dyDescent="0.25">
      <c r="A5304" s="2" t="s">
        <v>4455</v>
      </c>
      <c r="B5304" s="2" t="s">
        <v>1373</v>
      </c>
      <c r="C5304" s="2">
        <v>9</v>
      </c>
      <c r="D5304" t="str">
        <f t="shared" si="82"/>
        <v>CA-2017-100335_OFF-PA-10001685</v>
      </c>
      <c r="E5304" t="str">
        <f>IF(COUNTIF(data1!$D:$D,D5304)=0,"Missing in Data1","Present")</f>
        <v>Present</v>
      </c>
    </row>
    <row r="5305" spans="1:5" x14ac:dyDescent="0.25">
      <c r="A5305" s="2" t="s">
        <v>4456</v>
      </c>
      <c r="B5305" s="2" t="s">
        <v>1704</v>
      </c>
      <c r="C5305" s="2">
        <v>2</v>
      </c>
      <c r="D5305" t="str">
        <f t="shared" si="82"/>
        <v>CA-2017-100356_OFF-AP-10002191</v>
      </c>
      <c r="E5305" t="str">
        <f>IF(COUNTIF(data1!$D:$D,D5305)=0,"Missing in Data1","Present")</f>
        <v>Present</v>
      </c>
    </row>
    <row r="5306" spans="1:5" x14ac:dyDescent="0.25">
      <c r="A5306" s="2" t="s">
        <v>4457</v>
      </c>
      <c r="B5306" s="2" t="s">
        <v>400</v>
      </c>
      <c r="C5306" s="2">
        <v>8</v>
      </c>
      <c r="D5306" t="str">
        <f t="shared" si="82"/>
        <v>CA-2017-100384_OFF-AR-10002135</v>
      </c>
      <c r="E5306" t="str">
        <f>IF(COUNTIF(data1!$D:$D,D5306)=0,"Missing in Data1","Present")</f>
        <v>Present</v>
      </c>
    </row>
    <row r="5307" spans="1:5" x14ac:dyDescent="0.25">
      <c r="A5307" s="2" t="s">
        <v>4457</v>
      </c>
      <c r="B5307" s="2" t="s">
        <v>204</v>
      </c>
      <c r="C5307" s="2">
        <v>9</v>
      </c>
      <c r="D5307" t="str">
        <f t="shared" si="82"/>
        <v>CA-2017-100384_OFF-AR-10003514</v>
      </c>
      <c r="E5307" t="str">
        <f>IF(COUNTIF(data1!$D:$D,D5307)=0,"Missing in Data1","Present")</f>
        <v>Present</v>
      </c>
    </row>
    <row r="5308" spans="1:5" x14ac:dyDescent="0.25">
      <c r="A5308" s="2" t="s">
        <v>4458</v>
      </c>
      <c r="B5308" s="2" t="s">
        <v>1419</v>
      </c>
      <c r="C5308" s="2">
        <v>2</v>
      </c>
      <c r="D5308" t="str">
        <f t="shared" si="82"/>
        <v>CA-2017-100412_FUR-CH-10002647</v>
      </c>
      <c r="E5308" t="str">
        <f>IF(COUNTIF(data1!$D:$D,D5308)=0,"Missing in Data1","Present")</f>
        <v>Present</v>
      </c>
    </row>
    <row r="5309" spans="1:5" x14ac:dyDescent="0.25">
      <c r="A5309" s="2" t="s">
        <v>4459</v>
      </c>
      <c r="B5309" s="2" t="s">
        <v>3976</v>
      </c>
      <c r="C5309" s="2">
        <v>2</v>
      </c>
      <c r="D5309" t="str">
        <f t="shared" si="82"/>
        <v>CA-2017-100426_OFF-PA-10002870</v>
      </c>
      <c r="E5309" t="str">
        <f>IF(COUNTIF(data1!$D:$D,D5309)=0,"Missing in Data1","Present")</f>
        <v>Present</v>
      </c>
    </row>
    <row r="5310" spans="1:5" x14ac:dyDescent="0.25">
      <c r="A5310" s="2" t="s">
        <v>4460</v>
      </c>
      <c r="B5310" s="2" t="s">
        <v>1737</v>
      </c>
      <c r="C5310" s="2">
        <v>4</v>
      </c>
      <c r="D5310" t="str">
        <f t="shared" si="82"/>
        <v>CA-2017-100433_OFF-PA-10003441</v>
      </c>
      <c r="E5310" t="str">
        <f>IF(COUNTIF(data1!$D:$D,D5310)=0,"Missing in Data1","Present")</f>
        <v>Present</v>
      </c>
    </row>
    <row r="5311" spans="1:5" x14ac:dyDescent="0.25">
      <c r="A5311" s="2" t="s">
        <v>4461</v>
      </c>
      <c r="B5311" s="2" t="s">
        <v>278</v>
      </c>
      <c r="C5311" s="2">
        <v>2</v>
      </c>
      <c r="D5311" t="str">
        <f t="shared" si="82"/>
        <v>CA-2017-100524_FUR-FU-10004018</v>
      </c>
      <c r="E5311" t="str">
        <f>IF(COUNTIF(data1!$D:$D,D5311)=0,"Missing in Data1","Present")</f>
        <v>Present</v>
      </c>
    </row>
    <row r="5312" spans="1:5" x14ac:dyDescent="0.25">
      <c r="A5312" s="2" t="s">
        <v>4461</v>
      </c>
      <c r="B5312" s="2" t="s">
        <v>4400</v>
      </c>
      <c r="C5312" s="2">
        <v>8</v>
      </c>
      <c r="D5312" t="str">
        <f t="shared" si="82"/>
        <v>CA-2017-100524_OFF-PA-10004911</v>
      </c>
      <c r="E5312" t="str">
        <f>IF(COUNTIF(data1!$D:$D,D5312)=0,"Missing in Data1","Present")</f>
        <v>Present</v>
      </c>
    </row>
    <row r="5313" spans="1:5" x14ac:dyDescent="0.25">
      <c r="A5313" s="2" t="s">
        <v>4461</v>
      </c>
      <c r="B5313" s="2" t="s">
        <v>102</v>
      </c>
      <c r="C5313" s="2">
        <v>3</v>
      </c>
      <c r="D5313" t="str">
        <f t="shared" si="82"/>
        <v>CA-2017-100524_TEC-PH-10002549</v>
      </c>
      <c r="E5313" t="str">
        <f>IF(COUNTIF(data1!$D:$D,D5313)=0,"Missing in Data1","Present")</f>
        <v>Present</v>
      </c>
    </row>
    <row r="5314" spans="1:5" x14ac:dyDescent="0.25">
      <c r="A5314" s="2" t="s">
        <v>4462</v>
      </c>
      <c r="B5314" s="2" t="s">
        <v>1149</v>
      </c>
      <c r="C5314" s="2">
        <v>3</v>
      </c>
      <c r="D5314" t="str">
        <f t="shared" si="82"/>
        <v>CA-2017-100580_OFF-BI-10000069</v>
      </c>
      <c r="E5314" t="str">
        <f>IF(COUNTIF(data1!$D:$D,D5314)=0,"Missing in Data1","Present")</f>
        <v>Present</v>
      </c>
    </row>
    <row r="5315" spans="1:5" x14ac:dyDescent="0.25">
      <c r="A5315" s="2" t="s">
        <v>6819</v>
      </c>
      <c r="B5315" s="2" t="s">
        <v>2470</v>
      </c>
      <c r="C5315" s="2">
        <v>7</v>
      </c>
      <c r="D5315" t="str">
        <f t="shared" ref="D5315:D5378" si="83">A5315&amp;"_"&amp;B5315</f>
        <v>CA-2017-100601_OFF-ST-10002486</v>
      </c>
      <c r="E5315" t="str">
        <f>IF(COUNTIF(data1!$D:$D,D5315)=0,"Missing in Data1","Present")</f>
        <v>Missing in Data1</v>
      </c>
    </row>
    <row r="5316" spans="1:5" x14ac:dyDescent="0.25">
      <c r="A5316" s="2" t="s">
        <v>4463</v>
      </c>
      <c r="B5316" s="2" t="s">
        <v>16</v>
      </c>
      <c r="C5316" s="2">
        <v>3</v>
      </c>
      <c r="D5316" t="str">
        <f t="shared" si="83"/>
        <v>CA-2017-100615_FUR-CH-10002602</v>
      </c>
      <c r="E5316" t="str">
        <f>IF(COUNTIF(data1!$D:$D,D5316)=0,"Missing in Data1","Present")</f>
        <v>Present</v>
      </c>
    </row>
    <row r="5317" spans="1:5" x14ac:dyDescent="0.25">
      <c r="A5317" s="2" t="s">
        <v>4463</v>
      </c>
      <c r="B5317" s="2" t="s">
        <v>100</v>
      </c>
      <c r="C5317" s="2">
        <v>5</v>
      </c>
      <c r="D5317" t="str">
        <f t="shared" si="83"/>
        <v>CA-2017-100615_FUR-FU-10002456</v>
      </c>
      <c r="E5317" t="str">
        <f>IF(COUNTIF(data1!$D:$D,D5317)=0,"Missing in Data1","Present")</f>
        <v>Present</v>
      </c>
    </row>
    <row r="5318" spans="1:5" x14ac:dyDescent="0.25">
      <c r="A5318" s="2" t="s">
        <v>4463</v>
      </c>
      <c r="B5318" s="2" t="s">
        <v>1327</v>
      </c>
      <c r="C5318" s="2">
        <v>2</v>
      </c>
      <c r="D5318" t="str">
        <f t="shared" si="83"/>
        <v>CA-2017-100615_OFF-AR-10001683</v>
      </c>
      <c r="E5318" t="str">
        <f>IF(COUNTIF(data1!$D:$D,D5318)=0,"Missing in Data1","Present")</f>
        <v>Present</v>
      </c>
    </row>
    <row r="5319" spans="1:5" x14ac:dyDescent="0.25">
      <c r="A5319" s="2" t="s">
        <v>4464</v>
      </c>
      <c r="B5319" s="2" t="s">
        <v>322</v>
      </c>
      <c r="C5319" s="2">
        <v>2</v>
      </c>
      <c r="D5319" t="str">
        <f t="shared" si="83"/>
        <v>CA-2017-100622_OFF-AR-10004010</v>
      </c>
      <c r="E5319" t="str">
        <f>IF(COUNTIF(data1!$D:$D,D5319)=0,"Missing in Data1","Present")</f>
        <v>Present</v>
      </c>
    </row>
    <row r="5320" spans="1:5" x14ac:dyDescent="0.25">
      <c r="A5320" s="2" t="s">
        <v>4464</v>
      </c>
      <c r="B5320" s="2" t="s">
        <v>1734</v>
      </c>
      <c r="C5320" s="2">
        <v>2</v>
      </c>
      <c r="D5320" t="str">
        <f t="shared" si="83"/>
        <v>CA-2017-100622_OFF-BI-10002982</v>
      </c>
      <c r="E5320" t="str">
        <f>IF(COUNTIF(data1!$D:$D,D5320)=0,"Missing in Data1","Present")</f>
        <v>Present</v>
      </c>
    </row>
    <row r="5321" spans="1:5" x14ac:dyDescent="0.25">
      <c r="A5321" s="2" t="s">
        <v>4464</v>
      </c>
      <c r="B5321" s="2" t="s">
        <v>610</v>
      </c>
      <c r="C5321" s="2">
        <v>2</v>
      </c>
      <c r="D5321" t="str">
        <f t="shared" si="83"/>
        <v>CA-2017-100622_OFF-PA-10002947</v>
      </c>
      <c r="E5321" t="str">
        <f>IF(COUNTIF(data1!$D:$D,D5321)=0,"Missing in Data1","Present")</f>
        <v>Present</v>
      </c>
    </row>
    <row r="5322" spans="1:5" x14ac:dyDescent="0.25">
      <c r="A5322" s="2" t="s">
        <v>4464</v>
      </c>
      <c r="B5322" s="2" t="s">
        <v>4465</v>
      </c>
      <c r="C5322" s="2">
        <v>2</v>
      </c>
      <c r="D5322" t="str">
        <f t="shared" si="83"/>
        <v>CA-2017-100622_TEC-CO-10003236</v>
      </c>
      <c r="E5322" t="str">
        <f>IF(COUNTIF(data1!$D:$D,D5322)=0,"Missing in Data1","Present")</f>
        <v>Present</v>
      </c>
    </row>
    <row r="5323" spans="1:5" x14ac:dyDescent="0.25">
      <c r="A5323" s="2" t="s">
        <v>4466</v>
      </c>
      <c r="B5323" s="2" t="s">
        <v>1761</v>
      </c>
      <c r="C5323" s="2">
        <v>3</v>
      </c>
      <c r="D5323" t="str">
        <f t="shared" si="83"/>
        <v>CA-2017-100636_OFF-ST-10004123</v>
      </c>
      <c r="E5323" t="str">
        <f>IF(COUNTIF(data1!$D:$D,D5323)=0,"Missing in Data1","Present")</f>
        <v>Present</v>
      </c>
    </row>
    <row r="5324" spans="1:5" x14ac:dyDescent="0.25">
      <c r="A5324" s="2" t="s">
        <v>6820</v>
      </c>
      <c r="B5324" s="2" t="s">
        <v>2293</v>
      </c>
      <c r="C5324" s="2">
        <v>2</v>
      </c>
      <c r="D5324" t="str">
        <f t="shared" si="83"/>
        <v>CA-2017-100650_OFF-ST-10001780</v>
      </c>
      <c r="E5324" t="str">
        <f>IF(COUNTIF(data1!$D:$D,D5324)=0,"Missing in Data1","Present")</f>
        <v>Missing in Data1</v>
      </c>
    </row>
    <row r="5325" spans="1:5" x14ac:dyDescent="0.25">
      <c r="A5325" s="2" t="s">
        <v>4467</v>
      </c>
      <c r="B5325" s="2" t="s">
        <v>591</v>
      </c>
      <c r="C5325" s="2">
        <v>8</v>
      </c>
      <c r="D5325" t="str">
        <f t="shared" si="83"/>
        <v>CA-2017-100748_OFF-LA-10000240</v>
      </c>
      <c r="E5325" t="str">
        <f>IF(COUNTIF(data1!$D:$D,D5325)=0,"Missing in Data1","Present")</f>
        <v>Present</v>
      </c>
    </row>
    <row r="5326" spans="1:5" x14ac:dyDescent="0.25">
      <c r="A5326" s="2" t="s">
        <v>4468</v>
      </c>
      <c r="B5326" s="2" t="s">
        <v>23</v>
      </c>
      <c r="C5326" s="2">
        <v>1</v>
      </c>
      <c r="D5326" t="str">
        <f t="shared" si="83"/>
        <v>CA-2017-100783_OFF-AR-10000380</v>
      </c>
      <c r="E5326" t="str">
        <f>IF(COUNTIF(data1!$D:$D,D5326)=0,"Missing in Data1","Present")</f>
        <v>Present</v>
      </c>
    </row>
    <row r="5327" spans="1:5" x14ac:dyDescent="0.25">
      <c r="A5327" s="2" t="s">
        <v>4469</v>
      </c>
      <c r="B5327" s="2" t="s">
        <v>1073</v>
      </c>
      <c r="C5327" s="2">
        <v>2</v>
      </c>
      <c r="D5327" t="str">
        <f t="shared" si="83"/>
        <v>CA-2017-100811_OFF-PA-10001204</v>
      </c>
      <c r="E5327" t="str">
        <f>IF(COUNTIF(data1!$D:$D,D5327)=0,"Missing in Data1","Present")</f>
        <v>Present</v>
      </c>
    </row>
    <row r="5328" spans="1:5" x14ac:dyDescent="0.25">
      <c r="A5328" s="2" t="s">
        <v>4469</v>
      </c>
      <c r="B5328" s="2" t="s">
        <v>260</v>
      </c>
      <c r="C5328" s="2">
        <v>4</v>
      </c>
      <c r="D5328" t="str">
        <f t="shared" si="83"/>
        <v>CA-2017-100811_OFF-ST-10002444</v>
      </c>
      <c r="E5328" t="str">
        <f>IF(COUNTIF(data1!$D:$D,D5328)=0,"Missing in Data1","Present")</f>
        <v>Present</v>
      </c>
    </row>
    <row r="5329" spans="1:5" x14ac:dyDescent="0.25">
      <c r="A5329" s="2" t="s">
        <v>4470</v>
      </c>
      <c r="B5329" s="2" t="s">
        <v>1465</v>
      </c>
      <c r="C5329" s="2">
        <v>3</v>
      </c>
      <c r="D5329" t="str">
        <f t="shared" si="83"/>
        <v>CA-2017-100825_OFF-ST-10003123</v>
      </c>
      <c r="E5329" t="str">
        <f>IF(COUNTIF(data1!$D:$D,D5329)=0,"Missing in Data1","Present")</f>
        <v>Present</v>
      </c>
    </row>
    <row r="5330" spans="1:5" x14ac:dyDescent="0.25">
      <c r="A5330" s="2" t="s">
        <v>4471</v>
      </c>
      <c r="B5330" s="2" t="s">
        <v>4472</v>
      </c>
      <c r="C5330" s="2">
        <v>7</v>
      </c>
      <c r="D5330" t="str">
        <f t="shared" si="83"/>
        <v>CA-2017-100902_OFF-PA-10002558</v>
      </c>
      <c r="E5330" t="str">
        <f>IF(COUNTIF(data1!$D:$D,D5330)=0,"Missing in Data1","Present")</f>
        <v>Present</v>
      </c>
    </row>
    <row r="5331" spans="1:5" x14ac:dyDescent="0.25">
      <c r="A5331" s="2" t="s">
        <v>4471</v>
      </c>
      <c r="B5331" s="2" t="s">
        <v>1658</v>
      </c>
      <c r="C5331" s="2">
        <v>5</v>
      </c>
      <c r="D5331" t="str">
        <f t="shared" si="83"/>
        <v>CA-2017-100902_TEC-AC-10003174</v>
      </c>
      <c r="E5331" t="str">
        <f>IF(COUNTIF(data1!$D:$D,D5331)=0,"Missing in Data1","Present")</f>
        <v>Present</v>
      </c>
    </row>
    <row r="5332" spans="1:5" x14ac:dyDescent="0.25">
      <c r="A5332" s="2" t="s">
        <v>4473</v>
      </c>
      <c r="B5332" s="2" t="s">
        <v>258</v>
      </c>
      <c r="C5332" s="2">
        <v>5</v>
      </c>
      <c r="D5332" t="str">
        <f t="shared" si="83"/>
        <v>CA-2017-100951_OFF-ST-10001496</v>
      </c>
      <c r="E5332" t="str">
        <f>IF(COUNTIF(data1!$D:$D,D5332)=0,"Missing in Data1","Present")</f>
        <v>Present</v>
      </c>
    </row>
    <row r="5333" spans="1:5" x14ac:dyDescent="0.25">
      <c r="A5333" s="2" t="s">
        <v>4474</v>
      </c>
      <c r="B5333" s="2" t="s">
        <v>3790</v>
      </c>
      <c r="C5333" s="2">
        <v>3</v>
      </c>
      <c r="D5333" t="str">
        <f t="shared" si="83"/>
        <v>CA-2017-101014_FUR-FU-10003374</v>
      </c>
      <c r="E5333" t="str">
        <f>IF(COUNTIF(data1!$D:$D,D5333)=0,"Missing in Data1","Present")</f>
        <v>Present</v>
      </c>
    </row>
    <row r="5334" spans="1:5" x14ac:dyDescent="0.25">
      <c r="A5334" s="2" t="s">
        <v>4475</v>
      </c>
      <c r="B5334" s="2" t="s">
        <v>973</v>
      </c>
      <c r="C5334" s="2">
        <v>6</v>
      </c>
      <c r="D5334" t="str">
        <f t="shared" si="83"/>
        <v>CA-2017-101042_FUR-FU-10004665</v>
      </c>
      <c r="E5334" t="str">
        <f>IF(COUNTIF(data1!$D:$D,D5334)=0,"Missing in Data1","Present")</f>
        <v>Present</v>
      </c>
    </row>
    <row r="5335" spans="1:5" x14ac:dyDescent="0.25">
      <c r="A5335" s="2" t="s">
        <v>4475</v>
      </c>
      <c r="B5335" s="2" t="s">
        <v>2140</v>
      </c>
      <c r="C5335" s="2">
        <v>2</v>
      </c>
      <c r="D5335" t="str">
        <f t="shared" si="83"/>
        <v>CA-2017-101042_OFF-BI-10000088</v>
      </c>
      <c r="E5335" t="str">
        <f>IF(COUNTIF(data1!$D:$D,D5335)=0,"Missing in Data1","Present")</f>
        <v>Present</v>
      </c>
    </row>
    <row r="5336" spans="1:5" x14ac:dyDescent="0.25">
      <c r="A5336" s="2" t="s">
        <v>4476</v>
      </c>
      <c r="B5336" s="2" t="s">
        <v>746</v>
      </c>
      <c r="C5336" s="2">
        <v>5</v>
      </c>
      <c r="D5336" t="str">
        <f t="shared" si="83"/>
        <v>CA-2017-101049_FUR-FU-10004415</v>
      </c>
      <c r="E5336" t="str">
        <f>IF(COUNTIF(data1!$D:$D,D5336)=0,"Missing in Data1","Present")</f>
        <v>Present</v>
      </c>
    </row>
    <row r="5337" spans="1:5" x14ac:dyDescent="0.25">
      <c r="A5337" s="2" t="s">
        <v>4476</v>
      </c>
      <c r="B5337" s="2" t="s">
        <v>1954</v>
      </c>
      <c r="C5337" s="2">
        <v>6</v>
      </c>
      <c r="D5337" t="str">
        <f t="shared" si="83"/>
        <v>CA-2017-101049_OFF-BI-10001510</v>
      </c>
      <c r="E5337" t="str">
        <f>IF(COUNTIF(data1!$D:$D,D5337)=0,"Missing in Data1","Present")</f>
        <v>Present</v>
      </c>
    </row>
    <row r="5338" spans="1:5" x14ac:dyDescent="0.25">
      <c r="A5338" s="2" t="s">
        <v>4477</v>
      </c>
      <c r="B5338" s="2" t="s">
        <v>3014</v>
      </c>
      <c r="C5338" s="2">
        <v>2</v>
      </c>
      <c r="D5338" t="str">
        <f t="shared" si="83"/>
        <v>CA-2017-101077_OFF-PA-10004239</v>
      </c>
      <c r="E5338" t="str">
        <f>IF(COUNTIF(data1!$D:$D,D5338)=0,"Missing in Data1","Present")</f>
        <v>Present</v>
      </c>
    </row>
    <row r="5339" spans="1:5" x14ac:dyDescent="0.25">
      <c r="A5339" s="2" t="s">
        <v>4478</v>
      </c>
      <c r="B5339" s="2" t="s">
        <v>854</v>
      </c>
      <c r="C5339" s="2">
        <v>2</v>
      </c>
      <c r="D5339" t="str">
        <f t="shared" si="83"/>
        <v>CA-2017-101182_OFF-PA-10001800</v>
      </c>
      <c r="E5339" t="str">
        <f>IF(COUNTIF(data1!$D:$D,D5339)=0,"Missing in Data1","Present")</f>
        <v>Present</v>
      </c>
    </row>
    <row r="5340" spans="1:5" x14ac:dyDescent="0.25">
      <c r="A5340" s="2" t="s">
        <v>4478</v>
      </c>
      <c r="B5340" s="2" t="s">
        <v>716</v>
      </c>
      <c r="C5340" s="2">
        <v>3</v>
      </c>
      <c r="D5340" t="str">
        <f t="shared" si="83"/>
        <v>CA-2017-101182_TEC-PH-10003589</v>
      </c>
      <c r="E5340" t="str">
        <f>IF(COUNTIF(data1!$D:$D,D5340)=0,"Missing in Data1","Present")</f>
        <v>Present</v>
      </c>
    </row>
    <row r="5341" spans="1:5" x14ac:dyDescent="0.25">
      <c r="A5341" s="2" t="s">
        <v>6821</v>
      </c>
      <c r="B5341" s="2" t="s">
        <v>1535</v>
      </c>
      <c r="C5341" s="2">
        <v>2</v>
      </c>
      <c r="D5341" t="str">
        <f t="shared" si="83"/>
        <v>CA-2017-101210_OFF-AR-10003560</v>
      </c>
      <c r="E5341" t="str">
        <f>IF(COUNTIF(data1!$D:$D,D5341)=0,"Missing in Data1","Present")</f>
        <v>Missing in Data1</v>
      </c>
    </row>
    <row r="5342" spans="1:5" x14ac:dyDescent="0.25">
      <c r="A5342" s="2" t="s">
        <v>6821</v>
      </c>
      <c r="B5342" s="2" t="s">
        <v>6125</v>
      </c>
      <c r="C5342" s="2">
        <v>1</v>
      </c>
      <c r="D5342" t="str">
        <f t="shared" si="83"/>
        <v>CA-2017-101210_OFF-PA-10000130</v>
      </c>
      <c r="E5342" t="str">
        <f>IF(COUNTIF(data1!$D:$D,D5342)=0,"Missing in Data1","Present")</f>
        <v>Missing in Data1</v>
      </c>
    </row>
    <row r="5343" spans="1:5" x14ac:dyDescent="0.25">
      <c r="A5343" s="2" t="s">
        <v>4479</v>
      </c>
      <c r="B5343" s="2" t="s">
        <v>3027</v>
      </c>
      <c r="C5343" s="2">
        <v>5</v>
      </c>
      <c r="D5343" t="str">
        <f t="shared" si="83"/>
        <v>CA-2017-101245_OFF-PA-10003129</v>
      </c>
      <c r="E5343" t="str">
        <f>IF(COUNTIF(data1!$D:$D,D5343)=0,"Missing in Data1","Present")</f>
        <v>Present</v>
      </c>
    </row>
    <row r="5344" spans="1:5" x14ac:dyDescent="0.25">
      <c r="A5344" s="2" t="s">
        <v>4479</v>
      </c>
      <c r="B5344" s="2" t="s">
        <v>340</v>
      </c>
      <c r="C5344" s="2">
        <v>8</v>
      </c>
      <c r="D5344" t="str">
        <f t="shared" si="83"/>
        <v>CA-2017-101245_TEC-AC-10001284</v>
      </c>
      <c r="E5344" t="str">
        <f>IF(COUNTIF(data1!$D:$D,D5344)=0,"Missing in Data1","Present")</f>
        <v>Present</v>
      </c>
    </row>
    <row r="5345" spans="1:5" x14ac:dyDescent="0.25">
      <c r="A5345" s="2" t="s">
        <v>4480</v>
      </c>
      <c r="B5345" s="2" t="s">
        <v>2520</v>
      </c>
      <c r="C5345" s="2">
        <v>4</v>
      </c>
      <c r="D5345" t="str">
        <f t="shared" si="83"/>
        <v>CA-2017-101273_OFF-AP-10000804</v>
      </c>
      <c r="E5345" t="str">
        <f>IF(COUNTIF(data1!$D:$D,D5345)=0,"Missing in Data1","Present")</f>
        <v>Present</v>
      </c>
    </row>
    <row r="5346" spans="1:5" x14ac:dyDescent="0.25">
      <c r="A5346" s="2" t="s">
        <v>4481</v>
      </c>
      <c r="B5346" s="2" t="s">
        <v>703</v>
      </c>
      <c r="C5346" s="2">
        <v>3</v>
      </c>
      <c r="D5346" t="str">
        <f t="shared" si="83"/>
        <v>CA-2017-101308_OFF-FA-10002780</v>
      </c>
      <c r="E5346" t="str">
        <f>IF(COUNTIF(data1!$D:$D,D5346)=0,"Missing in Data1","Present")</f>
        <v>Present</v>
      </c>
    </row>
    <row r="5347" spans="1:5" x14ac:dyDescent="0.25">
      <c r="A5347" s="2" t="s">
        <v>4481</v>
      </c>
      <c r="B5347" s="2" t="s">
        <v>1940</v>
      </c>
      <c r="C5347" s="2">
        <v>2</v>
      </c>
      <c r="D5347" t="str">
        <f t="shared" si="83"/>
        <v>CA-2017-101308_TEC-PH-10003800</v>
      </c>
      <c r="E5347" t="str">
        <f>IF(COUNTIF(data1!$D:$D,D5347)=0,"Missing in Data1","Present")</f>
        <v>Present</v>
      </c>
    </row>
    <row r="5348" spans="1:5" x14ac:dyDescent="0.25">
      <c r="A5348" s="2" t="s">
        <v>4482</v>
      </c>
      <c r="B5348" s="2" t="s">
        <v>2738</v>
      </c>
      <c r="C5348" s="2">
        <v>6</v>
      </c>
      <c r="D5348" t="str">
        <f t="shared" si="83"/>
        <v>CA-2017-101322_FUR-CH-10003968</v>
      </c>
      <c r="E5348" t="str">
        <f>IF(COUNTIF(data1!$D:$D,D5348)=0,"Missing in Data1","Present")</f>
        <v>Present</v>
      </c>
    </row>
    <row r="5349" spans="1:5" x14ac:dyDescent="0.25">
      <c r="A5349" s="2" t="s">
        <v>4483</v>
      </c>
      <c r="B5349" s="2" t="s">
        <v>443</v>
      </c>
      <c r="C5349" s="2">
        <v>2</v>
      </c>
      <c r="D5349" t="str">
        <f t="shared" si="83"/>
        <v>CA-2017-101434_OFF-LA-10003223</v>
      </c>
      <c r="E5349" t="str">
        <f>IF(COUNTIF(data1!$D:$D,D5349)=0,"Missing in Data1","Present")</f>
        <v>Present</v>
      </c>
    </row>
    <row r="5350" spans="1:5" x14ac:dyDescent="0.25">
      <c r="A5350" s="2" t="s">
        <v>4483</v>
      </c>
      <c r="B5350" s="2" t="s">
        <v>1862</v>
      </c>
      <c r="C5350" s="2">
        <v>3</v>
      </c>
      <c r="D5350" t="str">
        <f t="shared" si="83"/>
        <v>CA-2017-101434_TEC-AC-10002402</v>
      </c>
      <c r="E5350" t="str">
        <f>IF(COUNTIF(data1!$D:$D,D5350)=0,"Missing in Data1","Present")</f>
        <v>Present</v>
      </c>
    </row>
    <row r="5351" spans="1:5" x14ac:dyDescent="0.25">
      <c r="A5351" s="2" t="s">
        <v>4484</v>
      </c>
      <c r="B5351" s="2" t="s">
        <v>3152</v>
      </c>
      <c r="C5351" s="2">
        <v>2</v>
      </c>
      <c r="D5351" t="str">
        <f t="shared" si="83"/>
        <v>CA-2017-101483_OFF-AP-10002082</v>
      </c>
      <c r="E5351" t="str">
        <f>IF(COUNTIF(data1!$D:$D,D5351)=0,"Missing in Data1","Present")</f>
        <v>Present</v>
      </c>
    </row>
    <row r="5352" spans="1:5" x14ac:dyDescent="0.25">
      <c r="A5352" s="2" t="s">
        <v>4484</v>
      </c>
      <c r="B5352" s="2" t="s">
        <v>79</v>
      </c>
      <c r="C5352" s="2">
        <v>3</v>
      </c>
      <c r="D5352" t="str">
        <f t="shared" si="83"/>
        <v>CA-2017-101483_OFF-AR-10002833</v>
      </c>
      <c r="E5352" t="str">
        <f>IF(COUNTIF(data1!$D:$D,D5352)=0,"Missing in Data1","Present")</f>
        <v>Present</v>
      </c>
    </row>
    <row r="5353" spans="1:5" x14ac:dyDescent="0.25">
      <c r="A5353" s="2" t="s">
        <v>4484</v>
      </c>
      <c r="B5353" s="2" t="s">
        <v>3626</v>
      </c>
      <c r="C5353" s="2">
        <v>5</v>
      </c>
      <c r="D5353" t="str">
        <f t="shared" si="83"/>
        <v>CA-2017-101483_TEC-PH-10003442</v>
      </c>
      <c r="E5353" t="str">
        <f>IF(COUNTIF(data1!$D:$D,D5353)=0,"Missing in Data1","Present")</f>
        <v>Present</v>
      </c>
    </row>
    <row r="5354" spans="1:5" x14ac:dyDescent="0.25">
      <c r="A5354" s="2" t="s">
        <v>4485</v>
      </c>
      <c r="B5354" s="2" t="s">
        <v>456</v>
      </c>
      <c r="C5354" s="2">
        <v>3</v>
      </c>
      <c r="D5354" t="str">
        <f t="shared" si="83"/>
        <v>CA-2017-101574_FUR-FU-10001706</v>
      </c>
      <c r="E5354" t="str">
        <f>IF(COUNTIF(data1!$D:$D,D5354)=0,"Missing in Data1","Present")</f>
        <v>Present</v>
      </c>
    </row>
    <row r="5355" spans="1:5" x14ac:dyDescent="0.25">
      <c r="A5355" s="2" t="s">
        <v>4486</v>
      </c>
      <c r="B5355" s="2" t="s">
        <v>752</v>
      </c>
      <c r="C5355" s="2">
        <v>5</v>
      </c>
      <c r="D5355" t="str">
        <f t="shared" si="83"/>
        <v>CA-2017-101581_FUR-TA-10002607</v>
      </c>
      <c r="E5355" t="str">
        <f>IF(COUNTIF(data1!$D:$D,D5355)=0,"Missing in Data1","Present")</f>
        <v>Present</v>
      </c>
    </row>
    <row r="5356" spans="1:5" x14ac:dyDescent="0.25">
      <c r="A5356" s="2" t="s">
        <v>4487</v>
      </c>
      <c r="B5356" s="2" t="s">
        <v>1579</v>
      </c>
      <c r="C5356" s="2">
        <v>2</v>
      </c>
      <c r="D5356" t="str">
        <f t="shared" si="83"/>
        <v>CA-2017-101637_OFF-ST-10002352</v>
      </c>
      <c r="E5356" t="str">
        <f>IF(COUNTIF(data1!$D:$D,D5356)=0,"Missing in Data1","Present")</f>
        <v>Present</v>
      </c>
    </row>
    <row r="5357" spans="1:5" x14ac:dyDescent="0.25">
      <c r="A5357" s="2" t="s">
        <v>4488</v>
      </c>
      <c r="B5357" s="2" t="s">
        <v>1628</v>
      </c>
      <c r="C5357" s="2">
        <v>2</v>
      </c>
      <c r="D5357" t="str">
        <f t="shared" si="83"/>
        <v>CA-2017-101665_OFF-AR-10002335</v>
      </c>
      <c r="E5357" t="str">
        <f>IF(COUNTIF(data1!$D:$D,D5357)=0,"Missing in Data1","Present")</f>
        <v>Present</v>
      </c>
    </row>
    <row r="5358" spans="1:5" x14ac:dyDescent="0.25">
      <c r="A5358" s="2" t="s">
        <v>4489</v>
      </c>
      <c r="B5358" s="2" t="s">
        <v>2908</v>
      </c>
      <c r="C5358" s="2">
        <v>3</v>
      </c>
      <c r="D5358" t="str">
        <f t="shared" si="83"/>
        <v>CA-2017-101700_FUR-FU-10001025</v>
      </c>
      <c r="E5358" t="str">
        <f>IF(COUNTIF(data1!$D:$D,D5358)=0,"Missing in Data1","Present")</f>
        <v>Present</v>
      </c>
    </row>
    <row r="5359" spans="1:5" x14ac:dyDescent="0.25">
      <c r="A5359" s="2" t="s">
        <v>4489</v>
      </c>
      <c r="B5359" s="2" t="s">
        <v>860</v>
      </c>
      <c r="C5359" s="2">
        <v>2</v>
      </c>
      <c r="D5359" t="str">
        <f t="shared" si="83"/>
        <v>CA-2017-101700_OFF-EN-10003134</v>
      </c>
      <c r="E5359" t="str">
        <f>IF(COUNTIF(data1!$D:$D,D5359)=0,"Missing in Data1","Present")</f>
        <v>Present</v>
      </c>
    </row>
    <row r="5360" spans="1:5" x14ac:dyDescent="0.25">
      <c r="A5360" s="2" t="s">
        <v>4490</v>
      </c>
      <c r="B5360" s="2" t="s">
        <v>2414</v>
      </c>
      <c r="C5360" s="2">
        <v>2</v>
      </c>
      <c r="D5360" t="str">
        <f t="shared" si="83"/>
        <v>CA-2017-101728_OFF-BI-10002393</v>
      </c>
      <c r="E5360" t="str">
        <f>IF(COUNTIF(data1!$D:$D,D5360)=0,"Missing in Data1","Present")</f>
        <v>Present</v>
      </c>
    </row>
    <row r="5361" spans="1:5" x14ac:dyDescent="0.25">
      <c r="A5361" s="2" t="s">
        <v>4491</v>
      </c>
      <c r="B5361" s="2" t="s">
        <v>2601</v>
      </c>
      <c r="C5361" s="2">
        <v>3</v>
      </c>
      <c r="D5361" t="str">
        <f t="shared" si="83"/>
        <v>CA-2017-101749_FUR-TA-10001520</v>
      </c>
      <c r="E5361" t="str">
        <f>IF(COUNTIF(data1!$D:$D,D5361)=0,"Missing in Data1","Present")</f>
        <v>Present</v>
      </c>
    </row>
    <row r="5362" spans="1:5" x14ac:dyDescent="0.25">
      <c r="A5362" s="2" t="s">
        <v>4492</v>
      </c>
      <c r="B5362" s="2" t="s">
        <v>211</v>
      </c>
      <c r="C5362" s="2">
        <v>4</v>
      </c>
      <c r="D5362" t="str">
        <f t="shared" si="83"/>
        <v>CA-2017-101798_OFF-BI-10000050</v>
      </c>
      <c r="E5362" t="str">
        <f>IF(COUNTIF(data1!$D:$D,D5362)=0,"Missing in Data1","Present")</f>
        <v>Present</v>
      </c>
    </row>
    <row r="5363" spans="1:5" x14ac:dyDescent="0.25">
      <c r="A5363" s="2" t="s">
        <v>4492</v>
      </c>
      <c r="B5363" s="2" t="s">
        <v>2525</v>
      </c>
      <c r="C5363" s="2">
        <v>2</v>
      </c>
      <c r="D5363" t="str">
        <f t="shared" si="83"/>
        <v>CA-2017-101798_TEC-AC-10001998</v>
      </c>
      <c r="E5363" t="str">
        <f>IF(COUNTIF(data1!$D:$D,D5363)=0,"Missing in Data1","Present")</f>
        <v>Present</v>
      </c>
    </row>
    <row r="5364" spans="1:5" x14ac:dyDescent="0.25">
      <c r="A5364" s="2" t="s">
        <v>4493</v>
      </c>
      <c r="B5364" s="2" t="s">
        <v>1324</v>
      </c>
      <c r="C5364" s="2">
        <v>12</v>
      </c>
      <c r="D5364" t="str">
        <f t="shared" si="83"/>
        <v>CA-2017-101805_FUR-FU-10000023</v>
      </c>
      <c r="E5364" t="str">
        <f>IF(COUNTIF(data1!$D:$D,D5364)=0,"Missing in Data1","Present")</f>
        <v>Present</v>
      </c>
    </row>
    <row r="5365" spans="1:5" x14ac:dyDescent="0.25">
      <c r="A5365" s="2" t="s">
        <v>4493</v>
      </c>
      <c r="B5365" s="2" t="s">
        <v>2819</v>
      </c>
      <c r="C5365" s="2">
        <v>5</v>
      </c>
      <c r="D5365" t="str">
        <f t="shared" si="83"/>
        <v>CA-2017-101805_OFF-BI-10002003</v>
      </c>
      <c r="E5365" t="str">
        <f>IF(COUNTIF(data1!$D:$D,D5365)=0,"Missing in Data1","Present")</f>
        <v>Present</v>
      </c>
    </row>
    <row r="5366" spans="1:5" x14ac:dyDescent="0.25">
      <c r="A5366" s="2" t="s">
        <v>4493</v>
      </c>
      <c r="B5366" s="2" t="s">
        <v>2078</v>
      </c>
      <c r="C5366" s="2">
        <v>4</v>
      </c>
      <c r="D5366" t="str">
        <f t="shared" si="83"/>
        <v>CA-2017-101805_OFF-ST-10002756</v>
      </c>
      <c r="E5366" t="str">
        <f>IF(COUNTIF(data1!$D:$D,D5366)=0,"Missing in Data1","Present")</f>
        <v>Present</v>
      </c>
    </row>
    <row r="5367" spans="1:5" x14ac:dyDescent="0.25">
      <c r="A5367" s="2" t="s">
        <v>4494</v>
      </c>
      <c r="B5367" s="2" t="s">
        <v>1662</v>
      </c>
      <c r="C5367" s="2">
        <v>3</v>
      </c>
      <c r="D5367" t="str">
        <f t="shared" si="83"/>
        <v>CA-2017-101945_OFF-FA-10004248</v>
      </c>
      <c r="E5367" t="str">
        <f>IF(COUNTIF(data1!$D:$D,D5367)=0,"Missing in Data1","Present")</f>
        <v>Present</v>
      </c>
    </row>
    <row r="5368" spans="1:5" x14ac:dyDescent="0.25">
      <c r="A5368" s="2" t="s">
        <v>4495</v>
      </c>
      <c r="B5368" s="2" t="s">
        <v>1065</v>
      </c>
      <c r="C5368" s="2">
        <v>2</v>
      </c>
      <c r="D5368" t="str">
        <f t="shared" si="83"/>
        <v>CA-2017-101959_OFF-BI-10001757</v>
      </c>
      <c r="E5368" t="str">
        <f>IF(COUNTIF(data1!$D:$D,D5368)=0,"Missing in Data1","Present")</f>
        <v>Present</v>
      </c>
    </row>
    <row r="5369" spans="1:5" x14ac:dyDescent="0.25">
      <c r="A5369" s="2" t="s">
        <v>4495</v>
      </c>
      <c r="B5369" s="2" t="s">
        <v>1590</v>
      </c>
      <c r="C5369" s="2">
        <v>1</v>
      </c>
      <c r="D5369" t="str">
        <f t="shared" si="83"/>
        <v>CA-2017-101959_OFF-PA-10002137</v>
      </c>
      <c r="E5369" t="str">
        <f>IF(COUNTIF(data1!$D:$D,D5369)=0,"Missing in Data1","Present")</f>
        <v>Present</v>
      </c>
    </row>
    <row r="5370" spans="1:5" x14ac:dyDescent="0.25">
      <c r="A5370" s="2" t="s">
        <v>4496</v>
      </c>
      <c r="B5370" s="2" t="s">
        <v>4063</v>
      </c>
      <c r="C5370" s="2">
        <v>3</v>
      </c>
      <c r="D5370" t="str">
        <f t="shared" si="83"/>
        <v>CA-2017-102099_OFF-AR-10003811</v>
      </c>
      <c r="E5370" t="str">
        <f>IF(COUNTIF(data1!$D:$D,D5370)=0,"Missing in Data1","Present")</f>
        <v>Present</v>
      </c>
    </row>
    <row r="5371" spans="1:5" x14ac:dyDescent="0.25">
      <c r="A5371" s="2" t="s">
        <v>4496</v>
      </c>
      <c r="B5371" s="2" t="s">
        <v>961</v>
      </c>
      <c r="C5371" s="2">
        <v>5</v>
      </c>
      <c r="D5371" t="str">
        <f t="shared" si="83"/>
        <v>CA-2017-102099_OFF-PA-10000289</v>
      </c>
      <c r="E5371" t="str">
        <f>IF(COUNTIF(data1!$D:$D,D5371)=0,"Missing in Data1","Present")</f>
        <v>Present</v>
      </c>
    </row>
    <row r="5372" spans="1:5" x14ac:dyDescent="0.25">
      <c r="A5372" s="2" t="s">
        <v>4497</v>
      </c>
      <c r="B5372" s="2" t="s">
        <v>4498</v>
      </c>
      <c r="C5372" s="2">
        <v>2</v>
      </c>
      <c r="D5372" t="str">
        <f t="shared" si="83"/>
        <v>CA-2017-102155_OFF-PA-10003673</v>
      </c>
      <c r="E5372" t="str">
        <f>IF(COUNTIF(data1!$D:$D,D5372)=0,"Missing in Data1","Present")</f>
        <v>Present</v>
      </c>
    </row>
    <row r="5373" spans="1:5" x14ac:dyDescent="0.25">
      <c r="A5373" s="2" t="s">
        <v>4497</v>
      </c>
      <c r="B5373" s="2" t="s">
        <v>258</v>
      </c>
      <c r="C5373" s="2">
        <v>2</v>
      </c>
      <c r="D5373" t="str">
        <f t="shared" si="83"/>
        <v>CA-2017-102155_OFF-ST-10001496</v>
      </c>
      <c r="E5373" t="str">
        <f>IF(COUNTIF(data1!$D:$D,D5373)=0,"Missing in Data1","Present")</f>
        <v>Present</v>
      </c>
    </row>
    <row r="5374" spans="1:5" x14ac:dyDescent="0.25">
      <c r="A5374" s="2" t="s">
        <v>4499</v>
      </c>
      <c r="B5374" s="2" t="s">
        <v>1815</v>
      </c>
      <c r="C5374" s="2">
        <v>3</v>
      </c>
      <c r="D5374" t="str">
        <f t="shared" si="83"/>
        <v>CA-2017-102197_OFF-BI-10001524</v>
      </c>
      <c r="E5374" t="str">
        <f>IF(COUNTIF(data1!$D:$D,D5374)=0,"Missing in Data1","Present")</f>
        <v>Present</v>
      </c>
    </row>
    <row r="5375" spans="1:5" x14ac:dyDescent="0.25">
      <c r="A5375" s="2" t="s">
        <v>4499</v>
      </c>
      <c r="B5375" s="2" t="s">
        <v>1039</v>
      </c>
      <c r="C5375" s="2">
        <v>5</v>
      </c>
      <c r="D5375" t="str">
        <f t="shared" si="83"/>
        <v>CA-2017-102197_OFF-PA-10001970</v>
      </c>
      <c r="E5375" t="str">
        <f>IF(COUNTIF(data1!$D:$D,D5375)=0,"Missing in Data1","Present")</f>
        <v>Present</v>
      </c>
    </row>
    <row r="5376" spans="1:5" x14ac:dyDescent="0.25">
      <c r="A5376" s="2" t="s">
        <v>4499</v>
      </c>
      <c r="B5376" s="2" t="s">
        <v>2984</v>
      </c>
      <c r="C5376" s="2">
        <v>3</v>
      </c>
      <c r="D5376" t="str">
        <f t="shared" si="83"/>
        <v>CA-2017-102197_OFF-PA-10004156</v>
      </c>
      <c r="E5376" t="str">
        <f>IF(COUNTIF(data1!$D:$D,D5376)=0,"Missing in Data1","Present")</f>
        <v>Present</v>
      </c>
    </row>
    <row r="5377" spans="1:5" x14ac:dyDescent="0.25">
      <c r="A5377" s="2" t="s">
        <v>4500</v>
      </c>
      <c r="B5377" s="2" t="s">
        <v>561</v>
      </c>
      <c r="C5377" s="2">
        <v>5</v>
      </c>
      <c r="D5377" t="str">
        <f t="shared" si="83"/>
        <v>CA-2017-102204_FUR-CH-10002024</v>
      </c>
      <c r="E5377" t="str">
        <f>IF(COUNTIF(data1!$D:$D,D5377)=0,"Missing in Data1","Present")</f>
        <v>Present</v>
      </c>
    </row>
    <row r="5378" spans="1:5" x14ac:dyDescent="0.25">
      <c r="A5378" s="2" t="s">
        <v>4500</v>
      </c>
      <c r="B5378" s="2" t="s">
        <v>1130</v>
      </c>
      <c r="C5378" s="2">
        <v>4</v>
      </c>
      <c r="D5378" t="str">
        <f t="shared" si="83"/>
        <v>CA-2017-102204_FUR-TA-10001889</v>
      </c>
      <c r="E5378" t="str">
        <f>IF(COUNTIF(data1!$D:$D,D5378)=0,"Missing in Data1","Present")</f>
        <v>Present</v>
      </c>
    </row>
    <row r="5379" spans="1:5" x14ac:dyDescent="0.25">
      <c r="A5379" s="2" t="s">
        <v>4500</v>
      </c>
      <c r="B5379" s="2" t="s">
        <v>4501</v>
      </c>
      <c r="C5379" s="2">
        <v>2</v>
      </c>
      <c r="D5379" t="str">
        <f t="shared" ref="D5379:D5442" si="84">A5379&amp;"_"&amp;B5379</f>
        <v>CA-2017-102204_OFF-SU-10001212</v>
      </c>
      <c r="E5379" t="str">
        <f>IF(COUNTIF(data1!$D:$D,D5379)=0,"Missing in Data1","Present")</f>
        <v>Present</v>
      </c>
    </row>
    <row r="5380" spans="1:5" x14ac:dyDescent="0.25">
      <c r="A5380" s="2" t="s">
        <v>4502</v>
      </c>
      <c r="B5380" s="2" t="s">
        <v>77</v>
      </c>
      <c r="C5380" s="2">
        <v>2</v>
      </c>
      <c r="D5380" t="str">
        <f t="shared" si="84"/>
        <v>CA-2017-102218_OFF-LA-10002475</v>
      </c>
      <c r="E5380" t="str">
        <f>IF(COUNTIF(data1!$D:$D,D5380)=0,"Missing in Data1","Present")</f>
        <v>Present</v>
      </c>
    </row>
    <row r="5381" spans="1:5" x14ac:dyDescent="0.25">
      <c r="A5381" s="2" t="s">
        <v>4503</v>
      </c>
      <c r="B5381" s="2" t="s">
        <v>11</v>
      </c>
      <c r="C5381" s="2">
        <v>2</v>
      </c>
      <c r="D5381" t="str">
        <f t="shared" si="84"/>
        <v>CA-2017-102267_OFF-FA-10000611</v>
      </c>
      <c r="E5381" t="str">
        <f>IF(COUNTIF(data1!$D:$D,D5381)=0,"Missing in Data1","Present")</f>
        <v>Present</v>
      </c>
    </row>
    <row r="5382" spans="1:5" x14ac:dyDescent="0.25">
      <c r="A5382" s="2" t="s">
        <v>4504</v>
      </c>
      <c r="B5382" s="2" t="s">
        <v>572</v>
      </c>
      <c r="C5382" s="2">
        <v>2</v>
      </c>
      <c r="D5382" t="str">
        <f t="shared" si="84"/>
        <v>CA-2017-102309_OFF-PA-10002005</v>
      </c>
      <c r="E5382" t="str">
        <f>IF(COUNTIF(data1!$D:$D,D5382)=0,"Missing in Data1","Present")</f>
        <v>Present</v>
      </c>
    </row>
    <row r="5383" spans="1:5" x14ac:dyDescent="0.25">
      <c r="A5383" s="2" t="s">
        <v>4504</v>
      </c>
      <c r="B5383" s="2" t="s">
        <v>4505</v>
      </c>
      <c r="C5383" s="2">
        <v>5</v>
      </c>
      <c r="D5383" t="str">
        <f t="shared" si="84"/>
        <v>CA-2017-102309_TEC-AC-10001114</v>
      </c>
      <c r="E5383" t="str">
        <f>IF(COUNTIF(data1!$D:$D,D5383)=0,"Missing in Data1","Present")</f>
        <v>Present</v>
      </c>
    </row>
    <row r="5384" spans="1:5" x14ac:dyDescent="0.25">
      <c r="A5384" s="2" t="s">
        <v>4506</v>
      </c>
      <c r="B5384" s="2" t="s">
        <v>1333</v>
      </c>
      <c r="C5384" s="2">
        <v>7</v>
      </c>
      <c r="D5384" t="str">
        <f t="shared" si="84"/>
        <v>CA-2017-102337_FUR-CH-10004289</v>
      </c>
      <c r="E5384" t="str">
        <f>IF(COUNTIF(data1!$D:$D,D5384)=0,"Missing in Data1","Present")</f>
        <v>Present</v>
      </c>
    </row>
    <row r="5385" spans="1:5" x14ac:dyDescent="0.25">
      <c r="A5385" s="2" t="s">
        <v>4506</v>
      </c>
      <c r="B5385" s="2" t="s">
        <v>2460</v>
      </c>
      <c r="C5385" s="2">
        <v>4</v>
      </c>
      <c r="D5385" t="str">
        <f t="shared" si="84"/>
        <v>CA-2017-102337_OFF-ST-10004804</v>
      </c>
      <c r="E5385" t="str">
        <f>IF(COUNTIF(data1!$D:$D,D5385)=0,"Missing in Data1","Present")</f>
        <v>Present</v>
      </c>
    </row>
    <row r="5386" spans="1:5" x14ac:dyDescent="0.25">
      <c r="A5386" s="2" t="s">
        <v>4506</v>
      </c>
      <c r="B5386" s="2" t="s">
        <v>2159</v>
      </c>
      <c r="C5386" s="2">
        <v>2</v>
      </c>
      <c r="D5386" t="str">
        <f t="shared" si="84"/>
        <v>CA-2017-102337_TEC-PH-10002564</v>
      </c>
      <c r="E5386" t="str">
        <f>IF(COUNTIF(data1!$D:$D,D5386)=0,"Missing in Data1","Present")</f>
        <v>Present</v>
      </c>
    </row>
    <row r="5387" spans="1:5" x14ac:dyDescent="0.25">
      <c r="A5387" s="2" t="s">
        <v>4507</v>
      </c>
      <c r="B5387" s="2" t="s">
        <v>1540</v>
      </c>
      <c r="C5387" s="2">
        <v>9</v>
      </c>
      <c r="D5387" t="str">
        <f t="shared" si="84"/>
        <v>CA-2017-102379_FUR-CH-10004983</v>
      </c>
      <c r="E5387" t="str">
        <f>IF(COUNTIF(data1!$D:$D,D5387)=0,"Missing in Data1","Present")</f>
        <v>Present</v>
      </c>
    </row>
    <row r="5388" spans="1:5" x14ac:dyDescent="0.25">
      <c r="A5388" s="2" t="s">
        <v>4507</v>
      </c>
      <c r="B5388" s="2" t="s">
        <v>3047</v>
      </c>
      <c r="C5388" s="2">
        <v>5</v>
      </c>
      <c r="D5388" t="str">
        <f t="shared" si="84"/>
        <v>CA-2017-102379_OFF-AR-10004022</v>
      </c>
      <c r="E5388" t="str">
        <f>IF(COUNTIF(data1!$D:$D,D5388)=0,"Missing in Data1","Present")</f>
        <v>Present</v>
      </c>
    </row>
    <row r="5389" spans="1:5" x14ac:dyDescent="0.25">
      <c r="A5389" s="2" t="s">
        <v>4507</v>
      </c>
      <c r="B5389" s="2" t="s">
        <v>3186</v>
      </c>
      <c r="C5389" s="2">
        <v>1</v>
      </c>
      <c r="D5389" t="str">
        <f t="shared" si="84"/>
        <v>CA-2017-102379_TEC-PH-10001448</v>
      </c>
      <c r="E5389" t="str">
        <f>IF(COUNTIF(data1!$D:$D,D5389)=0,"Missing in Data1","Present")</f>
        <v>Present</v>
      </c>
    </row>
    <row r="5390" spans="1:5" x14ac:dyDescent="0.25">
      <c r="A5390" s="2" t="s">
        <v>4508</v>
      </c>
      <c r="B5390" s="2" t="s">
        <v>1427</v>
      </c>
      <c r="C5390" s="2">
        <v>9</v>
      </c>
      <c r="D5390" t="str">
        <f t="shared" si="84"/>
        <v>CA-2017-102407_FUR-TA-10003748</v>
      </c>
      <c r="E5390" t="str">
        <f>IF(COUNTIF(data1!$D:$D,D5390)=0,"Missing in Data1","Present")</f>
        <v>Present</v>
      </c>
    </row>
    <row r="5391" spans="1:5" x14ac:dyDescent="0.25">
      <c r="A5391" s="2" t="s">
        <v>4508</v>
      </c>
      <c r="B5391" s="2" t="s">
        <v>2622</v>
      </c>
      <c r="C5391" s="2">
        <v>1</v>
      </c>
      <c r="D5391" t="str">
        <f t="shared" si="84"/>
        <v>CA-2017-102407_OFF-AP-10001394</v>
      </c>
      <c r="E5391" t="str">
        <f>IF(COUNTIF(data1!$D:$D,D5391)=0,"Missing in Data1","Present")</f>
        <v>Present</v>
      </c>
    </row>
    <row r="5392" spans="1:5" x14ac:dyDescent="0.25">
      <c r="A5392" s="2" t="s">
        <v>4508</v>
      </c>
      <c r="B5392" s="2" t="s">
        <v>701</v>
      </c>
      <c r="C5392" s="2">
        <v>2</v>
      </c>
      <c r="D5392" t="str">
        <f t="shared" si="84"/>
        <v>CA-2017-102407_OFF-AR-10000122</v>
      </c>
      <c r="E5392" t="str">
        <f>IF(COUNTIF(data1!$D:$D,D5392)=0,"Missing in Data1","Present")</f>
        <v>Present</v>
      </c>
    </row>
    <row r="5393" spans="1:5" x14ac:dyDescent="0.25">
      <c r="A5393" s="2" t="s">
        <v>4509</v>
      </c>
      <c r="B5393" s="2" t="s">
        <v>3533</v>
      </c>
      <c r="C5393" s="2">
        <v>2</v>
      </c>
      <c r="D5393" t="str">
        <f t="shared" si="84"/>
        <v>CA-2017-102414_OFF-BI-10004465</v>
      </c>
      <c r="E5393" t="str">
        <f>IF(COUNTIF(data1!$D:$D,D5393)=0,"Missing in Data1","Present")</f>
        <v>Present</v>
      </c>
    </row>
    <row r="5394" spans="1:5" x14ac:dyDescent="0.25">
      <c r="A5394" s="2" t="s">
        <v>4509</v>
      </c>
      <c r="B5394" s="2" t="s">
        <v>4510</v>
      </c>
      <c r="C5394" s="2">
        <v>3</v>
      </c>
      <c r="D5394" t="str">
        <f t="shared" si="84"/>
        <v>CA-2017-102414_OFF-PA-10002333</v>
      </c>
      <c r="E5394" t="str">
        <f>IF(COUNTIF(data1!$D:$D,D5394)=0,"Missing in Data1","Present")</f>
        <v>Present</v>
      </c>
    </row>
    <row r="5395" spans="1:5" x14ac:dyDescent="0.25">
      <c r="A5395" s="2" t="s">
        <v>4509</v>
      </c>
      <c r="B5395" s="2" t="s">
        <v>82</v>
      </c>
      <c r="C5395" s="2">
        <v>1</v>
      </c>
      <c r="D5395" t="str">
        <f t="shared" si="84"/>
        <v>CA-2017-102414_TEC-PH-10002923</v>
      </c>
      <c r="E5395" t="str">
        <f>IF(COUNTIF(data1!$D:$D,D5395)=0,"Missing in Data1","Present")</f>
        <v>Present</v>
      </c>
    </row>
    <row r="5396" spans="1:5" x14ac:dyDescent="0.25">
      <c r="A5396" s="2" t="s">
        <v>4511</v>
      </c>
      <c r="B5396" s="2" t="s">
        <v>118</v>
      </c>
      <c r="C5396" s="2">
        <v>1</v>
      </c>
      <c r="D5396" t="str">
        <f t="shared" si="84"/>
        <v>CA-2017-102519_FUR-FU-10004091</v>
      </c>
      <c r="E5396" t="str">
        <f>IF(COUNTIF(data1!$D:$D,D5396)=0,"Missing in Data1","Present")</f>
        <v>Present</v>
      </c>
    </row>
    <row r="5397" spans="1:5" x14ac:dyDescent="0.25">
      <c r="A5397" s="2" t="s">
        <v>4511</v>
      </c>
      <c r="B5397" s="2" t="s">
        <v>1779</v>
      </c>
      <c r="C5397" s="2">
        <v>9</v>
      </c>
      <c r="D5397" t="str">
        <f t="shared" si="84"/>
        <v>CA-2017-102519_TEC-AC-10001772</v>
      </c>
      <c r="E5397" t="str">
        <f>IF(COUNTIF(data1!$D:$D,D5397)=0,"Missing in Data1","Present")</f>
        <v>Present</v>
      </c>
    </row>
    <row r="5398" spans="1:5" x14ac:dyDescent="0.25">
      <c r="A5398" s="2" t="s">
        <v>4512</v>
      </c>
      <c r="B5398" s="2" t="s">
        <v>899</v>
      </c>
      <c r="C5398" s="2">
        <v>2</v>
      </c>
      <c r="D5398" t="str">
        <f t="shared" si="84"/>
        <v>CA-2017-102554_OFF-AR-10001919</v>
      </c>
      <c r="E5398" t="str">
        <f>IF(COUNTIF(data1!$D:$D,D5398)=0,"Missing in Data1","Present")</f>
        <v>Present</v>
      </c>
    </row>
    <row r="5399" spans="1:5" x14ac:dyDescent="0.25">
      <c r="A5399" s="2" t="s">
        <v>4513</v>
      </c>
      <c r="B5399" s="2" t="s">
        <v>432</v>
      </c>
      <c r="C5399" s="2">
        <v>2</v>
      </c>
      <c r="D5399" t="str">
        <f t="shared" si="84"/>
        <v>CA-2017-102610_OFF-BI-10004364</v>
      </c>
      <c r="E5399" t="str">
        <f>IF(COUNTIF(data1!$D:$D,D5399)=0,"Missing in Data1","Present")</f>
        <v>Present</v>
      </c>
    </row>
    <row r="5400" spans="1:5" x14ac:dyDescent="0.25">
      <c r="A5400" s="2" t="s">
        <v>4513</v>
      </c>
      <c r="B5400" s="2" t="s">
        <v>945</v>
      </c>
      <c r="C5400" s="2">
        <v>2</v>
      </c>
      <c r="D5400" t="str">
        <f t="shared" si="84"/>
        <v>CA-2017-102610_OFF-LA-10002195</v>
      </c>
      <c r="E5400" t="str">
        <f>IF(COUNTIF(data1!$D:$D,D5400)=0,"Missing in Data1","Present")</f>
        <v>Present</v>
      </c>
    </row>
    <row r="5401" spans="1:5" x14ac:dyDescent="0.25">
      <c r="A5401" s="2" t="s">
        <v>4513</v>
      </c>
      <c r="B5401" s="2" t="s">
        <v>1063</v>
      </c>
      <c r="C5401" s="2">
        <v>3</v>
      </c>
      <c r="D5401" t="str">
        <f t="shared" si="84"/>
        <v>CA-2017-102610_TEC-AC-10000303</v>
      </c>
      <c r="E5401" t="str">
        <f>IF(COUNTIF(data1!$D:$D,D5401)=0,"Missing in Data1","Present")</f>
        <v>Present</v>
      </c>
    </row>
    <row r="5402" spans="1:5" x14ac:dyDescent="0.25">
      <c r="A5402" s="2" t="s">
        <v>4513</v>
      </c>
      <c r="B5402" s="2" t="s">
        <v>4514</v>
      </c>
      <c r="C5402" s="2">
        <v>9</v>
      </c>
      <c r="D5402" t="str">
        <f t="shared" si="84"/>
        <v>CA-2017-102610_TEC-PH-10000127</v>
      </c>
      <c r="E5402" t="str">
        <f>IF(COUNTIF(data1!$D:$D,D5402)=0,"Missing in Data1","Present")</f>
        <v>Present</v>
      </c>
    </row>
    <row r="5403" spans="1:5" x14ac:dyDescent="0.25">
      <c r="A5403" s="2" t="s">
        <v>4515</v>
      </c>
      <c r="B5403" s="2" t="s">
        <v>2140</v>
      </c>
      <c r="C5403" s="2">
        <v>5</v>
      </c>
      <c r="D5403" t="str">
        <f t="shared" si="84"/>
        <v>CA-2017-102659_OFF-BI-10000088</v>
      </c>
      <c r="E5403" t="str">
        <f>IF(COUNTIF(data1!$D:$D,D5403)=0,"Missing in Data1","Present")</f>
        <v>Present</v>
      </c>
    </row>
    <row r="5404" spans="1:5" x14ac:dyDescent="0.25">
      <c r="A5404" s="2" t="s">
        <v>4516</v>
      </c>
      <c r="B5404" s="2" t="s">
        <v>1471</v>
      </c>
      <c r="C5404" s="2">
        <v>2</v>
      </c>
      <c r="D5404" t="str">
        <f t="shared" si="84"/>
        <v>CA-2017-102729_OFF-ST-10000464</v>
      </c>
      <c r="E5404" t="str">
        <f>IF(COUNTIF(data1!$D:$D,D5404)=0,"Missing in Data1","Present")</f>
        <v>Present</v>
      </c>
    </row>
    <row r="5405" spans="1:5" x14ac:dyDescent="0.25">
      <c r="A5405" s="2" t="s">
        <v>4517</v>
      </c>
      <c r="B5405" s="2" t="s">
        <v>1080</v>
      </c>
      <c r="C5405" s="2">
        <v>5</v>
      </c>
      <c r="D5405" t="str">
        <f t="shared" si="84"/>
        <v>CA-2017-102736_OFF-AR-10001897</v>
      </c>
      <c r="E5405" t="str">
        <f>IF(COUNTIF(data1!$D:$D,D5405)=0,"Missing in Data1","Present")</f>
        <v>Present</v>
      </c>
    </row>
    <row r="5406" spans="1:5" x14ac:dyDescent="0.25">
      <c r="A5406" s="2" t="s">
        <v>4517</v>
      </c>
      <c r="B5406" s="2" t="s">
        <v>854</v>
      </c>
      <c r="C5406" s="2">
        <v>3</v>
      </c>
      <c r="D5406" t="str">
        <f t="shared" si="84"/>
        <v>CA-2017-102736_OFF-PA-10001800</v>
      </c>
      <c r="E5406" t="str">
        <f>IF(COUNTIF(data1!$D:$D,D5406)=0,"Missing in Data1","Present")</f>
        <v>Present</v>
      </c>
    </row>
    <row r="5407" spans="1:5" x14ac:dyDescent="0.25">
      <c r="A5407" s="2" t="s">
        <v>4517</v>
      </c>
      <c r="B5407" s="2" t="s">
        <v>2609</v>
      </c>
      <c r="C5407" s="2">
        <v>4</v>
      </c>
      <c r="D5407" t="str">
        <f t="shared" si="84"/>
        <v>CA-2017-102736_TEC-AC-10004568</v>
      </c>
      <c r="E5407" t="str">
        <f>IF(COUNTIF(data1!$D:$D,D5407)=0,"Missing in Data1","Present")</f>
        <v>Present</v>
      </c>
    </row>
    <row r="5408" spans="1:5" x14ac:dyDescent="0.25">
      <c r="A5408" s="2" t="s">
        <v>4518</v>
      </c>
      <c r="B5408" s="2" t="s">
        <v>2199</v>
      </c>
      <c r="C5408" s="2">
        <v>3</v>
      </c>
      <c r="D5408" t="str">
        <f t="shared" si="84"/>
        <v>CA-2017-102750_FUR-TA-10000198</v>
      </c>
      <c r="E5408" t="str">
        <f>IF(COUNTIF(data1!$D:$D,D5408)=0,"Missing in Data1","Present")</f>
        <v>Present</v>
      </c>
    </row>
    <row r="5409" spans="1:5" x14ac:dyDescent="0.25">
      <c r="A5409" s="2" t="s">
        <v>4519</v>
      </c>
      <c r="B5409" s="2" t="s">
        <v>1634</v>
      </c>
      <c r="C5409" s="2">
        <v>5</v>
      </c>
      <c r="D5409" t="str">
        <f t="shared" si="84"/>
        <v>CA-2017-102771_TEC-PH-10001536</v>
      </c>
      <c r="E5409" t="str">
        <f>IF(COUNTIF(data1!$D:$D,D5409)=0,"Missing in Data1","Present")</f>
        <v>Present</v>
      </c>
    </row>
    <row r="5410" spans="1:5" x14ac:dyDescent="0.25">
      <c r="A5410" s="2" t="s">
        <v>4520</v>
      </c>
      <c r="B5410" s="2" t="s">
        <v>3212</v>
      </c>
      <c r="C5410" s="2">
        <v>7</v>
      </c>
      <c r="D5410" t="str">
        <f t="shared" si="84"/>
        <v>CA-2017-102820_TEC-PH-10003437</v>
      </c>
      <c r="E5410" t="str">
        <f>IF(COUNTIF(data1!$D:$D,D5410)=0,"Missing in Data1","Present")</f>
        <v>Present</v>
      </c>
    </row>
    <row r="5411" spans="1:5" x14ac:dyDescent="0.25">
      <c r="A5411" s="2" t="s">
        <v>4521</v>
      </c>
      <c r="B5411" s="2" t="s">
        <v>1428</v>
      </c>
      <c r="C5411" s="2">
        <v>2</v>
      </c>
      <c r="D5411" t="str">
        <f t="shared" si="84"/>
        <v>CA-2017-102834_TEC-AC-10001908</v>
      </c>
      <c r="E5411" t="str">
        <f>IF(COUNTIF(data1!$D:$D,D5411)=0,"Missing in Data1","Present")</f>
        <v>Present</v>
      </c>
    </row>
    <row r="5412" spans="1:5" x14ac:dyDescent="0.25">
      <c r="A5412" s="2" t="s">
        <v>4522</v>
      </c>
      <c r="B5412" s="2" t="s">
        <v>1674</v>
      </c>
      <c r="C5412" s="2">
        <v>2</v>
      </c>
      <c r="D5412" t="str">
        <f t="shared" si="84"/>
        <v>CA-2017-102925_FUR-CH-10004875</v>
      </c>
      <c r="E5412" t="str">
        <f>IF(COUNTIF(data1!$D:$D,D5412)=0,"Missing in Data1","Present")</f>
        <v>Present</v>
      </c>
    </row>
    <row r="5413" spans="1:5" x14ac:dyDescent="0.25">
      <c r="A5413" s="2" t="s">
        <v>4522</v>
      </c>
      <c r="B5413" s="2" t="s">
        <v>4523</v>
      </c>
      <c r="C5413" s="2">
        <v>5</v>
      </c>
      <c r="D5413" t="str">
        <f t="shared" si="84"/>
        <v>CA-2017-102925_FUR-FU-10004245</v>
      </c>
      <c r="E5413" t="str">
        <f>IF(COUNTIF(data1!$D:$D,D5413)=0,"Missing in Data1","Present")</f>
        <v>Present</v>
      </c>
    </row>
    <row r="5414" spans="1:5" x14ac:dyDescent="0.25">
      <c r="A5414" s="2" t="s">
        <v>4522</v>
      </c>
      <c r="B5414" s="2" t="s">
        <v>1744</v>
      </c>
      <c r="C5414" s="2">
        <v>2</v>
      </c>
      <c r="D5414" t="str">
        <f t="shared" si="84"/>
        <v>CA-2017-102925_FUR-TA-10003469</v>
      </c>
      <c r="E5414" t="str">
        <f>IF(COUNTIF(data1!$D:$D,D5414)=0,"Missing in Data1","Present")</f>
        <v>Present</v>
      </c>
    </row>
    <row r="5415" spans="1:5" x14ac:dyDescent="0.25">
      <c r="A5415" s="2" t="s">
        <v>4522</v>
      </c>
      <c r="B5415" s="2" t="s">
        <v>965</v>
      </c>
      <c r="C5415" s="2">
        <v>1</v>
      </c>
      <c r="D5415" t="str">
        <f t="shared" si="84"/>
        <v>CA-2017-102925_OFF-BI-10002706</v>
      </c>
      <c r="E5415" t="str">
        <f>IF(COUNTIF(data1!$D:$D,D5415)=0,"Missing in Data1","Present")</f>
        <v>Present</v>
      </c>
    </row>
    <row r="5416" spans="1:5" x14ac:dyDescent="0.25">
      <c r="A5416" s="2" t="s">
        <v>4522</v>
      </c>
      <c r="B5416" s="2" t="s">
        <v>165</v>
      </c>
      <c r="C5416" s="2">
        <v>6</v>
      </c>
      <c r="D5416" t="str">
        <f t="shared" si="84"/>
        <v>CA-2017-102925_OFF-BI-10002735</v>
      </c>
      <c r="E5416" t="str">
        <f>IF(COUNTIF(data1!$D:$D,D5416)=0,"Missing in Data1","Present")</f>
        <v>Present</v>
      </c>
    </row>
    <row r="5417" spans="1:5" x14ac:dyDescent="0.25">
      <c r="A5417" s="2" t="s">
        <v>4522</v>
      </c>
      <c r="B5417" s="2" t="s">
        <v>2631</v>
      </c>
      <c r="C5417" s="2">
        <v>2</v>
      </c>
      <c r="D5417" t="str">
        <f t="shared" si="84"/>
        <v>CA-2017-102925_OFF-PA-10001870</v>
      </c>
      <c r="E5417" t="str">
        <f>IF(COUNTIF(data1!$D:$D,D5417)=0,"Missing in Data1","Present")</f>
        <v>Present</v>
      </c>
    </row>
    <row r="5418" spans="1:5" x14ac:dyDescent="0.25">
      <c r="A5418" s="2" t="s">
        <v>4522</v>
      </c>
      <c r="B5418" s="2" t="s">
        <v>477</v>
      </c>
      <c r="C5418" s="2">
        <v>2</v>
      </c>
      <c r="D5418" t="str">
        <f t="shared" si="84"/>
        <v>CA-2017-102925_OFF-PA-10004071</v>
      </c>
      <c r="E5418" t="str">
        <f>IF(COUNTIF(data1!$D:$D,D5418)=0,"Missing in Data1","Present")</f>
        <v>Present</v>
      </c>
    </row>
    <row r="5419" spans="1:5" x14ac:dyDescent="0.25">
      <c r="A5419" s="2" t="s">
        <v>4522</v>
      </c>
      <c r="B5419" s="2" t="s">
        <v>3186</v>
      </c>
      <c r="C5419" s="2">
        <v>2</v>
      </c>
      <c r="D5419" t="str">
        <f t="shared" si="84"/>
        <v>CA-2017-102925_TEC-PH-10001448</v>
      </c>
      <c r="E5419" t="str">
        <f>IF(COUNTIF(data1!$D:$D,D5419)=0,"Missing in Data1","Present")</f>
        <v>Present</v>
      </c>
    </row>
    <row r="5420" spans="1:5" x14ac:dyDescent="0.25">
      <c r="A5420" s="2" t="s">
        <v>4524</v>
      </c>
      <c r="B5420" s="2" t="s">
        <v>2041</v>
      </c>
      <c r="C5420" s="2">
        <v>3</v>
      </c>
      <c r="D5420" t="str">
        <f t="shared" si="84"/>
        <v>CA-2017-102946_OFF-BI-10004492</v>
      </c>
      <c r="E5420" t="str">
        <f>IF(COUNTIF(data1!$D:$D,D5420)=0,"Missing in Data1","Present")</f>
        <v>Present</v>
      </c>
    </row>
    <row r="5421" spans="1:5" x14ac:dyDescent="0.25">
      <c r="A5421" s="2" t="s">
        <v>4525</v>
      </c>
      <c r="B5421" s="2" t="s">
        <v>2282</v>
      </c>
      <c r="C5421" s="2">
        <v>5</v>
      </c>
      <c r="D5421" t="str">
        <f t="shared" si="84"/>
        <v>CA-2017-102967_OFF-ST-10001590</v>
      </c>
      <c r="E5421" t="str">
        <f>IF(COUNTIF(data1!$D:$D,D5421)=0,"Missing in Data1","Present")</f>
        <v>Present</v>
      </c>
    </row>
    <row r="5422" spans="1:5" x14ac:dyDescent="0.25">
      <c r="A5422" s="2" t="s">
        <v>4526</v>
      </c>
      <c r="B5422" s="2" t="s">
        <v>3945</v>
      </c>
      <c r="C5422" s="2">
        <v>2</v>
      </c>
      <c r="D5422" t="str">
        <f t="shared" si="84"/>
        <v>CA-2017-102974_OFF-AR-10000914</v>
      </c>
      <c r="E5422" t="str">
        <f>IF(COUNTIF(data1!$D:$D,D5422)=0,"Missing in Data1","Present")</f>
        <v>Present</v>
      </c>
    </row>
    <row r="5423" spans="1:5" x14ac:dyDescent="0.25">
      <c r="A5423" s="2" t="s">
        <v>4526</v>
      </c>
      <c r="B5423" s="2" t="s">
        <v>4216</v>
      </c>
      <c r="C5423" s="2">
        <v>5</v>
      </c>
      <c r="D5423" t="str">
        <f t="shared" si="84"/>
        <v>CA-2017-102974_TEC-AC-10000057</v>
      </c>
      <c r="E5423" t="str">
        <f>IF(COUNTIF(data1!$D:$D,D5423)=0,"Missing in Data1","Present")</f>
        <v>Present</v>
      </c>
    </row>
    <row r="5424" spans="1:5" x14ac:dyDescent="0.25">
      <c r="A5424" s="2" t="s">
        <v>4528</v>
      </c>
      <c r="B5424" s="2" t="s">
        <v>3053</v>
      </c>
      <c r="C5424" s="2">
        <v>5</v>
      </c>
      <c r="D5424" t="str">
        <f t="shared" si="84"/>
        <v>CA-2017-103009_OFF-PA-10001215</v>
      </c>
      <c r="E5424" t="str">
        <f>IF(COUNTIF(data1!$D:$D,D5424)=0,"Missing in Data1","Present")</f>
        <v>Present</v>
      </c>
    </row>
    <row r="5425" spans="1:5" x14ac:dyDescent="0.25">
      <c r="A5425" s="2" t="s">
        <v>4529</v>
      </c>
      <c r="B5425" s="2" t="s">
        <v>4530</v>
      </c>
      <c r="C5425" s="2">
        <v>4</v>
      </c>
      <c r="D5425" t="str">
        <f t="shared" si="84"/>
        <v>CA-2017-103065_FUR-FU-10000175</v>
      </c>
      <c r="E5425" t="str">
        <f>IF(COUNTIF(data1!$D:$D,D5425)=0,"Missing in Data1","Present")</f>
        <v>Present</v>
      </c>
    </row>
    <row r="5426" spans="1:5" x14ac:dyDescent="0.25">
      <c r="A5426" s="2" t="s">
        <v>4529</v>
      </c>
      <c r="B5426" s="2" t="s">
        <v>1920</v>
      </c>
      <c r="C5426" s="2">
        <v>2</v>
      </c>
      <c r="D5426" t="str">
        <f t="shared" si="84"/>
        <v>CA-2017-103065_OFF-AR-10003251</v>
      </c>
      <c r="E5426" t="str">
        <f>IF(COUNTIF(data1!$D:$D,D5426)=0,"Missing in Data1","Present")</f>
        <v>Present</v>
      </c>
    </row>
    <row r="5427" spans="1:5" x14ac:dyDescent="0.25">
      <c r="A5427" s="2" t="s">
        <v>4529</v>
      </c>
      <c r="B5427" s="2" t="s">
        <v>2655</v>
      </c>
      <c r="C5427" s="2">
        <v>1</v>
      </c>
      <c r="D5427" t="str">
        <f t="shared" si="84"/>
        <v>CA-2017-103065_OFF-PA-10000380</v>
      </c>
      <c r="E5427" t="str">
        <f>IF(COUNTIF(data1!$D:$D,D5427)=0,"Missing in Data1","Present")</f>
        <v>Present</v>
      </c>
    </row>
    <row r="5428" spans="1:5" x14ac:dyDescent="0.25">
      <c r="A5428" s="2" t="s">
        <v>4529</v>
      </c>
      <c r="B5428" s="2" t="s">
        <v>462</v>
      </c>
      <c r="C5428" s="2">
        <v>2</v>
      </c>
      <c r="D5428" t="str">
        <f t="shared" si="84"/>
        <v>CA-2017-103065_OFF-ST-10000617</v>
      </c>
      <c r="E5428" t="str">
        <f>IF(COUNTIF(data1!$D:$D,D5428)=0,"Missing in Data1","Present")</f>
        <v>Present</v>
      </c>
    </row>
    <row r="5429" spans="1:5" x14ac:dyDescent="0.25">
      <c r="A5429" s="2" t="s">
        <v>4531</v>
      </c>
      <c r="B5429" s="2" t="s">
        <v>331</v>
      </c>
      <c r="C5429" s="2">
        <v>9</v>
      </c>
      <c r="D5429" t="str">
        <f t="shared" si="84"/>
        <v>CA-2017-103156_FUR-FU-10000320</v>
      </c>
      <c r="E5429" t="str">
        <f>IF(COUNTIF(data1!$D:$D,D5429)=0,"Missing in Data1","Present")</f>
        <v>Present</v>
      </c>
    </row>
    <row r="5430" spans="1:5" x14ac:dyDescent="0.25">
      <c r="A5430" s="2" t="s">
        <v>4532</v>
      </c>
      <c r="B5430" s="2" t="s">
        <v>870</v>
      </c>
      <c r="C5430" s="2">
        <v>3</v>
      </c>
      <c r="D5430" t="str">
        <f t="shared" si="84"/>
        <v>CA-2017-103212_OFF-LA-10000248</v>
      </c>
      <c r="E5430" t="str">
        <f>IF(COUNTIF(data1!$D:$D,D5430)=0,"Missing in Data1","Present")</f>
        <v>Present</v>
      </c>
    </row>
    <row r="5431" spans="1:5" x14ac:dyDescent="0.25">
      <c r="A5431" s="2" t="s">
        <v>4532</v>
      </c>
      <c r="B5431" s="2" t="s">
        <v>2301</v>
      </c>
      <c r="C5431" s="2">
        <v>4</v>
      </c>
      <c r="D5431" t="str">
        <f t="shared" si="84"/>
        <v>CA-2017-103212_OFF-PA-10004355</v>
      </c>
      <c r="E5431" t="str">
        <f>IF(COUNTIF(data1!$D:$D,D5431)=0,"Missing in Data1","Present")</f>
        <v>Present</v>
      </c>
    </row>
    <row r="5432" spans="1:5" x14ac:dyDescent="0.25">
      <c r="A5432" s="2" t="s">
        <v>4533</v>
      </c>
      <c r="B5432" s="2" t="s">
        <v>1669</v>
      </c>
      <c r="C5432" s="2">
        <v>3</v>
      </c>
      <c r="D5432" t="str">
        <f t="shared" si="84"/>
        <v>CA-2017-103352_OFF-AR-10001573</v>
      </c>
      <c r="E5432" t="str">
        <f>IF(COUNTIF(data1!$D:$D,D5432)=0,"Missing in Data1","Present")</f>
        <v>Present</v>
      </c>
    </row>
    <row r="5433" spans="1:5" x14ac:dyDescent="0.25">
      <c r="A5433" s="2" t="s">
        <v>4533</v>
      </c>
      <c r="B5433" s="2" t="s">
        <v>171</v>
      </c>
      <c r="C5433" s="2">
        <v>6</v>
      </c>
      <c r="D5433" t="str">
        <f t="shared" si="84"/>
        <v>CA-2017-103352_OFF-BI-10001196</v>
      </c>
      <c r="E5433" t="str">
        <f>IF(COUNTIF(data1!$D:$D,D5433)=0,"Missing in Data1","Present")</f>
        <v>Present</v>
      </c>
    </row>
    <row r="5434" spans="1:5" x14ac:dyDescent="0.25">
      <c r="A5434" s="2" t="s">
        <v>4534</v>
      </c>
      <c r="B5434" s="2" t="s">
        <v>1310</v>
      </c>
      <c r="C5434" s="2">
        <v>1</v>
      </c>
      <c r="D5434" t="str">
        <f t="shared" si="84"/>
        <v>CA-2017-103380_OFF-AP-10001492</v>
      </c>
      <c r="E5434" t="str">
        <f>IF(COUNTIF(data1!$D:$D,D5434)=0,"Missing in Data1","Present")</f>
        <v>Present</v>
      </c>
    </row>
    <row r="5435" spans="1:5" x14ac:dyDescent="0.25">
      <c r="A5435" s="2" t="s">
        <v>4534</v>
      </c>
      <c r="B5435" s="2" t="s">
        <v>2785</v>
      </c>
      <c r="C5435" s="2">
        <v>2</v>
      </c>
      <c r="D5435" t="str">
        <f t="shared" si="84"/>
        <v>CA-2017-103380_OFF-AR-10003856</v>
      </c>
      <c r="E5435" t="str">
        <f>IF(COUNTIF(data1!$D:$D,D5435)=0,"Missing in Data1","Present")</f>
        <v>Present</v>
      </c>
    </row>
    <row r="5436" spans="1:5" x14ac:dyDescent="0.25">
      <c r="A5436" s="2" t="s">
        <v>4534</v>
      </c>
      <c r="B5436" s="2" t="s">
        <v>1662</v>
      </c>
      <c r="C5436" s="2">
        <v>2</v>
      </c>
      <c r="D5436" t="str">
        <f t="shared" si="84"/>
        <v>CA-2017-103380_OFF-FA-10004248</v>
      </c>
      <c r="E5436" t="str">
        <f>IF(COUNTIF(data1!$D:$D,D5436)=0,"Missing in Data1","Present")</f>
        <v>Present</v>
      </c>
    </row>
    <row r="5437" spans="1:5" x14ac:dyDescent="0.25">
      <c r="A5437" s="2" t="s">
        <v>4534</v>
      </c>
      <c r="B5437" s="2" t="s">
        <v>71</v>
      </c>
      <c r="C5437" s="2">
        <v>2</v>
      </c>
      <c r="D5437" t="str">
        <f t="shared" si="84"/>
        <v>CA-2017-103380_OFF-ST-10003442</v>
      </c>
      <c r="E5437" t="str">
        <f>IF(COUNTIF(data1!$D:$D,D5437)=0,"Missing in Data1","Present")</f>
        <v>Present</v>
      </c>
    </row>
    <row r="5438" spans="1:5" x14ac:dyDescent="0.25">
      <c r="A5438" s="2" t="s">
        <v>4534</v>
      </c>
      <c r="B5438" s="2" t="s">
        <v>2074</v>
      </c>
      <c r="C5438" s="2">
        <v>3</v>
      </c>
      <c r="D5438" t="str">
        <f t="shared" si="84"/>
        <v>CA-2017-103380_TEC-PH-10004165</v>
      </c>
      <c r="E5438" t="str">
        <f>IF(COUNTIF(data1!$D:$D,D5438)=0,"Missing in Data1","Present")</f>
        <v>Present</v>
      </c>
    </row>
    <row r="5439" spans="1:5" x14ac:dyDescent="0.25">
      <c r="A5439" s="2" t="s">
        <v>4535</v>
      </c>
      <c r="B5439" s="2" t="s">
        <v>2590</v>
      </c>
      <c r="C5439" s="2">
        <v>2</v>
      </c>
      <c r="D5439" t="str">
        <f t="shared" si="84"/>
        <v>CA-2017-103415_FUR-FU-10000820</v>
      </c>
      <c r="E5439" t="str">
        <f>IF(COUNTIF(data1!$D:$D,D5439)=0,"Missing in Data1","Present")</f>
        <v>Present</v>
      </c>
    </row>
    <row r="5440" spans="1:5" x14ac:dyDescent="0.25">
      <c r="A5440" s="2" t="s">
        <v>4536</v>
      </c>
      <c r="B5440" s="2" t="s">
        <v>1698</v>
      </c>
      <c r="C5440" s="2">
        <v>2</v>
      </c>
      <c r="D5440" t="str">
        <f t="shared" si="84"/>
        <v>CA-2017-103443_FUR-FU-10000308</v>
      </c>
      <c r="E5440" t="str">
        <f>IF(COUNTIF(data1!$D:$D,D5440)=0,"Missing in Data1","Present")</f>
        <v>Present</v>
      </c>
    </row>
    <row r="5441" spans="1:5" x14ac:dyDescent="0.25">
      <c r="A5441" s="2" t="s">
        <v>4536</v>
      </c>
      <c r="B5441" s="2" t="s">
        <v>509</v>
      </c>
      <c r="C5441" s="2">
        <v>3</v>
      </c>
      <c r="D5441" t="str">
        <f t="shared" si="84"/>
        <v>CA-2017-103443_OFF-BI-10001617</v>
      </c>
      <c r="E5441" t="str">
        <f>IF(COUNTIF(data1!$D:$D,D5441)=0,"Missing in Data1","Present")</f>
        <v>Present</v>
      </c>
    </row>
    <row r="5442" spans="1:5" x14ac:dyDescent="0.25">
      <c r="A5442" s="2" t="s">
        <v>4536</v>
      </c>
      <c r="B5442" s="2" t="s">
        <v>1002</v>
      </c>
      <c r="C5442" s="2">
        <v>2</v>
      </c>
      <c r="D5442" t="str">
        <f t="shared" si="84"/>
        <v>CA-2017-103443_OFF-ST-10002276</v>
      </c>
      <c r="E5442" t="str">
        <f>IF(COUNTIF(data1!$D:$D,D5442)=0,"Missing in Data1","Present")</f>
        <v>Present</v>
      </c>
    </row>
    <row r="5443" spans="1:5" x14ac:dyDescent="0.25">
      <c r="A5443" s="2" t="s">
        <v>4537</v>
      </c>
      <c r="B5443" s="2" t="s">
        <v>1605</v>
      </c>
      <c r="C5443" s="2">
        <v>4</v>
      </c>
      <c r="D5443" t="str">
        <f t="shared" ref="D5443:D5506" si="85">A5443&amp;"_"&amp;B5443</f>
        <v>CA-2017-103478_OFF-BI-10001890</v>
      </c>
      <c r="E5443" t="str">
        <f>IF(COUNTIF(data1!$D:$D,D5443)=0,"Missing in Data1","Present")</f>
        <v>Present</v>
      </c>
    </row>
    <row r="5444" spans="1:5" x14ac:dyDescent="0.25">
      <c r="A5444" s="2" t="s">
        <v>4537</v>
      </c>
      <c r="B5444" s="2" t="s">
        <v>2608</v>
      </c>
      <c r="C5444" s="2">
        <v>7</v>
      </c>
      <c r="D5444" t="str">
        <f t="shared" si="85"/>
        <v>CA-2017-103478_OFF-BI-10004224</v>
      </c>
      <c r="E5444" t="str">
        <f>IF(COUNTIF(data1!$D:$D,D5444)=0,"Missing in Data1","Present")</f>
        <v>Present</v>
      </c>
    </row>
    <row r="5445" spans="1:5" x14ac:dyDescent="0.25">
      <c r="A5445" s="2" t="s">
        <v>4538</v>
      </c>
      <c r="B5445" s="2" t="s">
        <v>1375</v>
      </c>
      <c r="C5445" s="2">
        <v>2</v>
      </c>
      <c r="D5445" t="str">
        <f t="shared" si="85"/>
        <v>CA-2017-103499_FUR-CH-10001482</v>
      </c>
      <c r="E5445" t="str">
        <f>IF(COUNTIF(data1!$D:$D,D5445)=0,"Missing in Data1","Present")</f>
        <v>Present</v>
      </c>
    </row>
    <row r="5446" spans="1:5" x14ac:dyDescent="0.25">
      <c r="A5446" s="2" t="s">
        <v>4539</v>
      </c>
      <c r="B5446" s="2" t="s">
        <v>775</v>
      </c>
      <c r="C5446" s="2">
        <v>4</v>
      </c>
      <c r="D5446" t="str">
        <f t="shared" si="85"/>
        <v>CA-2017-103506_OFF-LA-10001158</v>
      </c>
      <c r="E5446" t="str">
        <f>IF(COUNTIF(data1!$D:$D,D5446)=0,"Missing in Data1","Present")</f>
        <v>Present</v>
      </c>
    </row>
    <row r="5447" spans="1:5" x14ac:dyDescent="0.25">
      <c r="A5447" s="2" t="s">
        <v>4540</v>
      </c>
      <c r="B5447" s="2" t="s">
        <v>2752</v>
      </c>
      <c r="C5447" s="2">
        <v>2</v>
      </c>
      <c r="D5447" t="str">
        <f t="shared" si="85"/>
        <v>CA-2017-103520_OFF-PA-10001846</v>
      </c>
      <c r="E5447" t="str">
        <f>IF(COUNTIF(data1!$D:$D,D5447)=0,"Missing in Data1","Present")</f>
        <v>Present</v>
      </c>
    </row>
    <row r="5448" spans="1:5" x14ac:dyDescent="0.25">
      <c r="A5448" s="2" t="s">
        <v>4541</v>
      </c>
      <c r="B5448" s="2" t="s">
        <v>461</v>
      </c>
      <c r="C5448" s="2">
        <v>2</v>
      </c>
      <c r="D5448" t="str">
        <f t="shared" si="85"/>
        <v>CA-2017-103611_FUR-FU-10004270</v>
      </c>
      <c r="E5448" t="str">
        <f>IF(COUNTIF(data1!$D:$D,D5448)=0,"Missing in Data1","Present")</f>
        <v>Present</v>
      </c>
    </row>
    <row r="5449" spans="1:5" x14ac:dyDescent="0.25">
      <c r="A5449" s="2" t="s">
        <v>4542</v>
      </c>
      <c r="B5449" s="2" t="s">
        <v>1787</v>
      </c>
      <c r="C5449" s="2">
        <v>1</v>
      </c>
      <c r="D5449" t="str">
        <f t="shared" si="85"/>
        <v>CA-2017-103765_OFF-AP-10002311</v>
      </c>
      <c r="E5449" t="str">
        <f>IF(COUNTIF(data1!$D:$D,D5449)=0,"Missing in Data1","Present")</f>
        <v>Present</v>
      </c>
    </row>
    <row r="5450" spans="1:5" x14ac:dyDescent="0.25">
      <c r="A5450" s="2" t="s">
        <v>4543</v>
      </c>
      <c r="B5450" s="2" t="s">
        <v>1382</v>
      </c>
      <c r="C5450" s="2">
        <v>3</v>
      </c>
      <c r="D5450" t="str">
        <f t="shared" si="85"/>
        <v>CA-2017-103877_OFF-BI-10003650</v>
      </c>
      <c r="E5450" t="str">
        <f>IF(COUNTIF(data1!$D:$D,D5450)=0,"Missing in Data1","Present")</f>
        <v>Present</v>
      </c>
    </row>
    <row r="5451" spans="1:5" x14ac:dyDescent="0.25">
      <c r="A5451" s="2" t="s">
        <v>4544</v>
      </c>
      <c r="B5451" s="2" t="s">
        <v>2009</v>
      </c>
      <c r="C5451" s="2">
        <v>9</v>
      </c>
      <c r="D5451" t="str">
        <f t="shared" si="85"/>
        <v>CA-2017-103968_FUR-FU-10003394</v>
      </c>
      <c r="E5451" t="str">
        <f>IF(COUNTIF(data1!$D:$D,D5451)=0,"Missing in Data1","Present")</f>
        <v>Present</v>
      </c>
    </row>
    <row r="5452" spans="1:5" x14ac:dyDescent="0.25">
      <c r="A5452" s="2" t="s">
        <v>4545</v>
      </c>
      <c r="B5452" s="2" t="s">
        <v>1983</v>
      </c>
      <c r="C5452" s="2">
        <v>2</v>
      </c>
      <c r="D5452" t="str">
        <f t="shared" si="85"/>
        <v>CA-2017-104003_FUR-BO-10003965</v>
      </c>
      <c r="E5452" t="str">
        <f>IF(COUNTIF(data1!$D:$D,D5452)=0,"Missing in Data1","Present")</f>
        <v>Present</v>
      </c>
    </row>
    <row r="5453" spans="1:5" x14ac:dyDescent="0.25">
      <c r="A5453" s="2" t="s">
        <v>4546</v>
      </c>
      <c r="B5453" s="2" t="s">
        <v>1875</v>
      </c>
      <c r="C5453" s="2">
        <v>5</v>
      </c>
      <c r="D5453" t="str">
        <f t="shared" si="85"/>
        <v>CA-2017-104010_OFF-SU-10001218</v>
      </c>
      <c r="E5453" t="str">
        <f>IF(COUNTIF(data1!$D:$D,D5453)=0,"Missing in Data1","Present")</f>
        <v>Present</v>
      </c>
    </row>
    <row r="5454" spans="1:5" x14ac:dyDescent="0.25">
      <c r="A5454" s="2" t="s">
        <v>4547</v>
      </c>
      <c r="B5454" s="2" t="s">
        <v>2640</v>
      </c>
      <c r="C5454" s="2">
        <v>7</v>
      </c>
      <c r="D5454" t="str">
        <f t="shared" si="85"/>
        <v>CA-2017-104024_OFF-AR-10001972</v>
      </c>
      <c r="E5454" t="str">
        <f>IF(COUNTIF(data1!$D:$D,D5454)=0,"Missing in Data1","Present")</f>
        <v>Present</v>
      </c>
    </row>
    <row r="5455" spans="1:5" x14ac:dyDescent="0.25">
      <c r="A5455" s="2" t="s">
        <v>4548</v>
      </c>
      <c r="B5455" s="2" t="s">
        <v>1171</v>
      </c>
      <c r="C5455" s="2">
        <v>7</v>
      </c>
      <c r="D5455" t="str">
        <f t="shared" si="85"/>
        <v>CA-2017-104066_TEC-AC-10001013</v>
      </c>
      <c r="E5455" t="str">
        <f>IF(COUNTIF(data1!$D:$D,D5455)=0,"Missing in Data1","Present")</f>
        <v>Present</v>
      </c>
    </row>
    <row r="5456" spans="1:5" x14ac:dyDescent="0.25">
      <c r="A5456" s="2" t="s">
        <v>4549</v>
      </c>
      <c r="B5456" s="2" t="s">
        <v>2640</v>
      </c>
      <c r="C5456" s="2">
        <v>2</v>
      </c>
      <c r="D5456" t="str">
        <f t="shared" si="85"/>
        <v>CA-2017-104080_OFF-AR-10001972</v>
      </c>
      <c r="E5456" t="str">
        <f>IF(COUNTIF(data1!$D:$D,D5456)=0,"Missing in Data1","Present")</f>
        <v>Present</v>
      </c>
    </row>
    <row r="5457" spans="1:5" x14ac:dyDescent="0.25">
      <c r="A5457" s="2" t="s">
        <v>4549</v>
      </c>
      <c r="B5457" s="2" t="s">
        <v>303</v>
      </c>
      <c r="C5457" s="2">
        <v>5</v>
      </c>
      <c r="D5457" t="str">
        <f t="shared" si="85"/>
        <v>CA-2017-104080_OFF-BI-10003876</v>
      </c>
      <c r="E5457" t="str">
        <f>IF(COUNTIF(data1!$D:$D,D5457)=0,"Missing in Data1","Present")</f>
        <v>Present</v>
      </c>
    </row>
    <row r="5458" spans="1:5" x14ac:dyDescent="0.25">
      <c r="A5458" s="2" t="s">
        <v>4550</v>
      </c>
      <c r="B5458" s="2" t="s">
        <v>2616</v>
      </c>
      <c r="C5458" s="2">
        <v>5</v>
      </c>
      <c r="D5458" t="str">
        <f t="shared" si="85"/>
        <v>CA-2017-104108_OFF-AR-10000817</v>
      </c>
      <c r="E5458" t="str">
        <f>IF(COUNTIF(data1!$D:$D,D5458)=0,"Missing in Data1","Present")</f>
        <v>Present</v>
      </c>
    </row>
    <row r="5459" spans="1:5" x14ac:dyDescent="0.25">
      <c r="A5459" s="2" t="s">
        <v>4551</v>
      </c>
      <c r="B5459" s="2" t="s">
        <v>1435</v>
      </c>
      <c r="C5459" s="2">
        <v>1</v>
      </c>
      <c r="D5459" t="str">
        <f t="shared" si="85"/>
        <v>CA-2017-104136_OFF-PA-10001033</v>
      </c>
      <c r="E5459" t="str">
        <f>IF(COUNTIF(data1!$D:$D,D5459)=0,"Missing in Data1","Present")</f>
        <v>Present</v>
      </c>
    </row>
    <row r="5460" spans="1:5" x14ac:dyDescent="0.25">
      <c r="A5460" s="2" t="s">
        <v>4551</v>
      </c>
      <c r="B5460" s="2" t="s">
        <v>3954</v>
      </c>
      <c r="C5460" s="2">
        <v>10</v>
      </c>
      <c r="D5460" t="str">
        <f t="shared" si="85"/>
        <v>CA-2017-104136_OFF-PA-10004243</v>
      </c>
      <c r="E5460" t="str">
        <f>IF(COUNTIF(data1!$D:$D,D5460)=0,"Missing in Data1","Present")</f>
        <v>Present</v>
      </c>
    </row>
    <row r="5461" spans="1:5" x14ac:dyDescent="0.25">
      <c r="A5461" s="2" t="s">
        <v>4552</v>
      </c>
      <c r="B5461" s="2" t="s">
        <v>3622</v>
      </c>
      <c r="C5461" s="2">
        <v>7</v>
      </c>
      <c r="D5461" t="str">
        <f t="shared" si="85"/>
        <v>CA-2017-104220_FUR-FU-10002597</v>
      </c>
      <c r="E5461" t="str">
        <f>IF(COUNTIF(data1!$D:$D,D5461)=0,"Missing in Data1","Present")</f>
        <v>Present</v>
      </c>
    </row>
    <row r="5462" spans="1:5" x14ac:dyDescent="0.25">
      <c r="A5462" s="2" t="s">
        <v>4552</v>
      </c>
      <c r="B5462" s="2" t="s">
        <v>1853</v>
      </c>
      <c r="C5462" s="2">
        <v>2</v>
      </c>
      <c r="D5462" t="str">
        <f t="shared" si="85"/>
        <v>CA-2017-104220_OFF-AR-10004648</v>
      </c>
      <c r="E5462" t="str">
        <f>IF(COUNTIF(data1!$D:$D,D5462)=0,"Missing in Data1","Present")</f>
        <v>Present</v>
      </c>
    </row>
    <row r="5463" spans="1:5" x14ac:dyDescent="0.25">
      <c r="A5463" s="2" t="s">
        <v>4552</v>
      </c>
      <c r="B5463" s="2" t="s">
        <v>3260</v>
      </c>
      <c r="C5463" s="2">
        <v>5</v>
      </c>
      <c r="D5463" t="str">
        <f t="shared" si="85"/>
        <v>CA-2017-104220_OFF-BI-10000301</v>
      </c>
      <c r="E5463" t="str">
        <f>IF(COUNTIF(data1!$D:$D,D5463)=0,"Missing in Data1","Present")</f>
        <v>Present</v>
      </c>
    </row>
    <row r="5464" spans="1:5" x14ac:dyDescent="0.25">
      <c r="A5464" s="2" t="s">
        <v>4552</v>
      </c>
      <c r="B5464" s="2" t="s">
        <v>811</v>
      </c>
      <c r="C5464" s="2">
        <v>2</v>
      </c>
      <c r="D5464" t="str">
        <f t="shared" si="85"/>
        <v>CA-2017-104220_OFF-BI-10001036</v>
      </c>
      <c r="E5464" t="str">
        <f>IF(COUNTIF(data1!$D:$D,D5464)=0,"Missing in Data1","Present")</f>
        <v>Missing in Data1</v>
      </c>
    </row>
    <row r="5465" spans="1:5" x14ac:dyDescent="0.25">
      <c r="A5465" s="2" t="s">
        <v>4552</v>
      </c>
      <c r="B5465" s="2" t="s">
        <v>546</v>
      </c>
      <c r="C5465" s="2">
        <v>1</v>
      </c>
      <c r="D5465" t="str">
        <f t="shared" si="85"/>
        <v>CA-2017-104220_OFF-BI-10003910</v>
      </c>
      <c r="E5465" t="str">
        <f>IF(COUNTIF(data1!$D:$D,D5465)=0,"Missing in Data1","Present")</f>
        <v>Present</v>
      </c>
    </row>
    <row r="5466" spans="1:5" x14ac:dyDescent="0.25">
      <c r="A5466" s="2" t="s">
        <v>4552</v>
      </c>
      <c r="B5466" s="2" t="s">
        <v>541</v>
      </c>
      <c r="C5466" s="2">
        <v>3</v>
      </c>
      <c r="D5466" t="str">
        <f t="shared" si="85"/>
        <v>CA-2017-104220_TEC-PH-10004614</v>
      </c>
      <c r="E5466" t="str">
        <f>IF(COUNTIF(data1!$D:$D,D5466)=0,"Missing in Data1","Present")</f>
        <v>Present</v>
      </c>
    </row>
    <row r="5467" spans="1:5" x14ac:dyDescent="0.25">
      <c r="A5467" s="2" t="s">
        <v>4553</v>
      </c>
      <c r="B5467" s="2" t="s">
        <v>796</v>
      </c>
      <c r="C5467" s="2">
        <v>2</v>
      </c>
      <c r="D5467" t="str">
        <f t="shared" si="85"/>
        <v>CA-2017-104318_OFF-AP-10000358</v>
      </c>
      <c r="E5467" t="str">
        <f>IF(COUNTIF(data1!$D:$D,D5467)=0,"Missing in Data1","Present")</f>
        <v>Present</v>
      </c>
    </row>
    <row r="5468" spans="1:5" x14ac:dyDescent="0.25">
      <c r="A5468" s="2" t="s">
        <v>4554</v>
      </c>
      <c r="B5468" s="2" t="s">
        <v>626</v>
      </c>
      <c r="C5468" s="2">
        <v>4</v>
      </c>
      <c r="D5468" t="str">
        <f t="shared" si="85"/>
        <v>CA-2017-104381_OFF-BI-10001628</v>
      </c>
      <c r="E5468" t="str">
        <f>IF(COUNTIF(data1!$D:$D,D5468)=0,"Missing in Data1","Present")</f>
        <v>Present</v>
      </c>
    </row>
    <row r="5469" spans="1:5" x14ac:dyDescent="0.25">
      <c r="A5469" s="2" t="s">
        <v>4555</v>
      </c>
      <c r="B5469" s="2" t="s">
        <v>3106</v>
      </c>
      <c r="C5469" s="2">
        <v>4</v>
      </c>
      <c r="D5469" t="str">
        <f t="shared" si="85"/>
        <v>CA-2017-104388_TEC-PH-10002293</v>
      </c>
      <c r="E5469" t="str">
        <f>IF(COUNTIF(data1!$D:$D,D5469)=0,"Missing in Data1","Present")</f>
        <v>Present</v>
      </c>
    </row>
    <row r="5470" spans="1:5" x14ac:dyDescent="0.25">
      <c r="A5470" s="2" t="s">
        <v>4556</v>
      </c>
      <c r="B5470" s="2" t="s">
        <v>622</v>
      </c>
      <c r="C5470" s="2">
        <v>5</v>
      </c>
      <c r="D5470" t="str">
        <f t="shared" si="85"/>
        <v>CA-2017-104577_OFF-PA-10000659</v>
      </c>
      <c r="E5470" t="str">
        <f>IF(COUNTIF(data1!$D:$D,D5470)=0,"Missing in Data1","Present")</f>
        <v>Present</v>
      </c>
    </row>
    <row r="5471" spans="1:5" x14ac:dyDescent="0.25">
      <c r="A5471" s="2" t="s">
        <v>4557</v>
      </c>
      <c r="B5471" s="2" t="s">
        <v>1310</v>
      </c>
      <c r="C5471" s="2">
        <v>3</v>
      </c>
      <c r="D5471" t="str">
        <f t="shared" si="85"/>
        <v>CA-2017-104619_OFF-AP-10001492</v>
      </c>
      <c r="E5471" t="str">
        <f>IF(COUNTIF(data1!$D:$D,D5471)=0,"Missing in Data1","Present")</f>
        <v>Present</v>
      </c>
    </row>
    <row r="5472" spans="1:5" x14ac:dyDescent="0.25">
      <c r="A5472" s="2" t="s">
        <v>4557</v>
      </c>
      <c r="B5472" s="2" t="s">
        <v>3214</v>
      </c>
      <c r="C5472" s="2">
        <v>2</v>
      </c>
      <c r="D5472" t="str">
        <f t="shared" si="85"/>
        <v>CA-2017-104619_OFF-BI-10004318</v>
      </c>
      <c r="E5472" t="str">
        <f>IF(COUNTIF(data1!$D:$D,D5472)=0,"Missing in Data1","Present")</f>
        <v>Present</v>
      </c>
    </row>
    <row r="5473" spans="1:5" x14ac:dyDescent="0.25">
      <c r="A5473" s="2" t="s">
        <v>4557</v>
      </c>
      <c r="B5473" s="2" t="s">
        <v>2225</v>
      </c>
      <c r="C5473" s="2">
        <v>3</v>
      </c>
      <c r="D5473" t="str">
        <f t="shared" si="85"/>
        <v>CA-2017-104619_TEC-PH-10000193</v>
      </c>
      <c r="E5473" t="str">
        <f>IF(COUNTIF(data1!$D:$D,D5473)=0,"Missing in Data1","Present")</f>
        <v>Present</v>
      </c>
    </row>
    <row r="5474" spans="1:5" x14ac:dyDescent="0.25">
      <c r="A5474" s="2" t="s">
        <v>4558</v>
      </c>
      <c r="B5474" s="2" t="s">
        <v>2715</v>
      </c>
      <c r="C5474" s="2">
        <v>2</v>
      </c>
      <c r="D5474" t="str">
        <f t="shared" si="85"/>
        <v>CA-2017-104640_TEC-PH-10002200</v>
      </c>
      <c r="E5474" t="str">
        <f>IF(COUNTIF(data1!$D:$D,D5474)=0,"Missing in Data1","Present")</f>
        <v>Present</v>
      </c>
    </row>
    <row r="5475" spans="1:5" x14ac:dyDescent="0.25">
      <c r="A5475" s="2" t="s">
        <v>4559</v>
      </c>
      <c r="B5475" s="2" t="s">
        <v>3976</v>
      </c>
      <c r="C5475" s="2">
        <v>6</v>
      </c>
      <c r="D5475" t="str">
        <f t="shared" si="85"/>
        <v>CA-2017-104647_OFF-PA-10002870</v>
      </c>
      <c r="E5475" t="str">
        <f>IF(COUNTIF(data1!$D:$D,D5475)=0,"Missing in Data1","Present")</f>
        <v>Present</v>
      </c>
    </row>
    <row r="5476" spans="1:5" x14ac:dyDescent="0.25">
      <c r="A5476" s="2" t="s">
        <v>4560</v>
      </c>
      <c r="B5476" s="2" t="s">
        <v>3329</v>
      </c>
      <c r="C5476" s="2">
        <v>3</v>
      </c>
      <c r="D5476" t="str">
        <f t="shared" si="85"/>
        <v>CA-2017-104731_FUR-BO-10003441</v>
      </c>
      <c r="E5476" t="str">
        <f>IF(COUNTIF(data1!$D:$D,D5476)=0,"Missing in Data1","Present")</f>
        <v>Present</v>
      </c>
    </row>
    <row r="5477" spans="1:5" x14ac:dyDescent="0.25">
      <c r="A5477" s="2" t="s">
        <v>4560</v>
      </c>
      <c r="B5477" s="2" t="s">
        <v>779</v>
      </c>
      <c r="C5477" s="2">
        <v>5</v>
      </c>
      <c r="D5477" t="str">
        <f t="shared" si="85"/>
        <v>CA-2017-104731_FUR-FU-10003274</v>
      </c>
      <c r="E5477" t="str">
        <f>IF(COUNTIF(data1!$D:$D,D5477)=0,"Missing in Data1","Present")</f>
        <v>Present</v>
      </c>
    </row>
    <row r="5478" spans="1:5" x14ac:dyDescent="0.25">
      <c r="A5478" s="2" t="s">
        <v>4560</v>
      </c>
      <c r="B5478" s="2" t="s">
        <v>3347</v>
      </c>
      <c r="C5478" s="2">
        <v>6</v>
      </c>
      <c r="D5478" t="str">
        <f t="shared" si="85"/>
        <v>CA-2017-104731_OFF-AR-10003727</v>
      </c>
      <c r="E5478" t="str">
        <f>IF(COUNTIF(data1!$D:$D,D5478)=0,"Missing in Data1","Present")</f>
        <v>Present</v>
      </c>
    </row>
    <row r="5479" spans="1:5" x14ac:dyDescent="0.25">
      <c r="A5479" s="2" t="s">
        <v>4560</v>
      </c>
      <c r="B5479" s="2" t="s">
        <v>617</v>
      </c>
      <c r="C5479" s="2">
        <v>6</v>
      </c>
      <c r="D5479" t="str">
        <f t="shared" si="85"/>
        <v>CA-2017-104731_OFF-AR-10003829</v>
      </c>
      <c r="E5479" t="str">
        <f>IF(COUNTIF(data1!$D:$D,D5479)=0,"Missing in Data1","Present")</f>
        <v>Present</v>
      </c>
    </row>
    <row r="5480" spans="1:5" x14ac:dyDescent="0.25">
      <c r="A5480" s="2" t="s">
        <v>4560</v>
      </c>
      <c r="B5480" s="2" t="s">
        <v>1478</v>
      </c>
      <c r="C5480" s="2">
        <v>3</v>
      </c>
      <c r="D5480" t="str">
        <f t="shared" si="85"/>
        <v>CA-2017-104731_OFF-BI-10003355</v>
      </c>
      <c r="E5480" t="str">
        <f>IF(COUNTIF(data1!$D:$D,D5480)=0,"Missing in Data1","Present")</f>
        <v>Present</v>
      </c>
    </row>
    <row r="5481" spans="1:5" x14ac:dyDescent="0.25">
      <c r="A5481" s="2" t="s">
        <v>4560</v>
      </c>
      <c r="B5481" s="2" t="s">
        <v>3354</v>
      </c>
      <c r="C5481" s="2">
        <v>2</v>
      </c>
      <c r="D5481" t="str">
        <f t="shared" si="85"/>
        <v>CA-2017-104731_OFF-SU-10003505</v>
      </c>
      <c r="E5481" t="str">
        <f>IF(COUNTIF(data1!$D:$D,D5481)=0,"Missing in Data1","Present")</f>
        <v>Present</v>
      </c>
    </row>
    <row r="5482" spans="1:5" x14ac:dyDescent="0.25">
      <c r="A5482" s="2" t="s">
        <v>4560</v>
      </c>
      <c r="B5482" s="2" t="s">
        <v>3841</v>
      </c>
      <c r="C5482" s="2">
        <v>4</v>
      </c>
      <c r="D5482" t="str">
        <f t="shared" si="85"/>
        <v>CA-2017-104731_TEC-PH-10002660</v>
      </c>
      <c r="E5482" t="str">
        <f>IF(COUNTIF(data1!$D:$D,D5482)=0,"Missing in Data1","Present")</f>
        <v>Present</v>
      </c>
    </row>
    <row r="5483" spans="1:5" x14ac:dyDescent="0.25">
      <c r="A5483" s="2" t="s">
        <v>4561</v>
      </c>
      <c r="B5483" s="2" t="s">
        <v>2410</v>
      </c>
      <c r="C5483" s="2">
        <v>5</v>
      </c>
      <c r="D5483" t="str">
        <f t="shared" si="85"/>
        <v>CA-2017-104745_OFF-PA-10002036</v>
      </c>
      <c r="E5483" t="str">
        <f>IF(COUNTIF(data1!$D:$D,D5483)=0,"Missing in Data1","Present")</f>
        <v>Present</v>
      </c>
    </row>
    <row r="5484" spans="1:5" x14ac:dyDescent="0.25">
      <c r="A5484" s="2" t="s">
        <v>4561</v>
      </c>
      <c r="B5484" s="2" t="s">
        <v>3266</v>
      </c>
      <c r="C5484" s="2">
        <v>3</v>
      </c>
      <c r="D5484" t="str">
        <f t="shared" si="85"/>
        <v>CA-2017-104745_OFF-ST-10002205</v>
      </c>
      <c r="E5484" t="str">
        <f>IF(COUNTIF(data1!$D:$D,D5484)=0,"Missing in Data1","Present")</f>
        <v>Present</v>
      </c>
    </row>
    <row r="5485" spans="1:5" x14ac:dyDescent="0.25">
      <c r="A5485" s="2" t="s">
        <v>4562</v>
      </c>
      <c r="B5485" s="2" t="s">
        <v>1830</v>
      </c>
      <c r="C5485" s="2">
        <v>1</v>
      </c>
      <c r="D5485" t="str">
        <f t="shared" si="85"/>
        <v>CA-2017-104801_FUR-FU-10004017</v>
      </c>
      <c r="E5485" t="str">
        <f>IF(COUNTIF(data1!$D:$D,D5485)=0,"Missing in Data1","Present")</f>
        <v>Present</v>
      </c>
    </row>
    <row r="5486" spans="1:5" x14ac:dyDescent="0.25">
      <c r="A5486" s="2" t="s">
        <v>4562</v>
      </c>
      <c r="B5486" s="2" t="s">
        <v>2227</v>
      </c>
      <c r="C5486" s="2">
        <v>3</v>
      </c>
      <c r="D5486" t="str">
        <f t="shared" si="85"/>
        <v>CA-2017-104801_OFF-AR-10001547</v>
      </c>
      <c r="E5486" t="str">
        <f>IF(COUNTIF(data1!$D:$D,D5486)=0,"Missing in Data1","Present")</f>
        <v>Present</v>
      </c>
    </row>
    <row r="5487" spans="1:5" x14ac:dyDescent="0.25">
      <c r="A5487" s="2" t="s">
        <v>4562</v>
      </c>
      <c r="B5487" s="2" t="s">
        <v>2146</v>
      </c>
      <c r="C5487" s="2">
        <v>4</v>
      </c>
      <c r="D5487" t="str">
        <f t="shared" si="85"/>
        <v>CA-2017-104801_TEC-AC-10001838</v>
      </c>
      <c r="E5487" t="str">
        <f>IF(COUNTIF(data1!$D:$D,D5487)=0,"Missing in Data1","Present")</f>
        <v>Present</v>
      </c>
    </row>
    <row r="5488" spans="1:5" x14ac:dyDescent="0.25">
      <c r="A5488" s="2" t="s">
        <v>4563</v>
      </c>
      <c r="B5488" s="2" t="s">
        <v>3363</v>
      </c>
      <c r="C5488" s="2">
        <v>5</v>
      </c>
      <c r="D5488" t="str">
        <f t="shared" si="85"/>
        <v>CA-2017-104822_OFF-LA-10002034</v>
      </c>
      <c r="E5488" t="str">
        <f>IF(COUNTIF(data1!$D:$D,D5488)=0,"Missing in Data1","Present")</f>
        <v>Present</v>
      </c>
    </row>
    <row r="5489" spans="1:5" x14ac:dyDescent="0.25">
      <c r="A5489" s="2" t="s">
        <v>4564</v>
      </c>
      <c r="B5489" s="2" t="s">
        <v>373</v>
      </c>
      <c r="C5489" s="2">
        <v>4</v>
      </c>
      <c r="D5489" t="str">
        <f t="shared" si="85"/>
        <v>CA-2017-104850_FUR-CH-10003774</v>
      </c>
      <c r="E5489" t="str">
        <f>IF(COUNTIF(data1!$D:$D,D5489)=0,"Missing in Data1","Present")</f>
        <v>Present</v>
      </c>
    </row>
    <row r="5490" spans="1:5" x14ac:dyDescent="0.25">
      <c r="A5490" s="2" t="s">
        <v>4565</v>
      </c>
      <c r="B5490" s="2" t="s">
        <v>2333</v>
      </c>
      <c r="C5490" s="2">
        <v>4</v>
      </c>
      <c r="D5490" t="str">
        <f t="shared" si="85"/>
        <v>CA-2017-104864_OFF-AP-10002684</v>
      </c>
      <c r="E5490" t="str">
        <f>IF(COUNTIF(data1!$D:$D,D5490)=0,"Missing in Data1","Present")</f>
        <v>Present</v>
      </c>
    </row>
    <row r="5491" spans="1:5" x14ac:dyDescent="0.25">
      <c r="A5491" s="2" t="s">
        <v>4565</v>
      </c>
      <c r="B5491" s="2" t="s">
        <v>951</v>
      </c>
      <c r="C5491" s="2">
        <v>8</v>
      </c>
      <c r="D5491" t="str">
        <f t="shared" si="85"/>
        <v>CA-2017-104864_OFF-BI-10001636</v>
      </c>
      <c r="E5491" t="str">
        <f>IF(COUNTIF(data1!$D:$D,D5491)=0,"Missing in Data1","Present")</f>
        <v>Present</v>
      </c>
    </row>
    <row r="5492" spans="1:5" x14ac:dyDescent="0.25">
      <c r="A5492" s="2" t="s">
        <v>4565</v>
      </c>
      <c r="B5492" s="2" t="s">
        <v>93</v>
      </c>
      <c r="C5492" s="2">
        <v>8</v>
      </c>
      <c r="D5492" t="str">
        <f t="shared" si="85"/>
        <v>CA-2017-104864_OFF-PA-10003309</v>
      </c>
      <c r="E5492" t="str">
        <f>IF(COUNTIF(data1!$D:$D,D5492)=0,"Missing in Data1","Present")</f>
        <v>Present</v>
      </c>
    </row>
    <row r="5493" spans="1:5" x14ac:dyDescent="0.25">
      <c r="A5493" s="2" t="s">
        <v>4565</v>
      </c>
      <c r="B5493" s="2" t="s">
        <v>1446</v>
      </c>
      <c r="C5493" s="2">
        <v>4</v>
      </c>
      <c r="D5493" t="str">
        <f t="shared" si="85"/>
        <v>CA-2017-104864_OFF-PA-10004609</v>
      </c>
      <c r="E5493" t="str">
        <f>IF(COUNTIF(data1!$D:$D,D5493)=0,"Missing in Data1","Present")</f>
        <v>Present</v>
      </c>
    </row>
    <row r="5494" spans="1:5" x14ac:dyDescent="0.25">
      <c r="A5494" s="2" t="s">
        <v>4565</v>
      </c>
      <c r="B5494" s="2" t="s">
        <v>1585</v>
      </c>
      <c r="C5494" s="2">
        <v>5</v>
      </c>
      <c r="D5494" t="str">
        <f t="shared" si="85"/>
        <v>CA-2017-104864_OFF-ST-10002301</v>
      </c>
      <c r="E5494" t="str">
        <f>IF(COUNTIF(data1!$D:$D,D5494)=0,"Missing in Data1","Present")</f>
        <v>Present</v>
      </c>
    </row>
    <row r="5495" spans="1:5" x14ac:dyDescent="0.25">
      <c r="A5495" s="2" t="s">
        <v>4566</v>
      </c>
      <c r="B5495" s="2" t="s">
        <v>2548</v>
      </c>
      <c r="C5495" s="2">
        <v>2</v>
      </c>
      <c r="D5495" t="str">
        <f t="shared" si="85"/>
        <v>CA-2017-104885_FUR-BO-10003660</v>
      </c>
      <c r="E5495" t="str">
        <f>IF(COUNTIF(data1!$D:$D,D5495)=0,"Missing in Data1","Present")</f>
        <v>Present</v>
      </c>
    </row>
    <row r="5496" spans="1:5" x14ac:dyDescent="0.25">
      <c r="A5496" s="2" t="s">
        <v>4566</v>
      </c>
      <c r="B5496" s="2" t="s">
        <v>1492</v>
      </c>
      <c r="C5496" s="2">
        <v>3</v>
      </c>
      <c r="D5496" t="str">
        <f t="shared" si="85"/>
        <v>CA-2017-104885_OFF-AR-10001615</v>
      </c>
      <c r="E5496" t="str">
        <f>IF(COUNTIF(data1!$D:$D,D5496)=0,"Missing in Data1","Present")</f>
        <v>Present</v>
      </c>
    </row>
    <row r="5497" spans="1:5" x14ac:dyDescent="0.25">
      <c r="A5497" s="2" t="s">
        <v>4566</v>
      </c>
      <c r="B5497" s="2" t="s">
        <v>3714</v>
      </c>
      <c r="C5497" s="2">
        <v>6</v>
      </c>
      <c r="D5497" t="str">
        <f t="shared" si="85"/>
        <v>CA-2017-104885_OFF-PA-10002764</v>
      </c>
      <c r="E5497" t="str">
        <f>IF(COUNTIF(data1!$D:$D,D5497)=0,"Missing in Data1","Present")</f>
        <v>Present</v>
      </c>
    </row>
    <row r="5498" spans="1:5" x14ac:dyDescent="0.25">
      <c r="A5498" s="2" t="s">
        <v>4567</v>
      </c>
      <c r="B5498" s="2" t="s">
        <v>2955</v>
      </c>
      <c r="C5498" s="2">
        <v>3</v>
      </c>
      <c r="D5498" t="str">
        <f t="shared" si="85"/>
        <v>CA-2017-104906_OFF-PA-10001184</v>
      </c>
      <c r="E5498" t="str">
        <f>IF(COUNTIF(data1!$D:$D,D5498)=0,"Missing in Data1","Present")</f>
        <v>Present</v>
      </c>
    </row>
    <row r="5499" spans="1:5" x14ac:dyDescent="0.25">
      <c r="A5499" s="2" t="s">
        <v>4568</v>
      </c>
      <c r="B5499" s="2" t="s">
        <v>2340</v>
      </c>
      <c r="C5499" s="2">
        <v>5</v>
      </c>
      <c r="D5499" t="str">
        <f t="shared" si="85"/>
        <v>CA-2017-104913_TEC-PH-10000923</v>
      </c>
      <c r="E5499" t="str">
        <f>IF(COUNTIF(data1!$D:$D,D5499)=0,"Missing in Data1","Present")</f>
        <v>Present</v>
      </c>
    </row>
    <row r="5500" spans="1:5" x14ac:dyDescent="0.25">
      <c r="A5500" s="2" t="s">
        <v>4569</v>
      </c>
      <c r="B5500" s="2" t="s">
        <v>891</v>
      </c>
      <c r="C5500" s="2">
        <v>5</v>
      </c>
      <c r="D5500" t="str">
        <f t="shared" si="85"/>
        <v>CA-2017-104927_OFF-BI-10003429</v>
      </c>
      <c r="E5500" t="str">
        <f>IF(COUNTIF(data1!$D:$D,D5500)=0,"Missing in Data1","Present")</f>
        <v>Present</v>
      </c>
    </row>
    <row r="5501" spans="1:5" x14ac:dyDescent="0.25">
      <c r="A5501" s="2" t="s">
        <v>4569</v>
      </c>
      <c r="B5501" s="2" t="s">
        <v>780</v>
      </c>
      <c r="C5501" s="2">
        <v>5</v>
      </c>
      <c r="D5501" t="str">
        <f t="shared" si="85"/>
        <v>CA-2017-104927_OFF-PA-10000019</v>
      </c>
      <c r="E5501" t="str">
        <f>IF(COUNTIF(data1!$D:$D,D5501)=0,"Missing in Data1","Present")</f>
        <v>Present</v>
      </c>
    </row>
    <row r="5502" spans="1:5" x14ac:dyDescent="0.25">
      <c r="A5502" s="2" t="s">
        <v>4569</v>
      </c>
      <c r="B5502" s="2" t="s">
        <v>7</v>
      </c>
      <c r="C5502" s="2">
        <v>5</v>
      </c>
      <c r="D5502" t="str">
        <f t="shared" si="85"/>
        <v>CA-2017-104927_OFF-PA-10000176</v>
      </c>
      <c r="E5502" t="str">
        <f>IF(COUNTIF(data1!$D:$D,D5502)=0,"Missing in Data1","Present")</f>
        <v>Present</v>
      </c>
    </row>
    <row r="5503" spans="1:5" x14ac:dyDescent="0.25">
      <c r="A5503" s="2" t="s">
        <v>4570</v>
      </c>
      <c r="B5503" s="2" t="s">
        <v>3393</v>
      </c>
      <c r="C5503" s="2">
        <v>3</v>
      </c>
      <c r="D5503" t="str">
        <f t="shared" si="85"/>
        <v>CA-2017-105053_OFF-BI-10001634</v>
      </c>
      <c r="E5503" t="str">
        <f>IF(COUNTIF(data1!$D:$D,D5503)=0,"Missing in Data1","Present")</f>
        <v>Present</v>
      </c>
    </row>
    <row r="5504" spans="1:5" x14ac:dyDescent="0.25">
      <c r="A5504" s="2" t="s">
        <v>4571</v>
      </c>
      <c r="B5504" s="2" t="s">
        <v>3730</v>
      </c>
      <c r="C5504" s="2">
        <v>3</v>
      </c>
      <c r="D5504" t="str">
        <f t="shared" si="85"/>
        <v>CA-2017-105074_OFF-PA-10002666</v>
      </c>
      <c r="E5504" t="str">
        <f>IF(COUNTIF(data1!$D:$D,D5504)=0,"Missing in Data1","Present")</f>
        <v>Present</v>
      </c>
    </row>
    <row r="5505" spans="1:5" x14ac:dyDescent="0.25">
      <c r="A5505" s="2" t="s">
        <v>4572</v>
      </c>
      <c r="B5505" s="2" t="s">
        <v>1047</v>
      </c>
      <c r="C5505" s="2">
        <v>4</v>
      </c>
      <c r="D5505" t="str">
        <f t="shared" si="85"/>
        <v>CA-2017-105130_OFF-AR-10003394</v>
      </c>
      <c r="E5505" t="str">
        <f>IF(COUNTIF(data1!$D:$D,D5505)=0,"Missing in Data1","Present")</f>
        <v>Present</v>
      </c>
    </row>
    <row r="5506" spans="1:5" x14ac:dyDescent="0.25">
      <c r="A5506" s="2" t="s">
        <v>4572</v>
      </c>
      <c r="B5506" s="2" t="s">
        <v>666</v>
      </c>
      <c r="C5506" s="2">
        <v>2</v>
      </c>
      <c r="D5506" t="str">
        <f t="shared" si="85"/>
        <v>CA-2017-105130_OFF-BI-10001191</v>
      </c>
      <c r="E5506" t="str">
        <f>IF(COUNTIF(data1!$D:$D,D5506)=0,"Missing in Data1","Present")</f>
        <v>Present</v>
      </c>
    </row>
    <row r="5507" spans="1:5" x14ac:dyDescent="0.25">
      <c r="A5507" s="2" t="s">
        <v>4573</v>
      </c>
      <c r="B5507" s="2" t="s">
        <v>86</v>
      </c>
      <c r="C5507" s="2">
        <v>2</v>
      </c>
      <c r="D5507" t="str">
        <f t="shared" ref="D5507:D5570" si="86">A5507&amp;"_"&amp;B5507</f>
        <v>CA-2017-105144_OFF-LA-10003923</v>
      </c>
      <c r="E5507" t="str">
        <f>IF(COUNTIF(data1!$D:$D,D5507)=0,"Missing in Data1","Present")</f>
        <v>Present</v>
      </c>
    </row>
    <row r="5508" spans="1:5" x14ac:dyDescent="0.25">
      <c r="A5508" s="2" t="s">
        <v>4574</v>
      </c>
      <c r="B5508" s="2" t="s">
        <v>2227</v>
      </c>
      <c r="C5508" s="2">
        <v>5</v>
      </c>
      <c r="D5508" t="str">
        <f t="shared" si="86"/>
        <v>CA-2017-105193_OFF-AR-10001547</v>
      </c>
      <c r="E5508" t="str">
        <f>IF(COUNTIF(data1!$D:$D,D5508)=0,"Missing in Data1","Present")</f>
        <v>Present</v>
      </c>
    </row>
    <row r="5509" spans="1:5" x14ac:dyDescent="0.25">
      <c r="A5509" s="2" t="s">
        <v>4575</v>
      </c>
      <c r="B5509" s="2" t="s">
        <v>1430</v>
      </c>
      <c r="C5509" s="2">
        <v>7</v>
      </c>
      <c r="D5509" t="str">
        <f t="shared" si="86"/>
        <v>CA-2017-105214_FUR-CH-10000015</v>
      </c>
      <c r="E5509" t="str">
        <f>IF(COUNTIF(data1!$D:$D,D5509)=0,"Missing in Data1","Present")</f>
        <v>Present</v>
      </c>
    </row>
    <row r="5510" spans="1:5" x14ac:dyDescent="0.25">
      <c r="A5510" s="2" t="s">
        <v>4575</v>
      </c>
      <c r="B5510" s="2" t="s">
        <v>2062</v>
      </c>
      <c r="C5510" s="2">
        <v>2</v>
      </c>
      <c r="D5510" t="str">
        <f t="shared" si="86"/>
        <v>CA-2017-105214_OFF-PA-10001776</v>
      </c>
      <c r="E5510" t="str">
        <f>IF(COUNTIF(data1!$D:$D,D5510)=0,"Missing in Data1","Present")</f>
        <v>Present</v>
      </c>
    </row>
    <row r="5511" spans="1:5" x14ac:dyDescent="0.25">
      <c r="A5511" s="2" t="s">
        <v>4576</v>
      </c>
      <c r="B5511" s="2" t="s">
        <v>363</v>
      </c>
      <c r="C5511" s="2">
        <v>2</v>
      </c>
      <c r="D5511" t="str">
        <f t="shared" si="86"/>
        <v>CA-2017-105235_FUR-FU-10000521</v>
      </c>
      <c r="E5511" t="str">
        <f>IF(COUNTIF(data1!$D:$D,D5511)=0,"Missing in Data1","Present")</f>
        <v>Present</v>
      </c>
    </row>
    <row r="5512" spans="1:5" x14ac:dyDescent="0.25">
      <c r="A5512" s="2" t="s">
        <v>4576</v>
      </c>
      <c r="B5512" s="2" t="s">
        <v>543</v>
      </c>
      <c r="C5512" s="2">
        <v>3</v>
      </c>
      <c r="D5512" t="str">
        <f t="shared" si="86"/>
        <v>CA-2017-105235_FUR-FU-10001487</v>
      </c>
      <c r="E5512" t="str">
        <f>IF(COUNTIF(data1!$D:$D,D5512)=0,"Missing in Data1","Present")</f>
        <v>Present</v>
      </c>
    </row>
    <row r="5513" spans="1:5" x14ac:dyDescent="0.25">
      <c r="A5513" s="2" t="s">
        <v>4576</v>
      </c>
      <c r="B5513" s="2" t="s">
        <v>1075</v>
      </c>
      <c r="C5513" s="2">
        <v>5</v>
      </c>
      <c r="D5513" t="str">
        <f t="shared" si="86"/>
        <v>CA-2017-105235_OFF-AP-10001271</v>
      </c>
      <c r="E5513" t="str">
        <f>IF(COUNTIF(data1!$D:$D,D5513)=0,"Missing in Data1","Present")</f>
        <v>Present</v>
      </c>
    </row>
    <row r="5514" spans="1:5" x14ac:dyDescent="0.25">
      <c r="A5514" s="2" t="s">
        <v>4577</v>
      </c>
      <c r="B5514" s="2" t="s">
        <v>926</v>
      </c>
      <c r="C5514" s="2">
        <v>4</v>
      </c>
      <c r="D5514" t="str">
        <f t="shared" si="86"/>
        <v>CA-2017-105326_OFF-PA-10001639</v>
      </c>
      <c r="E5514" t="str">
        <f>IF(COUNTIF(data1!$D:$D,D5514)=0,"Missing in Data1","Present")</f>
        <v>Present</v>
      </c>
    </row>
    <row r="5515" spans="1:5" x14ac:dyDescent="0.25">
      <c r="A5515" s="2" t="s">
        <v>4578</v>
      </c>
      <c r="B5515" s="2" t="s">
        <v>465</v>
      </c>
      <c r="C5515" s="2">
        <v>3</v>
      </c>
      <c r="D5515" t="str">
        <f t="shared" si="86"/>
        <v>CA-2017-105333_OFF-ST-10001809</v>
      </c>
      <c r="E5515" t="str">
        <f>IF(COUNTIF(data1!$D:$D,D5515)=0,"Missing in Data1","Present")</f>
        <v>Present</v>
      </c>
    </row>
    <row r="5516" spans="1:5" x14ac:dyDescent="0.25">
      <c r="A5516" s="2" t="s">
        <v>4578</v>
      </c>
      <c r="B5516" s="2" t="s">
        <v>2216</v>
      </c>
      <c r="C5516" s="2">
        <v>4</v>
      </c>
      <c r="D5516" t="str">
        <f t="shared" si="86"/>
        <v>CA-2017-105333_OFF-ST-10002182</v>
      </c>
      <c r="E5516" t="str">
        <f>IF(COUNTIF(data1!$D:$D,D5516)=0,"Missing in Data1","Present")</f>
        <v>Present</v>
      </c>
    </row>
    <row r="5517" spans="1:5" x14ac:dyDescent="0.25">
      <c r="A5517" s="2" t="s">
        <v>4578</v>
      </c>
      <c r="B5517" s="2" t="s">
        <v>4579</v>
      </c>
      <c r="C5517" s="2">
        <v>3</v>
      </c>
      <c r="D5517" t="str">
        <f t="shared" si="86"/>
        <v>CA-2017-105333_TEC-PH-10001468</v>
      </c>
      <c r="E5517" t="str">
        <f>IF(COUNTIF(data1!$D:$D,D5517)=0,"Missing in Data1","Present")</f>
        <v>Present</v>
      </c>
    </row>
    <row r="5518" spans="1:5" x14ac:dyDescent="0.25">
      <c r="A5518" s="2" t="s">
        <v>4580</v>
      </c>
      <c r="B5518" s="2" t="s">
        <v>651</v>
      </c>
      <c r="C5518" s="2">
        <v>6</v>
      </c>
      <c r="D5518" t="str">
        <f t="shared" si="86"/>
        <v>CA-2017-105410_OFF-BI-10004970</v>
      </c>
      <c r="E5518" t="str">
        <f>IF(COUNTIF(data1!$D:$D,D5518)=0,"Missing in Data1","Present")</f>
        <v>Present</v>
      </c>
    </row>
    <row r="5519" spans="1:5" x14ac:dyDescent="0.25">
      <c r="A5519" s="2" t="s">
        <v>4580</v>
      </c>
      <c r="B5519" s="2" t="s">
        <v>2375</v>
      </c>
      <c r="C5519" s="2">
        <v>2</v>
      </c>
      <c r="D5519" t="str">
        <f t="shared" si="86"/>
        <v>CA-2017-105410_TEC-AC-10001552</v>
      </c>
      <c r="E5519" t="str">
        <f>IF(COUNTIF(data1!$D:$D,D5519)=0,"Missing in Data1","Present")</f>
        <v>Present</v>
      </c>
    </row>
    <row r="5520" spans="1:5" x14ac:dyDescent="0.25">
      <c r="A5520" s="2" t="s">
        <v>4580</v>
      </c>
      <c r="B5520" s="2" t="s">
        <v>1406</v>
      </c>
      <c r="C5520" s="2">
        <v>4</v>
      </c>
      <c r="D5520" t="str">
        <f t="shared" si="86"/>
        <v>CA-2017-105410_TEC-AC-10002926</v>
      </c>
      <c r="E5520" t="str">
        <f>IF(COUNTIF(data1!$D:$D,D5520)=0,"Missing in Data1","Present")</f>
        <v>Present</v>
      </c>
    </row>
    <row r="5521" spans="1:5" x14ac:dyDescent="0.25">
      <c r="A5521" s="2" t="s">
        <v>4580</v>
      </c>
      <c r="B5521" s="2" t="s">
        <v>1409</v>
      </c>
      <c r="C5521" s="2">
        <v>6</v>
      </c>
      <c r="D5521" t="str">
        <f t="shared" si="86"/>
        <v>CA-2017-105410_TEC-PH-10000038</v>
      </c>
      <c r="E5521" t="str">
        <f>IF(COUNTIF(data1!$D:$D,D5521)=0,"Missing in Data1","Present")</f>
        <v>Present</v>
      </c>
    </row>
    <row r="5522" spans="1:5" x14ac:dyDescent="0.25">
      <c r="A5522" s="2" t="s">
        <v>4581</v>
      </c>
      <c r="B5522" s="2" t="s">
        <v>1994</v>
      </c>
      <c r="C5522" s="2">
        <v>3</v>
      </c>
      <c r="D5522" t="str">
        <f t="shared" si="86"/>
        <v>CA-2017-105445_OFF-FA-10001229</v>
      </c>
      <c r="E5522" t="str">
        <f>IF(COUNTIF(data1!$D:$D,D5522)=0,"Missing in Data1","Present")</f>
        <v>Present</v>
      </c>
    </row>
    <row r="5523" spans="1:5" x14ac:dyDescent="0.25">
      <c r="A5523" s="2" t="s">
        <v>4582</v>
      </c>
      <c r="B5523" s="2" t="s">
        <v>485</v>
      </c>
      <c r="C5523" s="2">
        <v>1</v>
      </c>
      <c r="D5523" t="str">
        <f t="shared" si="86"/>
        <v>CA-2017-105480_OFF-BI-10003291</v>
      </c>
      <c r="E5523" t="str">
        <f>IF(COUNTIF(data1!$D:$D,D5523)=0,"Missing in Data1","Present")</f>
        <v>Present</v>
      </c>
    </row>
    <row r="5524" spans="1:5" x14ac:dyDescent="0.25">
      <c r="A5524" s="2" t="s">
        <v>4582</v>
      </c>
      <c r="B5524" s="2" t="s">
        <v>2771</v>
      </c>
      <c r="C5524" s="2">
        <v>1</v>
      </c>
      <c r="D5524" t="str">
        <f t="shared" si="86"/>
        <v>CA-2017-105480_OFF-PA-10002787</v>
      </c>
      <c r="E5524" t="str">
        <f>IF(COUNTIF(data1!$D:$D,D5524)=0,"Missing in Data1","Present")</f>
        <v>Present</v>
      </c>
    </row>
    <row r="5525" spans="1:5" x14ac:dyDescent="0.25">
      <c r="A5525" s="2" t="s">
        <v>4583</v>
      </c>
      <c r="B5525" s="2" t="s">
        <v>1585</v>
      </c>
      <c r="C5525" s="2">
        <v>2</v>
      </c>
      <c r="D5525" t="str">
        <f t="shared" si="86"/>
        <v>CA-2017-105487_OFF-ST-10002301</v>
      </c>
      <c r="E5525" t="str">
        <f>IF(COUNTIF(data1!$D:$D,D5525)=0,"Missing in Data1","Present")</f>
        <v>Present</v>
      </c>
    </row>
    <row r="5526" spans="1:5" x14ac:dyDescent="0.25">
      <c r="A5526" s="2" t="s">
        <v>4583</v>
      </c>
      <c r="B5526" s="2" t="s">
        <v>3087</v>
      </c>
      <c r="C5526" s="2">
        <v>2</v>
      </c>
      <c r="D5526" t="str">
        <f t="shared" si="86"/>
        <v>CA-2017-105487_TEC-AC-10002305</v>
      </c>
      <c r="E5526" t="str">
        <f>IF(COUNTIF(data1!$D:$D,D5526)=0,"Missing in Data1","Present")</f>
        <v>Present</v>
      </c>
    </row>
    <row r="5527" spans="1:5" x14ac:dyDescent="0.25">
      <c r="A5527" s="2" t="s">
        <v>4583</v>
      </c>
      <c r="B5527" s="2" t="s">
        <v>4060</v>
      </c>
      <c r="C5527" s="2">
        <v>4</v>
      </c>
      <c r="D5527" t="str">
        <f t="shared" si="86"/>
        <v>CA-2017-105487_TEC-AC-10003610</v>
      </c>
      <c r="E5527" t="str">
        <f>IF(COUNTIF(data1!$D:$D,D5527)=0,"Missing in Data1","Present")</f>
        <v>Present</v>
      </c>
    </row>
    <row r="5528" spans="1:5" x14ac:dyDescent="0.25">
      <c r="A5528" s="2" t="s">
        <v>4583</v>
      </c>
      <c r="B5528" s="2" t="s">
        <v>292</v>
      </c>
      <c r="C5528" s="2">
        <v>1</v>
      </c>
      <c r="D5528" t="str">
        <f t="shared" si="86"/>
        <v>CA-2017-105487_TEC-PH-10001336</v>
      </c>
      <c r="E5528" t="str">
        <f>IF(COUNTIF(data1!$D:$D,D5528)=0,"Missing in Data1","Present")</f>
        <v>Present</v>
      </c>
    </row>
    <row r="5529" spans="1:5" x14ac:dyDescent="0.25">
      <c r="A5529" s="2" t="s">
        <v>4584</v>
      </c>
      <c r="B5529" s="2" t="s">
        <v>1465</v>
      </c>
      <c r="C5529" s="2">
        <v>1</v>
      </c>
      <c r="D5529" t="str">
        <f t="shared" si="86"/>
        <v>CA-2017-105543_OFF-ST-10003123</v>
      </c>
      <c r="E5529" t="str">
        <f>IF(COUNTIF(data1!$D:$D,D5529)=0,"Missing in Data1","Present")</f>
        <v>Present</v>
      </c>
    </row>
    <row r="5530" spans="1:5" x14ac:dyDescent="0.25">
      <c r="A5530" s="2" t="s">
        <v>4585</v>
      </c>
      <c r="B5530" s="2" t="s">
        <v>4586</v>
      </c>
      <c r="C5530" s="2">
        <v>2</v>
      </c>
      <c r="D5530" t="str">
        <f t="shared" si="86"/>
        <v>CA-2017-105620_TEC-MA-10004626</v>
      </c>
      <c r="E5530" t="str">
        <f>IF(COUNTIF(data1!$D:$D,D5530)=0,"Missing in Data1","Present")</f>
        <v>Present</v>
      </c>
    </row>
    <row r="5531" spans="1:5" x14ac:dyDescent="0.25">
      <c r="A5531" s="2" t="s">
        <v>4587</v>
      </c>
      <c r="B5531" s="2" t="s">
        <v>373</v>
      </c>
      <c r="C5531" s="2">
        <v>5</v>
      </c>
      <c r="D5531" t="str">
        <f t="shared" si="86"/>
        <v>CA-2017-105669_FUR-CH-10003774</v>
      </c>
      <c r="E5531" t="str">
        <f>IF(COUNTIF(data1!$D:$D,D5531)=0,"Missing in Data1","Present")</f>
        <v>Present</v>
      </c>
    </row>
    <row r="5532" spans="1:5" x14ac:dyDescent="0.25">
      <c r="A5532" s="2" t="s">
        <v>4587</v>
      </c>
      <c r="B5532" s="2" t="s">
        <v>194</v>
      </c>
      <c r="C5532" s="2">
        <v>3</v>
      </c>
      <c r="D5532" t="str">
        <f t="shared" si="86"/>
        <v>CA-2017-105669_OFF-AR-10000390</v>
      </c>
      <c r="E5532" t="str">
        <f>IF(COUNTIF(data1!$D:$D,D5532)=0,"Missing in Data1","Present")</f>
        <v>Present</v>
      </c>
    </row>
    <row r="5533" spans="1:5" x14ac:dyDescent="0.25">
      <c r="A5533" s="2" t="s">
        <v>4587</v>
      </c>
      <c r="B5533" s="2" t="s">
        <v>2095</v>
      </c>
      <c r="C5533" s="2">
        <v>5</v>
      </c>
      <c r="D5533" t="str">
        <f t="shared" si="86"/>
        <v>CA-2017-105669_OFF-BI-10002412</v>
      </c>
      <c r="E5533" t="str">
        <f>IF(COUNTIF(data1!$D:$D,D5533)=0,"Missing in Data1","Present")</f>
        <v>Present</v>
      </c>
    </row>
    <row r="5534" spans="1:5" x14ac:dyDescent="0.25">
      <c r="A5534" s="2" t="s">
        <v>4587</v>
      </c>
      <c r="B5534" s="2" t="s">
        <v>1566</v>
      </c>
      <c r="C5534" s="2">
        <v>6</v>
      </c>
      <c r="D5534" t="str">
        <f t="shared" si="86"/>
        <v>CA-2017-105669_TEC-PH-10002415</v>
      </c>
      <c r="E5534" t="str">
        <f>IF(COUNTIF(data1!$D:$D,D5534)=0,"Missing in Data1","Present")</f>
        <v>Present</v>
      </c>
    </row>
    <row r="5535" spans="1:5" x14ac:dyDescent="0.25">
      <c r="A5535" s="2" t="s">
        <v>4588</v>
      </c>
      <c r="B5535" s="2" t="s">
        <v>1111</v>
      </c>
      <c r="C5535" s="2">
        <v>1</v>
      </c>
      <c r="D5535" t="str">
        <f t="shared" si="86"/>
        <v>CA-2017-105809_FUR-FU-10004090</v>
      </c>
      <c r="E5535" t="str">
        <f>IF(COUNTIF(data1!$D:$D,D5535)=0,"Missing in Data1","Present")</f>
        <v>Present</v>
      </c>
    </row>
    <row r="5536" spans="1:5" x14ac:dyDescent="0.25">
      <c r="A5536" s="2" t="s">
        <v>4588</v>
      </c>
      <c r="B5536" s="2" t="s">
        <v>3446</v>
      </c>
      <c r="C5536" s="2">
        <v>2</v>
      </c>
      <c r="D5536" t="str">
        <f t="shared" si="86"/>
        <v>CA-2017-105809_TEC-PH-10001580</v>
      </c>
      <c r="E5536" t="str">
        <f>IF(COUNTIF(data1!$D:$D,D5536)=0,"Missing in Data1","Present")</f>
        <v>Present</v>
      </c>
    </row>
    <row r="5537" spans="1:5" x14ac:dyDescent="0.25">
      <c r="A5537" s="2" t="s">
        <v>4589</v>
      </c>
      <c r="B5537" s="2" t="s">
        <v>297</v>
      </c>
      <c r="C5537" s="2">
        <v>2</v>
      </c>
      <c r="D5537" t="str">
        <f t="shared" si="86"/>
        <v>CA-2017-105823_FUR-CH-10000454</v>
      </c>
      <c r="E5537" t="str">
        <f>IF(COUNTIF(data1!$D:$D,D5537)=0,"Missing in Data1","Present")</f>
        <v>Present</v>
      </c>
    </row>
    <row r="5538" spans="1:5" x14ac:dyDescent="0.25">
      <c r="A5538" s="2" t="s">
        <v>4590</v>
      </c>
      <c r="B5538" s="2" t="s">
        <v>106</v>
      </c>
      <c r="C5538" s="2">
        <v>2</v>
      </c>
      <c r="D5538" t="str">
        <f t="shared" si="86"/>
        <v>CA-2017-105851_OFF-SU-10002881</v>
      </c>
      <c r="E5538" t="str">
        <f>IF(COUNTIF(data1!$D:$D,D5538)=0,"Missing in Data1","Present")</f>
        <v>Present</v>
      </c>
    </row>
    <row r="5539" spans="1:5" x14ac:dyDescent="0.25">
      <c r="A5539" s="2" t="s">
        <v>4591</v>
      </c>
      <c r="B5539" s="2" t="s">
        <v>3125</v>
      </c>
      <c r="C5539" s="2">
        <v>2</v>
      </c>
      <c r="D5539" t="str">
        <f t="shared" si="86"/>
        <v>CA-2017-105886_FUR-FU-10001037</v>
      </c>
      <c r="E5539" t="str">
        <f>IF(COUNTIF(data1!$D:$D,D5539)=0,"Missing in Data1","Present")</f>
        <v>Present</v>
      </c>
    </row>
    <row r="5540" spans="1:5" x14ac:dyDescent="0.25">
      <c r="A5540" s="2" t="s">
        <v>4592</v>
      </c>
      <c r="B5540" s="2" t="s">
        <v>337</v>
      </c>
      <c r="C5540" s="2">
        <v>5</v>
      </c>
      <c r="D5540" t="str">
        <f t="shared" si="86"/>
        <v>CA-2017-105914_OFF-BI-10002854</v>
      </c>
      <c r="E5540" t="str">
        <f>IF(COUNTIF(data1!$D:$D,D5540)=0,"Missing in Data1","Present")</f>
        <v>Present</v>
      </c>
    </row>
    <row r="5541" spans="1:5" x14ac:dyDescent="0.25">
      <c r="A5541" s="2" t="s">
        <v>4592</v>
      </c>
      <c r="B5541" s="2" t="s">
        <v>495</v>
      </c>
      <c r="C5541" s="2">
        <v>7</v>
      </c>
      <c r="D5541" t="str">
        <f t="shared" si="86"/>
        <v>CA-2017-105914_OFF-ST-10003716</v>
      </c>
      <c r="E5541" t="str">
        <f>IF(COUNTIF(data1!$D:$D,D5541)=0,"Missing in Data1","Present")</f>
        <v>Present</v>
      </c>
    </row>
    <row r="5542" spans="1:5" x14ac:dyDescent="0.25">
      <c r="A5542" s="2" t="s">
        <v>4593</v>
      </c>
      <c r="B5542" s="2" t="s">
        <v>2635</v>
      </c>
      <c r="C5542" s="2">
        <v>3</v>
      </c>
      <c r="D5542" t="str">
        <f t="shared" si="86"/>
        <v>CA-2017-105921_FUR-TA-10001095</v>
      </c>
      <c r="E5542" t="str">
        <f>IF(COUNTIF(data1!$D:$D,D5542)=0,"Missing in Data1","Present")</f>
        <v>Present</v>
      </c>
    </row>
    <row r="5543" spans="1:5" x14ac:dyDescent="0.25">
      <c r="A5543" s="2" t="s">
        <v>4594</v>
      </c>
      <c r="B5543" s="2" t="s">
        <v>489</v>
      </c>
      <c r="C5543" s="2">
        <v>3</v>
      </c>
      <c r="D5543" t="str">
        <f t="shared" si="86"/>
        <v>CA-2017-105991_FUR-BO-10004467</v>
      </c>
      <c r="E5543" t="str">
        <f>IF(COUNTIF(data1!$D:$D,D5543)=0,"Missing in Data1","Present")</f>
        <v>Present</v>
      </c>
    </row>
    <row r="5544" spans="1:5" x14ac:dyDescent="0.25">
      <c r="A5544" s="2" t="s">
        <v>4594</v>
      </c>
      <c r="B5544" s="2" t="s">
        <v>1311</v>
      </c>
      <c r="C5544" s="2">
        <v>8</v>
      </c>
      <c r="D5544" t="str">
        <f t="shared" si="86"/>
        <v>CA-2017-105991_OFF-BI-10003274</v>
      </c>
      <c r="E5544" t="str">
        <f>IF(COUNTIF(data1!$D:$D,D5544)=0,"Missing in Data1","Present")</f>
        <v>Present</v>
      </c>
    </row>
    <row r="5545" spans="1:5" x14ac:dyDescent="0.25">
      <c r="A5545" s="2" t="s">
        <v>4594</v>
      </c>
      <c r="B5545" s="2" t="s">
        <v>532</v>
      </c>
      <c r="C5545" s="2">
        <v>9</v>
      </c>
      <c r="D5545" t="str">
        <f t="shared" si="86"/>
        <v>CA-2017-105991_OFF-EN-10002600</v>
      </c>
      <c r="E5545" t="str">
        <f>IF(COUNTIF(data1!$D:$D,D5545)=0,"Missing in Data1","Present")</f>
        <v>Present</v>
      </c>
    </row>
    <row r="5546" spans="1:5" x14ac:dyDescent="0.25">
      <c r="A5546" s="2" t="s">
        <v>4595</v>
      </c>
      <c r="B5546" s="2" t="s">
        <v>4596</v>
      </c>
      <c r="C5546" s="2">
        <v>4</v>
      </c>
      <c r="D5546" t="str">
        <f t="shared" si="86"/>
        <v>CA-2017-106033_OFF-AR-10002818</v>
      </c>
      <c r="E5546" t="str">
        <f>IF(COUNTIF(data1!$D:$D,D5546)=0,"Missing in Data1","Present")</f>
        <v>Present</v>
      </c>
    </row>
    <row r="5547" spans="1:5" x14ac:dyDescent="0.25">
      <c r="A5547" s="2" t="s">
        <v>4598</v>
      </c>
      <c r="B5547" s="2" t="s">
        <v>1014</v>
      </c>
      <c r="C5547" s="2">
        <v>3</v>
      </c>
      <c r="D5547" t="str">
        <f t="shared" si="86"/>
        <v>CA-2017-106068_OFF-BI-10000962</v>
      </c>
      <c r="E5547" t="str">
        <f>IF(COUNTIF(data1!$D:$D,D5547)=0,"Missing in Data1","Present")</f>
        <v>Present</v>
      </c>
    </row>
    <row r="5548" spans="1:5" x14ac:dyDescent="0.25">
      <c r="A5548" s="2" t="s">
        <v>4598</v>
      </c>
      <c r="B5548" s="2" t="s">
        <v>715</v>
      </c>
      <c r="C5548" s="2">
        <v>4</v>
      </c>
      <c r="D5548" t="str">
        <f t="shared" si="86"/>
        <v>CA-2017-106068_OFF-ST-10002344</v>
      </c>
      <c r="E5548" t="str">
        <f>IF(COUNTIF(data1!$D:$D,D5548)=0,"Missing in Data1","Present")</f>
        <v>Present</v>
      </c>
    </row>
    <row r="5549" spans="1:5" x14ac:dyDescent="0.25">
      <c r="A5549" s="2" t="s">
        <v>4598</v>
      </c>
      <c r="B5549" s="2" t="s">
        <v>1772</v>
      </c>
      <c r="C5549" s="2">
        <v>1</v>
      </c>
      <c r="D5549" t="str">
        <f t="shared" si="86"/>
        <v>CA-2017-106068_OFF-ST-10004507</v>
      </c>
      <c r="E5549" t="str">
        <f>IF(COUNTIF(data1!$D:$D,D5549)=0,"Missing in Data1","Present")</f>
        <v>Present</v>
      </c>
    </row>
    <row r="5550" spans="1:5" x14ac:dyDescent="0.25">
      <c r="A5550" s="2" t="s">
        <v>4598</v>
      </c>
      <c r="B5550" s="2" t="s">
        <v>578</v>
      </c>
      <c r="C5550" s="2">
        <v>1</v>
      </c>
      <c r="D5550" t="str">
        <f t="shared" si="86"/>
        <v>CA-2017-106068_TEC-AC-10002942</v>
      </c>
      <c r="E5550" t="str">
        <f>IF(COUNTIF(data1!$D:$D,D5550)=0,"Missing in Data1","Present")</f>
        <v>Present</v>
      </c>
    </row>
    <row r="5551" spans="1:5" x14ac:dyDescent="0.25">
      <c r="A5551" s="2" t="s">
        <v>4599</v>
      </c>
      <c r="B5551" s="2" t="s">
        <v>877</v>
      </c>
      <c r="C5551" s="2">
        <v>4</v>
      </c>
      <c r="D5551" t="str">
        <f t="shared" si="86"/>
        <v>CA-2017-106103_TEC-AC-10003832</v>
      </c>
      <c r="E5551" t="str">
        <f>IF(COUNTIF(data1!$D:$D,D5551)=0,"Missing in Data1","Present")</f>
        <v>Present</v>
      </c>
    </row>
    <row r="5552" spans="1:5" x14ac:dyDescent="0.25">
      <c r="A5552" s="2" t="s">
        <v>4600</v>
      </c>
      <c r="B5552" s="2" t="s">
        <v>3171</v>
      </c>
      <c r="C5552" s="2">
        <v>3</v>
      </c>
      <c r="D5552" t="str">
        <f t="shared" si="86"/>
        <v>CA-2017-106180_OFF-AR-10000940</v>
      </c>
      <c r="E5552" t="str">
        <f>IF(COUNTIF(data1!$D:$D,D5552)=0,"Missing in Data1","Present")</f>
        <v>Present</v>
      </c>
    </row>
    <row r="5553" spans="1:5" x14ac:dyDescent="0.25">
      <c r="A5553" s="2" t="s">
        <v>4600</v>
      </c>
      <c r="B5553" s="2" t="s">
        <v>323</v>
      </c>
      <c r="C5553" s="2">
        <v>3</v>
      </c>
      <c r="D5553" t="str">
        <f t="shared" si="86"/>
        <v>CA-2017-106180_OFF-EN-10004030</v>
      </c>
      <c r="E5553" t="str">
        <f>IF(COUNTIF(data1!$D:$D,D5553)=0,"Missing in Data1","Present")</f>
        <v>Present</v>
      </c>
    </row>
    <row r="5554" spans="1:5" x14ac:dyDescent="0.25">
      <c r="A5554" s="2" t="s">
        <v>4600</v>
      </c>
      <c r="B5554" s="2" t="s">
        <v>3511</v>
      </c>
      <c r="C5554" s="2">
        <v>3</v>
      </c>
      <c r="D5554" t="str">
        <f t="shared" si="86"/>
        <v>CA-2017-106180_OFF-PA-10004327</v>
      </c>
      <c r="E5554" t="str">
        <f>IF(COUNTIF(data1!$D:$D,D5554)=0,"Missing in Data1","Present")</f>
        <v>Present</v>
      </c>
    </row>
    <row r="5555" spans="1:5" x14ac:dyDescent="0.25">
      <c r="A5555" s="2" t="s">
        <v>4601</v>
      </c>
      <c r="B5555" s="2" t="s">
        <v>3864</v>
      </c>
      <c r="C5555" s="2">
        <v>4</v>
      </c>
      <c r="D5555" t="str">
        <f t="shared" si="86"/>
        <v>CA-2017-106355_OFF-AR-10000246</v>
      </c>
      <c r="E5555" t="str">
        <f>IF(COUNTIF(data1!$D:$D,D5555)=0,"Missing in Data1","Present")</f>
        <v>Present</v>
      </c>
    </row>
    <row r="5556" spans="1:5" x14ac:dyDescent="0.25">
      <c r="A5556" s="2" t="s">
        <v>4602</v>
      </c>
      <c r="B5556" s="2" t="s">
        <v>2924</v>
      </c>
      <c r="C5556" s="2">
        <v>3</v>
      </c>
      <c r="D5556" t="str">
        <f t="shared" si="86"/>
        <v>CA-2017-106432_FUR-BO-10004360</v>
      </c>
      <c r="E5556" t="str">
        <f>IF(COUNTIF(data1!$D:$D,D5556)=0,"Missing in Data1","Present")</f>
        <v>Present</v>
      </c>
    </row>
    <row r="5557" spans="1:5" x14ac:dyDescent="0.25">
      <c r="A5557" s="2" t="s">
        <v>4602</v>
      </c>
      <c r="B5557" s="2" t="s">
        <v>256</v>
      </c>
      <c r="C5557" s="2">
        <v>2</v>
      </c>
      <c r="D5557" t="str">
        <f t="shared" si="86"/>
        <v>CA-2017-106432_OFF-BI-10002799</v>
      </c>
      <c r="E5557" t="str">
        <f>IF(COUNTIF(data1!$D:$D,D5557)=0,"Missing in Data1","Present")</f>
        <v>Present</v>
      </c>
    </row>
    <row r="5558" spans="1:5" x14ac:dyDescent="0.25">
      <c r="A5558" s="2" t="s">
        <v>4603</v>
      </c>
      <c r="B5558" s="2" t="s">
        <v>812</v>
      </c>
      <c r="C5558" s="2">
        <v>4</v>
      </c>
      <c r="D5558" t="str">
        <f t="shared" si="86"/>
        <v>CA-2017-106537_OFF-PA-10000223</v>
      </c>
      <c r="E5558" t="str">
        <f>IF(COUNTIF(data1!$D:$D,D5558)=0,"Missing in Data1","Present")</f>
        <v>Present</v>
      </c>
    </row>
    <row r="5559" spans="1:5" x14ac:dyDescent="0.25">
      <c r="A5559" s="2" t="s">
        <v>4604</v>
      </c>
      <c r="B5559" s="2" t="s">
        <v>1152</v>
      </c>
      <c r="C5559" s="2">
        <v>2</v>
      </c>
      <c r="D5559" t="str">
        <f t="shared" si="86"/>
        <v>CA-2017-106691_OFF-BI-10000145</v>
      </c>
      <c r="E5559" t="str">
        <f>IF(COUNTIF(data1!$D:$D,D5559)=0,"Missing in Data1","Present")</f>
        <v>Present</v>
      </c>
    </row>
    <row r="5560" spans="1:5" x14ac:dyDescent="0.25">
      <c r="A5560" s="2" t="s">
        <v>4605</v>
      </c>
      <c r="B5560" s="2" t="s">
        <v>1357</v>
      </c>
      <c r="C5560" s="2">
        <v>1</v>
      </c>
      <c r="D5560" t="str">
        <f t="shared" si="86"/>
        <v>CA-2017-106747_FUR-FU-10004188</v>
      </c>
      <c r="E5560" t="str">
        <f>IF(COUNTIF(data1!$D:$D,D5560)=0,"Missing in Data1","Present")</f>
        <v>Present</v>
      </c>
    </row>
    <row r="5561" spans="1:5" x14ac:dyDescent="0.25">
      <c r="A5561" s="2" t="s">
        <v>4606</v>
      </c>
      <c r="B5561" s="2" t="s">
        <v>1514</v>
      </c>
      <c r="C5561" s="2">
        <v>1</v>
      </c>
      <c r="D5561" t="str">
        <f t="shared" si="86"/>
        <v>CA-2017-106782_OFF-ST-10004459</v>
      </c>
      <c r="E5561" t="str">
        <f>IF(COUNTIF(data1!$D:$D,D5561)=0,"Missing in Data1","Present")</f>
        <v>Present</v>
      </c>
    </row>
    <row r="5562" spans="1:5" x14ac:dyDescent="0.25">
      <c r="A5562" s="2" t="s">
        <v>4607</v>
      </c>
      <c r="B5562" s="2" t="s">
        <v>1964</v>
      </c>
      <c r="C5562" s="2">
        <v>3</v>
      </c>
      <c r="D5562" t="str">
        <f t="shared" si="86"/>
        <v>CA-2017-106824_OFF-FA-10001135</v>
      </c>
      <c r="E5562" t="str">
        <f>IF(COUNTIF(data1!$D:$D,D5562)=0,"Missing in Data1","Present")</f>
        <v>Present</v>
      </c>
    </row>
    <row r="5563" spans="1:5" x14ac:dyDescent="0.25">
      <c r="A5563" s="2" t="s">
        <v>4608</v>
      </c>
      <c r="B5563" s="2" t="s">
        <v>891</v>
      </c>
      <c r="C5563" s="2">
        <v>2</v>
      </c>
      <c r="D5563" t="str">
        <f t="shared" si="86"/>
        <v>CA-2017-106831_OFF-BI-10003429</v>
      </c>
      <c r="E5563" t="str">
        <f>IF(COUNTIF(data1!$D:$D,D5563)=0,"Missing in Data1","Present")</f>
        <v>Present</v>
      </c>
    </row>
    <row r="5564" spans="1:5" x14ac:dyDescent="0.25">
      <c r="A5564" s="2" t="s">
        <v>4608</v>
      </c>
      <c r="B5564" s="2" t="s">
        <v>3999</v>
      </c>
      <c r="C5564" s="2">
        <v>6</v>
      </c>
      <c r="D5564" t="str">
        <f t="shared" si="86"/>
        <v>CA-2017-106831_OFF-PA-10000682</v>
      </c>
      <c r="E5564" t="str">
        <f>IF(COUNTIF(data1!$D:$D,D5564)=0,"Missing in Data1","Present")</f>
        <v>Present</v>
      </c>
    </row>
    <row r="5565" spans="1:5" x14ac:dyDescent="0.25">
      <c r="A5565" s="2" t="s">
        <v>4608</v>
      </c>
      <c r="B5565" s="2" t="s">
        <v>2325</v>
      </c>
      <c r="C5565" s="2">
        <v>4</v>
      </c>
      <c r="D5565" t="str">
        <f t="shared" si="86"/>
        <v>CA-2017-106831_TEC-PH-10001700</v>
      </c>
      <c r="E5565" t="str">
        <f>IF(COUNTIF(data1!$D:$D,D5565)=0,"Missing in Data1","Present")</f>
        <v>Present</v>
      </c>
    </row>
    <row r="5566" spans="1:5" x14ac:dyDescent="0.25">
      <c r="A5566" s="2" t="s">
        <v>4609</v>
      </c>
      <c r="B5566" s="2" t="s">
        <v>617</v>
      </c>
      <c r="C5566" s="2">
        <v>2</v>
      </c>
      <c r="D5566" t="str">
        <f t="shared" si="86"/>
        <v>CA-2017-106852_OFF-AR-10003829</v>
      </c>
      <c r="E5566" t="str">
        <f>IF(COUNTIF(data1!$D:$D,D5566)=0,"Missing in Data1","Present")</f>
        <v>Present</v>
      </c>
    </row>
    <row r="5567" spans="1:5" x14ac:dyDescent="0.25">
      <c r="A5567" s="2" t="s">
        <v>4609</v>
      </c>
      <c r="B5567" s="2" t="s">
        <v>926</v>
      </c>
      <c r="C5567" s="2">
        <v>6</v>
      </c>
      <c r="D5567" t="str">
        <f t="shared" si="86"/>
        <v>CA-2017-106852_OFF-PA-10001639</v>
      </c>
      <c r="E5567" t="str">
        <f>IF(COUNTIF(data1!$D:$D,D5567)=0,"Missing in Data1","Present")</f>
        <v>Present</v>
      </c>
    </row>
    <row r="5568" spans="1:5" x14ac:dyDescent="0.25">
      <c r="A5568" s="2" t="s">
        <v>4610</v>
      </c>
      <c r="B5568" s="2" t="s">
        <v>4611</v>
      </c>
      <c r="C5568" s="2">
        <v>7</v>
      </c>
      <c r="D5568" t="str">
        <f t="shared" si="86"/>
        <v>CA-2017-106859_OFF-PA-10001534</v>
      </c>
      <c r="E5568" t="str">
        <f>IF(COUNTIF(data1!$D:$D,D5568)=0,"Missing in Data1","Present")</f>
        <v>Present</v>
      </c>
    </row>
    <row r="5569" spans="1:5" x14ac:dyDescent="0.25">
      <c r="A5569" s="2" t="s">
        <v>4610</v>
      </c>
      <c r="B5569" s="2" t="s">
        <v>2423</v>
      </c>
      <c r="C5569" s="2">
        <v>6</v>
      </c>
      <c r="D5569" t="str">
        <f t="shared" si="86"/>
        <v>CA-2017-106859_OFF-PA-10001815</v>
      </c>
      <c r="E5569" t="str">
        <f>IF(COUNTIF(data1!$D:$D,D5569)=0,"Missing in Data1","Present")</f>
        <v>Present</v>
      </c>
    </row>
    <row r="5570" spans="1:5" x14ac:dyDescent="0.25">
      <c r="A5570" s="2" t="s">
        <v>4610</v>
      </c>
      <c r="B5570" s="2" t="s">
        <v>1443</v>
      </c>
      <c r="C5570" s="2">
        <v>8</v>
      </c>
      <c r="D5570" t="str">
        <f t="shared" si="86"/>
        <v>CA-2017-106859_OFF-ST-10000615</v>
      </c>
      <c r="E5570" t="str">
        <f>IF(COUNTIF(data1!$D:$D,D5570)=0,"Missing in Data1","Present")</f>
        <v>Present</v>
      </c>
    </row>
    <row r="5571" spans="1:5" x14ac:dyDescent="0.25">
      <c r="A5571" s="2" t="s">
        <v>4610</v>
      </c>
      <c r="B5571" s="2" t="s">
        <v>4612</v>
      </c>
      <c r="C5571" s="2">
        <v>5</v>
      </c>
      <c r="D5571" t="str">
        <f t="shared" ref="D5571:D5634" si="87">A5571&amp;"_"&amp;B5571</f>
        <v>CA-2017-106859_TEC-AC-10004001</v>
      </c>
      <c r="E5571" t="str">
        <f>IF(COUNTIF(data1!$D:$D,D5571)=0,"Missing in Data1","Present")</f>
        <v>Present</v>
      </c>
    </row>
    <row r="5572" spans="1:5" x14ac:dyDescent="0.25">
      <c r="A5572" s="2" t="s">
        <v>4610</v>
      </c>
      <c r="B5572" s="2" t="s">
        <v>365</v>
      </c>
      <c r="C5572" s="2">
        <v>8</v>
      </c>
      <c r="D5572" t="str">
        <f t="shared" si="87"/>
        <v>CA-2017-106859_TEC-PH-10004531</v>
      </c>
      <c r="E5572" t="str">
        <f>IF(COUNTIF(data1!$D:$D,D5572)=0,"Missing in Data1","Present")</f>
        <v>Present</v>
      </c>
    </row>
    <row r="5573" spans="1:5" x14ac:dyDescent="0.25">
      <c r="A5573" s="2" t="s">
        <v>4613</v>
      </c>
      <c r="B5573" s="2" t="s">
        <v>1203</v>
      </c>
      <c r="C5573" s="2">
        <v>2</v>
      </c>
      <c r="D5573" t="str">
        <f t="shared" si="87"/>
        <v>CA-2017-106943_OFF-BI-10003669</v>
      </c>
      <c r="E5573" t="str">
        <f>IF(COUNTIF(data1!$D:$D,D5573)=0,"Missing in Data1","Present")</f>
        <v>Present</v>
      </c>
    </row>
    <row r="5574" spans="1:5" x14ac:dyDescent="0.25">
      <c r="A5574" s="2" t="s">
        <v>4614</v>
      </c>
      <c r="B5574" s="2" t="s">
        <v>152</v>
      </c>
      <c r="C5574" s="2">
        <v>2</v>
      </c>
      <c r="D5574" t="str">
        <f t="shared" si="87"/>
        <v>CA-2017-106964_OFF-BI-10000320</v>
      </c>
      <c r="E5574" t="str">
        <f>IF(COUNTIF(data1!$D:$D,D5574)=0,"Missing in Data1","Present")</f>
        <v>Present</v>
      </c>
    </row>
    <row r="5575" spans="1:5" x14ac:dyDescent="0.25">
      <c r="A5575" s="2" t="s">
        <v>4615</v>
      </c>
      <c r="B5575" s="2" t="s">
        <v>2300</v>
      </c>
      <c r="C5575" s="2">
        <v>3</v>
      </c>
      <c r="D5575" t="str">
        <f t="shared" si="87"/>
        <v>CA-2017-107125_FUR-FU-10000732</v>
      </c>
      <c r="E5575" t="str">
        <f>IF(COUNTIF(data1!$D:$D,D5575)=0,"Missing in Data1","Present")</f>
        <v>Present</v>
      </c>
    </row>
    <row r="5576" spans="1:5" x14ac:dyDescent="0.25">
      <c r="A5576" s="2" t="s">
        <v>4615</v>
      </c>
      <c r="B5576" s="2" t="s">
        <v>1223</v>
      </c>
      <c r="C5576" s="2">
        <v>7</v>
      </c>
      <c r="D5576" t="str">
        <f t="shared" si="87"/>
        <v>CA-2017-107125_OFF-BI-10001989</v>
      </c>
      <c r="E5576" t="str">
        <f>IF(COUNTIF(data1!$D:$D,D5576)=0,"Missing in Data1","Present")</f>
        <v>Present</v>
      </c>
    </row>
    <row r="5577" spans="1:5" x14ac:dyDescent="0.25">
      <c r="A5577" s="2" t="s">
        <v>4616</v>
      </c>
      <c r="B5577" s="2" t="s">
        <v>921</v>
      </c>
      <c r="C5577" s="2">
        <v>2</v>
      </c>
      <c r="D5577" t="str">
        <f t="shared" si="87"/>
        <v>CA-2017-107132_OFF-BI-10001071</v>
      </c>
      <c r="E5577" t="str">
        <f>IF(COUNTIF(data1!$D:$D,D5577)=0,"Missing in Data1","Present")</f>
        <v>Present</v>
      </c>
    </row>
    <row r="5578" spans="1:5" x14ac:dyDescent="0.25">
      <c r="A5578" s="2" t="s">
        <v>4616</v>
      </c>
      <c r="B5578" s="2" t="s">
        <v>2045</v>
      </c>
      <c r="C5578" s="2">
        <v>3</v>
      </c>
      <c r="D5578" t="str">
        <f t="shared" si="87"/>
        <v>CA-2017-107132_OFF-PA-10003790</v>
      </c>
      <c r="E5578" t="str">
        <f>IF(COUNTIF(data1!$D:$D,D5578)=0,"Missing in Data1","Present")</f>
        <v>Present</v>
      </c>
    </row>
    <row r="5579" spans="1:5" x14ac:dyDescent="0.25">
      <c r="A5579" s="2" t="s">
        <v>4616</v>
      </c>
      <c r="B5579" s="2" t="s">
        <v>34</v>
      </c>
      <c r="C5579" s="2">
        <v>4</v>
      </c>
      <c r="D5579" t="str">
        <f t="shared" si="87"/>
        <v>CA-2017-107132_OFF-ST-10001490</v>
      </c>
      <c r="E5579" t="str">
        <f>IF(COUNTIF(data1!$D:$D,D5579)=0,"Missing in Data1","Present")</f>
        <v>Present</v>
      </c>
    </row>
    <row r="5580" spans="1:5" x14ac:dyDescent="0.25">
      <c r="A5580" s="2" t="s">
        <v>4616</v>
      </c>
      <c r="B5580" s="2" t="s">
        <v>4297</v>
      </c>
      <c r="C5580" s="2">
        <v>5</v>
      </c>
      <c r="D5580" t="str">
        <f t="shared" si="87"/>
        <v>CA-2017-107132_OFF-SU-10002503</v>
      </c>
      <c r="E5580" t="str">
        <f>IF(COUNTIF(data1!$D:$D,D5580)=0,"Missing in Data1","Present")</f>
        <v>Present</v>
      </c>
    </row>
    <row r="5581" spans="1:5" x14ac:dyDescent="0.25">
      <c r="A5581" s="2" t="s">
        <v>4618</v>
      </c>
      <c r="B5581" s="2" t="s">
        <v>2290</v>
      </c>
      <c r="C5581" s="2">
        <v>2</v>
      </c>
      <c r="D5581" t="str">
        <f t="shared" si="87"/>
        <v>CA-2017-107174_FUR-CH-10003312</v>
      </c>
      <c r="E5581" t="str">
        <f>IF(COUNTIF(data1!$D:$D,D5581)=0,"Missing in Data1","Present")</f>
        <v>Present</v>
      </c>
    </row>
    <row r="5582" spans="1:5" x14ac:dyDescent="0.25">
      <c r="A5582" s="2" t="s">
        <v>4618</v>
      </c>
      <c r="B5582" s="2" t="s">
        <v>939</v>
      </c>
      <c r="C5582" s="2">
        <v>7</v>
      </c>
      <c r="D5582" t="str">
        <f t="shared" si="87"/>
        <v>CA-2017-107174_FUR-TA-10004575</v>
      </c>
      <c r="E5582" t="str">
        <f>IF(COUNTIF(data1!$D:$D,D5582)=0,"Missing in Data1","Present")</f>
        <v>Present</v>
      </c>
    </row>
    <row r="5583" spans="1:5" x14ac:dyDescent="0.25">
      <c r="A5583" s="2" t="s">
        <v>4618</v>
      </c>
      <c r="B5583" s="2" t="s">
        <v>161</v>
      </c>
      <c r="C5583" s="2">
        <v>3</v>
      </c>
      <c r="D5583" t="str">
        <f t="shared" si="87"/>
        <v>CA-2017-107174_TEC-AC-10001465</v>
      </c>
      <c r="E5583" t="str">
        <f>IF(COUNTIF(data1!$D:$D,D5583)=0,"Missing in Data1","Present")</f>
        <v>Present</v>
      </c>
    </row>
    <row r="5584" spans="1:5" x14ac:dyDescent="0.25">
      <c r="A5584" s="2" t="s">
        <v>4619</v>
      </c>
      <c r="B5584" s="2" t="s">
        <v>370</v>
      </c>
      <c r="C5584" s="2">
        <v>4</v>
      </c>
      <c r="D5584" t="str">
        <f t="shared" si="87"/>
        <v>CA-2017-107209_FUR-CH-10001146</v>
      </c>
      <c r="E5584" t="str">
        <f>IF(COUNTIF(data1!$D:$D,D5584)=0,"Missing in Data1","Present")</f>
        <v>Present</v>
      </c>
    </row>
    <row r="5585" spans="1:5" x14ac:dyDescent="0.25">
      <c r="A5585" s="2" t="s">
        <v>4620</v>
      </c>
      <c r="B5585" s="2" t="s">
        <v>3622</v>
      </c>
      <c r="C5585" s="2">
        <v>4</v>
      </c>
      <c r="D5585" t="str">
        <f t="shared" si="87"/>
        <v>CA-2017-107244_FUR-FU-10002597</v>
      </c>
      <c r="E5585" t="str">
        <f>IF(COUNTIF(data1!$D:$D,D5585)=0,"Missing in Data1","Present")</f>
        <v>Present</v>
      </c>
    </row>
    <row r="5586" spans="1:5" x14ac:dyDescent="0.25">
      <c r="A5586" s="2" t="s">
        <v>4621</v>
      </c>
      <c r="B5586" s="2" t="s">
        <v>433</v>
      </c>
      <c r="C5586" s="2">
        <v>3</v>
      </c>
      <c r="D5586" t="str">
        <f t="shared" si="87"/>
        <v>CA-2017-107265_OFF-PA-10000474</v>
      </c>
      <c r="E5586" t="str">
        <f>IF(COUNTIF(data1!$D:$D,D5586)=0,"Missing in Data1","Present")</f>
        <v>Present</v>
      </c>
    </row>
    <row r="5587" spans="1:5" x14ac:dyDescent="0.25">
      <c r="A5587" s="2" t="s">
        <v>4622</v>
      </c>
      <c r="B5587" s="2" t="s">
        <v>1596</v>
      </c>
      <c r="C5587" s="2">
        <v>1</v>
      </c>
      <c r="D5587" t="str">
        <f t="shared" si="87"/>
        <v>CA-2017-107293_OFF-AR-10003732</v>
      </c>
      <c r="E5587" t="str">
        <f>IF(COUNTIF(data1!$D:$D,D5587)=0,"Missing in Data1","Present")</f>
        <v>Present</v>
      </c>
    </row>
    <row r="5588" spans="1:5" x14ac:dyDescent="0.25">
      <c r="A5588" s="2" t="s">
        <v>4623</v>
      </c>
      <c r="B5588" s="2" t="s">
        <v>960</v>
      </c>
      <c r="C5588" s="2">
        <v>3</v>
      </c>
      <c r="D5588" t="str">
        <f t="shared" si="87"/>
        <v>CA-2017-107314_FUR-FU-10003489</v>
      </c>
      <c r="E5588" t="str">
        <f>IF(COUNTIF(data1!$D:$D,D5588)=0,"Missing in Data1","Present")</f>
        <v>Present</v>
      </c>
    </row>
    <row r="5589" spans="1:5" x14ac:dyDescent="0.25">
      <c r="A5589" s="2" t="s">
        <v>4624</v>
      </c>
      <c r="B5589" s="2" t="s">
        <v>2726</v>
      </c>
      <c r="C5589" s="2">
        <v>3</v>
      </c>
      <c r="D5589" t="str">
        <f t="shared" si="87"/>
        <v>CA-2017-107321_OFF-BI-10004022</v>
      </c>
      <c r="E5589" t="str">
        <f>IF(COUNTIF(data1!$D:$D,D5589)=0,"Missing in Data1","Present")</f>
        <v>Present</v>
      </c>
    </row>
    <row r="5590" spans="1:5" x14ac:dyDescent="0.25">
      <c r="A5590" s="2" t="s">
        <v>4624</v>
      </c>
      <c r="B5590" s="2" t="s">
        <v>2715</v>
      </c>
      <c r="C5590" s="2">
        <v>4</v>
      </c>
      <c r="D5590" t="str">
        <f t="shared" si="87"/>
        <v>CA-2017-107321_TEC-PH-10002200</v>
      </c>
      <c r="E5590" t="str">
        <f>IF(COUNTIF(data1!$D:$D,D5590)=0,"Missing in Data1","Present")</f>
        <v>Present</v>
      </c>
    </row>
    <row r="5591" spans="1:5" x14ac:dyDescent="0.25">
      <c r="A5591" s="2" t="s">
        <v>4625</v>
      </c>
      <c r="B5591" s="2" t="s">
        <v>3913</v>
      </c>
      <c r="C5591" s="2">
        <v>4</v>
      </c>
      <c r="D5591" t="str">
        <f t="shared" si="87"/>
        <v>CA-2017-107342_OFF-PA-10001745</v>
      </c>
      <c r="E5591" t="str">
        <f>IF(COUNTIF(data1!$D:$D,D5591)=0,"Missing in Data1","Present")</f>
        <v>Present</v>
      </c>
    </row>
    <row r="5592" spans="1:5" x14ac:dyDescent="0.25">
      <c r="A5592" s="2" t="s">
        <v>4626</v>
      </c>
      <c r="B5592" s="2" t="s">
        <v>2819</v>
      </c>
      <c r="C5592" s="2">
        <v>6</v>
      </c>
      <c r="D5592" t="str">
        <f t="shared" si="87"/>
        <v>CA-2017-107461_OFF-BI-10002003</v>
      </c>
      <c r="E5592" t="str">
        <f>IF(COUNTIF(data1!$D:$D,D5592)=0,"Missing in Data1","Present")</f>
        <v>Present</v>
      </c>
    </row>
    <row r="5593" spans="1:5" x14ac:dyDescent="0.25">
      <c r="A5593" s="2" t="s">
        <v>4627</v>
      </c>
      <c r="B5593" s="2" t="s">
        <v>1276</v>
      </c>
      <c r="C5593" s="2">
        <v>4</v>
      </c>
      <c r="D5593" t="str">
        <f t="shared" si="87"/>
        <v>CA-2017-107503_FUR-FU-10003878</v>
      </c>
      <c r="E5593" t="str">
        <f>IF(COUNTIF(data1!$D:$D,D5593)=0,"Missing in Data1","Present")</f>
        <v>Present</v>
      </c>
    </row>
    <row r="5594" spans="1:5" x14ac:dyDescent="0.25">
      <c r="A5594" s="2" t="s">
        <v>4628</v>
      </c>
      <c r="B5594" s="2" t="s">
        <v>2327</v>
      </c>
      <c r="C5594" s="2">
        <v>5</v>
      </c>
      <c r="D5594" t="str">
        <f t="shared" si="87"/>
        <v>CA-2017-107517_OFF-AP-10000275</v>
      </c>
      <c r="E5594" t="str">
        <f>IF(COUNTIF(data1!$D:$D,D5594)=0,"Missing in Data1","Present")</f>
        <v>Present</v>
      </c>
    </row>
    <row r="5595" spans="1:5" x14ac:dyDescent="0.25">
      <c r="A5595" s="2" t="s">
        <v>4628</v>
      </c>
      <c r="B5595" s="2" t="s">
        <v>139</v>
      </c>
      <c r="C5595" s="2">
        <v>5</v>
      </c>
      <c r="D5595" t="str">
        <f t="shared" si="87"/>
        <v>CA-2017-107517_TEC-PH-10003505</v>
      </c>
      <c r="E5595" t="str">
        <f>IF(COUNTIF(data1!$D:$D,D5595)=0,"Missing in Data1","Present")</f>
        <v>Present</v>
      </c>
    </row>
    <row r="5596" spans="1:5" x14ac:dyDescent="0.25">
      <c r="A5596" s="2" t="s">
        <v>4629</v>
      </c>
      <c r="B5596" s="2" t="s">
        <v>610</v>
      </c>
      <c r="C5596" s="2">
        <v>1</v>
      </c>
      <c r="D5596" t="str">
        <f t="shared" si="87"/>
        <v>CA-2017-107552_OFF-PA-10002947</v>
      </c>
      <c r="E5596" t="str">
        <f>IF(COUNTIF(data1!$D:$D,D5596)=0,"Missing in Data1","Present")</f>
        <v>Present</v>
      </c>
    </row>
    <row r="5597" spans="1:5" x14ac:dyDescent="0.25">
      <c r="A5597" s="2" t="s">
        <v>4630</v>
      </c>
      <c r="B5597" s="2" t="s">
        <v>1802</v>
      </c>
      <c r="C5597" s="2">
        <v>6</v>
      </c>
      <c r="D5597" t="str">
        <f t="shared" si="87"/>
        <v>CA-2017-107629_FUR-FU-10002298</v>
      </c>
      <c r="E5597" t="str">
        <f>IF(COUNTIF(data1!$D:$D,D5597)=0,"Missing in Data1","Present")</f>
        <v>Present</v>
      </c>
    </row>
    <row r="5598" spans="1:5" x14ac:dyDescent="0.25">
      <c r="A5598" s="2" t="s">
        <v>4630</v>
      </c>
      <c r="B5598" s="2" t="s">
        <v>118</v>
      </c>
      <c r="C5598" s="2">
        <v>3</v>
      </c>
      <c r="D5598" t="str">
        <f t="shared" si="87"/>
        <v>CA-2017-107629_FUR-FU-10004091</v>
      </c>
      <c r="E5598" t="str">
        <f>IF(COUNTIF(data1!$D:$D,D5598)=0,"Missing in Data1","Present")</f>
        <v>Present</v>
      </c>
    </row>
    <row r="5599" spans="1:5" x14ac:dyDescent="0.25">
      <c r="A5599" s="2" t="s">
        <v>4630</v>
      </c>
      <c r="B5599" s="2" t="s">
        <v>676</v>
      </c>
      <c r="C5599" s="2">
        <v>3</v>
      </c>
      <c r="D5599" t="str">
        <f t="shared" si="87"/>
        <v>CA-2017-107629_TEC-AC-10004510</v>
      </c>
      <c r="E5599" t="str">
        <f>IF(COUNTIF(data1!$D:$D,D5599)=0,"Missing in Data1","Present")</f>
        <v>Present</v>
      </c>
    </row>
    <row r="5600" spans="1:5" x14ac:dyDescent="0.25">
      <c r="A5600" s="2" t="s">
        <v>4631</v>
      </c>
      <c r="B5600" s="2" t="s">
        <v>637</v>
      </c>
      <c r="C5600" s="2">
        <v>3</v>
      </c>
      <c r="D5600" t="str">
        <f t="shared" si="87"/>
        <v>CA-2017-107713_OFF-BI-10002026</v>
      </c>
      <c r="E5600" t="str">
        <f>IF(COUNTIF(data1!$D:$D,D5600)=0,"Missing in Data1","Present")</f>
        <v>Present</v>
      </c>
    </row>
    <row r="5601" spans="1:5" x14ac:dyDescent="0.25">
      <c r="A5601" s="2" t="s">
        <v>4632</v>
      </c>
      <c r="B5601" s="2" t="s">
        <v>4633</v>
      </c>
      <c r="C5601" s="2">
        <v>3</v>
      </c>
      <c r="D5601" t="str">
        <f t="shared" si="87"/>
        <v>CA-2017-107720_OFF-ST-10001414</v>
      </c>
      <c r="E5601" t="str">
        <f>IF(COUNTIF(data1!$D:$D,D5601)=0,"Missing in Data1","Present")</f>
        <v>Present</v>
      </c>
    </row>
    <row r="5602" spans="1:5" x14ac:dyDescent="0.25">
      <c r="A5602" s="2" t="s">
        <v>4634</v>
      </c>
      <c r="B5602" s="2" t="s">
        <v>2455</v>
      </c>
      <c r="C5602" s="2">
        <v>3</v>
      </c>
      <c r="D5602" t="str">
        <f t="shared" si="87"/>
        <v>CA-2017-107727_OFF-PA-10000249</v>
      </c>
      <c r="E5602" t="str">
        <f>IF(COUNTIF(data1!$D:$D,D5602)=0,"Missing in Data1","Present")</f>
        <v>Present</v>
      </c>
    </row>
    <row r="5603" spans="1:5" x14ac:dyDescent="0.25">
      <c r="A5603" s="2" t="s">
        <v>4635</v>
      </c>
      <c r="B5603" s="2" t="s">
        <v>572</v>
      </c>
      <c r="C5603" s="2">
        <v>2</v>
      </c>
      <c r="D5603" t="str">
        <f t="shared" si="87"/>
        <v>CA-2017-107748_OFF-PA-10002005</v>
      </c>
      <c r="E5603" t="str">
        <f>IF(COUNTIF(data1!$D:$D,D5603)=0,"Missing in Data1","Present")</f>
        <v>Present</v>
      </c>
    </row>
    <row r="5604" spans="1:5" x14ac:dyDescent="0.25">
      <c r="A5604" s="2" t="s">
        <v>4635</v>
      </c>
      <c r="B5604" s="2" t="s">
        <v>1934</v>
      </c>
      <c r="C5604" s="2">
        <v>4</v>
      </c>
      <c r="D5604" t="str">
        <f t="shared" si="87"/>
        <v>CA-2017-107748_TEC-PH-10003215</v>
      </c>
      <c r="E5604" t="str">
        <f>IF(COUNTIF(data1!$D:$D,D5604)=0,"Missing in Data1","Present")</f>
        <v>Present</v>
      </c>
    </row>
    <row r="5605" spans="1:5" x14ac:dyDescent="0.25">
      <c r="A5605" s="2" t="s">
        <v>6822</v>
      </c>
      <c r="B5605" s="2" t="s">
        <v>2011</v>
      </c>
      <c r="C5605" s="2">
        <v>8</v>
      </c>
      <c r="D5605" t="str">
        <f t="shared" si="87"/>
        <v>CA-2017-107797_OFF-PA-10003848</v>
      </c>
      <c r="E5605" t="str">
        <f>IF(COUNTIF(data1!$D:$D,D5605)=0,"Missing in Data1","Present")</f>
        <v>Missing in Data1</v>
      </c>
    </row>
    <row r="5606" spans="1:5" x14ac:dyDescent="0.25">
      <c r="A5606" s="2" t="s">
        <v>4636</v>
      </c>
      <c r="B5606" s="2" t="s">
        <v>3306</v>
      </c>
      <c r="C5606" s="2">
        <v>2</v>
      </c>
      <c r="D5606" t="str">
        <f t="shared" si="87"/>
        <v>CA-2017-107825_FUR-FU-10000206</v>
      </c>
      <c r="E5606" t="str">
        <f>IF(COUNTIF(data1!$D:$D,D5606)=0,"Missing in Data1","Present")</f>
        <v>Present</v>
      </c>
    </row>
    <row r="5607" spans="1:5" x14ac:dyDescent="0.25">
      <c r="A5607" s="2" t="s">
        <v>4636</v>
      </c>
      <c r="B5607" s="2" t="s">
        <v>114</v>
      </c>
      <c r="C5607" s="2">
        <v>2</v>
      </c>
      <c r="D5607" t="str">
        <f t="shared" si="87"/>
        <v>CA-2017-107825_OFF-LA-10003720</v>
      </c>
      <c r="E5607" t="str">
        <f>IF(COUNTIF(data1!$D:$D,D5607)=0,"Missing in Data1","Present")</f>
        <v>Present</v>
      </c>
    </row>
    <row r="5608" spans="1:5" x14ac:dyDescent="0.25">
      <c r="A5608" s="2" t="s">
        <v>4636</v>
      </c>
      <c r="B5608" s="2" t="s">
        <v>202</v>
      </c>
      <c r="C5608" s="2">
        <v>1</v>
      </c>
      <c r="D5608" t="str">
        <f t="shared" si="87"/>
        <v>CA-2017-107825_OFF-ST-10000777</v>
      </c>
      <c r="E5608" t="str">
        <f>IF(COUNTIF(data1!$D:$D,D5608)=0,"Missing in Data1","Present")</f>
        <v>Present</v>
      </c>
    </row>
    <row r="5609" spans="1:5" x14ac:dyDescent="0.25">
      <c r="A5609" s="2" t="s">
        <v>4636</v>
      </c>
      <c r="B5609" s="2" t="s">
        <v>269</v>
      </c>
      <c r="C5609" s="2">
        <v>6</v>
      </c>
      <c r="D5609" t="str">
        <f t="shared" si="87"/>
        <v>CA-2017-107825_OFF-ST-10001321</v>
      </c>
      <c r="E5609" t="str">
        <f>IF(COUNTIF(data1!$D:$D,D5609)=0,"Missing in Data1","Present")</f>
        <v>Present</v>
      </c>
    </row>
    <row r="5610" spans="1:5" x14ac:dyDescent="0.25">
      <c r="A5610" s="2" t="s">
        <v>4637</v>
      </c>
      <c r="B5610" s="2" t="s">
        <v>190</v>
      </c>
      <c r="C5610" s="2">
        <v>1</v>
      </c>
      <c r="D5610" t="str">
        <f t="shared" si="87"/>
        <v>CA-2017-107832_OFF-BI-10001658</v>
      </c>
      <c r="E5610" t="str">
        <f>IF(COUNTIF(data1!$D:$D,D5610)=0,"Missing in Data1","Present")</f>
        <v>Present</v>
      </c>
    </row>
    <row r="5611" spans="1:5" x14ac:dyDescent="0.25">
      <c r="A5611" s="2" t="s">
        <v>4638</v>
      </c>
      <c r="B5611" s="2" t="s">
        <v>3228</v>
      </c>
      <c r="C5611" s="2">
        <v>2</v>
      </c>
      <c r="D5611" t="str">
        <f t="shared" si="87"/>
        <v>CA-2017-107853_OFF-PA-10000520</v>
      </c>
      <c r="E5611" t="str">
        <f>IF(COUNTIF(data1!$D:$D,D5611)=0,"Missing in Data1","Present")</f>
        <v>Present</v>
      </c>
    </row>
    <row r="5612" spans="1:5" x14ac:dyDescent="0.25">
      <c r="A5612" s="2" t="s">
        <v>4639</v>
      </c>
      <c r="B5612" s="2" t="s">
        <v>2746</v>
      </c>
      <c r="C5612" s="2">
        <v>1</v>
      </c>
      <c r="D5612" t="str">
        <f t="shared" si="87"/>
        <v>CA-2017-107874_FUR-FU-10003535</v>
      </c>
      <c r="E5612" t="str">
        <f>IF(COUNTIF(data1!$D:$D,D5612)=0,"Missing in Data1","Present")</f>
        <v>Present</v>
      </c>
    </row>
    <row r="5613" spans="1:5" x14ac:dyDescent="0.25">
      <c r="A5613" s="2" t="s">
        <v>4640</v>
      </c>
      <c r="B5613" s="2" t="s">
        <v>2525</v>
      </c>
      <c r="C5613" s="2">
        <v>1</v>
      </c>
      <c r="D5613" t="str">
        <f t="shared" si="87"/>
        <v>CA-2017-107909_TEC-AC-10001998</v>
      </c>
      <c r="E5613" t="str">
        <f>IF(COUNTIF(data1!$D:$D,D5613)=0,"Missing in Data1","Present")</f>
        <v>Present</v>
      </c>
    </row>
    <row r="5614" spans="1:5" x14ac:dyDescent="0.25">
      <c r="A5614" s="2" t="s">
        <v>4641</v>
      </c>
      <c r="B5614" s="2" t="s">
        <v>126</v>
      </c>
      <c r="C5614" s="2">
        <v>4</v>
      </c>
      <c r="D5614" t="str">
        <f t="shared" si="87"/>
        <v>CA-2017-107958_OFF-BI-10001787</v>
      </c>
      <c r="E5614" t="str">
        <f>IF(COUNTIF(data1!$D:$D,D5614)=0,"Missing in Data1","Present")</f>
        <v>Present</v>
      </c>
    </row>
    <row r="5615" spans="1:5" x14ac:dyDescent="0.25">
      <c r="A5615" s="2" t="s">
        <v>4641</v>
      </c>
      <c r="B5615" s="2" t="s">
        <v>41</v>
      </c>
      <c r="C5615" s="2">
        <v>5</v>
      </c>
      <c r="D5615" t="str">
        <f t="shared" si="87"/>
        <v>CA-2017-107958_OFF-PA-10000357</v>
      </c>
      <c r="E5615" t="str">
        <f>IF(COUNTIF(data1!$D:$D,D5615)=0,"Missing in Data1","Present")</f>
        <v>Present</v>
      </c>
    </row>
    <row r="5616" spans="1:5" x14ac:dyDescent="0.25">
      <c r="A5616" s="2" t="s">
        <v>4642</v>
      </c>
      <c r="B5616" s="2" t="s">
        <v>2467</v>
      </c>
      <c r="C5616" s="2">
        <v>3</v>
      </c>
      <c r="D5616" t="str">
        <f t="shared" si="87"/>
        <v>CA-2017-107986_OFF-ST-10001325</v>
      </c>
      <c r="E5616" t="str">
        <f>IF(COUNTIF(data1!$D:$D,D5616)=0,"Missing in Data1","Present")</f>
        <v>Present</v>
      </c>
    </row>
    <row r="5617" spans="1:5" x14ac:dyDescent="0.25">
      <c r="A5617" s="2" t="s">
        <v>4643</v>
      </c>
      <c r="B5617" s="2" t="s">
        <v>1612</v>
      </c>
      <c r="C5617" s="2">
        <v>1</v>
      </c>
      <c r="D5617" t="str">
        <f t="shared" si="87"/>
        <v>CA-2017-108000_OFF-EN-10002621</v>
      </c>
      <c r="E5617" t="str">
        <f>IF(COUNTIF(data1!$D:$D,D5617)=0,"Missing in Data1","Present")</f>
        <v>Present</v>
      </c>
    </row>
    <row r="5618" spans="1:5" x14ac:dyDescent="0.25">
      <c r="A5618" s="2" t="s">
        <v>4644</v>
      </c>
      <c r="B5618" s="2" t="s">
        <v>297</v>
      </c>
      <c r="C5618" s="2">
        <v>2</v>
      </c>
      <c r="D5618" t="str">
        <f t="shared" si="87"/>
        <v>CA-2017-108035_FUR-CH-10000454</v>
      </c>
      <c r="E5618" t="str">
        <f>IF(COUNTIF(data1!$D:$D,D5618)=0,"Missing in Data1","Present")</f>
        <v>Present</v>
      </c>
    </row>
    <row r="5619" spans="1:5" x14ac:dyDescent="0.25">
      <c r="A5619" s="2" t="s">
        <v>4644</v>
      </c>
      <c r="B5619" s="2" t="s">
        <v>1830</v>
      </c>
      <c r="C5619" s="2">
        <v>5</v>
      </c>
      <c r="D5619" t="str">
        <f t="shared" si="87"/>
        <v>CA-2017-108035_FUR-FU-10004017</v>
      </c>
      <c r="E5619" t="str">
        <f>IF(COUNTIF(data1!$D:$D,D5619)=0,"Missing in Data1","Present")</f>
        <v>Present</v>
      </c>
    </row>
    <row r="5620" spans="1:5" x14ac:dyDescent="0.25">
      <c r="A5620" s="2" t="s">
        <v>4645</v>
      </c>
      <c r="B5620" s="2" t="s">
        <v>69</v>
      </c>
      <c r="C5620" s="2">
        <v>1</v>
      </c>
      <c r="D5620" t="str">
        <f t="shared" si="87"/>
        <v>CA-2017-108070_FUR-BO-10001337</v>
      </c>
      <c r="E5620" t="str">
        <f>IF(COUNTIF(data1!$D:$D,D5620)=0,"Missing in Data1","Present")</f>
        <v>Present</v>
      </c>
    </row>
    <row r="5621" spans="1:5" x14ac:dyDescent="0.25">
      <c r="A5621" s="2" t="s">
        <v>4645</v>
      </c>
      <c r="B5621" s="2" t="s">
        <v>2460</v>
      </c>
      <c r="C5621" s="2">
        <v>4</v>
      </c>
      <c r="D5621" t="str">
        <f t="shared" si="87"/>
        <v>CA-2017-108070_OFF-ST-10004804</v>
      </c>
      <c r="E5621" t="str">
        <f>IF(COUNTIF(data1!$D:$D,D5621)=0,"Missing in Data1","Present")</f>
        <v>Present</v>
      </c>
    </row>
    <row r="5622" spans="1:5" x14ac:dyDescent="0.25">
      <c r="A5622" s="2" t="s">
        <v>4646</v>
      </c>
      <c r="B5622" s="2" t="s">
        <v>4301</v>
      </c>
      <c r="C5622" s="2">
        <v>4</v>
      </c>
      <c r="D5622" t="str">
        <f t="shared" si="87"/>
        <v>CA-2017-108091_OFF-AR-10000255</v>
      </c>
      <c r="E5622" t="str">
        <f>IF(COUNTIF(data1!$D:$D,D5622)=0,"Missing in Data1","Present")</f>
        <v>Present</v>
      </c>
    </row>
    <row r="5623" spans="1:5" x14ac:dyDescent="0.25">
      <c r="A5623" s="2" t="s">
        <v>4647</v>
      </c>
      <c r="B5623" s="2" t="s">
        <v>3455</v>
      </c>
      <c r="C5623" s="2">
        <v>4</v>
      </c>
      <c r="D5623" t="str">
        <f t="shared" si="87"/>
        <v>CA-2017-108112_FUR-FU-10001488</v>
      </c>
      <c r="E5623" t="str">
        <f>IF(COUNTIF(data1!$D:$D,D5623)=0,"Missing in Data1","Present")</f>
        <v>Missing in Data1</v>
      </c>
    </row>
    <row r="5624" spans="1:5" x14ac:dyDescent="0.25">
      <c r="A5624" s="2" t="s">
        <v>4647</v>
      </c>
      <c r="B5624" s="2" t="s">
        <v>769</v>
      </c>
      <c r="C5624" s="2">
        <v>4</v>
      </c>
      <c r="D5624" t="str">
        <f t="shared" si="87"/>
        <v>CA-2017-108112_FUR-FU-10003553</v>
      </c>
      <c r="E5624" t="str">
        <f>IF(COUNTIF(data1!$D:$D,D5624)=0,"Missing in Data1","Present")</f>
        <v>Present</v>
      </c>
    </row>
    <row r="5625" spans="1:5" x14ac:dyDescent="0.25">
      <c r="A5625" s="2" t="s">
        <v>4649</v>
      </c>
      <c r="B5625" s="2" t="s">
        <v>1686</v>
      </c>
      <c r="C5625" s="2">
        <v>3</v>
      </c>
      <c r="D5625" t="str">
        <f t="shared" si="87"/>
        <v>CA-2017-108294_OFF-BI-10004965</v>
      </c>
      <c r="E5625" t="str">
        <f>IF(COUNTIF(data1!$D:$D,D5625)=0,"Missing in Data1","Present")</f>
        <v>Present</v>
      </c>
    </row>
    <row r="5626" spans="1:5" x14ac:dyDescent="0.25">
      <c r="A5626" s="2" t="s">
        <v>4650</v>
      </c>
      <c r="B5626" s="2" t="s">
        <v>2317</v>
      </c>
      <c r="C5626" s="2">
        <v>8</v>
      </c>
      <c r="D5626" t="str">
        <f t="shared" si="87"/>
        <v>CA-2017-108322_FUR-FU-10001935</v>
      </c>
      <c r="E5626" t="str">
        <f>IF(COUNTIF(data1!$D:$D,D5626)=0,"Missing in Data1","Present")</f>
        <v>Present</v>
      </c>
    </row>
    <row r="5627" spans="1:5" x14ac:dyDescent="0.25">
      <c r="A5627" s="2" t="s">
        <v>4650</v>
      </c>
      <c r="B5627" s="2" t="s">
        <v>1753</v>
      </c>
      <c r="C5627" s="2">
        <v>3</v>
      </c>
      <c r="D5627" t="str">
        <f t="shared" si="87"/>
        <v>CA-2017-108322_TEC-AC-10003433</v>
      </c>
      <c r="E5627" t="str">
        <f>IF(COUNTIF(data1!$D:$D,D5627)=0,"Missing in Data1","Present")</f>
        <v>Present</v>
      </c>
    </row>
    <row r="5628" spans="1:5" x14ac:dyDescent="0.25">
      <c r="A5628" s="2" t="s">
        <v>4651</v>
      </c>
      <c r="B5628" s="2" t="s">
        <v>4165</v>
      </c>
      <c r="C5628" s="2">
        <v>4</v>
      </c>
      <c r="D5628" t="str">
        <f t="shared" si="87"/>
        <v>CA-2017-108329_TEC-PH-10001918</v>
      </c>
      <c r="E5628" t="str">
        <f>IF(COUNTIF(data1!$D:$D,D5628)=0,"Missing in Data1","Present")</f>
        <v>Present</v>
      </c>
    </row>
    <row r="5629" spans="1:5" x14ac:dyDescent="0.25">
      <c r="A5629" s="2" t="s">
        <v>4652</v>
      </c>
      <c r="B5629" s="2" t="s">
        <v>1520</v>
      </c>
      <c r="C5629" s="2">
        <v>4</v>
      </c>
      <c r="D5629" t="str">
        <f t="shared" si="87"/>
        <v>CA-2017-108441_FUR-CH-10000595</v>
      </c>
      <c r="E5629" t="str">
        <f>IF(COUNTIF(data1!$D:$D,D5629)=0,"Missing in Data1","Present")</f>
        <v>Missing in Data1</v>
      </c>
    </row>
    <row r="5630" spans="1:5" x14ac:dyDescent="0.25">
      <c r="A5630" s="2" t="s">
        <v>4652</v>
      </c>
      <c r="B5630" s="2" t="s">
        <v>2239</v>
      </c>
      <c r="C5630" s="2">
        <v>3</v>
      </c>
      <c r="D5630" t="str">
        <f t="shared" si="87"/>
        <v>CA-2017-108441_OFF-AR-10004691</v>
      </c>
      <c r="E5630" t="str">
        <f>IF(COUNTIF(data1!$D:$D,D5630)=0,"Missing in Data1","Present")</f>
        <v>Present</v>
      </c>
    </row>
    <row r="5631" spans="1:5" x14ac:dyDescent="0.25">
      <c r="A5631" s="2" t="s">
        <v>4652</v>
      </c>
      <c r="B5631" s="2" t="s">
        <v>1906</v>
      </c>
      <c r="C5631" s="2">
        <v>3</v>
      </c>
      <c r="D5631" t="str">
        <f t="shared" si="87"/>
        <v>CA-2017-108441_OFF-BI-10000848</v>
      </c>
      <c r="E5631" t="str">
        <f>IF(COUNTIF(data1!$D:$D,D5631)=0,"Missing in Data1","Present")</f>
        <v>Present</v>
      </c>
    </row>
    <row r="5632" spans="1:5" x14ac:dyDescent="0.25">
      <c r="A5632" s="2" t="s">
        <v>4652</v>
      </c>
      <c r="B5632" s="2" t="s">
        <v>3806</v>
      </c>
      <c r="C5632" s="2">
        <v>4</v>
      </c>
      <c r="D5632" t="str">
        <f t="shared" si="87"/>
        <v>CA-2017-108441_OFF-PA-10000697</v>
      </c>
      <c r="E5632" t="str">
        <f>IF(COUNTIF(data1!$D:$D,D5632)=0,"Missing in Data1","Present")</f>
        <v>Present</v>
      </c>
    </row>
    <row r="5633" spans="1:5" x14ac:dyDescent="0.25">
      <c r="A5633" s="2" t="s">
        <v>4653</v>
      </c>
      <c r="B5633" s="2" t="s">
        <v>773</v>
      </c>
      <c r="C5633" s="2">
        <v>2</v>
      </c>
      <c r="D5633" t="str">
        <f t="shared" si="87"/>
        <v>CA-2017-108539_OFF-BI-10001031</v>
      </c>
      <c r="E5633" t="str">
        <f>IF(COUNTIF(data1!$D:$D,D5633)=0,"Missing in Data1","Present")</f>
        <v>Present</v>
      </c>
    </row>
    <row r="5634" spans="1:5" x14ac:dyDescent="0.25">
      <c r="A5634" s="2" t="s">
        <v>4653</v>
      </c>
      <c r="B5634" s="2" t="s">
        <v>1105</v>
      </c>
      <c r="C5634" s="2">
        <v>3</v>
      </c>
      <c r="D5634" t="str">
        <f t="shared" si="87"/>
        <v>CA-2017-108539_OFF-BI-10003981</v>
      </c>
      <c r="E5634" t="str">
        <f>IF(COUNTIF(data1!$D:$D,D5634)=0,"Missing in Data1","Present")</f>
        <v>Present</v>
      </c>
    </row>
    <row r="5635" spans="1:5" x14ac:dyDescent="0.25">
      <c r="A5635" s="2" t="s">
        <v>4653</v>
      </c>
      <c r="B5635" s="2" t="s">
        <v>550</v>
      </c>
      <c r="C5635" s="2">
        <v>4</v>
      </c>
      <c r="D5635" t="str">
        <f t="shared" ref="D5635:D5698" si="88">A5635&amp;"_"&amp;B5635</f>
        <v>CA-2017-108539_OFF-ST-10003208</v>
      </c>
      <c r="E5635" t="str">
        <f>IF(COUNTIF(data1!$D:$D,D5635)=0,"Missing in Data1","Present")</f>
        <v>Present</v>
      </c>
    </row>
    <row r="5636" spans="1:5" x14ac:dyDescent="0.25">
      <c r="A5636" s="2" t="s">
        <v>4654</v>
      </c>
      <c r="B5636" s="2" t="s">
        <v>1975</v>
      </c>
      <c r="C5636" s="2">
        <v>2</v>
      </c>
      <c r="D5636" t="str">
        <f t="shared" si="88"/>
        <v>CA-2017-108553_OFF-AP-10000026</v>
      </c>
      <c r="E5636" t="str">
        <f>IF(COUNTIF(data1!$D:$D,D5636)=0,"Missing in Data1","Present")</f>
        <v>Present</v>
      </c>
    </row>
    <row r="5637" spans="1:5" x14ac:dyDescent="0.25">
      <c r="A5637" s="2" t="s">
        <v>4654</v>
      </c>
      <c r="B5637" s="2" t="s">
        <v>1948</v>
      </c>
      <c r="C5637" s="2">
        <v>7</v>
      </c>
      <c r="D5637" t="str">
        <f t="shared" si="88"/>
        <v>CA-2017-108553_OFF-SU-10002573</v>
      </c>
      <c r="E5637" t="str">
        <f>IF(COUNTIF(data1!$D:$D,D5637)=0,"Missing in Data1","Present")</f>
        <v>Present</v>
      </c>
    </row>
    <row r="5638" spans="1:5" x14ac:dyDescent="0.25">
      <c r="A5638" s="2" t="s">
        <v>4655</v>
      </c>
      <c r="B5638" s="2" t="s">
        <v>2850</v>
      </c>
      <c r="C5638" s="2">
        <v>2</v>
      </c>
      <c r="D5638" t="str">
        <f t="shared" si="88"/>
        <v>CA-2017-108560_FUR-FU-10002937</v>
      </c>
      <c r="E5638" t="str">
        <f>IF(COUNTIF(data1!$D:$D,D5638)=0,"Missing in Data1","Present")</f>
        <v>Present</v>
      </c>
    </row>
    <row r="5639" spans="1:5" x14ac:dyDescent="0.25">
      <c r="A5639" s="2" t="s">
        <v>4655</v>
      </c>
      <c r="B5639" s="2" t="s">
        <v>534</v>
      </c>
      <c r="C5639" s="2">
        <v>2</v>
      </c>
      <c r="D5639" t="str">
        <f t="shared" si="88"/>
        <v>CA-2017-108560_OFF-BI-10001107</v>
      </c>
      <c r="E5639" t="str">
        <f>IF(COUNTIF(data1!$D:$D,D5639)=0,"Missing in Data1","Present")</f>
        <v>Present</v>
      </c>
    </row>
    <row r="5640" spans="1:5" x14ac:dyDescent="0.25">
      <c r="A5640" s="2" t="s">
        <v>4655</v>
      </c>
      <c r="B5640" s="2" t="s">
        <v>24</v>
      </c>
      <c r="C5640" s="2">
        <v>8</v>
      </c>
      <c r="D5640" t="str">
        <f t="shared" si="88"/>
        <v>CA-2017-108560_OFF-LA-10003930</v>
      </c>
      <c r="E5640" t="str">
        <f>IF(COUNTIF(data1!$D:$D,D5640)=0,"Missing in Data1","Present")</f>
        <v>Present</v>
      </c>
    </row>
    <row r="5641" spans="1:5" x14ac:dyDescent="0.25">
      <c r="A5641" s="2" t="s">
        <v>4655</v>
      </c>
      <c r="B5641" s="2" t="s">
        <v>2389</v>
      </c>
      <c r="C5641" s="2">
        <v>2</v>
      </c>
      <c r="D5641" t="str">
        <f t="shared" si="88"/>
        <v>CA-2017-108560_TEC-AC-10003063</v>
      </c>
      <c r="E5641" t="str">
        <f>IF(COUNTIF(data1!$D:$D,D5641)=0,"Missing in Data1","Present")</f>
        <v>Present</v>
      </c>
    </row>
    <row r="5642" spans="1:5" x14ac:dyDescent="0.25">
      <c r="A5642" s="2" t="s">
        <v>4656</v>
      </c>
      <c r="B5642" s="2" t="s">
        <v>1053</v>
      </c>
      <c r="C5642" s="2">
        <v>9</v>
      </c>
      <c r="D5642" t="str">
        <f t="shared" si="88"/>
        <v>CA-2017-108574_TEC-AC-10002049</v>
      </c>
      <c r="E5642" t="str">
        <f>IF(COUNTIF(data1!$D:$D,D5642)=0,"Missing in Data1","Present")</f>
        <v>Present</v>
      </c>
    </row>
    <row r="5643" spans="1:5" x14ac:dyDescent="0.25">
      <c r="A5643" s="2" t="s">
        <v>4656</v>
      </c>
      <c r="B5643" s="2" t="s">
        <v>704</v>
      </c>
      <c r="C5643" s="2">
        <v>10</v>
      </c>
      <c r="D5643" t="str">
        <f t="shared" si="88"/>
        <v>CA-2017-108574_TEC-PH-10000702</v>
      </c>
      <c r="E5643" t="str">
        <f>IF(COUNTIF(data1!$D:$D,D5643)=0,"Missing in Data1","Present")</f>
        <v>Present</v>
      </c>
    </row>
    <row r="5644" spans="1:5" x14ac:dyDescent="0.25">
      <c r="A5644" s="2" t="s">
        <v>4656</v>
      </c>
      <c r="B5644" s="2" t="s">
        <v>2452</v>
      </c>
      <c r="C5644" s="2">
        <v>7</v>
      </c>
      <c r="D5644" t="str">
        <f t="shared" si="88"/>
        <v>CA-2017-108574_TEC-PH-10003555</v>
      </c>
      <c r="E5644" t="str">
        <f>IF(COUNTIF(data1!$D:$D,D5644)=0,"Missing in Data1","Present")</f>
        <v>Present</v>
      </c>
    </row>
    <row r="5645" spans="1:5" x14ac:dyDescent="0.25">
      <c r="A5645" s="2" t="s">
        <v>4657</v>
      </c>
      <c r="B5645" s="2" t="s">
        <v>2040</v>
      </c>
      <c r="C5645" s="2">
        <v>3</v>
      </c>
      <c r="D5645" t="str">
        <f t="shared" si="88"/>
        <v>CA-2017-108749_OFF-BI-10003707</v>
      </c>
      <c r="E5645" t="str">
        <f>IF(COUNTIF(data1!$D:$D,D5645)=0,"Missing in Data1","Present")</f>
        <v>Present</v>
      </c>
    </row>
    <row r="5646" spans="1:5" x14ac:dyDescent="0.25">
      <c r="A5646" s="2" t="s">
        <v>4657</v>
      </c>
      <c r="B5646" s="2" t="s">
        <v>1405</v>
      </c>
      <c r="C5646" s="2">
        <v>7</v>
      </c>
      <c r="D5646" t="str">
        <f t="shared" si="88"/>
        <v>CA-2017-108749_OFF-PA-10003797</v>
      </c>
      <c r="E5646" t="str">
        <f>IF(COUNTIF(data1!$D:$D,D5646)=0,"Missing in Data1","Present")</f>
        <v>Present</v>
      </c>
    </row>
    <row r="5647" spans="1:5" x14ac:dyDescent="0.25">
      <c r="A5647" s="2" t="s">
        <v>4658</v>
      </c>
      <c r="B5647" s="2" t="s">
        <v>2128</v>
      </c>
      <c r="C5647" s="2">
        <v>3</v>
      </c>
      <c r="D5647" t="str">
        <f t="shared" si="88"/>
        <v>CA-2017-108756_TEC-AC-10003237</v>
      </c>
      <c r="E5647" t="str">
        <f>IF(COUNTIF(data1!$D:$D,D5647)=0,"Missing in Data1","Present")</f>
        <v>Present</v>
      </c>
    </row>
    <row r="5648" spans="1:5" x14ac:dyDescent="0.25">
      <c r="A5648" s="2" t="s">
        <v>4659</v>
      </c>
      <c r="B5648" s="2" t="s">
        <v>278</v>
      </c>
      <c r="C5648" s="2">
        <v>1</v>
      </c>
      <c r="D5648" t="str">
        <f t="shared" si="88"/>
        <v>CA-2017-108791_FUR-FU-10004018</v>
      </c>
      <c r="E5648" t="str">
        <f>IF(COUNTIF(data1!$D:$D,D5648)=0,"Missing in Data1","Present")</f>
        <v>Present</v>
      </c>
    </row>
    <row r="5649" spans="1:5" x14ac:dyDescent="0.25">
      <c r="A5649" s="2" t="s">
        <v>4659</v>
      </c>
      <c r="B5649" s="2" t="s">
        <v>3841</v>
      </c>
      <c r="C5649" s="2">
        <v>8</v>
      </c>
      <c r="D5649" t="str">
        <f t="shared" si="88"/>
        <v>CA-2017-108791_TEC-PH-10002660</v>
      </c>
      <c r="E5649" t="str">
        <f>IF(COUNTIF(data1!$D:$D,D5649)=0,"Missing in Data1","Present")</f>
        <v>Present</v>
      </c>
    </row>
    <row r="5650" spans="1:5" x14ac:dyDescent="0.25">
      <c r="A5650" s="2" t="s">
        <v>4660</v>
      </c>
      <c r="B5650" s="2" t="s">
        <v>267</v>
      </c>
      <c r="C5650" s="2">
        <v>3</v>
      </c>
      <c r="D5650" t="str">
        <f t="shared" si="88"/>
        <v>CA-2017-108854_OFF-BI-10001670</v>
      </c>
      <c r="E5650" t="str">
        <f>IF(COUNTIF(data1!$D:$D,D5650)=0,"Missing in Data1","Present")</f>
        <v>Present</v>
      </c>
    </row>
    <row r="5651" spans="1:5" x14ac:dyDescent="0.25">
      <c r="A5651" s="2" t="s">
        <v>4660</v>
      </c>
      <c r="B5651" s="2" t="s">
        <v>337</v>
      </c>
      <c r="C5651" s="2">
        <v>1</v>
      </c>
      <c r="D5651" t="str">
        <f t="shared" si="88"/>
        <v>CA-2017-108854_OFF-BI-10002854</v>
      </c>
      <c r="E5651" t="str">
        <f>IF(COUNTIF(data1!$D:$D,D5651)=0,"Missing in Data1","Present")</f>
        <v>Present</v>
      </c>
    </row>
    <row r="5652" spans="1:5" x14ac:dyDescent="0.25">
      <c r="A5652" s="2" t="s">
        <v>4660</v>
      </c>
      <c r="B5652" s="2" t="s">
        <v>1297</v>
      </c>
      <c r="C5652" s="2">
        <v>1</v>
      </c>
      <c r="D5652" t="str">
        <f t="shared" si="88"/>
        <v>CA-2017-108854_OFF-ST-10001837</v>
      </c>
      <c r="E5652" t="str">
        <f>IF(COUNTIF(data1!$D:$D,D5652)=0,"Missing in Data1","Present")</f>
        <v>Present</v>
      </c>
    </row>
    <row r="5653" spans="1:5" x14ac:dyDescent="0.25">
      <c r="A5653" s="2" t="s">
        <v>4661</v>
      </c>
      <c r="B5653" s="2" t="s">
        <v>491</v>
      </c>
      <c r="C5653" s="2">
        <v>3</v>
      </c>
      <c r="D5653" t="str">
        <f t="shared" si="88"/>
        <v>CA-2017-108910_FUR-FU-10002253</v>
      </c>
      <c r="E5653" t="str">
        <f>IF(COUNTIF(data1!$D:$D,D5653)=0,"Missing in Data1","Present")</f>
        <v>Present</v>
      </c>
    </row>
    <row r="5654" spans="1:5" x14ac:dyDescent="0.25">
      <c r="A5654" s="2" t="s">
        <v>4662</v>
      </c>
      <c r="B5654" s="2" t="s">
        <v>4663</v>
      </c>
      <c r="C5654" s="2">
        <v>2</v>
      </c>
      <c r="D5654" t="str">
        <f t="shared" si="88"/>
        <v>CA-2017-108931_OFF-PA-10002741</v>
      </c>
      <c r="E5654" t="str">
        <f>IF(COUNTIF(data1!$D:$D,D5654)=0,"Missing in Data1","Present")</f>
        <v>Present</v>
      </c>
    </row>
    <row r="5655" spans="1:5" x14ac:dyDescent="0.25">
      <c r="A5655" s="2" t="s">
        <v>4662</v>
      </c>
      <c r="B5655" s="2" t="s">
        <v>208</v>
      </c>
      <c r="C5655" s="2">
        <v>2</v>
      </c>
      <c r="D5655" t="str">
        <f t="shared" si="88"/>
        <v>CA-2017-108931_OFF-PA-10003845</v>
      </c>
      <c r="E5655" t="str">
        <f>IF(COUNTIF(data1!$D:$D,D5655)=0,"Missing in Data1","Present")</f>
        <v>Present</v>
      </c>
    </row>
    <row r="5656" spans="1:5" x14ac:dyDescent="0.25">
      <c r="A5656" s="2" t="s">
        <v>4664</v>
      </c>
      <c r="B5656" s="2" t="s">
        <v>1296</v>
      </c>
      <c r="C5656" s="2">
        <v>5</v>
      </c>
      <c r="D5656" t="str">
        <f t="shared" si="88"/>
        <v>CA-2017-109085_FUR-CH-10003981</v>
      </c>
      <c r="E5656" t="str">
        <f>IF(COUNTIF(data1!$D:$D,D5656)=0,"Missing in Data1","Present")</f>
        <v>Missing in Data1</v>
      </c>
    </row>
    <row r="5657" spans="1:5" x14ac:dyDescent="0.25">
      <c r="A5657" s="2" t="s">
        <v>4664</v>
      </c>
      <c r="B5657" s="2" t="s">
        <v>2310</v>
      </c>
      <c r="C5657" s="2">
        <v>2</v>
      </c>
      <c r="D5657" t="str">
        <f t="shared" si="88"/>
        <v>CA-2017-109085_FUR-FU-10004973</v>
      </c>
      <c r="E5657" t="str">
        <f>IF(COUNTIF(data1!$D:$D,D5657)=0,"Missing in Data1","Present")</f>
        <v>Present</v>
      </c>
    </row>
    <row r="5658" spans="1:5" x14ac:dyDescent="0.25">
      <c r="A5658" s="2" t="s">
        <v>4664</v>
      </c>
      <c r="B5658" s="2" t="s">
        <v>2848</v>
      </c>
      <c r="C5658" s="2">
        <v>5</v>
      </c>
      <c r="D5658" t="str">
        <f t="shared" si="88"/>
        <v>CA-2017-109085_FUR-TA-10001086</v>
      </c>
      <c r="E5658" t="str">
        <f>IF(COUNTIF(data1!$D:$D,D5658)=0,"Missing in Data1","Present")</f>
        <v>Present</v>
      </c>
    </row>
    <row r="5659" spans="1:5" x14ac:dyDescent="0.25">
      <c r="A5659" s="2" t="s">
        <v>4664</v>
      </c>
      <c r="B5659" s="2" t="s">
        <v>1369</v>
      </c>
      <c r="C5659" s="2">
        <v>5</v>
      </c>
      <c r="D5659" t="str">
        <f t="shared" si="88"/>
        <v>CA-2017-109085_OFF-BI-10001525</v>
      </c>
      <c r="E5659" t="str">
        <f>IF(COUNTIF(data1!$D:$D,D5659)=0,"Missing in Data1","Present")</f>
        <v>Present</v>
      </c>
    </row>
    <row r="5660" spans="1:5" x14ac:dyDescent="0.25">
      <c r="A5660" s="2" t="s">
        <v>4664</v>
      </c>
      <c r="B5660" s="2" t="s">
        <v>1633</v>
      </c>
      <c r="C5660" s="2">
        <v>1</v>
      </c>
      <c r="D5660" t="str">
        <f t="shared" si="88"/>
        <v>CA-2017-109085_TEC-PH-10000526</v>
      </c>
      <c r="E5660" t="str">
        <f>IF(COUNTIF(data1!$D:$D,D5660)=0,"Missing in Data1","Present")</f>
        <v>Present</v>
      </c>
    </row>
    <row r="5661" spans="1:5" x14ac:dyDescent="0.25">
      <c r="A5661" s="2" t="s">
        <v>4665</v>
      </c>
      <c r="B5661" s="2" t="s">
        <v>1435</v>
      </c>
      <c r="C5661" s="2">
        <v>1</v>
      </c>
      <c r="D5661" t="str">
        <f t="shared" si="88"/>
        <v>CA-2017-109099_OFF-PA-10001033</v>
      </c>
      <c r="E5661" t="str">
        <f>IF(COUNTIF(data1!$D:$D,D5661)=0,"Missing in Data1","Present")</f>
        <v>Present</v>
      </c>
    </row>
    <row r="5662" spans="1:5" x14ac:dyDescent="0.25">
      <c r="A5662" s="2" t="s">
        <v>4666</v>
      </c>
      <c r="B5662" s="2" t="s">
        <v>4667</v>
      </c>
      <c r="C5662" s="2">
        <v>2</v>
      </c>
      <c r="D5662" t="str">
        <f t="shared" si="88"/>
        <v>CA-2017-109183_TEC-MA-10001856</v>
      </c>
      <c r="E5662" t="str">
        <f>IF(COUNTIF(data1!$D:$D,D5662)=0,"Missing in Data1","Present")</f>
        <v>Present</v>
      </c>
    </row>
    <row r="5663" spans="1:5" x14ac:dyDescent="0.25">
      <c r="A5663" s="2" t="s">
        <v>4668</v>
      </c>
      <c r="B5663" s="2" t="s">
        <v>1656</v>
      </c>
      <c r="C5663" s="2">
        <v>1</v>
      </c>
      <c r="D5663" t="str">
        <f t="shared" si="88"/>
        <v>CA-2017-109211_OFF-EN-10001532</v>
      </c>
      <c r="E5663" t="str">
        <f>IF(COUNTIF(data1!$D:$D,D5663)=0,"Missing in Data1","Present")</f>
        <v>Present</v>
      </c>
    </row>
    <row r="5664" spans="1:5" x14ac:dyDescent="0.25">
      <c r="A5664" s="2" t="s">
        <v>4669</v>
      </c>
      <c r="B5664" s="2" t="s">
        <v>529</v>
      </c>
      <c r="C5664" s="2">
        <v>3</v>
      </c>
      <c r="D5664" t="str">
        <f t="shared" si="88"/>
        <v>CA-2017-109393_FUR-BO-10003966</v>
      </c>
      <c r="E5664" t="str">
        <f>IF(COUNTIF(data1!$D:$D,D5664)=0,"Missing in Data1","Present")</f>
        <v>Present</v>
      </c>
    </row>
    <row r="5665" spans="1:5" x14ac:dyDescent="0.25">
      <c r="A5665" s="2" t="s">
        <v>4670</v>
      </c>
      <c r="B5665" s="2" t="s">
        <v>1897</v>
      </c>
      <c r="C5665" s="2">
        <v>4</v>
      </c>
      <c r="D5665" t="str">
        <f t="shared" si="88"/>
        <v>CA-2017-109589_TEC-AC-10003116</v>
      </c>
      <c r="E5665" t="str">
        <f>IF(COUNTIF(data1!$D:$D,D5665)=0,"Missing in Data1","Present")</f>
        <v>Present</v>
      </c>
    </row>
    <row r="5666" spans="1:5" x14ac:dyDescent="0.25">
      <c r="A5666" s="2" t="s">
        <v>4671</v>
      </c>
      <c r="B5666" s="2" t="s">
        <v>894</v>
      </c>
      <c r="C5666" s="2">
        <v>3</v>
      </c>
      <c r="D5666" t="str">
        <f t="shared" si="88"/>
        <v>CA-2017-109701_OFF-AP-10002765</v>
      </c>
      <c r="E5666" t="str">
        <f>IF(COUNTIF(data1!$D:$D,D5666)=0,"Missing in Data1","Present")</f>
        <v>Present</v>
      </c>
    </row>
    <row r="5667" spans="1:5" x14ac:dyDescent="0.25">
      <c r="A5667" s="2" t="s">
        <v>4671</v>
      </c>
      <c r="B5667" s="2" t="s">
        <v>17</v>
      </c>
      <c r="C5667" s="2">
        <v>6</v>
      </c>
      <c r="D5667" t="str">
        <f t="shared" si="88"/>
        <v>CA-2017-109701_OFF-AR-10001868</v>
      </c>
      <c r="E5667" t="str">
        <f>IF(COUNTIF(data1!$D:$D,D5667)=0,"Missing in Data1","Present")</f>
        <v>Present</v>
      </c>
    </row>
    <row r="5668" spans="1:5" x14ac:dyDescent="0.25">
      <c r="A5668" s="2" t="s">
        <v>4671</v>
      </c>
      <c r="B5668" s="2" t="s">
        <v>1655</v>
      </c>
      <c r="C5668" s="2">
        <v>6</v>
      </c>
      <c r="D5668" t="str">
        <f t="shared" si="88"/>
        <v>CA-2017-109701_OFF-BI-10004187</v>
      </c>
      <c r="E5668" t="str">
        <f>IF(COUNTIF(data1!$D:$D,D5668)=0,"Missing in Data1","Present")</f>
        <v>Present</v>
      </c>
    </row>
    <row r="5669" spans="1:5" x14ac:dyDescent="0.25">
      <c r="A5669" s="2" t="s">
        <v>4671</v>
      </c>
      <c r="B5669" s="2" t="s">
        <v>1552</v>
      </c>
      <c r="C5669" s="2">
        <v>2</v>
      </c>
      <c r="D5669" t="str">
        <f t="shared" si="88"/>
        <v>CA-2017-109701_OFF-PA-10003724</v>
      </c>
      <c r="E5669" t="str">
        <f>IF(COUNTIF(data1!$D:$D,D5669)=0,"Missing in Data1","Present")</f>
        <v>Present</v>
      </c>
    </row>
    <row r="5670" spans="1:5" x14ac:dyDescent="0.25">
      <c r="A5670" s="2" t="s">
        <v>4672</v>
      </c>
      <c r="B5670" s="2" t="s">
        <v>4131</v>
      </c>
      <c r="C5670" s="2">
        <v>2</v>
      </c>
      <c r="D5670" t="str">
        <f t="shared" si="88"/>
        <v>CA-2017-109715_OFF-PA-10004965</v>
      </c>
      <c r="E5670" t="str">
        <f>IF(COUNTIF(data1!$D:$D,D5670)=0,"Missing in Data1","Present")</f>
        <v>Present</v>
      </c>
    </row>
    <row r="5671" spans="1:5" x14ac:dyDescent="0.25">
      <c r="A5671" s="2" t="s">
        <v>4673</v>
      </c>
      <c r="B5671" s="2" t="s">
        <v>704</v>
      </c>
      <c r="C5671" s="2">
        <v>3</v>
      </c>
      <c r="D5671" t="str">
        <f t="shared" si="88"/>
        <v>CA-2017-109750_TEC-PH-10000702</v>
      </c>
      <c r="E5671" t="str">
        <f>IF(COUNTIF(data1!$D:$D,D5671)=0,"Missing in Data1","Present")</f>
        <v>Present</v>
      </c>
    </row>
    <row r="5672" spans="1:5" x14ac:dyDescent="0.25">
      <c r="A5672" s="2" t="s">
        <v>4674</v>
      </c>
      <c r="B5672" s="2" t="s">
        <v>1628</v>
      </c>
      <c r="C5672" s="2">
        <v>4</v>
      </c>
      <c r="D5672" t="str">
        <f t="shared" si="88"/>
        <v>CA-2017-109757_OFF-AR-10002335</v>
      </c>
      <c r="E5672" t="str">
        <f>IF(COUNTIF(data1!$D:$D,D5672)=0,"Missing in Data1","Present")</f>
        <v>Present</v>
      </c>
    </row>
    <row r="5673" spans="1:5" x14ac:dyDescent="0.25">
      <c r="A5673" s="2" t="s">
        <v>4674</v>
      </c>
      <c r="B5673" s="2" t="s">
        <v>3393</v>
      </c>
      <c r="C5673" s="2">
        <v>2</v>
      </c>
      <c r="D5673" t="str">
        <f t="shared" si="88"/>
        <v>CA-2017-109757_OFF-BI-10001634</v>
      </c>
      <c r="E5673" t="str">
        <f>IF(COUNTIF(data1!$D:$D,D5673)=0,"Missing in Data1","Present")</f>
        <v>Present</v>
      </c>
    </row>
    <row r="5674" spans="1:5" x14ac:dyDescent="0.25">
      <c r="A5674" s="2" t="s">
        <v>4674</v>
      </c>
      <c r="B5674" s="2" t="s">
        <v>2450</v>
      </c>
      <c r="C5674" s="2">
        <v>5</v>
      </c>
      <c r="D5674" t="str">
        <f t="shared" si="88"/>
        <v>CA-2017-109757_OFF-BI-10004001</v>
      </c>
      <c r="E5674" t="str">
        <f>IF(COUNTIF(data1!$D:$D,D5674)=0,"Missing in Data1","Present")</f>
        <v>Present</v>
      </c>
    </row>
    <row r="5675" spans="1:5" x14ac:dyDescent="0.25">
      <c r="A5675" s="2" t="s">
        <v>4674</v>
      </c>
      <c r="B5675" s="2" t="s">
        <v>4153</v>
      </c>
      <c r="C5675" s="2">
        <v>4</v>
      </c>
      <c r="D5675" t="str">
        <f t="shared" si="88"/>
        <v>CA-2017-109757_OFF-PA-10000007</v>
      </c>
      <c r="E5675" t="str">
        <f>IF(COUNTIF(data1!$D:$D,D5675)=0,"Missing in Data1","Present")</f>
        <v>Present</v>
      </c>
    </row>
    <row r="5676" spans="1:5" x14ac:dyDescent="0.25">
      <c r="A5676" s="2" t="s">
        <v>4675</v>
      </c>
      <c r="B5676" s="2" t="s">
        <v>2034</v>
      </c>
      <c r="C5676" s="2">
        <v>2</v>
      </c>
      <c r="D5676" t="str">
        <f t="shared" si="88"/>
        <v>CA-2017-109778_OFF-AR-10003759</v>
      </c>
      <c r="E5676" t="str">
        <f>IF(COUNTIF(data1!$D:$D,D5676)=0,"Missing in Data1","Present")</f>
        <v>Present</v>
      </c>
    </row>
    <row r="5677" spans="1:5" x14ac:dyDescent="0.25">
      <c r="A5677" s="2" t="s">
        <v>4676</v>
      </c>
      <c r="B5677" s="2" t="s">
        <v>4080</v>
      </c>
      <c r="C5677" s="2">
        <v>5</v>
      </c>
      <c r="D5677" t="str">
        <f t="shared" si="88"/>
        <v>CA-2017-109946_OFF-AR-10001419</v>
      </c>
      <c r="E5677" t="str">
        <f>IF(COUNTIF(data1!$D:$D,D5677)=0,"Missing in Data1","Present")</f>
        <v>Present</v>
      </c>
    </row>
    <row r="5678" spans="1:5" x14ac:dyDescent="0.25">
      <c r="A5678" s="2" t="s">
        <v>4677</v>
      </c>
      <c r="B5678" s="2" t="s">
        <v>3188</v>
      </c>
      <c r="C5678" s="2">
        <v>5</v>
      </c>
      <c r="D5678" t="str">
        <f t="shared" si="88"/>
        <v>CA-2017-109960_OFF-AR-10001860</v>
      </c>
      <c r="E5678" t="str">
        <f>IF(COUNTIF(data1!$D:$D,D5678)=0,"Missing in Data1","Present")</f>
        <v>Present</v>
      </c>
    </row>
    <row r="5679" spans="1:5" x14ac:dyDescent="0.25">
      <c r="A5679" s="2" t="s">
        <v>4677</v>
      </c>
      <c r="B5679" s="2" t="s">
        <v>951</v>
      </c>
      <c r="C5679" s="2">
        <v>4</v>
      </c>
      <c r="D5679" t="str">
        <f t="shared" si="88"/>
        <v>CA-2017-109960_OFF-BI-10001636</v>
      </c>
      <c r="E5679" t="str">
        <f>IF(COUNTIF(data1!$D:$D,D5679)=0,"Missing in Data1","Present")</f>
        <v>Present</v>
      </c>
    </row>
    <row r="5680" spans="1:5" x14ac:dyDescent="0.25">
      <c r="A5680" s="2" t="s">
        <v>4677</v>
      </c>
      <c r="B5680" s="2" t="s">
        <v>1140</v>
      </c>
      <c r="C5680" s="2">
        <v>3</v>
      </c>
      <c r="D5680" t="str">
        <f t="shared" si="88"/>
        <v>CA-2017-109960_OFF-PA-10000349</v>
      </c>
      <c r="E5680" t="str">
        <f>IF(COUNTIF(data1!$D:$D,D5680)=0,"Missing in Data1","Present")</f>
        <v>Present</v>
      </c>
    </row>
    <row r="5681" spans="1:5" x14ac:dyDescent="0.25">
      <c r="A5681" s="2" t="s">
        <v>4677</v>
      </c>
      <c r="B5681" s="2" t="s">
        <v>522</v>
      </c>
      <c r="C5681" s="2">
        <v>6</v>
      </c>
      <c r="D5681" t="str">
        <f t="shared" si="88"/>
        <v>CA-2017-109960_TEC-AC-10004859</v>
      </c>
      <c r="E5681" t="str">
        <f>IF(COUNTIF(data1!$D:$D,D5681)=0,"Missing in Data1","Present")</f>
        <v>Present</v>
      </c>
    </row>
    <row r="5682" spans="1:5" x14ac:dyDescent="0.25">
      <c r="A5682" s="2" t="s">
        <v>4678</v>
      </c>
      <c r="B5682" s="2" t="s">
        <v>3509</v>
      </c>
      <c r="C5682" s="2">
        <v>3</v>
      </c>
      <c r="D5682" t="str">
        <f t="shared" si="88"/>
        <v>CA-2017-110198_FUR-BO-10001798</v>
      </c>
      <c r="E5682" t="str">
        <f>IF(COUNTIF(data1!$D:$D,D5682)=0,"Missing in Data1","Present")</f>
        <v>Present</v>
      </c>
    </row>
    <row r="5683" spans="1:5" x14ac:dyDescent="0.25">
      <c r="A5683" s="2" t="s">
        <v>4678</v>
      </c>
      <c r="B5683" s="2" t="s">
        <v>329</v>
      </c>
      <c r="C5683" s="2">
        <v>2</v>
      </c>
      <c r="D5683" t="str">
        <f t="shared" si="88"/>
        <v>CA-2017-110198_OFF-LA-10004409</v>
      </c>
      <c r="E5683" t="str">
        <f>IF(COUNTIF(data1!$D:$D,D5683)=0,"Missing in Data1","Present")</f>
        <v>Missing in Data1</v>
      </c>
    </row>
    <row r="5684" spans="1:5" x14ac:dyDescent="0.25">
      <c r="A5684" s="2" t="s">
        <v>4679</v>
      </c>
      <c r="B5684" s="2" t="s">
        <v>1266</v>
      </c>
      <c r="C5684" s="2">
        <v>5</v>
      </c>
      <c r="D5684" t="str">
        <f t="shared" si="88"/>
        <v>CA-2017-110212_TEC-AC-10002331</v>
      </c>
      <c r="E5684" t="str">
        <f>IF(COUNTIF(data1!$D:$D,D5684)=0,"Missing in Data1","Present")</f>
        <v>Present</v>
      </c>
    </row>
    <row r="5685" spans="1:5" x14ac:dyDescent="0.25">
      <c r="A5685" s="2" t="s">
        <v>4680</v>
      </c>
      <c r="B5685" s="2" t="s">
        <v>1776</v>
      </c>
      <c r="C5685" s="2">
        <v>3</v>
      </c>
      <c r="D5685" t="str">
        <f t="shared" si="88"/>
        <v>CA-2017-110310_OFF-AR-10001662</v>
      </c>
      <c r="E5685" t="str">
        <f>IF(COUNTIF(data1!$D:$D,D5685)=0,"Missing in Data1","Present")</f>
        <v>Present</v>
      </c>
    </row>
    <row r="5686" spans="1:5" x14ac:dyDescent="0.25">
      <c r="A5686" s="2" t="s">
        <v>4680</v>
      </c>
      <c r="B5686" s="2" t="s">
        <v>65</v>
      </c>
      <c r="C5686" s="2">
        <v>3</v>
      </c>
      <c r="D5686" t="str">
        <f t="shared" si="88"/>
        <v>CA-2017-110310_OFF-BI-10001097</v>
      </c>
      <c r="E5686" t="str">
        <f>IF(COUNTIF(data1!$D:$D,D5686)=0,"Missing in Data1","Present")</f>
        <v>Present</v>
      </c>
    </row>
    <row r="5687" spans="1:5" x14ac:dyDescent="0.25">
      <c r="A5687" s="2" t="s">
        <v>4680</v>
      </c>
      <c r="B5687" s="2" t="s">
        <v>1373</v>
      </c>
      <c r="C5687" s="2">
        <v>7</v>
      </c>
      <c r="D5687" t="str">
        <f t="shared" si="88"/>
        <v>CA-2017-110310_OFF-PA-10001685</v>
      </c>
      <c r="E5687" t="str">
        <f>IF(COUNTIF(data1!$D:$D,D5687)=0,"Missing in Data1","Present")</f>
        <v>Present</v>
      </c>
    </row>
    <row r="5688" spans="1:5" x14ac:dyDescent="0.25">
      <c r="A5688" s="2" t="s">
        <v>4681</v>
      </c>
      <c r="B5688" s="2" t="s">
        <v>298</v>
      </c>
      <c r="C5688" s="2">
        <v>3</v>
      </c>
      <c r="D5688" t="str">
        <f t="shared" si="88"/>
        <v>CA-2017-110373_OFF-AR-10003045</v>
      </c>
      <c r="E5688" t="str">
        <f>IF(COUNTIF(data1!$D:$D,D5688)=0,"Missing in Data1","Present")</f>
        <v>Present</v>
      </c>
    </row>
    <row r="5689" spans="1:5" x14ac:dyDescent="0.25">
      <c r="A5689" s="2" t="s">
        <v>4681</v>
      </c>
      <c r="B5689" s="2" t="s">
        <v>1634</v>
      </c>
      <c r="C5689" s="2">
        <v>2</v>
      </c>
      <c r="D5689" t="str">
        <f t="shared" si="88"/>
        <v>CA-2017-110373_TEC-PH-10001536</v>
      </c>
      <c r="E5689" t="str">
        <f>IF(COUNTIF(data1!$D:$D,D5689)=0,"Missing in Data1","Present")</f>
        <v>Present</v>
      </c>
    </row>
    <row r="5690" spans="1:5" x14ac:dyDescent="0.25">
      <c r="A5690" s="2" t="s">
        <v>4682</v>
      </c>
      <c r="B5690" s="2" t="s">
        <v>4683</v>
      </c>
      <c r="C5690" s="2">
        <v>3</v>
      </c>
      <c r="D5690" t="str">
        <f t="shared" si="88"/>
        <v>CA-2017-110380_OFF-AR-10000422</v>
      </c>
      <c r="E5690" t="str">
        <f>IF(COUNTIF(data1!$D:$D,D5690)=0,"Missing in Data1","Present")</f>
        <v>Present</v>
      </c>
    </row>
    <row r="5691" spans="1:5" x14ac:dyDescent="0.25">
      <c r="A5691" s="2" t="s">
        <v>4684</v>
      </c>
      <c r="B5691" s="2" t="s">
        <v>4685</v>
      </c>
      <c r="C5691" s="2">
        <v>3</v>
      </c>
      <c r="D5691" t="str">
        <f t="shared" si="88"/>
        <v>CA-2017-110429_OFF-BI-10000216</v>
      </c>
      <c r="E5691" t="str">
        <f>IF(COUNTIF(data1!$D:$D,D5691)=0,"Missing in Data1","Present")</f>
        <v>Present</v>
      </c>
    </row>
    <row r="5692" spans="1:5" x14ac:dyDescent="0.25">
      <c r="A5692" s="2" t="s">
        <v>4686</v>
      </c>
      <c r="B5692" s="2" t="s">
        <v>267</v>
      </c>
      <c r="C5692" s="2">
        <v>5</v>
      </c>
      <c r="D5692" t="str">
        <f t="shared" si="88"/>
        <v>CA-2017-110443_OFF-BI-10001670</v>
      </c>
      <c r="E5692" t="str">
        <f>IF(COUNTIF(data1!$D:$D,D5692)=0,"Missing in Data1","Present")</f>
        <v>Present</v>
      </c>
    </row>
    <row r="5693" spans="1:5" x14ac:dyDescent="0.25">
      <c r="A5693" s="2" t="s">
        <v>4686</v>
      </c>
      <c r="B5693" s="2" t="s">
        <v>1405</v>
      </c>
      <c r="C5693" s="2">
        <v>8</v>
      </c>
      <c r="D5693" t="str">
        <f t="shared" si="88"/>
        <v>CA-2017-110443_OFF-PA-10003797</v>
      </c>
      <c r="E5693" t="str">
        <f>IF(COUNTIF(data1!$D:$D,D5693)=0,"Missing in Data1","Present")</f>
        <v>Present</v>
      </c>
    </row>
    <row r="5694" spans="1:5" x14ac:dyDescent="0.25">
      <c r="A5694" s="2" t="s">
        <v>4686</v>
      </c>
      <c r="B5694" s="2" t="s">
        <v>4687</v>
      </c>
      <c r="C5694" s="2">
        <v>1</v>
      </c>
      <c r="D5694" t="str">
        <f t="shared" si="88"/>
        <v>CA-2017-110443_TEC-MA-10002073</v>
      </c>
      <c r="E5694" t="str">
        <f>IF(COUNTIF(data1!$D:$D,D5694)=0,"Missing in Data1","Present")</f>
        <v>Present</v>
      </c>
    </row>
    <row r="5695" spans="1:5" x14ac:dyDescent="0.25">
      <c r="A5695" s="2" t="s">
        <v>4688</v>
      </c>
      <c r="B5695" s="2" t="s">
        <v>1669</v>
      </c>
      <c r="C5695" s="2">
        <v>4</v>
      </c>
      <c r="D5695" t="str">
        <f t="shared" si="88"/>
        <v>CA-2017-110478_OFF-AR-10001573</v>
      </c>
      <c r="E5695" t="str">
        <f>IF(COUNTIF(data1!$D:$D,D5695)=0,"Missing in Data1","Present")</f>
        <v>Present</v>
      </c>
    </row>
    <row r="5696" spans="1:5" x14ac:dyDescent="0.25">
      <c r="A5696" s="2" t="s">
        <v>4688</v>
      </c>
      <c r="B5696" s="2" t="s">
        <v>2574</v>
      </c>
      <c r="C5696" s="2">
        <v>1</v>
      </c>
      <c r="D5696" t="str">
        <f t="shared" si="88"/>
        <v>CA-2017-110478_OFF-EN-10000483</v>
      </c>
      <c r="E5696" t="str">
        <f>IF(COUNTIF(data1!$D:$D,D5696)=0,"Missing in Data1","Present")</f>
        <v>Missing in Data1</v>
      </c>
    </row>
    <row r="5697" spans="1:5" x14ac:dyDescent="0.25">
      <c r="A5697" s="2" t="s">
        <v>4689</v>
      </c>
      <c r="B5697" s="2" t="s">
        <v>1529</v>
      </c>
      <c r="C5697" s="2">
        <v>2</v>
      </c>
      <c r="D5697" t="str">
        <f t="shared" si="88"/>
        <v>CA-2017-110625_FUR-FU-10001473</v>
      </c>
      <c r="E5697" t="str">
        <f>IF(COUNTIF(data1!$D:$D,D5697)=0,"Missing in Data1","Present")</f>
        <v>Present</v>
      </c>
    </row>
    <row r="5698" spans="1:5" x14ac:dyDescent="0.25">
      <c r="A5698" s="2" t="s">
        <v>4690</v>
      </c>
      <c r="B5698" s="2" t="s">
        <v>2375</v>
      </c>
      <c r="C5698" s="2">
        <v>3</v>
      </c>
      <c r="D5698" t="str">
        <f t="shared" si="88"/>
        <v>CA-2017-110821_TEC-AC-10001552</v>
      </c>
      <c r="E5698" t="str">
        <f>IF(COUNTIF(data1!$D:$D,D5698)=0,"Missing in Data1","Present")</f>
        <v>Present</v>
      </c>
    </row>
    <row r="5699" spans="1:5" x14ac:dyDescent="0.25">
      <c r="A5699" s="2" t="s">
        <v>4691</v>
      </c>
      <c r="B5699" s="2" t="s">
        <v>3228</v>
      </c>
      <c r="C5699" s="2">
        <v>3</v>
      </c>
      <c r="D5699" t="str">
        <f t="shared" ref="D5699:D5762" si="89">A5699&amp;"_"&amp;B5699</f>
        <v>CA-2017-110842_OFF-PA-10000520</v>
      </c>
      <c r="E5699" t="str">
        <f>IF(COUNTIF(data1!$D:$D,D5699)=0,"Missing in Data1","Present")</f>
        <v>Present</v>
      </c>
    </row>
    <row r="5700" spans="1:5" x14ac:dyDescent="0.25">
      <c r="A5700" s="2" t="s">
        <v>4692</v>
      </c>
      <c r="B5700" s="2" t="s">
        <v>1203</v>
      </c>
      <c r="C5700" s="2">
        <v>6</v>
      </c>
      <c r="D5700" t="str">
        <f t="shared" si="89"/>
        <v>CA-2017-110884_OFF-BI-10003669</v>
      </c>
      <c r="E5700" t="str">
        <f>IF(COUNTIF(data1!$D:$D,D5700)=0,"Missing in Data1","Present")</f>
        <v>Present</v>
      </c>
    </row>
    <row r="5701" spans="1:5" x14ac:dyDescent="0.25">
      <c r="A5701" s="2" t="s">
        <v>4692</v>
      </c>
      <c r="B5701" s="2" t="s">
        <v>1125</v>
      </c>
      <c r="C5701" s="2">
        <v>3</v>
      </c>
      <c r="D5701" t="str">
        <f t="shared" si="89"/>
        <v>CA-2017-110884_OFF-LA-10003510</v>
      </c>
      <c r="E5701" t="str">
        <f>IF(COUNTIF(data1!$D:$D,D5701)=0,"Missing in Data1","Present")</f>
        <v>Present</v>
      </c>
    </row>
    <row r="5702" spans="1:5" x14ac:dyDescent="0.25">
      <c r="A5702" s="2" t="s">
        <v>4693</v>
      </c>
      <c r="B5702" s="2" t="s">
        <v>797</v>
      </c>
      <c r="C5702" s="2">
        <v>2</v>
      </c>
      <c r="D5702" t="str">
        <f t="shared" si="89"/>
        <v>CA-2017-110905_OFF-AP-10003281</v>
      </c>
      <c r="E5702" t="str">
        <f>IF(COUNTIF(data1!$D:$D,D5702)=0,"Missing in Data1","Present")</f>
        <v>Present</v>
      </c>
    </row>
    <row r="5703" spans="1:5" x14ac:dyDescent="0.25">
      <c r="A5703" s="2" t="s">
        <v>4693</v>
      </c>
      <c r="B5703" s="2" t="s">
        <v>1261</v>
      </c>
      <c r="C5703" s="2">
        <v>3</v>
      </c>
      <c r="D5703" t="str">
        <f t="shared" si="89"/>
        <v>CA-2017-110905_OFF-AP-10004785</v>
      </c>
      <c r="E5703" t="str">
        <f>IF(COUNTIF(data1!$D:$D,D5703)=0,"Missing in Data1","Present")</f>
        <v>Present</v>
      </c>
    </row>
    <row r="5704" spans="1:5" x14ac:dyDescent="0.25">
      <c r="A5704" s="2" t="s">
        <v>4693</v>
      </c>
      <c r="B5704" s="2" t="s">
        <v>1038</v>
      </c>
      <c r="C5704" s="2">
        <v>3</v>
      </c>
      <c r="D5704" t="str">
        <f t="shared" si="89"/>
        <v>CA-2017-110905_OFF-BI-10002954</v>
      </c>
      <c r="E5704" t="str">
        <f>IF(COUNTIF(data1!$D:$D,D5704)=0,"Missing in Data1","Present")</f>
        <v>Present</v>
      </c>
    </row>
    <row r="5705" spans="1:5" x14ac:dyDescent="0.25">
      <c r="A5705" s="2" t="s">
        <v>4693</v>
      </c>
      <c r="B5705" s="2" t="s">
        <v>1203</v>
      </c>
      <c r="C5705" s="2">
        <v>3</v>
      </c>
      <c r="D5705" t="str">
        <f t="shared" si="89"/>
        <v>CA-2017-110905_OFF-BI-10003669</v>
      </c>
      <c r="E5705" t="str">
        <f>IF(COUNTIF(data1!$D:$D,D5705)=0,"Missing in Data1","Present")</f>
        <v>Present</v>
      </c>
    </row>
    <row r="5706" spans="1:5" x14ac:dyDescent="0.25">
      <c r="A5706" s="2" t="s">
        <v>4693</v>
      </c>
      <c r="B5706" s="2" t="s">
        <v>1051</v>
      </c>
      <c r="C5706" s="2">
        <v>5</v>
      </c>
      <c r="D5706" t="str">
        <f t="shared" si="89"/>
        <v>CA-2017-110905_OFF-PA-10002586</v>
      </c>
      <c r="E5706" t="str">
        <f>IF(COUNTIF(data1!$D:$D,D5706)=0,"Missing in Data1","Present")</f>
        <v>Present</v>
      </c>
    </row>
    <row r="5707" spans="1:5" x14ac:dyDescent="0.25">
      <c r="A5707" s="2" t="s">
        <v>4693</v>
      </c>
      <c r="B5707" s="2" t="s">
        <v>1657</v>
      </c>
      <c r="C5707" s="2">
        <v>3</v>
      </c>
      <c r="D5707" t="str">
        <f t="shared" si="89"/>
        <v>CA-2017-110905_OFF-ST-10000025</v>
      </c>
      <c r="E5707" t="str">
        <f>IF(COUNTIF(data1!$D:$D,D5707)=0,"Missing in Data1","Present")</f>
        <v>Present</v>
      </c>
    </row>
    <row r="5708" spans="1:5" x14ac:dyDescent="0.25">
      <c r="A5708" s="2" t="s">
        <v>4693</v>
      </c>
      <c r="B5708" s="2" t="s">
        <v>2645</v>
      </c>
      <c r="C5708" s="2">
        <v>6</v>
      </c>
      <c r="D5708" t="str">
        <f t="shared" si="89"/>
        <v>CA-2017-110905_TEC-AC-10002217</v>
      </c>
      <c r="E5708" t="str">
        <f>IF(COUNTIF(data1!$D:$D,D5708)=0,"Missing in Data1","Present")</f>
        <v>Present</v>
      </c>
    </row>
    <row r="5709" spans="1:5" x14ac:dyDescent="0.25">
      <c r="A5709" s="2" t="s">
        <v>4693</v>
      </c>
      <c r="B5709" s="2" t="s">
        <v>324</v>
      </c>
      <c r="C5709" s="2">
        <v>5</v>
      </c>
      <c r="D5709" t="str">
        <f t="shared" si="89"/>
        <v>CA-2017-110905_TEC-AC-10003023</v>
      </c>
      <c r="E5709" t="str">
        <f>IF(COUNTIF(data1!$D:$D,D5709)=0,"Missing in Data1","Present")</f>
        <v>Present</v>
      </c>
    </row>
    <row r="5710" spans="1:5" x14ac:dyDescent="0.25">
      <c r="A5710" s="2" t="s">
        <v>4694</v>
      </c>
      <c r="B5710" s="2" t="s">
        <v>1303</v>
      </c>
      <c r="C5710" s="2">
        <v>7</v>
      </c>
      <c r="D5710" t="str">
        <f t="shared" si="89"/>
        <v>CA-2017-110926_OFF-FA-10000624</v>
      </c>
      <c r="E5710" t="str">
        <f>IF(COUNTIF(data1!$D:$D,D5710)=0,"Missing in Data1","Present")</f>
        <v>Present</v>
      </c>
    </row>
    <row r="5711" spans="1:5" x14ac:dyDescent="0.25">
      <c r="A5711" s="2" t="s">
        <v>4695</v>
      </c>
      <c r="B5711" s="2" t="s">
        <v>23</v>
      </c>
      <c r="C5711" s="2">
        <v>4</v>
      </c>
      <c r="D5711" t="str">
        <f t="shared" si="89"/>
        <v>CA-2017-110940_OFF-AR-10000380</v>
      </c>
      <c r="E5711" t="str">
        <f>IF(COUNTIF(data1!$D:$D,D5711)=0,"Missing in Data1","Present")</f>
        <v>Present</v>
      </c>
    </row>
    <row r="5712" spans="1:5" x14ac:dyDescent="0.25">
      <c r="A5712" s="2" t="s">
        <v>4696</v>
      </c>
      <c r="B5712" s="2" t="s">
        <v>1666</v>
      </c>
      <c r="C5712" s="2">
        <v>5</v>
      </c>
      <c r="D5712" t="str">
        <f t="shared" si="89"/>
        <v>CA-2017-111178_OFF-AR-10001954</v>
      </c>
      <c r="E5712" t="str">
        <f>IF(COUNTIF(data1!$D:$D,D5712)=0,"Missing in Data1","Present")</f>
        <v>Present</v>
      </c>
    </row>
    <row r="5713" spans="1:5" x14ac:dyDescent="0.25">
      <c r="A5713" s="2" t="s">
        <v>4697</v>
      </c>
      <c r="B5713" s="2" t="s">
        <v>1027</v>
      </c>
      <c r="C5713" s="2">
        <v>2</v>
      </c>
      <c r="D5713" t="str">
        <f t="shared" si="89"/>
        <v>CA-2017-111220_OFF-AP-10003278</v>
      </c>
      <c r="E5713" t="str">
        <f>IF(COUNTIF(data1!$D:$D,D5713)=0,"Missing in Data1","Present")</f>
        <v>Present</v>
      </c>
    </row>
    <row r="5714" spans="1:5" x14ac:dyDescent="0.25">
      <c r="A5714" s="2" t="s">
        <v>4697</v>
      </c>
      <c r="B5714" s="2" t="s">
        <v>913</v>
      </c>
      <c r="C5714" s="2">
        <v>4</v>
      </c>
      <c r="D5714" t="str">
        <f t="shared" si="89"/>
        <v>CA-2017-111220_OFF-FA-10002280</v>
      </c>
      <c r="E5714" t="str">
        <f>IF(COUNTIF(data1!$D:$D,D5714)=0,"Missing in Data1","Present")</f>
        <v>Present</v>
      </c>
    </row>
    <row r="5715" spans="1:5" x14ac:dyDescent="0.25">
      <c r="A5715" s="2" t="s">
        <v>4697</v>
      </c>
      <c r="B5715" s="2" t="s">
        <v>2211</v>
      </c>
      <c r="C5715" s="2">
        <v>5</v>
      </c>
      <c r="D5715" t="str">
        <f t="shared" si="89"/>
        <v>CA-2017-111220_OFF-ST-10003994</v>
      </c>
      <c r="E5715" t="str">
        <f>IF(COUNTIF(data1!$D:$D,D5715)=0,"Missing in Data1","Present")</f>
        <v>Present</v>
      </c>
    </row>
    <row r="5716" spans="1:5" x14ac:dyDescent="0.25">
      <c r="A5716" s="2" t="s">
        <v>4698</v>
      </c>
      <c r="B5716" s="2" t="s">
        <v>1785</v>
      </c>
      <c r="C5716" s="2">
        <v>3</v>
      </c>
      <c r="D5716" t="str">
        <f t="shared" si="89"/>
        <v>CA-2017-111262_OFF-PA-10001937</v>
      </c>
      <c r="E5716" t="str">
        <f>IF(COUNTIF(data1!$D:$D,D5716)=0,"Missing in Data1","Present")</f>
        <v>Present</v>
      </c>
    </row>
    <row r="5717" spans="1:5" x14ac:dyDescent="0.25">
      <c r="A5717" s="2" t="s">
        <v>4698</v>
      </c>
      <c r="B5717" s="2" t="s">
        <v>1315</v>
      </c>
      <c r="C5717" s="2">
        <v>2</v>
      </c>
      <c r="D5717" t="str">
        <f t="shared" si="89"/>
        <v>CA-2017-111262_TEC-AC-10002167</v>
      </c>
      <c r="E5717" t="str">
        <f>IF(COUNTIF(data1!$D:$D,D5717)=0,"Missing in Data1","Present")</f>
        <v>Present</v>
      </c>
    </row>
    <row r="5718" spans="1:5" x14ac:dyDescent="0.25">
      <c r="A5718" s="2" t="s">
        <v>4698</v>
      </c>
      <c r="B5718" s="2" t="s">
        <v>676</v>
      </c>
      <c r="C5718" s="2">
        <v>2</v>
      </c>
      <c r="D5718" t="str">
        <f t="shared" si="89"/>
        <v>CA-2017-111262_TEC-AC-10004510</v>
      </c>
      <c r="E5718" t="str">
        <f>IF(COUNTIF(data1!$D:$D,D5718)=0,"Missing in Data1","Present")</f>
        <v>Present</v>
      </c>
    </row>
    <row r="5719" spans="1:5" x14ac:dyDescent="0.25">
      <c r="A5719" s="2" t="s">
        <v>4699</v>
      </c>
      <c r="B5719" s="2" t="s">
        <v>1555</v>
      </c>
      <c r="C5719" s="2">
        <v>5</v>
      </c>
      <c r="D5719" t="str">
        <f t="shared" si="89"/>
        <v>CA-2017-111269_OFF-AR-10001427</v>
      </c>
      <c r="E5719" t="str">
        <f>IF(COUNTIF(data1!$D:$D,D5719)=0,"Missing in Data1","Present")</f>
        <v>Present</v>
      </c>
    </row>
    <row r="5720" spans="1:5" x14ac:dyDescent="0.25">
      <c r="A5720" s="2" t="s">
        <v>4699</v>
      </c>
      <c r="B5720" s="2" t="s">
        <v>1128</v>
      </c>
      <c r="C5720" s="2">
        <v>6</v>
      </c>
      <c r="D5720" t="str">
        <f t="shared" si="89"/>
        <v>CA-2017-111269_TEC-AC-10001606</v>
      </c>
      <c r="E5720" t="str">
        <f>IF(COUNTIF(data1!$D:$D,D5720)=0,"Missing in Data1","Present")</f>
        <v>Present</v>
      </c>
    </row>
    <row r="5721" spans="1:5" x14ac:dyDescent="0.25">
      <c r="A5721" s="2" t="s">
        <v>4700</v>
      </c>
      <c r="B5721" s="2" t="s">
        <v>395</v>
      </c>
      <c r="C5721" s="2">
        <v>10</v>
      </c>
      <c r="D5721" t="str">
        <f t="shared" si="89"/>
        <v>CA-2017-111332_OFF-AR-10000657</v>
      </c>
      <c r="E5721" t="str">
        <f>IF(COUNTIF(data1!$D:$D,D5721)=0,"Missing in Data1","Present")</f>
        <v>Present</v>
      </c>
    </row>
    <row r="5722" spans="1:5" x14ac:dyDescent="0.25">
      <c r="A5722" s="2" t="s">
        <v>4700</v>
      </c>
      <c r="B5722" s="2" t="s">
        <v>333</v>
      </c>
      <c r="C5722" s="2">
        <v>4</v>
      </c>
      <c r="D5722" t="str">
        <f t="shared" si="89"/>
        <v>CA-2017-111332_OFF-AR-10001374</v>
      </c>
      <c r="E5722" t="str">
        <f>IF(COUNTIF(data1!$D:$D,D5722)=0,"Missing in Data1","Present")</f>
        <v>Present</v>
      </c>
    </row>
    <row r="5723" spans="1:5" x14ac:dyDescent="0.25">
      <c r="A5723" s="2" t="s">
        <v>4700</v>
      </c>
      <c r="B5723" s="2" t="s">
        <v>1062</v>
      </c>
      <c r="C5723" s="2">
        <v>3</v>
      </c>
      <c r="D5723" t="str">
        <f t="shared" si="89"/>
        <v>CA-2017-111332_OFF-AR-10001953</v>
      </c>
      <c r="E5723" t="str">
        <f>IF(COUNTIF(data1!$D:$D,D5723)=0,"Missing in Data1","Present")</f>
        <v>Present</v>
      </c>
    </row>
    <row r="5724" spans="1:5" x14ac:dyDescent="0.25">
      <c r="A5724" s="2" t="s">
        <v>4700</v>
      </c>
      <c r="B5724" s="2" t="s">
        <v>1187</v>
      </c>
      <c r="C5724" s="2">
        <v>3</v>
      </c>
      <c r="D5724" t="str">
        <f t="shared" si="89"/>
        <v>CA-2017-111332_OFF-FA-10001843</v>
      </c>
      <c r="E5724" t="str">
        <f>IF(COUNTIF(data1!$D:$D,D5724)=0,"Missing in Data1","Present")</f>
        <v>Present</v>
      </c>
    </row>
    <row r="5725" spans="1:5" x14ac:dyDescent="0.25">
      <c r="A5725" s="2" t="s">
        <v>4700</v>
      </c>
      <c r="B5725" s="2" t="s">
        <v>2294</v>
      </c>
      <c r="C5725" s="2">
        <v>4</v>
      </c>
      <c r="D5725" t="str">
        <f t="shared" si="89"/>
        <v>CA-2017-111332_OFF-ST-10003816</v>
      </c>
      <c r="E5725" t="str">
        <f>IF(COUNTIF(data1!$D:$D,D5725)=0,"Missing in Data1","Present")</f>
        <v>Present</v>
      </c>
    </row>
    <row r="5726" spans="1:5" x14ac:dyDescent="0.25">
      <c r="A5726" s="2" t="s">
        <v>4701</v>
      </c>
      <c r="B5726" s="2" t="s">
        <v>651</v>
      </c>
      <c r="C5726" s="2">
        <v>4</v>
      </c>
      <c r="D5726" t="str">
        <f t="shared" si="89"/>
        <v>CA-2017-111374_OFF-BI-10004970</v>
      </c>
      <c r="E5726" t="str">
        <f>IF(COUNTIF(data1!$D:$D,D5726)=0,"Missing in Data1","Present")</f>
        <v>Present</v>
      </c>
    </row>
    <row r="5727" spans="1:5" x14ac:dyDescent="0.25">
      <c r="A5727" s="2" t="s">
        <v>4702</v>
      </c>
      <c r="B5727" s="2" t="s">
        <v>2185</v>
      </c>
      <c r="C5727" s="2">
        <v>3</v>
      </c>
      <c r="D5727" t="str">
        <f t="shared" si="89"/>
        <v>CA-2017-111388_FUR-CH-10003061</v>
      </c>
      <c r="E5727" t="str">
        <f>IF(COUNTIF(data1!$D:$D,D5727)=0,"Missing in Data1","Present")</f>
        <v>Present</v>
      </c>
    </row>
    <row r="5728" spans="1:5" x14ac:dyDescent="0.25">
      <c r="A5728" s="2" t="s">
        <v>4703</v>
      </c>
      <c r="B5728" s="2" t="s">
        <v>635</v>
      </c>
      <c r="C5728" s="2">
        <v>2</v>
      </c>
      <c r="D5728" t="str">
        <f t="shared" si="89"/>
        <v>CA-2017-111556_FUR-BO-10003159</v>
      </c>
      <c r="E5728" t="str">
        <f>IF(COUNTIF(data1!$D:$D,D5728)=0,"Missing in Data1","Present")</f>
        <v>Present</v>
      </c>
    </row>
    <row r="5729" spans="1:5" x14ac:dyDescent="0.25">
      <c r="A5729" s="2" t="s">
        <v>4703</v>
      </c>
      <c r="B5729" s="2" t="s">
        <v>1422</v>
      </c>
      <c r="C5729" s="2">
        <v>3</v>
      </c>
      <c r="D5729" t="str">
        <f t="shared" si="89"/>
        <v>CA-2017-111556_OFF-AR-10004602</v>
      </c>
      <c r="E5729" t="str">
        <f>IF(COUNTIF(data1!$D:$D,D5729)=0,"Missing in Data1","Present")</f>
        <v>Missing in Data1</v>
      </c>
    </row>
    <row r="5730" spans="1:5" x14ac:dyDescent="0.25">
      <c r="A5730" s="2" t="s">
        <v>4703</v>
      </c>
      <c r="B5730" s="2" t="s">
        <v>4704</v>
      </c>
      <c r="C5730" s="2">
        <v>7</v>
      </c>
      <c r="D5730" t="str">
        <f t="shared" si="89"/>
        <v>CA-2017-111556_OFF-PA-10003651</v>
      </c>
      <c r="E5730" t="str">
        <f>IF(COUNTIF(data1!$D:$D,D5730)=0,"Missing in Data1","Present")</f>
        <v>Present</v>
      </c>
    </row>
    <row r="5731" spans="1:5" x14ac:dyDescent="0.25">
      <c r="A5731" s="2" t="s">
        <v>4703</v>
      </c>
      <c r="B5731" s="2" t="s">
        <v>984</v>
      </c>
      <c r="C5731" s="2">
        <v>3</v>
      </c>
      <c r="D5731" t="str">
        <f t="shared" si="89"/>
        <v>CA-2017-111556_TEC-PH-10001459</v>
      </c>
      <c r="E5731" t="str">
        <f>IF(COUNTIF(data1!$D:$D,D5731)=0,"Missing in Data1","Present")</f>
        <v>Present</v>
      </c>
    </row>
    <row r="5732" spans="1:5" x14ac:dyDescent="0.25">
      <c r="A5732" s="2" t="s">
        <v>4705</v>
      </c>
      <c r="B5732" s="2" t="s">
        <v>1510</v>
      </c>
      <c r="C5732" s="2">
        <v>7</v>
      </c>
      <c r="D5732" t="str">
        <f t="shared" si="89"/>
        <v>CA-2017-111577_OFF-PA-10000062</v>
      </c>
      <c r="E5732" t="str">
        <f>IF(COUNTIF(data1!$D:$D,D5732)=0,"Missing in Data1","Present")</f>
        <v>Present</v>
      </c>
    </row>
    <row r="5733" spans="1:5" x14ac:dyDescent="0.25">
      <c r="A5733" s="2" t="s">
        <v>4706</v>
      </c>
      <c r="B5733" s="2" t="s">
        <v>1325</v>
      </c>
      <c r="C5733" s="2">
        <v>3</v>
      </c>
      <c r="D5733" t="str">
        <f t="shared" si="89"/>
        <v>CA-2017-111591_FUR-FU-10002364</v>
      </c>
      <c r="E5733" t="str">
        <f>IF(COUNTIF(data1!$D:$D,D5733)=0,"Missing in Data1","Present")</f>
        <v>Present</v>
      </c>
    </row>
    <row r="5734" spans="1:5" x14ac:dyDescent="0.25">
      <c r="A5734" s="2" t="s">
        <v>4706</v>
      </c>
      <c r="B5734" s="2" t="s">
        <v>2186</v>
      </c>
      <c r="C5734" s="2">
        <v>6</v>
      </c>
      <c r="D5734" t="str">
        <f t="shared" si="89"/>
        <v>CA-2017-111591_OFF-BI-10004410</v>
      </c>
      <c r="E5734" t="str">
        <f>IF(COUNTIF(data1!$D:$D,D5734)=0,"Missing in Data1","Present")</f>
        <v>Present</v>
      </c>
    </row>
    <row r="5735" spans="1:5" x14ac:dyDescent="0.25">
      <c r="A5735" s="2" t="s">
        <v>4706</v>
      </c>
      <c r="B5735" s="2" t="s">
        <v>1639</v>
      </c>
      <c r="C5735" s="2">
        <v>7</v>
      </c>
      <c r="D5735" t="str">
        <f t="shared" si="89"/>
        <v>CA-2017-111591_OFF-FA-10004838</v>
      </c>
      <c r="E5735" t="str">
        <f>IF(COUNTIF(data1!$D:$D,D5735)=0,"Missing in Data1","Present")</f>
        <v>Missing in Data1</v>
      </c>
    </row>
    <row r="5736" spans="1:5" x14ac:dyDescent="0.25">
      <c r="A5736" s="2" t="s">
        <v>4706</v>
      </c>
      <c r="B5736" s="2" t="s">
        <v>465</v>
      </c>
      <c r="C5736" s="2">
        <v>4</v>
      </c>
      <c r="D5736" t="str">
        <f t="shared" si="89"/>
        <v>CA-2017-111591_OFF-ST-10001809</v>
      </c>
      <c r="E5736" t="str">
        <f>IF(COUNTIF(data1!$D:$D,D5736)=0,"Missing in Data1","Present")</f>
        <v>Present</v>
      </c>
    </row>
    <row r="5737" spans="1:5" x14ac:dyDescent="0.25">
      <c r="A5737" s="2" t="s">
        <v>4707</v>
      </c>
      <c r="B5737" s="2" t="s">
        <v>244</v>
      </c>
      <c r="C5737" s="2">
        <v>4</v>
      </c>
      <c r="D5737" t="str">
        <f t="shared" si="89"/>
        <v>CA-2017-111647_TEC-PH-10002726</v>
      </c>
      <c r="E5737" t="str">
        <f>IF(COUNTIF(data1!$D:$D,D5737)=0,"Missing in Data1","Present")</f>
        <v>Present</v>
      </c>
    </row>
    <row r="5738" spans="1:5" x14ac:dyDescent="0.25">
      <c r="A5738" s="2" t="s">
        <v>4708</v>
      </c>
      <c r="B5738" s="2" t="s">
        <v>1083</v>
      </c>
      <c r="C5738" s="2">
        <v>5</v>
      </c>
      <c r="D5738" t="str">
        <f t="shared" si="89"/>
        <v>CA-2017-111689_FUR-CH-10004287</v>
      </c>
      <c r="E5738" t="str">
        <f>IF(COUNTIF(data1!$D:$D,D5738)=0,"Missing in Data1","Present")</f>
        <v>Present</v>
      </c>
    </row>
    <row r="5739" spans="1:5" x14ac:dyDescent="0.25">
      <c r="A5739" s="2" t="s">
        <v>4708</v>
      </c>
      <c r="B5739" s="2" t="s">
        <v>49</v>
      </c>
      <c r="C5739" s="2">
        <v>3</v>
      </c>
      <c r="D5739" t="str">
        <f t="shared" si="89"/>
        <v>CA-2017-111689_OFF-BI-10003984</v>
      </c>
      <c r="E5739" t="str">
        <f>IF(COUNTIF(data1!$D:$D,D5739)=0,"Missing in Data1","Present")</f>
        <v>Present</v>
      </c>
    </row>
    <row r="5740" spans="1:5" x14ac:dyDescent="0.25">
      <c r="A5740" s="2" t="s">
        <v>4709</v>
      </c>
      <c r="B5740" s="2" t="s">
        <v>2710</v>
      </c>
      <c r="C5740" s="2">
        <v>3</v>
      </c>
      <c r="D5740" t="str">
        <f t="shared" si="89"/>
        <v>CA-2017-111717_FUR-CH-10001545</v>
      </c>
      <c r="E5740" t="str">
        <f>IF(COUNTIF(data1!$D:$D,D5740)=0,"Missing in Data1","Present")</f>
        <v>Present</v>
      </c>
    </row>
    <row r="5741" spans="1:5" x14ac:dyDescent="0.25">
      <c r="A5741" s="2" t="s">
        <v>4710</v>
      </c>
      <c r="B5741" s="2" t="s">
        <v>2616</v>
      </c>
      <c r="C5741" s="2">
        <v>3</v>
      </c>
      <c r="D5741" t="str">
        <f t="shared" si="89"/>
        <v>CA-2017-111738_OFF-AR-10000817</v>
      </c>
      <c r="E5741" t="str">
        <f>IF(COUNTIF(data1!$D:$D,D5741)=0,"Missing in Data1","Present")</f>
        <v>Present</v>
      </c>
    </row>
    <row r="5742" spans="1:5" x14ac:dyDescent="0.25">
      <c r="A5742" s="2" t="s">
        <v>4710</v>
      </c>
      <c r="B5742" s="2" t="s">
        <v>3778</v>
      </c>
      <c r="C5742" s="2">
        <v>8</v>
      </c>
      <c r="D5742" t="str">
        <f t="shared" si="89"/>
        <v>CA-2017-111738_OFF-BI-10004584</v>
      </c>
      <c r="E5742" t="str">
        <f>IF(COUNTIF(data1!$D:$D,D5742)=0,"Missing in Data1","Present")</f>
        <v>Present</v>
      </c>
    </row>
    <row r="5743" spans="1:5" x14ac:dyDescent="0.25">
      <c r="A5743" s="2" t="s">
        <v>4713</v>
      </c>
      <c r="B5743" s="2" t="s">
        <v>853</v>
      </c>
      <c r="C5743" s="2">
        <v>5</v>
      </c>
      <c r="D5743" t="str">
        <f t="shared" si="89"/>
        <v>CA-2017-111808_OFF-BI-10004656</v>
      </c>
      <c r="E5743" t="str">
        <f>IF(COUNTIF(data1!$D:$D,D5743)=0,"Missing in Data1","Present")</f>
        <v>Present</v>
      </c>
    </row>
    <row r="5744" spans="1:5" x14ac:dyDescent="0.25">
      <c r="A5744" s="2" t="s">
        <v>4714</v>
      </c>
      <c r="B5744" s="2" t="s">
        <v>2213</v>
      </c>
      <c r="C5744" s="2">
        <v>1</v>
      </c>
      <c r="D5744" t="str">
        <f t="shared" si="89"/>
        <v>CA-2017-111815_FUR-CH-10000785</v>
      </c>
      <c r="E5744" t="str">
        <f>IF(COUNTIF(data1!$D:$D,D5744)=0,"Missing in Data1","Present")</f>
        <v>Present</v>
      </c>
    </row>
    <row r="5745" spans="1:5" x14ac:dyDescent="0.25">
      <c r="A5745" s="2" t="s">
        <v>4714</v>
      </c>
      <c r="B5745" s="2" t="s">
        <v>1406</v>
      </c>
      <c r="C5745" s="2">
        <v>2</v>
      </c>
      <c r="D5745" t="str">
        <f t="shared" si="89"/>
        <v>CA-2017-111815_TEC-AC-10002926</v>
      </c>
      <c r="E5745" t="str">
        <f>IF(COUNTIF(data1!$D:$D,D5745)=0,"Missing in Data1","Present")</f>
        <v>Present</v>
      </c>
    </row>
    <row r="5746" spans="1:5" x14ac:dyDescent="0.25">
      <c r="A5746" s="2" t="s">
        <v>4715</v>
      </c>
      <c r="B5746" s="2" t="s">
        <v>695</v>
      </c>
      <c r="C5746" s="2">
        <v>2</v>
      </c>
      <c r="D5746" t="str">
        <f t="shared" si="89"/>
        <v>CA-2017-112004_OFF-SU-10000157</v>
      </c>
      <c r="E5746" t="str">
        <f>IF(COUNTIF(data1!$D:$D,D5746)=0,"Missing in Data1","Present")</f>
        <v>Present</v>
      </c>
    </row>
    <row r="5747" spans="1:5" x14ac:dyDescent="0.25">
      <c r="A5747" s="2" t="s">
        <v>4716</v>
      </c>
      <c r="B5747" s="2" t="s">
        <v>520</v>
      </c>
      <c r="C5747" s="2">
        <v>3</v>
      </c>
      <c r="D5747" t="str">
        <f t="shared" si="89"/>
        <v>CA-2017-112039_TEC-PH-10000984</v>
      </c>
      <c r="E5747" t="str">
        <f>IF(COUNTIF(data1!$D:$D,D5747)=0,"Missing in Data1","Present")</f>
        <v>Present</v>
      </c>
    </row>
    <row r="5748" spans="1:5" x14ac:dyDescent="0.25">
      <c r="A5748" s="2" t="s">
        <v>4717</v>
      </c>
      <c r="B5748" s="2" t="s">
        <v>977</v>
      </c>
      <c r="C5748" s="2">
        <v>3</v>
      </c>
      <c r="D5748" t="str">
        <f t="shared" si="89"/>
        <v>CA-2017-112172_OFF-FA-10004395</v>
      </c>
      <c r="E5748" t="str">
        <f>IF(COUNTIF(data1!$D:$D,D5748)=0,"Missing in Data1","Present")</f>
        <v>Present</v>
      </c>
    </row>
    <row r="5749" spans="1:5" x14ac:dyDescent="0.25">
      <c r="A5749" s="2" t="s">
        <v>4718</v>
      </c>
      <c r="B5749" s="2" t="s">
        <v>725</v>
      </c>
      <c r="C5749" s="2">
        <v>5</v>
      </c>
      <c r="D5749" t="str">
        <f t="shared" si="89"/>
        <v>CA-2017-112333_OFF-AP-10001962</v>
      </c>
      <c r="E5749" t="str">
        <f>IF(COUNTIF(data1!$D:$D,D5749)=0,"Missing in Data1","Present")</f>
        <v>Present</v>
      </c>
    </row>
    <row r="5750" spans="1:5" x14ac:dyDescent="0.25">
      <c r="A5750" s="2" t="s">
        <v>4718</v>
      </c>
      <c r="B5750" s="2" t="s">
        <v>2293</v>
      </c>
      <c r="C5750" s="2">
        <v>4</v>
      </c>
      <c r="D5750" t="str">
        <f t="shared" si="89"/>
        <v>CA-2017-112333_OFF-ST-10001780</v>
      </c>
      <c r="E5750" t="str">
        <f>IF(COUNTIF(data1!$D:$D,D5750)=0,"Missing in Data1","Present")</f>
        <v>Present</v>
      </c>
    </row>
    <row r="5751" spans="1:5" x14ac:dyDescent="0.25">
      <c r="A5751" s="2" t="s">
        <v>4719</v>
      </c>
      <c r="B5751" s="2" t="s">
        <v>3171</v>
      </c>
      <c r="C5751" s="2">
        <v>2</v>
      </c>
      <c r="D5751" t="str">
        <f t="shared" si="89"/>
        <v>CA-2017-112431_OFF-AR-10000940</v>
      </c>
      <c r="E5751" t="str">
        <f>IF(COUNTIF(data1!$D:$D,D5751)=0,"Missing in Data1","Present")</f>
        <v>Present</v>
      </c>
    </row>
    <row r="5752" spans="1:5" x14ac:dyDescent="0.25">
      <c r="A5752" s="2" t="s">
        <v>4719</v>
      </c>
      <c r="B5752" s="2" t="s">
        <v>161</v>
      </c>
      <c r="C5752" s="2">
        <v>12</v>
      </c>
      <c r="D5752" t="str">
        <f t="shared" si="89"/>
        <v>CA-2017-112431_TEC-AC-10001465</v>
      </c>
      <c r="E5752" t="str">
        <f>IF(COUNTIF(data1!$D:$D,D5752)=0,"Missing in Data1","Present")</f>
        <v>Present</v>
      </c>
    </row>
    <row r="5753" spans="1:5" x14ac:dyDescent="0.25">
      <c r="A5753" s="2" t="s">
        <v>4720</v>
      </c>
      <c r="B5753" s="2" t="s">
        <v>2216</v>
      </c>
      <c r="C5753" s="2">
        <v>3</v>
      </c>
      <c r="D5753" t="str">
        <f t="shared" si="89"/>
        <v>CA-2017-112473_OFF-ST-10002182</v>
      </c>
      <c r="E5753" t="str">
        <f>IF(COUNTIF(data1!$D:$D,D5753)=0,"Missing in Data1","Present")</f>
        <v>Present</v>
      </c>
    </row>
    <row r="5754" spans="1:5" x14ac:dyDescent="0.25">
      <c r="A5754" s="2" t="s">
        <v>4721</v>
      </c>
      <c r="B5754" s="2" t="s">
        <v>492</v>
      </c>
      <c r="C5754" s="2">
        <v>2</v>
      </c>
      <c r="D5754" t="str">
        <f t="shared" si="89"/>
        <v>CA-2017-112487_OFF-BI-10000494</v>
      </c>
      <c r="E5754" t="str">
        <f>IF(COUNTIF(data1!$D:$D,D5754)=0,"Missing in Data1","Present")</f>
        <v>Present</v>
      </c>
    </row>
    <row r="5755" spans="1:5" x14ac:dyDescent="0.25">
      <c r="A5755" s="2" t="s">
        <v>4722</v>
      </c>
      <c r="B5755" s="2" t="s">
        <v>4723</v>
      </c>
      <c r="C5755" s="2">
        <v>3</v>
      </c>
      <c r="D5755" t="str">
        <f t="shared" si="89"/>
        <v>CA-2017-112515_FUR-BO-10003404</v>
      </c>
      <c r="E5755" t="str">
        <f>IF(COUNTIF(data1!$D:$D,D5755)=0,"Missing in Data1","Present")</f>
        <v>Present</v>
      </c>
    </row>
    <row r="5756" spans="1:5" x14ac:dyDescent="0.25">
      <c r="A5756" s="2" t="s">
        <v>4722</v>
      </c>
      <c r="B5756" s="2" t="s">
        <v>419</v>
      </c>
      <c r="C5756" s="2">
        <v>3</v>
      </c>
      <c r="D5756" t="str">
        <f t="shared" si="89"/>
        <v>CA-2017-112515_OFF-BI-10000829</v>
      </c>
      <c r="E5756" t="str">
        <f>IF(COUNTIF(data1!$D:$D,D5756)=0,"Missing in Data1","Present")</f>
        <v>Present</v>
      </c>
    </row>
    <row r="5757" spans="1:5" x14ac:dyDescent="0.25">
      <c r="A5757" s="2" t="s">
        <v>4722</v>
      </c>
      <c r="B5757" s="2" t="s">
        <v>688</v>
      </c>
      <c r="C5757" s="2">
        <v>3</v>
      </c>
      <c r="D5757" t="str">
        <f t="shared" si="89"/>
        <v>CA-2017-112515_OFF-BI-10003712</v>
      </c>
      <c r="E5757" t="str">
        <f>IF(COUNTIF(data1!$D:$D,D5757)=0,"Missing in Data1","Present")</f>
        <v>Present</v>
      </c>
    </row>
    <row r="5758" spans="1:5" x14ac:dyDescent="0.25">
      <c r="A5758" s="2" t="s">
        <v>4722</v>
      </c>
      <c r="B5758" s="2" t="s">
        <v>137</v>
      </c>
      <c r="C5758" s="2">
        <v>2</v>
      </c>
      <c r="D5758" t="str">
        <f t="shared" si="89"/>
        <v>CA-2017-112515_OFF-BI-10004233</v>
      </c>
      <c r="E5758" t="str">
        <f>IF(COUNTIF(data1!$D:$D,D5758)=0,"Missing in Data1","Present")</f>
        <v>Present</v>
      </c>
    </row>
    <row r="5759" spans="1:5" x14ac:dyDescent="0.25">
      <c r="A5759" s="2" t="s">
        <v>4722</v>
      </c>
      <c r="B5759" s="2" t="s">
        <v>794</v>
      </c>
      <c r="C5759" s="2">
        <v>5</v>
      </c>
      <c r="D5759" t="str">
        <f t="shared" si="89"/>
        <v>CA-2017-112515_OFF-LA-10001175</v>
      </c>
      <c r="E5759" t="str">
        <f>IF(COUNTIF(data1!$D:$D,D5759)=0,"Missing in Data1","Present")</f>
        <v>Missing in Data1</v>
      </c>
    </row>
    <row r="5760" spans="1:5" x14ac:dyDescent="0.25">
      <c r="A5760" s="2" t="s">
        <v>4722</v>
      </c>
      <c r="B5760" s="2" t="s">
        <v>1510</v>
      </c>
      <c r="C5760" s="2">
        <v>3</v>
      </c>
      <c r="D5760" t="str">
        <f t="shared" si="89"/>
        <v>CA-2017-112515_OFF-PA-10000062</v>
      </c>
      <c r="E5760" t="str">
        <f>IF(COUNTIF(data1!$D:$D,D5760)=0,"Missing in Data1","Present")</f>
        <v>Present</v>
      </c>
    </row>
    <row r="5761" spans="1:5" x14ac:dyDescent="0.25">
      <c r="A5761" s="2" t="s">
        <v>4722</v>
      </c>
      <c r="B5761" s="2" t="s">
        <v>2653</v>
      </c>
      <c r="C5761" s="2">
        <v>2</v>
      </c>
      <c r="D5761" t="str">
        <f t="shared" si="89"/>
        <v>CA-2017-112515_OFF-ST-10001272</v>
      </c>
      <c r="E5761" t="str">
        <f>IF(COUNTIF(data1!$D:$D,D5761)=0,"Missing in Data1","Present")</f>
        <v>Present</v>
      </c>
    </row>
    <row r="5762" spans="1:5" x14ac:dyDescent="0.25">
      <c r="A5762" s="2" t="s">
        <v>4724</v>
      </c>
      <c r="B5762" s="2" t="s">
        <v>2707</v>
      </c>
      <c r="C5762" s="2">
        <v>6</v>
      </c>
      <c r="D5762" t="str">
        <f t="shared" si="89"/>
        <v>CA-2017-112529_FUR-TA-10002622</v>
      </c>
      <c r="E5762" t="str">
        <f>IF(COUNTIF(data1!$D:$D,D5762)=0,"Missing in Data1","Present")</f>
        <v>Missing in Data1</v>
      </c>
    </row>
    <row r="5763" spans="1:5" x14ac:dyDescent="0.25">
      <c r="A5763" s="2" t="s">
        <v>4724</v>
      </c>
      <c r="B5763" s="2" t="s">
        <v>1819</v>
      </c>
      <c r="C5763" s="2">
        <v>4</v>
      </c>
      <c r="D5763" t="str">
        <f t="shared" ref="D5763:D5826" si="90">A5763&amp;"_"&amp;B5763</f>
        <v>CA-2017-112529_OFF-AR-10001915</v>
      </c>
      <c r="E5763" t="str">
        <f>IF(COUNTIF(data1!$D:$D,D5763)=0,"Missing in Data1","Present")</f>
        <v>Present</v>
      </c>
    </row>
    <row r="5764" spans="1:5" x14ac:dyDescent="0.25">
      <c r="A5764" s="2" t="s">
        <v>4725</v>
      </c>
      <c r="B5764" s="2" t="s">
        <v>247</v>
      </c>
      <c r="C5764" s="2">
        <v>1</v>
      </c>
      <c r="D5764" t="str">
        <f t="shared" si="90"/>
        <v>CA-2017-112536_OFF-BI-10002571</v>
      </c>
      <c r="E5764" t="str">
        <f>IF(COUNTIF(data1!$D:$D,D5764)=0,"Missing in Data1","Present")</f>
        <v>Present</v>
      </c>
    </row>
    <row r="5765" spans="1:5" x14ac:dyDescent="0.25">
      <c r="A5765" s="2" t="s">
        <v>4725</v>
      </c>
      <c r="B5765" s="2" t="s">
        <v>688</v>
      </c>
      <c r="C5765" s="2">
        <v>7</v>
      </c>
      <c r="D5765" t="str">
        <f t="shared" si="90"/>
        <v>CA-2017-112536_OFF-BI-10003712</v>
      </c>
      <c r="E5765" t="str">
        <f>IF(COUNTIF(data1!$D:$D,D5765)=0,"Missing in Data1","Present")</f>
        <v>Present</v>
      </c>
    </row>
    <row r="5766" spans="1:5" x14ac:dyDescent="0.25">
      <c r="A5766" s="2" t="s">
        <v>4725</v>
      </c>
      <c r="B5766" s="2" t="s">
        <v>4726</v>
      </c>
      <c r="C5766" s="2">
        <v>2</v>
      </c>
      <c r="D5766" t="str">
        <f t="shared" si="90"/>
        <v>CA-2017-112536_OFF-ST-10004835</v>
      </c>
      <c r="E5766" t="str">
        <f>IF(COUNTIF(data1!$D:$D,D5766)=0,"Missing in Data1","Present")</f>
        <v>Present</v>
      </c>
    </row>
    <row r="5767" spans="1:5" x14ac:dyDescent="0.25">
      <c r="A5767" s="2" t="s">
        <v>4727</v>
      </c>
      <c r="B5767" s="2" t="s">
        <v>474</v>
      </c>
      <c r="C5767" s="2">
        <v>1</v>
      </c>
      <c r="D5767" t="str">
        <f t="shared" si="90"/>
        <v>CA-2017-112725_FUR-CH-10000863</v>
      </c>
      <c r="E5767" t="str">
        <f>IF(COUNTIF(data1!$D:$D,D5767)=0,"Missing in Data1","Present")</f>
        <v>Present</v>
      </c>
    </row>
    <row r="5768" spans="1:5" x14ac:dyDescent="0.25">
      <c r="A5768" s="2" t="s">
        <v>4727</v>
      </c>
      <c r="B5768" s="2" t="s">
        <v>4247</v>
      </c>
      <c r="C5768" s="2">
        <v>3</v>
      </c>
      <c r="D5768" t="str">
        <f t="shared" si="90"/>
        <v>CA-2017-112725_OFF-AR-10001227</v>
      </c>
      <c r="E5768" t="str">
        <f>IF(COUNTIF(data1!$D:$D,D5768)=0,"Missing in Data1","Present")</f>
        <v>Present</v>
      </c>
    </row>
    <row r="5769" spans="1:5" x14ac:dyDescent="0.25">
      <c r="A5769" s="2" t="s">
        <v>4728</v>
      </c>
      <c r="B5769" s="2" t="s">
        <v>2410</v>
      </c>
      <c r="C5769" s="2">
        <v>6</v>
      </c>
      <c r="D5769" t="str">
        <f t="shared" si="90"/>
        <v>CA-2017-112753_OFF-PA-10002036</v>
      </c>
      <c r="E5769" t="str">
        <f>IF(COUNTIF(data1!$D:$D,D5769)=0,"Missing in Data1","Present")</f>
        <v>Present</v>
      </c>
    </row>
    <row r="5770" spans="1:5" x14ac:dyDescent="0.25">
      <c r="A5770" s="2" t="s">
        <v>6823</v>
      </c>
      <c r="B5770" s="2" t="s">
        <v>2933</v>
      </c>
      <c r="C5770" s="2">
        <v>1</v>
      </c>
      <c r="D5770" t="str">
        <f t="shared" si="90"/>
        <v>CA-2017-112774_FUR-FU-10003039</v>
      </c>
      <c r="E5770" t="str">
        <f>IF(COUNTIF(data1!$D:$D,D5770)=0,"Missing in Data1","Present")</f>
        <v>Missing in Data1</v>
      </c>
    </row>
    <row r="5771" spans="1:5" x14ac:dyDescent="0.25">
      <c r="A5771" s="2" t="s">
        <v>4729</v>
      </c>
      <c r="B5771" s="2" t="s">
        <v>2048</v>
      </c>
      <c r="C5771" s="2">
        <v>5</v>
      </c>
      <c r="D5771" t="str">
        <f t="shared" si="90"/>
        <v>CA-2017-112809_OFF-BI-10001098</v>
      </c>
      <c r="E5771" t="str">
        <f>IF(COUNTIF(data1!$D:$D,D5771)=0,"Missing in Data1","Present")</f>
        <v>Present</v>
      </c>
    </row>
    <row r="5772" spans="1:5" x14ac:dyDescent="0.25">
      <c r="A5772" s="2" t="s">
        <v>4729</v>
      </c>
      <c r="B5772" s="2" t="s">
        <v>951</v>
      </c>
      <c r="C5772" s="2">
        <v>4</v>
      </c>
      <c r="D5772" t="str">
        <f t="shared" si="90"/>
        <v>CA-2017-112809_OFF-BI-10001636</v>
      </c>
      <c r="E5772" t="str">
        <f>IF(COUNTIF(data1!$D:$D,D5772)=0,"Missing in Data1","Present")</f>
        <v>Missing in Data1</v>
      </c>
    </row>
    <row r="5773" spans="1:5" x14ac:dyDescent="0.25">
      <c r="A5773" s="2" t="s">
        <v>4729</v>
      </c>
      <c r="B5773" s="2" t="s">
        <v>1002</v>
      </c>
      <c r="C5773" s="2">
        <v>3</v>
      </c>
      <c r="D5773" t="str">
        <f t="shared" si="90"/>
        <v>CA-2017-112809_OFF-ST-10002276</v>
      </c>
      <c r="E5773" t="str">
        <f>IF(COUNTIF(data1!$D:$D,D5773)=0,"Missing in Data1","Present")</f>
        <v>Present</v>
      </c>
    </row>
    <row r="5774" spans="1:5" x14ac:dyDescent="0.25">
      <c r="A5774" s="2" t="s">
        <v>4730</v>
      </c>
      <c r="B5774" s="2" t="s">
        <v>2637</v>
      </c>
      <c r="C5774" s="2">
        <v>3</v>
      </c>
      <c r="D5774" t="str">
        <f t="shared" si="90"/>
        <v>CA-2017-112844_FUR-FU-10004845</v>
      </c>
      <c r="E5774" t="str">
        <f>IF(COUNTIF(data1!$D:$D,D5774)=0,"Missing in Data1","Present")</f>
        <v>Present</v>
      </c>
    </row>
    <row r="5775" spans="1:5" x14ac:dyDescent="0.25">
      <c r="A5775" s="2" t="s">
        <v>4730</v>
      </c>
      <c r="B5775" s="2" t="s">
        <v>1616</v>
      </c>
      <c r="C5775" s="2">
        <v>4</v>
      </c>
      <c r="D5775" t="str">
        <f t="shared" si="90"/>
        <v>CA-2017-112844_TEC-PH-10003988</v>
      </c>
      <c r="E5775" t="str">
        <f>IF(COUNTIF(data1!$D:$D,D5775)=0,"Missing in Data1","Present")</f>
        <v>Present</v>
      </c>
    </row>
    <row r="5776" spans="1:5" x14ac:dyDescent="0.25">
      <c r="A5776" s="2" t="s">
        <v>4731</v>
      </c>
      <c r="B5776" s="2" t="s">
        <v>2069</v>
      </c>
      <c r="C5776" s="2">
        <v>3</v>
      </c>
      <c r="D5776" t="str">
        <f t="shared" si="90"/>
        <v>CA-2017-112865_TEC-AC-10000387</v>
      </c>
      <c r="E5776" t="str">
        <f>IF(COUNTIF(data1!$D:$D,D5776)=0,"Missing in Data1","Present")</f>
        <v>Present</v>
      </c>
    </row>
    <row r="5777" spans="1:5" x14ac:dyDescent="0.25">
      <c r="A5777" s="2" t="s">
        <v>4732</v>
      </c>
      <c r="B5777" s="2" t="s">
        <v>1345</v>
      </c>
      <c r="C5777" s="2">
        <v>8</v>
      </c>
      <c r="D5777" t="str">
        <f t="shared" si="90"/>
        <v>CA-2017-112900_OFF-BI-10002867</v>
      </c>
      <c r="E5777" t="str">
        <f>IF(COUNTIF(data1!$D:$D,D5777)=0,"Missing in Data1","Present")</f>
        <v>Present</v>
      </c>
    </row>
    <row r="5778" spans="1:5" x14ac:dyDescent="0.25">
      <c r="A5778" s="2" t="s">
        <v>4733</v>
      </c>
      <c r="B5778" s="2" t="s">
        <v>3218</v>
      </c>
      <c r="C5778" s="2">
        <v>2</v>
      </c>
      <c r="D5778" t="str">
        <f t="shared" si="90"/>
        <v>CA-2017-112956_FUR-FU-10003976</v>
      </c>
      <c r="E5778" t="str">
        <f>IF(COUNTIF(data1!$D:$D,D5778)=0,"Missing in Data1","Present")</f>
        <v>Present</v>
      </c>
    </row>
    <row r="5779" spans="1:5" x14ac:dyDescent="0.25">
      <c r="A5779" s="2" t="s">
        <v>4733</v>
      </c>
      <c r="B5779" s="2" t="s">
        <v>4018</v>
      </c>
      <c r="C5779" s="2">
        <v>4</v>
      </c>
      <c r="D5779" t="str">
        <f t="shared" si="90"/>
        <v>CA-2017-112956_FUR-FU-10004960</v>
      </c>
      <c r="E5779" t="str">
        <f>IF(COUNTIF(data1!$D:$D,D5779)=0,"Missing in Data1","Present")</f>
        <v>Present</v>
      </c>
    </row>
    <row r="5780" spans="1:5" x14ac:dyDescent="0.25">
      <c r="A5780" s="2" t="s">
        <v>4733</v>
      </c>
      <c r="B5780" s="2" t="s">
        <v>41</v>
      </c>
      <c r="C5780" s="2">
        <v>5</v>
      </c>
      <c r="D5780" t="str">
        <f t="shared" si="90"/>
        <v>CA-2017-112956_OFF-PA-10000357</v>
      </c>
      <c r="E5780" t="str">
        <f>IF(COUNTIF(data1!$D:$D,D5780)=0,"Missing in Data1","Present")</f>
        <v>Present</v>
      </c>
    </row>
    <row r="5781" spans="1:5" x14ac:dyDescent="0.25">
      <c r="A5781" s="2" t="s">
        <v>4734</v>
      </c>
      <c r="B5781" s="2" t="s">
        <v>2768</v>
      </c>
      <c r="C5781" s="2">
        <v>6</v>
      </c>
      <c r="D5781" t="str">
        <f t="shared" si="90"/>
        <v>CA-2017-112984_OFF-PA-10003657</v>
      </c>
      <c r="E5781" t="str">
        <f>IF(COUNTIF(data1!$D:$D,D5781)=0,"Missing in Data1","Present")</f>
        <v>Present</v>
      </c>
    </row>
    <row r="5782" spans="1:5" x14ac:dyDescent="0.25">
      <c r="A5782" s="2" t="s">
        <v>4735</v>
      </c>
      <c r="B5782" s="2" t="s">
        <v>1841</v>
      </c>
      <c r="C5782" s="2">
        <v>3</v>
      </c>
      <c r="D5782" t="str">
        <f t="shared" si="90"/>
        <v>CA-2017-113075_TEC-AC-10003441</v>
      </c>
      <c r="E5782" t="str">
        <f>IF(COUNTIF(data1!$D:$D,D5782)=0,"Missing in Data1","Present")</f>
        <v>Present</v>
      </c>
    </row>
    <row r="5783" spans="1:5" x14ac:dyDescent="0.25">
      <c r="A5783" s="2" t="s">
        <v>4736</v>
      </c>
      <c r="B5783" s="2" t="s">
        <v>4523</v>
      </c>
      <c r="C5783" s="2">
        <v>3</v>
      </c>
      <c r="D5783" t="str">
        <f t="shared" si="90"/>
        <v>CA-2017-113208_FUR-FU-10004245</v>
      </c>
      <c r="E5783" t="str">
        <f>IF(COUNTIF(data1!$D:$D,D5783)=0,"Missing in Data1","Present")</f>
        <v>Present</v>
      </c>
    </row>
    <row r="5784" spans="1:5" x14ac:dyDescent="0.25">
      <c r="A5784" s="2" t="s">
        <v>4737</v>
      </c>
      <c r="B5784" s="2" t="s">
        <v>3125</v>
      </c>
      <c r="C5784" s="2">
        <v>2</v>
      </c>
      <c r="D5784" t="str">
        <f t="shared" si="90"/>
        <v>CA-2017-113278_FUR-FU-10001037</v>
      </c>
      <c r="E5784" t="str">
        <f>IF(COUNTIF(data1!$D:$D,D5784)=0,"Missing in Data1","Present")</f>
        <v>Present</v>
      </c>
    </row>
    <row r="5785" spans="1:5" x14ac:dyDescent="0.25">
      <c r="A5785" s="2" t="s">
        <v>4737</v>
      </c>
      <c r="B5785" s="2" t="s">
        <v>1859</v>
      </c>
      <c r="C5785" s="2">
        <v>2</v>
      </c>
      <c r="D5785" t="str">
        <f t="shared" si="90"/>
        <v>CA-2017-113278_OFF-FA-10003472</v>
      </c>
      <c r="E5785" t="str">
        <f>IF(COUNTIF(data1!$D:$D,D5785)=0,"Missing in Data1","Present")</f>
        <v>Present</v>
      </c>
    </row>
    <row r="5786" spans="1:5" x14ac:dyDescent="0.25">
      <c r="A5786" s="2" t="s">
        <v>4737</v>
      </c>
      <c r="B5786" s="2" t="s">
        <v>2984</v>
      </c>
      <c r="C5786" s="2">
        <v>1</v>
      </c>
      <c r="D5786" t="str">
        <f t="shared" si="90"/>
        <v>CA-2017-113278_OFF-PA-10004156</v>
      </c>
      <c r="E5786" t="str">
        <f>IF(COUNTIF(data1!$D:$D,D5786)=0,"Missing in Data1","Present")</f>
        <v>Present</v>
      </c>
    </row>
    <row r="5787" spans="1:5" x14ac:dyDescent="0.25">
      <c r="A5787" s="2" t="s">
        <v>4737</v>
      </c>
      <c r="B5787" s="2" t="s">
        <v>2282</v>
      </c>
      <c r="C5787" s="2">
        <v>5</v>
      </c>
      <c r="D5787" t="str">
        <f t="shared" si="90"/>
        <v>CA-2017-113278_OFF-ST-10001590</v>
      </c>
      <c r="E5787" t="str">
        <f>IF(COUNTIF(data1!$D:$D,D5787)=0,"Missing in Data1","Present")</f>
        <v>Present</v>
      </c>
    </row>
    <row r="5788" spans="1:5" x14ac:dyDescent="0.25">
      <c r="A5788" s="2" t="s">
        <v>4737</v>
      </c>
      <c r="B5788" s="2" t="s">
        <v>1660</v>
      </c>
      <c r="C5788" s="2">
        <v>2</v>
      </c>
      <c r="D5788" t="str">
        <f t="shared" si="90"/>
        <v>CA-2017-113278_OFF-ST-10002562</v>
      </c>
      <c r="E5788" t="str">
        <f>IF(COUNTIF(data1!$D:$D,D5788)=0,"Missing in Data1","Present")</f>
        <v>Present</v>
      </c>
    </row>
    <row r="5789" spans="1:5" x14ac:dyDescent="0.25">
      <c r="A5789" s="2" t="s">
        <v>4737</v>
      </c>
      <c r="B5789" s="2" t="s">
        <v>1090</v>
      </c>
      <c r="C5789" s="2">
        <v>4</v>
      </c>
      <c r="D5789" t="str">
        <f t="shared" si="90"/>
        <v>CA-2017-113278_TEC-AC-10001445</v>
      </c>
      <c r="E5789" t="str">
        <f>IF(COUNTIF(data1!$D:$D,D5789)=0,"Missing in Data1","Present")</f>
        <v>Missing in Data1</v>
      </c>
    </row>
    <row r="5790" spans="1:5" x14ac:dyDescent="0.25">
      <c r="A5790" s="2" t="s">
        <v>4737</v>
      </c>
      <c r="B5790" s="2" t="s">
        <v>2802</v>
      </c>
      <c r="C5790" s="2">
        <v>4</v>
      </c>
      <c r="D5790" t="str">
        <f t="shared" si="90"/>
        <v>CA-2017-113278_TEC-AC-10004469</v>
      </c>
      <c r="E5790" t="str">
        <f>IF(COUNTIF(data1!$D:$D,D5790)=0,"Missing in Data1","Present")</f>
        <v>Present</v>
      </c>
    </row>
    <row r="5791" spans="1:5" x14ac:dyDescent="0.25">
      <c r="A5791" s="2" t="s">
        <v>4737</v>
      </c>
      <c r="B5791" s="2" t="s">
        <v>63</v>
      </c>
      <c r="C5791" s="2">
        <v>4</v>
      </c>
      <c r="D5791" t="str">
        <f t="shared" si="90"/>
        <v>CA-2017-113278_TEC-PH-10000169</v>
      </c>
      <c r="E5791" t="str">
        <f>IF(COUNTIF(data1!$D:$D,D5791)=0,"Missing in Data1","Present")</f>
        <v>Present</v>
      </c>
    </row>
    <row r="5792" spans="1:5" x14ac:dyDescent="0.25">
      <c r="A5792" s="2" t="s">
        <v>4738</v>
      </c>
      <c r="B5792" s="2" t="s">
        <v>16</v>
      </c>
      <c r="C5792" s="2">
        <v>3</v>
      </c>
      <c r="D5792" t="str">
        <f t="shared" si="90"/>
        <v>CA-2017-113355_FUR-CH-10002602</v>
      </c>
      <c r="E5792" t="str">
        <f>IF(COUNTIF(data1!$D:$D,D5792)=0,"Missing in Data1","Present")</f>
        <v>Present</v>
      </c>
    </row>
    <row r="5793" spans="1:5" x14ac:dyDescent="0.25">
      <c r="A5793" s="2" t="s">
        <v>4738</v>
      </c>
      <c r="B5793" s="2" t="s">
        <v>1751</v>
      </c>
      <c r="C5793" s="2">
        <v>5</v>
      </c>
      <c r="D5793" t="str">
        <f t="shared" si="90"/>
        <v>CA-2017-113355_TEC-PH-10004912</v>
      </c>
      <c r="E5793" t="str">
        <f>IF(COUNTIF(data1!$D:$D,D5793)=0,"Missing in Data1","Present")</f>
        <v>Present</v>
      </c>
    </row>
    <row r="5794" spans="1:5" x14ac:dyDescent="0.25">
      <c r="A5794" s="2" t="s">
        <v>4739</v>
      </c>
      <c r="B5794" s="2" t="s">
        <v>4069</v>
      </c>
      <c r="C5794" s="2">
        <v>11</v>
      </c>
      <c r="D5794" t="str">
        <f t="shared" si="90"/>
        <v>CA-2017-113418_TEC-MA-10002428</v>
      </c>
      <c r="E5794" t="str">
        <f>IF(COUNTIF(data1!$D:$D,D5794)=0,"Missing in Data1","Present")</f>
        <v>Present</v>
      </c>
    </row>
    <row r="5795" spans="1:5" x14ac:dyDescent="0.25">
      <c r="A5795" s="2" t="s">
        <v>4740</v>
      </c>
      <c r="B5795" s="2" t="s">
        <v>4144</v>
      </c>
      <c r="C5795" s="2">
        <v>3</v>
      </c>
      <c r="D5795" t="str">
        <f t="shared" si="90"/>
        <v>CA-2017-113453_OFF-ST-10000352</v>
      </c>
      <c r="E5795" t="str">
        <f>IF(COUNTIF(data1!$D:$D,D5795)=0,"Missing in Data1","Present")</f>
        <v>Present</v>
      </c>
    </row>
    <row r="5796" spans="1:5" x14ac:dyDescent="0.25">
      <c r="A5796" s="2" t="s">
        <v>4740</v>
      </c>
      <c r="B5796" s="2" t="s">
        <v>2074</v>
      </c>
      <c r="C5796" s="2">
        <v>2</v>
      </c>
      <c r="D5796" t="str">
        <f t="shared" si="90"/>
        <v>CA-2017-113453_TEC-PH-10004165</v>
      </c>
      <c r="E5796" t="str">
        <f>IF(COUNTIF(data1!$D:$D,D5796)=0,"Missing in Data1","Present")</f>
        <v>Present</v>
      </c>
    </row>
    <row r="5797" spans="1:5" x14ac:dyDescent="0.25">
      <c r="A5797" s="2" t="s">
        <v>4741</v>
      </c>
      <c r="B5797" s="2" t="s">
        <v>335</v>
      </c>
      <c r="C5797" s="2">
        <v>3</v>
      </c>
      <c r="D5797" t="str">
        <f t="shared" si="90"/>
        <v>CA-2017-113460_FUR-CH-10000422</v>
      </c>
      <c r="E5797" t="str">
        <f>IF(COUNTIF(data1!$D:$D,D5797)=0,"Missing in Data1","Present")</f>
        <v>Present</v>
      </c>
    </row>
    <row r="5798" spans="1:5" x14ac:dyDescent="0.25">
      <c r="A5798" s="2" t="s">
        <v>4742</v>
      </c>
      <c r="B5798" s="2" t="s">
        <v>4743</v>
      </c>
      <c r="C5798" s="2">
        <v>2</v>
      </c>
      <c r="D5798" t="str">
        <f t="shared" si="90"/>
        <v>CA-2017-113474_OFF-EN-10004206</v>
      </c>
      <c r="E5798" t="str">
        <f>IF(COUNTIF(data1!$D:$D,D5798)=0,"Missing in Data1","Present")</f>
        <v>Present</v>
      </c>
    </row>
    <row r="5799" spans="1:5" x14ac:dyDescent="0.25">
      <c r="A5799" s="2" t="s">
        <v>4744</v>
      </c>
      <c r="B5799" s="2" t="s">
        <v>606</v>
      </c>
      <c r="C5799" s="2">
        <v>6</v>
      </c>
      <c r="D5799" t="str">
        <f t="shared" si="90"/>
        <v>CA-2017-113481_OFF-BI-10000474</v>
      </c>
      <c r="E5799" t="str">
        <f>IF(COUNTIF(data1!$D:$D,D5799)=0,"Missing in Data1","Present")</f>
        <v>Missing in Data1</v>
      </c>
    </row>
    <row r="5800" spans="1:5" x14ac:dyDescent="0.25">
      <c r="A5800" s="2" t="s">
        <v>4744</v>
      </c>
      <c r="B5800" s="2" t="s">
        <v>2516</v>
      </c>
      <c r="C5800" s="2">
        <v>5</v>
      </c>
      <c r="D5800" t="str">
        <f t="shared" si="90"/>
        <v>CA-2017-113481_OFF-BI-10003694</v>
      </c>
      <c r="E5800" t="str">
        <f>IF(COUNTIF(data1!$D:$D,D5800)=0,"Missing in Data1","Present")</f>
        <v>Present</v>
      </c>
    </row>
    <row r="5801" spans="1:5" x14ac:dyDescent="0.25">
      <c r="A5801" s="2" t="s">
        <v>4744</v>
      </c>
      <c r="B5801" s="2" t="s">
        <v>4045</v>
      </c>
      <c r="C5801" s="2">
        <v>2</v>
      </c>
      <c r="D5801" t="str">
        <f t="shared" si="90"/>
        <v>CA-2017-113481_TEC-MA-10002178</v>
      </c>
      <c r="E5801" t="str">
        <f>IF(COUNTIF(data1!$D:$D,D5801)=0,"Missing in Data1","Present")</f>
        <v>Present</v>
      </c>
    </row>
    <row r="5802" spans="1:5" x14ac:dyDescent="0.25">
      <c r="A5802" s="2" t="s">
        <v>4745</v>
      </c>
      <c r="B5802" s="2" t="s">
        <v>1419</v>
      </c>
      <c r="C5802" s="2">
        <v>12</v>
      </c>
      <c r="D5802" t="str">
        <f t="shared" si="90"/>
        <v>CA-2017-113530_FUR-CH-10002647</v>
      </c>
      <c r="E5802" t="str">
        <f>IF(COUNTIF(data1!$D:$D,D5802)=0,"Missing in Data1","Present")</f>
        <v>Present</v>
      </c>
    </row>
    <row r="5803" spans="1:5" x14ac:dyDescent="0.25">
      <c r="A5803" s="2" t="s">
        <v>4745</v>
      </c>
      <c r="B5803" s="2" t="s">
        <v>701</v>
      </c>
      <c r="C5803" s="2">
        <v>1</v>
      </c>
      <c r="D5803" t="str">
        <f t="shared" si="90"/>
        <v>CA-2017-113530_OFF-AR-10000122</v>
      </c>
      <c r="E5803" t="str">
        <f>IF(COUNTIF(data1!$D:$D,D5803)=0,"Missing in Data1","Present")</f>
        <v>Missing in Data1</v>
      </c>
    </row>
    <row r="5804" spans="1:5" x14ac:dyDescent="0.25">
      <c r="A5804" s="2" t="s">
        <v>4745</v>
      </c>
      <c r="B5804" s="2" t="s">
        <v>564</v>
      </c>
      <c r="C5804" s="2">
        <v>2</v>
      </c>
      <c r="D5804" t="str">
        <f t="shared" si="90"/>
        <v>CA-2017-113530_OFF-AR-10001315</v>
      </c>
      <c r="E5804" t="str">
        <f>IF(COUNTIF(data1!$D:$D,D5804)=0,"Missing in Data1","Present")</f>
        <v>Missing in Data1</v>
      </c>
    </row>
    <row r="5805" spans="1:5" x14ac:dyDescent="0.25">
      <c r="A5805" s="2" t="s">
        <v>4745</v>
      </c>
      <c r="B5805" s="2" t="s">
        <v>161</v>
      </c>
      <c r="C5805" s="2">
        <v>1</v>
      </c>
      <c r="D5805" t="str">
        <f t="shared" si="90"/>
        <v>CA-2017-113530_TEC-AC-10001465</v>
      </c>
      <c r="E5805" t="str">
        <f>IF(COUNTIF(data1!$D:$D,D5805)=0,"Missing in Data1","Present")</f>
        <v>Present</v>
      </c>
    </row>
    <row r="5806" spans="1:5" x14ac:dyDescent="0.25">
      <c r="A5806" s="2" t="s">
        <v>4746</v>
      </c>
      <c r="B5806" s="2" t="s">
        <v>1682</v>
      </c>
      <c r="C5806" s="2">
        <v>3</v>
      </c>
      <c r="D5806" t="str">
        <f t="shared" si="90"/>
        <v>CA-2017-113558_FUR-CH-10003379</v>
      </c>
      <c r="E5806" t="str">
        <f>IF(COUNTIF(data1!$D:$D,D5806)=0,"Missing in Data1","Present")</f>
        <v>Present</v>
      </c>
    </row>
    <row r="5807" spans="1:5" x14ac:dyDescent="0.25">
      <c r="A5807" s="2" t="s">
        <v>4746</v>
      </c>
      <c r="B5807" s="2" t="s">
        <v>1411</v>
      </c>
      <c r="C5807" s="2">
        <v>3</v>
      </c>
      <c r="D5807" t="str">
        <f t="shared" si="90"/>
        <v>CA-2017-113558_FUR-FU-10001756</v>
      </c>
      <c r="E5807" t="str">
        <f>IF(COUNTIF(data1!$D:$D,D5807)=0,"Missing in Data1","Present")</f>
        <v>Present</v>
      </c>
    </row>
    <row r="5808" spans="1:5" x14ac:dyDescent="0.25">
      <c r="A5808" s="2" t="s">
        <v>4747</v>
      </c>
      <c r="B5808" s="2" t="s">
        <v>527</v>
      </c>
      <c r="C5808" s="2">
        <v>4</v>
      </c>
      <c r="D5808" t="str">
        <f t="shared" si="90"/>
        <v>CA-2017-113572_TEC-AC-10002370</v>
      </c>
      <c r="E5808" t="str">
        <f>IF(COUNTIF(data1!$D:$D,D5808)=0,"Missing in Data1","Present")</f>
        <v>Present</v>
      </c>
    </row>
    <row r="5809" spans="1:5" x14ac:dyDescent="0.25">
      <c r="A5809" s="2" t="s">
        <v>4748</v>
      </c>
      <c r="B5809" s="2" t="s">
        <v>2627</v>
      </c>
      <c r="C5809" s="2">
        <v>3</v>
      </c>
      <c r="D5809" t="str">
        <f t="shared" si="90"/>
        <v>CA-2017-113670_FUR-TA-10001705</v>
      </c>
      <c r="E5809" t="str">
        <f>IF(COUNTIF(data1!$D:$D,D5809)=0,"Missing in Data1","Present")</f>
        <v>Present</v>
      </c>
    </row>
    <row r="5810" spans="1:5" x14ac:dyDescent="0.25">
      <c r="A5810" s="2" t="s">
        <v>4748</v>
      </c>
      <c r="B5810" s="2" t="s">
        <v>1670</v>
      </c>
      <c r="C5810" s="2">
        <v>5</v>
      </c>
      <c r="D5810" t="str">
        <f t="shared" si="90"/>
        <v>CA-2017-113670_OFF-PA-10000675</v>
      </c>
      <c r="E5810" t="str">
        <f>IF(COUNTIF(data1!$D:$D,D5810)=0,"Missing in Data1","Present")</f>
        <v>Present</v>
      </c>
    </row>
    <row r="5811" spans="1:5" x14ac:dyDescent="0.25">
      <c r="A5811" s="2" t="s">
        <v>4749</v>
      </c>
      <c r="B5811" s="2" t="s">
        <v>1679</v>
      </c>
      <c r="C5811" s="2">
        <v>2</v>
      </c>
      <c r="D5811" t="str">
        <f t="shared" si="90"/>
        <v>CA-2017-113705_FUR-TA-10002533</v>
      </c>
      <c r="E5811" t="str">
        <f>IF(COUNTIF(data1!$D:$D,D5811)=0,"Missing in Data1","Present")</f>
        <v>Present</v>
      </c>
    </row>
    <row r="5812" spans="1:5" x14ac:dyDescent="0.25">
      <c r="A5812" s="2" t="s">
        <v>4749</v>
      </c>
      <c r="B5812" s="2" t="s">
        <v>1816</v>
      </c>
      <c r="C5812" s="2">
        <v>2</v>
      </c>
      <c r="D5812" t="str">
        <f t="shared" si="90"/>
        <v>CA-2017-113705_OFF-BI-10001679</v>
      </c>
      <c r="E5812" t="str">
        <f>IF(COUNTIF(data1!$D:$D,D5812)=0,"Missing in Data1","Present")</f>
        <v>Present</v>
      </c>
    </row>
    <row r="5813" spans="1:5" x14ac:dyDescent="0.25">
      <c r="A5813" s="2" t="s">
        <v>4749</v>
      </c>
      <c r="B5813" s="2" t="s">
        <v>2533</v>
      </c>
      <c r="C5813" s="2">
        <v>2</v>
      </c>
      <c r="D5813" t="str">
        <f t="shared" si="90"/>
        <v>CA-2017-113705_OFF-LA-10000476</v>
      </c>
      <c r="E5813" t="str">
        <f>IF(COUNTIF(data1!$D:$D,D5813)=0,"Missing in Data1","Present")</f>
        <v>Present</v>
      </c>
    </row>
    <row r="5814" spans="1:5" x14ac:dyDescent="0.25">
      <c r="A5814" s="2" t="s">
        <v>4749</v>
      </c>
      <c r="B5814" s="2" t="s">
        <v>1968</v>
      </c>
      <c r="C5814" s="2">
        <v>4</v>
      </c>
      <c r="D5814" t="str">
        <f t="shared" si="90"/>
        <v>CA-2017-113705_OFF-PA-10002615</v>
      </c>
      <c r="E5814" t="str">
        <f>IF(COUNTIF(data1!$D:$D,D5814)=0,"Missing in Data1","Present")</f>
        <v>Present</v>
      </c>
    </row>
    <row r="5815" spans="1:5" x14ac:dyDescent="0.25">
      <c r="A5815" s="2" t="s">
        <v>4749</v>
      </c>
      <c r="B5815" s="2" t="s">
        <v>1201</v>
      </c>
      <c r="C5815" s="2">
        <v>3</v>
      </c>
      <c r="D5815" t="str">
        <f t="shared" si="90"/>
        <v>CA-2017-113705_OFF-ST-10001128</v>
      </c>
      <c r="E5815" t="str">
        <f>IF(COUNTIF(data1!$D:$D,D5815)=0,"Missing in Data1","Present")</f>
        <v>Present</v>
      </c>
    </row>
    <row r="5816" spans="1:5" x14ac:dyDescent="0.25">
      <c r="A5816" s="2" t="s">
        <v>4749</v>
      </c>
      <c r="B5816" s="2" t="s">
        <v>4750</v>
      </c>
      <c r="C5816" s="2">
        <v>5</v>
      </c>
      <c r="D5816" t="str">
        <f t="shared" si="90"/>
        <v>CA-2017-113705_TEC-PH-10004006</v>
      </c>
      <c r="E5816" t="str">
        <f>IF(COUNTIF(data1!$D:$D,D5816)=0,"Missing in Data1","Present")</f>
        <v>Present</v>
      </c>
    </row>
    <row r="5817" spans="1:5" x14ac:dyDescent="0.25">
      <c r="A5817" s="2" t="s">
        <v>4751</v>
      </c>
      <c r="B5817" s="2" t="s">
        <v>3329</v>
      </c>
      <c r="C5817" s="2">
        <v>3</v>
      </c>
      <c r="D5817" t="str">
        <f t="shared" si="90"/>
        <v>CA-2017-113873_FUR-BO-10003441</v>
      </c>
      <c r="E5817" t="str">
        <f>IF(COUNTIF(data1!$D:$D,D5817)=0,"Missing in Data1","Present")</f>
        <v>Present</v>
      </c>
    </row>
    <row r="5818" spans="1:5" x14ac:dyDescent="0.25">
      <c r="A5818" s="2" t="s">
        <v>4751</v>
      </c>
      <c r="B5818" s="2" t="s">
        <v>166</v>
      </c>
      <c r="C5818" s="2">
        <v>4</v>
      </c>
      <c r="D5818" t="str">
        <f t="shared" si="90"/>
        <v>CA-2017-113873_OFF-ST-10000943</v>
      </c>
      <c r="E5818" t="str">
        <f>IF(COUNTIF(data1!$D:$D,D5818)=0,"Missing in Data1","Present")</f>
        <v>Present</v>
      </c>
    </row>
    <row r="5819" spans="1:5" x14ac:dyDescent="0.25">
      <c r="A5819" s="2" t="s">
        <v>4752</v>
      </c>
      <c r="B5819" s="2" t="s">
        <v>1116</v>
      </c>
      <c r="C5819" s="2">
        <v>2</v>
      </c>
      <c r="D5819" t="str">
        <f t="shared" si="90"/>
        <v>CA-2017-113908_FUR-TA-10001932</v>
      </c>
      <c r="E5819" t="str">
        <f>IF(COUNTIF(data1!$D:$D,D5819)=0,"Missing in Data1","Present")</f>
        <v>Present</v>
      </c>
    </row>
    <row r="5820" spans="1:5" x14ac:dyDescent="0.25">
      <c r="A5820" s="2" t="s">
        <v>4752</v>
      </c>
      <c r="B5820" s="2" t="s">
        <v>2984</v>
      </c>
      <c r="C5820" s="2">
        <v>4</v>
      </c>
      <c r="D5820" t="str">
        <f t="shared" si="90"/>
        <v>CA-2017-113908_OFF-PA-10004156</v>
      </c>
      <c r="E5820" t="str">
        <f>IF(COUNTIF(data1!$D:$D,D5820)=0,"Missing in Data1","Present")</f>
        <v>Present</v>
      </c>
    </row>
    <row r="5821" spans="1:5" x14ac:dyDescent="0.25">
      <c r="A5821" s="2" t="s">
        <v>4752</v>
      </c>
      <c r="B5821" s="2" t="s">
        <v>4753</v>
      </c>
      <c r="C5821" s="2">
        <v>6</v>
      </c>
      <c r="D5821" t="str">
        <f t="shared" si="90"/>
        <v>CA-2017-113908_TEC-MA-10003173</v>
      </c>
      <c r="E5821" t="str">
        <f>IF(COUNTIF(data1!$D:$D,D5821)=0,"Missing in Data1","Present")</f>
        <v>Present</v>
      </c>
    </row>
    <row r="5822" spans="1:5" x14ac:dyDescent="0.25">
      <c r="A5822" s="2" t="s">
        <v>4754</v>
      </c>
      <c r="B5822" s="2" t="s">
        <v>1395</v>
      </c>
      <c r="C5822" s="2">
        <v>2</v>
      </c>
      <c r="D5822" t="str">
        <f t="shared" si="90"/>
        <v>CA-2017-114055_OFF-FA-10003059</v>
      </c>
      <c r="E5822" t="str">
        <f>IF(COUNTIF(data1!$D:$D,D5822)=0,"Missing in Data1","Present")</f>
        <v>Present</v>
      </c>
    </row>
    <row r="5823" spans="1:5" x14ac:dyDescent="0.25">
      <c r="A5823" s="2" t="s">
        <v>4754</v>
      </c>
      <c r="B5823" s="2" t="s">
        <v>4114</v>
      </c>
      <c r="C5823" s="2">
        <v>2</v>
      </c>
      <c r="D5823" t="str">
        <f t="shared" si="90"/>
        <v>CA-2017-114055_OFF-PA-10004381</v>
      </c>
      <c r="E5823" t="str">
        <f>IF(COUNTIF(data1!$D:$D,D5823)=0,"Missing in Data1","Present")</f>
        <v>Present</v>
      </c>
    </row>
    <row r="5824" spans="1:5" x14ac:dyDescent="0.25">
      <c r="A5824" s="2" t="s">
        <v>4754</v>
      </c>
      <c r="B5824" s="2" t="s">
        <v>737</v>
      </c>
      <c r="C5824" s="2">
        <v>2</v>
      </c>
      <c r="D5824" t="str">
        <f t="shared" si="90"/>
        <v>CA-2017-114055_TEC-PH-10002890</v>
      </c>
      <c r="E5824" t="str">
        <f>IF(COUNTIF(data1!$D:$D,D5824)=0,"Missing in Data1","Present")</f>
        <v>Present</v>
      </c>
    </row>
    <row r="5825" spans="1:5" x14ac:dyDescent="0.25">
      <c r="A5825" s="2" t="s">
        <v>4755</v>
      </c>
      <c r="B5825" s="2" t="s">
        <v>157</v>
      </c>
      <c r="C5825" s="2">
        <v>3</v>
      </c>
      <c r="D5825" t="str">
        <f t="shared" si="90"/>
        <v>CA-2017-114216_OFF-PA-10002195</v>
      </c>
      <c r="E5825" t="str">
        <f>IF(COUNTIF(data1!$D:$D,D5825)=0,"Missing in Data1","Present")</f>
        <v>Present</v>
      </c>
    </row>
    <row r="5826" spans="1:5" x14ac:dyDescent="0.25">
      <c r="A5826" s="2" t="s">
        <v>4756</v>
      </c>
      <c r="B5826" s="2" t="s">
        <v>1980</v>
      </c>
      <c r="C5826" s="2">
        <v>4</v>
      </c>
      <c r="D5826" t="str">
        <f t="shared" si="90"/>
        <v>CA-2017-114258_TEC-PH-10003012</v>
      </c>
      <c r="E5826" t="str">
        <f>IF(COUNTIF(data1!$D:$D,D5826)=0,"Missing in Data1","Present")</f>
        <v>Present</v>
      </c>
    </row>
    <row r="5827" spans="1:5" x14ac:dyDescent="0.25">
      <c r="A5827" s="2" t="s">
        <v>4757</v>
      </c>
      <c r="B5827" s="2" t="s">
        <v>4758</v>
      </c>
      <c r="C5827" s="2">
        <v>2</v>
      </c>
      <c r="D5827" t="str">
        <f t="shared" ref="D5827:D5890" si="91">A5827&amp;"_"&amp;B5827</f>
        <v>CA-2017-114370_TEC-PH-10000213</v>
      </c>
      <c r="E5827" t="str">
        <f>IF(COUNTIF(data1!$D:$D,D5827)=0,"Missing in Data1","Present")</f>
        <v>Present</v>
      </c>
    </row>
    <row r="5828" spans="1:5" x14ac:dyDescent="0.25">
      <c r="A5828" s="2" t="s">
        <v>4759</v>
      </c>
      <c r="B5828" s="2" t="s">
        <v>1597</v>
      </c>
      <c r="C5828" s="2">
        <v>3</v>
      </c>
      <c r="D5828" t="str">
        <f t="shared" si="91"/>
        <v>CA-2017-114412_OFF-PA-10002365</v>
      </c>
      <c r="E5828" t="str">
        <f>IF(COUNTIF(data1!$D:$D,D5828)=0,"Missing in Data1","Present")</f>
        <v>Present</v>
      </c>
    </row>
    <row r="5829" spans="1:5" x14ac:dyDescent="0.25">
      <c r="A5829" s="2" t="s">
        <v>4760</v>
      </c>
      <c r="B5829" s="2" t="s">
        <v>4187</v>
      </c>
      <c r="C5829" s="2">
        <v>3</v>
      </c>
      <c r="D5829" t="str">
        <f t="shared" si="91"/>
        <v>CA-2017-114440_OFF-PA-10004675</v>
      </c>
      <c r="E5829" t="str">
        <f>IF(COUNTIF(data1!$D:$D,D5829)=0,"Missing in Data1","Present")</f>
        <v>Present</v>
      </c>
    </row>
    <row r="5830" spans="1:5" x14ac:dyDescent="0.25">
      <c r="A5830" s="2" t="s">
        <v>4761</v>
      </c>
      <c r="B5830" s="2" t="s">
        <v>256</v>
      </c>
      <c r="C5830" s="2">
        <v>13</v>
      </c>
      <c r="D5830" t="str">
        <f t="shared" si="91"/>
        <v>CA-2017-114524_OFF-BI-10002799</v>
      </c>
      <c r="E5830" t="str">
        <f>IF(COUNTIF(data1!$D:$D,D5830)=0,"Missing in Data1","Present")</f>
        <v>Present</v>
      </c>
    </row>
    <row r="5831" spans="1:5" x14ac:dyDescent="0.25">
      <c r="A5831" s="2" t="s">
        <v>4762</v>
      </c>
      <c r="B5831" s="2" t="s">
        <v>1485</v>
      </c>
      <c r="C5831" s="2">
        <v>3</v>
      </c>
      <c r="D5831" t="str">
        <f t="shared" si="91"/>
        <v>CA-2017-114552_FUR-FU-10002960</v>
      </c>
      <c r="E5831" t="str">
        <f>IF(COUNTIF(data1!$D:$D,D5831)=0,"Missing in Data1","Present")</f>
        <v>Present</v>
      </c>
    </row>
    <row r="5832" spans="1:5" x14ac:dyDescent="0.25">
      <c r="A5832" s="2" t="s">
        <v>4763</v>
      </c>
      <c r="B5832" s="2" t="s">
        <v>2090</v>
      </c>
      <c r="C5832" s="2">
        <v>5</v>
      </c>
      <c r="D5832" t="str">
        <f t="shared" si="91"/>
        <v>CA-2017-114636_OFF-PA-10001790</v>
      </c>
      <c r="E5832" t="str">
        <f>IF(COUNTIF(data1!$D:$D,D5832)=0,"Missing in Data1","Present")</f>
        <v>Present</v>
      </c>
    </row>
    <row r="5833" spans="1:5" x14ac:dyDescent="0.25">
      <c r="A5833" s="2" t="s">
        <v>4765</v>
      </c>
      <c r="B5833" s="2" t="s">
        <v>569</v>
      </c>
      <c r="C5833" s="2">
        <v>5</v>
      </c>
      <c r="D5833" t="str">
        <f t="shared" si="91"/>
        <v>CA-2017-115070_FUR-FU-10003829</v>
      </c>
      <c r="E5833" t="str">
        <f>IF(COUNTIF(data1!$D:$D,D5833)=0,"Missing in Data1","Present")</f>
        <v>Present</v>
      </c>
    </row>
    <row r="5834" spans="1:5" x14ac:dyDescent="0.25">
      <c r="A5834" s="2" t="s">
        <v>4765</v>
      </c>
      <c r="B5834" s="2" t="s">
        <v>688</v>
      </c>
      <c r="C5834" s="2">
        <v>3</v>
      </c>
      <c r="D5834" t="str">
        <f t="shared" si="91"/>
        <v>CA-2017-115070_OFF-BI-10003712</v>
      </c>
      <c r="E5834" t="str">
        <f>IF(COUNTIF(data1!$D:$D,D5834)=0,"Missing in Data1","Present")</f>
        <v>Present</v>
      </c>
    </row>
    <row r="5835" spans="1:5" x14ac:dyDescent="0.25">
      <c r="A5835" s="2" t="s">
        <v>4766</v>
      </c>
      <c r="B5835" s="2" t="s">
        <v>2465</v>
      </c>
      <c r="C5835" s="2">
        <v>1</v>
      </c>
      <c r="D5835" t="str">
        <f t="shared" si="91"/>
        <v>CA-2017-115105_FUR-BO-10001811</v>
      </c>
      <c r="E5835" t="str">
        <f>IF(COUNTIF(data1!$D:$D,D5835)=0,"Missing in Data1","Present")</f>
        <v>Present</v>
      </c>
    </row>
    <row r="5836" spans="1:5" x14ac:dyDescent="0.25">
      <c r="A5836" s="2" t="s">
        <v>4767</v>
      </c>
      <c r="B5836" s="2" t="s">
        <v>510</v>
      </c>
      <c r="C5836" s="2">
        <v>7</v>
      </c>
      <c r="D5836" t="str">
        <f t="shared" si="91"/>
        <v>CA-2017-115119_OFF-BI-10003007</v>
      </c>
      <c r="E5836" t="str">
        <f>IF(COUNTIF(data1!$D:$D,D5836)=0,"Missing in Data1","Present")</f>
        <v>Present</v>
      </c>
    </row>
    <row r="5837" spans="1:5" x14ac:dyDescent="0.25">
      <c r="A5837" s="2" t="s">
        <v>4767</v>
      </c>
      <c r="B5837" s="2" t="s">
        <v>2873</v>
      </c>
      <c r="C5837" s="2">
        <v>1</v>
      </c>
      <c r="D5837" t="str">
        <f t="shared" si="91"/>
        <v>CA-2017-115119_TEC-PH-10001433</v>
      </c>
      <c r="E5837" t="str">
        <f>IF(COUNTIF(data1!$D:$D,D5837)=0,"Missing in Data1","Present")</f>
        <v>Present</v>
      </c>
    </row>
    <row r="5838" spans="1:5" x14ac:dyDescent="0.25">
      <c r="A5838" s="2" t="s">
        <v>4768</v>
      </c>
      <c r="B5838" s="2" t="s">
        <v>4769</v>
      </c>
      <c r="C5838" s="2">
        <v>2</v>
      </c>
      <c r="D5838" t="str">
        <f t="shared" si="91"/>
        <v>CA-2017-115154_FUR-TA-10001950</v>
      </c>
      <c r="E5838" t="str">
        <f>IF(COUNTIF(data1!$D:$D,D5838)=0,"Missing in Data1","Present")</f>
        <v>Present</v>
      </c>
    </row>
    <row r="5839" spans="1:5" x14ac:dyDescent="0.25">
      <c r="A5839" s="2" t="s">
        <v>4770</v>
      </c>
      <c r="B5839" s="2" t="s">
        <v>425</v>
      </c>
      <c r="C5839" s="2">
        <v>5</v>
      </c>
      <c r="D5839" t="str">
        <f t="shared" si="91"/>
        <v>CA-2017-115175_OFF-PA-10001878</v>
      </c>
      <c r="E5839" t="str">
        <f>IF(COUNTIF(data1!$D:$D,D5839)=0,"Missing in Data1","Present")</f>
        <v>Present</v>
      </c>
    </row>
    <row r="5840" spans="1:5" x14ac:dyDescent="0.25">
      <c r="A5840" s="2" t="s">
        <v>4771</v>
      </c>
      <c r="B5840" s="2" t="s">
        <v>1788</v>
      </c>
      <c r="C5840" s="2">
        <v>3</v>
      </c>
      <c r="D5840" t="str">
        <f t="shared" si="91"/>
        <v>CA-2017-115322_OFF-AR-10004456</v>
      </c>
      <c r="E5840" t="str">
        <f>IF(COUNTIF(data1!$D:$D,D5840)=0,"Missing in Data1","Present")</f>
        <v>Present</v>
      </c>
    </row>
    <row r="5841" spans="1:5" x14ac:dyDescent="0.25">
      <c r="A5841" s="2" t="s">
        <v>4772</v>
      </c>
      <c r="B5841" s="2" t="s">
        <v>2470</v>
      </c>
      <c r="C5841" s="2">
        <v>12</v>
      </c>
      <c r="D5841" t="str">
        <f t="shared" si="91"/>
        <v>CA-2017-115364_OFF-ST-10002486</v>
      </c>
      <c r="E5841" t="str">
        <f>IF(COUNTIF(data1!$D:$D,D5841)=0,"Missing in Data1","Present")</f>
        <v>Present</v>
      </c>
    </row>
    <row r="5842" spans="1:5" x14ac:dyDescent="0.25">
      <c r="A5842" s="2" t="s">
        <v>4773</v>
      </c>
      <c r="B5842" s="2" t="s">
        <v>275</v>
      </c>
      <c r="C5842" s="2">
        <v>2</v>
      </c>
      <c r="D5842" t="str">
        <f t="shared" si="91"/>
        <v>CA-2017-115427_OFF-BI-10002103</v>
      </c>
      <c r="E5842" t="str">
        <f>IF(COUNTIF(data1!$D:$D,D5842)=0,"Missing in Data1","Present")</f>
        <v>Present</v>
      </c>
    </row>
    <row r="5843" spans="1:5" x14ac:dyDescent="0.25">
      <c r="A5843" s="2" t="s">
        <v>4773</v>
      </c>
      <c r="B5843" s="2" t="s">
        <v>820</v>
      </c>
      <c r="C5843" s="2">
        <v>2</v>
      </c>
      <c r="D5843" t="str">
        <f t="shared" si="91"/>
        <v>CA-2017-115427_OFF-BI-10004632</v>
      </c>
      <c r="E5843" t="str">
        <f>IF(COUNTIF(data1!$D:$D,D5843)=0,"Missing in Data1","Present")</f>
        <v>Present</v>
      </c>
    </row>
    <row r="5844" spans="1:5" x14ac:dyDescent="0.25">
      <c r="A5844" s="2" t="s">
        <v>4774</v>
      </c>
      <c r="B5844" s="2" t="s">
        <v>1111</v>
      </c>
      <c r="C5844" s="2">
        <v>5</v>
      </c>
      <c r="D5844" t="str">
        <f t="shared" si="91"/>
        <v>CA-2017-115448_FUR-FU-10004090</v>
      </c>
      <c r="E5844" t="str">
        <f>IF(COUNTIF(data1!$D:$D,D5844)=0,"Missing in Data1","Present")</f>
        <v>Present</v>
      </c>
    </row>
    <row r="5845" spans="1:5" x14ac:dyDescent="0.25">
      <c r="A5845" s="2" t="s">
        <v>4775</v>
      </c>
      <c r="B5845" s="2" t="s">
        <v>652</v>
      </c>
      <c r="C5845" s="2">
        <v>2</v>
      </c>
      <c r="D5845" t="str">
        <f t="shared" si="91"/>
        <v>CA-2017-115546_OFF-ST-10002214</v>
      </c>
      <c r="E5845" t="str">
        <f>IF(COUNTIF(data1!$D:$D,D5845)=0,"Missing in Data1","Present")</f>
        <v>Present</v>
      </c>
    </row>
    <row r="5846" spans="1:5" x14ac:dyDescent="0.25">
      <c r="A5846" s="2" t="s">
        <v>4775</v>
      </c>
      <c r="B5846" s="2" t="s">
        <v>4776</v>
      </c>
      <c r="C5846" s="2">
        <v>3</v>
      </c>
      <c r="D5846" t="str">
        <f t="shared" si="91"/>
        <v>CA-2017-115546_TEC-PH-10002834</v>
      </c>
      <c r="E5846" t="str">
        <f>IF(COUNTIF(data1!$D:$D,D5846)=0,"Missing in Data1","Present")</f>
        <v>Present</v>
      </c>
    </row>
    <row r="5847" spans="1:5" x14ac:dyDescent="0.25">
      <c r="A5847" s="2" t="s">
        <v>4777</v>
      </c>
      <c r="B5847" s="2" t="s">
        <v>2229</v>
      </c>
      <c r="C5847" s="2">
        <v>9</v>
      </c>
      <c r="D5847" t="str">
        <f t="shared" si="91"/>
        <v>CA-2017-115602_FUR-CH-10001708</v>
      </c>
      <c r="E5847" t="str">
        <f>IF(COUNTIF(data1!$D:$D,D5847)=0,"Missing in Data1","Present")</f>
        <v>Present</v>
      </c>
    </row>
    <row r="5848" spans="1:5" x14ac:dyDescent="0.25">
      <c r="A5848" s="2" t="s">
        <v>4777</v>
      </c>
      <c r="B5848" s="2" t="s">
        <v>3826</v>
      </c>
      <c r="C5848" s="2">
        <v>13</v>
      </c>
      <c r="D5848" t="str">
        <f t="shared" si="91"/>
        <v>CA-2017-115602_OFF-AP-10000891</v>
      </c>
      <c r="E5848" t="str">
        <f>IF(COUNTIF(data1!$D:$D,D5848)=0,"Missing in Data1","Present")</f>
        <v>Present</v>
      </c>
    </row>
    <row r="5849" spans="1:5" x14ac:dyDescent="0.25">
      <c r="A5849" s="2" t="s">
        <v>4777</v>
      </c>
      <c r="B5849" s="2" t="s">
        <v>4290</v>
      </c>
      <c r="C5849" s="2">
        <v>2</v>
      </c>
      <c r="D5849" t="str">
        <f t="shared" si="91"/>
        <v>CA-2017-115602_OFF-AR-10000462</v>
      </c>
      <c r="E5849" t="str">
        <f>IF(COUNTIF(data1!$D:$D,D5849)=0,"Missing in Data1","Present")</f>
        <v>Present</v>
      </c>
    </row>
    <row r="5850" spans="1:5" x14ac:dyDescent="0.25">
      <c r="A5850" s="2" t="s">
        <v>4777</v>
      </c>
      <c r="B5850" s="2" t="s">
        <v>4778</v>
      </c>
      <c r="C5850" s="2">
        <v>6</v>
      </c>
      <c r="D5850" t="str">
        <f t="shared" si="91"/>
        <v>CA-2017-115602_OFF-AR-10002280</v>
      </c>
      <c r="E5850" t="str">
        <f>IF(COUNTIF(data1!$D:$D,D5850)=0,"Missing in Data1","Present")</f>
        <v>Present</v>
      </c>
    </row>
    <row r="5851" spans="1:5" x14ac:dyDescent="0.25">
      <c r="A5851" s="2" t="s">
        <v>4779</v>
      </c>
      <c r="B5851" s="2" t="s">
        <v>3301</v>
      </c>
      <c r="C5851" s="2">
        <v>9</v>
      </c>
      <c r="D5851" t="str">
        <f t="shared" si="91"/>
        <v>CA-2017-115651_OFF-AP-10000055</v>
      </c>
      <c r="E5851" t="str">
        <f>IF(COUNTIF(data1!$D:$D,D5851)=0,"Missing in Data1","Present")</f>
        <v>Present</v>
      </c>
    </row>
    <row r="5852" spans="1:5" x14ac:dyDescent="0.25">
      <c r="A5852" s="2" t="s">
        <v>4779</v>
      </c>
      <c r="B5852" s="2" t="s">
        <v>4780</v>
      </c>
      <c r="C5852" s="2">
        <v>5</v>
      </c>
      <c r="D5852" t="str">
        <f t="shared" si="91"/>
        <v>CA-2017-115651_OFF-AR-10001130</v>
      </c>
      <c r="E5852" t="str">
        <f>IF(COUNTIF(data1!$D:$D,D5852)=0,"Missing in Data1","Present")</f>
        <v>Present</v>
      </c>
    </row>
    <row r="5853" spans="1:5" x14ac:dyDescent="0.25">
      <c r="A5853" s="2" t="s">
        <v>4781</v>
      </c>
      <c r="B5853" s="2" t="s">
        <v>727</v>
      </c>
      <c r="C5853" s="2">
        <v>3</v>
      </c>
      <c r="D5853" t="str">
        <f t="shared" si="91"/>
        <v>CA-2017-115777_OFF-PA-10000552</v>
      </c>
      <c r="E5853" t="str">
        <f>IF(COUNTIF(data1!$D:$D,D5853)=0,"Missing in Data1","Present")</f>
        <v>Present</v>
      </c>
    </row>
    <row r="5854" spans="1:5" x14ac:dyDescent="0.25">
      <c r="A5854" s="2" t="s">
        <v>4783</v>
      </c>
      <c r="B5854" s="2" t="s">
        <v>947</v>
      </c>
      <c r="C5854" s="2">
        <v>4</v>
      </c>
      <c r="D5854" t="str">
        <f t="shared" si="91"/>
        <v>CA-2017-115882_OFF-AP-10002534</v>
      </c>
      <c r="E5854" t="str">
        <f>IF(COUNTIF(data1!$D:$D,D5854)=0,"Missing in Data1","Present")</f>
        <v>Present</v>
      </c>
    </row>
    <row r="5855" spans="1:5" x14ac:dyDescent="0.25">
      <c r="A5855" s="2" t="s">
        <v>4783</v>
      </c>
      <c r="B5855" s="2" t="s">
        <v>781</v>
      </c>
      <c r="C5855" s="2">
        <v>3</v>
      </c>
      <c r="D5855" t="str">
        <f t="shared" si="91"/>
        <v>CA-2017-115882_OFF-PA-10001125</v>
      </c>
      <c r="E5855" t="str">
        <f>IF(COUNTIF(data1!$D:$D,D5855)=0,"Missing in Data1","Present")</f>
        <v>Present</v>
      </c>
    </row>
    <row r="5856" spans="1:5" x14ac:dyDescent="0.25">
      <c r="A5856" s="2" t="s">
        <v>4784</v>
      </c>
      <c r="B5856" s="2" t="s">
        <v>2531</v>
      </c>
      <c r="C5856" s="2">
        <v>3</v>
      </c>
      <c r="D5856" t="str">
        <f t="shared" si="91"/>
        <v>CA-2017-115931_OFF-AR-10000369</v>
      </c>
      <c r="E5856" t="str">
        <f>IF(COUNTIF(data1!$D:$D,D5856)=0,"Missing in Data1","Present")</f>
        <v>Present</v>
      </c>
    </row>
    <row r="5857" spans="1:5" x14ac:dyDescent="0.25">
      <c r="A5857" s="2" t="s">
        <v>4784</v>
      </c>
      <c r="B5857" s="2" t="s">
        <v>3936</v>
      </c>
      <c r="C5857" s="2">
        <v>5</v>
      </c>
      <c r="D5857" t="str">
        <f t="shared" si="91"/>
        <v>CA-2017-115931_OFF-LA-10001404</v>
      </c>
      <c r="E5857" t="str">
        <f>IF(COUNTIF(data1!$D:$D,D5857)=0,"Missing in Data1","Present")</f>
        <v>Present</v>
      </c>
    </row>
    <row r="5858" spans="1:5" x14ac:dyDescent="0.25">
      <c r="A5858" s="2" t="s">
        <v>4784</v>
      </c>
      <c r="B5858" s="2" t="s">
        <v>381</v>
      </c>
      <c r="C5858" s="2">
        <v>3</v>
      </c>
      <c r="D5858" t="str">
        <f t="shared" si="91"/>
        <v>CA-2017-115931_OFF-ST-10000876</v>
      </c>
      <c r="E5858" t="str">
        <f>IF(COUNTIF(data1!$D:$D,D5858)=0,"Missing in Data1","Present")</f>
        <v>Present</v>
      </c>
    </row>
    <row r="5859" spans="1:5" x14ac:dyDescent="0.25">
      <c r="A5859" s="2" t="s">
        <v>4784</v>
      </c>
      <c r="B5859" s="2" t="s">
        <v>3178</v>
      </c>
      <c r="C5859" s="2">
        <v>4</v>
      </c>
      <c r="D5859" t="str">
        <f t="shared" si="91"/>
        <v>CA-2017-115931_TEC-PH-10001300</v>
      </c>
      <c r="E5859" t="str">
        <f>IF(COUNTIF(data1!$D:$D,D5859)=0,"Missing in Data1","Present")</f>
        <v>Present</v>
      </c>
    </row>
    <row r="5860" spans="1:5" x14ac:dyDescent="0.25">
      <c r="A5860" s="2" t="s">
        <v>4785</v>
      </c>
      <c r="B5860" s="2" t="s">
        <v>3218</v>
      </c>
      <c r="C5860" s="2">
        <v>3</v>
      </c>
      <c r="D5860" t="str">
        <f t="shared" si="91"/>
        <v>CA-2017-115994_FUR-FU-10003976</v>
      </c>
      <c r="E5860" t="str">
        <f>IF(COUNTIF(data1!$D:$D,D5860)=0,"Missing in Data1","Present")</f>
        <v>Present</v>
      </c>
    </row>
    <row r="5861" spans="1:5" x14ac:dyDescent="0.25">
      <c r="A5861" s="2" t="s">
        <v>4785</v>
      </c>
      <c r="B5861" s="2" t="s">
        <v>3543</v>
      </c>
      <c r="C5861" s="2">
        <v>3</v>
      </c>
      <c r="D5861" t="str">
        <f t="shared" si="91"/>
        <v>CA-2017-115994_TEC-AC-10000580</v>
      </c>
      <c r="E5861" t="str">
        <f>IF(COUNTIF(data1!$D:$D,D5861)=0,"Missing in Data1","Present")</f>
        <v>Present</v>
      </c>
    </row>
    <row r="5862" spans="1:5" x14ac:dyDescent="0.25">
      <c r="A5862" s="2" t="s">
        <v>4786</v>
      </c>
      <c r="B5862" s="2" t="s">
        <v>2472</v>
      </c>
      <c r="C5862" s="2">
        <v>2</v>
      </c>
      <c r="D5862" t="str">
        <f t="shared" si="91"/>
        <v>CA-2017-116113_FUR-FU-10002963</v>
      </c>
      <c r="E5862" t="str">
        <f>IF(COUNTIF(data1!$D:$D,D5862)=0,"Missing in Data1","Present")</f>
        <v>Present</v>
      </c>
    </row>
    <row r="5863" spans="1:5" x14ac:dyDescent="0.25">
      <c r="A5863" s="2" t="s">
        <v>4787</v>
      </c>
      <c r="B5863" s="2" t="s">
        <v>815</v>
      </c>
      <c r="C5863" s="2">
        <v>1</v>
      </c>
      <c r="D5863" t="str">
        <f t="shared" si="91"/>
        <v>CA-2017-116127_FUR-BO-10002213</v>
      </c>
      <c r="E5863" t="str">
        <f>IF(COUNTIF(data1!$D:$D,D5863)=0,"Missing in Data1","Present")</f>
        <v>Present</v>
      </c>
    </row>
    <row r="5864" spans="1:5" x14ac:dyDescent="0.25">
      <c r="A5864" s="2" t="s">
        <v>4788</v>
      </c>
      <c r="B5864" s="2" t="s">
        <v>1795</v>
      </c>
      <c r="C5864" s="2">
        <v>7</v>
      </c>
      <c r="D5864" t="str">
        <f t="shared" si="91"/>
        <v>CA-2017-116204_OFF-BI-10001759</v>
      </c>
      <c r="E5864" t="str">
        <f>IF(COUNTIF(data1!$D:$D,D5864)=0,"Missing in Data1","Present")</f>
        <v>Present</v>
      </c>
    </row>
    <row r="5865" spans="1:5" x14ac:dyDescent="0.25">
      <c r="A5865" s="2" t="s">
        <v>4789</v>
      </c>
      <c r="B5865" s="2" t="s">
        <v>880</v>
      </c>
      <c r="C5865" s="2">
        <v>5</v>
      </c>
      <c r="D5865" t="str">
        <f t="shared" si="91"/>
        <v>CA-2017-116225_TEC-AC-10001432</v>
      </c>
      <c r="E5865" t="str">
        <f>IF(COUNTIF(data1!$D:$D,D5865)=0,"Missing in Data1","Present")</f>
        <v>Present</v>
      </c>
    </row>
    <row r="5866" spans="1:5" x14ac:dyDescent="0.25">
      <c r="A5866" s="2" t="s">
        <v>4790</v>
      </c>
      <c r="B5866" s="2" t="s">
        <v>299</v>
      </c>
      <c r="C5866" s="2">
        <v>3</v>
      </c>
      <c r="D5866" t="str">
        <f t="shared" si="91"/>
        <v>CA-2017-116288_OFF-ST-10000736</v>
      </c>
      <c r="E5866" t="str">
        <f>IF(COUNTIF(data1!$D:$D,D5866)=0,"Missing in Data1","Present")</f>
        <v>Present</v>
      </c>
    </row>
    <row r="5867" spans="1:5" x14ac:dyDescent="0.25">
      <c r="A5867" s="2" t="s">
        <v>4791</v>
      </c>
      <c r="B5867" s="2" t="s">
        <v>1194</v>
      </c>
      <c r="C5867" s="2">
        <v>6</v>
      </c>
      <c r="D5867" t="str">
        <f t="shared" si="91"/>
        <v>CA-2017-116358_OFF-AR-10004685</v>
      </c>
      <c r="E5867" t="str">
        <f>IF(COUNTIF(data1!$D:$D,D5867)=0,"Missing in Data1","Present")</f>
        <v>Present</v>
      </c>
    </row>
    <row r="5868" spans="1:5" x14ac:dyDescent="0.25">
      <c r="A5868" s="2" t="s">
        <v>4791</v>
      </c>
      <c r="B5868" s="2" t="s">
        <v>1499</v>
      </c>
      <c r="C5868" s="2">
        <v>3</v>
      </c>
      <c r="D5868" t="str">
        <f t="shared" si="91"/>
        <v>CA-2017-116358_OFF-FA-10003495</v>
      </c>
      <c r="E5868" t="str">
        <f>IF(COUNTIF(data1!$D:$D,D5868)=0,"Missing in Data1","Present")</f>
        <v>Present</v>
      </c>
    </row>
    <row r="5869" spans="1:5" x14ac:dyDescent="0.25">
      <c r="A5869" s="2" t="s">
        <v>4792</v>
      </c>
      <c r="B5869" s="2" t="s">
        <v>1739</v>
      </c>
      <c r="C5869" s="2">
        <v>6</v>
      </c>
      <c r="D5869" t="str">
        <f t="shared" si="91"/>
        <v>CA-2017-116498_OFF-AR-10003405</v>
      </c>
      <c r="E5869" t="str">
        <f>IF(COUNTIF(data1!$D:$D,D5869)=0,"Missing in Data1","Present")</f>
        <v>Present</v>
      </c>
    </row>
    <row r="5870" spans="1:5" x14ac:dyDescent="0.25">
      <c r="A5870" s="2" t="s">
        <v>4793</v>
      </c>
      <c r="B5870" s="2" t="s">
        <v>2407</v>
      </c>
      <c r="C5870" s="2">
        <v>5</v>
      </c>
      <c r="D5870" t="str">
        <f t="shared" si="91"/>
        <v>CA-2017-116519_OFF-AP-10000828</v>
      </c>
      <c r="E5870" t="str">
        <f>IF(COUNTIF(data1!$D:$D,D5870)=0,"Missing in Data1","Present")</f>
        <v>Present</v>
      </c>
    </row>
    <row r="5871" spans="1:5" x14ac:dyDescent="0.25">
      <c r="A5871" s="2" t="s">
        <v>4795</v>
      </c>
      <c r="B5871" s="2" t="s">
        <v>3694</v>
      </c>
      <c r="C5871" s="2">
        <v>8</v>
      </c>
      <c r="D5871" t="str">
        <f t="shared" si="91"/>
        <v>CA-2017-116680_FUR-TA-10001771</v>
      </c>
      <c r="E5871" t="str">
        <f>IF(COUNTIF(data1!$D:$D,D5871)=0,"Missing in Data1","Present")</f>
        <v>Present</v>
      </c>
    </row>
    <row r="5872" spans="1:5" x14ac:dyDescent="0.25">
      <c r="A5872" s="2" t="s">
        <v>4795</v>
      </c>
      <c r="B5872" s="2" t="s">
        <v>2726</v>
      </c>
      <c r="C5872" s="2">
        <v>6</v>
      </c>
      <c r="D5872" t="str">
        <f t="shared" si="91"/>
        <v>CA-2017-116680_OFF-BI-10004022</v>
      </c>
      <c r="E5872" t="str">
        <f>IF(COUNTIF(data1!$D:$D,D5872)=0,"Missing in Data1","Present")</f>
        <v>Present</v>
      </c>
    </row>
    <row r="5873" spans="1:5" x14ac:dyDescent="0.25">
      <c r="A5873" s="2" t="s">
        <v>4796</v>
      </c>
      <c r="B5873" s="2" t="s">
        <v>3013</v>
      </c>
      <c r="C5873" s="2">
        <v>2</v>
      </c>
      <c r="D5873" t="str">
        <f t="shared" si="91"/>
        <v>CA-2017-116715_OFF-PA-10003893</v>
      </c>
      <c r="E5873" t="str">
        <f>IF(COUNTIF(data1!$D:$D,D5873)=0,"Missing in Data1","Present")</f>
        <v>Present</v>
      </c>
    </row>
    <row r="5874" spans="1:5" x14ac:dyDescent="0.25">
      <c r="A5874" s="2" t="s">
        <v>4796</v>
      </c>
      <c r="B5874" s="2" t="s">
        <v>1103</v>
      </c>
      <c r="C5874" s="2">
        <v>2</v>
      </c>
      <c r="D5874" t="str">
        <f t="shared" si="91"/>
        <v>CA-2017-116715_OFF-PA-10004475</v>
      </c>
      <c r="E5874" t="str">
        <f>IF(COUNTIF(data1!$D:$D,D5874)=0,"Missing in Data1","Present")</f>
        <v>Present</v>
      </c>
    </row>
    <row r="5875" spans="1:5" x14ac:dyDescent="0.25">
      <c r="A5875" s="2" t="s">
        <v>4796</v>
      </c>
      <c r="B5875" s="2" t="s">
        <v>1360</v>
      </c>
      <c r="C5875" s="2">
        <v>9</v>
      </c>
      <c r="D5875" t="str">
        <f t="shared" si="91"/>
        <v>CA-2017-116715_OFF-ST-10004340</v>
      </c>
      <c r="E5875" t="str">
        <f>IF(COUNTIF(data1!$D:$D,D5875)=0,"Missing in Data1","Present")</f>
        <v>Present</v>
      </c>
    </row>
    <row r="5876" spans="1:5" x14ac:dyDescent="0.25">
      <c r="A5876" s="2" t="s">
        <v>4797</v>
      </c>
      <c r="B5876" s="2" t="s">
        <v>3939</v>
      </c>
      <c r="C5876" s="2">
        <v>5</v>
      </c>
      <c r="D5876" t="str">
        <f t="shared" si="91"/>
        <v>CA-2017-116855_FUR-CH-10003846</v>
      </c>
      <c r="E5876" t="str">
        <f>IF(COUNTIF(data1!$D:$D,D5876)=0,"Missing in Data1","Present")</f>
        <v>Present</v>
      </c>
    </row>
    <row r="5877" spans="1:5" x14ac:dyDescent="0.25">
      <c r="A5877" s="2" t="s">
        <v>4798</v>
      </c>
      <c r="B5877" s="2" t="s">
        <v>2565</v>
      </c>
      <c r="C5877" s="2">
        <v>5</v>
      </c>
      <c r="D5877" t="str">
        <f t="shared" si="91"/>
        <v>CA-2017-116939_OFF-ST-10001476</v>
      </c>
      <c r="E5877" t="str">
        <f>IF(COUNTIF(data1!$D:$D,D5877)=0,"Missing in Data1","Present")</f>
        <v>Present</v>
      </c>
    </row>
    <row r="5878" spans="1:5" x14ac:dyDescent="0.25">
      <c r="A5878" s="2" t="s">
        <v>4799</v>
      </c>
      <c r="B5878" s="2" t="s">
        <v>1559</v>
      </c>
      <c r="C5878" s="2">
        <v>7</v>
      </c>
      <c r="D5878" t="str">
        <f t="shared" si="91"/>
        <v>CA-2017-116946_FUR-BO-10000468</v>
      </c>
      <c r="E5878" t="str">
        <f>IF(COUNTIF(data1!$D:$D,D5878)=0,"Missing in Data1","Present")</f>
        <v>Present</v>
      </c>
    </row>
    <row r="5879" spans="1:5" x14ac:dyDescent="0.25">
      <c r="A5879" s="2" t="s">
        <v>4799</v>
      </c>
      <c r="B5879" s="2" t="s">
        <v>331</v>
      </c>
      <c r="C5879" s="2">
        <v>5</v>
      </c>
      <c r="D5879" t="str">
        <f t="shared" si="91"/>
        <v>CA-2017-116946_FUR-FU-10000320</v>
      </c>
      <c r="E5879" t="str">
        <f>IF(COUNTIF(data1!$D:$D,D5879)=0,"Missing in Data1","Present")</f>
        <v>Present</v>
      </c>
    </row>
    <row r="5880" spans="1:5" x14ac:dyDescent="0.25">
      <c r="A5880" s="2" t="s">
        <v>4799</v>
      </c>
      <c r="B5880" s="2" t="s">
        <v>1756</v>
      </c>
      <c r="C5880" s="2">
        <v>2</v>
      </c>
      <c r="D5880" t="str">
        <f t="shared" si="91"/>
        <v>CA-2017-116946_OFF-ST-10002554</v>
      </c>
      <c r="E5880" t="str">
        <f>IF(COUNTIF(data1!$D:$D,D5880)=0,"Missing in Data1","Present")</f>
        <v>Present</v>
      </c>
    </row>
    <row r="5881" spans="1:5" x14ac:dyDescent="0.25">
      <c r="A5881" s="2" t="s">
        <v>4800</v>
      </c>
      <c r="B5881" s="2" t="s">
        <v>541</v>
      </c>
      <c r="C5881" s="2">
        <v>10</v>
      </c>
      <c r="D5881" t="str">
        <f t="shared" si="91"/>
        <v>CA-2017-116953_TEC-PH-10004614</v>
      </c>
      <c r="E5881" t="str">
        <f>IF(COUNTIF(data1!$D:$D,D5881)=0,"Missing in Data1","Present")</f>
        <v>Present</v>
      </c>
    </row>
    <row r="5882" spans="1:5" x14ac:dyDescent="0.25">
      <c r="A5882" s="2" t="s">
        <v>4801</v>
      </c>
      <c r="B5882" s="2" t="s">
        <v>2378</v>
      </c>
      <c r="C5882" s="2">
        <v>3</v>
      </c>
      <c r="D5882" t="str">
        <f t="shared" si="91"/>
        <v>CA-2017-116988_FUR-FU-10001290</v>
      </c>
      <c r="E5882" t="str">
        <f>IF(COUNTIF(data1!$D:$D,D5882)=0,"Missing in Data1","Present")</f>
        <v>Present</v>
      </c>
    </row>
    <row r="5883" spans="1:5" x14ac:dyDescent="0.25">
      <c r="A5883" s="2" t="s">
        <v>4801</v>
      </c>
      <c r="B5883" s="2" t="s">
        <v>2011</v>
      </c>
      <c r="C5883" s="2">
        <v>3</v>
      </c>
      <c r="D5883" t="str">
        <f t="shared" si="91"/>
        <v>CA-2017-116988_OFF-PA-10003848</v>
      </c>
      <c r="E5883" t="str">
        <f>IF(COUNTIF(data1!$D:$D,D5883)=0,"Missing in Data1","Present")</f>
        <v>Present</v>
      </c>
    </row>
    <row r="5884" spans="1:5" x14ac:dyDescent="0.25">
      <c r="A5884" s="2" t="s">
        <v>4801</v>
      </c>
      <c r="B5884" s="2" t="s">
        <v>877</v>
      </c>
      <c r="C5884" s="2">
        <v>5</v>
      </c>
      <c r="D5884" t="str">
        <f t="shared" si="91"/>
        <v>CA-2017-116988_TEC-AC-10003832</v>
      </c>
      <c r="E5884" t="str">
        <f>IF(COUNTIF(data1!$D:$D,D5884)=0,"Missing in Data1","Present")</f>
        <v>Present</v>
      </c>
    </row>
    <row r="5885" spans="1:5" x14ac:dyDescent="0.25">
      <c r="A5885" s="2" t="s">
        <v>4802</v>
      </c>
      <c r="B5885" s="2" t="s">
        <v>1875</v>
      </c>
      <c r="C5885" s="2">
        <v>2</v>
      </c>
      <c r="D5885" t="str">
        <f t="shared" si="91"/>
        <v>CA-2017-117009_OFF-SU-10001218</v>
      </c>
      <c r="E5885" t="str">
        <f>IF(COUNTIF(data1!$D:$D,D5885)=0,"Missing in Data1","Present")</f>
        <v>Present</v>
      </c>
    </row>
    <row r="5886" spans="1:5" x14ac:dyDescent="0.25">
      <c r="A5886" s="2" t="s">
        <v>4803</v>
      </c>
      <c r="B5886" s="2" t="s">
        <v>2303</v>
      </c>
      <c r="C5886" s="2">
        <v>2</v>
      </c>
      <c r="D5886" t="str">
        <f t="shared" si="91"/>
        <v>CA-2017-117023_OFF-AR-10003602</v>
      </c>
      <c r="E5886" t="str">
        <f>IF(COUNTIF(data1!$D:$D,D5886)=0,"Missing in Data1","Present")</f>
        <v>Missing in Data1</v>
      </c>
    </row>
    <row r="5887" spans="1:5" x14ac:dyDescent="0.25">
      <c r="A5887" s="2" t="s">
        <v>4803</v>
      </c>
      <c r="B5887" s="2" t="s">
        <v>2192</v>
      </c>
      <c r="C5887" s="2">
        <v>10</v>
      </c>
      <c r="D5887" t="str">
        <f t="shared" si="91"/>
        <v>CA-2017-117023_OFF-AR-10004062</v>
      </c>
      <c r="E5887" t="str">
        <f>IF(COUNTIF(data1!$D:$D,D5887)=0,"Missing in Data1","Present")</f>
        <v>Present</v>
      </c>
    </row>
    <row r="5888" spans="1:5" x14ac:dyDescent="0.25">
      <c r="A5888" s="2" t="s">
        <v>4804</v>
      </c>
      <c r="B5888" s="2" t="s">
        <v>821</v>
      </c>
      <c r="C5888" s="2">
        <v>4</v>
      </c>
      <c r="D5888" t="str">
        <f t="shared" si="91"/>
        <v>CA-2017-117044_OFF-FA-10000936</v>
      </c>
      <c r="E5888" t="str">
        <f>IF(COUNTIF(data1!$D:$D,D5888)=0,"Missing in Data1","Present")</f>
        <v>Present</v>
      </c>
    </row>
    <row r="5889" spans="1:5" x14ac:dyDescent="0.25">
      <c r="A5889" s="2" t="s">
        <v>4804</v>
      </c>
      <c r="B5889" s="2" t="s">
        <v>2768</v>
      </c>
      <c r="C5889" s="2">
        <v>6</v>
      </c>
      <c r="D5889" t="str">
        <f t="shared" si="91"/>
        <v>CA-2017-117044_OFF-PA-10003657</v>
      </c>
      <c r="E5889" t="str">
        <f>IF(COUNTIF(data1!$D:$D,D5889)=0,"Missing in Data1","Present")</f>
        <v>Present</v>
      </c>
    </row>
    <row r="5890" spans="1:5" x14ac:dyDescent="0.25">
      <c r="A5890" s="2" t="s">
        <v>4806</v>
      </c>
      <c r="B5890" s="2" t="s">
        <v>2274</v>
      </c>
      <c r="C5890" s="2">
        <v>3</v>
      </c>
      <c r="D5890" t="str">
        <f t="shared" si="91"/>
        <v>CA-2017-117114_OFF-EN-10001137</v>
      </c>
      <c r="E5890" t="str">
        <f>IF(COUNTIF(data1!$D:$D,D5890)=0,"Missing in Data1","Present")</f>
        <v>Present</v>
      </c>
    </row>
    <row r="5891" spans="1:5" x14ac:dyDescent="0.25">
      <c r="A5891" s="2" t="s">
        <v>4806</v>
      </c>
      <c r="B5891" s="2" t="s">
        <v>2053</v>
      </c>
      <c r="C5891" s="2">
        <v>4</v>
      </c>
      <c r="D5891" t="str">
        <f t="shared" ref="D5891:D5954" si="92">A5891&amp;"_"&amp;B5891</f>
        <v>CA-2017-117114_TEC-PH-10004042</v>
      </c>
      <c r="E5891" t="str">
        <f>IF(COUNTIF(data1!$D:$D,D5891)=0,"Missing in Data1","Present")</f>
        <v>Present</v>
      </c>
    </row>
    <row r="5892" spans="1:5" x14ac:dyDescent="0.25">
      <c r="A5892" s="2" t="s">
        <v>4807</v>
      </c>
      <c r="B5892" s="2" t="s">
        <v>870</v>
      </c>
      <c r="C5892" s="2">
        <v>3</v>
      </c>
      <c r="D5892" t="str">
        <f t="shared" si="92"/>
        <v>CA-2017-117128_OFF-LA-10000248</v>
      </c>
      <c r="E5892" t="str">
        <f>IF(COUNTIF(data1!$D:$D,D5892)=0,"Missing in Data1","Present")</f>
        <v>Present</v>
      </c>
    </row>
    <row r="5893" spans="1:5" x14ac:dyDescent="0.25">
      <c r="A5893" s="2" t="s">
        <v>4807</v>
      </c>
      <c r="B5893" s="2" t="s">
        <v>4153</v>
      </c>
      <c r="C5893" s="2">
        <v>6</v>
      </c>
      <c r="D5893" t="str">
        <f t="shared" si="92"/>
        <v>CA-2017-117128_OFF-PA-10000007</v>
      </c>
      <c r="E5893" t="str">
        <f>IF(COUNTIF(data1!$D:$D,D5893)=0,"Missing in Data1","Present")</f>
        <v>Present</v>
      </c>
    </row>
    <row r="5894" spans="1:5" x14ac:dyDescent="0.25">
      <c r="A5894" s="2" t="s">
        <v>4808</v>
      </c>
      <c r="B5894" s="2" t="s">
        <v>464</v>
      </c>
      <c r="C5894" s="2">
        <v>3</v>
      </c>
      <c r="D5894" t="str">
        <f t="shared" si="92"/>
        <v>CA-2017-117156_OFF-EN-10003845</v>
      </c>
      <c r="E5894" t="str">
        <f>IF(COUNTIF(data1!$D:$D,D5894)=0,"Missing in Data1","Present")</f>
        <v>Present</v>
      </c>
    </row>
    <row r="5895" spans="1:5" x14ac:dyDescent="0.25">
      <c r="A5895" s="2" t="s">
        <v>4809</v>
      </c>
      <c r="B5895" s="2" t="s">
        <v>2361</v>
      </c>
      <c r="C5895" s="2">
        <v>2</v>
      </c>
      <c r="D5895" t="str">
        <f t="shared" si="92"/>
        <v>CA-2017-117198_TEC-AC-10003033</v>
      </c>
      <c r="E5895" t="str">
        <f>IF(COUNTIF(data1!$D:$D,D5895)=0,"Missing in Data1","Present")</f>
        <v>Present</v>
      </c>
    </row>
    <row r="5896" spans="1:5" x14ac:dyDescent="0.25">
      <c r="A5896" s="2" t="s">
        <v>4810</v>
      </c>
      <c r="B5896" s="2" t="s">
        <v>807</v>
      </c>
      <c r="C5896" s="2">
        <v>3</v>
      </c>
      <c r="D5896" t="str">
        <f t="shared" si="92"/>
        <v>CA-2017-117212_FUR-CH-10003973</v>
      </c>
      <c r="E5896" t="str">
        <f>IF(COUNTIF(data1!$D:$D,D5896)=0,"Missing in Data1","Present")</f>
        <v>Present</v>
      </c>
    </row>
    <row r="5897" spans="1:5" x14ac:dyDescent="0.25">
      <c r="A5897" s="2" t="s">
        <v>4810</v>
      </c>
      <c r="B5897" s="2" t="s">
        <v>3148</v>
      </c>
      <c r="C5897" s="2">
        <v>4</v>
      </c>
      <c r="D5897" t="str">
        <f t="shared" si="92"/>
        <v>CA-2017-117212_OFF-AP-10004532</v>
      </c>
      <c r="E5897" t="str">
        <f>IF(COUNTIF(data1!$D:$D,D5897)=0,"Missing in Data1","Present")</f>
        <v>Present</v>
      </c>
    </row>
    <row r="5898" spans="1:5" x14ac:dyDescent="0.25">
      <c r="A5898" s="2" t="s">
        <v>4810</v>
      </c>
      <c r="B5898" s="2" t="s">
        <v>3999</v>
      </c>
      <c r="C5898" s="2">
        <v>4</v>
      </c>
      <c r="D5898" t="str">
        <f t="shared" si="92"/>
        <v>CA-2017-117212_OFF-PA-10000682</v>
      </c>
      <c r="E5898" t="str">
        <f>IF(COUNTIF(data1!$D:$D,D5898)=0,"Missing in Data1","Present")</f>
        <v>Present</v>
      </c>
    </row>
    <row r="5899" spans="1:5" x14ac:dyDescent="0.25">
      <c r="A5899" s="2" t="s">
        <v>4810</v>
      </c>
      <c r="B5899" s="2" t="s">
        <v>1039</v>
      </c>
      <c r="C5899" s="2">
        <v>4</v>
      </c>
      <c r="D5899" t="str">
        <f t="shared" si="92"/>
        <v>CA-2017-117212_OFF-PA-10001970</v>
      </c>
      <c r="E5899" t="str">
        <f>IF(COUNTIF(data1!$D:$D,D5899)=0,"Missing in Data1","Present")</f>
        <v>Present</v>
      </c>
    </row>
    <row r="5900" spans="1:5" x14ac:dyDescent="0.25">
      <c r="A5900" s="2" t="s">
        <v>4810</v>
      </c>
      <c r="B5900" s="2" t="s">
        <v>1205</v>
      </c>
      <c r="C5900" s="2">
        <v>8</v>
      </c>
      <c r="D5900" t="str">
        <f t="shared" si="92"/>
        <v>CA-2017-117212_TEC-PH-10004447</v>
      </c>
      <c r="E5900" t="str">
        <f>IF(COUNTIF(data1!$D:$D,D5900)=0,"Missing in Data1","Present")</f>
        <v>Present</v>
      </c>
    </row>
    <row r="5901" spans="1:5" x14ac:dyDescent="0.25">
      <c r="A5901" s="2" t="s">
        <v>4811</v>
      </c>
      <c r="B5901" s="2" t="s">
        <v>1906</v>
      </c>
      <c r="C5901" s="2">
        <v>3</v>
      </c>
      <c r="D5901" t="str">
        <f t="shared" si="92"/>
        <v>CA-2017-117240_OFF-BI-10000848</v>
      </c>
      <c r="E5901" t="str">
        <f>IF(COUNTIF(data1!$D:$D,D5901)=0,"Missing in Data1","Present")</f>
        <v>Present</v>
      </c>
    </row>
    <row r="5902" spans="1:5" x14ac:dyDescent="0.25">
      <c r="A5902" s="2" t="s">
        <v>4812</v>
      </c>
      <c r="B5902" s="2" t="s">
        <v>1827</v>
      </c>
      <c r="C5902" s="2">
        <v>4</v>
      </c>
      <c r="D5902" t="str">
        <f t="shared" si="92"/>
        <v>CA-2017-117261_OFF-ST-10000419</v>
      </c>
      <c r="E5902" t="str">
        <f>IF(COUNTIF(data1!$D:$D,D5902)=0,"Missing in Data1","Present")</f>
        <v>Present</v>
      </c>
    </row>
    <row r="5903" spans="1:5" x14ac:dyDescent="0.25">
      <c r="A5903" s="2" t="s">
        <v>4813</v>
      </c>
      <c r="B5903" s="2" t="s">
        <v>635</v>
      </c>
      <c r="C5903" s="2">
        <v>4</v>
      </c>
      <c r="D5903" t="str">
        <f t="shared" si="92"/>
        <v>CA-2017-117324_FUR-BO-10003159</v>
      </c>
      <c r="E5903" t="str">
        <f>IF(COUNTIF(data1!$D:$D,D5903)=0,"Missing in Data1","Present")</f>
        <v>Present</v>
      </c>
    </row>
    <row r="5904" spans="1:5" x14ac:dyDescent="0.25">
      <c r="A5904" s="2" t="s">
        <v>4813</v>
      </c>
      <c r="B5904" s="2" t="s">
        <v>827</v>
      </c>
      <c r="C5904" s="2">
        <v>3</v>
      </c>
      <c r="D5904" t="str">
        <f t="shared" si="92"/>
        <v>CA-2017-117324_OFF-AP-10003590</v>
      </c>
      <c r="E5904" t="str">
        <f>IF(COUNTIF(data1!$D:$D,D5904)=0,"Missing in Data1","Present")</f>
        <v>Present</v>
      </c>
    </row>
    <row r="5905" spans="1:5" x14ac:dyDescent="0.25">
      <c r="A5905" s="2" t="s">
        <v>4813</v>
      </c>
      <c r="B5905" s="2" t="s">
        <v>1125</v>
      </c>
      <c r="C5905" s="2">
        <v>2</v>
      </c>
      <c r="D5905" t="str">
        <f t="shared" si="92"/>
        <v>CA-2017-117324_OFF-LA-10003510</v>
      </c>
      <c r="E5905" t="str">
        <f>IF(COUNTIF(data1!$D:$D,D5905)=0,"Missing in Data1","Present")</f>
        <v>Missing in Data1</v>
      </c>
    </row>
    <row r="5906" spans="1:5" x14ac:dyDescent="0.25">
      <c r="A5906" s="2" t="s">
        <v>4813</v>
      </c>
      <c r="B5906" s="2" t="s">
        <v>2748</v>
      </c>
      <c r="C5906" s="2">
        <v>4</v>
      </c>
      <c r="D5906" t="str">
        <f t="shared" si="92"/>
        <v>CA-2017-117324_OFF-PA-10002713</v>
      </c>
      <c r="E5906" t="str">
        <f>IF(COUNTIF(data1!$D:$D,D5906)=0,"Missing in Data1","Present")</f>
        <v>Present</v>
      </c>
    </row>
    <row r="5907" spans="1:5" x14ac:dyDescent="0.25">
      <c r="A5907" s="2" t="s">
        <v>4813</v>
      </c>
      <c r="B5907" s="2" t="s">
        <v>324</v>
      </c>
      <c r="C5907" s="2">
        <v>3</v>
      </c>
      <c r="D5907" t="str">
        <f t="shared" si="92"/>
        <v>CA-2017-117324_TEC-AC-10003023</v>
      </c>
      <c r="E5907" t="str">
        <f>IF(COUNTIF(data1!$D:$D,D5907)=0,"Missing in Data1","Present")</f>
        <v>Present</v>
      </c>
    </row>
    <row r="5908" spans="1:5" x14ac:dyDescent="0.25">
      <c r="A5908" s="2" t="s">
        <v>4814</v>
      </c>
      <c r="B5908" s="2" t="s">
        <v>158</v>
      </c>
      <c r="C5908" s="2">
        <v>4</v>
      </c>
      <c r="D5908" t="str">
        <f t="shared" si="92"/>
        <v>CA-2017-117394_TEC-AC-10000199</v>
      </c>
      <c r="E5908" t="str">
        <f>IF(COUNTIF(data1!$D:$D,D5908)=0,"Missing in Data1","Present")</f>
        <v>Present</v>
      </c>
    </row>
    <row r="5909" spans="1:5" x14ac:dyDescent="0.25">
      <c r="A5909" s="2" t="s">
        <v>4815</v>
      </c>
      <c r="B5909" s="2" t="s">
        <v>4419</v>
      </c>
      <c r="C5909" s="2">
        <v>7</v>
      </c>
      <c r="D5909" t="str">
        <f t="shared" si="92"/>
        <v>CA-2017-117401_OFF-AP-10000938</v>
      </c>
      <c r="E5909" t="str">
        <f>IF(COUNTIF(data1!$D:$D,D5909)=0,"Missing in Data1","Present")</f>
        <v>Present</v>
      </c>
    </row>
    <row r="5910" spans="1:5" x14ac:dyDescent="0.25">
      <c r="A5910" s="2" t="s">
        <v>4815</v>
      </c>
      <c r="B5910" s="2" t="s">
        <v>1721</v>
      </c>
      <c r="C5910" s="2">
        <v>7</v>
      </c>
      <c r="D5910" t="str">
        <f t="shared" si="92"/>
        <v>CA-2017-117401_OFF-BI-10001267</v>
      </c>
      <c r="E5910" t="str">
        <f>IF(COUNTIF(data1!$D:$D,D5910)=0,"Missing in Data1","Present")</f>
        <v>Present</v>
      </c>
    </row>
    <row r="5911" spans="1:5" x14ac:dyDescent="0.25">
      <c r="A5911" s="2" t="s">
        <v>4815</v>
      </c>
      <c r="B5911" s="2" t="s">
        <v>2452</v>
      </c>
      <c r="C5911" s="2">
        <v>5</v>
      </c>
      <c r="D5911" t="str">
        <f t="shared" si="92"/>
        <v>CA-2017-117401_TEC-PH-10003555</v>
      </c>
      <c r="E5911" t="str">
        <f>IF(COUNTIF(data1!$D:$D,D5911)=0,"Missing in Data1","Present")</f>
        <v>Present</v>
      </c>
    </row>
    <row r="5912" spans="1:5" x14ac:dyDescent="0.25">
      <c r="A5912" s="2" t="s">
        <v>4816</v>
      </c>
      <c r="B5912" s="2" t="s">
        <v>256</v>
      </c>
      <c r="C5912" s="2">
        <v>4</v>
      </c>
      <c r="D5912" t="str">
        <f t="shared" si="92"/>
        <v>CA-2017-117422_OFF-BI-10002799</v>
      </c>
      <c r="E5912" t="str">
        <f>IF(COUNTIF(data1!$D:$D,D5912)=0,"Missing in Data1","Present")</f>
        <v>Present</v>
      </c>
    </row>
    <row r="5913" spans="1:5" x14ac:dyDescent="0.25">
      <c r="A5913" s="2" t="s">
        <v>4816</v>
      </c>
      <c r="B5913" s="2" t="s">
        <v>157</v>
      </c>
      <c r="C5913" s="2">
        <v>1</v>
      </c>
      <c r="D5913" t="str">
        <f t="shared" si="92"/>
        <v>CA-2017-117422_OFF-PA-10002195</v>
      </c>
      <c r="E5913" t="str">
        <f>IF(COUNTIF(data1!$D:$D,D5913)=0,"Missing in Data1","Present")</f>
        <v>Present</v>
      </c>
    </row>
    <row r="5914" spans="1:5" x14ac:dyDescent="0.25">
      <c r="A5914" s="2" t="s">
        <v>4817</v>
      </c>
      <c r="B5914" s="2" t="s">
        <v>2891</v>
      </c>
      <c r="C5914" s="2">
        <v>2</v>
      </c>
      <c r="D5914" t="str">
        <f t="shared" si="92"/>
        <v>CA-2017-117436_OFF-BI-10004040</v>
      </c>
      <c r="E5914" t="str">
        <f>IF(COUNTIF(data1!$D:$D,D5914)=0,"Missing in Data1","Present")</f>
        <v>Present</v>
      </c>
    </row>
    <row r="5915" spans="1:5" x14ac:dyDescent="0.25">
      <c r="A5915" s="2" t="s">
        <v>4818</v>
      </c>
      <c r="B5915" s="2" t="s">
        <v>2543</v>
      </c>
      <c r="C5915" s="2">
        <v>4</v>
      </c>
      <c r="D5915" t="str">
        <f t="shared" si="92"/>
        <v>CA-2017-117443_OFF-BI-10004002</v>
      </c>
      <c r="E5915" t="str">
        <f>IF(COUNTIF(data1!$D:$D,D5915)=0,"Missing in Data1","Present")</f>
        <v>Present</v>
      </c>
    </row>
    <row r="5916" spans="1:5" x14ac:dyDescent="0.25">
      <c r="A5916" s="2" t="s">
        <v>4818</v>
      </c>
      <c r="B5916" s="2" t="s">
        <v>1103</v>
      </c>
      <c r="C5916" s="2">
        <v>4</v>
      </c>
      <c r="D5916" t="str">
        <f t="shared" si="92"/>
        <v>CA-2017-117443_OFF-PA-10004475</v>
      </c>
      <c r="E5916" t="str">
        <f>IF(COUNTIF(data1!$D:$D,D5916)=0,"Missing in Data1","Present")</f>
        <v>Present</v>
      </c>
    </row>
    <row r="5917" spans="1:5" x14ac:dyDescent="0.25">
      <c r="A5917" s="2" t="s">
        <v>4819</v>
      </c>
      <c r="B5917" s="2" t="s">
        <v>1343</v>
      </c>
      <c r="C5917" s="2">
        <v>13</v>
      </c>
      <c r="D5917" t="str">
        <f t="shared" si="92"/>
        <v>CA-2017-117457_FUR-BO-10001972</v>
      </c>
      <c r="E5917" t="str">
        <f>IF(COUNTIF(data1!$D:$D,D5917)=0,"Missing in Data1","Present")</f>
        <v>Present</v>
      </c>
    </row>
    <row r="5918" spans="1:5" x14ac:dyDescent="0.25">
      <c r="A5918" s="2" t="s">
        <v>4819</v>
      </c>
      <c r="B5918" s="2" t="s">
        <v>2429</v>
      </c>
      <c r="C5918" s="2">
        <v>2</v>
      </c>
      <c r="D5918" t="str">
        <f t="shared" si="92"/>
        <v>CA-2017-117457_FUR-CH-10003956</v>
      </c>
      <c r="E5918" t="str">
        <f>IF(COUNTIF(data1!$D:$D,D5918)=0,"Missing in Data1","Present")</f>
        <v>Present</v>
      </c>
    </row>
    <row r="5919" spans="1:5" x14ac:dyDescent="0.25">
      <c r="A5919" s="2" t="s">
        <v>4819</v>
      </c>
      <c r="B5919" s="2" t="s">
        <v>238</v>
      </c>
      <c r="C5919" s="2">
        <v>7</v>
      </c>
      <c r="D5919" t="str">
        <f t="shared" si="92"/>
        <v>CA-2017-117457_FUR-TA-10002041</v>
      </c>
      <c r="E5919" t="str">
        <f>IF(COUNTIF(data1!$D:$D,D5919)=0,"Missing in Data1","Present")</f>
        <v>Present</v>
      </c>
    </row>
    <row r="5920" spans="1:5" x14ac:dyDescent="0.25">
      <c r="A5920" s="2" t="s">
        <v>4819</v>
      </c>
      <c r="B5920" s="2" t="s">
        <v>1849</v>
      </c>
      <c r="C5920" s="2">
        <v>9</v>
      </c>
      <c r="D5920" t="str">
        <f t="shared" si="92"/>
        <v>CA-2017-117457_OFF-LA-10003766</v>
      </c>
      <c r="E5920" t="str">
        <f>IF(COUNTIF(data1!$D:$D,D5920)=0,"Missing in Data1","Present")</f>
        <v>Present</v>
      </c>
    </row>
    <row r="5921" spans="1:5" x14ac:dyDescent="0.25">
      <c r="A5921" s="2" t="s">
        <v>4819</v>
      </c>
      <c r="B5921" s="2" t="s">
        <v>1039</v>
      </c>
      <c r="C5921" s="2">
        <v>1</v>
      </c>
      <c r="D5921" t="str">
        <f t="shared" si="92"/>
        <v>CA-2017-117457_OFF-PA-10001970</v>
      </c>
      <c r="E5921" t="str">
        <f>IF(COUNTIF(data1!$D:$D,D5921)=0,"Missing in Data1","Present")</f>
        <v>Present</v>
      </c>
    </row>
    <row r="5922" spans="1:5" x14ac:dyDescent="0.25">
      <c r="A5922" s="2" t="s">
        <v>4819</v>
      </c>
      <c r="B5922" s="2" t="s">
        <v>936</v>
      </c>
      <c r="C5922" s="2">
        <v>1</v>
      </c>
      <c r="D5922" t="str">
        <f t="shared" si="92"/>
        <v>CA-2017-117457_OFF-PA-10002893</v>
      </c>
      <c r="E5922" t="str">
        <f>IF(COUNTIF(data1!$D:$D,D5922)=0,"Missing in Data1","Present")</f>
        <v>Present</v>
      </c>
    </row>
    <row r="5923" spans="1:5" x14ac:dyDescent="0.25">
      <c r="A5923" s="2" t="s">
        <v>4819</v>
      </c>
      <c r="B5923" s="2" t="s">
        <v>1552</v>
      </c>
      <c r="C5923" s="2">
        <v>5</v>
      </c>
      <c r="D5923" t="str">
        <f t="shared" si="92"/>
        <v>CA-2017-117457_OFF-PA-10003724</v>
      </c>
      <c r="E5923" t="str">
        <f>IF(COUNTIF(data1!$D:$D,D5923)=0,"Missing in Data1","Present")</f>
        <v>Present</v>
      </c>
    </row>
    <row r="5924" spans="1:5" x14ac:dyDescent="0.25">
      <c r="A5924" s="2" t="s">
        <v>4819</v>
      </c>
      <c r="B5924" s="2" t="s">
        <v>2371</v>
      </c>
      <c r="C5924" s="2">
        <v>5</v>
      </c>
      <c r="D5924" t="str">
        <f t="shared" si="92"/>
        <v>CA-2017-117457_TEC-AC-10000158</v>
      </c>
      <c r="E5924" t="str">
        <f>IF(COUNTIF(data1!$D:$D,D5924)=0,"Missing in Data1","Present")</f>
        <v>Present</v>
      </c>
    </row>
    <row r="5925" spans="1:5" x14ac:dyDescent="0.25">
      <c r="A5925" s="2" t="s">
        <v>4819</v>
      </c>
      <c r="B5925" s="2" t="s">
        <v>986</v>
      </c>
      <c r="C5925" s="2">
        <v>3</v>
      </c>
      <c r="D5925" t="str">
        <f t="shared" si="92"/>
        <v>CA-2017-117457_TEC-CO-10004115</v>
      </c>
      <c r="E5925" t="str">
        <f>IF(COUNTIF(data1!$D:$D,D5925)=0,"Missing in Data1","Present")</f>
        <v>Present</v>
      </c>
    </row>
    <row r="5926" spans="1:5" x14ac:dyDescent="0.25">
      <c r="A5926" s="2" t="s">
        <v>4821</v>
      </c>
      <c r="B5926" s="2" t="s">
        <v>2601</v>
      </c>
      <c r="C5926" s="2">
        <v>7</v>
      </c>
      <c r="D5926" t="str">
        <f t="shared" si="92"/>
        <v>CA-2017-117513_FUR-TA-10001520</v>
      </c>
      <c r="E5926" t="str">
        <f>IF(COUNTIF(data1!$D:$D,D5926)=0,"Missing in Data1","Present")</f>
        <v>Present</v>
      </c>
    </row>
    <row r="5927" spans="1:5" x14ac:dyDescent="0.25">
      <c r="A5927" s="2" t="s">
        <v>4822</v>
      </c>
      <c r="B5927" s="2" t="s">
        <v>2601</v>
      </c>
      <c r="C5927" s="2">
        <v>5</v>
      </c>
      <c r="D5927" t="str">
        <f t="shared" si="92"/>
        <v>CA-2017-117632_FUR-TA-10001520</v>
      </c>
      <c r="E5927" t="str">
        <f>IF(COUNTIF(data1!$D:$D,D5927)=0,"Missing in Data1","Present")</f>
        <v>Present</v>
      </c>
    </row>
    <row r="5928" spans="1:5" x14ac:dyDescent="0.25">
      <c r="A5928" s="2" t="s">
        <v>4822</v>
      </c>
      <c r="B5928" s="2" t="s">
        <v>1084</v>
      </c>
      <c r="C5928" s="2">
        <v>1</v>
      </c>
      <c r="D5928" t="str">
        <f t="shared" si="92"/>
        <v>CA-2017-117632_OFF-AP-10004868</v>
      </c>
      <c r="E5928" t="str">
        <f>IF(COUNTIF(data1!$D:$D,D5928)=0,"Missing in Data1","Present")</f>
        <v>Present</v>
      </c>
    </row>
    <row r="5929" spans="1:5" x14ac:dyDescent="0.25">
      <c r="A5929" s="2" t="s">
        <v>4822</v>
      </c>
      <c r="B5929" s="2" t="s">
        <v>2483</v>
      </c>
      <c r="C5929" s="2">
        <v>4</v>
      </c>
      <c r="D5929" t="str">
        <f t="shared" si="92"/>
        <v>CA-2017-117632_OFF-BI-10001900</v>
      </c>
      <c r="E5929" t="str">
        <f>IF(COUNTIF(data1!$D:$D,D5929)=0,"Missing in Data1","Present")</f>
        <v>Present</v>
      </c>
    </row>
    <row r="5930" spans="1:5" x14ac:dyDescent="0.25">
      <c r="A5930" s="2" t="s">
        <v>4822</v>
      </c>
      <c r="B5930" s="2" t="s">
        <v>695</v>
      </c>
      <c r="C5930" s="2">
        <v>2</v>
      </c>
      <c r="D5930" t="str">
        <f t="shared" si="92"/>
        <v>CA-2017-117632_OFF-SU-10000157</v>
      </c>
      <c r="E5930" t="str">
        <f>IF(COUNTIF(data1!$D:$D,D5930)=0,"Missing in Data1","Present")</f>
        <v>Present</v>
      </c>
    </row>
    <row r="5931" spans="1:5" x14ac:dyDescent="0.25">
      <c r="A5931" s="2" t="s">
        <v>4823</v>
      </c>
      <c r="B5931" s="2" t="s">
        <v>3125</v>
      </c>
      <c r="C5931" s="2">
        <v>3</v>
      </c>
      <c r="D5931" t="str">
        <f t="shared" si="92"/>
        <v>CA-2017-117646_FUR-FU-10001037</v>
      </c>
      <c r="E5931" t="str">
        <f>IF(COUNTIF(data1!$D:$D,D5931)=0,"Missing in Data1","Present")</f>
        <v>Present</v>
      </c>
    </row>
    <row r="5932" spans="1:5" x14ac:dyDescent="0.25">
      <c r="A5932" s="2" t="s">
        <v>4823</v>
      </c>
      <c r="B5932" s="2" t="s">
        <v>2363</v>
      </c>
      <c r="C5932" s="2">
        <v>1</v>
      </c>
      <c r="D5932" t="str">
        <f t="shared" si="92"/>
        <v>CA-2017-117646_OFF-PA-10001950</v>
      </c>
      <c r="E5932" t="str">
        <f>IF(COUNTIF(data1!$D:$D,D5932)=0,"Missing in Data1","Present")</f>
        <v>Present</v>
      </c>
    </row>
    <row r="5933" spans="1:5" x14ac:dyDescent="0.25">
      <c r="A5933" s="2" t="s">
        <v>4823</v>
      </c>
      <c r="B5933" s="2" t="s">
        <v>357</v>
      </c>
      <c r="C5933" s="2">
        <v>3</v>
      </c>
      <c r="D5933" t="str">
        <f t="shared" si="92"/>
        <v>CA-2017-117646_OFF-ST-10000036</v>
      </c>
      <c r="E5933" t="str">
        <f>IF(COUNTIF(data1!$D:$D,D5933)=0,"Missing in Data1","Present")</f>
        <v>Present</v>
      </c>
    </row>
    <row r="5934" spans="1:5" x14ac:dyDescent="0.25">
      <c r="A5934" s="2" t="s">
        <v>4824</v>
      </c>
      <c r="B5934" s="2" t="s">
        <v>770</v>
      </c>
      <c r="C5934" s="2">
        <v>1</v>
      </c>
      <c r="D5934" t="str">
        <f t="shared" si="92"/>
        <v>CA-2017-117653_FUR-TA-10003008</v>
      </c>
      <c r="E5934" t="str">
        <f>IF(COUNTIF(data1!$D:$D,D5934)=0,"Missing in Data1","Present")</f>
        <v>Present</v>
      </c>
    </row>
    <row r="5935" spans="1:5" x14ac:dyDescent="0.25">
      <c r="A5935" s="2" t="s">
        <v>4825</v>
      </c>
      <c r="B5935" s="2" t="s">
        <v>2527</v>
      </c>
      <c r="C5935" s="2">
        <v>10</v>
      </c>
      <c r="D5935" t="str">
        <f t="shared" si="92"/>
        <v>CA-2017-117667_FUR-CH-10004540</v>
      </c>
      <c r="E5935" t="str">
        <f>IF(COUNTIF(data1!$D:$D,D5935)=0,"Missing in Data1","Present")</f>
        <v>Present</v>
      </c>
    </row>
    <row r="5936" spans="1:5" x14ac:dyDescent="0.25">
      <c r="A5936" s="2" t="s">
        <v>4825</v>
      </c>
      <c r="B5936" s="2" t="s">
        <v>2996</v>
      </c>
      <c r="C5936" s="2">
        <v>2</v>
      </c>
      <c r="D5936" t="str">
        <f t="shared" si="92"/>
        <v>CA-2017-117667_FUR-FU-10004093</v>
      </c>
      <c r="E5936" t="str">
        <f>IF(COUNTIF(data1!$D:$D,D5936)=0,"Missing in Data1","Present")</f>
        <v>Present</v>
      </c>
    </row>
    <row r="5937" spans="1:5" x14ac:dyDescent="0.25">
      <c r="A5937" s="2" t="s">
        <v>4825</v>
      </c>
      <c r="B5937" s="2" t="s">
        <v>286</v>
      </c>
      <c r="C5937" s="2">
        <v>3</v>
      </c>
      <c r="D5937" t="str">
        <f t="shared" si="92"/>
        <v>CA-2017-117667_OFF-AR-10000716</v>
      </c>
      <c r="E5937" t="str">
        <f>IF(COUNTIF(data1!$D:$D,D5937)=0,"Missing in Data1","Present")</f>
        <v>Present</v>
      </c>
    </row>
    <row r="5938" spans="1:5" x14ac:dyDescent="0.25">
      <c r="A5938" s="2" t="s">
        <v>4825</v>
      </c>
      <c r="B5938" s="2" t="s">
        <v>4826</v>
      </c>
      <c r="C5938" s="2">
        <v>5</v>
      </c>
      <c r="D5938" t="str">
        <f t="shared" si="92"/>
        <v>CA-2017-117667_OFF-PA-10002709</v>
      </c>
      <c r="E5938" t="str">
        <f>IF(COUNTIF(data1!$D:$D,D5938)=0,"Missing in Data1","Present")</f>
        <v>Present</v>
      </c>
    </row>
    <row r="5939" spans="1:5" x14ac:dyDescent="0.25">
      <c r="A5939" s="2" t="s">
        <v>4825</v>
      </c>
      <c r="B5939" s="2" t="s">
        <v>3543</v>
      </c>
      <c r="C5939" s="2">
        <v>4</v>
      </c>
      <c r="D5939" t="str">
        <f t="shared" si="92"/>
        <v>CA-2017-117667_TEC-AC-10000580</v>
      </c>
      <c r="E5939" t="str">
        <f>IF(COUNTIF(data1!$D:$D,D5939)=0,"Missing in Data1","Present")</f>
        <v>Present</v>
      </c>
    </row>
    <row r="5940" spans="1:5" x14ac:dyDescent="0.25">
      <c r="A5940" s="2" t="s">
        <v>4827</v>
      </c>
      <c r="B5940" s="2" t="s">
        <v>2748</v>
      </c>
      <c r="C5940" s="2">
        <v>2</v>
      </c>
      <c r="D5940" t="str">
        <f t="shared" si="92"/>
        <v>CA-2017-117695_OFF-PA-10002713</v>
      </c>
      <c r="E5940" t="str">
        <f>IF(COUNTIF(data1!$D:$D,D5940)=0,"Missing in Data1","Present")</f>
        <v>Present</v>
      </c>
    </row>
    <row r="5941" spans="1:5" x14ac:dyDescent="0.25">
      <c r="A5941" s="2" t="s">
        <v>4828</v>
      </c>
      <c r="B5941" s="2" t="s">
        <v>2704</v>
      </c>
      <c r="C5941" s="2">
        <v>5</v>
      </c>
      <c r="D5941" t="str">
        <f t="shared" si="92"/>
        <v>CA-2017-117702_FUR-FU-10000576</v>
      </c>
      <c r="E5941" t="str">
        <f>IF(COUNTIF(data1!$D:$D,D5941)=0,"Missing in Data1","Present")</f>
        <v>Present</v>
      </c>
    </row>
    <row r="5942" spans="1:5" x14ac:dyDescent="0.25">
      <c r="A5942" s="2" t="s">
        <v>4828</v>
      </c>
      <c r="B5942" s="2" t="s">
        <v>461</v>
      </c>
      <c r="C5942" s="2">
        <v>5</v>
      </c>
      <c r="D5942" t="str">
        <f t="shared" si="92"/>
        <v>CA-2017-117702_FUR-FU-10004270</v>
      </c>
      <c r="E5942" t="str">
        <f>IF(COUNTIF(data1!$D:$D,D5942)=0,"Missing in Data1","Present")</f>
        <v>Missing in Data1</v>
      </c>
    </row>
    <row r="5943" spans="1:5" x14ac:dyDescent="0.25">
      <c r="A5943" s="2" t="s">
        <v>4828</v>
      </c>
      <c r="B5943" s="2" t="s">
        <v>723</v>
      </c>
      <c r="C5943" s="2">
        <v>1</v>
      </c>
      <c r="D5943" t="str">
        <f t="shared" si="92"/>
        <v>CA-2017-117702_OFF-AR-10004582</v>
      </c>
      <c r="E5943" t="str">
        <f>IF(COUNTIF(data1!$D:$D,D5943)=0,"Missing in Data1","Present")</f>
        <v>Present</v>
      </c>
    </row>
    <row r="5944" spans="1:5" x14ac:dyDescent="0.25">
      <c r="A5944" s="2" t="s">
        <v>4829</v>
      </c>
      <c r="B5944" s="2" t="s">
        <v>2100</v>
      </c>
      <c r="C5944" s="2">
        <v>1</v>
      </c>
      <c r="D5944" t="str">
        <f t="shared" si="92"/>
        <v>CA-2017-117807_OFF-PA-10000994</v>
      </c>
      <c r="E5944" t="str">
        <f>IF(COUNTIF(data1!$D:$D,D5944)=0,"Missing in Data1","Present")</f>
        <v>Present</v>
      </c>
    </row>
    <row r="5945" spans="1:5" x14ac:dyDescent="0.25">
      <c r="A5945" s="2" t="s">
        <v>4830</v>
      </c>
      <c r="B5945" s="2" t="s">
        <v>2802</v>
      </c>
      <c r="C5945" s="2">
        <v>2</v>
      </c>
      <c r="D5945" t="str">
        <f t="shared" si="92"/>
        <v>CA-2017-117821_TEC-AC-10004469</v>
      </c>
      <c r="E5945" t="str">
        <f>IF(COUNTIF(data1!$D:$D,D5945)=0,"Missing in Data1","Present")</f>
        <v>Present</v>
      </c>
    </row>
    <row r="5946" spans="1:5" x14ac:dyDescent="0.25">
      <c r="A5946" s="2" t="s">
        <v>4831</v>
      </c>
      <c r="B5946" s="2" t="s">
        <v>100</v>
      </c>
      <c r="C5946" s="2">
        <v>2</v>
      </c>
      <c r="D5946" t="str">
        <f t="shared" si="92"/>
        <v>CA-2017-117863_FUR-FU-10002456</v>
      </c>
      <c r="E5946" t="str">
        <f>IF(COUNTIF(data1!$D:$D,D5946)=0,"Missing in Data1","Present")</f>
        <v>Present</v>
      </c>
    </row>
    <row r="5947" spans="1:5" x14ac:dyDescent="0.25">
      <c r="A5947" s="2" t="s">
        <v>4831</v>
      </c>
      <c r="B5947" s="2" t="s">
        <v>1789</v>
      </c>
      <c r="C5947" s="2">
        <v>1</v>
      </c>
      <c r="D5947" t="str">
        <f t="shared" si="92"/>
        <v>CA-2017-117863_OFF-BI-10000605</v>
      </c>
      <c r="E5947" t="str">
        <f>IF(COUNTIF(data1!$D:$D,D5947)=0,"Missing in Data1","Present")</f>
        <v>Present</v>
      </c>
    </row>
    <row r="5948" spans="1:5" x14ac:dyDescent="0.25">
      <c r="A5948" s="2" t="s">
        <v>4832</v>
      </c>
      <c r="B5948" s="2" t="s">
        <v>1096</v>
      </c>
      <c r="C5948" s="2">
        <v>3</v>
      </c>
      <c r="D5948" t="str">
        <f t="shared" si="92"/>
        <v>CA-2017-117870_OFF-AR-10004078</v>
      </c>
      <c r="E5948" t="str">
        <f>IF(COUNTIF(data1!$D:$D,D5948)=0,"Missing in Data1","Present")</f>
        <v>Present</v>
      </c>
    </row>
    <row r="5949" spans="1:5" x14ac:dyDescent="0.25">
      <c r="A5949" s="2" t="s">
        <v>4832</v>
      </c>
      <c r="B5949" s="2" t="s">
        <v>3164</v>
      </c>
      <c r="C5949" s="2">
        <v>3</v>
      </c>
      <c r="D5949" t="str">
        <f t="shared" si="92"/>
        <v>CA-2017-117870_TEC-AC-10000927</v>
      </c>
      <c r="E5949" t="str">
        <f>IF(COUNTIF(data1!$D:$D,D5949)=0,"Missing in Data1","Present")</f>
        <v>Present</v>
      </c>
    </row>
    <row r="5950" spans="1:5" x14ac:dyDescent="0.25">
      <c r="A5950" s="2" t="s">
        <v>4832</v>
      </c>
      <c r="B5950" s="2" t="s">
        <v>1192</v>
      </c>
      <c r="C5950" s="2">
        <v>3</v>
      </c>
      <c r="D5950" t="str">
        <f t="shared" si="92"/>
        <v>CA-2017-117870_TEC-PH-10003931</v>
      </c>
      <c r="E5950" t="str">
        <f>IF(COUNTIF(data1!$D:$D,D5950)=0,"Missing in Data1","Present")</f>
        <v>Present</v>
      </c>
    </row>
    <row r="5951" spans="1:5" x14ac:dyDescent="0.25">
      <c r="A5951" s="2" t="s">
        <v>4833</v>
      </c>
      <c r="B5951" s="2" t="s">
        <v>4834</v>
      </c>
      <c r="C5951" s="2">
        <v>1</v>
      </c>
      <c r="D5951" t="str">
        <f t="shared" si="92"/>
        <v>CA-2017-117926_OFF-AP-10002670</v>
      </c>
      <c r="E5951" t="str">
        <f>IF(COUNTIF(data1!$D:$D,D5951)=0,"Missing in Data1","Present")</f>
        <v>Present</v>
      </c>
    </row>
    <row r="5952" spans="1:5" x14ac:dyDescent="0.25">
      <c r="A5952" s="2" t="s">
        <v>6824</v>
      </c>
      <c r="B5952" s="2" t="s">
        <v>43</v>
      </c>
      <c r="C5952" s="2">
        <v>3</v>
      </c>
      <c r="D5952" t="str">
        <f t="shared" si="92"/>
        <v>CA-2017-117933_OFF-AP-10004249</v>
      </c>
      <c r="E5952" t="str">
        <f>IF(COUNTIF(data1!$D:$D,D5952)=0,"Missing in Data1","Present")</f>
        <v>Missing in Data1</v>
      </c>
    </row>
    <row r="5953" spans="1:5" x14ac:dyDescent="0.25">
      <c r="A5953" s="2" t="s">
        <v>4835</v>
      </c>
      <c r="B5953" s="2" t="s">
        <v>856</v>
      </c>
      <c r="C5953" s="2">
        <v>2</v>
      </c>
      <c r="D5953" t="str">
        <f t="shared" si="92"/>
        <v>CA-2017-117947_FUR-FU-10000010</v>
      </c>
      <c r="E5953" t="str">
        <f>IF(COUNTIF(data1!$D:$D,D5953)=0,"Missing in Data1","Present")</f>
        <v>Present</v>
      </c>
    </row>
    <row r="5954" spans="1:5" x14ac:dyDescent="0.25">
      <c r="A5954" s="2" t="s">
        <v>4835</v>
      </c>
      <c r="B5954" s="2" t="s">
        <v>363</v>
      </c>
      <c r="C5954" s="2">
        <v>3</v>
      </c>
      <c r="D5954" t="str">
        <f t="shared" si="92"/>
        <v>CA-2017-117947_FUR-FU-10000521</v>
      </c>
      <c r="E5954" t="str">
        <f>IF(COUNTIF(data1!$D:$D,D5954)=0,"Missing in Data1","Present")</f>
        <v>Present</v>
      </c>
    </row>
    <row r="5955" spans="1:5" x14ac:dyDescent="0.25">
      <c r="A5955" s="2" t="s">
        <v>4835</v>
      </c>
      <c r="B5955" s="2" t="s">
        <v>1503</v>
      </c>
      <c r="C5955" s="2">
        <v>2</v>
      </c>
      <c r="D5955" t="str">
        <f t="shared" ref="D5955:D6018" si="93">A5955&amp;"_"&amp;B5955</f>
        <v>CA-2017-117947_FUR-FU-10003849</v>
      </c>
      <c r="E5955" t="str">
        <f>IF(COUNTIF(data1!$D:$D,D5955)=0,"Missing in Data1","Present")</f>
        <v>Present</v>
      </c>
    </row>
    <row r="5956" spans="1:5" x14ac:dyDescent="0.25">
      <c r="A5956" s="2" t="s">
        <v>4835</v>
      </c>
      <c r="B5956" s="2" t="s">
        <v>1255</v>
      </c>
      <c r="C5956" s="2">
        <v>9</v>
      </c>
      <c r="D5956" t="str">
        <f t="shared" si="93"/>
        <v>CA-2017-117947_OFF-BI-10002824</v>
      </c>
      <c r="E5956" t="str">
        <f>IF(COUNTIF(data1!$D:$D,D5956)=0,"Missing in Data1","Present")</f>
        <v>Present</v>
      </c>
    </row>
    <row r="5957" spans="1:5" x14ac:dyDescent="0.25">
      <c r="A5957" s="2" t="s">
        <v>4835</v>
      </c>
      <c r="B5957" s="2" t="s">
        <v>1741</v>
      </c>
      <c r="C5957" s="2">
        <v>1</v>
      </c>
      <c r="D5957" t="str">
        <f t="shared" si="93"/>
        <v>CA-2017-117947_TEC-PH-10002538</v>
      </c>
      <c r="E5957" t="str">
        <f>IF(COUNTIF(data1!$D:$D,D5957)=0,"Missing in Data1","Present")</f>
        <v>Missing in Data1</v>
      </c>
    </row>
    <row r="5958" spans="1:5" x14ac:dyDescent="0.25">
      <c r="A5958" s="2" t="s">
        <v>4836</v>
      </c>
      <c r="B5958" s="2" t="s">
        <v>621</v>
      </c>
      <c r="C5958" s="2">
        <v>3</v>
      </c>
      <c r="D5958" t="str">
        <f t="shared" si="93"/>
        <v>CA-2017-118003_FUR-CH-10003817</v>
      </c>
      <c r="E5958" t="str">
        <f>IF(COUNTIF(data1!$D:$D,D5958)=0,"Missing in Data1","Present")</f>
        <v>Present</v>
      </c>
    </row>
    <row r="5959" spans="1:5" x14ac:dyDescent="0.25">
      <c r="A5959" s="2" t="s">
        <v>4836</v>
      </c>
      <c r="B5959" s="2" t="s">
        <v>1162</v>
      </c>
      <c r="C5959" s="2">
        <v>3</v>
      </c>
      <c r="D5959" t="str">
        <f t="shared" si="93"/>
        <v>CA-2017-118003_FUR-CH-10004860</v>
      </c>
      <c r="E5959" t="str">
        <f>IF(COUNTIF(data1!$D:$D,D5959)=0,"Missing in Data1","Present")</f>
        <v>Present</v>
      </c>
    </row>
    <row r="5960" spans="1:5" x14ac:dyDescent="0.25">
      <c r="A5960" s="2" t="s">
        <v>4836</v>
      </c>
      <c r="B5960" s="2" t="s">
        <v>2098</v>
      </c>
      <c r="C5960" s="2">
        <v>1</v>
      </c>
      <c r="D5960" t="str">
        <f t="shared" si="93"/>
        <v>CA-2017-118003_FUR-FU-10002506</v>
      </c>
      <c r="E5960" t="str">
        <f>IF(COUNTIF(data1!$D:$D,D5960)=0,"Missing in Data1","Present")</f>
        <v>Present</v>
      </c>
    </row>
    <row r="5961" spans="1:5" x14ac:dyDescent="0.25">
      <c r="A5961" s="2" t="s">
        <v>4837</v>
      </c>
      <c r="B5961" s="2" t="s">
        <v>3539</v>
      </c>
      <c r="C5961" s="2">
        <v>1</v>
      </c>
      <c r="D5961" t="str">
        <f t="shared" si="93"/>
        <v>CA-2017-118017_FUR-FU-10004053</v>
      </c>
      <c r="E5961" t="str">
        <f>IF(COUNTIF(data1!$D:$D,D5961)=0,"Missing in Data1","Present")</f>
        <v>Present</v>
      </c>
    </row>
    <row r="5962" spans="1:5" x14ac:dyDescent="0.25">
      <c r="A5962" s="2" t="s">
        <v>4837</v>
      </c>
      <c r="B5962" s="2" t="s">
        <v>461</v>
      </c>
      <c r="C5962" s="2">
        <v>5</v>
      </c>
      <c r="D5962" t="str">
        <f t="shared" si="93"/>
        <v>CA-2017-118017_FUR-FU-10004270</v>
      </c>
      <c r="E5962" t="str">
        <f>IF(COUNTIF(data1!$D:$D,D5962)=0,"Missing in Data1","Present")</f>
        <v>Present</v>
      </c>
    </row>
    <row r="5963" spans="1:5" x14ac:dyDescent="0.25">
      <c r="A5963" s="2" t="s">
        <v>4837</v>
      </c>
      <c r="B5963" s="2" t="s">
        <v>1293</v>
      </c>
      <c r="C5963" s="2">
        <v>3</v>
      </c>
      <c r="D5963" t="str">
        <f t="shared" si="93"/>
        <v>CA-2017-118017_FUR-FU-10004351</v>
      </c>
      <c r="E5963" t="str">
        <f>IF(COUNTIF(data1!$D:$D,D5963)=0,"Missing in Data1","Present")</f>
        <v>Present</v>
      </c>
    </row>
    <row r="5964" spans="1:5" x14ac:dyDescent="0.25">
      <c r="A5964" s="2" t="s">
        <v>4837</v>
      </c>
      <c r="B5964" s="2" t="s">
        <v>2785</v>
      </c>
      <c r="C5964" s="2">
        <v>6</v>
      </c>
      <c r="D5964" t="str">
        <f t="shared" si="93"/>
        <v>CA-2017-118017_OFF-AR-10003856</v>
      </c>
      <c r="E5964" t="str">
        <f>IF(COUNTIF(data1!$D:$D,D5964)=0,"Missing in Data1","Present")</f>
        <v>Present</v>
      </c>
    </row>
    <row r="5965" spans="1:5" x14ac:dyDescent="0.25">
      <c r="A5965" s="2" t="s">
        <v>4837</v>
      </c>
      <c r="B5965" s="2" t="s">
        <v>1495</v>
      </c>
      <c r="C5965" s="2">
        <v>2</v>
      </c>
      <c r="D5965" t="str">
        <f t="shared" si="93"/>
        <v>CA-2017-118017_OFF-PA-10002246</v>
      </c>
      <c r="E5965" t="str">
        <f>IF(COUNTIF(data1!$D:$D,D5965)=0,"Missing in Data1","Present")</f>
        <v>Present</v>
      </c>
    </row>
    <row r="5966" spans="1:5" x14ac:dyDescent="0.25">
      <c r="A5966" s="2" t="s">
        <v>4837</v>
      </c>
      <c r="B5966" s="2" t="s">
        <v>3133</v>
      </c>
      <c r="C5966" s="2">
        <v>7</v>
      </c>
      <c r="D5966" t="str">
        <f t="shared" si="93"/>
        <v>CA-2017-118017_OFF-SU-10004782</v>
      </c>
      <c r="E5966" t="str">
        <f>IF(COUNTIF(data1!$D:$D,D5966)=0,"Missing in Data1","Present")</f>
        <v>Present</v>
      </c>
    </row>
    <row r="5967" spans="1:5" x14ac:dyDescent="0.25">
      <c r="A5967" s="2" t="s">
        <v>4837</v>
      </c>
      <c r="B5967" s="2" t="s">
        <v>1603</v>
      </c>
      <c r="C5967" s="2">
        <v>14</v>
      </c>
      <c r="D5967" t="str">
        <f t="shared" si="93"/>
        <v>CA-2017-118017_TEC-AC-10002006</v>
      </c>
      <c r="E5967" t="str">
        <f>IF(COUNTIF(data1!$D:$D,D5967)=0,"Missing in Data1","Present")</f>
        <v>Present</v>
      </c>
    </row>
    <row r="5968" spans="1:5" x14ac:dyDescent="0.25">
      <c r="A5968" s="2" t="s">
        <v>4838</v>
      </c>
      <c r="B5968" s="2" t="s">
        <v>275</v>
      </c>
      <c r="C5968" s="2">
        <v>2</v>
      </c>
      <c r="D5968" t="str">
        <f t="shared" si="93"/>
        <v>CA-2017-118122_OFF-BI-10002103</v>
      </c>
      <c r="E5968" t="str">
        <f>IF(COUNTIF(data1!$D:$D,D5968)=0,"Missing in Data1","Present")</f>
        <v>Present</v>
      </c>
    </row>
    <row r="5969" spans="1:5" x14ac:dyDescent="0.25">
      <c r="A5969" s="2" t="s">
        <v>4839</v>
      </c>
      <c r="B5969" s="2" t="s">
        <v>1555</v>
      </c>
      <c r="C5969" s="2">
        <v>1</v>
      </c>
      <c r="D5969" t="str">
        <f t="shared" si="93"/>
        <v>CA-2017-118136_OFF-AR-10001427</v>
      </c>
      <c r="E5969" t="str">
        <f>IF(COUNTIF(data1!$D:$D,D5969)=0,"Missing in Data1","Present")</f>
        <v>Present</v>
      </c>
    </row>
    <row r="5970" spans="1:5" x14ac:dyDescent="0.25">
      <c r="A5970" s="2" t="s">
        <v>4839</v>
      </c>
      <c r="B5970" s="2" t="s">
        <v>1968</v>
      </c>
      <c r="C5970" s="2">
        <v>2</v>
      </c>
      <c r="D5970" t="str">
        <f t="shared" si="93"/>
        <v>CA-2017-118136_OFF-PA-10002615</v>
      </c>
      <c r="E5970" t="str">
        <f>IF(COUNTIF(data1!$D:$D,D5970)=0,"Missing in Data1","Present")</f>
        <v>Present</v>
      </c>
    </row>
    <row r="5971" spans="1:5" x14ac:dyDescent="0.25">
      <c r="A5971" s="2" t="s">
        <v>4840</v>
      </c>
      <c r="B5971" s="2" t="s">
        <v>1879</v>
      </c>
      <c r="C5971" s="2">
        <v>1</v>
      </c>
      <c r="D5971" t="str">
        <f t="shared" si="93"/>
        <v>CA-2017-118199_FUR-TA-10004154</v>
      </c>
      <c r="E5971" t="str">
        <f>IF(COUNTIF(data1!$D:$D,D5971)=0,"Missing in Data1","Present")</f>
        <v>Missing in Data1</v>
      </c>
    </row>
    <row r="5972" spans="1:5" x14ac:dyDescent="0.25">
      <c r="A5972" s="2" t="s">
        <v>4840</v>
      </c>
      <c r="B5972" s="2" t="s">
        <v>2193</v>
      </c>
      <c r="C5972" s="2">
        <v>5</v>
      </c>
      <c r="D5972" t="str">
        <f t="shared" si="93"/>
        <v>CA-2017-118199_OFF-BI-10004330</v>
      </c>
      <c r="E5972" t="str">
        <f>IF(COUNTIF(data1!$D:$D,D5972)=0,"Missing in Data1","Present")</f>
        <v>Present</v>
      </c>
    </row>
    <row r="5973" spans="1:5" x14ac:dyDescent="0.25">
      <c r="A5973" s="2" t="s">
        <v>4840</v>
      </c>
      <c r="B5973" s="2" t="s">
        <v>2149</v>
      </c>
      <c r="C5973" s="2">
        <v>3</v>
      </c>
      <c r="D5973" t="str">
        <f t="shared" si="93"/>
        <v>CA-2017-118199_OFF-ST-10000604</v>
      </c>
      <c r="E5973" t="str">
        <f>IF(COUNTIF(data1!$D:$D,D5973)=0,"Missing in Data1","Present")</f>
        <v>Present</v>
      </c>
    </row>
    <row r="5974" spans="1:5" x14ac:dyDescent="0.25">
      <c r="A5974" s="2" t="s">
        <v>4840</v>
      </c>
      <c r="B5974" s="2" t="s">
        <v>962</v>
      </c>
      <c r="C5974" s="2">
        <v>4</v>
      </c>
      <c r="D5974" t="str">
        <f t="shared" si="93"/>
        <v>CA-2017-118199_OFF-ST-10000636</v>
      </c>
      <c r="E5974" t="str">
        <f>IF(COUNTIF(data1!$D:$D,D5974)=0,"Missing in Data1","Present")</f>
        <v>Present</v>
      </c>
    </row>
    <row r="5975" spans="1:5" x14ac:dyDescent="0.25">
      <c r="A5975" s="2" t="s">
        <v>4840</v>
      </c>
      <c r="B5975" s="2" t="s">
        <v>457</v>
      </c>
      <c r="C5975" s="2">
        <v>2</v>
      </c>
      <c r="D5975" t="str">
        <f t="shared" si="93"/>
        <v>CA-2017-118199_TEC-AC-10004171</v>
      </c>
      <c r="E5975" t="str">
        <f>IF(COUNTIF(data1!$D:$D,D5975)=0,"Missing in Data1","Present")</f>
        <v>Present</v>
      </c>
    </row>
    <row r="5976" spans="1:5" x14ac:dyDescent="0.25">
      <c r="A5976" s="2" t="s">
        <v>4841</v>
      </c>
      <c r="B5976" s="2" t="s">
        <v>3685</v>
      </c>
      <c r="C5976" s="2">
        <v>3</v>
      </c>
      <c r="D5976" t="str">
        <f t="shared" si="93"/>
        <v>CA-2017-118213_OFF-PA-10000565</v>
      </c>
      <c r="E5976" t="str">
        <f>IF(COUNTIF(data1!$D:$D,D5976)=0,"Missing in Data1","Present")</f>
        <v>Present</v>
      </c>
    </row>
    <row r="5977" spans="1:5" x14ac:dyDescent="0.25">
      <c r="A5977" s="2" t="s">
        <v>4841</v>
      </c>
      <c r="B5977" s="2" t="s">
        <v>1968</v>
      </c>
      <c r="C5977" s="2">
        <v>1</v>
      </c>
      <c r="D5977" t="str">
        <f t="shared" si="93"/>
        <v>CA-2017-118213_OFF-PA-10002615</v>
      </c>
      <c r="E5977" t="str">
        <f>IF(COUNTIF(data1!$D:$D,D5977)=0,"Missing in Data1","Present")</f>
        <v>Present</v>
      </c>
    </row>
    <row r="5978" spans="1:5" x14ac:dyDescent="0.25">
      <c r="A5978" s="2" t="s">
        <v>4841</v>
      </c>
      <c r="B5978" s="2" t="s">
        <v>4498</v>
      </c>
      <c r="C5978" s="2">
        <v>10</v>
      </c>
      <c r="D5978" t="str">
        <f t="shared" si="93"/>
        <v>CA-2017-118213_OFF-PA-10003673</v>
      </c>
      <c r="E5978" t="str">
        <f>IF(COUNTIF(data1!$D:$D,D5978)=0,"Missing in Data1","Present")</f>
        <v>Present</v>
      </c>
    </row>
    <row r="5979" spans="1:5" x14ac:dyDescent="0.25">
      <c r="A5979" s="2" t="s">
        <v>4842</v>
      </c>
      <c r="B5979" s="2" t="s">
        <v>440</v>
      </c>
      <c r="C5979" s="2">
        <v>5</v>
      </c>
      <c r="D5979" t="str">
        <f t="shared" si="93"/>
        <v>CA-2017-118346_TEC-AC-10000736</v>
      </c>
      <c r="E5979" t="str">
        <f>IF(COUNTIF(data1!$D:$D,D5979)=0,"Missing in Data1","Present")</f>
        <v>Present</v>
      </c>
    </row>
    <row r="5980" spans="1:5" x14ac:dyDescent="0.25">
      <c r="A5980" s="2" t="s">
        <v>4843</v>
      </c>
      <c r="B5980" s="2" t="s">
        <v>3814</v>
      </c>
      <c r="C5980" s="2">
        <v>9</v>
      </c>
      <c r="D5980" t="str">
        <f t="shared" si="93"/>
        <v>CA-2017-118360_OFF-PA-10000791</v>
      </c>
      <c r="E5980" t="str">
        <f>IF(COUNTIF(data1!$D:$D,D5980)=0,"Missing in Data1","Present")</f>
        <v>Present</v>
      </c>
    </row>
    <row r="5981" spans="1:5" x14ac:dyDescent="0.25">
      <c r="A5981" s="2" t="s">
        <v>4844</v>
      </c>
      <c r="B5981" s="2" t="s">
        <v>3016</v>
      </c>
      <c r="C5981" s="2">
        <v>2</v>
      </c>
      <c r="D5981" t="str">
        <f t="shared" si="93"/>
        <v>CA-2017-118367_OFF-EN-10004386</v>
      </c>
      <c r="E5981" t="str">
        <f>IF(COUNTIF(data1!$D:$D,D5981)=0,"Missing in Data1","Present")</f>
        <v>Present</v>
      </c>
    </row>
    <row r="5982" spans="1:5" x14ac:dyDescent="0.25">
      <c r="A5982" s="2" t="s">
        <v>4845</v>
      </c>
      <c r="B5982" s="2" t="s">
        <v>2398</v>
      </c>
      <c r="C5982" s="2">
        <v>5</v>
      </c>
      <c r="D5982" t="str">
        <f t="shared" si="93"/>
        <v>CA-2017-118402_OFF-ST-10001418</v>
      </c>
      <c r="E5982" t="str">
        <f>IF(COUNTIF(data1!$D:$D,D5982)=0,"Missing in Data1","Present")</f>
        <v>Present</v>
      </c>
    </row>
    <row r="5983" spans="1:5" x14ac:dyDescent="0.25">
      <c r="A5983" s="2" t="s">
        <v>4846</v>
      </c>
      <c r="B5983" s="2" t="s">
        <v>2725</v>
      </c>
      <c r="C5983" s="2">
        <v>3</v>
      </c>
      <c r="D5983" t="str">
        <f t="shared" si="93"/>
        <v>CA-2017-118437_FUR-FU-10004848</v>
      </c>
      <c r="E5983" t="str">
        <f>IF(COUNTIF(data1!$D:$D,D5983)=0,"Missing in Data1","Present")</f>
        <v>Present</v>
      </c>
    </row>
    <row r="5984" spans="1:5" x14ac:dyDescent="0.25">
      <c r="A5984" s="2" t="s">
        <v>4846</v>
      </c>
      <c r="B5984" s="2" t="s">
        <v>865</v>
      </c>
      <c r="C5984" s="2">
        <v>1</v>
      </c>
      <c r="D5984" t="str">
        <f t="shared" si="93"/>
        <v>CA-2017-118437_OFF-ST-10003722</v>
      </c>
      <c r="E5984" t="str">
        <f>IF(COUNTIF(data1!$D:$D,D5984)=0,"Missing in Data1","Present")</f>
        <v>Present</v>
      </c>
    </row>
    <row r="5985" spans="1:5" x14ac:dyDescent="0.25">
      <c r="A5985" s="2" t="s">
        <v>4847</v>
      </c>
      <c r="B5985" s="2" t="s">
        <v>1308</v>
      </c>
      <c r="C5985" s="2">
        <v>2</v>
      </c>
      <c r="D5985" t="str">
        <f t="shared" si="93"/>
        <v>CA-2017-118521_OFF-PA-10003465</v>
      </c>
      <c r="E5985" t="str">
        <f>IF(COUNTIF(data1!$D:$D,D5985)=0,"Missing in Data1","Present")</f>
        <v>Present</v>
      </c>
    </row>
    <row r="5986" spans="1:5" x14ac:dyDescent="0.25">
      <c r="A5986" s="2" t="s">
        <v>4848</v>
      </c>
      <c r="B5986" s="2" t="s">
        <v>891</v>
      </c>
      <c r="C5986" s="2">
        <v>2</v>
      </c>
      <c r="D5986" t="str">
        <f t="shared" si="93"/>
        <v>CA-2017-118542_OFF-BI-10003429</v>
      </c>
      <c r="E5986" t="str">
        <f>IF(COUNTIF(data1!$D:$D,D5986)=0,"Missing in Data1","Present")</f>
        <v>Present</v>
      </c>
    </row>
    <row r="5987" spans="1:5" x14ac:dyDescent="0.25">
      <c r="A5987" s="2" t="s">
        <v>4848</v>
      </c>
      <c r="B5987" s="2" t="s">
        <v>4374</v>
      </c>
      <c r="C5987" s="2">
        <v>7</v>
      </c>
      <c r="D5987" t="str">
        <f t="shared" si="93"/>
        <v>CA-2017-118542_OFF-PA-10004735</v>
      </c>
      <c r="E5987" t="str">
        <f>IF(COUNTIF(data1!$D:$D,D5987)=0,"Missing in Data1","Present")</f>
        <v>Present</v>
      </c>
    </row>
    <row r="5988" spans="1:5" x14ac:dyDescent="0.25">
      <c r="A5988" s="2" t="s">
        <v>4849</v>
      </c>
      <c r="B5988" s="2" t="s">
        <v>2394</v>
      </c>
      <c r="C5988" s="2">
        <v>3</v>
      </c>
      <c r="D5988" t="str">
        <f t="shared" si="93"/>
        <v>CA-2017-118577_OFF-PA-10001357</v>
      </c>
      <c r="E5988" t="str">
        <f>IF(COUNTIF(data1!$D:$D,D5988)=0,"Missing in Data1","Present")</f>
        <v>Present</v>
      </c>
    </row>
    <row r="5989" spans="1:5" x14ac:dyDescent="0.25">
      <c r="A5989" s="2" t="s">
        <v>4850</v>
      </c>
      <c r="B5989" s="2" t="s">
        <v>1690</v>
      </c>
      <c r="C5989" s="2">
        <v>1</v>
      </c>
      <c r="D5989" t="str">
        <f t="shared" si="93"/>
        <v>CA-2017-118640_FUR-FU-10001475</v>
      </c>
      <c r="E5989" t="str">
        <f>IF(COUNTIF(data1!$D:$D,D5989)=0,"Missing in Data1","Present")</f>
        <v>Present</v>
      </c>
    </row>
    <row r="5990" spans="1:5" x14ac:dyDescent="0.25">
      <c r="A5990" s="2" t="s">
        <v>4850</v>
      </c>
      <c r="B5990" s="2" t="s">
        <v>1717</v>
      </c>
      <c r="C5990" s="2">
        <v>2</v>
      </c>
      <c r="D5990" t="str">
        <f t="shared" si="93"/>
        <v>CA-2017-118640_OFF-ST-10002974</v>
      </c>
      <c r="E5990" t="str">
        <f>IF(COUNTIF(data1!$D:$D,D5990)=0,"Missing in Data1","Present")</f>
        <v>Present</v>
      </c>
    </row>
    <row r="5991" spans="1:5" x14ac:dyDescent="0.25">
      <c r="A5991" s="2" t="s">
        <v>4851</v>
      </c>
      <c r="B5991" s="2" t="s">
        <v>2817</v>
      </c>
      <c r="C5991" s="2">
        <v>1</v>
      </c>
      <c r="D5991" t="str">
        <f t="shared" si="93"/>
        <v>CA-2017-118668_TEC-AC-10000682</v>
      </c>
      <c r="E5991" t="str">
        <f>IF(COUNTIF(data1!$D:$D,D5991)=0,"Missing in Data1","Present")</f>
        <v>Present</v>
      </c>
    </row>
    <row r="5992" spans="1:5" x14ac:dyDescent="0.25">
      <c r="A5992" s="2" t="s">
        <v>4852</v>
      </c>
      <c r="B5992" s="2" t="s">
        <v>719</v>
      </c>
      <c r="C5992" s="2">
        <v>2</v>
      </c>
      <c r="D5992" t="str">
        <f t="shared" si="93"/>
        <v>CA-2017-118724_OFF-AR-10003469</v>
      </c>
      <c r="E5992" t="str">
        <f>IF(COUNTIF(data1!$D:$D,D5992)=0,"Missing in Data1","Present")</f>
        <v>Present</v>
      </c>
    </row>
    <row r="5993" spans="1:5" x14ac:dyDescent="0.25">
      <c r="A5993" s="2" t="s">
        <v>4852</v>
      </c>
      <c r="B5993" s="2" t="s">
        <v>102</v>
      </c>
      <c r="C5993" s="2">
        <v>9</v>
      </c>
      <c r="D5993" t="str">
        <f t="shared" si="93"/>
        <v>CA-2017-118724_TEC-PH-10002549</v>
      </c>
      <c r="E5993" t="str">
        <f>IF(COUNTIF(data1!$D:$D,D5993)=0,"Missing in Data1","Present")</f>
        <v>Present</v>
      </c>
    </row>
    <row r="5994" spans="1:5" x14ac:dyDescent="0.25">
      <c r="A5994" s="2" t="s">
        <v>4853</v>
      </c>
      <c r="B5994" s="2" t="s">
        <v>2689</v>
      </c>
      <c r="C5994" s="2">
        <v>3</v>
      </c>
      <c r="D5994" t="str">
        <f t="shared" si="93"/>
        <v>CA-2017-118731_FUR-FU-10003347</v>
      </c>
      <c r="E5994" t="str">
        <f>IF(COUNTIF(data1!$D:$D,D5994)=0,"Missing in Data1","Present")</f>
        <v>Present</v>
      </c>
    </row>
    <row r="5995" spans="1:5" x14ac:dyDescent="0.25">
      <c r="A5995" s="2" t="s">
        <v>4853</v>
      </c>
      <c r="B5995" s="2" t="s">
        <v>1149</v>
      </c>
      <c r="C5995" s="2">
        <v>7</v>
      </c>
      <c r="D5995" t="str">
        <f t="shared" si="93"/>
        <v>CA-2017-118731_OFF-BI-10000069</v>
      </c>
      <c r="E5995" t="str">
        <f>IF(COUNTIF(data1!$D:$D,D5995)=0,"Missing in Data1","Present")</f>
        <v>Present</v>
      </c>
    </row>
    <row r="5996" spans="1:5" x14ac:dyDescent="0.25">
      <c r="A5996" s="2" t="s">
        <v>4854</v>
      </c>
      <c r="B5996" s="2" t="s">
        <v>388</v>
      </c>
      <c r="C5996" s="2">
        <v>2</v>
      </c>
      <c r="D5996" t="str">
        <f t="shared" si="93"/>
        <v>CA-2017-118773_FUR-FU-10000550</v>
      </c>
      <c r="E5996" t="str">
        <f>IF(COUNTIF(data1!$D:$D,D5996)=0,"Missing in Data1","Present")</f>
        <v>Present</v>
      </c>
    </row>
    <row r="5997" spans="1:5" x14ac:dyDescent="0.25">
      <c r="A5997" s="2" t="s">
        <v>4854</v>
      </c>
      <c r="B5997" s="2" t="s">
        <v>3301</v>
      </c>
      <c r="C5997" s="2">
        <v>2</v>
      </c>
      <c r="D5997" t="str">
        <f t="shared" si="93"/>
        <v>CA-2017-118773_OFF-AP-10000055</v>
      </c>
      <c r="E5997" t="str">
        <f>IF(COUNTIF(data1!$D:$D,D5997)=0,"Missing in Data1","Present")</f>
        <v>Present</v>
      </c>
    </row>
    <row r="5998" spans="1:5" x14ac:dyDescent="0.25">
      <c r="A5998" s="2" t="s">
        <v>4854</v>
      </c>
      <c r="B5998" s="2" t="s">
        <v>3778</v>
      </c>
      <c r="C5998" s="2">
        <v>4</v>
      </c>
      <c r="D5998" t="str">
        <f t="shared" si="93"/>
        <v>CA-2017-118773_OFF-BI-10004584</v>
      </c>
      <c r="E5998" t="str">
        <f>IF(COUNTIF(data1!$D:$D,D5998)=0,"Missing in Data1","Present")</f>
        <v>Present</v>
      </c>
    </row>
    <row r="5999" spans="1:5" x14ac:dyDescent="0.25">
      <c r="A5999" s="2" t="s">
        <v>4854</v>
      </c>
      <c r="B5999" s="2" t="s">
        <v>1862</v>
      </c>
      <c r="C5999" s="2">
        <v>2</v>
      </c>
      <c r="D5999" t="str">
        <f t="shared" si="93"/>
        <v>CA-2017-118773_TEC-AC-10002402</v>
      </c>
      <c r="E5999" t="str">
        <f>IF(COUNTIF(data1!$D:$D,D5999)=0,"Missing in Data1","Present")</f>
        <v>Present</v>
      </c>
    </row>
    <row r="6000" spans="1:5" x14ac:dyDescent="0.25">
      <c r="A6000" s="2" t="s">
        <v>4855</v>
      </c>
      <c r="B6000" s="2" t="s">
        <v>4856</v>
      </c>
      <c r="C6000" s="2">
        <v>5</v>
      </c>
      <c r="D6000" t="str">
        <f t="shared" si="93"/>
        <v>CA-2017-118857_FUR-FU-10004460</v>
      </c>
      <c r="E6000" t="str">
        <f>IF(COUNTIF(data1!$D:$D,D6000)=0,"Missing in Data1","Present")</f>
        <v>Present</v>
      </c>
    </row>
    <row r="6001" spans="1:5" x14ac:dyDescent="0.25">
      <c r="A6001" s="2" t="s">
        <v>4857</v>
      </c>
      <c r="B6001" s="2" t="s">
        <v>1436</v>
      </c>
      <c r="C6001" s="2">
        <v>1</v>
      </c>
      <c r="D6001" t="str">
        <f t="shared" si="93"/>
        <v>CA-2017-118864_TEC-PH-10001809</v>
      </c>
      <c r="E6001" t="str">
        <f>IF(COUNTIF(data1!$D:$D,D6001)=0,"Missing in Data1","Present")</f>
        <v>Present</v>
      </c>
    </row>
    <row r="6002" spans="1:5" x14ac:dyDescent="0.25">
      <c r="A6002" s="2" t="s">
        <v>4858</v>
      </c>
      <c r="B6002" s="2" t="s">
        <v>1497</v>
      </c>
      <c r="C6002" s="2">
        <v>4</v>
      </c>
      <c r="D6002" t="str">
        <f t="shared" si="93"/>
        <v>CA-2017-118885_FUR-CH-10002880</v>
      </c>
      <c r="E6002" t="str">
        <f>IF(COUNTIF(data1!$D:$D,D6002)=0,"Missing in Data1","Present")</f>
        <v>Present</v>
      </c>
    </row>
    <row r="6003" spans="1:5" x14ac:dyDescent="0.25">
      <c r="A6003" s="2" t="s">
        <v>4858</v>
      </c>
      <c r="B6003" s="2" t="s">
        <v>3735</v>
      </c>
      <c r="C6003" s="2">
        <v>3</v>
      </c>
      <c r="D6003" t="str">
        <f t="shared" si="93"/>
        <v>CA-2017-118885_TEC-PH-10002563</v>
      </c>
      <c r="E6003" t="str">
        <f>IF(COUNTIF(data1!$D:$D,D6003)=0,"Missing in Data1","Present")</f>
        <v>Present</v>
      </c>
    </row>
    <row r="6004" spans="1:5" x14ac:dyDescent="0.25">
      <c r="A6004" s="2" t="s">
        <v>4859</v>
      </c>
      <c r="B6004" s="2" t="s">
        <v>561</v>
      </c>
      <c r="C6004" s="2">
        <v>9</v>
      </c>
      <c r="D6004" t="str">
        <f t="shared" si="93"/>
        <v>CA-2017-118892_FUR-CH-10002024</v>
      </c>
      <c r="E6004" t="str">
        <f>IF(COUNTIF(data1!$D:$D,D6004)=0,"Missing in Data1","Present")</f>
        <v>Present</v>
      </c>
    </row>
    <row r="6005" spans="1:5" x14ac:dyDescent="0.25">
      <c r="A6005" s="2" t="s">
        <v>4860</v>
      </c>
      <c r="B6005" s="2" t="s">
        <v>194</v>
      </c>
      <c r="C6005" s="2">
        <v>1</v>
      </c>
      <c r="D6005" t="str">
        <f t="shared" si="93"/>
        <v>CA-2017-119004_OFF-AR-10000390</v>
      </c>
      <c r="E6005" t="str">
        <f>IF(COUNTIF(data1!$D:$D,D6005)=0,"Missing in Data1","Present")</f>
        <v>Present</v>
      </c>
    </row>
    <row r="6006" spans="1:5" x14ac:dyDescent="0.25">
      <c r="A6006" s="2" t="s">
        <v>4860</v>
      </c>
      <c r="B6006" s="2" t="s">
        <v>4861</v>
      </c>
      <c r="C6006" s="2">
        <v>8</v>
      </c>
      <c r="D6006" t="str">
        <f t="shared" si="93"/>
        <v>CA-2017-119004_TEC-AC-10003499</v>
      </c>
      <c r="E6006" t="str">
        <f>IF(COUNTIF(data1!$D:$D,D6006)=0,"Missing in Data1","Present")</f>
        <v>Present</v>
      </c>
    </row>
    <row r="6007" spans="1:5" x14ac:dyDescent="0.25">
      <c r="A6007" s="2" t="s">
        <v>4860</v>
      </c>
      <c r="B6007" s="2" t="s">
        <v>1937</v>
      </c>
      <c r="C6007" s="2">
        <v>1</v>
      </c>
      <c r="D6007" t="str">
        <f t="shared" si="93"/>
        <v>CA-2017-119004_TEC-PH-10002844</v>
      </c>
      <c r="E6007" t="str">
        <f>IF(COUNTIF(data1!$D:$D,D6007)=0,"Missing in Data1","Present")</f>
        <v>Present</v>
      </c>
    </row>
    <row r="6008" spans="1:5" x14ac:dyDescent="0.25">
      <c r="A6008" s="2" t="s">
        <v>4862</v>
      </c>
      <c r="B6008" s="2" t="s">
        <v>202</v>
      </c>
      <c r="C6008" s="2">
        <v>6</v>
      </c>
      <c r="D6008" t="str">
        <f t="shared" si="93"/>
        <v>CA-2017-119011_OFF-ST-10000777</v>
      </c>
      <c r="E6008" t="str">
        <f>IF(COUNTIF(data1!$D:$D,D6008)=0,"Missing in Data1","Present")</f>
        <v>Present</v>
      </c>
    </row>
    <row r="6009" spans="1:5" x14ac:dyDescent="0.25">
      <c r="A6009" s="2" t="s">
        <v>4862</v>
      </c>
      <c r="B6009" s="2" t="s">
        <v>6060</v>
      </c>
      <c r="C6009" s="2">
        <v>3</v>
      </c>
      <c r="D6009" t="str">
        <f t="shared" si="93"/>
        <v>CA-2017-119011_OFF-SU-10004768</v>
      </c>
      <c r="E6009" t="str">
        <f>IF(COUNTIF(data1!$D:$D,D6009)=0,"Missing in Data1","Present")</f>
        <v>Missing in Data1</v>
      </c>
    </row>
    <row r="6010" spans="1:5" x14ac:dyDescent="0.25">
      <c r="A6010" s="2" t="s">
        <v>4862</v>
      </c>
      <c r="B6010" s="2" t="s">
        <v>1288</v>
      </c>
      <c r="C6010" s="2">
        <v>3</v>
      </c>
      <c r="D6010" t="str">
        <f t="shared" si="93"/>
        <v>CA-2017-119011_TEC-PH-10003171</v>
      </c>
      <c r="E6010" t="str">
        <f>IF(COUNTIF(data1!$D:$D,D6010)=0,"Missing in Data1","Present")</f>
        <v>Missing in Data1</v>
      </c>
    </row>
    <row r="6011" spans="1:5" x14ac:dyDescent="0.25">
      <c r="A6011" s="2" t="s">
        <v>4863</v>
      </c>
      <c r="B6011" s="2" t="s">
        <v>1906</v>
      </c>
      <c r="C6011" s="2">
        <v>1</v>
      </c>
      <c r="D6011" t="str">
        <f t="shared" si="93"/>
        <v>CA-2017-119193_OFF-BI-10000848</v>
      </c>
      <c r="E6011" t="str">
        <f>IF(COUNTIF(data1!$D:$D,D6011)=0,"Missing in Data1","Present")</f>
        <v>Present</v>
      </c>
    </row>
    <row r="6012" spans="1:5" x14ac:dyDescent="0.25">
      <c r="A6012" s="2" t="s">
        <v>4863</v>
      </c>
      <c r="B6012" s="2" t="s">
        <v>817</v>
      </c>
      <c r="C6012" s="2">
        <v>7</v>
      </c>
      <c r="D6012" t="str">
        <f t="shared" si="93"/>
        <v>CA-2017-119193_TEC-PH-10003072</v>
      </c>
      <c r="E6012" t="str">
        <f>IF(COUNTIF(data1!$D:$D,D6012)=0,"Missing in Data1","Present")</f>
        <v>Present</v>
      </c>
    </row>
    <row r="6013" spans="1:5" x14ac:dyDescent="0.25">
      <c r="A6013" s="2" t="s">
        <v>4864</v>
      </c>
      <c r="B6013" s="2" t="s">
        <v>1293</v>
      </c>
      <c r="C6013" s="2">
        <v>4</v>
      </c>
      <c r="D6013" t="str">
        <f t="shared" si="93"/>
        <v>CA-2017-119284_FUR-FU-10004351</v>
      </c>
      <c r="E6013" t="str">
        <f>IF(COUNTIF(data1!$D:$D,D6013)=0,"Missing in Data1","Present")</f>
        <v>Present</v>
      </c>
    </row>
    <row r="6014" spans="1:5" x14ac:dyDescent="0.25">
      <c r="A6014" s="2" t="s">
        <v>4864</v>
      </c>
      <c r="B6014" s="2" t="s">
        <v>1939</v>
      </c>
      <c r="C6014" s="2">
        <v>2</v>
      </c>
      <c r="D6014" t="str">
        <f t="shared" si="93"/>
        <v>CA-2017-119284_FUR-TA-10004152</v>
      </c>
      <c r="E6014" t="str">
        <f>IF(COUNTIF(data1!$D:$D,D6014)=0,"Missing in Data1","Present")</f>
        <v>Present</v>
      </c>
    </row>
    <row r="6015" spans="1:5" x14ac:dyDescent="0.25">
      <c r="A6015" s="2" t="s">
        <v>4864</v>
      </c>
      <c r="B6015" s="2" t="s">
        <v>43</v>
      </c>
      <c r="C6015" s="2">
        <v>8</v>
      </c>
      <c r="D6015" t="str">
        <f t="shared" si="93"/>
        <v>CA-2017-119284_OFF-AP-10004249</v>
      </c>
      <c r="E6015" t="str">
        <f>IF(COUNTIF(data1!$D:$D,D6015)=0,"Missing in Data1","Present")</f>
        <v>Present</v>
      </c>
    </row>
    <row r="6016" spans="1:5" x14ac:dyDescent="0.25">
      <c r="A6016" s="2" t="s">
        <v>4864</v>
      </c>
      <c r="B6016" s="2" t="s">
        <v>327</v>
      </c>
      <c r="C6016" s="2">
        <v>5</v>
      </c>
      <c r="D6016" t="str">
        <f t="shared" si="93"/>
        <v>CA-2017-119284_OFF-PA-10000312</v>
      </c>
      <c r="E6016" t="str">
        <f>IF(COUNTIF(data1!$D:$D,D6016)=0,"Missing in Data1","Present")</f>
        <v>Present</v>
      </c>
    </row>
    <row r="6017" spans="1:5" x14ac:dyDescent="0.25">
      <c r="A6017" s="2" t="s">
        <v>4864</v>
      </c>
      <c r="B6017" s="2" t="s">
        <v>34</v>
      </c>
      <c r="C6017" s="2">
        <v>1</v>
      </c>
      <c r="D6017" t="str">
        <f t="shared" si="93"/>
        <v>CA-2017-119284_OFF-ST-10001490</v>
      </c>
      <c r="E6017" t="str">
        <f>IF(COUNTIF(data1!$D:$D,D6017)=0,"Missing in Data1","Present")</f>
        <v>Present</v>
      </c>
    </row>
    <row r="6018" spans="1:5" x14ac:dyDescent="0.25">
      <c r="A6018" s="2" t="s">
        <v>4864</v>
      </c>
      <c r="B6018" s="2" t="s">
        <v>234</v>
      </c>
      <c r="C6018" s="2">
        <v>8</v>
      </c>
      <c r="D6018" t="str">
        <f t="shared" si="93"/>
        <v>CA-2017-119284_TEC-PH-10000560</v>
      </c>
      <c r="E6018" t="str">
        <f>IF(COUNTIF(data1!$D:$D,D6018)=0,"Missing in Data1","Present")</f>
        <v>Present</v>
      </c>
    </row>
    <row r="6019" spans="1:5" x14ac:dyDescent="0.25">
      <c r="A6019" s="2" t="s">
        <v>4864</v>
      </c>
      <c r="B6019" s="2" t="s">
        <v>87</v>
      </c>
      <c r="C6019" s="2">
        <v>3</v>
      </c>
      <c r="D6019" t="str">
        <f t="shared" ref="D6019:D6082" si="94">A6019&amp;"_"&amp;B6019</f>
        <v>CA-2017-119284_TEC-PH-10001051</v>
      </c>
      <c r="E6019" t="str">
        <f>IF(COUNTIF(data1!$D:$D,D6019)=0,"Missing in Data1","Present")</f>
        <v>Present</v>
      </c>
    </row>
    <row r="6020" spans="1:5" x14ac:dyDescent="0.25">
      <c r="A6020" s="2" t="s">
        <v>4865</v>
      </c>
      <c r="B6020" s="2" t="s">
        <v>2149</v>
      </c>
      <c r="C6020" s="2">
        <v>5</v>
      </c>
      <c r="D6020" t="str">
        <f t="shared" si="94"/>
        <v>CA-2017-119305_OFF-ST-10000604</v>
      </c>
      <c r="E6020" t="str">
        <f>IF(COUNTIF(data1!$D:$D,D6020)=0,"Missing in Data1","Present")</f>
        <v>Present</v>
      </c>
    </row>
    <row r="6021" spans="1:5" x14ac:dyDescent="0.25">
      <c r="A6021" s="2" t="s">
        <v>4866</v>
      </c>
      <c r="B6021" s="2" t="s">
        <v>1529</v>
      </c>
      <c r="C6021" s="2">
        <v>3</v>
      </c>
      <c r="D6021" t="str">
        <f t="shared" si="94"/>
        <v>CA-2017-119389_FUR-FU-10001473</v>
      </c>
      <c r="E6021" t="str">
        <f>IF(COUNTIF(data1!$D:$D,D6021)=0,"Missing in Data1","Present")</f>
        <v>Present</v>
      </c>
    </row>
    <row r="6022" spans="1:5" x14ac:dyDescent="0.25">
      <c r="A6022" s="2" t="s">
        <v>4867</v>
      </c>
      <c r="B6022" s="2" t="s">
        <v>926</v>
      </c>
      <c r="C6022" s="2">
        <v>3</v>
      </c>
      <c r="D6022" t="str">
        <f t="shared" si="94"/>
        <v>CA-2017-119424_OFF-PA-10001639</v>
      </c>
      <c r="E6022" t="str">
        <f>IF(COUNTIF(data1!$D:$D,D6022)=0,"Missing in Data1","Present")</f>
        <v>Present</v>
      </c>
    </row>
    <row r="6023" spans="1:5" x14ac:dyDescent="0.25">
      <c r="A6023" s="2" t="s">
        <v>4867</v>
      </c>
      <c r="B6023" s="2" t="s">
        <v>2159</v>
      </c>
      <c r="C6023" s="2">
        <v>3</v>
      </c>
      <c r="D6023" t="str">
        <f t="shared" si="94"/>
        <v>CA-2017-119424_TEC-PH-10002564</v>
      </c>
      <c r="E6023" t="str">
        <f>IF(COUNTIF(data1!$D:$D,D6023)=0,"Missing in Data1","Present")</f>
        <v>Present</v>
      </c>
    </row>
    <row r="6024" spans="1:5" x14ac:dyDescent="0.25">
      <c r="A6024" s="2" t="s">
        <v>4868</v>
      </c>
      <c r="B6024" s="2" t="s">
        <v>193</v>
      </c>
      <c r="C6024" s="2">
        <v>6</v>
      </c>
      <c r="D6024" t="str">
        <f t="shared" si="94"/>
        <v>CA-2017-119452_FUR-CH-10004495</v>
      </c>
      <c r="E6024" t="str">
        <f>IF(COUNTIF(data1!$D:$D,D6024)=0,"Missing in Data1","Present")</f>
        <v>Present</v>
      </c>
    </row>
    <row r="6025" spans="1:5" x14ac:dyDescent="0.25">
      <c r="A6025" s="2" t="s">
        <v>6825</v>
      </c>
      <c r="B6025" s="2" t="s">
        <v>62</v>
      </c>
      <c r="C6025" s="2">
        <v>3</v>
      </c>
      <c r="D6025" t="str">
        <f t="shared" si="94"/>
        <v>CA-2017-119494_FUR-CH-10004675</v>
      </c>
      <c r="E6025" t="str">
        <f>IF(COUNTIF(data1!$D:$D,D6025)=0,"Missing in Data1","Present")</f>
        <v>Missing in Data1</v>
      </c>
    </row>
    <row r="6026" spans="1:5" x14ac:dyDescent="0.25">
      <c r="A6026" s="2" t="s">
        <v>4869</v>
      </c>
      <c r="B6026" s="2" t="s">
        <v>1547</v>
      </c>
      <c r="C6026" s="2">
        <v>3</v>
      </c>
      <c r="D6026" t="str">
        <f t="shared" si="94"/>
        <v>CA-2017-119564_FUR-FU-10003096</v>
      </c>
      <c r="E6026" t="str">
        <f>IF(COUNTIF(data1!$D:$D,D6026)=0,"Missing in Data1","Present")</f>
        <v>Present</v>
      </c>
    </row>
    <row r="6027" spans="1:5" x14ac:dyDescent="0.25">
      <c r="A6027" s="2" t="s">
        <v>4870</v>
      </c>
      <c r="B6027" s="2" t="s">
        <v>2548</v>
      </c>
      <c r="C6027" s="2">
        <v>1</v>
      </c>
      <c r="D6027" t="str">
        <f t="shared" si="94"/>
        <v>CA-2017-119578_FUR-BO-10003660</v>
      </c>
      <c r="E6027" t="str">
        <f>IF(COUNTIF(data1!$D:$D,D6027)=0,"Missing in Data1","Present")</f>
        <v>Present</v>
      </c>
    </row>
    <row r="6028" spans="1:5" x14ac:dyDescent="0.25">
      <c r="A6028" s="2" t="s">
        <v>4871</v>
      </c>
      <c r="B6028" s="2" t="s">
        <v>811</v>
      </c>
      <c r="C6028" s="2">
        <v>4</v>
      </c>
      <c r="D6028" t="str">
        <f t="shared" si="94"/>
        <v>CA-2017-119655_OFF-BI-10001036</v>
      </c>
      <c r="E6028" t="str">
        <f>IF(COUNTIF(data1!$D:$D,D6028)=0,"Missing in Data1","Present")</f>
        <v>Present</v>
      </c>
    </row>
    <row r="6029" spans="1:5" x14ac:dyDescent="0.25">
      <c r="A6029" s="2" t="s">
        <v>4871</v>
      </c>
      <c r="B6029" s="2" t="s">
        <v>1223</v>
      </c>
      <c r="C6029" s="2">
        <v>7</v>
      </c>
      <c r="D6029" t="str">
        <f t="shared" si="94"/>
        <v>CA-2017-119655_OFF-BI-10001989</v>
      </c>
      <c r="E6029" t="str">
        <f>IF(COUNTIF(data1!$D:$D,D6029)=0,"Missing in Data1","Present")</f>
        <v>Present</v>
      </c>
    </row>
    <row r="6030" spans="1:5" x14ac:dyDescent="0.25">
      <c r="A6030" s="2" t="s">
        <v>4872</v>
      </c>
      <c r="B6030" s="2" t="s">
        <v>2305</v>
      </c>
      <c r="C6030" s="2">
        <v>3</v>
      </c>
      <c r="D6030" t="str">
        <f t="shared" si="94"/>
        <v>CA-2017-119669_OFF-FA-10000053</v>
      </c>
      <c r="E6030" t="str">
        <f>IF(COUNTIF(data1!$D:$D,D6030)=0,"Missing in Data1","Present")</f>
        <v>Present</v>
      </c>
    </row>
    <row r="6031" spans="1:5" x14ac:dyDescent="0.25">
      <c r="A6031" s="2" t="s">
        <v>4873</v>
      </c>
      <c r="B6031" s="2" t="s">
        <v>3138</v>
      </c>
      <c r="C6031" s="2">
        <v>1</v>
      </c>
      <c r="D6031" t="str">
        <f t="shared" si="94"/>
        <v>CA-2017-119746_FUR-FU-10004909</v>
      </c>
      <c r="E6031" t="str">
        <f>IF(COUNTIF(data1!$D:$D,D6031)=0,"Missing in Data1","Present")</f>
        <v>Present</v>
      </c>
    </row>
    <row r="6032" spans="1:5" x14ac:dyDescent="0.25">
      <c r="A6032" s="2" t="s">
        <v>4873</v>
      </c>
      <c r="B6032" s="2" t="s">
        <v>776</v>
      </c>
      <c r="C6032" s="2">
        <v>5</v>
      </c>
      <c r="D6032" t="str">
        <f t="shared" si="94"/>
        <v>CA-2017-119746_OFF-LA-10001613</v>
      </c>
      <c r="E6032" t="str">
        <f>IF(COUNTIF(data1!$D:$D,D6032)=0,"Missing in Data1","Present")</f>
        <v>Present</v>
      </c>
    </row>
    <row r="6033" spans="1:5" x14ac:dyDescent="0.25">
      <c r="A6033" s="2" t="s">
        <v>4873</v>
      </c>
      <c r="B6033" s="2" t="s">
        <v>1205</v>
      </c>
      <c r="C6033" s="2">
        <v>2</v>
      </c>
      <c r="D6033" t="str">
        <f t="shared" si="94"/>
        <v>CA-2017-119746_TEC-PH-10004447</v>
      </c>
      <c r="E6033" t="str">
        <f>IF(COUNTIF(data1!$D:$D,D6033)=0,"Missing in Data1","Present")</f>
        <v>Present</v>
      </c>
    </row>
    <row r="6034" spans="1:5" x14ac:dyDescent="0.25">
      <c r="A6034" s="2" t="s">
        <v>4874</v>
      </c>
      <c r="B6034" s="2" t="s">
        <v>1690</v>
      </c>
      <c r="C6034" s="2">
        <v>3</v>
      </c>
      <c r="D6034" t="str">
        <f t="shared" si="94"/>
        <v>CA-2017-119809_FUR-FU-10001475</v>
      </c>
      <c r="E6034" t="str">
        <f>IF(COUNTIF(data1!$D:$D,D6034)=0,"Missing in Data1","Present")</f>
        <v>Present</v>
      </c>
    </row>
    <row r="6035" spans="1:5" x14ac:dyDescent="0.25">
      <c r="A6035" s="2" t="s">
        <v>4874</v>
      </c>
      <c r="B6035" s="2" t="s">
        <v>601</v>
      </c>
      <c r="C6035" s="2">
        <v>9</v>
      </c>
      <c r="D6035" t="str">
        <f t="shared" si="94"/>
        <v>CA-2017-119809_OFF-BI-10003925</v>
      </c>
      <c r="E6035" t="str">
        <f>IF(COUNTIF(data1!$D:$D,D6035)=0,"Missing in Data1","Present")</f>
        <v>Present</v>
      </c>
    </row>
    <row r="6036" spans="1:5" x14ac:dyDescent="0.25">
      <c r="A6036" s="2" t="s">
        <v>4874</v>
      </c>
      <c r="B6036" s="2" t="s">
        <v>1291</v>
      </c>
      <c r="C6036" s="2">
        <v>7</v>
      </c>
      <c r="D6036" t="str">
        <f t="shared" si="94"/>
        <v>CA-2017-119809_OFF-ST-10003306</v>
      </c>
      <c r="E6036" t="str">
        <f>IF(COUNTIF(data1!$D:$D,D6036)=0,"Missing in Data1","Present")</f>
        <v>Present</v>
      </c>
    </row>
    <row r="6037" spans="1:5" x14ac:dyDescent="0.25">
      <c r="A6037" s="2" t="s">
        <v>4875</v>
      </c>
      <c r="B6037" s="2" t="s">
        <v>2333</v>
      </c>
      <c r="C6037" s="2">
        <v>2</v>
      </c>
      <c r="D6037" t="str">
        <f t="shared" si="94"/>
        <v>CA-2017-119914_OFF-AP-10002684</v>
      </c>
      <c r="E6037" t="str">
        <f>IF(COUNTIF(data1!$D:$D,D6037)=0,"Missing in Data1","Present")</f>
        <v>Present</v>
      </c>
    </row>
    <row r="6038" spans="1:5" x14ac:dyDescent="0.25">
      <c r="A6038" s="2" t="s">
        <v>4876</v>
      </c>
      <c r="B6038" s="2" t="s">
        <v>342</v>
      </c>
      <c r="C6038" s="2">
        <v>3</v>
      </c>
      <c r="D6038" t="str">
        <f t="shared" si="94"/>
        <v>CA-2017-120019_OFF-ST-10001932</v>
      </c>
      <c r="E6038" t="str">
        <f>IF(COUNTIF(data1!$D:$D,D6038)=0,"Missing in Data1","Present")</f>
        <v>Present</v>
      </c>
    </row>
    <row r="6039" spans="1:5" x14ac:dyDescent="0.25">
      <c r="A6039" s="2" t="s">
        <v>4876</v>
      </c>
      <c r="B6039" s="2" t="s">
        <v>2340</v>
      </c>
      <c r="C6039" s="2">
        <v>1</v>
      </c>
      <c r="D6039" t="str">
        <f t="shared" si="94"/>
        <v>CA-2017-120019_TEC-PH-10000923</v>
      </c>
      <c r="E6039" t="str">
        <f>IF(COUNTIF(data1!$D:$D,D6039)=0,"Missing in Data1","Present")</f>
        <v>Present</v>
      </c>
    </row>
    <row r="6040" spans="1:5" x14ac:dyDescent="0.25">
      <c r="A6040" s="2" t="s">
        <v>4877</v>
      </c>
      <c r="B6040" s="2" t="s">
        <v>2314</v>
      </c>
      <c r="C6040" s="2">
        <v>2</v>
      </c>
      <c r="D6040" t="str">
        <f t="shared" si="94"/>
        <v>CA-2017-120061_FUR-CH-10001973</v>
      </c>
      <c r="E6040" t="str">
        <f>IF(COUNTIF(data1!$D:$D,D6040)=0,"Missing in Data1","Present")</f>
        <v>Present</v>
      </c>
    </row>
    <row r="6041" spans="1:5" x14ac:dyDescent="0.25">
      <c r="A6041" s="2" t="s">
        <v>4878</v>
      </c>
      <c r="B6041" s="2" t="s">
        <v>2300</v>
      </c>
      <c r="C6041" s="2">
        <v>3</v>
      </c>
      <c r="D6041" t="str">
        <f t="shared" si="94"/>
        <v>CA-2017-120168_FUR-FU-10000732</v>
      </c>
      <c r="E6041" t="str">
        <f>IF(COUNTIF(data1!$D:$D,D6041)=0,"Missing in Data1","Present")</f>
        <v>Present</v>
      </c>
    </row>
    <row r="6042" spans="1:5" x14ac:dyDescent="0.25">
      <c r="A6042" s="2" t="s">
        <v>4878</v>
      </c>
      <c r="B6042" s="2" t="s">
        <v>1989</v>
      </c>
      <c r="C6042" s="2">
        <v>5</v>
      </c>
      <c r="D6042" t="str">
        <f t="shared" si="94"/>
        <v>CA-2017-120168_OFF-BI-10004519</v>
      </c>
      <c r="E6042" t="str">
        <f>IF(COUNTIF(data1!$D:$D,D6042)=0,"Missing in Data1","Present")</f>
        <v>Present</v>
      </c>
    </row>
    <row r="6043" spans="1:5" x14ac:dyDescent="0.25">
      <c r="A6043" s="2" t="s">
        <v>4878</v>
      </c>
      <c r="B6043" s="2" t="s">
        <v>821</v>
      </c>
      <c r="C6043" s="2">
        <v>1</v>
      </c>
      <c r="D6043" t="str">
        <f t="shared" si="94"/>
        <v>CA-2017-120168_OFF-FA-10000936</v>
      </c>
      <c r="E6043" t="str">
        <f>IF(COUNTIF(data1!$D:$D,D6043)=0,"Missing in Data1","Present")</f>
        <v>Present</v>
      </c>
    </row>
    <row r="6044" spans="1:5" x14ac:dyDescent="0.25">
      <c r="A6044" s="2" t="s">
        <v>4878</v>
      </c>
      <c r="B6044" s="2" t="s">
        <v>1315</v>
      </c>
      <c r="C6044" s="2">
        <v>8</v>
      </c>
      <c r="D6044" t="str">
        <f t="shared" si="94"/>
        <v>CA-2017-120168_TEC-AC-10002167</v>
      </c>
      <c r="E6044" t="str">
        <f>IF(COUNTIF(data1!$D:$D,D6044)=0,"Missing in Data1","Present")</f>
        <v>Present</v>
      </c>
    </row>
    <row r="6045" spans="1:5" x14ac:dyDescent="0.25">
      <c r="A6045" s="2" t="s">
        <v>4879</v>
      </c>
      <c r="B6045" s="2" t="s">
        <v>687</v>
      </c>
      <c r="C6045" s="2">
        <v>3</v>
      </c>
      <c r="D6045" t="str">
        <f t="shared" si="94"/>
        <v>CA-2017-120222_OFF-BI-10000666</v>
      </c>
      <c r="E6045" t="str">
        <f>IF(COUNTIF(data1!$D:$D,D6045)=0,"Missing in Data1","Present")</f>
        <v>Present</v>
      </c>
    </row>
    <row r="6046" spans="1:5" x14ac:dyDescent="0.25">
      <c r="A6046" s="2" t="s">
        <v>4879</v>
      </c>
      <c r="B6046" s="2" t="s">
        <v>4187</v>
      </c>
      <c r="C6046" s="2">
        <v>3</v>
      </c>
      <c r="D6046" t="str">
        <f t="shared" si="94"/>
        <v>CA-2017-120222_OFF-PA-10004675</v>
      </c>
      <c r="E6046" t="str">
        <f>IF(COUNTIF(data1!$D:$D,D6046)=0,"Missing in Data1","Present")</f>
        <v>Present</v>
      </c>
    </row>
    <row r="6047" spans="1:5" x14ac:dyDescent="0.25">
      <c r="A6047" s="2" t="s">
        <v>4880</v>
      </c>
      <c r="B6047" s="2" t="s">
        <v>417</v>
      </c>
      <c r="C6047" s="2">
        <v>4</v>
      </c>
      <c r="D6047" t="str">
        <f t="shared" si="94"/>
        <v>CA-2017-120327_OFF-FA-10004854</v>
      </c>
      <c r="E6047" t="str">
        <f>IF(COUNTIF(data1!$D:$D,D6047)=0,"Missing in Data1","Present")</f>
        <v>Present</v>
      </c>
    </row>
    <row r="6048" spans="1:5" x14ac:dyDescent="0.25">
      <c r="A6048" s="2" t="s">
        <v>4881</v>
      </c>
      <c r="B6048" s="2" t="s">
        <v>2767</v>
      </c>
      <c r="C6048" s="2">
        <v>7</v>
      </c>
      <c r="D6048" t="str">
        <f t="shared" si="94"/>
        <v>CA-2017-120376_FUR-CH-10002335</v>
      </c>
      <c r="E6048" t="str">
        <f>IF(COUNTIF(data1!$D:$D,D6048)=0,"Missing in Data1","Present")</f>
        <v>Present</v>
      </c>
    </row>
    <row r="6049" spans="1:5" x14ac:dyDescent="0.25">
      <c r="A6049" s="2" t="s">
        <v>4881</v>
      </c>
      <c r="B6049" s="2" t="s">
        <v>1021</v>
      </c>
      <c r="C6049" s="2">
        <v>2</v>
      </c>
      <c r="D6049" t="str">
        <f t="shared" si="94"/>
        <v>CA-2017-120376_FUR-TA-10004534</v>
      </c>
      <c r="E6049" t="str">
        <f>IF(COUNTIF(data1!$D:$D,D6049)=0,"Missing in Data1","Present")</f>
        <v>Present</v>
      </c>
    </row>
    <row r="6050" spans="1:5" x14ac:dyDescent="0.25">
      <c r="A6050" s="2" t="s">
        <v>4881</v>
      </c>
      <c r="B6050" s="2" t="s">
        <v>265</v>
      </c>
      <c r="C6050" s="2">
        <v>1</v>
      </c>
      <c r="D6050" t="str">
        <f t="shared" si="94"/>
        <v>CA-2017-120376_TEC-AC-10000844</v>
      </c>
      <c r="E6050" t="str">
        <f>IF(COUNTIF(data1!$D:$D,D6050)=0,"Missing in Data1","Present")</f>
        <v>Present</v>
      </c>
    </row>
    <row r="6051" spans="1:5" x14ac:dyDescent="0.25">
      <c r="A6051" s="2" t="s">
        <v>4881</v>
      </c>
      <c r="B6051" s="2" t="s">
        <v>4505</v>
      </c>
      <c r="C6051" s="2">
        <v>5</v>
      </c>
      <c r="D6051" t="str">
        <f t="shared" si="94"/>
        <v>CA-2017-120376_TEC-AC-10001114</v>
      </c>
      <c r="E6051" t="str">
        <f>IF(COUNTIF(data1!$D:$D,D6051)=0,"Missing in Data1","Present")</f>
        <v>Present</v>
      </c>
    </row>
    <row r="6052" spans="1:5" x14ac:dyDescent="0.25">
      <c r="A6052" s="2" t="s">
        <v>4882</v>
      </c>
      <c r="B6052" s="2" t="s">
        <v>2590</v>
      </c>
      <c r="C6052" s="2">
        <v>3</v>
      </c>
      <c r="D6052" t="str">
        <f t="shared" si="94"/>
        <v>CA-2017-120404_FUR-FU-10000820</v>
      </c>
      <c r="E6052" t="str">
        <f>IF(COUNTIF(data1!$D:$D,D6052)=0,"Missing in Data1","Present")</f>
        <v>Present</v>
      </c>
    </row>
    <row r="6053" spans="1:5" x14ac:dyDescent="0.25">
      <c r="A6053" s="2" t="s">
        <v>4882</v>
      </c>
      <c r="B6053" s="2" t="s">
        <v>1753</v>
      </c>
      <c r="C6053" s="2">
        <v>3</v>
      </c>
      <c r="D6053" t="str">
        <f t="shared" si="94"/>
        <v>CA-2017-120404_TEC-AC-10003433</v>
      </c>
      <c r="E6053" t="str">
        <f>IF(COUNTIF(data1!$D:$D,D6053)=0,"Missing in Data1","Present")</f>
        <v>Present</v>
      </c>
    </row>
    <row r="6054" spans="1:5" x14ac:dyDescent="0.25">
      <c r="A6054" s="2" t="s">
        <v>4882</v>
      </c>
      <c r="B6054" s="2" t="s">
        <v>844</v>
      </c>
      <c r="C6054" s="2">
        <v>1</v>
      </c>
      <c r="D6054" t="str">
        <f t="shared" si="94"/>
        <v>CA-2017-120404_TEC-PH-10001363</v>
      </c>
      <c r="E6054" t="str">
        <f>IF(COUNTIF(data1!$D:$D,D6054)=0,"Missing in Data1","Present")</f>
        <v>Missing in Data1</v>
      </c>
    </row>
    <row r="6055" spans="1:5" x14ac:dyDescent="0.25">
      <c r="A6055" s="2" t="s">
        <v>4883</v>
      </c>
      <c r="B6055" s="2" t="s">
        <v>4400</v>
      </c>
      <c r="C6055" s="2">
        <v>4</v>
      </c>
      <c r="D6055" t="str">
        <f t="shared" si="94"/>
        <v>CA-2017-120614_OFF-PA-10004911</v>
      </c>
      <c r="E6055" t="str">
        <f>IF(COUNTIF(data1!$D:$D,D6055)=0,"Missing in Data1","Present")</f>
        <v>Present</v>
      </c>
    </row>
    <row r="6056" spans="1:5" x14ac:dyDescent="0.25">
      <c r="A6056" s="2" t="s">
        <v>4884</v>
      </c>
      <c r="B6056" s="2" t="s">
        <v>374</v>
      </c>
      <c r="C6056" s="2">
        <v>2</v>
      </c>
      <c r="D6056" t="str">
        <f t="shared" si="94"/>
        <v>CA-2017-120705_OFF-ST-10001522</v>
      </c>
      <c r="E6056" t="str">
        <f>IF(COUNTIF(data1!$D:$D,D6056)=0,"Missing in Data1","Present")</f>
        <v>Present</v>
      </c>
    </row>
    <row r="6057" spans="1:5" x14ac:dyDescent="0.25">
      <c r="A6057" s="2" t="s">
        <v>4885</v>
      </c>
      <c r="B6057" s="2" t="s">
        <v>275</v>
      </c>
      <c r="C6057" s="2">
        <v>5</v>
      </c>
      <c r="D6057" t="str">
        <f t="shared" si="94"/>
        <v>CA-2017-120719_OFF-BI-10002103</v>
      </c>
      <c r="E6057" t="str">
        <f>IF(COUNTIF(data1!$D:$D,D6057)=0,"Missing in Data1","Present")</f>
        <v>Present</v>
      </c>
    </row>
    <row r="6058" spans="1:5" x14ac:dyDescent="0.25">
      <c r="A6058" s="2" t="s">
        <v>4886</v>
      </c>
      <c r="B6058" s="2" t="s">
        <v>2057</v>
      </c>
      <c r="C6058" s="2">
        <v>4</v>
      </c>
      <c r="D6058" t="str">
        <f t="shared" si="94"/>
        <v>CA-2017-120761_TEC-AC-10000171</v>
      </c>
      <c r="E6058" t="str">
        <f>IF(COUNTIF(data1!$D:$D,D6058)=0,"Missing in Data1","Present")</f>
        <v>Present</v>
      </c>
    </row>
    <row r="6059" spans="1:5" x14ac:dyDescent="0.25">
      <c r="A6059" s="2" t="s">
        <v>4887</v>
      </c>
      <c r="B6059" s="2" t="s">
        <v>3697</v>
      </c>
      <c r="C6059" s="2">
        <v>3</v>
      </c>
      <c r="D6059" t="str">
        <f t="shared" si="94"/>
        <v>CA-2017-120894_OFF-AP-10000252</v>
      </c>
      <c r="E6059" t="str">
        <f>IF(COUNTIF(data1!$D:$D,D6059)=0,"Missing in Data1","Present")</f>
        <v>Present</v>
      </c>
    </row>
    <row r="6060" spans="1:5" x14ac:dyDescent="0.25">
      <c r="A6060" s="2" t="s">
        <v>4888</v>
      </c>
      <c r="B6060" s="2" t="s">
        <v>2019</v>
      </c>
      <c r="C6060" s="2">
        <v>4</v>
      </c>
      <c r="D6060" t="str">
        <f t="shared" si="94"/>
        <v>CA-2017-120936_OFF-ST-10001526</v>
      </c>
      <c r="E6060" t="str">
        <f>IF(COUNTIF(data1!$D:$D,D6060)=0,"Missing in Data1","Present")</f>
        <v>Present</v>
      </c>
    </row>
    <row r="6061" spans="1:5" x14ac:dyDescent="0.25">
      <c r="A6061" s="2" t="s">
        <v>4888</v>
      </c>
      <c r="B6061" s="2" t="s">
        <v>2539</v>
      </c>
      <c r="C6061" s="2">
        <v>1</v>
      </c>
      <c r="D6061" t="str">
        <f t="shared" si="94"/>
        <v>CA-2017-120936_OFF-SU-10002557</v>
      </c>
      <c r="E6061" t="str">
        <f>IF(COUNTIF(data1!$D:$D,D6061)=0,"Missing in Data1","Present")</f>
        <v>Present</v>
      </c>
    </row>
    <row r="6062" spans="1:5" x14ac:dyDescent="0.25">
      <c r="A6062" s="2" t="s">
        <v>4889</v>
      </c>
      <c r="B6062" s="2" t="s">
        <v>1522</v>
      </c>
      <c r="C6062" s="2">
        <v>4</v>
      </c>
      <c r="D6062" t="str">
        <f t="shared" si="94"/>
        <v>CA-2017-120999_TEC-PH-10004093</v>
      </c>
      <c r="E6062" t="str">
        <f>IF(COUNTIF(data1!$D:$D,D6062)=0,"Missing in Data1","Present")</f>
        <v>Present</v>
      </c>
    </row>
    <row r="6063" spans="1:5" x14ac:dyDescent="0.25">
      <c r="A6063" s="2" t="s">
        <v>4890</v>
      </c>
      <c r="B6063" s="2" t="s">
        <v>1053</v>
      </c>
      <c r="C6063" s="2">
        <v>2</v>
      </c>
      <c r="D6063" t="str">
        <f t="shared" si="94"/>
        <v>CA-2017-121027_TEC-AC-10002049</v>
      </c>
      <c r="E6063" t="str">
        <f>IF(COUNTIF(data1!$D:$D,D6063)=0,"Missing in Data1","Present")</f>
        <v>Present</v>
      </c>
    </row>
    <row r="6064" spans="1:5" x14ac:dyDescent="0.25">
      <c r="A6064" s="2" t="s">
        <v>4890</v>
      </c>
      <c r="B6064" s="2" t="s">
        <v>2507</v>
      </c>
      <c r="C6064" s="2">
        <v>9</v>
      </c>
      <c r="D6064" t="str">
        <f t="shared" si="94"/>
        <v>CA-2017-121027_TEC-AC-10002253</v>
      </c>
      <c r="E6064" t="str">
        <f>IF(COUNTIF(data1!$D:$D,D6064)=0,"Missing in Data1","Present")</f>
        <v>Present</v>
      </c>
    </row>
    <row r="6065" spans="1:5" x14ac:dyDescent="0.25">
      <c r="A6065" s="2" t="s">
        <v>4891</v>
      </c>
      <c r="B6065" s="2" t="s">
        <v>1485</v>
      </c>
      <c r="C6065" s="2">
        <v>3</v>
      </c>
      <c r="D6065" t="str">
        <f t="shared" si="94"/>
        <v>CA-2017-121048_FUR-FU-10002960</v>
      </c>
      <c r="E6065" t="str">
        <f>IF(COUNTIF(data1!$D:$D,D6065)=0,"Missing in Data1","Present")</f>
        <v>Present</v>
      </c>
    </row>
    <row r="6066" spans="1:5" x14ac:dyDescent="0.25">
      <c r="A6066" s="2" t="s">
        <v>4891</v>
      </c>
      <c r="B6066" s="2" t="s">
        <v>3987</v>
      </c>
      <c r="C6066" s="2">
        <v>3</v>
      </c>
      <c r="D6066" t="str">
        <f t="shared" si="94"/>
        <v>CA-2017-121048_FUR-FU-10003601</v>
      </c>
      <c r="E6066" t="str">
        <f>IF(COUNTIF(data1!$D:$D,D6066)=0,"Missing in Data1","Present")</f>
        <v>Present</v>
      </c>
    </row>
    <row r="6067" spans="1:5" x14ac:dyDescent="0.25">
      <c r="A6067" s="2" t="s">
        <v>4891</v>
      </c>
      <c r="B6067" s="2" t="s">
        <v>839</v>
      </c>
      <c r="C6067" s="2">
        <v>4</v>
      </c>
      <c r="D6067" t="str">
        <f t="shared" si="94"/>
        <v>CA-2017-121048_OFF-AR-10004042</v>
      </c>
      <c r="E6067" t="str">
        <f>IF(COUNTIF(data1!$D:$D,D6067)=0,"Missing in Data1","Present")</f>
        <v>Present</v>
      </c>
    </row>
    <row r="6068" spans="1:5" x14ac:dyDescent="0.25">
      <c r="A6068" s="2" t="s">
        <v>4891</v>
      </c>
      <c r="B6068" s="2" t="s">
        <v>2726</v>
      </c>
      <c r="C6068" s="2">
        <v>2</v>
      </c>
      <c r="D6068" t="str">
        <f t="shared" si="94"/>
        <v>CA-2017-121048_OFF-BI-10004022</v>
      </c>
      <c r="E6068" t="str">
        <f>IF(COUNTIF(data1!$D:$D,D6068)=0,"Missing in Data1","Present")</f>
        <v>Present</v>
      </c>
    </row>
    <row r="6069" spans="1:5" x14ac:dyDescent="0.25">
      <c r="A6069" s="2" t="s">
        <v>4891</v>
      </c>
      <c r="B6069" s="2" t="s">
        <v>1488</v>
      </c>
      <c r="C6069" s="2">
        <v>4</v>
      </c>
      <c r="D6069" t="str">
        <f t="shared" si="94"/>
        <v>CA-2017-121048_OFF-FA-10000490</v>
      </c>
      <c r="E6069" t="str">
        <f>IF(COUNTIF(data1!$D:$D,D6069)=0,"Missing in Data1","Present")</f>
        <v>Present</v>
      </c>
    </row>
    <row r="6070" spans="1:5" x14ac:dyDescent="0.25">
      <c r="A6070" s="2" t="s">
        <v>4891</v>
      </c>
      <c r="B6070" s="2" t="s">
        <v>4003</v>
      </c>
      <c r="C6070" s="2">
        <v>3</v>
      </c>
      <c r="D6070" t="str">
        <f t="shared" si="94"/>
        <v>CA-2017-121048_TEC-AC-10000991</v>
      </c>
      <c r="E6070" t="str">
        <f>IF(COUNTIF(data1!$D:$D,D6070)=0,"Missing in Data1","Present")</f>
        <v>Present</v>
      </c>
    </row>
    <row r="6071" spans="1:5" x14ac:dyDescent="0.25">
      <c r="A6071" s="2" t="s">
        <v>4891</v>
      </c>
      <c r="B6071" s="2" t="s">
        <v>1113</v>
      </c>
      <c r="C6071" s="2">
        <v>3</v>
      </c>
      <c r="D6071" t="str">
        <f t="shared" si="94"/>
        <v>CA-2017-121048_TEC-PH-10004977</v>
      </c>
      <c r="E6071" t="str">
        <f>IF(COUNTIF(data1!$D:$D,D6071)=0,"Missing in Data1","Present")</f>
        <v>Present</v>
      </c>
    </row>
    <row r="6072" spans="1:5" x14ac:dyDescent="0.25">
      <c r="A6072" s="2" t="s">
        <v>4892</v>
      </c>
      <c r="B6072" s="2" t="s">
        <v>1270</v>
      </c>
      <c r="C6072" s="2">
        <v>6</v>
      </c>
      <c r="D6072" t="str">
        <f t="shared" si="94"/>
        <v>CA-2017-121083_OFF-AR-10002987</v>
      </c>
      <c r="E6072" t="str">
        <f>IF(COUNTIF(data1!$D:$D,D6072)=0,"Missing in Data1","Present")</f>
        <v>Present</v>
      </c>
    </row>
    <row r="6073" spans="1:5" x14ac:dyDescent="0.25">
      <c r="A6073" s="2" t="s">
        <v>4892</v>
      </c>
      <c r="B6073" s="2" t="s">
        <v>2880</v>
      </c>
      <c r="C6073" s="2">
        <v>5</v>
      </c>
      <c r="D6073" t="str">
        <f t="shared" si="94"/>
        <v>CA-2017-121083_OFF-PA-10001497</v>
      </c>
      <c r="E6073" t="str">
        <f>IF(COUNTIF(data1!$D:$D,D6073)=0,"Missing in Data1","Present")</f>
        <v>Present</v>
      </c>
    </row>
    <row r="6074" spans="1:5" x14ac:dyDescent="0.25">
      <c r="A6074" s="2" t="s">
        <v>4892</v>
      </c>
      <c r="B6074" s="2" t="s">
        <v>1756</v>
      </c>
      <c r="C6074" s="2">
        <v>4</v>
      </c>
      <c r="D6074" t="str">
        <f t="shared" si="94"/>
        <v>CA-2017-121083_OFF-ST-10002554</v>
      </c>
      <c r="E6074" t="str">
        <f>IF(COUNTIF(data1!$D:$D,D6074)=0,"Missing in Data1","Present")</f>
        <v>Present</v>
      </c>
    </row>
    <row r="6075" spans="1:5" x14ac:dyDescent="0.25">
      <c r="A6075" s="2" t="s">
        <v>4892</v>
      </c>
      <c r="B6075" s="2" t="s">
        <v>292</v>
      </c>
      <c r="C6075" s="2">
        <v>2</v>
      </c>
      <c r="D6075" t="str">
        <f t="shared" si="94"/>
        <v>CA-2017-121083_TEC-PH-10001336</v>
      </c>
      <c r="E6075" t="str">
        <f>IF(COUNTIF(data1!$D:$D,D6075)=0,"Missing in Data1","Present")</f>
        <v>Present</v>
      </c>
    </row>
    <row r="6076" spans="1:5" x14ac:dyDescent="0.25">
      <c r="A6076" s="2" t="s">
        <v>4893</v>
      </c>
      <c r="B6076" s="2" t="s">
        <v>2590</v>
      </c>
      <c r="C6076" s="2">
        <v>1</v>
      </c>
      <c r="D6076" t="str">
        <f t="shared" si="94"/>
        <v>CA-2017-121125_FUR-FU-10000820</v>
      </c>
      <c r="E6076" t="str">
        <f>IF(COUNTIF(data1!$D:$D,D6076)=0,"Missing in Data1","Present")</f>
        <v>Present</v>
      </c>
    </row>
    <row r="6077" spans="1:5" x14ac:dyDescent="0.25">
      <c r="A6077" s="2" t="s">
        <v>4893</v>
      </c>
      <c r="B6077" s="2" t="s">
        <v>731</v>
      </c>
      <c r="C6077" s="2">
        <v>2</v>
      </c>
      <c r="D6077" t="str">
        <f t="shared" si="94"/>
        <v>CA-2017-121125_TEC-AC-10002323</v>
      </c>
      <c r="E6077" t="str">
        <f>IF(COUNTIF(data1!$D:$D,D6077)=0,"Missing in Data1","Present")</f>
        <v>Present</v>
      </c>
    </row>
    <row r="6078" spans="1:5" x14ac:dyDescent="0.25">
      <c r="A6078" s="2" t="s">
        <v>4893</v>
      </c>
      <c r="B6078" s="2" t="s">
        <v>1892</v>
      </c>
      <c r="C6078" s="2">
        <v>1</v>
      </c>
      <c r="D6078" t="str">
        <f t="shared" si="94"/>
        <v>CA-2017-121125_TEC-PH-10001619</v>
      </c>
      <c r="E6078" t="str">
        <f>IF(COUNTIF(data1!$D:$D,D6078)=0,"Missing in Data1","Present")</f>
        <v>Present</v>
      </c>
    </row>
    <row r="6079" spans="1:5" x14ac:dyDescent="0.25">
      <c r="A6079" s="2" t="s">
        <v>4894</v>
      </c>
      <c r="B6079" s="2" t="s">
        <v>2292</v>
      </c>
      <c r="C6079" s="2">
        <v>6</v>
      </c>
      <c r="D6079" t="str">
        <f t="shared" si="94"/>
        <v>CA-2017-121160_OFF-BI-10001308</v>
      </c>
      <c r="E6079" t="str">
        <f>IF(COUNTIF(data1!$D:$D,D6079)=0,"Missing in Data1","Present")</f>
        <v>Present</v>
      </c>
    </row>
    <row r="6080" spans="1:5" x14ac:dyDescent="0.25">
      <c r="A6080" s="2" t="s">
        <v>4894</v>
      </c>
      <c r="B6080" s="2" t="s">
        <v>982</v>
      </c>
      <c r="C6080" s="2">
        <v>2</v>
      </c>
      <c r="D6080" t="str">
        <f t="shared" si="94"/>
        <v>CA-2017-121160_OFF-BI-10003094</v>
      </c>
      <c r="E6080" t="str">
        <f>IF(COUNTIF(data1!$D:$D,D6080)=0,"Missing in Data1","Present")</f>
        <v>Present</v>
      </c>
    </row>
    <row r="6081" spans="1:5" x14ac:dyDescent="0.25">
      <c r="A6081" s="2" t="s">
        <v>4894</v>
      </c>
      <c r="B6081" s="2" t="s">
        <v>2891</v>
      </c>
      <c r="C6081" s="2">
        <v>4</v>
      </c>
      <c r="D6081" t="str">
        <f t="shared" si="94"/>
        <v>CA-2017-121160_OFF-BI-10004040</v>
      </c>
      <c r="E6081" t="str">
        <f>IF(COUNTIF(data1!$D:$D,D6081)=0,"Missing in Data1","Present")</f>
        <v>Present</v>
      </c>
    </row>
    <row r="6082" spans="1:5" x14ac:dyDescent="0.25">
      <c r="A6082" s="2" t="s">
        <v>4894</v>
      </c>
      <c r="B6082" s="2" t="s">
        <v>3070</v>
      </c>
      <c r="C6082" s="2">
        <v>3</v>
      </c>
      <c r="D6082" t="str">
        <f t="shared" si="94"/>
        <v>CA-2017-121160_OFF-ST-10002485</v>
      </c>
      <c r="E6082" t="str">
        <f>IF(COUNTIF(data1!$D:$D,D6082)=0,"Missing in Data1","Present")</f>
        <v>Present</v>
      </c>
    </row>
    <row r="6083" spans="1:5" x14ac:dyDescent="0.25">
      <c r="A6083" s="2" t="s">
        <v>4895</v>
      </c>
      <c r="B6083" s="2" t="s">
        <v>254</v>
      </c>
      <c r="C6083" s="2">
        <v>2</v>
      </c>
      <c r="D6083" t="str">
        <f t="shared" ref="D6083:D6146" si="95">A6083&amp;"_"&amp;B6083</f>
        <v>CA-2017-121195_OFF-ST-10000585</v>
      </c>
      <c r="E6083" t="str">
        <f>IF(COUNTIF(data1!$D:$D,D6083)=0,"Missing in Data1","Present")</f>
        <v>Present</v>
      </c>
    </row>
    <row r="6084" spans="1:5" x14ac:dyDescent="0.25">
      <c r="A6084" s="2" t="s">
        <v>4896</v>
      </c>
      <c r="B6084" s="2" t="s">
        <v>2280</v>
      </c>
      <c r="C6084" s="2">
        <v>8</v>
      </c>
      <c r="D6084" t="str">
        <f t="shared" si="95"/>
        <v>CA-2017-121216_OFF-AP-10001947</v>
      </c>
      <c r="E6084" t="str">
        <f>IF(COUNTIF(data1!$D:$D,D6084)=0,"Missing in Data1","Present")</f>
        <v>Present</v>
      </c>
    </row>
    <row r="6085" spans="1:5" x14ac:dyDescent="0.25">
      <c r="A6085" s="2" t="s">
        <v>4896</v>
      </c>
      <c r="B6085" s="2" t="s">
        <v>588</v>
      </c>
      <c r="C6085" s="2">
        <v>8</v>
      </c>
      <c r="D6085" t="str">
        <f t="shared" si="95"/>
        <v>CA-2017-121216_OFF-PA-10004519</v>
      </c>
      <c r="E6085" t="str">
        <f>IF(COUNTIF(data1!$D:$D,D6085)=0,"Missing in Data1","Present")</f>
        <v>Present</v>
      </c>
    </row>
    <row r="6086" spans="1:5" x14ac:dyDescent="0.25">
      <c r="A6086" s="2" t="s">
        <v>4897</v>
      </c>
      <c r="B6086" s="2" t="s">
        <v>91</v>
      </c>
      <c r="C6086" s="2">
        <v>2</v>
      </c>
      <c r="D6086" t="str">
        <f t="shared" si="95"/>
        <v>CA-2017-121258_FUR-FU-10000747</v>
      </c>
      <c r="E6086" t="str">
        <f>IF(COUNTIF(data1!$D:$D,D6086)=0,"Missing in Data1","Present")</f>
        <v>Present</v>
      </c>
    </row>
    <row r="6087" spans="1:5" x14ac:dyDescent="0.25">
      <c r="A6087" s="2" t="s">
        <v>4897</v>
      </c>
      <c r="B6087" s="2" t="s">
        <v>2644</v>
      </c>
      <c r="C6087" s="2">
        <v>4</v>
      </c>
      <c r="D6087" t="str">
        <f t="shared" si="95"/>
        <v>CA-2017-121258_OFF-PA-10004041</v>
      </c>
      <c r="E6087" t="str">
        <f>IF(COUNTIF(data1!$D:$D,D6087)=0,"Missing in Data1","Present")</f>
        <v>Present</v>
      </c>
    </row>
    <row r="6088" spans="1:5" x14ac:dyDescent="0.25">
      <c r="A6088" s="2" t="s">
        <v>4897</v>
      </c>
      <c r="B6088" s="2" t="s">
        <v>998</v>
      </c>
      <c r="C6088" s="2">
        <v>2</v>
      </c>
      <c r="D6088" t="str">
        <f t="shared" si="95"/>
        <v>CA-2017-121258_TEC-PH-10003645</v>
      </c>
      <c r="E6088" t="str">
        <f>IF(COUNTIF(data1!$D:$D,D6088)=0,"Missing in Data1","Present")</f>
        <v>Present</v>
      </c>
    </row>
    <row r="6089" spans="1:5" x14ac:dyDescent="0.25">
      <c r="A6089" s="2" t="s">
        <v>4898</v>
      </c>
      <c r="B6089" s="2" t="s">
        <v>2300</v>
      </c>
      <c r="C6089" s="2">
        <v>4</v>
      </c>
      <c r="D6089" t="str">
        <f t="shared" si="95"/>
        <v>CA-2017-121293_FUR-FU-10000732</v>
      </c>
      <c r="E6089" t="str">
        <f>IF(COUNTIF(data1!$D:$D,D6089)=0,"Missing in Data1","Present")</f>
        <v>Missing in Data1</v>
      </c>
    </row>
    <row r="6090" spans="1:5" x14ac:dyDescent="0.25">
      <c r="A6090" s="2" t="s">
        <v>4898</v>
      </c>
      <c r="B6090" s="2" t="s">
        <v>3694</v>
      </c>
      <c r="C6090" s="2">
        <v>1</v>
      </c>
      <c r="D6090" t="str">
        <f t="shared" si="95"/>
        <v>CA-2017-121293_FUR-TA-10001771</v>
      </c>
      <c r="E6090" t="str">
        <f>IF(COUNTIF(data1!$D:$D,D6090)=0,"Missing in Data1","Present")</f>
        <v>Present</v>
      </c>
    </row>
    <row r="6091" spans="1:5" x14ac:dyDescent="0.25">
      <c r="A6091" s="2" t="s">
        <v>4898</v>
      </c>
      <c r="B6091" s="2" t="s">
        <v>1728</v>
      </c>
      <c r="C6091" s="2">
        <v>4</v>
      </c>
      <c r="D6091" t="str">
        <f t="shared" si="95"/>
        <v>CA-2017-121293_OFF-PA-10004100</v>
      </c>
      <c r="E6091" t="str">
        <f>IF(COUNTIF(data1!$D:$D,D6091)=0,"Missing in Data1","Present")</f>
        <v>Present</v>
      </c>
    </row>
    <row r="6092" spans="1:5" x14ac:dyDescent="0.25">
      <c r="A6092" s="2" t="s">
        <v>4898</v>
      </c>
      <c r="B6092" s="2" t="s">
        <v>2918</v>
      </c>
      <c r="C6092" s="2">
        <v>5</v>
      </c>
      <c r="D6092" t="str">
        <f t="shared" si="95"/>
        <v>CA-2017-121293_OFF-ST-10000060</v>
      </c>
      <c r="E6092" t="str">
        <f>IF(COUNTIF(data1!$D:$D,D6092)=0,"Missing in Data1","Present")</f>
        <v>Present</v>
      </c>
    </row>
    <row r="6093" spans="1:5" x14ac:dyDescent="0.25">
      <c r="A6093" s="2" t="s">
        <v>4898</v>
      </c>
      <c r="B6093" s="2" t="s">
        <v>2451</v>
      </c>
      <c r="C6093" s="2">
        <v>3</v>
      </c>
      <c r="D6093" t="str">
        <f t="shared" si="95"/>
        <v>CA-2017-121293_OFF-SU-10004884</v>
      </c>
      <c r="E6093" t="str">
        <f>IF(COUNTIF(data1!$D:$D,D6093)=0,"Missing in Data1","Present")</f>
        <v>Present</v>
      </c>
    </row>
    <row r="6094" spans="1:5" x14ac:dyDescent="0.25">
      <c r="A6094" s="2" t="s">
        <v>4899</v>
      </c>
      <c r="B6094" s="2" t="s">
        <v>373</v>
      </c>
      <c r="C6094" s="2">
        <v>1</v>
      </c>
      <c r="D6094" t="str">
        <f t="shared" si="95"/>
        <v>CA-2017-121300_FUR-CH-10003774</v>
      </c>
      <c r="E6094" t="str">
        <f>IF(COUNTIF(data1!$D:$D,D6094)=0,"Missing in Data1","Present")</f>
        <v>Present</v>
      </c>
    </row>
    <row r="6095" spans="1:5" x14ac:dyDescent="0.25">
      <c r="A6095" s="2" t="s">
        <v>4899</v>
      </c>
      <c r="B6095" s="2" t="s">
        <v>111</v>
      </c>
      <c r="C6095" s="2">
        <v>4</v>
      </c>
      <c r="D6095" t="str">
        <f t="shared" si="95"/>
        <v>CA-2017-121300_FUR-FU-10004586</v>
      </c>
      <c r="E6095" t="str">
        <f>IF(COUNTIF(data1!$D:$D,D6095)=0,"Missing in Data1","Present")</f>
        <v>Present</v>
      </c>
    </row>
    <row r="6096" spans="1:5" x14ac:dyDescent="0.25">
      <c r="A6096" s="2" t="s">
        <v>4899</v>
      </c>
      <c r="B6096" s="2" t="s">
        <v>697</v>
      </c>
      <c r="C6096" s="2">
        <v>2</v>
      </c>
      <c r="D6096" t="str">
        <f t="shared" si="95"/>
        <v>CA-2017-121300_FUR-TA-10004442</v>
      </c>
      <c r="E6096" t="str">
        <f>IF(COUNTIF(data1!$D:$D,D6096)=0,"Missing in Data1","Present")</f>
        <v>Present</v>
      </c>
    </row>
    <row r="6097" spans="1:5" x14ac:dyDescent="0.25">
      <c r="A6097" s="2" t="s">
        <v>4899</v>
      </c>
      <c r="B6097" s="2" t="s">
        <v>3051</v>
      </c>
      <c r="C6097" s="2">
        <v>2</v>
      </c>
      <c r="D6097" t="str">
        <f t="shared" si="95"/>
        <v>CA-2017-121300_OFF-PA-10002606</v>
      </c>
      <c r="E6097" t="str">
        <f>IF(COUNTIF(data1!$D:$D,D6097)=0,"Missing in Data1","Present")</f>
        <v>Present</v>
      </c>
    </row>
    <row r="6098" spans="1:5" x14ac:dyDescent="0.25">
      <c r="A6098" s="2" t="s">
        <v>4899</v>
      </c>
      <c r="B6098" s="2" t="s">
        <v>2771</v>
      </c>
      <c r="C6098" s="2">
        <v>3</v>
      </c>
      <c r="D6098" t="str">
        <f t="shared" si="95"/>
        <v>CA-2017-121300_OFF-PA-10002787</v>
      </c>
      <c r="E6098" t="str">
        <f>IF(COUNTIF(data1!$D:$D,D6098)=0,"Missing in Data1","Present")</f>
        <v>Present</v>
      </c>
    </row>
    <row r="6099" spans="1:5" x14ac:dyDescent="0.25">
      <c r="A6099" s="2" t="s">
        <v>4899</v>
      </c>
      <c r="B6099" s="2" t="s">
        <v>1133</v>
      </c>
      <c r="C6099" s="2">
        <v>3</v>
      </c>
      <c r="D6099" t="str">
        <f t="shared" si="95"/>
        <v>CA-2017-121300_TEC-AC-10004571</v>
      </c>
      <c r="E6099" t="str">
        <f>IF(COUNTIF(data1!$D:$D,D6099)=0,"Missing in Data1","Present")</f>
        <v>Present</v>
      </c>
    </row>
    <row r="6100" spans="1:5" x14ac:dyDescent="0.25">
      <c r="A6100" s="2" t="s">
        <v>4900</v>
      </c>
      <c r="B6100" s="2" t="s">
        <v>1212</v>
      </c>
      <c r="C6100" s="2">
        <v>3</v>
      </c>
      <c r="D6100" t="str">
        <f t="shared" si="95"/>
        <v>CA-2017-121314_OFF-PA-10003395</v>
      </c>
      <c r="E6100" t="str">
        <f>IF(COUNTIF(data1!$D:$D,D6100)=0,"Missing in Data1","Present")</f>
        <v>Present</v>
      </c>
    </row>
    <row r="6101" spans="1:5" x14ac:dyDescent="0.25">
      <c r="A6101" s="2" t="s">
        <v>4901</v>
      </c>
      <c r="B6101" s="2" t="s">
        <v>2324</v>
      </c>
      <c r="C6101" s="2">
        <v>3</v>
      </c>
      <c r="D6101" t="str">
        <f t="shared" si="95"/>
        <v>CA-2017-121398_OFF-BI-10001718</v>
      </c>
      <c r="E6101" t="str">
        <f>IF(COUNTIF(data1!$D:$D,D6101)=0,"Missing in Data1","Present")</f>
        <v>Present</v>
      </c>
    </row>
    <row r="6102" spans="1:5" x14ac:dyDescent="0.25">
      <c r="A6102" s="2" t="s">
        <v>4901</v>
      </c>
      <c r="B6102" s="2" t="s">
        <v>2078</v>
      </c>
      <c r="C6102" s="2">
        <v>2</v>
      </c>
      <c r="D6102" t="str">
        <f t="shared" si="95"/>
        <v>CA-2017-121398_OFF-ST-10002756</v>
      </c>
      <c r="E6102" t="str">
        <f>IF(COUNTIF(data1!$D:$D,D6102)=0,"Missing in Data1","Present")</f>
        <v>Present</v>
      </c>
    </row>
    <row r="6103" spans="1:5" x14ac:dyDescent="0.25">
      <c r="A6103" s="2" t="s">
        <v>4902</v>
      </c>
      <c r="B6103" s="2" t="s">
        <v>189</v>
      </c>
      <c r="C6103" s="2">
        <v>3</v>
      </c>
      <c r="D6103" t="str">
        <f t="shared" si="95"/>
        <v>CA-2017-121412_FUR-FU-10000246</v>
      </c>
      <c r="E6103" t="str">
        <f>IF(COUNTIF(data1!$D:$D,D6103)=0,"Missing in Data1","Present")</f>
        <v>Present</v>
      </c>
    </row>
    <row r="6104" spans="1:5" x14ac:dyDescent="0.25">
      <c r="A6104" s="2" t="s">
        <v>4903</v>
      </c>
      <c r="B6104" s="2" t="s">
        <v>1718</v>
      </c>
      <c r="C6104" s="2">
        <v>4</v>
      </c>
      <c r="D6104" t="str">
        <f t="shared" si="95"/>
        <v>CA-2017-121419_TEC-AC-10000892</v>
      </c>
      <c r="E6104" t="str">
        <f>IF(COUNTIF(data1!$D:$D,D6104)=0,"Missing in Data1","Present")</f>
        <v>Present</v>
      </c>
    </row>
    <row r="6105" spans="1:5" x14ac:dyDescent="0.25">
      <c r="A6105" s="2" t="s">
        <v>4904</v>
      </c>
      <c r="B6105" s="2" t="s">
        <v>614</v>
      </c>
      <c r="C6105" s="2">
        <v>4</v>
      </c>
      <c r="D6105" t="str">
        <f t="shared" si="95"/>
        <v>CA-2017-121468_TEC-PH-10000376</v>
      </c>
      <c r="E6105" t="str">
        <f>IF(COUNTIF(data1!$D:$D,D6105)=0,"Missing in Data1","Present")</f>
        <v>Present</v>
      </c>
    </row>
    <row r="6106" spans="1:5" x14ac:dyDescent="0.25">
      <c r="A6106" s="2" t="s">
        <v>4905</v>
      </c>
      <c r="B6106" s="2" t="s">
        <v>1657</v>
      </c>
      <c r="C6106" s="2">
        <v>6</v>
      </c>
      <c r="D6106" t="str">
        <f t="shared" si="95"/>
        <v>CA-2017-121489_OFF-ST-10000025</v>
      </c>
      <c r="E6106" t="str">
        <f>IF(COUNTIF(data1!$D:$D,D6106)=0,"Missing in Data1","Present")</f>
        <v>Present</v>
      </c>
    </row>
    <row r="6107" spans="1:5" x14ac:dyDescent="0.25">
      <c r="A6107" s="2" t="s">
        <v>4905</v>
      </c>
      <c r="B6107" s="2" t="s">
        <v>2817</v>
      </c>
      <c r="C6107" s="2">
        <v>2</v>
      </c>
      <c r="D6107" t="str">
        <f t="shared" si="95"/>
        <v>CA-2017-121489_TEC-AC-10000682</v>
      </c>
      <c r="E6107" t="str">
        <f>IF(COUNTIF(data1!$D:$D,D6107)=0,"Missing in Data1","Present")</f>
        <v>Present</v>
      </c>
    </row>
    <row r="6108" spans="1:5" x14ac:dyDescent="0.25">
      <c r="A6108" s="2" t="s">
        <v>4906</v>
      </c>
      <c r="B6108" s="2" t="s">
        <v>425</v>
      </c>
      <c r="C6108" s="2">
        <v>7</v>
      </c>
      <c r="D6108" t="str">
        <f t="shared" si="95"/>
        <v>CA-2017-121503_OFF-PA-10001878</v>
      </c>
      <c r="E6108" t="str">
        <f>IF(COUNTIF(data1!$D:$D,D6108)=0,"Missing in Data1","Present")</f>
        <v>Present</v>
      </c>
    </row>
    <row r="6109" spans="1:5" x14ac:dyDescent="0.25">
      <c r="A6109" s="2" t="s">
        <v>4906</v>
      </c>
      <c r="B6109" s="2" t="s">
        <v>4907</v>
      </c>
      <c r="C6109" s="2">
        <v>3</v>
      </c>
      <c r="D6109" t="str">
        <f t="shared" si="95"/>
        <v>CA-2017-121503_TEC-MA-10003674</v>
      </c>
      <c r="E6109" t="str">
        <f>IF(COUNTIF(data1!$D:$D,D6109)=0,"Missing in Data1","Present")</f>
        <v>Present</v>
      </c>
    </row>
    <row r="6110" spans="1:5" x14ac:dyDescent="0.25">
      <c r="A6110" s="2" t="s">
        <v>4908</v>
      </c>
      <c r="B6110" s="2" t="s">
        <v>477</v>
      </c>
      <c r="C6110" s="2">
        <v>2</v>
      </c>
      <c r="D6110" t="str">
        <f t="shared" si="95"/>
        <v>CA-2017-121538_OFF-PA-10004071</v>
      </c>
      <c r="E6110" t="str">
        <f>IF(COUNTIF(data1!$D:$D,D6110)=0,"Missing in Data1","Present")</f>
        <v>Present</v>
      </c>
    </row>
    <row r="6111" spans="1:5" x14ac:dyDescent="0.25">
      <c r="A6111" s="2" t="s">
        <v>4909</v>
      </c>
      <c r="B6111" s="2" t="s">
        <v>2170</v>
      </c>
      <c r="C6111" s="2">
        <v>6</v>
      </c>
      <c r="D6111" t="str">
        <f t="shared" si="95"/>
        <v>CA-2017-121559_FUR-CH-10003746</v>
      </c>
      <c r="E6111" t="str">
        <f>IF(COUNTIF(data1!$D:$D,D6111)=0,"Missing in Data1","Present")</f>
        <v>Present</v>
      </c>
    </row>
    <row r="6112" spans="1:5" x14ac:dyDescent="0.25">
      <c r="A6112" s="2" t="s">
        <v>4909</v>
      </c>
      <c r="B6112" s="2" t="s">
        <v>1000</v>
      </c>
      <c r="C6112" s="2">
        <v>8</v>
      </c>
      <c r="D6112" t="str">
        <f t="shared" si="95"/>
        <v>CA-2017-121559_OFF-AP-10002945</v>
      </c>
      <c r="E6112" t="str">
        <f>IF(COUNTIF(data1!$D:$D,D6112)=0,"Missing in Data1","Present")</f>
        <v>Present</v>
      </c>
    </row>
    <row r="6113" spans="1:5" x14ac:dyDescent="0.25">
      <c r="A6113" s="2" t="s">
        <v>4909</v>
      </c>
      <c r="B6113" s="2" t="s">
        <v>3126</v>
      </c>
      <c r="C6113" s="2">
        <v>2</v>
      </c>
      <c r="D6113" t="str">
        <f t="shared" si="95"/>
        <v>CA-2017-121559_OFF-BI-10002072</v>
      </c>
      <c r="E6113" t="str">
        <f>IF(COUNTIF(data1!$D:$D,D6113)=0,"Missing in Data1","Present")</f>
        <v>Present</v>
      </c>
    </row>
    <row r="6114" spans="1:5" x14ac:dyDescent="0.25">
      <c r="A6114" s="2" t="s">
        <v>4909</v>
      </c>
      <c r="B6114" s="2" t="s">
        <v>3408</v>
      </c>
      <c r="C6114" s="2">
        <v>1</v>
      </c>
      <c r="D6114" t="str">
        <f t="shared" si="95"/>
        <v>CA-2017-121559_TEC-AC-10001714</v>
      </c>
      <c r="E6114" t="str">
        <f>IF(COUNTIF(data1!$D:$D,D6114)=0,"Missing in Data1","Present")</f>
        <v>Present</v>
      </c>
    </row>
    <row r="6115" spans="1:5" x14ac:dyDescent="0.25">
      <c r="A6115" s="2" t="s">
        <v>4909</v>
      </c>
      <c r="B6115" s="2" t="s">
        <v>2609</v>
      </c>
      <c r="C6115" s="2">
        <v>3</v>
      </c>
      <c r="D6115" t="str">
        <f t="shared" si="95"/>
        <v>CA-2017-121559_TEC-AC-10004568</v>
      </c>
      <c r="E6115" t="str">
        <f>IF(COUNTIF(data1!$D:$D,D6115)=0,"Missing in Data1","Present")</f>
        <v>Present</v>
      </c>
    </row>
    <row r="6116" spans="1:5" x14ac:dyDescent="0.25">
      <c r="A6116" s="2" t="s">
        <v>4910</v>
      </c>
      <c r="B6116" s="2" t="s">
        <v>3965</v>
      </c>
      <c r="C6116" s="2">
        <v>2</v>
      </c>
      <c r="D6116" t="str">
        <f t="shared" si="95"/>
        <v>CA-2017-121580_OFF-AP-10001564</v>
      </c>
      <c r="E6116" t="str">
        <f>IF(COUNTIF(data1!$D:$D,D6116)=0,"Missing in Data1","Present")</f>
        <v>Present</v>
      </c>
    </row>
    <row r="6117" spans="1:5" x14ac:dyDescent="0.25">
      <c r="A6117" s="2" t="s">
        <v>4910</v>
      </c>
      <c r="B6117" s="2" t="s">
        <v>740</v>
      </c>
      <c r="C6117" s="2">
        <v>1</v>
      </c>
      <c r="D6117" t="str">
        <f t="shared" si="95"/>
        <v>CA-2017-121580_OFF-BI-10000632</v>
      </c>
      <c r="E6117" t="str">
        <f>IF(COUNTIF(data1!$D:$D,D6117)=0,"Missing in Data1","Present")</f>
        <v>Present</v>
      </c>
    </row>
    <row r="6118" spans="1:5" x14ac:dyDescent="0.25">
      <c r="A6118" s="2" t="s">
        <v>4911</v>
      </c>
      <c r="B6118" s="2" t="s">
        <v>97</v>
      </c>
      <c r="C6118" s="2">
        <v>3</v>
      </c>
      <c r="D6118" t="str">
        <f t="shared" si="95"/>
        <v>CA-2017-121615_OFF-LA-10001771</v>
      </c>
      <c r="E6118" t="str">
        <f>IF(COUNTIF(data1!$D:$D,D6118)=0,"Missing in Data1","Present")</f>
        <v>Present</v>
      </c>
    </row>
    <row r="6119" spans="1:5" x14ac:dyDescent="0.25">
      <c r="A6119" s="2" t="s">
        <v>4911</v>
      </c>
      <c r="B6119" s="2" t="s">
        <v>408</v>
      </c>
      <c r="C6119" s="2">
        <v>2</v>
      </c>
      <c r="D6119" t="str">
        <f t="shared" si="95"/>
        <v>CA-2017-121615_OFF-PA-10000327</v>
      </c>
      <c r="E6119" t="str">
        <f>IF(COUNTIF(data1!$D:$D,D6119)=0,"Missing in Data1","Present")</f>
        <v>Present</v>
      </c>
    </row>
    <row r="6120" spans="1:5" x14ac:dyDescent="0.25">
      <c r="A6120" s="2" t="s">
        <v>4911</v>
      </c>
      <c r="B6120" s="2" t="s">
        <v>2467</v>
      </c>
      <c r="C6120" s="2">
        <v>5</v>
      </c>
      <c r="D6120" t="str">
        <f t="shared" si="95"/>
        <v>CA-2017-121615_OFF-ST-10001325</v>
      </c>
      <c r="E6120" t="str">
        <f>IF(COUNTIF(data1!$D:$D,D6120)=0,"Missing in Data1","Present")</f>
        <v>Present</v>
      </c>
    </row>
    <row r="6121" spans="1:5" x14ac:dyDescent="0.25">
      <c r="A6121" s="2" t="s">
        <v>4912</v>
      </c>
      <c r="B6121" s="2" t="s">
        <v>2715</v>
      </c>
      <c r="C6121" s="2">
        <v>2</v>
      </c>
      <c r="D6121" t="str">
        <f t="shared" si="95"/>
        <v>CA-2017-121643_TEC-PH-10002200</v>
      </c>
      <c r="E6121" t="str">
        <f>IF(COUNTIF(data1!$D:$D,D6121)=0,"Missing in Data1","Present")</f>
        <v>Present</v>
      </c>
    </row>
    <row r="6122" spans="1:5" x14ac:dyDescent="0.25">
      <c r="A6122" s="2" t="s">
        <v>4913</v>
      </c>
      <c r="B6122" s="2" t="s">
        <v>1727</v>
      </c>
      <c r="C6122" s="2">
        <v>1</v>
      </c>
      <c r="D6122" t="str">
        <f t="shared" si="95"/>
        <v>CA-2017-121678_OFF-BI-10002949</v>
      </c>
      <c r="E6122" t="str">
        <f>IF(COUNTIF(data1!$D:$D,D6122)=0,"Missing in Data1","Present")</f>
        <v>Present</v>
      </c>
    </row>
    <row r="6123" spans="1:5" x14ac:dyDescent="0.25">
      <c r="A6123" s="2" t="s">
        <v>4914</v>
      </c>
      <c r="B6123" s="2" t="s">
        <v>1183</v>
      </c>
      <c r="C6123" s="2">
        <v>7</v>
      </c>
      <c r="D6123" t="str">
        <f t="shared" si="95"/>
        <v>CA-2017-121706_OFF-AP-10003287</v>
      </c>
      <c r="E6123" t="str">
        <f>IF(COUNTIF(data1!$D:$D,D6123)=0,"Missing in Data1","Present")</f>
        <v>Present</v>
      </c>
    </row>
    <row r="6124" spans="1:5" x14ac:dyDescent="0.25">
      <c r="A6124" s="2" t="s">
        <v>4916</v>
      </c>
      <c r="B6124" s="2" t="s">
        <v>1744</v>
      </c>
      <c r="C6124" s="2">
        <v>1</v>
      </c>
      <c r="D6124" t="str">
        <f t="shared" si="95"/>
        <v>CA-2017-121790_FUR-TA-10003469</v>
      </c>
      <c r="E6124" t="str">
        <f>IF(COUNTIF(data1!$D:$D,D6124)=0,"Missing in Data1","Present")</f>
        <v>Present</v>
      </c>
    </row>
    <row r="6125" spans="1:5" x14ac:dyDescent="0.25">
      <c r="A6125" s="2" t="s">
        <v>4916</v>
      </c>
      <c r="B6125" s="2" t="s">
        <v>2303</v>
      </c>
      <c r="C6125" s="2">
        <v>2</v>
      </c>
      <c r="D6125" t="str">
        <f t="shared" si="95"/>
        <v>CA-2017-121790_OFF-AR-10003602</v>
      </c>
      <c r="E6125" t="str">
        <f>IF(COUNTIF(data1!$D:$D,D6125)=0,"Missing in Data1","Present")</f>
        <v>Present</v>
      </c>
    </row>
    <row r="6126" spans="1:5" x14ac:dyDescent="0.25">
      <c r="A6126" s="2" t="s">
        <v>4916</v>
      </c>
      <c r="B6126" s="2" t="s">
        <v>2166</v>
      </c>
      <c r="C6126" s="2">
        <v>4</v>
      </c>
      <c r="D6126" t="str">
        <f t="shared" si="95"/>
        <v>CA-2017-121790_OFF-SU-10004231</v>
      </c>
      <c r="E6126" t="str">
        <f>IF(COUNTIF(data1!$D:$D,D6126)=0,"Missing in Data1","Present")</f>
        <v>Present</v>
      </c>
    </row>
    <row r="6127" spans="1:5" x14ac:dyDescent="0.25">
      <c r="A6127" s="2" t="s">
        <v>4916</v>
      </c>
      <c r="B6127" s="2" t="s">
        <v>1486</v>
      </c>
      <c r="C6127" s="2">
        <v>4</v>
      </c>
      <c r="D6127" t="str">
        <f t="shared" si="95"/>
        <v>CA-2017-121790_TEC-PH-10002584</v>
      </c>
      <c r="E6127" t="str">
        <f>IF(COUNTIF(data1!$D:$D,D6127)=0,"Missing in Data1","Present")</f>
        <v>Present</v>
      </c>
    </row>
    <row r="6128" spans="1:5" x14ac:dyDescent="0.25">
      <c r="A6128" s="2" t="s">
        <v>4917</v>
      </c>
      <c r="B6128" s="2" t="s">
        <v>1618</v>
      </c>
      <c r="C6128" s="2">
        <v>5</v>
      </c>
      <c r="D6128" t="str">
        <f t="shared" si="95"/>
        <v>CA-2017-121804_OFF-AP-10004859</v>
      </c>
      <c r="E6128" t="str">
        <f>IF(COUNTIF(data1!$D:$D,D6128)=0,"Missing in Data1","Present")</f>
        <v>Present</v>
      </c>
    </row>
    <row r="6129" spans="1:5" x14ac:dyDescent="0.25">
      <c r="A6129" s="2" t="s">
        <v>4918</v>
      </c>
      <c r="B6129" s="2" t="s">
        <v>4919</v>
      </c>
      <c r="C6129" s="2">
        <v>7</v>
      </c>
      <c r="D6129" t="str">
        <f t="shared" si="95"/>
        <v>CA-2017-121818_OFF-AR-10000203</v>
      </c>
      <c r="E6129" t="str">
        <f>IF(COUNTIF(data1!$D:$D,D6129)=0,"Missing in Data1","Present")</f>
        <v>Present</v>
      </c>
    </row>
    <row r="6130" spans="1:5" x14ac:dyDescent="0.25">
      <c r="A6130" s="2" t="s">
        <v>4918</v>
      </c>
      <c r="B6130" s="2" t="s">
        <v>4920</v>
      </c>
      <c r="C6130" s="2">
        <v>3</v>
      </c>
      <c r="D6130" t="str">
        <f t="shared" si="95"/>
        <v>CA-2017-121818_OFF-AR-10004790</v>
      </c>
      <c r="E6130" t="str">
        <f>IF(COUNTIF(data1!$D:$D,D6130)=0,"Missing in Data1","Present")</f>
        <v>Present</v>
      </c>
    </row>
    <row r="6131" spans="1:5" x14ac:dyDescent="0.25">
      <c r="A6131" s="2" t="s">
        <v>4921</v>
      </c>
      <c r="B6131" s="2" t="s">
        <v>133</v>
      </c>
      <c r="C6131" s="2">
        <v>3</v>
      </c>
      <c r="D6131" t="str">
        <f t="shared" si="95"/>
        <v>CA-2017-121839_TEC-PH-10002885</v>
      </c>
      <c r="E6131" t="str">
        <f>IF(COUNTIF(data1!$D:$D,D6131)=0,"Missing in Data1","Present")</f>
        <v>Present</v>
      </c>
    </row>
    <row r="6132" spans="1:5" x14ac:dyDescent="0.25">
      <c r="A6132" s="2" t="s">
        <v>4922</v>
      </c>
      <c r="B6132" s="2" t="s">
        <v>807</v>
      </c>
      <c r="C6132" s="2">
        <v>2</v>
      </c>
      <c r="D6132" t="str">
        <f t="shared" si="95"/>
        <v>CA-2017-121853_FUR-CH-10003973</v>
      </c>
      <c r="E6132" t="str">
        <f>IF(COUNTIF(data1!$D:$D,D6132)=0,"Missing in Data1","Present")</f>
        <v>Present</v>
      </c>
    </row>
    <row r="6133" spans="1:5" x14ac:dyDescent="0.25">
      <c r="A6133" s="2" t="s">
        <v>4922</v>
      </c>
      <c r="B6133" s="2" t="s">
        <v>859</v>
      </c>
      <c r="C6133" s="2">
        <v>3</v>
      </c>
      <c r="D6133" t="str">
        <f t="shared" si="95"/>
        <v>CA-2017-121853_OFF-BI-10000977</v>
      </c>
      <c r="E6133" t="str">
        <f>IF(COUNTIF(data1!$D:$D,D6133)=0,"Missing in Data1","Present")</f>
        <v>Present</v>
      </c>
    </row>
    <row r="6134" spans="1:5" x14ac:dyDescent="0.25">
      <c r="A6134" s="2" t="s">
        <v>4922</v>
      </c>
      <c r="B6134" s="2" t="s">
        <v>884</v>
      </c>
      <c r="C6134" s="2">
        <v>8</v>
      </c>
      <c r="D6134" t="str">
        <f t="shared" si="95"/>
        <v>CA-2017-121853_OFF-PA-10003641</v>
      </c>
      <c r="E6134" t="str">
        <f>IF(COUNTIF(data1!$D:$D,D6134)=0,"Missing in Data1","Present")</f>
        <v>Present</v>
      </c>
    </row>
    <row r="6135" spans="1:5" x14ac:dyDescent="0.25">
      <c r="A6135" s="2" t="s">
        <v>4923</v>
      </c>
      <c r="B6135" s="2" t="s">
        <v>1533</v>
      </c>
      <c r="C6135" s="2">
        <v>3</v>
      </c>
      <c r="D6135" t="str">
        <f t="shared" si="95"/>
        <v>CA-2017-121888_FUR-BO-10002545</v>
      </c>
      <c r="E6135" t="str">
        <f>IF(COUNTIF(data1!$D:$D,D6135)=0,"Missing in Data1","Present")</f>
        <v>Present</v>
      </c>
    </row>
    <row r="6136" spans="1:5" x14ac:dyDescent="0.25">
      <c r="A6136" s="2" t="s">
        <v>4923</v>
      </c>
      <c r="B6136" s="2" t="s">
        <v>1246</v>
      </c>
      <c r="C6136" s="2">
        <v>2</v>
      </c>
      <c r="D6136" t="str">
        <f t="shared" si="95"/>
        <v>CA-2017-121888_OFF-AR-10003478</v>
      </c>
      <c r="E6136" t="str">
        <f>IF(COUNTIF(data1!$D:$D,D6136)=0,"Missing in Data1","Present")</f>
        <v>Present</v>
      </c>
    </row>
    <row r="6137" spans="1:5" x14ac:dyDescent="0.25">
      <c r="A6137" s="2" t="s">
        <v>4923</v>
      </c>
      <c r="B6137" s="2" t="s">
        <v>224</v>
      </c>
      <c r="C6137" s="2">
        <v>7</v>
      </c>
      <c r="D6137" t="str">
        <f t="shared" si="95"/>
        <v>CA-2017-121888_OFF-BI-10001765</v>
      </c>
      <c r="E6137" t="str">
        <f>IF(COUNTIF(data1!$D:$D,D6137)=0,"Missing in Data1","Present")</f>
        <v>Present</v>
      </c>
    </row>
    <row r="6138" spans="1:5" x14ac:dyDescent="0.25">
      <c r="A6138" s="2" t="s">
        <v>4924</v>
      </c>
      <c r="B6138" s="2" t="s">
        <v>2045</v>
      </c>
      <c r="C6138" s="2">
        <v>3</v>
      </c>
      <c r="D6138" t="str">
        <f t="shared" si="95"/>
        <v>CA-2017-121909_OFF-PA-10003790</v>
      </c>
      <c r="E6138" t="str">
        <f>IF(COUNTIF(data1!$D:$D,D6138)=0,"Missing in Data1","Present")</f>
        <v>Present</v>
      </c>
    </row>
    <row r="6139" spans="1:5" x14ac:dyDescent="0.25">
      <c r="A6139" s="2" t="s">
        <v>4925</v>
      </c>
      <c r="B6139" s="2" t="s">
        <v>796</v>
      </c>
      <c r="C6139" s="2">
        <v>7</v>
      </c>
      <c r="D6139" t="str">
        <f t="shared" si="95"/>
        <v>CA-2017-122007_OFF-AP-10000358</v>
      </c>
      <c r="E6139" t="str">
        <f>IF(COUNTIF(data1!$D:$D,D6139)=0,"Missing in Data1","Present")</f>
        <v>Present</v>
      </c>
    </row>
    <row r="6140" spans="1:5" x14ac:dyDescent="0.25">
      <c r="A6140" s="2" t="s">
        <v>4926</v>
      </c>
      <c r="B6140" s="2" t="s">
        <v>1950</v>
      </c>
      <c r="C6140" s="2">
        <v>3</v>
      </c>
      <c r="D6140" t="str">
        <f t="shared" si="95"/>
        <v>CA-2017-122028_OFF-BI-10004817</v>
      </c>
      <c r="E6140" t="str">
        <f>IF(COUNTIF(data1!$D:$D,D6140)=0,"Missing in Data1","Present")</f>
        <v>Present</v>
      </c>
    </row>
    <row r="6141" spans="1:5" x14ac:dyDescent="0.25">
      <c r="A6141" s="2" t="s">
        <v>4927</v>
      </c>
      <c r="B6141" s="2" t="s">
        <v>246</v>
      </c>
      <c r="C6141" s="2">
        <v>3</v>
      </c>
      <c r="D6141" t="str">
        <f t="shared" si="95"/>
        <v>CA-2017-122035_FUR-CH-10003833</v>
      </c>
      <c r="E6141" t="str">
        <f>IF(COUNTIF(data1!$D:$D,D6141)=0,"Missing in Data1","Present")</f>
        <v>Present</v>
      </c>
    </row>
    <row r="6142" spans="1:5" x14ac:dyDescent="0.25">
      <c r="A6142" s="2" t="s">
        <v>4927</v>
      </c>
      <c r="B6142" s="2" t="s">
        <v>563</v>
      </c>
      <c r="C6142" s="2">
        <v>2</v>
      </c>
      <c r="D6142" t="str">
        <f t="shared" si="95"/>
        <v>CA-2017-122035_OFF-AP-10002118</v>
      </c>
      <c r="E6142" t="str">
        <f>IF(COUNTIF(data1!$D:$D,D6142)=0,"Missing in Data1","Present")</f>
        <v>Present</v>
      </c>
    </row>
    <row r="6143" spans="1:5" x14ac:dyDescent="0.25">
      <c r="A6143" s="2" t="s">
        <v>4927</v>
      </c>
      <c r="B6143" s="2" t="s">
        <v>2875</v>
      </c>
      <c r="C6143" s="2">
        <v>5</v>
      </c>
      <c r="D6143" t="str">
        <f t="shared" si="95"/>
        <v>CA-2017-122035_OFF-BI-10000404</v>
      </c>
      <c r="E6143" t="str">
        <f>IF(COUNTIF(data1!$D:$D,D6143)=0,"Missing in Data1","Present")</f>
        <v>Present</v>
      </c>
    </row>
    <row r="6144" spans="1:5" x14ac:dyDescent="0.25">
      <c r="A6144" s="2" t="s">
        <v>4927</v>
      </c>
      <c r="B6144" s="2" t="s">
        <v>3126</v>
      </c>
      <c r="C6144" s="2">
        <v>7</v>
      </c>
      <c r="D6144" t="str">
        <f t="shared" si="95"/>
        <v>CA-2017-122035_OFF-BI-10002072</v>
      </c>
      <c r="E6144" t="str">
        <f>IF(COUNTIF(data1!$D:$D,D6144)=0,"Missing in Data1","Present")</f>
        <v>Present</v>
      </c>
    </row>
    <row r="6145" spans="1:5" x14ac:dyDescent="0.25">
      <c r="A6145" s="2" t="s">
        <v>4927</v>
      </c>
      <c r="B6145" s="2" t="s">
        <v>2712</v>
      </c>
      <c r="C6145" s="2">
        <v>2</v>
      </c>
      <c r="D6145" t="str">
        <f t="shared" si="95"/>
        <v>CA-2017-122035_OFF-LA-10004093</v>
      </c>
      <c r="E6145" t="str">
        <f>IF(COUNTIF(data1!$D:$D,D6145)=0,"Missing in Data1","Present")</f>
        <v>Present</v>
      </c>
    </row>
    <row r="6146" spans="1:5" x14ac:dyDescent="0.25">
      <c r="A6146" s="2" t="s">
        <v>4927</v>
      </c>
      <c r="B6146" s="2" t="s">
        <v>2092</v>
      </c>
      <c r="C6146" s="2">
        <v>3</v>
      </c>
      <c r="D6146" t="str">
        <f t="shared" si="95"/>
        <v>CA-2017-122035_TEC-AC-10003095</v>
      </c>
      <c r="E6146" t="str">
        <f>IF(COUNTIF(data1!$D:$D,D6146)=0,"Missing in Data1","Present")</f>
        <v>Present</v>
      </c>
    </row>
    <row r="6147" spans="1:5" x14ac:dyDescent="0.25">
      <c r="A6147" s="2" t="s">
        <v>4928</v>
      </c>
      <c r="B6147" s="2" t="s">
        <v>4929</v>
      </c>
      <c r="C6147" s="2">
        <v>7</v>
      </c>
      <c r="D6147" t="str">
        <f t="shared" ref="D6147:D6210" si="96">A6147&amp;"_"&amp;B6147</f>
        <v>CA-2017-122056_OFF-AR-10004260</v>
      </c>
      <c r="E6147" t="str">
        <f>IF(COUNTIF(data1!$D:$D,D6147)=0,"Missing in Data1","Present")</f>
        <v>Present</v>
      </c>
    </row>
    <row r="6148" spans="1:5" x14ac:dyDescent="0.25">
      <c r="A6148" s="2" t="s">
        <v>4930</v>
      </c>
      <c r="B6148" s="2" t="s">
        <v>4931</v>
      </c>
      <c r="C6148" s="2">
        <v>4</v>
      </c>
      <c r="D6148" t="str">
        <f t="shared" si="96"/>
        <v>CA-2017-122077_OFF-LA-10004178</v>
      </c>
      <c r="E6148" t="str">
        <f>IF(COUNTIF(data1!$D:$D,D6148)=0,"Missing in Data1","Present")</f>
        <v>Present</v>
      </c>
    </row>
    <row r="6149" spans="1:5" x14ac:dyDescent="0.25">
      <c r="A6149" s="2" t="s">
        <v>4930</v>
      </c>
      <c r="B6149" s="2" t="s">
        <v>713</v>
      </c>
      <c r="C6149" s="2">
        <v>1</v>
      </c>
      <c r="D6149" t="str">
        <f t="shared" si="96"/>
        <v>CA-2017-122077_TEC-PH-10003811</v>
      </c>
      <c r="E6149" t="str">
        <f>IF(COUNTIF(data1!$D:$D,D6149)=0,"Missing in Data1","Present")</f>
        <v>Present</v>
      </c>
    </row>
    <row r="6150" spans="1:5" x14ac:dyDescent="0.25">
      <c r="A6150" s="2" t="s">
        <v>4932</v>
      </c>
      <c r="B6150" s="2" t="s">
        <v>1544</v>
      </c>
      <c r="C6150" s="2">
        <v>8</v>
      </c>
      <c r="D6150" t="str">
        <f t="shared" si="96"/>
        <v>CA-2017-122105_OFF-AR-10004344</v>
      </c>
      <c r="E6150" t="str">
        <f>IF(COUNTIF(data1!$D:$D,D6150)=0,"Missing in Data1","Present")</f>
        <v>Present</v>
      </c>
    </row>
    <row r="6151" spans="1:5" x14ac:dyDescent="0.25">
      <c r="A6151" s="2" t="s">
        <v>4933</v>
      </c>
      <c r="B6151" s="2" t="s">
        <v>1231</v>
      </c>
      <c r="C6151" s="2">
        <v>4</v>
      </c>
      <c r="D6151" t="str">
        <f t="shared" si="96"/>
        <v>CA-2017-122112_OFF-EN-10004459</v>
      </c>
      <c r="E6151" t="str">
        <f>IF(COUNTIF(data1!$D:$D,D6151)=0,"Missing in Data1","Present")</f>
        <v>Present</v>
      </c>
    </row>
    <row r="6152" spans="1:5" x14ac:dyDescent="0.25">
      <c r="A6152" s="2" t="s">
        <v>4934</v>
      </c>
      <c r="B6152" s="2" t="s">
        <v>637</v>
      </c>
      <c r="C6152" s="2">
        <v>1</v>
      </c>
      <c r="D6152" t="str">
        <f t="shared" si="96"/>
        <v>CA-2017-122154_OFF-BI-10002026</v>
      </c>
      <c r="E6152" t="str">
        <f>IF(COUNTIF(data1!$D:$D,D6152)=0,"Missing in Data1","Present")</f>
        <v>Present</v>
      </c>
    </row>
    <row r="6153" spans="1:5" x14ac:dyDescent="0.25">
      <c r="A6153" s="2" t="s">
        <v>4934</v>
      </c>
      <c r="B6153" s="2" t="s">
        <v>788</v>
      </c>
      <c r="C6153" s="2">
        <v>3</v>
      </c>
      <c r="D6153" t="str">
        <f t="shared" si="96"/>
        <v>CA-2017-122154_OFF-LA-10000121</v>
      </c>
      <c r="E6153" t="str">
        <f>IF(COUNTIF(data1!$D:$D,D6153)=0,"Missing in Data1","Present")</f>
        <v>Present</v>
      </c>
    </row>
    <row r="6154" spans="1:5" x14ac:dyDescent="0.25">
      <c r="A6154" s="2" t="s">
        <v>4934</v>
      </c>
      <c r="B6154" s="2" t="s">
        <v>2100</v>
      </c>
      <c r="C6154" s="2">
        <v>3</v>
      </c>
      <c r="D6154" t="str">
        <f t="shared" si="96"/>
        <v>CA-2017-122154_OFF-PA-10000994</v>
      </c>
      <c r="E6154" t="str">
        <f>IF(COUNTIF(data1!$D:$D,D6154)=0,"Missing in Data1","Present")</f>
        <v>Present</v>
      </c>
    </row>
    <row r="6155" spans="1:5" x14ac:dyDescent="0.25">
      <c r="A6155" s="2" t="s">
        <v>4935</v>
      </c>
      <c r="B6155" s="2" t="s">
        <v>556</v>
      </c>
      <c r="C6155" s="2">
        <v>5</v>
      </c>
      <c r="D6155" t="str">
        <f t="shared" si="96"/>
        <v>CA-2017-122175_FUR-FU-10000719</v>
      </c>
      <c r="E6155" t="str">
        <f>IF(COUNTIF(data1!$D:$D,D6155)=0,"Missing in Data1","Present")</f>
        <v>Present</v>
      </c>
    </row>
    <row r="6156" spans="1:5" x14ac:dyDescent="0.25">
      <c r="A6156" s="2" t="s">
        <v>4935</v>
      </c>
      <c r="B6156" s="2" t="s">
        <v>671</v>
      </c>
      <c r="C6156" s="2">
        <v>2</v>
      </c>
      <c r="D6156" t="str">
        <f t="shared" si="96"/>
        <v>CA-2017-122175_OFF-LA-10002271</v>
      </c>
      <c r="E6156" t="str">
        <f>IF(COUNTIF(data1!$D:$D,D6156)=0,"Missing in Data1","Present")</f>
        <v>Present</v>
      </c>
    </row>
    <row r="6157" spans="1:5" x14ac:dyDescent="0.25">
      <c r="A6157" s="2" t="s">
        <v>4935</v>
      </c>
      <c r="B6157" s="2" t="s">
        <v>656</v>
      </c>
      <c r="C6157" s="2">
        <v>2</v>
      </c>
      <c r="D6157" t="str">
        <f t="shared" si="96"/>
        <v>CA-2017-122175_OFF-SU-10004661</v>
      </c>
      <c r="E6157" t="str">
        <f>IF(COUNTIF(data1!$D:$D,D6157)=0,"Missing in Data1","Present")</f>
        <v>Present</v>
      </c>
    </row>
    <row r="6158" spans="1:5" x14ac:dyDescent="0.25">
      <c r="A6158" s="2" t="s">
        <v>4935</v>
      </c>
      <c r="B6158" s="2" t="s">
        <v>522</v>
      </c>
      <c r="C6158" s="2">
        <v>5</v>
      </c>
      <c r="D6158" t="str">
        <f t="shared" si="96"/>
        <v>CA-2017-122175_TEC-AC-10004859</v>
      </c>
      <c r="E6158" t="str">
        <f>IF(COUNTIF(data1!$D:$D,D6158)=0,"Missing in Data1","Present")</f>
        <v>Present</v>
      </c>
    </row>
    <row r="6159" spans="1:5" x14ac:dyDescent="0.25">
      <c r="A6159" s="2" t="s">
        <v>4936</v>
      </c>
      <c r="B6159" s="2" t="s">
        <v>1113</v>
      </c>
      <c r="C6159" s="2">
        <v>2</v>
      </c>
      <c r="D6159" t="str">
        <f t="shared" si="96"/>
        <v>CA-2017-122196_TEC-PH-10004977</v>
      </c>
      <c r="E6159" t="str">
        <f>IF(COUNTIF(data1!$D:$D,D6159)=0,"Missing in Data1","Present")</f>
        <v>Present</v>
      </c>
    </row>
    <row r="6160" spans="1:5" x14ac:dyDescent="0.25">
      <c r="A6160" s="2" t="s">
        <v>4937</v>
      </c>
      <c r="B6160" s="2" t="s">
        <v>4400</v>
      </c>
      <c r="C6160" s="2">
        <v>2</v>
      </c>
      <c r="D6160" t="str">
        <f t="shared" si="96"/>
        <v>CA-2017-122280_OFF-PA-10004911</v>
      </c>
      <c r="E6160" t="str">
        <f>IF(COUNTIF(data1!$D:$D,D6160)=0,"Missing in Data1","Present")</f>
        <v>Present</v>
      </c>
    </row>
    <row r="6161" spans="1:5" x14ac:dyDescent="0.25">
      <c r="A6161" s="2" t="s">
        <v>4938</v>
      </c>
      <c r="B6161" s="2" t="s">
        <v>2884</v>
      </c>
      <c r="C6161" s="2">
        <v>2</v>
      </c>
      <c r="D6161" t="str">
        <f t="shared" si="96"/>
        <v>CA-2017-122308_FUR-CH-10000665</v>
      </c>
      <c r="E6161" t="str">
        <f>IF(COUNTIF(data1!$D:$D,D6161)=0,"Missing in Data1","Present")</f>
        <v>Present</v>
      </c>
    </row>
    <row r="6162" spans="1:5" x14ac:dyDescent="0.25">
      <c r="A6162" s="2" t="s">
        <v>4939</v>
      </c>
      <c r="B6162" s="2" t="s">
        <v>4940</v>
      </c>
      <c r="C6162" s="2">
        <v>3</v>
      </c>
      <c r="D6162" t="str">
        <f t="shared" si="96"/>
        <v>CA-2017-122364_TEC-MA-10001031</v>
      </c>
      <c r="E6162" t="str">
        <f>IF(COUNTIF(data1!$D:$D,D6162)=0,"Missing in Data1","Present")</f>
        <v>Present</v>
      </c>
    </row>
    <row r="6163" spans="1:5" x14ac:dyDescent="0.25">
      <c r="A6163" s="2" t="s">
        <v>4939</v>
      </c>
      <c r="B6163" s="2" t="s">
        <v>2598</v>
      </c>
      <c r="C6163" s="2">
        <v>3</v>
      </c>
      <c r="D6163" t="str">
        <f t="shared" si="96"/>
        <v>CA-2017-122364_TEC-PH-10001817</v>
      </c>
      <c r="E6163" t="str">
        <f>IF(COUNTIF(data1!$D:$D,D6163)=0,"Missing in Data1","Present")</f>
        <v>Present</v>
      </c>
    </row>
    <row r="6164" spans="1:5" x14ac:dyDescent="0.25">
      <c r="A6164" s="2" t="s">
        <v>4941</v>
      </c>
      <c r="B6164" s="2" t="s">
        <v>583</v>
      </c>
      <c r="C6164" s="2">
        <v>6</v>
      </c>
      <c r="D6164" t="str">
        <f t="shared" si="96"/>
        <v>CA-2017-122490_FUR-CH-10001215</v>
      </c>
      <c r="E6164" t="str">
        <f>IF(COUNTIF(data1!$D:$D,D6164)=0,"Missing in Data1","Present")</f>
        <v>Present</v>
      </c>
    </row>
    <row r="6165" spans="1:5" x14ac:dyDescent="0.25">
      <c r="A6165" s="2" t="s">
        <v>4941</v>
      </c>
      <c r="B6165" s="2" t="s">
        <v>2324</v>
      </c>
      <c r="C6165" s="2">
        <v>11</v>
      </c>
      <c r="D6165" t="str">
        <f t="shared" si="96"/>
        <v>CA-2017-122490_OFF-BI-10001718</v>
      </c>
      <c r="E6165" t="str">
        <f>IF(COUNTIF(data1!$D:$D,D6165)=0,"Missing in Data1","Present")</f>
        <v>Present</v>
      </c>
    </row>
    <row r="6166" spans="1:5" x14ac:dyDescent="0.25">
      <c r="A6166" s="2" t="s">
        <v>4941</v>
      </c>
      <c r="B6166" s="2" t="s">
        <v>776</v>
      </c>
      <c r="C6166" s="2">
        <v>3</v>
      </c>
      <c r="D6166" t="str">
        <f t="shared" si="96"/>
        <v>CA-2017-122490_OFF-LA-10001613</v>
      </c>
      <c r="E6166" t="str">
        <f>IF(COUNTIF(data1!$D:$D,D6166)=0,"Missing in Data1","Present")</f>
        <v>Present</v>
      </c>
    </row>
    <row r="6167" spans="1:5" x14ac:dyDescent="0.25">
      <c r="A6167" s="2" t="s">
        <v>4941</v>
      </c>
      <c r="B6167" s="2" t="s">
        <v>632</v>
      </c>
      <c r="C6167" s="2">
        <v>3</v>
      </c>
      <c r="D6167" t="str">
        <f t="shared" si="96"/>
        <v>CA-2017-122490_OFF-ST-10000991</v>
      </c>
      <c r="E6167" t="str">
        <f>IF(COUNTIF(data1!$D:$D,D6167)=0,"Missing in Data1","Present")</f>
        <v>Present</v>
      </c>
    </row>
    <row r="6168" spans="1:5" x14ac:dyDescent="0.25">
      <c r="A6168" s="2" t="s">
        <v>4942</v>
      </c>
      <c r="B6168" s="2" t="s">
        <v>1912</v>
      </c>
      <c r="C6168" s="2">
        <v>3</v>
      </c>
      <c r="D6168" t="str">
        <f t="shared" si="96"/>
        <v>CA-2017-122504_TEC-AC-10003289</v>
      </c>
      <c r="E6168" t="str">
        <f>IF(COUNTIF(data1!$D:$D,D6168)=0,"Missing in Data1","Present")</f>
        <v>Present</v>
      </c>
    </row>
    <row r="6169" spans="1:5" x14ac:dyDescent="0.25">
      <c r="A6169" s="2" t="s">
        <v>4942</v>
      </c>
      <c r="B6169" s="2" t="s">
        <v>200</v>
      </c>
      <c r="C6169" s="2">
        <v>7</v>
      </c>
      <c r="D6169" t="str">
        <f t="shared" si="96"/>
        <v>CA-2017-122504_TEC-PH-10002468</v>
      </c>
      <c r="E6169" t="str">
        <f>IF(COUNTIF(data1!$D:$D,D6169)=0,"Missing in Data1","Present")</f>
        <v>Present</v>
      </c>
    </row>
    <row r="6170" spans="1:5" x14ac:dyDescent="0.25">
      <c r="A6170" s="2" t="s">
        <v>4943</v>
      </c>
      <c r="B6170" s="2" t="s">
        <v>1682</v>
      </c>
      <c r="C6170" s="2">
        <v>2</v>
      </c>
      <c r="D6170" t="str">
        <f t="shared" si="96"/>
        <v>CA-2017-122539_FUR-CH-10003379</v>
      </c>
      <c r="E6170" t="str">
        <f>IF(COUNTIF(data1!$D:$D,D6170)=0,"Missing in Data1","Present")</f>
        <v>Present</v>
      </c>
    </row>
    <row r="6171" spans="1:5" x14ac:dyDescent="0.25">
      <c r="A6171" s="2" t="s">
        <v>4943</v>
      </c>
      <c r="B6171" s="2" t="s">
        <v>1795</v>
      </c>
      <c r="C6171" s="2">
        <v>7</v>
      </c>
      <c r="D6171" t="str">
        <f t="shared" si="96"/>
        <v>CA-2017-122539_OFF-BI-10001759</v>
      </c>
      <c r="E6171" t="str">
        <f>IF(COUNTIF(data1!$D:$D,D6171)=0,"Missing in Data1","Present")</f>
        <v>Present</v>
      </c>
    </row>
    <row r="6172" spans="1:5" x14ac:dyDescent="0.25">
      <c r="A6172" s="2" t="s">
        <v>4943</v>
      </c>
      <c r="B6172" s="2" t="s">
        <v>1803</v>
      </c>
      <c r="C6172" s="2">
        <v>4</v>
      </c>
      <c r="D6172" t="str">
        <f t="shared" si="96"/>
        <v>CA-2017-122539_OFF-LA-10004853</v>
      </c>
      <c r="E6172" t="str">
        <f>IF(COUNTIF(data1!$D:$D,D6172)=0,"Missing in Data1","Present")</f>
        <v>Present</v>
      </c>
    </row>
    <row r="6173" spans="1:5" x14ac:dyDescent="0.25">
      <c r="A6173" s="2" t="s">
        <v>4944</v>
      </c>
      <c r="B6173" s="2" t="s">
        <v>2472</v>
      </c>
      <c r="C6173" s="2">
        <v>1</v>
      </c>
      <c r="D6173" t="str">
        <f t="shared" si="96"/>
        <v>CA-2017-122595_FUR-FU-10002963</v>
      </c>
      <c r="E6173" t="str">
        <f>IF(COUNTIF(data1!$D:$D,D6173)=0,"Missing in Data1","Present")</f>
        <v>Present</v>
      </c>
    </row>
    <row r="6174" spans="1:5" x14ac:dyDescent="0.25">
      <c r="A6174" s="2" t="s">
        <v>4944</v>
      </c>
      <c r="B6174" s="2" t="s">
        <v>19</v>
      </c>
      <c r="C6174" s="2">
        <v>3</v>
      </c>
      <c r="D6174" t="str">
        <f t="shared" si="96"/>
        <v>CA-2017-122595_TEC-AC-10000474</v>
      </c>
      <c r="E6174" t="str">
        <f>IF(COUNTIF(data1!$D:$D,D6174)=0,"Missing in Data1","Present")</f>
        <v>Present</v>
      </c>
    </row>
    <row r="6175" spans="1:5" x14ac:dyDescent="0.25">
      <c r="A6175" s="2" t="s">
        <v>4944</v>
      </c>
      <c r="B6175" s="2" t="s">
        <v>934</v>
      </c>
      <c r="C6175" s="2">
        <v>3</v>
      </c>
      <c r="D6175" t="str">
        <f t="shared" si="96"/>
        <v>CA-2017-122595_TEC-PH-10003095</v>
      </c>
      <c r="E6175" t="str">
        <f>IF(COUNTIF(data1!$D:$D,D6175)=0,"Missing in Data1","Present")</f>
        <v>Present</v>
      </c>
    </row>
    <row r="6176" spans="1:5" x14ac:dyDescent="0.25">
      <c r="A6176" s="2" t="s">
        <v>4946</v>
      </c>
      <c r="B6176" s="2" t="s">
        <v>1189</v>
      </c>
      <c r="C6176" s="2">
        <v>7</v>
      </c>
      <c r="D6176" t="str">
        <f t="shared" si="96"/>
        <v>CA-2017-122693_OFF-AP-10002518</v>
      </c>
      <c r="E6176" t="str">
        <f>IF(COUNTIF(data1!$D:$D,D6176)=0,"Missing in Data1","Present")</f>
        <v>Present</v>
      </c>
    </row>
    <row r="6177" spans="1:5" x14ac:dyDescent="0.25">
      <c r="A6177" s="2" t="s">
        <v>4947</v>
      </c>
      <c r="B6177" s="2" t="s">
        <v>4072</v>
      </c>
      <c r="C6177" s="2">
        <v>8</v>
      </c>
      <c r="D6177" t="str">
        <f t="shared" si="96"/>
        <v>CA-2017-122700_TEC-PH-10003092</v>
      </c>
      <c r="E6177" t="str">
        <f>IF(COUNTIF(data1!$D:$D,D6177)=0,"Missing in Data1","Present")</f>
        <v>Present</v>
      </c>
    </row>
    <row r="6178" spans="1:5" x14ac:dyDescent="0.25">
      <c r="A6178" s="2" t="s">
        <v>4948</v>
      </c>
      <c r="B6178" s="2" t="s">
        <v>695</v>
      </c>
      <c r="C6178" s="2">
        <v>4</v>
      </c>
      <c r="D6178" t="str">
        <f t="shared" si="96"/>
        <v>CA-2017-122707_OFF-SU-10000157</v>
      </c>
      <c r="E6178" t="str">
        <f>IF(COUNTIF(data1!$D:$D,D6178)=0,"Missing in Data1","Present")</f>
        <v>Present</v>
      </c>
    </row>
    <row r="6179" spans="1:5" x14ac:dyDescent="0.25">
      <c r="A6179" s="2" t="s">
        <v>4948</v>
      </c>
      <c r="B6179" s="2" t="s">
        <v>963</v>
      </c>
      <c r="C6179" s="2">
        <v>2</v>
      </c>
      <c r="D6179" t="str">
        <f t="shared" si="96"/>
        <v>CA-2017-122707_TEC-AC-10004227</v>
      </c>
      <c r="E6179" t="str">
        <f>IF(COUNTIF(data1!$D:$D,D6179)=0,"Missing in Data1","Present")</f>
        <v>Present</v>
      </c>
    </row>
    <row r="6180" spans="1:5" x14ac:dyDescent="0.25">
      <c r="A6180" s="2" t="s">
        <v>4949</v>
      </c>
      <c r="B6180" s="2" t="s">
        <v>432</v>
      </c>
      <c r="C6180" s="2">
        <v>5</v>
      </c>
      <c r="D6180" t="str">
        <f t="shared" si="96"/>
        <v>CA-2017-122735_OFF-BI-10004364</v>
      </c>
      <c r="E6180" t="str">
        <f>IF(COUNTIF(data1!$D:$D,D6180)=0,"Missing in Data1","Present")</f>
        <v>Present</v>
      </c>
    </row>
    <row r="6181" spans="1:5" x14ac:dyDescent="0.25">
      <c r="A6181" s="2" t="s">
        <v>4949</v>
      </c>
      <c r="B6181" s="2" t="s">
        <v>138</v>
      </c>
      <c r="C6181" s="2">
        <v>4</v>
      </c>
      <c r="D6181" t="str">
        <f t="shared" si="96"/>
        <v>CA-2017-122735_OFF-PA-10001712</v>
      </c>
      <c r="E6181" t="str">
        <f>IF(COUNTIF(data1!$D:$D,D6181)=0,"Missing in Data1","Present")</f>
        <v>Present</v>
      </c>
    </row>
    <row r="6182" spans="1:5" x14ac:dyDescent="0.25">
      <c r="A6182" s="2" t="s">
        <v>4950</v>
      </c>
      <c r="B6182" s="2" t="s">
        <v>433</v>
      </c>
      <c r="C6182" s="2">
        <v>2</v>
      </c>
      <c r="D6182" t="str">
        <f t="shared" si="96"/>
        <v>CA-2017-122763_OFF-PA-10000474</v>
      </c>
      <c r="E6182" t="str">
        <f>IF(COUNTIF(data1!$D:$D,D6182)=0,"Missing in Data1","Present")</f>
        <v>Present</v>
      </c>
    </row>
    <row r="6183" spans="1:5" x14ac:dyDescent="0.25">
      <c r="A6183" s="2" t="s">
        <v>4950</v>
      </c>
      <c r="B6183" s="2" t="s">
        <v>592</v>
      </c>
      <c r="C6183" s="2">
        <v>7</v>
      </c>
      <c r="D6183" t="str">
        <f t="shared" si="96"/>
        <v>CA-2017-122763_OFF-PA-10002377</v>
      </c>
      <c r="E6183" t="str">
        <f>IF(COUNTIF(data1!$D:$D,D6183)=0,"Missing in Data1","Present")</f>
        <v>Present</v>
      </c>
    </row>
    <row r="6184" spans="1:5" x14ac:dyDescent="0.25">
      <c r="A6184" s="2" t="s">
        <v>4951</v>
      </c>
      <c r="B6184" s="2" t="s">
        <v>1529</v>
      </c>
      <c r="C6184" s="2">
        <v>8</v>
      </c>
      <c r="D6184" t="str">
        <f t="shared" si="96"/>
        <v>CA-2017-122770_FUR-FU-10001473</v>
      </c>
      <c r="E6184" t="str">
        <f>IF(COUNTIF(data1!$D:$D,D6184)=0,"Missing in Data1","Present")</f>
        <v>Present</v>
      </c>
    </row>
    <row r="6185" spans="1:5" x14ac:dyDescent="0.25">
      <c r="A6185" s="2" t="s">
        <v>4951</v>
      </c>
      <c r="B6185" s="2" t="s">
        <v>486</v>
      </c>
      <c r="C6185" s="2">
        <v>3</v>
      </c>
      <c r="D6185" t="str">
        <f t="shared" si="96"/>
        <v>CA-2017-122770_OFF-LA-10004559</v>
      </c>
      <c r="E6185" t="str">
        <f>IF(COUNTIF(data1!$D:$D,D6185)=0,"Missing in Data1","Present")</f>
        <v>Present</v>
      </c>
    </row>
    <row r="6186" spans="1:5" x14ac:dyDescent="0.25">
      <c r="A6186" s="2" t="s">
        <v>4951</v>
      </c>
      <c r="B6186" s="2" t="s">
        <v>1909</v>
      </c>
      <c r="C6186" s="2">
        <v>6</v>
      </c>
      <c r="D6186" t="str">
        <f t="shared" si="96"/>
        <v>CA-2017-122770_OFF-PA-10003172</v>
      </c>
      <c r="E6186" t="str">
        <f>IF(COUNTIF(data1!$D:$D,D6186)=0,"Missing in Data1","Present")</f>
        <v>Present</v>
      </c>
    </row>
    <row r="6187" spans="1:5" x14ac:dyDescent="0.25">
      <c r="A6187" s="2" t="s">
        <v>4952</v>
      </c>
      <c r="B6187" s="2" t="s">
        <v>3014</v>
      </c>
      <c r="C6187" s="2">
        <v>1</v>
      </c>
      <c r="D6187" t="str">
        <f t="shared" si="96"/>
        <v>CA-2017-122798_OFF-PA-10004239</v>
      </c>
      <c r="E6187" t="str">
        <f>IF(COUNTIF(data1!$D:$D,D6187)=0,"Missing in Data1","Present")</f>
        <v>Present</v>
      </c>
    </row>
    <row r="6188" spans="1:5" x14ac:dyDescent="0.25">
      <c r="A6188" s="2" t="s">
        <v>4952</v>
      </c>
      <c r="B6188" s="2" t="s">
        <v>599</v>
      </c>
      <c r="C6188" s="2">
        <v>5</v>
      </c>
      <c r="D6188" t="str">
        <f t="shared" si="96"/>
        <v>CA-2017-122798_OFF-ST-10003058</v>
      </c>
      <c r="E6188" t="str">
        <f>IF(COUNTIF(data1!$D:$D,D6188)=0,"Missing in Data1","Present")</f>
        <v>Present</v>
      </c>
    </row>
    <row r="6189" spans="1:5" x14ac:dyDescent="0.25">
      <c r="A6189" s="2" t="s">
        <v>4953</v>
      </c>
      <c r="B6189" s="2" t="s">
        <v>577</v>
      </c>
      <c r="C6189" s="2">
        <v>3</v>
      </c>
      <c r="D6189" t="str">
        <f t="shared" si="96"/>
        <v>CA-2017-122945_FUR-FU-10001196</v>
      </c>
      <c r="E6189" t="str">
        <f>IF(COUNTIF(data1!$D:$D,D6189)=0,"Missing in Data1","Present")</f>
        <v>Present</v>
      </c>
    </row>
    <row r="6190" spans="1:5" x14ac:dyDescent="0.25">
      <c r="A6190" s="2" t="s">
        <v>4954</v>
      </c>
      <c r="B6190" s="2" t="s">
        <v>1255</v>
      </c>
      <c r="C6190" s="2">
        <v>3</v>
      </c>
      <c r="D6190" t="str">
        <f t="shared" si="96"/>
        <v>CA-2017-122987_OFF-BI-10002824</v>
      </c>
      <c r="E6190" t="str">
        <f>IF(COUNTIF(data1!$D:$D,D6190)=0,"Missing in Data1","Present")</f>
        <v>Present</v>
      </c>
    </row>
    <row r="6191" spans="1:5" x14ac:dyDescent="0.25">
      <c r="A6191" s="2" t="s">
        <v>4954</v>
      </c>
      <c r="B6191" s="2" t="s">
        <v>45</v>
      </c>
      <c r="C6191" s="2">
        <v>4</v>
      </c>
      <c r="D6191" t="str">
        <f t="shared" si="96"/>
        <v>CA-2017-122987_OFF-ST-10004950</v>
      </c>
      <c r="E6191" t="str">
        <f>IF(COUNTIF(data1!$D:$D,D6191)=0,"Missing in Data1","Present")</f>
        <v>Present</v>
      </c>
    </row>
    <row r="6192" spans="1:5" x14ac:dyDescent="0.25">
      <c r="A6192" s="2" t="s">
        <v>4955</v>
      </c>
      <c r="B6192" s="2" t="s">
        <v>631</v>
      </c>
      <c r="C6192" s="2">
        <v>3</v>
      </c>
      <c r="D6192" t="str">
        <f t="shared" si="96"/>
        <v>CA-2017-122994_FUR-BO-10004015</v>
      </c>
      <c r="E6192" t="str">
        <f>IF(COUNTIF(data1!$D:$D,D6192)=0,"Missing in Data1","Present")</f>
        <v>Present</v>
      </c>
    </row>
    <row r="6193" spans="1:5" x14ac:dyDescent="0.25">
      <c r="A6193" s="2" t="s">
        <v>4956</v>
      </c>
      <c r="B6193" s="2" t="s">
        <v>899</v>
      </c>
      <c r="C6193" s="2">
        <v>5</v>
      </c>
      <c r="D6193" t="str">
        <f t="shared" si="96"/>
        <v>CA-2017-123001_OFF-AR-10001919</v>
      </c>
      <c r="E6193" t="str">
        <f>IF(COUNTIF(data1!$D:$D,D6193)=0,"Missing in Data1","Present")</f>
        <v>Present</v>
      </c>
    </row>
    <row r="6194" spans="1:5" x14ac:dyDescent="0.25">
      <c r="A6194" s="2" t="s">
        <v>4956</v>
      </c>
      <c r="B6194" s="2" t="s">
        <v>2582</v>
      </c>
      <c r="C6194" s="2">
        <v>5</v>
      </c>
      <c r="D6194" t="str">
        <f t="shared" si="96"/>
        <v>CA-2017-123001_OFF-LA-10004544</v>
      </c>
      <c r="E6194" t="str">
        <f>IF(COUNTIF(data1!$D:$D,D6194)=0,"Missing in Data1","Present")</f>
        <v>Present</v>
      </c>
    </row>
    <row r="6195" spans="1:5" x14ac:dyDescent="0.25">
      <c r="A6195" s="2" t="s">
        <v>4956</v>
      </c>
      <c r="B6195" s="2" t="s">
        <v>673</v>
      </c>
      <c r="C6195" s="2">
        <v>2</v>
      </c>
      <c r="D6195" t="str">
        <f t="shared" si="96"/>
        <v>CA-2017-123001_TEC-PH-10003484</v>
      </c>
      <c r="E6195" t="str">
        <f>IF(COUNTIF(data1!$D:$D,D6195)=0,"Missing in Data1","Present")</f>
        <v>Present</v>
      </c>
    </row>
    <row r="6196" spans="1:5" x14ac:dyDescent="0.25">
      <c r="A6196" s="2" t="s">
        <v>4957</v>
      </c>
      <c r="B6196" s="2" t="s">
        <v>824</v>
      </c>
      <c r="C6196" s="2">
        <v>5</v>
      </c>
      <c r="D6196" t="str">
        <f t="shared" si="96"/>
        <v>CA-2017-123022_OFF-BI-10002225</v>
      </c>
      <c r="E6196" t="str">
        <f>IF(COUNTIF(data1!$D:$D,D6196)=0,"Missing in Data1","Present")</f>
        <v>Present</v>
      </c>
    </row>
    <row r="6197" spans="1:5" x14ac:dyDescent="0.25">
      <c r="A6197" s="2" t="s">
        <v>4957</v>
      </c>
      <c r="B6197" s="2" t="s">
        <v>19</v>
      </c>
      <c r="C6197" s="2">
        <v>3</v>
      </c>
      <c r="D6197" t="str">
        <f t="shared" si="96"/>
        <v>CA-2017-123022_TEC-AC-10000474</v>
      </c>
      <c r="E6197" t="str">
        <f>IF(COUNTIF(data1!$D:$D,D6197)=0,"Missing in Data1","Present")</f>
        <v>Present</v>
      </c>
    </row>
    <row r="6198" spans="1:5" x14ac:dyDescent="0.25">
      <c r="A6198" s="2" t="s">
        <v>4958</v>
      </c>
      <c r="B6198" s="2" t="s">
        <v>1862</v>
      </c>
      <c r="C6198" s="2">
        <v>2</v>
      </c>
      <c r="D6198" t="str">
        <f t="shared" si="96"/>
        <v>CA-2017-123029_TEC-AC-10002402</v>
      </c>
      <c r="E6198" t="str">
        <f>IF(COUNTIF(data1!$D:$D,D6198)=0,"Missing in Data1","Present")</f>
        <v>Present</v>
      </c>
    </row>
    <row r="6199" spans="1:5" x14ac:dyDescent="0.25">
      <c r="A6199" s="2" t="s">
        <v>4959</v>
      </c>
      <c r="B6199" s="2" t="s">
        <v>4861</v>
      </c>
      <c r="C6199" s="2">
        <v>4</v>
      </c>
      <c r="D6199" t="str">
        <f t="shared" si="96"/>
        <v>CA-2017-123036_TEC-AC-10003499</v>
      </c>
      <c r="E6199" t="str">
        <f>IF(COUNTIF(data1!$D:$D,D6199)=0,"Missing in Data1","Present")</f>
        <v>Present</v>
      </c>
    </row>
    <row r="6200" spans="1:5" x14ac:dyDescent="0.25">
      <c r="A6200" s="2" t="s">
        <v>4959</v>
      </c>
      <c r="B6200" s="2" t="s">
        <v>2691</v>
      </c>
      <c r="C6200" s="2">
        <v>2</v>
      </c>
      <c r="D6200" t="str">
        <f t="shared" si="96"/>
        <v>CA-2017-123036_TEC-PH-10003580</v>
      </c>
      <c r="E6200" t="str">
        <f>IF(COUNTIF(data1!$D:$D,D6200)=0,"Missing in Data1","Present")</f>
        <v>Present</v>
      </c>
    </row>
    <row r="6201" spans="1:5" x14ac:dyDescent="0.25">
      <c r="A6201" s="2" t="s">
        <v>4960</v>
      </c>
      <c r="B6201" s="2" t="s">
        <v>1490</v>
      </c>
      <c r="C6201" s="2">
        <v>1</v>
      </c>
      <c r="D6201" t="str">
        <f t="shared" si="96"/>
        <v>CA-2017-123043_OFF-BI-10000138</v>
      </c>
      <c r="E6201" t="str">
        <f>IF(COUNTIF(data1!$D:$D,D6201)=0,"Missing in Data1","Present")</f>
        <v>Present</v>
      </c>
    </row>
    <row r="6202" spans="1:5" x14ac:dyDescent="0.25">
      <c r="A6202" s="2" t="s">
        <v>4960</v>
      </c>
      <c r="B6202" s="2" t="s">
        <v>546</v>
      </c>
      <c r="C6202" s="2">
        <v>4</v>
      </c>
      <c r="D6202" t="str">
        <f t="shared" si="96"/>
        <v>CA-2017-123043_OFF-BI-10003910</v>
      </c>
      <c r="E6202" t="str">
        <f>IF(COUNTIF(data1!$D:$D,D6202)=0,"Missing in Data1","Present")</f>
        <v>Present</v>
      </c>
    </row>
    <row r="6203" spans="1:5" x14ac:dyDescent="0.25">
      <c r="A6203" s="2" t="s">
        <v>4961</v>
      </c>
      <c r="B6203" s="2" t="s">
        <v>4962</v>
      </c>
      <c r="C6203" s="2">
        <v>2</v>
      </c>
      <c r="D6203" t="str">
        <f t="shared" si="96"/>
        <v>CA-2017-123071_OFF-PA-10003729</v>
      </c>
      <c r="E6203" t="str">
        <f>IF(COUNTIF(data1!$D:$D,D6203)=0,"Missing in Data1","Present")</f>
        <v>Present</v>
      </c>
    </row>
    <row r="6204" spans="1:5" x14ac:dyDescent="0.25">
      <c r="A6204" s="2" t="s">
        <v>4963</v>
      </c>
      <c r="B6204" s="2" t="s">
        <v>2738</v>
      </c>
      <c r="C6204" s="2">
        <v>3</v>
      </c>
      <c r="D6204" t="str">
        <f t="shared" si="96"/>
        <v>CA-2017-123085_FUR-CH-10003968</v>
      </c>
      <c r="E6204" t="str">
        <f>IF(COUNTIF(data1!$D:$D,D6204)=0,"Missing in Data1","Present")</f>
        <v>Present</v>
      </c>
    </row>
    <row r="6205" spans="1:5" x14ac:dyDescent="0.25">
      <c r="A6205" s="2" t="s">
        <v>4963</v>
      </c>
      <c r="B6205" s="2" t="s">
        <v>2035</v>
      </c>
      <c r="C6205" s="2">
        <v>8</v>
      </c>
      <c r="D6205" t="str">
        <f t="shared" si="96"/>
        <v>CA-2017-123085_TEC-AC-10000990</v>
      </c>
      <c r="E6205" t="str">
        <f>IF(COUNTIF(data1!$D:$D,D6205)=0,"Missing in Data1","Present")</f>
        <v>Present</v>
      </c>
    </row>
    <row r="6206" spans="1:5" x14ac:dyDescent="0.25">
      <c r="A6206" s="2" t="s">
        <v>4964</v>
      </c>
      <c r="B6206" s="2" t="s">
        <v>1238</v>
      </c>
      <c r="C6206" s="2">
        <v>3</v>
      </c>
      <c r="D6206" t="str">
        <f t="shared" si="96"/>
        <v>CA-2017-123134_FUR-FU-10003975</v>
      </c>
      <c r="E6206" t="str">
        <f>IF(COUNTIF(data1!$D:$D,D6206)=0,"Missing in Data1","Present")</f>
        <v>Present</v>
      </c>
    </row>
    <row r="6207" spans="1:5" x14ac:dyDescent="0.25">
      <c r="A6207" s="2" t="s">
        <v>4965</v>
      </c>
      <c r="B6207" s="2" t="s">
        <v>1448</v>
      </c>
      <c r="C6207" s="2">
        <v>3</v>
      </c>
      <c r="D6207" t="str">
        <f t="shared" si="96"/>
        <v>CA-2017-123239_FUR-FU-10001602</v>
      </c>
      <c r="E6207" t="str">
        <f>IF(COUNTIF(data1!$D:$D,D6207)=0,"Missing in Data1","Present")</f>
        <v>Present</v>
      </c>
    </row>
    <row r="6208" spans="1:5" x14ac:dyDescent="0.25">
      <c r="A6208" s="2" t="s">
        <v>4966</v>
      </c>
      <c r="B6208" s="2" t="s">
        <v>3813</v>
      </c>
      <c r="C6208" s="2">
        <v>4</v>
      </c>
      <c r="D6208" t="str">
        <f t="shared" si="96"/>
        <v>CA-2017-123246_OFF-AR-10001770</v>
      </c>
      <c r="E6208" t="str">
        <f>IF(COUNTIF(data1!$D:$D,D6208)=0,"Missing in Data1","Present")</f>
        <v>Present</v>
      </c>
    </row>
    <row r="6209" spans="1:5" x14ac:dyDescent="0.25">
      <c r="A6209" s="2" t="s">
        <v>4967</v>
      </c>
      <c r="B6209" s="2" t="s">
        <v>3173</v>
      </c>
      <c r="C6209" s="2">
        <v>1</v>
      </c>
      <c r="D6209" t="str">
        <f t="shared" si="96"/>
        <v>CA-2017-123351_OFF-AP-10001242</v>
      </c>
      <c r="E6209" t="str">
        <f>IF(COUNTIF(data1!$D:$D,D6209)=0,"Missing in Data1","Present")</f>
        <v>Present</v>
      </c>
    </row>
    <row r="6210" spans="1:5" x14ac:dyDescent="0.25">
      <c r="A6210" s="2" t="s">
        <v>4968</v>
      </c>
      <c r="B6210" s="2" t="s">
        <v>1970</v>
      </c>
      <c r="C6210" s="2">
        <v>2</v>
      </c>
      <c r="D6210" t="str">
        <f t="shared" si="96"/>
        <v>CA-2017-123372_OFF-EN-10003055</v>
      </c>
      <c r="E6210" t="str">
        <f>IF(COUNTIF(data1!$D:$D,D6210)=0,"Missing in Data1","Present")</f>
        <v>Present</v>
      </c>
    </row>
    <row r="6211" spans="1:5" x14ac:dyDescent="0.25">
      <c r="A6211" s="2" t="s">
        <v>4968</v>
      </c>
      <c r="B6211" s="2" t="s">
        <v>4776</v>
      </c>
      <c r="C6211" s="2">
        <v>11</v>
      </c>
      <c r="D6211" t="str">
        <f t="shared" ref="D6211:D6274" si="97">A6211&amp;"_"&amp;B6211</f>
        <v>CA-2017-123372_TEC-PH-10002834</v>
      </c>
      <c r="E6211" t="str">
        <f>IF(COUNTIF(data1!$D:$D,D6211)=0,"Missing in Data1","Present")</f>
        <v>Present</v>
      </c>
    </row>
    <row r="6212" spans="1:5" x14ac:dyDescent="0.25">
      <c r="A6212" s="2" t="s">
        <v>4969</v>
      </c>
      <c r="B6212" s="2" t="s">
        <v>2333</v>
      </c>
      <c r="C6212" s="2">
        <v>14</v>
      </c>
      <c r="D6212" t="str">
        <f t="shared" si="97"/>
        <v>CA-2017-123491_OFF-AP-10002684</v>
      </c>
      <c r="E6212" t="str">
        <f>IF(COUNTIF(data1!$D:$D,D6212)=0,"Missing in Data1","Present")</f>
        <v>Present</v>
      </c>
    </row>
    <row r="6213" spans="1:5" x14ac:dyDescent="0.25">
      <c r="A6213" s="2" t="s">
        <v>4969</v>
      </c>
      <c r="B6213" s="2" t="s">
        <v>204</v>
      </c>
      <c r="C6213" s="2">
        <v>5</v>
      </c>
      <c r="D6213" t="str">
        <f t="shared" si="97"/>
        <v>CA-2017-123491_OFF-AR-10003514</v>
      </c>
      <c r="E6213" t="str">
        <f>IF(COUNTIF(data1!$D:$D,D6213)=0,"Missing in Data1","Present")</f>
        <v>Present</v>
      </c>
    </row>
    <row r="6214" spans="1:5" x14ac:dyDescent="0.25">
      <c r="A6214" s="2" t="s">
        <v>4969</v>
      </c>
      <c r="B6214" s="2" t="s">
        <v>2233</v>
      </c>
      <c r="C6214" s="2">
        <v>6</v>
      </c>
      <c r="D6214" t="str">
        <f t="shared" si="97"/>
        <v>CA-2017-123491_OFF-LA-10003077</v>
      </c>
      <c r="E6214" t="str">
        <f>IF(COUNTIF(data1!$D:$D,D6214)=0,"Missing in Data1","Present")</f>
        <v>Present</v>
      </c>
    </row>
    <row r="6215" spans="1:5" x14ac:dyDescent="0.25">
      <c r="A6215" s="2" t="s">
        <v>4969</v>
      </c>
      <c r="B6215" s="2" t="s">
        <v>4970</v>
      </c>
      <c r="C6215" s="2">
        <v>2</v>
      </c>
      <c r="D6215" t="str">
        <f t="shared" si="97"/>
        <v>CA-2017-123491_OFF-PA-10003424</v>
      </c>
      <c r="E6215" t="str">
        <f>IF(COUNTIF(data1!$D:$D,D6215)=0,"Missing in Data1","Present")</f>
        <v>Present</v>
      </c>
    </row>
    <row r="6216" spans="1:5" x14ac:dyDescent="0.25">
      <c r="A6216" s="2" t="s">
        <v>4969</v>
      </c>
      <c r="B6216" s="2" t="s">
        <v>139</v>
      </c>
      <c r="C6216" s="2">
        <v>2</v>
      </c>
      <c r="D6216" t="str">
        <f t="shared" si="97"/>
        <v>CA-2017-123491_TEC-PH-10003505</v>
      </c>
      <c r="E6216" t="str">
        <f>IF(COUNTIF(data1!$D:$D,D6216)=0,"Missing in Data1","Present")</f>
        <v>Missing in Data1</v>
      </c>
    </row>
    <row r="6217" spans="1:5" x14ac:dyDescent="0.25">
      <c r="A6217" s="2" t="s">
        <v>4971</v>
      </c>
      <c r="B6217" s="2" t="s">
        <v>2817</v>
      </c>
      <c r="C6217" s="2">
        <v>5</v>
      </c>
      <c r="D6217" t="str">
        <f t="shared" si="97"/>
        <v>CA-2017-123624_TEC-AC-10000682</v>
      </c>
      <c r="E6217" t="str">
        <f>IF(COUNTIF(data1!$D:$D,D6217)=0,"Missing in Data1","Present")</f>
        <v>Present</v>
      </c>
    </row>
    <row r="6218" spans="1:5" x14ac:dyDescent="0.25">
      <c r="A6218" s="2" t="s">
        <v>4972</v>
      </c>
      <c r="B6218" s="2" t="s">
        <v>1419</v>
      </c>
      <c r="C6218" s="2">
        <v>3</v>
      </c>
      <c r="D6218" t="str">
        <f t="shared" si="97"/>
        <v>CA-2017-123638_FUR-CH-10002647</v>
      </c>
      <c r="E6218" t="str">
        <f>IF(COUNTIF(data1!$D:$D,D6218)=0,"Missing in Data1","Present")</f>
        <v>Present</v>
      </c>
    </row>
    <row r="6219" spans="1:5" x14ac:dyDescent="0.25">
      <c r="A6219" s="2" t="s">
        <v>4973</v>
      </c>
      <c r="B6219" s="2" t="s">
        <v>1883</v>
      </c>
      <c r="C6219" s="2">
        <v>4</v>
      </c>
      <c r="D6219" t="str">
        <f t="shared" si="97"/>
        <v>CA-2017-123659_OFF-PA-10002464</v>
      </c>
      <c r="E6219" t="str">
        <f>IF(COUNTIF(data1!$D:$D,D6219)=0,"Missing in Data1","Present")</f>
        <v>Present</v>
      </c>
    </row>
    <row r="6220" spans="1:5" x14ac:dyDescent="0.25">
      <c r="A6220" s="2" t="s">
        <v>4974</v>
      </c>
      <c r="B6220" s="2" t="s">
        <v>4834</v>
      </c>
      <c r="C6220" s="2">
        <v>3</v>
      </c>
      <c r="D6220" t="str">
        <f t="shared" si="97"/>
        <v>CA-2017-123687_OFF-AP-10002670</v>
      </c>
      <c r="E6220" t="str">
        <f>IF(COUNTIF(data1!$D:$D,D6220)=0,"Missing in Data1","Present")</f>
        <v>Present</v>
      </c>
    </row>
    <row r="6221" spans="1:5" x14ac:dyDescent="0.25">
      <c r="A6221" s="2" t="s">
        <v>4974</v>
      </c>
      <c r="B6221" s="2" t="s">
        <v>2537</v>
      </c>
      <c r="C6221" s="2">
        <v>2</v>
      </c>
      <c r="D6221" t="str">
        <f t="shared" si="97"/>
        <v>CA-2017-123687_OFF-SU-10004498</v>
      </c>
      <c r="E6221" t="str">
        <f>IF(COUNTIF(data1!$D:$D,D6221)=0,"Missing in Data1","Present")</f>
        <v>Present</v>
      </c>
    </row>
    <row r="6222" spans="1:5" x14ac:dyDescent="0.25">
      <c r="A6222" s="2" t="s">
        <v>4975</v>
      </c>
      <c r="B6222" s="2" t="s">
        <v>3188</v>
      </c>
      <c r="C6222" s="2">
        <v>4</v>
      </c>
      <c r="D6222" t="str">
        <f t="shared" si="97"/>
        <v>CA-2017-123701_OFF-AR-10001860</v>
      </c>
      <c r="E6222" t="str">
        <f>IF(COUNTIF(data1!$D:$D,D6222)=0,"Missing in Data1","Present")</f>
        <v>Present</v>
      </c>
    </row>
    <row r="6223" spans="1:5" x14ac:dyDescent="0.25">
      <c r="A6223" s="2" t="s">
        <v>4976</v>
      </c>
      <c r="B6223" s="2" t="s">
        <v>3173</v>
      </c>
      <c r="C6223" s="2">
        <v>2</v>
      </c>
      <c r="D6223" t="str">
        <f t="shared" si="97"/>
        <v>CA-2017-123778_OFF-AP-10001242</v>
      </c>
      <c r="E6223" t="str">
        <f>IF(COUNTIF(data1!$D:$D,D6223)=0,"Missing in Data1","Present")</f>
        <v>Present</v>
      </c>
    </row>
    <row r="6224" spans="1:5" x14ac:dyDescent="0.25">
      <c r="A6224" s="2" t="s">
        <v>4976</v>
      </c>
      <c r="B6224" s="2" t="s">
        <v>1196</v>
      </c>
      <c r="C6224" s="2">
        <v>6</v>
      </c>
      <c r="D6224" t="str">
        <f t="shared" si="97"/>
        <v>CA-2017-123778_OFF-BI-10000822</v>
      </c>
      <c r="E6224" t="str">
        <f>IF(COUNTIF(data1!$D:$D,D6224)=0,"Missing in Data1","Present")</f>
        <v>Present</v>
      </c>
    </row>
    <row r="6225" spans="1:5" x14ac:dyDescent="0.25">
      <c r="A6225" s="2" t="s">
        <v>4977</v>
      </c>
      <c r="B6225" s="2" t="s">
        <v>318</v>
      </c>
      <c r="C6225" s="2">
        <v>9</v>
      </c>
      <c r="D6225" t="str">
        <f t="shared" si="97"/>
        <v>CA-2017-123967_FUR-TA-10003954</v>
      </c>
      <c r="E6225" t="str">
        <f>IF(COUNTIF(data1!$D:$D,D6225)=0,"Missing in Data1","Present")</f>
        <v>Present</v>
      </c>
    </row>
    <row r="6226" spans="1:5" x14ac:dyDescent="0.25">
      <c r="A6226" s="2" t="s">
        <v>4977</v>
      </c>
      <c r="B6226" s="2" t="s">
        <v>2292</v>
      </c>
      <c r="C6226" s="2">
        <v>5</v>
      </c>
      <c r="D6226" t="str">
        <f t="shared" si="97"/>
        <v>CA-2017-123967_OFF-BI-10001308</v>
      </c>
      <c r="E6226" t="str">
        <f>IF(COUNTIF(data1!$D:$D,D6226)=0,"Missing in Data1","Present")</f>
        <v>Present</v>
      </c>
    </row>
    <row r="6227" spans="1:5" x14ac:dyDescent="0.25">
      <c r="A6227" s="2" t="s">
        <v>4978</v>
      </c>
      <c r="B6227" s="2" t="s">
        <v>3035</v>
      </c>
      <c r="C6227" s="2">
        <v>1</v>
      </c>
      <c r="D6227" t="str">
        <f t="shared" si="97"/>
        <v>CA-2017-123981_TEC-PH-10002115</v>
      </c>
      <c r="E6227" t="str">
        <f>IF(COUNTIF(data1!$D:$D,D6227)=0,"Missing in Data1","Present")</f>
        <v>Present</v>
      </c>
    </row>
    <row r="6228" spans="1:5" x14ac:dyDescent="0.25">
      <c r="A6228" s="2" t="s">
        <v>4979</v>
      </c>
      <c r="B6228" s="2" t="s">
        <v>631</v>
      </c>
      <c r="C6228" s="2">
        <v>2</v>
      </c>
      <c r="D6228" t="str">
        <f t="shared" si="97"/>
        <v>CA-2017-124086_FUR-BO-10004015</v>
      </c>
      <c r="E6228" t="str">
        <f>IF(COUNTIF(data1!$D:$D,D6228)=0,"Missing in Data1","Present")</f>
        <v>Present</v>
      </c>
    </row>
    <row r="6229" spans="1:5" x14ac:dyDescent="0.25">
      <c r="A6229" s="2" t="s">
        <v>4980</v>
      </c>
      <c r="B6229" s="2" t="s">
        <v>2726</v>
      </c>
      <c r="C6229" s="2">
        <v>1</v>
      </c>
      <c r="D6229" t="str">
        <f t="shared" si="97"/>
        <v>CA-2017-124114_OFF-BI-10004022</v>
      </c>
      <c r="E6229" t="str">
        <f>IF(COUNTIF(data1!$D:$D,D6229)=0,"Missing in Data1","Present")</f>
        <v>Present</v>
      </c>
    </row>
    <row r="6230" spans="1:5" x14ac:dyDescent="0.25">
      <c r="A6230" s="2" t="s">
        <v>4981</v>
      </c>
      <c r="B6230" s="2" t="s">
        <v>1325</v>
      </c>
      <c r="C6230" s="2">
        <v>3</v>
      </c>
      <c r="D6230" t="str">
        <f t="shared" si="97"/>
        <v>CA-2017-124191_FUR-FU-10002364</v>
      </c>
      <c r="E6230" t="str">
        <f>IF(COUNTIF(data1!$D:$D,D6230)=0,"Missing in Data1","Present")</f>
        <v>Present</v>
      </c>
    </row>
    <row r="6231" spans="1:5" x14ac:dyDescent="0.25">
      <c r="A6231" s="2" t="s">
        <v>4982</v>
      </c>
      <c r="B6231" s="2" t="s">
        <v>4203</v>
      </c>
      <c r="C6231" s="2">
        <v>4</v>
      </c>
      <c r="D6231" t="str">
        <f t="shared" si="97"/>
        <v>CA-2017-124205_FUR-CH-10003606</v>
      </c>
      <c r="E6231" t="str">
        <f>IF(COUNTIF(data1!$D:$D,D6231)=0,"Missing in Data1","Present")</f>
        <v>Present</v>
      </c>
    </row>
    <row r="6232" spans="1:5" x14ac:dyDescent="0.25">
      <c r="A6232" s="2" t="s">
        <v>4982</v>
      </c>
      <c r="B6232" s="2" t="s">
        <v>3041</v>
      </c>
      <c r="C6232" s="2">
        <v>5</v>
      </c>
      <c r="D6232" t="str">
        <f t="shared" si="97"/>
        <v>CA-2017-124205_FUR-FU-10002445</v>
      </c>
      <c r="E6232" t="str">
        <f>IF(COUNTIF(data1!$D:$D,D6232)=0,"Missing in Data1","Present")</f>
        <v>Present</v>
      </c>
    </row>
    <row r="6233" spans="1:5" x14ac:dyDescent="0.25">
      <c r="A6233" s="2" t="s">
        <v>4982</v>
      </c>
      <c r="B6233" s="2" t="s">
        <v>195</v>
      </c>
      <c r="C6233" s="2">
        <v>2</v>
      </c>
      <c r="D6233" t="str">
        <f t="shared" si="97"/>
        <v>CA-2017-124205_OFF-ST-10000934</v>
      </c>
      <c r="E6233" t="str">
        <f>IF(COUNTIF(data1!$D:$D,D6233)=0,"Missing in Data1","Present")</f>
        <v>Present</v>
      </c>
    </row>
    <row r="6234" spans="1:5" x14ac:dyDescent="0.25">
      <c r="A6234" s="2" t="s">
        <v>4982</v>
      </c>
      <c r="B6234" s="2" t="s">
        <v>3035</v>
      </c>
      <c r="C6234" s="2">
        <v>6</v>
      </c>
      <c r="D6234" t="str">
        <f t="shared" si="97"/>
        <v>CA-2017-124205_TEC-PH-10002115</v>
      </c>
      <c r="E6234" t="str">
        <f>IF(COUNTIF(data1!$D:$D,D6234)=0,"Missing in Data1","Present")</f>
        <v>Present</v>
      </c>
    </row>
    <row r="6235" spans="1:5" x14ac:dyDescent="0.25">
      <c r="A6235" s="2" t="s">
        <v>4983</v>
      </c>
      <c r="B6235" s="2" t="s">
        <v>574</v>
      </c>
      <c r="C6235" s="2">
        <v>8</v>
      </c>
      <c r="D6235" t="str">
        <f t="shared" si="97"/>
        <v>CA-2017-124261_OFF-AR-10003504</v>
      </c>
      <c r="E6235" t="str">
        <f>IF(COUNTIF(data1!$D:$D,D6235)=0,"Missing in Data1","Present")</f>
        <v>Present</v>
      </c>
    </row>
    <row r="6236" spans="1:5" x14ac:dyDescent="0.25">
      <c r="A6236" s="2" t="s">
        <v>4984</v>
      </c>
      <c r="B6236" s="2" t="s">
        <v>469</v>
      </c>
      <c r="C6236" s="2">
        <v>4</v>
      </c>
      <c r="D6236" t="str">
        <f t="shared" si="97"/>
        <v>CA-2017-124296_FUR-CH-10002439</v>
      </c>
      <c r="E6236" t="str">
        <f>IF(COUNTIF(data1!$D:$D,D6236)=0,"Missing in Data1","Present")</f>
        <v>Missing in Data1</v>
      </c>
    </row>
    <row r="6237" spans="1:5" x14ac:dyDescent="0.25">
      <c r="A6237" s="2" t="s">
        <v>4984</v>
      </c>
      <c r="B6237" s="2" t="s">
        <v>393</v>
      </c>
      <c r="C6237" s="2">
        <v>3</v>
      </c>
      <c r="D6237" t="str">
        <f t="shared" si="97"/>
        <v>CA-2017-124296_TEC-MA-10003183</v>
      </c>
      <c r="E6237" t="str">
        <f>IF(COUNTIF(data1!$D:$D,D6237)=0,"Missing in Data1","Present")</f>
        <v>Present</v>
      </c>
    </row>
    <row r="6238" spans="1:5" x14ac:dyDescent="0.25">
      <c r="A6238" s="2" t="s">
        <v>4985</v>
      </c>
      <c r="B6238" s="2" t="s">
        <v>2791</v>
      </c>
      <c r="C6238" s="2">
        <v>3</v>
      </c>
      <c r="D6238" t="str">
        <f t="shared" si="97"/>
        <v>CA-2017-124401_OFF-ST-10000649</v>
      </c>
      <c r="E6238" t="str">
        <f>IF(COUNTIF(data1!$D:$D,D6238)=0,"Missing in Data1","Present")</f>
        <v>Present</v>
      </c>
    </row>
    <row r="6239" spans="1:5" x14ac:dyDescent="0.25">
      <c r="A6239" s="2" t="s">
        <v>4985</v>
      </c>
      <c r="B6239" s="2" t="s">
        <v>1406</v>
      </c>
      <c r="C6239" s="2">
        <v>7</v>
      </c>
      <c r="D6239" t="str">
        <f t="shared" si="97"/>
        <v>CA-2017-124401_TEC-AC-10002926</v>
      </c>
      <c r="E6239" t="str">
        <f>IF(COUNTIF(data1!$D:$D,D6239)=0,"Missing in Data1","Present")</f>
        <v>Present</v>
      </c>
    </row>
    <row r="6240" spans="1:5" x14ac:dyDescent="0.25">
      <c r="A6240" s="2" t="s">
        <v>4986</v>
      </c>
      <c r="B6240" s="2" t="s">
        <v>2600</v>
      </c>
      <c r="C6240" s="2">
        <v>1</v>
      </c>
      <c r="D6240" t="str">
        <f t="shared" si="97"/>
        <v>CA-2017-124436_FUR-FU-10001185</v>
      </c>
      <c r="E6240" t="str">
        <f>IF(COUNTIF(data1!$D:$D,D6240)=0,"Missing in Data1","Present")</f>
        <v>Present</v>
      </c>
    </row>
    <row r="6241" spans="1:5" x14ac:dyDescent="0.25">
      <c r="A6241" s="2" t="s">
        <v>4986</v>
      </c>
      <c r="B6241" s="2" t="s">
        <v>2635</v>
      </c>
      <c r="C6241" s="2">
        <v>5</v>
      </c>
      <c r="D6241" t="str">
        <f t="shared" si="97"/>
        <v>CA-2017-124436_FUR-TA-10001095</v>
      </c>
      <c r="E6241" t="str">
        <f>IF(COUNTIF(data1!$D:$D,D6241)=0,"Missing in Data1","Present")</f>
        <v>Present</v>
      </c>
    </row>
    <row r="6242" spans="1:5" x14ac:dyDescent="0.25">
      <c r="A6242" s="2" t="s">
        <v>4986</v>
      </c>
      <c r="B6242" s="2" t="s">
        <v>9</v>
      </c>
      <c r="C6242" s="2">
        <v>7</v>
      </c>
      <c r="D6242" t="str">
        <f t="shared" si="97"/>
        <v>CA-2017-124436_OFF-BI-10000343</v>
      </c>
      <c r="E6242" t="str">
        <f>IF(COUNTIF(data1!$D:$D,D6242)=0,"Missing in Data1","Present")</f>
        <v>Present</v>
      </c>
    </row>
    <row r="6243" spans="1:5" x14ac:dyDescent="0.25">
      <c r="A6243" s="2" t="s">
        <v>4986</v>
      </c>
      <c r="B6243" s="2" t="s">
        <v>1042</v>
      </c>
      <c r="C6243" s="2">
        <v>2</v>
      </c>
      <c r="D6243" t="str">
        <f t="shared" si="97"/>
        <v>CA-2017-124436_OFF-BI-10001553</v>
      </c>
      <c r="E6243" t="str">
        <f>IF(COUNTIF(data1!$D:$D,D6243)=0,"Missing in Data1","Present")</f>
        <v>Present</v>
      </c>
    </row>
    <row r="6244" spans="1:5" x14ac:dyDescent="0.25">
      <c r="A6244" s="2" t="s">
        <v>4987</v>
      </c>
      <c r="B6244" s="2" t="s">
        <v>165</v>
      </c>
      <c r="C6244" s="2">
        <v>2</v>
      </c>
      <c r="D6244" t="str">
        <f t="shared" si="97"/>
        <v>CA-2017-124576_OFF-BI-10002735</v>
      </c>
      <c r="E6244" t="str">
        <f>IF(COUNTIF(data1!$D:$D,D6244)=0,"Missing in Data1","Present")</f>
        <v>Present</v>
      </c>
    </row>
    <row r="6245" spans="1:5" x14ac:dyDescent="0.25">
      <c r="A6245" s="2" t="s">
        <v>4988</v>
      </c>
      <c r="B6245" s="2" t="s">
        <v>4778</v>
      </c>
      <c r="C6245" s="2">
        <v>3</v>
      </c>
      <c r="D6245" t="str">
        <f t="shared" si="97"/>
        <v>CA-2017-124597_OFF-AR-10002280</v>
      </c>
      <c r="E6245" t="str">
        <f>IF(COUNTIF(data1!$D:$D,D6245)=0,"Missing in Data1","Present")</f>
        <v>Present</v>
      </c>
    </row>
    <row r="6246" spans="1:5" x14ac:dyDescent="0.25">
      <c r="A6246" s="2" t="s">
        <v>4988</v>
      </c>
      <c r="B6246" s="2" t="s">
        <v>279</v>
      </c>
      <c r="C6246" s="2">
        <v>3</v>
      </c>
      <c r="D6246" t="str">
        <f t="shared" si="97"/>
        <v>CA-2017-124597_OFF-LA-10001569</v>
      </c>
      <c r="E6246" t="str">
        <f>IF(COUNTIF(data1!$D:$D,D6246)=0,"Missing in Data1","Present")</f>
        <v>Present</v>
      </c>
    </row>
    <row r="6247" spans="1:5" x14ac:dyDescent="0.25">
      <c r="A6247" s="2" t="s">
        <v>4988</v>
      </c>
      <c r="B6247" s="2" t="s">
        <v>2339</v>
      </c>
      <c r="C6247" s="2">
        <v>2</v>
      </c>
      <c r="D6247" t="str">
        <f t="shared" si="97"/>
        <v>CA-2017-124597_OFF-LA-10003190</v>
      </c>
      <c r="E6247" t="str">
        <f>IF(COUNTIF(data1!$D:$D,D6247)=0,"Missing in Data1","Present")</f>
        <v>Present</v>
      </c>
    </row>
    <row r="6248" spans="1:5" x14ac:dyDescent="0.25">
      <c r="A6248" s="2" t="s">
        <v>4989</v>
      </c>
      <c r="B6248" s="2" t="s">
        <v>3288</v>
      </c>
      <c r="C6248" s="2">
        <v>2</v>
      </c>
      <c r="D6248" t="str">
        <f t="shared" si="97"/>
        <v>CA-2017-124674_FUR-BO-10002202</v>
      </c>
      <c r="E6248" t="str">
        <f>IF(COUNTIF(data1!$D:$D,D6248)=0,"Missing in Data1","Present")</f>
        <v>Present</v>
      </c>
    </row>
    <row r="6249" spans="1:5" x14ac:dyDescent="0.25">
      <c r="A6249" s="2" t="s">
        <v>4990</v>
      </c>
      <c r="B6249" s="2" t="s">
        <v>3651</v>
      </c>
      <c r="C6249" s="2">
        <v>2</v>
      </c>
      <c r="D6249" t="str">
        <f t="shared" si="97"/>
        <v>CA-2017-124716_OFF-PA-10000740</v>
      </c>
      <c r="E6249" t="str">
        <f>IF(COUNTIF(data1!$D:$D,D6249)=0,"Missing in Data1","Present")</f>
        <v>Present</v>
      </c>
    </row>
    <row r="6250" spans="1:5" x14ac:dyDescent="0.25">
      <c r="A6250" s="2" t="s">
        <v>4990</v>
      </c>
      <c r="B6250" s="2" t="s">
        <v>4991</v>
      </c>
      <c r="C6250" s="2">
        <v>3</v>
      </c>
      <c r="D6250" t="str">
        <f t="shared" si="97"/>
        <v>CA-2017-124716_OFF-PA-10000859</v>
      </c>
      <c r="E6250" t="str">
        <f>IF(COUNTIF(data1!$D:$D,D6250)=0,"Missing in Data1","Present")</f>
        <v>Present</v>
      </c>
    </row>
    <row r="6251" spans="1:5" x14ac:dyDescent="0.25">
      <c r="A6251" s="2" t="s">
        <v>4990</v>
      </c>
      <c r="B6251" s="2" t="s">
        <v>623</v>
      </c>
      <c r="C6251" s="2">
        <v>2</v>
      </c>
      <c r="D6251" t="str">
        <f t="shared" si="97"/>
        <v>CA-2017-124716_OFF-PA-10001144</v>
      </c>
      <c r="E6251" t="str">
        <f>IF(COUNTIF(data1!$D:$D,D6251)=0,"Missing in Data1","Present")</f>
        <v>Present</v>
      </c>
    </row>
    <row r="6252" spans="1:5" x14ac:dyDescent="0.25">
      <c r="A6252" s="2" t="s">
        <v>4992</v>
      </c>
      <c r="B6252" s="2" t="s">
        <v>1152</v>
      </c>
      <c r="C6252" s="2">
        <v>2</v>
      </c>
      <c r="D6252" t="str">
        <f t="shared" si="97"/>
        <v>CA-2017-124744_OFF-BI-10000145</v>
      </c>
      <c r="E6252" t="str">
        <f>IF(COUNTIF(data1!$D:$D,D6252)=0,"Missing in Data1","Present")</f>
        <v>Present</v>
      </c>
    </row>
    <row r="6253" spans="1:5" x14ac:dyDescent="0.25">
      <c r="A6253" s="2" t="s">
        <v>4992</v>
      </c>
      <c r="B6253" s="2" t="s">
        <v>480</v>
      </c>
      <c r="C6253" s="2">
        <v>5</v>
      </c>
      <c r="D6253" t="str">
        <f t="shared" si="97"/>
        <v>CA-2017-124744_OFF-BI-10002852</v>
      </c>
      <c r="E6253" t="str">
        <f>IF(COUNTIF(data1!$D:$D,D6253)=0,"Missing in Data1","Present")</f>
        <v>Present</v>
      </c>
    </row>
    <row r="6254" spans="1:5" x14ac:dyDescent="0.25">
      <c r="A6254" s="2" t="s">
        <v>4992</v>
      </c>
      <c r="B6254" s="2" t="s">
        <v>1039</v>
      </c>
      <c r="C6254" s="2">
        <v>8</v>
      </c>
      <c r="D6254" t="str">
        <f t="shared" si="97"/>
        <v>CA-2017-124744_OFF-PA-10001970</v>
      </c>
      <c r="E6254" t="str">
        <f>IF(COUNTIF(data1!$D:$D,D6254)=0,"Missing in Data1","Present")</f>
        <v>Present</v>
      </c>
    </row>
    <row r="6255" spans="1:5" x14ac:dyDescent="0.25">
      <c r="A6255" s="2" t="s">
        <v>4993</v>
      </c>
      <c r="B6255" s="2" t="s">
        <v>1983</v>
      </c>
      <c r="C6255" s="2">
        <v>5</v>
      </c>
      <c r="D6255" t="str">
        <f t="shared" si="97"/>
        <v>CA-2017-124765_FUR-BO-10003965</v>
      </c>
      <c r="E6255" t="str">
        <f>IF(COUNTIF(data1!$D:$D,D6255)=0,"Missing in Data1","Present")</f>
        <v>Present</v>
      </c>
    </row>
    <row r="6256" spans="1:5" x14ac:dyDescent="0.25">
      <c r="A6256" s="2" t="s">
        <v>4994</v>
      </c>
      <c r="B6256" s="2" t="s">
        <v>204</v>
      </c>
      <c r="C6256" s="2">
        <v>3</v>
      </c>
      <c r="D6256" t="str">
        <f t="shared" si="97"/>
        <v>CA-2017-124828_OFF-AR-10003514</v>
      </c>
      <c r="E6256" t="str">
        <f>IF(COUNTIF(data1!$D:$D,D6256)=0,"Missing in Data1","Present")</f>
        <v>Present</v>
      </c>
    </row>
    <row r="6257" spans="1:5" x14ac:dyDescent="0.25">
      <c r="A6257" s="2" t="s">
        <v>4995</v>
      </c>
      <c r="B6257" s="2" t="s">
        <v>2980</v>
      </c>
      <c r="C6257" s="2">
        <v>7</v>
      </c>
      <c r="D6257" t="str">
        <f t="shared" si="97"/>
        <v>CA-2017-124898_OFF-PA-10003656</v>
      </c>
      <c r="E6257" t="str">
        <f>IF(COUNTIF(data1!$D:$D,D6257)=0,"Missing in Data1","Present")</f>
        <v>Present</v>
      </c>
    </row>
    <row r="6258" spans="1:5" x14ac:dyDescent="0.25">
      <c r="A6258" s="2" t="s">
        <v>4996</v>
      </c>
      <c r="B6258" s="2" t="s">
        <v>1817</v>
      </c>
      <c r="C6258" s="2">
        <v>1</v>
      </c>
      <c r="D6258" t="str">
        <f t="shared" si="97"/>
        <v>CA-2017-124940_TEC-AC-10002076</v>
      </c>
      <c r="E6258" t="str">
        <f>IF(COUNTIF(data1!$D:$D,D6258)=0,"Missing in Data1","Present")</f>
        <v>Present</v>
      </c>
    </row>
    <row r="6259" spans="1:5" x14ac:dyDescent="0.25">
      <c r="A6259" s="2" t="s">
        <v>4997</v>
      </c>
      <c r="B6259" s="2" t="s">
        <v>1584</v>
      </c>
      <c r="C6259" s="2">
        <v>2</v>
      </c>
      <c r="D6259" t="str">
        <f t="shared" si="97"/>
        <v>CA-2017-125101_OFF-ST-10000675</v>
      </c>
      <c r="E6259" t="str">
        <f>IF(COUNTIF(data1!$D:$D,D6259)=0,"Missing in Data1","Present")</f>
        <v>Present</v>
      </c>
    </row>
    <row r="6260" spans="1:5" x14ac:dyDescent="0.25">
      <c r="A6260" s="2" t="s">
        <v>4998</v>
      </c>
      <c r="B6260" s="2" t="s">
        <v>2051</v>
      </c>
      <c r="C6260" s="2">
        <v>2</v>
      </c>
      <c r="D6260" t="str">
        <f t="shared" si="97"/>
        <v>CA-2017-125115_OFF-PA-10004101</v>
      </c>
      <c r="E6260" t="str">
        <f>IF(COUNTIF(data1!$D:$D,D6260)=0,"Missing in Data1","Present")</f>
        <v>Present</v>
      </c>
    </row>
    <row r="6261" spans="1:5" x14ac:dyDescent="0.25">
      <c r="A6261" s="2" t="s">
        <v>4998</v>
      </c>
      <c r="B6261" s="2" t="s">
        <v>3408</v>
      </c>
      <c r="C6261" s="2">
        <v>3</v>
      </c>
      <c r="D6261" t="str">
        <f t="shared" si="97"/>
        <v>CA-2017-125115_TEC-AC-10001714</v>
      </c>
      <c r="E6261" t="str">
        <f>IF(COUNTIF(data1!$D:$D,D6261)=0,"Missing in Data1","Present")</f>
        <v>Present</v>
      </c>
    </row>
    <row r="6262" spans="1:5" x14ac:dyDescent="0.25">
      <c r="A6262" s="2" t="s">
        <v>4999</v>
      </c>
      <c r="B6262" s="2" t="s">
        <v>4092</v>
      </c>
      <c r="C6262" s="2">
        <v>7</v>
      </c>
      <c r="D6262" t="str">
        <f t="shared" si="97"/>
        <v>CA-2017-125199_OFF-AR-10002956</v>
      </c>
      <c r="E6262" t="str">
        <f>IF(COUNTIF(data1!$D:$D,D6262)=0,"Missing in Data1","Present")</f>
        <v>Present</v>
      </c>
    </row>
    <row r="6263" spans="1:5" x14ac:dyDescent="0.25">
      <c r="A6263" s="2" t="s">
        <v>4999</v>
      </c>
      <c r="B6263" s="2" t="s">
        <v>2644</v>
      </c>
      <c r="C6263" s="2">
        <v>4</v>
      </c>
      <c r="D6263" t="str">
        <f t="shared" si="97"/>
        <v>CA-2017-125199_OFF-PA-10004041</v>
      </c>
      <c r="E6263" t="str">
        <f>IF(COUNTIF(data1!$D:$D,D6263)=0,"Missing in Data1","Present")</f>
        <v>Present</v>
      </c>
    </row>
    <row r="6264" spans="1:5" x14ac:dyDescent="0.25">
      <c r="A6264" s="2" t="s">
        <v>4999</v>
      </c>
      <c r="B6264" s="2" t="s">
        <v>292</v>
      </c>
      <c r="C6264" s="2">
        <v>4</v>
      </c>
      <c r="D6264" t="str">
        <f t="shared" si="97"/>
        <v>CA-2017-125199_TEC-PH-10001336</v>
      </c>
      <c r="E6264" t="str">
        <f>IF(COUNTIF(data1!$D:$D,D6264)=0,"Missing in Data1","Present")</f>
        <v>Present</v>
      </c>
    </row>
    <row r="6265" spans="1:5" x14ac:dyDescent="0.25">
      <c r="A6265" s="2" t="s">
        <v>5000</v>
      </c>
      <c r="B6265" s="2" t="s">
        <v>626</v>
      </c>
      <c r="C6265" s="2">
        <v>5</v>
      </c>
      <c r="D6265" t="str">
        <f t="shared" si="97"/>
        <v>CA-2017-125269_OFF-BI-10001628</v>
      </c>
      <c r="E6265" t="str">
        <f>IF(COUNTIF(data1!$D:$D,D6265)=0,"Missing in Data1","Present")</f>
        <v>Present</v>
      </c>
    </row>
    <row r="6266" spans="1:5" x14ac:dyDescent="0.25">
      <c r="A6266" s="2" t="s">
        <v>5000</v>
      </c>
      <c r="B6266" s="2" t="s">
        <v>1761</v>
      </c>
      <c r="C6266" s="2">
        <v>1</v>
      </c>
      <c r="D6266" t="str">
        <f t="shared" si="97"/>
        <v>CA-2017-125269_OFF-ST-10004123</v>
      </c>
      <c r="E6266" t="str">
        <f>IF(COUNTIF(data1!$D:$D,D6266)=0,"Missing in Data1","Present")</f>
        <v>Present</v>
      </c>
    </row>
    <row r="6267" spans="1:5" x14ac:dyDescent="0.25">
      <c r="A6267" s="2" t="s">
        <v>5001</v>
      </c>
      <c r="B6267" s="2" t="s">
        <v>3396</v>
      </c>
      <c r="C6267" s="2">
        <v>5</v>
      </c>
      <c r="D6267" t="str">
        <f t="shared" si="97"/>
        <v>CA-2017-125290_OFF-AR-10001216</v>
      </c>
      <c r="E6267" t="str">
        <f>IF(COUNTIF(data1!$D:$D,D6267)=0,"Missing in Data1","Present")</f>
        <v>Present</v>
      </c>
    </row>
    <row r="6268" spans="1:5" x14ac:dyDescent="0.25">
      <c r="A6268" s="2" t="s">
        <v>5001</v>
      </c>
      <c r="B6268" s="2" t="s">
        <v>4712</v>
      </c>
      <c r="C6268" s="2">
        <v>1</v>
      </c>
      <c r="D6268" t="str">
        <f t="shared" si="97"/>
        <v>CA-2017-125290_OFF-PA-10003127</v>
      </c>
      <c r="E6268" t="str">
        <f>IF(COUNTIF(data1!$D:$D,D6268)=0,"Missing in Data1","Present")</f>
        <v>Present</v>
      </c>
    </row>
    <row r="6269" spans="1:5" x14ac:dyDescent="0.25">
      <c r="A6269" s="2" t="s">
        <v>5002</v>
      </c>
      <c r="B6269" s="2" t="s">
        <v>2095</v>
      </c>
      <c r="C6269" s="2">
        <v>3</v>
      </c>
      <c r="D6269" t="str">
        <f t="shared" si="97"/>
        <v>CA-2017-125367_OFF-BI-10002412</v>
      </c>
      <c r="E6269" t="str">
        <f>IF(COUNTIF(data1!$D:$D,D6269)=0,"Missing in Data1","Present")</f>
        <v>Present</v>
      </c>
    </row>
    <row r="6270" spans="1:5" x14ac:dyDescent="0.25">
      <c r="A6270" s="2" t="s">
        <v>5003</v>
      </c>
      <c r="B6270" s="2" t="s">
        <v>2371</v>
      </c>
      <c r="C6270" s="2">
        <v>3</v>
      </c>
      <c r="D6270" t="str">
        <f t="shared" si="97"/>
        <v>CA-2017-125381_TEC-AC-10000158</v>
      </c>
      <c r="E6270" t="str">
        <f>IF(COUNTIF(data1!$D:$D,D6270)=0,"Missing in Data1","Present")</f>
        <v>Present</v>
      </c>
    </row>
    <row r="6271" spans="1:5" x14ac:dyDescent="0.25">
      <c r="A6271" s="2" t="s">
        <v>5004</v>
      </c>
      <c r="B6271" s="2" t="s">
        <v>3844</v>
      </c>
      <c r="C6271" s="2">
        <v>4</v>
      </c>
      <c r="D6271" t="str">
        <f t="shared" si="97"/>
        <v>CA-2017-125388_FUR-FU-10004712</v>
      </c>
      <c r="E6271" t="str">
        <f>IF(COUNTIF(data1!$D:$D,D6271)=0,"Missing in Data1","Present")</f>
        <v>Present</v>
      </c>
    </row>
    <row r="6272" spans="1:5" x14ac:dyDescent="0.25">
      <c r="A6272" s="2" t="s">
        <v>5004</v>
      </c>
      <c r="B6272" s="2" t="s">
        <v>173</v>
      </c>
      <c r="C6272" s="2">
        <v>3</v>
      </c>
      <c r="D6272" t="str">
        <f t="shared" si="97"/>
        <v>CA-2017-125388_OFF-ST-10000918</v>
      </c>
      <c r="E6272" t="str">
        <f>IF(COUNTIF(data1!$D:$D,D6272)=0,"Missing in Data1","Present")</f>
        <v>Present</v>
      </c>
    </row>
    <row r="6273" spans="1:5" x14ac:dyDescent="0.25">
      <c r="A6273" s="2" t="s">
        <v>5005</v>
      </c>
      <c r="B6273" s="2" t="s">
        <v>505</v>
      </c>
      <c r="C6273" s="2">
        <v>2</v>
      </c>
      <c r="D6273" t="str">
        <f t="shared" si="97"/>
        <v>CA-2017-125451_FUR-FU-10000277</v>
      </c>
      <c r="E6273" t="str">
        <f>IF(COUNTIF(data1!$D:$D,D6273)=0,"Missing in Data1","Present")</f>
        <v>Present</v>
      </c>
    </row>
    <row r="6274" spans="1:5" x14ac:dyDescent="0.25">
      <c r="A6274" s="2" t="s">
        <v>5005</v>
      </c>
      <c r="B6274" s="2" t="s">
        <v>3616</v>
      </c>
      <c r="C6274" s="2">
        <v>4</v>
      </c>
      <c r="D6274" t="str">
        <f t="shared" si="97"/>
        <v>CA-2017-125451_FUR-FU-10004963</v>
      </c>
      <c r="E6274" t="str">
        <f>IF(COUNTIF(data1!$D:$D,D6274)=0,"Missing in Data1","Present")</f>
        <v>Present</v>
      </c>
    </row>
    <row r="6275" spans="1:5" x14ac:dyDescent="0.25">
      <c r="A6275" s="2" t="s">
        <v>5005</v>
      </c>
      <c r="B6275" s="2" t="s">
        <v>183</v>
      </c>
      <c r="C6275" s="2">
        <v>4</v>
      </c>
      <c r="D6275" t="str">
        <f t="shared" ref="D6275:D6338" si="98">A6275&amp;"_"&amp;B6275</f>
        <v>CA-2017-125451_FUR-TA-10001039</v>
      </c>
      <c r="E6275" t="str">
        <f>IF(COUNTIF(data1!$D:$D,D6275)=0,"Missing in Data1","Present")</f>
        <v>Missing in Data1</v>
      </c>
    </row>
    <row r="6276" spans="1:5" x14ac:dyDescent="0.25">
      <c r="A6276" s="2" t="s">
        <v>5005</v>
      </c>
      <c r="B6276" s="2" t="s">
        <v>3246</v>
      </c>
      <c r="C6276" s="2">
        <v>3</v>
      </c>
      <c r="D6276" t="str">
        <f t="shared" si="98"/>
        <v>CA-2017-125451_FUR-TA-10004915</v>
      </c>
      <c r="E6276" t="str">
        <f>IF(COUNTIF(data1!$D:$D,D6276)=0,"Missing in Data1","Present")</f>
        <v>Present</v>
      </c>
    </row>
    <row r="6277" spans="1:5" x14ac:dyDescent="0.25">
      <c r="A6277" s="2" t="s">
        <v>5005</v>
      </c>
      <c r="B6277" s="2" t="s">
        <v>2408</v>
      </c>
      <c r="C6277" s="2">
        <v>1</v>
      </c>
      <c r="D6277" t="str">
        <f t="shared" si="98"/>
        <v>CA-2017-125451_OFF-AP-10002906</v>
      </c>
      <c r="E6277" t="str">
        <f>IF(COUNTIF(data1!$D:$D,D6277)=0,"Missing in Data1","Present")</f>
        <v>Present</v>
      </c>
    </row>
    <row r="6278" spans="1:5" x14ac:dyDescent="0.25">
      <c r="A6278" s="2" t="s">
        <v>5005</v>
      </c>
      <c r="B6278" s="2" t="s">
        <v>1552</v>
      </c>
      <c r="C6278" s="2">
        <v>8</v>
      </c>
      <c r="D6278" t="str">
        <f t="shared" si="98"/>
        <v>CA-2017-125451_OFF-PA-10003724</v>
      </c>
      <c r="E6278" t="str">
        <f>IF(COUNTIF(data1!$D:$D,D6278)=0,"Missing in Data1","Present")</f>
        <v>Present</v>
      </c>
    </row>
    <row r="6279" spans="1:5" x14ac:dyDescent="0.25">
      <c r="A6279" s="2" t="s">
        <v>5006</v>
      </c>
      <c r="B6279" s="2" t="s">
        <v>217</v>
      </c>
      <c r="C6279" s="2">
        <v>2</v>
      </c>
      <c r="D6279" t="str">
        <f t="shared" si="98"/>
        <v>CA-2017-125472_FUR-BO-10000330</v>
      </c>
      <c r="E6279" t="str">
        <f>IF(COUNTIF(data1!$D:$D,D6279)=0,"Missing in Data1","Present")</f>
        <v>Present</v>
      </c>
    </row>
    <row r="6280" spans="1:5" x14ac:dyDescent="0.25">
      <c r="A6280" s="2" t="s">
        <v>5006</v>
      </c>
      <c r="B6280" s="2" t="s">
        <v>128</v>
      </c>
      <c r="C6280" s="2">
        <v>3</v>
      </c>
      <c r="D6280" t="str">
        <f t="shared" si="98"/>
        <v>CA-2017-125472_FUR-FU-10001731</v>
      </c>
      <c r="E6280" t="str">
        <f>IF(COUNTIF(data1!$D:$D,D6280)=0,"Missing in Data1","Present")</f>
        <v>Present</v>
      </c>
    </row>
    <row r="6281" spans="1:5" x14ac:dyDescent="0.25">
      <c r="A6281" s="2" t="s">
        <v>5006</v>
      </c>
      <c r="B6281" s="2" t="s">
        <v>448</v>
      </c>
      <c r="C6281" s="2">
        <v>1</v>
      </c>
      <c r="D6281" t="str">
        <f t="shared" si="98"/>
        <v>CA-2017-125472_OFF-BI-10000591</v>
      </c>
      <c r="E6281" t="str">
        <f>IF(COUNTIF(data1!$D:$D,D6281)=0,"Missing in Data1","Present")</f>
        <v>Present</v>
      </c>
    </row>
    <row r="6282" spans="1:5" x14ac:dyDescent="0.25">
      <c r="A6282" s="2" t="s">
        <v>5007</v>
      </c>
      <c r="B6282" s="2" t="s">
        <v>4931</v>
      </c>
      <c r="C6282" s="2">
        <v>1</v>
      </c>
      <c r="D6282" t="str">
        <f t="shared" si="98"/>
        <v>CA-2017-125640_OFF-LA-10004178</v>
      </c>
      <c r="E6282" t="str">
        <f>IF(COUNTIF(data1!$D:$D,D6282)=0,"Missing in Data1","Present")</f>
        <v>Present</v>
      </c>
    </row>
    <row r="6283" spans="1:5" x14ac:dyDescent="0.25">
      <c r="A6283" s="2" t="s">
        <v>5008</v>
      </c>
      <c r="B6283" s="2" t="s">
        <v>124</v>
      </c>
      <c r="C6283" s="2">
        <v>2</v>
      </c>
      <c r="D6283" t="str">
        <f t="shared" si="98"/>
        <v>CA-2017-125745_FUR-FU-10001591</v>
      </c>
      <c r="E6283" t="str">
        <f>IF(COUNTIF(data1!$D:$D,D6283)=0,"Missing in Data1","Present")</f>
        <v>Present</v>
      </c>
    </row>
    <row r="6284" spans="1:5" x14ac:dyDescent="0.25">
      <c r="A6284" s="2" t="s">
        <v>5009</v>
      </c>
      <c r="B6284" s="2" t="s">
        <v>2468</v>
      </c>
      <c r="C6284" s="2">
        <v>2</v>
      </c>
      <c r="D6284" t="str">
        <f t="shared" si="98"/>
        <v>CA-2017-125752_TEC-AC-10003590</v>
      </c>
      <c r="E6284" t="str">
        <f>IF(COUNTIF(data1!$D:$D,D6284)=0,"Missing in Data1","Present")</f>
        <v>Present</v>
      </c>
    </row>
    <row r="6285" spans="1:5" x14ac:dyDescent="0.25">
      <c r="A6285" s="2" t="s">
        <v>5010</v>
      </c>
      <c r="B6285" s="2" t="s">
        <v>459</v>
      </c>
      <c r="C6285" s="2">
        <v>3</v>
      </c>
      <c r="D6285" t="str">
        <f t="shared" si="98"/>
        <v>CA-2017-125878_OFF-BI-10002609</v>
      </c>
      <c r="E6285" t="str">
        <f>IF(COUNTIF(data1!$D:$D,D6285)=0,"Missing in Data1","Present")</f>
        <v>Present</v>
      </c>
    </row>
    <row r="6286" spans="1:5" x14ac:dyDescent="0.25">
      <c r="A6286" s="2" t="s">
        <v>5011</v>
      </c>
      <c r="B6286" s="2" t="s">
        <v>543</v>
      </c>
      <c r="C6286" s="2">
        <v>4</v>
      </c>
      <c r="D6286" t="str">
        <f t="shared" si="98"/>
        <v>CA-2017-125913_FUR-FU-10001487</v>
      </c>
      <c r="E6286" t="str">
        <f>IF(COUNTIF(data1!$D:$D,D6286)=0,"Missing in Data1","Present")</f>
        <v>Present</v>
      </c>
    </row>
    <row r="6287" spans="1:5" x14ac:dyDescent="0.25">
      <c r="A6287" s="2" t="s">
        <v>5011</v>
      </c>
      <c r="B6287" s="2" t="s">
        <v>2601</v>
      </c>
      <c r="C6287" s="2">
        <v>7</v>
      </c>
      <c r="D6287" t="str">
        <f t="shared" si="98"/>
        <v>CA-2017-125913_FUR-TA-10001520</v>
      </c>
      <c r="E6287" t="str">
        <f>IF(COUNTIF(data1!$D:$D,D6287)=0,"Missing in Data1","Present")</f>
        <v>Present</v>
      </c>
    </row>
    <row r="6288" spans="1:5" x14ac:dyDescent="0.25">
      <c r="A6288" s="2" t="s">
        <v>5012</v>
      </c>
      <c r="B6288" s="2" t="s">
        <v>2544</v>
      </c>
      <c r="C6288" s="2">
        <v>3</v>
      </c>
      <c r="D6288" t="str">
        <f t="shared" si="98"/>
        <v>CA-2017-125990_OFF-BI-10004826</v>
      </c>
      <c r="E6288" t="str">
        <f>IF(COUNTIF(data1!$D:$D,D6288)=0,"Missing in Data1","Present")</f>
        <v>Present</v>
      </c>
    </row>
    <row r="6289" spans="1:5" x14ac:dyDescent="0.25">
      <c r="A6289" s="2" t="s">
        <v>5013</v>
      </c>
      <c r="B6289" s="2" t="s">
        <v>1711</v>
      </c>
      <c r="C6289" s="2">
        <v>3</v>
      </c>
      <c r="D6289" t="str">
        <f t="shared" si="98"/>
        <v>CA-2017-126046_OFF-LA-10004484</v>
      </c>
      <c r="E6289" t="str">
        <f>IF(COUNTIF(data1!$D:$D,D6289)=0,"Missing in Data1","Present")</f>
        <v>Present</v>
      </c>
    </row>
    <row r="6290" spans="1:5" x14ac:dyDescent="0.25">
      <c r="A6290" s="2" t="s">
        <v>5014</v>
      </c>
      <c r="B6290" s="2" t="s">
        <v>1115</v>
      </c>
      <c r="C6290" s="2">
        <v>5</v>
      </c>
      <c r="D6290" t="str">
        <f t="shared" si="98"/>
        <v>CA-2017-126067_FUR-TA-10000617</v>
      </c>
      <c r="E6290" t="str">
        <f>IF(COUNTIF(data1!$D:$D,D6290)=0,"Missing in Data1","Present")</f>
        <v>Present</v>
      </c>
    </row>
    <row r="6291" spans="1:5" x14ac:dyDescent="0.25">
      <c r="A6291" s="2" t="s">
        <v>5014</v>
      </c>
      <c r="B6291" s="2" t="s">
        <v>2785</v>
      </c>
      <c r="C6291" s="2">
        <v>2</v>
      </c>
      <c r="D6291" t="str">
        <f t="shared" si="98"/>
        <v>CA-2017-126067_OFF-AR-10003856</v>
      </c>
      <c r="E6291" t="str">
        <f>IF(COUNTIF(data1!$D:$D,D6291)=0,"Missing in Data1","Present")</f>
        <v>Present</v>
      </c>
    </row>
    <row r="6292" spans="1:5" x14ac:dyDescent="0.25">
      <c r="A6292" s="2" t="s">
        <v>5014</v>
      </c>
      <c r="B6292" s="2" t="s">
        <v>190</v>
      </c>
      <c r="C6292" s="2">
        <v>5</v>
      </c>
      <c r="D6292" t="str">
        <f t="shared" si="98"/>
        <v>CA-2017-126067_OFF-BI-10001658</v>
      </c>
      <c r="E6292" t="str">
        <f>IF(COUNTIF(data1!$D:$D,D6292)=0,"Missing in Data1","Present")</f>
        <v>Present</v>
      </c>
    </row>
    <row r="6293" spans="1:5" x14ac:dyDescent="0.25">
      <c r="A6293" s="2" t="s">
        <v>5014</v>
      </c>
      <c r="B6293" s="2" t="s">
        <v>2434</v>
      </c>
      <c r="C6293" s="2">
        <v>4</v>
      </c>
      <c r="D6293" t="str">
        <f t="shared" si="98"/>
        <v>CA-2017-126067_TEC-PH-10000912</v>
      </c>
      <c r="E6293" t="str">
        <f>IF(COUNTIF(data1!$D:$D,D6293)=0,"Missing in Data1","Present")</f>
        <v>Missing in Data1</v>
      </c>
    </row>
    <row r="6294" spans="1:5" x14ac:dyDescent="0.25">
      <c r="A6294" s="2" t="s">
        <v>5015</v>
      </c>
      <c r="B6294" s="2" t="s">
        <v>1242</v>
      </c>
      <c r="C6294" s="2">
        <v>11</v>
      </c>
      <c r="D6294" t="str">
        <f t="shared" si="98"/>
        <v>CA-2017-126074_FUR-FU-10003577</v>
      </c>
      <c r="E6294" t="str">
        <f>IF(COUNTIF(data1!$D:$D,D6294)=0,"Missing in Data1","Present")</f>
        <v>Present</v>
      </c>
    </row>
    <row r="6295" spans="1:5" x14ac:dyDescent="0.25">
      <c r="A6295" s="2" t="s">
        <v>5015</v>
      </c>
      <c r="B6295" s="2" t="s">
        <v>1246</v>
      </c>
      <c r="C6295" s="2">
        <v>7</v>
      </c>
      <c r="D6295" t="str">
        <f t="shared" si="98"/>
        <v>CA-2017-126074_OFF-AR-10003478</v>
      </c>
      <c r="E6295" t="str">
        <f>IF(COUNTIF(data1!$D:$D,D6295)=0,"Missing in Data1","Present")</f>
        <v>Present</v>
      </c>
    </row>
    <row r="6296" spans="1:5" x14ac:dyDescent="0.25">
      <c r="A6296" s="2" t="s">
        <v>5015</v>
      </c>
      <c r="B6296" s="2" t="s">
        <v>1636</v>
      </c>
      <c r="C6296" s="2">
        <v>1</v>
      </c>
      <c r="D6296" t="str">
        <f t="shared" si="98"/>
        <v>CA-2017-126074_OFF-BI-10000546</v>
      </c>
      <c r="E6296" t="str">
        <f>IF(COUNTIF(data1!$D:$D,D6296)=0,"Missing in Data1","Present")</f>
        <v>Present</v>
      </c>
    </row>
    <row r="6297" spans="1:5" x14ac:dyDescent="0.25">
      <c r="A6297" s="2" t="s">
        <v>5015</v>
      </c>
      <c r="B6297" s="2" t="s">
        <v>1137</v>
      </c>
      <c r="C6297" s="2">
        <v>3</v>
      </c>
      <c r="D6297" t="str">
        <f t="shared" si="98"/>
        <v>CA-2017-126074_OFF-BI-10003638</v>
      </c>
      <c r="E6297" t="str">
        <f>IF(COUNTIF(data1!$D:$D,D6297)=0,"Missing in Data1","Present")</f>
        <v>Present</v>
      </c>
    </row>
    <row r="6298" spans="1:5" x14ac:dyDescent="0.25">
      <c r="A6298" s="2" t="s">
        <v>5016</v>
      </c>
      <c r="B6298" s="2" t="s">
        <v>59</v>
      </c>
      <c r="C6298" s="2">
        <v>9</v>
      </c>
      <c r="D6298" t="str">
        <f t="shared" si="98"/>
        <v>CA-2017-126123_OFF-BI-10000309</v>
      </c>
      <c r="E6298" t="str">
        <f>IF(COUNTIF(data1!$D:$D,D6298)=0,"Missing in Data1","Present")</f>
        <v>Present</v>
      </c>
    </row>
    <row r="6299" spans="1:5" x14ac:dyDescent="0.25">
      <c r="A6299" s="2" t="s">
        <v>5016</v>
      </c>
      <c r="B6299" s="2" t="s">
        <v>2608</v>
      </c>
      <c r="C6299" s="2">
        <v>1</v>
      </c>
      <c r="D6299" t="str">
        <f t="shared" si="98"/>
        <v>CA-2017-126123_OFF-BI-10004224</v>
      </c>
      <c r="E6299" t="str">
        <f>IF(COUNTIF(data1!$D:$D,D6299)=0,"Missing in Data1","Present")</f>
        <v>Present</v>
      </c>
    </row>
    <row r="6300" spans="1:5" x14ac:dyDescent="0.25">
      <c r="A6300" s="2" t="s">
        <v>5017</v>
      </c>
      <c r="B6300" s="2" t="s">
        <v>800</v>
      </c>
      <c r="C6300" s="2">
        <v>4</v>
      </c>
      <c r="D6300" t="str">
        <f t="shared" si="98"/>
        <v>CA-2017-126144_TEC-PH-10001079</v>
      </c>
      <c r="E6300" t="str">
        <f>IF(COUNTIF(data1!$D:$D,D6300)=0,"Missing in Data1","Present")</f>
        <v>Present</v>
      </c>
    </row>
    <row r="6301" spans="1:5" x14ac:dyDescent="0.25">
      <c r="A6301" s="2" t="s">
        <v>5018</v>
      </c>
      <c r="B6301" s="2" t="s">
        <v>3095</v>
      </c>
      <c r="C6301" s="2">
        <v>2</v>
      </c>
      <c r="D6301" t="str">
        <f t="shared" si="98"/>
        <v>CA-2017-126221_OFF-AP-10002457</v>
      </c>
      <c r="E6301" t="str">
        <f>IF(COUNTIF(data1!$D:$D,D6301)=0,"Missing in Data1","Present")</f>
        <v>Present</v>
      </c>
    </row>
    <row r="6302" spans="1:5" x14ac:dyDescent="0.25">
      <c r="A6302" s="2" t="s">
        <v>5019</v>
      </c>
      <c r="B6302" s="2" t="s">
        <v>1627</v>
      </c>
      <c r="C6302" s="2">
        <v>1</v>
      </c>
      <c r="D6302" t="str">
        <f t="shared" si="98"/>
        <v>CA-2017-126242_FUR-FU-10002685</v>
      </c>
      <c r="E6302" t="str">
        <f>IF(COUNTIF(data1!$D:$D,D6302)=0,"Missing in Data1","Present")</f>
        <v>Present</v>
      </c>
    </row>
    <row r="6303" spans="1:5" x14ac:dyDescent="0.25">
      <c r="A6303" s="2" t="s">
        <v>5019</v>
      </c>
      <c r="B6303" s="2" t="s">
        <v>1584</v>
      </c>
      <c r="C6303" s="2">
        <v>9</v>
      </c>
      <c r="D6303" t="str">
        <f t="shared" si="98"/>
        <v>CA-2017-126242_OFF-ST-10000675</v>
      </c>
      <c r="E6303" t="str">
        <f>IF(COUNTIF(data1!$D:$D,D6303)=0,"Missing in Data1","Present")</f>
        <v>Present</v>
      </c>
    </row>
    <row r="6304" spans="1:5" x14ac:dyDescent="0.25">
      <c r="A6304" s="2" t="s">
        <v>5020</v>
      </c>
      <c r="B6304" s="2" t="s">
        <v>3260</v>
      </c>
      <c r="C6304" s="2">
        <v>2</v>
      </c>
      <c r="D6304" t="str">
        <f t="shared" si="98"/>
        <v>CA-2017-126354_OFF-BI-10000301</v>
      </c>
      <c r="E6304" t="str">
        <f>IF(COUNTIF(data1!$D:$D,D6304)=0,"Missing in Data1","Present")</f>
        <v>Present</v>
      </c>
    </row>
    <row r="6305" spans="1:5" x14ac:dyDescent="0.25">
      <c r="A6305" s="2" t="s">
        <v>5020</v>
      </c>
      <c r="B6305" s="2" t="s">
        <v>4114</v>
      </c>
      <c r="C6305" s="2">
        <v>3</v>
      </c>
      <c r="D6305" t="str">
        <f t="shared" si="98"/>
        <v>CA-2017-126354_OFF-PA-10004381</v>
      </c>
      <c r="E6305" t="str">
        <f>IF(COUNTIF(data1!$D:$D,D6305)=0,"Missing in Data1","Present")</f>
        <v>Present</v>
      </c>
    </row>
    <row r="6306" spans="1:5" x14ac:dyDescent="0.25">
      <c r="A6306" s="2" t="s">
        <v>5021</v>
      </c>
      <c r="B6306" s="2" t="s">
        <v>1485</v>
      </c>
      <c r="C6306" s="2">
        <v>7</v>
      </c>
      <c r="D6306" t="str">
        <f t="shared" si="98"/>
        <v>CA-2017-126382_FUR-FU-10002960</v>
      </c>
      <c r="E6306" t="str">
        <f>IF(COUNTIF(data1!$D:$D,D6306)=0,"Missing in Data1","Present")</f>
        <v>Present</v>
      </c>
    </row>
    <row r="6307" spans="1:5" x14ac:dyDescent="0.25">
      <c r="A6307" s="2" t="s">
        <v>5023</v>
      </c>
      <c r="B6307" s="2" t="s">
        <v>904</v>
      </c>
      <c r="C6307" s="2">
        <v>2</v>
      </c>
      <c r="D6307" t="str">
        <f t="shared" si="98"/>
        <v>CA-2017-126438_OFF-AR-10003338</v>
      </c>
      <c r="E6307" t="str">
        <f>IF(COUNTIF(data1!$D:$D,D6307)=0,"Missing in Data1","Present")</f>
        <v>Present</v>
      </c>
    </row>
    <row r="6308" spans="1:5" x14ac:dyDescent="0.25">
      <c r="A6308" s="2" t="s">
        <v>5024</v>
      </c>
      <c r="B6308" s="2" t="s">
        <v>666</v>
      </c>
      <c r="C6308" s="2">
        <v>5</v>
      </c>
      <c r="D6308" t="str">
        <f t="shared" si="98"/>
        <v>CA-2017-126536_OFF-BI-10001191</v>
      </c>
      <c r="E6308" t="str">
        <f>IF(COUNTIF(data1!$D:$D,D6308)=0,"Missing in Data1","Present")</f>
        <v>Present</v>
      </c>
    </row>
    <row r="6309" spans="1:5" x14ac:dyDescent="0.25">
      <c r="A6309" s="2" t="s">
        <v>5024</v>
      </c>
      <c r="B6309" s="2" t="s">
        <v>553</v>
      </c>
      <c r="C6309" s="2">
        <v>1</v>
      </c>
      <c r="D6309" t="str">
        <f t="shared" si="98"/>
        <v>CA-2017-126536_TEC-AC-10003709</v>
      </c>
      <c r="E6309" t="str">
        <f>IF(COUNTIF(data1!$D:$D,D6309)=0,"Missing in Data1","Present")</f>
        <v>Present</v>
      </c>
    </row>
    <row r="6310" spans="1:5" x14ac:dyDescent="0.25">
      <c r="A6310" s="2" t="s">
        <v>5025</v>
      </c>
      <c r="B6310" s="2" t="s">
        <v>932</v>
      </c>
      <c r="C6310" s="2">
        <v>5</v>
      </c>
      <c r="D6310" t="str">
        <f t="shared" si="98"/>
        <v>CA-2017-126550_OFF-ST-10001031</v>
      </c>
      <c r="E6310" t="str">
        <f>IF(COUNTIF(data1!$D:$D,D6310)=0,"Missing in Data1","Present")</f>
        <v>Present</v>
      </c>
    </row>
    <row r="6311" spans="1:5" x14ac:dyDescent="0.25">
      <c r="A6311" s="2" t="s">
        <v>5026</v>
      </c>
      <c r="B6311" s="2" t="s">
        <v>2310</v>
      </c>
      <c r="C6311" s="2">
        <v>5</v>
      </c>
      <c r="D6311" t="str">
        <f t="shared" si="98"/>
        <v>CA-2017-126634_FUR-FU-10004973</v>
      </c>
      <c r="E6311" t="str">
        <f>IF(COUNTIF(data1!$D:$D,D6311)=0,"Missing in Data1","Present")</f>
        <v>Present</v>
      </c>
    </row>
    <row r="6312" spans="1:5" x14ac:dyDescent="0.25">
      <c r="A6312" s="2" t="s">
        <v>5027</v>
      </c>
      <c r="B6312" s="2" t="s">
        <v>761</v>
      </c>
      <c r="C6312" s="2">
        <v>2</v>
      </c>
      <c r="D6312" t="str">
        <f t="shared" si="98"/>
        <v>CA-2017-126662_TEC-CO-10004202</v>
      </c>
      <c r="E6312" t="str">
        <f>IF(COUNTIF(data1!$D:$D,D6312)=0,"Missing in Data1","Present")</f>
        <v>Present</v>
      </c>
    </row>
    <row r="6313" spans="1:5" x14ac:dyDescent="0.25">
      <c r="A6313" s="2" t="s">
        <v>5028</v>
      </c>
      <c r="B6313" s="2" t="s">
        <v>307</v>
      </c>
      <c r="C6313" s="2">
        <v>3</v>
      </c>
      <c r="D6313" t="str">
        <f t="shared" si="98"/>
        <v>CA-2017-126676_OFF-EN-10004846</v>
      </c>
      <c r="E6313" t="str">
        <f>IF(COUNTIF(data1!$D:$D,D6313)=0,"Missing in Data1","Present")</f>
        <v>Present</v>
      </c>
    </row>
    <row r="6314" spans="1:5" x14ac:dyDescent="0.25">
      <c r="A6314" s="2" t="s">
        <v>5029</v>
      </c>
      <c r="B6314" s="2" t="s">
        <v>5030</v>
      </c>
      <c r="C6314" s="2">
        <v>1</v>
      </c>
      <c r="D6314" t="str">
        <f t="shared" si="98"/>
        <v>CA-2017-126718_OFF-LA-10004055</v>
      </c>
      <c r="E6314" t="str">
        <f>IF(COUNTIF(data1!$D:$D,D6314)=0,"Missing in Data1","Present")</f>
        <v>Present</v>
      </c>
    </row>
    <row r="6315" spans="1:5" x14ac:dyDescent="0.25">
      <c r="A6315" s="2" t="s">
        <v>5031</v>
      </c>
      <c r="B6315" s="2" t="s">
        <v>729</v>
      </c>
      <c r="C6315" s="2">
        <v>1</v>
      </c>
      <c r="D6315" t="str">
        <f t="shared" si="98"/>
        <v>CA-2017-126774_OFF-AR-10002804</v>
      </c>
      <c r="E6315" t="str">
        <f>IF(COUNTIF(data1!$D:$D,D6315)=0,"Missing in Data1","Present")</f>
        <v>Present</v>
      </c>
    </row>
    <row r="6316" spans="1:5" x14ac:dyDescent="0.25">
      <c r="A6316" s="2" t="s">
        <v>5032</v>
      </c>
      <c r="B6316" s="2" t="s">
        <v>1892</v>
      </c>
      <c r="C6316" s="2">
        <v>3</v>
      </c>
      <c r="D6316" t="str">
        <f t="shared" si="98"/>
        <v>CA-2017-126788_TEC-PH-10001619</v>
      </c>
      <c r="E6316" t="str">
        <f>IF(COUNTIF(data1!$D:$D,D6316)=0,"Missing in Data1","Present")</f>
        <v>Present</v>
      </c>
    </row>
    <row r="6317" spans="1:5" x14ac:dyDescent="0.25">
      <c r="A6317" s="2" t="s">
        <v>5033</v>
      </c>
      <c r="B6317" s="2" t="s">
        <v>1006</v>
      </c>
      <c r="C6317" s="2">
        <v>3</v>
      </c>
      <c r="D6317" t="str">
        <f t="shared" si="98"/>
        <v>CA-2017-126865_OFF-PA-10003039</v>
      </c>
      <c r="E6317" t="str">
        <f>IF(COUNTIF(data1!$D:$D,D6317)=0,"Missing in Data1","Present")</f>
        <v>Present</v>
      </c>
    </row>
    <row r="6318" spans="1:5" x14ac:dyDescent="0.25">
      <c r="A6318" s="2" t="s">
        <v>5034</v>
      </c>
      <c r="B6318" s="2" t="s">
        <v>1559</v>
      </c>
      <c r="C6318" s="2">
        <v>2</v>
      </c>
      <c r="D6318" t="str">
        <f t="shared" si="98"/>
        <v>CA-2017-126914_FUR-BO-10000468</v>
      </c>
      <c r="E6318" t="str">
        <f>IF(COUNTIF(data1!$D:$D,D6318)=0,"Missing in Data1","Present")</f>
        <v>Present</v>
      </c>
    </row>
    <row r="6319" spans="1:5" x14ac:dyDescent="0.25">
      <c r="A6319" s="2" t="s">
        <v>5034</v>
      </c>
      <c r="B6319" s="2" t="s">
        <v>233</v>
      </c>
      <c r="C6319" s="2">
        <v>3</v>
      </c>
      <c r="D6319" t="str">
        <f t="shared" si="98"/>
        <v>CA-2017-126914_FUR-CH-10000847</v>
      </c>
      <c r="E6319" t="str">
        <f>IF(COUNTIF(data1!$D:$D,D6319)=0,"Missing in Data1","Present")</f>
        <v>Present</v>
      </c>
    </row>
    <row r="6320" spans="1:5" x14ac:dyDescent="0.25">
      <c r="A6320" s="2" t="s">
        <v>5035</v>
      </c>
      <c r="B6320" s="2" t="s">
        <v>1443</v>
      </c>
      <c r="C6320" s="2">
        <v>3</v>
      </c>
      <c r="D6320" t="str">
        <f t="shared" si="98"/>
        <v>CA-2017-126928_OFF-ST-10000615</v>
      </c>
      <c r="E6320" t="str">
        <f>IF(COUNTIF(data1!$D:$D,D6320)=0,"Missing in Data1","Present")</f>
        <v>Present</v>
      </c>
    </row>
    <row r="6321" spans="1:5" x14ac:dyDescent="0.25">
      <c r="A6321" s="2" t="s">
        <v>5036</v>
      </c>
      <c r="B6321" s="2" t="s">
        <v>1231</v>
      </c>
      <c r="C6321" s="2">
        <v>2</v>
      </c>
      <c r="D6321" t="str">
        <f t="shared" si="98"/>
        <v>CA-2017-126956_OFF-EN-10004459</v>
      </c>
      <c r="E6321" t="str">
        <f>IF(COUNTIF(data1!$D:$D,D6321)=0,"Missing in Data1","Present")</f>
        <v>Present</v>
      </c>
    </row>
    <row r="6322" spans="1:5" x14ac:dyDescent="0.25">
      <c r="A6322" s="2" t="s">
        <v>5036</v>
      </c>
      <c r="B6322" s="2" t="s">
        <v>913</v>
      </c>
      <c r="C6322" s="2">
        <v>7</v>
      </c>
      <c r="D6322" t="str">
        <f t="shared" si="98"/>
        <v>CA-2017-126956_OFF-FA-10002280</v>
      </c>
      <c r="E6322" t="str">
        <f>IF(COUNTIF(data1!$D:$D,D6322)=0,"Missing in Data1","Present")</f>
        <v>Present</v>
      </c>
    </row>
    <row r="6323" spans="1:5" x14ac:dyDescent="0.25">
      <c r="A6323" s="2" t="s">
        <v>5036</v>
      </c>
      <c r="B6323" s="2" t="s">
        <v>1822</v>
      </c>
      <c r="C6323" s="2">
        <v>4</v>
      </c>
      <c r="D6323" t="str">
        <f t="shared" si="98"/>
        <v>CA-2017-126956_OFF-SU-10000381</v>
      </c>
      <c r="E6323" t="str">
        <f>IF(COUNTIF(data1!$D:$D,D6323)=0,"Missing in Data1","Present")</f>
        <v>Present</v>
      </c>
    </row>
    <row r="6324" spans="1:5" x14ac:dyDescent="0.25">
      <c r="A6324" s="2" t="s">
        <v>5037</v>
      </c>
      <c r="B6324" s="2" t="s">
        <v>1636</v>
      </c>
      <c r="C6324" s="2">
        <v>5</v>
      </c>
      <c r="D6324" t="str">
        <f t="shared" si="98"/>
        <v>CA-2017-127026_OFF-BI-10000546</v>
      </c>
      <c r="E6324" t="str">
        <f>IF(COUNTIF(data1!$D:$D,D6324)=0,"Missing in Data1","Present")</f>
        <v>Present</v>
      </c>
    </row>
    <row r="6325" spans="1:5" x14ac:dyDescent="0.25">
      <c r="A6325" s="2" t="s">
        <v>5037</v>
      </c>
      <c r="B6325" s="2" t="s">
        <v>171</v>
      </c>
      <c r="C6325" s="2">
        <v>4</v>
      </c>
      <c r="D6325" t="str">
        <f t="shared" si="98"/>
        <v>CA-2017-127026_OFF-BI-10001196</v>
      </c>
      <c r="E6325" t="str">
        <f>IF(COUNTIF(data1!$D:$D,D6325)=0,"Missing in Data1","Present")</f>
        <v>Present</v>
      </c>
    </row>
    <row r="6326" spans="1:5" x14ac:dyDescent="0.25">
      <c r="A6326" s="2" t="s">
        <v>5037</v>
      </c>
      <c r="B6326" s="2" t="s">
        <v>1053</v>
      </c>
      <c r="C6326" s="2">
        <v>5</v>
      </c>
      <c r="D6326" t="str">
        <f t="shared" si="98"/>
        <v>CA-2017-127026_TEC-AC-10002049</v>
      </c>
      <c r="E6326" t="str">
        <f>IF(COUNTIF(data1!$D:$D,D6326)=0,"Missing in Data1","Present")</f>
        <v>Present</v>
      </c>
    </row>
    <row r="6327" spans="1:5" x14ac:dyDescent="0.25">
      <c r="A6327" s="2" t="s">
        <v>5037</v>
      </c>
      <c r="B6327" s="2" t="s">
        <v>5038</v>
      </c>
      <c r="C6327" s="2">
        <v>3</v>
      </c>
      <c r="D6327" t="str">
        <f t="shared" si="98"/>
        <v>CA-2017-127026_TEC-MA-10002981</v>
      </c>
      <c r="E6327" t="str">
        <f>IF(COUNTIF(data1!$D:$D,D6327)=0,"Missing in Data1","Present")</f>
        <v>Present</v>
      </c>
    </row>
    <row r="6328" spans="1:5" x14ac:dyDescent="0.25">
      <c r="A6328" s="2" t="s">
        <v>5037</v>
      </c>
      <c r="B6328" s="2" t="s">
        <v>3077</v>
      </c>
      <c r="C6328" s="2">
        <v>1</v>
      </c>
      <c r="D6328" t="str">
        <f t="shared" si="98"/>
        <v>CA-2017-127026_TEC-PH-10003601</v>
      </c>
      <c r="E6328" t="str">
        <f>IF(COUNTIF(data1!$D:$D,D6328)=0,"Missing in Data1","Present")</f>
        <v>Present</v>
      </c>
    </row>
    <row r="6329" spans="1:5" x14ac:dyDescent="0.25">
      <c r="A6329" s="2" t="s">
        <v>5039</v>
      </c>
      <c r="B6329" s="2" t="s">
        <v>1806</v>
      </c>
      <c r="C6329" s="2">
        <v>1</v>
      </c>
      <c r="D6329" t="str">
        <f t="shared" si="98"/>
        <v>CA-2017-127096_FUR-TA-10003473</v>
      </c>
      <c r="E6329" t="str">
        <f>IF(COUNTIF(data1!$D:$D,D6329)=0,"Missing in Data1","Present")</f>
        <v>Present</v>
      </c>
    </row>
    <row r="6330" spans="1:5" x14ac:dyDescent="0.25">
      <c r="A6330" s="2" t="s">
        <v>5040</v>
      </c>
      <c r="B6330" s="2" t="s">
        <v>278</v>
      </c>
      <c r="C6330" s="2">
        <v>5</v>
      </c>
      <c r="D6330" t="str">
        <f t="shared" si="98"/>
        <v>CA-2017-127117_FUR-FU-10004018</v>
      </c>
      <c r="E6330" t="str">
        <f>IF(COUNTIF(data1!$D:$D,D6330)=0,"Missing in Data1","Present")</f>
        <v>Present</v>
      </c>
    </row>
    <row r="6331" spans="1:5" x14ac:dyDescent="0.25">
      <c r="A6331" s="2" t="s">
        <v>5041</v>
      </c>
      <c r="B6331" s="2" t="s">
        <v>758</v>
      </c>
      <c r="C6331" s="2">
        <v>5</v>
      </c>
      <c r="D6331" t="str">
        <f t="shared" si="98"/>
        <v>CA-2017-127180_OFF-EN-10002500</v>
      </c>
      <c r="E6331" t="str">
        <f>IF(COUNTIF(data1!$D:$D,D6331)=0,"Missing in Data1","Present")</f>
        <v>Present</v>
      </c>
    </row>
    <row r="6332" spans="1:5" x14ac:dyDescent="0.25">
      <c r="A6332" s="2" t="s">
        <v>5041</v>
      </c>
      <c r="B6332" s="2" t="s">
        <v>3527</v>
      </c>
      <c r="C6332" s="2">
        <v>4</v>
      </c>
      <c r="D6332" t="str">
        <f t="shared" si="98"/>
        <v>CA-2017-127180_TEC-CO-10004722</v>
      </c>
      <c r="E6332" t="str">
        <f>IF(COUNTIF(data1!$D:$D,D6332)=0,"Missing in Data1","Present")</f>
        <v>Present</v>
      </c>
    </row>
    <row r="6333" spans="1:5" x14ac:dyDescent="0.25">
      <c r="A6333" s="2" t="s">
        <v>5041</v>
      </c>
      <c r="B6333" s="2" t="s">
        <v>1997</v>
      </c>
      <c r="C6333" s="2">
        <v>8</v>
      </c>
      <c r="D6333" t="str">
        <f t="shared" si="98"/>
        <v>CA-2017-127180_TEC-PH-10001494</v>
      </c>
      <c r="E6333" t="str">
        <f>IF(COUNTIF(data1!$D:$D,D6333)=0,"Missing in Data1","Present")</f>
        <v>Present</v>
      </c>
    </row>
    <row r="6334" spans="1:5" x14ac:dyDescent="0.25">
      <c r="A6334" s="2" t="s">
        <v>5041</v>
      </c>
      <c r="B6334" s="2" t="s">
        <v>1940</v>
      </c>
      <c r="C6334" s="2">
        <v>1</v>
      </c>
      <c r="D6334" t="str">
        <f t="shared" si="98"/>
        <v>CA-2017-127180_TEC-PH-10003800</v>
      </c>
      <c r="E6334" t="str">
        <f>IF(COUNTIF(data1!$D:$D,D6334)=0,"Missing in Data1","Present")</f>
        <v>Present</v>
      </c>
    </row>
    <row r="6335" spans="1:5" x14ac:dyDescent="0.25">
      <c r="A6335" s="2" t="s">
        <v>5042</v>
      </c>
      <c r="B6335" s="2" t="s">
        <v>298</v>
      </c>
      <c r="C6335" s="2">
        <v>3</v>
      </c>
      <c r="D6335" t="str">
        <f t="shared" si="98"/>
        <v>CA-2017-127264_OFF-AR-10003045</v>
      </c>
      <c r="E6335" t="str">
        <f>IF(COUNTIF(data1!$D:$D,D6335)=0,"Missing in Data1","Present")</f>
        <v>Present</v>
      </c>
    </row>
    <row r="6336" spans="1:5" x14ac:dyDescent="0.25">
      <c r="A6336" s="2" t="s">
        <v>5043</v>
      </c>
      <c r="B6336" s="2" t="s">
        <v>3126</v>
      </c>
      <c r="C6336" s="2">
        <v>2</v>
      </c>
      <c r="D6336" t="str">
        <f t="shared" si="98"/>
        <v>CA-2017-127285_OFF-BI-10002072</v>
      </c>
      <c r="E6336" t="str">
        <f>IF(COUNTIF(data1!$D:$D,D6336)=0,"Missing in Data1","Present")</f>
        <v>Present</v>
      </c>
    </row>
    <row r="6337" spans="1:5" x14ac:dyDescent="0.25">
      <c r="A6337" s="2" t="s">
        <v>5043</v>
      </c>
      <c r="B6337" s="2" t="s">
        <v>2193</v>
      </c>
      <c r="C6337" s="2">
        <v>3</v>
      </c>
      <c r="D6337" t="str">
        <f t="shared" si="98"/>
        <v>CA-2017-127285_OFF-BI-10004330</v>
      </c>
      <c r="E6337" t="str">
        <f>IF(COUNTIF(data1!$D:$D,D6337)=0,"Missing in Data1","Present")</f>
        <v>Present</v>
      </c>
    </row>
    <row r="6338" spans="1:5" x14ac:dyDescent="0.25">
      <c r="A6338" s="2" t="s">
        <v>5044</v>
      </c>
      <c r="B6338" s="2" t="s">
        <v>2819</v>
      </c>
      <c r="C6338" s="2">
        <v>5</v>
      </c>
      <c r="D6338" t="str">
        <f t="shared" si="98"/>
        <v>CA-2017-127306_OFF-BI-10002003</v>
      </c>
      <c r="E6338" t="str">
        <f>IF(COUNTIF(data1!$D:$D,D6338)=0,"Missing in Data1","Present")</f>
        <v>Present</v>
      </c>
    </row>
    <row r="6339" spans="1:5" x14ac:dyDescent="0.25">
      <c r="A6339" s="2" t="s">
        <v>5044</v>
      </c>
      <c r="B6339" s="2" t="s">
        <v>1526</v>
      </c>
      <c r="C6339" s="2">
        <v>2</v>
      </c>
      <c r="D6339" t="str">
        <f t="shared" ref="D6339:D6402" si="99">A6339&amp;"_"&amp;B6339</f>
        <v>CA-2017-127306_OFF-BI-10003727</v>
      </c>
      <c r="E6339" t="str">
        <f>IF(COUNTIF(data1!$D:$D,D6339)=0,"Missing in Data1","Present")</f>
        <v>Present</v>
      </c>
    </row>
    <row r="6340" spans="1:5" x14ac:dyDescent="0.25">
      <c r="A6340" s="2" t="s">
        <v>5044</v>
      </c>
      <c r="B6340" s="2" t="s">
        <v>909</v>
      </c>
      <c r="C6340" s="2">
        <v>3</v>
      </c>
      <c r="D6340" t="str">
        <f t="shared" si="99"/>
        <v>CA-2017-127306_OFF-EN-10001219</v>
      </c>
      <c r="E6340" t="str">
        <f>IF(COUNTIF(data1!$D:$D,D6340)=0,"Missing in Data1","Present")</f>
        <v>Present</v>
      </c>
    </row>
    <row r="6341" spans="1:5" x14ac:dyDescent="0.25">
      <c r="A6341" s="2" t="s">
        <v>5044</v>
      </c>
      <c r="B6341" s="2" t="s">
        <v>780</v>
      </c>
      <c r="C6341" s="2">
        <v>7</v>
      </c>
      <c r="D6341" t="str">
        <f t="shared" si="99"/>
        <v>CA-2017-127306_OFF-PA-10000019</v>
      </c>
      <c r="E6341" t="str">
        <f>IF(COUNTIF(data1!$D:$D,D6341)=0,"Missing in Data1","Present")</f>
        <v>Present</v>
      </c>
    </row>
    <row r="6342" spans="1:5" x14ac:dyDescent="0.25">
      <c r="A6342" s="2" t="s">
        <v>5044</v>
      </c>
      <c r="B6342" s="2" t="s">
        <v>4307</v>
      </c>
      <c r="C6342" s="2">
        <v>2</v>
      </c>
      <c r="D6342" t="str">
        <f t="shared" si="99"/>
        <v>CA-2017-127306_TEC-PH-10001924</v>
      </c>
      <c r="E6342" t="str">
        <f>IF(COUNTIF(data1!$D:$D,D6342)=0,"Missing in Data1","Present")</f>
        <v>Present</v>
      </c>
    </row>
    <row r="6343" spans="1:5" x14ac:dyDescent="0.25">
      <c r="A6343" s="2" t="s">
        <v>5045</v>
      </c>
      <c r="B6343" s="2" t="s">
        <v>5046</v>
      </c>
      <c r="C6343" s="2">
        <v>5</v>
      </c>
      <c r="D6343" t="str">
        <f t="shared" si="99"/>
        <v>CA-2017-127313_FUR-FU-10003798</v>
      </c>
      <c r="E6343" t="str">
        <f>IF(COUNTIF(data1!$D:$D,D6343)=0,"Missing in Data1","Present")</f>
        <v>Present</v>
      </c>
    </row>
    <row r="6344" spans="1:5" x14ac:dyDescent="0.25">
      <c r="A6344" s="2" t="s">
        <v>5045</v>
      </c>
      <c r="B6344" s="2" t="s">
        <v>1024</v>
      </c>
      <c r="C6344" s="2">
        <v>3</v>
      </c>
      <c r="D6344" t="str">
        <f t="shared" si="99"/>
        <v>CA-2017-127313_OFF-ST-10001228</v>
      </c>
      <c r="E6344" t="str">
        <f>IF(COUNTIF(data1!$D:$D,D6344)=0,"Missing in Data1","Present")</f>
        <v>Present</v>
      </c>
    </row>
    <row r="6345" spans="1:5" x14ac:dyDescent="0.25">
      <c r="A6345" s="2" t="s">
        <v>5047</v>
      </c>
      <c r="B6345" s="2" t="s">
        <v>781</v>
      </c>
      <c r="C6345" s="2">
        <v>5</v>
      </c>
      <c r="D6345" t="str">
        <f t="shared" si="99"/>
        <v>CA-2017-127397_OFF-PA-10001125</v>
      </c>
      <c r="E6345" t="str">
        <f>IF(COUNTIF(data1!$D:$D,D6345)=0,"Missing in Data1","Present")</f>
        <v>Present</v>
      </c>
    </row>
    <row r="6346" spans="1:5" x14ac:dyDescent="0.25">
      <c r="A6346" s="2" t="s">
        <v>5047</v>
      </c>
      <c r="B6346" s="2" t="s">
        <v>2361</v>
      </c>
      <c r="C6346" s="2">
        <v>5</v>
      </c>
      <c r="D6346" t="str">
        <f t="shared" si="99"/>
        <v>CA-2017-127397_TEC-AC-10003033</v>
      </c>
      <c r="E6346" t="str">
        <f>IF(COUNTIF(data1!$D:$D,D6346)=0,"Missing in Data1","Present")</f>
        <v>Missing in Data1</v>
      </c>
    </row>
    <row r="6347" spans="1:5" x14ac:dyDescent="0.25">
      <c r="A6347" s="2" t="s">
        <v>5048</v>
      </c>
      <c r="B6347" s="2" t="s">
        <v>1250</v>
      </c>
      <c r="C6347" s="2">
        <v>2</v>
      </c>
      <c r="D6347" t="str">
        <f t="shared" si="99"/>
        <v>CA-2017-127432_OFF-PA-10001667</v>
      </c>
      <c r="E6347" t="str">
        <f>IF(COUNTIF(data1!$D:$D,D6347)=0,"Missing in Data1","Present")</f>
        <v>Present</v>
      </c>
    </row>
    <row r="6348" spans="1:5" x14ac:dyDescent="0.25">
      <c r="A6348" s="2" t="s">
        <v>5048</v>
      </c>
      <c r="B6348" s="2" t="s">
        <v>1514</v>
      </c>
      <c r="C6348" s="2">
        <v>3</v>
      </c>
      <c r="D6348" t="str">
        <f t="shared" si="99"/>
        <v>CA-2017-127432_OFF-ST-10004459</v>
      </c>
      <c r="E6348" t="str">
        <f>IF(COUNTIF(data1!$D:$D,D6348)=0,"Missing in Data1","Present")</f>
        <v>Present</v>
      </c>
    </row>
    <row r="6349" spans="1:5" x14ac:dyDescent="0.25">
      <c r="A6349" s="2" t="s">
        <v>5048</v>
      </c>
      <c r="B6349" s="2" t="s">
        <v>1772</v>
      </c>
      <c r="C6349" s="2">
        <v>3</v>
      </c>
      <c r="D6349" t="str">
        <f t="shared" si="99"/>
        <v>CA-2017-127432_OFF-ST-10004507</v>
      </c>
      <c r="E6349" t="str">
        <f>IF(COUNTIF(data1!$D:$D,D6349)=0,"Missing in Data1","Present")</f>
        <v>Present</v>
      </c>
    </row>
    <row r="6350" spans="1:5" x14ac:dyDescent="0.25">
      <c r="A6350" s="2" t="s">
        <v>5048</v>
      </c>
      <c r="B6350" s="2" t="s">
        <v>4465</v>
      </c>
      <c r="C6350" s="2">
        <v>5</v>
      </c>
      <c r="D6350" t="str">
        <f t="shared" si="99"/>
        <v>CA-2017-127432_TEC-CO-10003236</v>
      </c>
      <c r="E6350" t="str">
        <f>IF(COUNTIF(data1!$D:$D,D6350)=0,"Missing in Data1","Present")</f>
        <v>Present</v>
      </c>
    </row>
    <row r="6351" spans="1:5" x14ac:dyDescent="0.25">
      <c r="A6351" s="2" t="s">
        <v>5049</v>
      </c>
      <c r="B6351" s="2" t="s">
        <v>1360</v>
      </c>
      <c r="C6351" s="2">
        <v>6</v>
      </c>
      <c r="D6351" t="str">
        <f t="shared" si="99"/>
        <v>CA-2017-127460_OFF-ST-10004340</v>
      </c>
      <c r="E6351" t="str">
        <f>IF(COUNTIF(data1!$D:$D,D6351)=0,"Missing in Data1","Present")</f>
        <v>Present</v>
      </c>
    </row>
    <row r="6352" spans="1:5" x14ac:dyDescent="0.25">
      <c r="A6352" s="2" t="s">
        <v>5050</v>
      </c>
      <c r="B6352" s="2" t="s">
        <v>2559</v>
      </c>
      <c r="C6352" s="2">
        <v>1</v>
      </c>
      <c r="D6352" t="str">
        <f t="shared" si="99"/>
        <v>CA-2017-127474_FUR-FU-10004597</v>
      </c>
      <c r="E6352" t="str">
        <f>IF(COUNTIF(data1!$D:$D,D6352)=0,"Missing in Data1","Present")</f>
        <v>Present</v>
      </c>
    </row>
    <row r="6353" spans="1:5" x14ac:dyDescent="0.25">
      <c r="A6353" s="2" t="s">
        <v>5050</v>
      </c>
      <c r="B6353" s="2" t="s">
        <v>1243</v>
      </c>
      <c r="C6353" s="2">
        <v>5</v>
      </c>
      <c r="D6353" t="str">
        <f t="shared" si="99"/>
        <v>CA-2017-127474_OFF-PA-10000418</v>
      </c>
      <c r="E6353" t="str">
        <f>IF(COUNTIF(data1!$D:$D,D6353)=0,"Missing in Data1","Present")</f>
        <v>Present</v>
      </c>
    </row>
    <row r="6354" spans="1:5" x14ac:dyDescent="0.25">
      <c r="A6354" s="2" t="s">
        <v>5050</v>
      </c>
      <c r="B6354" s="2" t="s">
        <v>1435</v>
      </c>
      <c r="C6354" s="2">
        <v>2</v>
      </c>
      <c r="D6354" t="str">
        <f t="shared" si="99"/>
        <v>CA-2017-127474_OFF-PA-10001033</v>
      </c>
      <c r="E6354" t="str">
        <f>IF(COUNTIF(data1!$D:$D,D6354)=0,"Missing in Data1","Present")</f>
        <v>Present</v>
      </c>
    </row>
    <row r="6355" spans="1:5" x14ac:dyDescent="0.25">
      <c r="A6355" s="2" t="s">
        <v>5050</v>
      </c>
      <c r="B6355" s="2" t="s">
        <v>1378</v>
      </c>
      <c r="C6355" s="2">
        <v>1</v>
      </c>
      <c r="D6355" t="str">
        <f t="shared" si="99"/>
        <v>CA-2017-127474_OFF-PA-10001166</v>
      </c>
      <c r="E6355" t="str">
        <f>IF(COUNTIF(data1!$D:$D,D6355)=0,"Missing in Data1","Present")</f>
        <v>Present</v>
      </c>
    </row>
    <row r="6356" spans="1:5" x14ac:dyDescent="0.25">
      <c r="A6356" s="2" t="s">
        <v>5051</v>
      </c>
      <c r="B6356" s="2" t="s">
        <v>299</v>
      </c>
      <c r="C6356" s="2">
        <v>1</v>
      </c>
      <c r="D6356" t="str">
        <f t="shared" si="99"/>
        <v>CA-2017-127516_OFF-ST-10000736</v>
      </c>
      <c r="E6356" t="str">
        <f>IF(COUNTIF(data1!$D:$D,D6356)=0,"Missing in Data1","Present")</f>
        <v>Present</v>
      </c>
    </row>
    <row r="6357" spans="1:5" x14ac:dyDescent="0.25">
      <c r="A6357" s="2" t="s">
        <v>5052</v>
      </c>
      <c r="B6357" s="2" t="s">
        <v>2108</v>
      </c>
      <c r="C6357" s="2">
        <v>8</v>
      </c>
      <c r="D6357" t="str">
        <f t="shared" si="99"/>
        <v>CA-2017-127621_OFF-PA-10001307</v>
      </c>
      <c r="E6357" t="str">
        <f>IF(COUNTIF(data1!$D:$D,D6357)=0,"Missing in Data1","Present")</f>
        <v>Present</v>
      </c>
    </row>
    <row r="6358" spans="1:5" x14ac:dyDescent="0.25">
      <c r="A6358" s="2" t="s">
        <v>5053</v>
      </c>
      <c r="B6358" s="2" t="s">
        <v>2352</v>
      </c>
      <c r="C6358" s="2">
        <v>4</v>
      </c>
      <c r="D6358" t="str">
        <f t="shared" si="99"/>
        <v>CA-2017-127656_OFF-AR-10001166</v>
      </c>
      <c r="E6358" t="str">
        <f>IF(COUNTIF(data1!$D:$D,D6358)=0,"Missing in Data1","Present")</f>
        <v>Present</v>
      </c>
    </row>
    <row r="6359" spans="1:5" x14ac:dyDescent="0.25">
      <c r="A6359" s="2" t="s">
        <v>5054</v>
      </c>
      <c r="B6359" s="2" t="s">
        <v>1772</v>
      </c>
      <c r="C6359" s="2">
        <v>2</v>
      </c>
      <c r="D6359" t="str">
        <f t="shared" si="99"/>
        <v>CA-2017-127705_OFF-ST-10004507</v>
      </c>
      <c r="E6359" t="str">
        <f>IF(COUNTIF(data1!$D:$D,D6359)=0,"Missing in Data1","Present")</f>
        <v>Present</v>
      </c>
    </row>
    <row r="6360" spans="1:5" x14ac:dyDescent="0.25">
      <c r="A6360" s="2" t="s">
        <v>5054</v>
      </c>
      <c r="B6360" s="2" t="s">
        <v>1918</v>
      </c>
      <c r="C6360" s="2">
        <v>1</v>
      </c>
      <c r="D6360" t="str">
        <f t="shared" si="99"/>
        <v>CA-2017-127705_TEC-PH-10000347</v>
      </c>
      <c r="E6360" t="str">
        <f>IF(COUNTIF(data1!$D:$D,D6360)=0,"Missing in Data1","Present")</f>
        <v>Present</v>
      </c>
    </row>
    <row r="6361" spans="1:5" x14ac:dyDescent="0.25">
      <c r="A6361" s="2" t="s">
        <v>5056</v>
      </c>
      <c r="B6361" s="2" t="s">
        <v>518</v>
      </c>
      <c r="C6361" s="2">
        <v>4</v>
      </c>
      <c r="D6361" t="str">
        <f t="shared" si="99"/>
        <v>CA-2017-127726_OFF-AP-10002578</v>
      </c>
      <c r="E6361" t="str">
        <f>IF(COUNTIF(data1!$D:$D,D6361)=0,"Missing in Data1","Present")</f>
        <v>Present</v>
      </c>
    </row>
    <row r="6362" spans="1:5" x14ac:dyDescent="0.25">
      <c r="A6362" s="2" t="s">
        <v>5056</v>
      </c>
      <c r="B6362" s="2" t="s">
        <v>1653</v>
      </c>
      <c r="C6362" s="2">
        <v>4</v>
      </c>
      <c r="D6362" t="str">
        <f t="shared" si="99"/>
        <v>CA-2017-127726_OFF-FA-10000992</v>
      </c>
      <c r="E6362" t="str">
        <f>IF(COUNTIF(data1!$D:$D,D6362)=0,"Missing in Data1","Present")</f>
        <v>Present</v>
      </c>
    </row>
    <row r="6363" spans="1:5" x14ac:dyDescent="0.25">
      <c r="A6363" s="2" t="s">
        <v>5057</v>
      </c>
      <c r="B6363" s="2" t="s">
        <v>2864</v>
      </c>
      <c r="C6363" s="2">
        <v>1</v>
      </c>
      <c r="D6363" t="str">
        <f t="shared" si="99"/>
        <v>CA-2017-127782_FUR-FU-10001847</v>
      </c>
      <c r="E6363" t="str">
        <f>IF(COUNTIF(data1!$D:$D,D6363)=0,"Missing in Data1","Present")</f>
        <v>Present</v>
      </c>
    </row>
    <row r="6364" spans="1:5" x14ac:dyDescent="0.25">
      <c r="A6364" s="2" t="s">
        <v>5057</v>
      </c>
      <c r="B6364" s="2" t="s">
        <v>725</v>
      </c>
      <c r="C6364" s="2">
        <v>3</v>
      </c>
      <c r="D6364" t="str">
        <f t="shared" si="99"/>
        <v>CA-2017-127782_OFF-AP-10001962</v>
      </c>
      <c r="E6364" t="str">
        <f>IF(COUNTIF(data1!$D:$D,D6364)=0,"Missing in Data1","Present")</f>
        <v>Present</v>
      </c>
    </row>
    <row r="6365" spans="1:5" x14ac:dyDescent="0.25">
      <c r="A6365" s="2" t="s">
        <v>5057</v>
      </c>
      <c r="B6365" s="2" t="s">
        <v>464</v>
      </c>
      <c r="C6365" s="2">
        <v>3</v>
      </c>
      <c r="D6365" t="str">
        <f t="shared" si="99"/>
        <v>CA-2017-127782_OFF-EN-10003845</v>
      </c>
      <c r="E6365" t="str">
        <f>IF(COUNTIF(data1!$D:$D,D6365)=0,"Missing in Data1","Present")</f>
        <v>Present</v>
      </c>
    </row>
    <row r="6366" spans="1:5" x14ac:dyDescent="0.25">
      <c r="A6366" s="2" t="s">
        <v>5057</v>
      </c>
      <c r="B6366" s="2" t="s">
        <v>2598</v>
      </c>
      <c r="C6366" s="2">
        <v>4</v>
      </c>
      <c r="D6366" t="str">
        <f t="shared" si="99"/>
        <v>CA-2017-127782_TEC-PH-10001817</v>
      </c>
      <c r="E6366" t="str">
        <f>IF(COUNTIF(data1!$D:$D,D6366)=0,"Missing in Data1","Present")</f>
        <v>Present</v>
      </c>
    </row>
    <row r="6367" spans="1:5" x14ac:dyDescent="0.25">
      <c r="A6367" s="2" t="s">
        <v>5058</v>
      </c>
      <c r="B6367" s="2" t="s">
        <v>126</v>
      </c>
      <c r="C6367" s="2">
        <v>4</v>
      </c>
      <c r="D6367" t="str">
        <f t="shared" si="99"/>
        <v>CA-2017-127803_OFF-BI-10001787</v>
      </c>
      <c r="E6367" t="str">
        <f>IF(COUNTIF(data1!$D:$D,D6367)=0,"Missing in Data1","Present")</f>
        <v>Present</v>
      </c>
    </row>
    <row r="6368" spans="1:5" x14ac:dyDescent="0.25">
      <c r="A6368" s="2" t="s">
        <v>5059</v>
      </c>
      <c r="B6368" s="2" t="s">
        <v>1073</v>
      </c>
      <c r="C6368" s="2">
        <v>2</v>
      </c>
      <c r="D6368" t="str">
        <f t="shared" si="99"/>
        <v>CA-2017-127922_OFF-PA-10001204</v>
      </c>
      <c r="E6368" t="str">
        <f>IF(COUNTIF(data1!$D:$D,D6368)=0,"Missing in Data1","Present")</f>
        <v>Present</v>
      </c>
    </row>
    <row r="6369" spans="1:5" x14ac:dyDescent="0.25">
      <c r="A6369" s="2" t="s">
        <v>5060</v>
      </c>
      <c r="B6369" s="2" t="s">
        <v>1768</v>
      </c>
      <c r="C6369" s="2">
        <v>3</v>
      </c>
      <c r="D6369" t="str">
        <f t="shared" si="99"/>
        <v>CA-2017-127929_FUR-FU-10003708</v>
      </c>
      <c r="E6369" t="str">
        <f>IF(COUNTIF(data1!$D:$D,D6369)=0,"Missing in Data1","Present")</f>
        <v>Present</v>
      </c>
    </row>
    <row r="6370" spans="1:5" x14ac:dyDescent="0.25">
      <c r="A6370" s="2" t="s">
        <v>5061</v>
      </c>
      <c r="B6370" s="2" t="s">
        <v>752</v>
      </c>
      <c r="C6370" s="2">
        <v>4</v>
      </c>
      <c r="D6370" t="str">
        <f t="shared" si="99"/>
        <v>CA-2017-128041_FUR-TA-10002607</v>
      </c>
      <c r="E6370" t="str">
        <f>IF(COUNTIF(data1!$D:$D,D6370)=0,"Missing in Data1","Present")</f>
        <v>Present</v>
      </c>
    </row>
    <row r="6371" spans="1:5" x14ac:dyDescent="0.25">
      <c r="A6371" s="2" t="s">
        <v>5061</v>
      </c>
      <c r="B6371" s="2" t="s">
        <v>136</v>
      </c>
      <c r="C6371" s="2">
        <v>4</v>
      </c>
      <c r="D6371" t="str">
        <f t="shared" si="99"/>
        <v>CA-2017-128041_OFF-AP-10001005</v>
      </c>
      <c r="E6371" t="str">
        <f>IF(COUNTIF(data1!$D:$D,D6371)=0,"Missing in Data1","Present")</f>
        <v>Present</v>
      </c>
    </row>
    <row r="6372" spans="1:5" x14ac:dyDescent="0.25">
      <c r="A6372" s="2" t="s">
        <v>5062</v>
      </c>
      <c r="B6372" s="2" t="s">
        <v>5063</v>
      </c>
      <c r="C6372" s="2">
        <v>2</v>
      </c>
      <c r="D6372" t="str">
        <f t="shared" si="99"/>
        <v>CA-2017-128076_FUR-FU-10000293</v>
      </c>
      <c r="E6372" t="str">
        <f>IF(COUNTIF(data1!$D:$D,D6372)=0,"Missing in Data1","Present")</f>
        <v>Present</v>
      </c>
    </row>
    <row r="6373" spans="1:5" x14ac:dyDescent="0.25">
      <c r="A6373" s="2" t="s">
        <v>5062</v>
      </c>
      <c r="B6373" s="2" t="s">
        <v>1137</v>
      </c>
      <c r="C6373" s="2">
        <v>2</v>
      </c>
      <c r="D6373" t="str">
        <f t="shared" si="99"/>
        <v>CA-2017-128076_OFF-BI-10003638</v>
      </c>
      <c r="E6373" t="str">
        <f>IF(COUNTIF(data1!$D:$D,D6373)=0,"Missing in Data1","Present")</f>
        <v>Present</v>
      </c>
    </row>
    <row r="6374" spans="1:5" x14ac:dyDescent="0.25">
      <c r="A6374" s="2" t="s">
        <v>5062</v>
      </c>
      <c r="B6374" s="2" t="s">
        <v>5064</v>
      </c>
      <c r="C6374" s="2">
        <v>2</v>
      </c>
      <c r="D6374" t="str">
        <f t="shared" si="99"/>
        <v>CA-2017-128076_TEC-MA-10002109</v>
      </c>
      <c r="E6374" t="str">
        <f>IF(COUNTIF(data1!$D:$D,D6374)=0,"Missing in Data1","Present")</f>
        <v>Present</v>
      </c>
    </row>
    <row r="6375" spans="1:5" x14ac:dyDescent="0.25">
      <c r="A6375" s="2" t="s">
        <v>5065</v>
      </c>
      <c r="B6375" s="2" t="s">
        <v>1954</v>
      </c>
      <c r="C6375" s="2">
        <v>2</v>
      </c>
      <c r="D6375" t="str">
        <f t="shared" si="99"/>
        <v>CA-2017-128160_OFF-BI-10001510</v>
      </c>
      <c r="E6375" t="str">
        <f>IF(COUNTIF(data1!$D:$D,D6375)=0,"Missing in Data1","Present")</f>
        <v>Present</v>
      </c>
    </row>
    <row r="6376" spans="1:5" x14ac:dyDescent="0.25">
      <c r="A6376" s="2" t="s">
        <v>5066</v>
      </c>
      <c r="B6376" s="2" t="s">
        <v>2110</v>
      </c>
      <c r="C6376" s="2">
        <v>3</v>
      </c>
      <c r="D6376" t="str">
        <f t="shared" si="99"/>
        <v>CA-2017-128265_OFF-ST-10000142</v>
      </c>
      <c r="E6376" t="str">
        <f>IF(COUNTIF(data1!$D:$D,D6376)=0,"Missing in Data1","Present")</f>
        <v>Present</v>
      </c>
    </row>
    <row r="6377" spans="1:5" x14ac:dyDescent="0.25">
      <c r="A6377" s="2" t="s">
        <v>5067</v>
      </c>
      <c r="B6377" s="2" t="s">
        <v>5</v>
      </c>
      <c r="C6377" s="2">
        <v>8</v>
      </c>
      <c r="D6377" t="str">
        <f t="shared" si="99"/>
        <v>CA-2017-128300_OFF-BI-10001597</v>
      </c>
      <c r="E6377" t="str">
        <f>IF(COUNTIF(data1!$D:$D,D6377)=0,"Missing in Data1","Present")</f>
        <v>Present</v>
      </c>
    </row>
    <row r="6378" spans="1:5" x14ac:dyDescent="0.25">
      <c r="A6378" s="2" t="s">
        <v>5067</v>
      </c>
      <c r="B6378" s="2" t="s">
        <v>2306</v>
      </c>
      <c r="C6378" s="2">
        <v>2</v>
      </c>
      <c r="D6378" t="str">
        <f t="shared" si="99"/>
        <v>CA-2017-128300_TEC-PH-10002807</v>
      </c>
      <c r="E6378" t="str">
        <f>IF(COUNTIF(data1!$D:$D,D6378)=0,"Missing in Data1","Present")</f>
        <v>Present</v>
      </c>
    </row>
    <row r="6379" spans="1:5" x14ac:dyDescent="0.25">
      <c r="A6379" s="2" t="s">
        <v>5068</v>
      </c>
      <c r="B6379" s="2" t="s">
        <v>1223</v>
      </c>
      <c r="C6379" s="2">
        <v>6</v>
      </c>
      <c r="D6379" t="str">
        <f t="shared" si="99"/>
        <v>CA-2017-128328_OFF-BI-10001989</v>
      </c>
      <c r="E6379" t="str">
        <f>IF(COUNTIF(data1!$D:$D,D6379)=0,"Missing in Data1","Present")</f>
        <v>Present</v>
      </c>
    </row>
    <row r="6380" spans="1:5" x14ac:dyDescent="0.25">
      <c r="A6380" s="2" t="s">
        <v>5068</v>
      </c>
      <c r="B6380" s="2" t="s">
        <v>1797</v>
      </c>
      <c r="C6380" s="2">
        <v>9</v>
      </c>
      <c r="D6380" t="str">
        <f t="shared" si="99"/>
        <v>CA-2017-128328_OFF-LA-10003498</v>
      </c>
      <c r="E6380" t="str">
        <f>IF(COUNTIF(data1!$D:$D,D6380)=0,"Missing in Data1","Present")</f>
        <v>Present</v>
      </c>
    </row>
    <row r="6381" spans="1:5" x14ac:dyDescent="0.25">
      <c r="A6381" s="2" t="s">
        <v>5068</v>
      </c>
      <c r="B6381" s="2" t="s">
        <v>3408</v>
      </c>
      <c r="C6381" s="2">
        <v>2</v>
      </c>
      <c r="D6381" t="str">
        <f t="shared" si="99"/>
        <v>CA-2017-128328_TEC-AC-10001714</v>
      </c>
      <c r="E6381" t="str">
        <f>IF(COUNTIF(data1!$D:$D,D6381)=0,"Missing in Data1","Present")</f>
        <v>Missing in Data1</v>
      </c>
    </row>
    <row r="6382" spans="1:5" x14ac:dyDescent="0.25">
      <c r="A6382" s="2" t="s">
        <v>5069</v>
      </c>
      <c r="B6382" s="2" t="s">
        <v>1493</v>
      </c>
      <c r="C6382" s="2">
        <v>3</v>
      </c>
      <c r="D6382" t="str">
        <f t="shared" si="99"/>
        <v>CA-2017-128335_OFF-EN-10001539</v>
      </c>
      <c r="E6382" t="str">
        <f>IF(COUNTIF(data1!$D:$D,D6382)=0,"Missing in Data1","Present")</f>
        <v>Present</v>
      </c>
    </row>
    <row r="6383" spans="1:5" x14ac:dyDescent="0.25">
      <c r="A6383" s="2" t="s">
        <v>5069</v>
      </c>
      <c r="B6383" s="2" t="s">
        <v>2240</v>
      </c>
      <c r="C6383" s="2">
        <v>5</v>
      </c>
      <c r="D6383" t="str">
        <f t="shared" si="99"/>
        <v>CA-2017-128335_OFF-PA-10004996</v>
      </c>
      <c r="E6383" t="str">
        <f>IF(COUNTIF(data1!$D:$D,D6383)=0,"Missing in Data1","Present")</f>
        <v>Present</v>
      </c>
    </row>
    <row r="6384" spans="1:5" x14ac:dyDescent="0.25">
      <c r="A6384" s="2" t="s">
        <v>5070</v>
      </c>
      <c r="B6384" s="2" t="s">
        <v>2077</v>
      </c>
      <c r="C6384" s="2">
        <v>2</v>
      </c>
      <c r="D6384" t="str">
        <f t="shared" si="99"/>
        <v>CA-2017-128363_FUR-CH-10002073</v>
      </c>
      <c r="E6384" t="str">
        <f>IF(COUNTIF(data1!$D:$D,D6384)=0,"Missing in Data1","Present")</f>
        <v>Present</v>
      </c>
    </row>
    <row r="6385" spans="1:5" x14ac:dyDescent="0.25">
      <c r="A6385" s="2" t="s">
        <v>5070</v>
      </c>
      <c r="B6385" s="2" t="s">
        <v>1781</v>
      </c>
      <c r="C6385" s="2">
        <v>1</v>
      </c>
      <c r="D6385" t="str">
        <f t="shared" si="99"/>
        <v>CA-2017-128363_FUR-FU-10003268</v>
      </c>
      <c r="E6385" t="str">
        <f>IF(COUNTIF(data1!$D:$D,D6385)=0,"Missing in Data1","Present")</f>
        <v>Present</v>
      </c>
    </row>
    <row r="6386" spans="1:5" x14ac:dyDescent="0.25">
      <c r="A6386" s="2" t="s">
        <v>5070</v>
      </c>
      <c r="B6386" s="2" t="s">
        <v>675</v>
      </c>
      <c r="C6386" s="2">
        <v>7</v>
      </c>
      <c r="D6386" t="str">
        <f t="shared" si="99"/>
        <v>CA-2017-128363_OFF-AP-10001563</v>
      </c>
      <c r="E6386" t="str">
        <f>IF(COUNTIF(data1!$D:$D,D6386)=0,"Missing in Data1","Present")</f>
        <v>Present</v>
      </c>
    </row>
    <row r="6387" spans="1:5" x14ac:dyDescent="0.25">
      <c r="A6387" s="2" t="s">
        <v>5070</v>
      </c>
      <c r="B6387" s="2" t="s">
        <v>502</v>
      </c>
      <c r="C6387" s="2">
        <v>6</v>
      </c>
      <c r="D6387" t="str">
        <f t="shared" si="99"/>
        <v>CA-2017-128363_OFF-BI-10001359</v>
      </c>
      <c r="E6387" t="str">
        <f>IF(COUNTIF(data1!$D:$D,D6387)=0,"Missing in Data1","Present")</f>
        <v>Present</v>
      </c>
    </row>
    <row r="6388" spans="1:5" x14ac:dyDescent="0.25">
      <c r="A6388" s="2" t="s">
        <v>5070</v>
      </c>
      <c r="B6388" s="2" t="s">
        <v>464</v>
      </c>
      <c r="C6388" s="2">
        <v>5</v>
      </c>
      <c r="D6388" t="str">
        <f t="shared" si="99"/>
        <v>CA-2017-128363_OFF-EN-10003845</v>
      </c>
      <c r="E6388" t="str">
        <f>IF(COUNTIF(data1!$D:$D,D6388)=0,"Missing in Data1","Present")</f>
        <v>Present</v>
      </c>
    </row>
    <row r="6389" spans="1:5" x14ac:dyDescent="0.25">
      <c r="A6389" s="2" t="s">
        <v>5070</v>
      </c>
      <c r="B6389" s="2" t="s">
        <v>1499</v>
      </c>
      <c r="C6389" s="2">
        <v>5</v>
      </c>
      <c r="D6389" t="str">
        <f t="shared" si="99"/>
        <v>CA-2017-128363_OFF-FA-10003495</v>
      </c>
      <c r="E6389" t="str">
        <f>IF(COUNTIF(data1!$D:$D,D6389)=0,"Missing in Data1","Present")</f>
        <v>Present</v>
      </c>
    </row>
    <row r="6390" spans="1:5" x14ac:dyDescent="0.25">
      <c r="A6390" s="2" t="s">
        <v>5070</v>
      </c>
      <c r="B6390" s="2" t="s">
        <v>553</v>
      </c>
      <c r="C6390" s="2">
        <v>2</v>
      </c>
      <c r="D6390" t="str">
        <f t="shared" si="99"/>
        <v>CA-2017-128363_TEC-AC-10003709</v>
      </c>
      <c r="E6390" t="str">
        <f>IF(COUNTIF(data1!$D:$D,D6390)=0,"Missing in Data1","Present")</f>
        <v>Present</v>
      </c>
    </row>
    <row r="6391" spans="1:5" x14ac:dyDescent="0.25">
      <c r="A6391" s="2" t="s">
        <v>5071</v>
      </c>
      <c r="B6391" s="2" t="s">
        <v>16</v>
      </c>
      <c r="C6391" s="2">
        <v>3</v>
      </c>
      <c r="D6391" t="str">
        <f t="shared" si="99"/>
        <v>CA-2017-128370_FUR-CH-10002602</v>
      </c>
      <c r="E6391" t="str">
        <f>IF(COUNTIF(data1!$D:$D,D6391)=0,"Missing in Data1","Present")</f>
        <v>Present</v>
      </c>
    </row>
    <row r="6392" spans="1:5" x14ac:dyDescent="0.25">
      <c r="A6392" s="2" t="s">
        <v>5071</v>
      </c>
      <c r="B6392" s="2" t="s">
        <v>70</v>
      </c>
      <c r="C6392" s="2">
        <v>2</v>
      </c>
      <c r="D6392" t="str">
        <f t="shared" si="99"/>
        <v>CA-2017-128370_OFF-BI-10004140</v>
      </c>
      <c r="E6392" t="str">
        <f>IF(COUNTIF(data1!$D:$D,D6392)=0,"Missing in Data1","Present")</f>
        <v>Present</v>
      </c>
    </row>
    <row r="6393" spans="1:5" x14ac:dyDescent="0.25">
      <c r="A6393" s="2" t="s">
        <v>5072</v>
      </c>
      <c r="B6393" s="2" t="s">
        <v>1651</v>
      </c>
      <c r="C6393" s="2">
        <v>5</v>
      </c>
      <c r="D6393" t="str">
        <f t="shared" si="99"/>
        <v>CA-2017-128426_OFF-BI-10000756</v>
      </c>
      <c r="E6393" t="str">
        <f>IF(COUNTIF(data1!$D:$D,D6393)=0,"Missing in Data1","Present")</f>
        <v>Present</v>
      </c>
    </row>
    <row r="6394" spans="1:5" x14ac:dyDescent="0.25">
      <c r="A6394" s="2" t="s">
        <v>5073</v>
      </c>
      <c r="B6394" s="2" t="s">
        <v>2371</v>
      </c>
      <c r="C6394" s="2">
        <v>2</v>
      </c>
      <c r="D6394" t="str">
        <f t="shared" si="99"/>
        <v>CA-2017-128475_TEC-AC-10000158</v>
      </c>
      <c r="E6394" t="str">
        <f>IF(COUNTIF(data1!$D:$D,D6394)=0,"Missing in Data1","Present")</f>
        <v>Present</v>
      </c>
    </row>
    <row r="6395" spans="1:5" x14ac:dyDescent="0.25">
      <c r="A6395" s="2" t="s">
        <v>5074</v>
      </c>
      <c r="B6395" s="2" t="s">
        <v>176</v>
      </c>
      <c r="C6395" s="2">
        <v>3</v>
      </c>
      <c r="D6395" t="str">
        <f t="shared" si="99"/>
        <v>CA-2017-128629_FUR-FU-10000771</v>
      </c>
      <c r="E6395" t="str">
        <f>IF(COUNTIF(data1!$D:$D,D6395)=0,"Missing in Data1","Present")</f>
        <v>Present</v>
      </c>
    </row>
    <row r="6396" spans="1:5" x14ac:dyDescent="0.25">
      <c r="A6396" s="2" t="s">
        <v>5075</v>
      </c>
      <c r="B6396" s="2" t="s">
        <v>3755</v>
      </c>
      <c r="C6396" s="2">
        <v>1</v>
      </c>
      <c r="D6396" t="str">
        <f t="shared" si="99"/>
        <v>CA-2017-128699_TEC-AC-10001990</v>
      </c>
      <c r="E6396" t="str">
        <f>IF(COUNTIF(data1!$D:$D,D6396)=0,"Missing in Data1","Present")</f>
        <v>Present</v>
      </c>
    </row>
    <row r="6397" spans="1:5" x14ac:dyDescent="0.25">
      <c r="A6397" s="2" t="s">
        <v>5076</v>
      </c>
      <c r="B6397" s="2" t="s">
        <v>294</v>
      </c>
      <c r="C6397" s="2">
        <v>3</v>
      </c>
      <c r="D6397" t="str">
        <f t="shared" si="99"/>
        <v>CA-2017-128734_FUR-CH-10001394</v>
      </c>
      <c r="E6397" t="str">
        <f>IF(COUNTIF(data1!$D:$D,D6397)=0,"Missing in Data1","Present")</f>
        <v>Present</v>
      </c>
    </row>
    <row r="6398" spans="1:5" x14ac:dyDescent="0.25">
      <c r="A6398" s="2" t="s">
        <v>5076</v>
      </c>
      <c r="B6398" s="2" t="s">
        <v>128</v>
      </c>
      <c r="C6398" s="2">
        <v>4</v>
      </c>
      <c r="D6398" t="str">
        <f t="shared" si="99"/>
        <v>CA-2017-128734_FUR-FU-10001731</v>
      </c>
      <c r="E6398" t="str">
        <f>IF(COUNTIF(data1!$D:$D,D6398)=0,"Missing in Data1","Present")</f>
        <v>Present</v>
      </c>
    </row>
    <row r="6399" spans="1:5" x14ac:dyDescent="0.25">
      <c r="A6399" s="2" t="s">
        <v>5077</v>
      </c>
      <c r="B6399" s="2" t="s">
        <v>2868</v>
      </c>
      <c r="C6399" s="2">
        <v>1</v>
      </c>
      <c r="D6399" t="str">
        <f t="shared" si="99"/>
        <v>CA-2017-128755_OFF-PA-10000726</v>
      </c>
      <c r="E6399" t="str">
        <f>IF(COUNTIF(data1!$D:$D,D6399)=0,"Missing in Data1","Present")</f>
        <v>Present</v>
      </c>
    </row>
    <row r="6400" spans="1:5" x14ac:dyDescent="0.25">
      <c r="A6400" s="2" t="s">
        <v>5077</v>
      </c>
      <c r="B6400" s="2" t="s">
        <v>177</v>
      </c>
      <c r="C6400" s="2">
        <v>5</v>
      </c>
      <c r="D6400" t="str">
        <f t="shared" si="99"/>
        <v>CA-2017-128755_OFF-PA-10004983</v>
      </c>
      <c r="E6400" t="str">
        <f>IF(COUNTIF(data1!$D:$D,D6400)=0,"Missing in Data1","Present")</f>
        <v>Present</v>
      </c>
    </row>
    <row r="6401" spans="1:5" x14ac:dyDescent="0.25">
      <c r="A6401" s="2" t="s">
        <v>5077</v>
      </c>
      <c r="B6401" s="2" t="s">
        <v>2068</v>
      </c>
      <c r="C6401" s="2">
        <v>1</v>
      </c>
      <c r="D6401" t="str">
        <f t="shared" si="99"/>
        <v>CA-2017-128755_OFF-ST-10001291</v>
      </c>
      <c r="E6401" t="str">
        <f>IF(COUNTIF(data1!$D:$D,D6401)=0,"Missing in Data1","Present")</f>
        <v>Present</v>
      </c>
    </row>
    <row r="6402" spans="1:5" x14ac:dyDescent="0.25">
      <c r="A6402" s="2" t="s">
        <v>5077</v>
      </c>
      <c r="B6402" s="2" t="s">
        <v>1291</v>
      </c>
      <c r="C6402" s="2">
        <v>4</v>
      </c>
      <c r="D6402" t="str">
        <f t="shared" si="99"/>
        <v>CA-2017-128755_OFF-ST-10003306</v>
      </c>
      <c r="E6402" t="str">
        <f>IF(COUNTIF(data1!$D:$D,D6402)=0,"Missing in Data1","Present")</f>
        <v>Present</v>
      </c>
    </row>
    <row r="6403" spans="1:5" x14ac:dyDescent="0.25">
      <c r="A6403" s="2" t="s">
        <v>5078</v>
      </c>
      <c r="B6403" s="2" t="s">
        <v>1075</v>
      </c>
      <c r="C6403" s="2">
        <v>2</v>
      </c>
      <c r="D6403" t="str">
        <f t="shared" ref="D6403:D6466" si="100">A6403&amp;"_"&amp;B6403</f>
        <v>CA-2017-128769_OFF-AP-10001271</v>
      </c>
      <c r="E6403" t="str">
        <f>IF(COUNTIF(data1!$D:$D,D6403)=0,"Missing in Data1","Present")</f>
        <v>Present</v>
      </c>
    </row>
    <row r="6404" spans="1:5" x14ac:dyDescent="0.25">
      <c r="A6404" s="2" t="s">
        <v>5079</v>
      </c>
      <c r="B6404" s="2" t="s">
        <v>991</v>
      </c>
      <c r="C6404" s="2">
        <v>5</v>
      </c>
      <c r="D6404" t="str">
        <f t="shared" si="100"/>
        <v>CA-2017-128783_FUR-FU-10003623</v>
      </c>
      <c r="E6404" t="str">
        <f>IF(COUNTIF(data1!$D:$D,D6404)=0,"Missing in Data1","Present")</f>
        <v>Present</v>
      </c>
    </row>
    <row r="6405" spans="1:5" x14ac:dyDescent="0.25">
      <c r="A6405" s="2" t="s">
        <v>5079</v>
      </c>
      <c r="B6405" s="2" t="s">
        <v>1076</v>
      </c>
      <c r="C6405" s="2">
        <v>4</v>
      </c>
      <c r="D6405" t="str">
        <f t="shared" si="100"/>
        <v>CA-2017-128783_TEC-AC-10002473</v>
      </c>
      <c r="E6405" t="str">
        <f>IF(COUNTIF(data1!$D:$D,D6405)=0,"Missing in Data1","Present")</f>
        <v>Present</v>
      </c>
    </row>
    <row r="6406" spans="1:5" x14ac:dyDescent="0.25">
      <c r="A6406" s="2" t="s">
        <v>5080</v>
      </c>
      <c r="B6406" s="2" t="s">
        <v>1050</v>
      </c>
      <c r="C6406" s="2">
        <v>9</v>
      </c>
      <c r="D6406" t="str">
        <f t="shared" si="100"/>
        <v>CA-2017-128853_FUR-CH-10004218</v>
      </c>
      <c r="E6406" t="str">
        <f>IF(COUNTIF(data1!$D:$D,D6406)=0,"Missing in Data1","Present")</f>
        <v>Present</v>
      </c>
    </row>
    <row r="6407" spans="1:5" x14ac:dyDescent="0.25">
      <c r="A6407" s="2" t="s">
        <v>5081</v>
      </c>
      <c r="B6407" s="2" t="s">
        <v>2213</v>
      </c>
      <c r="C6407" s="2">
        <v>6</v>
      </c>
      <c r="D6407" t="str">
        <f t="shared" si="100"/>
        <v>CA-2017-128944_FUR-CH-10000785</v>
      </c>
      <c r="E6407" t="str">
        <f>IF(COUNTIF(data1!$D:$D,D6407)=0,"Missing in Data1","Present")</f>
        <v>Present</v>
      </c>
    </row>
    <row r="6408" spans="1:5" x14ac:dyDescent="0.25">
      <c r="A6408" s="2" t="s">
        <v>5081</v>
      </c>
      <c r="B6408" s="2" t="s">
        <v>3138</v>
      </c>
      <c r="C6408" s="2">
        <v>3</v>
      </c>
      <c r="D6408" t="str">
        <f t="shared" si="100"/>
        <v>CA-2017-128944_FUR-FU-10004909</v>
      </c>
      <c r="E6408" t="str">
        <f>IF(COUNTIF(data1!$D:$D,D6408)=0,"Missing in Data1","Present")</f>
        <v>Present</v>
      </c>
    </row>
    <row r="6409" spans="1:5" x14ac:dyDescent="0.25">
      <c r="A6409" s="2" t="s">
        <v>5081</v>
      </c>
      <c r="B6409" s="2" t="s">
        <v>1180</v>
      </c>
      <c r="C6409" s="2">
        <v>9</v>
      </c>
      <c r="D6409" t="str">
        <f t="shared" si="100"/>
        <v>CA-2017-128944_TEC-AC-10001553</v>
      </c>
      <c r="E6409" t="str">
        <f>IF(COUNTIF(data1!$D:$D,D6409)=0,"Missing in Data1","Present")</f>
        <v>Present</v>
      </c>
    </row>
    <row r="6410" spans="1:5" x14ac:dyDescent="0.25">
      <c r="A6410" s="2" t="s">
        <v>5082</v>
      </c>
      <c r="B6410" s="2" t="s">
        <v>373</v>
      </c>
      <c r="C6410" s="2">
        <v>3</v>
      </c>
      <c r="D6410" t="str">
        <f t="shared" si="100"/>
        <v>CA-2017-128965_FUR-CH-10003774</v>
      </c>
      <c r="E6410" t="str">
        <f>IF(COUNTIF(data1!$D:$D,D6410)=0,"Missing in Data1","Present")</f>
        <v>Present</v>
      </c>
    </row>
    <row r="6411" spans="1:5" x14ac:dyDescent="0.25">
      <c r="A6411" s="2" t="s">
        <v>5082</v>
      </c>
      <c r="B6411" s="2" t="s">
        <v>1358</v>
      </c>
      <c r="C6411" s="2">
        <v>5</v>
      </c>
      <c r="D6411" t="str">
        <f t="shared" si="100"/>
        <v>CA-2017-128965_OFF-FA-10001561</v>
      </c>
      <c r="E6411" t="str">
        <f>IF(COUNTIF(data1!$D:$D,D6411)=0,"Missing in Data1","Present")</f>
        <v>Present</v>
      </c>
    </row>
    <row r="6412" spans="1:5" x14ac:dyDescent="0.25">
      <c r="A6412" s="2" t="s">
        <v>5082</v>
      </c>
      <c r="B6412" s="2" t="s">
        <v>3936</v>
      </c>
      <c r="C6412" s="2">
        <v>2</v>
      </c>
      <c r="D6412" t="str">
        <f t="shared" si="100"/>
        <v>CA-2017-128965_OFF-LA-10001404</v>
      </c>
      <c r="E6412" t="str">
        <f>IF(COUNTIF(data1!$D:$D,D6412)=0,"Missing in Data1","Present")</f>
        <v>Present</v>
      </c>
    </row>
    <row r="6413" spans="1:5" x14ac:dyDescent="0.25">
      <c r="A6413" s="2" t="s">
        <v>5082</v>
      </c>
      <c r="B6413" s="2" t="s">
        <v>2339</v>
      </c>
      <c r="C6413" s="2">
        <v>8</v>
      </c>
      <c r="D6413" t="str">
        <f t="shared" si="100"/>
        <v>CA-2017-128965_OFF-LA-10003190</v>
      </c>
      <c r="E6413" t="str">
        <f>IF(COUNTIF(data1!$D:$D,D6413)=0,"Missing in Data1","Present")</f>
        <v>Present</v>
      </c>
    </row>
    <row r="6414" spans="1:5" x14ac:dyDescent="0.25">
      <c r="A6414" s="2" t="s">
        <v>5082</v>
      </c>
      <c r="B6414" s="2" t="s">
        <v>4400</v>
      </c>
      <c r="C6414" s="2">
        <v>3</v>
      </c>
      <c r="D6414" t="str">
        <f t="shared" si="100"/>
        <v>CA-2017-128965_OFF-PA-10004911</v>
      </c>
      <c r="E6414" t="str">
        <f>IF(COUNTIF(data1!$D:$D,D6414)=0,"Missing in Data1","Present")</f>
        <v>Present</v>
      </c>
    </row>
    <row r="6415" spans="1:5" x14ac:dyDescent="0.25">
      <c r="A6415" s="2" t="s">
        <v>5082</v>
      </c>
      <c r="B6415" s="2" t="s">
        <v>1017</v>
      </c>
      <c r="C6415" s="2">
        <v>11</v>
      </c>
      <c r="D6415" t="str">
        <f t="shared" si="100"/>
        <v>CA-2017-128965_TEC-AC-10001383</v>
      </c>
      <c r="E6415" t="str">
        <f>IF(COUNTIF(data1!$D:$D,D6415)=0,"Missing in Data1","Present")</f>
        <v>Present</v>
      </c>
    </row>
    <row r="6416" spans="1:5" x14ac:dyDescent="0.25">
      <c r="A6416" s="2" t="s">
        <v>5083</v>
      </c>
      <c r="B6416" s="2" t="s">
        <v>763</v>
      </c>
      <c r="C6416" s="2">
        <v>3</v>
      </c>
      <c r="D6416" t="str">
        <f t="shared" si="100"/>
        <v>CA-2017-129000_OFF-ST-10001097</v>
      </c>
      <c r="E6416" t="str">
        <f>IF(COUNTIF(data1!$D:$D,D6416)=0,"Missing in Data1","Present")</f>
        <v>Present</v>
      </c>
    </row>
    <row r="6417" spans="1:5" x14ac:dyDescent="0.25">
      <c r="A6417" s="2" t="s">
        <v>5084</v>
      </c>
      <c r="B6417" s="2" t="s">
        <v>240</v>
      </c>
      <c r="C6417" s="2">
        <v>2</v>
      </c>
      <c r="D6417" t="str">
        <f t="shared" si="100"/>
        <v>CA-2017-129021_FUR-FU-10001852</v>
      </c>
      <c r="E6417" t="str">
        <f>IF(COUNTIF(data1!$D:$D,D6417)=0,"Missing in Data1","Present")</f>
        <v>Present</v>
      </c>
    </row>
    <row r="6418" spans="1:5" x14ac:dyDescent="0.25">
      <c r="A6418" s="2" t="s">
        <v>5084</v>
      </c>
      <c r="B6418" s="2" t="s">
        <v>2830</v>
      </c>
      <c r="C6418" s="2">
        <v>6</v>
      </c>
      <c r="D6418" t="str">
        <f t="shared" si="100"/>
        <v>CA-2017-129021_OFF-AP-10003040</v>
      </c>
      <c r="E6418" t="str">
        <f>IF(COUNTIF(data1!$D:$D,D6418)=0,"Missing in Data1","Present")</f>
        <v>Present</v>
      </c>
    </row>
    <row r="6419" spans="1:5" x14ac:dyDescent="0.25">
      <c r="A6419" s="2" t="s">
        <v>5084</v>
      </c>
      <c r="B6419" s="2" t="s">
        <v>1349</v>
      </c>
      <c r="C6419" s="2">
        <v>5</v>
      </c>
      <c r="D6419" t="str">
        <f t="shared" si="100"/>
        <v>CA-2017-129021_OFF-PA-10000141</v>
      </c>
      <c r="E6419" t="str">
        <f>IF(COUNTIF(data1!$D:$D,D6419)=0,"Missing in Data1","Present")</f>
        <v>Missing in Data1</v>
      </c>
    </row>
    <row r="6420" spans="1:5" x14ac:dyDescent="0.25">
      <c r="A6420" s="2" t="s">
        <v>5084</v>
      </c>
      <c r="B6420" s="2" t="s">
        <v>3168</v>
      </c>
      <c r="C6420" s="2">
        <v>2</v>
      </c>
      <c r="D6420" t="str">
        <f t="shared" si="100"/>
        <v>CA-2017-129021_OFF-PA-10000241</v>
      </c>
      <c r="E6420" t="str">
        <f>IF(COUNTIF(data1!$D:$D,D6420)=0,"Missing in Data1","Present")</f>
        <v>Present</v>
      </c>
    </row>
    <row r="6421" spans="1:5" x14ac:dyDescent="0.25">
      <c r="A6421" s="2" t="s">
        <v>5084</v>
      </c>
      <c r="B6421" s="2" t="s">
        <v>984</v>
      </c>
      <c r="C6421" s="2">
        <v>13</v>
      </c>
      <c r="D6421" t="str">
        <f t="shared" si="100"/>
        <v>CA-2017-129021_TEC-PH-10001459</v>
      </c>
      <c r="E6421" t="str">
        <f>IF(COUNTIF(data1!$D:$D,D6421)=0,"Missing in Data1","Present")</f>
        <v>Present</v>
      </c>
    </row>
    <row r="6422" spans="1:5" x14ac:dyDescent="0.25">
      <c r="A6422" s="2" t="s">
        <v>5085</v>
      </c>
      <c r="B6422" s="2" t="s">
        <v>450</v>
      </c>
      <c r="C6422" s="2">
        <v>3</v>
      </c>
      <c r="D6422" t="str">
        <f t="shared" si="100"/>
        <v>CA-2017-129028_FUR-FU-10004006</v>
      </c>
      <c r="E6422" t="str">
        <f>IF(COUNTIF(data1!$D:$D,D6422)=0,"Missing in Data1","Present")</f>
        <v>Present</v>
      </c>
    </row>
    <row r="6423" spans="1:5" x14ac:dyDescent="0.25">
      <c r="A6423" s="2" t="s">
        <v>5086</v>
      </c>
      <c r="B6423" s="2" t="s">
        <v>616</v>
      </c>
      <c r="C6423" s="2">
        <v>3</v>
      </c>
      <c r="D6423" t="str">
        <f t="shared" si="100"/>
        <v>CA-2017-129294_OFF-AP-10001154</v>
      </c>
      <c r="E6423" t="str">
        <f>IF(COUNTIF(data1!$D:$D,D6423)=0,"Missing in Data1","Present")</f>
        <v>Present</v>
      </c>
    </row>
    <row r="6424" spans="1:5" x14ac:dyDescent="0.25">
      <c r="A6424" s="2" t="s">
        <v>5086</v>
      </c>
      <c r="B6424" s="2" t="s">
        <v>1065</v>
      </c>
      <c r="C6424" s="2">
        <v>5</v>
      </c>
      <c r="D6424" t="str">
        <f t="shared" si="100"/>
        <v>CA-2017-129294_OFF-BI-10001757</v>
      </c>
      <c r="E6424" t="str">
        <f>IF(COUNTIF(data1!$D:$D,D6424)=0,"Missing in Data1","Present")</f>
        <v>Present</v>
      </c>
    </row>
    <row r="6425" spans="1:5" x14ac:dyDescent="0.25">
      <c r="A6425" s="2" t="s">
        <v>5086</v>
      </c>
      <c r="B6425" s="2" t="s">
        <v>2913</v>
      </c>
      <c r="C6425" s="2">
        <v>6</v>
      </c>
      <c r="D6425" t="str">
        <f t="shared" si="100"/>
        <v>CA-2017-129294_OFF-BI-10004236</v>
      </c>
      <c r="E6425" t="str">
        <f>IF(COUNTIF(data1!$D:$D,D6425)=0,"Missing in Data1","Present")</f>
        <v>Present</v>
      </c>
    </row>
    <row r="6426" spans="1:5" x14ac:dyDescent="0.25">
      <c r="A6426" s="2" t="s">
        <v>5086</v>
      </c>
      <c r="B6426" s="2" t="s">
        <v>790</v>
      </c>
      <c r="C6426" s="2">
        <v>2</v>
      </c>
      <c r="D6426" t="str">
        <f t="shared" si="100"/>
        <v>CA-2017-129294_OFF-ST-10002615</v>
      </c>
      <c r="E6426" t="str">
        <f>IF(COUNTIF(data1!$D:$D,D6426)=0,"Missing in Data1","Present")</f>
        <v>Present</v>
      </c>
    </row>
    <row r="6427" spans="1:5" x14ac:dyDescent="0.25">
      <c r="A6427" s="2" t="s">
        <v>5087</v>
      </c>
      <c r="B6427" s="2" t="s">
        <v>1052</v>
      </c>
      <c r="C6427" s="2">
        <v>9</v>
      </c>
      <c r="D6427" t="str">
        <f t="shared" si="100"/>
        <v>CA-2017-129357_OFF-PA-10003228</v>
      </c>
      <c r="E6427" t="str">
        <f>IF(COUNTIF(data1!$D:$D,D6427)=0,"Missing in Data1","Present")</f>
        <v>Present</v>
      </c>
    </row>
    <row r="6428" spans="1:5" x14ac:dyDescent="0.25">
      <c r="A6428" s="2" t="s">
        <v>5087</v>
      </c>
      <c r="B6428" s="2" t="s">
        <v>2537</v>
      </c>
      <c r="C6428" s="2">
        <v>5</v>
      </c>
      <c r="D6428" t="str">
        <f t="shared" si="100"/>
        <v>CA-2017-129357_OFF-SU-10004498</v>
      </c>
      <c r="E6428" t="str">
        <f>IF(COUNTIF(data1!$D:$D,D6428)=0,"Missing in Data1","Present")</f>
        <v>Present</v>
      </c>
    </row>
    <row r="6429" spans="1:5" x14ac:dyDescent="0.25">
      <c r="A6429" s="2" t="s">
        <v>5088</v>
      </c>
      <c r="B6429" s="2" t="s">
        <v>555</v>
      </c>
      <c r="C6429" s="2">
        <v>4</v>
      </c>
      <c r="D6429" t="str">
        <f t="shared" si="100"/>
        <v>CA-2017-129378_FUR-CH-10000553</v>
      </c>
      <c r="E6429" t="str">
        <f>IF(COUNTIF(data1!$D:$D,D6429)=0,"Missing in Data1","Present")</f>
        <v>Present</v>
      </c>
    </row>
    <row r="6430" spans="1:5" x14ac:dyDescent="0.25">
      <c r="A6430" s="2" t="s">
        <v>5088</v>
      </c>
      <c r="B6430" s="2" t="s">
        <v>754</v>
      </c>
      <c r="C6430" s="2">
        <v>2</v>
      </c>
      <c r="D6430" t="str">
        <f t="shared" si="100"/>
        <v>CA-2017-129378_OFF-AP-10000576</v>
      </c>
      <c r="E6430" t="str">
        <f>IF(COUNTIF(data1!$D:$D,D6430)=0,"Missing in Data1","Present")</f>
        <v>Present</v>
      </c>
    </row>
    <row r="6431" spans="1:5" x14ac:dyDescent="0.25">
      <c r="A6431" s="2" t="s">
        <v>5088</v>
      </c>
      <c r="B6431" s="2" t="s">
        <v>2648</v>
      </c>
      <c r="C6431" s="2">
        <v>13</v>
      </c>
      <c r="D6431" t="str">
        <f t="shared" si="100"/>
        <v>CA-2017-129378_OFF-BI-10001922</v>
      </c>
      <c r="E6431" t="str">
        <f>IF(COUNTIF(data1!$D:$D,D6431)=0,"Missing in Data1","Present")</f>
        <v>Present</v>
      </c>
    </row>
    <row r="6432" spans="1:5" x14ac:dyDescent="0.25">
      <c r="A6432" s="2" t="s">
        <v>5088</v>
      </c>
      <c r="B6432" s="2" t="s">
        <v>1225</v>
      </c>
      <c r="C6432" s="2">
        <v>1</v>
      </c>
      <c r="D6432" t="str">
        <f t="shared" si="100"/>
        <v>CA-2017-129378_OFF-BI-10002012</v>
      </c>
      <c r="E6432" t="str">
        <f>IF(COUNTIF(data1!$D:$D,D6432)=0,"Missing in Data1","Present")</f>
        <v>Present</v>
      </c>
    </row>
    <row r="6433" spans="1:5" x14ac:dyDescent="0.25">
      <c r="A6433" s="2" t="s">
        <v>5089</v>
      </c>
      <c r="B6433" s="2" t="s">
        <v>2884</v>
      </c>
      <c r="C6433" s="2">
        <v>2</v>
      </c>
      <c r="D6433" t="str">
        <f t="shared" si="100"/>
        <v>CA-2017-129462_FUR-CH-10000665</v>
      </c>
      <c r="E6433" t="str">
        <f>IF(COUNTIF(data1!$D:$D,D6433)=0,"Missing in Data1","Present")</f>
        <v>Present</v>
      </c>
    </row>
    <row r="6434" spans="1:5" x14ac:dyDescent="0.25">
      <c r="A6434" s="2" t="s">
        <v>5089</v>
      </c>
      <c r="B6434" s="2" t="s">
        <v>5090</v>
      </c>
      <c r="C6434" s="2">
        <v>3</v>
      </c>
      <c r="D6434" t="str">
        <f t="shared" si="100"/>
        <v>CA-2017-129462_OFF-AP-10003884</v>
      </c>
      <c r="E6434" t="str">
        <f>IF(COUNTIF(data1!$D:$D,D6434)=0,"Missing in Data1","Present")</f>
        <v>Present</v>
      </c>
    </row>
    <row r="6435" spans="1:5" x14ac:dyDescent="0.25">
      <c r="A6435" s="2" t="s">
        <v>5089</v>
      </c>
      <c r="B6435" s="2" t="s">
        <v>312</v>
      </c>
      <c r="C6435" s="2">
        <v>2</v>
      </c>
      <c r="D6435" t="str">
        <f t="shared" si="100"/>
        <v>CA-2017-129462_TEC-PH-10001557</v>
      </c>
      <c r="E6435" t="str">
        <f>IF(COUNTIF(data1!$D:$D,D6435)=0,"Missing in Data1","Present")</f>
        <v>Present</v>
      </c>
    </row>
    <row r="6436" spans="1:5" x14ac:dyDescent="0.25">
      <c r="A6436" s="2" t="s">
        <v>5089</v>
      </c>
      <c r="B6436" s="2" t="s">
        <v>1664</v>
      </c>
      <c r="C6436" s="2">
        <v>1</v>
      </c>
      <c r="D6436" t="str">
        <f t="shared" si="100"/>
        <v>CA-2017-129462_TEC-PH-10002085</v>
      </c>
      <c r="E6436" t="str">
        <f>IF(COUNTIF(data1!$D:$D,D6436)=0,"Missing in Data1","Present")</f>
        <v>Present</v>
      </c>
    </row>
    <row r="6437" spans="1:5" x14ac:dyDescent="0.25">
      <c r="A6437" s="2" t="s">
        <v>5091</v>
      </c>
      <c r="B6437" s="2" t="s">
        <v>1766</v>
      </c>
      <c r="C6437" s="2">
        <v>4</v>
      </c>
      <c r="D6437" t="str">
        <f t="shared" si="100"/>
        <v>CA-2017-129490_FUR-CH-10003298</v>
      </c>
      <c r="E6437" t="str">
        <f>IF(COUNTIF(data1!$D:$D,D6437)=0,"Missing in Data1","Present")</f>
        <v>Present</v>
      </c>
    </row>
    <row r="6438" spans="1:5" x14ac:dyDescent="0.25">
      <c r="A6438" s="2" t="s">
        <v>5092</v>
      </c>
      <c r="B6438" s="2" t="s">
        <v>2658</v>
      </c>
      <c r="C6438" s="2">
        <v>2</v>
      </c>
      <c r="D6438" t="str">
        <f t="shared" si="100"/>
        <v>CA-2017-129567_OFF-BI-10000014</v>
      </c>
      <c r="E6438" t="str">
        <f>IF(COUNTIF(data1!$D:$D,D6438)=0,"Missing in Data1","Present")</f>
        <v>Present</v>
      </c>
    </row>
    <row r="6439" spans="1:5" x14ac:dyDescent="0.25">
      <c r="A6439" s="2" t="s">
        <v>5093</v>
      </c>
      <c r="B6439" s="2" t="s">
        <v>1914</v>
      </c>
      <c r="C6439" s="2">
        <v>3</v>
      </c>
      <c r="D6439" t="str">
        <f t="shared" si="100"/>
        <v>CA-2017-129581_TEC-PH-10001527</v>
      </c>
      <c r="E6439" t="str">
        <f>IF(COUNTIF(data1!$D:$D,D6439)=0,"Missing in Data1","Present")</f>
        <v>Present</v>
      </c>
    </row>
    <row r="6440" spans="1:5" x14ac:dyDescent="0.25">
      <c r="A6440" s="2" t="s">
        <v>5094</v>
      </c>
      <c r="B6440" s="2" t="s">
        <v>3864</v>
      </c>
      <c r="C6440" s="2">
        <v>4</v>
      </c>
      <c r="D6440" t="str">
        <f t="shared" si="100"/>
        <v>CA-2017-129707_OFF-AR-10000246</v>
      </c>
      <c r="E6440" t="str">
        <f>IF(COUNTIF(data1!$D:$D,D6440)=0,"Missing in Data1","Present")</f>
        <v>Present</v>
      </c>
    </row>
    <row r="6441" spans="1:5" x14ac:dyDescent="0.25">
      <c r="A6441" s="2" t="s">
        <v>5095</v>
      </c>
      <c r="B6441" s="2" t="s">
        <v>2317</v>
      </c>
      <c r="C6441" s="2">
        <v>2</v>
      </c>
      <c r="D6441" t="str">
        <f t="shared" si="100"/>
        <v>CA-2017-129805_FUR-FU-10001935</v>
      </c>
      <c r="E6441" t="str">
        <f>IF(COUNTIF(data1!$D:$D,D6441)=0,"Missing in Data1","Present")</f>
        <v>Present</v>
      </c>
    </row>
    <row r="6442" spans="1:5" x14ac:dyDescent="0.25">
      <c r="A6442" s="2" t="s">
        <v>5096</v>
      </c>
      <c r="B6442" s="2" t="s">
        <v>2322</v>
      </c>
      <c r="C6442" s="2">
        <v>5</v>
      </c>
      <c r="D6442" t="str">
        <f t="shared" si="100"/>
        <v>CA-2017-129833_OFF-BI-10004182</v>
      </c>
      <c r="E6442" t="str">
        <f>IF(COUNTIF(data1!$D:$D,D6442)=0,"Missing in Data1","Present")</f>
        <v>Present</v>
      </c>
    </row>
    <row r="6443" spans="1:5" x14ac:dyDescent="0.25">
      <c r="A6443" s="2" t="s">
        <v>5096</v>
      </c>
      <c r="B6443" s="2" t="s">
        <v>1707</v>
      </c>
      <c r="C6443" s="2">
        <v>5</v>
      </c>
      <c r="D6443" t="str">
        <f t="shared" si="100"/>
        <v>CA-2017-129833_OFF-PA-10000575</v>
      </c>
      <c r="E6443" t="str">
        <f>IF(COUNTIF(data1!$D:$D,D6443)=0,"Missing in Data1","Present")</f>
        <v>Present</v>
      </c>
    </row>
    <row r="6444" spans="1:5" x14ac:dyDescent="0.25">
      <c r="A6444" s="2" t="s">
        <v>5097</v>
      </c>
      <c r="B6444" s="2" t="s">
        <v>2114</v>
      </c>
      <c r="C6444" s="2">
        <v>1</v>
      </c>
      <c r="D6444" t="str">
        <f t="shared" si="100"/>
        <v>CA-2017-129910_OFF-ST-10003282</v>
      </c>
      <c r="E6444" t="str">
        <f>IF(COUNTIF(data1!$D:$D,D6444)=0,"Missing in Data1","Present")</f>
        <v>Present</v>
      </c>
    </row>
    <row r="6445" spans="1:5" x14ac:dyDescent="0.25">
      <c r="A6445" s="2" t="s">
        <v>5098</v>
      </c>
      <c r="B6445" s="2" t="s">
        <v>392</v>
      </c>
      <c r="C6445" s="2">
        <v>3</v>
      </c>
      <c r="D6445" t="str">
        <f t="shared" si="100"/>
        <v>CA-2017-130036_OFF-PA-10000528</v>
      </c>
      <c r="E6445" t="str">
        <f>IF(COUNTIF(data1!$D:$D,D6445)=0,"Missing in Data1","Present")</f>
        <v>Missing in Data1</v>
      </c>
    </row>
    <row r="6446" spans="1:5" x14ac:dyDescent="0.25">
      <c r="A6446" s="2" t="s">
        <v>5098</v>
      </c>
      <c r="B6446" s="2" t="s">
        <v>1428</v>
      </c>
      <c r="C6446" s="2">
        <v>14</v>
      </c>
      <c r="D6446" t="str">
        <f t="shared" si="100"/>
        <v>CA-2017-130036_TEC-AC-10001908</v>
      </c>
      <c r="E6446" t="str">
        <f>IF(COUNTIF(data1!$D:$D,D6446)=0,"Missing in Data1","Present")</f>
        <v>Present</v>
      </c>
    </row>
    <row r="6447" spans="1:5" x14ac:dyDescent="0.25">
      <c r="A6447" s="2" t="s">
        <v>5099</v>
      </c>
      <c r="B6447" s="2" t="s">
        <v>1244</v>
      </c>
      <c r="C6447" s="2">
        <v>8</v>
      </c>
      <c r="D6447" t="str">
        <f t="shared" si="100"/>
        <v>CA-2017-130043_OFF-PA-10002230</v>
      </c>
      <c r="E6447" t="str">
        <f>IF(COUNTIF(data1!$D:$D,D6447)=0,"Missing in Data1","Present")</f>
        <v>Present</v>
      </c>
    </row>
    <row r="6448" spans="1:5" x14ac:dyDescent="0.25">
      <c r="A6448" s="2" t="s">
        <v>5100</v>
      </c>
      <c r="B6448" s="2" t="s">
        <v>971</v>
      </c>
      <c r="C6448" s="2">
        <v>3</v>
      </c>
      <c r="D6448" t="str">
        <f t="shared" si="100"/>
        <v>CA-2017-130106_OFF-AR-10003651</v>
      </c>
      <c r="E6448" t="str">
        <f>IF(COUNTIF(data1!$D:$D,D6448)=0,"Missing in Data1","Present")</f>
        <v>Present</v>
      </c>
    </row>
    <row r="6449" spans="1:5" x14ac:dyDescent="0.25">
      <c r="A6449" s="2" t="s">
        <v>5100</v>
      </c>
      <c r="B6449" s="2" t="s">
        <v>1596</v>
      </c>
      <c r="C6449" s="2">
        <v>1</v>
      </c>
      <c r="D6449" t="str">
        <f t="shared" si="100"/>
        <v>CA-2017-130106_OFF-AR-10003732</v>
      </c>
      <c r="E6449" t="str">
        <f>IF(COUNTIF(data1!$D:$D,D6449)=0,"Missing in Data1","Present")</f>
        <v>Present</v>
      </c>
    </row>
    <row r="6450" spans="1:5" x14ac:dyDescent="0.25">
      <c r="A6450" s="2" t="s">
        <v>5101</v>
      </c>
      <c r="B6450" s="2" t="s">
        <v>1442</v>
      </c>
      <c r="C6450" s="2">
        <v>4</v>
      </c>
      <c r="D6450" t="str">
        <f t="shared" si="100"/>
        <v>CA-2017-130141_FUR-CH-10000749</v>
      </c>
      <c r="E6450" t="str">
        <f>IF(COUNTIF(data1!$D:$D,D6450)=0,"Missing in Data1","Present")</f>
        <v>Present</v>
      </c>
    </row>
    <row r="6451" spans="1:5" x14ac:dyDescent="0.25">
      <c r="A6451" s="2" t="s">
        <v>5101</v>
      </c>
      <c r="B6451" s="2" t="s">
        <v>3699</v>
      </c>
      <c r="C6451" s="2">
        <v>4</v>
      </c>
      <c r="D6451" t="str">
        <f t="shared" si="100"/>
        <v>CA-2017-130141_OFF-BI-10000831</v>
      </c>
      <c r="E6451" t="str">
        <f>IF(COUNTIF(data1!$D:$D,D6451)=0,"Missing in Data1","Present")</f>
        <v>Present</v>
      </c>
    </row>
    <row r="6452" spans="1:5" x14ac:dyDescent="0.25">
      <c r="A6452" s="2" t="s">
        <v>5102</v>
      </c>
      <c r="B6452" s="2" t="s">
        <v>3837</v>
      </c>
      <c r="C6452" s="2">
        <v>6</v>
      </c>
      <c r="D6452" t="str">
        <f t="shared" si="100"/>
        <v>CA-2017-130148_OFF-PA-10000551</v>
      </c>
      <c r="E6452" t="str">
        <f>IF(COUNTIF(data1!$D:$D,D6452)=0,"Missing in Data1","Present")</f>
        <v>Present</v>
      </c>
    </row>
    <row r="6453" spans="1:5" x14ac:dyDescent="0.25">
      <c r="A6453" s="2" t="s">
        <v>5102</v>
      </c>
      <c r="B6453" s="2" t="s">
        <v>911</v>
      </c>
      <c r="C6453" s="2">
        <v>2</v>
      </c>
      <c r="D6453" t="str">
        <f t="shared" si="100"/>
        <v>CA-2017-130148_OFF-SU-10001574</v>
      </c>
      <c r="E6453" t="str">
        <f>IF(COUNTIF(data1!$D:$D,D6453)=0,"Missing in Data1","Present")</f>
        <v>Present</v>
      </c>
    </row>
    <row r="6454" spans="1:5" x14ac:dyDescent="0.25">
      <c r="A6454" s="2" t="s">
        <v>5103</v>
      </c>
      <c r="B6454" s="2" t="s">
        <v>1427</v>
      </c>
      <c r="C6454" s="2">
        <v>2</v>
      </c>
      <c r="D6454" t="str">
        <f t="shared" si="100"/>
        <v>CA-2017-130211_FUR-TA-10003748</v>
      </c>
      <c r="E6454" t="str">
        <f>IF(COUNTIF(data1!$D:$D,D6454)=0,"Missing in Data1","Present")</f>
        <v>Present</v>
      </c>
    </row>
    <row r="6455" spans="1:5" x14ac:dyDescent="0.25">
      <c r="A6455" s="2" t="s">
        <v>5103</v>
      </c>
      <c r="B6455" s="2" t="s">
        <v>2397</v>
      </c>
      <c r="C6455" s="2">
        <v>3</v>
      </c>
      <c r="D6455" t="str">
        <f t="shared" si="100"/>
        <v>CA-2017-130211_OFF-ST-10000129</v>
      </c>
      <c r="E6455" t="str">
        <f>IF(COUNTIF(data1!$D:$D,D6455)=0,"Missing in Data1","Present")</f>
        <v>Present</v>
      </c>
    </row>
    <row r="6456" spans="1:5" x14ac:dyDescent="0.25">
      <c r="A6456" s="2" t="s">
        <v>5105</v>
      </c>
      <c r="B6456" s="2" t="s">
        <v>550</v>
      </c>
      <c r="C6456" s="2">
        <v>3</v>
      </c>
      <c r="D6456" t="str">
        <f t="shared" si="100"/>
        <v>CA-2017-130309_OFF-ST-10003208</v>
      </c>
      <c r="E6456" t="str">
        <f>IF(COUNTIF(data1!$D:$D,D6456)=0,"Missing in Data1","Present")</f>
        <v>Present</v>
      </c>
    </row>
    <row r="6457" spans="1:5" x14ac:dyDescent="0.25">
      <c r="A6457" s="2" t="s">
        <v>5106</v>
      </c>
      <c r="B6457" s="2" t="s">
        <v>3148</v>
      </c>
      <c r="C6457" s="2">
        <v>3</v>
      </c>
      <c r="D6457" t="str">
        <f t="shared" si="100"/>
        <v>CA-2017-130351_OFF-AP-10004532</v>
      </c>
      <c r="E6457" t="str">
        <f>IF(COUNTIF(data1!$D:$D,D6457)=0,"Missing in Data1","Present")</f>
        <v>Present</v>
      </c>
    </row>
    <row r="6458" spans="1:5" x14ac:dyDescent="0.25">
      <c r="A6458" s="2" t="s">
        <v>5106</v>
      </c>
      <c r="B6458" s="2" t="s">
        <v>1590</v>
      </c>
      <c r="C6458" s="2">
        <v>5</v>
      </c>
      <c r="D6458" t="str">
        <f t="shared" si="100"/>
        <v>CA-2017-130351_OFF-PA-10002137</v>
      </c>
      <c r="E6458" t="str">
        <f>IF(COUNTIF(data1!$D:$D,D6458)=0,"Missing in Data1","Present")</f>
        <v>Present</v>
      </c>
    </row>
    <row r="6459" spans="1:5" x14ac:dyDescent="0.25">
      <c r="A6459" s="2" t="s">
        <v>5106</v>
      </c>
      <c r="B6459" s="2" t="s">
        <v>877</v>
      </c>
      <c r="C6459" s="2">
        <v>3</v>
      </c>
      <c r="D6459" t="str">
        <f t="shared" si="100"/>
        <v>CA-2017-130351_TEC-AC-10003832</v>
      </c>
      <c r="E6459" t="str">
        <f>IF(COUNTIF(data1!$D:$D,D6459)=0,"Missing in Data1","Present")</f>
        <v>Present</v>
      </c>
    </row>
    <row r="6460" spans="1:5" x14ac:dyDescent="0.25">
      <c r="A6460" s="2" t="s">
        <v>5107</v>
      </c>
      <c r="B6460" s="2" t="s">
        <v>5108</v>
      </c>
      <c r="C6460" s="2">
        <v>3</v>
      </c>
      <c r="D6460" t="str">
        <f t="shared" si="100"/>
        <v>CA-2017-130386_OFF-PA-10002749</v>
      </c>
      <c r="E6460" t="str">
        <f>IF(COUNTIF(data1!$D:$D,D6460)=0,"Missing in Data1","Present")</f>
        <v>Present</v>
      </c>
    </row>
    <row r="6461" spans="1:5" x14ac:dyDescent="0.25">
      <c r="A6461" s="2" t="s">
        <v>5107</v>
      </c>
      <c r="B6461" s="2" t="s">
        <v>645</v>
      </c>
      <c r="C6461" s="2">
        <v>9</v>
      </c>
      <c r="D6461" t="str">
        <f t="shared" si="100"/>
        <v>CA-2017-130386_OFF-PA-10003823</v>
      </c>
      <c r="E6461" t="str">
        <f>IF(COUNTIF(data1!$D:$D,D6461)=0,"Missing in Data1","Present")</f>
        <v>Present</v>
      </c>
    </row>
    <row r="6462" spans="1:5" x14ac:dyDescent="0.25">
      <c r="A6462" s="2" t="s">
        <v>5107</v>
      </c>
      <c r="B6462" s="2" t="s">
        <v>495</v>
      </c>
      <c r="C6462" s="2">
        <v>3</v>
      </c>
      <c r="D6462" t="str">
        <f t="shared" si="100"/>
        <v>CA-2017-130386_OFF-ST-10003716</v>
      </c>
      <c r="E6462" t="str">
        <f>IF(COUNTIF(data1!$D:$D,D6462)=0,"Missing in Data1","Present")</f>
        <v>Present</v>
      </c>
    </row>
    <row r="6463" spans="1:5" x14ac:dyDescent="0.25">
      <c r="A6463" s="2" t="s">
        <v>5109</v>
      </c>
      <c r="B6463" s="2" t="s">
        <v>1116</v>
      </c>
      <c r="C6463" s="2">
        <v>3</v>
      </c>
      <c r="D6463" t="str">
        <f t="shared" si="100"/>
        <v>CA-2017-130505_FUR-TA-10001932</v>
      </c>
      <c r="E6463" t="str">
        <f>IF(COUNTIF(data1!$D:$D,D6463)=0,"Missing in Data1","Present")</f>
        <v>Present</v>
      </c>
    </row>
    <row r="6464" spans="1:5" x14ac:dyDescent="0.25">
      <c r="A6464" s="2" t="s">
        <v>5110</v>
      </c>
      <c r="B6464" s="2" t="s">
        <v>1815</v>
      </c>
      <c r="C6464" s="2">
        <v>8</v>
      </c>
      <c r="D6464" t="str">
        <f t="shared" si="100"/>
        <v>CA-2017-130526_OFF-BI-10001524</v>
      </c>
      <c r="E6464" t="str">
        <f>IF(COUNTIF(data1!$D:$D,D6464)=0,"Missing in Data1","Present")</f>
        <v>Present</v>
      </c>
    </row>
    <row r="6465" spans="1:5" x14ac:dyDescent="0.25">
      <c r="A6465" s="2" t="s">
        <v>5111</v>
      </c>
      <c r="B6465" s="2" t="s">
        <v>2996</v>
      </c>
      <c r="C6465" s="2">
        <v>2</v>
      </c>
      <c r="D6465" t="str">
        <f t="shared" si="100"/>
        <v>CA-2017-130631_FUR-FU-10004093</v>
      </c>
      <c r="E6465" t="str">
        <f>IF(COUNTIF(data1!$D:$D,D6465)=0,"Missing in Data1","Present")</f>
        <v>Present</v>
      </c>
    </row>
    <row r="6466" spans="1:5" x14ac:dyDescent="0.25">
      <c r="A6466" s="2" t="s">
        <v>5111</v>
      </c>
      <c r="B6466" s="2" t="s">
        <v>5112</v>
      </c>
      <c r="C6466" s="2">
        <v>5</v>
      </c>
      <c r="D6466" t="str">
        <f t="shared" si="100"/>
        <v>CA-2017-130631_OFF-FA-10000089</v>
      </c>
      <c r="E6466" t="str">
        <f>IF(COUNTIF(data1!$D:$D,D6466)=0,"Missing in Data1","Present")</f>
        <v>Present</v>
      </c>
    </row>
    <row r="6467" spans="1:5" x14ac:dyDescent="0.25">
      <c r="A6467" s="2" t="s">
        <v>5113</v>
      </c>
      <c r="B6467" s="2" t="s">
        <v>993</v>
      </c>
      <c r="C6467" s="2">
        <v>5</v>
      </c>
      <c r="D6467" t="str">
        <f t="shared" ref="D6467:D6530" si="101">A6467&amp;"_"&amp;B6467</f>
        <v>CA-2017-130715_OFF-FA-10000621</v>
      </c>
      <c r="E6467" t="str">
        <f>IF(COUNTIF(data1!$D:$D,D6467)=0,"Missing in Data1","Present")</f>
        <v>Present</v>
      </c>
    </row>
    <row r="6468" spans="1:5" x14ac:dyDescent="0.25">
      <c r="A6468" s="2" t="s">
        <v>5114</v>
      </c>
      <c r="B6468" s="2" t="s">
        <v>1562</v>
      </c>
      <c r="C6468" s="2">
        <v>5</v>
      </c>
      <c r="D6468" t="str">
        <f t="shared" si="101"/>
        <v>CA-2017-130764_FUR-BO-10003034</v>
      </c>
      <c r="E6468" t="str">
        <f>IF(COUNTIF(data1!$D:$D,D6468)=0,"Missing in Data1","Present")</f>
        <v>Present</v>
      </c>
    </row>
    <row r="6469" spans="1:5" x14ac:dyDescent="0.25">
      <c r="A6469" s="2" t="s">
        <v>5114</v>
      </c>
      <c r="B6469" s="2" t="s">
        <v>1934</v>
      </c>
      <c r="C6469" s="2">
        <v>4</v>
      </c>
      <c r="D6469" t="str">
        <f t="shared" si="101"/>
        <v>CA-2017-130764_TEC-PH-10003215</v>
      </c>
      <c r="E6469" t="str">
        <f>IF(COUNTIF(data1!$D:$D,D6469)=0,"Missing in Data1","Present")</f>
        <v>Present</v>
      </c>
    </row>
    <row r="6470" spans="1:5" x14ac:dyDescent="0.25">
      <c r="A6470" s="2" t="s">
        <v>5115</v>
      </c>
      <c r="B6470" s="2" t="s">
        <v>1395</v>
      </c>
      <c r="C6470" s="2">
        <v>2</v>
      </c>
      <c r="D6470" t="str">
        <f t="shared" si="101"/>
        <v>CA-2017-130771_OFF-FA-10003059</v>
      </c>
      <c r="E6470" t="str">
        <f>IF(COUNTIF(data1!$D:$D,D6470)=0,"Missing in Data1","Present")</f>
        <v>Present</v>
      </c>
    </row>
    <row r="6471" spans="1:5" x14ac:dyDescent="0.25">
      <c r="A6471" s="2" t="s">
        <v>5115</v>
      </c>
      <c r="B6471" s="2" t="s">
        <v>2176</v>
      </c>
      <c r="C6471" s="2">
        <v>1</v>
      </c>
      <c r="D6471" t="str">
        <f t="shared" si="101"/>
        <v>CA-2017-130771_TEC-PH-10002496</v>
      </c>
      <c r="E6471" t="str">
        <f>IF(COUNTIF(data1!$D:$D,D6471)=0,"Missing in Data1","Present")</f>
        <v>Present</v>
      </c>
    </row>
    <row r="6472" spans="1:5" x14ac:dyDescent="0.25">
      <c r="A6472" s="2" t="s">
        <v>5116</v>
      </c>
      <c r="B6472" s="2" t="s">
        <v>4498</v>
      </c>
      <c r="C6472" s="2">
        <v>3</v>
      </c>
      <c r="D6472" t="str">
        <f t="shared" si="101"/>
        <v>CA-2017-130834_OFF-PA-10003673</v>
      </c>
      <c r="E6472" t="str">
        <f>IF(COUNTIF(data1!$D:$D,D6472)=0,"Missing in Data1","Present")</f>
        <v>Present</v>
      </c>
    </row>
    <row r="6473" spans="1:5" x14ac:dyDescent="0.25">
      <c r="A6473" s="2" t="s">
        <v>5117</v>
      </c>
      <c r="B6473" s="2" t="s">
        <v>1152</v>
      </c>
      <c r="C6473" s="2">
        <v>4</v>
      </c>
      <c r="D6473" t="str">
        <f t="shared" si="101"/>
        <v>CA-2017-130841_OFF-BI-10000145</v>
      </c>
      <c r="E6473" t="str">
        <f>IF(COUNTIF(data1!$D:$D,D6473)=0,"Missing in Data1","Present")</f>
        <v>Present</v>
      </c>
    </row>
    <row r="6474" spans="1:5" x14ac:dyDescent="0.25">
      <c r="A6474" s="2" t="s">
        <v>5117</v>
      </c>
      <c r="B6474" s="2" t="s">
        <v>3335</v>
      </c>
      <c r="C6474" s="2">
        <v>1</v>
      </c>
      <c r="D6474" t="str">
        <f t="shared" si="101"/>
        <v>CA-2017-130841_OFF-ST-10001580</v>
      </c>
      <c r="E6474" t="str">
        <f>IF(COUNTIF(data1!$D:$D,D6474)=0,"Missing in Data1","Present")</f>
        <v>Present</v>
      </c>
    </row>
    <row r="6475" spans="1:5" x14ac:dyDescent="0.25">
      <c r="A6475" s="2" t="s">
        <v>5118</v>
      </c>
      <c r="B6475" s="2" t="s">
        <v>104</v>
      </c>
      <c r="C6475" s="2">
        <v>8</v>
      </c>
      <c r="D6475" t="str">
        <f t="shared" si="101"/>
        <v>CA-2017-130904_OFF-AR-10000127</v>
      </c>
      <c r="E6475" t="str">
        <f>IF(COUNTIF(data1!$D:$D,D6475)=0,"Missing in Data1","Present")</f>
        <v>Present</v>
      </c>
    </row>
    <row r="6476" spans="1:5" x14ac:dyDescent="0.25">
      <c r="A6476" s="2" t="s">
        <v>5118</v>
      </c>
      <c r="B6476" s="2" t="s">
        <v>4683</v>
      </c>
      <c r="C6476" s="2">
        <v>1</v>
      </c>
      <c r="D6476" t="str">
        <f t="shared" si="101"/>
        <v>CA-2017-130904_OFF-AR-10000422</v>
      </c>
      <c r="E6476" t="str">
        <f>IF(COUNTIF(data1!$D:$D,D6476)=0,"Missing in Data1","Present")</f>
        <v>Present</v>
      </c>
    </row>
    <row r="6477" spans="1:5" x14ac:dyDescent="0.25">
      <c r="A6477" s="2" t="s">
        <v>5119</v>
      </c>
      <c r="B6477" s="2" t="s">
        <v>1588</v>
      </c>
      <c r="C6477" s="2">
        <v>3</v>
      </c>
      <c r="D6477" t="str">
        <f t="shared" si="101"/>
        <v>CA-2017-130967_TEC-PH-10004896</v>
      </c>
      <c r="E6477" t="str">
        <f>IF(COUNTIF(data1!$D:$D,D6477)=0,"Missing in Data1","Present")</f>
        <v>Present</v>
      </c>
    </row>
    <row r="6478" spans="1:5" x14ac:dyDescent="0.25">
      <c r="A6478" s="2" t="s">
        <v>5120</v>
      </c>
      <c r="B6478" s="2" t="s">
        <v>701</v>
      </c>
      <c r="C6478" s="2">
        <v>2</v>
      </c>
      <c r="D6478" t="str">
        <f t="shared" si="101"/>
        <v>CA-2017-131016_OFF-AR-10000122</v>
      </c>
      <c r="E6478" t="str">
        <f>IF(COUNTIF(data1!$D:$D,D6478)=0,"Missing in Data1","Present")</f>
        <v>Present</v>
      </c>
    </row>
    <row r="6479" spans="1:5" x14ac:dyDescent="0.25">
      <c r="A6479" s="2" t="s">
        <v>5120</v>
      </c>
      <c r="B6479" s="2" t="s">
        <v>4144</v>
      </c>
      <c r="C6479" s="2">
        <v>2</v>
      </c>
      <c r="D6479" t="str">
        <f t="shared" si="101"/>
        <v>CA-2017-131016_OFF-ST-10000352</v>
      </c>
      <c r="E6479" t="str">
        <f>IF(COUNTIF(data1!$D:$D,D6479)=0,"Missing in Data1","Present")</f>
        <v>Present</v>
      </c>
    </row>
    <row r="6480" spans="1:5" x14ac:dyDescent="0.25">
      <c r="A6480" s="2" t="s">
        <v>5121</v>
      </c>
      <c r="B6480" s="2" t="s">
        <v>1733</v>
      </c>
      <c r="C6480" s="2">
        <v>1</v>
      </c>
      <c r="D6480" t="str">
        <f t="shared" si="101"/>
        <v>CA-2017-131037_FUR-TA-10001768</v>
      </c>
      <c r="E6480" t="str">
        <f>IF(COUNTIF(data1!$D:$D,D6480)=0,"Missing in Data1","Present")</f>
        <v>Present</v>
      </c>
    </row>
    <row r="6481" spans="1:5" x14ac:dyDescent="0.25">
      <c r="A6481" s="2" t="s">
        <v>5122</v>
      </c>
      <c r="B6481" s="2" t="s">
        <v>661</v>
      </c>
      <c r="C6481" s="2">
        <v>4</v>
      </c>
      <c r="D6481" t="str">
        <f t="shared" si="101"/>
        <v>CA-2017-131156_FUR-FU-10001940</v>
      </c>
      <c r="E6481" t="str">
        <f>IF(COUNTIF(data1!$D:$D,D6481)=0,"Missing in Data1","Present")</f>
        <v>Present</v>
      </c>
    </row>
    <row r="6482" spans="1:5" x14ac:dyDescent="0.25">
      <c r="A6482" s="2" t="s">
        <v>5123</v>
      </c>
      <c r="B6482" s="2" t="s">
        <v>1152</v>
      </c>
      <c r="C6482" s="2">
        <v>6</v>
      </c>
      <c r="D6482" t="str">
        <f t="shared" si="101"/>
        <v>CA-2017-131212_OFF-BI-10000145</v>
      </c>
      <c r="E6482" t="str">
        <f>IF(COUNTIF(data1!$D:$D,D6482)=0,"Missing in Data1","Present")</f>
        <v>Present</v>
      </c>
    </row>
    <row r="6483" spans="1:5" x14ac:dyDescent="0.25">
      <c r="A6483" s="2" t="s">
        <v>5124</v>
      </c>
      <c r="B6483" s="2" t="s">
        <v>3329</v>
      </c>
      <c r="C6483" s="2">
        <v>3</v>
      </c>
      <c r="D6483" t="str">
        <f t="shared" si="101"/>
        <v>CA-2017-131233_FUR-BO-10003441</v>
      </c>
      <c r="E6483" t="str">
        <f>IF(COUNTIF(data1!$D:$D,D6483)=0,"Missing in Data1","Present")</f>
        <v>Missing in Data1</v>
      </c>
    </row>
    <row r="6484" spans="1:5" x14ac:dyDescent="0.25">
      <c r="A6484" s="2" t="s">
        <v>5124</v>
      </c>
      <c r="B6484" s="2" t="s">
        <v>419</v>
      </c>
      <c r="C6484" s="2">
        <v>3</v>
      </c>
      <c r="D6484" t="str">
        <f t="shared" si="101"/>
        <v>CA-2017-131233_OFF-BI-10000829</v>
      </c>
      <c r="E6484" t="str">
        <f>IF(COUNTIF(data1!$D:$D,D6484)=0,"Missing in Data1","Present")</f>
        <v>Present</v>
      </c>
    </row>
    <row r="6485" spans="1:5" x14ac:dyDescent="0.25">
      <c r="A6485" s="2" t="s">
        <v>5125</v>
      </c>
      <c r="B6485" s="2" t="s">
        <v>373</v>
      </c>
      <c r="C6485" s="2">
        <v>3</v>
      </c>
      <c r="D6485" t="str">
        <f t="shared" si="101"/>
        <v>CA-2017-131254_FUR-CH-10003774</v>
      </c>
      <c r="E6485" t="str">
        <f>IF(COUNTIF(data1!$D:$D,D6485)=0,"Missing in Data1","Present")</f>
        <v>Present</v>
      </c>
    </row>
    <row r="6486" spans="1:5" x14ac:dyDescent="0.25">
      <c r="A6486" s="2" t="s">
        <v>5125</v>
      </c>
      <c r="B6486" s="2" t="s">
        <v>1541</v>
      </c>
      <c r="C6486" s="2">
        <v>5</v>
      </c>
      <c r="D6486" t="str">
        <f t="shared" si="101"/>
        <v>CA-2017-131254_OFF-AR-10003876</v>
      </c>
      <c r="E6486" t="str">
        <f>IF(COUNTIF(data1!$D:$D,D6486)=0,"Missing in Data1","Present")</f>
        <v>Present</v>
      </c>
    </row>
    <row r="6487" spans="1:5" x14ac:dyDescent="0.25">
      <c r="A6487" s="2" t="s">
        <v>5125</v>
      </c>
      <c r="B6487" s="2" t="s">
        <v>907</v>
      </c>
      <c r="C6487" s="2">
        <v>6</v>
      </c>
      <c r="D6487" t="str">
        <f t="shared" si="101"/>
        <v>CA-2017-131254_OFF-BI-10003527</v>
      </c>
      <c r="E6487" t="str">
        <f>IF(COUNTIF(data1!$D:$D,D6487)=0,"Missing in Data1","Present")</f>
        <v>Present</v>
      </c>
    </row>
    <row r="6488" spans="1:5" x14ac:dyDescent="0.25">
      <c r="A6488" s="2" t="s">
        <v>5126</v>
      </c>
      <c r="B6488" s="2" t="s">
        <v>5127</v>
      </c>
      <c r="C6488" s="2">
        <v>5</v>
      </c>
      <c r="D6488" t="str">
        <f t="shared" si="101"/>
        <v>CA-2017-131282_OFF-AR-10003087</v>
      </c>
      <c r="E6488" t="str">
        <f>IF(COUNTIF(data1!$D:$D,D6488)=0,"Missing in Data1","Present")</f>
        <v>Present</v>
      </c>
    </row>
    <row r="6489" spans="1:5" x14ac:dyDescent="0.25">
      <c r="A6489" s="2" t="s">
        <v>5126</v>
      </c>
      <c r="B6489" s="2" t="s">
        <v>820</v>
      </c>
      <c r="C6489" s="2">
        <v>4</v>
      </c>
      <c r="D6489" t="str">
        <f t="shared" si="101"/>
        <v>CA-2017-131282_OFF-BI-10004632</v>
      </c>
      <c r="E6489" t="str">
        <f>IF(COUNTIF(data1!$D:$D,D6489)=0,"Missing in Data1","Present")</f>
        <v>Present</v>
      </c>
    </row>
    <row r="6490" spans="1:5" x14ac:dyDescent="0.25">
      <c r="A6490" s="2" t="s">
        <v>5128</v>
      </c>
      <c r="B6490" s="2" t="s">
        <v>540</v>
      </c>
      <c r="C6490" s="2">
        <v>5</v>
      </c>
      <c r="D6490" t="str">
        <f t="shared" si="101"/>
        <v>CA-2017-131303_OFF-LA-10001074</v>
      </c>
      <c r="E6490" t="str">
        <f>IF(COUNTIF(data1!$D:$D,D6490)=0,"Missing in Data1","Present")</f>
        <v>Present</v>
      </c>
    </row>
    <row r="6491" spans="1:5" x14ac:dyDescent="0.25">
      <c r="A6491" s="2" t="s">
        <v>5129</v>
      </c>
      <c r="B6491" s="2" t="s">
        <v>1670</v>
      </c>
      <c r="C6491" s="2">
        <v>7</v>
      </c>
      <c r="D6491" t="str">
        <f t="shared" si="101"/>
        <v>CA-2017-131366_OFF-PA-10000675</v>
      </c>
      <c r="E6491" t="str">
        <f>IF(COUNTIF(data1!$D:$D,D6491)=0,"Missing in Data1","Present")</f>
        <v>Missing in Data1</v>
      </c>
    </row>
    <row r="6492" spans="1:5" x14ac:dyDescent="0.25">
      <c r="A6492" s="2" t="s">
        <v>5129</v>
      </c>
      <c r="B6492" s="2" t="s">
        <v>3212</v>
      </c>
      <c r="C6492" s="2">
        <v>2</v>
      </c>
      <c r="D6492" t="str">
        <f t="shared" si="101"/>
        <v>CA-2017-131366_TEC-PH-10003437</v>
      </c>
      <c r="E6492" t="str">
        <f>IF(COUNTIF(data1!$D:$D,D6492)=0,"Missing in Data1","Present")</f>
        <v>Present</v>
      </c>
    </row>
    <row r="6493" spans="1:5" x14ac:dyDescent="0.25">
      <c r="A6493" s="2" t="s">
        <v>5130</v>
      </c>
      <c r="B6493" s="2" t="s">
        <v>1276</v>
      </c>
      <c r="C6493" s="2">
        <v>2</v>
      </c>
      <c r="D6493" t="str">
        <f t="shared" si="101"/>
        <v>CA-2017-131492_FUR-FU-10003878</v>
      </c>
      <c r="E6493" t="str">
        <f>IF(COUNTIF(data1!$D:$D,D6493)=0,"Missing in Data1","Present")</f>
        <v>Present</v>
      </c>
    </row>
    <row r="6494" spans="1:5" x14ac:dyDescent="0.25">
      <c r="A6494" s="2" t="s">
        <v>5130</v>
      </c>
      <c r="B6494" s="2" t="s">
        <v>1973</v>
      </c>
      <c r="C6494" s="2">
        <v>2</v>
      </c>
      <c r="D6494" t="str">
        <f t="shared" si="101"/>
        <v>CA-2017-131492_FUR-TA-10003837</v>
      </c>
      <c r="E6494" t="str">
        <f>IF(COUNTIF(data1!$D:$D,D6494)=0,"Missing in Data1","Present")</f>
        <v>Present</v>
      </c>
    </row>
    <row r="6495" spans="1:5" x14ac:dyDescent="0.25">
      <c r="A6495" s="2" t="s">
        <v>5130</v>
      </c>
      <c r="B6495" s="2" t="s">
        <v>4097</v>
      </c>
      <c r="C6495" s="2">
        <v>2</v>
      </c>
      <c r="D6495" t="str">
        <f t="shared" si="101"/>
        <v>CA-2017-131492_OFF-EN-10002973</v>
      </c>
      <c r="E6495" t="str">
        <f>IF(COUNTIF(data1!$D:$D,D6495)=0,"Missing in Data1","Present")</f>
        <v>Present</v>
      </c>
    </row>
    <row r="6496" spans="1:5" x14ac:dyDescent="0.25">
      <c r="A6496" s="2" t="s">
        <v>5130</v>
      </c>
      <c r="B6496" s="2" t="s">
        <v>215</v>
      </c>
      <c r="C6496" s="2">
        <v>10</v>
      </c>
      <c r="D6496" t="str">
        <f t="shared" si="101"/>
        <v>CA-2017-131492_OFF-LA-10001641</v>
      </c>
      <c r="E6496" t="str">
        <f>IF(COUNTIF(data1!$D:$D,D6496)=0,"Missing in Data1","Present")</f>
        <v>Present</v>
      </c>
    </row>
    <row r="6497" spans="1:5" x14ac:dyDescent="0.25">
      <c r="A6497" s="2" t="s">
        <v>5131</v>
      </c>
      <c r="B6497" s="2" t="s">
        <v>1636</v>
      </c>
      <c r="C6497" s="2">
        <v>4</v>
      </c>
      <c r="D6497" t="str">
        <f t="shared" si="101"/>
        <v>CA-2017-131618_OFF-BI-10000546</v>
      </c>
      <c r="E6497" t="str">
        <f>IF(COUNTIF(data1!$D:$D,D6497)=0,"Missing in Data1","Present")</f>
        <v>Present</v>
      </c>
    </row>
    <row r="6498" spans="1:5" x14ac:dyDescent="0.25">
      <c r="A6498" s="2" t="s">
        <v>5131</v>
      </c>
      <c r="B6498" s="2" t="s">
        <v>604</v>
      </c>
      <c r="C6498" s="2">
        <v>4</v>
      </c>
      <c r="D6498" t="str">
        <f t="shared" si="101"/>
        <v>CA-2017-131618_OFF-BI-10001294</v>
      </c>
      <c r="E6498" t="str">
        <f>IF(COUNTIF(data1!$D:$D,D6498)=0,"Missing in Data1","Present")</f>
        <v>Present</v>
      </c>
    </row>
    <row r="6499" spans="1:5" x14ac:dyDescent="0.25">
      <c r="A6499" s="2" t="s">
        <v>5131</v>
      </c>
      <c r="B6499" s="2" t="s">
        <v>3399</v>
      </c>
      <c r="C6499" s="2">
        <v>2</v>
      </c>
      <c r="D6499" t="str">
        <f t="shared" si="101"/>
        <v>CA-2017-131618_OFF-PA-10001892</v>
      </c>
      <c r="E6499" t="str">
        <f>IF(COUNTIF(data1!$D:$D,D6499)=0,"Missing in Data1","Present")</f>
        <v>Present</v>
      </c>
    </row>
    <row r="6500" spans="1:5" x14ac:dyDescent="0.25">
      <c r="A6500" s="2" t="s">
        <v>5132</v>
      </c>
      <c r="B6500" s="2" t="s">
        <v>4018</v>
      </c>
      <c r="C6500" s="2">
        <v>5</v>
      </c>
      <c r="D6500" t="str">
        <f t="shared" si="101"/>
        <v>CA-2017-131625_FUR-FU-10004960</v>
      </c>
      <c r="E6500" t="str">
        <f>IF(COUNTIF(data1!$D:$D,D6500)=0,"Missing in Data1","Present")</f>
        <v>Present</v>
      </c>
    </row>
    <row r="6501" spans="1:5" x14ac:dyDescent="0.25">
      <c r="A6501" s="2" t="s">
        <v>5133</v>
      </c>
      <c r="B6501" s="2" t="s">
        <v>971</v>
      </c>
      <c r="C6501" s="2">
        <v>2</v>
      </c>
      <c r="D6501" t="str">
        <f t="shared" si="101"/>
        <v>CA-2017-131632_OFF-AR-10003651</v>
      </c>
      <c r="E6501" t="str">
        <f>IF(COUNTIF(data1!$D:$D,D6501)=0,"Missing in Data1","Present")</f>
        <v>Present</v>
      </c>
    </row>
    <row r="6502" spans="1:5" x14ac:dyDescent="0.25">
      <c r="A6502" s="2" t="s">
        <v>5134</v>
      </c>
      <c r="B6502" s="2" t="s">
        <v>1623</v>
      </c>
      <c r="C6502" s="2">
        <v>2</v>
      </c>
      <c r="D6502" t="str">
        <f t="shared" si="101"/>
        <v>CA-2017-131653_OFF-LA-10001045</v>
      </c>
      <c r="E6502" t="str">
        <f>IF(COUNTIF(data1!$D:$D,D6502)=0,"Missing in Data1","Present")</f>
        <v>Present</v>
      </c>
    </row>
    <row r="6503" spans="1:5" x14ac:dyDescent="0.25">
      <c r="A6503" s="2" t="s">
        <v>5135</v>
      </c>
      <c r="B6503" s="2" t="s">
        <v>3956</v>
      </c>
      <c r="C6503" s="2">
        <v>1</v>
      </c>
      <c r="D6503" t="str">
        <f t="shared" si="101"/>
        <v>CA-2017-131695_FUR-FU-10002045</v>
      </c>
      <c r="E6503" t="str">
        <f>IF(COUNTIF(data1!$D:$D,D6503)=0,"Missing in Data1","Present")</f>
        <v>Present</v>
      </c>
    </row>
    <row r="6504" spans="1:5" x14ac:dyDescent="0.25">
      <c r="A6504" s="2" t="s">
        <v>5135</v>
      </c>
      <c r="B6504" s="2" t="s">
        <v>2565</v>
      </c>
      <c r="C6504" s="2">
        <v>7</v>
      </c>
      <c r="D6504" t="str">
        <f t="shared" si="101"/>
        <v>CA-2017-131695_OFF-ST-10001476</v>
      </c>
      <c r="E6504" t="str">
        <f>IF(COUNTIF(data1!$D:$D,D6504)=0,"Missing in Data1","Present")</f>
        <v>Present</v>
      </c>
    </row>
    <row r="6505" spans="1:5" x14ac:dyDescent="0.25">
      <c r="A6505" s="2" t="s">
        <v>5136</v>
      </c>
      <c r="B6505" s="2" t="s">
        <v>3465</v>
      </c>
      <c r="C6505" s="2">
        <v>4</v>
      </c>
      <c r="D6505" t="str">
        <f t="shared" si="101"/>
        <v>CA-2017-131807_FUR-CH-10001190</v>
      </c>
      <c r="E6505" t="str">
        <f>IF(COUNTIF(data1!$D:$D,D6505)=0,"Missing in Data1","Present")</f>
        <v>Present</v>
      </c>
    </row>
    <row r="6506" spans="1:5" x14ac:dyDescent="0.25">
      <c r="A6506" s="2" t="s">
        <v>5136</v>
      </c>
      <c r="B6506" s="2" t="s">
        <v>1814</v>
      </c>
      <c r="C6506" s="2">
        <v>5</v>
      </c>
      <c r="D6506" t="str">
        <f t="shared" si="101"/>
        <v>CA-2017-131807_FUR-FU-10004666</v>
      </c>
      <c r="E6506" t="str">
        <f>IF(COUNTIF(data1!$D:$D,D6506)=0,"Missing in Data1","Present")</f>
        <v>Present</v>
      </c>
    </row>
    <row r="6507" spans="1:5" x14ac:dyDescent="0.25">
      <c r="A6507" s="2" t="s">
        <v>5136</v>
      </c>
      <c r="B6507" s="2" t="s">
        <v>2033</v>
      </c>
      <c r="C6507" s="2">
        <v>4</v>
      </c>
      <c r="D6507" t="str">
        <f t="shared" si="101"/>
        <v>CA-2017-131807_OFF-AP-10004052</v>
      </c>
      <c r="E6507" t="str">
        <f>IF(COUNTIF(data1!$D:$D,D6507)=0,"Missing in Data1","Present")</f>
        <v>Missing in Data1</v>
      </c>
    </row>
    <row r="6508" spans="1:5" x14ac:dyDescent="0.25">
      <c r="A6508" s="2" t="s">
        <v>5136</v>
      </c>
      <c r="B6508" s="2" t="s">
        <v>703</v>
      </c>
      <c r="C6508" s="2">
        <v>5</v>
      </c>
      <c r="D6508" t="str">
        <f t="shared" si="101"/>
        <v>CA-2017-131807_OFF-FA-10002780</v>
      </c>
      <c r="E6508" t="str">
        <f>IF(COUNTIF(data1!$D:$D,D6508)=0,"Missing in Data1","Present")</f>
        <v>Missing in Data1</v>
      </c>
    </row>
    <row r="6509" spans="1:5" x14ac:dyDescent="0.25">
      <c r="A6509" s="2" t="s">
        <v>5136</v>
      </c>
      <c r="B6509" s="2" t="s">
        <v>704</v>
      </c>
      <c r="C6509" s="2">
        <v>1</v>
      </c>
      <c r="D6509" t="str">
        <f t="shared" si="101"/>
        <v>CA-2017-131807_TEC-PH-10000702</v>
      </c>
      <c r="E6509" t="str">
        <f>IF(COUNTIF(data1!$D:$D,D6509)=0,"Missing in Data1","Present")</f>
        <v>Present</v>
      </c>
    </row>
    <row r="6510" spans="1:5" x14ac:dyDescent="0.25">
      <c r="A6510" s="2" t="s">
        <v>5137</v>
      </c>
      <c r="B6510" s="2" t="s">
        <v>193</v>
      </c>
      <c r="C6510" s="2">
        <v>4</v>
      </c>
      <c r="D6510" t="str">
        <f t="shared" si="101"/>
        <v>CA-2017-131828_FUR-CH-10004495</v>
      </c>
      <c r="E6510" t="str">
        <f>IF(COUNTIF(data1!$D:$D,D6510)=0,"Missing in Data1","Present")</f>
        <v>Present</v>
      </c>
    </row>
    <row r="6511" spans="1:5" x14ac:dyDescent="0.25">
      <c r="A6511" s="2" t="s">
        <v>5137</v>
      </c>
      <c r="B6511" s="2" t="s">
        <v>82</v>
      </c>
      <c r="C6511" s="2">
        <v>3</v>
      </c>
      <c r="D6511" t="str">
        <f t="shared" si="101"/>
        <v>CA-2017-131828_TEC-PH-10002923</v>
      </c>
      <c r="E6511" t="str">
        <f>IF(COUNTIF(data1!$D:$D,D6511)=0,"Missing in Data1","Present")</f>
        <v>Present</v>
      </c>
    </row>
    <row r="6512" spans="1:5" x14ac:dyDescent="0.25">
      <c r="A6512" s="2" t="s">
        <v>5138</v>
      </c>
      <c r="B6512" s="2" t="s">
        <v>3607</v>
      </c>
      <c r="C6512" s="2">
        <v>1</v>
      </c>
      <c r="D6512" t="str">
        <f t="shared" si="101"/>
        <v>CA-2017-131954_FUR-BO-10001619</v>
      </c>
      <c r="E6512" t="str">
        <f>IF(COUNTIF(data1!$D:$D,D6512)=0,"Missing in Data1","Present")</f>
        <v>Present</v>
      </c>
    </row>
    <row r="6513" spans="1:5" x14ac:dyDescent="0.25">
      <c r="A6513" s="2" t="s">
        <v>5138</v>
      </c>
      <c r="B6513" s="2" t="s">
        <v>1490</v>
      </c>
      <c r="C6513" s="2">
        <v>5</v>
      </c>
      <c r="D6513" t="str">
        <f t="shared" si="101"/>
        <v>CA-2017-131954_OFF-BI-10000138</v>
      </c>
      <c r="E6513" t="str">
        <f>IF(COUNTIF(data1!$D:$D,D6513)=0,"Missing in Data1","Present")</f>
        <v>Present</v>
      </c>
    </row>
    <row r="6514" spans="1:5" x14ac:dyDescent="0.25">
      <c r="A6514" s="2" t="s">
        <v>5138</v>
      </c>
      <c r="B6514" s="2" t="s">
        <v>485</v>
      </c>
      <c r="C6514" s="2">
        <v>4</v>
      </c>
      <c r="D6514" t="str">
        <f t="shared" si="101"/>
        <v>CA-2017-131954_OFF-BI-10003291</v>
      </c>
      <c r="E6514" t="str">
        <f>IF(COUNTIF(data1!$D:$D,D6514)=0,"Missing in Data1","Present")</f>
        <v>Present</v>
      </c>
    </row>
    <row r="6515" spans="1:5" x14ac:dyDescent="0.25">
      <c r="A6515" s="2" t="s">
        <v>5138</v>
      </c>
      <c r="B6515" s="2" t="s">
        <v>1117</v>
      </c>
      <c r="C6515" s="2">
        <v>6</v>
      </c>
      <c r="D6515" t="str">
        <f t="shared" si="101"/>
        <v>CA-2017-131954_OFF-BI-10003982</v>
      </c>
      <c r="E6515" t="str">
        <f>IF(COUNTIF(data1!$D:$D,D6515)=0,"Missing in Data1","Present")</f>
        <v>Present</v>
      </c>
    </row>
    <row r="6516" spans="1:5" x14ac:dyDescent="0.25">
      <c r="A6516" s="2" t="s">
        <v>5138</v>
      </c>
      <c r="B6516" s="2" t="s">
        <v>299</v>
      </c>
      <c r="C6516" s="2">
        <v>3</v>
      </c>
      <c r="D6516" t="str">
        <f t="shared" si="101"/>
        <v>CA-2017-131954_OFF-ST-10000736</v>
      </c>
      <c r="E6516" t="str">
        <f>IF(COUNTIF(data1!$D:$D,D6516)=0,"Missing in Data1","Present")</f>
        <v>Present</v>
      </c>
    </row>
    <row r="6517" spans="1:5" x14ac:dyDescent="0.25">
      <c r="A6517" s="2" t="s">
        <v>5138</v>
      </c>
      <c r="B6517" s="2" t="s">
        <v>4060</v>
      </c>
      <c r="C6517" s="2">
        <v>3</v>
      </c>
      <c r="D6517" t="str">
        <f t="shared" si="101"/>
        <v>CA-2017-131954_TEC-AC-10003610</v>
      </c>
      <c r="E6517" t="str">
        <f>IF(COUNTIF(data1!$D:$D,D6517)=0,"Missing in Data1","Present")</f>
        <v>Present</v>
      </c>
    </row>
    <row r="6518" spans="1:5" x14ac:dyDescent="0.25">
      <c r="A6518" s="2" t="s">
        <v>5139</v>
      </c>
      <c r="B6518" s="2" t="s">
        <v>1800</v>
      </c>
      <c r="C6518" s="2">
        <v>5</v>
      </c>
      <c r="D6518" t="str">
        <f t="shared" si="101"/>
        <v>CA-2017-132122_OFF-ST-10003692</v>
      </c>
      <c r="E6518" t="str">
        <f>IF(COUNTIF(data1!$D:$D,D6518)=0,"Missing in Data1","Present")</f>
        <v>Present</v>
      </c>
    </row>
    <row r="6519" spans="1:5" x14ac:dyDescent="0.25">
      <c r="A6519" s="2" t="s">
        <v>5140</v>
      </c>
      <c r="B6519" s="2" t="s">
        <v>1657</v>
      </c>
      <c r="C6519" s="2">
        <v>8</v>
      </c>
      <c r="D6519" t="str">
        <f t="shared" si="101"/>
        <v>CA-2017-132178_OFF-ST-10000025</v>
      </c>
      <c r="E6519" t="str">
        <f>IF(COUNTIF(data1!$D:$D,D6519)=0,"Missing in Data1","Present")</f>
        <v>Present</v>
      </c>
    </row>
    <row r="6520" spans="1:5" x14ac:dyDescent="0.25">
      <c r="A6520" s="2" t="s">
        <v>5140</v>
      </c>
      <c r="B6520" s="2" t="s">
        <v>1471</v>
      </c>
      <c r="C6520" s="2">
        <v>2</v>
      </c>
      <c r="D6520" t="str">
        <f t="shared" si="101"/>
        <v>CA-2017-132178_OFF-ST-10000464</v>
      </c>
      <c r="E6520" t="str">
        <f>IF(COUNTIF(data1!$D:$D,D6520)=0,"Missing in Data1","Present")</f>
        <v>Present</v>
      </c>
    </row>
    <row r="6521" spans="1:5" x14ac:dyDescent="0.25">
      <c r="A6521" s="2" t="s">
        <v>5141</v>
      </c>
      <c r="B6521" s="2" t="s">
        <v>2238</v>
      </c>
      <c r="C6521" s="2">
        <v>1</v>
      </c>
      <c r="D6521" t="str">
        <f t="shared" si="101"/>
        <v>CA-2017-132185_OFF-AP-10001205</v>
      </c>
      <c r="E6521" t="str">
        <f>IF(COUNTIF(data1!$D:$D,D6521)=0,"Missing in Data1","Present")</f>
        <v>Present</v>
      </c>
    </row>
    <row r="6522" spans="1:5" x14ac:dyDescent="0.25">
      <c r="A6522" s="2" t="s">
        <v>5141</v>
      </c>
      <c r="B6522" s="2" t="s">
        <v>4683</v>
      </c>
      <c r="C6522" s="2">
        <v>5</v>
      </c>
      <c r="D6522" t="str">
        <f t="shared" si="101"/>
        <v>CA-2017-132185_OFF-AR-10000422</v>
      </c>
      <c r="E6522" t="str">
        <f>IF(COUNTIF(data1!$D:$D,D6522)=0,"Missing in Data1","Present")</f>
        <v>Present</v>
      </c>
    </row>
    <row r="6523" spans="1:5" x14ac:dyDescent="0.25">
      <c r="A6523" s="2" t="s">
        <v>5142</v>
      </c>
      <c r="B6523" s="2" t="s">
        <v>4523</v>
      </c>
      <c r="C6523" s="2">
        <v>2</v>
      </c>
      <c r="D6523" t="str">
        <f t="shared" si="101"/>
        <v>CA-2017-132199_FUR-FU-10004245</v>
      </c>
      <c r="E6523" t="str">
        <f>IF(COUNTIF(data1!$D:$D,D6523)=0,"Missing in Data1","Present")</f>
        <v>Present</v>
      </c>
    </row>
    <row r="6524" spans="1:5" x14ac:dyDescent="0.25">
      <c r="A6524" s="2" t="s">
        <v>5142</v>
      </c>
      <c r="B6524" s="2" t="s">
        <v>1427</v>
      </c>
      <c r="C6524" s="2">
        <v>5</v>
      </c>
      <c r="D6524" t="str">
        <f t="shared" si="101"/>
        <v>CA-2017-132199_FUR-TA-10003748</v>
      </c>
      <c r="E6524" t="str">
        <f>IF(COUNTIF(data1!$D:$D,D6524)=0,"Missing in Data1","Present")</f>
        <v>Present</v>
      </c>
    </row>
    <row r="6525" spans="1:5" x14ac:dyDescent="0.25">
      <c r="A6525" s="2" t="s">
        <v>5142</v>
      </c>
      <c r="B6525" s="2" t="s">
        <v>823</v>
      </c>
      <c r="C6525" s="2">
        <v>5</v>
      </c>
      <c r="D6525" t="str">
        <f t="shared" si="101"/>
        <v>CA-2017-132199_OFF-BI-10002133</v>
      </c>
      <c r="E6525" t="str">
        <f>IF(COUNTIF(data1!$D:$D,D6525)=0,"Missing in Data1","Present")</f>
        <v>Missing in Data1</v>
      </c>
    </row>
    <row r="6526" spans="1:5" x14ac:dyDescent="0.25">
      <c r="A6526" s="2" t="s">
        <v>5142</v>
      </c>
      <c r="B6526" s="2" t="s">
        <v>229</v>
      </c>
      <c r="C6526" s="2">
        <v>4</v>
      </c>
      <c r="D6526" t="str">
        <f t="shared" si="101"/>
        <v>CA-2017-132199_OFF-BI-10003684</v>
      </c>
      <c r="E6526" t="str">
        <f>IF(COUNTIF(data1!$D:$D,D6526)=0,"Missing in Data1","Present")</f>
        <v>Present</v>
      </c>
    </row>
    <row r="6527" spans="1:5" x14ac:dyDescent="0.25">
      <c r="A6527" s="2" t="s">
        <v>5142</v>
      </c>
      <c r="B6527" s="2" t="s">
        <v>913</v>
      </c>
      <c r="C6527" s="2">
        <v>2</v>
      </c>
      <c r="D6527" t="str">
        <f t="shared" si="101"/>
        <v>CA-2017-132199_OFF-FA-10002280</v>
      </c>
      <c r="E6527" t="str">
        <f>IF(COUNTIF(data1!$D:$D,D6527)=0,"Missing in Data1","Present")</f>
        <v>Present</v>
      </c>
    </row>
    <row r="6528" spans="1:5" x14ac:dyDescent="0.25">
      <c r="A6528" s="2" t="s">
        <v>5143</v>
      </c>
      <c r="B6528" s="2" t="s">
        <v>3156</v>
      </c>
      <c r="C6528" s="2">
        <v>5</v>
      </c>
      <c r="D6528" t="str">
        <f t="shared" si="101"/>
        <v>CA-2017-132213_OFF-AR-10001958</v>
      </c>
      <c r="E6528" t="str">
        <f>IF(COUNTIF(data1!$D:$D,D6528)=0,"Missing in Data1","Present")</f>
        <v>Present</v>
      </c>
    </row>
    <row r="6529" spans="1:5" x14ac:dyDescent="0.25">
      <c r="A6529" s="2" t="s">
        <v>5143</v>
      </c>
      <c r="B6529" s="2" t="s">
        <v>1096</v>
      </c>
      <c r="C6529" s="2">
        <v>9</v>
      </c>
      <c r="D6529" t="str">
        <f t="shared" si="101"/>
        <v>CA-2017-132213_OFF-AR-10004078</v>
      </c>
      <c r="E6529" t="str">
        <f>IF(COUNTIF(data1!$D:$D,D6529)=0,"Missing in Data1","Present")</f>
        <v>Present</v>
      </c>
    </row>
    <row r="6530" spans="1:5" x14ac:dyDescent="0.25">
      <c r="A6530" s="2" t="s">
        <v>5144</v>
      </c>
      <c r="B6530" s="2" t="s">
        <v>2378</v>
      </c>
      <c r="C6530" s="2">
        <v>13</v>
      </c>
      <c r="D6530" t="str">
        <f t="shared" si="101"/>
        <v>CA-2017-132234_FUR-FU-10001290</v>
      </c>
      <c r="E6530" t="str">
        <f>IF(COUNTIF(data1!$D:$D,D6530)=0,"Missing in Data1","Present")</f>
        <v>Present</v>
      </c>
    </row>
    <row r="6531" spans="1:5" x14ac:dyDescent="0.25">
      <c r="A6531" s="2" t="s">
        <v>5145</v>
      </c>
      <c r="B6531" s="2" t="s">
        <v>2371</v>
      </c>
      <c r="C6531" s="2">
        <v>2</v>
      </c>
      <c r="D6531" t="str">
        <f t="shared" ref="D6531:D6594" si="102">A6531&amp;"_"&amp;B6531</f>
        <v>CA-2017-132262_TEC-AC-10000158</v>
      </c>
      <c r="E6531" t="str">
        <f>IF(COUNTIF(data1!$D:$D,D6531)=0,"Missing in Data1","Present")</f>
        <v>Present</v>
      </c>
    </row>
    <row r="6532" spans="1:5" x14ac:dyDescent="0.25">
      <c r="A6532" s="2" t="s">
        <v>5145</v>
      </c>
      <c r="B6532" s="2" t="s">
        <v>1063</v>
      </c>
      <c r="C6532" s="2">
        <v>2</v>
      </c>
      <c r="D6532" t="str">
        <f t="shared" si="102"/>
        <v>CA-2017-132262_TEC-AC-10000303</v>
      </c>
      <c r="E6532" t="str">
        <f>IF(COUNTIF(data1!$D:$D,D6532)=0,"Missing in Data1","Present")</f>
        <v>Present</v>
      </c>
    </row>
    <row r="6533" spans="1:5" x14ac:dyDescent="0.25">
      <c r="A6533" s="2" t="s">
        <v>5146</v>
      </c>
      <c r="B6533" s="2" t="s">
        <v>1537</v>
      </c>
      <c r="C6533" s="2">
        <v>4</v>
      </c>
      <c r="D6533" t="str">
        <f t="shared" si="102"/>
        <v>CA-2017-132290_FUR-TA-10002228</v>
      </c>
      <c r="E6533" t="str">
        <f>IF(COUNTIF(data1!$D:$D,D6533)=0,"Missing in Data1","Present")</f>
        <v>Present</v>
      </c>
    </row>
    <row r="6534" spans="1:5" x14ac:dyDescent="0.25">
      <c r="A6534" s="2" t="s">
        <v>5147</v>
      </c>
      <c r="B6534" s="2" t="s">
        <v>601</v>
      </c>
      <c r="C6534" s="2">
        <v>1</v>
      </c>
      <c r="D6534" t="str">
        <f t="shared" si="102"/>
        <v>CA-2017-132339_OFF-BI-10003925</v>
      </c>
      <c r="E6534" t="str">
        <f>IF(COUNTIF(data1!$D:$D,D6534)=0,"Missing in Data1","Present")</f>
        <v>Present</v>
      </c>
    </row>
    <row r="6535" spans="1:5" x14ac:dyDescent="0.25">
      <c r="A6535" s="2" t="s">
        <v>5148</v>
      </c>
      <c r="B6535" s="2" t="s">
        <v>1221</v>
      </c>
      <c r="C6535" s="2">
        <v>7</v>
      </c>
      <c r="D6535" t="str">
        <f t="shared" si="102"/>
        <v>CA-2017-132346_OFF-AP-10000696</v>
      </c>
      <c r="E6535" t="str">
        <f>IF(COUNTIF(data1!$D:$D,D6535)=0,"Missing in Data1","Present")</f>
        <v>Present</v>
      </c>
    </row>
    <row r="6536" spans="1:5" x14ac:dyDescent="0.25">
      <c r="A6536" s="2" t="s">
        <v>5149</v>
      </c>
      <c r="B6536" s="2" t="s">
        <v>3440</v>
      </c>
      <c r="C6536" s="2">
        <v>3</v>
      </c>
      <c r="D6536" t="str">
        <f t="shared" si="102"/>
        <v>CA-2017-132353_TEC-PH-10004536</v>
      </c>
      <c r="E6536" t="str">
        <f>IF(COUNTIF(data1!$D:$D,D6536)=0,"Missing in Data1","Present")</f>
        <v>Present</v>
      </c>
    </row>
    <row r="6537" spans="1:5" x14ac:dyDescent="0.25">
      <c r="A6537" s="2" t="s">
        <v>5151</v>
      </c>
      <c r="B6537" s="2" t="s">
        <v>932</v>
      </c>
      <c r="C6537" s="2">
        <v>4</v>
      </c>
      <c r="D6537" t="str">
        <f t="shared" si="102"/>
        <v>CA-2017-132437_OFF-ST-10001031</v>
      </c>
      <c r="E6537" t="str">
        <f>IF(COUNTIF(data1!$D:$D,D6537)=0,"Missing in Data1","Present")</f>
        <v>Present</v>
      </c>
    </row>
    <row r="6538" spans="1:5" x14ac:dyDescent="0.25">
      <c r="A6538" s="2" t="s">
        <v>5152</v>
      </c>
      <c r="B6538" s="2" t="s">
        <v>1704</v>
      </c>
      <c r="C6538" s="2">
        <v>2</v>
      </c>
      <c r="D6538" t="str">
        <f t="shared" si="102"/>
        <v>CA-2017-132521_OFF-AP-10002191</v>
      </c>
      <c r="E6538" t="str">
        <f>IF(COUNTIF(data1!$D:$D,D6538)=0,"Missing in Data1","Present")</f>
        <v>Present</v>
      </c>
    </row>
    <row r="6539" spans="1:5" x14ac:dyDescent="0.25">
      <c r="A6539" s="2" t="s">
        <v>5152</v>
      </c>
      <c r="B6539" s="2" t="s">
        <v>2875</v>
      </c>
      <c r="C6539" s="2">
        <v>1</v>
      </c>
      <c r="D6539" t="str">
        <f t="shared" si="102"/>
        <v>CA-2017-132521_OFF-BI-10000404</v>
      </c>
      <c r="E6539" t="str">
        <f>IF(COUNTIF(data1!$D:$D,D6539)=0,"Missing in Data1","Present")</f>
        <v>Present</v>
      </c>
    </row>
    <row r="6540" spans="1:5" x14ac:dyDescent="0.25">
      <c r="A6540" s="2" t="s">
        <v>5154</v>
      </c>
      <c r="B6540" s="2" t="s">
        <v>81</v>
      </c>
      <c r="C6540" s="2">
        <v>3</v>
      </c>
      <c r="D6540" t="str">
        <f t="shared" si="102"/>
        <v>CA-2017-132619_OFF-ST-10001511</v>
      </c>
      <c r="E6540" t="str">
        <f>IF(COUNTIF(data1!$D:$D,D6540)=0,"Missing in Data1","Present")</f>
        <v>Present</v>
      </c>
    </row>
    <row r="6541" spans="1:5" x14ac:dyDescent="0.25">
      <c r="A6541" s="2" t="s">
        <v>5155</v>
      </c>
      <c r="B6541" s="2" t="s">
        <v>309</v>
      </c>
      <c r="C6541" s="2">
        <v>2</v>
      </c>
      <c r="D6541" t="str">
        <f t="shared" si="102"/>
        <v>CA-2017-132647_OFF-PA-10001838</v>
      </c>
      <c r="E6541" t="str">
        <f>IF(COUNTIF(data1!$D:$D,D6541)=0,"Missing in Data1","Present")</f>
        <v>Present</v>
      </c>
    </row>
    <row r="6542" spans="1:5" x14ac:dyDescent="0.25">
      <c r="A6542" s="2" t="s">
        <v>5155</v>
      </c>
      <c r="B6542" s="2" t="s">
        <v>1465</v>
      </c>
      <c r="C6542" s="2">
        <v>5</v>
      </c>
      <c r="D6542" t="str">
        <f t="shared" si="102"/>
        <v>CA-2017-132647_OFF-ST-10003123</v>
      </c>
      <c r="E6542" t="str">
        <f>IF(COUNTIF(data1!$D:$D,D6542)=0,"Missing in Data1","Present")</f>
        <v>Present</v>
      </c>
    </row>
    <row r="6543" spans="1:5" x14ac:dyDescent="0.25">
      <c r="A6543" s="2" t="s">
        <v>5156</v>
      </c>
      <c r="B6543" s="2" t="s">
        <v>433</v>
      </c>
      <c r="C6543" s="2">
        <v>3</v>
      </c>
      <c r="D6543" t="str">
        <f t="shared" si="102"/>
        <v>CA-2017-132682_OFF-PA-10000474</v>
      </c>
      <c r="E6543" t="str">
        <f>IF(COUNTIF(data1!$D:$D,D6543)=0,"Missing in Data1","Present")</f>
        <v>Present</v>
      </c>
    </row>
    <row r="6544" spans="1:5" x14ac:dyDescent="0.25">
      <c r="A6544" s="2" t="s">
        <v>5156</v>
      </c>
      <c r="B6544" s="2" t="s">
        <v>2166</v>
      </c>
      <c r="C6544" s="2">
        <v>3</v>
      </c>
      <c r="D6544" t="str">
        <f t="shared" si="102"/>
        <v>CA-2017-132682_OFF-SU-10004231</v>
      </c>
      <c r="E6544" t="str">
        <f>IF(COUNTIF(data1!$D:$D,D6544)=0,"Missing in Data1","Present")</f>
        <v>Present</v>
      </c>
    </row>
    <row r="6545" spans="1:5" x14ac:dyDescent="0.25">
      <c r="A6545" s="2" t="s">
        <v>5156</v>
      </c>
      <c r="B6545" s="2" t="s">
        <v>2053</v>
      </c>
      <c r="C6545" s="2">
        <v>3</v>
      </c>
      <c r="D6545" t="str">
        <f t="shared" si="102"/>
        <v>CA-2017-132682_TEC-PH-10004042</v>
      </c>
      <c r="E6545" t="str">
        <f>IF(COUNTIF(data1!$D:$D,D6545)=0,"Missing in Data1","Present")</f>
        <v>Present</v>
      </c>
    </row>
    <row r="6546" spans="1:5" x14ac:dyDescent="0.25">
      <c r="A6546" s="2" t="s">
        <v>5157</v>
      </c>
      <c r="B6546" s="2" t="s">
        <v>4403</v>
      </c>
      <c r="C6546" s="2">
        <v>1</v>
      </c>
      <c r="D6546" t="str">
        <f t="shared" si="102"/>
        <v>CA-2017-132738_OFF-EN-10001141</v>
      </c>
      <c r="E6546" t="str">
        <f>IF(COUNTIF(data1!$D:$D,D6546)=0,"Missing in Data1","Present")</f>
        <v>Present</v>
      </c>
    </row>
    <row r="6547" spans="1:5" x14ac:dyDescent="0.25">
      <c r="A6547" s="2" t="s">
        <v>5157</v>
      </c>
      <c r="B6547" s="2" t="s">
        <v>805</v>
      </c>
      <c r="C6547" s="2">
        <v>2</v>
      </c>
      <c r="D6547" t="str">
        <f t="shared" si="102"/>
        <v>CA-2017-132738_OFF-PA-10001752</v>
      </c>
      <c r="E6547" t="str">
        <f>IF(COUNTIF(data1!$D:$D,D6547)=0,"Missing in Data1","Present")</f>
        <v>Present</v>
      </c>
    </row>
    <row r="6548" spans="1:5" x14ac:dyDescent="0.25">
      <c r="A6548" s="2" t="s">
        <v>5158</v>
      </c>
      <c r="B6548" s="2" t="s">
        <v>2048</v>
      </c>
      <c r="C6548" s="2">
        <v>3</v>
      </c>
      <c r="D6548" t="str">
        <f t="shared" si="102"/>
        <v>CA-2017-132934_OFF-BI-10001098</v>
      </c>
      <c r="E6548" t="str">
        <f>IF(COUNTIF(data1!$D:$D,D6548)=0,"Missing in Data1","Present")</f>
        <v>Present</v>
      </c>
    </row>
    <row r="6549" spans="1:5" x14ac:dyDescent="0.25">
      <c r="A6549" s="2" t="s">
        <v>5158</v>
      </c>
      <c r="B6549" s="2" t="s">
        <v>3164</v>
      </c>
      <c r="C6549" s="2">
        <v>5</v>
      </c>
      <c r="D6549" t="str">
        <f t="shared" si="102"/>
        <v>CA-2017-132934_TEC-AC-10000927</v>
      </c>
      <c r="E6549" t="str">
        <f>IF(COUNTIF(data1!$D:$D,D6549)=0,"Missing in Data1","Present")</f>
        <v>Present</v>
      </c>
    </row>
    <row r="6550" spans="1:5" x14ac:dyDescent="0.25">
      <c r="A6550" s="2" t="s">
        <v>5159</v>
      </c>
      <c r="B6550" s="2" t="s">
        <v>165</v>
      </c>
      <c r="C6550" s="2">
        <v>3</v>
      </c>
      <c r="D6550" t="str">
        <f t="shared" si="102"/>
        <v>CA-2017-132955_OFF-BI-10002735</v>
      </c>
      <c r="E6550" t="str">
        <f>IF(COUNTIF(data1!$D:$D,D6550)=0,"Missing in Data1","Present")</f>
        <v>Present</v>
      </c>
    </row>
    <row r="6551" spans="1:5" x14ac:dyDescent="0.25">
      <c r="A6551" s="2" t="s">
        <v>5160</v>
      </c>
      <c r="B6551" s="2" t="s">
        <v>218</v>
      </c>
      <c r="C6551" s="2">
        <v>3</v>
      </c>
      <c r="D6551" t="str">
        <f t="shared" si="102"/>
        <v>CA-2017-132976_OFF-LA-10002043</v>
      </c>
      <c r="E6551" t="str">
        <f>IF(COUNTIF(data1!$D:$D,D6551)=0,"Missing in Data1","Present")</f>
        <v>Present</v>
      </c>
    </row>
    <row r="6552" spans="1:5" x14ac:dyDescent="0.25">
      <c r="A6552" s="2" t="s">
        <v>5160</v>
      </c>
      <c r="B6552" s="2" t="s">
        <v>5161</v>
      </c>
      <c r="C6552" s="2">
        <v>2</v>
      </c>
      <c r="D6552" t="str">
        <f t="shared" si="102"/>
        <v>CA-2017-132976_OFF-PA-10000673</v>
      </c>
      <c r="E6552" t="str">
        <f>IF(COUNTIF(data1!$D:$D,D6552)=0,"Missing in Data1","Present")</f>
        <v>Present</v>
      </c>
    </row>
    <row r="6553" spans="1:5" x14ac:dyDescent="0.25">
      <c r="A6553" s="2" t="s">
        <v>5160</v>
      </c>
      <c r="B6553" s="2" t="s">
        <v>1387</v>
      </c>
      <c r="C6553" s="2">
        <v>4</v>
      </c>
      <c r="D6553" t="str">
        <f t="shared" si="102"/>
        <v>CA-2017-132976_OFF-PA-10004470</v>
      </c>
      <c r="E6553" t="str">
        <f>IF(COUNTIF(data1!$D:$D,D6553)=0,"Missing in Data1","Present")</f>
        <v>Present</v>
      </c>
    </row>
    <row r="6554" spans="1:5" x14ac:dyDescent="0.25">
      <c r="A6554" s="2" t="s">
        <v>5160</v>
      </c>
      <c r="B6554" s="2" t="s">
        <v>381</v>
      </c>
      <c r="C6554" s="2">
        <v>6</v>
      </c>
      <c r="D6554" t="str">
        <f t="shared" si="102"/>
        <v>CA-2017-132976_OFF-ST-10000876</v>
      </c>
      <c r="E6554" t="str">
        <f>IF(COUNTIF(data1!$D:$D,D6554)=0,"Missing in Data1","Present")</f>
        <v>Present</v>
      </c>
    </row>
    <row r="6555" spans="1:5" x14ac:dyDescent="0.25">
      <c r="A6555" s="2" t="s">
        <v>5162</v>
      </c>
      <c r="B6555" s="2" t="s">
        <v>2442</v>
      </c>
      <c r="C6555" s="2">
        <v>9</v>
      </c>
      <c r="D6555" t="str">
        <f t="shared" si="102"/>
        <v>CA-2017-133004_OFF-AP-10002439</v>
      </c>
      <c r="E6555" t="str">
        <f>IF(COUNTIF(data1!$D:$D,D6555)=0,"Missing in Data1","Present")</f>
        <v>Present</v>
      </c>
    </row>
    <row r="6556" spans="1:5" x14ac:dyDescent="0.25">
      <c r="A6556" s="2" t="s">
        <v>5163</v>
      </c>
      <c r="B6556" s="2" t="s">
        <v>661</v>
      </c>
      <c r="C6556" s="2">
        <v>3</v>
      </c>
      <c r="D6556" t="str">
        <f t="shared" si="102"/>
        <v>CA-2017-133046_FUR-FU-10001940</v>
      </c>
      <c r="E6556" t="str">
        <f>IF(COUNTIF(data1!$D:$D,D6556)=0,"Missing in Data1","Present")</f>
        <v>Present</v>
      </c>
    </row>
    <row r="6557" spans="1:5" x14ac:dyDescent="0.25">
      <c r="A6557" s="2" t="s">
        <v>5163</v>
      </c>
      <c r="B6557" s="2" t="s">
        <v>2771</v>
      </c>
      <c r="C6557" s="2">
        <v>2</v>
      </c>
      <c r="D6557" t="str">
        <f t="shared" si="102"/>
        <v>CA-2017-133046_OFF-PA-10002787</v>
      </c>
      <c r="E6557" t="str">
        <f>IF(COUNTIF(data1!$D:$D,D6557)=0,"Missing in Data1","Present")</f>
        <v>Present</v>
      </c>
    </row>
    <row r="6558" spans="1:5" x14ac:dyDescent="0.25">
      <c r="A6558" s="2" t="s">
        <v>5163</v>
      </c>
      <c r="B6558" s="2" t="s">
        <v>957</v>
      </c>
      <c r="C6558" s="2">
        <v>4</v>
      </c>
      <c r="D6558" t="str">
        <f t="shared" si="102"/>
        <v>CA-2017-133046_OFF-PA-10003883</v>
      </c>
      <c r="E6558" t="str">
        <f>IF(COUNTIF(data1!$D:$D,D6558)=0,"Missing in Data1","Present")</f>
        <v>Present</v>
      </c>
    </row>
    <row r="6559" spans="1:5" x14ac:dyDescent="0.25">
      <c r="A6559" s="2" t="s">
        <v>5164</v>
      </c>
      <c r="B6559" s="2" t="s">
        <v>2204</v>
      </c>
      <c r="C6559" s="2">
        <v>2</v>
      </c>
      <c r="D6559" t="str">
        <f t="shared" si="102"/>
        <v>CA-2017-133067_OFF-BI-10002897</v>
      </c>
      <c r="E6559" t="str">
        <f>IF(COUNTIF(data1!$D:$D,D6559)=0,"Missing in Data1","Present")</f>
        <v>Present</v>
      </c>
    </row>
    <row r="6560" spans="1:5" x14ac:dyDescent="0.25">
      <c r="A6560" s="2" t="s">
        <v>5164</v>
      </c>
      <c r="B6560" s="2" t="s">
        <v>2516</v>
      </c>
      <c r="C6560" s="2">
        <v>3</v>
      </c>
      <c r="D6560" t="str">
        <f t="shared" si="102"/>
        <v>CA-2017-133067_OFF-BI-10003694</v>
      </c>
      <c r="E6560" t="str">
        <f>IF(COUNTIF(data1!$D:$D,D6560)=0,"Missing in Data1","Present")</f>
        <v>Present</v>
      </c>
    </row>
    <row r="6561" spans="1:5" x14ac:dyDescent="0.25">
      <c r="A6561" s="2" t="s">
        <v>6826</v>
      </c>
      <c r="B6561" s="2" t="s">
        <v>25</v>
      </c>
      <c r="C6561" s="2">
        <v>7</v>
      </c>
      <c r="D6561" t="str">
        <f t="shared" si="102"/>
        <v>CA-2017-133074_OFF-PA-10004082</v>
      </c>
      <c r="E6561" t="str">
        <f>IF(COUNTIF(data1!$D:$D,D6561)=0,"Missing in Data1","Present")</f>
        <v>Missing in Data1</v>
      </c>
    </row>
    <row r="6562" spans="1:5" x14ac:dyDescent="0.25">
      <c r="A6562" s="2" t="s">
        <v>5165</v>
      </c>
      <c r="B6562" s="2" t="s">
        <v>955</v>
      </c>
      <c r="C6562" s="2">
        <v>7</v>
      </c>
      <c r="D6562" t="str">
        <f t="shared" si="102"/>
        <v>CA-2017-133095_OFF-BI-10002353</v>
      </c>
      <c r="E6562" t="str">
        <f>IF(COUNTIF(data1!$D:$D,D6562)=0,"Missing in Data1","Present")</f>
        <v>Present</v>
      </c>
    </row>
    <row r="6563" spans="1:5" x14ac:dyDescent="0.25">
      <c r="A6563" s="2" t="s">
        <v>5165</v>
      </c>
      <c r="B6563" s="2" t="s">
        <v>276</v>
      </c>
      <c r="C6563" s="2">
        <v>3</v>
      </c>
      <c r="D6563" t="str">
        <f t="shared" si="102"/>
        <v>CA-2017-133095_OFF-BI-10004141</v>
      </c>
      <c r="E6563" t="str">
        <f>IF(COUNTIF(data1!$D:$D,D6563)=0,"Missing in Data1","Present")</f>
        <v>Present</v>
      </c>
    </row>
    <row r="6564" spans="1:5" x14ac:dyDescent="0.25">
      <c r="A6564" s="2" t="s">
        <v>5166</v>
      </c>
      <c r="B6564" s="2" t="s">
        <v>2633</v>
      </c>
      <c r="C6564" s="2">
        <v>4</v>
      </c>
      <c r="D6564" t="str">
        <f t="shared" si="102"/>
        <v>CA-2017-133102_FUR-CH-10002017</v>
      </c>
      <c r="E6564" t="str">
        <f>IF(COUNTIF(data1!$D:$D,D6564)=0,"Missing in Data1","Present")</f>
        <v>Present</v>
      </c>
    </row>
    <row r="6565" spans="1:5" x14ac:dyDescent="0.25">
      <c r="A6565" s="2" t="s">
        <v>5166</v>
      </c>
      <c r="B6565" s="2" t="s">
        <v>2369</v>
      </c>
      <c r="C6565" s="2">
        <v>2</v>
      </c>
      <c r="D6565" t="str">
        <f t="shared" si="102"/>
        <v>CA-2017-133102_FUR-FU-10003247</v>
      </c>
      <c r="E6565" t="str">
        <f>IF(COUNTIF(data1!$D:$D,D6565)=0,"Missing in Data1","Present")</f>
        <v>Present</v>
      </c>
    </row>
    <row r="6566" spans="1:5" x14ac:dyDescent="0.25">
      <c r="A6566" s="2" t="s">
        <v>5166</v>
      </c>
      <c r="B6566" s="2" t="s">
        <v>675</v>
      </c>
      <c r="C6566" s="2">
        <v>4</v>
      </c>
      <c r="D6566" t="str">
        <f t="shared" si="102"/>
        <v>CA-2017-133102_OFF-AP-10001563</v>
      </c>
      <c r="E6566" t="str">
        <f>IF(COUNTIF(data1!$D:$D,D6566)=0,"Missing in Data1","Present")</f>
        <v>Present</v>
      </c>
    </row>
    <row r="6567" spans="1:5" x14ac:dyDescent="0.25">
      <c r="A6567" s="2" t="s">
        <v>5166</v>
      </c>
      <c r="B6567" s="2" t="s">
        <v>1319</v>
      </c>
      <c r="C6567" s="2">
        <v>3</v>
      </c>
      <c r="D6567" t="str">
        <f t="shared" si="102"/>
        <v>CA-2017-133102_OFF-AR-10003183</v>
      </c>
      <c r="E6567" t="str">
        <f>IF(COUNTIF(data1!$D:$D,D6567)=0,"Missing in Data1","Present")</f>
        <v>Present</v>
      </c>
    </row>
    <row r="6568" spans="1:5" x14ac:dyDescent="0.25">
      <c r="A6568" s="2" t="s">
        <v>5166</v>
      </c>
      <c r="B6568" s="2" t="s">
        <v>933</v>
      </c>
      <c r="C6568" s="2">
        <v>2</v>
      </c>
      <c r="D6568" t="str">
        <f t="shared" si="102"/>
        <v>CA-2017-133102_OFF-SU-10000432</v>
      </c>
      <c r="E6568" t="str">
        <f>IF(COUNTIF(data1!$D:$D,D6568)=0,"Missing in Data1","Present")</f>
        <v>Present</v>
      </c>
    </row>
    <row r="6569" spans="1:5" x14ac:dyDescent="0.25">
      <c r="A6569" s="2" t="s">
        <v>5167</v>
      </c>
      <c r="B6569" s="2" t="s">
        <v>347</v>
      </c>
      <c r="C6569" s="2">
        <v>4</v>
      </c>
      <c r="D6569" t="str">
        <f t="shared" si="102"/>
        <v>CA-2017-133207_TEC-PH-10004100</v>
      </c>
      <c r="E6569" t="str">
        <f>IF(COUNTIF(data1!$D:$D,D6569)=0,"Missing in Data1","Present")</f>
        <v>Present</v>
      </c>
    </row>
    <row r="6570" spans="1:5" x14ac:dyDescent="0.25">
      <c r="A6570" s="2" t="s">
        <v>5168</v>
      </c>
      <c r="B6570" s="2" t="s">
        <v>3841</v>
      </c>
      <c r="C6570" s="2">
        <v>5</v>
      </c>
      <c r="D6570" t="str">
        <f t="shared" si="102"/>
        <v>CA-2017-133235_TEC-PH-10002660</v>
      </c>
      <c r="E6570" t="str">
        <f>IF(COUNTIF(data1!$D:$D,D6570)=0,"Missing in Data1","Present")</f>
        <v>Present</v>
      </c>
    </row>
    <row r="6571" spans="1:5" x14ac:dyDescent="0.25">
      <c r="A6571" s="2" t="s">
        <v>5169</v>
      </c>
      <c r="B6571" s="2" t="s">
        <v>678</v>
      </c>
      <c r="C6571" s="2">
        <v>5</v>
      </c>
      <c r="D6571" t="str">
        <f t="shared" si="102"/>
        <v>CA-2017-133249_FUR-FU-10001588</v>
      </c>
      <c r="E6571" t="str">
        <f>IF(COUNTIF(data1!$D:$D,D6571)=0,"Missing in Data1","Present")</f>
        <v>Present</v>
      </c>
    </row>
    <row r="6572" spans="1:5" x14ac:dyDescent="0.25">
      <c r="A6572" s="2" t="s">
        <v>5170</v>
      </c>
      <c r="B6572" s="2" t="s">
        <v>1642</v>
      </c>
      <c r="C6572" s="2">
        <v>4</v>
      </c>
      <c r="D6572" t="str">
        <f t="shared" si="102"/>
        <v>CA-2017-133256_OFF-AR-10003158</v>
      </c>
      <c r="E6572" t="str">
        <f>IF(COUNTIF(data1!$D:$D,D6572)=0,"Missing in Data1","Present")</f>
        <v>Present</v>
      </c>
    </row>
    <row r="6573" spans="1:5" x14ac:dyDescent="0.25">
      <c r="A6573" s="2" t="s">
        <v>5170</v>
      </c>
      <c r="B6573" s="2" t="s">
        <v>144</v>
      </c>
      <c r="C6573" s="2">
        <v>1</v>
      </c>
      <c r="D6573" t="str">
        <f t="shared" si="102"/>
        <v>CA-2017-133256_OFF-PA-10001622</v>
      </c>
      <c r="E6573" t="str">
        <f>IF(COUNTIF(data1!$D:$D,D6573)=0,"Missing in Data1","Present")</f>
        <v>Present</v>
      </c>
    </row>
    <row r="6574" spans="1:5" x14ac:dyDescent="0.25">
      <c r="A6574" s="2" t="s">
        <v>5170</v>
      </c>
      <c r="B6574" s="2" t="s">
        <v>3841</v>
      </c>
      <c r="C6574" s="2">
        <v>8</v>
      </c>
      <c r="D6574" t="str">
        <f t="shared" si="102"/>
        <v>CA-2017-133256_TEC-PH-10002660</v>
      </c>
      <c r="E6574" t="str">
        <f>IF(COUNTIF(data1!$D:$D,D6574)=0,"Missing in Data1","Present")</f>
        <v>Present</v>
      </c>
    </row>
    <row r="6575" spans="1:5" x14ac:dyDescent="0.25">
      <c r="A6575" s="2" t="s">
        <v>5171</v>
      </c>
      <c r="B6575" s="2" t="s">
        <v>606</v>
      </c>
      <c r="C6575" s="2">
        <v>4</v>
      </c>
      <c r="D6575" t="str">
        <f t="shared" si="102"/>
        <v>CA-2017-133263_OFF-BI-10000474</v>
      </c>
      <c r="E6575" t="str">
        <f>IF(COUNTIF(data1!$D:$D,D6575)=0,"Missing in Data1","Present")</f>
        <v>Present</v>
      </c>
    </row>
    <row r="6576" spans="1:5" x14ac:dyDescent="0.25">
      <c r="A6576" s="2" t="s">
        <v>5171</v>
      </c>
      <c r="B6576" s="2" t="s">
        <v>2708</v>
      </c>
      <c r="C6576" s="2">
        <v>1</v>
      </c>
      <c r="D6576" t="str">
        <f t="shared" si="102"/>
        <v>CA-2017-133263_OFF-BI-10001153</v>
      </c>
      <c r="E6576" t="str">
        <f>IF(COUNTIF(data1!$D:$D,D6576)=0,"Missing in Data1","Present")</f>
        <v>Present</v>
      </c>
    </row>
    <row r="6577" spans="1:5" x14ac:dyDescent="0.25">
      <c r="A6577" s="2" t="s">
        <v>5171</v>
      </c>
      <c r="B6577" s="2" t="s">
        <v>567</v>
      </c>
      <c r="C6577" s="2">
        <v>5</v>
      </c>
      <c r="D6577" t="str">
        <f t="shared" si="102"/>
        <v>CA-2017-133263_TEC-CO-10001449</v>
      </c>
      <c r="E6577" t="str">
        <f>IF(COUNTIF(data1!$D:$D,D6577)=0,"Missing in Data1","Present")</f>
        <v>Present</v>
      </c>
    </row>
    <row r="6578" spans="1:5" x14ac:dyDescent="0.25">
      <c r="A6578" s="2" t="s">
        <v>5173</v>
      </c>
      <c r="B6578" s="2" t="s">
        <v>1789</v>
      </c>
      <c r="C6578" s="2">
        <v>5</v>
      </c>
      <c r="D6578" t="str">
        <f t="shared" si="102"/>
        <v>CA-2017-133431_OFF-BI-10000605</v>
      </c>
      <c r="E6578" t="str">
        <f>IF(COUNTIF(data1!$D:$D,D6578)=0,"Missing in Data1","Present")</f>
        <v>Present</v>
      </c>
    </row>
    <row r="6579" spans="1:5" x14ac:dyDescent="0.25">
      <c r="A6579" s="2" t="s">
        <v>5173</v>
      </c>
      <c r="B6579" s="2" t="s">
        <v>1968</v>
      </c>
      <c r="C6579" s="2">
        <v>3</v>
      </c>
      <c r="D6579" t="str">
        <f t="shared" si="102"/>
        <v>CA-2017-133431_OFF-PA-10002615</v>
      </c>
      <c r="E6579" t="str">
        <f>IF(COUNTIF(data1!$D:$D,D6579)=0,"Missing in Data1","Present")</f>
        <v>Present</v>
      </c>
    </row>
    <row r="6580" spans="1:5" x14ac:dyDescent="0.25">
      <c r="A6580" s="2" t="s">
        <v>5174</v>
      </c>
      <c r="B6580" s="2" t="s">
        <v>1075</v>
      </c>
      <c r="C6580" s="2">
        <v>3</v>
      </c>
      <c r="D6580" t="str">
        <f t="shared" si="102"/>
        <v>CA-2017-133487_OFF-AP-10001271</v>
      </c>
      <c r="E6580" t="str">
        <f>IF(COUNTIF(data1!$D:$D,D6580)=0,"Missing in Data1","Present")</f>
        <v>Present</v>
      </c>
    </row>
    <row r="6581" spans="1:5" x14ac:dyDescent="0.25">
      <c r="A6581" s="2" t="s">
        <v>5175</v>
      </c>
      <c r="B6581" s="2" t="s">
        <v>581</v>
      </c>
      <c r="C6581" s="2">
        <v>1</v>
      </c>
      <c r="D6581" t="str">
        <f t="shared" si="102"/>
        <v>CA-2017-133501_OFF-PA-10004888</v>
      </c>
      <c r="E6581" t="str">
        <f>IF(COUNTIF(data1!$D:$D,D6581)=0,"Missing in Data1","Present")</f>
        <v>Present</v>
      </c>
    </row>
    <row r="6582" spans="1:5" x14ac:dyDescent="0.25">
      <c r="A6582" s="2" t="s">
        <v>5176</v>
      </c>
      <c r="B6582" s="2" t="s">
        <v>1087</v>
      </c>
      <c r="C6582" s="2">
        <v>1</v>
      </c>
      <c r="D6582" t="str">
        <f t="shared" si="102"/>
        <v>CA-2017-133620_OFF-ST-10004634</v>
      </c>
      <c r="E6582" t="str">
        <f>IF(COUNTIF(data1!$D:$D,D6582)=0,"Missing in Data1","Present")</f>
        <v>Present</v>
      </c>
    </row>
    <row r="6583" spans="1:5" x14ac:dyDescent="0.25">
      <c r="A6583" s="2" t="s">
        <v>5177</v>
      </c>
      <c r="B6583" s="2" t="s">
        <v>198</v>
      </c>
      <c r="C6583" s="2">
        <v>9</v>
      </c>
      <c r="D6583" t="str">
        <f t="shared" si="102"/>
        <v>CA-2017-133641_OFF-EN-10004955</v>
      </c>
      <c r="E6583" t="str">
        <f>IF(COUNTIF(data1!$D:$D,D6583)=0,"Missing in Data1","Present")</f>
        <v>Present</v>
      </c>
    </row>
    <row r="6584" spans="1:5" x14ac:dyDescent="0.25">
      <c r="A6584" s="2" t="s">
        <v>5178</v>
      </c>
      <c r="B6584" s="2" t="s">
        <v>977</v>
      </c>
      <c r="C6584" s="2">
        <v>3</v>
      </c>
      <c r="D6584" t="str">
        <f t="shared" si="102"/>
        <v>CA-2017-133648_OFF-FA-10004395</v>
      </c>
      <c r="E6584" t="str">
        <f>IF(COUNTIF(data1!$D:$D,D6584)=0,"Missing in Data1","Present")</f>
        <v>Present</v>
      </c>
    </row>
    <row r="6585" spans="1:5" x14ac:dyDescent="0.25">
      <c r="A6585" s="2" t="s">
        <v>5178</v>
      </c>
      <c r="B6585" s="2" t="s">
        <v>86</v>
      </c>
      <c r="C6585" s="2">
        <v>6</v>
      </c>
      <c r="D6585" t="str">
        <f t="shared" si="102"/>
        <v>CA-2017-133648_OFF-LA-10003923</v>
      </c>
      <c r="E6585" t="str">
        <f>IF(COUNTIF(data1!$D:$D,D6585)=0,"Missing in Data1","Present")</f>
        <v>Missing in Data1</v>
      </c>
    </row>
    <row r="6586" spans="1:5" x14ac:dyDescent="0.25">
      <c r="A6586" s="2" t="s">
        <v>5179</v>
      </c>
      <c r="B6586" s="2" t="s">
        <v>891</v>
      </c>
      <c r="C6586" s="2">
        <v>3</v>
      </c>
      <c r="D6586" t="str">
        <f t="shared" si="102"/>
        <v>CA-2017-133718_OFF-BI-10003429</v>
      </c>
      <c r="E6586" t="str">
        <f>IF(COUNTIF(data1!$D:$D,D6586)=0,"Missing in Data1","Present")</f>
        <v>Present</v>
      </c>
    </row>
    <row r="6587" spans="1:5" x14ac:dyDescent="0.25">
      <c r="A6587" s="2" t="s">
        <v>5179</v>
      </c>
      <c r="B6587" s="2" t="s">
        <v>1085</v>
      </c>
      <c r="C6587" s="2">
        <v>9</v>
      </c>
      <c r="D6587" t="str">
        <f t="shared" si="102"/>
        <v>CA-2017-133718_OFF-PA-10002689</v>
      </c>
      <c r="E6587" t="str">
        <f>IF(COUNTIF(data1!$D:$D,D6587)=0,"Missing in Data1","Present")</f>
        <v>Present</v>
      </c>
    </row>
    <row r="6588" spans="1:5" x14ac:dyDescent="0.25">
      <c r="A6588" s="2" t="s">
        <v>5180</v>
      </c>
      <c r="B6588" s="2" t="s">
        <v>1014</v>
      </c>
      <c r="C6588" s="2">
        <v>2</v>
      </c>
      <c r="D6588" t="str">
        <f t="shared" si="102"/>
        <v>CA-2017-133823_OFF-BI-10000962</v>
      </c>
      <c r="E6588" t="str">
        <f>IF(COUNTIF(data1!$D:$D,D6588)=0,"Missing in Data1","Present")</f>
        <v>Present</v>
      </c>
    </row>
    <row r="6589" spans="1:5" x14ac:dyDescent="0.25">
      <c r="A6589" s="2" t="s">
        <v>5180</v>
      </c>
      <c r="B6589" s="2" t="s">
        <v>3076</v>
      </c>
      <c r="C6589" s="2">
        <v>3</v>
      </c>
      <c r="D6589" t="str">
        <f t="shared" si="102"/>
        <v>CA-2017-133823_OFF-LA-10004545</v>
      </c>
      <c r="E6589" t="str">
        <f>IF(COUNTIF(data1!$D:$D,D6589)=0,"Missing in Data1","Present")</f>
        <v>Present</v>
      </c>
    </row>
    <row r="6590" spans="1:5" x14ac:dyDescent="0.25">
      <c r="A6590" s="2" t="s">
        <v>5180</v>
      </c>
      <c r="B6590" s="2" t="s">
        <v>3976</v>
      </c>
      <c r="C6590" s="2">
        <v>6</v>
      </c>
      <c r="D6590" t="str">
        <f t="shared" si="102"/>
        <v>CA-2017-133823_OFF-PA-10002870</v>
      </c>
      <c r="E6590" t="str">
        <f>IF(COUNTIF(data1!$D:$D,D6590)=0,"Missing in Data1","Present")</f>
        <v>Present</v>
      </c>
    </row>
    <row r="6591" spans="1:5" x14ac:dyDescent="0.25">
      <c r="A6591" s="2" t="s">
        <v>5181</v>
      </c>
      <c r="B6591" s="2" t="s">
        <v>1078</v>
      </c>
      <c r="C6591" s="2">
        <v>6</v>
      </c>
      <c r="D6591" t="str">
        <f t="shared" si="102"/>
        <v>CA-2017-133865_TEC-CO-10001046</v>
      </c>
      <c r="E6591" t="str">
        <f>IF(COUNTIF(data1!$D:$D,D6591)=0,"Missing in Data1","Present")</f>
        <v>Present</v>
      </c>
    </row>
    <row r="6592" spans="1:5" x14ac:dyDescent="0.25">
      <c r="A6592" s="2" t="s">
        <v>5182</v>
      </c>
      <c r="B6592" s="2" t="s">
        <v>1369</v>
      </c>
      <c r="C6592" s="2">
        <v>4</v>
      </c>
      <c r="D6592" t="str">
        <f t="shared" si="102"/>
        <v>CA-2017-133928_OFF-BI-10001525</v>
      </c>
      <c r="E6592" t="str">
        <f>IF(COUNTIF(data1!$D:$D,D6592)=0,"Missing in Data1","Present")</f>
        <v>Present</v>
      </c>
    </row>
    <row r="6593" spans="1:5" x14ac:dyDescent="0.25">
      <c r="A6593" s="2" t="s">
        <v>5183</v>
      </c>
      <c r="B6593" s="2" t="s">
        <v>2543</v>
      </c>
      <c r="C6593" s="2">
        <v>3</v>
      </c>
      <c r="D6593" t="str">
        <f t="shared" si="102"/>
        <v>CA-2017-134096_OFF-BI-10004002</v>
      </c>
      <c r="E6593" t="str">
        <f>IF(COUNTIF(data1!$D:$D,D6593)=0,"Missing in Data1","Present")</f>
        <v>Present</v>
      </c>
    </row>
    <row r="6594" spans="1:5" x14ac:dyDescent="0.25">
      <c r="A6594" s="2" t="s">
        <v>5183</v>
      </c>
      <c r="B6594" s="2" t="s">
        <v>1633</v>
      </c>
      <c r="C6594" s="2">
        <v>5</v>
      </c>
      <c r="D6594" t="str">
        <f t="shared" si="102"/>
        <v>CA-2017-134096_TEC-PH-10000526</v>
      </c>
      <c r="E6594" t="str">
        <f>IF(COUNTIF(data1!$D:$D,D6594)=0,"Missing in Data1","Present")</f>
        <v>Present</v>
      </c>
    </row>
    <row r="6595" spans="1:5" x14ac:dyDescent="0.25">
      <c r="A6595" s="2" t="s">
        <v>5184</v>
      </c>
      <c r="B6595" s="2" t="s">
        <v>2192</v>
      </c>
      <c r="C6595" s="2">
        <v>3</v>
      </c>
      <c r="D6595" t="str">
        <f t="shared" ref="D6595:D6658" si="103">A6595&amp;"_"&amp;B6595</f>
        <v>CA-2017-134152_OFF-AR-10004062</v>
      </c>
      <c r="E6595" t="str">
        <f>IF(COUNTIF(data1!$D:$D,D6595)=0,"Missing in Data1","Present")</f>
        <v>Present</v>
      </c>
    </row>
    <row r="6596" spans="1:5" x14ac:dyDescent="0.25">
      <c r="A6596" s="2" t="s">
        <v>5184</v>
      </c>
      <c r="B6596" s="2" t="s">
        <v>676</v>
      </c>
      <c r="C6596" s="2">
        <v>6</v>
      </c>
      <c r="D6596" t="str">
        <f t="shared" si="103"/>
        <v>CA-2017-134152_TEC-AC-10004510</v>
      </c>
      <c r="E6596" t="str">
        <f>IF(COUNTIF(data1!$D:$D,D6596)=0,"Missing in Data1","Present")</f>
        <v>Present</v>
      </c>
    </row>
    <row r="6597" spans="1:5" x14ac:dyDescent="0.25">
      <c r="A6597" s="2" t="s">
        <v>5185</v>
      </c>
      <c r="B6597" s="2" t="s">
        <v>2301</v>
      </c>
      <c r="C6597" s="2">
        <v>4</v>
      </c>
      <c r="D6597" t="str">
        <f t="shared" si="103"/>
        <v>CA-2017-134173_OFF-PA-10004355</v>
      </c>
      <c r="E6597" t="str">
        <f>IF(COUNTIF(data1!$D:$D,D6597)=0,"Missing in Data1","Present")</f>
        <v>Present</v>
      </c>
    </row>
    <row r="6598" spans="1:5" x14ac:dyDescent="0.25">
      <c r="A6598" s="2" t="s">
        <v>5186</v>
      </c>
      <c r="B6598" s="2" t="s">
        <v>1492</v>
      </c>
      <c r="C6598" s="2">
        <v>2</v>
      </c>
      <c r="D6598" t="str">
        <f t="shared" si="103"/>
        <v>CA-2017-134194_OFF-AR-10001615</v>
      </c>
      <c r="E6598" t="str">
        <f>IF(COUNTIF(data1!$D:$D,D6598)=0,"Missing in Data1","Present")</f>
        <v>Present</v>
      </c>
    </row>
    <row r="6599" spans="1:5" x14ac:dyDescent="0.25">
      <c r="A6599" s="2" t="s">
        <v>5186</v>
      </c>
      <c r="B6599" s="2" t="s">
        <v>301</v>
      </c>
      <c r="C6599" s="2">
        <v>3</v>
      </c>
      <c r="D6599" t="str">
        <f t="shared" si="103"/>
        <v>CA-2017-134194_OFF-BI-10001116</v>
      </c>
      <c r="E6599" t="str">
        <f>IF(COUNTIF(data1!$D:$D,D6599)=0,"Missing in Data1","Present")</f>
        <v>Present</v>
      </c>
    </row>
    <row r="6600" spans="1:5" x14ac:dyDescent="0.25">
      <c r="A6600" s="2" t="s">
        <v>5186</v>
      </c>
      <c r="B6600" s="2" t="s">
        <v>5</v>
      </c>
      <c r="C6600" s="2">
        <v>5</v>
      </c>
      <c r="D6600" t="str">
        <f t="shared" si="103"/>
        <v>CA-2017-134194_OFF-BI-10001597</v>
      </c>
      <c r="E6600" t="str">
        <f>IF(COUNTIF(data1!$D:$D,D6600)=0,"Missing in Data1","Present")</f>
        <v>Present</v>
      </c>
    </row>
    <row r="6601" spans="1:5" x14ac:dyDescent="0.25">
      <c r="A6601" s="2" t="s">
        <v>5186</v>
      </c>
      <c r="B6601" s="2" t="s">
        <v>229</v>
      </c>
      <c r="C6601" s="2">
        <v>9</v>
      </c>
      <c r="D6601" t="str">
        <f t="shared" si="103"/>
        <v>CA-2017-134194_OFF-BI-10003684</v>
      </c>
      <c r="E6601" t="str">
        <f>IF(COUNTIF(data1!$D:$D,D6601)=0,"Missing in Data1","Present")</f>
        <v>Missing in Data1</v>
      </c>
    </row>
    <row r="6602" spans="1:5" x14ac:dyDescent="0.25">
      <c r="A6602" s="2" t="s">
        <v>5186</v>
      </c>
      <c r="B6602" s="2" t="s">
        <v>3376</v>
      </c>
      <c r="C6602" s="2">
        <v>7</v>
      </c>
      <c r="D6602" t="str">
        <f t="shared" si="103"/>
        <v>CA-2017-134194_OFF-SU-10000946</v>
      </c>
      <c r="E6602" t="str">
        <f>IF(COUNTIF(data1!$D:$D,D6602)=0,"Missing in Data1","Present")</f>
        <v>Present</v>
      </c>
    </row>
    <row r="6603" spans="1:5" x14ac:dyDescent="0.25">
      <c r="A6603" s="2" t="s">
        <v>5187</v>
      </c>
      <c r="B6603" s="2" t="s">
        <v>11</v>
      </c>
      <c r="C6603" s="2">
        <v>3</v>
      </c>
      <c r="D6603" t="str">
        <f t="shared" si="103"/>
        <v>CA-2017-134285_OFF-FA-10000611</v>
      </c>
      <c r="E6603" t="str">
        <f>IF(COUNTIF(data1!$D:$D,D6603)=0,"Missing in Data1","Present")</f>
        <v>Present</v>
      </c>
    </row>
    <row r="6604" spans="1:5" x14ac:dyDescent="0.25">
      <c r="A6604" s="2" t="s">
        <v>5187</v>
      </c>
      <c r="B6604" s="2" t="s">
        <v>1219</v>
      </c>
      <c r="C6604" s="2">
        <v>3</v>
      </c>
      <c r="D6604" t="str">
        <f t="shared" si="103"/>
        <v>CA-2017-134285_OFF-PA-10000304</v>
      </c>
      <c r="E6604" t="str">
        <f>IF(COUNTIF(data1!$D:$D,D6604)=0,"Missing in Data1","Present")</f>
        <v>Present</v>
      </c>
    </row>
    <row r="6605" spans="1:5" x14ac:dyDescent="0.25">
      <c r="A6605" s="2" t="s">
        <v>5188</v>
      </c>
      <c r="B6605" s="2" t="s">
        <v>333</v>
      </c>
      <c r="C6605" s="2">
        <v>2</v>
      </c>
      <c r="D6605" t="str">
        <f t="shared" si="103"/>
        <v>CA-2017-134306_OFF-AR-10001374</v>
      </c>
      <c r="E6605" t="str">
        <f>IF(COUNTIF(data1!$D:$D,D6605)=0,"Missing in Data1","Present")</f>
        <v>Present</v>
      </c>
    </row>
    <row r="6606" spans="1:5" x14ac:dyDescent="0.25">
      <c r="A6606" s="2" t="s">
        <v>5188</v>
      </c>
      <c r="B6606" s="2" t="s">
        <v>950</v>
      </c>
      <c r="C6606" s="2">
        <v>3</v>
      </c>
      <c r="D6606" t="str">
        <f t="shared" si="103"/>
        <v>CA-2017-134306_OFF-AR-10004027</v>
      </c>
      <c r="E6606" t="str">
        <f>IF(COUNTIF(data1!$D:$D,D6606)=0,"Missing in Data1","Present")</f>
        <v>Present</v>
      </c>
    </row>
    <row r="6607" spans="1:5" x14ac:dyDescent="0.25">
      <c r="A6607" s="2" t="s">
        <v>5188</v>
      </c>
      <c r="B6607" s="2" t="s">
        <v>2455</v>
      </c>
      <c r="C6607" s="2">
        <v>2</v>
      </c>
      <c r="D6607" t="str">
        <f t="shared" si="103"/>
        <v>CA-2017-134306_OFF-PA-10000249</v>
      </c>
      <c r="E6607" t="str">
        <f>IF(COUNTIF(data1!$D:$D,D6607)=0,"Missing in Data1","Present")</f>
        <v>Present</v>
      </c>
    </row>
    <row r="6608" spans="1:5" x14ac:dyDescent="0.25">
      <c r="A6608" s="2" t="s">
        <v>5189</v>
      </c>
      <c r="B6608" s="2" t="s">
        <v>199</v>
      </c>
      <c r="C6608" s="2">
        <v>2</v>
      </c>
      <c r="D6608" t="str">
        <f t="shared" si="103"/>
        <v>CA-2017-134404_TEC-PH-10000576</v>
      </c>
      <c r="E6608" t="str">
        <f>IF(COUNTIF(data1!$D:$D,D6608)=0,"Missing in Data1","Present")</f>
        <v>Present</v>
      </c>
    </row>
    <row r="6609" spans="1:5" x14ac:dyDescent="0.25">
      <c r="A6609" s="2" t="s">
        <v>5190</v>
      </c>
      <c r="B6609" s="2" t="s">
        <v>1190</v>
      </c>
      <c r="C6609" s="2">
        <v>3</v>
      </c>
      <c r="D6609" t="str">
        <f t="shared" si="103"/>
        <v>CA-2017-134418_OFF-AR-10004441</v>
      </c>
      <c r="E6609" t="str">
        <f>IF(COUNTIF(data1!$D:$D,D6609)=0,"Missing in Data1","Present")</f>
        <v>Present</v>
      </c>
    </row>
    <row r="6610" spans="1:5" x14ac:dyDescent="0.25">
      <c r="A6610" s="2" t="s">
        <v>5191</v>
      </c>
      <c r="B6610" s="2" t="s">
        <v>25</v>
      </c>
      <c r="C6610" s="2">
        <v>2</v>
      </c>
      <c r="D6610" t="str">
        <f t="shared" si="103"/>
        <v>CA-2017-134439_OFF-PA-10004082</v>
      </c>
      <c r="E6610" t="str">
        <f>IF(COUNTIF(data1!$D:$D,D6610)=0,"Missing in Data1","Present")</f>
        <v>Present</v>
      </c>
    </row>
    <row r="6611" spans="1:5" x14ac:dyDescent="0.25">
      <c r="A6611" s="2" t="s">
        <v>5192</v>
      </c>
      <c r="B6611" s="2" t="s">
        <v>373</v>
      </c>
      <c r="C6611" s="2">
        <v>3</v>
      </c>
      <c r="D6611" t="str">
        <f t="shared" si="103"/>
        <v>CA-2017-134495_FUR-CH-10003774</v>
      </c>
      <c r="E6611" t="str">
        <f>IF(COUNTIF(data1!$D:$D,D6611)=0,"Missing in Data1","Present")</f>
        <v>Present</v>
      </c>
    </row>
    <row r="6612" spans="1:5" x14ac:dyDescent="0.25">
      <c r="A6612" s="2" t="s">
        <v>5192</v>
      </c>
      <c r="B6612" s="2" t="s">
        <v>2910</v>
      </c>
      <c r="C6612" s="2">
        <v>3</v>
      </c>
      <c r="D6612" t="str">
        <f t="shared" si="103"/>
        <v>CA-2017-134495_OFF-AP-10002222</v>
      </c>
      <c r="E6612" t="str">
        <f>IF(COUNTIF(data1!$D:$D,D6612)=0,"Missing in Data1","Present")</f>
        <v>Present</v>
      </c>
    </row>
    <row r="6613" spans="1:5" x14ac:dyDescent="0.25">
      <c r="A6613" s="2" t="s">
        <v>5192</v>
      </c>
      <c r="B6613" s="2" t="s">
        <v>379</v>
      </c>
      <c r="C6613" s="2">
        <v>3</v>
      </c>
      <c r="D6613" t="str">
        <f t="shared" si="103"/>
        <v>CA-2017-134495_OFF-LA-10000262</v>
      </c>
      <c r="E6613" t="str">
        <f>IF(COUNTIF(data1!$D:$D,D6613)=0,"Missing in Data1","Present")</f>
        <v>Present</v>
      </c>
    </row>
    <row r="6614" spans="1:5" x14ac:dyDescent="0.25">
      <c r="A6614" s="2" t="s">
        <v>5192</v>
      </c>
      <c r="B6614" s="2" t="s">
        <v>1466</v>
      </c>
      <c r="C6614" s="2">
        <v>3</v>
      </c>
      <c r="D6614" t="str">
        <f t="shared" si="103"/>
        <v>CA-2017-134495_TEC-PH-10004897</v>
      </c>
      <c r="E6614" t="str">
        <f>IF(COUNTIF(data1!$D:$D,D6614)=0,"Missing in Data1","Present")</f>
        <v>Present</v>
      </c>
    </row>
    <row r="6615" spans="1:5" x14ac:dyDescent="0.25">
      <c r="A6615" s="2" t="s">
        <v>5193</v>
      </c>
      <c r="B6615" s="2" t="s">
        <v>1852</v>
      </c>
      <c r="C6615" s="2">
        <v>3</v>
      </c>
      <c r="D6615" t="str">
        <f t="shared" si="103"/>
        <v>CA-2017-134565_FUR-BO-10001519</v>
      </c>
      <c r="E6615" t="str">
        <f>IF(COUNTIF(data1!$D:$D,D6615)=0,"Missing in Data1","Present")</f>
        <v>Present</v>
      </c>
    </row>
    <row r="6616" spans="1:5" x14ac:dyDescent="0.25">
      <c r="A6616" s="2" t="s">
        <v>5193</v>
      </c>
      <c r="B6616" s="2" t="s">
        <v>1795</v>
      </c>
      <c r="C6616" s="2">
        <v>6</v>
      </c>
      <c r="D6616" t="str">
        <f t="shared" si="103"/>
        <v>CA-2017-134565_OFF-BI-10001759</v>
      </c>
      <c r="E6616" t="str">
        <f>IF(COUNTIF(data1!$D:$D,D6616)=0,"Missing in Data1","Present")</f>
        <v>Present</v>
      </c>
    </row>
    <row r="6617" spans="1:5" x14ac:dyDescent="0.25">
      <c r="A6617" s="2" t="s">
        <v>5193</v>
      </c>
      <c r="B6617" s="2" t="s">
        <v>3954</v>
      </c>
      <c r="C6617" s="2">
        <v>2</v>
      </c>
      <c r="D6617" t="str">
        <f t="shared" si="103"/>
        <v>CA-2017-134565_OFF-PA-10004243</v>
      </c>
      <c r="E6617" t="str">
        <f>IF(COUNTIF(data1!$D:$D,D6617)=0,"Missing in Data1","Present")</f>
        <v>Present</v>
      </c>
    </row>
    <row r="6618" spans="1:5" x14ac:dyDescent="0.25">
      <c r="A6618" s="2" t="s">
        <v>5193</v>
      </c>
      <c r="B6618" s="2" t="s">
        <v>2460</v>
      </c>
      <c r="C6618" s="2">
        <v>2</v>
      </c>
      <c r="D6618" t="str">
        <f t="shared" si="103"/>
        <v>CA-2017-134565_OFF-ST-10004804</v>
      </c>
      <c r="E6618" t="str">
        <f>IF(COUNTIF(data1!$D:$D,D6618)=0,"Missing in Data1","Present")</f>
        <v>Present</v>
      </c>
    </row>
    <row r="6619" spans="1:5" x14ac:dyDescent="0.25">
      <c r="A6619" s="2" t="s">
        <v>5193</v>
      </c>
      <c r="B6619" s="2" t="s">
        <v>5194</v>
      </c>
      <c r="C6619" s="2">
        <v>5</v>
      </c>
      <c r="D6619" t="str">
        <f t="shared" si="103"/>
        <v>CA-2017-134565_TEC-MA-10001570</v>
      </c>
      <c r="E6619" t="str">
        <f>IF(COUNTIF(data1!$D:$D,D6619)=0,"Missing in Data1","Present")</f>
        <v>Present</v>
      </c>
    </row>
    <row r="6620" spans="1:5" x14ac:dyDescent="0.25">
      <c r="A6620" s="2" t="s">
        <v>6827</v>
      </c>
      <c r="B6620" s="2" t="s">
        <v>652</v>
      </c>
      <c r="C6620" s="2">
        <v>2</v>
      </c>
      <c r="D6620" t="str">
        <f t="shared" si="103"/>
        <v>CA-2017-134607_OFF-ST-10002214</v>
      </c>
      <c r="E6620" t="str">
        <f>IF(COUNTIF(data1!$D:$D,D6620)=0,"Missing in Data1","Present")</f>
        <v>Missing in Data1</v>
      </c>
    </row>
    <row r="6621" spans="1:5" x14ac:dyDescent="0.25">
      <c r="A6621" s="2" t="s">
        <v>5195</v>
      </c>
      <c r="B6621" s="2" t="s">
        <v>2264</v>
      </c>
      <c r="C6621" s="2">
        <v>3</v>
      </c>
      <c r="D6621" t="str">
        <f t="shared" si="103"/>
        <v>CA-2017-134635_OFF-PA-10002254</v>
      </c>
      <c r="E6621" t="str">
        <f>IF(COUNTIF(data1!$D:$D,D6621)=0,"Missing in Data1","Present")</f>
        <v>Present</v>
      </c>
    </row>
    <row r="6622" spans="1:5" x14ac:dyDescent="0.25">
      <c r="A6622" s="2" t="s">
        <v>5196</v>
      </c>
      <c r="B6622" s="2" t="s">
        <v>2227</v>
      </c>
      <c r="C6622" s="2">
        <v>7</v>
      </c>
      <c r="D6622" t="str">
        <f t="shared" si="103"/>
        <v>CA-2017-134649_OFF-AR-10001547</v>
      </c>
      <c r="E6622" t="str">
        <f>IF(COUNTIF(data1!$D:$D,D6622)=0,"Missing in Data1","Present")</f>
        <v>Present</v>
      </c>
    </row>
    <row r="6623" spans="1:5" x14ac:dyDescent="0.25">
      <c r="A6623" s="2" t="s">
        <v>5196</v>
      </c>
      <c r="B6623" s="2" t="s">
        <v>1605</v>
      </c>
      <c r="C6623" s="2">
        <v>2</v>
      </c>
      <c r="D6623" t="str">
        <f t="shared" si="103"/>
        <v>CA-2017-134649_OFF-BI-10001890</v>
      </c>
      <c r="E6623" t="str">
        <f>IF(COUNTIF(data1!$D:$D,D6623)=0,"Missing in Data1","Present")</f>
        <v>Present</v>
      </c>
    </row>
    <row r="6624" spans="1:5" x14ac:dyDescent="0.25">
      <c r="A6624" s="2" t="s">
        <v>5197</v>
      </c>
      <c r="B6624" s="2" t="s">
        <v>139</v>
      </c>
      <c r="C6624" s="2">
        <v>2</v>
      </c>
      <c r="D6624" t="str">
        <f t="shared" si="103"/>
        <v>CA-2017-134796_TEC-PH-10003505</v>
      </c>
      <c r="E6624" t="str">
        <f>IF(COUNTIF(data1!$D:$D,D6624)=0,"Missing in Data1","Present")</f>
        <v>Present</v>
      </c>
    </row>
    <row r="6625" spans="1:5" x14ac:dyDescent="0.25">
      <c r="A6625" s="2" t="s">
        <v>5198</v>
      </c>
      <c r="B6625" s="2" t="s">
        <v>976</v>
      </c>
      <c r="C6625" s="2">
        <v>3</v>
      </c>
      <c r="D6625" t="str">
        <f t="shared" si="103"/>
        <v>CA-2017-134810_FUR-CH-10001270</v>
      </c>
      <c r="E6625" t="str">
        <f>IF(COUNTIF(data1!$D:$D,D6625)=0,"Missing in Data1","Present")</f>
        <v>Present</v>
      </c>
    </row>
    <row r="6626" spans="1:5" x14ac:dyDescent="0.25">
      <c r="A6626" s="2" t="s">
        <v>5198</v>
      </c>
      <c r="B6626" s="2" t="s">
        <v>531</v>
      </c>
      <c r="C6626" s="2">
        <v>3</v>
      </c>
      <c r="D6626" t="str">
        <f t="shared" si="103"/>
        <v>CA-2017-134810_OFF-EN-10002504</v>
      </c>
      <c r="E6626" t="str">
        <f>IF(COUNTIF(data1!$D:$D,D6626)=0,"Missing in Data1","Present")</f>
        <v>Present</v>
      </c>
    </row>
    <row r="6627" spans="1:5" x14ac:dyDescent="0.25">
      <c r="A6627" s="2" t="s">
        <v>5199</v>
      </c>
      <c r="B6627" s="2" t="s">
        <v>278</v>
      </c>
      <c r="C6627" s="2">
        <v>3</v>
      </c>
      <c r="D6627" t="str">
        <f t="shared" si="103"/>
        <v>CA-2017-134838_FUR-FU-10004018</v>
      </c>
      <c r="E6627" t="str">
        <f>IF(COUNTIF(data1!$D:$D,D6627)=0,"Missing in Data1","Present")</f>
        <v>Present</v>
      </c>
    </row>
    <row r="6628" spans="1:5" x14ac:dyDescent="0.25">
      <c r="A6628" s="2" t="s">
        <v>5199</v>
      </c>
      <c r="B6628" s="2" t="s">
        <v>95</v>
      </c>
      <c r="C6628" s="2">
        <v>3</v>
      </c>
      <c r="D6628" t="str">
        <f t="shared" si="103"/>
        <v>CA-2017-134838_OFF-AR-10000634</v>
      </c>
      <c r="E6628" t="str">
        <f>IF(COUNTIF(data1!$D:$D,D6628)=0,"Missing in Data1","Present")</f>
        <v>Present</v>
      </c>
    </row>
    <row r="6629" spans="1:5" x14ac:dyDescent="0.25">
      <c r="A6629" s="2" t="s">
        <v>5200</v>
      </c>
      <c r="B6629" s="2" t="s">
        <v>1412</v>
      </c>
      <c r="C6629" s="2">
        <v>5</v>
      </c>
      <c r="D6629" t="str">
        <f t="shared" si="103"/>
        <v>CA-2017-134845_OFF-BI-10000773</v>
      </c>
      <c r="E6629" t="str">
        <f>IF(COUNTIF(data1!$D:$D,D6629)=0,"Missing in Data1","Present")</f>
        <v>Present</v>
      </c>
    </row>
    <row r="6630" spans="1:5" x14ac:dyDescent="0.25">
      <c r="A6630" s="2" t="s">
        <v>5200</v>
      </c>
      <c r="B6630" s="2" t="s">
        <v>1413</v>
      </c>
      <c r="C6630" s="2">
        <v>2</v>
      </c>
      <c r="D6630" t="str">
        <f t="shared" si="103"/>
        <v>CA-2017-134845_OFF-BI-10001543</v>
      </c>
      <c r="E6630" t="str">
        <f>IF(COUNTIF(data1!$D:$D,D6630)=0,"Missing in Data1","Present")</f>
        <v>Present</v>
      </c>
    </row>
    <row r="6631" spans="1:5" x14ac:dyDescent="0.25">
      <c r="A6631" s="2" t="s">
        <v>5200</v>
      </c>
      <c r="B6631" s="2" t="s">
        <v>1478</v>
      </c>
      <c r="C6631" s="2">
        <v>6</v>
      </c>
      <c r="D6631" t="str">
        <f t="shared" si="103"/>
        <v>CA-2017-134845_OFF-BI-10003355</v>
      </c>
      <c r="E6631" t="str">
        <f>IF(COUNTIF(data1!$D:$D,D6631)=0,"Missing in Data1","Present")</f>
        <v>Present</v>
      </c>
    </row>
    <row r="6632" spans="1:5" x14ac:dyDescent="0.25">
      <c r="A6632" s="2" t="s">
        <v>5200</v>
      </c>
      <c r="B6632" s="2" t="s">
        <v>572</v>
      </c>
      <c r="C6632" s="2">
        <v>4</v>
      </c>
      <c r="D6632" t="str">
        <f t="shared" si="103"/>
        <v>CA-2017-134845_OFF-PA-10002005</v>
      </c>
      <c r="E6632" t="str">
        <f>IF(COUNTIF(data1!$D:$D,D6632)=0,"Missing in Data1","Present")</f>
        <v>Present</v>
      </c>
    </row>
    <row r="6633" spans="1:5" x14ac:dyDescent="0.25">
      <c r="A6633" s="2" t="s">
        <v>5200</v>
      </c>
      <c r="B6633" s="2" t="s">
        <v>1191</v>
      </c>
      <c r="C6633" s="2">
        <v>5</v>
      </c>
      <c r="D6633" t="str">
        <f t="shared" si="103"/>
        <v>CA-2017-134845_TEC-MA-10000822</v>
      </c>
      <c r="E6633" t="str">
        <f>IF(COUNTIF(data1!$D:$D,D6633)=0,"Missing in Data1","Present")</f>
        <v>Present</v>
      </c>
    </row>
    <row r="6634" spans="1:5" x14ac:dyDescent="0.25">
      <c r="A6634" s="2" t="s">
        <v>5201</v>
      </c>
      <c r="B6634" s="2" t="s">
        <v>3791</v>
      </c>
      <c r="C6634" s="2">
        <v>1</v>
      </c>
      <c r="D6634" t="str">
        <f t="shared" si="103"/>
        <v>CA-2017-134880_OFF-PA-10004039</v>
      </c>
      <c r="E6634" t="str">
        <f>IF(COUNTIF(data1!$D:$D,D6634)=0,"Missing in Data1","Present")</f>
        <v>Present</v>
      </c>
    </row>
    <row r="6635" spans="1:5" x14ac:dyDescent="0.25">
      <c r="A6635" s="2" t="s">
        <v>5202</v>
      </c>
      <c r="B6635" s="2" t="s">
        <v>1674</v>
      </c>
      <c r="C6635" s="2">
        <v>2</v>
      </c>
      <c r="D6635" t="str">
        <f t="shared" si="103"/>
        <v>CA-2017-134915_FUR-CH-10004875</v>
      </c>
      <c r="E6635" t="str">
        <f>IF(COUNTIF(data1!$D:$D,D6635)=0,"Missing in Data1","Present")</f>
        <v>Present</v>
      </c>
    </row>
    <row r="6636" spans="1:5" x14ac:dyDescent="0.25">
      <c r="A6636" s="2" t="s">
        <v>5202</v>
      </c>
      <c r="B6636" s="2" t="s">
        <v>2896</v>
      </c>
      <c r="C6636" s="2">
        <v>2</v>
      </c>
      <c r="D6636" t="str">
        <f t="shared" si="103"/>
        <v>CA-2017-134915_FUR-FU-10000305</v>
      </c>
      <c r="E6636" t="str">
        <f>IF(COUNTIF(data1!$D:$D,D6636)=0,"Missing in Data1","Present")</f>
        <v>Present</v>
      </c>
    </row>
    <row r="6637" spans="1:5" x14ac:dyDescent="0.25">
      <c r="A6637" s="2" t="s">
        <v>5202</v>
      </c>
      <c r="B6637" s="2" t="s">
        <v>2415</v>
      </c>
      <c r="C6637" s="2">
        <v>5</v>
      </c>
      <c r="D6637" t="str">
        <f t="shared" si="103"/>
        <v>CA-2017-134915_OFF-PA-10002160</v>
      </c>
      <c r="E6637" t="str">
        <f>IF(COUNTIF(data1!$D:$D,D6637)=0,"Missing in Data1","Present")</f>
        <v>Present</v>
      </c>
    </row>
    <row r="6638" spans="1:5" x14ac:dyDescent="0.25">
      <c r="A6638" s="2" t="s">
        <v>5202</v>
      </c>
      <c r="B6638" s="2" t="s">
        <v>1097</v>
      </c>
      <c r="C6638" s="2">
        <v>4</v>
      </c>
      <c r="D6638" t="str">
        <f t="shared" si="103"/>
        <v>CA-2017-134915_TEC-AC-10001266</v>
      </c>
      <c r="E6638" t="str">
        <f>IF(COUNTIF(data1!$D:$D,D6638)=0,"Missing in Data1","Present")</f>
        <v>Present</v>
      </c>
    </row>
    <row r="6639" spans="1:5" x14ac:dyDescent="0.25">
      <c r="A6639" s="2" t="s">
        <v>5202</v>
      </c>
      <c r="B6639" s="2" t="s">
        <v>1918</v>
      </c>
      <c r="C6639" s="2">
        <v>2</v>
      </c>
      <c r="D6639" t="str">
        <f t="shared" si="103"/>
        <v>CA-2017-134915_TEC-PH-10000347</v>
      </c>
      <c r="E6639" t="str">
        <f>IF(COUNTIF(data1!$D:$D,D6639)=0,"Missing in Data1","Present")</f>
        <v>Present</v>
      </c>
    </row>
    <row r="6640" spans="1:5" x14ac:dyDescent="0.25">
      <c r="A6640" s="2" t="s">
        <v>5202</v>
      </c>
      <c r="B6640" s="2" t="s">
        <v>984</v>
      </c>
      <c r="C6640" s="2">
        <v>2</v>
      </c>
      <c r="D6640" t="str">
        <f t="shared" si="103"/>
        <v>CA-2017-134915_TEC-PH-10001459</v>
      </c>
      <c r="E6640" t="str">
        <f>IF(COUNTIF(data1!$D:$D,D6640)=0,"Missing in Data1","Present")</f>
        <v>Present</v>
      </c>
    </row>
    <row r="6641" spans="1:5" x14ac:dyDescent="0.25">
      <c r="A6641" s="2" t="s">
        <v>5203</v>
      </c>
      <c r="B6641" s="2" t="s">
        <v>1311</v>
      </c>
      <c r="C6641" s="2">
        <v>5</v>
      </c>
      <c r="D6641" t="str">
        <f t="shared" si="103"/>
        <v>CA-2017-134978_OFF-BI-10003274</v>
      </c>
      <c r="E6641" t="str">
        <f>IF(COUNTIF(data1!$D:$D,D6641)=0,"Missing in Data1","Present")</f>
        <v>Present</v>
      </c>
    </row>
    <row r="6642" spans="1:5" x14ac:dyDescent="0.25">
      <c r="A6642" s="2" t="s">
        <v>5204</v>
      </c>
      <c r="B6642" s="2" t="s">
        <v>1192</v>
      </c>
      <c r="C6642" s="2">
        <v>2</v>
      </c>
      <c r="D6642" t="str">
        <f t="shared" si="103"/>
        <v>CA-2017-135034_TEC-PH-10003931</v>
      </c>
      <c r="E6642" t="str">
        <f>IF(COUNTIF(data1!$D:$D,D6642)=0,"Missing in Data1","Present")</f>
        <v>Present</v>
      </c>
    </row>
    <row r="6643" spans="1:5" x14ac:dyDescent="0.25">
      <c r="A6643" s="2" t="s">
        <v>5205</v>
      </c>
      <c r="B6643" s="2" t="s">
        <v>1276</v>
      </c>
      <c r="C6643" s="2">
        <v>3</v>
      </c>
      <c r="D6643" t="str">
        <f t="shared" si="103"/>
        <v>CA-2017-135069_FUR-FU-10003878</v>
      </c>
      <c r="E6643" t="str">
        <f>IF(COUNTIF(data1!$D:$D,D6643)=0,"Missing in Data1","Present")</f>
        <v>Present</v>
      </c>
    </row>
    <row r="6644" spans="1:5" x14ac:dyDescent="0.25">
      <c r="A6644" s="2" t="s">
        <v>5205</v>
      </c>
      <c r="B6644" s="2" t="s">
        <v>1975</v>
      </c>
      <c r="C6644" s="2">
        <v>4</v>
      </c>
      <c r="D6644" t="str">
        <f t="shared" si="103"/>
        <v>CA-2017-135069_OFF-AP-10000026</v>
      </c>
      <c r="E6644" t="str">
        <f>IF(COUNTIF(data1!$D:$D,D6644)=0,"Missing in Data1","Present")</f>
        <v>Present</v>
      </c>
    </row>
    <row r="6645" spans="1:5" x14ac:dyDescent="0.25">
      <c r="A6645" s="2" t="s">
        <v>5206</v>
      </c>
      <c r="B6645" s="2" t="s">
        <v>373</v>
      </c>
      <c r="C6645" s="2">
        <v>6</v>
      </c>
      <c r="D6645" t="str">
        <f t="shared" si="103"/>
        <v>CA-2017-135076_FUR-CH-10003774</v>
      </c>
      <c r="E6645" t="str">
        <f>IF(COUNTIF(data1!$D:$D,D6645)=0,"Missing in Data1","Present")</f>
        <v>Present</v>
      </c>
    </row>
    <row r="6646" spans="1:5" x14ac:dyDescent="0.25">
      <c r="A6646" s="2" t="s">
        <v>5207</v>
      </c>
      <c r="B6646" s="2" t="s">
        <v>5208</v>
      </c>
      <c r="C6646" s="2">
        <v>1</v>
      </c>
      <c r="D6646" t="str">
        <f t="shared" si="103"/>
        <v>CA-2017-135111_OFF-AR-10004707</v>
      </c>
      <c r="E6646" t="str">
        <f>IF(COUNTIF(data1!$D:$D,D6646)=0,"Missing in Data1","Present")</f>
        <v>Present</v>
      </c>
    </row>
    <row r="6647" spans="1:5" x14ac:dyDescent="0.25">
      <c r="A6647" s="2" t="s">
        <v>5207</v>
      </c>
      <c r="B6647" s="2" t="s">
        <v>2891</v>
      </c>
      <c r="C6647" s="2">
        <v>5</v>
      </c>
      <c r="D6647" t="str">
        <f t="shared" si="103"/>
        <v>CA-2017-135111_OFF-BI-10004040</v>
      </c>
      <c r="E6647" t="str">
        <f>IF(COUNTIF(data1!$D:$D,D6647)=0,"Missing in Data1","Present")</f>
        <v>Present</v>
      </c>
    </row>
    <row r="6648" spans="1:5" x14ac:dyDescent="0.25">
      <c r="A6648" s="2" t="s">
        <v>5209</v>
      </c>
      <c r="B6648" s="2" t="s">
        <v>236</v>
      </c>
      <c r="C6648" s="2">
        <v>1</v>
      </c>
      <c r="D6648" t="str">
        <f t="shared" si="103"/>
        <v>CA-2017-135167_OFF-AR-10002399</v>
      </c>
      <c r="E6648" t="str">
        <f>IF(COUNTIF(data1!$D:$D,D6648)=0,"Missing in Data1","Present")</f>
        <v>Present</v>
      </c>
    </row>
    <row r="6649" spans="1:5" x14ac:dyDescent="0.25">
      <c r="A6649" s="2" t="s">
        <v>5210</v>
      </c>
      <c r="B6649" s="2" t="s">
        <v>1544</v>
      </c>
      <c r="C6649" s="2">
        <v>3</v>
      </c>
      <c r="D6649" t="str">
        <f t="shared" si="103"/>
        <v>CA-2017-135279_OFF-AR-10004344</v>
      </c>
      <c r="E6649" t="str">
        <f>IF(COUNTIF(data1!$D:$D,D6649)=0,"Missing in Data1","Present")</f>
        <v>Present</v>
      </c>
    </row>
    <row r="6650" spans="1:5" x14ac:dyDescent="0.25">
      <c r="A6650" s="2" t="s">
        <v>5210</v>
      </c>
      <c r="B6650" s="2" t="s">
        <v>776</v>
      </c>
      <c r="C6650" s="2">
        <v>3</v>
      </c>
      <c r="D6650" t="str">
        <f t="shared" si="103"/>
        <v>CA-2017-135279_OFF-LA-10001613</v>
      </c>
      <c r="E6650" t="str">
        <f>IF(COUNTIF(data1!$D:$D,D6650)=0,"Missing in Data1","Present")</f>
        <v>Present</v>
      </c>
    </row>
    <row r="6651" spans="1:5" x14ac:dyDescent="0.25">
      <c r="A6651" s="2" t="s">
        <v>5210</v>
      </c>
      <c r="B6651" s="2" t="s">
        <v>5030</v>
      </c>
      <c r="C6651" s="2">
        <v>2</v>
      </c>
      <c r="D6651" t="str">
        <f t="shared" si="103"/>
        <v>CA-2017-135279_OFF-LA-10004055</v>
      </c>
      <c r="E6651" t="str">
        <f>IF(COUNTIF(data1!$D:$D,D6651)=0,"Missing in Data1","Present")</f>
        <v>Present</v>
      </c>
    </row>
    <row r="6652" spans="1:5" x14ac:dyDescent="0.25">
      <c r="A6652" s="2" t="s">
        <v>5210</v>
      </c>
      <c r="B6652" s="2" t="s">
        <v>5211</v>
      </c>
      <c r="C6652" s="2">
        <v>4</v>
      </c>
      <c r="D6652" t="str">
        <f t="shared" si="103"/>
        <v>CA-2017-135279_OFF-PA-10001281</v>
      </c>
      <c r="E6652" t="str">
        <f>IF(COUNTIF(data1!$D:$D,D6652)=0,"Missing in Data1","Present")</f>
        <v>Present</v>
      </c>
    </row>
    <row r="6653" spans="1:5" x14ac:dyDescent="0.25">
      <c r="A6653" s="2" t="s">
        <v>5210</v>
      </c>
      <c r="B6653" s="2" t="s">
        <v>2081</v>
      </c>
      <c r="C6653" s="2">
        <v>2</v>
      </c>
      <c r="D6653" t="str">
        <f t="shared" si="103"/>
        <v>CA-2017-135279_OFF-PA-10004621</v>
      </c>
      <c r="E6653" t="str">
        <f>IF(COUNTIF(data1!$D:$D,D6653)=0,"Missing in Data1","Present")</f>
        <v>Present</v>
      </c>
    </row>
    <row r="6654" spans="1:5" x14ac:dyDescent="0.25">
      <c r="A6654" s="2" t="s">
        <v>5210</v>
      </c>
      <c r="B6654" s="2" t="s">
        <v>763</v>
      </c>
      <c r="C6654" s="2">
        <v>3</v>
      </c>
      <c r="D6654" t="str">
        <f t="shared" si="103"/>
        <v>CA-2017-135279_OFF-ST-10001097</v>
      </c>
      <c r="E6654" t="str">
        <f>IF(COUNTIF(data1!$D:$D,D6654)=0,"Missing in Data1","Present")</f>
        <v>Present</v>
      </c>
    </row>
    <row r="6655" spans="1:5" x14ac:dyDescent="0.25">
      <c r="A6655" s="2" t="s">
        <v>5212</v>
      </c>
      <c r="B6655" s="2" t="s">
        <v>2378</v>
      </c>
      <c r="C6655" s="2">
        <v>3</v>
      </c>
      <c r="D6655" t="str">
        <f t="shared" si="103"/>
        <v>CA-2017-135307_FUR-FU-10001290</v>
      </c>
      <c r="E6655" t="str">
        <f>IF(COUNTIF(data1!$D:$D,D6655)=0,"Missing in Data1","Present")</f>
        <v>Present</v>
      </c>
    </row>
    <row r="6656" spans="1:5" x14ac:dyDescent="0.25">
      <c r="A6656" s="2" t="s">
        <v>5212</v>
      </c>
      <c r="B6656" s="2" t="s">
        <v>179</v>
      </c>
      <c r="C6656" s="2">
        <v>2</v>
      </c>
      <c r="D6656" t="str">
        <f t="shared" si="103"/>
        <v>CA-2017-135307_TEC-AC-10002399</v>
      </c>
      <c r="E6656" t="str">
        <f>IF(COUNTIF(data1!$D:$D,D6656)=0,"Missing in Data1","Present")</f>
        <v>Present</v>
      </c>
    </row>
    <row r="6657" spans="1:5" x14ac:dyDescent="0.25">
      <c r="A6657" s="2" t="s">
        <v>5213</v>
      </c>
      <c r="B6657" s="2" t="s">
        <v>631</v>
      </c>
      <c r="C6657" s="2">
        <v>3</v>
      </c>
      <c r="D6657" t="str">
        <f t="shared" si="103"/>
        <v>CA-2017-135377_FUR-BO-10004015</v>
      </c>
      <c r="E6657" t="str">
        <f>IF(COUNTIF(data1!$D:$D,D6657)=0,"Missing in Data1","Present")</f>
        <v>Present</v>
      </c>
    </row>
    <row r="6658" spans="1:5" x14ac:dyDescent="0.25">
      <c r="A6658" s="2" t="s">
        <v>5214</v>
      </c>
      <c r="B6658" s="2" t="s">
        <v>2848</v>
      </c>
      <c r="C6658" s="2">
        <v>4</v>
      </c>
      <c r="D6658" t="str">
        <f t="shared" si="103"/>
        <v>CA-2017-135419_FUR-TA-10001086</v>
      </c>
      <c r="E6658" t="str">
        <f>IF(COUNTIF(data1!$D:$D,D6658)=0,"Missing in Data1","Present")</f>
        <v>Present</v>
      </c>
    </row>
    <row r="6659" spans="1:5" x14ac:dyDescent="0.25">
      <c r="A6659" s="2" t="s">
        <v>5215</v>
      </c>
      <c r="B6659" s="2" t="s">
        <v>5216</v>
      </c>
      <c r="C6659" s="2">
        <v>4</v>
      </c>
      <c r="D6659" t="str">
        <f t="shared" ref="D6659:D6722" si="104">A6659&amp;"_"&amp;B6659</f>
        <v>CA-2017-135587_OFF-AP-10004540</v>
      </c>
      <c r="E6659" t="str">
        <f>IF(COUNTIF(data1!$D:$D,D6659)=0,"Missing in Data1","Present")</f>
        <v>Present</v>
      </c>
    </row>
    <row r="6660" spans="1:5" x14ac:dyDescent="0.25">
      <c r="A6660" s="2" t="s">
        <v>5215</v>
      </c>
      <c r="B6660" s="2" t="s">
        <v>1097</v>
      </c>
      <c r="C6660" s="2">
        <v>4</v>
      </c>
      <c r="D6660" t="str">
        <f t="shared" si="104"/>
        <v>CA-2017-135587_TEC-AC-10001266</v>
      </c>
      <c r="E6660" t="str">
        <f>IF(COUNTIF(data1!$D:$D,D6660)=0,"Missing in Data1","Present")</f>
        <v>Present</v>
      </c>
    </row>
    <row r="6661" spans="1:5" x14ac:dyDescent="0.25">
      <c r="A6661" s="2" t="s">
        <v>6828</v>
      </c>
      <c r="B6661" s="2" t="s">
        <v>465</v>
      </c>
      <c r="C6661" s="2">
        <v>2</v>
      </c>
      <c r="D6661" t="str">
        <f t="shared" si="104"/>
        <v>CA-2017-135650_OFF-ST-10001809</v>
      </c>
      <c r="E6661" t="str">
        <f>IF(COUNTIF(data1!$D:$D,D6661)=0,"Missing in Data1","Present")</f>
        <v>Missing in Data1</v>
      </c>
    </row>
    <row r="6662" spans="1:5" x14ac:dyDescent="0.25">
      <c r="A6662" s="2" t="s">
        <v>5217</v>
      </c>
      <c r="B6662" s="2" t="s">
        <v>3882</v>
      </c>
      <c r="C6662" s="2">
        <v>4</v>
      </c>
      <c r="D6662" t="str">
        <f t="shared" si="104"/>
        <v>CA-2017-135692_FUR-BO-10002268</v>
      </c>
      <c r="E6662" t="str">
        <f>IF(COUNTIF(data1!$D:$D,D6662)=0,"Missing in Data1","Present")</f>
        <v>Present</v>
      </c>
    </row>
    <row r="6663" spans="1:5" x14ac:dyDescent="0.25">
      <c r="A6663" s="2" t="s">
        <v>5217</v>
      </c>
      <c r="B6663" s="2" t="s">
        <v>775</v>
      </c>
      <c r="C6663" s="2">
        <v>4</v>
      </c>
      <c r="D6663" t="str">
        <f t="shared" si="104"/>
        <v>CA-2017-135692_OFF-LA-10001158</v>
      </c>
      <c r="E6663" t="str">
        <f>IF(COUNTIF(data1!$D:$D,D6663)=0,"Missing in Data1","Present")</f>
        <v>Present</v>
      </c>
    </row>
    <row r="6664" spans="1:5" x14ac:dyDescent="0.25">
      <c r="A6664" s="2" t="s">
        <v>5218</v>
      </c>
      <c r="B6664" s="2" t="s">
        <v>1988</v>
      </c>
      <c r="C6664" s="2">
        <v>2</v>
      </c>
      <c r="D6664" t="str">
        <f t="shared" si="104"/>
        <v>CA-2017-135783_FUR-FU-10000794</v>
      </c>
      <c r="E6664" t="str">
        <f>IF(COUNTIF(data1!$D:$D,D6664)=0,"Missing in Data1","Present")</f>
        <v>Present</v>
      </c>
    </row>
    <row r="6665" spans="1:5" x14ac:dyDescent="0.25">
      <c r="A6665" s="2" t="s">
        <v>5219</v>
      </c>
      <c r="B6665" s="2" t="s">
        <v>1311</v>
      </c>
      <c r="C6665" s="2">
        <v>4</v>
      </c>
      <c r="D6665" t="str">
        <f t="shared" si="104"/>
        <v>CA-2017-135860_OFF-BI-10003274</v>
      </c>
      <c r="E6665" t="str">
        <f>IF(COUNTIF(data1!$D:$D,D6665)=0,"Missing in Data1","Present")</f>
        <v>Present</v>
      </c>
    </row>
    <row r="6666" spans="1:5" x14ac:dyDescent="0.25">
      <c r="A6666" s="2" t="s">
        <v>5219</v>
      </c>
      <c r="B6666" s="2" t="s">
        <v>397</v>
      </c>
      <c r="C6666" s="2">
        <v>9</v>
      </c>
      <c r="D6666" t="str">
        <f t="shared" si="104"/>
        <v>CA-2017-135860_OFF-FA-10000134</v>
      </c>
      <c r="E6666" t="str">
        <f>IF(COUNTIF(data1!$D:$D,D6666)=0,"Missing in Data1","Present")</f>
        <v>Present</v>
      </c>
    </row>
    <row r="6667" spans="1:5" x14ac:dyDescent="0.25">
      <c r="A6667" s="2" t="s">
        <v>5219</v>
      </c>
      <c r="B6667" s="2" t="s">
        <v>2500</v>
      </c>
      <c r="C6667" s="2">
        <v>4</v>
      </c>
      <c r="D6667" t="str">
        <f t="shared" si="104"/>
        <v>CA-2017-135860_OFF-ST-10000642</v>
      </c>
      <c r="E6667" t="str">
        <f>IF(COUNTIF(data1!$D:$D,D6667)=0,"Missing in Data1","Present")</f>
        <v>Present</v>
      </c>
    </row>
    <row r="6668" spans="1:5" x14ac:dyDescent="0.25">
      <c r="A6668" s="2" t="s">
        <v>5219</v>
      </c>
      <c r="B6668" s="2" t="s">
        <v>374</v>
      </c>
      <c r="C6668" s="2">
        <v>1</v>
      </c>
      <c r="D6668" t="str">
        <f t="shared" si="104"/>
        <v>CA-2017-135860_OFF-ST-10001522</v>
      </c>
      <c r="E6668" t="str">
        <f>IF(COUNTIF(data1!$D:$D,D6668)=0,"Missing in Data1","Present")</f>
        <v>Present</v>
      </c>
    </row>
    <row r="6669" spans="1:5" x14ac:dyDescent="0.25">
      <c r="A6669" s="2" t="s">
        <v>5219</v>
      </c>
      <c r="B6669" s="2" t="s">
        <v>2325</v>
      </c>
      <c r="C6669" s="2">
        <v>2</v>
      </c>
      <c r="D6669" t="str">
        <f t="shared" si="104"/>
        <v>CA-2017-135860_TEC-PH-10001700</v>
      </c>
      <c r="E6669" t="str">
        <f>IF(COUNTIF(data1!$D:$D,D6669)=0,"Missing in Data1","Present")</f>
        <v>Present</v>
      </c>
    </row>
    <row r="6670" spans="1:5" x14ac:dyDescent="0.25">
      <c r="A6670" s="2" t="s">
        <v>5220</v>
      </c>
      <c r="B6670" s="2" t="s">
        <v>907</v>
      </c>
      <c r="C6670" s="2">
        <v>5</v>
      </c>
      <c r="D6670" t="str">
        <f t="shared" si="104"/>
        <v>CA-2017-135909_OFF-BI-10003527</v>
      </c>
      <c r="E6670" t="str">
        <f>IF(COUNTIF(data1!$D:$D,D6670)=0,"Missing in Data1","Present")</f>
        <v>Present</v>
      </c>
    </row>
    <row r="6671" spans="1:5" x14ac:dyDescent="0.25">
      <c r="A6671" s="2" t="s">
        <v>5220</v>
      </c>
      <c r="B6671" s="2" t="s">
        <v>3487</v>
      </c>
      <c r="C6671" s="2">
        <v>6</v>
      </c>
      <c r="D6671" t="str">
        <f t="shared" si="104"/>
        <v>CA-2017-135909_TEC-AC-10002335</v>
      </c>
      <c r="E6671" t="str">
        <f>IF(COUNTIF(data1!$D:$D,D6671)=0,"Missing in Data1","Present")</f>
        <v>Present</v>
      </c>
    </row>
    <row r="6672" spans="1:5" x14ac:dyDescent="0.25">
      <c r="A6672" s="2" t="s">
        <v>5220</v>
      </c>
      <c r="B6672" s="2" t="s">
        <v>1895</v>
      </c>
      <c r="C6672" s="2">
        <v>2</v>
      </c>
      <c r="D6672" t="str">
        <f t="shared" si="104"/>
        <v>CA-2017-135909_TEC-PH-10003187</v>
      </c>
      <c r="E6672" t="str">
        <f>IF(COUNTIF(data1!$D:$D,D6672)=0,"Missing in Data1","Present")</f>
        <v>Present</v>
      </c>
    </row>
    <row r="6673" spans="1:5" x14ac:dyDescent="0.25">
      <c r="A6673" s="2" t="s">
        <v>5221</v>
      </c>
      <c r="B6673" s="2" t="s">
        <v>491</v>
      </c>
      <c r="C6673" s="2">
        <v>2</v>
      </c>
      <c r="D6673" t="str">
        <f t="shared" si="104"/>
        <v>CA-2017-135937_FUR-FU-10002253</v>
      </c>
      <c r="E6673" t="str">
        <f>IF(COUNTIF(data1!$D:$D,D6673)=0,"Missing in Data1","Present")</f>
        <v>Present</v>
      </c>
    </row>
    <row r="6674" spans="1:5" x14ac:dyDescent="0.25">
      <c r="A6674" s="2" t="s">
        <v>5221</v>
      </c>
      <c r="B6674" s="2" t="s">
        <v>307</v>
      </c>
      <c r="C6674" s="2">
        <v>5</v>
      </c>
      <c r="D6674" t="str">
        <f t="shared" si="104"/>
        <v>CA-2017-135937_OFF-EN-10004846</v>
      </c>
      <c r="E6674" t="str">
        <f>IF(COUNTIF(data1!$D:$D,D6674)=0,"Missing in Data1","Present")</f>
        <v>Present</v>
      </c>
    </row>
    <row r="6675" spans="1:5" x14ac:dyDescent="0.25">
      <c r="A6675" s="2" t="s">
        <v>5221</v>
      </c>
      <c r="B6675" s="2" t="s">
        <v>1339</v>
      </c>
      <c r="C6675" s="2">
        <v>2</v>
      </c>
      <c r="D6675" t="str">
        <f t="shared" si="104"/>
        <v>CA-2017-135937_OFF-ST-10000563</v>
      </c>
      <c r="E6675" t="str">
        <f>IF(COUNTIF(data1!$D:$D,D6675)=0,"Missing in Data1","Present")</f>
        <v>Present</v>
      </c>
    </row>
    <row r="6676" spans="1:5" x14ac:dyDescent="0.25">
      <c r="A6676" s="2" t="s">
        <v>5221</v>
      </c>
      <c r="B6676" s="2" t="s">
        <v>4505</v>
      </c>
      <c r="C6676" s="2">
        <v>1</v>
      </c>
      <c r="D6676" t="str">
        <f t="shared" si="104"/>
        <v>CA-2017-135937_TEC-AC-10001114</v>
      </c>
      <c r="E6676" t="str">
        <f>IF(COUNTIF(data1!$D:$D,D6676)=0,"Missing in Data1","Present")</f>
        <v>Present</v>
      </c>
    </row>
    <row r="6677" spans="1:5" x14ac:dyDescent="0.25">
      <c r="A6677" s="2" t="s">
        <v>5221</v>
      </c>
      <c r="B6677" s="2" t="s">
        <v>1205</v>
      </c>
      <c r="C6677" s="2">
        <v>3</v>
      </c>
      <c r="D6677" t="str">
        <f t="shared" si="104"/>
        <v>CA-2017-135937_TEC-PH-10004447</v>
      </c>
      <c r="E6677" t="str">
        <f>IF(COUNTIF(data1!$D:$D,D6677)=0,"Missing in Data1","Present")</f>
        <v>Present</v>
      </c>
    </row>
    <row r="6678" spans="1:5" x14ac:dyDescent="0.25">
      <c r="A6678" s="2" t="s">
        <v>5222</v>
      </c>
      <c r="B6678" s="2" t="s">
        <v>1106</v>
      </c>
      <c r="C6678" s="2">
        <v>3</v>
      </c>
      <c r="D6678" t="str">
        <f t="shared" si="104"/>
        <v>CA-2017-136000_OFF-BI-10004828</v>
      </c>
      <c r="E6678" t="str">
        <f>IF(COUNTIF(data1!$D:$D,D6678)=0,"Missing in Data1","Present")</f>
        <v>Present</v>
      </c>
    </row>
    <row r="6679" spans="1:5" x14ac:dyDescent="0.25">
      <c r="A6679" s="2" t="s">
        <v>5223</v>
      </c>
      <c r="B6679" s="2" t="s">
        <v>2336</v>
      </c>
      <c r="C6679" s="2">
        <v>5</v>
      </c>
      <c r="D6679" t="str">
        <f t="shared" si="104"/>
        <v>CA-2017-136007_OFF-FA-10002701</v>
      </c>
      <c r="E6679" t="str">
        <f>IF(COUNTIF(data1!$D:$D,D6679)=0,"Missing in Data1","Present")</f>
        <v>Present</v>
      </c>
    </row>
    <row r="6680" spans="1:5" x14ac:dyDescent="0.25">
      <c r="A6680" s="2" t="s">
        <v>5223</v>
      </c>
      <c r="B6680" s="2" t="s">
        <v>716</v>
      </c>
      <c r="C6680" s="2">
        <v>5</v>
      </c>
      <c r="D6680" t="str">
        <f t="shared" si="104"/>
        <v>CA-2017-136007_TEC-PH-10003589</v>
      </c>
      <c r="E6680" t="str">
        <f>IF(COUNTIF(data1!$D:$D,D6680)=0,"Missing in Data1","Present")</f>
        <v>Present</v>
      </c>
    </row>
    <row r="6681" spans="1:5" x14ac:dyDescent="0.25">
      <c r="A6681" s="2" t="s">
        <v>5224</v>
      </c>
      <c r="B6681" s="2" t="s">
        <v>2061</v>
      </c>
      <c r="C6681" s="2">
        <v>7</v>
      </c>
      <c r="D6681" t="str">
        <f t="shared" si="104"/>
        <v>CA-2017-136063_OFF-AR-10000823</v>
      </c>
      <c r="E6681" t="str">
        <f>IF(COUNTIF(data1!$D:$D,D6681)=0,"Missing in Data1","Present")</f>
        <v>Present</v>
      </c>
    </row>
    <row r="6682" spans="1:5" x14ac:dyDescent="0.25">
      <c r="A6682" s="2" t="s">
        <v>5225</v>
      </c>
      <c r="B6682" s="2" t="s">
        <v>1952</v>
      </c>
      <c r="C6682" s="2">
        <v>3</v>
      </c>
      <c r="D6682" t="str">
        <f t="shared" si="104"/>
        <v>CA-2017-136238_OFF-PA-10004285</v>
      </c>
      <c r="E6682" t="str">
        <f>IF(COUNTIF(data1!$D:$D,D6682)=0,"Missing in Data1","Present")</f>
        <v>Present</v>
      </c>
    </row>
    <row r="6683" spans="1:5" x14ac:dyDescent="0.25">
      <c r="A6683" s="2" t="s">
        <v>5226</v>
      </c>
      <c r="B6683" s="2" t="s">
        <v>2298</v>
      </c>
      <c r="C6683" s="2">
        <v>3</v>
      </c>
      <c r="D6683" t="str">
        <f t="shared" si="104"/>
        <v>CA-2017-136308_TEC-MA-10000488</v>
      </c>
      <c r="E6683" t="str">
        <f>IF(COUNTIF(data1!$D:$D,D6683)=0,"Missing in Data1","Present")</f>
        <v>Present</v>
      </c>
    </row>
    <row r="6684" spans="1:5" x14ac:dyDescent="0.25">
      <c r="A6684" s="2" t="s">
        <v>5227</v>
      </c>
      <c r="B6684" s="2" t="s">
        <v>415</v>
      </c>
      <c r="C6684" s="2">
        <v>2</v>
      </c>
      <c r="D6684" t="str">
        <f t="shared" si="104"/>
        <v>CA-2017-136350_FUR-CH-10001891</v>
      </c>
      <c r="E6684" t="str">
        <f>IF(COUNTIF(data1!$D:$D,D6684)=0,"Missing in Data1","Present")</f>
        <v>Present</v>
      </c>
    </row>
    <row r="6685" spans="1:5" x14ac:dyDescent="0.25">
      <c r="A6685" s="2" t="s">
        <v>5227</v>
      </c>
      <c r="B6685" s="2" t="s">
        <v>3987</v>
      </c>
      <c r="C6685" s="2">
        <v>3</v>
      </c>
      <c r="D6685" t="str">
        <f t="shared" si="104"/>
        <v>CA-2017-136350_FUR-FU-10003601</v>
      </c>
      <c r="E6685" t="str">
        <f>IF(COUNTIF(data1!$D:$D,D6685)=0,"Missing in Data1","Present")</f>
        <v>Present</v>
      </c>
    </row>
    <row r="6686" spans="1:5" x14ac:dyDescent="0.25">
      <c r="A6686" s="2" t="s">
        <v>5228</v>
      </c>
      <c r="B6686" s="2" t="s">
        <v>5229</v>
      </c>
      <c r="C6686" s="2">
        <v>9</v>
      </c>
      <c r="D6686" t="str">
        <f t="shared" si="104"/>
        <v>CA-2017-136364_FUR-FU-10002501</v>
      </c>
      <c r="E6686" t="str">
        <f>IF(COUNTIF(data1!$D:$D,D6686)=0,"Missing in Data1","Present")</f>
        <v>Present</v>
      </c>
    </row>
    <row r="6687" spans="1:5" x14ac:dyDescent="0.25">
      <c r="A6687" s="2" t="s">
        <v>5228</v>
      </c>
      <c r="B6687" s="2" t="s">
        <v>1683</v>
      </c>
      <c r="C6687" s="2">
        <v>1</v>
      </c>
      <c r="D6687" t="str">
        <f t="shared" si="104"/>
        <v>CA-2017-136364_TEC-PH-10003885</v>
      </c>
      <c r="E6687" t="str">
        <f>IF(COUNTIF(data1!$D:$D,D6687)=0,"Missing in Data1","Present")</f>
        <v>Present</v>
      </c>
    </row>
    <row r="6688" spans="1:5" x14ac:dyDescent="0.25">
      <c r="A6688" s="2" t="s">
        <v>5230</v>
      </c>
      <c r="B6688" s="2" t="s">
        <v>502</v>
      </c>
      <c r="C6688" s="2">
        <v>2</v>
      </c>
      <c r="D6688" t="str">
        <f t="shared" si="104"/>
        <v>CA-2017-136448_OFF-BI-10001359</v>
      </c>
      <c r="E6688" t="str">
        <f>IF(COUNTIF(data1!$D:$D,D6688)=0,"Missing in Data1","Present")</f>
        <v>Present</v>
      </c>
    </row>
    <row r="6689" spans="1:5" x14ac:dyDescent="0.25">
      <c r="A6689" s="2" t="s">
        <v>5230</v>
      </c>
      <c r="B6689" s="2" t="s">
        <v>131</v>
      </c>
      <c r="C6689" s="2">
        <v>2</v>
      </c>
      <c r="D6689" t="str">
        <f t="shared" si="104"/>
        <v>CA-2017-136448_TEC-AC-10003628</v>
      </c>
      <c r="E6689" t="str">
        <f>IF(COUNTIF(data1!$D:$D,D6689)=0,"Missing in Data1","Present")</f>
        <v>Present</v>
      </c>
    </row>
    <row r="6690" spans="1:5" x14ac:dyDescent="0.25">
      <c r="A6690" s="2" t="s">
        <v>5231</v>
      </c>
      <c r="B6690" s="2" t="s">
        <v>1042</v>
      </c>
      <c r="C6690" s="2">
        <v>5</v>
      </c>
      <c r="D6690" t="str">
        <f t="shared" si="104"/>
        <v>CA-2017-136497_OFF-BI-10001553</v>
      </c>
      <c r="E6690" t="str">
        <f>IF(COUNTIF(data1!$D:$D,D6690)=0,"Missing in Data1","Present")</f>
        <v>Present</v>
      </c>
    </row>
    <row r="6691" spans="1:5" x14ac:dyDescent="0.25">
      <c r="A6691" s="2" t="s">
        <v>5232</v>
      </c>
      <c r="B6691" s="2" t="s">
        <v>3354</v>
      </c>
      <c r="C6691" s="2">
        <v>3</v>
      </c>
      <c r="D6691" t="str">
        <f t="shared" si="104"/>
        <v>CA-2017-136511_OFF-SU-10003505</v>
      </c>
      <c r="E6691" t="str">
        <f>IF(COUNTIF(data1!$D:$D,D6691)=0,"Missing in Data1","Present")</f>
        <v>Present</v>
      </c>
    </row>
    <row r="6692" spans="1:5" x14ac:dyDescent="0.25">
      <c r="A6692" s="2" t="s">
        <v>5233</v>
      </c>
      <c r="B6692" s="2" t="s">
        <v>3156</v>
      </c>
      <c r="C6692" s="2">
        <v>2</v>
      </c>
      <c r="D6692" t="str">
        <f t="shared" si="104"/>
        <v>CA-2017-136539_OFF-AR-10001958</v>
      </c>
      <c r="E6692" t="str">
        <f>IF(COUNTIF(data1!$D:$D,D6692)=0,"Missing in Data1","Present")</f>
        <v>Present</v>
      </c>
    </row>
    <row r="6693" spans="1:5" x14ac:dyDescent="0.25">
      <c r="A6693" s="2" t="s">
        <v>5234</v>
      </c>
      <c r="B6693" s="2" t="s">
        <v>4114</v>
      </c>
      <c r="C6693" s="2">
        <v>3</v>
      </c>
      <c r="D6693" t="str">
        <f t="shared" si="104"/>
        <v>CA-2017-136609_OFF-PA-10004381</v>
      </c>
      <c r="E6693" t="str">
        <f>IF(COUNTIF(data1!$D:$D,D6693)=0,"Missing in Data1","Present")</f>
        <v>Present</v>
      </c>
    </row>
    <row r="6694" spans="1:5" x14ac:dyDescent="0.25">
      <c r="A6694" s="2" t="s">
        <v>5235</v>
      </c>
      <c r="B6694" s="2" t="s">
        <v>227</v>
      </c>
      <c r="C6694" s="2">
        <v>5</v>
      </c>
      <c r="D6694" t="str">
        <f t="shared" si="104"/>
        <v>CA-2017-136623_OFF-BI-10003708</v>
      </c>
      <c r="E6694" t="str">
        <f>IF(COUNTIF(data1!$D:$D,D6694)=0,"Missing in Data1","Present")</f>
        <v>Present</v>
      </c>
    </row>
    <row r="6695" spans="1:5" x14ac:dyDescent="0.25">
      <c r="A6695" s="2" t="s">
        <v>5235</v>
      </c>
      <c r="B6695" s="2" t="s">
        <v>4105</v>
      </c>
      <c r="C6695" s="2">
        <v>6</v>
      </c>
      <c r="D6695" t="str">
        <f t="shared" si="104"/>
        <v>CA-2017-136623_TEC-PH-10000004</v>
      </c>
      <c r="E6695" t="str">
        <f>IF(COUNTIF(data1!$D:$D,D6695)=0,"Missing in Data1","Present")</f>
        <v>Present</v>
      </c>
    </row>
    <row r="6696" spans="1:5" x14ac:dyDescent="0.25">
      <c r="A6696" s="2" t="s">
        <v>5236</v>
      </c>
      <c r="B6696" s="2" t="s">
        <v>3041</v>
      </c>
      <c r="C6696" s="2">
        <v>7</v>
      </c>
      <c r="D6696" t="str">
        <f t="shared" si="104"/>
        <v>CA-2017-136651_FUR-FU-10002445</v>
      </c>
      <c r="E6696" t="str">
        <f>IF(COUNTIF(data1!$D:$D,D6696)=0,"Missing in Data1","Present")</f>
        <v>Present</v>
      </c>
    </row>
    <row r="6697" spans="1:5" x14ac:dyDescent="0.25">
      <c r="A6697" s="2" t="s">
        <v>5236</v>
      </c>
      <c r="B6697" s="2" t="s">
        <v>226</v>
      </c>
      <c r="C6697" s="2">
        <v>2</v>
      </c>
      <c r="D6697" t="str">
        <f t="shared" si="104"/>
        <v>CA-2017-136651_FUR-FU-10004864</v>
      </c>
      <c r="E6697" t="str">
        <f>IF(COUNTIF(data1!$D:$D,D6697)=0,"Missing in Data1","Present")</f>
        <v>Present</v>
      </c>
    </row>
    <row r="6698" spans="1:5" x14ac:dyDescent="0.25">
      <c r="A6698" s="2" t="s">
        <v>5236</v>
      </c>
      <c r="B6698" s="2" t="s">
        <v>1137</v>
      </c>
      <c r="C6698" s="2">
        <v>6</v>
      </c>
      <c r="D6698" t="str">
        <f t="shared" si="104"/>
        <v>CA-2017-136651_OFF-BI-10003638</v>
      </c>
      <c r="E6698" t="str">
        <f>IF(COUNTIF(data1!$D:$D,D6698)=0,"Missing in Data1","Present")</f>
        <v>Present</v>
      </c>
    </row>
    <row r="6699" spans="1:5" x14ac:dyDescent="0.25">
      <c r="A6699" s="2" t="s">
        <v>5238</v>
      </c>
      <c r="B6699" s="2" t="s">
        <v>2303</v>
      </c>
      <c r="C6699" s="2">
        <v>3</v>
      </c>
      <c r="D6699" t="str">
        <f t="shared" si="104"/>
        <v>CA-2017-136826_OFF-AR-10003602</v>
      </c>
      <c r="E6699" t="str">
        <f>IF(COUNTIF(data1!$D:$D,D6699)=0,"Missing in Data1","Present")</f>
        <v>Present</v>
      </c>
    </row>
    <row r="6700" spans="1:5" x14ac:dyDescent="0.25">
      <c r="A6700" s="2" t="s">
        <v>5239</v>
      </c>
      <c r="B6700" s="2" t="s">
        <v>41</v>
      </c>
      <c r="C6700" s="2">
        <v>3</v>
      </c>
      <c r="D6700" t="str">
        <f t="shared" si="104"/>
        <v>CA-2017-136875_OFF-PA-10000357</v>
      </c>
      <c r="E6700" t="str">
        <f>IF(COUNTIF(data1!$D:$D,D6700)=0,"Missing in Data1","Present")</f>
        <v>Present</v>
      </c>
    </row>
    <row r="6701" spans="1:5" x14ac:dyDescent="0.25">
      <c r="A6701" s="2" t="s">
        <v>5240</v>
      </c>
      <c r="B6701" s="2" t="s">
        <v>3272</v>
      </c>
      <c r="C6701" s="2">
        <v>5</v>
      </c>
      <c r="D6701" t="str">
        <f t="shared" si="104"/>
        <v>CA-2017-136882_FUR-FU-10003664</v>
      </c>
      <c r="E6701" t="str">
        <f>IF(COUNTIF(data1!$D:$D,D6701)=0,"Missing in Data1","Present")</f>
        <v>Present</v>
      </c>
    </row>
    <row r="6702" spans="1:5" x14ac:dyDescent="0.25">
      <c r="A6702" s="2" t="s">
        <v>5242</v>
      </c>
      <c r="B6702" s="2" t="s">
        <v>251</v>
      </c>
      <c r="C6702" s="2">
        <v>8</v>
      </c>
      <c r="D6702" t="str">
        <f t="shared" si="104"/>
        <v>CA-2017-137022_OFF-ST-10001963</v>
      </c>
      <c r="E6702" t="str">
        <f>IF(COUNTIF(data1!$D:$D,D6702)=0,"Missing in Data1","Present")</f>
        <v>Present</v>
      </c>
    </row>
    <row r="6703" spans="1:5" x14ac:dyDescent="0.25">
      <c r="A6703" s="2" t="s">
        <v>5243</v>
      </c>
      <c r="B6703" s="2" t="s">
        <v>740</v>
      </c>
      <c r="C6703" s="2">
        <v>9</v>
      </c>
      <c r="D6703" t="str">
        <f t="shared" si="104"/>
        <v>CA-2017-137085_OFF-BI-10000632</v>
      </c>
      <c r="E6703" t="str">
        <f>IF(COUNTIF(data1!$D:$D,D6703)=0,"Missing in Data1","Present")</f>
        <v>Present</v>
      </c>
    </row>
    <row r="6704" spans="1:5" x14ac:dyDescent="0.25">
      <c r="A6704" s="2" t="s">
        <v>6829</v>
      </c>
      <c r="B6704" s="2" t="s">
        <v>2176</v>
      </c>
      <c r="C6704" s="2">
        <v>3</v>
      </c>
      <c r="D6704" t="str">
        <f t="shared" si="104"/>
        <v>CA-2017-137099_TEC-PH-10002496</v>
      </c>
      <c r="E6704" t="str">
        <f>IF(COUNTIF(data1!$D:$D,D6704)=0,"Missing in Data1","Present")</f>
        <v>Missing in Data1</v>
      </c>
    </row>
    <row r="6705" spans="1:5" x14ac:dyDescent="0.25">
      <c r="A6705" s="2" t="s">
        <v>6830</v>
      </c>
      <c r="B6705" s="2" t="s">
        <v>252</v>
      </c>
      <c r="C6705" s="2">
        <v>6</v>
      </c>
      <c r="D6705" t="str">
        <f t="shared" si="104"/>
        <v>CA-2017-137323_OFF-ST-10003996</v>
      </c>
      <c r="E6705" t="str">
        <f>IF(COUNTIF(data1!$D:$D,D6705)=0,"Missing in Data1","Present")</f>
        <v>Missing in Data1</v>
      </c>
    </row>
    <row r="6706" spans="1:5" x14ac:dyDescent="0.25">
      <c r="A6706" s="2" t="s">
        <v>6831</v>
      </c>
      <c r="B6706" s="2" t="s">
        <v>2556</v>
      </c>
      <c r="C6706" s="2">
        <v>3</v>
      </c>
      <c r="D6706" t="str">
        <f t="shared" si="104"/>
        <v>CA-2017-137344_OFF-ST-10000344</v>
      </c>
      <c r="E6706" t="str">
        <f>IF(COUNTIF(data1!$D:$D,D6706)=0,"Missing in Data1","Present")</f>
        <v>Missing in Data1</v>
      </c>
    </row>
    <row r="6707" spans="1:5" x14ac:dyDescent="0.25">
      <c r="A6707" s="2" t="s">
        <v>5244</v>
      </c>
      <c r="B6707" s="2" t="s">
        <v>1904</v>
      </c>
      <c r="C6707" s="2">
        <v>3</v>
      </c>
      <c r="D6707" t="str">
        <f t="shared" si="104"/>
        <v>CA-2017-137365_TEC-AC-10001767</v>
      </c>
      <c r="E6707" t="str">
        <f>IF(COUNTIF(data1!$D:$D,D6707)=0,"Missing in Data1","Present")</f>
        <v>Present</v>
      </c>
    </row>
    <row r="6708" spans="1:5" x14ac:dyDescent="0.25">
      <c r="A6708" s="2" t="s">
        <v>5245</v>
      </c>
      <c r="B6708" s="2" t="s">
        <v>1071</v>
      </c>
      <c r="C6708" s="2">
        <v>2</v>
      </c>
      <c r="D6708" t="str">
        <f t="shared" si="104"/>
        <v>CA-2017-137414_FUR-FU-10001424</v>
      </c>
      <c r="E6708" t="str">
        <f>IF(COUNTIF(data1!$D:$D,D6708)=0,"Missing in Data1","Present")</f>
        <v>Present</v>
      </c>
    </row>
    <row r="6709" spans="1:5" x14ac:dyDescent="0.25">
      <c r="A6709" s="2" t="s">
        <v>5245</v>
      </c>
      <c r="B6709" s="2" t="s">
        <v>2036</v>
      </c>
      <c r="C6709" s="2">
        <v>11</v>
      </c>
      <c r="D6709" t="str">
        <f t="shared" si="104"/>
        <v>CA-2017-137414_TEC-MA-10002930</v>
      </c>
      <c r="E6709" t="str">
        <f>IF(COUNTIF(data1!$D:$D,D6709)=0,"Missing in Data1","Present")</f>
        <v>Present</v>
      </c>
    </row>
    <row r="6710" spans="1:5" x14ac:dyDescent="0.25">
      <c r="A6710" s="2" t="s">
        <v>5246</v>
      </c>
      <c r="B6710" s="2" t="s">
        <v>3062</v>
      </c>
      <c r="C6710" s="2">
        <v>2</v>
      </c>
      <c r="D6710" t="str">
        <f t="shared" si="104"/>
        <v>CA-2017-137421_OFF-AR-10001761</v>
      </c>
      <c r="E6710" t="str">
        <f>IF(COUNTIF(data1!$D:$D,D6710)=0,"Missing in Data1","Present")</f>
        <v>Present</v>
      </c>
    </row>
    <row r="6711" spans="1:5" x14ac:dyDescent="0.25">
      <c r="A6711" s="2" t="s">
        <v>5247</v>
      </c>
      <c r="B6711" s="2" t="s">
        <v>1207</v>
      </c>
      <c r="C6711" s="2">
        <v>2</v>
      </c>
      <c r="D6711" t="str">
        <f t="shared" si="104"/>
        <v>CA-2017-137428_FUR-CH-10002774</v>
      </c>
      <c r="E6711" t="str">
        <f>IF(COUNTIF(data1!$D:$D,D6711)=0,"Missing in Data1","Present")</f>
        <v>Present</v>
      </c>
    </row>
    <row r="6712" spans="1:5" x14ac:dyDescent="0.25">
      <c r="A6712" s="2" t="s">
        <v>5247</v>
      </c>
      <c r="B6712" s="2" t="s">
        <v>621</v>
      </c>
      <c r="C6712" s="2">
        <v>2</v>
      </c>
      <c r="D6712" t="str">
        <f t="shared" si="104"/>
        <v>CA-2017-137428_FUR-CH-10003817</v>
      </c>
      <c r="E6712" t="str">
        <f>IF(COUNTIF(data1!$D:$D,D6712)=0,"Missing in Data1","Present")</f>
        <v>Present</v>
      </c>
    </row>
    <row r="6713" spans="1:5" x14ac:dyDescent="0.25">
      <c r="A6713" s="2" t="s">
        <v>5247</v>
      </c>
      <c r="B6713" s="2" t="s">
        <v>3041</v>
      </c>
      <c r="C6713" s="2">
        <v>2</v>
      </c>
      <c r="D6713" t="str">
        <f t="shared" si="104"/>
        <v>CA-2017-137428_FUR-FU-10002445</v>
      </c>
      <c r="E6713" t="str">
        <f>IF(COUNTIF(data1!$D:$D,D6713)=0,"Missing in Data1","Present")</f>
        <v>Present</v>
      </c>
    </row>
    <row r="6714" spans="1:5" x14ac:dyDescent="0.25">
      <c r="A6714" s="2" t="s">
        <v>5247</v>
      </c>
      <c r="B6714" s="2" t="s">
        <v>1727</v>
      </c>
      <c r="C6714" s="2">
        <v>5</v>
      </c>
      <c r="D6714" t="str">
        <f t="shared" si="104"/>
        <v>CA-2017-137428_OFF-BI-10002949</v>
      </c>
      <c r="E6714" t="str">
        <f>IF(COUNTIF(data1!$D:$D,D6714)=0,"Missing in Data1","Present")</f>
        <v>Present</v>
      </c>
    </row>
    <row r="6715" spans="1:5" x14ac:dyDescent="0.25">
      <c r="A6715" s="2" t="s">
        <v>5248</v>
      </c>
      <c r="B6715" s="2" t="s">
        <v>5249</v>
      </c>
      <c r="C6715" s="2">
        <v>3</v>
      </c>
      <c r="D6715" t="str">
        <f t="shared" si="104"/>
        <v>CA-2017-137449_FUR-BO-10000780</v>
      </c>
      <c r="E6715" t="str">
        <f>IF(COUNTIF(data1!$D:$D,D6715)=0,"Missing in Data1","Present")</f>
        <v>Present</v>
      </c>
    </row>
    <row r="6716" spans="1:5" x14ac:dyDescent="0.25">
      <c r="A6716" s="2" t="s">
        <v>5248</v>
      </c>
      <c r="B6716" s="2" t="s">
        <v>2413</v>
      </c>
      <c r="C6716" s="2">
        <v>3</v>
      </c>
      <c r="D6716" t="str">
        <f t="shared" si="104"/>
        <v>CA-2017-137449_FUR-TA-10002855</v>
      </c>
      <c r="E6716" t="str">
        <f>IF(COUNTIF(data1!$D:$D,D6716)=0,"Missing in Data1","Present")</f>
        <v>Present</v>
      </c>
    </row>
    <row r="6717" spans="1:5" x14ac:dyDescent="0.25">
      <c r="A6717" s="2" t="s">
        <v>5248</v>
      </c>
      <c r="B6717" s="2" t="s">
        <v>1457</v>
      </c>
      <c r="C6717" s="2">
        <v>2</v>
      </c>
      <c r="D6717" t="str">
        <f t="shared" si="104"/>
        <v>CA-2017-137449_OFF-AP-10000240</v>
      </c>
      <c r="E6717" t="str">
        <f>IF(COUNTIF(data1!$D:$D,D6717)=0,"Missing in Data1","Present")</f>
        <v>Present</v>
      </c>
    </row>
    <row r="6718" spans="1:5" x14ac:dyDescent="0.25">
      <c r="A6718" s="2" t="s">
        <v>5251</v>
      </c>
      <c r="B6718" s="2" t="s">
        <v>5252</v>
      </c>
      <c r="C6718" s="2">
        <v>5</v>
      </c>
      <c r="D6718" t="str">
        <f t="shared" si="104"/>
        <v>CA-2017-137463_OFF-AR-10001988</v>
      </c>
      <c r="E6718" t="str">
        <f>IF(COUNTIF(data1!$D:$D,D6718)=0,"Missing in Data1","Present")</f>
        <v>Present</v>
      </c>
    </row>
    <row r="6719" spans="1:5" x14ac:dyDescent="0.25">
      <c r="A6719" s="2" t="s">
        <v>5251</v>
      </c>
      <c r="B6719" s="2" t="s">
        <v>1525</v>
      </c>
      <c r="C6719" s="2">
        <v>2</v>
      </c>
      <c r="D6719" t="str">
        <f t="shared" si="104"/>
        <v>CA-2017-137463_OFF-BI-10003196</v>
      </c>
      <c r="E6719" t="str">
        <f>IF(COUNTIF(data1!$D:$D,D6719)=0,"Missing in Data1","Present")</f>
        <v>Present</v>
      </c>
    </row>
    <row r="6720" spans="1:5" x14ac:dyDescent="0.25">
      <c r="A6720" s="2" t="s">
        <v>5251</v>
      </c>
      <c r="B6720" s="2" t="s">
        <v>1797</v>
      </c>
      <c r="C6720" s="2">
        <v>3</v>
      </c>
      <c r="D6720" t="str">
        <f t="shared" si="104"/>
        <v>CA-2017-137463_OFF-LA-10003498</v>
      </c>
      <c r="E6720" t="str">
        <f>IF(COUNTIF(data1!$D:$D,D6720)=0,"Missing in Data1","Present")</f>
        <v>Present</v>
      </c>
    </row>
    <row r="6721" spans="1:5" x14ac:dyDescent="0.25">
      <c r="A6721" s="2" t="s">
        <v>5251</v>
      </c>
      <c r="B6721" s="2" t="s">
        <v>4216</v>
      </c>
      <c r="C6721" s="2">
        <v>5</v>
      </c>
      <c r="D6721" t="str">
        <f t="shared" si="104"/>
        <v>CA-2017-137463_TEC-AC-10000057</v>
      </c>
      <c r="E6721" t="str">
        <f>IF(COUNTIF(data1!$D:$D,D6721)=0,"Missing in Data1","Present")</f>
        <v>Present</v>
      </c>
    </row>
    <row r="6722" spans="1:5" x14ac:dyDescent="0.25">
      <c r="A6722" s="2" t="s">
        <v>5251</v>
      </c>
      <c r="B6722" s="2" t="s">
        <v>2665</v>
      </c>
      <c r="C6722" s="2">
        <v>5</v>
      </c>
      <c r="D6722" t="str">
        <f t="shared" si="104"/>
        <v>CA-2017-137463_TEC-AC-10000358</v>
      </c>
      <c r="E6722" t="str">
        <f>IF(COUNTIF(data1!$D:$D,D6722)=0,"Missing in Data1","Present")</f>
        <v>Present</v>
      </c>
    </row>
    <row r="6723" spans="1:5" x14ac:dyDescent="0.25">
      <c r="A6723" s="2" t="s">
        <v>5253</v>
      </c>
      <c r="B6723" s="2" t="s">
        <v>5254</v>
      </c>
      <c r="C6723" s="2">
        <v>2</v>
      </c>
      <c r="D6723" t="str">
        <f t="shared" ref="D6723:D6786" si="105">A6723&amp;"_"&amp;B6723</f>
        <v>CA-2017-137470_OFF-PA-10002001</v>
      </c>
      <c r="E6723" t="str">
        <f>IF(COUNTIF(data1!$D:$D,D6723)=0,"Missing in Data1","Present")</f>
        <v>Present</v>
      </c>
    </row>
    <row r="6724" spans="1:5" x14ac:dyDescent="0.25">
      <c r="A6724" s="2" t="s">
        <v>5255</v>
      </c>
      <c r="B6724" s="2" t="s">
        <v>246</v>
      </c>
      <c r="C6724" s="2">
        <v>5</v>
      </c>
      <c r="D6724" t="str">
        <f t="shared" si="105"/>
        <v>CA-2017-137498_FUR-CH-10003833</v>
      </c>
      <c r="E6724" t="str">
        <f>IF(COUNTIF(data1!$D:$D,D6724)=0,"Missing in Data1","Present")</f>
        <v>Present</v>
      </c>
    </row>
    <row r="6725" spans="1:5" x14ac:dyDescent="0.25">
      <c r="A6725" s="2" t="s">
        <v>5255</v>
      </c>
      <c r="B6725" s="2" t="s">
        <v>617</v>
      </c>
      <c r="C6725" s="2">
        <v>2</v>
      </c>
      <c r="D6725" t="str">
        <f t="shared" si="105"/>
        <v>CA-2017-137498_OFF-AR-10003829</v>
      </c>
      <c r="E6725" t="str">
        <f>IF(COUNTIF(data1!$D:$D,D6725)=0,"Missing in Data1","Present")</f>
        <v>Present</v>
      </c>
    </row>
    <row r="6726" spans="1:5" x14ac:dyDescent="0.25">
      <c r="A6726" s="2" t="s">
        <v>5255</v>
      </c>
      <c r="B6726" s="2" t="s">
        <v>1833</v>
      </c>
      <c r="C6726" s="2">
        <v>9</v>
      </c>
      <c r="D6726" t="str">
        <f t="shared" si="105"/>
        <v>CA-2017-137498_OFF-PA-10000143</v>
      </c>
      <c r="E6726" t="str">
        <f>IF(COUNTIF(data1!$D:$D,D6726)=0,"Missing in Data1","Present")</f>
        <v>Present</v>
      </c>
    </row>
    <row r="6727" spans="1:5" x14ac:dyDescent="0.25">
      <c r="A6727" s="2" t="s">
        <v>5256</v>
      </c>
      <c r="B6727" s="2" t="s">
        <v>1115</v>
      </c>
      <c r="C6727" s="2">
        <v>2</v>
      </c>
      <c r="D6727" t="str">
        <f t="shared" si="105"/>
        <v>CA-2017-137505_FUR-TA-10000617</v>
      </c>
      <c r="E6727" t="str">
        <f>IF(COUNTIF(data1!$D:$D,D6727)=0,"Missing in Data1","Present")</f>
        <v>Present</v>
      </c>
    </row>
    <row r="6728" spans="1:5" x14ac:dyDescent="0.25">
      <c r="A6728" s="2" t="s">
        <v>5256</v>
      </c>
      <c r="B6728" s="2" t="s">
        <v>513</v>
      </c>
      <c r="C6728" s="2">
        <v>2</v>
      </c>
      <c r="D6728" t="str">
        <f t="shared" si="105"/>
        <v>CA-2017-137505_FUR-TA-10001676</v>
      </c>
      <c r="E6728" t="str">
        <f>IF(COUNTIF(data1!$D:$D,D6728)=0,"Missing in Data1","Present")</f>
        <v>Present</v>
      </c>
    </row>
    <row r="6729" spans="1:5" x14ac:dyDescent="0.25">
      <c r="A6729" s="2" t="s">
        <v>5257</v>
      </c>
      <c r="B6729" s="2" t="s">
        <v>1065</v>
      </c>
      <c r="C6729" s="2">
        <v>3</v>
      </c>
      <c r="D6729" t="str">
        <f t="shared" si="105"/>
        <v>CA-2017-137582_OFF-BI-10001757</v>
      </c>
      <c r="E6729" t="str">
        <f>IF(COUNTIF(data1!$D:$D,D6729)=0,"Missing in Data1","Present")</f>
        <v>Present</v>
      </c>
    </row>
    <row r="6730" spans="1:5" x14ac:dyDescent="0.25">
      <c r="A6730" s="2" t="s">
        <v>5258</v>
      </c>
      <c r="B6730" s="2" t="s">
        <v>5259</v>
      </c>
      <c r="C6730" s="2">
        <v>7</v>
      </c>
      <c r="D6730" t="str">
        <f t="shared" si="105"/>
        <v>CA-2017-137596_TEC-AC-10004666</v>
      </c>
      <c r="E6730" t="str">
        <f>IF(COUNTIF(data1!$D:$D,D6730)=0,"Missing in Data1","Present")</f>
        <v>Present</v>
      </c>
    </row>
    <row r="6731" spans="1:5" x14ac:dyDescent="0.25">
      <c r="A6731" s="2" t="s">
        <v>5258</v>
      </c>
      <c r="B6731" s="2" t="s">
        <v>1997</v>
      </c>
      <c r="C6731" s="2">
        <v>4</v>
      </c>
      <c r="D6731" t="str">
        <f t="shared" si="105"/>
        <v>CA-2017-137596_TEC-PH-10001494</v>
      </c>
      <c r="E6731" t="str">
        <f>IF(COUNTIF(data1!$D:$D,D6731)=0,"Missing in Data1","Present")</f>
        <v>Present</v>
      </c>
    </row>
    <row r="6732" spans="1:5" x14ac:dyDescent="0.25">
      <c r="A6732" s="2" t="s">
        <v>5260</v>
      </c>
      <c r="B6732" s="2" t="s">
        <v>84</v>
      </c>
      <c r="C6732" s="2">
        <v>2</v>
      </c>
      <c r="D6732" t="str">
        <f t="shared" si="105"/>
        <v>CA-2017-137624_FUR-CH-10001714</v>
      </c>
      <c r="E6732" t="str">
        <f>IF(COUNTIF(data1!$D:$D,D6732)=0,"Missing in Data1","Present")</f>
        <v>Present</v>
      </c>
    </row>
    <row r="6733" spans="1:5" x14ac:dyDescent="0.25">
      <c r="A6733" s="2" t="s">
        <v>5261</v>
      </c>
      <c r="B6733" s="2" t="s">
        <v>3339</v>
      </c>
      <c r="C6733" s="2">
        <v>2</v>
      </c>
      <c r="D6733" t="str">
        <f t="shared" si="105"/>
        <v>CA-2017-137631_TEC-PH-10002624</v>
      </c>
      <c r="E6733" t="str">
        <f>IF(COUNTIF(data1!$D:$D,D6733)=0,"Missing in Data1","Present")</f>
        <v>Present</v>
      </c>
    </row>
    <row r="6734" spans="1:5" x14ac:dyDescent="0.25">
      <c r="A6734" s="2" t="s">
        <v>5262</v>
      </c>
      <c r="B6734" s="2" t="s">
        <v>1375</v>
      </c>
      <c r="C6734" s="2">
        <v>5</v>
      </c>
      <c r="D6734" t="str">
        <f t="shared" si="105"/>
        <v>CA-2017-137785_FUR-CH-10001482</v>
      </c>
      <c r="E6734" t="str">
        <f>IF(COUNTIF(data1!$D:$D,D6734)=0,"Missing in Data1","Present")</f>
        <v>Present</v>
      </c>
    </row>
    <row r="6735" spans="1:5" x14ac:dyDescent="0.25">
      <c r="A6735" s="2" t="s">
        <v>5263</v>
      </c>
      <c r="B6735" s="2" t="s">
        <v>594</v>
      </c>
      <c r="C6735" s="2">
        <v>2</v>
      </c>
      <c r="D6735" t="str">
        <f t="shared" si="105"/>
        <v>CA-2017-137876_FUR-FU-10000222</v>
      </c>
      <c r="E6735" t="str">
        <f>IF(COUNTIF(data1!$D:$D,D6735)=0,"Missing in Data1","Present")</f>
        <v>Missing in Data1</v>
      </c>
    </row>
    <row r="6736" spans="1:5" x14ac:dyDescent="0.25">
      <c r="A6736" s="2" t="s">
        <v>5263</v>
      </c>
      <c r="B6736" s="2" t="s">
        <v>909</v>
      </c>
      <c r="C6736" s="2">
        <v>4</v>
      </c>
      <c r="D6736" t="str">
        <f t="shared" si="105"/>
        <v>CA-2017-137876_OFF-EN-10001219</v>
      </c>
      <c r="E6736" t="str">
        <f>IF(COUNTIF(data1!$D:$D,D6736)=0,"Missing in Data1","Present")</f>
        <v>Present</v>
      </c>
    </row>
    <row r="6737" spans="1:5" x14ac:dyDescent="0.25">
      <c r="A6737" s="2" t="s">
        <v>5264</v>
      </c>
      <c r="B6737" s="2" t="s">
        <v>1850</v>
      </c>
      <c r="C6737" s="2">
        <v>7</v>
      </c>
      <c r="D6737" t="str">
        <f t="shared" si="105"/>
        <v>CA-2017-137918_OFF-SU-10000898</v>
      </c>
      <c r="E6737" t="str">
        <f>IF(COUNTIF(data1!$D:$D,D6737)=0,"Missing in Data1","Present")</f>
        <v>Present</v>
      </c>
    </row>
    <row r="6738" spans="1:5" x14ac:dyDescent="0.25">
      <c r="A6738" s="2" t="s">
        <v>5265</v>
      </c>
      <c r="B6738" s="2" t="s">
        <v>4301</v>
      </c>
      <c r="C6738" s="2">
        <v>2</v>
      </c>
      <c r="D6738" t="str">
        <f t="shared" si="105"/>
        <v>CA-2017-138149_OFF-AR-10000255</v>
      </c>
      <c r="E6738" t="str">
        <f>IF(COUNTIF(data1!$D:$D,D6738)=0,"Missing in Data1","Present")</f>
        <v>Present</v>
      </c>
    </row>
    <row r="6739" spans="1:5" x14ac:dyDescent="0.25">
      <c r="A6739" s="2" t="s">
        <v>5265</v>
      </c>
      <c r="B6739" s="2" t="s">
        <v>5266</v>
      </c>
      <c r="C6739" s="2">
        <v>5</v>
      </c>
      <c r="D6739" t="str">
        <f t="shared" si="105"/>
        <v>CA-2017-138149_OFF-BI-10003091</v>
      </c>
      <c r="E6739" t="str">
        <f>IF(COUNTIF(data1!$D:$D,D6739)=0,"Missing in Data1","Present")</f>
        <v>Present</v>
      </c>
    </row>
    <row r="6740" spans="1:5" x14ac:dyDescent="0.25">
      <c r="A6740" s="2" t="s">
        <v>5265</v>
      </c>
      <c r="B6740" s="2" t="s">
        <v>1717</v>
      </c>
      <c r="C6740" s="2">
        <v>3</v>
      </c>
      <c r="D6740" t="str">
        <f t="shared" si="105"/>
        <v>CA-2017-138149_OFF-ST-10002974</v>
      </c>
      <c r="E6740" t="str">
        <f>IF(COUNTIF(data1!$D:$D,D6740)=0,"Missing in Data1","Present")</f>
        <v>Present</v>
      </c>
    </row>
    <row r="6741" spans="1:5" x14ac:dyDescent="0.25">
      <c r="A6741" s="2" t="s">
        <v>5265</v>
      </c>
      <c r="B6741" s="2" t="s">
        <v>340</v>
      </c>
      <c r="C6741" s="2">
        <v>3</v>
      </c>
      <c r="D6741" t="str">
        <f t="shared" si="105"/>
        <v>CA-2017-138149_TEC-AC-10001284</v>
      </c>
      <c r="E6741" t="str">
        <f>IF(COUNTIF(data1!$D:$D,D6741)=0,"Missing in Data1","Present")</f>
        <v>Present</v>
      </c>
    </row>
    <row r="6742" spans="1:5" x14ac:dyDescent="0.25">
      <c r="A6742" s="2" t="s">
        <v>5267</v>
      </c>
      <c r="B6742" s="2" t="s">
        <v>3987</v>
      </c>
      <c r="C6742" s="2">
        <v>2</v>
      </c>
      <c r="D6742" t="str">
        <f t="shared" si="105"/>
        <v>CA-2017-138156_FUR-FU-10003601</v>
      </c>
      <c r="E6742" t="str">
        <f>IF(COUNTIF(data1!$D:$D,D6742)=0,"Missing in Data1","Present")</f>
        <v>Present</v>
      </c>
    </row>
    <row r="6743" spans="1:5" x14ac:dyDescent="0.25">
      <c r="A6743" s="2" t="s">
        <v>5268</v>
      </c>
      <c r="B6743" s="2" t="s">
        <v>3156</v>
      </c>
      <c r="C6743" s="2">
        <v>3</v>
      </c>
      <c r="D6743" t="str">
        <f t="shared" si="105"/>
        <v>CA-2017-138163_OFF-AR-10001958</v>
      </c>
      <c r="E6743" t="str">
        <f>IF(COUNTIF(data1!$D:$D,D6743)=0,"Missing in Data1","Present")</f>
        <v>Present</v>
      </c>
    </row>
    <row r="6744" spans="1:5" x14ac:dyDescent="0.25">
      <c r="A6744" s="2" t="s">
        <v>5269</v>
      </c>
      <c r="B6744" s="2" t="s">
        <v>524</v>
      </c>
      <c r="C6744" s="2">
        <v>3</v>
      </c>
      <c r="D6744" t="str">
        <f t="shared" si="105"/>
        <v>CA-2017-138289_FUR-CH-10004626</v>
      </c>
      <c r="E6744" t="str">
        <f>IF(COUNTIF(data1!$D:$D,D6744)=0,"Missing in Data1","Present")</f>
        <v>Present</v>
      </c>
    </row>
    <row r="6745" spans="1:5" x14ac:dyDescent="0.25">
      <c r="A6745" s="2" t="s">
        <v>5269</v>
      </c>
      <c r="B6745" s="2" t="s">
        <v>1302</v>
      </c>
      <c r="C6745" s="2">
        <v>4</v>
      </c>
      <c r="D6745" t="str">
        <f t="shared" si="105"/>
        <v>CA-2017-138289_OFF-BI-10004995</v>
      </c>
      <c r="E6745" t="str">
        <f>IF(COUNTIF(data1!$D:$D,D6745)=0,"Missing in Data1","Present")</f>
        <v>Present</v>
      </c>
    </row>
    <row r="6746" spans="1:5" x14ac:dyDescent="0.25">
      <c r="A6746" s="2" t="s">
        <v>5269</v>
      </c>
      <c r="B6746" s="2" t="s">
        <v>5270</v>
      </c>
      <c r="C6746" s="2">
        <v>7</v>
      </c>
      <c r="D6746" t="str">
        <f t="shared" si="105"/>
        <v>CA-2017-138289_OFF-PA-10001260</v>
      </c>
      <c r="E6746" t="str">
        <f>IF(COUNTIF(data1!$D:$D,D6746)=0,"Missing in Data1","Present")</f>
        <v>Present</v>
      </c>
    </row>
    <row r="6747" spans="1:5" x14ac:dyDescent="0.25">
      <c r="A6747" s="2" t="s">
        <v>5271</v>
      </c>
      <c r="B6747" s="2" t="s">
        <v>3755</v>
      </c>
      <c r="C6747" s="2">
        <v>9</v>
      </c>
      <c r="D6747" t="str">
        <f t="shared" si="105"/>
        <v>CA-2017-138310_TEC-AC-10001990</v>
      </c>
      <c r="E6747" t="str">
        <f>IF(COUNTIF(data1!$D:$D,D6747)=0,"Missing in Data1","Present")</f>
        <v>Present</v>
      </c>
    </row>
    <row r="6748" spans="1:5" x14ac:dyDescent="0.25">
      <c r="A6748" s="2" t="s">
        <v>6832</v>
      </c>
      <c r="B6748" s="2" t="s">
        <v>1291</v>
      </c>
      <c r="C6748" s="2">
        <v>7</v>
      </c>
      <c r="D6748" t="str">
        <f t="shared" si="105"/>
        <v>CA-2017-138380_OFF-ST-10003306</v>
      </c>
      <c r="E6748" t="str">
        <f>IF(COUNTIF(data1!$D:$D,D6748)=0,"Missing in Data1","Present")</f>
        <v>Missing in Data1</v>
      </c>
    </row>
    <row r="6749" spans="1:5" x14ac:dyDescent="0.25">
      <c r="A6749" s="2" t="s">
        <v>5272</v>
      </c>
      <c r="B6749" s="2" t="s">
        <v>2480</v>
      </c>
      <c r="C6749" s="2">
        <v>3</v>
      </c>
      <c r="D6749" t="str">
        <f t="shared" si="105"/>
        <v>CA-2017-138422_OFF-EN-10004147</v>
      </c>
      <c r="E6749" t="str">
        <f>IF(COUNTIF(data1!$D:$D,D6749)=0,"Missing in Data1","Present")</f>
        <v>Present</v>
      </c>
    </row>
    <row r="6750" spans="1:5" x14ac:dyDescent="0.25">
      <c r="A6750" s="2" t="s">
        <v>5273</v>
      </c>
      <c r="B6750" s="2" t="s">
        <v>2724</v>
      </c>
      <c r="C6750" s="2">
        <v>3</v>
      </c>
      <c r="D6750" t="str">
        <f t="shared" si="105"/>
        <v>CA-2017-138464_FUR-FU-10003142</v>
      </c>
      <c r="E6750" t="str">
        <f>IF(COUNTIF(data1!$D:$D,D6750)=0,"Missing in Data1","Present")</f>
        <v>Present</v>
      </c>
    </row>
    <row r="6751" spans="1:5" x14ac:dyDescent="0.25">
      <c r="A6751" s="2" t="s">
        <v>5273</v>
      </c>
      <c r="B6751" s="2" t="s">
        <v>1535</v>
      </c>
      <c r="C6751" s="2">
        <v>3</v>
      </c>
      <c r="D6751" t="str">
        <f t="shared" si="105"/>
        <v>CA-2017-138464_OFF-AR-10003560</v>
      </c>
      <c r="E6751" t="str">
        <f>IF(COUNTIF(data1!$D:$D,D6751)=0,"Missing in Data1","Present")</f>
        <v>Missing in Data1</v>
      </c>
    </row>
    <row r="6752" spans="1:5" x14ac:dyDescent="0.25">
      <c r="A6752" s="2" t="s">
        <v>5273</v>
      </c>
      <c r="B6752" s="2" t="s">
        <v>58</v>
      </c>
      <c r="C6752" s="2">
        <v>4</v>
      </c>
      <c r="D6752" t="str">
        <f t="shared" si="105"/>
        <v>CA-2017-138464_OFF-AR-10004757</v>
      </c>
      <c r="E6752" t="str">
        <f>IF(COUNTIF(data1!$D:$D,D6752)=0,"Missing in Data1","Present")</f>
        <v>Present</v>
      </c>
    </row>
    <row r="6753" spans="1:5" x14ac:dyDescent="0.25">
      <c r="A6753" s="2" t="s">
        <v>5273</v>
      </c>
      <c r="B6753" s="2" t="s">
        <v>1413</v>
      </c>
      <c r="C6753" s="2">
        <v>3</v>
      </c>
      <c r="D6753" t="str">
        <f t="shared" si="105"/>
        <v>CA-2017-138464_OFF-BI-10001543</v>
      </c>
      <c r="E6753" t="str">
        <f>IF(COUNTIF(data1!$D:$D,D6753)=0,"Missing in Data1","Present")</f>
        <v>Present</v>
      </c>
    </row>
    <row r="6754" spans="1:5" x14ac:dyDescent="0.25">
      <c r="A6754" s="2" t="s">
        <v>5274</v>
      </c>
      <c r="B6754" s="2" t="s">
        <v>518</v>
      </c>
      <c r="C6754" s="2">
        <v>2</v>
      </c>
      <c r="D6754" t="str">
        <f t="shared" si="105"/>
        <v>CA-2017-138548_OFF-AP-10002578</v>
      </c>
      <c r="E6754" t="str">
        <f>IF(COUNTIF(data1!$D:$D,D6754)=0,"Missing in Data1","Present")</f>
        <v>Present</v>
      </c>
    </row>
    <row r="6755" spans="1:5" x14ac:dyDescent="0.25">
      <c r="A6755" s="2" t="s">
        <v>5275</v>
      </c>
      <c r="B6755" s="2" t="s">
        <v>1727</v>
      </c>
      <c r="C6755" s="2">
        <v>2</v>
      </c>
      <c r="D6755" t="str">
        <f t="shared" si="105"/>
        <v>CA-2017-138611_OFF-BI-10002949</v>
      </c>
      <c r="E6755" t="str">
        <f>IF(COUNTIF(data1!$D:$D,D6755)=0,"Missing in Data1","Present")</f>
        <v>Present</v>
      </c>
    </row>
    <row r="6756" spans="1:5" x14ac:dyDescent="0.25">
      <c r="A6756" s="2" t="s">
        <v>5275</v>
      </c>
      <c r="B6756" s="2" t="s">
        <v>2588</v>
      </c>
      <c r="C6756" s="2">
        <v>10</v>
      </c>
      <c r="D6756" t="str">
        <f t="shared" si="105"/>
        <v>CA-2017-138611_TEC-PH-10000011</v>
      </c>
      <c r="E6756" t="str">
        <f>IF(COUNTIF(data1!$D:$D,D6756)=0,"Missing in Data1","Present")</f>
        <v>Present</v>
      </c>
    </row>
    <row r="6757" spans="1:5" x14ac:dyDescent="0.25">
      <c r="A6757" s="2" t="s">
        <v>5276</v>
      </c>
      <c r="B6757" s="2" t="s">
        <v>3228</v>
      </c>
      <c r="C6757" s="2">
        <v>2</v>
      </c>
      <c r="D6757" t="str">
        <f t="shared" si="105"/>
        <v>CA-2017-138618_OFF-PA-10000520</v>
      </c>
      <c r="E6757" t="str">
        <f>IF(COUNTIF(data1!$D:$D,D6757)=0,"Missing in Data1","Present")</f>
        <v>Present</v>
      </c>
    </row>
    <row r="6758" spans="1:5" x14ac:dyDescent="0.25">
      <c r="A6758" s="2" t="s">
        <v>5277</v>
      </c>
      <c r="B6758" s="2" t="s">
        <v>5278</v>
      </c>
      <c r="C6758" s="2">
        <v>5</v>
      </c>
      <c r="D6758" t="str">
        <f t="shared" si="105"/>
        <v>CA-2017-138779_TEC-PH-10003655</v>
      </c>
      <c r="E6758" t="str">
        <f>IF(COUNTIF(data1!$D:$D,D6758)=0,"Missing in Data1","Present")</f>
        <v>Present</v>
      </c>
    </row>
    <row r="6759" spans="1:5" x14ac:dyDescent="0.25">
      <c r="A6759" s="2" t="s">
        <v>5279</v>
      </c>
      <c r="B6759" s="2" t="s">
        <v>2458</v>
      </c>
      <c r="C6759" s="2">
        <v>4</v>
      </c>
      <c r="D6759" t="str">
        <f t="shared" si="105"/>
        <v>CA-2017-138870_FUR-FU-10002396</v>
      </c>
      <c r="E6759" t="str">
        <f>IF(COUNTIF(data1!$D:$D,D6759)=0,"Missing in Data1","Present")</f>
        <v>Present</v>
      </c>
    </row>
    <row r="6760" spans="1:5" x14ac:dyDescent="0.25">
      <c r="A6760" s="2" t="s">
        <v>5279</v>
      </c>
      <c r="B6760" s="2" t="s">
        <v>5280</v>
      </c>
      <c r="C6760" s="2">
        <v>2</v>
      </c>
      <c r="D6760" t="str">
        <f t="shared" si="105"/>
        <v>CA-2017-138870_OFF-PA-10004438</v>
      </c>
      <c r="E6760" t="str">
        <f>IF(COUNTIF(data1!$D:$D,D6760)=0,"Missing in Data1","Present")</f>
        <v>Present</v>
      </c>
    </row>
    <row r="6761" spans="1:5" x14ac:dyDescent="0.25">
      <c r="A6761" s="2" t="s">
        <v>5281</v>
      </c>
      <c r="B6761" s="2" t="s">
        <v>2278</v>
      </c>
      <c r="C6761" s="2">
        <v>9</v>
      </c>
      <c r="D6761" t="str">
        <f t="shared" si="105"/>
        <v>CA-2017-138975_FUR-BO-10004695</v>
      </c>
      <c r="E6761" t="str">
        <f>IF(COUNTIF(data1!$D:$D,D6761)=0,"Missing in Data1","Present")</f>
        <v>Present</v>
      </c>
    </row>
    <row r="6762" spans="1:5" x14ac:dyDescent="0.25">
      <c r="A6762" s="2" t="s">
        <v>5281</v>
      </c>
      <c r="B6762" s="2" t="s">
        <v>915</v>
      </c>
      <c r="C6762" s="2">
        <v>7</v>
      </c>
      <c r="D6762" t="str">
        <f t="shared" si="105"/>
        <v>CA-2017-138975_OFF-PA-10000100</v>
      </c>
      <c r="E6762" t="str">
        <f>IF(COUNTIF(data1!$D:$D,D6762)=0,"Missing in Data1","Present")</f>
        <v>Present</v>
      </c>
    </row>
    <row r="6763" spans="1:5" x14ac:dyDescent="0.25">
      <c r="A6763" s="2" t="s">
        <v>5281</v>
      </c>
      <c r="B6763" s="2" t="s">
        <v>1841</v>
      </c>
      <c r="C6763" s="2">
        <v>4</v>
      </c>
      <c r="D6763" t="str">
        <f t="shared" si="105"/>
        <v>CA-2017-138975_TEC-AC-10003441</v>
      </c>
      <c r="E6763" t="str">
        <f>IF(COUNTIF(data1!$D:$D,D6763)=0,"Missing in Data1","Present")</f>
        <v>Present</v>
      </c>
    </row>
    <row r="6764" spans="1:5" x14ac:dyDescent="0.25">
      <c r="A6764" s="2" t="s">
        <v>5281</v>
      </c>
      <c r="B6764" s="2" t="s">
        <v>5692</v>
      </c>
      <c r="C6764" s="2">
        <v>3</v>
      </c>
      <c r="D6764" t="str">
        <f t="shared" si="105"/>
        <v>CA-2017-138975_TEC-PH-10004389</v>
      </c>
      <c r="E6764" t="str">
        <f>IF(COUNTIF(data1!$D:$D,D6764)=0,"Missing in Data1","Present")</f>
        <v>Missing in Data1</v>
      </c>
    </row>
    <row r="6765" spans="1:5" x14ac:dyDescent="0.25">
      <c r="A6765" s="2" t="s">
        <v>5282</v>
      </c>
      <c r="B6765" s="2" t="s">
        <v>1065</v>
      </c>
      <c r="C6765" s="2">
        <v>5</v>
      </c>
      <c r="D6765" t="str">
        <f t="shared" si="105"/>
        <v>CA-2017-139080_OFF-BI-10001757</v>
      </c>
      <c r="E6765" t="str">
        <f>IF(COUNTIF(data1!$D:$D,D6765)=0,"Missing in Data1","Present")</f>
        <v>Missing in Data1</v>
      </c>
    </row>
    <row r="6766" spans="1:5" x14ac:dyDescent="0.25">
      <c r="A6766" s="2" t="s">
        <v>5282</v>
      </c>
      <c r="B6766" s="2" t="s">
        <v>1644</v>
      </c>
      <c r="C6766" s="2">
        <v>1</v>
      </c>
      <c r="D6766" t="str">
        <f t="shared" si="105"/>
        <v>CA-2017-139080_OFF-PA-10002262</v>
      </c>
      <c r="E6766" t="str">
        <f>IF(COUNTIF(data1!$D:$D,D6766)=0,"Missing in Data1","Present")</f>
        <v>Present</v>
      </c>
    </row>
    <row r="6767" spans="1:5" x14ac:dyDescent="0.25">
      <c r="A6767" s="2" t="s">
        <v>5282</v>
      </c>
      <c r="B6767" s="2" t="s">
        <v>2081</v>
      </c>
      <c r="C6767" s="2">
        <v>4</v>
      </c>
      <c r="D6767" t="str">
        <f t="shared" si="105"/>
        <v>CA-2017-139080_OFF-PA-10004621</v>
      </c>
      <c r="E6767" t="str">
        <f>IF(COUNTIF(data1!$D:$D,D6767)=0,"Missing in Data1","Present")</f>
        <v>Present</v>
      </c>
    </row>
    <row r="6768" spans="1:5" x14ac:dyDescent="0.25">
      <c r="A6768" s="2" t="s">
        <v>5282</v>
      </c>
      <c r="B6768" s="2" t="s">
        <v>347</v>
      </c>
      <c r="C6768" s="2">
        <v>6</v>
      </c>
      <c r="D6768" t="str">
        <f t="shared" si="105"/>
        <v>CA-2017-139080_TEC-PH-10004100</v>
      </c>
      <c r="E6768" t="str">
        <f>IF(COUNTIF(data1!$D:$D,D6768)=0,"Missing in Data1","Present")</f>
        <v>Present</v>
      </c>
    </row>
    <row r="6769" spans="1:5" x14ac:dyDescent="0.25">
      <c r="A6769" s="2" t="s">
        <v>5283</v>
      </c>
      <c r="B6769" s="2" t="s">
        <v>233</v>
      </c>
      <c r="C6769" s="2">
        <v>3</v>
      </c>
      <c r="D6769" t="str">
        <f t="shared" si="105"/>
        <v>CA-2017-139199_FUR-CH-10000847</v>
      </c>
      <c r="E6769" t="str">
        <f>IF(COUNTIF(data1!$D:$D,D6769)=0,"Missing in Data1","Present")</f>
        <v>Present</v>
      </c>
    </row>
    <row r="6770" spans="1:5" x14ac:dyDescent="0.25">
      <c r="A6770" s="2" t="s">
        <v>5283</v>
      </c>
      <c r="B6770" s="2" t="s">
        <v>1117</v>
      </c>
      <c r="C6770" s="2">
        <v>2</v>
      </c>
      <c r="D6770" t="str">
        <f t="shared" si="105"/>
        <v>CA-2017-139199_OFF-BI-10003982</v>
      </c>
      <c r="E6770" t="str">
        <f>IF(COUNTIF(data1!$D:$D,D6770)=0,"Missing in Data1","Present")</f>
        <v>Present</v>
      </c>
    </row>
    <row r="6771" spans="1:5" x14ac:dyDescent="0.25">
      <c r="A6771" s="2" t="s">
        <v>5283</v>
      </c>
      <c r="B6771" s="2" t="s">
        <v>2571</v>
      </c>
      <c r="C6771" s="2">
        <v>2</v>
      </c>
      <c r="D6771" t="str">
        <f t="shared" si="105"/>
        <v>CA-2017-139199_OFF-PA-10001293</v>
      </c>
      <c r="E6771" t="str">
        <f>IF(COUNTIF(data1!$D:$D,D6771)=0,"Missing in Data1","Present")</f>
        <v>Present</v>
      </c>
    </row>
    <row r="6772" spans="1:5" x14ac:dyDescent="0.25">
      <c r="A6772" s="2" t="s">
        <v>5284</v>
      </c>
      <c r="B6772" s="2" t="s">
        <v>3396</v>
      </c>
      <c r="C6772" s="2">
        <v>3</v>
      </c>
      <c r="D6772" t="str">
        <f t="shared" si="105"/>
        <v>CA-2017-139304_OFF-AR-10001216</v>
      </c>
      <c r="E6772" t="str">
        <f>IF(COUNTIF(data1!$D:$D,D6772)=0,"Missing in Data1","Present")</f>
        <v>Present</v>
      </c>
    </row>
    <row r="6773" spans="1:5" x14ac:dyDescent="0.25">
      <c r="A6773" s="2" t="s">
        <v>5284</v>
      </c>
      <c r="B6773" s="2" t="s">
        <v>1564</v>
      </c>
      <c r="C6773" s="2">
        <v>8</v>
      </c>
      <c r="D6773" t="str">
        <f t="shared" si="105"/>
        <v>CA-2017-139304_OFF-BI-10002498</v>
      </c>
      <c r="E6773" t="str">
        <f>IF(COUNTIF(data1!$D:$D,D6773)=0,"Missing in Data1","Present")</f>
        <v>Present</v>
      </c>
    </row>
    <row r="6774" spans="1:5" x14ac:dyDescent="0.25">
      <c r="A6774" s="2" t="s">
        <v>5284</v>
      </c>
      <c r="B6774" s="2" t="s">
        <v>1352</v>
      </c>
      <c r="C6774" s="2">
        <v>1</v>
      </c>
      <c r="D6774" t="str">
        <f t="shared" si="105"/>
        <v>CA-2017-139304_OFF-SU-10001664</v>
      </c>
      <c r="E6774" t="str">
        <f>IF(COUNTIF(data1!$D:$D,D6774)=0,"Missing in Data1","Present")</f>
        <v>Present</v>
      </c>
    </row>
    <row r="6775" spans="1:5" x14ac:dyDescent="0.25">
      <c r="A6775" s="2" t="s">
        <v>5285</v>
      </c>
      <c r="B6775" s="2" t="s">
        <v>723</v>
      </c>
      <c r="C6775" s="2">
        <v>7</v>
      </c>
      <c r="D6775" t="str">
        <f t="shared" si="105"/>
        <v>CA-2017-139311_OFF-AR-10004582</v>
      </c>
      <c r="E6775" t="str">
        <f>IF(COUNTIF(data1!$D:$D,D6775)=0,"Missing in Data1","Present")</f>
        <v>Present</v>
      </c>
    </row>
    <row r="6776" spans="1:5" x14ac:dyDescent="0.25">
      <c r="A6776" s="2" t="s">
        <v>5285</v>
      </c>
      <c r="B6776" s="2" t="s">
        <v>248</v>
      </c>
      <c r="C6776" s="2">
        <v>8</v>
      </c>
      <c r="D6776" t="str">
        <f t="shared" si="105"/>
        <v>CA-2017-139311_OFF-BI-10004209</v>
      </c>
      <c r="E6776" t="str">
        <f>IF(COUNTIF(data1!$D:$D,D6776)=0,"Missing in Data1","Present")</f>
        <v>Present</v>
      </c>
    </row>
    <row r="6777" spans="1:5" x14ac:dyDescent="0.25">
      <c r="A6777" s="2" t="s">
        <v>5285</v>
      </c>
      <c r="B6777" s="2" t="s">
        <v>2062</v>
      </c>
      <c r="C6777" s="2">
        <v>4</v>
      </c>
      <c r="D6777" t="str">
        <f t="shared" si="105"/>
        <v>CA-2017-139311_OFF-PA-10001776</v>
      </c>
      <c r="E6777" t="str">
        <f>IF(COUNTIF(data1!$D:$D,D6777)=0,"Missing in Data1","Present")</f>
        <v>Missing in Data1</v>
      </c>
    </row>
    <row r="6778" spans="1:5" x14ac:dyDescent="0.25">
      <c r="A6778" s="2" t="s">
        <v>5285</v>
      </c>
      <c r="B6778" s="2" t="s">
        <v>312</v>
      </c>
      <c r="C6778" s="2">
        <v>2</v>
      </c>
      <c r="D6778" t="str">
        <f t="shared" si="105"/>
        <v>CA-2017-139311_TEC-PH-10001557</v>
      </c>
      <c r="E6778" t="str">
        <f>IF(COUNTIF(data1!$D:$D,D6778)=0,"Missing in Data1","Present")</f>
        <v>Present</v>
      </c>
    </row>
    <row r="6779" spans="1:5" x14ac:dyDescent="0.25">
      <c r="A6779" s="2" t="s">
        <v>5286</v>
      </c>
      <c r="B6779" s="2" t="s">
        <v>1163</v>
      </c>
      <c r="C6779" s="2">
        <v>3</v>
      </c>
      <c r="D6779" t="str">
        <f t="shared" si="105"/>
        <v>CA-2017-139353_FUR-FU-10001876</v>
      </c>
      <c r="E6779" t="str">
        <f>IF(COUNTIF(data1!$D:$D,D6779)=0,"Missing in Data1","Present")</f>
        <v>Missing in Data1</v>
      </c>
    </row>
    <row r="6780" spans="1:5" x14ac:dyDescent="0.25">
      <c r="A6780" s="2" t="s">
        <v>5286</v>
      </c>
      <c r="B6780" s="2" t="s">
        <v>3056</v>
      </c>
      <c r="C6780" s="2">
        <v>3</v>
      </c>
      <c r="D6780" t="str">
        <f t="shared" si="105"/>
        <v>CA-2017-139353_OFF-PA-10000300</v>
      </c>
      <c r="E6780" t="str">
        <f>IF(COUNTIF(data1!$D:$D,D6780)=0,"Missing in Data1","Present")</f>
        <v>Present</v>
      </c>
    </row>
    <row r="6781" spans="1:5" x14ac:dyDescent="0.25">
      <c r="A6781" s="2" t="s">
        <v>5286</v>
      </c>
      <c r="B6781" s="2" t="s">
        <v>374</v>
      </c>
      <c r="C6781" s="2">
        <v>2</v>
      </c>
      <c r="D6781" t="str">
        <f t="shared" si="105"/>
        <v>CA-2017-139353_OFF-ST-10001522</v>
      </c>
      <c r="E6781" t="str">
        <f>IF(COUNTIF(data1!$D:$D,D6781)=0,"Missing in Data1","Present")</f>
        <v>Present</v>
      </c>
    </row>
    <row r="6782" spans="1:5" x14ac:dyDescent="0.25">
      <c r="A6782" s="2" t="s">
        <v>5287</v>
      </c>
      <c r="B6782" s="2" t="s">
        <v>3711</v>
      </c>
      <c r="C6782" s="2">
        <v>3</v>
      </c>
      <c r="D6782" t="str">
        <f t="shared" si="105"/>
        <v>CA-2017-139402_OFF-BI-10000279</v>
      </c>
      <c r="E6782" t="str">
        <f>IF(COUNTIF(data1!$D:$D,D6782)=0,"Missing in Data1","Present")</f>
        <v>Present</v>
      </c>
    </row>
    <row r="6783" spans="1:5" x14ac:dyDescent="0.25">
      <c r="A6783" s="2" t="s">
        <v>5287</v>
      </c>
      <c r="B6783" s="2" t="s">
        <v>80</v>
      </c>
      <c r="C6783" s="2">
        <v>5</v>
      </c>
      <c r="D6783" t="str">
        <f t="shared" si="105"/>
        <v>CA-2017-139402_OFF-PA-10004359</v>
      </c>
      <c r="E6783" t="str">
        <f>IF(COUNTIF(data1!$D:$D,D6783)=0,"Missing in Data1","Present")</f>
        <v>Present</v>
      </c>
    </row>
    <row r="6784" spans="1:5" x14ac:dyDescent="0.25">
      <c r="A6784" s="2" t="s">
        <v>5288</v>
      </c>
      <c r="B6784" s="2" t="s">
        <v>2789</v>
      </c>
      <c r="C6784" s="2">
        <v>2</v>
      </c>
      <c r="D6784" t="str">
        <f t="shared" si="105"/>
        <v>CA-2017-139416_FUR-FU-10003832</v>
      </c>
      <c r="E6784" t="str">
        <f>IF(COUNTIF(data1!$D:$D,D6784)=0,"Missing in Data1","Present")</f>
        <v>Present</v>
      </c>
    </row>
    <row r="6785" spans="1:5" x14ac:dyDescent="0.25">
      <c r="A6785" s="2" t="s">
        <v>5289</v>
      </c>
      <c r="B6785" s="2" t="s">
        <v>3070</v>
      </c>
      <c r="C6785" s="2">
        <v>4</v>
      </c>
      <c r="D6785" t="str">
        <f t="shared" si="105"/>
        <v>CA-2017-139437_OFF-ST-10002485</v>
      </c>
      <c r="E6785" t="str">
        <f>IF(COUNTIF(data1!$D:$D,D6785)=0,"Missing in Data1","Present")</f>
        <v>Present</v>
      </c>
    </row>
    <row r="6786" spans="1:5" x14ac:dyDescent="0.25">
      <c r="A6786" s="2" t="s">
        <v>5290</v>
      </c>
      <c r="B6786" s="2" t="s">
        <v>1874</v>
      </c>
      <c r="C6786" s="2">
        <v>4</v>
      </c>
      <c r="D6786" t="str">
        <f t="shared" si="105"/>
        <v>CA-2017-139444_OFF-LA-10000134</v>
      </c>
      <c r="E6786" t="str">
        <f>IF(COUNTIF(data1!$D:$D,D6786)=0,"Missing in Data1","Present")</f>
        <v>Present</v>
      </c>
    </row>
    <row r="6787" spans="1:5" x14ac:dyDescent="0.25">
      <c r="A6787" s="2" t="s">
        <v>5291</v>
      </c>
      <c r="B6787" s="2" t="s">
        <v>1642</v>
      </c>
      <c r="C6787" s="2">
        <v>5</v>
      </c>
      <c r="D6787" t="str">
        <f t="shared" ref="D6787:D6850" si="106">A6787&amp;"_"&amp;B6787</f>
        <v>CA-2017-139493_OFF-AR-10003158</v>
      </c>
      <c r="E6787" t="str">
        <f>IF(COUNTIF(data1!$D:$D,D6787)=0,"Missing in Data1","Present")</f>
        <v>Present</v>
      </c>
    </row>
    <row r="6788" spans="1:5" x14ac:dyDescent="0.25">
      <c r="A6788" s="2" t="s">
        <v>5292</v>
      </c>
      <c r="B6788" s="2" t="s">
        <v>2114</v>
      </c>
      <c r="C6788" s="2">
        <v>2</v>
      </c>
      <c r="D6788" t="str">
        <f t="shared" si="106"/>
        <v>CA-2017-139619_OFF-ST-10003282</v>
      </c>
      <c r="E6788" t="str">
        <f>IF(COUNTIF(data1!$D:$D,D6788)=0,"Missing in Data1","Present")</f>
        <v>Present</v>
      </c>
    </row>
    <row r="6789" spans="1:5" x14ac:dyDescent="0.25">
      <c r="A6789" s="2" t="s">
        <v>5293</v>
      </c>
      <c r="B6789" s="2" t="s">
        <v>2254</v>
      </c>
      <c r="C6789" s="2">
        <v>2</v>
      </c>
      <c r="D6789" t="str">
        <f t="shared" si="106"/>
        <v>CA-2017-139661_FUR-FU-10002885</v>
      </c>
      <c r="E6789" t="str">
        <f>IF(COUNTIF(data1!$D:$D,D6789)=0,"Missing in Data1","Present")</f>
        <v>Present</v>
      </c>
    </row>
    <row r="6790" spans="1:5" x14ac:dyDescent="0.25">
      <c r="A6790" s="2" t="s">
        <v>5294</v>
      </c>
      <c r="B6790" s="2" t="s">
        <v>4419</v>
      </c>
      <c r="C6790" s="2">
        <v>8</v>
      </c>
      <c r="D6790" t="str">
        <f t="shared" si="106"/>
        <v>CA-2017-139717_OFF-AP-10000938</v>
      </c>
      <c r="E6790" t="str">
        <f>IF(COUNTIF(data1!$D:$D,D6790)=0,"Missing in Data1","Present")</f>
        <v>Present</v>
      </c>
    </row>
    <row r="6791" spans="1:5" x14ac:dyDescent="0.25">
      <c r="A6791" s="2" t="s">
        <v>5294</v>
      </c>
      <c r="B6791" s="2" t="s">
        <v>157</v>
      </c>
      <c r="C6791" s="2">
        <v>2</v>
      </c>
      <c r="D6791" t="str">
        <f t="shared" si="106"/>
        <v>CA-2017-139717_OFF-PA-10002195</v>
      </c>
      <c r="E6791" t="str">
        <f>IF(COUNTIF(data1!$D:$D,D6791)=0,"Missing in Data1","Present")</f>
        <v>Present</v>
      </c>
    </row>
    <row r="6792" spans="1:5" x14ac:dyDescent="0.25">
      <c r="A6792" s="2" t="s">
        <v>5295</v>
      </c>
      <c r="B6792" s="2" t="s">
        <v>501</v>
      </c>
      <c r="C6792" s="2">
        <v>7</v>
      </c>
      <c r="D6792" t="str">
        <f t="shared" si="106"/>
        <v>CA-2017-139773_FUR-CH-10001797</v>
      </c>
      <c r="E6792" t="str">
        <f>IF(COUNTIF(data1!$D:$D,D6792)=0,"Missing in Data1","Present")</f>
        <v>Present</v>
      </c>
    </row>
    <row r="6793" spans="1:5" x14ac:dyDescent="0.25">
      <c r="A6793" s="2" t="s">
        <v>5296</v>
      </c>
      <c r="B6793" s="2" t="s">
        <v>889</v>
      </c>
      <c r="C6793" s="2">
        <v>5</v>
      </c>
      <c r="D6793" t="str">
        <f t="shared" si="106"/>
        <v>CA-2017-139787_OFF-AR-10002445</v>
      </c>
      <c r="E6793" t="str">
        <f>IF(COUNTIF(data1!$D:$D,D6793)=0,"Missing in Data1","Present")</f>
        <v>Present</v>
      </c>
    </row>
    <row r="6794" spans="1:5" x14ac:dyDescent="0.25">
      <c r="A6794" s="2" t="s">
        <v>5297</v>
      </c>
      <c r="B6794" s="2" t="s">
        <v>2888</v>
      </c>
      <c r="C6794" s="2">
        <v>2</v>
      </c>
      <c r="D6794" t="str">
        <f t="shared" si="106"/>
        <v>CA-2017-139822_TEC-AC-10001090</v>
      </c>
      <c r="E6794" t="str">
        <f>IF(COUNTIF(data1!$D:$D,D6794)=0,"Missing in Data1","Present")</f>
        <v>Present</v>
      </c>
    </row>
    <row r="6795" spans="1:5" x14ac:dyDescent="0.25">
      <c r="A6795" s="2" t="s">
        <v>5298</v>
      </c>
      <c r="B6795" s="2" t="s">
        <v>176</v>
      </c>
      <c r="C6795" s="2">
        <v>11</v>
      </c>
      <c r="D6795" t="str">
        <f t="shared" si="106"/>
        <v>CA-2017-139913_FUR-FU-10000771</v>
      </c>
      <c r="E6795" t="str">
        <f>IF(COUNTIF(data1!$D:$D,D6795)=0,"Missing in Data1","Present")</f>
        <v>Present</v>
      </c>
    </row>
    <row r="6796" spans="1:5" x14ac:dyDescent="0.25">
      <c r="A6796" s="2" t="s">
        <v>5298</v>
      </c>
      <c r="B6796" s="2" t="s">
        <v>682</v>
      </c>
      <c r="C6796" s="2">
        <v>5</v>
      </c>
      <c r="D6796" t="str">
        <f t="shared" si="106"/>
        <v>CA-2017-139913_OFF-PA-10002479</v>
      </c>
      <c r="E6796" t="str">
        <f>IF(COUNTIF(data1!$D:$D,D6796)=0,"Missing in Data1","Present")</f>
        <v>Present</v>
      </c>
    </row>
    <row r="6797" spans="1:5" x14ac:dyDescent="0.25">
      <c r="A6797" s="2" t="s">
        <v>5298</v>
      </c>
      <c r="B6797" s="2" t="s">
        <v>5299</v>
      </c>
      <c r="C6797" s="2">
        <v>2</v>
      </c>
      <c r="D6797" t="str">
        <f t="shared" si="106"/>
        <v>CA-2017-139913_OFF-PA-10003739</v>
      </c>
      <c r="E6797" t="str">
        <f>IF(COUNTIF(data1!$D:$D,D6797)=0,"Missing in Data1","Present")</f>
        <v>Present</v>
      </c>
    </row>
    <row r="6798" spans="1:5" x14ac:dyDescent="0.25">
      <c r="A6798" s="2" t="s">
        <v>5298</v>
      </c>
      <c r="B6798" s="2" t="s">
        <v>924</v>
      </c>
      <c r="C6798" s="2">
        <v>3</v>
      </c>
      <c r="D6798" t="str">
        <f t="shared" si="106"/>
        <v>CA-2017-139913_TEC-PH-10001552</v>
      </c>
      <c r="E6798" t="str">
        <f>IF(COUNTIF(data1!$D:$D,D6798)=0,"Missing in Data1","Present")</f>
        <v>Present</v>
      </c>
    </row>
    <row r="6799" spans="1:5" x14ac:dyDescent="0.25">
      <c r="A6799" s="2" t="s">
        <v>5300</v>
      </c>
      <c r="B6799" s="2" t="s">
        <v>3622</v>
      </c>
      <c r="C6799" s="2">
        <v>2</v>
      </c>
      <c r="D6799" t="str">
        <f t="shared" si="106"/>
        <v>CA-2017-139948_FUR-FU-10002597</v>
      </c>
      <c r="E6799" t="str">
        <f>IF(COUNTIF(data1!$D:$D,D6799)=0,"Missing in Data1","Present")</f>
        <v>Present</v>
      </c>
    </row>
    <row r="6800" spans="1:5" x14ac:dyDescent="0.25">
      <c r="A6800" s="2" t="s">
        <v>5301</v>
      </c>
      <c r="B6800" s="2" t="s">
        <v>1768</v>
      </c>
      <c r="C6800" s="2">
        <v>9</v>
      </c>
      <c r="D6800" t="str">
        <f t="shared" si="106"/>
        <v>CA-2017-140053_FUR-FU-10003708</v>
      </c>
      <c r="E6800" t="str">
        <f>IF(COUNTIF(data1!$D:$D,D6800)=0,"Missing in Data1","Present")</f>
        <v>Present</v>
      </c>
    </row>
    <row r="6801" spans="1:5" x14ac:dyDescent="0.25">
      <c r="A6801" s="2" t="s">
        <v>5302</v>
      </c>
      <c r="B6801" s="2" t="s">
        <v>474</v>
      </c>
      <c r="C6801" s="2">
        <v>2</v>
      </c>
      <c r="D6801" t="str">
        <f t="shared" si="106"/>
        <v>CA-2017-140088_FUR-CH-10000863</v>
      </c>
      <c r="E6801" t="str">
        <f>IF(COUNTIF(data1!$D:$D,D6801)=0,"Missing in Data1","Present")</f>
        <v>Present</v>
      </c>
    </row>
    <row r="6802" spans="1:5" x14ac:dyDescent="0.25">
      <c r="A6802" s="2" t="s">
        <v>5303</v>
      </c>
      <c r="B6802" s="2" t="s">
        <v>47</v>
      </c>
      <c r="C6802" s="2">
        <v>3</v>
      </c>
      <c r="D6802" t="str">
        <f t="shared" si="106"/>
        <v>CA-2017-140151_OFF-PA-10002986</v>
      </c>
      <c r="E6802" t="str">
        <f>IF(COUNTIF(data1!$D:$D,D6802)=0,"Missing in Data1","Present")</f>
        <v>Present</v>
      </c>
    </row>
    <row r="6803" spans="1:5" x14ac:dyDescent="0.25">
      <c r="A6803" s="2" t="s">
        <v>5303</v>
      </c>
      <c r="B6803" s="2" t="s">
        <v>1735</v>
      </c>
      <c r="C6803" s="2">
        <v>2</v>
      </c>
      <c r="D6803" t="str">
        <f t="shared" si="106"/>
        <v>CA-2017-140151_OFF-ST-10001558</v>
      </c>
      <c r="E6803" t="str">
        <f>IF(COUNTIF(data1!$D:$D,D6803)=0,"Missing in Data1","Present")</f>
        <v>Present</v>
      </c>
    </row>
    <row r="6804" spans="1:5" x14ac:dyDescent="0.25">
      <c r="A6804" s="2" t="s">
        <v>5303</v>
      </c>
      <c r="B6804" s="2" t="s">
        <v>3527</v>
      </c>
      <c r="C6804" s="2">
        <v>4</v>
      </c>
      <c r="D6804" t="str">
        <f t="shared" si="106"/>
        <v>CA-2017-140151_TEC-CO-10004722</v>
      </c>
      <c r="E6804" t="str">
        <f>IF(COUNTIF(data1!$D:$D,D6804)=0,"Missing in Data1","Present")</f>
        <v>Present</v>
      </c>
    </row>
    <row r="6805" spans="1:5" x14ac:dyDescent="0.25">
      <c r="A6805" s="2" t="s">
        <v>5304</v>
      </c>
      <c r="B6805" s="2" t="s">
        <v>3591</v>
      </c>
      <c r="C6805" s="2">
        <v>1</v>
      </c>
      <c r="D6805" t="str">
        <f t="shared" si="106"/>
        <v>CA-2017-140186_FUR-CH-10002961</v>
      </c>
      <c r="E6805" t="str">
        <f>IF(COUNTIF(data1!$D:$D,D6805)=0,"Missing in Data1","Present")</f>
        <v>Present</v>
      </c>
    </row>
    <row r="6806" spans="1:5" x14ac:dyDescent="0.25">
      <c r="A6806" s="2" t="s">
        <v>5304</v>
      </c>
      <c r="B6806" s="2" t="s">
        <v>2725</v>
      </c>
      <c r="C6806" s="2">
        <v>1</v>
      </c>
      <c r="D6806" t="str">
        <f t="shared" si="106"/>
        <v>CA-2017-140186_FUR-FU-10004848</v>
      </c>
      <c r="E6806" t="str">
        <f>IF(COUNTIF(data1!$D:$D,D6806)=0,"Missing in Data1","Present")</f>
        <v>Missing in Data1</v>
      </c>
    </row>
    <row r="6807" spans="1:5" x14ac:dyDescent="0.25">
      <c r="A6807" s="2" t="s">
        <v>5304</v>
      </c>
      <c r="B6807" s="2" t="s">
        <v>518</v>
      </c>
      <c r="C6807" s="2">
        <v>2</v>
      </c>
      <c r="D6807" t="str">
        <f t="shared" si="106"/>
        <v>CA-2017-140186_OFF-AP-10002578</v>
      </c>
      <c r="E6807" t="str">
        <f>IF(COUNTIF(data1!$D:$D,D6807)=0,"Missing in Data1","Present")</f>
        <v>Present</v>
      </c>
    </row>
    <row r="6808" spans="1:5" x14ac:dyDescent="0.25">
      <c r="A6808" s="2" t="s">
        <v>5304</v>
      </c>
      <c r="B6808" s="2" t="s">
        <v>2638</v>
      </c>
      <c r="C6808" s="2">
        <v>2</v>
      </c>
      <c r="D6808" t="str">
        <f t="shared" si="106"/>
        <v>CA-2017-140186_OFF-BI-10003364</v>
      </c>
      <c r="E6808" t="str">
        <f>IF(COUNTIF(data1!$D:$D,D6808)=0,"Missing in Data1","Present")</f>
        <v>Present</v>
      </c>
    </row>
    <row r="6809" spans="1:5" x14ac:dyDescent="0.25">
      <c r="A6809" s="2" t="s">
        <v>5304</v>
      </c>
      <c r="B6809" s="2" t="s">
        <v>913</v>
      </c>
      <c r="C6809" s="2">
        <v>7</v>
      </c>
      <c r="D6809" t="str">
        <f t="shared" si="106"/>
        <v>CA-2017-140186_OFF-FA-10002280</v>
      </c>
      <c r="E6809" t="str">
        <f>IF(COUNTIF(data1!$D:$D,D6809)=0,"Missing in Data1","Present")</f>
        <v>Present</v>
      </c>
    </row>
    <row r="6810" spans="1:5" x14ac:dyDescent="0.25">
      <c r="A6810" s="2" t="s">
        <v>5305</v>
      </c>
      <c r="B6810" s="2" t="s">
        <v>625</v>
      </c>
      <c r="C6810" s="2">
        <v>3</v>
      </c>
      <c r="D6810" t="str">
        <f t="shared" si="106"/>
        <v>CA-2017-140242_OFF-AR-10004752</v>
      </c>
      <c r="E6810" t="str">
        <f>IF(COUNTIF(data1!$D:$D,D6810)=0,"Missing in Data1","Present")</f>
        <v>Present</v>
      </c>
    </row>
    <row r="6811" spans="1:5" x14ac:dyDescent="0.25">
      <c r="A6811" s="2" t="s">
        <v>5305</v>
      </c>
      <c r="B6811" s="2" t="s">
        <v>1747</v>
      </c>
      <c r="C6811" s="2">
        <v>7</v>
      </c>
      <c r="D6811" t="str">
        <f t="shared" si="106"/>
        <v>CA-2017-140242_TEC-AC-10004659</v>
      </c>
      <c r="E6811" t="str">
        <f>IF(COUNTIF(data1!$D:$D,D6811)=0,"Missing in Data1","Present")</f>
        <v>Present</v>
      </c>
    </row>
    <row r="6812" spans="1:5" x14ac:dyDescent="0.25">
      <c r="A6812" s="2" t="s">
        <v>5306</v>
      </c>
      <c r="B6812" s="2" t="s">
        <v>1123</v>
      </c>
      <c r="C6812" s="2">
        <v>1</v>
      </c>
      <c r="D6812" t="str">
        <f t="shared" si="106"/>
        <v>CA-2017-140298_FUR-FU-10001967</v>
      </c>
      <c r="E6812" t="str">
        <f>IF(COUNTIF(data1!$D:$D,D6812)=0,"Missing in Data1","Present")</f>
        <v>Present</v>
      </c>
    </row>
    <row r="6813" spans="1:5" x14ac:dyDescent="0.25">
      <c r="A6813" s="2" t="s">
        <v>5306</v>
      </c>
      <c r="B6813" s="2" t="s">
        <v>886</v>
      </c>
      <c r="C6813" s="2">
        <v>2</v>
      </c>
      <c r="D6813" t="str">
        <f t="shared" si="106"/>
        <v>CA-2017-140298_OFF-AR-10003481</v>
      </c>
      <c r="E6813" t="str">
        <f>IF(COUNTIF(data1!$D:$D,D6813)=0,"Missing in Data1","Present")</f>
        <v>Present</v>
      </c>
    </row>
    <row r="6814" spans="1:5" x14ac:dyDescent="0.25">
      <c r="A6814" s="2" t="s">
        <v>5306</v>
      </c>
      <c r="B6814" s="2" t="s">
        <v>2768</v>
      </c>
      <c r="C6814" s="2">
        <v>2</v>
      </c>
      <c r="D6814" t="str">
        <f t="shared" si="106"/>
        <v>CA-2017-140298_OFF-PA-10003657</v>
      </c>
      <c r="E6814" t="str">
        <f>IF(COUNTIF(data1!$D:$D,D6814)=0,"Missing in Data1","Present")</f>
        <v>Present</v>
      </c>
    </row>
    <row r="6815" spans="1:5" x14ac:dyDescent="0.25">
      <c r="A6815" s="2" t="s">
        <v>5306</v>
      </c>
      <c r="B6815" s="2" t="s">
        <v>3191</v>
      </c>
      <c r="C6815" s="2">
        <v>2</v>
      </c>
      <c r="D6815" t="str">
        <f t="shared" si="106"/>
        <v>CA-2017-140298_OFF-ST-10004180</v>
      </c>
      <c r="E6815" t="str">
        <f>IF(COUNTIF(data1!$D:$D,D6815)=0,"Missing in Data1","Present")</f>
        <v>Present</v>
      </c>
    </row>
    <row r="6816" spans="1:5" x14ac:dyDescent="0.25">
      <c r="A6816" s="2" t="s">
        <v>5307</v>
      </c>
      <c r="B6816" s="2" t="s">
        <v>681</v>
      </c>
      <c r="C6816" s="2">
        <v>3</v>
      </c>
      <c r="D6816" t="str">
        <f t="shared" si="106"/>
        <v>CA-2017-140326_OFF-AR-10001149</v>
      </c>
      <c r="E6816" t="str">
        <f>IF(COUNTIF(data1!$D:$D,D6816)=0,"Missing in Data1","Present")</f>
        <v>Present</v>
      </c>
    </row>
    <row r="6817" spans="1:5" x14ac:dyDescent="0.25">
      <c r="A6817" s="2" t="s">
        <v>5307</v>
      </c>
      <c r="B6817" s="2" t="s">
        <v>2644</v>
      </c>
      <c r="C6817" s="2">
        <v>3</v>
      </c>
      <c r="D6817" t="str">
        <f t="shared" si="106"/>
        <v>CA-2017-140326_OFF-PA-10004041</v>
      </c>
      <c r="E6817" t="str">
        <f>IF(COUNTIF(data1!$D:$D,D6817)=0,"Missing in Data1","Present")</f>
        <v>Missing in Data1</v>
      </c>
    </row>
    <row r="6818" spans="1:5" x14ac:dyDescent="0.25">
      <c r="A6818" s="2" t="s">
        <v>5309</v>
      </c>
      <c r="B6818" s="2" t="s">
        <v>1692</v>
      </c>
      <c r="C6818" s="2">
        <v>2</v>
      </c>
      <c r="D6818" t="str">
        <f t="shared" si="106"/>
        <v>CA-2017-140480_FUR-FU-10001057</v>
      </c>
      <c r="E6818" t="str">
        <f>IF(COUNTIF(data1!$D:$D,D6818)=0,"Missing in Data1","Present")</f>
        <v>Present</v>
      </c>
    </row>
    <row r="6819" spans="1:5" x14ac:dyDescent="0.25">
      <c r="A6819" s="2" t="s">
        <v>5309</v>
      </c>
      <c r="B6819" s="2" t="s">
        <v>2369</v>
      </c>
      <c r="C6819" s="2">
        <v>4</v>
      </c>
      <c r="D6819" t="str">
        <f t="shared" si="106"/>
        <v>CA-2017-140480_FUR-FU-10003247</v>
      </c>
      <c r="E6819" t="str">
        <f>IF(COUNTIF(data1!$D:$D,D6819)=0,"Missing in Data1","Present")</f>
        <v>Present</v>
      </c>
    </row>
    <row r="6820" spans="1:5" x14ac:dyDescent="0.25">
      <c r="A6820" s="2" t="s">
        <v>5309</v>
      </c>
      <c r="B6820" s="2" t="s">
        <v>4080</v>
      </c>
      <c r="C6820" s="2">
        <v>7</v>
      </c>
      <c r="D6820" t="str">
        <f t="shared" si="106"/>
        <v>CA-2017-140480_OFF-AR-10001419</v>
      </c>
      <c r="E6820" t="str">
        <f>IF(COUNTIF(data1!$D:$D,D6820)=0,"Missing in Data1","Present")</f>
        <v>Present</v>
      </c>
    </row>
    <row r="6821" spans="1:5" x14ac:dyDescent="0.25">
      <c r="A6821" s="2" t="s">
        <v>5309</v>
      </c>
      <c r="B6821" s="2" t="s">
        <v>322</v>
      </c>
      <c r="C6821" s="2">
        <v>5</v>
      </c>
      <c r="D6821" t="str">
        <f t="shared" si="106"/>
        <v>CA-2017-140480_OFF-AR-10004010</v>
      </c>
      <c r="E6821" t="str">
        <f>IF(COUNTIF(data1!$D:$D,D6821)=0,"Missing in Data1","Present")</f>
        <v>Present</v>
      </c>
    </row>
    <row r="6822" spans="1:5" x14ac:dyDescent="0.25">
      <c r="A6822" s="2" t="s">
        <v>5309</v>
      </c>
      <c r="B6822" s="2" t="s">
        <v>1076</v>
      </c>
      <c r="C6822" s="2">
        <v>5</v>
      </c>
      <c r="D6822" t="str">
        <f t="shared" si="106"/>
        <v>CA-2017-140480_TEC-AC-10002473</v>
      </c>
      <c r="E6822" t="str">
        <f>IF(COUNTIF(data1!$D:$D,D6822)=0,"Missing in Data1","Present")</f>
        <v>Present</v>
      </c>
    </row>
    <row r="6823" spans="1:5" x14ac:dyDescent="0.25">
      <c r="A6823" s="2" t="s">
        <v>5310</v>
      </c>
      <c r="B6823" s="2" t="s">
        <v>2609</v>
      </c>
      <c r="C6823" s="2">
        <v>4</v>
      </c>
      <c r="D6823" t="str">
        <f t="shared" si="106"/>
        <v>CA-2017-140494_TEC-AC-10004568</v>
      </c>
      <c r="E6823" t="str">
        <f>IF(COUNTIF(data1!$D:$D,D6823)=0,"Missing in Data1","Present")</f>
        <v>Present</v>
      </c>
    </row>
    <row r="6824" spans="1:5" x14ac:dyDescent="0.25">
      <c r="A6824" s="2" t="s">
        <v>5311</v>
      </c>
      <c r="B6824" s="2" t="s">
        <v>2236</v>
      </c>
      <c r="C6824" s="2">
        <v>4</v>
      </c>
      <c r="D6824" t="str">
        <f t="shared" si="106"/>
        <v>CA-2017-140508_OFF-EN-10000927</v>
      </c>
      <c r="E6824" t="str">
        <f>IF(COUNTIF(data1!$D:$D,D6824)=0,"Missing in Data1","Present")</f>
        <v>Present</v>
      </c>
    </row>
    <row r="6825" spans="1:5" x14ac:dyDescent="0.25">
      <c r="A6825" s="2" t="s">
        <v>5312</v>
      </c>
      <c r="B6825" s="2" t="s">
        <v>2238</v>
      </c>
      <c r="C6825" s="2">
        <v>7</v>
      </c>
      <c r="D6825" t="str">
        <f t="shared" si="106"/>
        <v>CA-2017-140515_OFF-AP-10001205</v>
      </c>
      <c r="E6825" t="str">
        <f>IF(COUNTIF(data1!$D:$D,D6825)=0,"Missing in Data1","Present")</f>
        <v>Present</v>
      </c>
    </row>
    <row r="6826" spans="1:5" x14ac:dyDescent="0.25">
      <c r="A6826" s="2" t="s">
        <v>6833</v>
      </c>
      <c r="B6826" s="2" t="s">
        <v>1945</v>
      </c>
      <c r="C6826" s="2">
        <v>4</v>
      </c>
      <c r="D6826" t="str">
        <f t="shared" si="106"/>
        <v>CA-2017-140536_OFF-AR-10001545</v>
      </c>
      <c r="E6826" t="str">
        <f>IF(COUNTIF(data1!$D:$D,D6826)=0,"Missing in Data1","Present")</f>
        <v>Missing in Data1</v>
      </c>
    </row>
    <row r="6827" spans="1:5" x14ac:dyDescent="0.25">
      <c r="A6827" s="2" t="s">
        <v>5313</v>
      </c>
      <c r="B6827" s="2" t="s">
        <v>5314</v>
      </c>
      <c r="C6827" s="2">
        <v>1</v>
      </c>
      <c r="D6827" t="str">
        <f t="shared" si="106"/>
        <v>CA-2017-140585_FUR-BO-10002206</v>
      </c>
      <c r="E6827" t="str">
        <f>IF(COUNTIF(data1!$D:$D,D6827)=0,"Missing in Data1","Present")</f>
        <v>Present</v>
      </c>
    </row>
    <row r="6828" spans="1:5" x14ac:dyDescent="0.25">
      <c r="A6828" s="2" t="s">
        <v>5313</v>
      </c>
      <c r="B6828" s="2" t="s">
        <v>2638</v>
      </c>
      <c r="C6828" s="2">
        <v>2</v>
      </c>
      <c r="D6828" t="str">
        <f t="shared" si="106"/>
        <v>CA-2017-140585_OFF-BI-10003364</v>
      </c>
      <c r="E6828" t="str">
        <f>IF(COUNTIF(data1!$D:$D,D6828)=0,"Missing in Data1","Present")</f>
        <v>Present</v>
      </c>
    </row>
    <row r="6829" spans="1:5" x14ac:dyDescent="0.25">
      <c r="A6829" s="2" t="s">
        <v>5313</v>
      </c>
      <c r="B6829" s="2" t="s">
        <v>4060</v>
      </c>
      <c r="C6829" s="2">
        <v>2</v>
      </c>
      <c r="D6829" t="str">
        <f t="shared" si="106"/>
        <v>CA-2017-140585_TEC-AC-10003610</v>
      </c>
      <c r="E6829" t="str">
        <f>IF(COUNTIF(data1!$D:$D,D6829)=0,"Missing in Data1","Present")</f>
        <v>Present</v>
      </c>
    </row>
    <row r="6830" spans="1:5" x14ac:dyDescent="0.25">
      <c r="A6830" s="2" t="s">
        <v>5315</v>
      </c>
      <c r="B6830" s="2" t="s">
        <v>1899</v>
      </c>
      <c r="C6830" s="2">
        <v>4</v>
      </c>
      <c r="D6830" t="str">
        <f t="shared" si="106"/>
        <v>CA-2017-140627_FUR-FU-10000087</v>
      </c>
      <c r="E6830" t="str">
        <f>IF(COUNTIF(data1!$D:$D,D6830)=0,"Missing in Data1","Present")</f>
        <v>Present</v>
      </c>
    </row>
    <row r="6831" spans="1:5" x14ac:dyDescent="0.25">
      <c r="A6831" s="2" t="s">
        <v>5315</v>
      </c>
      <c r="B6831" s="2" t="s">
        <v>4683</v>
      </c>
      <c r="C6831" s="2">
        <v>7</v>
      </c>
      <c r="D6831" t="str">
        <f t="shared" si="106"/>
        <v>CA-2017-140627_OFF-AR-10000422</v>
      </c>
      <c r="E6831" t="str">
        <f>IF(COUNTIF(data1!$D:$D,D6831)=0,"Missing in Data1","Present")</f>
        <v>Present</v>
      </c>
    </row>
    <row r="6832" spans="1:5" x14ac:dyDescent="0.25">
      <c r="A6832" s="2" t="s">
        <v>5315</v>
      </c>
      <c r="B6832" s="2" t="s">
        <v>1761</v>
      </c>
      <c r="C6832" s="2">
        <v>3</v>
      </c>
      <c r="D6832" t="str">
        <f t="shared" si="106"/>
        <v>CA-2017-140627_OFF-ST-10004123</v>
      </c>
      <c r="E6832" t="str">
        <f>IF(COUNTIF(data1!$D:$D,D6832)=0,"Missing in Data1","Present")</f>
        <v>Present</v>
      </c>
    </row>
    <row r="6833" spans="1:5" x14ac:dyDescent="0.25">
      <c r="A6833" s="2" t="s">
        <v>5316</v>
      </c>
      <c r="B6833" s="2" t="s">
        <v>796</v>
      </c>
      <c r="C6833" s="2">
        <v>7</v>
      </c>
      <c r="D6833" t="str">
        <f t="shared" si="106"/>
        <v>CA-2017-140676_OFF-AP-10000358</v>
      </c>
      <c r="E6833" t="str">
        <f>IF(COUNTIF(data1!$D:$D,D6833)=0,"Missing in Data1","Present")</f>
        <v>Present</v>
      </c>
    </row>
    <row r="6834" spans="1:5" x14ac:dyDescent="0.25">
      <c r="A6834" s="2" t="s">
        <v>5316</v>
      </c>
      <c r="B6834" s="2" t="s">
        <v>25</v>
      </c>
      <c r="C6834" s="2">
        <v>5</v>
      </c>
      <c r="D6834" t="str">
        <f t="shared" si="106"/>
        <v>CA-2017-140676_OFF-PA-10004082</v>
      </c>
      <c r="E6834" t="str">
        <f>IF(COUNTIF(data1!$D:$D,D6834)=0,"Missing in Data1","Present")</f>
        <v>Present</v>
      </c>
    </row>
    <row r="6835" spans="1:5" x14ac:dyDescent="0.25">
      <c r="A6835" s="2" t="s">
        <v>5316</v>
      </c>
      <c r="B6835" s="2" t="s">
        <v>3954</v>
      </c>
      <c r="C6835" s="2">
        <v>5</v>
      </c>
      <c r="D6835" t="str">
        <f t="shared" si="106"/>
        <v>CA-2017-140676_OFF-PA-10004243</v>
      </c>
      <c r="E6835" t="str">
        <f>IF(COUNTIF(data1!$D:$D,D6835)=0,"Missing in Data1","Present")</f>
        <v>Present</v>
      </c>
    </row>
    <row r="6836" spans="1:5" x14ac:dyDescent="0.25">
      <c r="A6836" s="2" t="s">
        <v>5317</v>
      </c>
      <c r="B6836" s="2" t="s">
        <v>4403</v>
      </c>
      <c r="C6836" s="2">
        <v>5</v>
      </c>
      <c r="D6836" t="str">
        <f t="shared" si="106"/>
        <v>CA-2017-140760_OFF-EN-10001141</v>
      </c>
      <c r="E6836" t="str">
        <f>IF(COUNTIF(data1!$D:$D,D6836)=0,"Missing in Data1","Present")</f>
        <v>Present</v>
      </c>
    </row>
    <row r="6837" spans="1:5" x14ac:dyDescent="0.25">
      <c r="A6837" s="2" t="s">
        <v>5317</v>
      </c>
      <c r="B6837" s="2" t="s">
        <v>682</v>
      </c>
      <c r="C6837" s="2">
        <v>6</v>
      </c>
      <c r="D6837" t="str">
        <f t="shared" si="106"/>
        <v>CA-2017-140760_OFF-PA-10002479</v>
      </c>
      <c r="E6837" t="str">
        <f>IF(COUNTIF(data1!$D:$D,D6837)=0,"Missing in Data1","Present")</f>
        <v>Present</v>
      </c>
    </row>
    <row r="6838" spans="1:5" x14ac:dyDescent="0.25">
      <c r="A6838" s="2" t="s">
        <v>5318</v>
      </c>
      <c r="B6838" s="2" t="s">
        <v>2817</v>
      </c>
      <c r="C6838" s="2">
        <v>3</v>
      </c>
      <c r="D6838" t="str">
        <f t="shared" si="106"/>
        <v>CA-2017-140781_TEC-AC-10000682</v>
      </c>
      <c r="E6838" t="str">
        <f>IF(COUNTIF(data1!$D:$D,D6838)=0,"Missing in Data1","Present")</f>
        <v>Present</v>
      </c>
    </row>
    <row r="6839" spans="1:5" x14ac:dyDescent="0.25">
      <c r="A6839" s="2" t="s">
        <v>5319</v>
      </c>
      <c r="B6839" s="2" t="s">
        <v>4611</v>
      </c>
      <c r="C6839" s="2">
        <v>4</v>
      </c>
      <c r="D6839" t="str">
        <f t="shared" si="106"/>
        <v>CA-2017-140802_OFF-PA-10001534</v>
      </c>
      <c r="E6839" t="str">
        <f>IF(COUNTIF(data1!$D:$D,D6839)=0,"Missing in Data1","Present")</f>
        <v>Present</v>
      </c>
    </row>
    <row r="6840" spans="1:5" x14ac:dyDescent="0.25">
      <c r="A6840" s="2" t="s">
        <v>5319</v>
      </c>
      <c r="B6840" s="2" t="s">
        <v>2525</v>
      </c>
      <c r="C6840" s="2">
        <v>3</v>
      </c>
      <c r="D6840" t="str">
        <f t="shared" si="106"/>
        <v>CA-2017-140802_TEC-AC-10001998</v>
      </c>
      <c r="E6840" t="str">
        <f>IF(COUNTIF(data1!$D:$D,D6840)=0,"Missing in Data1","Present")</f>
        <v>Present</v>
      </c>
    </row>
    <row r="6841" spans="1:5" x14ac:dyDescent="0.25">
      <c r="A6841" s="2" t="s">
        <v>5320</v>
      </c>
      <c r="B6841" s="2" t="s">
        <v>2593</v>
      </c>
      <c r="C6841" s="2">
        <v>2</v>
      </c>
      <c r="D6841" t="str">
        <f t="shared" si="106"/>
        <v>CA-2017-140844_OFF-PA-10003892</v>
      </c>
      <c r="E6841" t="str">
        <f>IF(COUNTIF(data1!$D:$D,D6841)=0,"Missing in Data1","Present")</f>
        <v>Present</v>
      </c>
    </row>
    <row r="6842" spans="1:5" x14ac:dyDescent="0.25">
      <c r="A6842" s="2" t="s">
        <v>5321</v>
      </c>
      <c r="B6842" s="2" t="s">
        <v>2800</v>
      </c>
      <c r="C6842" s="2">
        <v>2</v>
      </c>
      <c r="D6842" t="str">
        <f t="shared" si="106"/>
        <v>CA-2017-140872_FUR-BO-10002824</v>
      </c>
      <c r="E6842" t="str">
        <f>IF(COUNTIF(data1!$D:$D,D6842)=0,"Missing in Data1","Present")</f>
        <v>Present</v>
      </c>
    </row>
    <row r="6843" spans="1:5" x14ac:dyDescent="0.25">
      <c r="A6843" s="2" t="s">
        <v>5321</v>
      </c>
      <c r="B6843" s="2" t="s">
        <v>3600</v>
      </c>
      <c r="C6843" s="2">
        <v>7</v>
      </c>
      <c r="D6843" t="str">
        <f t="shared" si="106"/>
        <v>CA-2017-140872_OFF-AP-10002287</v>
      </c>
      <c r="E6843" t="str">
        <f>IF(COUNTIF(data1!$D:$D,D6843)=0,"Missing in Data1","Present")</f>
        <v>Present</v>
      </c>
    </row>
    <row r="6844" spans="1:5" x14ac:dyDescent="0.25">
      <c r="A6844" s="2" t="s">
        <v>5321</v>
      </c>
      <c r="B6844" s="2" t="s">
        <v>1058</v>
      </c>
      <c r="C6844" s="2">
        <v>2</v>
      </c>
      <c r="D6844" t="str">
        <f t="shared" si="106"/>
        <v>CA-2017-140872_OFF-AP-10003622</v>
      </c>
      <c r="E6844" t="str">
        <f>IF(COUNTIF(data1!$D:$D,D6844)=0,"Missing in Data1","Present")</f>
        <v>Present</v>
      </c>
    </row>
    <row r="6845" spans="1:5" x14ac:dyDescent="0.25">
      <c r="A6845" s="2" t="s">
        <v>5321</v>
      </c>
      <c r="B6845" s="2" t="s">
        <v>1338</v>
      </c>
      <c r="C6845" s="2">
        <v>3</v>
      </c>
      <c r="D6845" t="str">
        <f t="shared" si="106"/>
        <v>CA-2017-140872_OFF-BI-10002432</v>
      </c>
      <c r="E6845" t="str">
        <f>IF(COUNTIF(data1!$D:$D,D6845)=0,"Missing in Data1","Present")</f>
        <v>Present</v>
      </c>
    </row>
    <row r="6846" spans="1:5" x14ac:dyDescent="0.25">
      <c r="A6846" s="2" t="s">
        <v>5321</v>
      </c>
      <c r="B6846" s="2" t="s">
        <v>2165</v>
      </c>
      <c r="C6846" s="2">
        <v>3</v>
      </c>
      <c r="D6846" t="str">
        <f t="shared" si="106"/>
        <v>CA-2017-140872_OFF-PA-10000809</v>
      </c>
      <c r="E6846" t="str">
        <f>IF(COUNTIF(data1!$D:$D,D6846)=0,"Missing in Data1","Present")</f>
        <v>Present</v>
      </c>
    </row>
    <row r="6847" spans="1:5" x14ac:dyDescent="0.25">
      <c r="A6847" s="2" t="s">
        <v>5321</v>
      </c>
      <c r="B6847" s="2" t="s">
        <v>578</v>
      </c>
      <c r="C6847" s="2">
        <v>2</v>
      </c>
      <c r="D6847" t="str">
        <f t="shared" si="106"/>
        <v>CA-2017-140872_TEC-AC-10002942</v>
      </c>
      <c r="E6847" t="str">
        <f>IF(COUNTIF(data1!$D:$D,D6847)=0,"Missing in Data1","Present")</f>
        <v>Present</v>
      </c>
    </row>
    <row r="6848" spans="1:5" x14ac:dyDescent="0.25">
      <c r="A6848" s="2" t="s">
        <v>5321</v>
      </c>
      <c r="B6848" s="2" t="s">
        <v>877</v>
      </c>
      <c r="C6848" s="2">
        <v>1</v>
      </c>
      <c r="D6848" t="str">
        <f t="shared" si="106"/>
        <v>CA-2017-140872_TEC-AC-10003832</v>
      </c>
      <c r="E6848" t="str">
        <f>IF(COUNTIF(data1!$D:$D,D6848)=0,"Missing in Data1","Present")</f>
        <v>Present</v>
      </c>
    </row>
    <row r="6849" spans="1:5" x14ac:dyDescent="0.25">
      <c r="A6849" s="2" t="s">
        <v>5321</v>
      </c>
      <c r="B6849" s="2" t="s">
        <v>1316</v>
      </c>
      <c r="C6849" s="2">
        <v>5</v>
      </c>
      <c r="D6849" t="str">
        <f t="shared" si="106"/>
        <v>CA-2017-140872_TEC-PH-10000441</v>
      </c>
      <c r="E6849" t="str">
        <f>IF(COUNTIF(data1!$D:$D,D6849)=0,"Missing in Data1","Present")</f>
        <v>Present</v>
      </c>
    </row>
    <row r="6850" spans="1:5" x14ac:dyDescent="0.25">
      <c r="A6850" s="2" t="s">
        <v>5322</v>
      </c>
      <c r="B6850" s="2" t="s">
        <v>1327</v>
      </c>
      <c r="C6850" s="2">
        <v>6</v>
      </c>
      <c r="D6850" t="str">
        <f t="shared" si="106"/>
        <v>CA-2017-140949_OFF-AR-10001683</v>
      </c>
      <c r="E6850" t="str">
        <f>IF(COUNTIF(data1!$D:$D,D6850)=0,"Missing in Data1","Present")</f>
        <v>Present</v>
      </c>
    </row>
    <row r="6851" spans="1:5" x14ac:dyDescent="0.25">
      <c r="A6851" s="2" t="s">
        <v>5322</v>
      </c>
      <c r="B6851" s="2" t="s">
        <v>1789</v>
      </c>
      <c r="C6851" s="2">
        <v>3</v>
      </c>
      <c r="D6851" t="str">
        <f t="shared" ref="D6851:D6914" si="107">A6851&amp;"_"&amp;B6851</f>
        <v>CA-2017-140949_OFF-BI-10000605</v>
      </c>
      <c r="E6851" t="str">
        <f>IF(COUNTIF(data1!$D:$D,D6851)=0,"Missing in Data1","Present")</f>
        <v>Present</v>
      </c>
    </row>
    <row r="6852" spans="1:5" x14ac:dyDescent="0.25">
      <c r="A6852" s="2" t="s">
        <v>5322</v>
      </c>
      <c r="B6852" s="2" t="s">
        <v>2712</v>
      </c>
      <c r="C6852" s="2">
        <v>1</v>
      </c>
      <c r="D6852" t="str">
        <f t="shared" si="107"/>
        <v>CA-2017-140949_OFF-LA-10004093</v>
      </c>
      <c r="E6852" t="str">
        <f>IF(COUNTIF(data1!$D:$D,D6852)=0,"Missing in Data1","Present")</f>
        <v>Present</v>
      </c>
    </row>
    <row r="6853" spans="1:5" x14ac:dyDescent="0.25">
      <c r="A6853" s="2" t="s">
        <v>5322</v>
      </c>
      <c r="B6853" s="2" t="s">
        <v>2556</v>
      </c>
      <c r="C6853" s="2">
        <v>8</v>
      </c>
      <c r="D6853" t="str">
        <f t="shared" si="107"/>
        <v>CA-2017-140949_OFF-ST-10000344</v>
      </c>
      <c r="E6853" t="str">
        <f>IF(COUNTIF(data1!$D:$D,D6853)=0,"Missing in Data1","Present")</f>
        <v>Present</v>
      </c>
    </row>
    <row r="6854" spans="1:5" x14ac:dyDescent="0.25">
      <c r="A6854" s="2" t="s">
        <v>5322</v>
      </c>
      <c r="B6854" s="2" t="s">
        <v>1433</v>
      </c>
      <c r="C6854" s="2">
        <v>3</v>
      </c>
      <c r="D6854" t="str">
        <f t="shared" si="107"/>
        <v>CA-2017-140949_OFF-ST-10003455</v>
      </c>
      <c r="E6854" t="str">
        <f>IF(COUNTIF(data1!$D:$D,D6854)=0,"Missing in Data1","Present")</f>
        <v>Present</v>
      </c>
    </row>
    <row r="6855" spans="1:5" x14ac:dyDescent="0.25">
      <c r="A6855" s="2" t="s">
        <v>5322</v>
      </c>
      <c r="B6855" s="2" t="s">
        <v>179</v>
      </c>
      <c r="C6855" s="2">
        <v>3</v>
      </c>
      <c r="D6855" t="str">
        <f t="shared" si="107"/>
        <v>CA-2017-140949_TEC-AC-10002399</v>
      </c>
      <c r="E6855" t="str">
        <f>IF(COUNTIF(data1!$D:$D,D6855)=0,"Missing in Data1","Present")</f>
        <v>Present</v>
      </c>
    </row>
    <row r="6856" spans="1:5" x14ac:dyDescent="0.25">
      <c r="A6856" s="2" t="s">
        <v>5322</v>
      </c>
      <c r="B6856" s="2" t="s">
        <v>311</v>
      </c>
      <c r="C6856" s="2">
        <v>8</v>
      </c>
      <c r="D6856" t="str">
        <f t="shared" si="107"/>
        <v>CA-2017-140949_TEC-AC-10003038</v>
      </c>
      <c r="E6856" t="str">
        <f>IF(COUNTIF(data1!$D:$D,D6856)=0,"Missing in Data1","Present")</f>
        <v>Present</v>
      </c>
    </row>
    <row r="6857" spans="1:5" x14ac:dyDescent="0.25">
      <c r="A6857" s="2" t="s">
        <v>5322</v>
      </c>
      <c r="B6857" s="2" t="s">
        <v>783</v>
      </c>
      <c r="C6857" s="2">
        <v>6</v>
      </c>
      <c r="D6857" t="str">
        <f t="shared" si="107"/>
        <v>CA-2017-140949_TEC-PH-10000149</v>
      </c>
      <c r="E6857" t="str">
        <f>IF(COUNTIF(data1!$D:$D,D6857)=0,"Missing in Data1","Present")</f>
        <v>Present</v>
      </c>
    </row>
    <row r="6858" spans="1:5" x14ac:dyDescent="0.25">
      <c r="A6858" s="2" t="s">
        <v>5323</v>
      </c>
      <c r="B6858" s="2" t="s">
        <v>69</v>
      </c>
      <c r="C6858" s="2">
        <v>5</v>
      </c>
      <c r="D6858" t="str">
        <f t="shared" si="107"/>
        <v>CA-2017-140963_FUR-BO-10001337</v>
      </c>
      <c r="E6858" t="str">
        <f>IF(COUNTIF(data1!$D:$D,D6858)=0,"Missing in Data1","Present")</f>
        <v>Present</v>
      </c>
    </row>
    <row r="6859" spans="1:5" x14ac:dyDescent="0.25">
      <c r="A6859" s="2" t="s">
        <v>5323</v>
      </c>
      <c r="B6859" s="2" t="s">
        <v>86</v>
      </c>
      <c r="C6859" s="2">
        <v>2</v>
      </c>
      <c r="D6859" t="str">
        <f t="shared" si="107"/>
        <v>CA-2017-140963_OFF-LA-10003923</v>
      </c>
      <c r="E6859" t="str">
        <f>IF(COUNTIF(data1!$D:$D,D6859)=0,"Missing in Data1","Present")</f>
        <v>Present</v>
      </c>
    </row>
    <row r="6860" spans="1:5" x14ac:dyDescent="0.25">
      <c r="A6860" s="2" t="s">
        <v>5323</v>
      </c>
      <c r="B6860" s="2" t="s">
        <v>4307</v>
      </c>
      <c r="C6860" s="2">
        <v>5</v>
      </c>
      <c r="D6860" t="str">
        <f t="shared" si="107"/>
        <v>CA-2017-140963_TEC-PH-10001924</v>
      </c>
      <c r="E6860" t="str">
        <f>IF(COUNTIF(data1!$D:$D,D6860)=0,"Missing in Data1","Present")</f>
        <v>Present</v>
      </c>
    </row>
    <row r="6861" spans="1:5" x14ac:dyDescent="0.25">
      <c r="A6861" s="2" t="s">
        <v>5324</v>
      </c>
      <c r="B6861" s="2" t="s">
        <v>716</v>
      </c>
      <c r="C6861" s="2">
        <v>5</v>
      </c>
      <c r="D6861" t="str">
        <f t="shared" si="107"/>
        <v>CA-2017-141103_TEC-PH-10003589</v>
      </c>
      <c r="E6861" t="str">
        <f>IF(COUNTIF(data1!$D:$D,D6861)=0,"Missing in Data1","Present")</f>
        <v>Present</v>
      </c>
    </row>
    <row r="6862" spans="1:5" x14ac:dyDescent="0.25">
      <c r="A6862" s="2" t="s">
        <v>5325</v>
      </c>
      <c r="B6862" s="2" t="s">
        <v>1343</v>
      </c>
      <c r="C6862" s="2">
        <v>6</v>
      </c>
      <c r="D6862" t="str">
        <f t="shared" si="107"/>
        <v>CA-2017-141117_FUR-BO-10001972</v>
      </c>
      <c r="E6862" t="str">
        <f>IF(COUNTIF(data1!$D:$D,D6862)=0,"Missing in Data1","Present")</f>
        <v>Present</v>
      </c>
    </row>
    <row r="6863" spans="1:5" x14ac:dyDescent="0.25">
      <c r="A6863" s="2" t="s">
        <v>5325</v>
      </c>
      <c r="B6863" s="2" t="s">
        <v>3347</v>
      </c>
      <c r="C6863" s="2">
        <v>7</v>
      </c>
      <c r="D6863" t="str">
        <f t="shared" si="107"/>
        <v>CA-2017-141117_OFF-AR-10003727</v>
      </c>
      <c r="E6863" t="str">
        <f>IF(COUNTIF(data1!$D:$D,D6863)=0,"Missing in Data1","Present")</f>
        <v>Present</v>
      </c>
    </row>
    <row r="6864" spans="1:5" x14ac:dyDescent="0.25">
      <c r="A6864" s="2" t="s">
        <v>5325</v>
      </c>
      <c r="B6864" s="2" t="s">
        <v>206</v>
      </c>
      <c r="C6864" s="2">
        <v>7</v>
      </c>
      <c r="D6864" t="str">
        <f t="shared" si="107"/>
        <v>CA-2017-141117_OFF-BI-10003676</v>
      </c>
      <c r="E6864" t="str">
        <f>IF(COUNTIF(data1!$D:$D,D6864)=0,"Missing in Data1","Present")</f>
        <v>Present</v>
      </c>
    </row>
    <row r="6865" spans="1:5" x14ac:dyDescent="0.25">
      <c r="A6865" s="2" t="s">
        <v>5325</v>
      </c>
      <c r="B6865" s="2" t="s">
        <v>1314</v>
      </c>
      <c r="C6865" s="2">
        <v>6</v>
      </c>
      <c r="D6865" t="str">
        <f t="shared" si="107"/>
        <v>CA-2017-141117_OFF-SU-10004664</v>
      </c>
      <c r="E6865" t="str">
        <f>IF(COUNTIF(data1!$D:$D,D6865)=0,"Missing in Data1","Present")</f>
        <v>Present</v>
      </c>
    </row>
    <row r="6866" spans="1:5" x14ac:dyDescent="0.25">
      <c r="A6866" s="2" t="s">
        <v>5326</v>
      </c>
      <c r="B6866" s="2" t="s">
        <v>1779</v>
      </c>
      <c r="C6866" s="2">
        <v>7</v>
      </c>
      <c r="D6866" t="str">
        <f t="shared" si="107"/>
        <v>CA-2017-141138_TEC-AC-10001772</v>
      </c>
      <c r="E6866" t="str">
        <f>IF(COUNTIF(data1!$D:$D,D6866)=0,"Missing in Data1","Present")</f>
        <v>Present</v>
      </c>
    </row>
    <row r="6867" spans="1:5" x14ac:dyDescent="0.25">
      <c r="A6867" s="2" t="s">
        <v>5327</v>
      </c>
      <c r="B6867" s="2" t="s">
        <v>1852</v>
      </c>
      <c r="C6867" s="2">
        <v>3</v>
      </c>
      <c r="D6867" t="str">
        <f t="shared" si="107"/>
        <v>CA-2017-141201_FUR-BO-10001519</v>
      </c>
      <c r="E6867" t="str">
        <f>IF(COUNTIF(data1!$D:$D,D6867)=0,"Missing in Data1","Present")</f>
        <v>Present</v>
      </c>
    </row>
    <row r="6868" spans="1:5" x14ac:dyDescent="0.25">
      <c r="A6868" s="2" t="s">
        <v>5328</v>
      </c>
      <c r="B6868" s="2" t="s">
        <v>72</v>
      </c>
      <c r="C6868" s="2">
        <v>2</v>
      </c>
      <c r="D6868" t="str">
        <f t="shared" si="107"/>
        <v>CA-2017-141425_OFF-SU-10000646</v>
      </c>
      <c r="E6868" t="str">
        <f>IF(COUNTIF(data1!$D:$D,D6868)=0,"Missing in Data1","Present")</f>
        <v>Present</v>
      </c>
    </row>
    <row r="6869" spans="1:5" x14ac:dyDescent="0.25">
      <c r="A6869" s="2" t="s">
        <v>5329</v>
      </c>
      <c r="B6869" s="2" t="s">
        <v>1083</v>
      </c>
      <c r="C6869" s="2">
        <v>3</v>
      </c>
      <c r="D6869" t="str">
        <f t="shared" si="107"/>
        <v>CA-2017-141439_FUR-CH-10004287</v>
      </c>
      <c r="E6869" t="str">
        <f>IF(COUNTIF(data1!$D:$D,D6869)=0,"Missing in Data1","Present")</f>
        <v>Present</v>
      </c>
    </row>
    <row r="6870" spans="1:5" x14ac:dyDescent="0.25">
      <c r="A6870" s="2" t="s">
        <v>5329</v>
      </c>
      <c r="B6870" s="2" t="s">
        <v>183</v>
      </c>
      <c r="C6870" s="2">
        <v>3</v>
      </c>
      <c r="D6870" t="str">
        <f t="shared" si="107"/>
        <v>CA-2017-141439_FUR-TA-10001039</v>
      </c>
      <c r="E6870" t="str">
        <f>IF(COUNTIF(data1!$D:$D,D6870)=0,"Missing in Data1","Present")</f>
        <v>Present</v>
      </c>
    </row>
    <row r="6871" spans="1:5" x14ac:dyDescent="0.25">
      <c r="A6871" s="2" t="s">
        <v>5329</v>
      </c>
      <c r="B6871" s="2" t="s">
        <v>1647</v>
      </c>
      <c r="C6871" s="2">
        <v>2</v>
      </c>
      <c r="D6871" t="str">
        <f t="shared" si="107"/>
        <v>CA-2017-141439_TEC-PH-10001819</v>
      </c>
      <c r="E6871" t="str">
        <f>IF(COUNTIF(data1!$D:$D,D6871)=0,"Missing in Data1","Present")</f>
        <v>Present</v>
      </c>
    </row>
    <row r="6872" spans="1:5" x14ac:dyDescent="0.25">
      <c r="A6872" s="2" t="s">
        <v>5329</v>
      </c>
      <c r="B6872" s="2" t="s">
        <v>3339</v>
      </c>
      <c r="C6872" s="2">
        <v>4</v>
      </c>
      <c r="D6872" t="str">
        <f t="shared" si="107"/>
        <v>CA-2017-141439_TEC-PH-10002624</v>
      </c>
      <c r="E6872" t="str">
        <f>IF(COUNTIF(data1!$D:$D,D6872)=0,"Missing in Data1","Present")</f>
        <v>Present</v>
      </c>
    </row>
    <row r="6873" spans="1:5" x14ac:dyDescent="0.25">
      <c r="A6873" s="2" t="s">
        <v>5330</v>
      </c>
      <c r="B6873" s="2" t="s">
        <v>3087</v>
      </c>
      <c r="C6873" s="2">
        <v>1</v>
      </c>
      <c r="D6873" t="str">
        <f t="shared" si="107"/>
        <v>CA-2017-141446_TEC-AC-10002305</v>
      </c>
      <c r="E6873" t="str">
        <f>IF(COUNTIF(data1!$D:$D,D6873)=0,"Missing in Data1","Present")</f>
        <v>Present</v>
      </c>
    </row>
    <row r="6874" spans="1:5" x14ac:dyDescent="0.25">
      <c r="A6874" s="2" t="s">
        <v>5331</v>
      </c>
      <c r="B6874" s="2" t="s">
        <v>3148</v>
      </c>
      <c r="C6874" s="2">
        <v>3</v>
      </c>
      <c r="D6874" t="str">
        <f t="shared" si="107"/>
        <v>CA-2017-141481_OFF-AP-10004532</v>
      </c>
      <c r="E6874" t="str">
        <f>IF(COUNTIF(data1!$D:$D,D6874)=0,"Missing in Data1","Present")</f>
        <v>Present</v>
      </c>
    </row>
    <row r="6875" spans="1:5" x14ac:dyDescent="0.25">
      <c r="A6875" s="2" t="s">
        <v>5332</v>
      </c>
      <c r="B6875" s="2" t="s">
        <v>2600</v>
      </c>
      <c r="C6875" s="2">
        <v>8</v>
      </c>
      <c r="D6875" t="str">
        <f t="shared" si="107"/>
        <v>CA-2017-141572_FUR-FU-10001185</v>
      </c>
      <c r="E6875" t="str">
        <f>IF(COUNTIF(data1!$D:$D,D6875)=0,"Missing in Data1","Present")</f>
        <v>Present</v>
      </c>
    </row>
    <row r="6876" spans="1:5" x14ac:dyDescent="0.25">
      <c r="A6876" s="2" t="s">
        <v>5333</v>
      </c>
      <c r="B6876" s="2" t="s">
        <v>2771</v>
      </c>
      <c r="C6876" s="2">
        <v>4</v>
      </c>
      <c r="D6876" t="str">
        <f t="shared" si="107"/>
        <v>CA-2017-141614_OFF-PA-10002787</v>
      </c>
      <c r="E6876" t="str">
        <f>IF(COUNTIF(data1!$D:$D,D6876)=0,"Missing in Data1","Present")</f>
        <v>Present</v>
      </c>
    </row>
    <row r="6877" spans="1:5" x14ac:dyDescent="0.25">
      <c r="A6877" s="2" t="s">
        <v>5335</v>
      </c>
      <c r="B6877" s="2" t="s">
        <v>37</v>
      </c>
      <c r="C6877" s="2">
        <v>5</v>
      </c>
      <c r="D6877" t="str">
        <f t="shared" si="107"/>
        <v>CA-2017-141705_FUR-TA-10004607</v>
      </c>
      <c r="E6877" t="str">
        <f>IF(COUNTIF(data1!$D:$D,D6877)=0,"Missing in Data1","Present")</f>
        <v>Present</v>
      </c>
    </row>
    <row r="6878" spans="1:5" x14ac:dyDescent="0.25">
      <c r="A6878" s="2" t="s">
        <v>5337</v>
      </c>
      <c r="B6878" s="2" t="s">
        <v>1520</v>
      </c>
      <c r="C6878" s="2">
        <v>2</v>
      </c>
      <c r="D6878" t="str">
        <f t="shared" si="107"/>
        <v>CA-2017-141733_FUR-CH-10000595</v>
      </c>
      <c r="E6878" t="str">
        <f>IF(COUNTIF(data1!$D:$D,D6878)=0,"Missing in Data1","Present")</f>
        <v>Present</v>
      </c>
    </row>
    <row r="6879" spans="1:5" x14ac:dyDescent="0.25">
      <c r="A6879" s="2" t="s">
        <v>5337</v>
      </c>
      <c r="B6879" s="2" t="s">
        <v>2633</v>
      </c>
      <c r="C6879" s="2">
        <v>1</v>
      </c>
      <c r="D6879" t="str">
        <f t="shared" si="107"/>
        <v>CA-2017-141733_FUR-CH-10002017</v>
      </c>
      <c r="E6879" t="str">
        <f>IF(COUNTIF(data1!$D:$D,D6879)=0,"Missing in Data1","Present")</f>
        <v>Present</v>
      </c>
    </row>
    <row r="6880" spans="1:5" x14ac:dyDescent="0.25">
      <c r="A6880" s="2" t="s">
        <v>5337</v>
      </c>
      <c r="B6880" s="2" t="s">
        <v>2153</v>
      </c>
      <c r="C6880" s="2">
        <v>5</v>
      </c>
      <c r="D6880" t="str">
        <f t="shared" si="107"/>
        <v>CA-2017-141733_FUR-CH-10004086</v>
      </c>
      <c r="E6880" t="str">
        <f>IF(COUNTIF(data1!$D:$D,D6880)=0,"Missing in Data1","Present")</f>
        <v>Present</v>
      </c>
    </row>
    <row r="6881" spans="1:5" x14ac:dyDescent="0.25">
      <c r="A6881" s="2" t="s">
        <v>5337</v>
      </c>
      <c r="B6881" s="2" t="s">
        <v>675</v>
      </c>
      <c r="C6881" s="2">
        <v>2</v>
      </c>
      <c r="D6881" t="str">
        <f t="shared" si="107"/>
        <v>CA-2017-141733_OFF-AP-10001563</v>
      </c>
      <c r="E6881" t="str">
        <f>IF(COUNTIF(data1!$D:$D,D6881)=0,"Missing in Data1","Present")</f>
        <v>Present</v>
      </c>
    </row>
    <row r="6882" spans="1:5" x14ac:dyDescent="0.25">
      <c r="A6882" s="2" t="s">
        <v>5338</v>
      </c>
      <c r="B6882" s="2" t="s">
        <v>252</v>
      </c>
      <c r="C6882" s="2">
        <v>1</v>
      </c>
      <c r="D6882" t="str">
        <f t="shared" si="107"/>
        <v>CA-2017-141747_OFF-ST-10003996</v>
      </c>
      <c r="E6882" t="str">
        <f>IF(COUNTIF(data1!$D:$D,D6882)=0,"Missing in Data1","Present")</f>
        <v>Present</v>
      </c>
    </row>
    <row r="6883" spans="1:5" x14ac:dyDescent="0.25">
      <c r="A6883" s="2" t="s">
        <v>6834</v>
      </c>
      <c r="B6883" s="2" t="s">
        <v>1646</v>
      </c>
      <c r="C6883" s="2">
        <v>4</v>
      </c>
      <c r="D6883" t="str">
        <f t="shared" si="107"/>
        <v>CA-2017-141782_OFF-EN-10002230</v>
      </c>
      <c r="E6883" t="str">
        <f>IF(COUNTIF(data1!$D:$D,D6883)=0,"Missing in Data1","Present")</f>
        <v>Missing in Data1</v>
      </c>
    </row>
    <row r="6884" spans="1:5" x14ac:dyDescent="0.25">
      <c r="A6884" s="2" t="s">
        <v>5339</v>
      </c>
      <c r="B6884" s="2" t="s">
        <v>502</v>
      </c>
      <c r="C6884" s="2">
        <v>2</v>
      </c>
      <c r="D6884" t="str">
        <f t="shared" si="107"/>
        <v>CA-2017-141789_OFF-BI-10001359</v>
      </c>
      <c r="E6884" t="str">
        <f>IF(COUNTIF(data1!$D:$D,D6884)=0,"Missing in Data1","Present")</f>
        <v>Present</v>
      </c>
    </row>
    <row r="6885" spans="1:5" x14ac:dyDescent="0.25">
      <c r="A6885" s="2" t="s">
        <v>5340</v>
      </c>
      <c r="B6885" s="2" t="s">
        <v>1562</v>
      </c>
      <c r="C6885" s="2">
        <v>3</v>
      </c>
      <c r="D6885" t="str">
        <f t="shared" si="107"/>
        <v>CA-2017-141873_FUR-BO-10003034</v>
      </c>
      <c r="E6885" t="str">
        <f>IF(COUNTIF(data1!$D:$D,D6885)=0,"Missing in Data1","Present")</f>
        <v>Present</v>
      </c>
    </row>
    <row r="6886" spans="1:5" x14ac:dyDescent="0.25">
      <c r="A6886" s="2" t="s">
        <v>5340</v>
      </c>
      <c r="B6886" s="2" t="s">
        <v>773</v>
      </c>
      <c r="C6886" s="2">
        <v>3</v>
      </c>
      <c r="D6886" t="str">
        <f t="shared" si="107"/>
        <v>CA-2017-141873_OFF-BI-10001031</v>
      </c>
      <c r="E6886" t="str">
        <f>IF(COUNTIF(data1!$D:$D,D6886)=0,"Missing in Data1","Present")</f>
        <v>Present</v>
      </c>
    </row>
    <row r="6887" spans="1:5" x14ac:dyDescent="0.25">
      <c r="A6887" s="2" t="s">
        <v>5340</v>
      </c>
      <c r="B6887" s="2" t="s">
        <v>2478</v>
      </c>
      <c r="C6887" s="2">
        <v>6</v>
      </c>
      <c r="D6887" t="str">
        <f t="shared" si="107"/>
        <v>CA-2017-141873_OFF-BI-10003655</v>
      </c>
      <c r="E6887" t="str">
        <f>IF(COUNTIF(data1!$D:$D,D6887)=0,"Missing in Data1","Present")</f>
        <v>Present</v>
      </c>
    </row>
    <row r="6888" spans="1:5" x14ac:dyDescent="0.25">
      <c r="A6888" s="2" t="s">
        <v>5340</v>
      </c>
      <c r="B6888" s="2" t="s">
        <v>2029</v>
      </c>
      <c r="C6888" s="2">
        <v>2</v>
      </c>
      <c r="D6888" t="str">
        <f t="shared" si="107"/>
        <v>CA-2017-141873_OFF-PA-10000069</v>
      </c>
      <c r="E6888" t="str">
        <f>IF(COUNTIF(data1!$D:$D,D6888)=0,"Missing in Data1","Present")</f>
        <v>Missing in Data1</v>
      </c>
    </row>
    <row r="6889" spans="1:5" x14ac:dyDescent="0.25">
      <c r="A6889" s="2" t="s">
        <v>5341</v>
      </c>
      <c r="B6889" s="2" t="s">
        <v>820</v>
      </c>
      <c r="C6889" s="2">
        <v>2</v>
      </c>
      <c r="D6889" t="str">
        <f t="shared" si="107"/>
        <v>CA-2017-141929_OFF-BI-10004632</v>
      </c>
      <c r="E6889" t="str">
        <f>IF(COUNTIF(data1!$D:$D,D6889)=0,"Missing in Data1","Present")</f>
        <v>Present</v>
      </c>
    </row>
    <row r="6890" spans="1:5" x14ac:dyDescent="0.25">
      <c r="A6890" s="2" t="s">
        <v>5341</v>
      </c>
      <c r="B6890" s="2" t="s">
        <v>1717</v>
      </c>
      <c r="C6890" s="2">
        <v>5</v>
      </c>
      <c r="D6890" t="str">
        <f t="shared" si="107"/>
        <v>CA-2017-141929_OFF-ST-10002974</v>
      </c>
      <c r="E6890" t="str">
        <f>IF(COUNTIF(data1!$D:$D,D6890)=0,"Missing in Data1","Present")</f>
        <v>Present</v>
      </c>
    </row>
    <row r="6891" spans="1:5" x14ac:dyDescent="0.25">
      <c r="A6891" s="2" t="s">
        <v>5341</v>
      </c>
      <c r="B6891" s="2" t="s">
        <v>654</v>
      </c>
      <c r="C6891" s="2">
        <v>1</v>
      </c>
      <c r="D6891" t="str">
        <f t="shared" si="107"/>
        <v>CA-2017-141929_TEC-PH-10002185</v>
      </c>
      <c r="E6891" t="str">
        <f>IF(COUNTIF(data1!$D:$D,D6891)=0,"Missing in Data1","Present")</f>
        <v>Present</v>
      </c>
    </row>
    <row r="6892" spans="1:5" x14ac:dyDescent="0.25">
      <c r="A6892" s="2" t="s">
        <v>5342</v>
      </c>
      <c r="B6892" s="2" t="s">
        <v>2072</v>
      </c>
      <c r="C6892" s="2">
        <v>2</v>
      </c>
      <c r="D6892" t="str">
        <f t="shared" si="107"/>
        <v>CA-2017-141992_OFF-ST-10003656</v>
      </c>
      <c r="E6892" t="str">
        <f>IF(COUNTIF(data1!$D:$D,D6892)=0,"Missing in Data1","Present")</f>
        <v>Present</v>
      </c>
    </row>
    <row r="6893" spans="1:5" x14ac:dyDescent="0.25">
      <c r="A6893" s="2" t="s">
        <v>5342</v>
      </c>
      <c r="B6893" s="2" t="s">
        <v>2539</v>
      </c>
      <c r="C6893" s="2">
        <v>1</v>
      </c>
      <c r="D6893" t="str">
        <f t="shared" si="107"/>
        <v>CA-2017-141992_OFF-SU-10002557</v>
      </c>
      <c r="E6893" t="str">
        <f>IF(COUNTIF(data1!$D:$D,D6893)=0,"Missing in Data1","Present")</f>
        <v>Present</v>
      </c>
    </row>
    <row r="6894" spans="1:5" x14ac:dyDescent="0.25">
      <c r="A6894" s="2" t="s">
        <v>5343</v>
      </c>
      <c r="B6894" s="2" t="s">
        <v>2884</v>
      </c>
      <c r="C6894" s="2">
        <v>4</v>
      </c>
      <c r="D6894" t="str">
        <f t="shared" si="107"/>
        <v>CA-2017-142034_FUR-CH-10000665</v>
      </c>
      <c r="E6894" t="str">
        <f>IF(COUNTIF(data1!$D:$D,D6894)=0,"Missing in Data1","Present")</f>
        <v>Present</v>
      </c>
    </row>
    <row r="6895" spans="1:5" x14ac:dyDescent="0.25">
      <c r="A6895" s="2" t="s">
        <v>5343</v>
      </c>
      <c r="B6895" s="2" t="s">
        <v>3087</v>
      </c>
      <c r="C6895" s="2">
        <v>4</v>
      </c>
      <c r="D6895" t="str">
        <f t="shared" si="107"/>
        <v>CA-2017-142034_TEC-AC-10002305</v>
      </c>
      <c r="E6895" t="str">
        <f>IF(COUNTIF(data1!$D:$D,D6895)=0,"Missing in Data1","Present")</f>
        <v>Present</v>
      </c>
    </row>
    <row r="6896" spans="1:5" x14ac:dyDescent="0.25">
      <c r="A6896" s="2" t="s">
        <v>5344</v>
      </c>
      <c r="B6896" s="2" t="s">
        <v>1130</v>
      </c>
      <c r="C6896" s="2">
        <v>7</v>
      </c>
      <c r="D6896" t="str">
        <f t="shared" si="107"/>
        <v>CA-2017-142090_FUR-TA-10001889</v>
      </c>
      <c r="E6896" t="str">
        <f>IF(COUNTIF(data1!$D:$D,D6896)=0,"Missing in Data1","Present")</f>
        <v>Present</v>
      </c>
    </row>
    <row r="6897" spans="1:5" x14ac:dyDescent="0.25">
      <c r="A6897" s="2" t="s">
        <v>5344</v>
      </c>
      <c r="B6897" s="2" t="s">
        <v>1823</v>
      </c>
      <c r="C6897" s="2">
        <v>3</v>
      </c>
      <c r="D6897" t="str">
        <f t="shared" si="107"/>
        <v>CA-2017-142090_TEC-AC-10002001</v>
      </c>
      <c r="E6897" t="str">
        <f>IF(COUNTIF(data1!$D:$D,D6897)=0,"Missing in Data1","Present")</f>
        <v>Present</v>
      </c>
    </row>
    <row r="6898" spans="1:5" x14ac:dyDescent="0.25">
      <c r="A6898" s="2" t="s">
        <v>5345</v>
      </c>
      <c r="B6898" s="2" t="s">
        <v>3260</v>
      </c>
      <c r="C6898" s="2">
        <v>6</v>
      </c>
      <c r="D6898" t="str">
        <f t="shared" si="107"/>
        <v>CA-2017-142125_OFF-BI-10000301</v>
      </c>
      <c r="E6898" t="str">
        <f>IF(COUNTIF(data1!$D:$D,D6898)=0,"Missing in Data1","Present")</f>
        <v>Present</v>
      </c>
    </row>
    <row r="6899" spans="1:5" x14ac:dyDescent="0.25">
      <c r="A6899" s="2" t="s">
        <v>5345</v>
      </c>
      <c r="B6899" s="2" t="s">
        <v>2342</v>
      </c>
      <c r="C6899" s="2">
        <v>5</v>
      </c>
      <c r="D6899" t="str">
        <f t="shared" si="107"/>
        <v>CA-2017-142125_OFF-BI-10003460</v>
      </c>
      <c r="E6899" t="str">
        <f>IF(COUNTIF(data1!$D:$D,D6899)=0,"Missing in Data1","Present")</f>
        <v>Missing in Data1</v>
      </c>
    </row>
    <row r="6900" spans="1:5" x14ac:dyDescent="0.25">
      <c r="A6900" s="2" t="s">
        <v>6835</v>
      </c>
      <c r="B6900" s="2" t="s">
        <v>829</v>
      </c>
      <c r="C6900" s="2">
        <v>2</v>
      </c>
      <c r="D6900" t="str">
        <f t="shared" si="107"/>
        <v>CA-2017-142174_OFF-PA-10000806</v>
      </c>
      <c r="E6900" t="str">
        <f>IF(COUNTIF(data1!$D:$D,D6900)=0,"Missing in Data1","Present")</f>
        <v>Missing in Data1</v>
      </c>
    </row>
    <row r="6901" spans="1:5" x14ac:dyDescent="0.25">
      <c r="A6901" s="2" t="s">
        <v>5346</v>
      </c>
      <c r="B6901" s="2" t="s">
        <v>2690</v>
      </c>
      <c r="C6901" s="2">
        <v>3</v>
      </c>
      <c r="D6901" t="str">
        <f t="shared" si="107"/>
        <v>CA-2017-142293_TEC-AC-10001109</v>
      </c>
      <c r="E6901" t="str">
        <f>IF(COUNTIF(data1!$D:$D,D6901)=0,"Missing in Data1","Present")</f>
        <v>Present</v>
      </c>
    </row>
    <row r="6902" spans="1:5" x14ac:dyDescent="0.25">
      <c r="A6902" s="2" t="s">
        <v>5348</v>
      </c>
      <c r="B6902" s="2" t="s">
        <v>1417</v>
      </c>
      <c r="C6902" s="2">
        <v>5</v>
      </c>
      <c r="D6902" t="str">
        <f t="shared" si="107"/>
        <v>CA-2017-142342_FUR-BO-10002613</v>
      </c>
      <c r="E6902" t="str">
        <f>IF(COUNTIF(data1!$D:$D,D6902)=0,"Missing in Data1","Present")</f>
        <v>Present</v>
      </c>
    </row>
    <row r="6903" spans="1:5" x14ac:dyDescent="0.25">
      <c r="A6903" s="2" t="s">
        <v>5348</v>
      </c>
      <c r="B6903" s="2" t="s">
        <v>1204</v>
      </c>
      <c r="C6903" s="2">
        <v>5</v>
      </c>
      <c r="D6903" t="str">
        <f t="shared" si="107"/>
        <v>CA-2017-142342_OFF-EN-10002592</v>
      </c>
      <c r="E6903" t="str">
        <f>IF(COUNTIF(data1!$D:$D,D6903)=0,"Missing in Data1","Present")</f>
        <v>Present</v>
      </c>
    </row>
    <row r="6904" spans="1:5" x14ac:dyDescent="0.25">
      <c r="A6904" s="2" t="s">
        <v>5348</v>
      </c>
      <c r="B6904" s="2" t="s">
        <v>1446</v>
      </c>
      <c r="C6904" s="2">
        <v>5</v>
      </c>
      <c r="D6904" t="str">
        <f t="shared" si="107"/>
        <v>CA-2017-142342_OFF-PA-10004609</v>
      </c>
      <c r="E6904" t="str">
        <f>IF(COUNTIF(data1!$D:$D,D6904)=0,"Missing in Data1","Present")</f>
        <v>Present</v>
      </c>
    </row>
    <row r="6905" spans="1:5" x14ac:dyDescent="0.25">
      <c r="A6905" s="2" t="s">
        <v>5348</v>
      </c>
      <c r="B6905" s="2" t="s">
        <v>1045</v>
      </c>
      <c r="C6905" s="2">
        <v>2</v>
      </c>
      <c r="D6905" t="str">
        <f t="shared" si="107"/>
        <v>CA-2017-142342_OFF-ST-10002957</v>
      </c>
      <c r="E6905" t="str">
        <f>IF(COUNTIF(data1!$D:$D,D6905)=0,"Missing in Data1","Present")</f>
        <v>Present</v>
      </c>
    </row>
    <row r="6906" spans="1:5" x14ac:dyDescent="0.25">
      <c r="A6906" s="2" t="s">
        <v>5349</v>
      </c>
      <c r="B6906" s="2" t="s">
        <v>359</v>
      </c>
      <c r="C6906" s="2">
        <v>10</v>
      </c>
      <c r="D6906" t="str">
        <f t="shared" si="107"/>
        <v>CA-2017-142391_FUR-FU-10002759</v>
      </c>
      <c r="E6906" t="str">
        <f>IF(COUNTIF(data1!$D:$D,D6906)=0,"Missing in Data1","Present")</f>
        <v>Present</v>
      </c>
    </row>
    <row r="6907" spans="1:5" x14ac:dyDescent="0.25">
      <c r="A6907" s="2" t="s">
        <v>5350</v>
      </c>
      <c r="B6907" s="2" t="s">
        <v>2465</v>
      </c>
      <c r="C6907" s="2">
        <v>1</v>
      </c>
      <c r="D6907" t="str">
        <f t="shared" si="107"/>
        <v>CA-2017-142461_FUR-BO-10001811</v>
      </c>
      <c r="E6907" t="str">
        <f>IF(COUNTIF(data1!$D:$D,D6907)=0,"Missing in Data1","Present")</f>
        <v>Present</v>
      </c>
    </row>
    <row r="6908" spans="1:5" x14ac:dyDescent="0.25">
      <c r="A6908" s="2" t="s">
        <v>5351</v>
      </c>
      <c r="B6908" s="2" t="s">
        <v>229</v>
      </c>
      <c r="C6908" s="2">
        <v>5</v>
      </c>
      <c r="D6908" t="str">
        <f t="shared" si="107"/>
        <v>CA-2017-142489_OFF-BI-10003684</v>
      </c>
      <c r="E6908" t="str">
        <f>IF(COUNTIF(data1!$D:$D,D6908)=0,"Missing in Data1","Present")</f>
        <v>Present</v>
      </c>
    </row>
    <row r="6909" spans="1:5" x14ac:dyDescent="0.25">
      <c r="A6909" s="2" t="s">
        <v>5352</v>
      </c>
      <c r="B6909" s="2" t="s">
        <v>489</v>
      </c>
      <c r="C6909" s="2">
        <v>2</v>
      </c>
      <c r="D6909" t="str">
        <f t="shared" si="107"/>
        <v>CA-2017-142622_FUR-BO-10004467</v>
      </c>
      <c r="E6909" t="str">
        <f>IF(COUNTIF(data1!$D:$D,D6909)=0,"Missing in Data1","Present")</f>
        <v>Missing in Data1</v>
      </c>
    </row>
    <row r="6910" spans="1:5" x14ac:dyDescent="0.25">
      <c r="A6910" s="2" t="s">
        <v>5352</v>
      </c>
      <c r="B6910" s="2" t="s">
        <v>246</v>
      </c>
      <c r="C6910" s="2">
        <v>2</v>
      </c>
      <c r="D6910" t="str">
        <f t="shared" si="107"/>
        <v>CA-2017-142622_FUR-CH-10003833</v>
      </c>
      <c r="E6910" t="str">
        <f>IF(COUNTIF(data1!$D:$D,D6910)=0,"Missing in Data1","Present")</f>
        <v>Present</v>
      </c>
    </row>
    <row r="6911" spans="1:5" x14ac:dyDescent="0.25">
      <c r="A6911" s="2" t="s">
        <v>5352</v>
      </c>
      <c r="B6911" s="2" t="s">
        <v>1333</v>
      </c>
      <c r="C6911" s="2">
        <v>8</v>
      </c>
      <c r="D6911" t="str">
        <f t="shared" si="107"/>
        <v>CA-2017-142622_FUR-CH-10004289</v>
      </c>
      <c r="E6911" t="str">
        <f>IF(COUNTIF(data1!$D:$D,D6911)=0,"Missing in Data1","Present")</f>
        <v>Present</v>
      </c>
    </row>
    <row r="6912" spans="1:5" x14ac:dyDescent="0.25">
      <c r="A6912" s="2" t="s">
        <v>5353</v>
      </c>
      <c r="B6912" s="2" t="s">
        <v>415</v>
      </c>
      <c r="C6912" s="2">
        <v>4</v>
      </c>
      <c r="D6912" t="str">
        <f t="shared" si="107"/>
        <v>CA-2017-142636_FUR-CH-10001891</v>
      </c>
      <c r="E6912" t="str">
        <f>IF(COUNTIF(data1!$D:$D,D6912)=0,"Missing in Data1","Present")</f>
        <v>Present</v>
      </c>
    </row>
    <row r="6913" spans="1:5" x14ac:dyDescent="0.25">
      <c r="A6913" s="2" t="s">
        <v>5353</v>
      </c>
      <c r="B6913" s="2" t="s">
        <v>2602</v>
      </c>
      <c r="C6913" s="2">
        <v>7</v>
      </c>
      <c r="D6913" t="str">
        <f t="shared" si="107"/>
        <v>CA-2017-142636_OFF-PA-10000157</v>
      </c>
      <c r="E6913" t="str">
        <f>IF(COUNTIF(data1!$D:$D,D6913)=0,"Missing in Data1","Present")</f>
        <v>Present</v>
      </c>
    </row>
    <row r="6914" spans="1:5" x14ac:dyDescent="0.25">
      <c r="A6914" s="2" t="s">
        <v>5354</v>
      </c>
      <c r="B6914" s="2" t="s">
        <v>1899</v>
      </c>
      <c r="C6914" s="2">
        <v>1</v>
      </c>
      <c r="D6914" t="str">
        <f t="shared" si="107"/>
        <v>CA-2017-142643_FUR-FU-10000087</v>
      </c>
      <c r="E6914" t="str">
        <f>IF(COUNTIF(data1!$D:$D,D6914)=0,"Missing in Data1","Present")</f>
        <v>Present</v>
      </c>
    </row>
    <row r="6915" spans="1:5" x14ac:dyDescent="0.25">
      <c r="A6915" s="2" t="s">
        <v>5354</v>
      </c>
      <c r="B6915" s="2" t="s">
        <v>1125</v>
      </c>
      <c r="C6915" s="2">
        <v>5</v>
      </c>
      <c r="D6915" t="str">
        <f t="shared" ref="D6915:D6978" si="108">A6915&amp;"_"&amp;B6915</f>
        <v>CA-2017-142643_OFF-LA-10003510</v>
      </c>
      <c r="E6915" t="str">
        <f>IF(COUNTIF(data1!$D:$D,D6915)=0,"Missing in Data1","Present")</f>
        <v>Present</v>
      </c>
    </row>
    <row r="6916" spans="1:5" x14ac:dyDescent="0.25">
      <c r="A6916" s="2" t="s">
        <v>5355</v>
      </c>
      <c r="B6916" s="2" t="s">
        <v>1019</v>
      </c>
      <c r="C6916" s="2">
        <v>5</v>
      </c>
      <c r="D6916" t="str">
        <f t="shared" si="108"/>
        <v>CA-2017-142671_OFF-BI-10004099</v>
      </c>
      <c r="E6916" t="str">
        <f>IF(COUNTIF(data1!$D:$D,D6916)=0,"Missing in Data1","Present")</f>
        <v>Present</v>
      </c>
    </row>
    <row r="6917" spans="1:5" x14ac:dyDescent="0.25">
      <c r="A6917" s="2" t="s">
        <v>5356</v>
      </c>
      <c r="B6917" s="2" t="s">
        <v>1225</v>
      </c>
      <c r="C6917" s="2">
        <v>3</v>
      </c>
      <c r="D6917" t="str">
        <f t="shared" si="108"/>
        <v>CA-2017-142776_OFF-BI-10002012</v>
      </c>
      <c r="E6917" t="str">
        <f>IF(COUNTIF(data1!$D:$D,D6917)=0,"Missing in Data1","Present")</f>
        <v>Present</v>
      </c>
    </row>
    <row r="6918" spans="1:5" x14ac:dyDescent="0.25">
      <c r="A6918" s="2" t="s">
        <v>5356</v>
      </c>
      <c r="B6918" s="2" t="s">
        <v>1010</v>
      </c>
      <c r="C6918" s="2">
        <v>1</v>
      </c>
      <c r="D6918" t="str">
        <f t="shared" si="108"/>
        <v>CA-2017-142776_OFF-EN-10003160</v>
      </c>
      <c r="E6918" t="str">
        <f>IF(COUNTIF(data1!$D:$D,D6918)=0,"Missing in Data1","Present")</f>
        <v>Present</v>
      </c>
    </row>
    <row r="6919" spans="1:5" x14ac:dyDescent="0.25">
      <c r="A6919" s="2" t="s">
        <v>5357</v>
      </c>
      <c r="B6919" s="2" t="s">
        <v>837</v>
      </c>
      <c r="C6919" s="2">
        <v>3</v>
      </c>
      <c r="D6919" t="str">
        <f t="shared" si="108"/>
        <v>CA-2017-142867_OFF-PA-10004610</v>
      </c>
      <c r="E6919" t="str">
        <f>IF(COUNTIF(data1!$D:$D,D6919)=0,"Missing in Data1","Present")</f>
        <v>Present</v>
      </c>
    </row>
    <row r="6920" spans="1:5" x14ac:dyDescent="0.25">
      <c r="A6920" s="2" t="s">
        <v>5359</v>
      </c>
      <c r="B6920" s="2" t="s">
        <v>770</v>
      </c>
      <c r="C6920" s="2">
        <v>2</v>
      </c>
      <c r="D6920" t="str">
        <f t="shared" si="108"/>
        <v>CA-2017-142909_FUR-TA-10003008</v>
      </c>
      <c r="E6920" t="str">
        <f>IF(COUNTIF(data1!$D:$D,D6920)=0,"Missing in Data1","Present")</f>
        <v>Present</v>
      </c>
    </row>
    <row r="6921" spans="1:5" x14ac:dyDescent="0.25">
      <c r="A6921" s="2" t="s">
        <v>5360</v>
      </c>
      <c r="B6921" s="2" t="s">
        <v>513</v>
      </c>
      <c r="C6921" s="2">
        <v>3</v>
      </c>
      <c r="D6921" t="str">
        <f t="shared" si="108"/>
        <v>CA-2017-143021_FUR-TA-10001676</v>
      </c>
      <c r="E6921" t="str">
        <f>IF(COUNTIF(data1!$D:$D,D6921)=0,"Missing in Data1","Present")</f>
        <v>Present</v>
      </c>
    </row>
    <row r="6922" spans="1:5" x14ac:dyDescent="0.25">
      <c r="A6922" s="2" t="s">
        <v>5360</v>
      </c>
      <c r="B6922" s="2" t="s">
        <v>626</v>
      </c>
      <c r="C6922" s="2">
        <v>7</v>
      </c>
      <c r="D6922" t="str">
        <f t="shared" si="108"/>
        <v>CA-2017-143021_OFF-BI-10001628</v>
      </c>
      <c r="E6922" t="str">
        <f>IF(COUNTIF(data1!$D:$D,D6922)=0,"Missing in Data1","Present")</f>
        <v>Present</v>
      </c>
    </row>
    <row r="6923" spans="1:5" x14ac:dyDescent="0.25">
      <c r="A6923" s="2" t="s">
        <v>5361</v>
      </c>
      <c r="B6923" s="2" t="s">
        <v>3457</v>
      </c>
      <c r="C6923" s="2">
        <v>4</v>
      </c>
      <c r="D6923" t="str">
        <f t="shared" si="108"/>
        <v>CA-2017-143035_FUR-FU-10001934</v>
      </c>
      <c r="E6923" t="str">
        <f>IF(COUNTIF(data1!$D:$D,D6923)=0,"Missing in Data1","Present")</f>
        <v>Present</v>
      </c>
    </row>
    <row r="6924" spans="1:5" x14ac:dyDescent="0.25">
      <c r="A6924" s="2" t="s">
        <v>5361</v>
      </c>
      <c r="B6924" s="2" t="s">
        <v>4780</v>
      </c>
      <c r="C6924" s="2">
        <v>3</v>
      </c>
      <c r="D6924" t="str">
        <f t="shared" si="108"/>
        <v>CA-2017-143035_OFF-AR-10001130</v>
      </c>
      <c r="E6924" t="str">
        <f>IF(COUNTIF(data1!$D:$D,D6924)=0,"Missing in Data1","Present")</f>
        <v>Present</v>
      </c>
    </row>
    <row r="6925" spans="1:5" x14ac:dyDescent="0.25">
      <c r="A6925" s="2" t="s">
        <v>5361</v>
      </c>
      <c r="B6925" s="2" t="s">
        <v>1053</v>
      </c>
      <c r="C6925" s="2">
        <v>3</v>
      </c>
      <c r="D6925" t="str">
        <f t="shared" si="108"/>
        <v>CA-2017-143035_TEC-AC-10002049</v>
      </c>
      <c r="E6925" t="str">
        <f>IF(COUNTIF(data1!$D:$D,D6925)=0,"Missing in Data1","Present")</f>
        <v>Present</v>
      </c>
    </row>
    <row r="6926" spans="1:5" x14ac:dyDescent="0.25">
      <c r="A6926" s="2" t="s">
        <v>5362</v>
      </c>
      <c r="B6926" s="2" t="s">
        <v>860</v>
      </c>
      <c r="C6926" s="2">
        <v>6</v>
      </c>
      <c r="D6926" t="str">
        <f t="shared" si="108"/>
        <v>CA-2017-143063_OFF-EN-10003134</v>
      </c>
      <c r="E6926" t="str">
        <f>IF(COUNTIF(data1!$D:$D,D6926)=0,"Missing in Data1","Present")</f>
        <v>Present</v>
      </c>
    </row>
    <row r="6927" spans="1:5" x14ac:dyDescent="0.25">
      <c r="A6927" s="2" t="s">
        <v>5362</v>
      </c>
      <c r="B6927" s="2" t="s">
        <v>998</v>
      </c>
      <c r="C6927" s="2">
        <v>9</v>
      </c>
      <c r="D6927" t="str">
        <f t="shared" si="108"/>
        <v>CA-2017-143063_TEC-PH-10003645</v>
      </c>
      <c r="E6927" t="str">
        <f>IF(COUNTIF(data1!$D:$D,D6927)=0,"Missing in Data1","Present")</f>
        <v>Present</v>
      </c>
    </row>
    <row r="6928" spans="1:5" x14ac:dyDescent="0.25">
      <c r="A6928" s="2" t="s">
        <v>5363</v>
      </c>
      <c r="B6928" s="2" t="s">
        <v>5364</v>
      </c>
      <c r="C6928" s="2">
        <v>5</v>
      </c>
      <c r="D6928" t="str">
        <f t="shared" si="108"/>
        <v>CA-2017-143084_OFF-AR-10002766</v>
      </c>
      <c r="E6928" t="str">
        <f>IF(COUNTIF(data1!$D:$D,D6928)=0,"Missing in Data1","Present")</f>
        <v>Present</v>
      </c>
    </row>
    <row r="6929" spans="1:5" x14ac:dyDescent="0.25">
      <c r="A6929" s="2" t="s">
        <v>5363</v>
      </c>
      <c r="B6929" s="2" t="s">
        <v>808</v>
      </c>
      <c r="C6929" s="2">
        <v>5</v>
      </c>
      <c r="D6929" t="str">
        <f t="shared" si="108"/>
        <v>CA-2017-143084_OFF-EN-10003072</v>
      </c>
      <c r="E6929" t="str">
        <f>IF(COUNTIF(data1!$D:$D,D6929)=0,"Missing in Data1","Present")</f>
        <v>Missing in Data1</v>
      </c>
    </row>
    <row r="6930" spans="1:5" x14ac:dyDescent="0.25">
      <c r="A6930" s="2" t="s">
        <v>5365</v>
      </c>
      <c r="B6930" s="2" t="s">
        <v>1497</v>
      </c>
      <c r="C6930" s="2">
        <v>2</v>
      </c>
      <c r="D6930" t="str">
        <f t="shared" si="108"/>
        <v>CA-2017-143112_FUR-CH-10002880</v>
      </c>
      <c r="E6930" t="str">
        <f>IF(COUNTIF(data1!$D:$D,D6930)=0,"Missing in Data1","Present")</f>
        <v>Present</v>
      </c>
    </row>
    <row r="6931" spans="1:5" x14ac:dyDescent="0.25">
      <c r="A6931" s="2" t="s">
        <v>5365</v>
      </c>
      <c r="B6931" s="2" t="s">
        <v>5366</v>
      </c>
      <c r="C6931" s="2">
        <v>4</v>
      </c>
      <c r="D6931" t="str">
        <f t="shared" si="108"/>
        <v>CA-2017-143112_TEC-MA-10001047</v>
      </c>
      <c r="E6931" t="str">
        <f>IF(COUNTIF(data1!$D:$D,D6931)=0,"Missing in Data1","Present")</f>
        <v>Present</v>
      </c>
    </row>
    <row r="6932" spans="1:5" x14ac:dyDescent="0.25">
      <c r="A6932" s="2" t="s">
        <v>5365</v>
      </c>
      <c r="B6932" s="2" t="s">
        <v>934</v>
      </c>
      <c r="C6932" s="2">
        <v>4</v>
      </c>
      <c r="D6932" t="str">
        <f t="shared" si="108"/>
        <v>CA-2017-143112_TEC-PH-10003095</v>
      </c>
      <c r="E6932" t="str">
        <f>IF(COUNTIF(data1!$D:$D,D6932)=0,"Missing in Data1","Present")</f>
        <v>Missing in Data1</v>
      </c>
    </row>
    <row r="6933" spans="1:5" x14ac:dyDescent="0.25">
      <c r="A6933" s="2" t="s">
        <v>5367</v>
      </c>
      <c r="B6933" s="2" t="s">
        <v>841</v>
      </c>
      <c r="C6933" s="2">
        <v>2</v>
      </c>
      <c r="D6933" t="str">
        <f t="shared" si="108"/>
        <v>CA-2017-143126_FUR-TA-10002958</v>
      </c>
      <c r="E6933" t="str">
        <f>IF(COUNTIF(data1!$D:$D,D6933)=0,"Missing in Data1","Present")</f>
        <v>Present</v>
      </c>
    </row>
    <row r="6934" spans="1:5" x14ac:dyDescent="0.25">
      <c r="A6934" s="2" t="s">
        <v>5368</v>
      </c>
      <c r="B6934" s="2" t="s">
        <v>1727</v>
      </c>
      <c r="C6934" s="2">
        <v>3</v>
      </c>
      <c r="D6934" t="str">
        <f t="shared" si="108"/>
        <v>CA-2017-143217_OFF-BI-10002949</v>
      </c>
      <c r="E6934" t="str">
        <f>IF(COUNTIF(data1!$D:$D,D6934)=0,"Missing in Data1","Present")</f>
        <v>Present</v>
      </c>
    </row>
    <row r="6935" spans="1:5" x14ac:dyDescent="0.25">
      <c r="A6935" s="2" t="s">
        <v>5369</v>
      </c>
      <c r="B6935" s="2" t="s">
        <v>596</v>
      </c>
      <c r="C6935" s="2">
        <v>3</v>
      </c>
      <c r="D6935" t="str">
        <f t="shared" si="108"/>
        <v>CA-2017-143245_FUR-CH-10000155</v>
      </c>
      <c r="E6935" t="str">
        <f>IF(COUNTIF(data1!$D:$D,D6935)=0,"Missing in Data1","Present")</f>
        <v>Present</v>
      </c>
    </row>
    <row r="6936" spans="1:5" x14ac:dyDescent="0.25">
      <c r="A6936" s="2" t="s">
        <v>5369</v>
      </c>
      <c r="B6936" s="2" t="s">
        <v>1431</v>
      </c>
      <c r="C6936" s="2">
        <v>3</v>
      </c>
      <c r="D6936" t="str">
        <f t="shared" si="108"/>
        <v>CA-2017-143245_OFF-PA-10001972</v>
      </c>
      <c r="E6936" t="str">
        <f>IF(COUNTIF(data1!$D:$D,D6936)=0,"Missing in Data1","Present")</f>
        <v>Present</v>
      </c>
    </row>
    <row r="6937" spans="1:5" x14ac:dyDescent="0.25">
      <c r="A6937" s="2" t="s">
        <v>5370</v>
      </c>
      <c r="B6937" s="2" t="s">
        <v>1692</v>
      </c>
      <c r="C6937" s="2">
        <v>5</v>
      </c>
      <c r="D6937" t="str">
        <f t="shared" si="108"/>
        <v>CA-2017-143252_FUR-FU-10001057</v>
      </c>
      <c r="E6937" t="str">
        <f>IF(COUNTIF(data1!$D:$D,D6937)=0,"Missing in Data1","Present")</f>
        <v>Present</v>
      </c>
    </row>
    <row r="6938" spans="1:5" x14ac:dyDescent="0.25">
      <c r="A6938" s="2" t="s">
        <v>5370</v>
      </c>
      <c r="B6938" s="2" t="s">
        <v>1266</v>
      </c>
      <c r="C6938" s="2">
        <v>3</v>
      </c>
      <c r="D6938" t="str">
        <f t="shared" si="108"/>
        <v>CA-2017-143252_TEC-AC-10002331</v>
      </c>
      <c r="E6938" t="str">
        <f>IF(COUNTIF(data1!$D:$D,D6938)=0,"Missing in Data1","Present")</f>
        <v>Present</v>
      </c>
    </row>
    <row r="6939" spans="1:5" x14ac:dyDescent="0.25">
      <c r="A6939" s="2" t="s">
        <v>5371</v>
      </c>
      <c r="B6939" s="2" t="s">
        <v>3329</v>
      </c>
      <c r="C6939" s="2">
        <v>4</v>
      </c>
      <c r="D6939" t="str">
        <f t="shared" si="108"/>
        <v>CA-2017-143259_FUR-BO-10003441</v>
      </c>
      <c r="E6939" t="str">
        <f>IF(COUNTIF(data1!$D:$D,D6939)=0,"Missing in Data1","Present")</f>
        <v>Present</v>
      </c>
    </row>
    <row r="6940" spans="1:5" x14ac:dyDescent="0.25">
      <c r="A6940" s="2" t="s">
        <v>5371</v>
      </c>
      <c r="B6940" s="2" t="s">
        <v>229</v>
      </c>
      <c r="C6940" s="2">
        <v>3</v>
      </c>
      <c r="D6940" t="str">
        <f t="shared" si="108"/>
        <v>CA-2017-143259_OFF-BI-10003684</v>
      </c>
      <c r="E6940" t="str">
        <f>IF(COUNTIF(data1!$D:$D,D6940)=0,"Missing in Data1","Present")</f>
        <v>Present</v>
      </c>
    </row>
    <row r="6941" spans="1:5" x14ac:dyDescent="0.25">
      <c r="A6941" s="2" t="s">
        <v>5371</v>
      </c>
      <c r="B6941" s="2" t="s">
        <v>2344</v>
      </c>
      <c r="C6941" s="2">
        <v>7</v>
      </c>
      <c r="D6941" t="str">
        <f t="shared" si="108"/>
        <v>CA-2017-143259_TEC-PH-10004774</v>
      </c>
      <c r="E6941" t="str">
        <f>IF(COUNTIF(data1!$D:$D,D6941)=0,"Missing in Data1","Present")</f>
        <v>Present</v>
      </c>
    </row>
    <row r="6942" spans="1:5" x14ac:dyDescent="0.25">
      <c r="A6942" s="2" t="s">
        <v>5372</v>
      </c>
      <c r="B6942" s="2" t="s">
        <v>2493</v>
      </c>
      <c r="C6942" s="2">
        <v>2</v>
      </c>
      <c r="D6942" t="str">
        <f t="shared" si="108"/>
        <v>CA-2017-143294_OFF-PA-10000743</v>
      </c>
      <c r="E6942" t="str">
        <f>IF(COUNTIF(data1!$D:$D,D6942)=0,"Missing in Data1","Present")</f>
        <v>Present</v>
      </c>
    </row>
    <row r="6943" spans="1:5" x14ac:dyDescent="0.25">
      <c r="A6943" s="2" t="s">
        <v>5373</v>
      </c>
      <c r="B6943" s="2" t="s">
        <v>590</v>
      </c>
      <c r="C6943" s="2">
        <v>3</v>
      </c>
      <c r="D6943" t="str">
        <f t="shared" si="108"/>
        <v>CA-2017-143329_FUR-FU-10000629</v>
      </c>
      <c r="E6943" t="str">
        <f>IF(COUNTIF(data1!$D:$D,D6943)=0,"Missing in Data1","Present")</f>
        <v>Present</v>
      </c>
    </row>
    <row r="6944" spans="1:5" x14ac:dyDescent="0.25">
      <c r="A6944" s="2" t="s">
        <v>5374</v>
      </c>
      <c r="B6944" s="2" t="s">
        <v>396</v>
      </c>
      <c r="C6944" s="2">
        <v>5</v>
      </c>
      <c r="D6944" t="str">
        <f t="shared" si="108"/>
        <v>CA-2017-143343_OFF-AR-10002375</v>
      </c>
      <c r="E6944" t="str">
        <f>IF(COUNTIF(data1!$D:$D,D6944)=0,"Missing in Data1","Present")</f>
        <v>Present</v>
      </c>
    </row>
    <row r="6945" spans="1:5" x14ac:dyDescent="0.25">
      <c r="A6945" s="2" t="s">
        <v>5375</v>
      </c>
      <c r="B6945" s="2" t="s">
        <v>1343</v>
      </c>
      <c r="C6945" s="2">
        <v>2</v>
      </c>
      <c r="D6945" t="str">
        <f t="shared" si="108"/>
        <v>CA-2017-143378_FUR-BO-10001972</v>
      </c>
      <c r="E6945" t="str">
        <f>IF(COUNTIF(data1!$D:$D,D6945)=0,"Missing in Data1","Present")</f>
        <v>Present</v>
      </c>
    </row>
    <row r="6946" spans="1:5" x14ac:dyDescent="0.25">
      <c r="A6946" s="2" t="s">
        <v>5375</v>
      </c>
      <c r="B6946" s="2" t="s">
        <v>226</v>
      </c>
      <c r="C6946" s="2">
        <v>8</v>
      </c>
      <c r="D6946" t="str">
        <f t="shared" si="108"/>
        <v>CA-2017-143378_FUR-FU-10004864</v>
      </c>
      <c r="E6946" t="str">
        <f>IF(COUNTIF(data1!$D:$D,D6946)=0,"Missing in Data1","Present")</f>
        <v>Present</v>
      </c>
    </row>
    <row r="6947" spans="1:5" x14ac:dyDescent="0.25">
      <c r="A6947" s="2" t="s">
        <v>5375</v>
      </c>
      <c r="B6947" s="2" t="s">
        <v>1819</v>
      </c>
      <c r="C6947" s="2">
        <v>3</v>
      </c>
      <c r="D6947" t="str">
        <f t="shared" si="108"/>
        <v>CA-2017-143378_OFF-AR-10001915</v>
      </c>
      <c r="E6947" t="str">
        <f>IF(COUNTIF(data1!$D:$D,D6947)=0,"Missing in Data1","Present")</f>
        <v>Present</v>
      </c>
    </row>
    <row r="6948" spans="1:5" x14ac:dyDescent="0.25">
      <c r="A6948" s="2" t="s">
        <v>5375</v>
      </c>
      <c r="B6948" s="2" t="s">
        <v>35</v>
      </c>
      <c r="C6948" s="2">
        <v>3</v>
      </c>
      <c r="D6948" t="str">
        <f t="shared" si="108"/>
        <v>CA-2017-143378_TEC-PH-10001425</v>
      </c>
      <c r="E6948" t="str">
        <f>IF(COUNTIF(data1!$D:$D,D6948)=0,"Missing in Data1","Present")</f>
        <v>Present</v>
      </c>
    </row>
    <row r="6949" spans="1:5" x14ac:dyDescent="0.25">
      <c r="A6949" s="2" t="s">
        <v>5376</v>
      </c>
      <c r="B6949" s="2" t="s">
        <v>3622</v>
      </c>
      <c r="C6949" s="2">
        <v>4</v>
      </c>
      <c r="D6949" t="str">
        <f t="shared" si="108"/>
        <v>CA-2017-143434_FUR-FU-10002597</v>
      </c>
      <c r="E6949" t="str">
        <f>IF(COUNTIF(data1!$D:$D,D6949)=0,"Missing in Data1","Present")</f>
        <v>Present</v>
      </c>
    </row>
    <row r="6950" spans="1:5" x14ac:dyDescent="0.25">
      <c r="A6950" s="2" t="s">
        <v>5377</v>
      </c>
      <c r="B6950" s="2" t="s">
        <v>2683</v>
      </c>
      <c r="C6950" s="2">
        <v>2</v>
      </c>
      <c r="D6950" t="str">
        <f t="shared" si="108"/>
        <v>CA-2017-143455_OFF-PA-10004451</v>
      </c>
      <c r="E6950" t="str">
        <f>IF(COUNTIF(data1!$D:$D,D6950)=0,"Missing in Data1","Present")</f>
        <v>Present</v>
      </c>
    </row>
    <row r="6951" spans="1:5" x14ac:dyDescent="0.25">
      <c r="A6951" s="2" t="s">
        <v>5378</v>
      </c>
      <c r="B6951" s="2" t="s">
        <v>297</v>
      </c>
      <c r="C6951" s="2">
        <v>4</v>
      </c>
      <c r="D6951" t="str">
        <f t="shared" si="108"/>
        <v>CA-2017-143567_FUR-CH-10000454</v>
      </c>
      <c r="E6951" t="str">
        <f>IF(COUNTIF(data1!$D:$D,D6951)=0,"Missing in Data1","Present")</f>
        <v>Present</v>
      </c>
    </row>
    <row r="6952" spans="1:5" x14ac:dyDescent="0.25">
      <c r="A6952" s="2" t="s">
        <v>5378</v>
      </c>
      <c r="B6952" s="2" t="s">
        <v>307</v>
      </c>
      <c r="C6952" s="2">
        <v>2</v>
      </c>
      <c r="D6952" t="str">
        <f t="shared" si="108"/>
        <v>CA-2017-143567_OFF-EN-10004846</v>
      </c>
      <c r="E6952" t="str">
        <f>IF(COUNTIF(data1!$D:$D,D6952)=0,"Missing in Data1","Present")</f>
        <v>Present</v>
      </c>
    </row>
    <row r="6953" spans="1:5" x14ac:dyDescent="0.25">
      <c r="A6953" s="2" t="s">
        <v>5378</v>
      </c>
      <c r="B6953" s="2" t="s">
        <v>3335</v>
      </c>
      <c r="C6953" s="2">
        <v>4</v>
      </c>
      <c r="D6953" t="str">
        <f t="shared" si="108"/>
        <v>CA-2017-143567_OFF-ST-10001580</v>
      </c>
      <c r="E6953" t="str">
        <f>IF(COUNTIF(data1!$D:$D,D6953)=0,"Missing in Data1","Present")</f>
        <v>Present</v>
      </c>
    </row>
    <row r="6954" spans="1:5" x14ac:dyDescent="0.25">
      <c r="A6954" s="2" t="s">
        <v>5378</v>
      </c>
      <c r="B6954" s="2" t="s">
        <v>2603</v>
      </c>
      <c r="C6954" s="2">
        <v>9</v>
      </c>
      <c r="D6954" t="str">
        <f t="shared" si="108"/>
        <v>CA-2017-143567_TEC-AC-10004145</v>
      </c>
      <c r="E6954" t="str">
        <f>IF(COUNTIF(data1!$D:$D,D6954)=0,"Missing in Data1","Present")</f>
        <v>Present</v>
      </c>
    </row>
    <row r="6955" spans="1:5" x14ac:dyDescent="0.25">
      <c r="A6955" s="2" t="s">
        <v>5379</v>
      </c>
      <c r="B6955" s="2" t="s">
        <v>2180</v>
      </c>
      <c r="C6955" s="2">
        <v>9</v>
      </c>
      <c r="D6955" t="str">
        <f t="shared" si="108"/>
        <v>CA-2017-143574_FUR-BO-10002598</v>
      </c>
      <c r="E6955" t="str">
        <f>IF(COUNTIF(data1!$D:$D,D6955)=0,"Missing in Data1","Present")</f>
        <v>Present</v>
      </c>
    </row>
    <row r="6956" spans="1:5" x14ac:dyDescent="0.25">
      <c r="A6956" s="2" t="s">
        <v>5379</v>
      </c>
      <c r="B6956" s="2" t="s">
        <v>3218</v>
      </c>
      <c r="C6956" s="2">
        <v>2</v>
      </c>
      <c r="D6956" t="str">
        <f t="shared" si="108"/>
        <v>CA-2017-143574_FUR-FU-10003976</v>
      </c>
      <c r="E6956" t="str">
        <f>IF(COUNTIF(data1!$D:$D,D6956)=0,"Missing in Data1","Present")</f>
        <v>Present</v>
      </c>
    </row>
    <row r="6957" spans="1:5" x14ac:dyDescent="0.25">
      <c r="A6957" s="2" t="s">
        <v>5379</v>
      </c>
      <c r="B6957" s="2" t="s">
        <v>803</v>
      </c>
      <c r="C6957" s="2">
        <v>3</v>
      </c>
      <c r="D6957" t="str">
        <f t="shared" si="108"/>
        <v>CA-2017-143574_OFF-SU-10002537</v>
      </c>
      <c r="E6957" t="str">
        <f>IF(COUNTIF(data1!$D:$D,D6957)=0,"Missing in Data1","Present")</f>
        <v>Present</v>
      </c>
    </row>
    <row r="6958" spans="1:5" x14ac:dyDescent="0.25">
      <c r="A6958" s="2" t="s">
        <v>5381</v>
      </c>
      <c r="B6958" s="2" t="s">
        <v>4596</v>
      </c>
      <c r="C6958" s="2">
        <v>5</v>
      </c>
      <c r="D6958" t="str">
        <f t="shared" si="108"/>
        <v>CA-2017-143658_OFF-AR-10002818</v>
      </c>
      <c r="E6958" t="str">
        <f>IF(COUNTIF(data1!$D:$D,D6958)=0,"Missing in Data1","Present")</f>
        <v>Present</v>
      </c>
    </row>
    <row r="6959" spans="1:5" x14ac:dyDescent="0.25">
      <c r="A6959" s="2" t="s">
        <v>5382</v>
      </c>
      <c r="B6959" s="2" t="s">
        <v>3363</v>
      </c>
      <c r="C6959" s="2">
        <v>8</v>
      </c>
      <c r="D6959" t="str">
        <f t="shared" si="108"/>
        <v>CA-2017-143665_OFF-LA-10002034</v>
      </c>
      <c r="E6959" t="str">
        <f>IF(COUNTIF(data1!$D:$D,D6959)=0,"Missing in Data1","Present")</f>
        <v>Present</v>
      </c>
    </row>
    <row r="6960" spans="1:5" x14ac:dyDescent="0.25">
      <c r="A6960" s="2" t="s">
        <v>5382</v>
      </c>
      <c r="B6960" s="2" t="s">
        <v>4498</v>
      </c>
      <c r="C6960" s="2">
        <v>3</v>
      </c>
      <c r="D6960" t="str">
        <f t="shared" si="108"/>
        <v>CA-2017-143665_OFF-PA-10003673</v>
      </c>
      <c r="E6960" t="str">
        <f>IF(COUNTIF(data1!$D:$D,D6960)=0,"Missing in Data1","Present")</f>
        <v>Present</v>
      </c>
    </row>
    <row r="6961" spans="1:5" x14ac:dyDescent="0.25">
      <c r="A6961" s="2" t="s">
        <v>5383</v>
      </c>
      <c r="B6961" s="2" t="s">
        <v>1988</v>
      </c>
      <c r="C6961" s="2">
        <v>2</v>
      </c>
      <c r="D6961" t="str">
        <f t="shared" si="108"/>
        <v>CA-2017-143686_FUR-FU-10000794</v>
      </c>
      <c r="E6961" t="str">
        <f>IF(COUNTIF(data1!$D:$D,D6961)=0,"Missing in Data1","Present")</f>
        <v>Present</v>
      </c>
    </row>
    <row r="6962" spans="1:5" x14ac:dyDescent="0.25">
      <c r="A6962" s="2" t="s">
        <v>5383</v>
      </c>
      <c r="B6962" s="2" t="s">
        <v>2146</v>
      </c>
      <c r="C6962" s="2">
        <v>7</v>
      </c>
      <c r="D6962" t="str">
        <f t="shared" si="108"/>
        <v>CA-2017-143686_TEC-AC-10001838</v>
      </c>
      <c r="E6962" t="str">
        <f>IF(COUNTIF(data1!$D:$D,D6962)=0,"Missing in Data1","Present")</f>
        <v>Missing in Data1</v>
      </c>
    </row>
    <row r="6963" spans="1:5" x14ac:dyDescent="0.25">
      <c r="A6963" s="2" t="s">
        <v>5384</v>
      </c>
      <c r="B6963" s="2" t="s">
        <v>658</v>
      </c>
      <c r="C6963" s="2">
        <v>2</v>
      </c>
      <c r="D6963" t="str">
        <f t="shared" si="108"/>
        <v>CA-2017-143756_FUR-CH-10001854</v>
      </c>
      <c r="E6963" t="str">
        <f>IF(COUNTIF(data1!$D:$D,D6963)=0,"Missing in Data1","Present")</f>
        <v>Present</v>
      </c>
    </row>
    <row r="6964" spans="1:5" x14ac:dyDescent="0.25">
      <c r="A6964" s="2" t="s">
        <v>5385</v>
      </c>
      <c r="B6964" s="2" t="s">
        <v>263</v>
      </c>
      <c r="C6964" s="2">
        <v>2</v>
      </c>
      <c r="D6964" t="str">
        <f t="shared" si="108"/>
        <v>CA-2017-143798_FUR-FU-10004306</v>
      </c>
      <c r="E6964" t="str">
        <f>IF(COUNTIF(data1!$D:$D,D6964)=0,"Missing in Data1","Present")</f>
        <v>Present</v>
      </c>
    </row>
    <row r="6965" spans="1:5" x14ac:dyDescent="0.25">
      <c r="A6965" s="2" t="s">
        <v>5385</v>
      </c>
      <c r="B6965" s="2" t="s">
        <v>320</v>
      </c>
      <c r="C6965" s="2">
        <v>2</v>
      </c>
      <c r="D6965" t="str">
        <f t="shared" si="108"/>
        <v>CA-2017-143798_OFF-PA-10000788</v>
      </c>
      <c r="E6965" t="str">
        <f>IF(COUNTIF(data1!$D:$D,D6965)=0,"Missing in Data1","Present")</f>
        <v>Present</v>
      </c>
    </row>
    <row r="6966" spans="1:5" x14ac:dyDescent="0.25">
      <c r="A6966" s="2" t="s">
        <v>5386</v>
      </c>
      <c r="B6966" s="2" t="s">
        <v>643</v>
      </c>
      <c r="C6966" s="2">
        <v>2</v>
      </c>
      <c r="D6966" t="str">
        <f t="shared" si="108"/>
        <v>CA-2017-143861_FUR-FU-10001546</v>
      </c>
      <c r="E6966" t="str">
        <f>IF(COUNTIF(data1!$D:$D,D6966)=0,"Missing in Data1","Present")</f>
        <v>Present</v>
      </c>
    </row>
    <row r="6967" spans="1:5" x14ac:dyDescent="0.25">
      <c r="A6967" s="2" t="s">
        <v>6836</v>
      </c>
      <c r="B6967" s="2" t="s">
        <v>701</v>
      </c>
      <c r="C6967" s="2">
        <v>8</v>
      </c>
      <c r="D6967" t="str">
        <f t="shared" si="108"/>
        <v>CA-2017-144036_OFF-AR-10000122</v>
      </c>
      <c r="E6967" t="str">
        <f>IF(COUNTIF(data1!$D:$D,D6967)=0,"Missing in Data1","Present")</f>
        <v>Missing in Data1</v>
      </c>
    </row>
    <row r="6968" spans="1:5" x14ac:dyDescent="0.25">
      <c r="A6968" s="2" t="s">
        <v>5387</v>
      </c>
      <c r="B6968" s="2" t="s">
        <v>1225</v>
      </c>
      <c r="C6968" s="2">
        <v>9</v>
      </c>
      <c r="D6968" t="str">
        <f t="shared" si="108"/>
        <v>CA-2017-144064_OFF-BI-10002012</v>
      </c>
      <c r="E6968" t="str">
        <f>IF(COUNTIF(data1!$D:$D,D6968)=0,"Missing in Data1","Present")</f>
        <v>Present</v>
      </c>
    </row>
    <row r="6969" spans="1:5" x14ac:dyDescent="0.25">
      <c r="A6969" s="2" t="s">
        <v>5387</v>
      </c>
      <c r="B6969" s="2" t="s">
        <v>2582</v>
      </c>
      <c r="C6969" s="2">
        <v>4</v>
      </c>
      <c r="D6969" t="str">
        <f t="shared" si="108"/>
        <v>CA-2017-144064_OFF-LA-10004544</v>
      </c>
      <c r="E6969" t="str">
        <f>IF(COUNTIF(data1!$D:$D,D6969)=0,"Missing in Data1","Present")</f>
        <v>Present</v>
      </c>
    </row>
    <row r="6970" spans="1:5" x14ac:dyDescent="0.25">
      <c r="A6970" s="2" t="s">
        <v>5387</v>
      </c>
      <c r="B6970" s="2" t="s">
        <v>1772</v>
      </c>
      <c r="C6970" s="2">
        <v>2</v>
      </c>
      <c r="D6970" t="str">
        <f t="shared" si="108"/>
        <v>CA-2017-144064_OFF-ST-10004507</v>
      </c>
      <c r="E6970" t="str">
        <f>IF(COUNTIF(data1!$D:$D,D6970)=0,"Missing in Data1","Present")</f>
        <v>Present</v>
      </c>
    </row>
    <row r="6971" spans="1:5" x14ac:dyDescent="0.25">
      <c r="A6971" s="2" t="s">
        <v>5388</v>
      </c>
      <c r="B6971" s="2" t="s">
        <v>4403</v>
      </c>
      <c r="C6971" s="2">
        <v>2</v>
      </c>
      <c r="D6971" t="str">
        <f t="shared" si="108"/>
        <v>CA-2017-144113_OFF-EN-10001141</v>
      </c>
      <c r="E6971" t="str">
        <f>IF(COUNTIF(data1!$D:$D,D6971)=0,"Missing in Data1","Present")</f>
        <v>Present</v>
      </c>
    </row>
    <row r="6972" spans="1:5" x14ac:dyDescent="0.25">
      <c r="A6972" s="2" t="s">
        <v>5388</v>
      </c>
      <c r="B6972" s="2" t="s">
        <v>777</v>
      </c>
      <c r="C6972" s="2">
        <v>1</v>
      </c>
      <c r="D6972" t="str">
        <f t="shared" si="108"/>
        <v>CA-2017-144113_TEC-PH-10002170</v>
      </c>
      <c r="E6972" t="str">
        <f>IF(COUNTIF(data1!$D:$D,D6972)=0,"Missing in Data1","Present")</f>
        <v>Present</v>
      </c>
    </row>
    <row r="6973" spans="1:5" x14ac:dyDescent="0.25">
      <c r="A6973" s="2" t="s">
        <v>5389</v>
      </c>
      <c r="B6973" s="2" t="s">
        <v>1510</v>
      </c>
      <c r="C6973" s="2">
        <v>3</v>
      </c>
      <c r="D6973" t="str">
        <f t="shared" si="108"/>
        <v>CA-2017-144225_OFF-PA-10000062</v>
      </c>
      <c r="E6973" t="str">
        <f>IF(COUNTIF(data1!$D:$D,D6973)=0,"Missing in Data1","Present")</f>
        <v>Present</v>
      </c>
    </row>
    <row r="6974" spans="1:5" x14ac:dyDescent="0.25">
      <c r="A6974" s="2" t="s">
        <v>5390</v>
      </c>
      <c r="B6974" s="2" t="s">
        <v>308</v>
      </c>
      <c r="C6974" s="2">
        <v>4</v>
      </c>
      <c r="D6974" t="str">
        <f t="shared" si="108"/>
        <v>CA-2017-144365_OFF-FA-10000735</v>
      </c>
      <c r="E6974" t="str">
        <f>IF(COUNTIF(data1!$D:$D,D6974)=0,"Missing in Data1","Present")</f>
        <v>Present</v>
      </c>
    </row>
    <row r="6975" spans="1:5" x14ac:dyDescent="0.25">
      <c r="A6975" s="2" t="s">
        <v>5391</v>
      </c>
      <c r="B6975" s="2" t="s">
        <v>269</v>
      </c>
      <c r="C6975" s="2">
        <v>5</v>
      </c>
      <c r="D6975" t="str">
        <f t="shared" si="108"/>
        <v>CA-2017-144456_OFF-ST-10001321</v>
      </c>
      <c r="E6975" t="str">
        <f>IF(COUNTIF(data1!$D:$D,D6975)=0,"Missing in Data1","Present")</f>
        <v>Present</v>
      </c>
    </row>
    <row r="6976" spans="1:5" x14ac:dyDescent="0.25">
      <c r="A6976" s="2" t="s">
        <v>5391</v>
      </c>
      <c r="B6976" s="2" t="s">
        <v>1092</v>
      </c>
      <c r="C6976" s="2">
        <v>3</v>
      </c>
      <c r="D6976" t="str">
        <f t="shared" si="108"/>
        <v>CA-2017-144456_TEC-PH-10001750</v>
      </c>
      <c r="E6976" t="str">
        <f>IF(COUNTIF(data1!$D:$D,D6976)=0,"Missing in Data1","Present")</f>
        <v>Present</v>
      </c>
    </row>
    <row r="6977" spans="1:5" x14ac:dyDescent="0.25">
      <c r="A6977" s="2" t="s">
        <v>5392</v>
      </c>
      <c r="B6977" s="2" t="s">
        <v>2776</v>
      </c>
      <c r="C6977" s="2">
        <v>11</v>
      </c>
      <c r="D6977" t="str">
        <f t="shared" si="108"/>
        <v>CA-2017-144463_FUR-FU-10001215</v>
      </c>
      <c r="E6977" t="str">
        <f>IF(COUNTIF(data1!$D:$D,D6977)=0,"Missing in Data1","Present")</f>
        <v>Present</v>
      </c>
    </row>
    <row r="6978" spans="1:5" x14ac:dyDescent="0.25">
      <c r="A6978" s="2" t="s">
        <v>5393</v>
      </c>
      <c r="B6978" s="2" t="s">
        <v>2088</v>
      </c>
      <c r="C6978" s="2">
        <v>5</v>
      </c>
      <c r="D6978" t="str">
        <f t="shared" si="108"/>
        <v>CA-2017-144484_OFF-AP-10004487</v>
      </c>
      <c r="E6978" t="str">
        <f>IF(COUNTIF(data1!$D:$D,D6978)=0,"Missing in Data1","Present")</f>
        <v>Present</v>
      </c>
    </row>
    <row r="6979" spans="1:5" x14ac:dyDescent="0.25">
      <c r="A6979" s="2" t="s">
        <v>5394</v>
      </c>
      <c r="B6979" s="2" t="s">
        <v>2465</v>
      </c>
      <c r="C6979" s="2">
        <v>5</v>
      </c>
      <c r="D6979" t="str">
        <f t="shared" ref="D6979:D7042" si="109">A6979&amp;"_"&amp;B6979</f>
        <v>CA-2017-144491_FUR-BO-10001811</v>
      </c>
      <c r="E6979" t="str">
        <f>IF(COUNTIF(data1!$D:$D,D6979)=0,"Missing in Data1","Present")</f>
        <v>Present</v>
      </c>
    </row>
    <row r="6980" spans="1:5" x14ac:dyDescent="0.25">
      <c r="A6980" s="2" t="s">
        <v>5394</v>
      </c>
      <c r="B6980" s="2" t="s">
        <v>84</v>
      </c>
      <c r="C6980" s="2">
        <v>2</v>
      </c>
      <c r="D6980" t="str">
        <f t="shared" si="109"/>
        <v>CA-2017-144491_FUR-CH-10001714</v>
      </c>
      <c r="E6980" t="str">
        <f>IF(COUNTIF(data1!$D:$D,D6980)=0,"Missing in Data1","Present")</f>
        <v>Present</v>
      </c>
    </row>
    <row r="6981" spans="1:5" x14ac:dyDescent="0.25">
      <c r="A6981" s="2" t="s">
        <v>5394</v>
      </c>
      <c r="B6981" s="2" t="s">
        <v>181</v>
      </c>
      <c r="C6981" s="2">
        <v>3</v>
      </c>
      <c r="D6981" t="str">
        <f t="shared" si="109"/>
        <v>CA-2017-144491_FUR-CH-10004063</v>
      </c>
      <c r="E6981" t="str">
        <f>IF(COUNTIF(data1!$D:$D,D6981)=0,"Missing in Data1","Present")</f>
        <v>Present</v>
      </c>
    </row>
    <row r="6982" spans="1:5" x14ac:dyDescent="0.25">
      <c r="A6982" s="2" t="s">
        <v>5394</v>
      </c>
      <c r="B6982" s="2" t="s">
        <v>5395</v>
      </c>
      <c r="C6982" s="2">
        <v>1</v>
      </c>
      <c r="D6982" t="str">
        <f t="shared" si="109"/>
        <v>CA-2017-144491_TEC-AC-10004901</v>
      </c>
      <c r="E6982" t="str">
        <f>IF(COUNTIF(data1!$D:$D,D6982)=0,"Missing in Data1","Present")</f>
        <v>Present</v>
      </c>
    </row>
    <row r="6983" spans="1:5" x14ac:dyDescent="0.25">
      <c r="A6983" s="2" t="s">
        <v>5396</v>
      </c>
      <c r="B6983" s="2" t="s">
        <v>1117</v>
      </c>
      <c r="C6983" s="2">
        <v>11</v>
      </c>
      <c r="D6983" t="str">
        <f t="shared" si="109"/>
        <v>CA-2017-144498_OFF-BI-10003982</v>
      </c>
      <c r="E6983" t="str">
        <f>IF(COUNTIF(data1!$D:$D,D6983)=0,"Missing in Data1","Present")</f>
        <v>Missing in Data1</v>
      </c>
    </row>
    <row r="6984" spans="1:5" x14ac:dyDescent="0.25">
      <c r="A6984" s="2" t="s">
        <v>5396</v>
      </c>
      <c r="B6984" s="2" t="s">
        <v>1125</v>
      </c>
      <c r="C6984" s="2">
        <v>5</v>
      </c>
      <c r="D6984" t="str">
        <f t="shared" si="109"/>
        <v>CA-2017-144498_OFF-LA-10003510</v>
      </c>
      <c r="E6984" t="str">
        <f>IF(COUNTIF(data1!$D:$D,D6984)=0,"Missing in Data1","Present")</f>
        <v>Present</v>
      </c>
    </row>
    <row r="6985" spans="1:5" x14ac:dyDescent="0.25">
      <c r="A6985" s="2" t="s">
        <v>5397</v>
      </c>
      <c r="B6985" s="2" t="s">
        <v>955</v>
      </c>
      <c r="C6985" s="2">
        <v>3</v>
      </c>
      <c r="D6985" t="str">
        <f t="shared" si="109"/>
        <v>CA-2017-144526_OFF-BI-10002353</v>
      </c>
      <c r="E6985" t="str">
        <f>IF(COUNTIF(data1!$D:$D,D6985)=0,"Missing in Data1","Present")</f>
        <v>Present</v>
      </c>
    </row>
    <row r="6986" spans="1:5" x14ac:dyDescent="0.25">
      <c r="A6986" s="2" t="s">
        <v>5397</v>
      </c>
      <c r="B6986" s="2" t="s">
        <v>102</v>
      </c>
      <c r="C6986" s="2">
        <v>5</v>
      </c>
      <c r="D6986" t="str">
        <f t="shared" si="109"/>
        <v>CA-2017-144526_TEC-PH-10002549</v>
      </c>
      <c r="E6986" t="str">
        <f>IF(COUNTIF(data1!$D:$D,D6986)=0,"Missing in Data1","Present")</f>
        <v>Present</v>
      </c>
    </row>
    <row r="6987" spans="1:5" x14ac:dyDescent="0.25">
      <c r="A6987" s="2" t="s">
        <v>6837</v>
      </c>
      <c r="B6987" s="2" t="s">
        <v>977</v>
      </c>
      <c r="C6987" s="2">
        <v>5</v>
      </c>
      <c r="D6987" t="str">
        <f t="shared" si="109"/>
        <v>CA-2017-144568_OFF-FA-10004395</v>
      </c>
      <c r="E6987" t="str">
        <f>IF(COUNTIF(data1!$D:$D,D6987)=0,"Missing in Data1","Present")</f>
        <v>Missing in Data1</v>
      </c>
    </row>
    <row r="6988" spans="1:5" x14ac:dyDescent="0.25">
      <c r="A6988" s="2" t="s">
        <v>5398</v>
      </c>
      <c r="B6988" s="2" t="s">
        <v>516</v>
      </c>
      <c r="C6988" s="2">
        <v>5</v>
      </c>
      <c r="D6988" t="str">
        <f t="shared" si="109"/>
        <v>CA-2017-144589_OFF-AR-10003631</v>
      </c>
      <c r="E6988" t="str">
        <f>IF(COUNTIF(data1!$D:$D,D6988)=0,"Missing in Data1","Present")</f>
        <v>Present</v>
      </c>
    </row>
    <row r="6989" spans="1:5" x14ac:dyDescent="0.25">
      <c r="A6989" s="2" t="s">
        <v>5398</v>
      </c>
      <c r="B6989" s="2" t="s">
        <v>817</v>
      </c>
      <c r="C6989" s="2">
        <v>3</v>
      </c>
      <c r="D6989" t="str">
        <f t="shared" si="109"/>
        <v>CA-2017-144589_TEC-PH-10003072</v>
      </c>
      <c r="E6989" t="str">
        <f>IF(COUNTIF(data1!$D:$D,D6989)=0,"Missing in Data1","Present")</f>
        <v>Present</v>
      </c>
    </row>
    <row r="6990" spans="1:5" x14ac:dyDescent="0.25">
      <c r="A6990" s="2" t="s">
        <v>5399</v>
      </c>
      <c r="B6990" s="2" t="s">
        <v>1234</v>
      </c>
      <c r="C6990" s="2">
        <v>9</v>
      </c>
      <c r="D6990" t="str">
        <f t="shared" si="109"/>
        <v>CA-2017-144596_OFF-PA-10003302</v>
      </c>
      <c r="E6990" t="str">
        <f>IF(COUNTIF(data1!$D:$D,D6990)=0,"Missing in Data1","Present")</f>
        <v>Present</v>
      </c>
    </row>
    <row r="6991" spans="1:5" x14ac:dyDescent="0.25">
      <c r="A6991" s="2" t="s">
        <v>5400</v>
      </c>
      <c r="B6991" s="2" t="s">
        <v>2746</v>
      </c>
      <c r="C6991" s="2">
        <v>2</v>
      </c>
      <c r="D6991" t="str">
        <f t="shared" si="109"/>
        <v>CA-2017-144638_FUR-FU-10003535</v>
      </c>
      <c r="E6991" t="str">
        <f>IF(COUNTIF(data1!$D:$D,D6991)=0,"Missing in Data1","Present")</f>
        <v>Present</v>
      </c>
    </row>
    <row r="6992" spans="1:5" x14ac:dyDescent="0.25">
      <c r="A6992" s="2" t="s">
        <v>5400</v>
      </c>
      <c r="B6992" s="2" t="s">
        <v>1290</v>
      </c>
      <c r="C6992" s="2">
        <v>1</v>
      </c>
      <c r="D6992" t="str">
        <f t="shared" si="109"/>
        <v>CA-2017-144638_FUR-FU-10003724</v>
      </c>
      <c r="E6992" t="str">
        <f>IF(COUNTIF(data1!$D:$D,D6992)=0,"Missing in Data1","Present")</f>
        <v>Present</v>
      </c>
    </row>
    <row r="6993" spans="1:5" x14ac:dyDescent="0.25">
      <c r="A6993" s="2" t="s">
        <v>5400</v>
      </c>
      <c r="B6993" s="2" t="s">
        <v>3820</v>
      </c>
      <c r="C6993" s="2">
        <v>2</v>
      </c>
      <c r="D6993" t="str">
        <f t="shared" si="109"/>
        <v>CA-2017-144638_OFF-AR-10003958</v>
      </c>
      <c r="E6993" t="str">
        <f>IF(COUNTIF(data1!$D:$D,D6993)=0,"Missing in Data1","Present")</f>
        <v>Present</v>
      </c>
    </row>
    <row r="6994" spans="1:5" x14ac:dyDescent="0.25">
      <c r="A6994" s="2" t="s">
        <v>5400</v>
      </c>
      <c r="B6994" s="2" t="s">
        <v>783</v>
      </c>
      <c r="C6994" s="2">
        <v>3</v>
      </c>
      <c r="D6994" t="str">
        <f t="shared" si="109"/>
        <v>CA-2017-144638_TEC-PH-10000149</v>
      </c>
      <c r="E6994" t="str">
        <f>IF(COUNTIF(data1!$D:$D,D6994)=0,"Missing in Data1","Present")</f>
        <v>Present</v>
      </c>
    </row>
    <row r="6995" spans="1:5" x14ac:dyDescent="0.25">
      <c r="A6995" s="2" t="s">
        <v>5401</v>
      </c>
      <c r="B6995" s="2" t="s">
        <v>2830</v>
      </c>
      <c r="C6995" s="2">
        <v>5</v>
      </c>
      <c r="D6995" t="str">
        <f t="shared" si="109"/>
        <v>CA-2017-144680_OFF-AP-10003040</v>
      </c>
      <c r="E6995" t="str">
        <f>IF(COUNTIF(data1!$D:$D,D6995)=0,"Missing in Data1","Present")</f>
        <v>Present</v>
      </c>
    </row>
    <row r="6996" spans="1:5" x14ac:dyDescent="0.25">
      <c r="A6996" s="2" t="s">
        <v>5402</v>
      </c>
      <c r="B6996" s="2" t="s">
        <v>24</v>
      </c>
      <c r="C6996" s="2">
        <v>3</v>
      </c>
      <c r="D6996" t="str">
        <f t="shared" si="109"/>
        <v>CA-2017-144694_OFF-LA-10003930</v>
      </c>
      <c r="E6996" t="str">
        <f>IF(COUNTIF(data1!$D:$D,D6996)=0,"Missing in Data1","Present")</f>
        <v>Missing in Data1</v>
      </c>
    </row>
    <row r="6997" spans="1:5" x14ac:dyDescent="0.25">
      <c r="A6997" s="2" t="s">
        <v>5402</v>
      </c>
      <c r="B6997" s="2" t="s">
        <v>786</v>
      </c>
      <c r="C6997" s="2">
        <v>3</v>
      </c>
      <c r="D6997" t="str">
        <f t="shared" si="109"/>
        <v>CA-2017-144694_TEC-AC-10002857</v>
      </c>
      <c r="E6997" t="str">
        <f>IF(COUNTIF(data1!$D:$D,D6997)=0,"Missing in Data1","Present")</f>
        <v>Present</v>
      </c>
    </row>
    <row r="6998" spans="1:5" x14ac:dyDescent="0.25">
      <c r="A6998" s="2" t="s">
        <v>5403</v>
      </c>
      <c r="B6998" s="2" t="s">
        <v>1212</v>
      </c>
      <c r="C6998" s="2">
        <v>1</v>
      </c>
      <c r="D6998" t="str">
        <f t="shared" si="109"/>
        <v>CA-2017-144750_OFF-PA-10003395</v>
      </c>
      <c r="E6998" t="str">
        <f>IF(COUNTIF(data1!$D:$D,D6998)=0,"Missing in Data1","Present")</f>
        <v>Present</v>
      </c>
    </row>
    <row r="6999" spans="1:5" x14ac:dyDescent="0.25">
      <c r="A6999" s="2" t="s">
        <v>5404</v>
      </c>
      <c r="B6999" s="2" t="s">
        <v>2349</v>
      </c>
      <c r="C6999" s="2">
        <v>5</v>
      </c>
      <c r="D6999" t="str">
        <f t="shared" si="109"/>
        <v>CA-2017-144820_OFF-AR-10004817</v>
      </c>
      <c r="E6999" t="str">
        <f>IF(COUNTIF(data1!$D:$D,D6999)=0,"Missing in Data1","Present")</f>
        <v>Present</v>
      </c>
    </row>
    <row r="7000" spans="1:5" x14ac:dyDescent="0.25">
      <c r="A7000" s="2" t="s">
        <v>5405</v>
      </c>
      <c r="B7000" s="2" t="s">
        <v>1360</v>
      </c>
      <c r="C7000" s="2">
        <v>2</v>
      </c>
      <c r="D7000" t="str">
        <f t="shared" si="109"/>
        <v>CA-2017-144827_OFF-ST-10004340</v>
      </c>
      <c r="E7000" t="str">
        <f>IF(COUNTIF(data1!$D:$D,D7000)=0,"Missing in Data1","Present")</f>
        <v>Present</v>
      </c>
    </row>
    <row r="7001" spans="1:5" x14ac:dyDescent="0.25">
      <c r="A7001" s="2" t="s">
        <v>5406</v>
      </c>
      <c r="B7001" s="2" t="s">
        <v>72</v>
      </c>
      <c r="C7001" s="2">
        <v>1</v>
      </c>
      <c r="D7001" t="str">
        <f t="shared" si="109"/>
        <v>CA-2017-144848_OFF-SU-10000646</v>
      </c>
      <c r="E7001" t="str">
        <f>IF(COUNTIF(data1!$D:$D,D7001)=0,"Missing in Data1","Present")</f>
        <v>Present</v>
      </c>
    </row>
    <row r="7002" spans="1:5" x14ac:dyDescent="0.25">
      <c r="A7002" s="2" t="s">
        <v>5406</v>
      </c>
      <c r="B7002" s="2" t="s">
        <v>2435</v>
      </c>
      <c r="C7002" s="2">
        <v>2</v>
      </c>
      <c r="D7002" t="str">
        <f t="shared" si="109"/>
        <v>CA-2017-144848_TEC-PH-10002262</v>
      </c>
      <c r="E7002" t="str">
        <f>IF(COUNTIF(data1!$D:$D,D7002)=0,"Missing in Data1","Present")</f>
        <v>Present</v>
      </c>
    </row>
    <row r="7003" spans="1:5" x14ac:dyDescent="0.25">
      <c r="A7003" s="2" t="s">
        <v>5406</v>
      </c>
      <c r="B7003" s="2" t="s">
        <v>4750</v>
      </c>
      <c r="C7003" s="2">
        <v>1</v>
      </c>
      <c r="D7003" t="str">
        <f t="shared" si="109"/>
        <v>CA-2017-144848_TEC-PH-10004006</v>
      </c>
      <c r="E7003" t="str">
        <f>IF(COUNTIF(data1!$D:$D,D7003)=0,"Missing in Data1","Present")</f>
        <v>Present</v>
      </c>
    </row>
    <row r="7004" spans="1:5" x14ac:dyDescent="0.25">
      <c r="A7004" s="2" t="s">
        <v>5407</v>
      </c>
      <c r="B7004" s="2" t="s">
        <v>1399</v>
      </c>
      <c r="C7004" s="2">
        <v>5</v>
      </c>
      <c r="D7004" t="str">
        <f t="shared" si="109"/>
        <v>CA-2017-144862_OFF-EN-10003040</v>
      </c>
      <c r="E7004" t="str">
        <f>IF(COUNTIF(data1!$D:$D,D7004)=0,"Missing in Data1","Present")</f>
        <v>Missing in Data1</v>
      </c>
    </row>
    <row r="7005" spans="1:5" x14ac:dyDescent="0.25">
      <c r="A7005" s="2" t="s">
        <v>5407</v>
      </c>
      <c r="B7005" s="2" t="s">
        <v>2340</v>
      </c>
      <c r="C7005" s="2">
        <v>7</v>
      </c>
      <c r="D7005" t="str">
        <f t="shared" si="109"/>
        <v>CA-2017-144862_TEC-PH-10000923</v>
      </c>
      <c r="E7005" t="str">
        <f>IF(COUNTIF(data1!$D:$D,D7005)=0,"Missing in Data1","Present")</f>
        <v>Present</v>
      </c>
    </row>
    <row r="7006" spans="1:5" x14ac:dyDescent="0.25">
      <c r="A7006" s="2" t="s">
        <v>5408</v>
      </c>
      <c r="B7006" s="2" t="s">
        <v>575</v>
      </c>
      <c r="C7006" s="2">
        <v>8</v>
      </c>
      <c r="D7006" t="str">
        <f t="shared" si="109"/>
        <v>CA-2017-144883_OFF-LA-10000305</v>
      </c>
      <c r="E7006" t="str">
        <f>IF(COUNTIF(data1!$D:$D,D7006)=0,"Missing in Data1","Present")</f>
        <v>Present</v>
      </c>
    </row>
    <row r="7007" spans="1:5" x14ac:dyDescent="0.25">
      <c r="A7007" s="2" t="s">
        <v>5409</v>
      </c>
      <c r="B7007" s="2" t="s">
        <v>2213</v>
      </c>
      <c r="C7007" s="2">
        <v>3</v>
      </c>
      <c r="D7007" t="str">
        <f t="shared" si="109"/>
        <v>CA-2017-144904_FUR-CH-10000785</v>
      </c>
      <c r="E7007" t="str">
        <f>IF(COUNTIF(data1!$D:$D,D7007)=0,"Missing in Data1","Present")</f>
        <v>Present</v>
      </c>
    </row>
    <row r="7008" spans="1:5" x14ac:dyDescent="0.25">
      <c r="A7008" s="2" t="s">
        <v>5409</v>
      </c>
      <c r="B7008" s="2" t="s">
        <v>1324</v>
      </c>
      <c r="C7008" s="2">
        <v>8</v>
      </c>
      <c r="D7008" t="str">
        <f t="shared" si="109"/>
        <v>CA-2017-144904_FUR-FU-10000023</v>
      </c>
      <c r="E7008" t="str">
        <f>IF(COUNTIF(data1!$D:$D,D7008)=0,"Missing in Data1","Present")</f>
        <v>Present</v>
      </c>
    </row>
    <row r="7009" spans="1:5" x14ac:dyDescent="0.25">
      <c r="A7009" s="2" t="s">
        <v>5409</v>
      </c>
      <c r="B7009" s="2" t="s">
        <v>1596</v>
      </c>
      <c r="C7009" s="2">
        <v>2</v>
      </c>
      <c r="D7009" t="str">
        <f t="shared" si="109"/>
        <v>CA-2017-144904_OFF-AR-10003732</v>
      </c>
      <c r="E7009" t="str">
        <f>IF(COUNTIF(data1!$D:$D,D7009)=0,"Missing in Data1","Present")</f>
        <v>Present</v>
      </c>
    </row>
    <row r="7010" spans="1:5" x14ac:dyDescent="0.25">
      <c r="A7010" s="2" t="s">
        <v>5409</v>
      </c>
      <c r="B7010" s="2" t="s">
        <v>775</v>
      </c>
      <c r="C7010" s="2">
        <v>2</v>
      </c>
      <c r="D7010" t="str">
        <f t="shared" si="109"/>
        <v>CA-2017-144904_OFF-LA-10001158</v>
      </c>
      <c r="E7010" t="str">
        <f>IF(COUNTIF(data1!$D:$D,D7010)=0,"Missing in Data1","Present")</f>
        <v>Present</v>
      </c>
    </row>
    <row r="7011" spans="1:5" x14ac:dyDescent="0.25">
      <c r="A7011" s="2" t="s">
        <v>5410</v>
      </c>
      <c r="B7011" s="2" t="s">
        <v>2120</v>
      </c>
      <c r="C7011" s="2">
        <v>3</v>
      </c>
      <c r="D7011" t="str">
        <f t="shared" si="109"/>
        <v>CA-2017-144932_OFF-AR-10001468</v>
      </c>
      <c r="E7011" t="str">
        <f>IF(COUNTIF(data1!$D:$D,D7011)=0,"Missing in Data1","Present")</f>
        <v>Present</v>
      </c>
    </row>
    <row r="7012" spans="1:5" x14ac:dyDescent="0.25">
      <c r="A7012" s="2" t="s">
        <v>5410</v>
      </c>
      <c r="B7012" s="2" t="s">
        <v>1535</v>
      </c>
      <c r="C7012" s="2">
        <v>3</v>
      </c>
      <c r="D7012" t="str">
        <f t="shared" si="109"/>
        <v>CA-2017-144932_OFF-AR-10003560</v>
      </c>
      <c r="E7012" t="str">
        <f>IF(COUNTIF(data1!$D:$D,D7012)=0,"Missing in Data1","Present")</f>
        <v>Present</v>
      </c>
    </row>
    <row r="7013" spans="1:5" x14ac:dyDescent="0.25">
      <c r="A7013" s="2" t="s">
        <v>5410</v>
      </c>
      <c r="B7013" s="2" t="s">
        <v>2528</v>
      </c>
      <c r="C7013" s="2">
        <v>3</v>
      </c>
      <c r="D7013" t="str">
        <f t="shared" si="109"/>
        <v>CA-2017-144932_OFF-PA-10004971</v>
      </c>
      <c r="E7013" t="str">
        <f>IF(COUNTIF(data1!$D:$D,D7013)=0,"Missing in Data1","Present")</f>
        <v>Present</v>
      </c>
    </row>
    <row r="7014" spans="1:5" x14ac:dyDescent="0.25">
      <c r="A7014" s="2" t="s">
        <v>5411</v>
      </c>
      <c r="B7014" s="2" t="s">
        <v>2602</v>
      </c>
      <c r="C7014" s="2">
        <v>4</v>
      </c>
      <c r="D7014" t="str">
        <f t="shared" si="109"/>
        <v>CA-2017-145037_OFF-PA-10000157</v>
      </c>
      <c r="E7014" t="str">
        <f>IF(COUNTIF(data1!$D:$D,D7014)=0,"Missing in Data1","Present")</f>
        <v>Present</v>
      </c>
    </row>
    <row r="7015" spans="1:5" x14ac:dyDescent="0.25">
      <c r="A7015" s="2" t="s">
        <v>5411</v>
      </c>
      <c r="B7015" s="2" t="s">
        <v>3109</v>
      </c>
      <c r="C7015" s="2">
        <v>3</v>
      </c>
      <c r="D7015" t="str">
        <f t="shared" si="109"/>
        <v>CA-2017-145037_OFF-PA-10002499</v>
      </c>
      <c r="E7015" t="str">
        <f>IF(COUNTIF(data1!$D:$D,D7015)=0,"Missing in Data1","Present")</f>
        <v>Present</v>
      </c>
    </row>
    <row r="7016" spans="1:5" x14ac:dyDescent="0.25">
      <c r="A7016" s="2" t="s">
        <v>5411</v>
      </c>
      <c r="B7016" s="2" t="s">
        <v>173</v>
      </c>
      <c r="C7016" s="2">
        <v>1</v>
      </c>
      <c r="D7016" t="str">
        <f t="shared" si="109"/>
        <v>CA-2017-145037_OFF-ST-10000918</v>
      </c>
      <c r="E7016" t="str">
        <f>IF(COUNTIF(data1!$D:$D,D7016)=0,"Missing in Data1","Present")</f>
        <v>Present</v>
      </c>
    </row>
    <row r="7017" spans="1:5" x14ac:dyDescent="0.25">
      <c r="A7017" s="2" t="s">
        <v>5412</v>
      </c>
      <c r="B7017" s="2" t="s">
        <v>301</v>
      </c>
      <c r="C7017" s="2">
        <v>2</v>
      </c>
      <c r="D7017" t="str">
        <f t="shared" si="109"/>
        <v>CA-2017-145093_OFF-BI-10001116</v>
      </c>
      <c r="E7017" t="str">
        <f>IF(COUNTIF(data1!$D:$D,D7017)=0,"Missing in Data1","Present")</f>
        <v>Present</v>
      </c>
    </row>
    <row r="7018" spans="1:5" x14ac:dyDescent="0.25">
      <c r="A7018" s="2" t="s">
        <v>5413</v>
      </c>
      <c r="B7018" s="2" t="s">
        <v>5063</v>
      </c>
      <c r="C7018" s="2">
        <v>5</v>
      </c>
      <c r="D7018" t="str">
        <f t="shared" si="109"/>
        <v>CA-2017-145128_FUR-FU-10000293</v>
      </c>
      <c r="E7018" t="str">
        <f>IF(COUNTIF(data1!$D:$D,D7018)=0,"Missing in Data1","Present")</f>
        <v>Present</v>
      </c>
    </row>
    <row r="7019" spans="1:5" x14ac:dyDescent="0.25">
      <c r="A7019" s="2" t="s">
        <v>5414</v>
      </c>
      <c r="B7019" s="2" t="s">
        <v>1837</v>
      </c>
      <c r="C7019" s="2">
        <v>2</v>
      </c>
      <c r="D7019" t="str">
        <f t="shared" si="109"/>
        <v>CA-2017-145142_FUR-TA-10001857</v>
      </c>
      <c r="E7019" t="str">
        <f>IF(COUNTIF(data1!$D:$D,D7019)=0,"Missing in Data1","Present")</f>
        <v>Present</v>
      </c>
    </row>
    <row r="7020" spans="1:5" x14ac:dyDescent="0.25">
      <c r="A7020" s="2" t="s">
        <v>5415</v>
      </c>
      <c r="B7020" s="2" t="s">
        <v>267</v>
      </c>
      <c r="C7020" s="2">
        <v>3</v>
      </c>
      <c r="D7020" t="str">
        <f t="shared" si="109"/>
        <v>CA-2017-145219_OFF-BI-10001670</v>
      </c>
      <c r="E7020" t="str">
        <f>IF(COUNTIF(data1!$D:$D,D7020)=0,"Missing in Data1","Present")</f>
        <v>Present</v>
      </c>
    </row>
    <row r="7021" spans="1:5" x14ac:dyDescent="0.25">
      <c r="A7021" s="2" t="s">
        <v>5415</v>
      </c>
      <c r="B7021" s="2" t="s">
        <v>567</v>
      </c>
      <c r="C7021" s="2">
        <v>6</v>
      </c>
      <c r="D7021" t="str">
        <f t="shared" si="109"/>
        <v>CA-2017-145219_TEC-CO-10001449</v>
      </c>
      <c r="E7021" t="str">
        <f>IF(COUNTIF(data1!$D:$D,D7021)=0,"Missing in Data1","Present")</f>
        <v>Present</v>
      </c>
    </row>
    <row r="7022" spans="1:5" x14ac:dyDescent="0.25">
      <c r="A7022" s="2" t="s">
        <v>5416</v>
      </c>
      <c r="B7022" s="2" t="s">
        <v>1758</v>
      </c>
      <c r="C7022" s="2">
        <v>2</v>
      </c>
      <c r="D7022" t="str">
        <f t="shared" si="109"/>
        <v>CA-2017-145226_FUR-FU-10004952</v>
      </c>
      <c r="E7022" t="str">
        <f>IF(COUNTIF(data1!$D:$D,D7022)=0,"Missing in Data1","Present")</f>
        <v>Present</v>
      </c>
    </row>
    <row r="7023" spans="1:5" x14ac:dyDescent="0.25">
      <c r="A7023" s="2" t="s">
        <v>5416</v>
      </c>
      <c r="B7023" s="2" t="s">
        <v>1909</v>
      </c>
      <c r="C7023" s="2">
        <v>3</v>
      </c>
      <c r="D7023" t="str">
        <f t="shared" si="109"/>
        <v>CA-2017-145226_OFF-PA-10003172</v>
      </c>
      <c r="E7023" t="str">
        <f>IF(COUNTIF(data1!$D:$D,D7023)=0,"Missing in Data1","Present")</f>
        <v>Present</v>
      </c>
    </row>
    <row r="7024" spans="1:5" x14ac:dyDescent="0.25">
      <c r="A7024" s="2" t="s">
        <v>5416</v>
      </c>
      <c r="B7024" s="2" t="s">
        <v>1579</v>
      </c>
      <c r="C7024" s="2">
        <v>4</v>
      </c>
      <c r="D7024" t="str">
        <f t="shared" si="109"/>
        <v>CA-2017-145226_OFF-ST-10002352</v>
      </c>
      <c r="E7024" t="str">
        <f>IF(COUNTIF(data1!$D:$D,D7024)=0,"Missing in Data1","Present")</f>
        <v>Present</v>
      </c>
    </row>
    <row r="7025" spans="1:5" x14ac:dyDescent="0.25">
      <c r="A7025" s="2" t="s">
        <v>5416</v>
      </c>
      <c r="B7025" s="2" t="s">
        <v>1761</v>
      </c>
      <c r="C7025" s="2">
        <v>3</v>
      </c>
      <c r="D7025" t="str">
        <f t="shared" si="109"/>
        <v>CA-2017-145226_OFF-ST-10004123</v>
      </c>
      <c r="E7025" t="str">
        <f>IF(COUNTIF(data1!$D:$D,D7025)=0,"Missing in Data1","Present")</f>
        <v>Present</v>
      </c>
    </row>
    <row r="7026" spans="1:5" x14ac:dyDescent="0.25">
      <c r="A7026" s="2" t="s">
        <v>5417</v>
      </c>
      <c r="B7026" s="2" t="s">
        <v>796</v>
      </c>
      <c r="C7026" s="2">
        <v>3</v>
      </c>
      <c r="D7026" t="str">
        <f t="shared" si="109"/>
        <v>CA-2017-145233_OFF-AP-10000358</v>
      </c>
      <c r="E7026" t="str">
        <f>IF(COUNTIF(data1!$D:$D,D7026)=0,"Missing in Data1","Present")</f>
        <v>Present</v>
      </c>
    </row>
    <row r="7027" spans="1:5" x14ac:dyDescent="0.25">
      <c r="A7027" s="2" t="s">
        <v>5417</v>
      </c>
      <c r="B7027" s="2" t="s">
        <v>383</v>
      </c>
      <c r="C7027" s="2">
        <v>2</v>
      </c>
      <c r="D7027" t="str">
        <f t="shared" si="109"/>
        <v>CA-2017-145233_TEC-PH-10000586</v>
      </c>
      <c r="E7027" t="str">
        <f>IF(COUNTIF(data1!$D:$D,D7027)=0,"Missing in Data1","Present")</f>
        <v>Present</v>
      </c>
    </row>
    <row r="7028" spans="1:5" x14ac:dyDescent="0.25">
      <c r="A7028" s="2" t="s">
        <v>5417</v>
      </c>
      <c r="B7028" s="2" t="s">
        <v>2886</v>
      </c>
      <c r="C7028" s="2">
        <v>4</v>
      </c>
      <c r="D7028" t="str">
        <f t="shared" si="109"/>
        <v>CA-2017-145233_TEC-PH-10001254</v>
      </c>
      <c r="E7028" t="str">
        <f>IF(COUNTIF(data1!$D:$D,D7028)=0,"Missing in Data1","Present")</f>
        <v>Present</v>
      </c>
    </row>
    <row r="7029" spans="1:5" x14ac:dyDescent="0.25">
      <c r="A7029" s="2" t="s">
        <v>5417</v>
      </c>
      <c r="B7029" s="2" t="s">
        <v>1113</v>
      </c>
      <c r="C7029" s="2">
        <v>3</v>
      </c>
      <c r="D7029" t="str">
        <f t="shared" si="109"/>
        <v>CA-2017-145233_TEC-PH-10004977</v>
      </c>
      <c r="E7029" t="str">
        <f>IF(COUNTIF(data1!$D:$D,D7029)=0,"Missing in Data1","Present")</f>
        <v>Present</v>
      </c>
    </row>
    <row r="7030" spans="1:5" x14ac:dyDescent="0.25">
      <c r="A7030" s="2" t="s">
        <v>5418</v>
      </c>
      <c r="B7030" s="2" t="s">
        <v>279</v>
      </c>
      <c r="C7030" s="2">
        <v>3</v>
      </c>
      <c r="D7030" t="str">
        <f t="shared" si="109"/>
        <v>CA-2017-145275_OFF-LA-10001569</v>
      </c>
      <c r="E7030" t="str">
        <f>IF(COUNTIF(data1!$D:$D,D7030)=0,"Missing in Data1","Present")</f>
        <v>Present</v>
      </c>
    </row>
    <row r="7031" spans="1:5" x14ac:dyDescent="0.25">
      <c r="A7031" s="2" t="s">
        <v>5419</v>
      </c>
      <c r="B7031" s="2" t="s">
        <v>1612</v>
      </c>
      <c r="C7031" s="2">
        <v>1</v>
      </c>
      <c r="D7031" t="str">
        <f t="shared" si="109"/>
        <v>CA-2017-145310_OFF-EN-10002621</v>
      </c>
      <c r="E7031" t="str">
        <f>IF(COUNTIF(data1!$D:$D,D7031)=0,"Missing in Data1","Present")</f>
        <v>Present</v>
      </c>
    </row>
    <row r="7032" spans="1:5" x14ac:dyDescent="0.25">
      <c r="A7032" s="2" t="s">
        <v>5420</v>
      </c>
      <c r="B7032" s="2" t="s">
        <v>882</v>
      </c>
      <c r="C7032" s="2">
        <v>2</v>
      </c>
      <c r="D7032" t="str">
        <f t="shared" si="109"/>
        <v>CA-2017-145338_OFF-AR-10002053</v>
      </c>
      <c r="E7032" t="str">
        <f>IF(COUNTIF(data1!$D:$D,D7032)=0,"Missing in Data1","Present")</f>
        <v>Present</v>
      </c>
    </row>
    <row r="7033" spans="1:5" x14ac:dyDescent="0.25">
      <c r="A7033" s="2" t="s">
        <v>5421</v>
      </c>
      <c r="B7033" s="2" t="s">
        <v>221</v>
      </c>
      <c r="C7033" s="2">
        <v>2</v>
      </c>
      <c r="D7033" t="str">
        <f t="shared" si="109"/>
        <v>CA-2017-145429_FUR-CH-10000988</v>
      </c>
      <c r="E7033" t="str">
        <f>IF(COUNTIF(data1!$D:$D,D7033)=0,"Missing in Data1","Present")</f>
        <v>Present</v>
      </c>
    </row>
    <row r="7034" spans="1:5" x14ac:dyDescent="0.25">
      <c r="A7034" s="2" t="s">
        <v>5421</v>
      </c>
      <c r="B7034" s="2" t="s">
        <v>1815</v>
      </c>
      <c r="C7034" s="2">
        <v>3</v>
      </c>
      <c r="D7034" t="str">
        <f t="shared" si="109"/>
        <v>CA-2017-145429_OFF-BI-10001524</v>
      </c>
      <c r="E7034" t="str">
        <f>IF(COUNTIF(data1!$D:$D,D7034)=0,"Missing in Data1","Present")</f>
        <v>Present</v>
      </c>
    </row>
    <row r="7035" spans="1:5" x14ac:dyDescent="0.25">
      <c r="A7035" s="2" t="s">
        <v>5423</v>
      </c>
      <c r="B7035" s="2" t="s">
        <v>1234</v>
      </c>
      <c r="C7035" s="2">
        <v>5</v>
      </c>
      <c r="D7035" t="str">
        <f t="shared" si="109"/>
        <v>CA-2017-145443_OFF-PA-10003302</v>
      </c>
      <c r="E7035" t="str">
        <f>IF(COUNTIF(data1!$D:$D,D7035)=0,"Missing in Data1","Present")</f>
        <v>Present</v>
      </c>
    </row>
    <row r="7036" spans="1:5" x14ac:dyDescent="0.25">
      <c r="A7036" s="2" t="s">
        <v>5424</v>
      </c>
      <c r="B7036" s="2" t="s">
        <v>167</v>
      </c>
      <c r="C7036" s="2">
        <v>9</v>
      </c>
      <c r="D7036" t="str">
        <f t="shared" si="109"/>
        <v>CA-2017-145506_OFF-ST-10004963</v>
      </c>
      <c r="E7036" t="str">
        <f>IF(COUNTIF(data1!$D:$D,D7036)=0,"Missing in Data1","Present")</f>
        <v>Present</v>
      </c>
    </row>
    <row r="7037" spans="1:5" x14ac:dyDescent="0.25">
      <c r="A7037" s="2" t="s">
        <v>5425</v>
      </c>
      <c r="B7037" s="2" t="s">
        <v>1674</v>
      </c>
      <c r="C7037" s="2">
        <v>7</v>
      </c>
      <c r="D7037" t="str">
        <f t="shared" si="109"/>
        <v>CA-2017-145653_FUR-CH-10004875</v>
      </c>
      <c r="E7037" t="str">
        <f>IF(COUNTIF(data1!$D:$D,D7037)=0,"Missing in Data1","Present")</f>
        <v>Present</v>
      </c>
    </row>
    <row r="7038" spans="1:5" x14ac:dyDescent="0.25">
      <c r="A7038" s="2" t="s">
        <v>5426</v>
      </c>
      <c r="B7038" s="2" t="s">
        <v>2254</v>
      </c>
      <c r="C7038" s="2">
        <v>2</v>
      </c>
      <c r="D7038" t="str">
        <f t="shared" si="109"/>
        <v>CA-2017-145660_FUR-FU-10002885</v>
      </c>
      <c r="E7038" t="str">
        <f>IF(COUNTIF(data1!$D:$D,D7038)=0,"Missing in Data1","Present")</f>
        <v>Present</v>
      </c>
    </row>
    <row r="7039" spans="1:5" x14ac:dyDescent="0.25">
      <c r="A7039" s="2" t="s">
        <v>5427</v>
      </c>
      <c r="B7039" s="2" t="s">
        <v>1375</v>
      </c>
      <c r="C7039" s="2">
        <v>3</v>
      </c>
      <c r="D7039" t="str">
        <f t="shared" si="109"/>
        <v>CA-2017-145702_FUR-CH-10001482</v>
      </c>
      <c r="E7039" t="str">
        <f>IF(COUNTIF(data1!$D:$D,D7039)=0,"Missing in Data1","Present")</f>
        <v>Present</v>
      </c>
    </row>
    <row r="7040" spans="1:5" x14ac:dyDescent="0.25">
      <c r="A7040" s="2" t="s">
        <v>5427</v>
      </c>
      <c r="B7040" s="2" t="s">
        <v>785</v>
      </c>
      <c r="C7040" s="2">
        <v>7</v>
      </c>
      <c r="D7040" t="str">
        <f t="shared" si="109"/>
        <v>CA-2017-145702_OFF-PA-10001526</v>
      </c>
      <c r="E7040" t="str">
        <f>IF(COUNTIF(data1!$D:$D,D7040)=0,"Missing in Data1","Present")</f>
        <v>Present</v>
      </c>
    </row>
    <row r="7041" spans="1:5" x14ac:dyDescent="0.25">
      <c r="A7041" s="2" t="s">
        <v>5428</v>
      </c>
      <c r="B7041" s="2" t="s">
        <v>1435</v>
      </c>
      <c r="C7041" s="2">
        <v>5</v>
      </c>
      <c r="D7041" t="str">
        <f t="shared" si="109"/>
        <v>CA-2017-145737_OFF-PA-10001033</v>
      </c>
      <c r="E7041" t="str">
        <f>IF(COUNTIF(data1!$D:$D,D7041)=0,"Missing in Data1","Present")</f>
        <v>Present</v>
      </c>
    </row>
    <row r="7042" spans="1:5" x14ac:dyDescent="0.25">
      <c r="A7042" s="2" t="s">
        <v>5429</v>
      </c>
      <c r="B7042" s="2" t="s">
        <v>4611</v>
      </c>
      <c r="C7042" s="2">
        <v>3</v>
      </c>
      <c r="D7042" t="str">
        <f t="shared" si="109"/>
        <v>CA-2017-145765_OFF-PA-10001534</v>
      </c>
      <c r="E7042" t="str">
        <f>IF(COUNTIF(data1!$D:$D,D7042)=0,"Missing in Data1","Present")</f>
        <v>Present</v>
      </c>
    </row>
    <row r="7043" spans="1:5" x14ac:dyDescent="0.25">
      <c r="A7043" s="2" t="s">
        <v>5429</v>
      </c>
      <c r="B7043" s="2" t="s">
        <v>265</v>
      </c>
      <c r="C7043" s="2">
        <v>4</v>
      </c>
      <c r="D7043" t="str">
        <f t="shared" ref="D7043:D7106" si="110">A7043&amp;"_"&amp;B7043</f>
        <v>CA-2017-145765_TEC-AC-10000844</v>
      </c>
      <c r="E7043" t="str">
        <f>IF(COUNTIF(data1!$D:$D,D7043)=0,"Missing in Data1","Present")</f>
        <v>Present</v>
      </c>
    </row>
    <row r="7044" spans="1:5" x14ac:dyDescent="0.25">
      <c r="A7044" s="2" t="s">
        <v>5429</v>
      </c>
      <c r="B7044" s="2" t="s">
        <v>1527</v>
      </c>
      <c r="C7044" s="2">
        <v>5</v>
      </c>
      <c r="D7044" t="str">
        <f t="shared" si="110"/>
        <v>CA-2017-145765_TEC-PH-10001305</v>
      </c>
      <c r="E7044" t="str">
        <f>IF(COUNTIF(data1!$D:$D,D7044)=0,"Missing in Data1","Present")</f>
        <v>Present</v>
      </c>
    </row>
    <row r="7045" spans="1:5" x14ac:dyDescent="0.25">
      <c r="A7045" s="2" t="s">
        <v>5430</v>
      </c>
      <c r="B7045" s="2" t="s">
        <v>1175</v>
      </c>
      <c r="C7045" s="2">
        <v>1</v>
      </c>
      <c r="D7045" t="str">
        <f t="shared" si="110"/>
        <v>CA-2017-145772_OFF-BI-10002049</v>
      </c>
      <c r="E7045" t="str">
        <f>IF(COUNTIF(data1!$D:$D,D7045)=0,"Missing in Data1","Present")</f>
        <v>Present</v>
      </c>
    </row>
    <row r="7046" spans="1:5" x14ac:dyDescent="0.25">
      <c r="A7046" s="2" t="s">
        <v>5430</v>
      </c>
      <c r="B7046" s="2" t="s">
        <v>5431</v>
      </c>
      <c r="C7046" s="2">
        <v>2</v>
      </c>
      <c r="D7046" t="str">
        <f t="shared" si="110"/>
        <v>CA-2017-145772_OFF-PA-10001593</v>
      </c>
      <c r="E7046" t="str">
        <f>IF(COUNTIF(data1!$D:$D,D7046)=0,"Missing in Data1","Present")</f>
        <v>Present</v>
      </c>
    </row>
    <row r="7047" spans="1:5" x14ac:dyDescent="0.25">
      <c r="A7047" s="2" t="s">
        <v>5430</v>
      </c>
      <c r="B7047" s="2" t="s">
        <v>311</v>
      </c>
      <c r="C7047" s="2">
        <v>5</v>
      </c>
      <c r="D7047" t="str">
        <f t="shared" si="110"/>
        <v>CA-2017-145772_TEC-AC-10003038</v>
      </c>
      <c r="E7047" t="str">
        <f>IF(COUNTIF(data1!$D:$D,D7047)=0,"Missing in Data1","Present")</f>
        <v>Present</v>
      </c>
    </row>
    <row r="7048" spans="1:5" x14ac:dyDescent="0.25">
      <c r="A7048" s="2" t="s">
        <v>5432</v>
      </c>
      <c r="B7048" s="2" t="s">
        <v>2264</v>
      </c>
      <c r="C7048" s="2">
        <v>4</v>
      </c>
      <c r="D7048" t="str">
        <f t="shared" si="110"/>
        <v>CA-2017-145779_OFF-PA-10002254</v>
      </c>
      <c r="E7048" t="str">
        <f>IF(COUNTIF(data1!$D:$D,D7048)=0,"Missing in Data1","Present")</f>
        <v>Present</v>
      </c>
    </row>
    <row r="7049" spans="1:5" x14ac:dyDescent="0.25">
      <c r="A7049" s="2" t="s">
        <v>5433</v>
      </c>
      <c r="B7049" s="2" t="s">
        <v>559</v>
      </c>
      <c r="C7049" s="2">
        <v>5</v>
      </c>
      <c r="D7049" t="str">
        <f t="shared" si="110"/>
        <v>CA-2017-145807_OFF-ST-10001370</v>
      </c>
      <c r="E7049" t="str">
        <f>IF(COUNTIF(data1!$D:$D,D7049)=0,"Missing in Data1","Present")</f>
        <v>Present</v>
      </c>
    </row>
    <row r="7050" spans="1:5" x14ac:dyDescent="0.25">
      <c r="A7050" s="2" t="s">
        <v>5434</v>
      </c>
      <c r="B7050" s="2" t="s">
        <v>281</v>
      </c>
      <c r="C7050" s="2">
        <v>5</v>
      </c>
      <c r="D7050" t="str">
        <f t="shared" si="110"/>
        <v>CA-2017-145877_OFF-EN-10001990</v>
      </c>
      <c r="E7050" t="str">
        <f>IF(COUNTIF(data1!$D:$D,D7050)=0,"Missing in Data1","Present")</f>
        <v>Present</v>
      </c>
    </row>
    <row r="7051" spans="1:5" x14ac:dyDescent="0.25">
      <c r="A7051" s="2" t="s">
        <v>5434</v>
      </c>
      <c r="B7051" s="2" t="s">
        <v>2791</v>
      </c>
      <c r="C7051" s="2">
        <v>6</v>
      </c>
      <c r="D7051" t="str">
        <f t="shared" si="110"/>
        <v>CA-2017-145877_OFF-ST-10000649</v>
      </c>
      <c r="E7051" t="str">
        <f>IF(COUNTIF(data1!$D:$D,D7051)=0,"Missing in Data1","Present")</f>
        <v>Present</v>
      </c>
    </row>
    <row r="7052" spans="1:5" x14ac:dyDescent="0.25">
      <c r="A7052" s="2" t="s">
        <v>5435</v>
      </c>
      <c r="B7052" s="2" t="s">
        <v>1439</v>
      </c>
      <c r="C7052" s="2">
        <v>1</v>
      </c>
      <c r="D7052" t="str">
        <f t="shared" si="110"/>
        <v>CA-2017-145884_FUR-TA-10002356</v>
      </c>
      <c r="E7052" t="str">
        <f>IF(COUNTIF(data1!$D:$D,D7052)=0,"Missing in Data1","Present")</f>
        <v>Present</v>
      </c>
    </row>
    <row r="7053" spans="1:5" x14ac:dyDescent="0.25">
      <c r="A7053" s="2" t="s">
        <v>5435</v>
      </c>
      <c r="B7053" s="2" t="s">
        <v>148</v>
      </c>
      <c r="C7053" s="2">
        <v>8</v>
      </c>
      <c r="D7053" t="str">
        <f t="shared" si="110"/>
        <v>CA-2017-145884_TEC-PH-10000895</v>
      </c>
      <c r="E7053" t="str">
        <f>IF(COUNTIF(data1!$D:$D,D7053)=0,"Missing in Data1","Present")</f>
        <v>Present</v>
      </c>
    </row>
    <row r="7054" spans="1:5" x14ac:dyDescent="0.25">
      <c r="A7054" s="2" t="s">
        <v>5436</v>
      </c>
      <c r="B7054" s="2" t="s">
        <v>485</v>
      </c>
      <c r="C7054" s="2">
        <v>7</v>
      </c>
      <c r="D7054" t="str">
        <f t="shared" si="110"/>
        <v>CA-2017-146024_OFF-BI-10003291</v>
      </c>
      <c r="E7054" t="str">
        <f>IF(COUNTIF(data1!$D:$D,D7054)=0,"Missing in Data1","Present")</f>
        <v>Present</v>
      </c>
    </row>
    <row r="7055" spans="1:5" x14ac:dyDescent="0.25">
      <c r="A7055" s="2" t="s">
        <v>5436</v>
      </c>
      <c r="B7055" s="2" t="s">
        <v>2150</v>
      </c>
      <c r="C7055" s="2">
        <v>4</v>
      </c>
      <c r="D7055" t="str">
        <f t="shared" si="110"/>
        <v>CA-2017-146024_OFF-SU-10001935</v>
      </c>
      <c r="E7055" t="str">
        <f>IF(COUNTIF(data1!$D:$D,D7055)=0,"Missing in Data1","Present")</f>
        <v>Present</v>
      </c>
    </row>
    <row r="7056" spans="1:5" x14ac:dyDescent="0.25">
      <c r="A7056" s="2" t="s">
        <v>5437</v>
      </c>
      <c r="B7056" s="2" t="s">
        <v>1036</v>
      </c>
      <c r="C7056" s="2">
        <v>9</v>
      </c>
      <c r="D7056" t="str">
        <f t="shared" si="110"/>
        <v>CA-2017-146031_OFF-AR-10002656</v>
      </c>
      <c r="E7056" t="str">
        <f>IF(COUNTIF(data1!$D:$D,D7056)=0,"Missing in Data1","Present")</f>
        <v>Present</v>
      </c>
    </row>
    <row r="7057" spans="1:5" x14ac:dyDescent="0.25">
      <c r="A7057" s="2" t="s">
        <v>5438</v>
      </c>
      <c r="B7057" s="2" t="s">
        <v>909</v>
      </c>
      <c r="C7057" s="2">
        <v>4</v>
      </c>
      <c r="D7057" t="str">
        <f t="shared" si="110"/>
        <v>CA-2017-146136_OFF-EN-10001219</v>
      </c>
      <c r="E7057" t="str">
        <f>IF(COUNTIF(data1!$D:$D,D7057)=0,"Missing in Data1","Present")</f>
        <v>Present</v>
      </c>
    </row>
    <row r="7058" spans="1:5" x14ac:dyDescent="0.25">
      <c r="A7058" s="2" t="s">
        <v>5439</v>
      </c>
      <c r="B7058" s="2" t="s">
        <v>1024</v>
      </c>
      <c r="C7058" s="2">
        <v>2</v>
      </c>
      <c r="D7058" t="str">
        <f t="shared" si="110"/>
        <v>CA-2017-146164_OFF-ST-10001228</v>
      </c>
      <c r="E7058" t="str">
        <f>IF(COUNTIF(data1!$D:$D,D7058)=0,"Missing in Data1","Present")</f>
        <v>Present</v>
      </c>
    </row>
    <row r="7059" spans="1:5" x14ac:dyDescent="0.25">
      <c r="A7059" s="2" t="s">
        <v>5440</v>
      </c>
      <c r="B7059" s="2" t="s">
        <v>1270</v>
      </c>
      <c r="C7059" s="2">
        <v>2</v>
      </c>
      <c r="D7059" t="str">
        <f t="shared" si="110"/>
        <v>CA-2017-146185_OFF-AR-10002987</v>
      </c>
      <c r="E7059" t="str">
        <f>IF(COUNTIF(data1!$D:$D,D7059)=0,"Missing in Data1","Present")</f>
        <v>Present</v>
      </c>
    </row>
    <row r="7060" spans="1:5" x14ac:dyDescent="0.25">
      <c r="A7060" s="2" t="s">
        <v>5441</v>
      </c>
      <c r="B7060" s="2" t="s">
        <v>495</v>
      </c>
      <c r="C7060" s="2">
        <v>3</v>
      </c>
      <c r="D7060" t="str">
        <f t="shared" si="110"/>
        <v>CA-2017-146192_OFF-ST-10003716</v>
      </c>
      <c r="E7060" t="str">
        <f>IF(COUNTIF(data1!$D:$D,D7060)=0,"Missing in Data1","Present")</f>
        <v>Present</v>
      </c>
    </row>
    <row r="7061" spans="1:5" x14ac:dyDescent="0.25">
      <c r="A7061" s="2" t="s">
        <v>5442</v>
      </c>
      <c r="B7061" s="2" t="s">
        <v>4920</v>
      </c>
      <c r="C7061" s="2">
        <v>2</v>
      </c>
      <c r="D7061" t="str">
        <f t="shared" si="110"/>
        <v>CA-2017-146269_OFF-AR-10004790</v>
      </c>
      <c r="E7061" t="str">
        <f>IF(COUNTIF(data1!$D:$D,D7061)=0,"Missing in Data1","Present")</f>
        <v>Present</v>
      </c>
    </row>
    <row r="7062" spans="1:5" x14ac:dyDescent="0.25">
      <c r="A7062" s="2" t="s">
        <v>5442</v>
      </c>
      <c r="B7062" s="2" t="s">
        <v>550</v>
      </c>
      <c r="C7062" s="2">
        <v>2</v>
      </c>
      <c r="D7062" t="str">
        <f t="shared" si="110"/>
        <v>CA-2017-146269_OFF-ST-10003208</v>
      </c>
      <c r="E7062" t="str">
        <f>IF(COUNTIF(data1!$D:$D,D7062)=0,"Missing in Data1","Present")</f>
        <v>Missing in Data1</v>
      </c>
    </row>
    <row r="7063" spans="1:5" x14ac:dyDescent="0.25">
      <c r="A7063" s="2" t="s">
        <v>5443</v>
      </c>
      <c r="B7063" s="2" t="s">
        <v>2398</v>
      </c>
      <c r="C7063" s="2">
        <v>3</v>
      </c>
      <c r="D7063" t="str">
        <f t="shared" si="110"/>
        <v>CA-2017-146346_OFF-ST-10001418</v>
      </c>
      <c r="E7063" t="str">
        <f>IF(COUNTIF(data1!$D:$D,D7063)=0,"Missing in Data1","Present")</f>
        <v>Present</v>
      </c>
    </row>
    <row r="7064" spans="1:5" x14ac:dyDescent="0.25">
      <c r="A7064" s="2" t="s">
        <v>5444</v>
      </c>
      <c r="B7064" s="2" t="s">
        <v>2468</v>
      </c>
      <c r="C7064" s="2">
        <v>6</v>
      </c>
      <c r="D7064" t="str">
        <f t="shared" si="110"/>
        <v>CA-2017-146360_TEC-AC-10003590</v>
      </c>
      <c r="E7064" t="str">
        <f>IF(COUNTIF(data1!$D:$D,D7064)=0,"Missing in Data1","Present")</f>
        <v>Present</v>
      </c>
    </row>
    <row r="7065" spans="1:5" x14ac:dyDescent="0.25">
      <c r="A7065" s="2" t="s">
        <v>5445</v>
      </c>
      <c r="B7065" s="2" t="s">
        <v>403</v>
      </c>
      <c r="C7065" s="2">
        <v>3</v>
      </c>
      <c r="D7065" t="str">
        <f t="shared" si="110"/>
        <v>CA-2017-146367_OFF-BI-10002827</v>
      </c>
      <c r="E7065" t="str">
        <f>IF(COUNTIF(data1!$D:$D,D7065)=0,"Missing in Data1","Present")</f>
        <v>Present</v>
      </c>
    </row>
    <row r="7066" spans="1:5" x14ac:dyDescent="0.25">
      <c r="A7066" s="2" t="s">
        <v>5446</v>
      </c>
      <c r="B7066" s="2" t="s">
        <v>5447</v>
      </c>
      <c r="C7066" s="2">
        <v>7</v>
      </c>
      <c r="D7066" t="str">
        <f t="shared" si="110"/>
        <v>CA-2017-146458_OFF-AR-10001177</v>
      </c>
      <c r="E7066" t="str">
        <f>IF(COUNTIF(data1!$D:$D,D7066)=0,"Missing in Data1","Present")</f>
        <v>Present</v>
      </c>
    </row>
    <row r="7067" spans="1:5" x14ac:dyDescent="0.25">
      <c r="A7067" s="2" t="s">
        <v>5448</v>
      </c>
      <c r="B7067" s="2" t="s">
        <v>206</v>
      </c>
      <c r="C7067" s="2">
        <v>5</v>
      </c>
      <c r="D7067" t="str">
        <f t="shared" si="110"/>
        <v>CA-2017-146493_OFF-BI-10003676</v>
      </c>
      <c r="E7067" t="str">
        <f>IF(COUNTIF(data1!$D:$D,D7067)=0,"Missing in Data1","Present")</f>
        <v>Present</v>
      </c>
    </row>
    <row r="7068" spans="1:5" x14ac:dyDescent="0.25">
      <c r="A7068" s="2" t="s">
        <v>5449</v>
      </c>
      <c r="B7068" s="2" t="s">
        <v>1636</v>
      </c>
      <c r="C7068" s="2">
        <v>1</v>
      </c>
      <c r="D7068" t="str">
        <f t="shared" si="110"/>
        <v>CA-2017-146535_OFF-BI-10000546</v>
      </c>
      <c r="E7068" t="str">
        <f>IF(COUNTIF(data1!$D:$D,D7068)=0,"Missing in Data1","Present")</f>
        <v>Present</v>
      </c>
    </row>
    <row r="7069" spans="1:5" x14ac:dyDescent="0.25">
      <c r="A7069" s="2" t="s">
        <v>5449</v>
      </c>
      <c r="B7069" s="2" t="s">
        <v>2019</v>
      </c>
      <c r="C7069" s="2">
        <v>12</v>
      </c>
      <c r="D7069" t="str">
        <f t="shared" si="110"/>
        <v>CA-2017-146535_OFF-ST-10001526</v>
      </c>
      <c r="E7069" t="str">
        <f>IF(COUNTIF(data1!$D:$D,D7069)=0,"Missing in Data1","Present")</f>
        <v>Present</v>
      </c>
    </row>
    <row r="7070" spans="1:5" x14ac:dyDescent="0.25">
      <c r="A7070" s="2" t="s">
        <v>5450</v>
      </c>
      <c r="B7070" s="2" t="s">
        <v>5229</v>
      </c>
      <c r="C7070" s="2">
        <v>8</v>
      </c>
      <c r="D7070" t="str">
        <f t="shared" si="110"/>
        <v>CA-2017-146626_FUR-FU-10002501</v>
      </c>
      <c r="E7070" t="str">
        <f>IF(COUNTIF(data1!$D:$D,D7070)=0,"Missing in Data1","Present")</f>
        <v>Present</v>
      </c>
    </row>
    <row r="7071" spans="1:5" x14ac:dyDescent="0.25">
      <c r="A7071" s="2" t="s">
        <v>5451</v>
      </c>
      <c r="B7071" s="2" t="s">
        <v>3069</v>
      </c>
      <c r="C7071" s="2">
        <v>10</v>
      </c>
      <c r="D7071" t="str">
        <f t="shared" si="110"/>
        <v>CA-2017-146724_OFF-AR-10001026</v>
      </c>
      <c r="E7071" t="str">
        <f>IF(COUNTIF(data1!$D:$D,D7071)=0,"Missing in Data1","Present")</f>
        <v>Present</v>
      </c>
    </row>
    <row r="7072" spans="1:5" x14ac:dyDescent="0.25">
      <c r="A7072" s="2" t="s">
        <v>5452</v>
      </c>
      <c r="B7072" s="2" t="s">
        <v>3457</v>
      </c>
      <c r="C7072" s="2">
        <v>2</v>
      </c>
      <c r="D7072" t="str">
        <f t="shared" si="110"/>
        <v>CA-2017-146780_FUR-FU-10001934</v>
      </c>
      <c r="E7072" t="str">
        <f>IF(COUNTIF(data1!$D:$D,D7072)=0,"Missing in Data1","Present")</f>
        <v>Present</v>
      </c>
    </row>
    <row r="7073" spans="1:5" x14ac:dyDescent="0.25">
      <c r="A7073" s="2" t="s">
        <v>5453</v>
      </c>
      <c r="B7073" s="2" t="s">
        <v>4210</v>
      </c>
      <c r="C7073" s="2">
        <v>5</v>
      </c>
      <c r="D7073" t="str">
        <f t="shared" si="110"/>
        <v>CA-2017-146920_OFF-PA-10001461</v>
      </c>
      <c r="E7073" t="str">
        <f>IF(COUNTIF(data1!$D:$D,D7073)=0,"Missing in Data1","Present")</f>
        <v>Present</v>
      </c>
    </row>
    <row r="7074" spans="1:5" x14ac:dyDescent="0.25">
      <c r="A7074" s="2" t="s">
        <v>5453</v>
      </c>
      <c r="B7074" s="2" t="s">
        <v>682</v>
      </c>
      <c r="C7074" s="2">
        <v>6</v>
      </c>
      <c r="D7074" t="str">
        <f t="shared" si="110"/>
        <v>CA-2017-146920_OFF-PA-10002479</v>
      </c>
      <c r="E7074" t="str">
        <f>IF(COUNTIF(data1!$D:$D,D7074)=0,"Missing in Data1","Present")</f>
        <v>Present</v>
      </c>
    </row>
    <row r="7075" spans="1:5" x14ac:dyDescent="0.25">
      <c r="A7075" s="2" t="s">
        <v>5454</v>
      </c>
      <c r="B7075" s="2" t="s">
        <v>1382</v>
      </c>
      <c r="C7075" s="2">
        <v>3</v>
      </c>
      <c r="D7075" t="str">
        <f t="shared" si="110"/>
        <v>CA-2017-146983_OFF-BI-10003650</v>
      </c>
      <c r="E7075" t="str">
        <f>IF(COUNTIF(data1!$D:$D,D7075)=0,"Missing in Data1","Present")</f>
        <v>Present</v>
      </c>
    </row>
    <row r="7076" spans="1:5" x14ac:dyDescent="0.25">
      <c r="A7076" s="2" t="s">
        <v>5455</v>
      </c>
      <c r="B7076" s="2" t="s">
        <v>2204</v>
      </c>
      <c r="C7076" s="2">
        <v>3</v>
      </c>
      <c r="D7076" t="str">
        <f t="shared" si="110"/>
        <v>CA-2017-147032_OFF-BI-10002897</v>
      </c>
      <c r="E7076" t="str">
        <f>IF(COUNTIF(data1!$D:$D,D7076)=0,"Missing in Data1","Present")</f>
        <v>Present</v>
      </c>
    </row>
    <row r="7077" spans="1:5" x14ac:dyDescent="0.25">
      <c r="A7077" s="2" t="s">
        <v>5455</v>
      </c>
      <c r="B7077" s="2" t="s">
        <v>702</v>
      </c>
      <c r="C7077" s="2">
        <v>5</v>
      </c>
      <c r="D7077" t="str">
        <f t="shared" si="110"/>
        <v>CA-2017-147032_OFF-BI-10003656</v>
      </c>
      <c r="E7077" t="str">
        <f>IF(COUNTIF(data1!$D:$D,D7077)=0,"Missing in Data1","Present")</f>
        <v>Present</v>
      </c>
    </row>
    <row r="7078" spans="1:5" x14ac:dyDescent="0.25">
      <c r="A7078" s="2" t="s">
        <v>5455</v>
      </c>
      <c r="B7078" s="2" t="s">
        <v>1946</v>
      </c>
      <c r="C7078" s="2">
        <v>1</v>
      </c>
      <c r="D7078" t="str">
        <f t="shared" si="110"/>
        <v>CA-2017-147032_OFF-PA-10003256</v>
      </c>
      <c r="E7078" t="str">
        <f>IF(COUNTIF(data1!$D:$D,D7078)=0,"Missing in Data1","Present")</f>
        <v>Missing in Data1</v>
      </c>
    </row>
    <row r="7079" spans="1:5" x14ac:dyDescent="0.25">
      <c r="A7079" s="2" t="s">
        <v>5456</v>
      </c>
      <c r="B7079" s="2" t="s">
        <v>754</v>
      </c>
      <c r="C7079" s="2">
        <v>3</v>
      </c>
      <c r="D7079" t="str">
        <f t="shared" si="110"/>
        <v>CA-2017-147039_OFF-AP-10000576</v>
      </c>
      <c r="E7079" t="str">
        <f>IF(COUNTIF(data1!$D:$D,D7079)=0,"Missing in Data1","Present")</f>
        <v>Present</v>
      </c>
    </row>
    <row r="7080" spans="1:5" x14ac:dyDescent="0.25">
      <c r="A7080" s="2" t="s">
        <v>5456</v>
      </c>
      <c r="B7080" s="2" t="s">
        <v>483</v>
      </c>
      <c r="C7080" s="2">
        <v>2</v>
      </c>
      <c r="D7080" t="str">
        <f t="shared" si="110"/>
        <v>CA-2017-147039_OFF-BI-10004654</v>
      </c>
      <c r="E7080" t="str">
        <f>IF(COUNTIF(data1!$D:$D,D7080)=0,"Missing in Data1","Present")</f>
        <v>Present</v>
      </c>
    </row>
    <row r="7081" spans="1:5" x14ac:dyDescent="0.25">
      <c r="A7081" s="2" t="s">
        <v>5457</v>
      </c>
      <c r="B7081" s="2" t="s">
        <v>2444</v>
      </c>
      <c r="C7081" s="2">
        <v>1</v>
      </c>
      <c r="D7081" t="str">
        <f t="shared" si="110"/>
        <v>CA-2017-147144_OFF-AR-10004587</v>
      </c>
      <c r="E7081" t="str">
        <f>IF(COUNTIF(data1!$D:$D,D7081)=0,"Missing in Data1","Present")</f>
        <v>Present</v>
      </c>
    </row>
    <row r="7082" spans="1:5" x14ac:dyDescent="0.25">
      <c r="A7082" s="2" t="s">
        <v>5458</v>
      </c>
      <c r="B7082" s="2" t="s">
        <v>841</v>
      </c>
      <c r="C7082" s="2">
        <v>5</v>
      </c>
      <c r="D7082" t="str">
        <f t="shared" si="110"/>
        <v>CA-2017-147207_FUR-TA-10002958</v>
      </c>
      <c r="E7082" t="str">
        <f>IF(COUNTIF(data1!$D:$D,D7082)=0,"Missing in Data1","Present")</f>
        <v>Present</v>
      </c>
    </row>
    <row r="7083" spans="1:5" x14ac:dyDescent="0.25">
      <c r="A7083" s="2" t="s">
        <v>5458</v>
      </c>
      <c r="B7083" s="2" t="s">
        <v>5459</v>
      </c>
      <c r="C7083" s="2">
        <v>2</v>
      </c>
      <c r="D7083" t="str">
        <f t="shared" si="110"/>
        <v>CA-2017-147207_OFF-AP-10000027</v>
      </c>
      <c r="E7083" t="str">
        <f>IF(COUNTIF(data1!$D:$D,D7083)=0,"Missing in Data1","Present")</f>
        <v>Present</v>
      </c>
    </row>
    <row r="7084" spans="1:5" x14ac:dyDescent="0.25">
      <c r="A7084" s="2" t="s">
        <v>5458</v>
      </c>
      <c r="B7084" s="2" t="s">
        <v>1034</v>
      </c>
      <c r="C7084" s="2">
        <v>2</v>
      </c>
      <c r="D7084" t="str">
        <f t="shared" si="110"/>
        <v>CA-2017-147207_OFF-AR-10001955</v>
      </c>
      <c r="E7084" t="str">
        <f>IF(COUNTIF(data1!$D:$D,D7084)=0,"Missing in Data1","Present")</f>
        <v>Present</v>
      </c>
    </row>
    <row r="7085" spans="1:5" x14ac:dyDescent="0.25">
      <c r="A7085" s="2" t="s">
        <v>5458</v>
      </c>
      <c r="B7085" s="2" t="s">
        <v>790</v>
      </c>
      <c r="C7085" s="2">
        <v>3</v>
      </c>
      <c r="D7085" t="str">
        <f t="shared" si="110"/>
        <v>CA-2017-147207_OFF-ST-10002615</v>
      </c>
      <c r="E7085" t="str">
        <f>IF(COUNTIF(data1!$D:$D,D7085)=0,"Missing in Data1","Present")</f>
        <v>Present</v>
      </c>
    </row>
    <row r="7086" spans="1:5" x14ac:dyDescent="0.25">
      <c r="A7086" s="2" t="s">
        <v>5460</v>
      </c>
      <c r="B7086" s="2" t="s">
        <v>1324</v>
      </c>
      <c r="C7086" s="2">
        <v>3</v>
      </c>
      <c r="D7086" t="str">
        <f t="shared" si="110"/>
        <v>CA-2017-147228_FUR-FU-10000023</v>
      </c>
      <c r="E7086" t="str">
        <f>IF(COUNTIF(data1!$D:$D,D7086)=0,"Missing in Data1","Present")</f>
        <v>Present</v>
      </c>
    </row>
    <row r="7087" spans="1:5" x14ac:dyDescent="0.25">
      <c r="A7087" s="2" t="s">
        <v>5460</v>
      </c>
      <c r="B7087" s="2" t="s">
        <v>41</v>
      </c>
      <c r="C7087" s="2">
        <v>4</v>
      </c>
      <c r="D7087" t="str">
        <f t="shared" si="110"/>
        <v>CA-2017-147228_OFF-PA-10000357</v>
      </c>
      <c r="E7087" t="str">
        <f>IF(COUNTIF(data1!$D:$D,D7087)=0,"Missing in Data1","Present")</f>
        <v>Present</v>
      </c>
    </row>
    <row r="7088" spans="1:5" x14ac:dyDescent="0.25">
      <c r="A7088" s="2" t="s">
        <v>5460</v>
      </c>
      <c r="B7088" s="2" t="s">
        <v>435</v>
      </c>
      <c r="C7088" s="2">
        <v>2</v>
      </c>
      <c r="D7088" t="str">
        <f t="shared" si="110"/>
        <v>CA-2017-147228_OFF-ST-10000046</v>
      </c>
      <c r="E7088" t="str">
        <f>IF(COUNTIF(data1!$D:$D,D7088)=0,"Missing in Data1","Present")</f>
        <v>Present</v>
      </c>
    </row>
    <row r="7089" spans="1:5" x14ac:dyDescent="0.25">
      <c r="A7089" s="2" t="s">
        <v>5460</v>
      </c>
      <c r="B7089" s="2" t="s">
        <v>219</v>
      </c>
      <c r="C7089" s="2">
        <v>3</v>
      </c>
      <c r="D7089" t="str">
        <f t="shared" si="110"/>
        <v>CA-2017-147228_OFF-SU-10001225</v>
      </c>
      <c r="E7089" t="str">
        <f>IF(COUNTIF(data1!$D:$D,D7089)=0,"Missing in Data1","Present")</f>
        <v>Present</v>
      </c>
    </row>
    <row r="7090" spans="1:5" x14ac:dyDescent="0.25">
      <c r="A7090" s="2" t="s">
        <v>5461</v>
      </c>
      <c r="B7090" s="2" t="s">
        <v>544</v>
      </c>
      <c r="C7090" s="2">
        <v>2</v>
      </c>
      <c r="D7090" t="str">
        <f t="shared" si="110"/>
        <v>CA-2017-147277_FUR-TA-10001539</v>
      </c>
      <c r="E7090" t="str">
        <f>IF(COUNTIF(data1!$D:$D,D7090)=0,"Missing in Data1","Present")</f>
        <v>Present</v>
      </c>
    </row>
    <row r="7091" spans="1:5" x14ac:dyDescent="0.25">
      <c r="A7091" s="2" t="s">
        <v>5461</v>
      </c>
      <c r="B7091" s="2" t="s">
        <v>2110</v>
      </c>
      <c r="C7091" s="2">
        <v>2</v>
      </c>
      <c r="D7091" t="str">
        <f t="shared" si="110"/>
        <v>CA-2017-147277_OFF-ST-10000142</v>
      </c>
      <c r="E7091" t="str">
        <f>IF(COUNTIF(data1!$D:$D,D7091)=0,"Missing in Data1","Present")</f>
        <v>Present</v>
      </c>
    </row>
    <row r="7092" spans="1:5" x14ac:dyDescent="0.25">
      <c r="A7092" s="2" t="s">
        <v>5462</v>
      </c>
      <c r="B7092" s="2" t="s">
        <v>5266</v>
      </c>
      <c r="C7092" s="2">
        <v>4</v>
      </c>
      <c r="D7092" t="str">
        <f t="shared" si="110"/>
        <v>CA-2017-147291_OFF-BI-10003091</v>
      </c>
      <c r="E7092" t="str">
        <f>IF(COUNTIF(data1!$D:$D,D7092)=0,"Missing in Data1","Present")</f>
        <v>Present</v>
      </c>
    </row>
    <row r="7093" spans="1:5" x14ac:dyDescent="0.25">
      <c r="A7093" s="2" t="s">
        <v>5463</v>
      </c>
      <c r="B7093" s="2" t="s">
        <v>311</v>
      </c>
      <c r="C7093" s="2">
        <v>5</v>
      </c>
      <c r="D7093" t="str">
        <f t="shared" si="110"/>
        <v>CA-2017-147333_TEC-AC-10003038</v>
      </c>
      <c r="E7093" t="str">
        <f>IF(COUNTIF(data1!$D:$D,D7093)=0,"Missing in Data1","Present")</f>
        <v>Present</v>
      </c>
    </row>
    <row r="7094" spans="1:5" x14ac:dyDescent="0.25">
      <c r="A7094" s="2" t="s">
        <v>5463</v>
      </c>
      <c r="B7094" s="2" t="s">
        <v>2802</v>
      </c>
      <c r="C7094" s="2">
        <v>4</v>
      </c>
      <c r="D7094" t="str">
        <f t="shared" si="110"/>
        <v>CA-2017-147333_TEC-AC-10004469</v>
      </c>
      <c r="E7094" t="str">
        <f>IF(COUNTIF(data1!$D:$D,D7094)=0,"Missing in Data1","Present")</f>
        <v>Present</v>
      </c>
    </row>
    <row r="7095" spans="1:5" x14ac:dyDescent="0.25">
      <c r="A7095" s="2" t="s">
        <v>5464</v>
      </c>
      <c r="B7095" s="2" t="s">
        <v>546</v>
      </c>
      <c r="C7095" s="2">
        <v>5</v>
      </c>
      <c r="D7095" t="str">
        <f t="shared" si="110"/>
        <v>CA-2017-147354_OFF-BI-10003910</v>
      </c>
      <c r="E7095" t="str">
        <f>IF(COUNTIF(data1!$D:$D,D7095)=0,"Missing in Data1","Present")</f>
        <v>Present</v>
      </c>
    </row>
    <row r="7096" spans="1:5" x14ac:dyDescent="0.25">
      <c r="A7096" s="2" t="s">
        <v>5464</v>
      </c>
      <c r="B7096" s="2" t="s">
        <v>3908</v>
      </c>
      <c r="C7096" s="2">
        <v>2</v>
      </c>
      <c r="D7096" t="str">
        <f t="shared" si="110"/>
        <v>CA-2017-147354_TEC-CO-10000971</v>
      </c>
      <c r="E7096" t="str">
        <f>IF(COUNTIF(data1!$D:$D,D7096)=0,"Missing in Data1","Present")</f>
        <v>Present</v>
      </c>
    </row>
    <row r="7097" spans="1:5" x14ac:dyDescent="0.25">
      <c r="A7097" s="2" t="s">
        <v>5465</v>
      </c>
      <c r="B7097" s="2" t="s">
        <v>465</v>
      </c>
      <c r="C7097" s="2">
        <v>7</v>
      </c>
      <c r="D7097" t="str">
        <f t="shared" si="110"/>
        <v>CA-2017-147361_OFF-ST-10001809</v>
      </c>
      <c r="E7097" t="str">
        <f>IF(COUNTIF(data1!$D:$D,D7097)=0,"Missing in Data1","Present")</f>
        <v>Present</v>
      </c>
    </row>
    <row r="7098" spans="1:5" x14ac:dyDescent="0.25">
      <c r="A7098" s="2" t="s">
        <v>5465</v>
      </c>
      <c r="B7098" s="2" t="s">
        <v>652</v>
      </c>
      <c r="C7098" s="2">
        <v>5</v>
      </c>
      <c r="D7098" t="str">
        <f t="shared" si="110"/>
        <v>CA-2017-147361_OFF-ST-10002214</v>
      </c>
      <c r="E7098" t="str">
        <f>IF(COUNTIF(data1!$D:$D,D7098)=0,"Missing in Data1","Present")</f>
        <v>Present</v>
      </c>
    </row>
    <row r="7099" spans="1:5" x14ac:dyDescent="0.25">
      <c r="A7099" s="2" t="s">
        <v>5466</v>
      </c>
      <c r="B7099" s="2" t="s">
        <v>1234</v>
      </c>
      <c r="C7099" s="2">
        <v>3</v>
      </c>
      <c r="D7099" t="str">
        <f t="shared" si="110"/>
        <v>CA-2017-147403_OFF-PA-10003302</v>
      </c>
      <c r="E7099" t="str">
        <f>IF(COUNTIF(data1!$D:$D,D7099)=0,"Missing in Data1","Present")</f>
        <v>Present</v>
      </c>
    </row>
    <row r="7100" spans="1:5" x14ac:dyDescent="0.25">
      <c r="A7100" s="2" t="s">
        <v>5467</v>
      </c>
      <c r="B7100" s="2" t="s">
        <v>1127</v>
      </c>
      <c r="C7100" s="2">
        <v>2</v>
      </c>
      <c r="D7100" t="str">
        <f t="shared" si="110"/>
        <v>CA-2017-147410_OFF-ST-10003805</v>
      </c>
      <c r="E7100" t="str">
        <f>IF(COUNTIF(data1!$D:$D,D7100)=0,"Missing in Data1","Present")</f>
        <v>Present</v>
      </c>
    </row>
    <row r="7101" spans="1:5" x14ac:dyDescent="0.25">
      <c r="A7101" s="2" t="s">
        <v>5468</v>
      </c>
      <c r="B7101" s="2" t="s">
        <v>1453</v>
      </c>
      <c r="C7101" s="2">
        <v>1</v>
      </c>
      <c r="D7101" t="str">
        <f t="shared" si="110"/>
        <v>CA-2017-147452_OFF-AP-10001626</v>
      </c>
      <c r="E7101" t="str">
        <f>IF(COUNTIF(data1!$D:$D,D7101)=0,"Missing in Data1","Present")</f>
        <v>Present</v>
      </c>
    </row>
    <row r="7102" spans="1:5" x14ac:dyDescent="0.25">
      <c r="A7102" s="2" t="s">
        <v>5468</v>
      </c>
      <c r="B7102" s="2" t="s">
        <v>309</v>
      </c>
      <c r="C7102" s="2">
        <v>2</v>
      </c>
      <c r="D7102" t="str">
        <f t="shared" si="110"/>
        <v>CA-2017-147452_OFF-PA-10001838</v>
      </c>
      <c r="E7102" t="str">
        <f>IF(COUNTIF(data1!$D:$D,D7102)=0,"Missing in Data1","Present")</f>
        <v>Present</v>
      </c>
    </row>
    <row r="7103" spans="1:5" x14ac:dyDescent="0.25">
      <c r="A7103" s="2" t="s">
        <v>5468</v>
      </c>
      <c r="B7103" s="2" t="s">
        <v>3791</v>
      </c>
      <c r="C7103" s="2">
        <v>3</v>
      </c>
      <c r="D7103" t="str">
        <f t="shared" si="110"/>
        <v>CA-2017-147452_OFF-PA-10004039</v>
      </c>
      <c r="E7103" t="str">
        <f>IF(COUNTIF(data1!$D:$D,D7103)=0,"Missing in Data1","Present")</f>
        <v>Present</v>
      </c>
    </row>
    <row r="7104" spans="1:5" x14ac:dyDescent="0.25">
      <c r="A7104" s="2" t="s">
        <v>5469</v>
      </c>
      <c r="B7104" s="2" t="s">
        <v>1260</v>
      </c>
      <c r="C7104" s="2">
        <v>3</v>
      </c>
      <c r="D7104" t="str">
        <f t="shared" si="110"/>
        <v>CA-2017-147550_FUR-FU-10001918</v>
      </c>
      <c r="E7104" t="str">
        <f>IF(COUNTIF(data1!$D:$D,D7104)=0,"Missing in Data1","Present")</f>
        <v>Present</v>
      </c>
    </row>
    <row r="7105" spans="1:5" x14ac:dyDescent="0.25">
      <c r="A7105" s="2" t="s">
        <v>5470</v>
      </c>
      <c r="B7105" s="2" t="s">
        <v>5280</v>
      </c>
      <c r="C7105" s="2">
        <v>4</v>
      </c>
      <c r="D7105" t="str">
        <f t="shared" si="110"/>
        <v>CA-2017-147564_OFF-PA-10004438</v>
      </c>
      <c r="E7105" t="str">
        <f>IF(COUNTIF(data1!$D:$D,D7105)=0,"Missing in Data1","Present")</f>
        <v>Present</v>
      </c>
    </row>
    <row r="7106" spans="1:5" x14ac:dyDescent="0.25">
      <c r="A7106" s="2" t="s">
        <v>5471</v>
      </c>
      <c r="B7106" s="2" t="s">
        <v>429</v>
      </c>
      <c r="C7106" s="2">
        <v>3</v>
      </c>
      <c r="D7106" t="str">
        <f t="shared" si="110"/>
        <v>CA-2017-147725_OFF-AR-10001725</v>
      </c>
      <c r="E7106" t="str">
        <f>IF(COUNTIF(data1!$D:$D,D7106)=0,"Missing in Data1","Present")</f>
        <v>Present</v>
      </c>
    </row>
    <row r="7107" spans="1:5" x14ac:dyDescent="0.25">
      <c r="A7107" s="2" t="s">
        <v>5472</v>
      </c>
      <c r="B7107" s="2" t="s">
        <v>5473</v>
      </c>
      <c r="C7107" s="2">
        <v>2</v>
      </c>
      <c r="D7107" t="str">
        <f t="shared" ref="D7107:D7170" si="111">A7107&amp;"_"&amp;B7107</f>
        <v>CA-2017-147753_OFF-LA-10003537</v>
      </c>
      <c r="E7107" t="str">
        <f>IF(COUNTIF(data1!$D:$D,D7107)=0,"Missing in Data1","Present")</f>
        <v>Present</v>
      </c>
    </row>
    <row r="7108" spans="1:5" x14ac:dyDescent="0.25">
      <c r="A7108" s="2" t="s">
        <v>5474</v>
      </c>
      <c r="B7108" s="2" t="s">
        <v>939</v>
      </c>
      <c r="C7108" s="2">
        <v>3</v>
      </c>
      <c r="D7108" t="str">
        <f t="shared" si="111"/>
        <v>CA-2017-147760_FUR-TA-10004575</v>
      </c>
      <c r="E7108" t="str">
        <f>IF(COUNTIF(data1!$D:$D,D7108)=0,"Missing in Data1","Present")</f>
        <v>Present</v>
      </c>
    </row>
    <row r="7109" spans="1:5" x14ac:dyDescent="0.25">
      <c r="A7109" s="2" t="s">
        <v>5474</v>
      </c>
      <c r="B7109" s="2" t="s">
        <v>4121</v>
      </c>
      <c r="C7109" s="2">
        <v>5</v>
      </c>
      <c r="D7109" t="str">
        <f t="shared" si="111"/>
        <v>CA-2017-147760_TEC-PH-10002483</v>
      </c>
      <c r="E7109" t="str">
        <f>IF(COUNTIF(data1!$D:$D,D7109)=0,"Missing in Data1","Present")</f>
        <v>Missing in Data1</v>
      </c>
    </row>
    <row r="7110" spans="1:5" x14ac:dyDescent="0.25">
      <c r="A7110" s="2" t="s">
        <v>5475</v>
      </c>
      <c r="B7110" s="2" t="s">
        <v>267</v>
      </c>
      <c r="C7110" s="2">
        <v>6</v>
      </c>
      <c r="D7110" t="str">
        <f t="shared" si="111"/>
        <v>CA-2017-147767_OFF-BI-10001670</v>
      </c>
      <c r="E7110" t="str">
        <f>IF(COUNTIF(data1!$D:$D,D7110)=0,"Missing in Data1","Present")</f>
        <v>Present</v>
      </c>
    </row>
    <row r="7111" spans="1:5" x14ac:dyDescent="0.25">
      <c r="A7111" s="2" t="s">
        <v>5476</v>
      </c>
      <c r="B7111" s="2" t="s">
        <v>1492</v>
      </c>
      <c r="C7111" s="2">
        <v>3</v>
      </c>
      <c r="D7111" t="str">
        <f t="shared" si="111"/>
        <v>CA-2017-147844_OFF-AR-10001615</v>
      </c>
      <c r="E7111" t="str">
        <f>IF(COUNTIF(data1!$D:$D,D7111)=0,"Missing in Data1","Present")</f>
        <v>Present</v>
      </c>
    </row>
    <row r="7112" spans="1:5" x14ac:dyDescent="0.25">
      <c r="A7112" s="2" t="s">
        <v>5476</v>
      </c>
      <c r="B7112" s="2" t="s">
        <v>2748</v>
      </c>
      <c r="C7112" s="2">
        <v>5</v>
      </c>
      <c r="D7112" t="str">
        <f t="shared" si="111"/>
        <v>CA-2017-147844_OFF-PA-10002713</v>
      </c>
      <c r="E7112" t="str">
        <f>IF(COUNTIF(data1!$D:$D,D7112)=0,"Missing in Data1","Present")</f>
        <v>Present</v>
      </c>
    </row>
    <row r="7113" spans="1:5" x14ac:dyDescent="0.25">
      <c r="A7113" s="2" t="s">
        <v>5477</v>
      </c>
      <c r="B7113" s="2" t="s">
        <v>604</v>
      </c>
      <c r="C7113" s="2">
        <v>13</v>
      </c>
      <c r="D7113" t="str">
        <f t="shared" si="111"/>
        <v>CA-2017-147942_OFF-BI-10001294</v>
      </c>
      <c r="E7113" t="str">
        <f>IF(COUNTIF(data1!$D:$D,D7113)=0,"Missing in Data1","Present")</f>
        <v>Present</v>
      </c>
    </row>
    <row r="7114" spans="1:5" x14ac:dyDescent="0.25">
      <c r="A7114" s="2" t="s">
        <v>5477</v>
      </c>
      <c r="B7114" s="2" t="s">
        <v>3873</v>
      </c>
      <c r="C7114" s="2">
        <v>2</v>
      </c>
      <c r="D7114" t="str">
        <f t="shared" si="111"/>
        <v>CA-2017-147942_OFF-LA-10003663</v>
      </c>
      <c r="E7114" t="str">
        <f>IF(COUNTIF(data1!$D:$D,D7114)=0,"Missing in Data1","Present")</f>
        <v>Present</v>
      </c>
    </row>
    <row r="7115" spans="1:5" x14ac:dyDescent="0.25">
      <c r="A7115" s="2" t="s">
        <v>5478</v>
      </c>
      <c r="B7115" s="2" t="s">
        <v>763</v>
      </c>
      <c r="C7115" s="2">
        <v>6</v>
      </c>
      <c r="D7115" t="str">
        <f t="shared" si="111"/>
        <v>CA-2017-147956_OFF-ST-10001097</v>
      </c>
      <c r="E7115" t="str">
        <f>IF(COUNTIF(data1!$D:$D,D7115)=0,"Missing in Data1","Present")</f>
        <v>Present</v>
      </c>
    </row>
    <row r="7116" spans="1:5" x14ac:dyDescent="0.25">
      <c r="A7116" s="2" t="s">
        <v>5479</v>
      </c>
      <c r="B7116" s="2" t="s">
        <v>58</v>
      </c>
      <c r="C7116" s="2">
        <v>1</v>
      </c>
      <c r="D7116" t="str">
        <f t="shared" si="111"/>
        <v>CA-2017-148012_OFF-AR-10004757</v>
      </c>
      <c r="E7116" t="str">
        <f>IF(COUNTIF(data1!$D:$D,D7116)=0,"Missing in Data1","Present")</f>
        <v>Present</v>
      </c>
    </row>
    <row r="7117" spans="1:5" x14ac:dyDescent="0.25">
      <c r="A7117" s="2" t="s">
        <v>5480</v>
      </c>
      <c r="B7117" s="2" t="s">
        <v>21</v>
      </c>
      <c r="C7117" s="2">
        <v>2</v>
      </c>
      <c r="D7117" t="str">
        <f t="shared" si="111"/>
        <v>CA-2017-148068_FUR-FU-10002268</v>
      </c>
      <c r="E7117" t="str">
        <f>IF(COUNTIF(data1!$D:$D,D7117)=0,"Missing in Data1","Present")</f>
        <v>Present</v>
      </c>
    </row>
    <row r="7118" spans="1:5" x14ac:dyDescent="0.25">
      <c r="A7118" s="2" t="s">
        <v>5480</v>
      </c>
      <c r="B7118" s="2" t="s">
        <v>926</v>
      </c>
      <c r="C7118" s="2">
        <v>3</v>
      </c>
      <c r="D7118" t="str">
        <f t="shared" si="111"/>
        <v>CA-2017-148068_OFF-PA-10001639</v>
      </c>
      <c r="E7118" t="str">
        <f>IF(COUNTIF(data1!$D:$D,D7118)=0,"Missing in Data1","Present")</f>
        <v>Present</v>
      </c>
    </row>
    <row r="7119" spans="1:5" x14ac:dyDescent="0.25">
      <c r="A7119" s="2" t="s">
        <v>5481</v>
      </c>
      <c r="B7119" s="2" t="s">
        <v>1339</v>
      </c>
      <c r="C7119" s="2">
        <v>2</v>
      </c>
      <c r="D7119" t="str">
        <f t="shared" si="111"/>
        <v>CA-2017-148138_OFF-ST-10000563</v>
      </c>
      <c r="E7119" t="str">
        <f>IF(COUNTIF(data1!$D:$D,D7119)=0,"Missing in Data1","Present")</f>
        <v>Present</v>
      </c>
    </row>
    <row r="7120" spans="1:5" x14ac:dyDescent="0.25">
      <c r="A7120" s="2" t="s">
        <v>5483</v>
      </c>
      <c r="B7120" s="2" t="s">
        <v>4527</v>
      </c>
      <c r="C7120" s="2">
        <v>4</v>
      </c>
      <c r="D7120" t="str">
        <f t="shared" si="111"/>
        <v>CA-2017-148166_OFF-AR-10004956</v>
      </c>
      <c r="E7120" t="str">
        <f>IF(COUNTIF(data1!$D:$D,D7120)=0,"Missing in Data1","Present")</f>
        <v>Present</v>
      </c>
    </row>
    <row r="7121" spans="1:5" x14ac:dyDescent="0.25">
      <c r="A7121" s="2" t="s">
        <v>5484</v>
      </c>
      <c r="B7121" s="2" t="s">
        <v>1864</v>
      </c>
      <c r="C7121" s="2">
        <v>2</v>
      </c>
      <c r="D7121" t="str">
        <f t="shared" si="111"/>
        <v>CA-2017-148264_FUR-FU-10002703</v>
      </c>
      <c r="E7121" t="str">
        <f>IF(COUNTIF(data1!$D:$D,D7121)=0,"Missing in Data1","Present")</f>
        <v>Present</v>
      </c>
    </row>
    <row r="7122" spans="1:5" x14ac:dyDescent="0.25">
      <c r="A7122" s="2" t="s">
        <v>5484</v>
      </c>
      <c r="B7122" s="2" t="s">
        <v>4704</v>
      </c>
      <c r="C7122" s="2">
        <v>9</v>
      </c>
      <c r="D7122" t="str">
        <f t="shared" si="111"/>
        <v>CA-2017-148264_OFF-PA-10003651</v>
      </c>
      <c r="E7122" t="str">
        <f>IF(COUNTIF(data1!$D:$D,D7122)=0,"Missing in Data1","Present")</f>
        <v>Missing in Data1</v>
      </c>
    </row>
    <row r="7123" spans="1:5" x14ac:dyDescent="0.25">
      <c r="A7123" s="2" t="s">
        <v>5484</v>
      </c>
      <c r="B7123" s="2" t="s">
        <v>607</v>
      </c>
      <c r="C7123" s="2">
        <v>3</v>
      </c>
      <c r="D7123" t="str">
        <f t="shared" si="111"/>
        <v>CA-2017-148264_OFF-ST-10003327</v>
      </c>
      <c r="E7123" t="str">
        <f>IF(COUNTIF(data1!$D:$D,D7123)=0,"Missing in Data1","Present")</f>
        <v>Present</v>
      </c>
    </row>
    <row r="7124" spans="1:5" x14ac:dyDescent="0.25">
      <c r="A7124" s="2" t="s">
        <v>5485</v>
      </c>
      <c r="B7124" s="2" t="s">
        <v>1469</v>
      </c>
      <c r="C7124" s="2">
        <v>6</v>
      </c>
      <c r="D7124" t="str">
        <f t="shared" si="111"/>
        <v>CA-2017-148320_OFF-PA-10003022</v>
      </c>
      <c r="E7124" t="str">
        <f>IF(COUNTIF(data1!$D:$D,D7124)=0,"Missing in Data1","Present")</f>
        <v>Present</v>
      </c>
    </row>
    <row r="7125" spans="1:5" x14ac:dyDescent="0.25">
      <c r="A7125" s="2" t="s">
        <v>5486</v>
      </c>
      <c r="B7125" s="2" t="s">
        <v>1384</v>
      </c>
      <c r="C7125" s="2">
        <v>5</v>
      </c>
      <c r="D7125" t="str">
        <f t="shared" si="111"/>
        <v>CA-2017-148355_OFF-BI-10000201</v>
      </c>
      <c r="E7125" t="str">
        <f>IF(COUNTIF(data1!$D:$D,D7125)=0,"Missing in Data1","Present")</f>
        <v>Present</v>
      </c>
    </row>
    <row r="7126" spans="1:5" x14ac:dyDescent="0.25">
      <c r="A7126" s="2" t="s">
        <v>5486</v>
      </c>
      <c r="B7126" s="2" t="s">
        <v>1431</v>
      </c>
      <c r="C7126" s="2">
        <v>3</v>
      </c>
      <c r="D7126" t="str">
        <f t="shared" si="111"/>
        <v>CA-2017-148355_OFF-PA-10001972</v>
      </c>
      <c r="E7126" t="str">
        <f>IF(COUNTIF(data1!$D:$D,D7126)=0,"Missing in Data1","Present")</f>
        <v>Present</v>
      </c>
    </row>
    <row r="7127" spans="1:5" x14ac:dyDescent="0.25">
      <c r="A7127" s="2" t="s">
        <v>5487</v>
      </c>
      <c r="B7127" s="2" t="s">
        <v>183</v>
      </c>
      <c r="C7127" s="2">
        <v>3</v>
      </c>
      <c r="D7127" t="str">
        <f t="shared" si="111"/>
        <v>CA-2017-148404_FUR-TA-10001039</v>
      </c>
      <c r="E7127" t="str">
        <f>IF(COUNTIF(data1!$D:$D,D7127)=0,"Missing in Data1","Present")</f>
        <v>Present</v>
      </c>
    </row>
    <row r="7128" spans="1:5" x14ac:dyDescent="0.25">
      <c r="A7128" s="2" t="s">
        <v>5487</v>
      </c>
      <c r="B7128" s="2" t="s">
        <v>337</v>
      </c>
      <c r="C7128" s="2">
        <v>6</v>
      </c>
      <c r="D7128" t="str">
        <f t="shared" si="111"/>
        <v>CA-2017-148404_OFF-BI-10002854</v>
      </c>
      <c r="E7128" t="str">
        <f>IF(COUNTIF(data1!$D:$D,D7128)=0,"Missing in Data1","Present")</f>
        <v>Present</v>
      </c>
    </row>
    <row r="7129" spans="1:5" x14ac:dyDescent="0.25">
      <c r="A7129" s="2" t="s">
        <v>5487</v>
      </c>
      <c r="B7129" s="2" t="s">
        <v>1320</v>
      </c>
      <c r="C7129" s="2">
        <v>3</v>
      </c>
      <c r="D7129" t="str">
        <f t="shared" si="111"/>
        <v>CA-2017-148404_OFF-FA-10003112</v>
      </c>
      <c r="E7129" t="str">
        <f>IF(COUNTIF(data1!$D:$D,D7129)=0,"Missing in Data1","Present")</f>
        <v>Present</v>
      </c>
    </row>
    <row r="7130" spans="1:5" x14ac:dyDescent="0.25">
      <c r="A7130" s="2" t="s">
        <v>5487</v>
      </c>
      <c r="B7130" s="2" t="s">
        <v>550</v>
      </c>
      <c r="C7130" s="2">
        <v>4</v>
      </c>
      <c r="D7130" t="str">
        <f t="shared" si="111"/>
        <v>CA-2017-148404_OFF-ST-10003208</v>
      </c>
      <c r="E7130" t="str">
        <f>IF(COUNTIF(data1!$D:$D,D7130)=0,"Missing in Data1","Present")</f>
        <v>Present</v>
      </c>
    </row>
    <row r="7131" spans="1:5" x14ac:dyDescent="0.25">
      <c r="A7131" s="2" t="s">
        <v>5487</v>
      </c>
      <c r="B7131" s="2" t="s">
        <v>1205</v>
      </c>
      <c r="C7131" s="2">
        <v>2</v>
      </c>
      <c r="D7131" t="str">
        <f t="shared" si="111"/>
        <v>CA-2017-148404_TEC-PH-10004447</v>
      </c>
      <c r="E7131" t="str">
        <f>IF(COUNTIF(data1!$D:$D,D7131)=0,"Missing in Data1","Present")</f>
        <v>Present</v>
      </c>
    </row>
    <row r="7132" spans="1:5" x14ac:dyDescent="0.25">
      <c r="A7132" s="2" t="s">
        <v>5488</v>
      </c>
      <c r="B7132" s="2" t="s">
        <v>807</v>
      </c>
      <c r="C7132" s="2">
        <v>2</v>
      </c>
      <c r="D7132" t="str">
        <f t="shared" si="111"/>
        <v>CA-2017-148411_FUR-CH-10003973</v>
      </c>
      <c r="E7132" t="str">
        <f>IF(COUNTIF(data1!$D:$D,D7132)=0,"Missing in Data1","Present")</f>
        <v>Present</v>
      </c>
    </row>
    <row r="7133" spans="1:5" x14ac:dyDescent="0.25">
      <c r="A7133" s="2" t="s">
        <v>5488</v>
      </c>
      <c r="B7133" s="2" t="s">
        <v>1126</v>
      </c>
      <c r="C7133" s="2">
        <v>3</v>
      </c>
      <c r="D7133" t="str">
        <f t="shared" si="111"/>
        <v>CA-2017-148411_OFF-PA-10002109</v>
      </c>
      <c r="E7133" t="str">
        <f>IF(COUNTIF(data1!$D:$D,D7133)=0,"Missing in Data1","Present")</f>
        <v>Present</v>
      </c>
    </row>
    <row r="7134" spans="1:5" x14ac:dyDescent="0.25">
      <c r="A7134" s="2" t="s">
        <v>5489</v>
      </c>
      <c r="B7134" s="2" t="s">
        <v>3419</v>
      </c>
      <c r="C7134" s="2">
        <v>4</v>
      </c>
      <c r="D7134" t="str">
        <f t="shared" si="111"/>
        <v>CA-2017-148446_FUR-TA-10004256</v>
      </c>
      <c r="E7134" t="str">
        <f>IF(COUNTIF(data1!$D:$D,D7134)=0,"Missing in Data1","Present")</f>
        <v>Present</v>
      </c>
    </row>
    <row r="7135" spans="1:5" x14ac:dyDescent="0.25">
      <c r="A7135" s="2" t="s">
        <v>5490</v>
      </c>
      <c r="B7135" s="2" t="s">
        <v>1996</v>
      </c>
      <c r="C7135" s="2">
        <v>3</v>
      </c>
      <c r="D7135" t="str">
        <f t="shared" si="111"/>
        <v>CA-2017-148474_FUR-TA-10002530</v>
      </c>
      <c r="E7135" t="str">
        <f>IF(COUNTIF(data1!$D:$D,D7135)=0,"Missing in Data1","Present")</f>
        <v>Present</v>
      </c>
    </row>
    <row r="7136" spans="1:5" x14ac:dyDescent="0.25">
      <c r="A7136" s="2" t="s">
        <v>5490</v>
      </c>
      <c r="B7136" s="2" t="s">
        <v>859</v>
      </c>
      <c r="C7136" s="2">
        <v>3</v>
      </c>
      <c r="D7136" t="str">
        <f t="shared" si="111"/>
        <v>CA-2017-148474_OFF-BI-10000977</v>
      </c>
      <c r="E7136" t="str">
        <f>IF(COUNTIF(data1!$D:$D,D7136)=0,"Missing in Data1","Present")</f>
        <v>Present</v>
      </c>
    </row>
    <row r="7137" spans="1:5" x14ac:dyDescent="0.25">
      <c r="A7137" s="2" t="s">
        <v>5491</v>
      </c>
      <c r="B7137" s="2" t="s">
        <v>1821</v>
      </c>
      <c r="C7137" s="2">
        <v>4</v>
      </c>
      <c r="D7137" t="str">
        <f t="shared" si="111"/>
        <v>CA-2017-148642_OFF-AR-10000588</v>
      </c>
      <c r="E7137" t="str">
        <f>IF(COUNTIF(data1!$D:$D,D7137)=0,"Missing in Data1","Present")</f>
        <v>Present</v>
      </c>
    </row>
    <row r="7138" spans="1:5" x14ac:dyDescent="0.25">
      <c r="A7138" s="2" t="s">
        <v>5491</v>
      </c>
      <c r="B7138" s="2" t="s">
        <v>1874</v>
      </c>
      <c r="C7138" s="2">
        <v>2</v>
      </c>
      <c r="D7138" t="str">
        <f t="shared" si="111"/>
        <v>CA-2017-148642_OFF-LA-10000134</v>
      </c>
      <c r="E7138" t="str">
        <f>IF(COUNTIF(data1!$D:$D,D7138)=0,"Missing in Data1","Present")</f>
        <v>Present</v>
      </c>
    </row>
    <row r="7139" spans="1:5" x14ac:dyDescent="0.25">
      <c r="A7139" s="2" t="s">
        <v>5492</v>
      </c>
      <c r="B7139" s="2" t="s">
        <v>1815</v>
      </c>
      <c r="C7139" s="2">
        <v>5</v>
      </c>
      <c r="D7139" t="str">
        <f t="shared" si="111"/>
        <v>CA-2017-148691_OFF-BI-10001524</v>
      </c>
      <c r="E7139" t="str">
        <f>IF(COUNTIF(data1!$D:$D,D7139)=0,"Missing in Data1","Present")</f>
        <v>Present</v>
      </c>
    </row>
    <row r="7140" spans="1:5" x14ac:dyDescent="0.25">
      <c r="A7140" s="2" t="s">
        <v>5492</v>
      </c>
      <c r="B7140" s="2" t="s">
        <v>1042</v>
      </c>
      <c r="C7140" s="2">
        <v>2</v>
      </c>
      <c r="D7140" t="str">
        <f t="shared" si="111"/>
        <v>CA-2017-148691_OFF-BI-10001553</v>
      </c>
      <c r="E7140" t="str">
        <f>IF(COUNTIF(data1!$D:$D,D7140)=0,"Missing in Data1","Present")</f>
        <v>Present</v>
      </c>
    </row>
    <row r="7141" spans="1:5" x14ac:dyDescent="0.25">
      <c r="A7141" s="2" t="s">
        <v>5492</v>
      </c>
      <c r="B7141" s="2" t="s">
        <v>3116</v>
      </c>
      <c r="C7141" s="2">
        <v>1</v>
      </c>
      <c r="D7141" t="str">
        <f t="shared" si="111"/>
        <v>CA-2017-148691_OFF-LA-10001317</v>
      </c>
      <c r="E7141" t="str">
        <f>IF(COUNTIF(data1!$D:$D,D7141)=0,"Missing in Data1","Present")</f>
        <v>Present</v>
      </c>
    </row>
    <row r="7142" spans="1:5" x14ac:dyDescent="0.25">
      <c r="A7142" s="2" t="s">
        <v>5492</v>
      </c>
      <c r="B7142" s="2" t="s">
        <v>199</v>
      </c>
      <c r="C7142" s="2">
        <v>1</v>
      </c>
      <c r="D7142" t="str">
        <f t="shared" si="111"/>
        <v>CA-2017-148691_TEC-PH-10000576</v>
      </c>
      <c r="E7142" t="str">
        <f>IF(COUNTIF(data1!$D:$D,D7142)=0,"Missing in Data1","Present")</f>
        <v>Present</v>
      </c>
    </row>
    <row r="7143" spans="1:5" x14ac:dyDescent="0.25">
      <c r="A7143" s="2" t="s">
        <v>5493</v>
      </c>
      <c r="B7143" s="2" t="s">
        <v>2710</v>
      </c>
      <c r="C7143" s="2">
        <v>3</v>
      </c>
      <c r="D7143" t="str">
        <f t="shared" si="111"/>
        <v>CA-2017-148810_FUR-CH-10001545</v>
      </c>
      <c r="E7143" t="str">
        <f>IF(COUNTIF(data1!$D:$D,D7143)=0,"Missing in Data1","Present")</f>
        <v>Present</v>
      </c>
    </row>
    <row r="7144" spans="1:5" x14ac:dyDescent="0.25">
      <c r="A7144" s="2" t="s">
        <v>5493</v>
      </c>
      <c r="B7144" s="2" t="s">
        <v>1480</v>
      </c>
      <c r="C7144" s="2">
        <v>6</v>
      </c>
      <c r="D7144" t="str">
        <f t="shared" si="111"/>
        <v>CA-2017-148810_OFF-LA-10004689</v>
      </c>
      <c r="E7144" t="str">
        <f>IF(COUNTIF(data1!$D:$D,D7144)=0,"Missing in Data1","Present")</f>
        <v>Present</v>
      </c>
    </row>
    <row r="7145" spans="1:5" x14ac:dyDescent="0.25">
      <c r="A7145" s="2" t="s">
        <v>5494</v>
      </c>
      <c r="B7145" s="2" t="s">
        <v>609</v>
      </c>
      <c r="C7145" s="2">
        <v>8</v>
      </c>
      <c r="D7145" t="str">
        <f t="shared" si="111"/>
        <v>CA-2017-148922_OFF-BI-10003476</v>
      </c>
      <c r="E7145" t="str">
        <f>IF(COUNTIF(data1!$D:$D,D7145)=0,"Missing in Data1","Present")</f>
        <v>Present</v>
      </c>
    </row>
    <row r="7146" spans="1:5" x14ac:dyDescent="0.25">
      <c r="A7146" s="2" t="s">
        <v>5494</v>
      </c>
      <c r="B7146" s="2" t="s">
        <v>2146</v>
      </c>
      <c r="C7146" s="2">
        <v>3</v>
      </c>
      <c r="D7146" t="str">
        <f t="shared" si="111"/>
        <v>CA-2017-148922_TEC-AC-10001838</v>
      </c>
      <c r="E7146" t="str">
        <f>IF(COUNTIF(data1!$D:$D,D7146)=0,"Missing in Data1","Present")</f>
        <v>Present</v>
      </c>
    </row>
    <row r="7147" spans="1:5" x14ac:dyDescent="0.25">
      <c r="A7147" s="2" t="s">
        <v>5494</v>
      </c>
      <c r="B7147" s="2" t="s">
        <v>3666</v>
      </c>
      <c r="C7147" s="2">
        <v>3</v>
      </c>
      <c r="D7147" t="str">
        <f t="shared" si="111"/>
        <v>CA-2017-148922_TEC-PH-10000148</v>
      </c>
      <c r="E7147" t="str">
        <f>IF(COUNTIF(data1!$D:$D,D7147)=0,"Missing in Data1","Present")</f>
        <v>Missing in Data1</v>
      </c>
    </row>
    <row r="7148" spans="1:5" x14ac:dyDescent="0.25">
      <c r="A7148" s="2" t="s">
        <v>5495</v>
      </c>
      <c r="B7148" s="2" t="s">
        <v>2114</v>
      </c>
      <c r="C7148" s="2">
        <v>8</v>
      </c>
      <c r="D7148" t="str">
        <f t="shared" si="111"/>
        <v>CA-2017-148929_OFF-ST-10003282</v>
      </c>
      <c r="E7148" t="str">
        <f>IF(COUNTIF(data1!$D:$D,D7148)=0,"Missing in Data1","Present")</f>
        <v>Present</v>
      </c>
    </row>
    <row r="7149" spans="1:5" x14ac:dyDescent="0.25">
      <c r="A7149" s="2" t="s">
        <v>5496</v>
      </c>
      <c r="B7149" s="2" t="s">
        <v>1071</v>
      </c>
      <c r="C7149" s="2">
        <v>4</v>
      </c>
      <c r="D7149" t="str">
        <f t="shared" si="111"/>
        <v>CA-2017-148985_FUR-FU-10001424</v>
      </c>
      <c r="E7149" t="str">
        <f>IF(COUNTIF(data1!$D:$D,D7149)=0,"Missing in Data1","Present")</f>
        <v>Present</v>
      </c>
    </row>
    <row r="7150" spans="1:5" x14ac:dyDescent="0.25">
      <c r="A7150" s="2" t="s">
        <v>5497</v>
      </c>
      <c r="B7150" s="2" t="s">
        <v>1952</v>
      </c>
      <c r="C7150" s="2">
        <v>2</v>
      </c>
      <c r="D7150" t="str">
        <f t="shared" si="111"/>
        <v>CA-2017-148992_OFF-PA-10004285</v>
      </c>
      <c r="E7150" t="str">
        <f>IF(COUNTIF(data1!$D:$D,D7150)=0,"Missing in Data1","Present")</f>
        <v>Present</v>
      </c>
    </row>
    <row r="7151" spans="1:5" x14ac:dyDescent="0.25">
      <c r="A7151" s="2" t="s">
        <v>5498</v>
      </c>
      <c r="B7151" s="2" t="s">
        <v>2243</v>
      </c>
      <c r="C7151" s="2">
        <v>4</v>
      </c>
      <c r="D7151" t="str">
        <f t="shared" si="111"/>
        <v>CA-2017-148999_FUR-CH-10002044</v>
      </c>
      <c r="E7151" t="str">
        <f>IF(COUNTIF(data1!$D:$D,D7151)=0,"Missing in Data1","Present")</f>
        <v>Present</v>
      </c>
    </row>
    <row r="7152" spans="1:5" x14ac:dyDescent="0.25">
      <c r="A7152" s="2" t="s">
        <v>5499</v>
      </c>
      <c r="B7152" s="2" t="s">
        <v>820</v>
      </c>
      <c r="C7152" s="2">
        <v>3</v>
      </c>
      <c r="D7152" t="str">
        <f t="shared" si="111"/>
        <v>CA-2017-149048_OFF-BI-10004632</v>
      </c>
      <c r="E7152" t="str">
        <f>IF(COUNTIF(data1!$D:$D,D7152)=0,"Missing in Data1","Present")</f>
        <v>Present</v>
      </c>
    </row>
    <row r="7153" spans="1:5" x14ac:dyDescent="0.25">
      <c r="A7153" s="2" t="s">
        <v>5499</v>
      </c>
      <c r="B7153" s="2" t="s">
        <v>2027</v>
      </c>
      <c r="C7153" s="2">
        <v>2</v>
      </c>
      <c r="D7153" t="str">
        <f t="shared" si="111"/>
        <v>CA-2017-149048_OFF-EN-10003296</v>
      </c>
      <c r="E7153" t="str">
        <f>IF(COUNTIF(data1!$D:$D,D7153)=0,"Missing in Data1","Present")</f>
        <v>Present</v>
      </c>
    </row>
    <row r="7154" spans="1:5" x14ac:dyDescent="0.25">
      <c r="A7154" s="2" t="s">
        <v>5499</v>
      </c>
      <c r="B7154" s="2" t="s">
        <v>805</v>
      </c>
      <c r="C7154" s="2">
        <v>3</v>
      </c>
      <c r="D7154" t="str">
        <f t="shared" si="111"/>
        <v>CA-2017-149048_OFF-PA-10001752</v>
      </c>
      <c r="E7154" t="str">
        <f>IF(COUNTIF(data1!$D:$D,D7154)=0,"Missing in Data1","Present")</f>
        <v>Present</v>
      </c>
    </row>
    <row r="7155" spans="1:5" x14ac:dyDescent="0.25">
      <c r="A7155" s="2" t="s">
        <v>5499</v>
      </c>
      <c r="B7155" s="2" t="s">
        <v>835</v>
      </c>
      <c r="C7155" s="2">
        <v>2</v>
      </c>
      <c r="D7155" t="str">
        <f t="shared" si="111"/>
        <v>CA-2017-149048_OFF-ST-10000078</v>
      </c>
      <c r="E7155" t="str">
        <f>IF(COUNTIF(data1!$D:$D,D7155)=0,"Missing in Data1","Present")</f>
        <v>Present</v>
      </c>
    </row>
    <row r="7156" spans="1:5" x14ac:dyDescent="0.25">
      <c r="A7156" s="2" t="s">
        <v>5499</v>
      </c>
      <c r="B7156" s="2" t="s">
        <v>831</v>
      </c>
      <c r="C7156" s="2">
        <v>3</v>
      </c>
      <c r="D7156" t="str">
        <f t="shared" si="111"/>
        <v>CA-2017-149048_TEC-PH-10002310</v>
      </c>
      <c r="E7156" t="str">
        <f>IF(COUNTIF(data1!$D:$D,D7156)=0,"Missing in Data1","Present")</f>
        <v>Present</v>
      </c>
    </row>
    <row r="7157" spans="1:5" x14ac:dyDescent="0.25">
      <c r="A7157" s="2" t="s">
        <v>5500</v>
      </c>
      <c r="B7157" s="2" t="s">
        <v>4140</v>
      </c>
      <c r="C7157" s="2">
        <v>5</v>
      </c>
      <c r="D7157" t="str">
        <f t="shared" si="111"/>
        <v>CA-2017-149076_OFF-PA-10000483</v>
      </c>
      <c r="E7157" t="str">
        <f>IF(COUNTIF(data1!$D:$D,D7157)=0,"Missing in Data1","Present")</f>
        <v>Present</v>
      </c>
    </row>
    <row r="7158" spans="1:5" x14ac:dyDescent="0.25">
      <c r="A7158" s="2" t="s">
        <v>5501</v>
      </c>
      <c r="B7158" s="2" t="s">
        <v>5502</v>
      </c>
      <c r="C7158" s="2">
        <v>2</v>
      </c>
      <c r="D7158" t="str">
        <f t="shared" si="111"/>
        <v>CA-2017-149146_OFF-PA-10003919</v>
      </c>
      <c r="E7158" t="str">
        <f>IF(COUNTIF(data1!$D:$D,D7158)=0,"Missing in Data1","Present")</f>
        <v>Present</v>
      </c>
    </row>
    <row r="7159" spans="1:5" x14ac:dyDescent="0.25">
      <c r="A7159" s="2" t="s">
        <v>5503</v>
      </c>
      <c r="B7159" s="2" t="s">
        <v>2689</v>
      </c>
      <c r="C7159" s="2">
        <v>2</v>
      </c>
      <c r="D7159" t="str">
        <f t="shared" si="111"/>
        <v>CA-2017-149160_FUR-FU-10003347</v>
      </c>
      <c r="E7159" t="str">
        <f>IF(COUNTIF(data1!$D:$D,D7159)=0,"Missing in Data1","Present")</f>
        <v>Present</v>
      </c>
    </row>
    <row r="7160" spans="1:5" x14ac:dyDescent="0.25">
      <c r="A7160" s="2" t="s">
        <v>5503</v>
      </c>
      <c r="B7160" s="2" t="s">
        <v>1413</v>
      </c>
      <c r="C7160" s="2">
        <v>8</v>
      </c>
      <c r="D7160" t="str">
        <f t="shared" si="111"/>
        <v>CA-2017-149160_OFF-BI-10001543</v>
      </c>
      <c r="E7160" t="str">
        <f>IF(COUNTIF(data1!$D:$D,D7160)=0,"Missing in Data1","Present")</f>
        <v>Present</v>
      </c>
    </row>
    <row r="7161" spans="1:5" x14ac:dyDescent="0.25">
      <c r="A7161" s="2" t="s">
        <v>5504</v>
      </c>
      <c r="B7161" s="2" t="s">
        <v>2527</v>
      </c>
      <c r="C7161" s="2">
        <v>2</v>
      </c>
      <c r="D7161" t="str">
        <f t="shared" si="111"/>
        <v>CA-2017-149181_FUR-CH-10004540</v>
      </c>
      <c r="E7161" t="str">
        <f>IF(COUNTIF(data1!$D:$D,D7161)=0,"Missing in Data1","Present")</f>
        <v>Present</v>
      </c>
    </row>
    <row r="7162" spans="1:5" x14ac:dyDescent="0.25">
      <c r="A7162" s="2" t="s">
        <v>5505</v>
      </c>
      <c r="B7162" s="2" t="s">
        <v>824</v>
      </c>
      <c r="C7162" s="2">
        <v>2</v>
      </c>
      <c r="D7162" t="str">
        <f t="shared" si="111"/>
        <v>CA-2017-149468_OFF-BI-10002225</v>
      </c>
      <c r="E7162" t="str">
        <f>IF(COUNTIF(data1!$D:$D,D7162)=0,"Missing in Data1","Present")</f>
        <v>Present</v>
      </c>
    </row>
    <row r="7163" spans="1:5" x14ac:dyDescent="0.25">
      <c r="A7163" s="2" t="s">
        <v>5506</v>
      </c>
      <c r="B7163" s="2" t="s">
        <v>757</v>
      </c>
      <c r="C7163" s="2">
        <v>2</v>
      </c>
      <c r="D7163" t="str">
        <f t="shared" si="111"/>
        <v>CA-2017-149489_OFF-AP-10002495</v>
      </c>
      <c r="E7163" t="str">
        <f>IF(COUNTIF(data1!$D:$D,D7163)=0,"Missing in Data1","Present")</f>
        <v>Present</v>
      </c>
    </row>
    <row r="7164" spans="1:5" x14ac:dyDescent="0.25">
      <c r="A7164" s="2" t="s">
        <v>5506</v>
      </c>
      <c r="B7164" s="2" t="s">
        <v>4005</v>
      </c>
      <c r="C7164" s="2">
        <v>2</v>
      </c>
      <c r="D7164" t="str">
        <f t="shared" si="111"/>
        <v>CA-2017-149489_OFF-BI-10002414</v>
      </c>
      <c r="E7164" t="str">
        <f>IF(COUNTIF(data1!$D:$D,D7164)=0,"Missing in Data1","Present")</f>
        <v>Present</v>
      </c>
    </row>
    <row r="7165" spans="1:5" x14ac:dyDescent="0.25">
      <c r="A7165" s="2" t="s">
        <v>5506</v>
      </c>
      <c r="B7165" s="2" t="s">
        <v>2917</v>
      </c>
      <c r="C7165" s="2">
        <v>2</v>
      </c>
      <c r="D7165" t="str">
        <f t="shared" si="111"/>
        <v>CA-2017-149489_OFF-BI-10002813</v>
      </c>
      <c r="E7165" t="str">
        <f>IF(COUNTIF(data1!$D:$D,D7165)=0,"Missing in Data1","Present")</f>
        <v>Present</v>
      </c>
    </row>
    <row r="7166" spans="1:5" x14ac:dyDescent="0.25">
      <c r="A7166" s="2" t="s">
        <v>5507</v>
      </c>
      <c r="B7166" s="2" t="s">
        <v>120</v>
      </c>
      <c r="C7166" s="2">
        <v>8</v>
      </c>
      <c r="D7166" t="str">
        <f t="shared" si="111"/>
        <v>CA-2017-149559_FUR-CH-10002320</v>
      </c>
      <c r="E7166" t="str">
        <f>IF(COUNTIF(data1!$D:$D,D7166)=0,"Missing in Data1","Present")</f>
        <v>Present</v>
      </c>
    </row>
    <row r="7167" spans="1:5" x14ac:dyDescent="0.25">
      <c r="A7167" s="2" t="s">
        <v>5507</v>
      </c>
      <c r="B7167" s="2" t="s">
        <v>3221</v>
      </c>
      <c r="C7167" s="2">
        <v>2</v>
      </c>
      <c r="D7167" t="str">
        <f t="shared" si="111"/>
        <v>CA-2017-149559_OFF-EN-10002312</v>
      </c>
      <c r="E7167" t="str">
        <f>IF(COUNTIF(data1!$D:$D,D7167)=0,"Missing in Data1","Present")</f>
        <v>Present</v>
      </c>
    </row>
    <row r="7168" spans="1:5" x14ac:dyDescent="0.25">
      <c r="A7168" s="2" t="s">
        <v>5507</v>
      </c>
      <c r="B7168" s="2" t="s">
        <v>1909</v>
      </c>
      <c r="C7168" s="2">
        <v>2</v>
      </c>
      <c r="D7168" t="str">
        <f t="shared" si="111"/>
        <v>CA-2017-149559_OFF-PA-10003172</v>
      </c>
      <c r="E7168" t="str">
        <f>IF(COUNTIF(data1!$D:$D,D7168)=0,"Missing in Data1","Present")</f>
        <v>Present</v>
      </c>
    </row>
    <row r="7169" spans="1:5" x14ac:dyDescent="0.25">
      <c r="A7169" s="2" t="s">
        <v>5510</v>
      </c>
      <c r="B7169" s="2" t="s">
        <v>5229</v>
      </c>
      <c r="C7169" s="2">
        <v>6</v>
      </c>
      <c r="D7169" t="str">
        <f t="shared" si="111"/>
        <v>CA-2017-149720_FUR-FU-10002501</v>
      </c>
      <c r="E7169" t="str">
        <f>IF(COUNTIF(data1!$D:$D,D7169)=0,"Missing in Data1","Present")</f>
        <v>Present</v>
      </c>
    </row>
    <row r="7170" spans="1:5" x14ac:dyDescent="0.25">
      <c r="A7170" s="2" t="s">
        <v>5511</v>
      </c>
      <c r="B7170" s="2" t="s">
        <v>2520</v>
      </c>
      <c r="C7170" s="2">
        <v>5</v>
      </c>
      <c r="D7170" t="str">
        <f t="shared" si="111"/>
        <v>CA-2017-149853_OFF-AP-10000804</v>
      </c>
      <c r="E7170" t="str">
        <f>IF(COUNTIF(data1!$D:$D,D7170)=0,"Missing in Data1","Present")</f>
        <v>Present</v>
      </c>
    </row>
    <row r="7171" spans="1:5" x14ac:dyDescent="0.25">
      <c r="A7171" s="2" t="s">
        <v>5512</v>
      </c>
      <c r="B7171" s="2" t="s">
        <v>4343</v>
      </c>
      <c r="C7171" s="2">
        <v>8</v>
      </c>
      <c r="D7171" t="str">
        <f t="shared" ref="D7171:D7234" si="112">A7171&amp;"_"&amp;B7171</f>
        <v>CA-2017-149881_FUR-BO-10003894</v>
      </c>
      <c r="E7171" t="str">
        <f>IF(COUNTIF(data1!$D:$D,D7171)=0,"Missing in Data1","Present")</f>
        <v>Present</v>
      </c>
    </row>
    <row r="7172" spans="1:5" x14ac:dyDescent="0.25">
      <c r="A7172" s="2" t="s">
        <v>5512</v>
      </c>
      <c r="B7172" s="2" t="s">
        <v>2825</v>
      </c>
      <c r="C7172" s="2">
        <v>2</v>
      </c>
      <c r="D7172" t="str">
        <f t="shared" si="112"/>
        <v>CA-2017-149881_TEC-MA-10000418</v>
      </c>
      <c r="E7172" t="str">
        <f>IF(COUNTIF(data1!$D:$D,D7172)=0,"Missing in Data1","Present")</f>
        <v>Present</v>
      </c>
    </row>
    <row r="7173" spans="1:5" x14ac:dyDescent="0.25">
      <c r="A7173" s="2" t="s">
        <v>6838</v>
      </c>
      <c r="B7173" s="2" t="s">
        <v>1696</v>
      </c>
      <c r="C7173" s="2">
        <v>4</v>
      </c>
      <c r="D7173" t="str">
        <f t="shared" si="112"/>
        <v>CA-2017-149888_FUR-TA-10000849</v>
      </c>
      <c r="E7173" t="str">
        <f>IF(COUNTIF(data1!$D:$D,D7173)=0,"Missing in Data1","Present")</f>
        <v>Missing in Data1</v>
      </c>
    </row>
    <row r="7174" spans="1:5" x14ac:dyDescent="0.25">
      <c r="A7174" s="2" t="s">
        <v>6838</v>
      </c>
      <c r="B7174" s="2" t="s">
        <v>713</v>
      </c>
      <c r="C7174" s="2">
        <v>5</v>
      </c>
      <c r="D7174" t="str">
        <f t="shared" si="112"/>
        <v>CA-2017-149888_TEC-PH-10003811</v>
      </c>
      <c r="E7174" t="str">
        <f>IF(COUNTIF(data1!$D:$D,D7174)=0,"Missing in Data1","Present")</f>
        <v>Missing in Data1</v>
      </c>
    </row>
    <row r="7175" spans="1:5" x14ac:dyDescent="0.25">
      <c r="A7175" s="2" t="s">
        <v>5513</v>
      </c>
      <c r="B7175" s="2" t="s">
        <v>2715</v>
      </c>
      <c r="C7175" s="2">
        <v>2</v>
      </c>
      <c r="D7175" t="str">
        <f t="shared" si="112"/>
        <v>CA-2017-149895_TEC-PH-10002200</v>
      </c>
      <c r="E7175" t="str">
        <f>IF(COUNTIF(data1!$D:$D,D7175)=0,"Missing in Data1","Present")</f>
        <v>Present</v>
      </c>
    </row>
    <row r="7176" spans="1:5" x14ac:dyDescent="0.25">
      <c r="A7176" s="2" t="s">
        <v>5514</v>
      </c>
      <c r="B7176" s="2" t="s">
        <v>326</v>
      </c>
      <c r="C7176" s="2">
        <v>2</v>
      </c>
      <c r="D7176" t="str">
        <f t="shared" si="112"/>
        <v>CA-2017-149944_OFF-AP-10004708</v>
      </c>
      <c r="E7176" t="str">
        <f>IF(COUNTIF(data1!$D:$D,D7176)=0,"Missing in Data1","Present")</f>
        <v>Present</v>
      </c>
    </row>
    <row r="7177" spans="1:5" x14ac:dyDescent="0.25">
      <c r="A7177" s="2" t="s">
        <v>5514</v>
      </c>
      <c r="B7177" s="2" t="s">
        <v>1499</v>
      </c>
      <c r="C7177" s="2">
        <v>3</v>
      </c>
      <c r="D7177" t="str">
        <f t="shared" si="112"/>
        <v>CA-2017-149944_OFF-FA-10003495</v>
      </c>
      <c r="E7177" t="str">
        <f>IF(COUNTIF(data1!$D:$D,D7177)=0,"Missing in Data1","Present")</f>
        <v>Present</v>
      </c>
    </row>
    <row r="7178" spans="1:5" x14ac:dyDescent="0.25">
      <c r="A7178" s="2" t="s">
        <v>5515</v>
      </c>
      <c r="B7178" s="2" t="s">
        <v>4723</v>
      </c>
      <c r="C7178" s="2">
        <v>5</v>
      </c>
      <c r="D7178" t="str">
        <f t="shared" si="112"/>
        <v>CA-2017-150091_FUR-BO-10003404</v>
      </c>
      <c r="E7178" t="str">
        <f>IF(COUNTIF(data1!$D:$D,D7178)=0,"Missing in Data1","Present")</f>
        <v>Present</v>
      </c>
    </row>
    <row r="7179" spans="1:5" x14ac:dyDescent="0.25">
      <c r="A7179" s="2" t="s">
        <v>5515</v>
      </c>
      <c r="B7179" s="2" t="s">
        <v>3539</v>
      </c>
      <c r="C7179" s="2">
        <v>2</v>
      </c>
      <c r="D7179" t="str">
        <f t="shared" si="112"/>
        <v>CA-2017-150091_FUR-FU-10004053</v>
      </c>
      <c r="E7179" t="str">
        <f>IF(COUNTIF(data1!$D:$D,D7179)=0,"Missing in Data1","Present")</f>
        <v>Present</v>
      </c>
    </row>
    <row r="7180" spans="1:5" x14ac:dyDescent="0.25">
      <c r="A7180" s="2" t="s">
        <v>5515</v>
      </c>
      <c r="B7180" s="2" t="s">
        <v>993</v>
      </c>
      <c r="C7180" s="2">
        <v>5</v>
      </c>
      <c r="D7180" t="str">
        <f t="shared" si="112"/>
        <v>CA-2017-150091_OFF-FA-10000621</v>
      </c>
      <c r="E7180" t="str">
        <f>IF(COUNTIF(data1!$D:$D,D7180)=0,"Missing in Data1","Present")</f>
        <v>Present</v>
      </c>
    </row>
    <row r="7181" spans="1:5" x14ac:dyDescent="0.25">
      <c r="A7181" s="2" t="s">
        <v>5515</v>
      </c>
      <c r="B7181" s="2" t="s">
        <v>1315</v>
      </c>
      <c r="C7181" s="2">
        <v>3</v>
      </c>
      <c r="D7181" t="str">
        <f t="shared" si="112"/>
        <v>CA-2017-150091_TEC-AC-10002167</v>
      </c>
      <c r="E7181" t="str">
        <f>IF(COUNTIF(data1!$D:$D,D7181)=0,"Missing in Data1","Present")</f>
        <v>Present</v>
      </c>
    </row>
    <row r="7182" spans="1:5" x14ac:dyDescent="0.25">
      <c r="A7182" s="2" t="s">
        <v>5516</v>
      </c>
      <c r="B7182" s="2" t="s">
        <v>557</v>
      </c>
      <c r="C7182" s="2">
        <v>6</v>
      </c>
      <c r="D7182" t="str">
        <f t="shared" si="112"/>
        <v>CA-2017-150189_OFF-LA-10002762</v>
      </c>
      <c r="E7182" t="str">
        <f>IF(COUNTIF(data1!$D:$D,D7182)=0,"Missing in Data1","Present")</f>
        <v>Present</v>
      </c>
    </row>
    <row r="7183" spans="1:5" x14ac:dyDescent="0.25">
      <c r="A7183" s="2" t="s">
        <v>5517</v>
      </c>
      <c r="B7183" s="2" t="s">
        <v>1641</v>
      </c>
      <c r="C7183" s="2">
        <v>5</v>
      </c>
      <c r="D7183" t="str">
        <f t="shared" si="112"/>
        <v>CA-2017-150266_FUR-CH-10002126</v>
      </c>
      <c r="E7183" t="str">
        <f>IF(COUNTIF(data1!$D:$D,D7183)=0,"Missing in Data1","Present")</f>
        <v>Present</v>
      </c>
    </row>
    <row r="7184" spans="1:5" x14ac:dyDescent="0.25">
      <c r="A7184" s="2" t="s">
        <v>5517</v>
      </c>
      <c r="B7184" s="2" t="s">
        <v>4381</v>
      </c>
      <c r="C7184" s="2">
        <v>5</v>
      </c>
      <c r="D7184" t="str">
        <f t="shared" si="112"/>
        <v>CA-2017-150266_OFF-AP-10002867</v>
      </c>
      <c r="E7184" t="str">
        <f>IF(COUNTIF(data1!$D:$D,D7184)=0,"Missing in Data1","Present")</f>
        <v>Present</v>
      </c>
    </row>
    <row r="7185" spans="1:5" x14ac:dyDescent="0.25">
      <c r="A7185" s="2" t="s">
        <v>5517</v>
      </c>
      <c r="B7185" s="2" t="s">
        <v>3062</v>
      </c>
      <c r="C7185" s="2">
        <v>4</v>
      </c>
      <c r="D7185" t="str">
        <f t="shared" si="112"/>
        <v>CA-2017-150266_OFF-AR-10001761</v>
      </c>
      <c r="E7185" t="str">
        <f>IF(COUNTIF(data1!$D:$D,D7185)=0,"Missing in Data1","Present")</f>
        <v>Present</v>
      </c>
    </row>
    <row r="7186" spans="1:5" x14ac:dyDescent="0.25">
      <c r="A7186" s="2" t="s">
        <v>5517</v>
      </c>
      <c r="B7186" s="2" t="s">
        <v>3212</v>
      </c>
      <c r="C7186" s="2">
        <v>5</v>
      </c>
      <c r="D7186" t="str">
        <f t="shared" si="112"/>
        <v>CA-2017-150266_TEC-PH-10003437</v>
      </c>
      <c r="E7186" t="str">
        <f>IF(COUNTIF(data1!$D:$D,D7186)=0,"Missing in Data1","Present")</f>
        <v>Present</v>
      </c>
    </row>
    <row r="7187" spans="1:5" x14ac:dyDescent="0.25">
      <c r="A7187" s="2" t="s">
        <v>5518</v>
      </c>
      <c r="B7187" s="2" t="s">
        <v>2677</v>
      </c>
      <c r="C7187" s="2">
        <v>10</v>
      </c>
      <c r="D7187" t="str">
        <f t="shared" si="112"/>
        <v>CA-2017-150420_TEC-AC-10004975</v>
      </c>
      <c r="E7187" t="str">
        <f>IF(COUNTIF(data1!$D:$D,D7187)=0,"Missing in Data1","Present")</f>
        <v>Present</v>
      </c>
    </row>
    <row r="7188" spans="1:5" x14ac:dyDescent="0.25">
      <c r="A7188" s="2" t="s">
        <v>5519</v>
      </c>
      <c r="B7188" s="2" t="s">
        <v>11</v>
      </c>
      <c r="C7188" s="2">
        <v>8</v>
      </c>
      <c r="D7188" t="str">
        <f t="shared" si="112"/>
        <v>CA-2017-150469_OFF-FA-10000611</v>
      </c>
      <c r="E7188" t="str">
        <f>IF(COUNTIF(data1!$D:$D,D7188)=0,"Missing in Data1","Present")</f>
        <v>Present</v>
      </c>
    </row>
    <row r="7189" spans="1:5" x14ac:dyDescent="0.25">
      <c r="A7189" s="2" t="s">
        <v>5520</v>
      </c>
      <c r="B7189" s="2" t="s">
        <v>113</v>
      </c>
      <c r="C7189" s="2">
        <v>2</v>
      </c>
      <c r="D7189" t="str">
        <f t="shared" si="112"/>
        <v>CA-2017-150497_OFF-BI-10004600</v>
      </c>
      <c r="E7189" t="str">
        <f>IF(COUNTIF(data1!$D:$D,D7189)=0,"Missing in Data1","Present")</f>
        <v>Present</v>
      </c>
    </row>
    <row r="7190" spans="1:5" x14ac:dyDescent="0.25">
      <c r="A7190" s="2" t="s">
        <v>5521</v>
      </c>
      <c r="B7190" s="2" t="s">
        <v>1443</v>
      </c>
      <c r="C7190" s="2">
        <v>2</v>
      </c>
      <c r="D7190" t="str">
        <f t="shared" si="112"/>
        <v>CA-2017-150504_OFF-ST-10000615</v>
      </c>
      <c r="E7190" t="str">
        <f>IF(COUNTIF(data1!$D:$D,D7190)=0,"Missing in Data1","Present")</f>
        <v>Present</v>
      </c>
    </row>
    <row r="7191" spans="1:5" x14ac:dyDescent="0.25">
      <c r="A7191" s="2" t="s">
        <v>5522</v>
      </c>
      <c r="B7191" s="2" t="s">
        <v>3750</v>
      </c>
      <c r="C7191" s="2">
        <v>3</v>
      </c>
      <c r="D7191" t="str">
        <f t="shared" si="112"/>
        <v>CA-2017-150525_OFF-AP-10000595</v>
      </c>
      <c r="E7191" t="str">
        <f>IF(COUNTIF(data1!$D:$D,D7191)=0,"Missing in Data1","Present")</f>
        <v>Present</v>
      </c>
    </row>
    <row r="7192" spans="1:5" x14ac:dyDescent="0.25">
      <c r="A7192" s="2" t="s">
        <v>5522</v>
      </c>
      <c r="B7192" s="2" t="s">
        <v>396</v>
      </c>
      <c r="C7192" s="2">
        <v>2</v>
      </c>
      <c r="D7192" t="str">
        <f t="shared" si="112"/>
        <v>CA-2017-150525_OFF-AR-10002375</v>
      </c>
      <c r="E7192" t="str">
        <f>IF(COUNTIF(data1!$D:$D,D7192)=0,"Missing in Data1","Present")</f>
        <v>Missing in Data1</v>
      </c>
    </row>
    <row r="7193" spans="1:5" x14ac:dyDescent="0.25">
      <c r="A7193" s="2" t="s">
        <v>5523</v>
      </c>
      <c r="B7193" s="2" t="s">
        <v>2724</v>
      </c>
      <c r="C7193" s="2">
        <v>4</v>
      </c>
      <c r="D7193" t="str">
        <f t="shared" si="112"/>
        <v>CA-2017-150602_FUR-FU-10003142</v>
      </c>
      <c r="E7193" t="str">
        <f>IF(COUNTIF(data1!$D:$D,D7193)=0,"Missing in Data1","Present")</f>
        <v>Present</v>
      </c>
    </row>
    <row r="7194" spans="1:5" x14ac:dyDescent="0.25">
      <c r="A7194" s="2" t="s">
        <v>5524</v>
      </c>
      <c r="B7194" s="2" t="s">
        <v>2262</v>
      </c>
      <c r="C7194" s="2">
        <v>5</v>
      </c>
      <c r="D7194" t="str">
        <f t="shared" si="112"/>
        <v>CA-2017-150609_OFF-BI-10002071</v>
      </c>
      <c r="E7194" t="str">
        <f>IF(COUNTIF(data1!$D:$D,D7194)=0,"Missing in Data1","Present")</f>
        <v>Present</v>
      </c>
    </row>
    <row r="7195" spans="1:5" x14ac:dyDescent="0.25">
      <c r="A7195" s="2" t="s">
        <v>5525</v>
      </c>
      <c r="B7195" s="2" t="s">
        <v>1800</v>
      </c>
      <c r="C7195" s="2">
        <v>5</v>
      </c>
      <c r="D7195" t="str">
        <f t="shared" si="112"/>
        <v>CA-2017-150623_OFF-ST-10003692</v>
      </c>
      <c r="E7195" t="str">
        <f>IF(COUNTIF(data1!$D:$D,D7195)=0,"Missing in Data1","Present")</f>
        <v>Present</v>
      </c>
    </row>
    <row r="7196" spans="1:5" x14ac:dyDescent="0.25">
      <c r="A7196" s="2" t="s">
        <v>5525</v>
      </c>
      <c r="B7196" s="2" t="s">
        <v>1133</v>
      </c>
      <c r="C7196" s="2">
        <v>1</v>
      </c>
      <c r="D7196" t="str">
        <f t="shared" si="112"/>
        <v>CA-2017-150623_TEC-AC-10004571</v>
      </c>
      <c r="E7196" t="str">
        <f>IF(COUNTIF(data1!$D:$D,D7196)=0,"Missing in Data1","Present")</f>
        <v>Present</v>
      </c>
    </row>
    <row r="7197" spans="1:5" x14ac:dyDescent="0.25">
      <c r="A7197" s="2" t="s">
        <v>5526</v>
      </c>
      <c r="B7197" s="2" t="s">
        <v>774</v>
      </c>
      <c r="C7197" s="2">
        <v>7</v>
      </c>
      <c r="D7197" t="str">
        <f t="shared" si="112"/>
        <v>CA-2017-150707_OFF-BI-10001078</v>
      </c>
      <c r="E7197" t="str">
        <f>IF(COUNTIF(data1!$D:$D,D7197)=0,"Missing in Data1","Present")</f>
        <v>Present</v>
      </c>
    </row>
    <row r="7198" spans="1:5" x14ac:dyDescent="0.25">
      <c r="A7198" s="2" t="s">
        <v>5527</v>
      </c>
      <c r="B7198" s="2" t="s">
        <v>1456</v>
      </c>
      <c r="C7198" s="2">
        <v>6</v>
      </c>
      <c r="D7198" t="str">
        <f t="shared" si="112"/>
        <v>CA-2017-150910_FUR-TA-10002903</v>
      </c>
      <c r="E7198" t="str">
        <f>IF(COUNTIF(data1!$D:$D,D7198)=0,"Missing in Data1","Present")</f>
        <v>Present</v>
      </c>
    </row>
    <row r="7199" spans="1:5" x14ac:dyDescent="0.25">
      <c r="A7199" s="2" t="s">
        <v>5527</v>
      </c>
      <c r="B7199" s="2" t="s">
        <v>2038</v>
      </c>
      <c r="C7199" s="2">
        <v>5</v>
      </c>
      <c r="D7199" t="str">
        <f t="shared" si="112"/>
        <v>CA-2017-150910_OFF-AP-10003266</v>
      </c>
      <c r="E7199" t="str">
        <f>IF(COUNTIF(data1!$D:$D,D7199)=0,"Missing in Data1","Present")</f>
        <v>Present</v>
      </c>
    </row>
    <row r="7200" spans="1:5" x14ac:dyDescent="0.25">
      <c r="A7200" s="2" t="s">
        <v>5527</v>
      </c>
      <c r="B7200" s="2" t="s">
        <v>4080</v>
      </c>
      <c r="C7200" s="2">
        <v>7</v>
      </c>
      <c r="D7200" t="str">
        <f t="shared" si="112"/>
        <v>CA-2017-150910_OFF-AR-10001419</v>
      </c>
      <c r="E7200" t="str">
        <f>IF(COUNTIF(data1!$D:$D,D7200)=0,"Missing in Data1","Present")</f>
        <v>Present</v>
      </c>
    </row>
    <row r="7201" spans="1:5" x14ac:dyDescent="0.25">
      <c r="A7201" s="2" t="s">
        <v>5527</v>
      </c>
      <c r="B7201" s="2" t="s">
        <v>173</v>
      </c>
      <c r="C7201" s="2">
        <v>3</v>
      </c>
      <c r="D7201" t="str">
        <f t="shared" si="112"/>
        <v>CA-2017-150910_OFF-ST-10000918</v>
      </c>
      <c r="E7201" t="str">
        <f>IF(COUNTIF(data1!$D:$D,D7201)=0,"Missing in Data1","Present")</f>
        <v>Present</v>
      </c>
    </row>
    <row r="7202" spans="1:5" x14ac:dyDescent="0.25">
      <c r="A7202" s="2" t="s">
        <v>5527</v>
      </c>
      <c r="B7202" s="2" t="s">
        <v>1171</v>
      </c>
      <c r="C7202" s="2">
        <v>2</v>
      </c>
      <c r="D7202" t="str">
        <f t="shared" si="112"/>
        <v>CA-2017-150910_TEC-AC-10001013</v>
      </c>
      <c r="E7202" t="str">
        <f>IF(COUNTIF(data1!$D:$D,D7202)=0,"Missing in Data1","Present")</f>
        <v>Present</v>
      </c>
    </row>
    <row r="7203" spans="1:5" x14ac:dyDescent="0.25">
      <c r="A7203" s="2" t="s">
        <v>5528</v>
      </c>
      <c r="B7203" s="2" t="s">
        <v>1680</v>
      </c>
      <c r="C7203" s="2">
        <v>7</v>
      </c>
      <c r="D7203" t="str">
        <f t="shared" si="112"/>
        <v>CA-2017-150931_OFF-BI-10004728</v>
      </c>
      <c r="E7203" t="str">
        <f>IF(COUNTIF(data1!$D:$D,D7203)=0,"Missing in Data1","Present")</f>
        <v>Present</v>
      </c>
    </row>
    <row r="7204" spans="1:5" x14ac:dyDescent="0.25">
      <c r="A7204" s="2" t="s">
        <v>5529</v>
      </c>
      <c r="B7204" s="2" t="s">
        <v>1954</v>
      </c>
      <c r="C7204" s="2">
        <v>4</v>
      </c>
      <c r="D7204" t="str">
        <f t="shared" si="112"/>
        <v>CA-2017-150959_OFF-BI-10001510</v>
      </c>
      <c r="E7204" t="str">
        <f>IF(COUNTIF(data1!$D:$D,D7204)=0,"Missing in Data1","Present")</f>
        <v>Present</v>
      </c>
    </row>
    <row r="7205" spans="1:5" x14ac:dyDescent="0.25">
      <c r="A7205" s="2" t="s">
        <v>5529</v>
      </c>
      <c r="B7205" s="2" t="s">
        <v>1623</v>
      </c>
      <c r="C7205" s="2">
        <v>5</v>
      </c>
      <c r="D7205" t="str">
        <f t="shared" si="112"/>
        <v>CA-2017-150959_OFF-LA-10001045</v>
      </c>
      <c r="E7205" t="str">
        <f>IF(COUNTIF(data1!$D:$D,D7205)=0,"Missing in Data1","Present")</f>
        <v>Present</v>
      </c>
    </row>
    <row r="7206" spans="1:5" x14ac:dyDescent="0.25">
      <c r="A7206" s="2" t="s">
        <v>5530</v>
      </c>
      <c r="B7206" s="2" t="s">
        <v>425</v>
      </c>
      <c r="C7206" s="2">
        <v>5</v>
      </c>
      <c r="D7206" t="str">
        <f t="shared" si="112"/>
        <v>CA-2017-150987_OFF-PA-10001878</v>
      </c>
      <c r="E7206" t="str">
        <f>IF(COUNTIF(data1!$D:$D,D7206)=0,"Missing in Data1","Present")</f>
        <v>Present</v>
      </c>
    </row>
    <row r="7207" spans="1:5" x14ac:dyDescent="0.25">
      <c r="A7207" s="2" t="s">
        <v>5530</v>
      </c>
      <c r="B7207" s="2" t="s">
        <v>1262</v>
      </c>
      <c r="C7207" s="2">
        <v>4</v>
      </c>
      <c r="D7207" t="str">
        <f t="shared" si="112"/>
        <v>CA-2017-150987_OFF-PA-10002923</v>
      </c>
      <c r="E7207" t="str">
        <f>IF(COUNTIF(data1!$D:$D,D7207)=0,"Missing in Data1","Present")</f>
        <v>Present</v>
      </c>
    </row>
    <row r="7208" spans="1:5" x14ac:dyDescent="0.25">
      <c r="A7208" s="2" t="s">
        <v>5531</v>
      </c>
      <c r="B7208" s="2" t="s">
        <v>2458</v>
      </c>
      <c r="C7208" s="2">
        <v>2</v>
      </c>
      <c r="D7208" t="str">
        <f t="shared" si="112"/>
        <v>CA-2017-151008_FUR-FU-10002396</v>
      </c>
      <c r="E7208" t="str">
        <f>IF(COUNTIF(data1!$D:$D,D7208)=0,"Missing in Data1","Present")</f>
        <v>Present</v>
      </c>
    </row>
    <row r="7209" spans="1:5" x14ac:dyDescent="0.25">
      <c r="A7209" s="2" t="s">
        <v>5531</v>
      </c>
      <c r="B7209" s="2" t="s">
        <v>2306</v>
      </c>
      <c r="C7209" s="2">
        <v>4</v>
      </c>
      <c r="D7209" t="str">
        <f t="shared" si="112"/>
        <v>CA-2017-151008_TEC-PH-10002807</v>
      </c>
      <c r="E7209" t="str">
        <f>IF(COUNTIF(data1!$D:$D,D7209)=0,"Missing in Data1","Present")</f>
        <v>Present</v>
      </c>
    </row>
    <row r="7210" spans="1:5" x14ac:dyDescent="0.25">
      <c r="A7210" s="2" t="s">
        <v>5532</v>
      </c>
      <c r="B7210" s="2" t="s">
        <v>275</v>
      </c>
      <c r="C7210" s="2">
        <v>2</v>
      </c>
      <c r="D7210" t="str">
        <f t="shared" si="112"/>
        <v>CA-2017-151071_OFF-BI-10002103</v>
      </c>
      <c r="E7210" t="str">
        <f>IF(COUNTIF(data1!$D:$D,D7210)=0,"Missing in Data1","Present")</f>
        <v>Present</v>
      </c>
    </row>
    <row r="7211" spans="1:5" x14ac:dyDescent="0.25">
      <c r="A7211" s="2" t="s">
        <v>5533</v>
      </c>
      <c r="B7211" s="2" t="s">
        <v>2841</v>
      </c>
      <c r="C7211" s="2">
        <v>3</v>
      </c>
      <c r="D7211" t="str">
        <f t="shared" si="112"/>
        <v>CA-2017-151176_OFF-AR-10000614</v>
      </c>
      <c r="E7211" t="str">
        <f>IF(COUNTIF(data1!$D:$D,D7211)=0,"Missing in Data1","Present")</f>
        <v>Present</v>
      </c>
    </row>
    <row r="7212" spans="1:5" x14ac:dyDescent="0.25">
      <c r="A7212" s="2" t="s">
        <v>5533</v>
      </c>
      <c r="B7212" s="2" t="s">
        <v>2141</v>
      </c>
      <c r="C7212" s="2">
        <v>3</v>
      </c>
      <c r="D7212" t="str">
        <f t="shared" si="112"/>
        <v>CA-2017-151176_OFF-SU-10001165</v>
      </c>
      <c r="E7212" t="str">
        <f>IF(COUNTIF(data1!$D:$D,D7212)=0,"Missing in Data1","Present")</f>
        <v>Present</v>
      </c>
    </row>
    <row r="7213" spans="1:5" x14ac:dyDescent="0.25">
      <c r="A7213" s="2" t="s">
        <v>5534</v>
      </c>
      <c r="B7213" s="2" t="s">
        <v>1571</v>
      </c>
      <c r="C7213" s="2">
        <v>4</v>
      </c>
      <c r="D7213" t="str">
        <f t="shared" si="112"/>
        <v>CA-2017-151183_TEC-AC-10003614</v>
      </c>
      <c r="E7213" t="str">
        <f>IF(COUNTIF(data1!$D:$D,D7213)=0,"Missing in Data1","Present")</f>
        <v>Present</v>
      </c>
    </row>
    <row r="7214" spans="1:5" x14ac:dyDescent="0.25">
      <c r="A7214" s="2" t="s">
        <v>5535</v>
      </c>
      <c r="B7214" s="2" t="s">
        <v>1707</v>
      </c>
      <c r="C7214" s="2">
        <v>3</v>
      </c>
      <c r="D7214" t="str">
        <f t="shared" si="112"/>
        <v>CA-2017-151190_OFF-PA-10000575</v>
      </c>
      <c r="E7214" t="str">
        <f>IF(COUNTIF(data1!$D:$D,D7214)=0,"Missing in Data1","Present")</f>
        <v>Present</v>
      </c>
    </row>
    <row r="7215" spans="1:5" x14ac:dyDescent="0.25">
      <c r="A7215" s="2" t="s">
        <v>5536</v>
      </c>
      <c r="B7215" s="2" t="s">
        <v>165</v>
      </c>
      <c r="C7215" s="2">
        <v>3</v>
      </c>
      <c r="D7215" t="str">
        <f t="shared" si="112"/>
        <v>CA-2017-151211_OFF-BI-10002735</v>
      </c>
      <c r="E7215" t="str">
        <f>IF(COUNTIF(data1!$D:$D,D7215)=0,"Missing in Data1","Present")</f>
        <v>Present</v>
      </c>
    </row>
    <row r="7216" spans="1:5" x14ac:dyDescent="0.25">
      <c r="A7216" s="2" t="s">
        <v>5536</v>
      </c>
      <c r="B7216" s="2" t="s">
        <v>676</v>
      </c>
      <c r="C7216" s="2">
        <v>6</v>
      </c>
      <c r="D7216" t="str">
        <f t="shared" si="112"/>
        <v>CA-2017-151211_TEC-AC-10004510</v>
      </c>
      <c r="E7216" t="str">
        <f>IF(COUNTIF(data1!$D:$D,D7216)=0,"Missing in Data1","Present")</f>
        <v>Present</v>
      </c>
    </row>
    <row r="7217" spans="1:5" x14ac:dyDescent="0.25">
      <c r="A7217" s="2" t="s">
        <v>5537</v>
      </c>
      <c r="B7217" s="2" t="s">
        <v>4726</v>
      </c>
      <c r="C7217" s="2">
        <v>1</v>
      </c>
      <c r="D7217" t="str">
        <f t="shared" si="112"/>
        <v>CA-2017-151218_OFF-ST-10004835</v>
      </c>
      <c r="E7217" t="str">
        <f>IF(COUNTIF(data1!$D:$D,D7217)=0,"Missing in Data1","Present")</f>
        <v>Present</v>
      </c>
    </row>
    <row r="7218" spans="1:5" x14ac:dyDescent="0.25">
      <c r="A7218" s="2" t="s">
        <v>5538</v>
      </c>
      <c r="B7218" s="2" t="s">
        <v>544</v>
      </c>
      <c r="C7218" s="2">
        <v>1</v>
      </c>
      <c r="D7218" t="str">
        <f t="shared" si="112"/>
        <v>CA-2017-151225_FUR-TA-10001539</v>
      </c>
      <c r="E7218" t="str">
        <f>IF(COUNTIF(data1!$D:$D,D7218)=0,"Missing in Data1","Present")</f>
        <v>Present</v>
      </c>
    </row>
    <row r="7219" spans="1:5" x14ac:dyDescent="0.25">
      <c r="A7219" s="2" t="s">
        <v>5538</v>
      </c>
      <c r="B7219" s="2" t="s">
        <v>347</v>
      </c>
      <c r="C7219" s="2">
        <v>5</v>
      </c>
      <c r="D7219" t="str">
        <f t="shared" si="112"/>
        <v>CA-2017-151225_TEC-PH-10004100</v>
      </c>
      <c r="E7219" t="str">
        <f>IF(COUNTIF(data1!$D:$D,D7219)=0,"Missing in Data1","Present")</f>
        <v>Missing in Data1</v>
      </c>
    </row>
    <row r="7220" spans="1:5" x14ac:dyDescent="0.25">
      <c r="A7220" s="2" t="s">
        <v>5539</v>
      </c>
      <c r="B7220" s="2" t="s">
        <v>1299</v>
      </c>
      <c r="C7220" s="2">
        <v>7</v>
      </c>
      <c r="D7220" t="str">
        <f t="shared" si="112"/>
        <v>CA-2017-151281_FUR-FU-10000397</v>
      </c>
      <c r="E7220" t="str">
        <f>IF(COUNTIF(data1!$D:$D,D7220)=0,"Missing in Data1","Present")</f>
        <v>Present</v>
      </c>
    </row>
    <row r="7221" spans="1:5" x14ac:dyDescent="0.25">
      <c r="A7221" s="2" t="s">
        <v>5540</v>
      </c>
      <c r="B7221" s="2" t="s">
        <v>435</v>
      </c>
      <c r="C7221" s="2">
        <v>2</v>
      </c>
      <c r="D7221" t="str">
        <f t="shared" si="112"/>
        <v>CA-2017-151358_OFF-ST-10000046</v>
      </c>
      <c r="E7221" t="str">
        <f>IF(COUNTIF(data1!$D:$D,D7221)=0,"Missing in Data1","Present")</f>
        <v>Present</v>
      </c>
    </row>
    <row r="7222" spans="1:5" x14ac:dyDescent="0.25">
      <c r="A7222" s="2" t="s">
        <v>5541</v>
      </c>
      <c r="B7222" s="2" t="s">
        <v>1636</v>
      </c>
      <c r="C7222" s="2">
        <v>7</v>
      </c>
      <c r="D7222" t="str">
        <f t="shared" si="112"/>
        <v>CA-2017-151428_OFF-BI-10000546</v>
      </c>
      <c r="E7222" t="str">
        <f>IF(COUNTIF(data1!$D:$D,D7222)=0,"Missing in Data1","Present")</f>
        <v>Present</v>
      </c>
    </row>
    <row r="7223" spans="1:5" x14ac:dyDescent="0.25">
      <c r="A7223" s="2" t="s">
        <v>5542</v>
      </c>
      <c r="B7223" s="2" t="s">
        <v>1163</v>
      </c>
      <c r="C7223" s="2">
        <v>2</v>
      </c>
      <c r="D7223" t="str">
        <f t="shared" si="112"/>
        <v>CA-2017-151484_FUR-FU-10001876</v>
      </c>
      <c r="E7223" t="str">
        <f>IF(COUNTIF(data1!$D:$D,D7223)=0,"Missing in Data1","Present")</f>
        <v>Present</v>
      </c>
    </row>
    <row r="7224" spans="1:5" x14ac:dyDescent="0.25">
      <c r="A7224" s="2" t="s">
        <v>5542</v>
      </c>
      <c r="B7224" s="2" t="s">
        <v>164</v>
      </c>
      <c r="C7224" s="2">
        <v>3</v>
      </c>
      <c r="D7224" t="str">
        <f t="shared" si="112"/>
        <v>CA-2017-151484_FUR-FU-10004671</v>
      </c>
      <c r="E7224" t="str">
        <f>IF(COUNTIF(data1!$D:$D,D7224)=0,"Missing in Data1","Present")</f>
        <v>Present</v>
      </c>
    </row>
    <row r="7225" spans="1:5" x14ac:dyDescent="0.25">
      <c r="A7225" s="2" t="s">
        <v>5542</v>
      </c>
      <c r="B7225" s="2" t="s">
        <v>2110</v>
      </c>
      <c r="C7225" s="2">
        <v>1</v>
      </c>
      <c r="D7225" t="str">
        <f t="shared" si="112"/>
        <v>CA-2017-151484_OFF-ST-10000142</v>
      </c>
      <c r="E7225" t="str">
        <f>IF(COUNTIF(data1!$D:$D,D7225)=0,"Missing in Data1","Present")</f>
        <v>Present</v>
      </c>
    </row>
    <row r="7226" spans="1:5" x14ac:dyDescent="0.25">
      <c r="A7226" s="2" t="s">
        <v>5542</v>
      </c>
      <c r="B7226" s="2" t="s">
        <v>1178</v>
      </c>
      <c r="C7226" s="2">
        <v>3</v>
      </c>
      <c r="D7226" t="str">
        <f t="shared" si="112"/>
        <v>CA-2017-151484_OFF-ST-10002370</v>
      </c>
      <c r="E7226" t="str">
        <f>IF(COUNTIF(data1!$D:$D,D7226)=0,"Missing in Data1","Present")</f>
        <v>Present</v>
      </c>
    </row>
    <row r="7227" spans="1:5" x14ac:dyDescent="0.25">
      <c r="A7227" s="2" t="s">
        <v>5543</v>
      </c>
      <c r="B7227" s="2" t="s">
        <v>1297</v>
      </c>
      <c r="C7227" s="2">
        <v>1</v>
      </c>
      <c r="D7227" t="str">
        <f t="shared" si="112"/>
        <v>CA-2017-151596_OFF-ST-10001837</v>
      </c>
      <c r="E7227" t="str">
        <f>IF(COUNTIF(data1!$D:$D,D7227)=0,"Missing in Data1","Present")</f>
        <v>Present</v>
      </c>
    </row>
    <row r="7228" spans="1:5" x14ac:dyDescent="0.25">
      <c r="A7228" s="2" t="s">
        <v>5544</v>
      </c>
      <c r="B7228" s="2" t="s">
        <v>2190</v>
      </c>
      <c r="C7228" s="2">
        <v>4</v>
      </c>
      <c r="D7228" t="str">
        <f t="shared" si="112"/>
        <v>CA-2017-151750_FUR-CH-10003199</v>
      </c>
      <c r="E7228" t="str">
        <f>IF(COUNTIF(data1!$D:$D,D7228)=0,"Missing in Data1","Present")</f>
        <v>Present</v>
      </c>
    </row>
    <row r="7229" spans="1:5" x14ac:dyDescent="0.25">
      <c r="A7229" s="2" t="s">
        <v>5544</v>
      </c>
      <c r="B7229" s="2" t="s">
        <v>315</v>
      </c>
      <c r="C7229" s="2">
        <v>5</v>
      </c>
      <c r="D7229" t="str">
        <f t="shared" si="112"/>
        <v>CA-2017-151750_FUR-FU-10002116</v>
      </c>
      <c r="E7229" t="str">
        <f>IF(COUNTIF(data1!$D:$D,D7229)=0,"Missing in Data1","Present")</f>
        <v>Present</v>
      </c>
    </row>
    <row r="7230" spans="1:5" x14ac:dyDescent="0.25">
      <c r="A7230" s="2" t="s">
        <v>5544</v>
      </c>
      <c r="B7230" s="2" t="s">
        <v>326</v>
      </c>
      <c r="C7230" s="2">
        <v>2</v>
      </c>
      <c r="D7230" t="str">
        <f t="shared" si="112"/>
        <v>CA-2017-151750_OFF-AP-10004708</v>
      </c>
      <c r="E7230" t="str">
        <f>IF(COUNTIF(data1!$D:$D,D7230)=0,"Missing in Data1","Present")</f>
        <v>Present</v>
      </c>
    </row>
    <row r="7231" spans="1:5" x14ac:dyDescent="0.25">
      <c r="A7231" s="2" t="s">
        <v>5544</v>
      </c>
      <c r="B7231" s="2" t="s">
        <v>1642</v>
      </c>
      <c r="C7231" s="2">
        <v>4</v>
      </c>
      <c r="D7231" t="str">
        <f t="shared" si="112"/>
        <v>CA-2017-151750_OFF-AR-10003158</v>
      </c>
      <c r="E7231" t="str">
        <f>IF(COUNTIF(data1!$D:$D,D7231)=0,"Missing in Data1","Present")</f>
        <v>Present</v>
      </c>
    </row>
    <row r="7232" spans="1:5" x14ac:dyDescent="0.25">
      <c r="A7232" s="2" t="s">
        <v>5544</v>
      </c>
      <c r="B7232" s="2" t="s">
        <v>9</v>
      </c>
      <c r="C7232" s="2">
        <v>14</v>
      </c>
      <c r="D7232" t="str">
        <f t="shared" si="112"/>
        <v>CA-2017-151750_OFF-BI-10000343</v>
      </c>
      <c r="E7232" t="str">
        <f>IF(COUNTIF(data1!$D:$D,D7232)=0,"Missing in Data1","Present")</f>
        <v>Present</v>
      </c>
    </row>
    <row r="7233" spans="1:5" x14ac:dyDescent="0.25">
      <c r="A7233" s="2" t="s">
        <v>5544</v>
      </c>
      <c r="B7233" s="2" t="s">
        <v>444</v>
      </c>
      <c r="C7233" s="2">
        <v>5</v>
      </c>
      <c r="D7233" t="str">
        <f t="shared" si="112"/>
        <v>CA-2017-151750_OFF-ST-10002743</v>
      </c>
      <c r="E7233" t="str">
        <f>IF(COUNTIF(data1!$D:$D,D7233)=0,"Missing in Data1","Present")</f>
        <v>Present</v>
      </c>
    </row>
    <row r="7234" spans="1:5" x14ac:dyDescent="0.25">
      <c r="A7234" s="2" t="s">
        <v>5545</v>
      </c>
      <c r="B7234" s="2" t="s">
        <v>1806</v>
      </c>
      <c r="C7234" s="2">
        <v>2</v>
      </c>
      <c r="D7234" t="str">
        <f t="shared" si="112"/>
        <v>CA-2017-151799_FUR-TA-10003473</v>
      </c>
      <c r="E7234" t="str">
        <f>IF(COUNTIF(data1!$D:$D,D7234)=0,"Missing in Data1","Present")</f>
        <v>Present</v>
      </c>
    </row>
    <row r="7235" spans="1:5" x14ac:dyDescent="0.25">
      <c r="A7235" s="2" t="s">
        <v>5545</v>
      </c>
      <c r="B7235" s="2" t="s">
        <v>2814</v>
      </c>
      <c r="C7235" s="2">
        <v>6</v>
      </c>
      <c r="D7235" t="str">
        <f t="shared" ref="D7235:D7298" si="113">A7235&amp;"_"&amp;B7235</f>
        <v>CA-2017-151799_OFF-FA-10001332</v>
      </c>
      <c r="E7235" t="str">
        <f>IF(COUNTIF(data1!$D:$D,D7235)=0,"Missing in Data1","Present")</f>
        <v>Present</v>
      </c>
    </row>
    <row r="7236" spans="1:5" x14ac:dyDescent="0.25">
      <c r="A7236" s="2" t="s">
        <v>5545</v>
      </c>
      <c r="B7236" s="2" t="s">
        <v>3758</v>
      </c>
      <c r="C7236" s="2">
        <v>1</v>
      </c>
      <c r="D7236" t="str">
        <f t="shared" si="113"/>
        <v>CA-2017-151799_OFF-ST-10002790</v>
      </c>
      <c r="E7236" t="str">
        <f>IF(COUNTIF(data1!$D:$D,D7236)=0,"Missing in Data1","Present")</f>
        <v>Present</v>
      </c>
    </row>
    <row r="7237" spans="1:5" x14ac:dyDescent="0.25">
      <c r="A7237" s="2" t="s">
        <v>5545</v>
      </c>
      <c r="B7237" s="2" t="s">
        <v>1352</v>
      </c>
      <c r="C7237" s="2">
        <v>3</v>
      </c>
      <c r="D7237" t="str">
        <f t="shared" si="113"/>
        <v>CA-2017-151799_OFF-SU-10001664</v>
      </c>
      <c r="E7237" t="str">
        <f>IF(COUNTIF(data1!$D:$D,D7237)=0,"Missing in Data1","Present")</f>
        <v>Present</v>
      </c>
    </row>
    <row r="7238" spans="1:5" x14ac:dyDescent="0.25">
      <c r="A7238" s="2" t="s">
        <v>5545</v>
      </c>
      <c r="B7238" s="2" t="s">
        <v>3011</v>
      </c>
      <c r="C7238" s="2">
        <v>2</v>
      </c>
      <c r="D7238" t="str">
        <f t="shared" si="113"/>
        <v>CA-2017-151799_TEC-CO-10002313</v>
      </c>
      <c r="E7238" t="str">
        <f>IF(COUNTIF(data1!$D:$D,D7238)=0,"Missing in Data1","Present")</f>
        <v>Present</v>
      </c>
    </row>
    <row r="7239" spans="1:5" x14ac:dyDescent="0.25">
      <c r="A7239" s="2" t="s">
        <v>5546</v>
      </c>
      <c r="B7239" s="2" t="s">
        <v>248</v>
      </c>
      <c r="C7239" s="2">
        <v>5</v>
      </c>
      <c r="D7239" t="str">
        <f t="shared" si="113"/>
        <v>CA-2017-151855_OFF-BI-10004209</v>
      </c>
      <c r="E7239" t="str">
        <f>IF(COUNTIF(data1!$D:$D,D7239)=0,"Missing in Data1","Present")</f>
        <v>Present</v>
      </c>
    </row>
    <row r="7240" spans="1:5" x14ac:dyDescent="0.25">
      <c r="A7240" s="2" t="s">
        <v>5546</v>
      </c>
      <c r="B7240" s="2" t="s">
        <v>5547</v>
      </c>
      <c r="C7240" s="2">
        <v>3</v>
      </c>
      <c r="D7240" t="str">
        <f t="shared" si="113"/>
        <v>CA-2017-151855_TEC-AC-10002380</v>
      </c>
      <c r="E7240" t="str">
        <f>IF(COUNTIF(data1!$D:$D,D7240)=0,"Missing in Data1","Present")</f>
        <v>Present</v>
      </c>
    </row>
    <row r="7241" spans="1:5" x14ac:dyDescent="0.25">
      <c r="A7241" s="2" t="s">
        <v>5548</v>
      </c>
      <c r="B7241" s="2" t="s">
        <v>2208</v>
      </c>
      <c r="C7241" s="2">
        <v>4</v>
      </c>
      <c r="D7241" t="str">
        <f t="shared" si="113"/>
        <v>CA-2017-151911_OFF-EN-10002986</v>
      </c>
      <c r="E7241" t="str">
        <f>IF(COUNTIF(data1!$D:$D,D7241)=0,"Missing in Data1","Present")</f>
        <v>Present</v>
      </c>
    </row>
    <row r="7242" spans="1:5" x14ac:dyDescent="0.25">
      <c r="A7242" s="2" t="s">
        <v>5549</v>
      </c>
      <c r="B7242" s="2" t="s">
        <v>23</v>
      </c>
      <c r="C7242" s="2">
        <v>6</v>
      </c>
      <c r="D7242" t="str">
        <f t="shared" si="113"/>
        <v>CA-2017-151981_OFF-AR-10000380</v>
      </c>
      <c r="E7242" t="str">
        <f>IF(COUNTIF(data1!$D:$D,D7242)=0,"Missing in Data1","Present")</f>
        <v>Present</v>
      </c>
    </row>
    <row r="7243" spans="1:5" x14ac:dyDescent="0.25">
      <c r="A7243" s="2" t="s">
        <v>5549</v>
      </c>
      <c r="B7243" s="2" t="s">
        <v>945</v>
      </c>
      <c r="C7243" s="2">
        <v>8</v>
      </c>
      <c r="D7243" t="str">
        <f t="shared" si="113"/>
        <v>CA-2017-151981_OFF-LA-10002195</v>
      </c>
      <c r="E7243" t="str">
        <f>IF(COUNTIF(data1!$D:$D,D7243)=0,"Missing in Data1","Present")</f>
        <v>Present</v>
      </c>
    </row>
    <row r="7244" spans="1:5" x14ac:dyDescent="0.25">
      <c r="A7244" s="2" t="s">
        <v>5549</v>
      </c>
      <c r="B7244" s="2" t="s">
        <v>3077</v>
      </c>
      <c r="C7244" s="2">
        <v>5</v>
      </c>
      <c r="D7244" t="str">
        <f t="shared" si="113"/>
        <v>CA-2017-151981_TEC-PH-10003601</v>
      </c>
      <c r="E7244" t="str">
        <f>IF(COUNTIF(data1!$D:$D,D7244)=0,"Missing in Data1","Present")</f>
        <v>Present</v>
      </c>
    </row>
    <row r="7245" spans="1:5" x14ac:dyDescent="0.25">
      <c r="A7245" s="2" t="s">
        <v>5550</v>
      </c>
      <c r="B7245" s="2" t="s">
        <v>776</v>
      </c>
      <c r="C7245" s="2">
        <v>5</v>
      </c>
      <c r="D7245" t="str">
        <f t="shared" si="113"/>
        <v>CA-2017-152079_OFF-LA-10001613</v>
      </c>
      <c r="E7245" t="str">
        <f>IF(COUNTIF(data1!$D:$D,D7245)=0,"Missing in Data1","Present")</f>
        <v>Present</v>
      </c>
    </row>
    <row r="7246" spans="1:5" x14ac:dyDescent="0.25">
      <c r="A7246" s="2" t="s">
        <v>5551</v>
      </c>
      <c r="B7246" s="2" t="s">
        <v>907</v>
      </c>
      <c r="C7246" s="2">
        <v>3</v>
      </c>
      <c r="D7246" t="str">
        <f t="shared" si="113"/>
        <v>CA-2017-152093_OFF-BI-10003527</v>
      </c>
      <c r="E7246" t="str">
        <f>IF(COUNTIF(data1!$D:$D,D7246)=0,"Missing in Data1","Present")</f>
        <v>Present</v>
      </c>
    </row>
    <row r="7247" spans="1:5" x14ac:dyDescent="0.25">
      <c r="A7247" s="2" t="s">
        <v>5552</v>
      </c>
      <c r="B7247" s="2" t="s">
        <v>139</v>
      </c>
      <c r="C7247" s="2">
        <v>8</v>
      </c>
      <c r="D7247" t="str">
        <f t="shared" si="113"/>
        <v>CA-2017-152135_TEC-PH-10003505</v>
      </c>
      <c r="E7247" t="str">
        <f>IF(COUNTIF(data1!$D:$D,D7247)=0,"Missing in Data1","Present")</f>
        <v>Present</v>
      </c>
    </row>
    <row r="7248" spans="1:5" x14ac:dyDescent="0.25">
      <c r="A7248" s="2" t="s">
        <v>5553</v>
      </c>
      <c r="B7248" s="2" t="s">
        <v>949</v>
      </c>
      <c r="C7248" s="2">
        <v>2</v>
      </c>
      <c r="D7248" t="str">
        <f t="shared" si="113"/>
        <v>CA-2017-152142_FUR-CH-10002965</v>
      </c>
      <c r="E7248" t="str">
        <f>IF(COUNTIF(data1!$D:$D,D7248)=0,"Missing in Data1","Present")</f>
        <v>Present</v>
      </c>
    </row>
    <row r="7249" spans="1:5" x14ac:dyDescent="0.25">
      <c r="A7249" s="2" t="s">
        <v>5554</v>
      </c>
      <c r="B7249" s="2" t="s">
        <v>626</v>
      </c>
      <c r="C7249" s="2">
        <v>2</v>
      </c>
      <c r="D7249" t="str">
        <f t="shared" si="113"/>
        <v>CA-2017-152198_OFF-BI-10001628</v>
      </c>
      <c r="E7249" t="str">
        <f>IF(COUNTIF(data1!$D:$D,D7249)=0,"Missing in Data1","Present")</f>
        <v>Present</v>
      </c>
    </row>
    <row r="7250" spans="1:5" x14ac:dyDescent="0.25">
      <c r="A7250" s="2" t="s">
        <v>5554</v>
      </c>
      <c r="B7250" s="2" t="s">
        <v>1203</v>
      </c>
      <c r="C7250" s="2">
        <v>3</v>
      </c>
      <c r="D7250" t="str">
        <f t="shared" si="113"/>
        <v>CA-2017-152198_OFF-BI-10003669</v>
      </c>
      <c r="E7250" t="str">
        <f>IF(COUNTIF(data1!$D:$D,D7250)=0,"Missing in Data1","Present")</f>
        <v>Present</v>
      </c>
    </row>
    <row r="7251" spans="1:5" x14ac:dyDescent="0.25">
      <c r="A7251" s="2" t="s">
        <v>5554</v>
      </c>
      <c r="B7251" s="2" t="s">
        <v>172</v>
      </c>
      <c r="C7251" s="2">
        <v>6</v>
      </c>
      <c r="D7251" t="str">
        <f t="shared" si="113"/>
        <v>CA-2017-152198_OFF-LA-10000443</v>
      </c>
      <c r="E7251" t="str">
        <f>IF(COUNTIF(data1!$D:$D,D7251)=0,"Missing in Data1","Present")</f>
        <v>Present</v>
      </c>
    </row>
    <row r="7252" spans="1:5" x14ac:dyDescent="0.25">
      <c r="A7252" s="2" t="s">
        <v>5555</v>
      </c>
      <c r="B7252" s="2" t="s">
        <v>442</v>
      </c>
      <c r="C7252" s="2">
        <v>1</v>
      </c>
      <c r="D7252" t="str">
        <f t="shared" si="113"/>
        <v>CA-2017-152205_OFF-BI-10004094</v>
      </c>
      <c r="E7252" t="str">
        <f>IF(COUNTIF(data1!$D:$D,D7252)=0,"Missing in Data1","Present")</f>
        <v>Present</v>
      </c>
    </row>
    <row r="7253" spans="1:5" x14ac:dyDescent="0.25">
      <c r="A7253" s="2" t="s">
        <v>6839</v>
      </c>
      <c r="B7253" s="2" t="s">
        <v>172</v>
      </c>
      <c r="C7253" s="2">
        <v>2</v>
      </c>
      <c r="D7253" t="str">
        <f t="shared" si="113"/>
        <v>CA-2017-152226_OFF-LA-10000443</v>
      </c>
      <c r="E7253" t="str">
        <f>IF(COUNTIF(data1!$D:$D,D7253)=0,"Missing in Data1","Present")</f>
        <v>Missing in Data1</v>
      </c>
    </row>
    <row r="7254" spans="1:5" x14ac:dyDescent="0.25">
      <c r="A7254" s="2" t="s">
        <v>5556</v>
      </c>
      <c r="B7254" s="2" t="s">
        <v>955</v>
      </c>
      <c r="C7254" s="2">
        <v>4</v>
      </c>
      <c r="D7254" t="str">
        <f t="shared" si="113"/>
        <v>CA-2017-152261_OFF-BI-10002353</v>
      </c>
      <c r="E7254" t="str">
        <f>IF(COUNTIF(data1!$D:$D,D7254)=0,"Missing in Data1","Present")</f>
        <v>Present</v>
      </c>
    </row>
    <row r="7255" spans="1:5" x14ac:dyDescent="0.25">
      <c r="A7255" s="2" t="s">
        <v>5557</v>
      </c>
      <c r="B7255" s="2" t="s">
        <v>2531</v>
      </c>
      <c r="C7255" s="2">
        <v>6</v>
      </c>
      <c r="D7255" t="str">
        <f t="shared" si="113"/>
        <v>CA-2017-152275_OFF-AR-10000369</v>
      </c>
      <c r="E7255" t="str">
        <f>IF(COUNTIF(data1!$D:$D,D7255)=0,"Missing in Data1","Present")</f>
        <v>Present</v>
      </c>
    </row>
    <row r="7256" spans="1:5" x14ac:dyDescent="0.25">
      <c r="A7256" s="2" t="s">
        <v>5558</v>
      </c>
      <c r="B7256" s="2" t="s">
        <v>354</v>
      </c>
      <c r="C7256" s="2">
        <v>6</v>
      </c>
      <c r="D7256" t="str">
        <f t="shared" si="113"/>
        <v>CA-2017-152310_OFF-BI-10004308</v>
      </c>
      <c r="E7256" t="str">
        <f>IF(COUNTIF(data1!$D:$D,D7256)=0,"Missing in Data1","Present")</f>
        <v>Present</v>
      </c>
    </row>
    <row r="7257" spans="1:5" x14ac:dyDescent="0.25">
      <c r="A7257" s="2" t="s">
        <v>5558</v>
      </c>
      <c r="B7257" s="2" t="s">
        <v>5559</v>
      </c>
      <c r="C7257" s="2">
        <v>4</v>
      </c>
      <c r="D7257" t="str">
        <f t="shared" si="113"/>
        <v>CA-2017-152310_OFF-PA-10003134</v>
      </c>
      <c r="E7257" t="str">
        <f>IF(COUNTIF(data1!$D:$D,D7257)=0,"Missing in Data1","Present")</f>
        <v>Present</v>
      </c>
    </row>
    <row r="7258" spans="1:5" x14ac:dyDescent="0.25">
      <c r="A7258" s="2" t="s">
        <v>5558</v>
      </c>
      <c r="B7258" s="2" t="s">
        <v>1024</v>
      </c>
      <c r="C7258" s="2">
        <v>3</v>
      </c>
      <c r="D7258" t="str">
        <f t="shared" si="113"/>
        <v>CA-2017-152310_OFF-ST-10001228</v>
      </c>
      <c r="E7258" t="str">
        <f>IF(COUNTIF(data1!$D:$D,D7258)=0,"Missing in Data1","Present")</f>
        <v>Present</v>
      </c>
    </row>
    <row r="7259" spans="1:5" x14ac:dyDescent="0.25">
      <c r="A7259" s="2" t="s">
        <v>5558</v>
      </c>
      <c r="B7259" s="2" t="s">
        <v>2781</v>
      </c>
      <c r="C7259" s="2">
        <v>5</v>
      </c>
      <c r="D7259" t="str">
        <f t="shared" si="113"/>
        <v>CA-2017-152310_TEC-AC-10000397</v>
      </c>
      <c r="E7259" t="str">
        <f>IF(COUNTIF(data1!$D:$D,D7259)=0,"Missing in Data1","Present")</f>
        <v>Present</v>
      </c>
    </row>
    <row r="7260" spans="1:5" x14ac:dyDescent="0.25">
      <c r="A7260" s="2" t="s">
        <v>5558</v>
      </c>
      <c r="B7260" s="2" t="s">
        <v>1741</v>
      </c>
      <c r="C7260" s="2">
        <v>8</v>
      </c>
      <c r="D7260" t="str">
        <f t="shared" si="113"/>
        <v>CA-2017-152310_TEC-PH-10002538</v>
      </c>
      <c r="E7260" t="str">
        <f>IF(COUNTIF(data1!$D:$D,D7260)=0,"Missing in Data1","Present")</f>
        <v>Present</v>
      </c>
    </row>
    <row r="7261" spans="1:5" x14ac:dyDescent="0.25">
      <c r="A7261" s="2" t="s">
        <v>5560</v>
      </c>
      <c r="B7261" s="2" t="s">
        <v>357</v>
      </c>
      <c r="C7261" s="2">
        <v>6</v>
      </c>
      <c r="D7261" t="str">
        <f t="shared" si="113"/>
        <v>CA-2017-152436_OFF-ST-10000036</v>
      </c>
      <c r="E7261" t="str">
        <f>IF(COUNTIF(data1!$D:$D,D7261)=0,"Missing in Data1","Present")</f>
        <v>Present</v>
      </c>
    </row>
    <row r="7262" spans="1:5" x14ac:dyDescent="0.25">
      <c r="A7262" s="2" t="s">
        <v>5561</v>
      </c>
      <c r="B7262" s="2" t="s">
        <v>2562</v>
      </c>
      <c r="C7262" s="2">
        <v>5</v>
      </c>
      <c r="D7262" t="str">
        <f t="shared" si="113"/>
        <v>CA-2017-152485_OFF-AR-10001940</v>
      </c>
      <c r="E7262" t="str">
        <f>IF(COUNTIF(data1!$D:$D,D7262)=0,"Missing in Data1","Present")</f>
        <v>Present</v>
      </c>
    </row>
    <row r="7263" spans="1:5" x14ac:dyDescent="0.25">
      <c r="A7263" s="2" t="s">
        <v>5561</v>
      </c>
      <c r="B7263" s="2" t="s">
        <v>2034</v>
      </c>
      <c r="C7263" s="2">
        <v>7</v>
      </c>
      <c r="D7263" t="str">
        <f t="shared" si="113"/>
        <v>CA-2017-152485_OFF-AR-10003759</v>
      </c>
      <c r="E7263" t="str">
        <f>IF(COUNTIF(data1!$D:$D,D7263)=0,"Missing in Data1","Present")</f>
        <v>Present</v>
      </c>
    </row>
    <row r="7264" spans="1:5" x14ac:dyDescent="0.25">
      <c r="A7264" s="2" t="s">
        <v>5561</v>
      </c>
      <c r="B7264" s="2" t="s">
        <v>45</v>
      </c>
      <c r="C7264" s="2">
        <v>1</v>
      </c>
      <c r="D7264" t="str">
        <f t="shared" si="113"/>
        <v>CA-2017-152485_OFF-ST-10004950</v>
      </c>
      <c r="E7264" t="str">
        <f>IF(COUNTIF(data1!$D:$D,D7264)=0,"Missing in Data1","Present")</f>
        <v>Present</v>
      </c>
    </row>
    <row r="7265" spans="1:5" x14ac:dyDescent="0.25">
      <c r="A7265" s="2" t="s">
        <v>5562</v>
      </c>
      <c r="B7265" s="2" t="s">
        <v>886</v>
      </c>
      <c r="C7265" s="2">
        <v>3</v>
      </c>
      <c r="D7265" t="str">
        <f t="shared" si="113"/>
        <v>CA-2017-152499_OFF-AR-10003481</v>
      </c>
      <c r="E7265" t="str">
        <f>IF(COUNTIF(data1!$D:$D,D7265)=0,"Missing in Data1","Present")</f>
        <v>Present</v>
      </c>
    </row>
    <row r="7266" spans="1:5" x14ac:dyDescent="0.25">
      <c r="A7266" s="2" t="s">
        <v>5562</v>
      </c>
      <c r="B7266" s="2" t="s">
        <v>249</v>
      </c>
      <c r="C7266" s="2">
        <v>5</v>
      </c>
      <c r="D7266" t="str">
        <f t="shared" si="113"/>
        <v>CA-2017-152499_OFF-FA-10002975</v>
      </c>
      <c r="E7266" t="str">
        <f>IF(COUNTIF(data1!$D:$D,D7266)=0,"Missing in Data1","Present")</f>
        <v>Present</v>
      </c>
    </row>
    <row r="7267" spans="1:5" x14ac:dyDescent="0.25">
      <c r="A7267" s="2" t="s">
        <v>5563</v>
      </c>
      <c r="B7267" s="2" t="s">
        <v>1503</v>
      </c>
      <c r="C7267" s="2">
        <v>2</v>
      </c>
      <c r="D7267" t="str">
        <f t="shared" si="113"/>
        <v>CA-2017-152583_FUR-FU-10003849</v>
      </c>
      <c r="E7267" t="str">
        <f>IF(COUNTIF(data1!$D:$D,D7267)=0,"Missing in Data1","Present")</f>
        <v>Present</v>
      </c>
    </row>
    <row r="7268" spans="1:5" x14ac:dyDescent="0.25">
      <c r="A7268" s="2" t="s">
        <v>5563</v>
      </c>
      <c r="B7268" s="2" t="s">
        <v>238</v>
      </c>
      <c r="C7268" s="2">
        <v>2</v>
      </c>
      <c r="D7268" t="str">
        <f t="shared" si="113"/>
        <v>CA-2017-152583_FUR-TA-10002041</v>
      </c>
      <c r="E7268" t="str">
        <f>IF(COUNTIF(data1!$D:$D,D7268)=0,"Missing in Data1","Present")</f>
        <v>Present</v>
      </c>
    </row>
    <row r="7269" spans="1:5" x14ac:dyDescent="0.25">
      <c r="A7269" s="2" t="s">
        <v>5563</v>
      </c>
      <c r="B7269" s="2" t="s">
        <v>652</v>
      </c>
      <c r="C7269" s="2">
        <v>6</v>
      </c>
      <c r="D7269" t="str">
        <f t="shared" si="113"/>
        <v>CA-2017-152583_OFF-ST-10002214</v>
      </c>
      <c r="E7269" t="str">
        <f>IF(COUNTIF(data1!$D:$D,D7269)=0,"Missing in Data1","Present")</f>
        <v>Present</v>
      </c>
    </row>
    <row r="7270" spans="1:5" x14ac:dyDescent="0.25">
      <c r="A7270" s="2" t="s">
        <v>5565</v>
      </c>
      <c r="B7270" s="2" t="s">
        <v>1975</v>
      </c>
      <c r="C7270" s="2">
        <v>7</v>
      </c>
      <c r="D7270" t="str">
        <f t="shared" si="113"/>
        <v>CA-2017-152695_OFF-AP-10000026</v>
      </c>
      <c r="E7270" t="str">
        <f>IF(COUNTIF(data1!$D:$D,D7270)=0,"Missing in Data1","Present")</f>
        <v>Present</v>
      </c>
    </row>
    <row r="7271" spans="1:5" x14ac:dyDescent="0.25">
      <c r="A7271" s="2" t="s">
        <v>5565</v>
      </c>
      <c r="B7271" s="2" t="s">
        <v>323</v>
      </c>
      <c r="C7271" s="2">
        <v>3</v>
      </c>
      <c r="D7271" t="str">
        <f t="shared" si="113"/>
        <v>CA-2017-152695_OFF-EN-10004030</v>
      </c>
      <c r="E7271" t="str">
        <f>IF(COUNTIF(data1!$D:$D,D7271)=0,"Missing in Data1","Present")</f>
        <v>Present</v>
      </c>
    </row>
    <row r="7272" spans="1:5" x14ac:dyDescent="0.25">
      <c r="A7272" s="2" t="s">
        <v>5566</v>
      </c>
      <c r="B7272" s="2" t="s">
        <v>1258</v>
      </c>
      <c r="C7272" s="2">
        <v>14</v>
      </c>
      <c r="D7272" t="str">
        <f t="shared" si="113"/>
        <v>CA-2017-152702_FUR-CH-10002304</v>
      </c>
      <c r="E7272" t="str">
        <f>IF(COUNTIF(data1!$D:$D,D7272)=0,"Missing in Data1","Present")</f>
        <v>Present</v>
      </c>
    </row>
    <row r="7273" spans="1:5" x14ac:dyDescent="0.25">
      <c r="A7273" s="2" t="s">
        <v>5567</v>
      </c>
      <c r="B7273" s="2" t="s">
        <v>1297</v>
      </c>
      <c r="C7273" s="2">
        <v>2</v>
      </c>
      <c r="D7273" t="str">
        <f t="shared" si="113"/>
        <v>CA-2017-152709_OFF-ST-10001837</v>
      </c>
      <c r="E7273" t="str">
        <f>IF(COUNTIF(data1!$D:$D,D7273)=0,"Missing in Data1","Present")</f>
        <v>Present</v>
      </c>
    </row>
    <row r="7274" spans="1:5" x14ac:dyDescent="0.25">
      <c r="A7274" s="2" t="s">
        <v>5568</v>
      </c>
      <c r="B7274" s="2" t="s">
        <v>1734</v>
      </c>
      <c r="C7274" s="2">
        <v>4</v>
      </c>
      <c r="D7274" t="str">
        <f t="shared" si="113"/>
        <v>CA-2017-152737_OFF-BI-10002982</v>
      </c>
      <c r="E7274" t="str">
        <f>IF(COUNTIF(data1!$D:$D,D7274)=0,"Missing in Data1","Present")</f>
        <v>Present</v>
      </c>
    </row>
    <row r="7275" spans="1:5" x14ac:dyDescent="0.25">
      <c r="A7275" s="2" t="s">
        <v>5568</v>
      </c>
      <c r="B7275" s="2" t="s">
        <v>2677</v>
      </c>
      <c r="C7275" s="2">
        <v>4</v>
      </c>
      <c r="D7275" t="str">
        <f t="shared" si="113"/>
        <v>CA-2017-152737_TEC-AC-10004975</v>
      </c>
      <c r="E7275" t="str">
        <f>IF(COUNTIF(data1!$D:$D,D7275)=0,"Missing in Data1","Present")</f>
        <v>Present</v>
      </c>
    </row>
    <row r="7276" spans="1:5" x14ac:dyDescent="0.25">
      <c r="A7276" s="2" t="s">
        <v>5569</v>
      </c>
      <c r="B7276" s="2" t="s">
        <v>419</v>
      </c>
      <c r="C7276" s="2">
        <v>9</v>
      </c>
      <c r="D7276" t="str">
        <f t="shared" si="113"/>
        <v>CA-2017-152786_OFF-BI-10000829</v>
      </c>
      <c r="E7276" t="str">
        <f>IF(COUNTIF(data1!$D:$D,D7276)=0,"Missing in Data1","Present")</f>
        <v>Present</v>
      </c>
    </row>
    <row r="7277" spans="1:5" x14ac:dyDescent="0.25">
      <c r="A7277" s="2" t="s">
        <v>5570</v>
      </c>
      <c r="B7277" s="2" t="s">
        <v>746</v>
      </c>
      <c r="C7277" s="2">
        <v>2</v>
      </c>
      <c r="D7277" t="str">
        <f t="shared" si="113"/>
        <v>CA-2017-152807_FUR-FU-10004415</v>
      </c>
      <c r="E7277" t="str">
        <f>IF(COUNTIF(data1!$D:$D,D7277)=0,"Missing in Data1","Present")</f>
        <v>Present</v>
      </c>
    </row>
    <row r="7278" spans="1:5" x14ac:dyDescent="0.25">
      <c r="A7278" s="2" t="s">
        <v>5570</v>
      </c>
      <c r="B7278" s="2" t="s">
        <v>2301</v>
      </c>
      <c r="C7278" s="2">
        <v>4</v>
      </c>
      <c r="D7278" t="str">
        <f t="shared" si="113"/>
        <v>CA-2017-152807_OFF-PA-10004355</v>
      </c>
      <c r="E7278" t="str">
        <f>IF(COUNTIF(data1!$D:$D,D7278)=0,"Missing in Data1","Present")</f>
        <v>Present</v>
      </c>
    </row>
    <row r="7279" spans="1:5" x14ac:dyDescent="0.25">
      <c r="A7279" s="2" t="s">
        <v>5570</v>
      </c>
      <c r="B7279" s="2" t="s">
        <v>2470</v>
      </c>
      <c r="C7279" s="2">
        <v>2</v>
      </c>
      <c r="D7279" t="str">
        <f t="shared" si="113"/>
        <v>CA-2017-152807_OFF-ST-10002486</v>
      </c>
      <c r="E7279" t="str">
        <f>IF(COUNTIF(data1!$D:$D,D7279)=0,"Missing in Data1","Present")</f>
        <v>Present</v>
      </c>
    </row>
    <row r="7280" spans="1:5" x14ac:dyDescent="0.25">
      <c r="A7280" s="2" t="s">
        <v>5570</v>
      </c>
      <c r="B7280" s="2" t="s">
        <v>1112</v>
      </c>
      <c r="C7280" s="2">
        <v>7</v>
      </c>
      <c r="D7280" t="str">
        <f t="shared" si="113"/>
        <v>CA-2017-152807_TEC-AC-10001142</v>
      </c>
      <c r="E7280" t="str">
        <f>IF(COUNTIF(data1!$D:$D,D7280)=0,"Missing in Data1","Present")</f>
        <v>Present</v>
      </c>
    </row>
    <row r="7281" spans="1:5" x14ac:dyDescent="0.25">
      <c r="A7281" s="2" t="s">
        <v>5572</v>
      </c>
      <c r="B7281" s="2" t="s">
        <v>1680</v>
      </c>
      <c r="C7281" s="2">
        <v>2</v>
      </c>
      <c r="D7281" t="str">
        <f t="shared" si="113"/>
        <v>CA-2017-152912_OFF-BI-10004728</v>
      </c>
      <c r="E7281" t="str">
        <f>IF(COUNTIF(data1!$D:$D,D7281)=0,"Missing in Data1","Present")</f>
        <v>Present</v>
      </c>
    </row>
    <row r="7282" spans="1:5" x14ac:dyDescent="0.25">
      <c r="A7282" s="2" t="s">
        <v>5572</v>
      </c>
      <c r="B7282" s="2" t="s">
        <v>550</v>
      </c>
      <c r="C7282" s="2">
        <v>12</v>
      </c>
      <c r="D7282" t="str">
        <f t="shared" si="113"/>
        <v>CA-2017-152912_OFF-ST-10003208</v>
      </c>
      <c r="E7282" t="str">
        <f>IF(COUNTIF(data1!$D:$D,D7282)=0,"Missing in Data1","Present")</f>
        <v>Present</v>
      </c>
    </row>
    <row r="7283" spans="1:5" x14ac:dyDescent="0.25">
      <c r="A7283" s="2" t="s">
        <v>5572</v>
      </c>
      <c r="B7283" s="2" t="s">
        <v>5259</v>
      </c>
      <c r="C7283" s="2">
        <v>3</v>
      </c>
      <c r="D7283" t="str">
        <f t="shared" si="113"/>
        <v>CA-2017-152912_TEC-AC-10004666</v>
      </c>
      <c r="E7283" t="str">
        <f>IF(COUNTIF(data1!$D:$D,D7283)=0,"Missing in Data1","Present")</f>
        <v>Present</v>
      </c>
    </row>
    <row r="7284" spans="1:5" x14ac:dyDescent="0.25">
      <c r="A7284" s="2" t="s">
        <v>5573</v>
      </c>
      <c r="B7284" s="2" t="s">
        <v>2280</v>
      </c>
      <c r="C7284" s="2">
        <v>6</v>
      </c>
      <c r="D7284" t="str">
        <f t="shared" si="113"/>
        <v>CA-2017-152926_OFF-AP-10001947</v>
      </c>
      <c r="E7284" t="str">
        <f>IF(COUNTIF(data1!$D:$D,D7284)=0,"Missing in Data1","Present")</f>
        <v>Present</v>
      </c>
    </row>
    <row r="7285" spans="1:5" x14ac:dyDescent="0.25">
      <c r="A7285" s="2" t="s">
        <v>5573</v>
      </c>
      <c r="B7285" s="2" t="s">
        <v>326</v>
      </c>
      <c r="C7285" s="2">
        <v>2</v>
      </c>
      <c r="D7285" t="str">
        <f t="shared" si="113"/>
        <v>CA-2017-152926_OFF-AP-10004708</v>
      </c>
      <c r="E7285" t="str">
        <f>IF(COUNTIF(data1!$D:$D,D7285)=0,"Missing in Data1","Present")</f>
        <v>Present</v>
      </c>
    </row>
    <row r="7286" spans="1:5" x14ac:dyDescent="0.25">
      <c r="A7286" s="2" t="s">
        <v>5574</v>
      </c>
      <c r="B7286" s="2" t="s">
        <v>3575</v>
      </c>
      <c r="C7286" s="2">
        <v>2</v>
      </c>
      <c r="D7286" t="str">
        <f t="shared" si="113"/>
        <v>CA-2017-152933_OFF-PA-10001934</v>
      </c>
      <c r="E7286" t="str">
        <f>IF(COUNTIF(data1!$D:$D,D7286)=0,"Missing in Data1","Present")</f>
        <v>Present</v>
      </c>
    </row>
    <row r="7287" spans="1:5" x14ac:dyDescent="0.25">
      <c r="A7287" s="2" t="s">
        <v>5574</v>
      </c>
      <c r="B7287" s="2" t="s">
        <v>2361</v>
      </c>
      <c r="C7287" s="2">
        <v>3</v>
      </c>
      <c r="D7287" t="str">
        <f t="shared" si="113"/>
        <v>CA-2017-152933_TEC-AC-10003033</v>
      </c>
      <c r="E7287" t="str">
        <f>IF(COUNTIF(data1!$D:$D,D7287)=0,"Missing in Data1","Present")</f>
        <v>Present</v>
      </c>
    </row>
    <row r="7288" spans="1:5" x14ac:dyDescent="0.25">
      <c r="A7288" s="2" t="s">
        <v>5574</v>
      </c>
      <c r="B7288" s="2" t="s">
        <v>1664</v>
      </c>
      <c r="C7288" s="2">
        <v>7</v>
      </c>
      <c r="D7288" t="str">
        <f t="shared" si="113"/>
        <v>CA-2017-152933_TEC-PH-10002085</v>
      </c>
      <c r="E7288" t="str">
        <f>IF(COUNTIF(data1!$D:$D,D7288)=0,"Missing in Data1","Present")</f>
        <v>Present</v>
      </c>
    </row>
    <row r="7289" spans="1:5" x14ac:dyDescent="0.25">
      <c r="A7289" s="2" t="s">
        <v>5575</v>
      </c>
      <c r="B7289" s="2" t="s">
        <v>4187</v>
      </c>
      <c r="C7289" s="2">
        <v>2</v>
      </c>
      <c r="D7289" t="str">
        <f t="shared" si="113"/>
        <v>CA-2017-152961_OFF-PA-10004675</v>
      </c>
      <c r="E7289" t="str">
        <f>IF(COUNTIF(data1!$D:$D,D7289)=0,"Missing in Data1","Present")</f>
        <v>Present</v>
      </c>
    </row>
    <row r="7290" spans="1:5" x14ac:dyDescent="0.25">
      <c r="A7290" s="2" t="s">
        <v>5576</v>
      </c>
      <c r="B7290" s="2" t="s">
        <v>1976</v>
      </c>
      <c r="C7290" s="2">
        <v>2</v>
      </c>
      <c r="D7290" t="str">
        <f t="shared" si="113"/>
        <v>CA-2017-152968_TEC-AC-10000521</v>
      </c>
      <c r="E7290" t="str">
        <f>IF(COUNTIF(data1!$D:$D,D7290)=0,"Missing in Data1","Present")</f>
        <v>Present</v>
      </c>
    </row>
    <row r="7291" spans="1:5" x14ac:dyDescent="0.25">
      <c r="A7291" s="2" t="s">
        <v>5577</v>
      </c>
      <c r="B7291" s="2" t="s">
        <v>1766</v>
      </c>
      <c r="C7291" s="2">
        <v>5</v>
      </c>
      <c r="D7291" t="str">
        <f t="shared" si="113"/>
        <v>CA-2017-152975_FUR-CH-10003298</v>
      </c>
      <c r="E7291" t="str">
        <f>IF(COUNTIF(data1!$D:$D,D7291)=0,"Missing in Data1","Present")</f>
        <v>Present</v>
      </c>
    </row>
    <row r="7292" spans="1:5" x14ac:dyDescent="0.25">
      <c r="A7292" s="2" t="s">
        <v>5577</v>
      </c>
      <c r="B7292" s="2" t="s">
        <v>5252</v>
      </c>
      <c r="C7292" s="2">
        <v>5</v>
      </c>
      <c r="D7292" t="str">
        <f t="shared" si="113"/>
        <v>CA-2017-152975_OFF-AR-10001988</v>
      </c>
      <c r="E7292" t="str">
        <f>IF(COUNTIF(data1!$D:$D,D7292)=0,"Missing in Data1","Present")</f>
        <v>Present</v>
      </c>
    </row>
    <row r="7293" spans="1:5" x14ac:dyDescent="0.25">
      <c r="A7293" s="2" t="s">
        <v>5577</v>
      </c>
      <c r="B7293" s="2" t="s">
        <v>559</v>
      </c>
      <c r="C7293" s="2">
        <v>1</v>
      </c>
      <c r="D7293" t="str">
        <f t="shared" si="113"/>
        <v>CA-2017-152975_OFF-ST-10001370</v>
      </c>
      <c r="E7293" t="str">
        <f>IF(COUNTIF(data1!$D:$D,D7293)=0,"Missing in Data1","Present")</f>
        <v>Present</v>
      </c>
    </row>
    <row r="7294" spans="1:5" x14ac:dyDescent="0.25">
      <c r="A7294" s="2" t="s">
        <v>5577</v>
      </c>
      <c r="B7294" s="2" t="s">
        <v>1500</v>
      </c>
      <c r="C7294" s="2">
        <v>3</v>
      </c>
      <c r="D7294" t="str">
        <f t="shared" si="113"/>
        <v>CA-2017-152975_TEC-PH-10004586</v>
      </c>
      <c r="E7294" t="str">
        <f>IF(COUNTIF(data1!$D:$D,D7294)=0,"Missing in Data1","Present")</f>
        <v>Present</v>
      </c>
    </row>
    <row r="7295" spans="1:5" x14ac:dyDescent="0.25">
      <c r="A7295" s="2" t="s">
        <v>5578</v>
      </c>
      <c r="B7295" s="2" t="s">
        <v>2351</v>
      </c>
      <c r="C7295" s="2">
        <v>3</v>
      </c>
      <c r="D7295" t="str">
        <f t="shared" si="113"/>
        <v>CA-2017-153045_FUR-CH-10000309</v>
      </c>
      <c r="E7295" t="str">
        <f>IF(COUNTIF(data1!$D:$D,D7295)=0,"Missing in Data1","Present")</f>
        <v>Present</v>
      </c>
    </row>
    <row r="7296" spans="1:5" x14ac:dyDescent="0.25">
      <c r="A7296" s="2" t="s">
        <v>5578</v>
      </c>
      <c r="B7296" s="2" t="s">
        <v>359</v>
      </c>
      <c r="C7296" s="2">
        <v>2</v>
      </c>
      <c r="D7296" t="str">
        <f t="shared" si="113"/>
        <v>CA-2017-153045_FUR-FU-10002759</v>
      </c>
      <c r="E7296" t="str">
        <f>IF(COUNTIF(data1!$D:$D,D7296)=0,"Missing in Data1","Present")</f>
        <v>Present</v>
      </c>
    </row>
    <row r="7297" spans="1:5" x14ac:dyDescent="0.25">
      <c r="A7297" s="2" t="s">
        <v>5578</v>
      </c>
      <c r="B7297" s="2" t="s">
        <v>4498</v>
      </c>
      <c r="C7297" s="2">
        <v>4</v>
      </c>
      <c r="D7297" t="str">
        <f t="shared" si="113"/>
        <v>CA-2017-153045_OFF-PA-10003673</v>
      </c>
      <c r="E7297" t="str">
        <f>IF(COUNTIF(data1!$D:$D,D7297)=0,"Missing in Data1","Present")</f>
        <v>Present</v>
      </c>
    </row>
    <row r="7298" spans="1:5" x14ac:dyDescent="0.25">
      <c r="A7298" s="2" t="s">
        <v>5578</v>
      </c>
      <c r="B7298" s="2" t="s">
        <v>2598</v>
      </c>
      <c r="C7298" s="2">
        <v>2</v>
      </c>
      <c r="D7298" t="str">
        <f t="shared" si="113"/>
        <v>CA-2017-153045_TEC-PH-10001817</v>
      </c>
      <c r="E7298" t="str">
        <f>IF(COUNTIF(data1!$D:$D,D7298)=0,"Missing in Data1","Present")</f>
        <v>Present</v>
      </c>
    </row>
    <row r="7299" spans="1:5" x14ac:dyDescent="0.25">
      <c r="A7299" s="2" t="s">
        <v>5579</v>
      </c>
      <c r="B7299" s="2" t="s">
        <v>1266</v>
      </c>
      <c r="C7299" s="2">
        <v>7</v>
      </c>
      <c r="D7299" t="str">
        <f t="shared" ref="D7299:D7362" si="114">A7299&amp;"_"&amp;B7299</f>
        <v>CA-2017-153080_TEC-AC-10002331</v>
      </c>
      <c r="E7299" t="str">
        <f>IF(COUNTIF(data1!$D:$D,D7299)=0,"Missing in Data1","Present")</f>
        <v>Present</v>
      </c>
    </row>
    <row r="7300" spans="1:5" x14ac:dyDescent="0.25">
      <c r="A7300" s="2" t="s">
        <v>5580</v>
      </c>
      <c r="B7300" s="2" t="s">
        <v>309</v>
      </c>
      <c r="C7300" s="2">
        <v>2</v>
      </c>
      <c r="D7300" t="str">
        <f t="shared" si="114"/>
        <v>CA-2017-153227_OFF-PA-10001838</v>
      </c>
      <c r="E7300" t="str">
        <f>IF(COUNTIF(data1!$D:$D,D7300)=0,"Missing in Data1","Present")</f>
        <v>Present</v>
      </c>
    </row>
    <row r="7301" spans="1:5" x14ac:dyDescent="0.25">
      <c r="A7301" s="2" t="s">
        <v>6840</v>
      </c>
      <c r="B7301" s="2" t="s">
        <v>1123</v>
      </c>
      <c r="C7301" s="2">
        <v>1</v>
      </c>
      <c r="D7301" t="str">
        <f t="shared" si="114"/>
        <v>CA-2017-153339_FUR-FU-10001967</v>
      </c>
      <c r="E7301" t="str">
        <f>IF(COUNTIF(data1!$D:$D,D7301)=0,"Missing in Data1","Present")</f>
        <v>Missing in Data1</v>
      </c>
    </row>
    <row r="7302" spans="1:5" x14ac:dyDescent="0.25">
      <c r="A7302" s="2" t="s">
        <v>5581</v>
      </c>
      <c r="B7302" s="2" t="s">
        <v>3533</v>
      </c>
      <c r="C7302" s="2">
        <v>8</v>
      </c>
      <c r="D7302" t="str">
        <f t="shared" si="114"/>
        <v>CA-2017-153654_OFF-BI-10004465</v>
      </c>
      <c r="E7302" t="str">
        <f>IF(COUNTIF(data1!$D:$D,D7302)=0,"Missing in Data1","Present")</f>
        <v>Present</v>
      </c>
    </row>
    <row r="7303" spans="1:5" x14ac:dyDescent="0.25">
      <c r="A7303" s="2" t="s">
        <v>5582</v>
      </c>
      <c r="B7303" s="2" t="s">
        <v>675</v>
      </c>
      <c r="C7303" s="2">
        <v>2</v>
      </c>
      <c r="D7303" t="str">
        <f t="shared" si="114"/>
        <v>CA-2017-153787_OFF-AP-10001563</v>
      </c>
      <c r="E7303" t="str">
        <f>IF(COUNTIF(data1!$D:$D,D7303)=0,"Missing in Data1","Present")</f>
        <v>Present</v>
      </c>
    </row>
    <row r="7304" spans="1:5" x14ac:dyDescent="0.25">
      <c r="A7304" s="2" t="s">
        <v>5583</v>
      </c>
      <c r="B7304" s="2" t="s">
        <v>1843</v>
      </c>
      <c r="C7304" s="2">
        <v>4</v>
      </c>
      <c r="D7304" t="str">
        <f t="shared" si="114"/>
        <v>CA-2017-153822_OFF-BI-10001460</v>
      </c>
      <c r="E7304" t="str">
        <f>IF(COUNTIF(data1!$D:$D,D7304)=0,"Missing in Data1","Present")</f>
        <v>Present</v>
      </c>
    </row>
    <row r="7305" spans="1:5" x14ac:dyDescent="0.25">
      <c r="A7305" s="2" t="s">
        <v>5583</v>
      </c>
      <c r="B7305" s="2" t="s">
        <v>1423</v>
      </c>
      <c r="C7305" s="2">
        <v>2</v>
      </c>
      <c r="D7305" t="str">
        <f t="shared" si="114"/>
        <v>CA-2017-153822_OFF-ST-10000321</v>
      </c>
      <c r="E7305" t="str">
        <f>IF(COUNTIF(data1!$D:$D,D7305)=0,"Missing in Data1","Present")</f>
        <v>Present</v>
      </c>
    </row>
    <row r="7306" spans="1:5" x14ac:dyDescent="0.25">
      <c r="A7306" s="2" t="s">
        <v>5583</v>
      </c>
      <c r="B7306" s="2" t="s">
        <v>185</v>
      </c>
      <c r="C7306" s="2">
        <v>2</v>
      </c>
      <c r="D7306" t="str">
        <f t="shared" si="114"/>
        <v>CA-2017-153822_TEC-AC-10000109</v>
      </c>
      <c r="E7306" t="str">
        <f>IF(COUNTIF(data1!$D:$D,D7306)=0,"Missing in Data1","Present")</f>
        <v>Present</v>
      </c>
    </row>
    <row r="7307" spans="1:5" x14ac:dyDescent="0.25">
      <c r="A7307" s="2" t="s">
        <v>5583</v>
      </c>
      <c r="B7307" s="2" t="s">
        <v>1566</v>
      </c>
      <c r="C7307" s="2">
        <v>2</v>
      </c>
      <c r="D7307" t="str">
        <f t="shared" si="114"/>
        <v>CA-2017-153822_TEC-PH-10002415</v>
      </c>
      <c r="E7307" t="str">
        <f>IF(COUNTIF(data1!$D:$D,D7307)=0,"Missing in Data1","Present")</f>
        <v>Present</v>
      </c>
    </row>
    <row r="7308" spans="1:5" x14ac:dyDescent="0.25">
      <c r="A7308" s="2" t="s">
        <v>5584</v>
      </c>
      <c r="B7308" s="2" t="s">
        <v>3965</v>
      </c>
      <c r="C7308" s="2">
        <v>2</v>
      </c>
      <c r="D7308" t="str">
        <f t="shared" si="114"/>
        <v>CA-2017-153843_OFF-AP-10001564</v>
      </c>
      <c r="E7308" t="str">
        <f>IF(COUNTIF(data1!$D:$D,D7308)=0,"Missing in Data1","Present")</f>
        <v>Present</v>
      </c>
    </row>
    <row r="7309" spans="1:5" x14ac:dyDescent="0.25">
      <c r="A7309" s="2" t="s">
        <v>5585</v>
      </c>
      <c r="B7309" s="2" t="s">
        <v>248</v>
      </c>
      <c r="C7309" s="2">
        <v>5</v>
      </c>
      <c r="D7309" t="str">
        <f t="shared" si="114"/>
        <v>CA-2017-153871_OFF-BI-10004209</v>
      </c>
      <c r="E7309" t="str">
        <f>IF(COUNTIF(data1!$D:$D,D7309)=0,"Missing in Data1","Present")</f>
        <v>Present</v>
      </c>
    </row>
    <row r="7310" spans="1:5" x14ac:dyDescent="0.25">
      <c r="A7310" s="2" t="s">
        <v>5585</v>
      </c>
      <c r="B7310" s="2" t="s">
        <v>113</v>
      </c>
      <c r="C7310" s="2">
        <v>2</v>
      </c>
      <c r="D7310" t="str">
        <f t="shared" si="114"/>
        <v>CA-2017-153871_OFF-BI-10004600</v>
      </c>
      <c r="E7310" t="str">
        <f>IF(COUNTIF(data1!$D:$D,D7310)=0,"Missing in Data1","Present")</f>
        <v>Present</v>
      </c>
    </row>
    <row r="7311" spans="1:5" x14ac:dyDescent="0.25">
      <c r="A7311" s="2" t="s">
        <v>5586</v>
      </c>
      <c r="B7311" s="2" t="s">
        <v>1840</v>
      </c>
      <c r="C7311" s="2">
        <v>3</v>
      </c>
      <c r="D7311" t="str">
        <f t="shared" si="114"/>
        <v>CA-2017-154011_FUR-TA-10000688</v>
      </c>
      <c r="E7311" t="str">
        <f>IF(COUNTIF(data1!$D:$D,D7311)=0,"Missing in Data1","Present")</f>
        <v>Present</v>
      </c>
    </row>
    <row r="7312" spans="1:5" x14ac:dyDescent="0.25">
      <c r="A7312" s="2" t="s">
        <v>5586</v>
      </c>
      <c r="B7312" s="2" t="s">
        <v>2000</v>
      </c>
      <c r="C7312" s="2">
        <v>3</v>
      </c>
      <c r="D7312" t="str">
        <f t="shared" si="114"/>
        <v>CA-2017-154011_OFF-BI-10003166</v>
      </c>
      <c r="E7312" t="str">
        <f>IF(COUNTIF(data1!$D:$D,D7312)=0,"Missing in Data1","Present")</f>
        <v>Present</v>
      </c>
    </row>
    <row r="7313" spans="1:5" x14ac:dyDescent="0.25">
      <c r="A7313" s="2" t="s">
        <v>5587</v>
      </c>
      <c r="B7313" s="2" t="s">
        <v>1116</v>
      </c>
      <c r="C7313" s="2">
        <v>3</v>
      </c>
      <c r="D7313" t="str">
        <f t="shared" si="114"/>
        <v>CA-2017-154039_FUR-TA-10001932</v>
      </c>
      <c r="E7313" t="str">
        <f>IF(COUNTIF(data1!$D:$D,D7313)=0,"Missing in Data1","Present")</f>
        <v>Present</v>
      </c>
    </row>
    <row r="7314" spans="1:5" x14ac:dyDescent="0.25">
      <c r="A7314" s="2" t="s">
        <v>5587</v>
      </c>
      <c r="B7314" s="2" t="s">
        <v>5588</v>
      </c>
      <c r="C7314" s="2">
        <v>1</v>
      </c>
      <c r="D7314" t="str">
        <f t="shared" si="114"/>
        <v>CA-2017-154039_TEC-PH-10002789</v>
      </c>
      <c r="E7314" t="str">
        <f>IF(COUNTIF(data1!$D:$D,D7314)=0,"Missing in Data1","Present")</f>
        <v>Present</v>
      </c>
    </row>
    <row r="7315" spans="1:5" x14ac:dyDescent="0.25">
      <c r="A7315" s="2" t="s">
        <v>5589</v>
      </c>
      <c r="B7315" s="2" t="s">
        <v>3451</v>
      </c>
      <c r="C7315" s="2">
        <v>2</v>
      </c>
      <c r="D7315" t="str">
        <f t="shared" si="114"/>
        <v>CA-2017-154074_FUR-CH-10002331</v>
      </c>
      <c r="E7315" t="str">
        <f>IF(COUNTIF(data1!$D:$D,D7315)=0,"Missing in Data1","Present")</f>
        <v>Present</v>
      </c>
    </row>
    <row r="7316" spans="1:5" x14ac:dyDescent="0.25">
      <c r="A7316" s="2" t="s">
        <v>5589</v>
      </c>
      <c r="B7316" s="2" t="s">
        <v>1178</v>
      </c>
      <c r="C7316" s="2">
        <v>7</v>
      </c>
      <c r="D7316" t="str">
        <f t="shared" si="114"/>
        <v>CA-2017-154074_OFF-ST-10002370</v>
      </c>
      <c r="E7316" t="str">
        <f>IF(COUNTIF(data1!$D:$D,D7316)=0,"Missing in Data1","Present")</f>
        <v>Present</v>
      </c>
    </row>
    <row r="7317" spans="1:5" x14ac:dyDescent="0.25">
      <c r="A7317" s="2" t="s">
        <v>5590</v>
      </c>
      <c r="B7317" s="2" t="s">
        <v>4704</v>
      </c>
      <c r="C7317" s="2">
        <v>5</v>
      </c>
      <c r="D7317" t="str">
        <f t="shared" si="114"/>
        <v>CA-2017-154088_OFF-PA-10003651</v>
      </c>
      <c r="E7317" t="str">
        <f>IF(COUNTIF(data1!$D:$D,D7317)=0,"Missing in Data1","Present")</f>
        <v>Present</v>
      </c>
    </row>
    <row r="7318" spans="1:5" x14ac:dyDescent="0.25">
      <c r="A7318" s="2" t="s">
        <v>6841</v>
      </c>
      <c r="B7318" s="2" t="s">
        <v>5431</v>
      </c>
      <c r="C7318" s="2">
        <v>5</v>
      </c>
      <c r="D7318" t="str">
        <f t="shared" si="114"/>
        <v>CA-2017-154102_OFF-PA-10001593</v>
      </c>
      <c r="E7318" t="str">
        <f>IF(COUNTIF(data1!$D:$D,D7318)=0,"Missing in Data1","Present")</f>
        <v>Missing in Data1</v>
      </c>
    </row>
    <row r="7319" spans="1:5" x14ac:dyDescent="0.25">
      <c r="A7319" s="2" t="s">
        <v>5591</v>
      </c>
      <c r="B7319" s="2" t="s">
        <v>373</v>
      </c>
      <c r="C7319" s="2">
        <v>2</v>
      </c>
      <c r="D7319" t="str">
        <f t="shared" si="114"/>
        <v>CA-2017-154109_FUR-CH-10003774</v>
      </c>
      <c r="E7319" t="str">
        <f>IF(COUNTIF(data1!$D:$D,D7319)=0,"Missing in Data1","Present")</f>
        <v>Present</v>
      </c>
    </row>
    <row r="7320" spans="1:5" x14ac:dyDescent="0.25">
      <c r="A7320" s="2" t="s">
        <v>5591</v>
      </c>
      <c r="B7320" s="2" t="s">
        <v>2602</v>
      </c>
      <c r="C7320" s="2">
        <v>3</v>
      </c>
      <c r="D7320" t="str">
        <f t="shared" si="114"/>
        <v>CA-2017-154109_OFF-PA-10000157</v>
      </c>
      <c r="E7320" t="str">
        <f>IF(COUNTIF(data1!$D:$D,D7320)=0,"Missing in Data1","Present")</f>
        <v>Missing in Data1</v>
      </c>
    </row>
    <row r="7321" spans="1:5" x14ac:dyDescent="0.25">
      <c r="A7321" s="2" t="s">
        <v>5592</v>
      </c>
      <c r="B7321" s="2" t="s">
        <v>5459</v>
      </c>
      <c r="C7321" s="2">
        <v>4</v>
      </c>
      <c r="D7321" t="str">
        <f t="shared" si="114"/>
        <v>CA-2017-154116_OFF-AP-10000027</v>
      </c>
      <c r="E7321" t="str">
        <f>IF(COUNTIF(data1!$D:$D,D7321)=0,"Missing in Data1","Present")</f>
        <v>Present</v>
      </c>
    </row>
    <row r="7322" spans="1:5" x14ac:dyDescent="0.25">
      <c r="A7322" s="2" t="s">
        <v>5592</v>
      </c>
      <c r="B7322" s="2" t="s">
        <v>1184</v>
      </c>
      <c r="C7322" s="2">
        <v>3</v>
      </c>
      <c r="D7322" t="str">
        <f t="shared" si="114"/>
        <v>CA-2017-154116_OFF-PA-10004569</v>
      </c>
      <c r="E7322" t="str">
        <f>IF(COUNTIF(data1!$D:$D,D7322)=0,"Missing in Data1","Present")</f>
        <v>Present</v>
      </c>
    </row>
    <row r="7323" spans="1:5" x14ac:dyDescent="0.25">
      <c r="A7323" s="2" t="s">
        <v>5592</v>
      </c>
      <c r="B7323" s="2" t="s">
        <v>213</v>
      </c>
      <c r="C7323" s="2">
        <v>3</v>
      </c>
      <c r="D7323" t="str">
        <f t="shared" si="114"/>
        <v>CA-2017-154116_TEC-PH-10000675</v>
      </c>
      <c r="E7323" t="str">
        <f>IF(COUNTIF(data1!$D:$D,D7323)=0,"Missing in Data1","Present")</f>
        <v>Present</v>
      </c>
    </row>
    <row r="7324" spans="1:5" x14ac:dyDescent="0.25">
      <c r="A7324" s="2" t="s">
        <v>5593</v>
      </c>
      <c r="B7324" s="2" t="s">
        <v>590</v>
      </c>
      <c r="C7324" s="2">
        <v>2</v>
      </c>
      <c r="D7324" t="str">
        <f t="shared" si="114"/>
        <v>CA-2017-154123_FUR-FU-10000629</v>
      </c>
      <c r="E7324" t="str">
        <f>IF(COUNTIF(data1!$D:$D,D7324)=0,"Missing in Data1","Present")</f>
        <v>Present</v>
      </c>
    </row>
    <row r="7325" spans="1:5" x14ac:dyDescent="0.25">
      <c r="A7325" s="2" t="s">
        <v>5594</v>
      </c>
      <c r="B7325" s="2" t="s">
        <v>3903</v>
      </c>
      <c r="C7325" s="2">
        <v>1</v>
      </c>
      <c r="D7325" t="str">
        <f t="shared" si="114"/>
        <v>CA-2017-154137_OFF-ST-10003324</v>
      </c>
      <c r="E7325" t="str">
        <f>IF(COUNTIF(data1!$D:$D,D7325)=0,"Missing in Data1","Present")</f>
        <v>Present</v>
      </c>
    </row>
    <row r="7326" spans="1:5" x14ac:dyDescent="0.25">
      <c r="A7326" s="2" t="s">
        <v>6842</v>
      </c>
      <c r="B7326" s="2" t="s">
        <v>3306</v>
      </c>
      <c r="C7326" s="2">
        <v>1</v>
      </c>
      <c r="D7326" t="str">
        <f t="shared" si="114"/>
        <v>CA-2017-154214_FUR-FU-10000206</v>
      </c>
      <c r="E7326" t="str">
        <f>IF(COUNTIF(data1!$D:$D,D7326)=0,"Missing in Data1","Present")</f>
        <v>Missing in Data1</v>
      </c>
    </row>
    <row r="7327" spans="1:5" x14ac:dyDescent="0.25">
      <c r="A7327" s="2" t="s">
        <v>5595</v>
      </c>
      <c r="B7327" s="2" t="s">
        <v>444</v>
      </c>
      <c r="C7327" s="2">
        <v>8</v>
      </c>
      <c r="D7327" t="str">
        <f t="shared" si="114"/>
        <v>CA-2017-154410_OFF-ST-10002743</v>
      </c>
      <c r="E7327" t="str">
        <f>IF(COUNTIF(data1!$D:$D,D7327)=0,"Missing in Data1","Present")</f>
        <v>Present</v>
      </c>
    </row>
    <row r="7328" spans="1:5" x14ac:dyDescent="0.25">
      <c r="A7328" s="2" t="s">
        <v>5596</v>
      </c>
      <c r="B7328" s="2" t="s">
        <v>1225</v>
      </c>
      <c r="C7328" s="2">
        <v>2</v>
      </c>
      <c r="D7328" t="str">
        <f t="shared" si="114"/>
        <v>CA-2017-154466_OFF-BI-10002012</v>
      </c>
      <c r="E7328" t="str">
        <f>IF(COUNTIF(data1!$D:$D,D7328)=0,"Missing in Data1","Present")</f>
        <v>Present</v>
      </c>
    </row>
    <row r="7329" spans="1:5" x14ac:dyDescent="0.25">
      <c r="A7329" s="2" t="s">
        <v>5598</v>
      </c>
      <c r="B7329" s="2" t="s">
        <v>2144</v>
      </c>
      <c r="C7329" s="2">
        <v>9</v>
      </c>
      <c r="D7329" t="str">
        <f t="shared" si="114"/>
        <v>CA-2017-154676_OFF-ST-10001172</v>
      </c>
      <c r="E7329" t="str">
        <f>IF(COUNTIF(data1!$D:$D,D7329)=0,"Missing in Data1","Present")</f>
        <v>Present</v>
      </c>
    </row>
    <row r="7330" spans="1:5" x14ac:dyDescent="0.25">
      <c r="A7330" s="2" t="s">
        <v>5599</v>
      </c>
      <c r="B7330" s="2" t="s">
        <v>1887</v>
      </c>
      <c r="C7330" s="2">
        <v>2</v>
      </c>
      <c r="D7330" t="str">
        <f t="shared" si="114"/>
        <v>CA-2017-154718_OFF-LA-10003714</v>
      </c>
      <c r="E7330" t="str">
        <f>IF(COUNTIF(data1!$D:$D,D7330)=0,"Missing in Data1","Present")</f>
        <v>Present</v>
      </c>
    </row>
    <row r="7331" spans="1:5" x14ac:dyDescent="0.25">
      <c r="A7331" s="2" t="s">
        <v>5600</v>
      </c>
      <c r="B7331" s="2" t="s">
        <v>606</v>
      </c>
      <c r="C7331" s="2">
        <v>5</v>
      </c>
      <c r="D7331" t="str">
        <f t="shared" si="114"/>
        <v>CA-2017-154732_OFF-BI-10000474</v>
      </c>
      <c r="E7331" t="str">
        <f>IF(COUNTIF(data1!$D:$D,D7331)=0,"Missing in Data1","Present")</f>
        <v>Present</v>
      </c>
    </row>
    <row r="7332" spans="1:5" x14ac:dyDescent="0.25">
      <c r="A7332" s="2" t="s">
        <v>6843</v>
      </c>
      <c r="B7332" s="2" t="s">
        <v>820</v>
      </c>
      <c r="C7332" s="2">
        <v>3</v>
      </c>
      <c r="D7332" t="str">
        <f t="shared" si="114"/>
        <v>CA-2017-154760_OFF-BI-10004632</v>
      </c>
      <c r="E7332" t="str">
        <f>IF(COUNTIF(data1!$D:$D,D7332)=0,"Missing in Data1","Present")</f>
        <v>Missing in Data1</v>
      </c>
    </row>
    <row r="7333" spans="1:5" x14ac:dyDescent="0.25">
      <c r="A7333" s="2" t="s">
        <v>5601</v>
      </c>
      <c r="B7333" s="2" t="s">
        <v>1261</v>
      </c>
      <c r="C7333" s="2">
        <v>8</v>
      </c>
      <c r="D7333" t="str">
        <f t="shared" si="114"/>
        <v>CA-2017-154809_OFF-AP-10004785</v>
      </c>
      <c r="E7333" t="str">
        <f>IF(COUNTIF(data1!$D:$D,D7333)=0,"Missing in Data1","Present")</f>
        <v>Present</v>
      </c>
    </row>
    <row r="7334" spans="1:5" x14ac:dyDescent="0.25">
      <c r="A7334" s="2" t="s">
        <v>5602</v>
      </c>
      <c r="B7334" s="2" t="s">
        <v>208</v>
      </c>
      <c r="C7334" s="2">
        <v>1</v>
      </c>
      <c r="D7334" t="str">
        <f t="shared" si="114"/>
        <v>CA-2017-154816_OFF-PA-10003845</v>
      </c>
      <c r="E7334" t="str">
        <f>IF(COUNTIF(data1!$D:$D,D7334)=0,"Missing in Data1","Present")</f>
        <v>Present</v>
      </c>
    </row>
    <row r="7335" spans="1:5" x14ac:dyDescent="0.25">
      <c r="A7335" s="2" t="s">
        <v>5603</v>
      </c>
      <c r="B7335" s="2" t="s">
        <v>2800</v>
      </c>
      <c r="C7335" s="2">
        <v>2</v>
      </c>
      <c r="D7335" t="str">
        <f t="shared" si="114"/>
        <v>CA-2017-154907_FUR-BO-10002824</v>
      </c>
      <c r="E7335" t="str">
        <f>IF(COUNTIF(data1!$D:$D,D7335)=0,"Missing in Data1","Present")</f>
        <v>Present</v>
      </c>
    </row>
    <row r="7336" spans="1:5" x14ac:dyDescent="0.25">
      <c r="A7336" s="2" t="s">
        <v>5604</v>
      </c>
      <c r="B7336" s="2" t="s">
        <v>227</v>
      </c>
      <c r="C7336" s="2">
        <v>3</v>
      </c>
      <c r="D7336" t="str">
        <f t="shared" si="114"/>
        <v>CA-2017-154935_OFF-BI-10003708</v>
      </c>
      <c r="E7336" t="str">
        <f>IF(COUNTIF(data1!$D:$D,D7336)=0,"Missing in Data1","Present")</f>
        <v>Present</v>
      </c>
    </row>
    <row r="7337" spans="1:5" x14ac:dyDescent="0.25">
      <c r="A7337" s="2" t="s">
        <v>6844</v>
      </c>
      <c r="B7337" s="2" t="s">
        <v>3363</v>
      </c>
      <c r="C7337" s="2">
        <v>3</v>
      </c>
      <c r="D7337" t="str">
        <f t="shared" si="114"/>
        <v>CA-2017-154949_OFF-LA-10002034</v>
      </c>
      <c r="E7337" t="str">
        <f>IF(COUNTIF(data1!$D:$D,D7337)=0,"Missing in Data1","Present")</f>
        <v>Missing in Data1</v>
      </c>
    </row>
    <row r="7338" spans="1:5" x14ac:dyDescent="0.25">
      <c r="A7338" s="2" t="s">
        <v>5605</v>
      </c>
      <c r="B7338" s="2" t="s">
        <v>904</v>
      </c>
      <c r="C7338" s="2">
        <v>1</v>
      </c>
      <c r="D7338" t="str">
        <f t="shared" si="114"/>
        <v>CA-2017-155047_OFF-AR-10003338</v>
      </c>
      <c r="E7338" t="str">
        <f>IF(COUNTIF(data1!$D:$D,D7338)=0,"Missing in Data1","Present")</f>
        <v>Present</v>
      </c>
    </row>
    <row r="7339" spans="1:5" x14ac:dyDescent="0.25">
      <c r="A7339" s="2" t="s">
        <v>5606</v>
      </c>
      <c r="B7339" s="2" t="s">
        <v>1382</v>
      </c>
      <c r="C7339" s="2">
        <v>4</v>
      </c>
      <c r="D7339" t="str">
        <f t="shared" si="114"/>
        <v>CA-2017-155075_OFF-BI-10003650</v>
      </c>
      <c r="E7339" t="str">
        <f>IF(COUNTIF(data1!$D:$D,D7339)=0,"Missing in Data1","Present")</f>
        <v>Present</v>
      </c>
    </row>
    <row r="7340" spans="1:5" x14ac:dyDescent="0.25">
      <c r="A7340" s="2" t="s">
        <v>5607</v>
      </c>
      <c r="B7340" s="2" t="s">
        <v>150</v>
      </c>
      <c r="C7340" s="2">
        <v>5</v>
      </c>
      <c r="D7340" t="str">
        <f t="shared" si="114"/>
        <v>CA-2017-155089_OFF-BI-10002429</v>
      </c>
      <c r="E7340" t="str">
        <f>IF(COUNTIF(data1!$D:$D,D7340)=0,"Missing in Data1","Present")</f>
        <v>Present</v>
      </c>
    </row>
    <row r="7341" spans="1:5" x14ac:dyDescent="0.25">
      <c r="A7341" s="2" t="s">
        <v>5608</v>
      </c>
      <c r="B7341" s="2" t="s">
        <v>409</v>
      </c>
      <c r="C7341" s="2">
        <v>4</v>
      </c>
      <c r="D7341" t="str">
        <f t="shared" si="114"/>
        <v>CA-2017-155152_TEC-AC-10004353</v>
      </c>
      <c r="E7341" t="str">
        <f>IF(COUNTIF(data1!$D:$D,D7341)=0,"Missing in Data1","Present")</f>
        <v>Present</v>
      </c>
    </row>
    <row r="7342" spans="1:5" x14ac:dyDescent="0.25">
      <c r="A7342" s="2" t="s">
        <v>5609</v>
      </c>
      <c r="B7342" s="2" t="s">
        <v>1552</v>
      </c>
      <c r="C7342" s="2">
        <v>9</v>
      </c>
      <c r="D7342" t="str">
        <f t="shared" si="114"/>
        <v>CA-2017-155159_OFF-PA-10003724</v>
      </c>
      <c r="E7342" t="str">
        <f>IF(COUNTIF(data1!$D:$D,D7342)=0,"Missing in Data1","Present")</f>
        <v>Present</v>
      </c>
    </row>
    <row r="7343" spans="1:5" x14ac:dyDescent="0.25">
      <c r="A7343" s="2" t="s">
        <v>5610</v>
      </c>
      <c r="B7343" s="2" t="s">
        <v>555</v>
      </c>
      <c r="C7343" s="2">
        <v>1</v>
      </c>
      <c r="D7343" t="str">
        <f t="shared" si="114"/>
        <v>CA-2017-155292_FUR-CH-10000553</v>
      </c>
      <c r="E7343" t="str">
        <f>IF(COUNTIF(data1!$D:$D,D7343)=0,"Missing in Data1","Present")</f>
        <v>Present</v>
      </c>
    </row>
    <row r="7344" spans="1:5" x14ac:dyDescent="0.25">
      <c r="A7344" s="2" t="s">
        <v>5610</v>
      </c>
      <c r="B7344" s="2" t="s">
        <v>27</v>
      </c>
      <c r="C7344" s="2">
        <v>8</v>
      </c>
      <c r="D7344" t="str">
        <f t="shared" si="114"/>
        <v>CA-2017-155292_OFF-LA-10001982</v>
      </c>
      <c r="E7344" t="str">
        <f>IF(COUNTIF(data1!$D:$D,D7344)=0,"Missing in Data1","Present")</f>
        <v>Present</v>
      </c>
    </row>
    <row r="7345" spans="1:5" x14ac:dyDescent="0.25">
      <c r="A7345" s="2" t="s">
        <v>5610</v>
      </c>
      <c r="B7345" s="2" t="s">
        <v>167</v>
      </c>
      <c r="C7345" s="2">
        <v>7</v>
      </c>
      <c r="D7345" t="str">
        <f t="shared" si="114"/>
        <v>CA-2017-155292_OFF-ST-10004963</v>
      </c>
      <c r="E7345" t="str">
        <f>IF(COUNTIF(data1!$D:$D,D7345)=0,"Missing in Data1","Present")</f>
        <v>Present</v>
      </c>
    </row>
    <row r="7346" spans="1:5" x14ac:dyDescent="0.25">
      <c r="A7346" s="2" t="s">
        <v>5610</v>
      </c>
      <c r="B7346" s="2" t="s">
        <v>1948</v>
      </c>
      <c r="C7346" s="2">
        <v>2</v>
      </c>
      <c r="D7346" t="str">
        <f t="shared" si="114"/>
        <v>CA-2017-155292_OFF-SU-10002573</v>
      </c>
      <c r="E7346" t="str">
        <f>IF(COUNTIF(data1!$D:$D,D7346)=0,"Missing in Data1","Present")</f>
        <v>Present</v>
      </c>
    </row>
    <row r="7347" spans="1:5" x14ac:dyDescent="0.25">
      <c r="A7347" s="2" t="s">
        <v>5611</v>
      </c>
      <c r="B7347" s="2" t="s">
        <v>932</v>
      </c>
      <c r="C7347" s="2">
        <v>2</v>
      </c>
      <c r="D7347" t="str">
        <f t="shared" si="114"/>
        <v>CA-2017-155362_OFF-ST-10001031</v>
      </c>
      <c r="E7347" t="str">
        <f>IF(COUNTIF(data1!$D:$D,D7347)=0,"Missing in Data1","Present")</f>
        <v>Present</v>
      </c>
    </row>
    <row r="7348" spans="1:5" x14ac:dyDescent="0.25">
      <c r="A7348" s="2" t="s">
        <v>5612</v>
      </c>
      <c r="B7348" s="2" t="s">
        <v>3770</v>
      </c>
      <c r="C7348" s="2">
        <v>3</v>
      </c>
      <c r="D7348" t="str">
        <f t="shared" si="114"/>
        <v>CA-2017-155376_OFF-AP-10001058</v>
      </c>
      <c r="E7348" t="str">
        <f>IF(COUNTIF(data1!$D:$D,D7348)=0,"Missing in Data1","Present")</f>
        <v>Present</v>
      </c>
    </row>
    <row r="7349" spans="1:5" x14ac:dyDescent="0.25">
      <c r="A7349" s="2" t="s">
        <v>5613</v>
      </c>
      <c r="B7349" s="2" t="s">
        <v>5266</v>
      </c>
      <c r="C7349" s="2">
        <v>5</v>
      </c>
      <c r="D7349" t="str">
        <f t="shared" si="114"/>
        <v>CA-2017-155460_OFF-BI-10003091</v>
      </c>
      <c r="E7349" t="str">
        <f>IF(COUNTIF(data1!$D:$D,D7349)=0,"Missing in Data1","Present")</f>
        <v>Present</v>
      </c>
    </row>
    <row r="7350" spans="1:5" x14ac:dyDescent="0.25">
      <c r="A7350" s="2" t="s">
        <v>5613</v>
      </c>
      <c r="B7350" s="2" t="s">
        <v>682</v>
      </c>
      <c r="C7350" s="2">
        <v>1</v>
      </c>
      <c r="D7350" t="str">
        <f t="shared" si="114"/>
        <v>CA-2017-155460_OFF-PA-10002479</v>
      </c>
      <c r="E7350" t="str">
        <f>IF(COUNTIF(data1!$D:$D,D7350)=0,"Missing in Data1","Present")</f>
        <v>Present</v>
      </c>
    </row>
    <row r="7351" spans="1:5" x14ac:dyDescent="0.25">
      <c r="A7351" s="2" t="s">
        <v>5614</v>
      </c>
      <c r="B7351" s="2" t="s">
        <v>1874</v>
      </c>
      <c r="C7351" s="2">
        <v>2</v>
      </c>
      <c r="D7351" t="str">
        <f t="shared" si="114"/>
        <v>CA-2017-155558_OFF-LA-10000134</v>
      </c>
      <c r="E7351" t="str">
        <f>IF(COUNTIF(data1!$D:$D,D7351)=0,"Missing in Data1","Present")</f>
        <v>Present</v>
      </c>
    </row>
    <row r="7352" spans="1:5" x14ac:dyDescent="0.25">
      <c r="A7352" s="2" t="s">
        <v>5614</v>
      </c>
      <c r="B7352" s="2" t="s">
        <v>2525</v>
      </c>
      <c r="C7352" s="2">
        <v>1</v>
      </c>
      <c r="D7352" t="str">
        <f t="shared" si="114"/>
        <v>CA-2017-155558_TEC-AC-10001998</v>
      </c>
      <c r="E7352" t="str">
        <f>IF(COUNTIF(data1!$D:$D,D7352)=0,"Missing in Data1","Present")</f>
        <v>Present</v>
      </c>
    </row>
    <row r="7353" spans="1:5" x14ac:dyDescent="0.25">
      <c r="A7353" s="2" t="s">
        <v>5615</v>
      </c>
      <c r="B7353" s="2" t="s">
        <v>725</v>
      </c>
      <c r="C7353" s="2">
        <v>7</v>
      </c>
      <c r="D7353" t="str">
        <f t="shared" si="114"/>
        <v>CA-2017-155607_OFF-AP-10001962</v>
      </c>
      <c r="E7353" t="str">
        <f>IF(COUNTIF(data1!$D:$D,D7353)=0,"Missing in Data1","Present")</f>
        <v>Present</v>
      </c>
    </row>
    <row r="7354" spans="1:5" x14ac:dyDescent="0.25">
      <c r="A7354" s="2" t="s">
        <v>5615</v>
      </c>
      <c r="B7354" s="2" t="s">
        <v>2638</v>
      </c>
      <c r="C7354" s="2">
        <v>4</v>
      </c>
      <c r="D7354" t="str">
        <f t="shared" si="114"/>
        <v>CA-2017-155607_OFF-BI-10003364</v>
      </c>
      <c r="E7354" t="str">
        <f>IF(COUNTIF(data1!$D:$D,D7354)=0,"Missing in Data1","Present")</f>
        <v>Missing in Data1</v>
      </c>
    </row>
    <row r="7355" spans="1:5" x14ac:dyDescent="0.25">
      <c r="A7355" s="2" t="s">
        <v>5616</v>
      </c>
      <c r="B7355" s="2" t="s">
        <v>2746</v>
      </c>
      <c r="C7355" s="2">
        <v>10</v>
      </c>
      <c r="D7355" t="str">
        <f t="shared" si="114"/>
        <v>CA-2017-155621_FUR-FU-10003535</v>
      </c>
      <c r="E7355" t="str">
        <f>IF(COUNTIF(data1!$D:$D,D7355)=0,"Missing in Data1","Present")</f>
        <v>Present</v>
      </c>
    </row>
    <row r="7356" spans="1:5" x14ac:dyDescent="0.25">
      <c r="A7356" s="2" t="s">
        <v>5617</v>
      </c>
      <c r="B7356" s="2" t="s">
        <v>1260</v>
      </c>
      <c r="C7356" s="2">
        <v>1</v>
      </c>
      <c r="D7356" t="str">
        <f t="shared" si="114"/>
        <v>CA-2017-155642_FUR-FU-10001918</v>
      </c>
      <c r="E7356" t="str">
        <f>IF(COUNTIF(data1!$D:$D,D7356)=0,"Missing in Data1","Present")</f>
        <v>Present</v>
      </c>
    </row>
    <row r="7357" spans="1:5" x14ac:dyDescent="0.25">
      <c r="A7357" s="2" t="s">
        <v>5617</v>
      </c>
      <c r="B7357" s="2" t="s">
        <v>2310</v>
      </c>
      <c r="C7357" s="2">
        <v>3</v>
      </c>
      <c r="D7357" t="str">
        <f t="shared" si="114"/>
        <v>CA-2017-155642_FUR-FU-10004973</v>
      </c>
      <c r="E7357" t="str">
        <f>IF(COUNTIF(data1!$D:$D,D7357)=0,"Missing in Data1","Present")</f>
        <v>Present</v>
      </c>
    </row>
    <row r="7358" spans="1:5" x14ac:dyDescent="0.25">
      <c r="A7358" s="2" t="s">
        <v>5618</v>
      </c>
      <c r="B7358" s="2" t="s">
        <v>5619</v>
      </c>
      <c r="C7358" s="2">
        <v>8</v>
      </c>
      <c r="D7358" t="str">
        <f t="shared" si="114"/>
        <v>CA-2017-155698_OFF-AP-10001124</v>
      </c>
      <c r="E7358" t="str">
        <f>IF(COUNTIF(data1!$D:$D,D7358)=0,"Missing in Data1","Present")</f>
        <v>Present</v>
      </c>
    </row>
    <row r="7359" spans="1:5" x14ac:dyDescent="0.25">
      <c r="A7359" s="2" t="s">
        <v>5618</v>
      </c>
      <c r="B7359" s="2" t="s">
        <v>775</v>
      </c>
      <c r="C7359" s="2">
        <v>2</v>
      </c>
      <c r="D7359" t="str">
        <f t="shared" si="114"/>
        <v>CA-2017-155698_OFF-LA-10001158</v>
      </c>
      <c r="E7359" t="str">
        <f>IF(COUNTIF(data1!$D:$D,D7359)=0,"Missing in Data1","Present")</f>
        <v>Present</v>
      </c>
    </row>
    <row r="7360" spans="1:5" x14ac:dyDescent="0.25">
      <c r="A7360" s="2" t="s">
        <v>5620</v>
      </c>
      <c r="B7360" s="2" t="s">
        <v>1430</v>
      </c>
      <c r="C7360" s="2">
        <v>4</v>
      </c>
      <c r="D7360" t="str">
        <f t="shared" si="114"/>
        <v>CA-2017-155705_FUR-CH-10000015</v>
      </c>
      <c r="E7360" t="str">
        <f>IF(COUNTIF(data1!$D:$D,D7360)=0,"Missing in Data1","Present")</f>
        <v>Present</v>
      </c>
    </row>
    <row r="7361" spans="1:5" x14ac:dyDescent="0.25">
      <c r="A7361" s="2" t="s">
        <v>5621</v>
      </c>
      <c r="B7361" s="2" t="s">
        <v>2608</v>
      </c>
      <c r="C7361" s="2">
        <v>2</v>
      </c>
      <c r="D7361" t="str">
        <f t="shared" si="114"/>
        <v>CA-2017-155712_OFF-BI-10004224</v>
      </c>
      <c r="E7361" t="str">
        <f>IF(COUNTIF(data1!$D:$D,D7361)=0,"Missing in Data1","Present")</f>
        <v>Present</v>
      </c>
    </row>
    <row r="7362" spans="1:5" x14ac:dyDescent="0.25">
      <c r="A7362" s="2" t="s">
        <v>5622</v>
      </c>
      <c r="B7362" s="2" t="s">
        <v>921</v>
      </c>
      <c r="C7362" s="2">
        <v>4</v>
      </c>
      <c r="D7362" t="str">
        <f t="shared" si="114"/>
        <v>CA-2017-155740_OFF-BI-10001071</v>
      </c>
      <c r="E7362" t="str">
        <f>IF(COUNTIF(data1!$D:$D,D7362)=0,"Missing in Data1","Present")</f>
        <v>Present</v>
      </c>
    </row>
    <row r="7363" spans="1:5" x14ac:dyDescent="0.25">
      <c r="A7363" s="2" t="s">
        <v>5623</v>
      </c>
      <c r="B7363" s="2" t="s">
        <v>5624</v>
      </c>
      <c r="C7363" s="2">
        <v>1</v>
      </c>
      <c r="D7363" t="str">
        <f t="shared" ref="D7363:D7426" si="115">A7363&amp;"_"&amp;B7363</f>
        <v>CA-2017-155824_OFF-AP-10000390</v>
      </c>
      <c r="E7363" t="str">
        <f>IF(COUNTIF(data1!$D:$D,D7363)=0,"Missing in Data1","Present")</f>
        <v>Present</v>
      </c>
    </row>
    <row r="7364" spans="1:5" x14ac:dyDescent="0.25">
      <c r="A7364" s="2" t="s">
        <v>5623</v>
      </c>
      <c r="B7364" s="2" t="s">
        <v>2658</v>
      </c>
      <c r="C7364" s="2">
        <v>4</v>
      </c>
      <c r="D7364" t="str">
        <f t="shared" si="115"/>
        <v>CA-2017-155824_OFF-BI-10000014</v>
      </c>
      <c r="E7364" t="str">
        <f>IF(COUNTIF(data1!$D:$D,D7364)=0,"Missing in Data1","Present")</f>
        <v>Present</v>
      </c>
    </row>
    <row r="7365" spans="1:5" x14ac:dyDescent="0.25">
      <c r="A7365" s="2" t="s">
        <v>5625</v>
      </c>
      <c r="B7365" s="2" t="s">
        <v>3502</v>
      </c>
      <c r="C7365" s="2">
        <v>3</v>
      </c>
      <c r="D7365" t="str">
        <f t="shared" si="115"/>
        <v>CA-2017-155873_OFF-PA-10001246</v>
      </c>
      <c r="E7365" t="str">
        <f>IF(COUNTIF(data1!$D:$D,D7365)=0,"Missing in Data1","Present")</f>
        <v>Present</v>
      </c>
    </row>
    <row r="7366" spans="1:5" x14ac:dyDescent="0.25">
      <c r="A7366" s="2" t="s">
        <v>5625</v>
      </c>
      <c r="B7366" s="2" t="s">
        <v>2141</v>
      </c>
      <c r="C7366" s="2">
        <v>2</v>
      </c>
      <c r="D7366" t="str">
        <f t="shared" si="115"/>
        <v>CA-2017-155873_OFF-SU-10001165</v>
      </c>
      <c r="E7366" t="str">
        <f>IF(COUNTIF(data1!$D:$D,D7366)=0,"Missing in Data1","Present")</f>
        <v>Present</v>
      </c>
    </row>
    <row r="7367" spans="1:5" x14ac:dyDescent="0.25">
      <c r="A7367" s="2" t="s">
        <v>5626</v>
      </c>
      <c r="B7367" s="2" t="s">
        <v>335</v>
      </c>
      <c r="C7367" s="2">
        <v>1</v>
      </c>
      <c r="D7367" t="str">
        <f t="shared" si="115"/>
        <v>CA-2017-155880_FUR-CH-10000422</v>
      </c>
      <c r="E7367" t="str">
        <f>IF(COUNTIF(data1!$D:$D,D7367)=0,"Missing in Data1","Present")</f>
        <v>Present</v>
      </c>
    </row>
    <row r="7368" spans="1:5" x14ac:dyDescent="0.25">
      <c r="A7368" s="2" t="s">
        <v>5626</v>
      </c>
      <c r="B7368" s="2" t="s">
        <v>1497</v>
      </c>
      <c r="C7368" s="2">
        <v>3</v>
      </c>
      <c r="D7368" t="str">
        <f t="shared" si="115"/>
        <v>CA-2017-155880_FUR-CH-10002880</v>
      </c>
      <c r="E7368" t="str">
        <f>IF(COUNTIF(data1!$D:$D,D7368)=0,"Missing in Data1","Present")</f>
        <v>Present</v>
      </c>
    </row>
    <row r="7369" spans="1:5" x14ac:dyDescent="0.25">
      <c r="A7369" s="2" t="s">
        <v>5626</v>
      </c>
      <c r="B7369" s="2" t="s">
        <v>62</v>
      </c>
      <c r="C7369" s="2">
        <v>7</v>
      </c>
      <c r="D7369" t="str">
        <f t="shared" si="115"/>
        <v>CA-2017-155880_FUR-CH-10004675</v>
      </c>
      <c r="E7369" t="str">
        <f>IF(COUNTIF(data1!$D:$D,D7369)=0,"Missing in Data1","Present")</f>
        <v>Present</v>
      </c>
    </row>
    <row r="7370" spans="1:5" x14ac:dyDescent="0.25">
      <c r="A7370" s="2" t="s">
        <v>6845</v>
      </c>
      <c r="B7370" s="2" t="s">
        <v>4991</v>
      </c>
      <c r="C7370" s="2">
        <v>2</v>
      </c>
      <c r="D7370" t="str">
        <f t="shared" si="115"/>
        <v>CA-2017-155929_OFF-PA-10000859</v>
      </c>
      <c r="E7370" t="str">
        <f>IF(COUNTIF(data1!$D:$D,D7370)=0,"Missing in Data1","Present")</f>
        <v>Missing in Data1</v>
      </c>
    </row>
    <row r="7371" spans="1:5" x14ac:dyDescent="0.25">
      <c r="A7371" s="2" t="s">
        <v>5627</v>
      </c>
      <c r="B7371" s="2" t="s">
        <v>1338</v>
      </c>
      <c r="C7371" s="2">
        <v>3</v>
      </c>
      <c r="D7371" t="str">
        <f t="shared" si="115"/>
        <v>CA-2017-155936_OFF-BI-10002432</v>
      </c>
      <c r="E7371" t="str">
        <f>IF(COUNTIF(data1!$D:$D,D7371)=0,"Missing in Data1","Present")</f>
        <v>Present</v>
      </c>
    </row>
    <row r="7372" spans="1:5" x14ac:dyDescent="0.25">
      <c r="A7372" s="2" t="s">
        <v>5628</v>
      </c>
      <c r="B7372" s="2" t="s">
        <v>3152</v>
      </c>
      <c r="C7372" s="2">
        <v>3</v>
      </c>
      <c r="D7372" t="str">
        <f t="shared" si="115"/>
        <v>CA-2017-155957_OFF-AP-10002082</v>
      </c>
      <c r="E7372" t="str">
        <f>IF(COUNTIF(data1!$D:$D,D7372)=0,"Missing in Data1","Present")</f>
        <v>Present</v>
      </c>
    </row>
    <row r="7373" spans="1:5" x14ac:dyDescent="0.25">
      <c r="A7373" s="2" t="s">
        <v>5628</v>
      </c>
      <c r="B7373" s="2" t="s">
        <v>326</v>
      </c>
      <c r="C7373" s="2">
        <v>7</v>
      </c>
      <c r="D7373" t="str">
        <f t="shared" si="115"/>
        <v>CA-2017-155957_OFF-AP-10004708</v>
      </c>
      <c r="E7373" t="str">
        <f>IF(COUNTIF(data1!$D:$D,D7373)=0,"Missing in Data1","Present")</f>
        <v>Present</v>
      </c>
    </row>
    <row r="7374" spans="1:5" x14ac:dyDescent="0.25">
      <c r="A7374" s="2" t="s">
        <v>5629</v>
      </c>
      <c r="B7374" s="2" t="s">
        <v>669</v>
      </c>
      <c r="C7374" s="2">
        <v>8</v>
      </c>
      <c r="D7374" t="str">
        <f t="shared" si="115"/>
        <v>CA-2017-155985_FUR-FU-10000758</v>
      </c>
      <c r="E7374" t="str">
        <f>IF(COUNTIF(data1!$D:$D,D7374)=0,"Missing in Data1","Present")</f>
        <v>Present</v>
      </c>
    </row>
    <row r="7375" spans="1:5" x14ac:dyDescent="0.25">
      <c r="A7375" s="2" t="s">
        <v>5630</v>
      </c>
      <c r="B7375" s="2" t="s">
        <v>137</v>
      </c>
      <c r="C7375" s="2">
        <v>3</v>
      </c>
      <c r="D7375" t="str">
        <f t="shared" si="115"/>
        <v>CA-2017-156139_OFF-BI-10004233</v>
      </c>
      <c r="E7375" t="str">
        <f>IF(COUNTIF(data1!$D:$D,D7375)=0,"Missing in Data1","Present")</f>
        <v>Present</v>
      </c>
    </row>
    <row r="7376" spans="1:5" x14ac:dyDescent="0.25">
      <c r="A7376" s="2" t="s">
        <v>5631</v>
      </c>
      <c r="B7376" s="2" t="s">
        <v>733</v>
      </c>
      <c r="C7376" s="2">
        <v>2</v>
      </c>
      <c r="D7376" t="str">
        <f t="shared" si="115"/>
        <v>CA-2017-156237_FUR-CH-10002372</v>
      </c>
      <c r="E7376" t="str">
        <f>IF(COUNTIF(data1!$D:$D,D7376)=0,"Missing in Data1","Present")</f>
        <v>Present</v>
      </c>
    </row>
    <row r="7377" spans="1:5" x14ac:dyDescent="0.25">
      <c r="A7377" s="2" t="s">
        <v>5631</v>
      </c>
      <c r="B7377" s="2" t="s">
        <v>1692</v>
      </c>
      <c r="C7377" s="2">
        <v>8</v>
      </c>
      <c r="D7377" t="str">
        <f t="shared" si="115"/>
        <v>CA-2017-156237_FUR-FU-10001057</v>
      </c>
      <c r="E7377" t="str">
        <f>IF(COUNTIF(data1!$D:$D,D7377)=0,"Missing in Data1","Present")</f>
        <v>Missing in Data1</v>
      </c>
    </row>
    <row r="7378" spans="1:5" x14ac:dyDescent="0.25">
      <c r="A7378" s="2" t="s">
        <v>5631</v>
      </c>
      <c r="B7378" s="2" t="s">
        <v>3260</v>
      </c>
      <c r="C7378" s="2">
        <v>2</v>
      </c>
      <c r="D7378" t="str">
        <f t="shared" si="115"/>
        <v>CA-2017-156237_OFF-BI-10000301</v>
      </c>
      <c r="E7378" t="str">
        <f>IF(COUNTIF(data1!$D:$D,D7378)=0,"Missing in Data1","Present")</f>
        <v>Present</v>
      </c>
    </row>
    <row r="7379" spans="1:5" x14ac:dyDescent="0.25">
      <c r="A7379" s="2" t="s">
        <v>5631</v>
      </c>
      <c r="B7379" s="2" t="s">
        <v>2040</v>
      </c>
      <c r="C7379" s="2">
        <v>4</v>
      </c>
      <c r="D7379" t="str">
        <f t="shared" si="115"/>
        <v>CA-2017-156237_OFF-BI-10003707</v>
      </c>
      <c r="E7379" t="str">
        <f>IF(COUNTIF(data1!$D:$D,D7379)=0,"Missing in Data1","Present")</f>
        <v>Present</v>
      </c>
    </row>
    <row r="7380" spans="1:5" x14ac:dyDescent="0.25">
      <c r="A7380" s="2" t="s">
        <v>5631</v>
      </c>
      <c r="B7380" s="2" t="s">
        <v>2318</v>
      </c>
      <c r="C7380" s="2">
        <v>2</v>
      </c>
      <c r="D7380" t="str">
        <f t="shared" si="115"/>
        <v>CA-2017-156237_TEC-MA-10001681</v>
      </c>
      <c r="E7380" t="str">
        <f>IF(COUNTIF(data1!$D:$D,D7380)=0,"Missing in Data1","Present")</f>
        <v>Missing in Data1</v>
      </c>
    </row>
    <row r="7381" spans="1:5" x14ac:dyDescent="0.25">
      <c r="A7381" s="2" t="s">
        <v>5631</v>
      </c>
      <c r="B7381" s="2" t="s">
        <v>2036</v>
      </c>
      <c r="C7381" s="2">
        <v>1</v>
      </c>
      <c r="D7381" t="str">
        <f t="shared" si="115"/>
        <v>CA-2017-156237_TEC-MA-10002930</v>
      </c>
      <c r="E7381" t="str">
        <f>IF(COUNTIF(data1!$D:$D,D7381)=0,"Missing in Data1","Present")</f>
        <v>Present</v>
      </c>
    </row>
    <row r="7382" spans="1:5" x14ac:dyDescent="0.25">
      <c r="A7382" s="2" t="s">
        <v>5632</v>
      </c>
      <c r="B7382" s="2" t="s">
        <v>3173</v>
      </c>
      <c r="C7382" s="2">
        <v>1</v>
      </c>
      <c r="D7382" t="str">
        <f t="shared" si="115"/>
        <v>CA-2017-156272_OFF-AP-10001242</v>
      </c>
      <c r="E7382" t="str">
        <f>IF(COUNTIF(data1!$D:$D,D7382)=0,"Missing in Data1","Present")</f>
        <v>Present</v>
      </c>
    </row>
    <row r="7383" spans="1:5" x14ac:dyDescent="0.25">
      <c r="A7383" s="2" t="s">
        <v>5633</v>
      </c>
      <c r="B7383" s="2" t="s">
        <v>2143</v>
      </c>
      <c r="C7383" s="2">
        <v>4</v>
      </c>
      <c r="D7383" t="str">
        <f t="shared" si="115"/>
        <v>CA-2017-156363_OFF-EN-10003068</v>
      </c>
      <c r="E7383" t="str">
        <f>IF(COUNTIF(data1!$D:$D,D7383)=0,"Missing in Data1","Present")</f>
        <v>Present</v>
      </c>
    </row>
    <row r="7384" spans="1:5" x14ac:dyDescent="0.25">
      <c r="A7384" s="2" t="s">
        <v>5633</v>
      </c>
      <c r="B7384" s="2" t="s">
        <v>1616</v>
      </c>
      <c r="C7384" s="2">
        <v>5</v>
      </c>
      <c r="D7384" t="str">
        <f t="shared" si="115"/>
        <v>CA-2017-156363_TEC-PH-10003988</v>
      </c>
      <c r="E7384" t="str">
        <f>IF(COUNTIF(data1!$D:$D,D7384)=0,"Missing in Data1","Present")</f>
        <v>Present</v>
      </c>
    </row>
    <row r="7385" spans="1:5" x14ac:dyDescent="0.25">
      <c r="A7385" s="2" t="s">
        <v>5634</v>
      </c>
      <c r="B7385" s="2" t="s">
        <v>1920</v>
      </c>
      <c r="C7385" s="2">
        <v>1</v>
      </c>
      <c r="D7385" t="str">
        <f t="shared" si="115"/>
        <v>CA-2017-156391_OFF-AR-10003251</v>
      </c>
      <c r="E7385" t="str">
        <f>IF(COUNTIF(data1!$D:$D,D7385)=0,"Missing in Data1","Present")</f>
        <v>Present</v>
      </c>
    </row>
    <row r="7386" spans="1:5" x14ac:dyDescent="0.25">
      <c r="A7386" s="2" t="s">
        <v>5635</v>
      </c>
      <c r="B7386" s="2" t="s">
        <v>432</v>
      </c>
      <c r="C7386" s="2">
        <v>3</v>
      </c>
      <c r="D7386" t="str">
        <f t="shared" si="115"/>
        <v>CA-2017-156412_OFF-BI-10004364</v>
      </c>
      <c r="E7386" t="str">
        <f>IF(COUNTIF(data1!$D:$D,D7386)=0,"Missing in Data1","Present")</f>
        <v>Present</v>
      </c>
    </row>
    <row r="7387" spans="1:5" x14ac:dyDescent="0.25">
      <c r="A7387" s="2" t="s">
        <v>5636</v>
      </c>
      <c r="B7387" s="2" t="s">
        <v>770</v>
      </c>
      <c r="C7387" s="2">
        <v>1</v>
      </c>
      <c r="D7387" t="str">
        <f t="shared" si="115"/>
        <v>CA-2017-156622_FUR-TA-10003008</v>
      </c>
      <c r="E7387" t="str">
        <f>IF(COUNTIF(data1!$D:$D,D7387)=0,"Missing in Data1","Present")</f>
        <v>Present</v>
      </c>
    </row>
    <row r="7388" spans="1:5" x14ac:dyDescent="0.25">
      <c r="A7388" s="2" t="s">
        <v>5636</v>
      </c>
      <c r="B7388" s="2" t="s">
        <v>2040</v>
      </c>
      <c r="C7388" s="2">
        <v>2</v>
      </c>
      <c r="D7388" t="str">
        <f t="shared" si="115"/>
        <v>CA-2017-156622_OFF-BI-10003707</v>
      </c>
      <c r="E7388" t="str">
        <f>IF(COUNTIF(data1!$D:$D,D7388)=0,"Missing in Data1","Present")</f>
        <v>Present</v>
      </c>
    </row>
    <row r="7389" spans="1:5" x14ac:dyDescent="0.25">
      <c r="A7389" s="2" t="s">
        <v>5636</v>
      </c>
      <c r="B7389" s="2" t="s">
        <v>250</v>
      </c>
      <c r="C7389" s="2">
        <v>7</v>
      </c>
      <c r="D7389" t="str">
        <f t="shared" si="115"/>
        <v>CA-2017-156622_OFF-PA-10000477</v>
      </c>
      <c r="E7389" t="str">
        <f>IF(COUNTIF(data1!$D:$D,D7389)=0,"Missing in Data1","Present")</f>
        <v>Present</v>
      </c>
    </row>
    <row r="7390" spans="1:5" x14ac:dyDescent="0.25">
      <c r="A7390" s="2" t="s">
        <v>5636</v>
      </c>
      <c r="B7390" s="2" t="s">
        <v>1262</v>
      </c>
      <c r="C7390" s="2">
        <v>2</v>
      </c>
      <c r="D7390" t="str">
        <f t="shared" si="115"/>
        <v>CA-2017-156622_OFF-PA-10002923</v>
      </c>
      <c r="E7390" t="str">
        <f>IF(COUNTIF(data1!$D:$D,D7390)=0,"Missing in Data1","Present")</f>
        <v>Present</v>
      </c>
    </row>
    <row r="7391" spans="1:5" x14ac:dyDescent="0.25">
      <c r="A7391" s="2" t="s">
        <v>5637</v>
      </c>
      <c r="B7391" s="2" t="s">
        <v>2088</v>
      </c>
      <c r="C7391" s="2">
        <v>2</v>
      </c>
      <c r="D7391" t="str">
        <f t="shared" si="115"/>
        <v>CA-2017-156664_OFF-AP-10004487</v>
      </c>
      <c r="E7391" t="str">
        <f>IF(COUNTIF(data1!$D:$D,D7391)=0,"Missing in Data1","Present")</f>
        <v>Present</v>
      </c>
    </row>
    <row r="7392" spans="1:5" x14ac:dyDescent="0.25">
      <c r="A7392" s="2" t="s">
        <v>5637</v>
      </c>
      <c r="B7392" s="2" t="s">
        <v>248</v>
      </c>
      <c r="C7392" s="2">
        <v>3</v>
      </c>
      <c r="D7392" t="str">
        <f t="shared" si="115"/>
        <v>CA-2017-156664_OFF-BI-10004209</v>
      </c>
      <c r="E7392" t="str">
        <f>IF(COUNTIF(data1!$D:$D,D7392)=0,"Missing in Data1","Present")</f>
        <v>Present</v>
      </c>
    </row>
    <row r="7393" spans="1:5" x14ac:dyDescent="0.25">
      <c r="A7393" s="2" t="s">
        <v>5637</v>
      </c>
      <c r="B7393" s="2" t="s">
        <v>1808</v>
      </c>
      <c r="C7393" s="2">
        <v>3</v>
      </c>
      <c r="D7393" t="str">
        <f t="shared" si="115"/>
        <v>CA-2017-156664_OFF-FA-10002988</v>
      </c>
      <c r="E7393" t="str">
        <f>IF(COUNTIF(data1!$D:$D,D7393)=0,"Missing in Data1","Present")</f>
        <v>Present</v>
      </c>
    </row>
    <row r="7394" spans="1:5" x14ac:dyDescent="0.25">
      <c r="A7394" s="2" t="s">
        <v>5637</v>
      </c>
      <c r="B7394" s="2" t="s">
        <v>2628</v>
      </c>
      <c r="C7394" s="2">
        <v>5</v>
      </c>
      <c r="D7394" t="str">
        <f t="shared" si="115"/>
        <v>CA-2017-156664_OFF-PA-10002222</v>
      </c>
      <c r="E7394" t="str">
        <f>IF(COUNTIF(data1!$D:$D,D7394)=0,"Missing in Data1","Present")</f>
        <v>Missing in Data1</v>
      </c>
    </row>
    <row r="7395" spans="1:5" x14ac:dyDescent="0.25">
      <c r="A7395" s="2" t="s">
        <v>5638</v>
      </c>
      <c r="B7395" s="2" t="s">
        <v>1859</v>
      </c>
      <c r="C7395" s="2">
        <v>3</v>
      </c>
      <c r="D7395" t="str">
        <f t="shared" si="115"/>
        <v>CA-2017-156720_OFF-FA-10003472</v>
      </c>
      <c r="E7395" t="str">
        <f>IF(COUNTIF(data1!$D:$D,D7395)=0,"Missing in Data1","Present")</f>
        <v>Present</v>
      </c>
    </row>
    <row r="7396" spans="1:5" x14ac:dyDescent="0.25">
      <c r="A7396" s="2" t="s">
        <v>5639</v>
      </c>
      <c r="B7396" s="2" t="s">
        <v>210</v>
      </c>
      <c r="C7396" s="2">
        <v>6</v>
      </c>
      <c r="D7396" t="str">
        <f t="shared" si="115"/>
        <v>CA-2017-156769_OFF-AR-10003179</v>
      </c>
      <c r="E7396" t="str">
        <f>IF(COUNTIF(data1!$D:$D,D7396)=0,"Missing in Data1","Present")</f>
        <v>Present</v>
      </c>
    </row>
    <row r="7397" spans="1:5" x14ac:dyDescent="0.25">
      <c r="A7397" s="2" t="s">
        <v>5640</v>
      </c>
      <c r="B7397" s="2" t="s">
        <v>5641</v>
      </c>
      <c r="C7397" s="2">
        <v>1</v>
      </c>
      <c r="D7397" t="str">
        <f t="shared" si="115"/>
        <v>CA-2017-156776_FUR-CH-10002317</v>
      </c>
      <c r="E7397" t="str">
        <f>IF(COUNTIF(data1!$D:$D,D7397)=0,"Missing in Data1","Present")</f>
        <v>Present</v>
      </c>
    </row>
    <row r="7398" spans="1:5" x14ac:dyDescent="0.25">
      <c r="A7398" s="2" t="s">
        <v>5640</v>
      </c>
      <c r="B7398" s="2" t="s">
        <v>2725</v>
      </c>
      <c r="C7398" s="2">
        <v>1</v>
      </c>
      <c r="D7398" t="str">
        <f t="shared" si="115"/>
        <v>CA-2017-156776_FUR-FU-10004848</v>
      </c>
      <c r="E7398" t="str">
        <f>IF(COUNTIF(data1!$D:$D,D7398)=0,"Missing in Data1","Present")</f>
        <v>Present</v>
      </c>
    </row>
    <row r="7399" spans="1:5" x14ac:dyDescent="0.25">
      <c r="A7399" s="2" t="s">
        <v>5640</v>
      </c>
      <c r="B7399" s="2" t="s">
        <v>947</v>
      </c>
      <c r="C7399" s="2">
        <v>5</v>
      </c>
      <c r="D7399" t="str">
        <f t="shared" si="115"/>
        <v>CA-2017-156776_OFF-AP-10002534</v>
      </c>
      <c r="E7399" t="str">
        <f>IF(COUNTIF(data1!$D:$D,D7399)=0,"Missing in Data1","Present")</f>
        <v>Present</v>
      </c>
    </row>
    <row r="7400" spans="1:5" x14ac:dyDescent="0.25">
      <c r="A7400" s="2" t="s">
        <v>5640</v>
      </c>
      <c r="B7400" s="2" t="s">
        <v>4685</v>
      </c>
      <c r="C7400" s="2">
        <v>3</v>
      </c>
      <c r="D7400" t="str">
        <f t="shared" si="115"/>
        <v>CA-2017-156776_OFF-BI-10000216</v>
      </c>
      <c r="E7400" t="str">
        <f>IF(COUNTIF(data1!$D:$D,D7400)=0,"Missing in Data1","Present")</f>
        <v>Present</v>
      </c>
    </row>
    <row r="7401" spans="1:5" x14ac:dyDescent="0.25">
      <c r="A7401" s="2" t="s">
        <v>5640</v>
      </c>
      <c r="B7401" s="2" t="s">
        <v>1478</v>
      </c>
      <c r="C7401" s="2">
        <v>3</v>
      </c>
      <c r="D7401" t="str">
        <f t="shared" si="115"/>
        <v>CA-2017-156776_OFF-BI-10003355</v>
      </c>
      <c r="E7401" t="str">
        <f>IF(COUNTIF(data1!$D:$D,D7401)=0,"Missing in Data1","Present")</f>
        <v>Present</v>
      </c>
    </row>
    <row r="7402" spans="1:5" x14ac:dyDescent="0.25">
      <c r="A7402" s="2" t="s">
        <v>5640</v>
      </c>
      <c r="B7402" s="2" t="s">
        <v>1039</v>
      </c>
      <c r="C7402" s="2">
        <v>2</v>
      </c>
      <c r="D7402" t="str">
        <f t="shared" si="115"/>
        <v>CA-2017-156776_OFF-PA-10001970</v>
      </c>
      <c r="E7402" t="str">
        <f>IF(COUNTIF(data1!$D:$D,D7402)=0,"Missing in Data1","Present")</f>
        <v>Present</v>
      </c>
    </row>
    <row r="7403" spans="1:5" x14ac:dyDescent="0.25">
      <c r="A7403" s="2" t="s">
        <v>5640</v>
      </c>
      <c r="B7403" s="2" t="s">
        <v>3958</v>
      </c>
      <c r="C7403" s="2">
        <v>4</v>
      </c>
      <c r="D7403" t="str">
        <f t="shared" si="115"/>
        <v>CA-2017-156776_TEC-AC-10004803</v>
      </c>
      <c r="E7403" t="str">
        <f>IF(COUNTIF(data1!$D:$D,D7403)=0,"Missing in Data1","Present")</f>
        <v>Present</v>
      </c>
    </row>
    <row r="7404" spans="1:5" x14ac:dyDescent="0.25">
      <c r="A7404" s="2" t="s">
        <v>5640</v>
      </c>
      <c r="B7404" s="2" t="s">
        <v>1566</v>
      </c>
      <c r="C7404" s="2">
        <v>3</v>
      </c>
      <c r="D7404" t="str">
        <f t="shared" si="115"/>
        <v>CA-2017-156776_TEC-PH-10002415</v>
      </c>
      <c r="E7404" t="str">
        <f>IF(COUNTIF(data1!$D:$D,D7404)=0,"Missing in Data1","Present")</f>
        <v>Present</v>
      </c>
    </row>
    <row r="7405" spans="1:5" x14ac:dyDescent="0.25">
      <c r="A7405" s="2" t="s">
        <v>5642</v>
      </c>
      <c r="B7405" s="2" t="s">
        <v>731</v>
      </c>
      <c r="C7405" s="2">
        <v>6</v>
      </c>
      <c r="D7405" t="str">
        <f t="shared" si="115"/>
        <v>CA-2017-156818_TEC-AC-10002323</v>
      </c>
      <c r="E7405" t="str">
        <f>IF(COUNTIF(data1!$D:$D,D7405)=0,"Missing in Data1","Present")</f>
        <v>Present</v>
      </c>
    </row>
    <row r="7406" spans="1:5" x14ac:dyDescent="0.25">
      <c r="A7406" s="2" t="s">
        <v>5643</v>
      </c>
      <c r="B7406" s="2" t="s">
        <v>1857</v>
      </c>
      <c r="C7406" s="2">
        <v>3</v>
      </c>
      <c r="D7406" t="str">
        <f t="shared" si="115"/>
        <v>CA-2017-156895_FUR-CH-10003535</v>
      </c>
      <c r="E7406" t="str">
        <f>IF(COUNTIF(data1!$D:$D,D7406)=0,"Missing in Data1","Present")</f>
        <v>Present</v>
      </c>
    </row>
    <row r="7407" spans="1:5" x14ac:dyDescent="0.25">
      <c r="A7407" s="2" t="s">
        <v>5644</v>
      </c>
      <c r="B7407" s="2" t="s">
        <v>680</v>
      </c>
      <c r="C7407" s="2">
        <v>3</v>
      </c>
      <c r="D7407" t="str">
        <f t="shared" si="115"/>
        <v>CA-2017-156951_FUR-CH-10004997</v>
      </c>
      <c r="E7407" t="str">
        <f>IF(COUNTIF(data1!$D:$D,D7407)=0,"Missing in Data1","Present")</f>
        <v>Present</v>
      </c>
    </row>
    <row r="7408" spans="1:5" x14ac:dyDescent="0.25">
      <c r="A7408" s="2" t="s">
        <v>5644</v>
      </c>
      <c r="B7408" s="2" t="s">
        <v>534</v>
      </c>
      <c r="C7408" s="2">
        <v>7</v>
      </c>
      <c r="D7408" t="str">
        <f t="shared" si="115"/>
        <v>CA-2017-156951_OFF-BI-10001107</v>
      </c>
      <c r="E7408" t="str">
        <f>IF(COUNTIF(data1!$D:$D,D7408)=0,"Missing in Data1","Present")</f>
        <v>Present</v>
      </c>
    </row>
    <row r="7409" spans="1:5" x14ac:dyDescent="0.25">
      <c r="A7409" s="2" t="s">
        <v>5644</v>
      </c>
      <c r="B7409" s="2" t="s">
        <v>2683</v>
      </c>
      <c r="C7409" s="2">
        <v>3</v>
      </c>
      <c r="D7409" t="str">
        <f t="shared" si="115"/>
        <v>CA-2017-156951_OFF-PA-10004451</v>
      </c>
      <c r="E7409" t="str">
        <f>IF(COUNTIF(data1!$D:$D,D7409)=0,"Missing in Data1","Present")</f>
        <v>Present</v>
      </c>
    </row>
    <row r="7410" spans="1:5" x14ac:dyDescent="0.25">
      <c r="A7410" s="2" t="s">
        <v>5644</v>
      </c>
      <c r="B7410" s="2" t="s">
        <v>386</v>
      </c>
      <c r="C7410" s="2">
        <v>8</v>
      </c>
      <c r="D7410" t="str">
        <f t="shared" si="115"/>
        <v>CA-2017-156951_OFF-PA-10004530</v>
      </c>
      <c r="E7410" t="str">
        <f>IF(COUNTIF(data1!$D:$D,D7410)=0,"Missing in Data1","Present")</f>
        <v>Present</v>
      </c>
    </row>
    <row r="7411" spans="1:5" x14ac:dyDescent="0.25">
      <c r="A7411" s="2" t="s">
        <v>5645</v>
      </c>
      <c r="B7411" s="2" t="s">
        <v>1781</v>
      </c>
      <c r="C7411" s="2">
        <v>5</v>
      </c>
      <c r="D7411" t="str">
        <f t="shared" si="115"/>
        <v>CA-2017-156958_FUR-FU-10003268</v>
      </c>
      <c r="E7411" t="str">
        <f>IF(COUNTIF(data1!$D:$D,D7411)=0,"Missing in Data1","Present")</f>
        <v>Present</v>
      </c>
    </row>
    <row r="7412" spans="1:5" x14ac:dyDescent="0.25">
      <c r="A7412" s="2" t="s">
        <v>5645</v>
      </c>
      <c r="B7412" s="2" t="s">
        <v>1815</v>
      </c>
      <c r="C7412" s="2">
        <v>5</v>
      </c>
      <c r="D7412" t="str">
        <f t="shared" si="115"/>
        <v>CA-2017-156958_OFF-BI-10001524</v>
      </c>
      <c r="E7412" t="str">
        <f>IF(COUNTIF(data1!$D:$D,D7412)=0,"Missing in Data1","Present")</f>
        <v>Present</v>
      </c>
    </row>
    <row r="7413" spans="1:5" x14ac:dyDescent="0.25">
      <c r="A7413" s="2" t="s">
        <v>5645</v>
      </c>
      <c r="B7413" s="2" t="s">
        <v>1413</v>
      </c>
      <c r="C7413" s="2">
        <v>6</v>
      </c>
      <c r="D7413" t="str">
        <f t="shared" si="115"/>
        <v>CA-2017-156958_OFF-BI-10001543</v>
      </c>
      <c r="E7413" t="str">
        <f>IF(COUNTIF(data1!$D:$D,D7413)=0,"Missing in Data1","Present")</f>
        <v>Present</v>
      </c>
    </row>
    <row r="7414" spans="1:5" x14ac:dyDescent="0.25">
      <c r="A7414" s="2" t="s">
        <v>5645</v>
      </c>
      <c r="B7414" s="2" t="s">
        <v>2262</v>
      </c>
      <c r="C7414" s="2">
        <v>2</v>
      </c>
      <c r="D7414" t="str">
        <f t="shared" si="115"/>
        <v>CA-2017-156958_OFF-BI-10002071</v>
      </c>
      <c r="E7414" t="str">
        <f>IF(COUNTIF(data1!$D:$D,D7414)=0,"Missing in Data1","Present")</f>
        <v>Present</v>
      </c>
    </row>
    <row r="7415" spans="1:5" x14ac:dyDescent="0.25">
      <c r="A7415" s="2" t="s">
        <v>5645</v>
      </c>
      <c r="B7415" s="2" t="s">
        <v>3666</v>
      </c>
      <c r="C7415" s="2">
        <v>3</v>
      </c>
      <c r="D7415" t="str">
        <f t="shared" si="115"/>
        <v>CA-2017-156958_TEC-PH-10000148</v>
      </c>
      <c r="E7415" t="str">
        <f>IF(COUNTIF(data1!$D:$D,D7415)=0,"Missing in Data1","Present")</f>
        <v>Present</v>
      </c>
    </row>
    <row r="7416" spans="1:5" x14ac:dyDescent="0.25">
      <c r="A7416" s="2" t="s">
        <v>5646</v>
      </c>
      <c r="B7416" s="2" t="s">
        <v>5063</v>
      </c>
      <c r="C7416" s="2">
        <v>5</v>
      </c>
      <c r="D7416" t="str">
        <f t="shared" si="115"/>
        <v>CA-2017-157091_FUR-FU-10000293</v>
      </c>
      <c r="E7416" t="str">
        <f>IF(COUNTIF(data1!$D:$D,D7416)=0,"Missing in Data1","Present")</f>
        <v>Present</v>
      </c>
    </row>
    <row r="7417" spans="1:5" x14ac:dyDescent="0.25">
      <c r="A7417" s="2" t="s">
        <v>5647</v>
      </c>
      <c r="B7417" s="2" t="s">
        <v>2994</v>
      </c>
      <c r="C7417" s="2">
        <v>5</v>
      </c>
      <c r="D7417" t="str">
        <f t="shared" si="115"/>
        <v>CA-2017-157112_OFF-BI-10000285</v>
      </c>
      <c r="E7417" t="str">
        <f>IF(COUNTIF(data1!$D:$D,D7417)=0,"Missing in Data1","Present")</f>
        <v>Present</v>
      </c>
    </row>
    <row r="7418" spans="1:5" x14ac:dyDescent="0.25">
      <c r="A7418" s="2" t="s">
        <v>5647</v>
      </c>
      <c r="B7418" s="2" t="s">
        <v>89</v>
      </c>
      <c r="C7418" s="2">
        <v>1</v>
      </c>
      <c r="D7418" t="str">
        <f t="shared" si="115"/>
        <v>CA-2017-157112_OFF-PA-10001804</v>
      </c>
      <c r="E7418" t="str">
        <f>IF(COUNTIF(data1!$D:$D,D7418)=0,"Missing in Data1","Present")</f>
        <v>Present</v>
      </c>
    </row>
    <row r="7419" spans="1:5" x14ac:dyDescent="0.25">
      <c r="A7419" s="2" t="s">
        <v>5648</v>
      </c>
      <c r="B7419" s="2" t="s">
        <v>1909</v>
      </c>
      <c r="C7419" s="2">
        <v>2</v>
      </c>
      <c r="D7419" t="str">
        <f t="shared" si="115"/>
        <v>CA-2017-157196_OFF-PA-10003172</v>
      </c>
      <c r="E7419" t="str">
        <f>IF(COUNTIF(data1!$D:$D,D7419)=0,"Missing in Data1","Present")</f>
        <v>Present</v>
      </c>
    </row>
    <row r="7420" spans="1:5" x14ac:dyDescent="0.25">
      <c r="A7420" s="2" t="s">
        <v>5649</v>
      </c>
      <c r="B7420" s="2" t="s">
        <v>858</v>
      </c>
      <c r="C7420" s="2">
        <v>3</v>
      </c>
      <c r="D7420" t="str">
        <f t="shared" si="115"/>
        <v>CA-2017-157252_FUR-CH-10003396</v>
      </c>
      <c r="E7420" t="str">
        <f>IF(COUNTIF(data1!$D:$D,D7420)=0,"Missing in Data1","Present")</f>
        <v>Present</v>
      </c>
    </row>
    <row r="7421" spans="1:5" x14ac:dyDescent="0.25">
      <c r="A7421" s="2" t="s">
        <v>5650</v>
      </c>
      <c r="B7421" s="2" t="s">
        <v>548</v>
      </c>
      <c r="C7421" s="2">
        <v>4</v>
      </c>
      <c r="D7421" t="str">
        <f t="shared" si="115"/>
        <v>CA-2017-157273_TEC-PH-10002275</v>
      </c>
      <c r="E7421" t="str">
        <f>IF(COUNTIF(data1!$D:$D,D7421)=0,"Missing in Data1","Present")</f>
        <v>Present</v>
      </c>
    </row>
    <row r="7422" spans="1:5" x14ac:dyDescent="0.25">
      <c r="A7422" s="2" t="s">
        <v>6846</v>
      </c>
      <c r="B7422" s="2" t="s">
        <v>594</v>
      </c>
      <c r="C7422" s="2">
        <v>5</v>
      </c>
      <c r="D7422" t="str">
        <f t="shared" si="115"/>
        <v>CA-2017-157350_FUR-FU-10000222</v>
      </c>
      <c r="E7422" t="str">
        <f>IF(COUNTIF(data1!$D:$D,D7422)=0,"Missing in Data1","Present")</f>
        <v>Missing in Data1</v>
      </c>
    </row>
    <row r="7423" spans="1:5" x14ac:dyDescent="0.25">
      <c r="A7423" s="2" t="s">
        <v>5651</v>
      </c>
      <c r="B7423" s="2" t="s">
        <v>2078</v>
      </c>
      <c r="C7423" s="2">
        <v>3</v>
      </c>
      <c r="D7423" t="str">
        <f t="shared" si="115"/>
        <v>CA-2017-157413_OFF-ST-10002756</v>
      </c>
      <c r="E7423" t="str">
        <f>IF(COUNTIF(data1!$D:$D,D7423)=0,"Missing in Data1","Present")</f>
        <v>Present</v>
      </c>
    </row>
    <row r="7424" spans="1:5" x14ac:dyDescent="0.25">
      <c r="A7424" s="2" t="s">
        <v>5652</v>
      </c>
      <c r="B7424" s="2" t="s">
        <v>2452</v>
      </c>
      <c r="C7424" s="2">
        <v>3</v>
      </c>
      <c r="D7424" t="str">
        <f t="shared" si="115"/>
        <v>CA-2017-157420_TEC-PH-10003555</v>
      </c>
      <c r="E7424" t="str">
        <f>IF(COUNTIF(data1!$D:$D,D7424)=0,"Missing in Data1","Present")</f>
        <v>Present</v>
      </c>
    </row>
    <row r="7425" spans="1:5" x14ac:dyDescent="0.25">
      <c r="A7425" s="2" t="s">
        <v>5653</v>
      </c>
      <c r="B7425" s="2" t="s">
        <v>2864</v>
      </c>
      <c r="C7425" s="2">
        <v>3</v>
      </c>
      <c r="D7425" t="str">
        <f t="shared" si="115"/>
        <v>CA-2017-157448_FUR-FU-10001847</v>
      </c>
      <c r="E7425" t="str">
        <f>IF(COUNTIF(data1!$D:$D,D7425)=0,"Missing in Data1","Present")</f>
        <v>Present</v>
      </c>
    </row>
    <row r="7426" spans="1:5" x14ac:dyDescent="0.25">
      <c r="A7426" s="2" t="s">
        <v>5653</v>
      </c>
      <c r="B7426" s="2" t="s">
        <v>1781</v>
      </c>
      <c r="C7426" s="2">
        <v>3</v>
      </c>
      <c r="D7426" t="str">
        <f t="shared" si="115"/>
        <v>CA-2017-157448_FUR-FU-10003268</v>
      </c>
      <c r="E7426" t="str">
        <f>IF(COUNTIF(data1!$D:$D,D7426)=0,"Missing in Data1","Present")</f>
        <v>Present</v>
      </c>
    </row>
    <row r="7427" spans="1:5" x14ac:dyDescent="0.25">
      <c r="A7427" s="2" t="s">
        <v>5654</v>
      </c>
      <c r="B7427" s="2" t="s">
        <v>365</v>
      </c>
      <c r="C7427" s="2">
        <v>2</v>
      </c>
      <c r="D7427" t="str">
        <f t="shared" ref="D7427:D7490" si="116">A7427&amp;"_"&amp;B7427</f>
        <v>CA-2017-157469_TEC-PH-10004531</v>
      </c>
      <c r="E7427" t="str">
        <f>IF(COUNTIF(data1!$D:$D,D7427)=0,"Missing in Data1","Present")</f>
        <v>Present</v>
      </c>
    </row>
    <row r="7428" spans="1:5" x14ac:dyDescent="0.25">
      <c r="A7428" s="2" t="s">
        <v>5655</v>
      </c>
      <c r="B7428" s="2" t="s">
        <v>4929</v>
      </c>
      <c r="C7428" s="2">
        <v>7</v>
      </c>
      <c r="D7428" t="str">
        <f t="shared" si="116"/>
        <v>CA-2017-157483_OFF-AR-10004260</v>
      </c>
      <c r="E7428" t="str">
        <f>IF(COUNTIF(data1!$D:$D,D7428)=0,"Missing in Data1","Present")</f>
        <v>Present</v>
      </c>
    </row>
    <row r="7429" spans="1:5" x14ac:dyDescent="0.25">
      <c r="A7429" s="2" t="s">
        <v>5656</v>
      </c>
      <c r="B7429" s="2" t="s">
        <v>1897</v>
      </c>
      <c r="C7429" s="2">
        <v>1</v>
      </c>
      <c r="D7429" t="str">
        <f t="shared" si="116"/>
        <v>CA-2017-157651_TEC-AC-10003116</v>
      </c>
      <c r="E7429" t="str">
        <f>IF(COUNTIF(data1!$D:$D,D7429)=0,"Missing in Data1","Present")</f>
        <v>Present</v>
      </c>
    </row>
    <row r="7430" spans="1:5" x14ac:dyDescent="0.25">
      <c r="A7430" s="2" t="s">
        <v>5657</v>
      </c>
      <c r="B7430" s="2" t="s">
        <v>3408</v>
      </c>
      <c r="C7430" s="2">
        <v>2</v>
      </c>
      <c r="D7430" t="str">
        <f t="shared" si="116"/>
        <v>CA-2017-157672_TEC-AC-10001714</v>
      </c>
      <c r="E7430" t="str">
        <f>IF(COUNTIF(data1!$D:$D,D7430)=0,"Missing in Data1","Present")</f>
        <v>Present</v>
      </c>
    </row>
    <row r="7431" spans="1:5" x14ac:dyDescent="0.25">
      <c r="A7431" s="2" t="s">
        <v>5658</v>
      </c>
      <c r="B7431" s="2" t="s">
        <v>4318</v>
      </c>
      <c r="C7431" s="2">
        <v>3</v>
      </c>
      <c r="D7431" t="str">
        <f t="shared" si="116"/>
        <v>CA-2017-157833_OFF-BI-10001721</v>
      </c>
      <c r="E7431" t="str">
        <f>IF(COUNTIF(data1!$D:$D,D7431)=0,"Missing in Data1","Present")</f>
        <v>Present</v>
      </c>
    </row>
    <row r="7432" spans="1:5" x14ac:dyDescent="0.25">
      <c r="A7432" s="2" t="s">
        <v>5659</v>
      </c>
      <c r="B7432" s="2" t="s">
        <v>2789</v>
      </c>
      <c r="C7432" s="2">
        <v>6</v>
      </c>
      <c r="D7432" t="str">
        <f t="shared" si="116"/>
        <v>CA-2017-157854_FUR-FU-10003832</v>
      </c>
      <c r="E7432" t="str">
        <f>IF(COUNTIF(data1!$D:$D,D7432)=0,"Missing in Data1","Present")</f>
        <v>Present</v>
      </c>
    </row>
    <row r="7433" spans="1:5" x14ac:dyDescent="0.25">
      <c r="A7433" s="2" t="s">
        <v>5659</v>
      </c>
      <c r="B7433" s="2" t="s">
        <v>502</v>
      </c>
      <c r="C7433" s="2">
        <v>3</v>
      </c>
      <c r="D7433" t="str">
        <f t="shared" si="116"/>
        <v>CA-2017-157854_OFF-BI-10001359</v>
      </c>
      <c r="E7433" t="str">
        <f>IF(COUNTIF(data1!$D:$D,D7433)=0,"Missing in Data1","Present")</f>
        <v>Present</v>
      </c>
    </row>
    <row r="7434" spans="1:5" x14ac:dyDescent="0.25">
      <c r="A7434" s="2" t="s">
        <v>5660</v>
      </c>
      <c r="B7434" s="2" t="s">
        <v>2596</v>
      </c>
      <c r="C7434" s="2">
        <v>4</v>
      </c>
      <c r="D7434" t="str">
        <f t="shared" si="116"/>
        <v>CA-2017-157903_TEC-PH-10004345</v>
      </c>
      <c r="E7434" t="str">
        <f>IF(COUNTIF(data1!$D:$D,D7434)=0,"Missing in Data1","Present")</f>
        <v>Present</v>
      </c>
    </row>
    <row r="7435" spans="1:5" x14ac:dyDescent="0.25">
      <c r="A7435" s="2" t="s">
        <v>5661</v>
      </c>
      <c r="B7435" s="2" t="s">
        <v>2213</v>
      </c>
      <c r="C7435" s="2">
        <v>4</v>
      </c>
      <c r="D7435" t="str">
        <f t="shared" si="116"/>
        <v>CA-2017-157931_FUR-CH-10000785</v>
      </c>
      <c r="E7435" t="str">
        <f>IF(COUNTIF(data1!$D:$D,D7435)=0,"Missing in Data1","Present")</f>
        <v>Present</v>
      </c>
    </row>
    <row r="7436" spans="1:5" x14ac:dyDescent="0.25">
      <c r="A7436" s="2" t="s">
        <v>5661</v>
      </c>
      <c r="B7436" s="2" t="s">
        <v>433</v>
      </c>
      <c r="C7436" s="2">
        <v>3</v>
      </c>
      <c r="D7436" t="str">
        <f t="shared" si="116"/>
        <v>CA-2017-157931_OFF-PA-10000474</v>
      </c>
      <c r="E7436" t="str">
        <f>IF(COUNTIF(data1!$D:$D,D7436)=0,"Missing in Data1","Present")</f>
        <v>Present</v>
      </c>
    </row>
    <row r="7437" spans="1:5" x14ac:dyDescent="0.25">
      <c r="A7437" s="2" t="s">
        <v>5662</v>
      </c>
      <c r="B7437" s="2" t="s">
        <v>5663</v>
      </c>
      <c r="C7437" s="2">
        <v>4</v>
      </c>
      <c r="D7437" t="str">
        <f t="shared" si="116"/>
        <v>CA-2017-157966_OFF-AR-10000799</v>
      </c>
      <c r="E7437" t="str">
        <f>IF(COUNTIF(data1!$D:$D,D7437)=0,"Missing in Data1","Present")</f>
        <v>Present</v>
      </c>
    </row>
    <row r="7438" spans="1:5" x14ac:dyDescent="0.25">
      <c r="A7438" s="2" t="s">
        <v>5662</v>
      </c>
      <c r="B7438" s="2" t="s">
        <v>904</v>
      </c>
      <c r="C7438" s="2">
        <v>5</v>
      </c>
      <c r="D7438" t="str">
        <f t="shared" si="116"/>
        <v>CA-2017-157966_OFF-AR-10003338</v>
      </c>
      <c r="E7438" t="str">
        <f>IF(COUNTIF(data1!$D:$D,D7438)=0,"Missing in Data1","Present")</f>
        <v>Present</v>
      </c>
    </row>
    <row r="7439" spans="1:5" x14ac:dyDescent="0.25">
      <c r="A7439" s="2" t="s">
        <v>5662</v>
      </c>
      <c r="B7439" s="2" t="s">
        <v>3575</v>
      </c>
      <c r="C7439" s="2">
        <v>3</v>
      </c>
      <c r="D7439" t="str">
        <f t="shared" si="116"/>
        <v>CA-2017-157966_OFF-PA-10001934</v>
      </c>
      <c r="E7439" t="str">
        <f>IF(COUNTIF(data1!$D:$D,D7439)=0,"Missing in Data1","Present")</f>
        <v>Present</v>
      </c>
    </row>
    <row r="7440" spans="1:5" x14ac:dyDescent="0.25">
      <c r="A7440" s="2" t="s">
        <v>5662</v>
      </c>
      <c r="B7440" s="2" t="s">
        <v>567</v>
      </c>
      <c r="C7440" s="2">
        <v>2</v>
      </c>
      <c r="D7440" t="str">
        <f t="shared" si="116"/>
        <v>CA-2017-157966_TEC-CO-10001449</v>
      </c>
      <c r="E7440" t="str">
        <f>IF(COUNTIF(data1!$D:$D,D7440)=0,"Missing in Data1","Present")</f>
        <v>Present</v>
      </c>
    </row>
    <row r="7441" spans="1:5" x14ac:dyDescent="0.25">
      <c r="A7441" s="2" t="s">
        <v>5662</v>
      </c>
      <c r="B7441" s="2" t="s">
        <v>5064</v>
      </c>
      <c r="C7441" s="2">
        <v>2</v>
      </c>
      <c r="D7441" t="str">
        <f t="shared" si="116"/>
        <v>CA-2017-157966_TEC-MA-10002109</v>
      </c>
      <c r="E7441" t="str">
        <f>IF(COUNTIF(data1!$D:$D,D7441)=0,"Missing in Data1","Present")</f>
        <v>Present</v>
      </c>
    </row>
    <row r="7442" spans="1:5" x14ac:dyDescent="0.25">
      <c r="A7442" s="2" t="s">
        <v>5662</v>
      </c>
      <c r="B7442" s="2" t="s">
        <v>1914</v>
      </c>
      <c r="C7442" s="2">
        <v>1</v>
      </c>
      <c r="D7442" t="str">
        <f t="shared" si="116"/>
        <v>CA-2017-157966_TEC-PH-10001527</v>
      </c>
      <c r="E7442" t="str">
        <f>IF(COUNTIF(data1!$D:$D,D7442)=0,"Missing in Data1","Present")</f>
        <v>Present</v>
      </c>
    </row>
    <row r="7443" spans="1:5" x14ac:dyDescent="0.25">
      <c r="A7443" s="2" t="s">
        <v>5664</v>
      </c>
      <c r="B7443" s="2" t="s">
        <v>710</v>
      </c>
      <c r="C7443" s="2">
        <v>2</v>
      </c>
      <c r="D7443" t="str">
        <f t="shared" si="116"/>
        <v>CA-2017-157980_TEC-AC-10002567</v>
      </c>
      <c r="E7443" t="str">
        <f>IF(COUNTIF(data1!$D:$D,D7443)=0,"Missing in Data1","Present")</f>
        <v>Present</v>
      </c>
    </row>
    <row r="7444" spans="1:5" x14ac:dyDescent="0.25">
      <c r="A7444" s="2" t="s">
        <v>5665</v>
      </c>
      <c r="B7444" s="2" t="s">
        <v>1682</v>
      </c>
      <c r="C7444" s="2">
        <v>5</v>
      </c>
      <c r="D7444" t="str">
        <f t="shared" si="116"/>
        <v>CA-2017-157987_FUR-CH-10003379</v>
      </c>
      <c r="E7444" t="str">
        <f>IF(COUNTIF(data1!$D:$D,D7444)=0,"Missing in Data1","Present")</f>
        <v>Present</v>
      </c>
    </row>
    <row r="7445" spans="1:5" x14ac:dyDescent="0.25">
      <c r="A7445" s="2" t="s">
        <v>5665</v>
      </c>
      <c r="B7445" s="2" t="s">
        <v>577</v>
      </c>
      <c r="C7445" s="2">
        <v>2</v>
      </c>
      <c r="D7445" t="str">
        <f t="shared" si="116"/>
        <v>CA-2017-157987_FUR-FU-10001196</v>
      </c>
      <c r="E7445" t="str">
        <f>IF(COUNTIF(data1!$D:$D,D7445)=0,"Missing in Data1","Present")</f>
        <v>Present</v>
      </c>
    </row>
    <row r="7446" spans="1:5" x14ac:dyDescent="0.25">
      <c r="A7446" s="2" t="s">
        <v>5665</v>
      </c>
      <c r="B7446" s="2" t="s">
        <v>1130</v>
      </c>
      <c r="C7446" s="2">
        <v>1</v>
      </c>
      <c r="D7446" t="str">
        <f t="shared" si="116"/>
        <v>CA-2017-157987_FUR-TA-10001889</v>
      </c>
      <c r="E7446" t="str">
        <f>IF(COUNTIF(data1!$D:$D,D7446)=0,"Missing in Data1","Present")</f>
        <v>Present</v>
      </c>
    </row>
    <row r="7447" spans="1:5" x14ac:dyDescent="0.25">
      <c r="A7447" s="2" t="s">
        <v>5665</v>
      </c>
      <c r="B7447" s="2" t="s">
        <v>796</v>
      </c>
      <c r="C7447" s="2">
        <v>1</v>
      </c>
      <c r="D7447" t="str">
        <f t="shared" si="116"/>
        <v>CA-2017-157987_OFF-AP-10000358</v>
      </c>
      <c r="E7447" t="str">
        <f>IF(COUNTIF(data1!$D:$D,D7447)=0,"Missing in Data1","Present")</f>
        <v>Missing in Data1</v>
      </c>
    </row>
    <row r="7448" spans="1:5" x14ac:dyDescent="0.25">
      <c r="A7448" s="2" t="s">
        <v>5665</v>
      </c>
      <c r="B7448" s="2" t="s">
        <v>1917</v>
      </c>
      <c r="C7448" s="2">
        <v>2</v>
      </c>
      <c r="D7448" t="str">
        <f t="shared" si="116"/>
        <v>CA-2017-157987_OFF-AR-10000658</v>
      </c>
      <c r="E7448" t="str">
        <f>IF(COUNTIF(data1!$D:$D,D7448)=0,"Missing in Data1","Present")</f>
        <v>Present</v>
      </c>
    </row>
    <row r="7449" spans="1:5" x14ac:dyDescent="0.25">
      <c r="A7449" s="2" t="s">
        <v>5665</v>
      </c>
      <c r="B7449" s="2" t="s">
        <v>723</v>
      </c>
      <c r="C7449" s="2">
        <v>3</v>
      </c>
      <c r="D7449" t="str">
        <f t="shared" si="116"/>
        <v>CA-2017-157987_OFF-AR-10004582</v>
      </c>
      <c r="E7449" t="str">
        <f>IF(COUNTIF(data1!$D:$D,D7449)=0,"Missing in Data1","Present")</f>
        <v>Present</v>
      </c>
    </row>
    <row r="7450" spans="1:5" x14ac:dyDescent="0.25">
      <c r="A7450" s="2" t="s">
        <v>5665</v>
      </c>
      <c r="B7450" s="2" t="s">
        <v>651</v>
      </c>
      <c r="C7450" s="2">
        <v>8</v>
      </c>
      <c r="D7450" t="str">
        <f t="shared" si="116"/>
        <v>CA-2017-157987_OFF-BI-10004970</v>
      </c>
      <c r="E7450" t="str">
        <f>IF(COUNTIF(data1!$D:$D,D7450)=0,"Missing in Data1","Present")</f>
        <v>Present</v>
      </c>
    </row>
    <row r="7451" spans="1:5" x14ac:dyDescent="0.25">
      <c r="A7451" s="2" t="s">
        <v>5665</v>
      </c>
      <c r="B7451" s="2" t="s">
        <v>215</v>
      </c>
      <c r="C7451" s="2">
        <v>6</v>
      </c>
      <c r="D7451" t="str">
        <f t="shared" si="116"/>
        <v>CA-2017-157987_OFF-LA-10001641</v>
      </c>
      <c r="E7451" t="str">
        <f>IF(COUNTIF(data1!$D:$D,D7451)=0,"Missing in Data1","Present")</f>
        <v>Present</v>
      </c>
    </row>
    <row r="7452" spans="1:5" x14ac:dyDescent="0.25">
      <c r="A7452" s="2" t="s">
        <v>5665</v>
      </c>
      <c r="B7452" s="2" t="s">
        <v>3013</v>
      </c>
      <c r="C7452" s="2">
        <v>4</v>
      </c>
      <c r="D7452" t="str">
        <f t="shared" si="116"/>
        <v>CA-2017-157987_OFF-PA-10003893</v>
      </c>
      <c r="E7452" t="str">
        <f>IF(COUNTIF(data1!$D:$D,D7452)=0,"Missing in Data1","Present")</f>
        <v>Present</v>
      </c>
    </row>
    <row r="7453" spans="1:5" x14ac:dyDescent="0.25">
      <c r="A7453" s="2" t="s">
        <v>5665</v>
      </c>
      <c r="B7453" s="2" t="s">
        <v>185</v>
      </c>
      <c r="C7453" s="2">
        <v>3</v>
      </c>
      <c r="D7453" t="str">
        <f t="shared" si="116"/>
        <v>CA-2017-157987_TEC-AC-10000109</v>
      </c>
      <c r="E7453" t="str">
        <f>IF(COUNTIF(data1!$D:$D,D7453)=0,"Missing in Data1","Present")</f>
        <v>Present</v>
      </c>
    </row>
    <row r="7454" spans="1:5" x14ac:dyDescent="0.25">
      <c r="A7454" s="2" t="s">
        <v>5665</v>
      </c>
      <c r="B7454" s="2" t="s">
        <v>345</v>
      </c>
      <c r="C7454" s="2">
        <v>2</v>
      </c>
      <c r="D7454" t="str">
        <f t="shared" si="116"/>
        <v>CA-2017-157987_TEC-AC-10002842</v>
      </c>
      <c r="E7454" t="str">
        <f>IF(COUNTIF(data1!$D:$D,D7454)=0,"Missing in Data1","Present")</f>
        <v>Present</v>
      </c>
    </row>
    <row r="7455" spans="1:5" x14ac:dyDescent="0.25">
      <c r="A7455" s="2" t="s">
        <v>5665</v>
      </c>
      <c r="B7455" s="2" t="s">
        <v>1683</v>
      </c>
      <c r="C7455" s="2">
        <v>3</v>
      </c>
      <c r="D7455" t="str">
        <f t="shared" si="116"/>
        <v>CA-2017-157987_TEC-PH-10003885</v>
      </c>
      <c r="E7455" t="str">
        <f>IF(COUNTIF(data1!$D:$D,D7455)=0,"Missing in Data1","Present")</f>
        <v>Present</v>
      </c>
    </row>
    <row r="7456" spans="1:5" x14ac:dyDescent="0.25">
      <c r="A7456" s="2" t="s">
        <v>5666</v>
      </c>
      <c r="B7456" s="2" t="s">
        <v>905</v>
      </c>
      <c r="C7456" s="2">
        <v>1</v>
      </c>
      <c r="D7456" t="str">
        <f t="shared" si="116"/>
        <v>CA-2017-158036_TEC-AC-10002558</v>
      </c>
      <c r="E7456" t="str">
        <f>IF(COUNTIF(data1!$D:$D,D7456)=0,"Missing in Data1","Present")</f>
        <v>Present</v>
      </c>
    </row>
    <row r="7457" spans="1:5" x14ac:dyDescent="0.25">
      <c r="A7457" s="2" t="s">
        <v>5667</v>
      </c>
      <c r="B7457" s="2" t="s">
        <v>1024</v>
      </c>
      <c r="C7457" s="2">
        <v>1</v>
      </c>
      <c r="D7457" t="str">
        <f t="shared" si="116"/>
        <v>CA-2017-158071_OFF-ST-10001228</v>
      </c>
      <c r="E7457" t="str">
        <f>IF(COUNTIF(data1!$D:$D,D7457)=0,"Missing in Data1","Present")</f>
        <v>Present</v>
      </c>
    </row>
    <row r="7458" spans="1:5" x14ac:dyDescent="0.25">
      <c r="A7458" s="2" t="s">
        <v>5667</v>
      </c>
      <c r="B7458" s="2" t="s">
        <v>82</v>
      </c>
      <c r="C7458" s="2">
        <v>3</v>
      </c>
      <c r="D7458" t="str">
        <f t="shared" si="116"/>
        <v>CA-2017-158071_TEC-PH-10002923</v>
      </c>
      <c r="E7458" t="str">
        <f>IF(COUNTIF(data1!$D:$D,D7458)=0,"Missing in Data1","Present")</f>
        <v>Present</v>
      </c>
    </row>
    <row r="7459" spans="1:5" x14ac:dyDescent="0.25">
      <c r="A7459" s="2" t="s">
        <v>6847</v>
      </c>
      <c r="B7459" s="2" t="s">
        <v>3307</v>
      </c>
      <c r="C7459" s="2">
        <v>3</v>
      </c>
      <c r="D7459" t="str">
        <f t="shared" si="116"/>
        <v>CA-2017-158106_OFF-AR-10002255</v>
      </c>
      <c r="E7459" t="str">
        <f>IF(COUNTIF(data1!$D:$D,D7459)=0,"Missing in Data1","Present")</f>
        <v>Missing in Data1</v>
      </c>
    </row>
    <row r="7460" spans="1:5" x14ac:dyDescent="0.25">
      <c r="A7460" s="2" t="s">
        <v>5668</v>
      </c>
      <c r="B7460" s="2" t="s">
        <v>2917</v>
      </c>
      <c r="C7460" s="2">
        <v>7</v>
      </c>
      <c r="D7460" t="str">
        <f t="shared" si="116"/>
        <v>CA-2017-158120_OFF-BI-10002813</v>
      </c>
      <c r="E7460" t="str">
        <f>IF(COUNTIF(data1!$D:$D,D7460)=0,"Missing in Data1","Present")</f>
        <v>Missing in Data1</v>
      </c>
    </row>
    <row r="7461" spans="1:5" x14ac:dyDescent="0.25">
      <c r="A7461" s="2" t="s">
        <v>5668</v>
      </c>
      <c r="B7461" s="2" t="s">
        <v>5422</v>
      </c>
      <c r="C7461" s="2">
        <v>3</v>
      </c>
      <c r="D7461" t="str">
        <f t="shared" si="116"/>
        <v>CA-2017-158120_OFF-PA-10003205</v>
      </c>
      <c r="E7461" t="str">
        <f>IF(COUNTIF(data1!$D:$D,D7461)=0,"Missing in Data1","Present")</f>
        <v>Present</v>
      </c>
    </row>
    <row r="7462" spans="1:5" x14ac:dyDescent="0.25">
      <c r="A7462" s="2" t="s">
        <v>5669</v>
      </c>
      <c r="B7462" s="2" t="s">
        <v>1529</v>
      </c>
      <c r="C7462" s="2">
        <v>4</v>
      </c>
      <c r="D7462" t="str">
        <f t="shared" si="116"/>
        <v>CA-2017-158169_FUR-FU-10001473</v>
      </c>
      <c r="E7462" t="str">
        <f>IF(COUNTIF(data1!$D:$D,D7462)=0,"Missing in Data1","Present")</f>
        <v>Present</v>
      </c>
    </row>
    <row r="7463" spans="1:5" x14ac:dyDescent="0.25">
      <c r="A7463" s="2" t="s">
        <v>5669</v>
      </c>
      <c r="B7463" s="2" t="s">
        <v>2407</v>
      </c>
      <c r="C7463" s="2">
        <v>3</v>
      </c>
      <c r="D7463" t="str">
        <f t="shared" si="116"/>
        <v>CA-2017-158169_OFF-AP-10000828</v>
      </c>
      <c r="E7463" t="str">
        <f>IF(COUNTIF(data1!$D:$D,D7463)=0,"Missing in Data1","Present")</f>
        <v>Present</v>
      </c>
    </row>
    <row r="7464" spans="1:5" x14ac:dyDescent="0.25">
      <c r="A7464" s="2" t="s">
        <v>5670</v>
      </c>
      <c r="B7464" s="2" t="s">
        <v>2185</v>
      </c>
      <c r="C7464" s="2">
        <v>3</v>
      </c>
      <c r="D7464" t="str">
        <f t="shared" si="116"/>
        <v>CA-2017-158246_FUR-CH-10003061</v>
      </c>
      <c r="E7464" t="str">
        <f>IF(COUNTIF(data1!$D:$D,D7464)=0,"Missing in Data1","Present")</f>
        <v>Present</v>
      </c>
    </row>
    <row r="7465" spans="1:5" x14ac:dyDescent="0.25">
      <c r="A7465" s="2" t="s">
        <v>5671</v>
      </c>
      <c r="B7465" s="2" t="s">
        <v>1603</v>
      </c>
      <c r="C7465" s="2">
        <v>4</v>
      </c>
      <c r="D7465" t="str">
        <f t="shared" si="116"/>
        <v>CA-2017-158344_TEC-AC-10002006</v>
      </c>
      <c r="E7465" t="str">
        <f>IF(COUNTIF(data1!$D:$D,D7465)=0,"Missing in Data1","Present")</f>
        <v>Present</v>
      </c>
    </row>
    <row r="7466" spans="1:5" x14ac:dyDescent="0.25">
      <c r="A7466" s="2" t="s">
        <v>5672</v>
      </c>
      <c r="B7466" s="2" t="s">
        <v>1564</v>
      </c>
      <c r="C7466" s="2">
        <v>1</v>
      </c>
      <c r="D7466" t="str">
        <f t="shared" si="116"/>
        <v>CA-2017-158379_OFF-BI-10002498</v>
      </c>
      <c r="E7466" t="str">
        <f>IF(COUNTIF(data1!$D:$D,D7466)=0,"Missing in Data1","Present")</f>
        <v>Present</v>
      </c>
    </row>
    <row r="7467" spans="1:5" x14ac:dyDescent="0.25">
      <c r="A7467" s="2" t="s">
        <v>5672</v>
      </c>
      <c r="B7467" s="2" t="s">
        <v>106</v>
      </c>
      <c r="C7467" s="2">
        <v>7</v>
      </c>
      <c r="D7467" t="str">
        <f t="shared" si="116"/>
        <v>CA-2017-158379_OFF-SU-10002881</v>
      </c>
      <c r="E7467" t="str">
        <f>IF(COUNTIF(data1!$D:$D,D7467)=0,"Missing in Data1","Present")</f>
        <v>Present</v>
      </c>
    </row>
    <row r="7468" spans="1:5" x14ac:dyDescent="0.25">
      <c r="A7468" s="2" t="s">
        <v>5672</v>
      </c>
      <c r="B7468" s="2" t="s">
        <v>1406</v>
      </c>
      <c r="C7468" s="2">
        <v>2</v>
      </c>
      <c r="D7468" t="str">
        <f t="shared" si="116"/>
        <v>CA-2017-158379_TEC-AC-10002926</v>
      </c>
      <c r="E7468" t="str">
        <f>IF(COUNTIF(data1!$D:$D,D7468)=0,"Missing in Data1","Present")</f>
        <v>Present</v>
      </c>
    </row>
    <row r="7469" spans="1:5" x14ac:dyDescent="0.25">
      <c r="A7469" s="2" t="s">
        <v>5673</v>
      </c>
      <c r="B7469" s="2" t="s">
        <v>1121</v>
      </c>
      <c r="C7469" s="2">
        <v>5</v>
      </c>
      <c r="D7469" t="str">
        <f t="shared" si="116"/>
        <v>CA-2017-158386_OFF-BI-10003719</v>
      </c>
      <c r="E7469" t="str">
        <f>IF(COUNTIF(data1!$D:$D,D7469)=0,"Missing in Data1","Present")</f>
        <v>Present</v>
      </c>
    </row>
    <row r="7470" spans="1:5" x14ac:dyDescent="0.25">
      <c r="A7470" s="2" t="s">
        <v>5674</v>
      </c>
      <c r="B7470" s="2" t="s">
        <v>1123</v>
      </c>
      <c r="C7470" s="2">
        <v>2</v>
      </c>
      <c r="D7470" t="str">
        <f t="shared" si="116"/>
        <v>CA-2017-158407_FUR-FU-10001967</v>
      </c>
      <c r="E7470" t="str">
        <f>IF(COUNTIF(data1!$D:$D,D7470)=0,"Missing in Data1","Present")</f>
        <v>Present</v>
      </c>
    </row>
    <row r="7471" spans="1:5" x14ac:dyDescent="0.25">
      <c r="A7471" s="2" t="s">
        <v>5674</v>
      </c>
      <c r="B7471" s="2" t="s">
        <v>1647</v>
      </c>
      <c r="C7471" s="2">
        <v>2</v>
      </c>
      <c r="D7471" t="str">
        <f t="shared" si="116"/>
        <v>CA-2017-158407_TEC-PH-10001819</v>
      </c>
      <c r="E7471" t="str">
        <f>IF(COUNTIF(data1!$D:$D,D7471)=0,"Missing in Data1","Present")</f>
        <v>Present</v>
      </c>
    </row>
    <row r="7472" spans="1:5" x14ac:dyDescent="0.25">
      <c r="A7472" s="2" t="s">
        <v>5675</v>
      </c>
      <c r="B7472" s="2" t="s">
        <v>1233</v>
      </c>
      <c r="C7472" s="2">
        <v>5</v>
      </c>
      <c r="D7472" t="str">
        <f t="shared" si="116"/>
        <v>CA-2017-158561_OFF-AP-10002651</v>
      </c>
      <c r="E7472" t="str">
        <f>IF(COUNTIF(data1!$D:$D,D7472)=0,"Missing in Data1","Present")</f>
        <v>Present</v>
      </c>
    </row>
    <row r="7473" spans="1:5" x14ac:dyDescent="0.25">
      <c r="A7473" s="2" t="s">
        <v>5676</v>
      </c>
      <c r="B7473" s="2" t="s">
        <v>2100</v>
      </c>
      <c r="C7473" s="2">
        <v>2</v>
      </c>
      <c r="D7473" t="str">
        <f t="shared" si="116"/>
        <v>CA-2017-158673_OFF-PA-10000994</v>
      </c>
      <c r="E7473" t="str">
        <f>IF(COUNTIF(data1!$D:$D,D7473)=0,"Missing in Data1","Present")</f>
        <v>Present</v>
      </c>
    </row>
    <row r="7474" spans="1:5" x14ac:dyDescent="0.25">
      <c r="A7474" s="2" t="s">
        <v>5678</v>
      </c>
      <c r="B7474" s="2" t="s">
        <v>106</v>
      </c>
      <c r="C7474" s="2">
        <v>2</v>
      </c>
      <c r="D7474" t="str">
        <f t="shared" si="116"/>
        <v>CA-2017-158729_OFF-SU-10002881</v>
      </c>
      <c r="E7474" t="str">
        <f>IF(COUNTIF(data1!$D:$D,D7474)=0,"Missing in Data1","Present")</f>
        <v>Present</v>
      </c>
    </row>
    <row r="7475" spans="1:5" x14ac:dyDescent="0.25">
      <c r="A7475" s="2" t="s">
        <v>5679</v>
      </c>
      <c r="B7475" s="2" t="s">
        <v>1745</v>
      </c>
      <c r="C7475" s="2">
        <v>2</v>
      </c>
      <c r="D7475" t="str">
        <f t="shared" si="116"/>
        <v>CA-2017-158736_OFF-AR-10002578</v>
      </c>
      <c r="E7475" t="str">
        <f>IF(COUNTIF(data1!$D:$D,D7475)=0,"Missing in Data1","Present")</f>
        <v>Present</v>
      </c>
    </row>
    <row r="7476" spans="1:5" x14ac:dyDescent="0.25">
      <c r="A7476" s="2" t="s">
        <v>5680</v>
      </c>
      <c r="B7476" s="2" t="s">
        <v>2005</v>
      </c>
      <c r="C7476" s="2">
        <v>4</v>
      </c>
      <c r="D7476" t="str">
        <f t="shared" si="116"/>
        <v>CA-2017-158743_OFF-AR-10002257</v>
      </c>
      <c r="E7476" t="str">
        <f>IF(COUNTIF(data1!$D:$D,D7476)=0,"Missing in Data1","Present")</f>
        <v>Present</v>
      </c>
    </row>
    <row r="7477" spans="1:5" x14ac:dyDescent="0.25">
      <c r="A7477" s="2" t="s">
        <v>5680</v>
      </c>
      <c r="B7477" s="2" t="s">
        <v>2638</v>
      </c>
      <c r="C7477" s="2">
        <v>5</v>
      </c>
      <c r="D7477" t="str">
        <f t="shared" si="116"/>
        <v>CA-2017-158743_OFF-BI-10003364</v>
      </c>
      <c r="E7477" t="str">
        <f>IF(COUNTIF(data1!$D:$D,D7477)=0,"Missing in Data1","Present")</f>
        <v>Present</v>
      </c>
    </row>
    <row r="7478" spans="1:5" x14ac:dyDescent="0.25">
      <c r="A7478" s="2" t="s">
        <v>5680</v>
      </c>
      <c r="B7478" s="2" t="s">
        <v>802</v>
      </c>
      <c r="C7478" s="2">
        <v>2</v>
      </c>
      <c r="D7478" t="str">
        <f t="shared" si="116"/>
        <v>CA-2017-158743_OFF-PA-10001019</v>
      </c>
      <c r="E7478" t="str">
        <f>IF(COUNTIF(data1!$D:$D,D7478)=0,"Missing in Data1","Present")</f>
        <v>Present</v>
      </c>
    </row>
    <row r="7479" spans="1:5" x14ac:dyDescent="0.25">
      <c r="A7479" s="2" t="s">
        <v>5681</v>
      </c>
      <c r="B7479" s="2" t="s">
        <v>1123</v>
      </c>
      <c r="C7479" s="2">
        <v>2</v>
      </c>
      <c r="D7479" t="str">
        <f t="shared" si="116"/>
        <v>CA-2017-158876_FUR-FU-10001967</v>
      </c>
      <c r="E7479" t="str">
        <f>IF(COUNTIF(data1!$D:$D,D7479)=0,"Missing in Data1","Present")</f>
        <v>Present</v>
      </c>
    </row>
    <row r="7480" spans="1:5" x14ac:dyDescent="0.25">
      <c r="A7480" s="2" t="s">
        <v>5681</v>
      </c>
      <c r="B7480" s="2" t="s">
        <v>1700</v>
      </c>
      <c r="C7480" s="2">
        <v>4</v>
      </c>
      <c r="D7480" t="str">
        <f t="shared" si="116"/>
        <v>CA-2017-158876_OFF-AR-10003373</v>
      </c>
      <c r="E7480" t="str">
        <f>IF(COUNTIF(data1!$D:$D,D7480)=0,"Missing in Data1","Present")</f>
        <v>Present</v>
      </c>
    </row>
    <row r="7481" spans="1:5" x14ac:dyDescent="0.25">
      <c r="A7481" s="2" t="s">
        <v>5681</v>
      </c>
      <c r="B7481" s="2" t="s">
        <v>5682</v>
      </c>
      <c r="C7481" s="2">
        <v>4</v>
      </c>
      <c r="D7481" t="str">
        <f t="shared" si="116"/>
        <v>CA-2017-158876_OFF-PA-10000308</v>
      </c>
      <c r="E7481" t="str">
        <f>IF(COUNTIF(data1!$D:$D,D7481)=0,"Missing in Data1","Present")</f>
        <v>Present</v>
      </c>
    </row>
    <row r="7482" spans="1:5" x14ac:dyDescent="0.25">
      <c r="A7482" s="2" t="s">
        <v>5681</v>
      </c>
      <c r="B7482" s="2" t="s">
        <v>2141</v>
      </c>
      <c r="C7482" s="2">
        <v>1</v>
      </c>
      <c r="D7482" t="str">
        <f t="shared" si="116"/>
        <v>CA-2017-158876_OFF-SU-10001165</v>
      </c>
      <c r="E7482" t="str">
        <f>IF(COUNTIF(data1!$D:$D,D7482)=0,"Missing in Data1","Present")</f>
        <v>Present</v>
      </c>
    </row>
    <row r="7483" spans="1:5" x14ac:dyDescent="0.25">
      <c r="A7483" s="2" t="s">
        <v>5683</v>
      </c>
      <c r="B7483" s="2" t="s">
        <v>12</v>
      </c>
      <c r="C7483" s="2">
        <v>4</v>
      </c>
      <c r="D7483" t="str">
        <f t="shared" si="116"/>
        <v>CA-2017-158883_OFF-PA-10004733</v>
      </c>
      <c r="E7483" t="str">
        <f>IF(COUNTIF(data1!$D:$D,D7483)=0,"Missing in Data1","Present")</f>
        <v>Present</v>
      </c>
    </row>
    <row r="7484" spans="1:5" x14ac:dyDescent="0.25">
      <c r="A7484" s="2" t="s">
        <v>5684</v>
      </c>
      <c r="B7484" s="2" t="s">
        <v>1825</v>
      </c>
      <c r="C7484" s="2">
        <v>7</v>
      </c>
      <c r="D7484" t="str">
        <f t="shared" si="116"/>
        <v>CA-2017-158953_OFF-BI-10002557</v>
      </c>
      <c r="E7484" t="str">
        <f>IF(COUNTIF(data1!$D:$D,D7484)=0,"Missing in Data1","Present")</f>
        <v>Present</v>
      </c>
    </row>
    <row r="7485" spans="1:5" x14ac:dyDescent="0.25">
      <c r="A7485" s="2" t="s">
        <v>5685</v>
      </c>
      <c r="B7485" s="2" t="s">
        <v>661</v>
      </c>
      <c r="C7485" s="2">
        <v>3</v>
      </c>
      <c r="D7485" t="str">
        <f t="shared" si="116"/>
        <v>CA-2017-158967_FUR-FU-10001940</v>
      </c>
      <c r="E7485" t="str">
        <f>IF(COUNTIF(data1!$D:$D,D7485)=0,"Missing in Data1","Present")</f>
        <v>Present</v>
      </c>
    </row>
    <row r="7486" spans="1:5" x14ac:dyDescent="0.25">
      <c r="A7486" s="2" t="s">
        <v>5686</v>
      </c>
      <c r="B7486" s="2" t="s">
        <v>4769</v>
      </c>
      <c r="C7486" s="2">
        <v>7</v>
      </c>
      <c r="D7486" t="str">
        <f t="shared" si="116"/>
        <v>CA-2017-159100_FUR-TA-10001950</v>
      </c>
      <c r="E7486" t="str">
        <f>IF(COUNTIF(data1!$D:$D,D7486)=0,"Missing in Data1","Present")</f>
        <v>Present</v>
      </c>
    </row>
    <row r="7487" spans="1:5" x14ac:dyDescent="0.25">
      <c r="A7487" s="2" t="s">
        <v>5686</v>
      </c>
      <c r="B7487" s="2" t="s">
        <v>4861</v>
      </c>
      <c r="C7487" s="2">
        <v>2</v>
      </c>
      <c r="D7487" t="str">
        <f t="shared" si="116"/>
        <v>CA-2017-159100_TEC-AC-10003499</v>
      </c>
      <c r="E7487" t="str">
        <f>IF(COUNTIF(data1!$D:$D,D7487)=0,"Missing in Data1","Present")</f>
        <v>Present</v>
      </c>
    </row>
    <row r="7488" spans="1:5" x14ac:dyDescent="0.25">
      <c r="A7488" s="2" t="s">
        <v>5687</v>
      </c>
      <c r="B7488" s="2" t="s">
        <v>2814</v>
      </c>
      <c r="C7488" s="2">
        <v>1</v>
      </c>
      <c r="D7488" t="str">
        <f t="shared" si="116"/>
        <v>CA-2017-159107_OFF-FA-10001332</v>
      </c>
      <c r="E7488" t="str">
        <f>IF(COUNTIF(data1!$D:$D,D7488)=0,"Missing in Data1","Present")</f>
        <v>Present</v>
      </c>
    </row>
    <row r="7489" spans="1:5" x14ac:dyDescent="0.25">
      <c r="A7489" s="2" t="s">
        <v>5688</v>
      </c>
      <c r="B7489" s="2" t="s">
        <v>395</v>
      </c>
      <c r="C7489" s="2">
        <v>2</v>
      </c>
      <c r="D7489" t="str">
        <f t="shared" si="116"/>
        <v>CA-2017-159135_OFF-AR-10000657</v>
      </c>
      <c r="E7489" t="str">
        <f>IF(COUNTIF(data1!$D:$D,D7489)=0,"Missing in Data1","Present")</f>
        <v>Present</v>
      </c>
    </row>
    <row r="7490" spans="1:5" x14ac:dyDescent="0.25">
      <c r="A7490" s="2" t="s">
        <v>5689</v>
      </c>
      <c r="B7490" s="2" t="s">
        <v>1306</v>
      </c>
      <c r="C7490" s="2">
        <v>1</v>
      </c>
      <c r="D7490" t="str">
        <f t="shared" si="116"/>
        <v>CA-2017-159149_FUR-BO-10001601</v>
      </c>
      <c r="E7490" t="str">
        <f>IF(COUNTIF(data1!$D:$D,D7490)=0,"Missing in Data1","Present")</f>
        <v>Present</v>
      </c>
    </row>
    <row r="7491" spans="1:5" x14ac:dyDescent="0.25">
      <c r="A7491" s="2" t="s">
        <v>5689</v>
      </c>
      <c r="B7491" s="2" t="s">
        <v>5690</v>
      </c>
      <c r="C7491" s="2">
        <v>6</v>
      </c>
      <c r="D7491" t="str">
        <f t="shared" ref="D7491:D7554" si="117">A7491&amp;"_"&amp;B7491</f>
        <v>CA-2017-159149_OFF-AR-10000937</v>
      </c>
      <c r="E7491" t="str">
        <f>IF(COUNTIF(data1!$D:$D,D7491)=0,"Missing in Data1","Present")</f>
        <v>Present</v>
      </c>
    </row>
    <row r="7492" spans="1:5" x14ac:dyDescent="0.25">
      <c r="A7492" s="2" t="s">
        <v>5689</v>
      </c>
      <c r="B7492" s="2" t="s">
        <v>1409</v>
      </c>
      <c r="C7492" s="2">
        <v>4</v>
      </c>
      <c r="D7492" t="str">
        <f t="shared" si="117"/>
        <v>CA-2017-159149_TEC-PH-10000038</v>
      </c>
      <c r="E7492" t="str">
        <f>IF(COUNTIF(data1!$D:$D,D7492)=0,"Missing in Data1","Present")</f>
        <v>Present</v>
      </c>
    </row>
    <row r="7493" spans="1:5" x14ac:dyDescent="0.25">
      <c r="A7493" s="2" t="s">
        <v>5691</v>
      </c>
      <c r="B7493" s="2" t="s">
        <v>5692</v>
      </c>
      <c r="C7493" s="2">
        <v>5</v>
      </c>
      <c r="D7493" t="str">
        <f t="shared" si="117"/>
        <v>CA-2017-159156_TEC-PH-10004389</v>
      </c>
      <c r="E7493" t="str">
        <f>IF(COUNTIF(data1!$D:$D,D7493)=0,"Missing in Data1","Present")</f>
        <v>Present</v>
      </c>
    </row>
    <row r="7494" spans="1:5" x14ac:dyDescent="0.25">
      <c r="A7494" s="2" t="s">
        <v>5693</v>
      </c>
      <c r="B7494" s="2" t="s">
        <v>1960</v>
      </c>
      <c r="C7494" s="2">
        <v>7</v>
      </c>
      <c r="D7494" t="str">
        <f t="shared" si="117"/>
        <v>CA-2017-159226_FUR-BO-10004709</v>
      </c>
      <c r="E7494" t="str">
        <f>IF(COUNTIF(data1!$D:$D,D7494)=0,"Missing in Data1","Present")</f>
        <v>Present</v>
      </c>
    </row>
    <row r="7495" spans="1:5" x14ac:dyDescent="0.25">
      <c r="A7495" s="2" t="s">
        <v>5694</v>
      </c>
      <c r="B7495" s="2" t="s">
        <v>3157</v>
      </c>
      <c r="C7495" s="2">
        <v>5</v>
      </c>
      <c r="D7495" t="str">
        <f t="shared" si="117"/>
        <v>CA-2017-159282_TEC-MA-10001148</v>
      </c>
      <c r="E7495" t="str">
        <f>IF(COUNTIF(data1!$D:$D,D7495)=0,"Missing in Data1","Present")</f>
        <v>Present</v>
      </c>
    </row>
    <row r="7496" spans="1:5" x14ac:dyDescent="0.25">
      <c r="A7496" s="2" t="s">
        <v>5695</v>
      </c>
      <c r="B7496" s="2" t="s">
        <v>892</v>
      </c>
      <c r="C7496" s="2">
        <v>7</v>
      </c>
      <c r="D7496" t="str">
        <f t="shared" si="117"/>
        <v>CA-2017-159352_TEC-PH-10004700</v>
      </c>
      <c r="E7496" t="str">
        <f>IF(COUNTIF(data1!$D:$D,D7496)=0,"Missing in Data1","Present")</f>
        <v>Present</v>
      </c>
    </row>
    <row r="7497" spans="1:5" x14ac:dyDescent="0.25">
      <c r="A7497" s="2" t="s">
        <v>5696</v>
      </c>
      <c r="B7497" s="2" t="s">
        <v>1191</v>
      </c>
      <c r="C7497" s="2">
        <v>2</v>
      </c>
      <c r="D7497" t="str">
        <f t="shared" si="117"/>
        <v>CA-2017-159366_TEC-MA-10000822</v>
      </c>
      <c r="E7497" t="str">
        <f>IF(COUNTIF(data1!$D:$D,D7497)=0,"Missing in Data1","Present")</f>
        <v>Present</v>
      </c>
    </row>
    <row r="7498" spans="1:5" x14ac:dyDescent="0.25">
      <c r="A7498" s="2" t="s">
        <v>5698</v>
      </c>
      <c r="B7498" s="2" t="s">
        <v>1678</v>
      </c>
      <c r="C7498" s="2">
        <v>3</v>
      </c>
      <c r="D7498" t="str">
        <f t="shared" si="117"/>
        <v>CA-2017-159464_FUR-BO-10003546</v>
      </c>
      <c r="E7498" t="str">
        <f>IF(COUNTIF(data1!$D:$D,D7498)=0,"Missing in Data1","Present")</f>
        <v>Present</v>
      </c>
    </row>
    <row r="7499" spans="1:5" x14ac:dyDescent="0.25">
      <c r="A7499" s="2" t="s">
        <v>5698</v>
      </c>
      <c r="B7499" s="2" t="s">
        <v>1310</v>
      </c>
      <c r="C7499" s="2">
        <v>2</v>
      </c>
      <c r="D7499" t="str">
        <f t="shared" si="117"/>
        <v>CA-2017-159464_OFF-AP-10001492</v>
      </c>
      <c r="E7499" t="str">
        <f>IF(COUNTIF(data1!$D:$D,D7499)=0,"Missing in Data1","Present")</f>
        <v>Present</v>
      </c>
    </row>
    <row r="7500" spans="1:5" x14ac:dyDescent="0.25">
      <c r="A7500" s="2" t="s">
        <v>5698</v>
      </c>
      <c r="B7500" s="2" t="s">
        <v>1386</v>
      </c>
      <c r="C7500" s="2">
        <v>6</v>
      </c>
      <c r="D7500" t="str">
        <f t="shared" si="117"/>
        <v>CA-2017-159464_OFF-BI-10000315</v>
      </c>
      <c r="E7500" t="str">
        <f>IF(COUNTIF(data1!$D:$D,D7500)=0,"Missing in Data1","Present")</f>
        <v>Present</v>
      </c>
    </row>
    <row r="7501" spans="1:5" x14ac:dyDescent="0.25">
      <c r="A7501" s="2" t="s">
        <v>5698</v>
      </c>
      <c r="B7501" s="2" t="s">
        <v>654</v>
      </c>
      <c r="C7501" s="2">
        <v>5</v>
      </c>
      <c r="D7501" t="str">
        <f t="shared" si="117"/>
        <v>CA-2017-159464_TEC-PH-10002185</v>
      </c>
      <c r="E7501" t="str">
        <f>IF(COUNTIF(data1!$D:$D,D7501)=0,"Missing in Data1","Present")</f>
        <v>Present</v>
      </c>
    </row>
    <row r="7502" spans="1:5" x14ac:dyDescent="0.25">
      <c r="A7502" s="2" t="s">
        <v>5698</v>
      </c>
      <c r="B7502" s="2" t="s">
        <v>2782</v>
      </c>
      <c r="C7502" s="2">
        <v>2</v>
      </c>
      <c r="D7502" t="str">
        <f t="shared" si="117"/>
        <v>CA-2017-159464_TEC-PH-10002350</v>
      </c>
      <c r="E7502" t="str">
        <f>IF(COUNTIF(data1!$D:$D,D7502)=0,"Missing in Data1","Present")</f>
        <v>Present</v>
      </c>
    </row>
    <row r="7503" spans="1:5" x14ac:dyDescent="0.25">
      <c r="A7503" s="2" t="s">
        <v>5699</v>
      </c>
      <c r="B7503" s="2" t="s">
        <v>1989</v>
      </c>
      <c r="C7503" s="2">
        <v>3</v>
      </c>
      <c r="D7503" t="str">
        <f t="shared" si="117"/>
        <v>CA-2017-159506_OFF-BI-10004519</v>
      </c>
      <c r="E7503" t="str">
        <f>IF(COUNTIF(data1!$D:$D,D7503)=0,"Missing in Data1","Present")</f>
        <v>Present</v>
      </c>
    </row>
    <row r="7504" spans="1:5" x14ac:dyDescent="0.25">
      <c r="A7504" s="2" t="s">
        <v>5699</v>
      </c>
      <c r="B7504" s="2" t="s">
        <v>884</v>
      </c>
      <c r="C7504" s="2">
        <v>6</v>
      </c>
      <c r="D7504" t="str">
        <f t="shared" si="117"/>
        <v>CA-2017-159506_OFF-PA-10003641</v>
      </c>
      <c r="E7504" t="str">
        <f>IF(COUNTIF(data1!$D:$D,D7504)=0,"Missing in Data1","Present")</f>
        <v>Present</v>
      </c>
    </row>
    <row r="7505" spans="1:5" x14ac:dyDescent="0.25">
      <c r="A7505" s="2" t="s">
        <v>5700</v>
      </c>
      <c r="B7505" s="2" t="s">
        <v>830</v>
      </c>
      <c r="C7505" s="2">
        <v>2</v>
      </c>
      <c r="D7505" t="str">
        <f t="shared" si="117"/>
        <v>CA-2017-159597_OFF-ST-10002289</v>
      </c>
      <c r="E7505" t="str">
        <f>IF(COUNTIF(data1!$D:$D,D7505)=0,"Missing in Data1","Present")</f>
        <v>Present</v>
      </c>
    </row>
    <row r="7506" spans="1:5" x14ac:dyDescent="0.25">
      <c r="A7506" s="2" t="s">
        <v>5700</v>
      </c>
      <c r="B7506" s="2" t="s">
        <v>457</v>
      </c>
      <c r="C7506" s="2">
        <v>1</v>
      </c>
      <c r="D7506" t="str">
        <f t="shared" si="117"/>
        <v>CA-2017-159597_TEC-AC-10004171</v>
      </c>
      <c r="E7506" t="str">
        <f>IF(COUNTIF(data1!$D:$D,D7506)=0,"Missing in Data1","Present")</f>
        <v>Present</v>
      </c>
    </row>
    <row r="7507" spans="1:5" x14ac:dyDescent="0.25">
      <c r="A7507" s="2" t="s">
        <v>5701</v>
      </c>
      <c r="B7507" s="2" t="s">
        <v>2342</v>
      </c>
      <c r="C7507" s="2">
        <v>2</v>
      </c>
      <c r="D7507" t="str">
        <f t="shared" si="117"/>
        <v>CA-2017-159604_OFF-BI-10003460</v>
      </c>
      <c r="E7507" t="str">
        <f>IF(COUNTIF(data1!$D:$D,D7507)=0,"Missing in Data1","Present")</f>
        <v>Present</v>
      </c>
    </row>
    <row r="7508" spans="1:5" x14ac:dyDescent="0.25">
      <c r="A7508" s="2" t="s">
        <v>5702</v>
      </c>
      <c r="B7508" s="2" t="s">
        <v>710</v>
      </c>
      <c r="C7508" s="2">
        <v>3</v>
      </c>
      <c r="D7508" t="str">
        <f t="shared" si="117"/>
        <v>CA-2017-159667_TEC-AC-10002567</v>
      </c>
      <c r="E7508" t="str">
        <f>IF(COUNTIF(data1!$D:$D,D7508)=0,"Missing in Data1","Present")</f>
        <v>Present</v>
      </c>
    </row>
    <row r="7509" spans="1:5" x14ac:dyDescent="0.25">
      <c r="A7509" s="2" t="s">
        <v>5702</v>
      </c>
      <c r="B7509" s="2" t="s">
        <v>2421</v>
      </c>
      <c r="C7509" s="2">
        <v>4</v>
      </c>
      <c r="D7509" t="str">
        <f t="shared" si="117"/>
        <v>CA-2017-159667_TEC-PH-10004094</v>
      </c>
      <c r="E7509" t="str">
        <f>IF(COUNTIF(data1!$D:$D,D7509)=0,"Missing in Data1","Present")</f>
        <v>Present</v>
      </c>
    </row>
    <row r="7510" spans="1:5" x14ac:dyDescent="0.25">
      <c r="A7510" s="2" t="s">
        <v>5703</v>
      </c>
      <c r="B7510" s="2" t="s">
        <v>440</v>
      </c>
      <c r="C7510" s="2">
        <v>1</v>
      </c>
      <c r="D7510" t="str">
        <f t="shared" si="117"/>
        <v>CA-2017-159688_TEC-AC-10000736</v>
      </c>
      <c r="E7510" t="str">
        <f>IF(COUNTIF(data1!$D:$D,D7510)=0,"Missing in Data1","Present")</f>
        <v>Present</v>
      </c>
    </row>
    <row r="7511" spans="1:5" x14ac:dyDescent="0.25">
      <c r="A7511" s="2" t="s">
        <v>5704</v>
      </c>
      <c r="B7511" s="2" t="s">
        <v>3509</v>
      </c>
      <c r="C7511" s="2">
        <v>2</v>
      </c>
      <c r="D7511" t="str">
        <f t="shared" si="117"/>
        <v>CA-2017-159793_FUR-BO-10001798</v>
      </c>
      <c r="E7511" t="str">
        <f>IF(COUNTIF(data1!$D:$D,D7511)=0,"Missing in Data1","Present")</f>
        <v>Present</v>
      </c>
    </row>
    <row r="7512" spans="1:5" x14ac:dyDescent="0.25">
      <c r="A7512" s="2" t="s">
        <v>5705</v>
      </c>
      <c r="B7512" s="2" t="s">
        <v>685</v>
      </c>
      <c r="C7512" s="2">
        <v>3</v>
      </c>
      <c r="D7512" t="str">
        <f t="shared" si="117"/>
        <v>CA-2017-159884_OFF-FA-10000585</v>
      </c>
      <c r="E7512" t="str">
        <f>IF(COUNTIF(data1!$D:$D,D7512)=0,"Missing in Data1","Present")</f>
        <v>Present</v>
      </c>
    </row>
    <row r="7513" spans="1:5" x14ac:dyDescent="0.25">
      <c r="A7513" s="2" t="s">
        <v>5705</v>
      </c>
      <c r="B7513" s="2" t="s">
        <v>2556</v>
      </c>
      <c r="C7513" s="2">
        <v>1</v>
      </c>
      <c r="D7513" t="str">
        <f t="shared" si="117"/>
        <v>CA-2017-159884_OFF-ST-10000344</v>
      </c>
      <c r="E7513" t="str">
        <f>IF(COUNTIF(data1!$D:$D,D7513)=0,"Missing in Data1","Present")</f>
        <v>Present</v>
      </c>
    </row>
    <row r="7514" spans="1:5" x14ac:dyDescent="0.25">
      <c r="A7514" s="2" t="s">
        <v>5706</v>
      </c>
      <c r="B7514" s="2" t="s">
        <v>1380</v>
      </c>
      <c r="C7514" s="2">
        <v>1</v>
      </c>
      <c r="D7514" t="str">
        <f t="shared" si="117"/>
        <v>CA-2017-159954_OFF-BI-10004876</v>
      </c>
      <c r="E7514" t="str">
        <f>IF(COUNTIF(data1!$D:$D,D7514)=0,"Missing in Data1","Present")</f>
        <v>Present</v>
      </c>
    </row>
    <row r="7515" spans="1:5" x14ac:dyDescent="0.25">
      <c r="A7515" s="2" t="s">
        <v>5707</v>
      </c>
      <c r="B7515" s="2" t="s">
        <v>854</v>
      </c>
      <c r="C7515" s="2">
        <v>2</v>
      </c>
      <c r="D7515" t="str">
        <f t="shared" si="117"/>
        <v>CA-2017-160017_OFF-PA-10001800</v>
      </c>
      <c r="E7515" t="str">
        <f>IF(COUNTIF(data1!$D:$D,D7515)=0,"Missing in Data1","Present")</f>
        <v>Present</v>
      </c>
    </row>
    <row r="7516" spans="1:5" x14ac:dyDescent="0.25">
      <c r="A7516" s="2" t="s">
        <v>5708</v>
      </c>
      <c r="B7516" s="2" t="s">
        <v>3168</v>
      </c>
      <c r="C7516" s="2">
        <v>3</v>
      </c>
      <c r="D7516" t="str">
        <f t="shared" si="117"/>
        <v>CA-2017-160031_OFF-PA-10000241</v>
      </c>
      <c r="E7516" t="str">
        <f>IF(COUNTIF(data1!$D:$D,D7516)=0,"Missing in Data1","Present")</f>
        <v>Present</v>
      </c>
    </row>
    <row r="7517" spans="1:5" x14ac:dyDescent="0.25">
      <c r="A7517" s="2" t="s">
        <v>5709</v>
      </c>
      <c r="B7517" s="2" t="s">
        <v>856</v>
      </c>
      <c r="C7517" s="2">
        <v>1</v>
      </c>
      <c r="D7517" t="str">
        <f t="shared" si="117"/>
        <v>CA-2017-160045_FUR-FU-10000010</v>
      </c>
      <c r="E7517" t="str">
        <f>IF(COUNTIF(data1!$D:$D,D7517)=0,"Missing in Data1","Present")</f>
        <v>Present</v>
      </c>
    </row>
    <row r="7518" spans="1:5" x14ac:dyDescent="0.25">
      <c r="A7518" s="2" t="s">
        <v>5710</v>
      </c>
      <c r="B7518" s="2" t="s">
        <v>1819</v>
      </c>
      <c r="C7518" s="2">
        <v>3</v>
      </c>
      <c r="D7518" t="str">
        <f t="shared" si="117"/>
        <v>CA-2017-160087_OFF-AR-10001915</v>
      </c>
      <c r="E7518" t="str">
        <f>IF(COUNTIF(data1!$D:$D,D7518)=0,"Missing in Data1","Present")</f>
        <v>Present</v>
      </c>
    </row>
    <row r="7519" spans="1:5" x14ac:dyDescent="0.25">
      <c r="A7519" s="2" t="s">
        <v>5711</v>
      </c>
      <c r="B7519" s="2" t="s">
        <v>335</v>
      </c>
      <c r="C7519" s="2">
        <v>2</v>
      </c>
      <c r="D7519" t="str">
        <f t="shared" si="117"/>
        <v>CA-2017-160122_FUR-CH-10000422</v>
      </c>
      <c r="E7519" t="str">
        <f>IF(COUNTIF(data1!$D:$D,D7519)=0,"Missing in Data1","Present")</f>
        <v>Present</v>
      </c>
    </row>
    <row r="7520" spans="1:5" x14ac:dyDescent="0.25">
      <c r="A7520" s="2" t="s">
        <v>5711</v>
      </c>
      <c r="B7520" s="2" t="s">
        <v>1204</v>
      </c>
      <c r="C7520" s="2">
        <v>6</v>
      </c>
      <c r="D7520" t="str">
        <f t="shared" si="117"/>
        <v>CA-2017-160122_OFF-EN-10002592</v>
      </c>
      <c r="E7520" t="str">
        <f>IF(COUNTIF(data1!$D:$D,D7520)=0,"Missing in Data1","Present")</f>
        <v>Present</v>
      </c>
    </row>
    <row r="7521" spans="1:5" x14ac:dyDescent="0.25">
      <c r="A7521" s="2" t="s">
        <v>5712</v>
      </c>
      <c r="B7521" s="2" t="s">
        <v>520</v>
      </c>
      <c r="C7521" s="2">
        <v>2</v>
      </c>
      <c r="D7521" t="str">
        <f t="shared" si="117"/>
        <v>CA-2017-160325_TEC-PH-10000984</v>
      </c>
      <c r="E7521" t="str">
        <f>IF(COUNTIF(data1!$D:$D,D7521)=0,"Missing in Data1","Present")</f>
        <v>Present</v>
      </c>
    </row>
    <row r="7522" spans="1:5" x14ac:dyDescent="0.25">
      <c r="A7522" s="2" t="s">
        <v>5712</v>
      </c>
      <c r="B7522" s="2" t="s">
        <v>1663</v>
      </c>
      <c r="C7522" s="2">
        <v>3</v>
      </c>
      <c r="D7522" t="str">
        <f t="shared" si="117"/>
        <v>CA-2017-160325_TEC-PH-10001944</v>
      </c>
      <c r="E7522" t="str">
        <f>IF(COUNTIF(data1!$D:$D,D7522)=0,"Missing in Data1","Present")</f>
        <v>Present</v>
      </c>
    </row>
    <row r="7523" spans="1:5" x14ac:dyDescent="0.25">
      <c r="A7523" s="2" t="s">
        <v>5713</v>
      </c>
      <c r="B7523" s="2" t="s">
        <v>2034</v>
      </c>
      <c r="C7523" s="2">
        <v>2</v>
      </c>
      <c r="D7523" t="str">
        <f t="shared" si="117"/>
        <v>CA-2017-160395_OFF-AR-10003759</v>
      </c>
      <c r="E7523" t="str">
        <f>IF(COUNTIF(data1!$D:$D,D7523)=0,"Missing in Data1","Present")</f>
        <v>Present</v>
      </c>
    </row>
    <row r="7524" spans="1:5" x14ac:dyDescent="0.25">
      <c r="A7524" s="2" t="s">
        <v>5713</v>
      </c>
      <c r="B7524" s="2" t="s">
        <v>49</v>
      </c>
      <c r="C7524" s="2">
        <v>7</v>
      </c>
      <c r="D7524" t="str">
        <f t="shared" si="117"/>
        <v>CA-2017-160395_OFF-BI-10003984</v>
      </c>
      <c r="E7524" t="str">
        <f>IF(COUNTIF(data1!$D:$D,D7524)=0,"Missing in Data1","Present")</f>
        <v>Present</v>
      </c>
    </row>
    <row r="7525" spans="1:5" x14ac:dyDescent="0.25">
      <c r="A7525" s="2" t="s">
        <v>5715</v>
      </c>
      <c r="B7525" s="2" t="s">
        <v>2450</v>
      </c>
      <c r="C7525" s="2">
        <v>7</v>
      </c>
      <c r="D7525" t="str">
        <f t="shared" si="117"/>
        <v>CA-2017-160423_OFF-BI-10004001</v>
      </c>
      <c r="E7525" t="str">
        <f>IF(COUNTIF(data1!$D:$D,D7525)=0,"Missing in Data1","Present")</f>
        <v>Present</v>
      </c>
    </row>
    <row r="7526" spans="1:5" x14ac:dyDescent="0.25">
      <c r="A7526" s="2" t="s">
        <v>5715</v>
      </c>
      <c r="B7526" s="2" t="s">
        <v>1360</v>
      </c>
      <c r="C7526" s="2">
        <v>7</v>
      </c>
      <c r="D7526" t="str">
        <f t="shared" si="117"/>
        <v>CA-2017-160423_OFF-ST-10004340</v>
      </c>
      <c r="E7526" t="str">
        <f>IF(COUNTIF(data1!$D:$D,D7526)=0,"Missing in Data1","Present")</f>
        <v>Present</v>
      </c>
    </row>
    <row r="7527" spans="1:5" x14ac:dyDescent="0.25">
      <c r="A7527" s="2" t="s">
        <v>5716</v>
      </c>
      <c r="B7527" s="2" t="s">
        <v>1378</v>
      </c>
      <c r="C7527" s="2">
        <v>5</v>
      </c>
      <c r="D7527" t="str">
        <f t="shared" si="117"/>
        <v>CA-2017-160458_OFF-PA-10001166</v>
      </c>
      <c r="E7527" t="str">
        <f>IF(COUNTIF(data1!$D:$D,D7527)=0,"Missing in Data1","Present")</f>
        <v>Present</v>
      </c>
    </row>
    <row r="7528" spans="1:5" x14ac:dyDescent="0.25">
      <c r="A7528" s="2" t="s">
        <v>5718</v>
      </c>
      <c r="B7528" s="2" t="s">
        <v>3047</v>
      </c>
      <c r="C7528" s="2">
        <v>3</v>
      </c>
      <c r="D7528" t="str">
        <f t="shared" si="117"/>
        <v>CA-2017-160633_OFF-AR-10004022</v>
      </c>
      <c r="E7528" t="str">
        <f>IF(COUNTIF(data1!$D:$D,D7528)=0,"Missing in Data1","Present")</f>
        <v>Present</v>
      </c>
    </row>
    <row r="7529" spans="1:5" x14ac:dyDescent="0.25">
      <c r="A7529" s="2" t="s">
        <v>5718</v>
      </c>
      <c r="B7529" s="2" t="s">
        <v>3487</v>
      </c>
      <c r="C7529" s="2">
        <v>5</v>
      </c>
      <c r="D7529" t="str">
        <f t="shared" si="117"/>
        <v>CA-2017-160633_TEC-AC-10002335</v>
      </c>
      <c r="E7529" t="str">
        <f>IF(COUNTIF(data1!$D:$D,D7529)=0,"Missing in Data1","Present")</f>
        <v>Present</v>
      </c>
    </row>
    <row r="7530" spans="1:5" x14ac:dyDescent="0.25">
      <c r="A7530" s="2" t="s">
        <v>5718</v>
      </c>
      <c r="B7530" s="2" t="s">
        <v>1688</v>
      </c>
      <c r="C7530" s="2">
        <v>3</v>
      </c>
      <c r="D7530" t="str">
        <f t="shared" si="117"/>
        <v>CA-2017-160633_TEC-CO-10002095</v>
      </c>
      <c r="E7530" t="str">
        <f>IF(COUNTIF(data1!$D:$D,D7530)=0,"Missing in Data1","Present")</f>
        <v>Present</v>
      </c>
    </row>
    <row r="7531" spans="1:5" x14ac:dyDescent="0.25">
      <c r="A7531" s="2" t="s">
        <v>5719</v>
      </c>
      <c r="B7531" s="2" t="s">
        <v>77</v>
      </c>
      <c r="C7531" s="2">
        <v>3</v>
      </c>
      <c r="D7531" t="str">
        <f t="shared" si="117"/>
        <v>CA-2017-160661_OFF-LA-10002475</v>
      </c>
      <c r="E7531" t="str">
        <f>IF(COUNTIF(data1!$D:$D,D7531)=0,"Missing in Data1","Present")</f>
        <v>Present</v>
      </c>
    </row>
    <row r="7532" spans="1:5" x14ac:dyDescent="0.25">
      <c r="A7532" s="2" t="s">
        <v>5720</v>
      </c>
      <c r="B7532" s="2" t="s">
        <v>1686</v>
      </c>
      <c r="C7532" s="2">
        <v>3</v>
      </c>
      <c r="D7532" t="str">
        <f t="shared" si="117"/>
        <v>CA-2017-160724_OFF-BI-10004965</v>
      </c>
      <c r="E7532" t="str">
        <f>IF(COUNTIF(data1!$D:$D,D7532)=0,"Missing in Data1","Present")</f>
        <v>Present</v>
      </c>
    </row>
    <row r="7533" spans="1:5" x14ac:dyDescent="0.25">
      <c r="A7533" s="2" t="s">
        <v>5721</v>
      </c>
      <c r="B7533" s="2" t="s">
        <v>930</v>
      </c>
      <c r="C7533" s="2">
        <v>3</v>
      </c>
      <c r="D7533" t="str">
        <f t="shared" si="117"/>
        <v>CA-2017-160801_OFF-BI-10001132</v>
      </c>
      <c r="E7533" t="str">
        <f>IF(COUNTIF(data1!$D:$D,D7533)=0,"Missing in Data1","Present")</f>
        <v>Present</v>
      </c>
    </row>
    <row r="7534" spans="1:5" x14ac:dyDescent="0.25">
      <c r="A7534" s="2" t="s">
        <v>5722</v>
      </c>
      <c r="B7534" s="2" t="s">
        <v>1081</v>
      </c>
      <c r="C7534" s="2">
        <v>4</v>
      </c>
      <c r="D7534" t="str">
        <f t="shared" si="117"/>
        <v>CA-2017-160885_TEC-PH-10001795</v>
      </c>
      <c r="E7534" t="str">
        <f>IF(COUNTIF(data1!$D:$D,D7534)=0,"Missing in Data1","Present")</f>
        <v>Present</v>
      </c>
    </row>
    <row r="7535" spans="1:5" x14ac:dyDescent="0.25">
      <c r="A7535" s="2" t="s">
        <v>5723</v>
      </c>
      <c r="B7535" s="2" t="s">
        <v>740</v>
      </c>
      <c r="C7535" s="2">
        <v>11</v>
      </c>
      <c r="D7535" t="str">
        <f t="shared" si="117"/>
        <v>CA-2017-160899_OFF-BI-10000632</v>
      </c>
      <c r="E7535" t="str">
        <f>IF(COUNTIF(data1!$D:$D,D7535)=0,"Missing in Data1","Present")</f>
        <v>Present</v>
      </c>
    </row>
    <row r="7536" spans="1:5" x14ac:dyDescent="0.25">
      <c r="A7536" s="2" t="s">
        <v>5724</v>
      </c>
      <c r="B7536" s="2" t="s">
        <v>856</v>
      </c>
      <c r="C7536" s="2">
        <v>3</v>
      </c>
      <c r="D7536" t="str">
        <f t="shared" si="117"/>
        <v>CA-2017-160927_FUR-FU-10000010</v>
      </c>
      <c r="E7536" t="str">
        <f>IF(COUNTIF(data1!$D:$D,D7536)=0,"Missing in Data1","Present")</f>
        <v>Present</v>
      </c>
    </row>
    <row r="7537" spans="1:5" x14ac:dyDescent="0.25">
      <c r="A7537" s="2" t="s">
        <v>5724</v>
      </c>
      <c r="B7537" s="2" t="s">
        <v>7</v>
      </c>
      <c r="C7537" s="2">
        <v>5</v>
      </c>
      <c r="D7537" t="str">
        <f t="shared" si="117"/>
        <v>CA-2017-160927_OFF-PA-10000176</v>
      </c>
      <c r="E7537" t="str">
        <f>IF(COUNTIF(data1!$D:$D,D7537)=0,"Missing in Data1","Present")</f>
        <v>Present</v>
      </c>
    </row>
    <row r="7538" spans="1:5" x14ac:dyDescent="0.25">
      <c r="A7538" s="2" t="s">
        <v>5724</v>
      </c>
      <c r="B7538" s="2" t="s">
        <v>2011</v>
      </c>
      <c r="C7538" s="2">
        <v>2</v>
      </c>
      <c r="D7538" t="str">
        <f t="shared" si="117"/>
        <v>CA-2017-160927_OFF-PA-10003848</v>
      </c>
      <c r="E7538" t="str">
        <f>IF(COUNTIF(data1!$D:$D,D7538)=0,"Missing in Data1","Present")</f>
        <v>Present</v>
      </c>
    </row>
    <row r="7539" spans="1:5" x14ac:dyDescent="0.25">
      <c r="A7539" s="2" t="s">
        <v>5724</v>
      </c>
      <c r="B7539" s="2" t="s">
        <v>2282</v>
      </c>
      <c r="C7539" s="2">
        <v>1</v>
      </c>
      <c r="D7539" t="str">
        <f t="shared" si="117"/>
        <v>CA-2017-160927_OFF-ST-10001590</v>
      </c>
      <c r="E7539" t="str">
        <f>IF(COUNTIF(data1!$D:$D,D7539)=0,"Missing in Data1","Present")</f>
        <v>Present</v>
      </c>
    </row>
    <row r="7540" spans="1:5" x14ac:dyDescent="0.25">
      <c r="A7540" s="2" t="s">
        <v>5725</v>
      </c>
      <c r="B7540" s="2" t="s">
        <v>574</v>
      </c>
      <c r="C7540" s="2">
        <v>5</v>
      </c>
      <c r="D7540" t="str">
        <f t="shared" si="117"/>
        <v>CA-2017-160934_OFF-AR-10003504</v>
      </c>
      <c r="E7540" t="str">
        <f>IF(COUNTIF(data1!$D:$D,D7540)=0,"Missing in Data1","Present")</f>
        <v>Present</v>
      </c>
    </row>
    <row r="7541" spans="1:5" x14ac:dyDescent="0.25">
      <c r="A7541" s="2" t="s">
        <v>5726</v>
      </c>
      <c r="B7541" s="2" t="s">
        <v>1278</v>
      </c>
      <c r="C7541" s="2">
        <v>2</v>
      </c>
      <c r="D7541" t="str">
        <f t="shared" si="117"/>
        <v>CA-2017-160962_OFF-AR-10003056</v>
      </c>
      <c r="E7541" t="str">
        <f>IF(COUNTIF(data1!$D:$D,D7541)=0,"Missing in Data1","Present")</f>
        <v>Present</v>
      </c>
    </row>
    <row r="7542" spans="1:5" x14ac:dyDescent="0.25">
      <c r="A7542" s="2" t="s">
        <v>5726</v>
      </c>
      <c r="B7542" s="2" t="s">
        <v>2467</v>
      </c>
      <c r="C7542" s="2">
        <v>1</v>
      </c>
      <c r="D7542" t="str">
        <f t="shared" si="117"/>
        <v>CA-2017-160962_OFF-ST-10001325</v>
      </c>
      <c r="E7542" t="str">
        <f>IF(COUNTIF(data1!$D:$D,D7542)=0,"Missing in Data1","Present")</f>
        <v>Present</v>
      </c>
    </row>
    <row r="7543" spans="1:5" x14ac:dyDescent="0.25">
      <c r="A7543" s="2" t="s">
        <v>5727</v>
      </c>
      <c r="B7543" s="2" t="s">
        <v>2694</v>
      </c>
      <c r="C7543" s="2">
        <v>8</v>
      </c>
      <c r="D7543" t="str">
        <f t="shared" si="117"/>
        <v>CA-2017-160983_OFF-PA-10002250</v>
      </c>
      <c r="E7543" t="str">
        <f>IF(COUNTIF(data1!$D:$D,D7543)=0,"Missing in Data1","Present")</f>
        <v>Present</v>
      </c>
    </row>
    <row r="7544" spans="1:5" x14ac:dyDescent="0.25">
      <c r="A7544" s="2" t="s">
        <v>5728</v>
      </c>
      <c r="B7544" s="2" t="s">
        <v>590</v>
      </c>
      <c r="C7544" s="2">
        <v>7</v>
      </c>
      <c r="D7544" t="str">
        <f t="shared" si="117"/>
        <v>CA-2017-161018_FUR-FU-10000629</v>
      </c>
      <c r="E7544" t="str">
        <f>IF(COUNTIF(data1!$D:$D,D7544)=0,"Missing in Data1","Present")</f>
        <v>Present</v>
      </c>
    </row>
    <row r="7545" spans="1:5" x14ac:dyDescent="0.25">
      <c r="A7545" s="2" t="s">
        <v>5729</v>
      </c>
      <c r="B7545" s="2" t="s">
        <v>3826</v>
      </c>
      <c r="C7545" s="2">
        <v>2</v>
      </c>
      <c r="D7545" t="str">
        <f t="shared" si="117"/>
        <v>CA-2017-161046_OFF-AP-10000891</v>
      </c>
      <c r="E7545" t="str">
        <f>IF(COUNTIF(data1!$D:$D,D7545)=0,"Missing in Data1","Present")</f>
        <v>Present</v>
      </c>
    </row>
    <row r="7546" spans="1:5" x14ac:dyDescent="0.25">
      <c r="A7546" s="2" t="s">
        <v>5729</v>
      </c>
      <c r="B7546" s="2" t="s">
        <v>2178</v>
      </c>
      <c r="C7546" s="2">
        <v>4</v>
      </c>
      <c r="D7546" t="str">
        <f t="shared" si="117"/>
        <v>CA-2017-161046_OFF-EN-10003862</v>
      </c>
      <c r="E7546" t="str">
        <f>IF(COUNTIF(data1!$D:$D,D7546)=0,"Missing in Data1","Present")</f>
        <v>Present</v>
      </c>
    </row>
    <row r="7547" spans="1:5" x14ac:dyDescent="0.25">
      <c r="A7547" s="2" t="s">
        <v>5729</v>
      </c>
      <c r="B7547" s="2" t="s">
        <v>1133</v>
      </c>
      <c r="C7547" s="2">
        <v>3</v>
      </c>
      <c r="D7547" t="str">
        <f t="shared" si="117"/>
        <v>CA-2017-161046_TEC-AC-10004571</v>
      </c>
      <c r="E7547" t="str">
        <f>IF(COUNTIF(data1!$D:$D,D7547)=0,"Missing in Data1","Present")</f>
        <v>Present</v>
      </c>
    </row>
    <row r="7548" spans="1:5" x14ac:dyDescent="0.25">
      <c r="A7548" s="2" t="s">
        <v>5730</v>
      </c>
      <c r="B7548" s="2" t="s">
        <v>3214</v>
      </c>
      <c r="C7548" s="2">
        <v>4</v>
      </c>
      <c r="D7548" t="str">
        <f t="shared" si="117"/>
        <v>CA-2017-161053_OFF-BI-10004318</v>
      </c>
      <c r="E7548" t="str">
        <f>IF(COUNTIF(data1!$D:$D,D7548)=0,"Missing in Data1","Present")</f>
        <v>Present</v>
      </c>
    </row>
    <row r="7549" spans="1:5" x14ac:dyDescent="0.25">
      <c r="A7549" s="2" t="s">
        <v>5730</v>
      </c>
      <c r="B7549" s="2" t="s">
        <v>1007</v>
      </c>
      <c r="C7549" s="2">
        <v>5</v>
      </c>
      <c r="D7549" t="str">
        <f t="shared" si="117"/>
        <v>CA-2017-161053_TEC-AC-10004633</v>
      </c>
      <c r="E7549" t="str">
        <f>IF(COUNTIF(data1!$D:$D,D7549)=0,"Missing in Data1","Present")</f>
        <v>Present</v>
      </c>
    </row>
    <row r="7550" spans="1:5" x14ac:dyDescent="0.25">
      <c r="A7550" s="2" t="s">
        <v>5731</v>
      </c>
      <c r="B7550" s="2" t="s">
        <v>524</v>
      </c>
      <c r="C7550" s="2">
        <v>1</v>
      </c>
      <c r="D7550" t="str">
        <f t="shared" si="117"/>
        <v>CA-2017-161067_FUR-CH-10004626</v>
      </c>
      <c r="E7550" t="str">
        <f>IF(COUNTIF(data1!$D:$D,D7550)=0,"Missing in Data1","Present")</f>
        <v>Present</v>
      </c>
    </row>
    <row r="7551" spans="1:5" x14ac:dyDescent="0.25">
      <c r="A7551" s="2" t="s">
        <v>5731</v>
      </c>
      <c r="B7551" s="2" t="s">
        <v>1162</v>
      </c>
      <c r="C7551" s="2">
        <v>2</v>
      </c>
      <c r="D7551" t="str">
        <f t="shared" si="117"/>
        <v>CA-2017-161067_FUR-CH-10004860</v>
      </c>
      <c r="E7551" t="str">
        <f>IF(COUNTIF(data1!$D:$D,D7551)=0,"Missing in Data1","Present")</f>
        <v>Present</v>
      </c>
    </row>
    <row r="7552" spans="1:5" x14ac:dyDescent="0.25">
      <c r="A7552" s="2" t="s">
        <v>5731</v>
      </c>
      <c r="B7552" s="2" t="s">
        <v>1920</v>
      </c>
      <c r="C7552" s="2">
        <v>2</v>
      </c>
      <c r="D7552" t="str">
        <f t="shared" si="117"/>
        <v>CA-2017-161067_OFF-AR-10003251</v>
      </c>
      <c r="E7552" t="str">
        <f>IF(COUNTIF(data1!$D:$D,D7552)=0,"Missing in Data1","Present")</f>
        <v>Present</v>
      </c>
    </row>
    <row r="7553" spans="1:5" x14ac:dyDescent="0.25">
      <c r="A7553" s="2" t="s">
        <v>5731</v>
      </c>
      <c r="B7553" s="2" t="s">
        <v>1243</v>
      </c>
      <c r="C7553" s="2">
        <v>4</v>
      </c>
      <c r="D7553" t="str">
        <f t="shared" si="117"/>
        <v>CA-2017-161067_OFF-PA-10000418</v>
      </c>
      <c r="E7553" t="str">
        <f>IF(COUNTIF(data1!$D:$D,D7553)=0,"Missing in Data1","Present")</f>
        <v>Present</v>
      </c>
    </row>
    <row r="7554" spans="1:5" x14ac:dyDescent="0.25">
      <c r="A7554" s="2" t="s">
        <v>5732</v>
      </c>
      <c r="B7554" s="2" t="s">
        <v>1255</v>
      </c>
      <c r="C7554" s="2">
        <v>2</v>
      </c>
      <c r="D7554" t="str">
        <f t="shared" si="117"/>
        <v>CA-2017-161088_OFF-BI-10002824</v>
      </c>
      <c r="E7554" t="str">
        <f>IF(COUNTIF(data1!$D:$D,D7554)=0,"Missing in Data1","Present")</f>
        <v>Present</v>
      </c>
    </row>
    <row r="7555" spans="1:5" x14ac:dyDescent="0.25">
      <c r="A7555" s="2" t="s">
        <v>5733</v>
      </c>
      <c r="B7555" s="2" t="s">
        <v>2724</v>
      </c>
      <c r="C7555" s="2">
        <v>7</v>
      </c>
      <c r="D7555" t="str">
        <f t="shared" ref="D7555:D7618" si="118">A7555&amp;"_"&amp;B7555</f>
        <v>CA-2017-161102_FUR-FU-10003142</v>
      </c>
      <c r="E7555" t="str">
        <f>IF(COUNTIF(data1!$D:$D,D7555)=0,"Missing in Data1","Present")</f>
        <v>Present</v>
      </c>
    </row>
    <row r="7556" spans="1:5" x14ac:dyDescent="0.25">
      <c r="A7556" s="2" t="s">
        <v>5733</v>
      </c>
      <c r="B7556" s="2" t="s">
        <v>71</v>
      </c>
      <c r="C7556" s="2">
        <v>2</v>
      </c>
      <c r="D7556" t="str">
        <f t="shared" si="118"/>
        <v>CA-2017-161102_OFF-ST-10003442</v>
      </c>
      <c r="E7556" t="str">
        <f>IF(COUNTIF(data1!$D:$D,D7556)=0,"Missing in Data1","Present")</f>
        <v>Present</v>
      </c>
    </row>
    <row r="7557" spans="1:5" x14ac:dyDescent="0.25">
      <c r="A7557" s="2" t="s">
        <v>5734</v>
      </c>
      <c r="B7557" s="2" t="s">
        <v>102</v>
      </c>
      <c r="C7557" s="2">
        <v>2</v>
      </c>
      <c r="D7557" t="str">
        <f t="shared" si="118"/>
        <v>CA-2017-161130_TEC-PH-10002549</v>
      </c>
      <c r="E7557" t="str">
        <f>IF(COUNTIF(data1!$D:$D,D7557)=0,"Missing in Data1","Present")</f>
        <v>Present</v>
      </c>
    </row>
    <row r="7558" spans="1:5" x14ac:dyDescent="0.25">
      <c r="A7558" s="2" t="s">
        <v>5735</v>
      </c>
      <c r="B7558" s="2" t="s">
        <v>2847</v>
      </c>
      <c r="C7558" s="2">
        <v>6</v>
      </c>
      <c r="D7558" t="str">
        <f t="shared" si="118"/>
        <v>CA-2017-161172_FUR-FU-10003424</v>
      </c>
      <c r="E7558" t="str">
        <f>IF(COUNTIF(data1!$D:$D,D7558)=0,"Missing in Data1","Present")</f>
        <v>Present</v>
      </c>
    </row>
    <row r="7559" spans="1:5" x14ac:dyDescent="0.25">
      <c r="A7559" s="2" t="s">
        <v>5735</v>
      </c>
      <c r="B7559" s="2" t="s">
        <v>483</v>
      </c>
      <c r="C7559" s="2">
        <v>3</v>
      </c>
      <c r="D7559" t="str">
        <f t="shared" si="118"/>
        <v>CA-2017-161172_OFF-BI-10004654</v>
      </c>
      <c r="E7559" t="str">
        <f>IF(COUNTIF(data1!$D:$D,D7559)=0,"Missing in Data1","Present")</f>
        <v>Present</v>
      </c>
    </row>
    <row r="7560" spans="1:5" x14ac:dyDescent="0.25">
      <c r="A7560" s="2" t="s">
        <v>5735</v>
      </c>
      <c r="B7560" s="2" t="s">
        <v>1584</v>
      </c>
      <c r="C7560" s="2">
        <v>2</v>
      </c>
      <c r="D7560" t="str">
        <f t="shared" si="118"/>
        <v>CA-2017-161172_OFF-ST-10000675</v>
      </c>
      <c r="E7560" t="str">
        <f>IF(COUNTIF(data1!$D:$D,D7560)=0,"Missing in Data1","Present")</f>
        <v>Present</v>
      </c>
    </row>
    <row r="7561" spans="1:5" x14ac:dyDescent="0.25">
      <c r="A7561" s="2" t="s">
        <v>5735</v>
      </c>
      <c r="B7561" s="2" t="s">
        <v>1133</v>
      </c>
      <c r="C7561" s="2">
        <v>2</v>
      </c>
      <c r="D7561" t="str">
        <f t="shared" si="118"/>
        <v>CA-2017-161172_TEC-AC-10004571</v>
      </c>
      <c r="E7561" t="str">
        <f>IF(COUNTIF(data1!$D:$D,D7561)=0,"Missing in Data1","Present")</f>
        <v>Present</v>
      </c>
    </row>
    <row r="7562" spans="1:5" x14ac:dyDescent="0.25">
      <c r="A7562" s="2" t="s">
        <v>5735</v>
      </c>
      <c r="B7562" s="2" t="s">
        <v>2794</v>
      </c>
      <c r="C7562" s="2">
        <v>2</v>
      </c>
      <c r="D7562" t="str">
        <f t="shared" si="118"/>
        <v>CA-2017-161172_TEC-PH-10004348</v>
      </c>
      <c r="E7562" t="str">
        <f>IF(COUNTIF(data1!$D:$D,D7562)=0,"Missing in Data1","Present")</f>
        <v>Present</v>
      </c>
    </row>
    <row r="7563" spans="1:5" x14ac:dyDescent="0.25">
      <c r="A7563" s="2" t="s">
        <v>5736</v>
      </c>
      <c r="B7563" s="2" t="s">
        <v>1559</v>
      </c>
      <c r="C7563" s="2">
        <v>3</v>
      </c>
      <c r="D7563" t="str">
        <f t="shared" si="118"/>
        <v>CA-2017-161200_FUR-BO-10000468</v>
      </c>
      <c r="E7563" t="str">
        <f>IF(COUNTIF(data1!$D:$D,D7563)=0,"Missing in Data1","Present")</f>
        <v>Present</v>
      </c>
    </row>
    <row r="7564" spans="1:5" x14ac:dyDescent="0.25">
      <c r="A7564" s="2" t="s">
        <v>5736</v>
      </c>
      <c r="B7564" s="2" t="s">
        <v>456</v>
      </c>
      <c r="C7564" s="2">
        <v>5</v>
      </c>
      <c r="D7564" t="str">
        <f t="shared" si="118"/>
        <v>CA-2017-161200_FUR-FU-10001706</v>
      </c>
      <c r="E7564" t="str">
        <f>IF(COUNTIF(data1!$D:$D,D7564)=0,"Missing in Data1","Present")</f>
        <v>Present</v>
      </c>
    </row>
    <row r="7565" spans="1:5" x14ac:dyDescent="0.25">
      <c r="A7565" s="2" t="s">
        <v>5737</v>
      </c>
      <c r="B7565" s="2" t="s">
        <v>2933</v>
      </c>
      <c r="C7565" s="2">
        <v>2</v>
      </c>
      <c r="D7565" t="str">
        <f t="shared" si="118"/>
        <v>CA-2017-161333_FUR-FU-10003039</v>
      </c>
      <c r="E7565" t="str">
        <f>IF(COUNTIF(data1!$D:$D,D7565)=0,"Missing in Data1","Present")</f>
        <v>Present</v>
      </c>
    </row>
    <row r="7566" spans="1:5" x14ac:dyDescent="0.25">
      <c r="A7566" s="2" t="s">
        <v>5737</v>
      </c>
      <c r="B7566" s="2" t="s">
        <v>3697</v>
      </c>
      <c r="C7566" s="2">
        <v>4</v>
      </c>
      <c r="D7566" t="str">
        <f t="shared" si="118"/>
        <v>CA-2017-161333_OFF-AP-10000252</v>
      </c>
      <c r="E7566" t="str">
        <f>IF(COUNTIF(data1!$D:$D,D7566)=0,"Missing in Data1","Present")</f>
        <v>Present</v>
      </c>
    </row>
    <row r="7567" spans="1:5" x14ac:dyDescent="0.25">
      <c r="A7567" s="2" t="s">
        <v>5737</v>
      </c>
      <c r="B7567" s="2" t="s">
        <v>1471</v>
      </c>
      <c r="C7567" s="2">
        <v>4</v>
      </c>
      <c r="D7567" t="str">
        <f t="shared" si="118"/>
        <v>CA-2017-161333_OFF-ST-10000464</v>
      </c>
      <c r="E7567" t="str">
        <f>IF(COUNTIF(data1!$D:$D,D7567)=0,"Missing in Data1","Present")</f>
        <v>Present</v>
      </c>
    </row>
    <row r="7568" spans="1:5" x14ac:dyDescent="0.25">
      <c r="A7568" s="2" t="s">
        <v>5738</v>
      </c>
      <c r="B7568" s="2" t="s">
        <v>1960</v>
      </c>
      <c r="C7568" s="2">
        <v>4</v>
      </c>
      <c r="D7568" t="str">
        <f t="shared" si="118"/>
        <v>CA-2017-161340_FUR-BO-10004709</v>
      </c>
      <c r="E7568" t="str">
        <f>IF(COUNTIF(data1!$D:$D,D7568)=0,"Missing in Data1","Present")</f>
        <v>Present</v>
      </c>
    </row>
    <row r="7569" spans="1:5" x14ac:dyDescent="0.25">
      <c r="A7569" s="2" t="s">
        <v>5738</v>
      </c>
      <c r="B7569" s="2" t="s">
        <v>1883</v>
      </c>
      <c r="C7569" s="2">
        <v>3</v>
      </c>
      <c r="D7569" t="str">
        <f t="shared" si="118"/>
        <v>CA-2017-161340_OFF-PA-10002464</v>
      </c>
      <c r="E7569" t="str">
        <f>IF(COUNTIF(data1!$D:$D,D7569)=0,"Missing in Data1","Present")</f>
        <v>Present</v>
      </c>
    </row>
    <row r="7570" spans="1:5" x14ac:dyDescent="0.25">
      <c r="A7570" s="2" t="s">
        <v>5739</v>
      </c>
      <c r="B7570" s="2" t="s">
        <v>863</v>
      </c>
      <c r="C7570" s="2">
        <v>14</v>
      </c>
      <c r="D7570" t="str">
        <f t="shared" si="118"/>
        <v>CA-2017-161410_TEC-PH-10000673</v>
      </c>
      <c r="E7570" t="str">
        <f>IF(COUNTIF(data1!$D:$D,D7570)=0,"Missing in Data1","Present")</f>
        <v>Present</v>
      </c>
    </row>
    <row r="7571" spans="1:5" x14ac:dyDescent="0.25">
      <c r="A7571" s="2" t="s">
        <v>5739</v>
      </c>
      <c r="B7571" s="2" t="s">
        <v>313</v>
      </c>
      <c r="C7571" s="2">
        <v>3</v>
      </c>
      <c r="D7571" t="str">
        <f t="shared" si="118"/>
        <v>CA-2017-161410_TEC-PH-10001760</v>
      </c>
      <c r="E7571" t="str">
        <f>IF(COUNTIF(data1!$D:$D,D7571)=0,"Missing in Data1","Present")</f>
        <v>Present</v>
      </c>
    </row>
    <row r="7572" spans="1:5" x14ac:dyDescent="0.25">
      <c r="A7572" s="2" t="s">
        <v>5740</v>
      </c>
      <c r="B7572" s="2" t="s">
        <v>592</v>
      </c>
      <c r="C7572" s="2">
        <v>6</v>
      </c>
      <c r="D7572" t="str">
        <f t="shared" si="118"/>
        <v>CA-2017-161459_OFF-PA-10002377</v>
      </c>
      <c r="E7572" t="str">
        <f>IF(COUNTIF(data1!$D:$D,D7572)=0,"Missing in Data1","Present")</f>
        <v>Present</v>
      </c>
    </row>
    <row r="7573" spans="1:5" x14ac:dyDescent="0.25">
      <c r="A7573" s="2" t="s">
        <v>5740</v>
      </c>
      <c r="B7573" s="2" t="s">
        <v>3348</v>
      </c>
      <c r="C7573" s="2">
        <v>5</v>
      </c>
      <c r="D7573" t="str">
        <f t="shared" si="118"/>
        <v>CA-2017-161459_TEC-PH-10004071</v>
      </c>
      <c r="E7573" t="str">
        <f>IF(COUNTIF(data1!$D:$D,D7573)=0,"Missing in Data1","Present")</f>
        <v>Present</v>
      </c>
    </row>
    <row r="7574" spans="1:5" x14ac:dyDescent="0.25">
      <c r="A7574" s="2" t="s">
        <v>5741</v>
      </c>
      <c r="B7574" s="2" t="s">
        <v>631</v>
      </c>
      <c r="C7574" s="2">
        <v>2</v>
      </c>
      <c r="D7574" t="str">
        <f t="shared" si="118"/>
        <v>CA-2017-161480_FUR-BO-10004015</v>
      </c>
      <c r="E7574" t="str">
        <f>IF(COUNTIF(data1!$D:$D,D7574)=0,"Missing in Data1","Present")</f>
        <v>Present</v>
      </c>
    </row>
    <row r="7575" spans="1:5" x14ac:dyDescent="0.25">
      <c r="A7575" s="2" t="s">
        <v>6848</v>
      </c>
      <c r="B7575" s="2" t="s">
        <v>5835</v>
      </c>
      <c r="C7575" s="2">
        <v>5</v>
      </c>
      <c r="D7575" t="str">
        <f t="shared" si="118"/>
        <v>CA-2017-161557_FUR-FU-10004622</v>
      </c>
      <c r="E7575" t="str">
        <f>IF(COUNTIF(data1!$D:$D,D7575)=0,"Missing in Data1","Present")</f>
        <v>Missing in Data1</v>
      </c>
    </row>
    <row r="7576" spans="1:5" x14ac:dyDescent="0.25">
      <c r="A7576" s="2" t="s">
        <v>5742</v>
      </c>
      <c r="B7576" s="2" t="s">
        <v>47</v>
      </c>
      <c r="C7576" s="2">
        <v>2</v>
      </c>
      <c r="D7576" t="str">
        <f t="shared" si="118"/>
        <v>CA-2017-161578_OFF-PA-10002986</v>
      </c>
      <c r="E7576" t="str">
        <f>IF(COUNTIF(data1!$D:$D,D7576)=0,"Missing in Data1","Present")</f>
        <v>Present</v>
      </c>
    </row>
    <row r="7577" spans="1:5" x14ac:dyDescent="0.25">
      <c r="A7577" s="2" t="s">
        <v>5742</v>
      </c>
      <c r="B7577" s="2" t="s">
        <v>830</v>
      </c>
      <c r="C7577" s="2">
        <v>5</v>
      </c>
      <c r="D7577" t="str">
        <f t="shared" si="118"/>
        <v>CA-2017-161578_OFF-ST-10002289</v>
      </c>
      <c r="E7577" t="str">
        <f>IF(COUNTIF(data1!$D:$D,D7577)=0,"Missing in Data1","Present")</f>
        <v>Present</v>
      </c>
    </row>
    <row r="7578" spans="1:5" x14ac:dyDescent="0.25">
      <c r="A7578" s="2" t="s">
        <v>5743</v>
      </c>
      <c r="B7578" s="2" t="s">
        <v>1203</v>
      </c>
      <c r="C7578" s="2">
        <v>5</v>
      </c>
      <c r="D7578" t="str">
        <f t="shared" si="118"/>
        <v>CA-2017-161592_OFF-BI-10003669</v>
      </c>
      <c r="E7578" t="str">
        <f>IF(COUNTIF(data1!$D:$D,D7578)=0,"Missing in Data1","Present")</f>
        <v>Present</v>
      </c>
    </row>
    <row r="7579" spans="1:5" x14ac:dyDescent="0.25">
      <c r="A7579" s="2" t="s">
        <v>5744</v>
      </c>
      <c r="B7579" s="2" t="s">
        <v>1961</v>
      </c>
      <c r="C7579" s="2">
        <v>9</v>
      </c>
      <c r="D7579" t="str">
        <f t="shared" si="118"/>
        <v>CA-2017-161655_OFF-BI-10002082</v>
      </c>
      <c r="E7579" t="str">
        <f>IF(COUNTIF(data1!$D:$D,D7579)=0,"Missing in Data1","Present")</f>
        <v>Present</v>
      </c>
    </row>
    <row r="7580" spans="1:5" x14ac:dyDescent="0.25">
      <c r="A7580" s="2" t="s">
        <v>5745</v>
      </c>
      <c r="B7580" s="2" t="s">
        <v>494</v>
      </c>
      <c r="C7580" s="2">
        <v>5</v>
      </c>
      <c r="D7580" t="str">
        <f t="shared" si="118"/>
        <v>CA-2017-161739_FUR-FU-10001468</v>
      </c>
      <c r="E7580" t="str">
        <f>IF(COUNTIF(data1!$D:$D,D7580)=0,"Missing in Data1","Present")</f>
        <v>Present</v>
      </c>
    </row>
    <row r="7581" spans="1:5" x14ac:dyDescent="0.25">
      <c r="A7581" s="2" t="s">
        <v>5746</v>
      </c>
      <c r="B7581" s="2" t="s">
        <v>2546</v>
      </c>
      <c r="C7581" s="2">
        <v>5</v>
      </c>
      <c r="D7581" t="str">
        <f t="shared" si="118"/>
        <v>CA-2017-161774_OFF-AR-10001446</v>
      </c>
      <c r="E7581" t="str">
        <f>IF(COUNTIF(data1!$D:$D,D7581)=0,"Missing in Data1","Present")</f>
        <v>Present</v>
      </c>
    </row>
    <row r="7582" spans="1:5" x14ac:dyDescent="0.25">
      <c r="A7582" s="2" t="s">
        <v>5746</v>
      </c>
      <c r="B7582" s="2" t="s">
        <v>3056</v>
      </c>
      <c r="C7582" s="2">
        <v>3</v>
      </c>
      <c r="D7582" t="str">
        <f t="shared" si="118"/>
        <v>CA-2017-161774_OFF-PA-10000300</v>
      </c>
      <c r="E7582" t="str">
        <f>IF(COUNTIF(data1!$D:$D,D7582)=0,"Missing in Data1","Present")</f>
        <v>Present</v>
      </c>
    </row>
    <row r="7583" spans="1:5" x14ac:dyDescent="0.25">
      <c r="A7583" s="2" t="s">
        <v>5746</v>
      </c>
      <c r="B7583" s="2" t="s">
        <v>5559</v>
      </c>
      <c r="C7583" s="2">
        <v>2</v>
      </c>
      <c r="D7583" t="str">
        <f t="shared" si="118"/>
        <v>CA-2017-161774_OFF-PA-10003134</v>
      </c>
      <c r="E7583" t="str">
        <f>IF(COUNTIF(data1!$D:$D,D7583)=0,"Missing in Data1","Present")</f>
        <v>Present</v>
      </c>
    </row>
    <row r="7584" spans="1:5" x14ac:dyDescent="0.25">
      <c r="A7584" s="2" t="s">
        <v>5746</v>
      </c>
      <c r="B7584" s="2" t="s">
        <v>3348</v>
      </c>
      <c r="C7584" s="2">
        <v>1</v>
      </c>
      <c r="D7584" t="str">
        <f t="shared" si="118"/>
        <v>CA-2017-161774_TEC-PH-10004071</v>
      </c>
      <c r="E7584" t="str">
        <f>IF(COUNTIF(data1!$D:$D,D7584)=0,"Missing in Data1","Present")</f>
        <v>Present</v>
      </c>
    </row>
    <row r="7585" spans="1:5" x14ac:dyDescent="0.25">
      <c r="A7585" s="2" t="s">
        <v>5747</v>
      </c>
      <c r="B7585" s="2" t="s">
        <v>29</v>
      </c>
      <c r="C7585" s="2">
        <v>3</v>
      </c>
      <c r="D7585" t="str">
        <f t="shared" si="118"/>
        <v>CA-2017-161809_TEC-PH-10004922</v>
      </c>
      <c r="E7585" t="str">
        <f>IF(COUNTIF(data1!$D:$D,D7585)=0,"Missing in Data1","Present")</f>
        <v>Present</v>
      </c>
    </row>
    <row r="7586" spans="1:5" x14ac:dyDescent="0.25">
      <c r="A7586" s="2" t="s">
        <v>5748</v>
      </c>
      <c r="B7586" s="2" t="s">
        <v>882</v>
      </c>
      <c r="C7586" s="2">
        <v>2</v>
      </c>
      <c r="D7586" t="str">
        <f t="shared" si="118"/>
        <v>CA-2017-161823_OFF-AR-10002053</v>
      </c>
      <c r="E7586" t="str">
        <f>IF(COUNTIF(data1!$D:$D,D7586)=0,"Missing in Data1","Present")</f>
        <v>Present</v>
      </c>
    </row>
    <row r="7587" spans="1:5" x14ac:dyDescent="0.25">
      <c r="A7587" s="2" t="s">
        <v>5750</v>
      </c>
      <c r="B7587" s="2" t="s">
        <v>1463</v>
      </c>
      <c r="C7587" s="2">
        <v>2</v>
      </c>
      <c r="D7587" t="str">
        <f t="shared" si="118"/>
        <v>CA-2017-161893_OFF-BI-10004506</v>
      </c>
      <c r="E7587" t="str">
        <f>IF(COUNTIF(data1!$D:$D,D7587)=0,"Missing in Data1","Present")</f>
        <v>Present</v>
      </c>
    </row>
    <row r="7588" spans="1:5" x14ac:dyDescent="0.25">
      <c r="A7588" s="2" t="s">
        <v>5751</v>
      </c>
      <c r="B7588" s="2" t="s">
        <v>1368</v>
      </c>
      <c r="C7588" s="2">
        <v>3</v>
      </c>
      <c r="D7588" t="str">
        <f t="shared" si="118"/>
        <v>CA-2017-161956_FUR-CH-10004886</v>
      </c>
      <c r="E7588" t="str">
        <f>IF(COUNTIF(data1!$D:$D,D7588)=0,"Missing in Data1","Present")</f>
        <v>Present</v>
      </c>
    </row>
    <row r="7589" spans="1:5" x14ac:dyDescent="0.25">
      <c r="A7589" s="2" t="s">
        <v>5751</v>
      </c>
      <c r="B7589" s="2" t="s">
        <v>2850</v>
      </c>
      <c r="C7589" s="2">
        <v>2</v>
      </c>
      <c r="D7589" t="str">
        <f t="shared" si="118"/>
        <v>CA-2017-161956_FUR-FU-10002937</v>
      </c>
      <c r="E7589" t="str">
        <f>IF(COUNTIF(data1!$D:$D,D7589)=0,"Missing in Data1","Present")</f>
        <v>Present</v>
      </c>
    </row>
    <row r="7590" spans="1:5" x14ac:dyDescent="0.25">
      <c r="A7590" s="2" t="s">
        <v>5751</v>
      </c>
      <c r="B7590" s="2" t="s">
        <v>3173</v>
      </c>
      <c r="C7590" s="2">
        <v>4</v>
      </c>
      <c r="D7590" t="str">
        <f t="shared" si="118"/>
        <v>CA-2017-161956_OFF-AP-10001242</v>
      </c>
      <c r="E7590" t="str">
        <f>IF(COUNTIF(data1!$D:$D,D7590)=0,"Missing in Data1","Present")</f>
        <v>Present</v>
      </c>
    </row>
    <row r="7591" spans="1:5" x14ac:dyDescent="0.25">
      <c r="A7591" s="2" t="s">
        <v>5751</v>
      </c>
      <c r="B7591" s="2" t="s">
        <v>1382</v>
      </c>
      <c r="C7591" s="2">
        <v>2</v>
      </c>
      <c r="D7591" t="str">
        <f t="shared" si="118"/>
        <v>CA-2017-161956_OFF-BI-10003650</v>
      </c>
      <c r="E7591" t="str">
        <f>IF(COUNTIF(data1!$D:$D,D7591)=0,"Missing in Data1","Present")</f>
        <v>Present</v>
      </c>
    </row>
    <row r="7592" spans="1:5" x14ac:dyDescent="0.25">
      <c r="A7592" s="2" t="s">
        <v>5751</v>
      </c>
      <c r="B7592" s="2" t="s">
        <v>789</v>
      </c>
      <c r="C7592" s="2">
        <v>3</v>
      </c>
      <c r="D7592" t="str">
        <f t="shared" si="118"/>
        <v>CA-2017-161956_OFF-PA-10001289</v>
      </c>
      <c r="E7592" t="str">
        <f>IF(COUNTIF(data1!$D:$D,D7592)=0,"Missing in Data1","Present")</f>
        <v>Present</v>
      </c>
    </row>
    <row r="7593" spans="1:5" x14ac:dyDescent="0.25">
      <c r="A7593" s="2" t="s">
        <v>5751</v>
      </c>
      <c r="B7593" s="2" t="s">
        <v>559</v>
      </c>
      <c r="C7593" s="2">
        <v>5</v>
      </c>
      <c r="D7593" t="str">
        <f t="shared" si="118"/>
        <v>CA-2017-161956_OFF-ST-10001370</v>
      </c>
      <c r="E7593" t="str">
        <f>IF(COUNTIF(data1!$D:$D,D7593)=0,"Missing in Data1","Present")</f>
        <v>Missing in Data1</v>
      </c>
    </row>
    <row r="7594" spans="1:5" x14ac:dyDescent="0.25">
      <c r="A7594" s="2" t="s">
        <v>5751</v>
      </c>
      <c r="B7594" s="2" t="s">
        <v>4297</v>
      </c>
      <c r="C7594" s="2">
        <v>5</v>
      </c>
      <c r="D7594" t="str">
        <f t="shared" si="118"/>
        <v>CA-2017-161956_OFF-SU-10002503</v>
      </c>
      <c r="E7594" t="str">
        <f>IF(COUNTIF(data1!$D:$D,D7594)=0,"Missing in Data1","Present")</f>
        <v>Present</v>
      </c>
    </row>
    <row r="7595" spans="1:5" x14ac:dyDescent="0.25">
      <c r="A7595" s="2" t="s">
        <v>5751</v>
      </c>
      <c r="B7595" s="2" t="s">
        <v>759</v>
      </c>
      <c r="C7595" s="2">
        <v>2</v>
      </c>
      <c r="D7595" t="str">
        <f t="shared" si="118"/>
        <v>CA-2017-161956_TEC-CO-10001571</v>
      </c>
      <c r="E7595" t="str">
        <f>IF(COUNTIF(data1!$D:$D,D7595)=0,"Missing in Data1","Present")</f>
        <v>Present</v>
      </c>
    </row>
    <row r="7596" spans="1:5" x14ac:dyDescent="0.25">
      <c r="A7596" s="2" t="s">
        <v>5752</v>
      </c>
      <c r="B7596" s="2" t="s">
        <v>6849</v>
      </c>
      <c r="C7596" s="2">
        <v>3</v>
      </c>
      <c r="D7596" t="str">
        <f t="shared" si="118"/>
        <v>CA-2017-161970_OFF-AR-10003896</v>
      </c>
      <c r="E7596" t="str">
        <f>IF(COUNTIF(data1!$D:$D,D7596)=0,"Missing in Data1","Present")</f>
        <v>Missing in Data1</v>
      </c>
    </row>
    <row r="7597" spans="1:5" x14ac:dyDescent="0.25">
      <c r="A7597" s="2" t="s">
        <v>5752</v>
      </c>
      <c r="B7597" s="2" t="s">
        <v>2579</v>
      </c>
      <c r="C7597" s="2">
        <v>2</v>
      </c>
      <c r="D7597" t="str">
        <f t="shared" si="118"/>
        <v>CA-2017-161970_OFF-PA-10004255</v>
      </c>
      <c r="E7597" t="str">
        <f>IF(COUNTIF(data1!$D:$D,D7597)=0,"Missing in Data1","Present")</f>
        <v>Present</v>
      </c>
    </row>
    <row r="7598" spans="1:5" x14ac:dyDescent="0.25">
      <c r="A7598" s="2" t="s">
        <v>5753</v>
      </c>
      <c r="B7598" s="2" t="s">
        <v>1303</v>
      </c>
      <c r="C7598" s="2">
        <v>2</v>
      </c>
      <c r="D7598" t="str">
        <f t="shared" si="118"/>
        <v>CA-2017-161984_OFF-FA-10000624</v>
      </c>
      <c r="E7598" t="str">
        <f>IF(COUNTIF(data1!$D:$D,D7598)=0,"Missing in Data1","Present")</f>
        <v>Present</v>
      </c>
    </row>
    <row r="7599" spans="1:5" x14ac:dyDescent="0.25">
      <c r="A7599" s="2" t="s">
        <v>5753</v>
      </c>
      <c r="B7599" s="2" t="s">
        <v>1184</v>
      </c>
      <c r="C7599" s="2">
        <v>1</v>
      </c>
      <c r="D7599" t="str">
        <f t="shared" si="118"/>
        <v>CA-2017-161984_OFF-PA-10004569</v>
      </c>
      <c r="E7599" t="str">
        <f>IF(COUNTIF(data1!$D:$D,D7599)=0,"Missing in Data1","Present")</f>
        <v>Present</v>
      </c>
    </row>
    <row r="7600" spans="1:5" x14ac:dyDescent="0.25">
      <c r="A7600" s="2" t="s">
        <v>5754</v>
      </c>
      <c r="B7600" s="2" t="s">
        <v>2830</v>
      </c>
      <c r="C7600" s="2">
        <v>5</v>
      </c>
      <c r="D7600" t="str">
        <f t="shared" si="118"/>
        <v>CA-2017-162015_OFF-AP-10003040</v>
      </c>
      <c r="E7600" t="str">
        <f>IF(COUNTIF(data1!$D:$D,D7600)=0,"Missing in Data1","Present")</f>
        <v>Present</v>
      </c>
    </row>
    <row r="7601" spans="1:5" x14ac:dyDescent="0.25">
      <c r="A7601" s="2" t="s">
        <v>5754</v>
      </c>
      <c r="B7601" s="2" t="s">
        <v>877</v>
      </c>
      <c r="C7601" s="2">
        <v>5</v>
      </c>
      <c r="D7601" t="str">
        <f t="shared" si="118"/>
        <v>CA-2017-162015_TEC-AC-10003832</v>
      </c>
      <c r="E7601" t="str">
        <f>IF(COUNTIF(data1!$D:$D,D7601)=0,"Missing in Data1","Present")</f>
        <v>Present</v>
      </c>
    </row>
    <row r="7602" spans="1:5" x14ac:dyDescent="0.25">
      <c r="A7602" s="2" t="s">
        <v>5755</v>
      </c>
      <c r="B7602" s="2" t="s">
        <v>96</v>
      </c>
      <c r="C7602" s="2">
        <v>2</v>
      </c>
      <c r="D7602" t="str">
        <f t="shared" si="118"/>
        <v>CA-2017-162033_OFF-FA-10003021</v>
      </c>
      <c r="E7602" t="str">
        <f>IF(COUNTIF(data1!$D:$D,D7602)=0,"Missing in Data1","Present")</f>
        <v>Present</v>
      </c>
    </row>
    <row r="7603" spans="1:5" x14ac:dyDescent="0.25">
      <c r="A7603" s="2" t="s">
        <v>5755</v>
      </c>
      <c r="B7603" s="2" t="s">
        <v>1897</v>
      </c>
      <c r="C7603" s="2">
        <v>3</v>
      </c>
      <c r="D7603" t="str">
        <f t="shared" si="118"/>
        <v>CA-2017-162033_TEC-AC-10003116</v>
      </c>
      <c r="E7603" t="str">
        <f>IF(COUNTIF(data1!$D:$D,D7603)=0,"Missing in Data1","Present")</f>
        <v>Present</v>
      </c>
    </row>
    <row r="7604" spans="1:5" x14ac:dyDescent="0.25">
      <c r="A7604" s="2" t="s">
        <v>5756</v>
      </c>
      <c r="B7604" s="2" t="s">
        <v>312</v>
      </c>
      <c r="C7604" s="2">
        <v>7</v>
      </c>
      <c r="D7604" t="str">
        <f t="shared" si="118"/>
        <v>CA-2017-162075_TEC-PH-10001557</v>
      </c>
      <c r="E7604" t="str">
        <f>IF(COUNTIF(data1!$D:$D,D7604)=0,"Missing in Data1","Present")</f>
        <v>Present</v>
      </c>
    </row>
    <row r="7605" spans="1:5" x14ac:dyDescent="0.25">
      <c r="A7605" s="2" t="s">
        <v>5757</v>
      </c>
      <c r="B7605" s="2" t="s">
        <v>3586</v>
      </c>
      <c r="C7605" s="2">
        <v>3</v>
      </c>
      <c r="D7605" t="str">
        <f t="shared" si="118"/>
        <v>CA-2017-162096_OFF-AR-10002221</v>
      </c>
      <c r="E7605" t="str">
        <f>IF(COUNTIF(data1!$D:$D,D7605)=0,"Missing in Data1","Present")</f>
        <v>Present</v>
      </c>
    </row>
    <row r="7606" spans="1:5" x14ac:dyDescent="0.25">
      <c r="A7606" s="2" t="s">
        <v>5758</v>
      </c>
      <c r="B7606" s="2" t="s">
        <v>2601</v>
      </c>
      <c r="C7606" s="2">
        <v>5</v>
      </c>
      <c r="D7606" t="str">
        <f t="shared" si="118"/>
        <v>CA-2017-162173_FUR-TA-10001520</v>
      </c>
      <c r="E7606" t="str">
        <f>IF(COUNTIF(data1!$D:$D,D7606)=0,"Missing in Data1","Present")</f>
        <v>Present</v>
      </c>
    </row>
    <row r="7607" spans="1:5" x14ac:dyDescent="0.25">
      <c r="A7607" s="2" t="s">
        <v>5758</v>
      </c>
      <c r="B7607" s="2" t="s">
        <v>4125</v>
      </c>
      <c r="C7607" s="2">
        <v>7</v>
      </c>
      <c r="D7607" t="str">
        <f t="shared" si="118"/>
        <v>CA-2017-162173_OFF-EN-10002831</v>
      </c>
      <c r="E7607" t="str">
        <f>IF(COUNTIF(data1!$D:$D,D7607)=0,"Missing in Data1","Present")</f>
        <v>Present</v>
      </c>
    </row>
    <row r="7608" spans="1:5" x14ac:dyDescent="0.25">
      <c r="A7608" s="2" t="s">
        <v>5759</v>
      </c>
      <c r="B7608" s="2" t="s">
        <v>1590</v>
      </c>
      <c r="C7608" s="2">
        <v>1</v>
      </c>
      <c r="D7608" t="str">
        <f t="shared" si="118"/>
        <v>CA-2017-162250_OFF-PA-10002137</v>
      </c>
      <c r="E7608" t="str">
        <f>IF(COUNTIF(data1!$D:$D,D7608)=0,"Missing in Data1","Present")</f>
        <v>Present</v>
      </c>
    </row>
    <row r="7609" spans="1:5" x14ac:dyDescent="0.25">
      <c r="A7609" s="2" t="s">
        <v>5760</v>
      </c>
      <c r="B7609" s="2" t="s">
        <v>892</v>
      </c>
      <c r="C7609" s="2">
        <v>1</v>
      </c>
      <c r="D7609" t="str">
        <f t="shared" si="118"/>
        <v>CA-2017-162474_TEC-PH-10004700</v>
      </c>
      <c r="E7609" t="str">
        <f>IF(COUNTIF(data1!$D:$D,D7609)=0,"Missing in Data1","Present")</f>
        <v>Present</v>
      </c>
    </row>
    <row r="7610" spans="1:5" x14ac:dyDescent="0.25">
      <c r="A7610" s="2" t="s">
        <v>5761</v>
      </c>
      <c r="B7610" s="2" t="s">
        <v>2185</v>
      </c>
      <c r="C7610" s="2">
        <v>3</v>
      </c>
      <c r="D7610" t="str">
        <f t="shared" si="118"/>
        <v>CA-2017-162481_FUR-CH-10003061</v>
      </c>
      <c r="E7610" t="str">
        <f>IF(COUNTIF(data1!$D:$D,D7610)=0,"Missing in Data1","Present")</f>
        <v>Missing in Data1</v>
      </c>
    </row>
    <row r="7611" spans="1:5" x14ac:dyDescent="0.25">
      <c r="A7611" s="2" t="s">
        <v>5761</v>
      </c>
      <c r="B7611" s="2" t="s">
        <v>1582</v>
      </c>
      <c r="C7611" s="2">
        <v>2</v>
      </c>
      <c r="D7611" t="str">
        <f t="shared" si="118"/>
        <v>CA-2017-162481_OFF-BI-10002976</v>
      </c>
      <c r="E7611" t="str">
        <f>IF(COUNTIF(data1!$D:$D,D7611)=0,"Missing in Data1","Present")</f>
        <v>Present</v>
      </c>
    </row>
    <row r="7612" spans="1:5" x14ac:dyDescent="0.25">
      <c r="A7612" s="2" t="s">
        <v>5762</v>
      </c>
      <c r="B7612" s="2" t="s">
        <v>807</v>
      </c>
      <c r="C7612" s="2">
        <v>2</v>
      </c>
      <c r="D7612" t="str">
        <f t="shared" si="118"/>
        <v>CA-2017-162565_FUR-CH-10003973</v>
      </c>
      <c r="E7612" t="str">
        <f>IF(COUNTIF(data1!$D:$D,D7612)=0,"Missing in Data1","Present")</f>
        <v>Present</v>
      </c>
    </row>
    <row r="7613" spans="1:5" x14ac:dyDescent="0.25">
      <c r="A7613" s="2" t="s">
        <v>5762</v>
      </c>
      <c r="B7613" s="2" t="s">
        <v>263</v>
      </c>
      <c r="C7613" s="2">
        <v>1</v>
      </c>
      <c r="D7613" t="str">
        <f t="shared" si="118"/>
        <v>CA-2017-162565_FUR-FU-10004306</v>
      </c>
      <c r="E7613" t="str">
        <f>IF(COUNTIF(data1!$D:$D,D7613)=0,"Missing in Data1","Present")</f>
        <v>Present</v>
      </c>
    </row>
    <row r="7614" spans="1:5" x14ac:dyDescent="0.25">
      <c r="A7614" s="2" t="s">
        <v>5762</v>
      </c>
      <c r="B7614" s="2" t="s">
        <v>1785</v>
      </c>
      <c r="C7614" s="2">
        <v>2</v>
      </c>
      <c r="D7614" t="str">
        <f t="shared" si="118"/>
        <v>CA-2017-162565_OFF-PA-10001937</v>
      </c>
      <c r="E7614" t="str">
        <f>IF(COUNTIF(data1!$D:$D,D7614)=0,"Missing in Data1","Present")</f>
        <v>Present</v>
      </c>
    </row>
    <row r="7615" spans="1:5" x14ac:dyDescent="0.25">
      <c r="A7615" s="2" t="s">
        <v>5763</v>
      </c>
      <c r="B7615" s="2" t="s">
        <v>131</v>
      </c>
      <c r="C7615" s="2">
        <v>5</v>
      </c>
      <c r="D7615" t="str">
        <f t="shared" si="118"/>
        <v>CA-2017-162572_TEC-AC-10003628</v>
      </c>
      <c r="E7615" t="str">
        <f>IF(COUNTIF(data1!$D:$D,D7615)=0,"Missing in Data1","Present")</f>
        <v>Present</v>
      </c>
    </row>
    <row r="7616" spans="1:5" x14ac:dyDescent="0.25">
      <c r="A7616" s="2" t="s">
        <v>5764</v>
      </c>
      <c r="B7616" s="2" t="s">
        <v>129</v>
      </c>
      <c r="C7616" s="2">
        <v>4</v>
      </c>
      <c r="D7616" t="str">
        <f t="shared" si="118"/>
        <v>CA-2017-162635_OFF-PA-10002659</v>
      </c>
      <c r="E7616" t="str">
        <f>IF(COUNTIF(data1!$D:$D,D7616)=0,"Missing in Data1","Present")</f>
        <v>Present</v>
      </c>
    </row>
    <row r="7617" spans="1:5" x14ac:dyDescent="0.25">
      <c r="A7617" s="2" t="s">
        <v>5765</v>
      </c>
      <c r="B7617" s="2" t="s">
        <v>4962</v>
      </c>
      <c r="C7617" s="2">
        <v>7</v>
      </c>
      <c r="D7617" t="str">
        <f t="shared" si="118"/>
        <v>CA-2017-162691_OFF-PA-10003729</v>
      </c>
      <c r="E7617" t="str">
        <f>IF(COUNTIF(data1!$D:$D,D7617)=0,"Missing in Data1","Present")</f>
        <v>Present</v>
      </c>
    </row>
    <row r="7618" spans="1:5" x14ac:dyDescent="0.25">
      <c r="A7618" s="2" t="s">
        <v>5765</v>
      </c>
      <c r="B7618" s="2" t="s">
        <v>2298</v>
      </c>
      <c r="C7618" s="2">
        <v>3</v>
      </c>
      <c r="D7618" t="str">
        <f t="shared" si="118"/>
        <v>CA-2017-162691_TEC-MA-10000488</v>
      </c>
      <c r="E7618" t="str">
        <f>IF(COUNTIF(data1!$D:$D,D7618)=0,"Missing in Data1","Present")</f>
        <v>Present</v>
      </c>
    </row>
    <row r="7619" spans="1:5" x14ac:dyDescent="0.25">
      <c r="A7619" s="2" t="s">
        <v>5766</v>
      </c>
      <c r="B7619" s="2" t="s">
        <v>1273</v>
      </c>
      <c r="C7619" s="2">
        <v>3</v>
      </c>
      <c r="D7619" t="str">
        <f t="shared" ref="D7619:D7682" si="119">A7619&amp;"_"&amp;B7619</f>
        <v>CA-2017-162712_OFF-PA-10000167</v>
      </c>
      <c r="E7619" t="str">
        <f>IF(COUNTIF(data1!$D:$D,D7619)=0,"Missing in Data1","Present")</f>
        <v>Present</v>
      </c>
    </row>
    <row r="7620" spans="1:5" x14ac:dyDescent="0.25">
      <c r="A7620" s="2" t="s">
        <v>5767</v>
      </c>
      <c r="B7620" s="2" t="s">
        <v>226</v>
      </c>
      <c r="C7620" s="2">
        <v>1</v>
      </c>
      <c r="D7620" t="str">
        <f t="shared" si="119"/>
        <v>CA-2017-162789_FUR-FU-10004864</v>
      </c>
      <c r="E7620" t="str">
        <f>IF(COUNTIF(data1!$D:$D,D7620)=0,"Missing in Data1","Present")</f>
        <v>Present</v>
      </c>
    </row>
    <row r="7621" spans="1:5" x14ac:dyDescent="0.25">
      <c r="A7621" s="2" t="s">
        <v>5767</v>
      </c>
      <c r="B7621" s="2" t="s">
        <v>345</v>
      </c>
      <c r="C7621" s="2">
        <v>9</v>
      </c>
      <c r="D7621" t="str">
        <f t="shared" si="119"/>
        <v>CA-2017-162789_TEC-AC-10002842</v>
      </c>
      <c r="E7621" t="str">
        <f>IF(COUNTIF(data1!$D:$D,D7621)=0,"Missing in Data1","Present")</f>
        <v>Present</v>
      </c>
    </row>
    <row r="7622" spans="1:5" x14ac:dyDescent="0.25">
      <c r="A7622" s="2" t="s">
        <v>5768</v>
      </c>
      <c r="B7622" s="2" t="s">
        <v>940</v>
      </c>
      <c r="C7622" s="2">
        <v>1</v>
      </c>
      <c r="D7622" t="str">
        <f t="shared" si="119"/>
        <v>CA-2017-162880_OFF-BI-10003314</v>
      </c>
      <c r="E7622" t="str">
        <f>IF(COUNTIF(data1!$D:$D,D7622)=0,"Missing in Data1","Present")</f>
        <v>Present</v>
      </c>
    </row>
    <row r="7623" spans="1:5" x14ac:dyDescent="0.25">
      <c r="A7623" s="2" t="s">
        <v>5769</v>
      </c>
      <c r="B7623" s="2" t="s">
        <v>2875</v>
      </c>
      <c r="C7623" s="2">
        <v>6</v>
      </c>
      <c r="D7623" t="str">
        <f t="shared" si="119"/>
        <v>CA-2017-162929_OFF-BI-10000404</v>
      </c>
      <c r="E7623" t="str">
        <f>IF(COUNTIF(data1!$D:$D,D7623)=0,"Missing in Data1","Present")</f>
        <v>Present</v>
      </c>
    </row>
    <row r="7624" spans="1:5" x14ac:dyDescent="0.25">
      <c r="A7624" s="2" t="s">
        <v>5769</v>
      </c>
      <c r="B7624" s="2" t="s">
        <v>47</v>
      </c>
      <c r="C7624" s="2">
        <v>2</v>
      </c>
      <c r="D7624" t="str">
        <f t="shared" si="119"/>
        <v>CA-2017-162929_OFF-PA-10002986</v>
      </c>
      <c r="E7624" t="str">
        <f>IF(COUNTIF(data1!$D:$D,D7624)=0,"Missing in Data1","Present")</f>
        <v>Present</v>
      </c>
    </row>
    <row r="7625" spans="1:5" x14ac:dyDescent="0.25">
      <c r="A7625" s="2" t="s">
        <v>5771</v>
      </c>
      <c r="B7625" s="2" t="s">
        <v>1806</v>
      </c>
      <c r="C7625" s="2">
        <v>1</v>
      </c>
      <c r="D7625" t="str">
        <f t="shared" si="119"/>
        <v>CA-2017-162978_FUR-TA-10003473</v>
      </c>
      <c r="E7625" t="str">
        <f>IF(COUNTIF(data1!$D:$D,D7625)=0,"Missing in Data1","Present")</f>
        <v>Present</v>
      </c>
    </row>
    <row r="7626" spans="1:5" x14ac:dyDescent="0.25">
      <c r="A7626" s="2" t="s">
        <v>5771</v>
      </c>
      <c r="B7626" s="2" t="s">
        <v>2694</v>
      </c>
      <c r="C7626" s="2">
        <v>3</v>
      </c>
      <c r="D7626" t="str">
        <f t="shared" si="119"/>
        <v>CA-2017-162978_OFF-PA-10002250</v>
      </c>
      <c r="E7626" t="str">
        <f>IF(COUNTIF(data1!$D:$D,D7626)=0,"Missing in Data1","Present")</f>
        <v>Present</v>
      </c>
    </row>
    <row r="7627" spans="1:5" x14ac:dyDescent="0.25">
      <c r="A7627" s="2" t="s">
        <v>5771</v>
      </c>
      <c r="B7627" s="2" t="s">
        <v>4072</v>
      </c>
      <c r="C7627" s="2">
        <v>5</v>
      </c>
      <c r="D7627" t="str">
        <f t="shared" si="119"/>
        <v>CA-2017-162978_TEC-PH-10003092</v>
      </c>
      <c r="E7627" t="str">
        <f>IF(COUNTIF(data1!$D:$D,D7627)=0,"Missing in Data1","Present")</f>
        <v>Missing in Data1</v>
      </c>
    </row>
    <row r="7628" spans="1:5" x14ac:dyDescent="0.25">
      <c r="A7628" s="2" t="s">
        <v>5772</v>
      </c>
      <c r="B7628" s="2" t="s">
        <v>1578</v>
      </c>
      <c r="C7628" s="2">
        <v>3</v>
      </c>
      <c r="D7628" t="str">
        <f t="shared" si="119"/>
        <v>CA-2017-163006_FUR-CH-10000229</v>
      </c>
      <c r="E7628" t="str">
        <f>IF(COUNTIF(data1!$D:$D,D7628)=0,"Missing in Data1","Present")</f>
        <v>Present</v>
      </c>
    </row>
    <row r="7629" spans="1:5" x14ac:dyDescent="0.25">
      <c r="A7629" s="2" t="s">
        <v>5772</v>
      </c>
      <c r="B7629" s="2" t="s">
        <v>2021</v>
      </c>
      <c r="C7629" s="2">
        <v>2</v>
      </c>
      <c r="D7629" t="str">
        <f t="shared" si="119"/>
        <v>CA-2017-163006_FUR-FU-10003799</v>
      </c>
      <c r="E7629" t="str">
        <f>IF(COUNTIF(data1!$D:$D,D7629)=0,"Missing in Data1","Present")</f>
        <v>Present</v>
      </c>
    </row>
    <row r="7630" spans="1:5" x14ac:dyDescent="0.25">
      <c r="A7630" s="2" t="s">
        <v>5772</v>
      </c>
      <c r="B7630" s="2" t="s">
        <v>1486</v>
      </c>
      <c r="C7630" s="2">
        <v>2</v>
      </c>
      <c r="D7630" t="str">
        <f t="shared" si="119"/>
        <v>CA-2017-163006_TEC-PH-10002584</v>
      </c>
      <c r="E7630" t="str">
        <f>IF(COUNTIF(data1!$D:$D,D7630)=0,"Missing in Data1","Present")</f>
        <v>Present</v>
      </c>
    </row>
    <row r="7631" spans="1:5" x14ac:dyDescent="0.25">
      <c r="A7631" s="2" t="s">
        <v>5773</v>
      </c>
      <c r="B7631" s="2" t="s">
        <v>339</v>
      </c>
      <c r="C7631" s="2">
        <v>7</v>
      </c>
      <c r="D7631" t="str">
        <f t="shared" si="119"/>
        <v>CA-2017-163020_FUR-FU-10000221</v>
      </c>
      <c r="E7631" t="str">
        <f>IF(COUNTIF(data1!$D:$D,D7631)=0,"Missing in Data1","Present")</f>
        <v>Present</v>
      </c>
    </row>
    <row r="7632" spans="1:5" x14ac:dyDescent="0.25">
      <c r="A7632" s="2" t="s">
        <v>5774</v>
      </c>
      <c r="B7632" s="2" t="s">
        <v>4080</v>
      </c>
      <c r="C7632" s="2">
        <v>3</v>
      </c>
      <c r="D7632" t="str">
        <f t="shared" si="119"/>
        <v>CA-2017-163069_OFF-AR-10001419</v>
      </c>
      <c r="E7632" t="str">
        <f>IF(COUNTIF(data1!$D:$D,D7632)=0,"Missing in Data1","Present")</f>
        <v>Present</v>
      </c>
    </row>
    <row r="7633" spans="1:5" x14ac:dyDescent="0.25">
      <c r="A7633" s="2" t="s">
        <v>5775</v>
      </c>
      <c r="B7633" s="2" t="s">
        <v>2310</v>
      </c>
      <c r="C7633" s="2">
        <v>8</v>
      </c>
      <c r="D7633" t="str">
        <f t="shared" si="119"/>
        <v>CA-2017-163097_FUR-FU-10004973</v>
      </c>
      <c r="E7633" t="str">
        <f>IF(COUNTIF(data1!$D:$D,D7633)=0,"Missing in Data1","Present")</f>
        <v>Present</v>
      </c>
    </row>
    <row r="7634" spans="1:5" x14ac:dyDescent="0.25">
      <c r="A7634" s="2" t="s">
        <v>5776</v>
      </c>
      <c r="B7634" s="2" t="s">
        <v>3277</v>
      </c>
      <c r="C7634" s="2">
        <v>3</v>
      </c>
      <c r="D7634" t="str">
        <f t="shared" si="119"/>
        <v>CA-2017-163125_FUR-CH-10001802</v>
      </c>
      <c r="E7634" t="str">
        <f>IF(COUNTIF(data1!$D:$D,D7634)=0,"Missing in Data1","Present")</f>
        <v>Present</v>
      </c>
    </row>
    <row r="7635" spans="1:5" x14ac:dyDescent="0.25">
      <c r="A7635" s="2" t="s">
        <v>5776</v>
      </c>
      <c r="B7635" s="2" t="s">
        <v>1544</v>
      </c>
      <c r="C7635" s="2">
        <v>7</v>
      </c>
      <c r="D7635" t="str">
        <f t="shared" si="119"/>
        <v>CA-2017-163125_OFF-AR-10004344</v>
      </c>
      <c r="E7635" t="str">
        <f>IF(COUNTIF(data1!$D:$D,D7635)=0,"Missing in Data1","Present")</f>
        <v>Present</v>
      </c>
    </row>
    <row r="7636" spans="1:5" x14ac:dyDescent="0.25">
      <c r="A7636" s="2" t="s">
        <v>5777</v>
      </c>
      <c r="B7636" s="2" t="s">
        <v>2342</v>
      </c>
      <c r="C7636" s="2">
        <v>5</v>
      </c>
      <c r="D7636" t="str">
        <f t="shared" si="119"/>
        <v>CA-2017-163139_OFF-BI-10003460</v>
      </c>
      <c r="E7636" t="str">
        <f>IF(COUNTIF(data1!$D:$D,D7636)=0,"Missing in Data1","Present")</f>
        <v>Present</v>
      </c>
    </row>
    <row r="7637" spans="1:5" x14ac:dyDescent="0.25">
      <c r="A7637" s="2" t="s">
        <v>5777</v>
      </c>
      <c r="B7637" s="2" t="s">
        <v>3758</v>
      </c>
      <c r="C7637" s="2">
        <v>3</v>
      </c>
      <c r="D7637" t="str">
        <f t="shared" si="119"/>
        <v>CA-2017-163139_OFF-ST-10002790</v>
      </c>
      <c r="E7637" t="str">
        <f>IF(COUNTIF(data1!$D:$D,D7637)=0,"Missing in Data1","Present")</f>
        <v>Present</v>
      </c>
    </row>
    <row r="7638" spans="1:5" x14ac:dyDescent="0.25">
      <c r="A7638" s="2" t="s">
        <v>5777</v>
      </c>
      <c r="B7638" s="2" t="s">
        <v>406</v>
      </c>
      <c r="C7638" s="2">
        <v>3</v>
      </c>
      <c r="D7638" t="str">
        <f t="shared" si="119"/>
        <v>CA-2017-163139_TEC-AC-10000290</v>
      </c>
      <c r="E7638" t="str">
        <f>IF(COUNTIF(data1!$D:$D,D7638)=0,"Missing in Data1","Present")</f>
        <v>Present</v>
      </c>
    </row>
    <row r="7639" spans="1:5" x14ac:dyDescent="0.25">
      <c r="A7639" s="2" t="s">
        <v>5778</v>
      </c>
      <c r="B7639" s="2" t="s">
        <v>1071</v>
      </c>
      <c r="C7639" s="2">
        <v>3</v>
      </c>
      <c r="D7639" t="str">
        <f t="shared" si="119"/>
        <v>CA-2017-163160_FUR-FU-10001424</v>
      </c>
      <c r="E7639" t="str">
        <f>IF(COUNTIF(data1!$D:$D,D7639)=0,"Missing in Data1","Present")</f>
        <v>Present</v>
      </c>
    </row>
    <row r="7640" spans="1:5" x14ac:dyDescent="0.25">
      <c r="A7640" s="2" t="s">
        <v>5778</v>
      </c>
      <c r="B7640" s="2" t="s">
        <v>2358</v>
      </c>
      <c r="C7640" s="2">
        <v>4</v>
      </c>
      <c r="D7640" t="str">
        <f t="shared" si="119"/>
        <v>CA-2017-163160_OFF-BI-10000778</v>
      </c>
      <c r="E7640" t="str">
        <f>IF(COUNTIF(data1!$D:$D,D7640)=0,"Missing in Data1","Present")</f>
        <v>Present</v>
      </c>
    </row>
    <row r="7641" spans="1:5" x14ac:dyDescent="0.25">
      <c r="A7641" s="2" t="s">
        <v>5778</v>
      </c>
      <c r="B7641" s="2" t="s">
        <v>4712</v>
      </c>
      <c r="C7641" s="2">
        <v>3</v>
      </c>
      <c r="D7641" t="str">
        <f t="shared" si="119"/>
        <v>CA-2017-163160_OFF-PA-10003127</v>
      </c>
      <c r="E7641" t="str">
        <f>IF(COUNTIF(data1!$D:$D,D7641)=0,"Missing in Data1","Present")</f>
        <v>Present</v>
      </c>
    </row>
    <row r="7642" spans="1:5" x14ac:dyDescent="0.25">
      <c r="A7642" s="2" t="s">
        <v>5779</v>
      </c>
      <c r="B7642" s="2" t="s">
        <v>1651</v>
      </c>
      <c r="C7642" s="2">
        <v>9</v>
      </c>
      <c r="D7642" t="str">
        <f t="shared" si="119"/>
        <v>CA-2017-163188_OFF-BI-10000756</v>
      </c>
      <c r="E7642" t="str">
        <f>IF(COUNTIF(data1!$D:$D,D7642)=0,"Missing in Data1","Present")</f>
        <v>Present</v>
      </c>
    </row>
    <row r="7643" spans="1:5" x14ac:dyDescent="0.25">
      <c r="A7643" s="2" t="s">
        <v>5780</v>
      </c>
      <c r="B7643" s="2" t="s">
        <v>971</v>
      </c>
      <c r="C7643" s="2">
        <v>7</v>
      </c>
      <c r="D7643" t="str">
        <f t="shared" si="119"/>
        <v>CA-2017-163209_OFF-AR-10003651</v>
      </c>
      <c r="E7643" t="str">
        <f>IF(COUNTIF(data1!$D:$D,D7643)=0,"Missing in Data1","Present")</f>
        <v>Present</v>
      </c>
    </row>
    <row r="7644" spans="1:5" x14ac:dyDescent="0.25">
      <c r="A7644" s="2" t="s">
        <v>5780</v>
      </c>
      <c r="B7644" s="2" t="s">
        <v>1378</v>
      </c>
      <c r="C7644" s="2">
        <v>4</v>
      </c>
      <c r="D7644" t="str">
        <f t="shared" si="119"/>
        <v>CA-2017-163209_OFF-PA-10001166</v>
      </c>
      <c r="E7644" t="str">
        <f>IF(COUNTIF(data1!$D:$D,D7644)=0,"Missing in Data1","Present")</f>
        <v>Present</v>
      </c>
    </row>
    <row r="7645" spans="1:5" x14ac:dyDescent="0.25">
      <c r="A7645" s="2" t="s">
        <v>5781</v>
      </c>
      <c r="B7645" s="2" t="s">
        <v>461</v>
      </c>
      <c r="C7645" s="2">
        <v>1</v>
      </c>
      <c r="D7645" t="str">
        <f t="shared" si="119"/>
        <v>CA-2017-163265_FUR-FU-10004270</v>
      </c>
      <c r="E7645" t="str">
        <f>IF(COUNTIF(data1!$D:$D,D7645)=0,"Missing in Data1","Present")</f>
        <v>Present</v>
      </c>
    </row>
    <row r="7646" spans="1:5" x14ac:dyDescent="0.25">
      <c r="A7646" s="2" t="s">
        <v>5781</v>
      </c>
      <c r="B7646" s="2" t="s">
        <v>1096</v>
      </c>
      <c r="C7646" s="2">
        <v>6</v>
      </c>
      <c r="D7646" t="str">
        <f t="shared" si="119"/>
        <v>CA-2017-163265_OFF-AR-10004078</v>
      </c>
      <c r="E7646" t="str">
        <f>IF(COUNTIF(data1!$D:$D,D7646)=0,"Missing in Data1","Present")</f>
        <v>Present</v>
      </c>
    </row>
    <row r="7647" spans="1:5" x14ac:dyDescent="0.25">
      <c r="A7647" s="2" t="s">
        <v>5781</v>
      </c>
      <c r="B7647" s="2" t="s">
        <v>417</v>
      </c>
      <c r="C7647" s="2">
        <v>2</v>
      </c>
      <c r="D7647" t="str">
        <f t="shared" si="119"/>
        <v>CA-2017-163265_OFF-FA-10004854</v>
      </c>
      <c r="E7647" t="str">
        <f>IF(COUNTIF(data1!$D:$D,D7647)=0,"Missing in Data1","Present")</f>
        <v>Present</v>
      </c>
    </row>
    <row r="7648" spans="1:5" x14ac:dyDescent="0.25">
      <c r="A7648" s="2" t="s">
        <v>5781</v>
      </c>
      <c r="B7648" s="2" t="s">
        <v>2500</v>
      </c>
      <c r="C7648" s="2">
        <v>3</v>
      </c>
      <c r="D7648" t="str">
        <f t="shared" si="119"/>
        <v>CA-2017-163265_OFF-ST-10000642</v>
      </c>
      <c r="E7648" t="str">
        <f>IF(COUNTIF(data1!$D:$D,D7648)=0,"Missing in Data1","Present")</f>
        <v>Present</v>
      </c>
    </row>
    <row r="7649" spans="1:5" x14ac:dyDescent="0.25">
      <c r="A7649" s="2" t="s">
        <v>5782</v>
      </c>
      <c r="B7649" s="2" t="s">
        <v>1133</v>
      </c>
      <c r="C7649" s="2">
        <v>1</v>
      </c>
      <c r="D7649" t="str">
        <f t="shared" si="119"/>
        <v>CA-2017-163321_TEC-AC-10004571</v>
      </c>
      <c r="E7649" t="str">
        <f>IF(COUNTIF(data1!$D:$D,D7649)=0,"Missing in Data1","Present")</f>
        <v>Present</v>
      </c>
    </row>
    <row r="7650" spans="1:5" x14ac:dyDescent="0.25">
      <c r="A7650" s="2" t="s">
        <v>5783</v>
      </c>
      <c r="B7650" s="2" t="s">
        <v>403</v>
      </c>
      <c r="C7650" s="2">
        <v>7</v>
      </c>
      <c r="D7650" t="str">
        <f t="shared" si="119"/>
        <v>CA-2017-163335_OFF-BI-10002827</v>
      </c>
      <c r="E7650" t="str">
        <f>IF(COUNTIF(data1!$D:$D,D7650)=0,"Missing in Data1","Present")</f>
        <v>Present</v>
      </c>
    </row>
    <row r="7651" spans="1:5" x14ac:dyDescent="0.25">
      <c r="A7651" s="2" t="s">
        <v>5783</v>
      </c>
      <c r="B7651" s="2" t="s">
        <v>1229</v>
      </c>
      <c r="C7651" s="2">
        <v>3</v>
      </c>
      <c r="D7651" t="str">
        <f t="shared" si="119"/>
        <v>CA-2017-163335_OFF-ST-10000885</v>
      </c>
      <c r="E7651" t="str">
        <f>IF(COUNTIF(data1!$D:$D,D7651)=0,"Missing in Data1","Present")</f>
        <v>Present</v>
      </c>
    </row>
    <row r="7652" spans="1:5" x14ac:dyDescent="0.25">
      <c r="A7652" s="2" t="s">
        <v>5784</v>
      </c>
      <c r="B7652" s="2" t="s">
        <v>2156</v>
      </c>
      <c r="C7652" s="2">
        <v>2</v>
      </c>
      <c r="D7652" t="str">
        <f t="shared" si="119"/>
        <v>CA-2017-163405_OFF-AR-10001246</v>
      </c>
      <c r="E7652" t="str">
        <f>IF(COUNTIF(data1!$D:$D,D7652)=0,"Missing in Data1","Present")</f>
        <v>Present</v>
      </c>
    </row>
    <row r="7653" spans="1:5" x14ac:dyDescent="0.25">
      <c r="A7653" s="2" t="s">
        <v>5784</v>
      </c>
      <c r="B7653" s="2" t="s">
        <v>4063</v>
      </c>
      <c r="C7653" s="2">
        <v>3</v>
      </c>
      <c r="D7653" t="str">
        <f t="shared" si="119"/>
        <v>CA-2017-163405_OFF-AR-10003811</v>
      </c>
      <c r="E7653" t="str">
        <f>IF(COUNTIF(data1!$D:$D,D7653)=0,"Missing in Data1","Present")</f>
        <v>Present</v>
      </c>
    </row>
    <row r="7654" spans="1:5" x14ac:dyDescent="0.25">
      <c r="A7654" s="2" t="s">
        <v>5785</v>
      </c>
      <c r="B7654" s="2" t="s">
        <v>370</v>
      </c>
      <c r="C7654" s="2">
        <v>5</v>
      </c>
      <c r="D7654" t="str">
        <f t="shared" si="119"/>
        <v>CA-2017-163510_FUR-CH-10001146</v>
      </c>
      <c r="E7654" t="str">
        <f>IF(COUNTIF(data1!$D:$D,D7654)=0,"Missing in Data1","Present")</f>
        <v>Present</v>
      </c>
    </row>
    <row r="7655" spans="1:5" x14ac:dyDescent="0.25">
      <c r="A7655" s="2" t="s">
        <v>5785</v>
      </c>
      <c r="B7655" s="2" t="s">
        <v>1339</v>
      </c>
      <c r="C7655" s="2">
        <v>3</v>
      </c>
      <c r="D7655" t="str">
        <f t="shared" si="119"/>
        <v>CA-2017-163510_OFF-ST-10000563</v>
      </c>
      <c r="E7655" t="str">
        <f>IF(COUNTIF(data1!$D:$D,D7655)=0,"Missing in Data1","Present")</f>
        <v>Present</v>
      </c>
    </row>
    <row r="7656" spans="1:5" x14ac:dyDescent="0.25">
      <c r="A7656" s="2" t="s">
        <v>5786</v>
      </c>
      <c r="B7656" s="2" t="s">
        <v>35</v>
      </c>
      <c r="C7656" s="2">
        <v>3</v>
      </c>
      <c r="D7656" t="str">
        <f t="shared" si="119"/>
        <v>CA-2017-163531_TEC-PH-10001425</v>
      </c>
      <c r="E7656" t="str">
        <f>IF(COUNTIF(data1!$D:$D,D7656)=0,"Missing in Data1","Present")</f>
        <v>Present</v>
      </c>
    </row>
    <row r="7657" spans="1:5" x14ac:dyDescent="0.25">
      <c r="A7657" s="2" t="s">
        <v>5787</v>
      </c>
      <c r="B7657" s="2" t="s">
        <v>1711</v>
      </c>
      <c r="C7657" s="2">
        <v>5</v>
      </c>
      <c r="D7657" t="str">
        <f t="shared" si="119"/>
        <v>CA-2017-163566_OFF-LA-10004484</v>
      </c>
      <c r="E7657" t="str">
        <f>IF(COUNTIF(data1!$D:$D,D7657)=0,"Missing in Data1","Present")</f>
        <v>Present</v>
      </c>
    </row>
    <row r="7658" spans="1:5" x14ac:dyDescent="0.25">
      <c r="A7658" s="2" t="s">
        <v>5788</v>
      </c>
      <c r="B7658" s="2" t="s">
        <v>1217</v>
      </c>
      <c r="C7658" s="2">
        <v>1</v>
      </c>
      <c r="D7658" t="str">
        <f t="shared" si="119"/>
        <v>CA-2017-163629_TEC-AC-10001539</v>
      </c>
      <c r="E7658" t="str">
        <f>IF(COUNTIF(data1!$D:$D,D7658)=0,"Missing in Data1","Present")</f>
        <v>Present</v>
      </c>
    </row>
    <row r="7659" spans="1:5" x14ac:dyDescent="0.25">
      <c r="A7659" s="2" t="s">
        <v>5788</v>
      </c>
      <c r="B7659" s="2" t="s">
        <v>4750</v>
      </c>
      <c r="C7659" s="2">
        <v>5</v>
      </c>
      <c r="D7659" t="str">
        <f t="shared" si="119"/>
        <v>CA-2017-163629_TEC-PH-10004006</v>
      </c>
      <c r="E7659" t="str">
        <f>IF(COUNTIF(data1!$D:$D,D7659)=0,"Missing in Data1","Present")</f>
        <v>Present</v>
      </c>
    </row>
    <row r="7660" spans="1:5" x14ac:dyDescent="0.25">
      <c r="A7660" s="2" t="s">
        <v>5789</v>
      </c>
      <c r="B7660" s="2" t="s">
        <v>1816</v>
      </c>
      <c r="C7660" s="2">
        <v>3</v>
      </c>
      <c r="D7660" t="str">
        <f t="shared" si="119"/>
        <v>CA-2017-163671_OFF-BI-10001679</v>
      </c>
      <c r="E7660" t="str">
        <f>IF(COUNTIF(data1!$D:$D,D7660)=0,"Missing in Data1","Present")</f>
        <v>Present</v>
      </c>
    </row>
    <row r="7661" spans="1:5" x14ac:dyDescent="0.25">
      <c r="A7661" s="2" t="s">
        <v>5790</v>
      </c>
      <c r="B7661" s="2" t="s">
        <v>485</v>
      </c>
      <c r="C7661" s="2">
        <v>3</v>
      </c>
      <c r="D7661" t="str">
        <f t="shared" si="119"/>
        <v>CA-2017-163692_OFF-BI-10003291</v>
      </c>
      <c r="E7661" t="str">
        <f>IF(COUNTIF(data1!$D:$D,D7661)=0,"Missing in Data1","Present")</f>
        <v>Present</v>
      </c>
    </row>
    <row r="7662" spans="1:5" x14ac:dyDescent="0.25">
      <c r="A7662" s="2" t="s">
        <v>5791</v>
      </c>
      <c r="B7662" s="2" t="s">
        <v>3486</v>
      </c>
      <c r="C7662" s="2">
        <v>1</v>
      </c>
      <c r="D7662" t="str">
        <f t="shared" si="119"/>
        <v>CA-2017-163818_FUR-FU-10000076</v>
      </c>
      <c r="E7662" t="str">
        <f>IF(COUNTIF(data1!$D:$D,D7662)=0,"Missing in Data1","Present")</f>
        <v>Present</v>
      </c>
    </row>
    <row r="7663" spans="1:5" x14ac:dyDescent="0.25">
      <c r="A7663" s="2" t="s">
        <v>5792</v>
      </c>
      <c r="B7663" s="2" t="s">
        <v>472</v>
      </c>
      <c r="C7663" s="2">
        <v>2</v>
      </c>
      <c r="D7663" t="str">
        <f t="shared" si="119"/>
        <v>CA-2017-163860_FUR-CH-10004698</v>
      </c>
      <c r="E7663" t="str">
        <f>IF(COUNTIF(data1!$D:$D,D7663)=0,"Missing in Data1","Present")</f>
        <v>Present</v>
      </c>
    </row>
    <row r="7664" spans="1:5" x14ac:dyDescent="0.25">
      <c r="A7664" s="2" t="s">
        <v>5792</v>
      </c>
      <c r="B7664" s="2" t="s">
        <v>2317</v>
      </c>
      <c r="C7664" s="2">
        <v>2</v>
      </c>
      <c r="D7664" t="str">
        <f t="shared" si="119"/>
        <v>CA-2017-163860_FUR-FU-10001935</v>
      </c>
      <c r="E7664" t="str">
        <f>IF(COUNTIF(data1!$D:$D,D7664)=0,"Missing in Data1","Present")</f>
        <v>Present</v>
      </c>
    </row>
    <row r="7665" spans="1:5" x14ac:dyDescent="0.25">
      <c r="A7665" s="2" t="s">
        <v>5792</v>
      </c>
      <c r="B7665" s="2" t="s">
        <v>111</v>
      </c>
      <c r="C7665" s="2">
        <v>3</v>
      </c>
      <c r="D7665" t="str">
        <f t="shared" si="119"/>
        <v>CA-2017-163860_FUR-FU-10004586</v>
      </c>
      <c r="E7665" t="str">
        <f>IF(COUNTIF(data1!$D:$D,D7665)=0,"Missing in Data1","Present")</f>
        <v>Present</v>
      </c>
    </row>
    <row r="7666" spans="1:5" x14ac:dyDescent="0.25">
      <c r="A7666" s="2" t="s">
        <v>5792</v>
      </c>
      <c r="B7666" s="2" t="s">
        <v>1272</v>
      </c>
      <c r="C7666" s="2">
        <v>5</v>
      </c>
      <c r="D7666" t="str">
        <f t="shared" si="119"/>
        <v>CA-2017-163860_OFF-BI-10003784</v>
      </c>
      <c r="E7666" t="str">
        <f>IF(COUNTIF(data1!$D:$D,D7666)=0,"Missing in Data1","Present")</f>
        <v>Present</v>
      </c>
    </row>
    <row r="7667" spans="1:5" x14ac:dyDescent="0.25">
      <c r="A7667" s="2" t="s">
        <v>5793</v>
      </c>
      <c r="B7667" s="2" t="s">
        <v>2140</v>
      </c>
      <c r="C7667" s="2">
        <v>3</v>
      </c>
      <c r="D7667" t="str">
        <f t="shared" si="119"/>
        <v>CA-2017-163874_OFF-BI-10000088</v>
      </c>
      <c r="E7667" t="str">
        <f>IF(COUNTIF(data1!$D:$D,D7667)=0,"Missing in Data1","Present")</f>
        <v>Present</v>
      </c>
    </row>
    <row r="7668" spans="1:5" x14ac:dyDescent="0.25">
      <c r="A7668" s="2" t="s">
        <v>5794</v>
      </c>
      <c r="B7668" s="2" t="s">
        <v>3543</v>
      </c>
      <c r="C7668" s="2">
        <v>6</v>
      </c>
      <c r="D7668" t="str">
        <f t="shared" si="119"/>
        <v>CA-2017-163902_TEC-AC-10000580</v>
      </c>
      <c r="E7668" t="str">
        <f>IF(COUNTIF(data1!$D:$D,D7668)=0,"Missing in Data1","Present")</f>
        <v>Present</v>
      </c>
    </row>
    <row r="7669" spans="1:5" x14ac:dyDescent="0.25">
      <c r="A7669" s="2" t="s">
        <v>5794</v>
      </c>
      <c r="B7669" s="2" t="s">
        <v>213</v>
      </c>
      <c r="C7669" s="2">
        <v>3</v>
      </c>
      <c r="D7669" t="str">
        <f t="shared" si="119"/>
        <v>CA-2017-163902_TEC-PH-10000675</v>
      </c>
      <c r="E7669" t="str">
        <f>IF(COUNTIF(data1!$D:$D,D7669)=0,"Missing in Data1","Present")</f>
        <v>Present</v>
      </c>
    </row>
    <row r="7670" spans="1:5" x14ac:dyDescent="0.25">
      <c r="A7670" s="2" t="s">
        <v>5795</v>
      </c>
      <c r="B7670" s="2" t="s">
        <v>550</v>
      </c>
      <c r="C7670" s="2">
        <v>4</v>
      </c>
      <c r="D7670" t="str">
        <f t="shared" si="119"/>
        <v>CA-2017-163979_OFF-ST-10003208</v>
      </c>
      <c r="E7670" t="str">
        <f>IF(COUNTIF(data1!$D:$D,D7670)=0,"Missing in Data1","Present")</f>
        <v>Present</v>
      </c>
    </row>
    <row r="7671" spans="1:5" x14ac:dyDescent="0.25">
      <c r="A7671" s="2" t="s">
        <v>5796</v>
      </c>
      <c r="B7671" s="2" t="s">
        <v>1319</v>
      </c>
      <c r="C7671" s="2">
        <v>7</v>
      </c>
      <c r="D7671" t="str">
        <f t="shared" si="119"/>
        <v>CA-2017-164000_OFF-AR-10003183</v>
      </c>
      <c r="E7671" t="str">
        <f>IF(COUNTIF(data1!$D:$D,D7671)=0,"Missing in Data1","Present")</f>
        <v>Present</v>
      </c>
    </row>
    <row r="7672" spans="1:5" x14ac:dyDescent="0.25">
      <c r="A7672" s="2" t="s">
        <v>5798</v>
      </c>
      <c r="B7672" s="2" t="s">
        <v>2280</v>
      </c>
      <c r="C7672" s="2">
        <v>5</v>
      </c>
      <c r="D7672" t="str">
        <f t="shared" si="119"/>
        <v>CA-2017-164042_OFF-AP-10001947</v>
      </c>
      <c r="E7672" t="str">
        <f>IF(COUNTIF(data1!$D:$D,D7672)=0,"Missing in Data1","Present")</f>
        <v>Present</v>
      </c>
    </row>
    <row r="7673" spans="1:5" x14ac:dyDescent="0.25">
      <c r="A7673" s="2" t="s">
        <v>5798</v>
      </c>
      <c r="B7673" s="2" t="s">
        <v>2648</v>
      </c>
      <c r="C7673" s="2">
        <v>1</v>
      </c>
      <c r="D7673" t="str">
        <f t="shared" si="119"/>
        <v>CA-2017-164042_OFF-BI-10001922</v>
      </c>
      <c r="E7673" t="str">
        <f>IF(COUNTIF(data1!$D:$D,D7673)=0,"Missing in Data1","Present")</f>
        <v>Present</v>
      </c>
    </row>
    <row r="7674" spans="1:5" x14ac:dyDescent="0.25">
      <c r="A7674" s="2" t="s">
        <v>5798</v>
      </c>
      <c r="B7674" s="2" t="s">
        <v>430</v>
      </c>
      <c r="C7674" s="2">
        <v>2</v>
      </c>
      <c r="D7674" t="str">
        <f t="shared" si="119"/>
        <v>CA-2017-164042_OFF-FA-10000840</v>
      </c>
      <c r="E7674" t="str">
        <f>IF(COUNTIF(data1!$D:$D,D7674)=0,"Missing in Data1","Present")</f>
        <v>Present</v>
      </c>
    </row>
    <row r="7675" spans="1:5" x14ac:dyDescent="0.25">
      <c r="A7675" s="2" t="s">
        <v>5798</v>
      </c>
      <c r="B7675" s="2" t="s">
        <v>1585</v>
      </c>
      <c r="C7675" s="2">
        <v>3</v>
      </c>
      <c r="D7675" t="str">
        <f t="shared" si="119"/>
        <v>CA-2017-164042_OFF-ST-10002301</v>
      </c>
      <c r="E7675" t="str">
        <f>IF(COUNTIF(data1!$D:$D,D7675)=0,"Missing in Data1","Present")</f>
        <v>Present</v>
      </c>
    </row>
    <row r="7676" spans="1:5" x14ac:dyDescent="0.25">
      <c r="A7676" s="2" t="s">
        <v>5799</v>
      </c>
      <c r="B7676" s="2" t="s">
        <v>3814</v>
      </c>
      <c r="C7676" s="2">
        <v>5</v>
      </c>
      <c r="D7676" t="str">
        <f t="shared" si="119"/>
        <v>CA-2017-164049_OFF-PA-10000791</v>
      </c>
      <c r="E7676" t="str">
        <f>IF(COUNTIF(data1!$D:$D,D7676)=0,"Missing in Data1","Present")</f>
        <v>Present</v>
      </c>
    </row>
    <row r="7677" spans="1:5" x14ac:dyDescent="0.25">
      <c r="A7677" s="2" t="s">
        <v>5800</v>
      </c>
      <c r="B7677" s="2" t="s">
        <v>1443</v>
      </c>
      <c r="C7677" s="2">
        <v>2</v>
      </c>
      <c r="D7677" t="str">
        <f t="shared" si="119"/>
        <v>CA-2017-164098_OFF-ST-10000615</v>
      </c>
      <c r="E7677" t="str">
        <f>IF(COUNTIF(data1!$D:$D,D7677)=0,"Missing in Data1","Present")</f>
        <v>Present</v>
      </c>
    </row>
    <row r="7678" spans="1:5" x14ac:dyDescent="0.25">
      <c r="A7678" s="2" t="s">
        <v>5801</v>
      </c>
      <c r="B7678" s="2" t="s">
        <v>790</v>
      </c>
      <c r="C7678" s="2">
        <v>7</v>
      </c>
      <c r="D7678" t="str">
        <f t="shared" si="119"/>
        <v>CA-2017-164112_OFF-ST-10002615</v>
      </c>
      <c r="E7678" t="str">
        <f>IF(COUNTIF(data1!$D:$D,D7678)=0,"Missing in Data1","Present")</f>
        <v>Present</v>
      </c>
    </row>
    <row r="7679" spans="1:5" x14ac:dyDescent="0.25">
      <c r="A7679" s="2" t="s">
        <v>5802</v>
      </c>
      <c r="B7679" s="2" t="s">
        <v>1411</v>
      </c>
      <c r="C7679" s="2">
        <v>3</v>
      </c>
      <c r="D7679" t="str">
        <f t="shared" si="119"/>
        <v>CA-2017-164168_FUR-FU-10001756</v>
      </c>
      <c r="E7679" t="str">
        <f>IF(COUNTIF(data1!$D:$D,D7679)=0,"Missing in Data1","Present")</f>
        <v>Present</v>
      </c>
    </row>
    <row r="7680" spans="1:5" x14ac:dyDescent="0.25">
      <c r="A7680" s="2" t="s">
        <v>5802</v>
      </c>
      <c r="B7680" s="2" t="s">
        <v>687</v>
      </c>
      <c r="C7680" s="2">
        <v>5</v>
      </c>
      <c r="D7680" t="str">
        <f t="shared" si="119"/>
        <v>CA-2017-164168_OFF-BI-10000666</v>
      </c>
      <c r="E7680" t="str">
        <f>IF(COUNTIF(data1!$D:$D,D7680)=0,"Missing in Data1","Present")</f>
        <v>Present</v>
      </c>
    </row>
    <row r="7681" spans="1:5" x14ac:dyDescent="0.25">
      <c r="A7681" s="2" t="s">
        <v>5802</v>
      </c>
      <c r="B7681" s="2" t="s">
        <v>909</v>
      </c>
      <c r="C7681" s="2">
        <v>2</v>
      </c>
      <c r="D7681" t="str">
        <f t="shared" si="119"/>
        <v>CA-2017-164168_OFF-EN-10001219</v>
      </c>
      <c r="E7681" t="str">
        <f>IF(COUNTIF(data1!$D:$D,D7681)=0,"Missing in Data1","Present")</f>
        <v>Present</v>
      </c>
    </row>
    <row r="7682" spans="1:5" x14ac:dyDescent="0.25">
      <c r="A7682" s="2" t="s">
        <v>5802</v>
      </c>
      <c r="B7682" s="2" t="s">
        <v>1268</v>
      </c>
      <c r="C7682" s="2">
        <v>3</v>
      </c>
      <c r="D7682" t="str">
        <f t="shared" si="119"/>
        <v>CA-2017-164168_OFF-ST-10002583</v>
      </c>
      <c r="E7682" t="str">
        <f>IF(COUNTIF(data1!$D:$D,D7682)=0,"Missing in Data1","Present")</f>
        <v>Present</v>
      </c>
    </row>
    <row r="7683" spans="1:5" x14ac:dyDescent="0.25">
      <c r="A7683" s="2" t="s">
        <v>5802</v>
      </c>
      <c r="B7683" s="2" t="s">
        <v>2563</v>
      </c>
      <c r="C7683" s="2">
        <v>1</v>
      </c>
      <c r="D7683" t="str">
        <f t="shared" ref="D7683:D7746" si="120">A7683&amp;"_"&amp;B7683</f>
        <v>CA-2017-164168_TEC-PH-10004908</v>
      </c>
      <c r="E7683" t="str">
        <f>IF(COUNTIF(data1!$D:$D,D7683)=0,"Missing in Data1","Present")</f>
        <v>Present</v>
      </c>
    </row>
    <row r="7684" spans="1:5" x14ac:dyDescent="0.25">
      <c r="A7684" s="2" t="s">
        <v>5803</v>
      </c>
      <c r="B7684" s="2" t="s">
        <v>81</v>
      </c>
      <c r="C7684" s="2">
        <v>2</v>
      </c>
      <c r="D7684" t="str">
        <f t="shared" si="120"/>
        <v>CA-2017-164329_OFF-ST-10001511</v>
      </c>
      <c r="E7684" t="str">
        <f>IF(COUNTIF(data1!$D:$D,D7684)=0,"Missing in Data1","Present")</f>
        <v>Present</v>
      </c>
    </row>
    <row r="7685" spans="1:5" x14ac:dyDescent="0.25">
      <c r="A7685" s="2" t="s">
        <v>5804</v>
      </c>
      <c r="B7685" s="2" t="s">
        <v>4152</v>
      </c>
      <c r="C7685" s="2">
        <v>3</v>
      </c>
      <c r="D7685" t="str">
        <f t="shared" si="120"/>
        <v>CA-2017-164364_OFF-AR-10000315</v>
      </c>
      <c r="E7685" t="str">
        <f>IF(COUNTIF(data1!$D:$D,D7685)=0,"Missing in Data1","Present")</f>
        <v>Present</v>
      </c>
    </row>
    <row r="7686" spans="1:5" x14ac:dyDescent="0.25">
      <c r="A7686" s="2" t="s">
        <v>5804</v>
      </c>
      <c r="B7686" s="2" t="s">
        <v>1803</v>
      </c>
      <c r="C7686" s="2">
        <v>2</v>
      </c>
      <c r="D7686" t="str">
        <f t="shared" si="120"/>
        <v>CA-2017-164364_OFF-LA-10004853</v>
      </c>
      <c r="E7686" t="str">
        <f>IF(COUNTIF(data1!$D:$D,D7686)=0,"Missing in Data1","Present")</f>
        <v>Present</v>
      </c>
    </row>
    <row r="7687" spans="1:5" x14ac:dyDescent="0.25">
      <c r="A7687" s="2" t="s">
        <v>5804</v>
      </c>
      <c r="B7687" s="2" t="s">
        <v>1822</v>
      </c>
      <c r="C7687" s="2">
        <v>3</v>
      </c>
      <c r="D7687" t="str">
        <f t="shared" si="120"/>
        <v>CA-2017-164364_OFF-SU-10000381</v>
      </c>
      <c r="E7687" t="str">
        <f>IF(COUNTIF(data1!$D:$D,D7687)=0,"Missing in Data1","Present")</f>
        <v>Present</v>
      </c>
    </row>
    <row r="7688" spans="1:5" x14ac:dyDescent="0.25">
      <c r="A7688" s="2" t="s">
        <v>5805</v>
      </c>
      <c r="B7688" s="2" t="s">
        <v>1978</v>
      </c>
      <c r="C7688" s="2">
        <v>6</v>
      </c>
      <c r="D7688" t="str">
        <f t="shared" si="120"/>
        <v>CA-2017-164378_FUR-CH-10002084</v>
      </c>
      <c r="E7688" t="str">
        <f>IF(COUNTIF(data1!$D:$D,D7688)=0,"Missing in Data1","Present")</f>
        <v>Present</v>
      </c>
    </row>
    <row r="7689" spans="1:5" x14ac:dyDescent="0.25">
      <c r="A7689" s="2" t="s">
        <v>5805</v>
      </c>
      <c r="B7689" s="2" t="s">
        <v>5447</v>
      </c>
      <c r="C7689" s="2">
        <v>2</v>
      </c>
      <c r="D7689" t="str">
        <f t="shared" si="120"/>
        <v>CA-2017-164378_OFF-AR-10001177</v>
      </c>
      <c r="E7689" t="str">
        <f>IF(COUNTIF(data1!$D:$D,D7689)=0,"Missing in Data1","Present")</f>
        <v>Present</v>
      </c>
    </row>
    <row r="7690" spans="1:5" x14ac:dyDescent="0.25">
      <c r="A7690" s="2" t="s">
        <v>5805</v>
      </c>
      <c r="B7690" s="2" t="s">
        <v>1504</v>
      </c>
      <c r="C7690" s="2">
        <v>3</v>
      </c>
      <c r="D7690" t="str">
        <f t="shared" si="120"/>
        <v>CA-2017-164378_OFF-LA-10000634</v>
      </c>
      <c r="E7690" t="str">
        <f>IF(COUNTIF(data1!$D:$D,D7690)=0,"Missing in Data1","Present")</f>
        <v>Present</v>
      </c>
    </row>
    <row r="7691" spans="1:5" x14ac:dyDescent="0.25">
      <c r="A7691" s="2" t="s">
        <v>5805</v>
      </c>
      <c r="B7691" s="2" t="s">
        <v>588</v>
      </c>
      <c r="C7691" s="2">
        <v>2</v>
      </c>
      <c r="D7691" t="str">
        <f t="shared" si="120"/>
        <v>CA-2017-164378_OFF-PA-10004519</v>
      </c>
      <c r="E7691" t="str">
        <f>IF(COUNTIF(data1!$D:$D,D7691)=0,"Missing in Data1","Present")</f>
        <v>Present</v>
      </c>
    </row>
    <row r="7692" spans="1:5" x14ac:dyDescent="0.25">
      <c r="A7692" s="2" t="s">
        <v>5805</v>
      </c>
      <c r="B7692" s="2" t="s">
        <v>2373</v>
      </c>
      <c r="C7692" s="2">
        <v>2</v>
      </c>
      <c r="D7692" t="str">
        <f t="shared" si="120"/>
        <v>CA-2017-164378_TEC-AC-10004708</v>
      </c>
      <c r="E7692" t="str">
        <f>IF(COUNTIF(data1!$D:$D,D7692)=0,"Missing in Data1","Present")</f>
        <v>Missing in Data1</v>
      </c>
    </row>
    <row r="7693" spans="1:5" x14ac:dyDescent="0.25">
      <c r="A7693" s="2" t="s">
        <v>5806</v>
      </c>
      <c r="B7693" s="2" t="s">
        <v>3232</v>
      </c>
      <c r="C7693" s="2">
        <v>2</v>
      </c>
      <c r="D7693" t="str">
        <f t="shared" si="120"/>
        <v>CA-2017-164707_OFF-LA-10004345</v>
      </c>
      <c r="E7693" t="str">
        <f>IF(COUNTIF(data1!$D:$D,D7693)=0,"Missing in Data1","Present")</f>
        <v>Present</v>
      </c>
    </row>
    <row r="7694" spans="1:5" x14ac:dyDescent="0.25">
      <c r="A7694" s="2" t="s">
        <v>5806</v>
      </c>
      <c r="B7694" s="2" t="s">
        <v>497</v>
      </c>
      <c r="C7694" s="2">
        <v>3</v>
      </c>
      <c r="D7694" t="str">
        <f t="shared" si="120"/>
        <v>CA-2017-164707_TEC-AC-10004864</v>
      </c>
      <c r="E7694" t="str">
        <f>IF(COUNTIF(data1!$D:$D,D7694)=0,"Missing in Data1","Present")</f>
        <v>Present</v>
      </c>
    </row>
    <row r="7695" spans="1:5" x14ac:dyDescent="0.25">
      <c r="A7695" s="2" t="s">
        <v>5806</v>
      </c>
      <c r="B7695" s="2" t="s">
        <v>4307</v>
      </c>
      <c r="C7695" s="2">
        <v>3</v>
      </c>
      <c r="D7695" t="str">
        <f t="shared" si="120"/>
        <v>CA-2017-164707_TEC-PH-10001924</v>
      </c>
      <c r="E7695" t="str">
        <f>IF(COUNTIF(data1!$D:$D,D7695)=0,"Missing in Data1","Present")</f>
        <v>Present</v>
      </c>
    </row>
    <row r="7696" spans="1:5" x14ac:dyDescent="0.25">
      <c r="A7696" s="2" t="s">
        <v>5807</v>
      </c>
      <c r="B7696" s="2" t="s">
        <v>2472</v>
      </c>
      <c r="C7696" s="2">
        <v>4</v>
      </c>
      <c r="D7696" t="str">
        <f t="shared" si="120"/>
        <v>CA-2017-164756_FUR-FU-10002963</v>
      </c>
      <c r="E7696" t="str">
        <f>IF(COUNTIF(data1!$D:$D,D7696)=0,"Missing in Data1","Present")</f>
        <v>Present</v>
      </c>
    </row>
    <row r="7697" spans="1:5" x14ac:dyDescent="0.25">
      <c r="A7697" s="2" t="s">
        <v>5807</v>
      </c>
      <c r="B7697" s="2" t="s">
        <v>23</v>
      </c>
      <c r="C7697" s="2">
        <v>3</v>
      </c>
      <c r="D7697" t="str">
        <f t="shared" si="120"/>
        <v>CA-2017-164756_OFF-AR-10000380</v>
      </c>
      <c r="E7697" t="str">
        <f>IF(COUNTIF(data1!$D:$D,D7697)=0,"Missing in Data1","Present")</f>
        <v>Present</v>
      </c>
    </row>
    <row r="7698" spans="1:5" x14ac:dyDescent="0.25">
      <c r="A7698" s="2" t="s">
        <v>5807</v>
      </c>
      <c r="B7698" s="2" t="s">
        <v>5161</v>
      </c>
      <c r="C7698" s="2">
        <v>7</v>
      </c>
      <c r="D7698" t="str">
        <f t="shared" si="120"/>
        <v>CA-2017-164756_OFF-PA-10000673</v>
      </c>
      <c r="E7698" t="str">
        <f>IF(COUNTIF(data1!$D:$D,D7698)=0,"Missing in Data1","Present")</f>
        <v>Present</v>
      </c>
    </row>
    <row r="7699" spans="1:5" x14ac:dyDescent="0.25">
      <c r="A7699" s="2" t="s">
        <v>5807</v>
      </c>
      <c r="B7699" s="2" t="s">
        <v>1052</v>
      </c>
      <c r="C7699" s="2">
        <v>5</v>
      </c>
      <c r="D7699" t="str">
        <f t="shared" si="120"/>
        <v>CA-2017-164756_OFF-PA-10003228</v>
      </c>
      <c r="E7699" t="str">
        <f>IF(COUNTIF(data1!$D:$D,D7699)=0,"Missing in Data1","Present")</f>
        <v>Present</v>
      </c>
    </row>
    <row r="7700" spans="1:5" x14ac:dyDescent="0.25">
      <c r="A7700" s="2" t="s">
        <v>5807</v>
      </c>
      <c r="B7700" s="2" t="s">
        <v>2011</v>
      </c>
      <c r="C7700" s="2">
        <v>4</v>
      </c>
      <c r="D7700" t="str">
        <f t="shared" si="120"/>
        <v>CA-2017-164756_OFF-PA-10003848</v>
      </c>
      <c r="E7700" t="str">
        <f>IF(COUNTIF(data1!$D:$D,D7700)=0,"Missing in Data1","Present")</f>
        <v>Missing in Data1</v>
      </c>
    </row>
    <row r="7701" spans="1:5" x14ac:dyDescent="0.25">
      <c r="A7701" s="2" t="s">
        <v>5807</v>
      </c>
      <c r="B7701" s="2" t="s">
        <v>924</v>
      </c>
      <c r="C7701" s="2">
        <v>8</v>
      </c>
      <c r="D7701" t="str">
        <f t="shared" si="120"/>
        <v>CA-2017-164756_TEC-PH-10001552</v>
      </c>
      <c r="E7701" t="str">
        <f>IF(COUNTIF(data1!$D:$D,D7701)=0,"Missing in Data1","Present")</f>
        <v>Present</v>
      </c>
    </row>
    <row r="7702" spans="1:5" x14ac:dyDescent="0.25">
      <c r="A7702" s="2" t="s">
        <v>5807</v>
      </c>
      <c r="B7702" s="2" t="s">
        <v>3279</v>
      </c>
      <c r="C7702" s="2">
        <v>2</v>
      </c>
      <c r="D7702" t="str">
        <f t="shared" si="120"/>
        <v>CA-2017-164756_TEC-PH-10002447</v>
      </c>
      <c r="E7702" t="str">
        <f>IF(COUNTIF(data1!$D:$D,D7702)=0,"Missing in Data1","Present")</f>
        <v>Present</v>
      </c>
    </row>
    <row r="7703" spans="1:5" x14ac:dyDescent="0.25">
      <c r="A7703" s="2" t="s">
        <v>5808</v>
      </c>
      <c r="B7703" s="2" t="s">
        <v>1623</v>
      </c>
      <c r="C7703" s="2">
        <v>5</v>
      </c>
      <c r="D7703" t="str">
        <f t="shared" si="120"/>
        <v>CA-2017-164819_OFF-LA-10001045</v>
      </c>
      <c r="E7703" t="str">
        <f>IF(COUNTIF(data1!$D:$D,D7703)=0,"Missing in Data1","Present")</f>
        <v>Present</v>
      </c>
    </row>
    <row r="7704" spans="1:5" x14ac:dyDescent="0.25">
      <c r="A7704" s="2" t="s">
        <v>5809</v>
      </c>
      <c r="B7704" s="2" t="s">
        <v>2648</v>
      </c>
      <c r="C7704" s="2">
        <v>7</v>
      </c>
      <c r="D7704" t="str">
        <f t="shared" si="120"/>
        <v>CA-2017-164826_OFF-BI-10001922</v>
      </c>
      <c r="E7704" t="str">
        <f>IF(COUNTIF(data1!$D:$D,D7704)=0,"Missing in Data1","Present")</f>
        <v>Present</v>
      </c>
    </row>
    <row r="7705" spans="1:5" x14ac:dyDescent="0.25">
      <c r="A7705" s="2" t="s">
        <v>5809</v>
      </c>
      <c r="B7705" s="2" t="s">
        <v>685</v>
      </c>
      <c r="C7705" s="2">
        <v>4</v>
      </c>
      <c r="D7705" t="str">
        <f t="shared" si="120"/>
        <v>CA-2017-164826_OFF-FA-10000585</v>
      </c>
      <c r="E7705" t="str">
        <f>IF(COUNTIF(data1!$D:$D,D7705)=0,"Missing in Data1","Present")</f>
        <v>Present</v>
      </c>
    </row>
    <row r="7706" spans="1:5" x14ac:dyDescent="0.25">
      <c r="A7706" s="2" t="s">
        <v>5809</v>
      </c>
      <c r="B7706" s="2" t="s">
        <v>3420</v>
      </c>
      <c r="C7706" s="2">
        <v>7</v>
      </c>
      <c r="D7706" t="str">
        <f t="shared" si="120"/>
        <v>CA-2017-164826_OFF-LA-10001297</v>
      </c>
      <c r="E7706" t="str">
        <f>IF(COUNTIF(data1!$D:$D,D7706)=0,"Missing in Data1","Present")</f>
        <v>Present</v>
      </c>
    </row>
    <row r="7707" spans="1:5" x14ac:dyDescent="0.25">
      <c r="A7707" s="2" t="s">
        <v>5809</v>
      </c>
      <c r="B7707" s="2" t="s">
        <v>1918</v>
      </c>
      <c r="C7707" s="2">
        <v>3</v>
      </c>
      <c r="D7707" t="str">
        <f t="shared" si="120"/>
        <v>CA-2017-164826_TEC-PH-10000347</v>
      </c>
      <c r="E7707" t="str">
        <f>IF(COUNTIF(data1!$D:$D,D7707)=0,"Missing in Data1","Present")</f>
        <v>Present</v>
      </c>
    </row>
    <row r="7708" spans="1:5" x14ac:dyDescent="0.25">
      <c r="A7708" s="2" t="s">
        <v>5810</v>
      </c>
      <c r="B7708" s="2" t="s">
        <v>1544</v>
      </c>
      <c r="C7708" s="2">
        <v>5</v>
      </c>
      <c r="D7708" t="str">
        <f t="shared" si="120"/>
        <v>CA-2017-164917_OFF-AR-10004344</v>
      </c>
      <c r="E7708" t="str">
        <f>IF(COUNTIF(data1!$D:$D,D7708)=0,"Missing in Data1","Present")</f>
        <v>Present</v>
      </c>
    </row>
    <row r="7709" spans="1:5" x14ac:dyDescent="0.25">
      <c r="A7709" s="2" t="s">
        <v>5811</v>
      </c>
      <c r="B7709" s="2" t="s">
        <v>5812</v>
      </c>
      <c r="C7709" s="2">
        <v>3</v>
      </c>
      <c r="D7709" t="str">
        <f t="shared" si="120"/>
        <v>CA-2017-164959_OFF-LA-10004272</v>
      </c>
      <c r="E7709" t="str">
        <f>IF(COUNTIF(data1!$D:$D,D7709)=0,"Missing in Data1","Present")</f>
        <v>Present</v>
      </c>
    </row>
    <row r="7710" spans="1:5" x14ac:dyDescent="0.25">
      <c r="A7710" s="2" t="s">
        <v>5813</v>
      </c>
      <c r="B7710" s="2" t="s">
        <v>1483</v>
      </c>
      <c r="C7710" s="2">
        <v>9</v>
      </c>
      <c r="D7710" t="str">
        <f t="shared" si="120"/>
        <v>CA-2017-165008_OFF-BI-10002794</v>
      </c>
      <c r="E7710" t="str">
        <f>IF(COUNTIF(data1!$D:$D,D7710)=0,"Missing in Data1","Present")</f>
        <v>Present</v>
      </c>
    </row>
    <row r="7711" spans="1:5" x14ac:dyDescent="0.25">
      <c r="A7711" s="2" t="s">
        <v>5814</v>
      </c>
      <c r="B7711" s="2" t="s">
        <v>574</v>
      </c>
      <c r="C7711" s="2">
        <v>3</v>
      </c>
      <c r="D7711" t="str">
        <f t="shared" si="120"/>
        <v>CA-2017-165029_OFF-AR-10003504</v>
      </c>
      <c r="E7711" t="str">
        <f>IF(COUNTIF(data1!$D:$D,D7711)=0,"Missing in Data1","Present")</f>
        <v>Present</v>
      </c>
    </row>
    <row r="7712" spans="1:5" x14ac:dyDescent="0.25">
      <c r="A7712" s="2" t="s">
        <v>5815</v>
      </c>
      <c r="B7712" s="2" t="s">
        <v>526</v>
      </c>
      <c r="C7712" s="2">
        <v>2</v>
      </c>
      <c r="D7712" t="str">
        <f t="shared" si="120"/>
        <v>CA-2017-165099_OFF-AP-10001634</v>
      </c>
      <c r="E7712" t="str">
        <f>IF(COUNTIF(data1!$D:$D,D7712)=0,"Missing in Data1","Present")</f>
        <v>Present</v>
      </c>
    </row>
    <row r="7713" spans="1:5" x14ac:dyDescent="0.25">
      <c r="A7713" s="2" t="s">
        <v>5816</v>
      </c>
      <c r="B7713" s="2" t="s">
        <v>45</v>
      </c>
      <c r="C7713" s="2">
        <v>1</v>
      </c>
      <c r="D7713" t="str">
        <f t="shared" si="120"/>
        <v>CA-2017-165155_OFF-ST-10004950</v>
      </c>
      <c r="E7713" t="str">
        <f>IF(COUNTIF(data1!$D:$D,D7713)=0,"Missing in Data1","Present")</f>
        <v>Present</v>
      </c>
    </row>
    <row r="7714" spans="1:5" x14ac:dyDescent="0.25">
      <c r="A7714" s="2" t="s">
        <v>5817</v>
      </c>
      <c r="B7714" s="2" t="s">
        <v>4970</v>
      </c>
      <c r="C7714" s="2">
        <v>3</v>
      </c>
      <c r="D7714" t="str">
        <f t="shared" si="120"/>
        <v>CA-2017-165204_OFF-PA-10003424</v>
      </c>
      <c r="E7714" t="str">
        <f>IF(COUNTIF(data1!$D:$D,D7714)=0,"Missing in Data1","Present")</f>
        <v>Present</v>
      </c>
    </row>
    <row r="7715" spans="1:5" x14ac:dyDescent="0.25">
      <c r="A7715" s="2" t="s">
        <v>5817</v>
      </c>
      <c r="B7715" s="2" t="s">
        <v>495</v>
      </c>
      <c r="C7715" s="2">
        <v>4</v>
      </c>
      <c r="D7715" t="str">
        <f t="shared" si="120"/>
        <v>CA-2017-165204_OFF-ST-10003716</v>
      </c>
      <c r="E7715" t="str">
        <f>IF(COUNTIF(data1!$D:$D,D7715)=0,"Missing in Data1","Present")</f>
        <v>Present</v>
      </c>
    </row>
    <row r="7716" spans="1:5" x14ac:dyDescent="0.25">
      <c r="A7716" s="2" t="s">
        <v>5818</v>
      </c>
      <c r="B7716" s="2" t="s">
        <v>5819</v>
      </c>
      <c r="C7716" s="2">
        <v>3</v>
      </c>
      <c r="D7716" t="str">
        <f t="shared" si="120"/>
        <v>CA-2017-165323_TEC-AC-10004992</v>
      </c>
      <c r="E7716" t="str">
        <f>IF(COUNTIF(data1!$D:$D,D7716)=0,"Missing in Data1","Present")</f>
        <v>Present</v>
      </c>
    </row>
    <row r="7717" spans="1:5" x14ac:dyDescent="0.25">
      <c r="A7717" s="2" t="s">
        <v>5821</v>
      </c>
      <c r="B7717" s="2" t="s">
        <v>1562</v>
      </c>
      <c r="C7717" s="2">
        <v>2</v>
      </c>
      <c r="D7717" t="str">
        <f t="shared" si="120"/>
        <v>CA-2017-165386_FUR-BO-10003034</v>
      </c>
      <c r="E7717" t="str">
        <f>IF(COUNTIF(data1!$D:$D,D7717)=0,"Missing in Data1","Present")</f>
        <v>Present</v>
      </c>
    </row>
    <row r="7718" spans="1:5" x14ac:dyDescent="0.25">
      <c r="A7718" s="2" t="s">
        <v>5822</v>
      </c>
      <c r="B7718" s="2" t="s">
        <v>2665</v>
      </c>
      <c r="C7718" s="2">
        <v>7</v>
      </c>
      <c r="D7718" t="str">
        <f t="shared" si="120"/>
        <v>CA-2017-165491_TEC-AC-10000358</v>
      </c>
      <c r="E7718" t="str">
        <f>IF(COUNTIF(data1!$D:$D,D7718)=0,"Missing in Data1","Present")</f>
        <v>Present</v>
      </c>
    </row>
    <row r="7719" spans="1:5" x14ac:dyDescent="0.25">
      <c r="A7719" s="2" t="s">
        <v>5823</v>
      </c>
      <c r="B7719" s="2" t="s">
        <v>3176</v>
      </c>
      <c r="C7719" s="2">
        <v>2</v>
      </c>
      <c r="D7719" t="str">
        <f t="shared" si="120"/>
        <v>CA-2017-165603_OFF-PA-10002552</v>
      </c>
      <c r="E7719" t="str">
        <f>IF(COUNTIF(data1!$D:$D,D7719)=0,"Missing in Data1","Present")</f>
        <v>Present</v>
      </c>
    </row>
    <row r="7720" spans="1:5" x14ac:dyDescent="0.25">
      <c r="A7720" s="2" t="s">
        <v>5823</v>
      </c>
      <c r="B7720" s="2" t="s">
        <v>295</v>
      </c>
      <c r="C7720" s="2">
        <v>2</v>
      </c>
      <c r="D7720" t="str">
        <f t="shared" si="120"/>
        <v>CA-2017-165603_OFF-ST-10000798</v>
      </c>
      <c r="E7720" t="str">
        <f>IF(COUNTIF(data1!$D:$D,D7720)=0,"Missing in Data1","Present")</f>
        <v>Present</v>
      </c>
    </row>
    <row r="7721" spans="1:5" x14ac:dyDescent="0.25">
      <c r="A7721" s="2" t="s">
        <v>5824</v>
      </c>
      <c r="B7721" s="2" t="s">
        <v>3906</v>
      </c>
      <c r="C7721" s="2">
        <v>2</v>
      </c>
      <c r="D7721" t="str">
        <f t="shared" si="120"/>
        <v>CA-2017-165687_OFF-AP-10004036</v>
      </c>
      <c r="E7721" t="str">
        <f>IF(COUNTIF(data1!$D:$D,D7721)=0,"Missing in Data1","Present")</f>
        <v>Present</v>
      </c>
    </row>
    <row r="7722" spans="1:5" x14ac:dyDescent="0.25">
      <c r="A7722" s="2" t="s">
        <v>5825</v>
      </c>
      <c r="B7722" s="2" t="s">
        <v>2903</v>
      </c>
      <c r="C7722" s="2">
        <v>1</v>
      </c>
      <c r="D7722" t="str">
        <f t="shared" si="120"/>
        <v>CA-2017-165715_OFF-AR-10003903</v>
      </c>
      <c r="E7722" t="str">
        <f>IF(COUNTIF(data1!$D:$D,D7722)=0,"Missing in Data1","Present")</f>
        <v>Present</v>
      </c>
    </row>
    <row r="7723" spans="1:5" x14ac:dyDescent="0.25">
      <c r="A7723" s="2" t="s">
        <v>5826</v>
      </c>
      <c r="B7723" s="2" t="s">
        <v>2000</v>
      </c>
      <c r="C7723" s="2">
        <v>3</v>
      </c>
      <c r="D7723" t="str">
        <f t="shared" si="120"/>
        <v>CA-2017-165757_OFF-BI-10003166</v>
      </c>
      <c r="E7723" t="str">
        <f>IF(COUNTIF(data1!$D:$D,D7723)=0,"Missing in Data1","Present")</f>
        <v>Present</v>
      </c>
    </row>
    <row r="7724" spans="1:5" x14ac:dyDescent="0.25">
      <c r="A7724" s="2" t="s">
        <v>5826</v>
      </c>
      <c r="B7724" s="2" t="s">
        <v>1117</v>
      </c>
      <c r="C7724" s="2">
        <v>5</v>
      </c>
      <c r="D7724" t="str">
        <f t="shared" si="120"/>
        <v>CA-2017-165757_OFF-BI-10003982</v>
      </c>
      <c r="E7724" t="str">
        <f>IF(COUNTIF(data1!$D:$D,D7724)=0,"Missing in Data1","Present")</f>
        <v>Present</v>
      </c>
    </row>
    <row r="7725" spans="1:5" x14ac:dyDescent="0.25">
      <c r="A7725" s="2" t="s">
        <v>5826</v>
      </c>
      <c r="B7725" s="2" t="s">
        <v>4726</v>
      </c>
      <c r="C7725" s="2">
        <v>2</v>
      </c>
      <c r="D7725" t="str">
        <f t="shared" si="120"/>
        <v>CA-2017-165757_OFF-ST-10004835</v>
      </c>
      <c r="E7725" t="str">
        <f>IF(COUNTIF(data1!$D:$D,D7725)=0,"Missing in Data1","Present")</f>
        <v>Present</v>
      </c>
    </row>
    <row r="7726" spans="1:5" x14ac:dyDescent="0.25">
      <c r="A7726" s="2" t="s">
        <v>5827</v>
      </c>
      <c r="B7726" s="2" t="s">
        <v>623</v>
      </c>
      <c r="C7726" s="2">
        <v>3</v>
      </c>
      <c r="D7726" t="str">
        <f t="shared" si="120"/>
        <v>CA-2017-165841_OFF-PA-10001144</v>
      </c>
      <c r="E7726" t="str">
        <f>IF(COUNTIF(data1!$D:$D,D7726)=0,"Missing in Data1","Present")</f>
        <v>Present</v>
      </c>
    </row>
    <row r="7727" spans="1:5" x14ac:dyDescent="0.25">
      <c r="A7727" s="2" t="s">
        <v>5827</v>
      </c>
      <c r="B7727" s="2" t="s">
        <v>1850</v>
      </c>
      <c r="C7727" s="2">
        <v>5</v>
      </c>
      <c r="D7727" t="str">
        <f t="shared" si="120"/>
        <v>CA-2017-165841_OFF-SU-10000898</v>
      </c>
      <c r="E7727" t="str">
        <f>IF(COUNTIF(data1!$D:$D,D7727)=0,"Missing in Data1","Present")</f>
        <v>Present</v>
      </c>
    </row>
    <row r="7728" spans="1:5" x14ac:dyDescent="0.25">
      <c r="A7728" s="2" t="s">
        <v>5827</v>
      </c>
      <c r="B7728" s="2" t="s">
        <v>1425</v>
      </c>
      <c r="C7728" s="2">
        <v>3</v>
      </c>
      <c r="D7728" t="str">
        <f t="shared" si="120"/>
        <v>CA-2017-165841_TEC-PH-10002103</v>
      </c>
      <c r="E7728" t="str">
        <f>IF(COUNTIF(data1!$D:$D,D7728)=0,"Missing in Data1","Present")</f>
        <v>Present</v>
      </c>
    </row>
    <row r="7729" spans="1:5" x14ac:dyDescent="0.25">
      <c r="A7729" s="2" t="s">
        <v>5828</v>
      </c>
      <c r="B7729" s="2" t="s">
        <v>222</v>
      </c>
      <c r="C7729" s="2">
        <v>2</v>
      </c>
      <c r="D7729" t="str">
        <f t="shared" si="120"/>
        <v>CA-2017-165904_OFF-AR-10003156</v>
      </c>
      <c r="E7729" t="str">
        <f>IF(COUNTIF(data1!$D:$D,D7729)=0,"Missing in Data1","Present")</f>
        <v>Present</v>
      </c>
    </row>
    <row r="7730" spans="1:5" x14ac:dyDescent="0.25">
      <c r="A7730" s="2" t="s">
        <v>5828</v>
      </c>
      <c r="B7730" s="2" t="s">
        <v>199</v>
      </c>
      <c r="C7730" s="2">
        <v>2</v>
      </c>
      <c r="D7730" t="str">
        <f t="shared" si="120"/>
        <v>CA-2017-165904_TEC-PH-10000576</v>
      </c>
      <c r="E7730" t="str">
        <f>IF(COUNTIF(data1!$D:$D,D7730)=0,"Missing in Data1","Present")</f>
        <v>Present</v>
      </c>
    </row>
    <row r="7731" spans="1:5" x14ac:dyDescent="0.25">
      <c r="A7731" s="2" t="s">
        <v>5829</v>
      </c>
      <c r="B7731" s="2" t="s">
        <v>3770</v>
      </c>
      <c r="C7731" s="2">
        <v>9</v>
      </c>
      <c r="D7731" t="str">
        <f t="shared" si="120"/>
        <v>CA-2017-166093_OFF-AP-10001058</v>
      </c>
      <c r="E7731" t="str">
        <f>IF(COUNTIF(data1!$D:$D,D7731)=0,"Missing in Data1","Present")</f>
        <v>Present</v>
      </c>
    </row>
    <row r="7732" spans="1:5" x14ac:dyDescent="0.25">
      <c r="A7732" s="2" t="s">
        <v>5829</v>
      </c>
      <c r="B7732" s="2" t="s">
        <v>423</v>
      </c>
      <c r="C7732" s="2">
        <v>3</v>
      </c>
      <c r="D7732" t="str">
        <f t="shared" si="120"/>
        <v>CA-2017-166093_OFF-BI-10000174</v>
      </c>
      <c r="E7732" t="str">
        <f>IF(COUNTIF(data1!$D:$D,D7732)=0,"Missing in Data1","Present")</f>
        <v>Present</v>
      </c>
    </row>
    <row r="7733" spans="1:5" x14ac:dyDescent="0.25">
      <c r="A7733" s="2" t="s">
        <v>5829</v>
      </c>
      <c r="B7733" s="2" t="s">
        <v>271</v>
      </c>
      <c r="C7733" s="2">
        <v>8</v>
      </c>
      <c r="D7733" t="str">
        <f t="shared" si="120"/>
        <v>CA-2017-166093_OFF-BI-10004230</v>
      </c>
      <c r="E7733" t="str">
        <f>IF(COUNTIF(data1!$D:$D,D7733)=0,"Missing in Data1","Present")</f>
        <v>Present</v>
      </c>
    </row>
    <row r="7734" spans="1:5" x14ac:dyDescent="0.25">
      <c r="A7734" s="2" t="s">
        <v>5829</v>
      </c>
      <c r="B7734" s="2" t="s">
        <v>860</v>
      </c>
      <c r="C7734" s="2">
        <v>2</v>
      </c>
      <c r="D7734" t="str">
        <f t="shared" si="120"/>
        <v>CA-2017-166093_OFF-EN-10003134</v>
      </c>
      <c r="E7734" t="str">
        <f>IF(COUNTIF(data1!$D:$D,D7734)=0,"Missing in Data1","Present")</f>
        <v>Present</v>
      </c>
    </row>
    <row r="7735" spans="1:5" x14ac:dyDescent="0.25">
      <c r="A7735" s="2" t="s">
        <v>5829</v>
      </c>
      <c r="B7735" s="2" t="s">
        <v>3013</v>
      </c>
      <c r="C7735" s="2">
        <v>2</v>
      </c>
      <c r="D7735" t="str">
        <f t="shared" si="120"/>
        <v>CA-2017-166093_OFF-PA-10003893</v>
      </c>
      <c r="E7735" t="str">
        <f>IF(COUNTIF(data1!$D:$D,D7735)=0,"Missing in Data1","Present")</f>
        <v>Present</v>
      </c>
    </row>
    <row r="7736" spans="1:5" x14ac:dyDescent="0.25">
      <c r="A7736" s="2" t="s">
        <v>5829</v>
      </c>
      <c r="B7736" s="2" t="s">
        <v>258</v>
      </c>
      <c r="C7736" s="2">
        <v>3</v>
      </c>
      <c r="D7736" t="str">
        <f t="shared" si="120"/>
        <v>CA-2017-166093_OFF-ST-10001496</v>
      </c>
      <c r="E7736" t="str">
        <f>IF(COUNTIF(data1!$D:$D,D7736)=0,"Missing in Data1","Present")</f>
        <v>Present</v>
      </c>
    </row>
    <row r="7737" spans="1:5" x14ac:dyDescent="0.25">
      <c r="A7737" s="2" t="s">
        <v>5829</v>
      </c>
      <c r="B7737" s="2" t="s">
        <v>2159</v>
      </c>
      <c r="C7737" s="2">
        <v>3</v>
      </c>
      <c r="D7737" t="str">
        <f t="shared" si="120"/>
        <v>CA-2017-166093_TEC-PH-10002564</v>
      </c>
      <c r="E7737" t="str">
        <f>IF(COUNTIF(data1!$D:$D,D7737)=0,"Missing in Data1","Present")</f>
        <v>Present</v>
      </c>
    </row>
    <row r="7738" spans="1:5" x14ac:dyDescent="0.25">
      <c r="A7738" s="2" t="s">
        <v>5830</v>
      </c>
      <c r="B7738" s="2" t="s">
        <v>5831</v>
      </c>
      <c r="C7738" s="2">
        <v>7</v>
      </c>
      <c r="D7738" t="str">
        <f t="shared" si="120"/>
        <v>CA-2017-166128_OFF-AR-10001221</v>
      </c>
      <c r="E7738" t="str">
        <f>IF(COUNTIF(data1!$D:$D,D7738)=0,"Missing in Data1","Present")</f>
        <v>Present</v>
      </c>
    </row>
    <row r="7739" spans="1:5" x14ac:dyDescent="0.25">
      <c r="A7739" s="2" t="s">
        <v>5830</v>
      </c>
      <c r="B7739" s="2" t="s">
        <v>1904</v>
      </c>
      <c r="C7739" s="2">
        <v>5</v>
      </c>
      <c r="D7739" t="str">
        <f t="shared" si="120"/>
        <v>CA-2017-166128_TEC-AC-10001767</v>
      </c>
      <c r="E7739" t="str">
        <f>IF(COUNTIF(data1!$D:$D,D7739)=0,"Missing in Data1","Present")</f>
        <v>Present</v>
      </c>
    </row>
    <row r="7740" spans="1:5" x14ac:dyDescent="0.25">
      <c r="A7740" s="2" t="s">
        <v>5832</v>
      </c>
      <c r="B7740" s="2" t="s">
        <v>37</v>
      </c>
      <c r="C7740" s="2">
        <v>3</v>
      </c>
      <c r="D7740" t="str">
        <f t="shared" si="120"/>
        <v>CA-2017-166142_FUR-TA-10004607</v>
      </c>
      <c r="E7740" t="str">
        <f>IF(COUNTIF(data1!$D:$D,D7740)=0,"Missing in Data1","Present")</f>
        <v>Present</v>
      </c>
    </row>
    <row r="7741" spans="1:5" x14ac:dyDescent="0.25">
      <c r="A7741" s="2" t="s">
        <v>5832</v>
      </c>
      <c r="B7741" s="2" t="s">
        <v>442</v>
      </c>
      <c r="C7741" s="2">
        <v>3</v>
      </c>
      <c r="D7741" t="str">
        <f t="shared" si="120"/>
        <v>CA-2017-166142_OFF-BI-10004094</v>
      </c>
      <c r="E7741" t="str">
        <f>IF(COUNTIF(data1!$D:$D,D7741)=0,"Missing in Data1","Present")</f>
        <v>Present</v>
      </c>
    </row>
    <row r="7742" spans="1:5" x14ac:dyDescent="0.25">
      <c r="A7742" s="2" t="s">
        <v>5833</v>
      </c>
      <c r="B7742" s="2" t="s">
        <v>858</v>
      </c>
      <c r="C7742" s="2">
        <v>3</v>
      </c>
      <c r="D7742" t="str">
        <f t="shared" si="120"/>
        <v>CA-2017-166184_FUR-CH-10003396</v>
      </c>
      <c r="E7742" t="str">
        <f>IF(COUNTIF(data1!$D:$D,D7742)=0,"Missing in Data1","Present")</f>
        <v>Present</v>
      </c>
    </row>
    <row r="7743" spans="1:5" x14ac:dyDescent="0.25">
      <c r="A7743" s="2" t="s">
        <v>5833</v>
      </c>
      <c r="B7743" s="2" t="s">
        <v>1494</v>
      </c>
      <c r="C7743" s="2">
        <v>3</v>
      </c>
      <c r="D7743" t="str">
        <f t="shared" si="120"/>
        <v>CA-2017-166184_OFF-EN-10004483</v>
      </c>
      <c r="E7743" t="str">
        <f>IF(COUNTIF(data1!$D:$D,D7743)=0,"Missing in Data1","Present")</f>
        <v>Present</v>
      </c>
    </row>
    <row r="7744" spans="1:5" x14ac:dyDescent="0.25">
      <c r="A7744" s="2" t="s">
        <v>5833</v>
      </c>
      <c r="B7744" s="2" t="s">
        <v>3339</v>
      </c>
      <c r="C7744" s="2">
        <v>1</v>
      </c>
      <c r="D7744" t="str">
        <f t="shared" si="120"/>
        <v>CA-2017-166184_TEC-PH-10002624</v>
      </c>
      <c r="E7744" t="str">
        <f>IF(COUNTIF(data1!$D:$D,D7744)=0,"Missing in Data1","Present")</f>
        <v>Present</v>
      </c>
    </row>
    <row r="7745" spans="1:5" x14ac:dyDescent="0.25">
      <c r="A7745" s="2" t="s">
        <v>5834</v>
      </c>
      <c r="B7745" s="2" t="s">
        <v>5835</v>
      </c>
      <c r="C7745" s="2">
        <v>3</v>
      </c>
      <c r="D7745" t="str">
        <f t="shared" si="120"/>
        <v>CA-2017-166198_FUR-FU-10004622</v>
      </c>
      <c r="E7745" t="str">
        <f>IF(COUNTIF(data1!$D:$D,D7745)=0,"Missing in Data1","Present")</f>
        <v>Present</v>
      </c>
    </row>
    <row r="7746" spans="1:5" x14ac:dyDescent="0.25">
      <c r="A7746" s="2" t="s">
        <v>5836</v>
      </c>
      <c r="B7746" s="2" t="s">
        <v>80</v>
      </c>
      <c r="C7746" s="2">
        <v>3</v>
      </c>
      <c r="D7746" t="str">
        <f t="shared" si="120"/>
        <v>CA-2017-166296_OFF-PA-10004359</v>
      </c>
      <c r="E7746" t="str">
        <f>IF(COUNTIF(data1!$D:$D,D7746)=0,"Missing in Data1","Present")</f>
        <v>Present</v>
      </c>
    </row>
    <row r="7747" spans="1:5" x14ac:dyDescent="0.25">
      <c r="A7747" s="2" t="s">
        <v>5837</v>
      </c>
      <c r="B7747" s="2" t="s">
        <v>1103</v>
      </c>
      <c r="C7747" s="2">
        <v>4</v>
      </c>
      <c r="D7747" t="str">
        <f t="shared" ref="D7747:D7810" si="121">A7747&amp;"_"&amp;B7747</f>
        <v>CA-2017-166317_OFF-PA-10004475</v>
      </c>
      <c r="E7747" t="str">
        <f>IF(COUNTIF(data1!$D:$D,D7747)=0,"Missing in Data1","Present")</f>
        <v>Present</v>
      </c>
    </row>
    <row r="7748" spans="1:5" x14ac:dyDescent="0.25">
      <c r="A7748" s="2" t="s">
        <v>5837</v>
      </c>
      <c r="B7748" s="2" t="s">
        <v>676</v>
      </c>
      <c r="C7748" s="2">
        <v>6</v>
      </c>
      <c r="D7748" t="str">
        <f t="shared" si="121"/>
        <v>CA-2017-166317_TEC-AC-10004510</v>
      </c>
      <c r="E7748" t="str">
        <f>IF(COUNTIF(data1!$D:$D,D7748)=0,"Missing in Data1","Present")</f>
        <v>Present</v>
      </c>
    </row>
    <row r="7749" spans="1:5" x14ac:dyDescent="0.25">
      <c r="A7749" s="2" t="s">
        <v>5837</v>
      </c>
      <c r="B7749" s="2" t="s">
        <v>107</v>
      </c>
      <c r="C7749" s="2">
        <v>3</v>
      </c>
      <c r="D7749" t="str">
        <f t="shared" si="121"/>
        <v>CA-2017-166317_TEC-PH-10001615</v>
      </c>
      <c r="E7749" t="str">
        <f>IF(COUNTIF(data1!$D:$D,D7749)=0,"Missing in Data1","Present")</f>
        <v>Present</v>
      </c>
    </row>
    <row r="7750" spans="1:5" x14ac:dyDescent="0.25">
      <c r="A7750" s="2" t="s">
        <v>5838</v>
      </c>
      <c r="B7750" s="2" t="s">
        <v>2834</v>
      </c>
      <c r="C7750" s="2">
        <v>3</v>
      </c>
      <c r="D7750" t="str">
        <f t="shared" si="121"/>
        <v>CA-2017-166415_OFF-FA-10004968</v>
      </c>
      <c r="E7750" t="str">
        <f>IF(COUNTIF(data1!$D:$D,D7750)=0,"Missing in Data1","Present")</f>
        <v>Present</v>
      </c>
    </row>
    <row r="7751" spans="1:5" x14ac:dyDescent="0.25">
      <c r="A7751" s="2" t="s">
        <v>5839</v>
      </c>
      <c r="B7751" s="2" t="s">
        <v>2213</v>
      </c>
      <c r="C7751" s="2">
        <v>6</v>
      </c>
      <c r="D7751" t="str">
        <f t="shared" si="121"/>
        <v>CA-2017-166436_FUR-CH-10000785</v>
      </c>
      <c r="E7751" t="str">
        <f>IF(COUNTIF(data1!$D:$D,D7751)=0,"Missing in Data1","Present")</f>
        <v>Present</v>
      </c>
    </row>
    <row r="7752" spans="1:5" x14ac:dyDescent="0.25">
      <c r="A7752" s="2" t="s">
        <v>5839</v>
      </c>
      <c r="B7752" s="2" t="s">
        <v>309</v>
      </c>
      <c r="C7752" s="2">
        <v>1</v>
      </c>
      <c r="D7752" t="str">
        <f t="shared" si="121"/>
        <v>CA-2017-166436_OFF-PA-10001838</v>
      </c>
      <c r="E7752" t="str">
        <f>IF(COUNTIF(data1!$D:$D,D7752)=0,"Missing in Data1","Present")</f>
        <v>Present</v>
      </c>
    </row>
    <row r="7753" spans="1:5" x14ac:dyDescent="0.25">
      <c r="A7753" s="2" t="s">
        <v>5840</v>
      </c>
      <c r="B7753" s="2" t="s">
        <v>1903</v>
      </c>
      <c r="C7753" s="2">
        <v>3</v>
      </c>
      <c r="D7753" t="str">
        <f t="shared" si="121"/>
        <v>CA-2017-166499_OFF-AR-10002467</v>
      </c>
      <c r="E7753" t="str">
        <f>IF(COUNTIF(data1!$D:$D,D7753)=0,"Missing in Data1","Present")</f>
        <v>Present</v>
      </c>
    </row>
    <row r="7754" spans="1:5" x14ac:dyDescent="0.25">
      <c r="A7754" s="2" t="s">
        <v>5841</v>
      </c>
      <c r="B7754" s="2" t="s">
        <v>116</v>
      </c>
      <c r="C7754" s="2">
        <v>2</v>
      </c>
      <c r="D7754" t="str">
        <f t="shared" si="121"/>
        <v>CA-2017-166576_OFF-ST-10002574</v>
      </c>
      <c r="E7754" t="str">
        <f>IF(COUNTIF(data1!$D:$D,D7754)=0,"Missing in Data1","Present")</f>
        <v>Present</v>
      </c>
    </row>
    <row r="7755" spans="1:5" x14ac:dyDescent="0.25">
      <c r="A7755" s="2" t="s">
        <v>5842</v>
      </c>
      <c r="B7755" s="2" t="s">
        <v>1452</v>
      </c>
      <c r="C7755" s="2">
        <v>1</v>
      </c>
      <c r="D7755" t="str">
        <f t="shared" si="121"/>
        <v>CA-2017-166695_FUR-FU-10002191</v>
      </c>
      <c r="E7755" t="str">
        <f>IF(COUNTIF(data1!$D:$D,D7755)=0,"Missing in Data1","Present")</f>
        <v>Present</v>
      </c>
    </row>
    <row r="7756" spans="1:5" x14ac:dyDescent="0.25">
      <c r="A7756" s="2" t="s">
        <v>5842</v>
      </c>
      <c r="B7756" s="2" t="s">
        <v>4237</v>
      </c>
      <c r="C7756" s="2">
        <v>1</v>
      </c>
      <c r="D7756" t="str">
        <f t="shared" si="121"/>
        <v>CA-2017-166695_TEC-MA-10003176</v>
      </c>
      <c r="E7756" t="str">
        <f>IF(COUNTIF(data1!$D:$D,D7756)=0,"Missing in Data1","Present")</f>
        <v>Present</v>
      </c>
    </row>
    <row r="7757" spans="1:5" x14ac:dyDescent="0.25">
      <c r="A7757" s="2" t="s">
        <v>5843</v>
      </c>
      <c r="B7757" s="2" t="s">
        <v>3527</v>
      </c>
      <c r="C7757" s="2">
        <v>3</v>
      </c>
      <c r="D7757" t="str">
        <f t="shared" si="121"/>
        <v>CA-2017-166709_TEC-CO-10004722</v>
      </c>
      <c r="E7757" t="str">
        <f>IF(COUNTIF(data1!$D:$D,D7757)=0,"Missing in Data1","Present")</f>
        <v>Present</v>
      </c>
    </row>
    <row r="7758" spans="1:5" x14ac:dyDescent="0.25">
      <c r="A7758" s="2" t="s">
        <v>5844</v>
      </c>
      <c r="B7758" s="2" t="s">
        <v>116</v>
      </c>
      <c r="C7758" s="2">
        <v>2</v>
      </c>
      <c r="D7758" t="str">
        <f t="shared" si="121"/>
        <v>CA-2017-166835_OFF-ST-10002574</v>
      </c>
      <c r="E7758" t="str">
        <f>IF(COUNTIF(data1!$D:$D,D7758)=0,"Missing in Data1","Present")</f>
        <v>Present</v>
      </c>
    </row>
    <row r="7759" spans="1:5" x14ac:dyDescent="0.25">
      <c r="A7759" s="2" t="s">
        <v>5845</v>
      </c>
      <c r="B7759" s="2" t="s">
        <v>2559</v>
      </c>
      <c r="C7759" s="2">
        <v>2</v>
      </c>
      <c r="D7759" t="str">
        <f t="shared" si="121"/>
        <v>CA-2017-166849_FUR-FU-10004597</v>
      </c>
      <c r="E7759" t="str">
        <f>IF(COUNTIF(data1!$D:$D,D7759)=0,"Missing in Data1","Present")</f>
        <v>Present</v>
      </c>
    </row>
    <row r="7760" spans="1:5" x14ac:dyDescent="0.25">
      <c r="A7760" s="2" t="s">
        <v>5846</v>
      </c>
      <c r="B7760" s="2" t="s">
        <v>1225</v>
      </c>
      <c r="C7760" s="2">
        <v>7</v>
      </c>
      <c r="D7760" t="str">
        <f t="shared" si="121"/>
        <v>CA-2017-166856_OFF-BI-10002012</v>
      </c>
      <c r="E7760" t="str">
        <f>IF(COUNTIF(data1!$D:$D,D7760)=0,"Missing in Data1","Present")</f>
        <v>Present</v>
      </c>
    </row>
    <row r="7761" spans="1:5" x14ac:dyDescent="0.25">
      <c r="A7761" s="2" t="s">
        <v>5846</v>
      </c>
      <c r="B7761" s="2" t="s">
        <v>5819</v>
      </c>
      <c r="C7761" s="2">
        <v>3</v>
      </c>
      <c r="D7761" t="str">
        <f t="shared" si="121"/>
        <v>CA-2017-166856_TEC-AC-10004992</v>
      </c>
      <c r="E7761" t="str">
        <f>IF(COUNTIF(data1!$D:$D,D7761)=0,"Missing in Data1","Present")</f>
        <v>Present</v>
      </c>
    </row>
    <row r="7762" spans="1:5" x14ac:dyDescent="0.25">
      <c r="A7762" s="2" t="s">
        <v>5847</v>
      </c>
      <c r="B7762" s="2" t="s">
        <v>1644</v>
      </c>
      <c r="C7762" s="2">
        <v>3</v>
      </c>
      <c r="D7762" t="str">
        <f t="shared" si="121"/>
        <v>CA-2017-166898_OFF-PA-10002262</v>
      </c>
      <c r="E7762" t="str">
        <f>IF(COUNTIF(data1!$D:$D,D7762)=0,"Missing in Data1","Present")</f>
        <v>Present</v>
      </c>
    </row>
    <row r="7763" spans="1:5" x14ac:dyDescent="0.25">
      <c r="A7763" s="2" t="s">
        <v>5847</v>
      </c>
      <c r="B7763" s="2" t="s">
        <v>2159</v>
      </c>
      <c r="C7763" s="2">
        <v>6</v>
      </c>
      <c r="D7763" t="str">
        <f t="shared" si="121"/>
        <v>CA-2017-166898_TEC-PH-10002564</v>
      </c>
      <c r="E7763" t="str">
        <f>IF(COUNTIF(data1!$D:$D,D7763)=0,"Missing in Data1","Present")</f>
        <v>Missing in Data1</v>
      </c>
    </row>
    <row r="7764" spans="1:5" x14ac:dyDescent="0.25">
      <c r="A7764" s="2" t="s">
        <v>5848</v>
      </c>
      <c r="B7764" s="2" t="s">
        <v>1527</v>
      </c>
      <c r="C7764" s="2">
        <v>5</v>
      </c>
      <c r="D7764" t="str">
        <f t="shared" si="121"/>
        <v>CA-2017-166919_TEC-PH-10001305</v>
      </c>
      <c r="E7764" t="str">
        <f>IF(COUNTIF(data1!$D:$D,D7764)=0,"Missing in Data1","Present")</f>
        <v>Present</v>
      </c>
    </row>
    <row r="7765" spans="1:5" x14ac:dyDescent="0.25">
      <c r="A7765" s="2" t="s">
        <v>5849</v>
      </c>
      <c r="B7765" s="2" t="s">
        <v>2180</v>
      </c>
      <c r="C7765" s="2">
        <v>2</v>
      </c>
      <c r="D7765" t="str">
        <f t="shared" si="121"/>
        <v>CA-2017-166926_FUR-BO-10002598</v>
      </c>
      <c r="E7765" t="str">
        <f>IF(COUNTIF(data1!$D:$D,D7765)=0,"Missing in Data1","Present")</f>
        <v>Present</v>
      </c>
    </row>
    <row r="7766" spans="1:5" x14ac:dyDescent="0.25">
      <c r="A7766" s="2" t="s">
        <v>5849</v>
      </c>
      <c r="B7766" s="2" t="s">
        <v>5431</v>
      </c>
      <c r="C7766" s="2">
        <v>7</v>
      </c>
      <c r="D7766" t="str">
        <f t="shared" si="121"/>
        <v>CA-2017-166926_OFF-PA-10001593</v>
      </c>
      <c r="E7766" t="str">
        <f>IF(COUNTIF(data1!$D:$D,D7766)=0,"Missing in Data1","Present")</f>
        <v>Present</v>
      </c>
    </row>
    <row r="7767" spans="1:5" x14ac:dyDescent="0.25">
      <c r="A7767" s="2" t="s">
        <v>5850</v>
      </c>
      <c r="B7767" s="2" t="s">
        <v>420</v>
      </c>
      <c r="C7767" s="2">
        <v>1</v>
      </c>
      <c r="D7767" t="str">
        <f t="shared" si="121"/>
        <v>CA-2017-166933_OFF-FA-10002676</v>
      </c>
      <c r="E7767" t="str">
        <f>IF(COUNTIF(data1!$D:$D,D7767)=0,"Missing in Data1","Present")</f>
        <v>Present</v>
      </c>
    </row>
    <row r="7768" spans="1:5" x14ac:dyDescent="0.25">
      <c r="A7768" s="2" t="s">
        <v>5851</v>
      </c>
      <c r="B7768" s="2" t="s">
        <v>2601</v>
      </c>
      <c r="C7768" s="2">
        <v>3</v>
      </c>
      <c r="D7768" t="str">
        <f t="shared" si="121"/>
        <v>CA-2017-167003_FUR-TA-10001520</v>
      </c>
      <c r="E7768" t="str">
        <f>IF(COUNTIF(data1!$D:$D,D7768)=0,"Missing in Data1","Present")</f>
        <v>Present</v>
      </c>
    </row>
    <row r="7769" spans="1:5" x14ac:dyDescent="0.25">
      <c r="A7769" s="2" t="s">
        <v>5852</v>
      </c>
      <c r="B7769" s="2" t="s">
        <v>2150</v>
      </c>
      <c r="C7769" s="2">
        <v>2</v>
      </c>
      <c r="D7769" t="str">
        <f t="shared" si="121"/>
        <v>CA-2017-167017_OFF-SU-10001935</v>
      </c>
      <c r="E7769" t="str">
        <f>IF(COUNTIF(data1!$D:$D,D7769)=0,"Missing in Data1","Present")</f>
        <v>Present</v>
      </c>
    </row>
    <row r="7770" spans="1:5" x14ac:dyDescent="0.25">
      <c r="A7770" s="2" t="s">
        <v>5853</v>
      </c>
      <c r="B7770" s="2" t="s">
        <v>17</v>
      </c>
      <c r="C7770" s="2">
        <v>5</v>
      </c>
      <c r="D7770" t="str">
        <f t="shared" si="121"/>
        <v>CA-2017-167080_OFF-AR-10001868</v>
      </c>
      <c r="E7770" t="str">
        <f>IF(COUNTIF(data1!$D:$D,D7770)=0,"Missing in Data1","Present")</f>
        <v>Present</v>
      </c>
    </row>
    <row r="7771" spans="1:5" x14ac:dyDescent="0.25">
      <c r="A7771" s="2" t="s">
        <v>5854</v>
      </c>
      <c r="B7771" s="2" t="s">
        <v>596</v>
      </c>
      <c r="C7771" s="2">
        <v>2</v>
      </c>
      <c r="D7771" t="str">
        <f t="shared" si="121"/>
        <v>CA-2017-167094_FUR-CH-10000155</v>
      </c>
      <c r="E7771" t="str">
        <f>IF(COUNTIF(data1!$D:$D,D7771)=0,"Missing in Data1","Present")</f>
        <v>Present</v>
      </c>
    </row>
    <row r="7772" spans="1:5" x14ac:dyDescent="0.25">
      <c r="A7772" s="2" t="s">
        <v>5854</v>
      </c>
      <c r="B7772" s="2" t="s">
        <v>3471</v>
      </c>
      <c r="C7772" s="2">
        <v>1</v>
      </c>
      <c r="D7772" t="str">
        <f t="shared" si="121"/>
        <v>CA-2017-167094_OFF-PA-10003953</v>
      </c>
      <c r="E7772" t="str">
        <f>IF(COUNTIF(data1!$D:$D,D7772)=0,"Missing in Data1","Present")</f>
        <v>Present</v>
      </c>
    </row>
    <row r="7773" spans="1:5" x14ac:dyDescent="0.25">
      <c r="A7773" s="2" t="s">
        <v>5854</v>
      </c>
      <c r="B7773" s="2" t="s">
        <v>1897</v>
      </c>
      <c r="C7773" s="2">
        <v>2</v>
      </c>
      <c r="D7773" t="str">
        <f t="shared" si="121"/>
        <v>CA-2017-167094_TEC-AC-10003116</v>
      </c>
      <c r="E7773" t="str">
        <f>IF(COUNTIF(data1!$D:$D,D7773)=0,"Missing in Data1","Present")</f>
        <v>Present</v>
      </c>
    </row>
    <row r="7774" spans="1:5" x14ac:dyDescent="0.25">
      <c r="A7774" s="2" t="s">
        <v>5855</v>
      </c>
      <c r="B7774" s="2" t="s">
        <v>41</v>
      </c>
      <c r="C7774" s="2">
        <v>4</v>
      </c>
      <c r="D7774" t="str">
        <f t="shared" si="121"/>
        <v>CA-2017-167101_OFF-PA-10000357</v>
      </c>
      <c r="E7774" t="str">
        <f>IF(COUNTIF(data1!$D:$D,D7774)=0,"Missing in Data1","Present")</f>
        <v>Present</v>
      </c>
    </row>
    <row r="7775" spans="1:5" x14ac:dyDescent="0.25">
      <c r="A7775" s="2" t="s">
        <v>5855</v>
      </c>
      <c r="B7775" s="2" t="s">
        <v>1097</v>
      </c>
      <c r="C7775" s="2">
        <v>2</v>
      </c>
      <c r="D7775" t="str">
        <f t="shared" si="121"/>
        <v>CA-2017-167101_TEC-AC-10001266</v>
      </c>
      <c r="E7775" t="str">
        <f>IF(COUNTIF(data1!$D:$D,D7775)=0,"Missing in Data1","Present")</f>
        <v>Present</v>
      </c>
    </row>
    <row r="7776" spans="1:5" x14ac:dyDescent="0.25">
      <c r="A7776" s="2" t="s">
        <v>5856</v>
      </c>
      <c r="B7776" s="2" t="s">
        <v>65</v>
      </c>
      <c r="C7776" s="2">
        <v>4</v>
      </c>
      <c r="D7776" t="str">
        <f t="shared" si="121"/>
        <v>CA-2017-167150_OFF-BI-10001097</v>
      </c>
      <c r="E7776" t="str">
        <f>IF(COUNTIF(data1!$D:$D,D7776)=0,"Missing in Data1","Present")</f>
        <v>Present</v>
      </c>
    </row>
    <row r="7777" spans="1:5" x14ac:dyDescent="0.25">
      <c r="A7777" s="2" t="s">
        <v>5856</v>
      </c>
      <c r="B7777" s="2" t="s">
        <v>5</v>
      </c>
      <c r="C7777" s="2">
        <v>2</v>
      </c>
      <c r="D7777" t="str">
        <f t="shared" si="121"/>
        <v>CA-2017-167150_OFF-BI-10001597</v>
      </c>
      <c r="E7777" t="str">
        <f>IF(COUNTIF(data1!$D:$D,D7777)=0,"Missing in Data1","Present")</f>
        <v>Present</v>
      </c>
    </row>
    <row r="7778" spans="1:5" x14ac:dyDescent="0.25">
      <c r="A7778" s="2" t="s">
        <v>5857</v>
      </c>
      <c r="B7778" s="2" t="s">
        <v>725</v>
      </c>
      <c r="C7778" s="2">
        <v>10</v>
      </c>
      <c r="D7778" t="str">
        <f t="shared" si="121"/>
        <v>CA-2017-167227_OFF-AP-10001962</v>
      </c>
      <c r="E7778" t="str">
        <f>IF(COUNTIF(data1!$D:$D,D7778)=0,"Missing in Data1","Present")</f>
        <v>Missing in Data1</v>
      </c>
    </row>
    <row r="7779" spans="1:5" x14ac:dyDescent="0.25">
      <c r="A7779" s="2" t="s">
        <v>5857</v>
      </c>
      <c r="B7779" s="2" t="s">
        <v>309</v>
      </c>
      <c r="C7779" s="2">
        <v>2</v>
      </c>
      <c r="D7779" t="str">
        <f t="shared" si="121"/>
        <v>CA-2017-167227_OFF-PA-10001838</v>
      </c>
      <c r="E7779" t="str">
        <f>IF(COUNTIF(data1!$D:$D,D7779)=0,"Missing in Data1","Present")</f>
        <v>Present</v>
      </c>
    </row>
    <row r="7780" spans="1:5" x14ac:dyDescent="0.25">
      <c r="A7780" s="2" t="s">
        <v>5858</v>
      </c>
      <c r="B7780" s="2" t="s">
        <v>1343</v>
      </c>
      <c r="C7780" s="2">
        <v>2</v>
      </c>
      <c r="D7780" t="str">
        <f t="shared" si="121"/>
        <v>CA-2017-167381_FUR-BO-10001972</v>
      </c>
      <c r="E7780" t="str">
        <f>IF(COUNTIF(data1!$D:$D,D7780)=0,"Missing in Data1","Present")</f>
        <v>Present</v>
      </c>
    </row>
    <row r="7781" spans="1:5" x14ac:dyDescent="0.25">
      <c r="A7781" s="2" t="s">
        <v>5858</v>
      </c>
      <c r="B7781" s="2" t="s">
        <v>1874</v>
      </c>
      <c r="C7781" s="2">
        <v>9</v>
      </c>
      <c r="D7781" t="str">
        <f t="shared" si="121"/>
        <v>CA-2017-167381_OFF-LA-10000134</v>
      </c>
      <c r="E7781" t="str">
        <f>IF(COUNTIF(data1!$D:$D,D7781)=0,"Missing in Data1","Present")</f>
        <v>Present</v>
      </c>
    </row>
    <row r="7782" spans="1:5" x14ac:dyDescent="0.25">
      <c r="A7782" s="2" t="s">
        <v>5859</v>
      </c>
      <c r="B7782" s="2" t="s">
        <v>650</v>
      </c>
      <c r="C7782" s="2">
        <v>7</v>
      </c>
      <c r="D7782" t="str">
        <f t="shared" si="121"/>
        <v>CA-2017-167395_OFF-AP-10001293</v>
      </c>
      <c r="E7782" t="str">
        <f>IF(COUNTIF(data1!$D:$D,D7782)=0,"Missing in Data1","Present")</f>
        <v>Present</v>
      </c>
    </row>
    <row r="7783" spans="1:5" x14ac:dyDescent="0.25">
      <c r="A7783" s="2" t="s">
        <v>5859</v>
      </c>
      <c r="B7783" s="2" t="s">
        <v>1113</v>
      </c>
      <c r="C7783" s="2">
        <v>5</v>
      </c>
      <c r="D7783" t="str">
        <f t="shared" si="121"/>
        <v>CA-2017-167395_TEC-PH-10004977</v>
      </c>
      <c r="E7783" t="str">
        <f>IF(COUNTIF(data1!$D:$D,D7783)=0,"Missing in Data1","Present")</f>
        <v>Missing in Data1</v>
      </c>
    </row>
    <row r="7784" spans="1:5" x14ac:dyDescent="0.25">
      <c r="A7784" s="2" t="s">
        <v>5860</v>
      </c>
      <c r="B7784" s="2" t="s">
        <v>2712</v>
      </c>
      <c r="C7784" s="2">
        <v>3</v>
      </c>
      <c r="D7784" t="str">
        <f t="shared" si="121"/>
        <v>CA-2017-167542_OFF-LA-10004093</v>
      </c>
      <c r="E7784" t="str">
        <f>IF(COUNTIF(data1!$D:$D,D7784)=0,"Missing in Data1","Present")</f>
        <v>Present</v>
      </c>
    </row>
    <row r="7785" spans="1:5" x14ac:dyDescent="0.25">
      <c r="A7785" s="2" t="s">
        <v>5861</v>
      </c>
      <c r="B7785" s="2" t="s">
        <v>597</v>
      </c>
      <c r="C7785" s="2">
        <v>6</v>
      </c>
      <c r="D7785" t="str">
        <f t="shared" si="121"/>
        <v>CA-2017-167549_FUR-TA-10004767</v>
      </c>
      <c r="E7785" t="str">
        <f>IF(COUNTIF(data1!$D:$D,D7785)=0,"Missing in Data1","Present")</f>
        <v>Present</v>
      </c>
    </row>
    <row r="7786" spans="1:5" x14ac:dyDescent="0.25">
      <c r="A7786" s="2" t="s">
        <v>5862</v>
      </c>
      <c r="B7786" s="2" t="s">
        <v>4970</v>
      </c>
      <c r="C7786" s="2">
        <v>3</v>
      </c>
      <c r="D7786" t="str">
        <f t="shared" si="121"/>
        <v>CA-2017-167626_OFF-PA-10003424</v>
      </c>
      <c r="E7786" t="str">
        <f>IF(COUNTIF(data1!$D:$D,D7786)=0,"Missing in Data1","Present")</f>
        <v>Present</v>
      </c>
    </row>
    <row r="7787" spans="1:5" x14ac:dyDescent="0.25">
      <c r="A7787" s="2" t="s">
        <v>5862</v>
      </c>
      <c r="B7787" s="2" t="s">
        <v>409</v>
      </c>
      <c r="C7787" s="2">
        <v>2</v>
      </c>
      <c r="D7787" t="str">
        <f t="shared" si="121"/>
        <v>CA-2017-167626_TEC-AC-10004353</v>
      </c>
      <c r="E7787" t="str">
        <f>IF(COUNTIF(data1!$D:$D,D7787)=0,"Missing in Data1","Present")</f>
        <v>Present</v>
      </c>
    </row>
    <row r="7788" spans="1:5" x14ac:dyDescent="0.25">
      <c r="A7788" s="2" t="s">
        <v>5863</v>
      </c>
      <c r="B7788" s="2" t="s">
        <v>1642</v>
      </c>
      <c r="C7788" s="2">
        <v>6</v>
      </c>
      <c r="D7788" t="str">
        <f t="shared" si="121"/>
        <v>CA-2017-167640_OFF-AR-10003158</v>
      </c>
      <c r="E7788" t="str">
        <f>IF(COUNTIF(data1!$D:$D,D7788)=0,"Missing in Data1","Present")</f>
        <v>Present</v>
      </c>
    </row>
    <row r="7789" spans="1:5" x14ac:dyDescent="0.25">
      <c r="A7789" s="2" t="s">
        <v>5863</v>
      </c>
      <c r="B7789" s="2" t="s">
        <v>486</v>
      </c>
      <c r="C7789" s="2">
        <v>4</v>
      </c>
      <c r="D7789" t="str">
        <f t="shared" si="121"/>
        <v>CA-2017-167640_OFF-LA-10004559</v>
      </c>
      <c r="E7789" t="str">
        <f>IF(COUNTIF(data1!$D:$D,D7789)=0,"Missing in Data1","Present")</f>
        <v>Present</v>
      </c>
    </row>
    <row r="7790" spans="1:5" x14ac:dyDescent="0.25">
      <c r="A7790" s="2" t="s">
        <v>5863</v>
      </c>
      <c r="B7790" s="2" t="s">
        <v>1435</v>
      </c>
      <c r="C7790" s="2">
        <v>7</v>
      </c>
      <c r="D7790" t="str">
        <f t="shared" si="121"/>
        <v>CA-2017-167640_OFF-PA-10001033</v>
      </c>
      <c r="E7790" t="str">
        <f>IF(COUNTIF(data1!$D:$D,D7790)=0,"Missing in Data1","Present")</f>
        <v>Present</v>
      </c>
    </row>
    <row r="7791" spans="1:5" x14ac:dyDescent="0.25">
      <c r="A7791" s="2" t="s">
        <v>5863</v>
      </c>
      <c r="B7791" s="2" t="s">
        <v>292</v>
      </c>
      <c r="C7791" s="2">
        <v>2</v>
      </c>
      <c r="D7791" t="str">
        <f t="shared" si="121"/>
        <v>CA-2017-167640_TEC-PH-10001336</v>
      </c>
      <c r="E7791" t="str">
        <f>IF(COUNTIF(data1!$D:$D,D7791)=0,"Missing in Data1","Present")</f>
        <v>Present</v>
      </c>
    </row>
    <row r="7792" spans="1:5" x14ac:dyDescent="0.25">
      <c r="A7792" s="2" t="s">
        <v>5864</v>
      </c>
      <c r="B7792" s="2" t="s">
        <v>65</v>
      </c>
      <c r="C7792" s="2">
        <v>4</v>
      </c>
      <c r="D7792" t="str">
        <f t="shared" si="121"/>
        <v>CA-2017-167661_OFF-BI-10001097</v>
      </c>
      <c r="E7792" t="str">
        <f>IF(COUNTIF(data1!$D:$D,D7792)=0,"Missing in Data1","Present")</f>
        <v>Present</v>
      </c>
    </row>
    <row r="7793" spans="1:5" x14ac:dyDescent="0.25">
      <c r="A7793" s="2" t="s">
        <v>5864</v>
      </c>
      <c r="B7793" s="2" t="s">
        <v>247</v>
      </c>
      <c r="C7793" s="2">
        <v>5</v>
      </c>
      <c r="D7793" t="str">
        <f t="shared" si="121"/>
        <v>CA-2017-167661_OFF-BI-10002571</v>
      </c>
      <c r="E7793" t="str">
        <f>IF(COUNTIF(data1!$D:$D,D7793)=0,"Missing in Data1","Present")</f>
        <v>Present</v>
      </c>
    </row>
    <row r="7794" spans="1:5" x14ac:dyDescent="0.25">
      <c r="A7794" s="2" t="s">
        <v>5864</v>
      </c>
      <c r="B7794" s="2" t="s">
        <v>1376</v>
      </c>
      <c r="C7794" s="2">
        <v>2</v>
      </c>
      <c r="D7794" t="str">
        <f t="shared" si="121"/>
        <v>CA-2017-167661_OFF-PA-10002581</v>
      </c>
      <c r="E7794" t="str">
        <f>IF(COUNTIF(data1!$D:$D,D7794)=0,"Missing in Data1","Present")</f>
        <v>Present</v>
      </c>
    </row>
    <row r="7795" spans="1:5" x14ac:dyDescent="0.25">
      <c r="A7795" s="2" t="s">
        <v>5865</v>
      </c>
      <c r="B7795" s="2" t="s">
        <v>2582</v>
      </c>
      <c r="C7795" s="2">
        <v>4</v>
      </c>
      <c r="D7795" t="str">
        <f t="shared" si="121"/>
        <v>CA-2017-167668_OFF-LA-10004544</v>
      </c>
      <c r="E7795" t="str">
        <f>IF(COUNTIF(data1!$D:$D,D7795)=0,"Missing in Data1","Present")</f>
        <v>Present</v>
      </c>
    </row>
    <row r="7796" spans="1:5" x14ac:dyDescent="0.25">
      <c r="A7796" s="2" t="s">
        <v>5866</v>
      </c>
      <c r="B7796" s="2" t="s">
        <v>34</v>
      </c>
      <c r="C7796" s="2">
        <v>2</v>
      </c>
      <c r="D7796" t="str">
        <f t="shared" si="121"/>
        <v>CA-2017-167703_OFF-ST-10001490</v>
      </c>
      <c r="E7796" t="str">
        <f>IF(COUNTIF(data1!$D:$D,D7796)=0,"Missing in Data1","Present")</f>
        <v>Present</v>
      </c>
    </row>
    <row r="7797" spans="1:5" x14ac:dyDescent="0.25">
      <c r="A7797" s="2" t="s">
        <v>5867</v>
      </c>
      <c r="B7797" s="2" t="s">
        <v>3299</v>
      </c>
      <c r="C7797" s="2">
        <v>1</v>
      </c>
      <c r="D7797" t="str">
        <f t="shared" si="121"/>
        <v>CA-2017-167752_OFF-AP-10000159</v>
      </c>
      <c r="E7797" t="str">
        <f>IF(COUNTIF(data1!$D:$D,D7797)=0,"Missing in Data1","Present")</f>
        <v>Present</v>
      </c>
    </row>
    <row r="7798" spans="1:5" x14ac:dyDescent="0.25">
      <c r="A7798" s="2" t="s">
        <v>5867</v>
      </c>
      <c r="B7798" s="2" t="s">
        <v>1000</v>
      </c>
      <c r="C7798" s="2">
        <v>8</v>
      </c>
      <c r="D7798" t="str">
        <f t="shared" si="121"/>
        <v>CA-2017-167752_OFF-AP-10002945</v>
      </c>
      <c r="E7798" t="str">
        <f>IF(COUNTIF(data1!$D:$D,D7798)=0,"Missing in Data1","Present")</f>
        <v>Present</v>
      </c>
    </row>
    <row r="7799" spans="1:5" x14ac:dyDescent="0.25">
      <c r="A7799" s="2" t="s">
        <v>5868</v>
      </c>
      <c r="B7799" s="2" t="s">
        <v>219</v>
      </c>
      <c r="C7799" s="2">
        <v>1</v>
      </c>
      <c r="D7799" t="str">
        <f t="shared" si="121"/>
        <v>CA-2017-167871_OFF-SU-10001225</v>
      </c>
      <c r="E7799" t="str">
        <f>IF(COUNTIF(data1!$D:$D,D7799)=0,"Missing in Data1","Present")</f>
        <v>Present</v>
      </c>
    </row>
    <row r="7800" spans="1:5" x14ac:dyDescent="0.25">
      <c r="A7800" s="2" t="s">
        <v>5869</v>
      </c>
      <c r="B7800" s="2" t="s">
        <v>4399</v>
      </c>
      <c r="C7800" s="2">
        <v>5</v>
      </c>
      <c r="D7800" t="str">
        <f t="shared" si="121"/>
        <v>CA-2017-167899_FUR-FU-10004071</v>
      </c>
      <c r="E7800" t="str">
        <f>IF(COUNTIF(data1!$D:$D,D7800)=0,"Missing in Data1","Present")</f>
        <v>Present</v>
      </c>
    </row>
    <row r="7801" spans="1:5" x14ac:dyDescent="0.25">
      <c r="A7801" s="2" t="s">
        <v>5869</v>
      </c>
      <c r="B7801" s="2" t="s">
        <v>5252</v>
      </c>
      <c r="C7801" s="2">
        <v>3</v>
      </c>
      <c r="D7801" t="str">
        <f t="shared" si="121"/>
        <v>CA-2017-167899_OFF-AR-10001988</v>
      </c>
      <c r="E7801" t="str">
        <f>IF(COUNTIF(data1!$D:$D,D7801)=0,"Missing in Data1","Present")</f>
        <v>Present</v>
      </c>
    </row>
    <row r="7802" spans="1:5" x14ac:dyDescent="0.25">
      <c r="A7802" s="2" t="s">
        <v>5870</v>
      </c>
      <c r="B7802" s="2" t="s">
        <v>997</v>
      </c>
      <c r="C7802" s="2">
        <v>7</v>
      </c>
      <c r="D7802" t="str">
        <f t="shared" si="121"/>
        <v>CA-2017-167913_OFF-LA-10002787</v>
      </c>
      <c r="E7802" t="str">
        <f>IF(COUNTIF(data1!$D:$D,D7802)=0,"Missing in Data1","Present")</f>
        <v>Present</v>
      </c>
    </row>
    <row r="7803" spans="1:5" x14ac:dyDescent="0.25">
      <c r="A7803" s="2" t="s">
        <v>5870</v>
      </c>
      <c r="B7803" s="2" t="s">
        <v>254</v>
      </c>
      <c r="C7803" s="2">
        <v>2</v>
      </c>
      <c r="D7803" t="str">
        <f t="shared" si="121"/>
        <v>CA-2017-167913_OFF-ST-10000585</v>
      </c>
      <c r="E7803" t="str">
        <f>IF(COUNTIF(data1!$D:$D,D7803)=0,"Missing in Data1","Present")</f>
        <v>Present</v>
      </c>
    </row>
    <row r="7804" spans="1:5" x14ac:dyDescent="0.25">
      <c r="A7804" s="2" t="s">
        <v>5871</v>
      </c>
      <c r="B7804" s="2" t="s">
        <v>164</v>
      </c>
      <c r="C7804" s="2">
        <v>2</v>
      </c>
      <c r="D7804" t="str">
        <f t="shared" si="121"/>
        <v>CA-2017-167941_FUR-FU-10004671</v>
      </c>
      <c r="E7804" t="str">
        <f>IF(COUNTIF(data1!$D:$D,D7804)=0,"Missing in Data1","Present")</f>
        <v>Present</v>
      </c>
    </row>
    <row r="7805" spans="1:5" x14ac:dyDescent="0.25">
      <c r="A7805" s="2" t="s">
        <v>5871</v>
      </c>
      <c r="B7805" s="2" t="s">
        <v>563</v>
      </c>
      <c r="C7805" s="2">
        <v>3</v>
      </c>
      <c r="D7805" t="str">
        <f t="shared" si="121"/>
        <v>CA-2017-167941_OFF-AP-10002118</v>
      </c>
      <c r="E7805" t="str">
        <f>IF(COUNTIF(data1!$D:$D,D7805)=0,"Missing in Data1","Present")</f>
        <v>Present</v>
      </c>
    </row>
    <row r="7806" spans="1:5" x14ac:dyDescent="0.25">
      <c r="A7806" s="2" t="s">
        <v>5871</v>
      </c>
      <c r="B7806" s="2" t="s">
        <v>403</v>
      </c>
      <c r="C7806" s="2">
        <v>8</v>
      </c>
      <c r="D7806" t="str">
        <f t="shared" si="121"/>
        <v>CA-2017-167941_OFF-BI-10002827</v>
      </c>
      <c r="E7806" t="str">
        <f>IF(COUNTIF(data1!$D:$D,D7806)=0,"Missing in Data1","Present")</f>
        <v>Present</v>
      </c>
    </row>
    <row r="7807" spans="1:5" x14ac:dyDescent="0.25">
      <c r="A7807" s="2" t="s">
        <v>5871</v>
      </c>
      <c r="B7807" s="2" t="s">
        <v>854</v>
      </c>
      <c r="C7807" s="2">
        <v>6</v>
      </c>
      <c r="D7807" t="str">
        <f t="shared" si="121"/>
        <v>CA-2017-167941_OFF-PA-10001800</v>
      </c>
      <c r="E7807" t="str">
        <f>IF(COUNTIF(data1!$D:$D,D7807)=0,"Missing in Data1","Present")</f>
        <v>Present</v>
      </c>
    </row>
    <row r="7808" spans="1:5" x14ac:dyDescent="0.25">
      <c r="A7808" s="2" t="s">
        <v>5871</v>
      </c>
      <c r="B7808" s="2" t="s">
        <v>299</v>
      </c>
      <c r="C7808" s="2">
        <v>4</v>
      </c>
      <c r="D7808" t="str">
        <f t="shared" si="121"/>
        <v>CA-2017-167941_OFF-ST-10000736</v>
      </c>
      <c r="E7808" t="str">
        <f>IF(COUNTIF(data1!$D:$D,D7808)=0,"Missing in Data1","Present")</f>
        <v>Present</v>
      </c>
    </row>
    <row r="7809" spans="1:5" x14ac:dyDescent="0.25">
      <c r="A7809" s="2" t="s">
        <v>6850</v>
      </c>
      <c r="B7809" s="2" t="s">
        <v>656</v>
      </c>
      <c r="C7809" s="2">
        <v>3</v>
      </c>
      <c r="D7809" t="str">
        <f t="shared" si="121"/>
        <v>CA-2017-167976_OFF-SU-10004661</v>
      </c>
      <c r="E7809" t="str">
        <f>IF(COUNTIF(data1!$D:$D,D7809)=0,"Missing in Data1","Present")</f>
        <v>Missing in Data1</v>
      </c>
    </row>
    <row r="7810" spans="1:5" x14ac:dyDescent="0.25">
      <c r="A7810" s="2" t="s">
        <v>5872</v>
      </c>
      <c r="B7810" s="2" t="s">
        <v>559</v>
      </c>
      <c r="C7810" s="2">
        <v>2</v>
      </c>
      <c r="D7810" t="str">
        <f t="shared" si="121"/>
        <v>CA-2017-168102_OFF-ST-10001370</v>
      </c>
      <c r="E7810" t="str">
        <f>IF(COUNTIF(data1!$D:$D,D7810)=0,"Missing in Data1","Present")</f>
        <v>Present</v>
      </c>
    </row>
    <row r="7811" spans="1:5" x14ac:dyDescent="0.25">
      <c r="A7811" s="2" t="s">
        <v>5873</v>
      </c>
      <c r="B7811" s="2" t="s">
        <v>1053</v>
      </c>
      <c r="C7811" s="2">
        <v>4</v>
      </c>
      <c r="D7811" t="str">
        <f t="shared" ref="D7811:D7874" si="122">A7811&amp;"_"&amp;B7811</f>
        <v>CA-2017-168109_TEC-AC-10002049</v>
      </c>
      <c r="E7811" t="str">
        <f>IF(COUNTIF(data1!$D:$D,D7811)=0,"Missing in Data1","Present")</f>
        <v>Present</v>
      </c>
    </row>
    <row r="7812" spans="1:5" x14ac:dyDescent="0.25">
      <c r="A7812" s="2" t="s">
        <v>5873</v>
      </c>
      <c r="B7812" s="2" t="s">
        <v>131</v>
      </c>
      <c r="C7812" s="2">
        <v>2</v>
      </c>
      <c r="D7812" t="str">
        <f t="shared" si="122"/>
        <v>CA-2017-168109_TEC-AC-10003628</v>
      </c>
      <c r="E7812" t="str">
        <f>IF(COUNTIF(data1!$D:$D,D7812)=0,"Missing in Data1","Present")</f>
        <v>Present</v>
      </c>
    </row>
    <row r="7813" spans="1:5" x14ac:dyDescent="0.25">
      <c r="A7813" s="2" t="s">
        <v>5873</v>
      </c>
      <c r="B7813" s="2" t="s">
        <v>3157</v>
      </c>
      <c r="C7813" s="2">
        <v>6</v>
      </c>
      <c r="D7813" t="str">
        <f t="shared" si="122"/>
        <v>CA-2017-168109_TEC-MA-10001148</v>
      </c>
      <c r="E7813" t="str">
        <f>IF(COUNTIF(data1!$D:$D,D7813)=0,"Missing in Data1","Present")</f>
        <v>Present</v>
      </c>
    </row>
    <row r="7814" spans="1:5" x14ac:dyDescent="0.25">
      <c r="A7814" s="2" t="s">
        <v>5873</v>
      </c>
      <c r="B7814" s="2" t="s">
        <v>704</v>
      </c>
      <c r="C7814" s="2">
        <v>1</v>
      </c>
      <c r="D7814" t="str">
        <f t="shared" si="122"/>
        <v>CA-2017-168109_TEC-PH-10000702</v>
      </c>
      <c r="E7814" t="str">
        <f>IF(COUNTIF(data1!$D:$D,D7814)=0,"Missing in Data1","Present")</f>
        <v>Present</v>
      </c>
    </row>
    <row r="7815" spans="1:5" x14ac:dyDescent="0.25">
      <c r="A7815" s="2" t="s">
        <v>5874</v>
      </c>
      <c r="B7815" s="2" t="s">
        <v>921</v>
      </c>
      <c r="C7815" s="2">
        <v>2</v>
      </c>
      <c r="D7815" t="str">
        <f t="shared" si="122"/>
        <v>CA-2017-168123_OFF-BI-10001071</v>
      </c>
      <c r="E7815" t="str">
        <f>IF(COUNTIF(data1!$D:$D,D7815)=0,"Missing in Data1","Present")</f>
        <v>Present</v>
      </c>
    </row>
    <row r="7816" spans="1:5" x14ac:dyDescent="0.25">
      <c r="A7816" s="2" t="s">
        <v>5874</v>
      </c>
      <c r="B7816" s="2" t="s">
        <v>65</v>
      </c>
      <c r="C7816" s="2">
        <v>3</v>
      </c>
      <c r="D7816" t="str">
        <f t="shared" si="122"/>
        <v>CA-2017-168123_OFF-BI-10001097</v>
      </c>
      <c r="E7816" t="str">
        <f>IF(COUNTIF(data1!$D:$D,D7816)=0,"Missing in Data1","Present")</f>
        <v>Present</v>
      </c>
    </row>
    <row r="7817" spans="1:5" x14ac:dyDescent="0.25">
      <c r="A7817" s="2" t="s">
        <v>5874</v>
      </c>
      <c r="B7817" s="2" t="s">
        <v>454</v>
      </c>
      <c r="C7817" s="2">
        <v>2</v>
      </c>
      <c r="D7817" t="str">
        <f t="shared" si="122"/>
        <v>CA-2017-168123_OFF-FA-10002763</v>
      </c>
      <c r="E7817" t="str">
        <f>IF(COUNTIF(data1!$D:$D,D7817)=0,"Missing in Data1","Present")</f>
        <v>Present</v>
      </c>
    </row>
    <row r="7818" spans="1:5" x14ac:dyDescent="0.25">
      <c r="A7818" s="2" t="s">
        <v>5874</v>
      </c>
      <c r="B7818" s="2" t="s">
        <v>628</v>
      </c>
      <c r="C7818" s="2">
        <v>4</v>
      </c>
      <c r="D7818" t="str">
        <f t="shared" si="122"/>
        <v>CA-2017-168123_OFF-ST-10000877</v>
      </c>
      <c r="E7818" t="str">
        <f>IF(COUNTIF(data1!$D:$D,D7818)=0,"Missing in Data1","Present")</f>
        <v>Present</v>
      </c>
    </row>
    <row r="7819" spans="1:5" x14ac:dyDescent="0.25">
      <c r="A7819" s="2" t="s">
        <v>5875</v>
      </c>
      <c r="B7819" s="2" t="s">
        <v>1948</v>
      </c>
      <c r="C7819" s="2">
        <v>4</v>
      </c>
      <c r="D7819" t="str">
        <f t="shared" si="122"/>
        <v>CA-2017-168172_OFF-SU-10002573</v>
      </c>
      <c r="E7819" t="str">
        <f>IF(COUNTIF(data1!$D:$D,D7819)=0,"Missing in Data1","Present")</f>
        <v>Present</v>
      </c>
    </row>
    <row r="7820" spans="1:5" x14ac:dyDescent="0.25">
      <c r="A7820" s="2" t="s">
        <v>5876</v>
      </c>
      <c r="B7820" s="2" t="s">
        <v>854</v>
      </c>
      <c r="C7820" s="2">
        <v>3</v>
      </c>
      <c r="D7820" t="str">
        <f t="shared" si="122"/>
        <v>CA-2017-168179_OFF-PA-10001800</v>
      </c>
      <c r="E7820" t="str">
        <f>IF(COUNTIF(data1!$D:$D,D7820)=0,"Missing in Data1","Present")</f>
        <v>Present</v>
      </c>
    </row>
    <row r="7821" spans="1:5" x14ac:dyDescent="0.25">
      <c r="A7821" s="2" t="s">
        <v>5877</v>
      </c>
      <c r="B7821" s="2" t="s">
        <v>2577</v>
      </c>
      <c r="C7821" s="2">
        <v>3</v>
      </c>
      <c r="D7821" t="str">
        <f t="shared" si="122"/>
        <v>CA-2017-168193_FUR-FU-10002554</v>
      </c>
      <c r="E7821" t="str">
        <f>IF(COUNTIF(data1!$D:$D,D7821)=0,"Missing in Data1","Present")</f>
        <v>Present</v>
      </c>
    </row>
    <row r="7822" spans="1:5" x14ac:dyDescent="0.25">
      <c r="A7822" s="2" t="s">
        <v>5878</v>
      </c>
      <c r="B7822" s="2" t="s">
        <v>194</v>
      </c>
      <c r="C7822" s="2">
        <v>3</v>
      </c>
      <c r="D7822" t="str">
        <f t="shared" si="122"/>
        <v>CA-2017-168228_OFF-AR-10000390</v>
      </c>
      <c r="E7822" t="str">
        <f>IF(COUNTIF(data1!$D:$D,D7822)=0,"Missing in Data1","Present")</f>
        <v>Present</v>
      </c>
    </row>
    <row r="7823" spans="1:5" x14ac:dyDescent="0.25">
      <c r="A7823" s="2" t="s">
        <v>5878</v>
      </c>
      <c r="B7823" s="2" t="s">
        <v>429</v>
      </c>
      <c r="C7823" s="2">
        <v>2</v>
      </c>
      <c r="D7823" t="str">
        <f t="shared" si="122"/>
        <v>CA-2017-168228_OFF-AR-10001725</v>
      </c>
      <c r="E7823" t="str">
        <f>IF(COUNTIF(data1!$D:$D,D7823)=0,"Missing in Data1","Present")</f>
        <v>Present</v>
      </c>
    </row>
    <row r="7824" spans="1:5" x14ac:dyDescent="0.25">
      <c r="A7824" s="2" t="s">
        <v>5878</v>
      </c>
      <c r="B7824" s="2" t="s">
        <v>1700</v>
      </c>
      <c r="C7824" s="2">
        <v>4</v>
      </c>
      <c r="D7824" t="str">
        <f t="shared" si="122"/>
        <v>CA-2017-168228_OFF-AR-10003373</v>
      </c>
      <c r="E7824" t="str">
        <f>IF(COUNTIF(data1!$D:$D,D7824)=0,"Missing in Data1","Present")</f>
        <v>Present</v>
      </c>
    </row>
    <row r="7825" spans="1:5" x14ac:dyDescent="0.25">
      <c r="A7825" s="2" t="s">
        <v>5879</v>
      </c>
      <c r="B7825" s="2" t="s">
        <v>1119</v>
      </c>
      <c r="C7825" s="2">
        <v>1</v>
      </c>
      <c r="D7825" t="str">
        <f t="shared" si="122"/>
        <v>CA-2017-168389_FUR-CH-10000225</v>
      </c>
      <c r="E7825" t="str">
        <f>IF(COUNTIF(data1!$D:$D,D7825)=0,"Missing in Data1","Present")</f>
        <v>Present</v>
      </c>
    </row>
    <row r="7826" spans="1:5" x14ac:dyDescent="0.25">
      <c r="A7826" s="2" t="s">
        <v>5879</v>
      </c>
      <c r="B7826" s="2" t="s">
        <v>1057</v>
      </c>
      <c r="C7826" s="2">
        <v>6</v>
      </c>
      <c r="D7826" t="str">
        <f t="shared" si="122"/>
        <v>CA-2017-168389_FUR-TA-10004289</v>
      </c>
      <c r="E7826" t="str">
        <f>IF(COUNTIF(data1!$D:$D,D7826)=0,"Missing in Data1","Present")</f>
        <v>Present</v>
      </c>
    </row>
    <row r="7827" spans="1:5" x14ac:dyDescent="0.25">
      <c r="A7827" s="2" t="s">
        <v>5879</v>
      </c>
      <c r="B7827" s="2" t="s">
        <v>3156</v>
      </c>
      <c r="C7827" s="2">
        <v>1</v>
      </c>
      <c r="D7827" t="str">
        <f t="shared" si="122"/>
        <v>CA-2017-168389_OFF-AR-10001958</v>
      </c>
      <c r="E7827" t="str">
        <f>IF(COUNTIF(data1!$D:$D,D7827)=0,"Missing in Data1","Present")</f>
        <v>Present</v>
      </c>
    </row>
    <row r="7828" spans="1:5" x14ac:dyDescent="0.25">
      <c r="A7828" s="2" t="s">
        <v>5879</v>
      </c>
      <c r="B7828" s="2" t="s">
        <v>2452</v>
      </c>
      <c r="C7828" s="2">
        <v>4</v>
      </c>
      <c r="D7828" t="str">
        <f t="shared" si="122"/>
        <v>CA-2017-168389_TEC-PH-10003555</v>
      </c>
      <c r="E7828" t="str">
        <f>IF(COUNTIF(data1!$D:$D,D7828)=0,"Missing in Data1","Present")</f>
        <v>Present</v>
      </c>
    </row>
    <row r="7829" spans="1:5" x14ac:dyDescent="0.25">
      <c r="A7829" s="2" t="s">
        <v>5880</v>
      </c>
      <c r="B7829" s="2" t="s">
        <v>160</v>
      </c>
      <c r="C7829" s="2">
        <v>3</v>
      </c>
      <c r="D7829" t="str">
        <f t="shared" si="122"/>
        <v>CA-2017-168396_FUR-FU-10000723</v>
      </c>
      <c r="E7829" t="str">
        <f>IF(COUNTIF(data1!$D:$D,D7829)=0,"Missing in Data1","Present")</f>
        <v>Present</v>
      </c>
    </row>
    <row r="7830" spans="1:5" x14ac:dyDescent="0.25">
      <c r="A7830" s="2" t="s">
        <v>5880</v>
      </c>
      <c r="B7830" s="2" t="s">
        <v>3420</v>
      </c>
      <c r="C7830" s="2">
        <v>5</v>
      </c>
      <c r="D7830" t="str">
        <f t="shared" si="122"/>
        <v>CA-2017-168396_OFF-LA-10001297</v>
      </c>
      <c r="E7830" t="str">
        <f>IF(COUNTIF(data1!$D:$D,D7830)=0,"Missing in Data1","Present")</f>
        <v>Present</v>
      </c>
    </row>
    <row r="7831" spans="1:5" x14ac:dyDescent="0.25">
      <c r="A7831" s="2" t="s">
        <v>5881</v>
      </c>
      <c r="B7831" s="2" t="s">
        <v>1027</v>
      </c>
      <c r="C7831" s="2">
        <v>1</v>
      </c>
      <c r="D7831" t="str">
        <f t="shared" si="122"/>
        <v>CA-2017-168403_OFF-AP-10003278</v>
      </c>
      <c r="E7831" t="str">
        <f>IF(COUNTIF(data1!$D:$D,D7831)=0,"Missing in Data1","Present")</f>
        <v>Present</v>
      </c>
    </row>
    <row r="7832" spans="1:5" x14ac:dyDescent="0.25">
      <c r="A7832" s="2" t="s">
        <v>5881</v>
      </c>
      <c r="B7832" s="2" t="s">
        <v>2410</v>
      </c>
      <c r="C7832" s="2">
        <v>6</v>
      </c>
      <c r="D7832" t="str">
        <f t="shared" si="122"/>
        <v>CA-2017-168403_OFF-PA-10002036</v>
      </c>
      <c r="E7832" t="str">
        <f>IF(COUNTIF(data1!$D:$D,D7832)=0,"Missing in Data1","Present")</f>
        <v>Present</v>
      </c>
    </row>
    <row r="7833" spans="1:5" x14ac:dyDescent="0.25">
      <c r="A7833" s="2" t="s">
        <v>5882</v>
      </c>
      <c r="B7833" s="2" t="s">
        <v>5249</v>
      </c>
      <c r="C7833" s="2">
        <v>2</v>
      </c>
      <c r="D7833" t="str">
        <f t="shared" si="122"/>
        <v>CA-2017-168641_FUR-BO-10000780</v>
      </c>
      <c r="E7833" t="str">
        <f>IF(COUNTIF(data1!$D:$D,D7833)=0,"Missing in Data1","Present")</f>
        <v>Present</v>
      </c>
    </row>
    <row r="7834" spans="1:5" x14ac:dyDescent="0.25">
      <c r="A7834" s="2" t="s">
        <v>5882</v>
      </c>
      <c r="B7834" s="2" t="s">
        <v>2034</v>
      </c>
      <c r="C7834" s="2">
        <v>9</v>
      </c>
      <c r="D7834" t="str">
        <f t="shared" si="122"/>
        <v>CA-2017-168641_OFF-AR-10003759</v>
      </c>
      <c r="E7834" t="str">
        <f>IF(COUNTIF(data1!$D:$D,D7834)=0,"Missing in Data1","Present")</f>
        <v>Present</v>
      </c>
    </row>
    <row r="7835" spans="1:5" x14ac:dyDescent="0.25">
      <c r="A7835" s="2" t="s">
        <v>5882</v>
      </c>
      <c r="B7835" s="2" t="s">
        <v>917</v>
      </c>
      <c r="C7835" s="2">
        <v>2</v>
      </c>
      <c r="D7835" t="str">
        <f t="shared" si="122"/>
        <v>CA-2017-168641_OFF-EN-10003001</v>
      </c>
      <c r="E7835" t="str">
        <f>IF(COUNTIF(data1!$D:$D,D7835)=0,"Missing in Data1","Present")</f>
        <v>Present</v>
      </c>
    </row>
    <row r="7836" spans="1:5" x14ac:dyDescent="0.25">
      <c r="A7836" s="2" t="s">
        <v>5882</v>
      </c>
      <c r="B7836" s="2" t="s">
        <v>1431</v>
      </c>
      <c r="C7836" s="2">
        <v>2</v>
      </c>
      <c r="D7836" t="str">
        <f t="shared" si="122"/>
        <v>CA-2017-168641_OFF-PA-10001972</v>
      </c>
      <c r="E7836" t="str">
        <f>IF(COUNTIF(data1!$D:$D,D7836)=0,"Missing in Data1","Present")</f>
        <v>Present</v>
      </c>
    </row>
    <row r="7837" spans="1:5" x14ac:dyDescent="0.25">
      <c r="A7837" s="2" t="s">
        <v>5883</v>
      </c>
      <c r="B7837" s="2" t="s">
        <v>1961</v>
      </c>
      <c r="C7837" s="2">
        <v>3</v>
      </c>
      <c r="D7837" t="str">
        <f t="shared" si="122"/>
        <v>CA-2017-168655_OFF-BI-10002082</v>
      </c>
      <c r="E7837" t="str">
        <f>IF(COUNTIF(data1!$D:$D,D7837)=0,"Missing in Data1","Present")</f>
        <v>Present</v>
      </c>
    </row>
    <row r="7838" spans="1:5" x14ac:dyDescent="0.25">
      <c r="A7838" s="2" t="s">
        <v>5883</v>
      </c>
      <c r="B7838" s="2" t="s">
        <v>345</v>
      </c>
      <c r="C7838" s="2">
        <v>5</v>
      </c>
      <c r="D7838" t="str">
        <f t="shared" si="122"/>
        <v>CA-2017-168655_TEC-AC-10002842</v>
      </c>
      <c r="E7838" t="str">
        <f>IF(COUNTIF(data1!$D:$D,D7838)=0,"Missing in Data1","Present")</f>
        <v>Present</v>
      </c>
    </row>
    <row r="7839" spans="1:5" x14ac:dyDescent="0.25">
      <c r="A7839" s="2" t="s">
        <v>5884</v>
      </c>
      <c r="B7839" s="2" t="s">
        <v>3207</v>
      </c>
      <c r="C7839" s="2">
        <v>4</v>
      </c>
      <c r="D7839" t="str">
        <f t="shared" si="122"/>
        <v>CA-2017-168739_FUR-FU-10003919</v>
      </c>
      <c r="E7839" t="str">
        <f>IF(COUNTIF(data1!$D:$D,D7839)=0,"Missing in Data1","Present")</f>
        <v>Present</v>
      </c>
    </row>
    <row r="7840" spans="1:5" x14ac:dyDescent="0.25">
      <c r="A7840" s="2" t="s">
        <v>5885</v>
      </c>
      <c r="B7840" s="2" t="s">
        <v>1260</v>
      </c>
      <c r="C7840" s="2">
        <v>2</v>
      </c>
      <c r="D7840" t="str">
        <f t="shared" si="122"/>
        <v>CA-2017-168837_FUR-FU-10001918</v>
      </c>
      <c r="E7840" t="str">
        <f>IF(COUNTIF(data1!$D:$D,D7840)=0,"Missing in Data1","Present")</f>
        <v>Present</v>
      </c>
    </row>
    <row r="7841" spans="1:5" x14ac:dyDescent="0.25">
      <c r="A7841" s="2" t="s">
        <v>5886</v>
      </c>
      <c r="B7841" s="2" t="s">
        <v>2130</v>
      </c>
      <c r="C7841" s="2">
        <v>7</v>
      </c>
      <c r="D7841" t="str">
        <f t="shared" si="122"/>
        <v>CA-2017-168858_OFF-AP-10003849</v>
      </c>
      <c r="E7841" t="str">
        <f>IF(COUNTIF(data1!$D:$D,D7841)=0,"Missing in Data1","Present")</f>
        <v>Present</v>
      </c>
    </row>
    <row r="7842" spans="1:5" x14ac:dyDescent="0.25">
      <c r="A7842" s="2" t="s">
        <v>5886</v>
      </c>
      <c r="B7842" s="2" t="s">
        <v>439</v>
      </c>
      <c r="C7842" s="2">
        <v>3</v>
      </c>
      <c r="D7842" t="str">
        <f t="shared" si="122"/>
        <v>CA-2017-168858_OFF-EN-10001415</v>
      </c>
      <c r="E7842" t="str">
        <f>IF(COUNTIF(data1!$D:$D,D7842)=0,"Missing in Data1","Present")</f>
        <v>Present</v>
      </c>
    </row>
    <row r="7843" spans="1:5" x14ac:dyDescent="0.25">
      <c r="A7843" s="2" t="s">
        <v>5887</v>
      </c>
      <c r="B7843" s="2" t="s">
        <v>546</v>
      </c>
      <c r="C7843" s="2">
        <v>1</v>
      </c>
      <c r="D7843" t="str">
        <f t="shared" si="122"/>
        <v>CA-2017-168900_OFF-BI-10003910</v>
      </c>
      <c r="E7843" t="str">
        <f>IF(COUNTIF(data1!$D:$D,D7843)=0,"Missing in Data1","Present")</f>
        <v>Present</v>
      </c>
    </row>
    <row r="7844" spans="1:5" x14ac:dyDescent="0.25">
      <c r="A7844" s="2" t="s">
        <v>5888</v>
      </c>
      <c r="B7844" s="2" t="s">
        <v>1360</v>
      </c>
      <c r="C7844" s="2">
        <v>3</v>
      </c>
      <c r="D7844" t="str">
        <f t="shared" si="122"/>
        <v>CA-2017-168942_OFF-ST-10004340</v>
      </c>
      <c r="E7844" t="str">
        <f>IF(COUNTIF(data1!$D:$D,D7844)=0,"Missing in Data1","Present")</f>
        <v>Present</v>
      </c>
    </row>
    <row r="7845" spans="1:5" x14ac:dyDescent="0.25">
      <c r="A7845" s="2" t="s">
        <v>5889</v>
      </c>
      <c r="B7845" s="2" t="s">
        <v>3864</v>
      </c>
      <c r="C7845" s="2">
        <v>2</v>
      </c>
      <c r="D7845" t="str">
        <f t="shared" si="122"/>
        <v>CA-2017-169005_OFF-AR-10000246</v>
      </c>
      <c r="E7845" t="str">
        <f>IF(COUNTIF(data1!$D:$D,D7845)=0,"Missing in Data1","Present")</f>
        <v>Present</v>
      </c>
    </row>
    <row r="7846" spans="1:5" x14ac:dyDescent="0.25">
      <c r="A7846" s="2" t="s">
        <v>5891</v>
      </c>
      <c r="B7846" s="2" t="s">
        <v>3455</v>
      </c>
      <c r="C7846" s="2">
        <v>3</v>
      </c>
      <c r="D7846" t="str">
        <f t="shared" si="122"/>
        <v>CA-2017-169054_FUR-FU-10001488</v>
      </c>
      <c r="E7846" t="str">
        <f>IF(COUNTIF(data1!$D:$D,D7846)=0,"Missing in Data1","Present")</f>
        <v>Present</v>
      </c>
    </row>
    <row r="7847" spans="1:5" x14ac:dyDescent="0.25">
      <c r="A7847" s="2" t="s">
        <v>5892</v>
      </c>
      <c r="B7847" s="2" t="s">
        <v>2776</v>
      </c>
      <c r="C7847" s="2">
        <v>3</v>
      </c>
      <c r="D7847" t="str">
        <f t="shared" si="122"/>
        <v>CA-2017-169124_FUR-FU-10001215</v>
      </c>
      <c r="E7847" t="str">
        <f>IF(COUNTIF(data1!$D:$D,D7847)=0,"Missing in Data1","Present")</f>
        <v>Present</v>
      </c>
    </row>
    <row r="7848" spans="1:5" x14ac:dyDescent="0.25">
      <c r="A7848" s="2" t="s">
        <v>5893</v>
      </c>
      <c r="B7848" s="2" t="s">
        <v>3864</v>
      </c>
      <c r="C7848" s="2">
        <v>6</v>
      </c>
      <c r="D7848" t="str">
        <f t="shared" si="122"/>
        <v>CA-2017-169264_OFF-AR-10000246</v>
      </c>
      <c r="E7848" t="str">
        <f>IF(COUNTIF(data1!$D:$D,D7848)=0,"Missing in Data1","Present")</f>
        <v>Present</v>
      </c>
    </row>
    <row r="7849" spans="1:5" x14ac:dyDescent="0.25">
      <c r="A7849" s="2" t="s">
        <v>5893</v>
      </c>
      <c r="B7849" s="2" t="s">
        <v>776</v>
      </c>
      <c r="C7849" s="2">
        <v>2</v>
      </c>
      <c r="D7849" t="str">
        <f t="shared" si="122"/>
        <v>CA-2017-169264_OFF-LA-10001613</v>
      </c>
      <c r="E7849" t="str">
        <f>IF(COUNTIF(data1!$D:$D,D7849)=0,"Missing in Data1","Present")</f>
        <v>Missing in Data1</v>
      </c>
    </row>
    <row r="7850" spans="1:5" x14ac:dyDescent="0.25">
      <c r="A7850" s="2" t="s">
        <v>5894</v>
      </c>
      <c r="B7850" s="2" t="s">
        <v>477</v>
      </c>
      <c r="C7850" s="2">
        <v>5</v>
      </c>
      <c r="D7850" t="str">
        <f t="shared" si="122"/>
        <v>CA-2017-169285_OFF-PA-10004071</v>
      </c>
      <c r="E7850" t="str">
        <f>IF(COUNTIF(data1!$D:$D,D7850)=0,"Missing in Data1","Present")</f>
        <v>Present</v>
      </c>
    </row>
    <row r="7851" spans="1:5" x14ac:dyDescent="0.25">
      <c r="A7851" s="2" t="s">
        <v>5894</v>
      </c>
      <c r="B7851" s="2" t="s">
        <v>2528</v>
      </c>
      <c r="C7851" s="2">
        <v>1</v>
      </c>
      <c r="D7851" t="str">
        <f t="shared" si="122"/>
        <v>CA-2017-169285_OFF-PA-10004971</v>
      </c>
      <c r="E7851" t="str">
        <f>IF(COUNTIF(data1!$D:$D,D7851)=0,"Missing in Data1","Present")</f>
        <v>Present</v>
      </c>
    </row>
    <row r="7852" spans="1:5" x14ac:dyDescent="0.25">
      <c r="A7852" s="2" t="s">
        <v>5895</v>
      </c>
      <c r="B7852" s="2" t="s">
        <v>1357</v>
      </c>
      <c r="C7852" s="2">
        <v>5</v>
      </c>
      <c r="D7852" t="str">
        <f t="shared" si="122"/>
        <v>CA-2017-169327_FUR-FU-10004188</v>
      </c>
      <c r="E7852" t="str">
        <f>IF(COUNTIF(data1!$D:$D,D7852)=0,"Missing in Data1","Present")</f>
        <v>Present</v>
      </c>
    </row>
    <row r="7853" spans="1:5" x14ac:dyDescent="0.25">
      <c r="A7853" s="2" t="s">
        <v>5895</v>
      </c>
      <c r="B7853" s="2" t="s">
        <v>1310</v>
      </c>
      <c r="C7853" s="2">
        <v>5</v>
      </c>
      <c r="D7853" t="str">
        <f t="shared" si="122"/>
        <v>CA-2017-169327_OFF-AP-10001492</v>
      </c>
      <c r="E7853" t="str">
        <f>IF(COUNTIF(data1!$D:$D,D7853)=0,"Missing in Data1","Present")</f>
        <v>Present</v>
      </c>
    </row>
    <row r="7854" spans="1:5" x14ac:dyDescent="0.25">
      <c r="A7854" s="2" t="s">
        <v>5895</v>
      </c>
      <c r="B7854" s="2" t="s">
        <v>2193</v>
      </c>
      <c r="C7854" s="2">
        <v>5</v>
      </c>
      <c r="D7854" t="str">
        <f t="shared" si="122"/>
        <v>CA-2017-169327_OFF-BI-10004330</v>
      </c>
      <c r="E7854" t="str">
        <f>IF(COUNTIF(data1!$D:$D,D7854)=0,"Missing in Data1","Present")</f>
        <v>Present</v>
      </c>
    </row>
    <row r="7855" spans="1:5" x14ac:dyDescent="0.25">
      <c r="A7855" s="2" t="s">
        <v>5896</v>
      </c>
      <c r="B7855" s="2" t="s">
        <v>1017</v>
      </c>
      <c r="C7855" s="2">
        <v>2</v>
      </c>
      <c r="D7855" t="str">
        <f t="shared" si="122"/>
        <v>CA-2017-169362_TEC-AC-10001383</v>
      </c>
      <c r="E7855" t="str">
        <f>IF(COUNTIF(data1!$D:$D,D7855)=0,"Missing in Data1","Present")</f>
        <v>Present</v>
      </c>
    </row>
    <row r="7856" spans="1:5" x14ac:dyDescent="0.25">
      <c r="A7856" s="2" t="s">
        <v>5897</v>
      </c>
      <c r="B7856" s="2" t="s">
        <v>2041</v>
      </c>
      <c r="C7856" s="2">
        <v>4</v>
      </c>
      <c r="D7856" t="str">
        <f t="shared" si="122"/>
        <v>CA-2017-169404_OFF-BI-10004492</v>
      </c>
      <c r="E7856" t="str">
        <f>IF(COUNTIF(data1!$D:$D,D7856)=0,"Missing in Data1","Present")</f>
        <v>Present</v>
      </c>
    </row>
    <row r="7857" spans="1:5" x14ac:dyDescent="0.25">
      <c r="A7857" s="2" t="s">
        <v>5897</v>
      </c>
      <c r="B7857" s="2" t="s">
        <v>1435</v>
      </c>
      <c r="C7857" s="2">
        <v>2</v>
      </c>
      <c r="D7857" t="str">
        <f t="shared" si="122"/>
        <v>CA-2017-169404_OFF-PA-10001033</v>
      </c>
      <c r="E7857" t="str">
        <f>IF(COUNTIF(data1!$D:$D,D7857)=0,"Missing in Data1","Present")</f>
        <v>Present</v>
      </c>
    </row>
    <row r="7858" spans="1:5" x14ac:dyDescent="0.25">
      <c r="A7858" s="2" t="s">
        <v>6851</v>
      </c>
      <c r="B7858" s="2" t="s">
        <v>1448</v>
      </c>
      <c r="C7858" s="2">
        <v>1</v>
      </c>
      <c r="D7858" t="str">
        <f t="shared" si="122"/>
        <v>CA-2017-169411_FUR-FU-10001602</v>
      </c>
      <c r="E7858" t="str">
        <f>IF(COUNTIF(data1!$D:$D,D7858)=0,"Missing in Data1","Present")</f>
        <v>Missing in Data1</v>
      </c>
    </row>
    <row r="7859" spans="1:5" x14ac:dyDescent="0.25">
      <c r="A7859" s="2" t="s">
        <v>5898</v>
      </c>
      <c r="B7859" s="2" t="s">
        <v>160</v>
      </c>
      <c r="C7859" s="2">
        <v>2</v>
      </c>
      <c r="D7859" t="str">
        <f t="shared" si="122"/>
        <v>CA-2017-169439_FUR-FU-10000723</v>
      </c>
      <c r="E7859" t="str">
        <f>IF(COUNTIF(data1!$D:$D,D7859)=0,"Missing in Data1","Present")</f>
        <v>Present</v>
      </c>
    </row>
    <row r="7860" spans="1:5" x14ac:dyDescent="0.25">
      <c r="A7860" s="2" t="s">
        <v>5898</v>
      </c>
      <c r="B7860" s="2" t="s">
        <v>333</v>
      </c>
      <c r="C7860" s="2">
        <v>5</v>
      </c>
      <c r="D7860" t="str">
        <f t="shared" si="122"/>
        <v>CA-2017-169439_OFF-AR-10001374</v>
      </c>
      <c r="E7860" t="str">
        <f>IF(COUNTIF(data1!$D:$D,D7860)=0,"Missing in Data1","Present")</f>
        <v>Missing in Data1</v>
      </c>
    </row>
    <row r="7861" spans="1:5" x14ac:dyDescent="0.25">
      <c r="A7861" s="2" t="s">
        <v>5899</v>
      </c>
      <c r="B7861" s="2" t="s">
        <v>2346</v>
      </c>
      <c r="C7861" s="2">
        <v>3</v>
      </c>
      <c r="D7861" t="str">
        <f t="shared" si="122"/>
        <v>CA-2017-169474_OFF-AP-10003971</v>
      </c>
      <c r="E7861" t="str">
        <f>IF(COUNTIF(data1!$D:$D,D7861)=0,"Missing in Data1","Present")</f>
        <v>Present</v>
      </c>
    </row>
    <row r="7862" spans="1:5" x14ac:dyDescent="0.25">
      <c r="A7862" s="2" t="s">
        <v>6852</v>
      </c>
      <c r="B7862" s="2" t="s">
        <v>250</v>
      </c>
      <c r="C7862" s="2">
        <v>2</v>
      </c>
      <c r="D7862" t="str">
        <f t="shared" si="122"/>
        <v>CA-2017-169607_OFF-PA-10000477</v>
      </c>
      <c r="E7862" t="str">
        <f>IF(COUNTIF(data1!$D:$D,D7862)=0,"Missing in Data1","Present")</f>
        <v>Missing in Data1</v>
      </c>
    </row>
    <row r="7863" spans="1:5" x14ac:dyDescent="0.25">
      <c r="A7863" s="2" t="s">
        <v>5900</v>
      </c>
      <c r="B7863" s="2" t="s">
        <v>1044</v>
      </c>
      <c r="C7863" s="2">
        <v>3</v>
      </c>
      <c r="D7863" t="str">
        <f t="shared" si="122"/>
        <v>CA-2017-169691_OFF-LA-10002312</v>
      </c>
      <c r="E7863" t="str">
        <f>IF(COUNTIF(data1!$D:$D,D7863)=0,"Missing in Data1","Present")</f>
        <v>Present</v>
      </c>
    </row>
    <row r="7864" spans="1:5" x14ac:dyDescent="0.25">
      <c r="A7864" s="2" t="s">
        <v>5900</v>
      </c>
      <c r="B7864" s="2" t="s">
        <v>1469</v>
      </c>
      <c r="C7864" s="2">
        <v>3</v>
      </c>
      <c r="D7864" t="str">
        <f t="shared" si="122"/>
        <v>CA-2017-169691_OFF-PA-10003022</v>
      </c>
      <c r="E7864" t="str">
        <f>IF(COUNTIF(data1!$D:$D,D7864)=0,"Missing in Data1","Present")</f>
        <v>Present</v>
      </c>
    </row>
    <row r="7865" spans="1:5" x14ac:dyDescent="0.25">
      <c r="A7865" s="2" t="s">
        <v>5901</v>
      </c>
      <c r="B7865" s="2" t="s">
        <v>3873</v>
      </c>
      <c r="C7865" s="2">
        <v>7</v>
      </c>
      <c r="D7865" t="str">
        <f t="shared" si="122"/>
        <v>CA-2017-169810_OFF-LA-10003663</v>
      </c>
      <c r="E7865" t="str">
        <f>IF(COUNTIF(data1!$D:$D,D7865)=0,"Missing in Data1","Present")</f>
        <v>Present</v>
      </c>
    </row>
    <row r="7866" spans="1:5" x14ac:dyDescent="0.25">
      <c r="A7866" s="2" t="s">
        <v>6853</v>
      </c>
      <c r="B7866" s="2" t="s">
        <v>276</v>
      </c>
      <c r="C7866" s="2">
        <v>2</v>
      </c>
      <c r="D7866" t="str">
        <f t="shared" si="122"/>
        <v>CA-2017-169817_OFF-BI-10004141</v>
      </c>
      <c r="E7866" t="str">
        <f>IF(COUNTIF(data1!$D:$D,D7866)=0,"Missing in Data1","Present")</f>
        <v>Missing in Data1</v>
      </c>
    </row>
    <row r="7867" spans="1:5" x14ac:dyDescent="0.25">
      <c r="A7867" s="2" t="s">
        <v>5902</v>
      </c>
      <c r="B7867" s="2" t="s">
        <v>3616</v>
      </c>
      <c r="C7867" s="2">
        <v>3</v>
      </c>
      <c r="D7867" t="str">
        <f t="shared" si="122"/>
        <v>CA-2017-169859_FUR-FU-10004963</v>
      </c>
      <c r="E7867" t="str">
        <f>IF(COUNTIF(data1!$D:$D,D7867)=0,"Missing in Data1","Present")</f>
        <v>Present</v>
      </c>
    </row>
    <row r="7868" spans="1:5" x14ac:dyDescent="0.25">
      <c r="A7868" s="2" t="s">
        <v>5902</v>
      </c>
      <c r="B7868" s="2" t="s">
        <v>423</v>
      </c>
      <c r="C7868" s="2">
        <v>14</v>
      </c>
      <c r="D7868" t="str">
        <f t="shared" si="122"/>
        <v>CA-2017-169859_OFF-BI-10000174</v>
      </c>
      <c r="E7868" t="str">
        <f>IF(COUNTIF(data1!$D:$D,D7868)=0,"Missing in Data1","Present")</f>
        <v>Present</v>
      </c>
    </row>
    <row r="7869" spans="1:5" x14ac:dyDescent="0.25">
      <c r="A7869" s="2" t="s">
        <v>5902</v>
      </c>
      <c r="B7869" s="2" t="s">
        <v>1855</v>
      </c>
      <c r="C7869" s="2">
        <v>5</v>
      </c>
      <c r="D7869" t="str">
        <f t="shared" si="122"/>
        <v>CA-2017-169859_OFF-EN-10000461</v>
      </c>
      <c r="E7869" t="str">
        <f>IF(COUNTIF(data1!$D:$D,D7869)=0,"Missing in Data1","Present")</f>
        <v>Present</v>
      </c>
    </row>
    <row r="7870" spans="1:5" x14ac:dyDescent="0.25">
      <c r="A7870" s="2" t="s">
        <v>5903</v>
      </c>
      <c r="B7870" s="2" t="s">
        <v>2918</v>
      </c>
      <c r="C7870" s="2">
        <v>8</v>
      </c>
      <c r="D7870" t="str">
        <f t="shared" si="122"/>
        <v>CA-2017-169894_OFF-ST-10000060</v>
      </c>
      <c r="E7870" t="str">
        <f>IF(COUNTIF(data1!$D:$D,D7870)=0,"Missing in Data1","Present")</f>
        <v>Present</v>
      </c>
    </row>
    <row r="7871" spans="1:5" x14ac:dyDescent="0.25">
      <c r="A7871" s="2" t="s">
        <v>5904</v>
      </c>
      <c r="B7871" s="2" t="s">
        <v>3106</v>
      </c>
      <c r="C7871" s="2">
        <v>3</v>
      </c>
      <c r="D7871" t="str">
        <f t="shared" si="122"/>
        <v>CA-2017-169901_TEC-PH-10002293</v>
      </c>
      <c r="E7871" t="str">
        <f>IF(COUNTIF(data1!$D:$D,D7871)=0,"Missing in Data1","Present")</f>
        <v>Present</v>
      </c>
    </row>
    <row r="7872" spans="1:5" x14ac:dyDescent="0.25">
      <c r="A7872" s="2" t="s">
        <v>5905</v>
      </c>
      <c r="B7872" s="2" t="s">
        <v>1579</v>
      </c>
      <c r="C7872" s="2">
        <v>5</v>
      </c>
      <c r="D7872" t="str">
        <f t="shared" si="122"/>
        <v>CA-2017-169929_OFF-ST-10002352</v>
      </c>
      <c r="E7872" t="str">
        <f>IF(COUNTIF(data1!$D:$D,D7872)=0,"Missing in Data1","Present")</f>
        <v>Present</v>
      </c>
    </row>
    <row r="7873" spans="1:5" x14ac:dyDescent="0.25">
      <c r="A7873" s="2" t="s">
        <v>5906</v>
      </c>
      <c r="B7873" s="2" t="s">
        <v>16</v>
      </c>
      <c r="C7873" s="2">
        <v>2</v>
      </c>
      <c r="D7873" t="str">
        <f t="shared" si="122"/>
        <v>CA-2017-169978_FUR-CH-10002602</v>
      </c>
      <c r="E7873" t="str">
        <f>IF(COUNTIF(data1!$D:$D,D7873)=0,"Missing in Data1","Present")</f>
        <v>Present</v>
      </c>
    </row>
    <row r="7874" spans="1:5" x14ac:dyDescent="0.25">
      <c r="A7874" s="2" t="s">
        <v>5906</v>
      </c>
      <c r="B7874" s="2" t="s">
        <v>2483</v>
      </c>
      <c r="C7874" s="2">
        <v>3</v>
      </c>
      <c r="D7874" t="str">
        <f t="shared" si="122"/>
        <v>CA-2017-169978_OFF-BI-10001900</v>
      </c>
      <c r="E7874" t="str">
        <f>IF(COUNTIF(data1!$D:$D,D7874)=0,"Missing in Data1","Present")</f>
        <v>Present</v>
      </c>
    </row>
    <row r="7875" spans="1:5" x14ac:dyDescent="0.25">
      <c r="A7875" s="2" t="s">
        <v>5907</v>
      </c>
      <c r="B7875" s="2" t="s">
        <v>1680</v>
      </c>
      <c r="C7875" s="2">
        <v>3</v>
      </c>
      <c r="D7875" t="str">
        <f t="shared" ref="D7875:D7938" si="123">A7875&amp;"_"&amp;B7875</f>
        <v>CA-2017-169999_OFF-BI-10004728</v>
      </c>
      <c r="E7875" t="str">
        <f>IF(COUNTIF(data1!$D:$D,D7875)=0,"Missing in Data1","Present")</f>
        <v>Present</v>
      </c>
    </row>
    <row r="7876" spans="1:5" x14ac:dyDescent="0.25">
      <c r="A7876" s="2" t="s">
        <v>5907</v>
      </c>
      <c r="B7876" s="2" t="s">
        <v>81</v>
      </c>
      <c r="C7876" s="2">
        <v>2</v>
      </c>
      <c r="D7876" t="str">
        <f t="shared" si="123"/>
        <v>CA-2017-169999_OFF-ST-10001511</v>
      </c>
      <c r="E7876" t="str">
        <f>IF(COUNTIF(data1!$D:$D,D7876)=0,"Missing in Data1","Present")</f>
        <v>Present</v>
      </c>
    </row>
    <row r="7877" spans="1:5" x14ac:dyDescent="0.25">
      <c r="A7877" s="2" t="s">
        <v>5908</v>
      </c>
      <c r="B7877" s="2" t="s">
        <v>1336</v>
      </c>
      <c r="C7877" s="2">
        <v>2</v>
      </c>
      <c r="D7877" t="str">
        <f t="shared" si="123"/>
        <v>US-2014-100279_OFF-PA-10002259</v>
      </c>
      <c r="E7877" t="str">
        <f>IF(COUNTIF(data1!$D:$D,D7877)=0,"Missing in Data1","Present")</f>
        <v>Present</v>
      </c>
    </row>
    <row r="7878" spans="1:5" x14ac:dyDescent="0.25">
      <c r="A7878" s="2" t="s">
        <v>5909</v>
      </c>
      <c r="B7878" s="2" t="s">
        <v>3826</v>
      </c>
      <c r="C7878" s="2">
        <v>2</v>
      </c>
      <c r="D7878" t="str">
        <f t="shared" si="123"/>
        <v>US-2014-100853_OFF-AP-10000891</v>
      </c>
      <c r="E7878" t="str">
        <f>IF(COUNTIF(data1!$D:$D,D7878)=0,"Missing in Data1","Present")</f>
        <v>Present</v>
      </c>
    </row>
    <row r="7879" spans="1:5" x14ac:dyDescent="0.25">
      <c r="A7879" s="2" t="s">
        <v>5909</v>
      </c>
      <c r="B7879" s="2" t="s">
        <v>1570</v>
      </c>
      <c r="C7879" s="2">
        <v>4</v>
      </c>
      <c r="D7879" t="str">
        <f t="shared" si="123"/>
        <v>US-2014-100853_OFF-LA-10003148</v>
      </c>
      <c r="E7879" t="str">
        <f>IF(COUNTIF(data1!$D:$D,D7879)=0,"Missing in Data1","Present")</f>
        <v>Present</v>
      </c>
    </row>
    <row r="7880" spans="1:5" x14ac:dyDescent="0.25">
      <c r="A7880" s="2" t="s">
        <v>5910</v>
      </c>
      <c r="B7880" s="2" t="s">
        <v>185</v>
      </c>
      <c r="C7880" s="2">
        <v>3</v>
      </c>
      <c r="D7880" t="str">
        <f t="shared" si="123"/>
        <v>US-2014-102071_TEC-AC-10000109</v>
      </c>
      <c r="E7880" t="str">
        <f>IF(COUNTIF(data1!$D:$D,D7880)=0,"Missing in Data1","Present")</f>
        <v>Present</v>
      </c>
    </row>
    <row r="7881" spans="1:5" x14ac:dyDescent="0.25">
      <c r="A7881" s="2" t="s">
        <v>5910</v>
      </c>
      <c r="B7881" s="2" t="s">
        <v>1841</v>
      </c>
      <c r="C7881" s="2">
        <v>4</v>
      </c>
      <c r="D7881" t="str">
        <f t="shared" si="123"/>
        <v>US-2014-102071_TEC-AC-10003441</v>
      </c>
      <c r="E7881" t="str">
        <f>IF(COUNTIF(data1!$D:$D,D7881)=0,"Missing in Data1","Present")</f>
        <v>Present</v>
      </c>
    </row>
    <row r="7882" spans="1:5" x14ac:dyDescent="0.25">
      <c r="A7882" s="2" t="s">
        <v>5911</v>
      </c>
      <c r="B7882" s="2" t="s">
        <v>3123</v>
      </c>
      <c r="C7882" s="2">
        <v>3</v>
      </c>
      <c r="D7882" t="str">
        <f t="shared" si="123"/>
        <v>US-2014-102631_FUR-FU-10003930</v>
      </c>
      <c r="E7882" t="str">
        <f>IF(COUNTIF(data1!$D:$D,D7882)=0,"Missing in Data1","Present")</f>
        <v>Present</v>
      </c>
    </row>
    <row r="7883" spans="1:5" x14ac:dyDescent="0.25">
      <c r="A7883" s="2" t="s">
        <v>5912</v>
      </c>
      <c r="B7883" s="2" t="s">
        <v>2814</v>
      </c>
      <c r="C7883" s="2">
        <v>3</v>
      </c>
      <c r="D7883" t="str">
        <f t="shared" si="123"/>
        <v>US-2014-102715_OFF-FA-10001332</v>
      </c>
      <c r="E7883" t="str">
        <f>IF(COUNTIF(data1!$D:$D,D7883)=0,"Missing in Data1","Present")</f>
        <v>Present</v>
      </c>
    </row>
    <row r="7884" spans="1:5" x14ac:dyDescent="0.25">
      <c r="A7884" s="2" t="s">
        <v>5912</v>
      </c>
      <c r="B7884" s="2" t="s">
        <v>316</v>
      </c>
      <c r="C7884" s="2">
        <v>2</v>
      </c>
      <c r="D7884" t="str">
        <f t="shared" si="123"/>
        <v>US-2014-102715_OFF-PA-10000029</v>
      </c>
      <c r="E7884" t="str">
        <f>IF(COUNTIF(data1!$D:$D,D7884)=0,"Missing in Data1","Present")</f>
        <v>Missing in Data1</v>
      </c>
    </row>
    <row r="7885" spans="1:5" x14ac:dyDescent="0.25">
      <c r="A7885" s="2" t="s">
        <v>5912</v>
      </c>
      <c r="B7885" s="2" t="s">
        <v>3004</v>
      </c>
      <c r="C7885" s="2">
        <v>7</v>
      </c>
      <c r="D7885" t="str">
        <f t="shared" si="123"/>
        <v>US-2014-102715_TEC-AC-10001874</v>
      </c>
      <c r="E7885" t="str">
        <f>IF(COUNTIF(data1!$D:$D,D7885)=0,"Missing in Data1","Present")</f>
        <v>Present</v>
      </c>
    </row>
    <row r="7886" spans="1:5" x14ac:dyDescent="0.25">
      <c r="A7886" s="2" t="s">
        <v>5912</v>
      </c>
      <c r="B7886" s="2" t="s">
        <v>1823</v>
      </c>
      <c r="C7886" s="2">
        <v>3</v>
      </c>
      <c r="D7886" t="str">
        <f t="shared" si="123"/>
        <v>US-2014-102715_TEC-AC-10002001</v>
      </c>
      <c r="E7886" t="str">
        <f>IF(COUNTIF(data1!$D:$D,D7886)=0,"Missing in Data1","Present")</f>
        <v>Present</v>
      </c>
    </row>
    <row r="7887" spans="1:5" x14ac:dyDescent="0.25">
      <c r="A7887" s="2" t="s">
        <v>5913</v>
      </c>
      <c r="B7887" s="2" t="s">
        <v>3813</v>
      </c>
      <c r="C7887" s="2">
        <v>3</v>
      </c>
      <c r="D7887" t="str">
        <f t="shared" si="123"/>
        <v>US-2014-103338_OFF-AR-10001770</v>
      </c>
      <c r="E7887" t="str">
        <f>IF(COUNTIF(data1!$D:$D,D7887)=0,"Missing in Data1","Present")</f>
        <v>Present</v>
      </c>
    </row>
    <row r="7888" spans="1:5" x14ac:dyDescent="0.25">
      <c r="A7888" s="2" t="s">
        <v>5914</v>
      </c>
      <c r="B7888" s="2" t="s">
        <v>2048</v>
      </c>
      <c r="C7888" s="2">
        <v>7</v>
      </c>
      <c r="D7888" t="str">
        <f t="shared" si="123"/>
        <v>US-2014-103905_OFF-BI-10001098</v>
      </c>
      <c r="E7888" t="str">
        <f>IF(COUNTIF(data1!$D:$D,D7888)=0,"Missing in Data1","Present")</f>
        <v>Present</v>
      </c>
    </row>
    <row r="7889" spans="1:5" x14ac:dyDescent="0.25">
      <c r="A7889" s="2" t="s">
        <v>5914</v>
      </c>
      <c r="B7889" s="2" t="s">
        <v>924</v>
      </c>
      <c r="C7889" s="2">
        <v>4</v>
      </c>
      <c r="D7889" t="str">
        <f t="shared" si="123"/>
        <v>US-2014-103905_TEC-PH-10001552</v>
      </c>
      <c r="E7889" t="str">
        <f>IF(COUNTIF(data1!$D:$D,D7889)=0,"Missing in Data1","Present")</f>
        <v>Present</v>
      </c>
    </row>
    <row r="7890" spans="1:5" x14ac:dyDescent="0.25">
      <c r="A7890" s="2" t="s">
        <v>5915</v>
      </c>
      <c r="B7890" s="2" t="s">
        <v>2262</v>
      </c>
      <c r="C7890" s="2">
        <v>7</v>
      </c>
      <c r="D7890" t="str">
        <f t="shared" si="123"/>
        <v>US-2014-104759_OFF-BI-10002071</v>
      </c>
      <c r="E7890" t="str">
        <f>IF(COUNTIF(data1!$D:$D,D7890)=0,"Missing in Data1","Present")</f>
        <v>Present</v>
      </c>
    </row>
    <row r="7891" spans="1:5" x14ac:dyDescent="0.25">
      <c r="A7891" s="2" t="s">
        <v>5915</v>
      </c>
      <c r="B7891" s="2" t="s">
        <v>5395</v>
      </c>
      <c r="C7891" s="2">
        <v>2</v>
      </c>
      <c r="D7891" t="str">
        <f t="shared" si="123"/>
        <v>US-2014-104759_TEC-AC-10004901</v>
      </c>
      <c r="E7891" t="str">
        <f>IF(COUNTIF(data1!$D:$D,D7891)=0,"Missing in Data1","Present")</f>
        <v>Present</v>
      </c>
    </row>
    <row r="7892" spans="1:5" x14ac:dyDescent="0.25">
      <c r="A7892" s="2" t="s">
        <v>5916</v>
      </c>
      <c r="B7892" s="2" t="s">
        <v>5917</v>
      </c>
      <c r="C7892" s="2">
        <v>2</v>
      </c>
      <c r="D7892" t="str">
        <f t="shared" si="123"/>
        <v>US-2014-105137_TEC-MA-10002694</v>
      </c>
      <c r="E7892" t="str">
        <f>IF(COUNTIF(data1!$D:$D,D7892)=0,"Missing in Data1","Present")</f>
        <v>Present</v>
      </c>
    </row>
    <row r="7893" spans="1:5" x14ac:dyDescent="0.25">
      <c r="A7893" s="2" t="s">
        <v>5918</v>
      </c>
      <c r="B7893" s="2" t="s">
        <v>3834</v>
      </c>
      <c r="C7893" s="2">
        <v>5</v>
      </c>
      <c r="D7893" t="str">
        <f t="shared" si="123"/>
        <v>US-2014-105151_OFF-AR-10001231</v>
      </c>
      <c r="E7893" t="str">
        <f>IF(COUNTIF(data1!$D:$D,D7893)=0,"Missing in Data1","Present")</f>
        <v>Present</v>
      </c>
    </row>
    <row r="7894" spans="1:5" x14ac:dyDescent="0.25">
      <c r="A7894" s="2" t="s">
        <v>5919</v>
      </c>
      <c r="B7894" s="2" t="s">
        <v>2156</v>
      </c>
      <c r="C7894" s="2">
        <v>9</v>
      </c>
      <c r="D7894" t="str">
        <f t="shared" si="123"/>
        <v>US-2014-105767_OFF-AR-10001246</v>
      </c>
      <c r="E7894" t="str">
        <f>IF(COUNTIF(data1!$D:$D,D7894)=0,"Missing in Data1","Present")</f>
        <v>Present</v>
      </c>
    </row>
    <row r="7895" spans="1:5" x14ac:dyDescent="0.25">
      <c r="A7895" s="2" t="s">
        <v>5919</v>
      </c>
      <c r="B7895" s="2" t="s">
        <v>1906</v>
      </c>
      <c r="C7895" s="2">
        <v>2</v>
      </c>
      <c r="D7895" t="str">
        <f t="shared" si="123"/>
        <v>US-2014-105767_OFF-BI-10000848</v>
      </c>
      <c r="E7895" t="str">
        <f>IF(COUNTIF(data1!$D:$D,D7895)=0,"Missing in Data1","Present")</f>
        <v>Present</v>
      </c>
    </row>
    <row r="7896" spans="1:5" x14ac:dyDescent="0.25">
      <c r="A7896" s="2" t="s">
        <v>5919</v>
      </c>
      <c r="B7896" s="2" t="s">
        <v>4072</v>
      </c>
      <c r="C7896" s="2">
        <v>2</v>
      </c>
      <c r="D7896" t="str">
        <f t="shared" si="123"/>
        <v>US-2014-105767_TEC-PH-10003092</v>
      </c>
      <c r="E7896" t="str">
        <f>IF(COUNTIF(data1!$D:$D,D7896)=0,"Missing in Data1","Present")</f>
        <v>Present</v>
      </c>
    </row>
    <row r="7897" spans="1:5" x14ac:dyDescent="0.25">
      <c r="A7897" s="2" t="s">
        <v>5920</v>
      </c>
      <c r="B7897" s="2" t="s">
        <v>619</v>
      </c>
      <c r="C7897" s="2">
        <v>5</v>
      </c>
      <c r="D7897" t="str">
        <f t="shared" si="123"/>
        <v>US-2014-106299_OFF-BI-10001758</v>
      </c>
      <c r="E7897" t="str">
        <f>IF(COUNTIF(data1!$D:$D,D7897)=0,"Missing in Data1","Present")</f>
        <v>Present</v>
      </c>
    </row>
    <row r="7898" spans="1:5" x14ac:dyDescent="0.25">
      <c r="A7898" s="2" t="s">
        <v>5920</v>
      </c>
      <c r="B7898" s="2" t="s">
        <v>641</v>
      </c>
      <c r="C7898" s="2">
        <v>2</v>
      </c>
      <c r="D7898" t="str">
        <f t="shared" si="123"/>
        <v>US-2014-106299_OFF-ST-10002011</v>
      </c>
      <c r="E7898" t="str">
        <f>IF(COUNTIF(data1!$D:$D,D7898)=0,"Missing in Data1","Present")</f>
        <v>Present</v>
      </c>
    </row>
    <row r="7899" spans="1:5" x14ac:dyDescent="0.25">
      <c r="A7899" s="2" t="s">
        <v>5920</v>
      </c>
      <c r="B7899" s="2" t="s">
        <v>2128</v>
      </c>
      <c r="C7899" s="2">
        <v>2</v>
      </c>
      <c r="D7899" t="str">
        <f t="shared" si="123"/>
        <v>US-2014-106299_TEC-AC-10003237</v>
      </c>
      <c r="E7899" t="str">
        <f>IF(COUNTIF(data1!$D:$D,D7899)=0,"Missing in Data1","Present")</f>
        <v>Present</v>
      </c>
    </row>
    <row r="7900" spans="1:5" x14ac:dyDescent="0.25">
      <c r="A7900" s="2" t="s">
        <v>5921</v>
      </c>
      <c r="B7900" s="2" t="s">
        <v>1368</v>
      </c>
      <c r="C7900" s="2">
        <v>3</v>
      </c>
      <c r="D7900" t="str">
        <f t="shared" si="123"/>
        <v>US-2014-106334_FUR-CH-10004886</v>
      </c>
      <c r="E7900" t="str">
        <f>IF(COUNTIF(data1!$D:$D,D7900)=0,"Missing in Data1","Present")</f>
        <v>Present</v>
      </c>
    </row>
    <row r="7901" spans="1:5" x14ac:dyDescent="0.25">
      <c r="A7901" s="2" t="s">
        <v>5921</v>
      </c>
      <c r="B7901" s="2" t="s">
        <v>2768</v>
      </c>
      <c r="C7901" s="2">
        <v>3</v>
      </c>
      <c r="D7901" t="str">
        <f t="shared" si="123"/>
        <v>US-2014-106334_OFF-PA-10003657</v>
      </c>
      <c r="E7901" t="str">
        <f>IF(COUNTIF(data1!$D:$D,D7901)=0,"Missing in Data1","Present")</f>
        <v>Present</v>
      </c>
    </row>
    <row r="7902" spans="1:5" x14ac:dyDescent="0.25">
      <c r="A7902" s="2" t="s">
        <v>5922</v>
      </c>
      <c r="B7902" s="2" t="s">
        <v>1191</v>
      </c>
      <c r="C7902" s="2">
        <v>3</v>
      </c>
      <c r="D7902" t="str">
        <f t="shared" si="123"/>
        <v>US-2014-106992_TEC-MA-10000822</v>
      </c>
      <c r="E7902" t="str">
        <f>IF(COUNTIF(data1!$D:$D,D7902)=0,"Missing in Data1","Present")</f>
        <v>Present</v>
      </c>
    </row>
    <row r="7903" spans="1:5" x14ac:dyDescent="0.25">
      <c r="A7903" s="2" t="s">
        <v>5922</v>
      </c>
      <c r="B7903" s="2" t="s">
        <v>5923</v>
      </c>
      <c r="C7903" s="2">
        <v>7</v>
      </c>
      <c r="D7903" t="str">
        <f t="shared" si="123"/>
        <v>US-2014-106992_TEC-MA-10003353</v>
      </c>
      <c r="E7903" t="str">
        <f>IF(COUNTIF(data1!$D:$D,D7903)=0,"Missing in Data1","Present")</f>
        <v>Present</v>
      </c>
    </row>
    <row r="7904" spans="1:5" x14ac:dyDescent="0.25">
      <c r="A7904" s="2" t="s">
        <v>5924</v>
      </c>
      <c r="B7904" s="2" t="s">
        <v>1585</v>
      </c>
      <c r="C7904" s="2">
        <v>1</v>
      </c>
      <c r="D7904" t="str">
        <f t="shared" si="123"/>
        <v>US-2014-107405_OFF-ST-10002301</v>
      </c>
      <c r="E7904" t="str">
        <f>IF(COUNTIF(data1!$D:$D,D7904)=0,"Missing in Data1","Present")</f>
        <v>Present</v>
      </c>
    </row>
    <row r="7905" spans="1:5" x14ac:dyDescent="0.25">
      <c r="A7905" s="2" t="s">
        <v>6854</v>
      </c>
      <c r="B7905" s="2" t="s">
        <v>819</v>
      </c>
      <c r="C7905" s="2">
        <v>9</v>
      </c>
      <c r="D7905" t="str">
        <f t="shared" si="123"/>
        <v>US-2014-107699_OFF-BI-10001249</v>
      </c>
      <c r="E7905" t="str">
        <f>IF(COUNTIF(data1!$D:$D,D7905)=0,"Missing in Data1","Present")</f>
        <v>Missing in Data1</v>
      </c>
    </row>
    <row r="7906" spans="1:5" x14ac:dyDescent="0.25">
      <c r="A7906" s="2" t="s">
        <v>5925</v>
      </c>
      <c r="B7906" s="2" t="s">
        <v>210</v>
      </c>
      <c r="C7906" s="2">
        <v>7</v>
      </c>
      <c r="D7906" t="str">
        <f t="shared" si="123"/>
        <v>US-2014-107993_OFF-AR-10003179</v>
      </c>
      <c r="E7906" t="str">
        <f>IF(COUNTIF(data1!$D:$D,D7906)=0,"Missing in Data1","Present")</f>
        <v>Present</v>
      </c>
    </row>
    <row r="7907" spans="1:5" x14ac:dyDescent="0.25">
      <c r="A7907" s="2" t="s">
        <v>5926</v>
      </c>
      <c r="B7907" s="2" t="s">
        <v>218</v>
      </c>
      <c r="C7907" s="2">
        <v>3</v>
      </c>
      <c r="D7907" t="str">
        <f t="shared" si="123"/>
        <v>US-2014-109036_OFF-LA-10002043</v>
      </c>
      <c r="E7907" t="str">
        <f>IF(COUNTIF(data1!$D:$D,D7907)=0,"Missing in Data1","Present")</f>
        <v>Present</v>
      </c>
    </row>
    <row r="7908" spans="1:5" x14ac:dyDescent="0.25">
      <c r="A7908" s="2" t="s">
        <v>5927</v>
      </c>
      <c r="B7908" s="2" t="s">
        <v>1419</v>
      </c>
      <c r="C7908" s="2">
        <v>3</v>
      </c>
      <c r="D7908" t="str">
        <f t="shared" si="123"/>
        <v>US-2014-109162_FUR-CH-10002647</v>
      </c>
      <c r="E7908" t="str">
        <f>IF(COUNTIF(data1!$D:$D,D7908)=0,"Missing in Data1","Present")</f>
        <v>Present</v>
      </c>
    </row>
    <row r="7909" spans="1:5" x14ac:dyDescent="0.25">
      <c r="A7909" s="2" t="s">
        <v>5928</v>
      </c>
      <c r="B7909" s="2" t="s">
        <v>618</v>
      </c>
      <c r="C7909" s="2">
        <v>3</v>
      </c>
      <c r="D7909" t="str">
        <f t="shared" si="123"/>
        <v>US-2014-109456_OFF-BI-10000136</v>
      </c>
      <c r="E7909" t="str">
        <f>IF(COUNTIF(data1!$D:$D,D7909)=0,"Missing in Data1","Present")</f>
        <v>Present</v>
      </c>
    </row>
    <row r="7910" spans="1:5" x14ac:dyDescent="0.25">
      <c r="A7910" s="2" t="s">
        <v>5928</v>
      </c>
      <c r="B7910" s="2" t="s">
        <v>4060</v>
      </c>
      <c r="C7910" s="2">
        <v>3</v>
      </c>
      <c r="D7910" t="str">
        <f t="shared" si="123"/>
        <v>US-2014-109456_TEC-AC-10003610</v>
      </c>
      <c r="E7910" t="str">
        <f>IF(COUNTIF(data1!$D:$D,D7910)=0,"Missing in Data1","Present")</f>
        <v>Present</v>
      </c>
    </row>
    <row r="7911" spans="1:5" x14ac:dyDescent="0.25">
      <c r="A7911" s="2" t="s">
        <v>5929</v>
      </c>
      <c r="B7911" s="2" t="s">
        <v>1119</v>
      </c>
      <c r="C7911" s="2">
        <v>2</v>
      </c>
      <c r="D7911" t="str">
        <f t="shared" si="123"/>
        <v>US-2014-110674_FUR-CH-10000225</v>
      </c>
      <c r="E7911" t="str">
        <f>IF(COUNTIF(data1!$D:$D,D7911)=0,"Missing in Data1","Present")</f>
        <v>Present</v>
      </c>
    </row>
    <row r="7912" spans="1:5" x14ac:dyDescent="0.25">
      <c r="A7912" s="2" t="s">
        <v>5930</v>
      </c>
      <c r="B7912" s="2" t="s">
        <v>275</v>
      </c>
      <c r="C7912" s="2">
        <v>5</v>
      </c>
      <c r="D7912" t="str">
        <f t="shared" si="123"/>
        <v>US-2014-111171_OFF-BI-10002103</v>
      </c>
      <c r="E7912" t="str">
        <f>IF(COUNTIF(data1!$D:$D,D7912)=0,"Missing in Data1","Present")</f>
        <v>Present</v>
      </c>
    </row>
    <row r="7913" spans="1:5" x14ac:dyDescent="0.25">
      <c r="A7913" s="2" t="s">
        <v>5931</v>
      </c>
      <c r="B7913" s="2" t="s">
        <v>557</v>
      </c>
      <c r="C7913" s="2">
        <v>2</v>
      </c>
      <c r="D7913" t="str">
        <f t="shared" si="123"/>
        <v>US-2014-111353_OFF-LA-10002762</v>
      </c>
      <c r="E7913" t="str">
        <f>IF(COUNTIF(data1!$D:$D,D7913)=0,"Missing in Data1","Present")</f>
        <v>Present</v>
      </c>
    </row>
    <row r="7914" spans="1:5" x14ac:dyDescent="0.25">
      <c r="A7914" s="2" t="s">
        <v>5932</v>
      </c>
      <c r="B7914" s="2" t="s">
        <v>247</v>
      </c>
      <c r="C7914" s="2">
        <v>5</v>
      </c>
      <c r="D7914" t="str">
        <f t="shared" si="123"/>
        <v>US-2014-112200_OFF-BI-10002571</v>
      </c>
      <c r="E7914" t="str">
        <f>IF(COUNTIF(data1!$D:$D,D7914)=0,"Missing in Data1","Present")</f>
        <v>Present</v>
      </c>
    </row>
    <row r="7915" spans="1:5" x14ac:dyDescent="0.25">
      <c r="A7915" s="2" t="s">
        <v>5933</v>
      </c>
      <c r="B7915" s="2" t="s">
        <v>1380</v>
      </c>
      <c r="C7915" s="2">
        <v>3</v>
      </c>
      <c r="D7915" t="str">
        <f t="shared" si="123"/>
        <v>US-2014-112564_OFF-BI-10004876</v>
      </c>
      <c r="E7915" t="str">
        <f>IF(COUNTIF(data1!$D:$D,D7915)=0,"Missing in Data1","Present")</f>
        <v>Present</v>
      </c>
    </row>
    <row r="7916" spans="1:5" x14ac:dyDescent="0.25">
      <c r="A7916" s="2" t="s">
        <v>5934</v>
      </c>
      <c r="B7916" s="2" t="s">
        <v>3575</v>
      </c>
      <c r="C7916" s="2">
        <v>3</v>
      </c>
      <c r="D7916" t="str">
        <f t="shared" si="123"/>
        <v>US-2014-112795_OFF-PA-10001934</v>
      </c>
      <c r="E7916" t="str">
        <f>IF(COUNTIF(data1!$D:$D,D7916)=0,"Missing in Data1","Present")</f>
        <v>Present</v>
      </c>
    </row>
    <row r="7917" spans="1:5" x14ac:dyDescent="0.25">
      <c r="A7917" s="2" t="s">
        <v>5935</v>
      </c>
      <c r="B7917" s="2" t="s">
        <v>1326</v>
      </c>
      <c r="C7917" s="2">
        <v>1</v>
      </c>
      <c r="D7917" t="str">
        <f t="shared" si="123"/>
        <v>US-2014-112872_FUR-TA-10003238</v>
      </c>
      <c r="E7917" t="str">
        <f>IF(COUNTIF(data1!$D:$D,D7917)=0,"Missing in Data1","Present")</f>
        <v>Present</v>
      </c>
    </row>
    <row r="7918" spans="1:5" x14ac:dyDescent="0.25">
      <c r="A7918" s="2" t="s">
        <v>5935</v>
      </c>
      <c r="B7918" s="2" t="s">
        <v>3266</v>
      </c>
      <c r="C7918" s="2">
        <v>3</v>
      </c>
      <c r="D7918" t="str">
        <f t="shared" si="123"/>
        <v>US-2014-112872_OFF-ST-10002205</v>
      </c>
      <c r="E7918" t="str">
        <f>IF(COUNTIF(data1!$D:$D,D7918)=0,"Missing in Data1","Present")</f>
        <v>Present</v>
      </c>
    </row>
    <row r="7919" spans="1:5" x14ac:dyDescent="0.25">
      <c r="A7919" s="2" t="s">
        <v>5936</v>
      </c>
      <c r="B7919" s="2" t="s">
        <v>437</v>
      </c>
      <c r="C7919" s="2">
        <v>2</v>
      </c>
      <c r="D7919" t="str">
        <f t="shared" si="123"/>
        <v>US-2014-112914_FUR-BO-10003272</v>
      </c>
      <c r="E7919" t="str">
        <f>IF(COUNTIF(data1!$D:$D,D7919)=0,"Missing in Data1","Present")</f>
        <v>Present</v>
      </c>
    </row>
    <row r="7920" spans="1:5" x14ac:dyDescent="0.25">
      <c r="A7920" s="2" t="s">
        <v>5936</v>
      </c>
      <c r="B7920" s="2" t="s">
        <v>1734</v>
      </c>
      <c r="C7920" s="2">
        <v>2</v>
      </c>
      <c r="D7920" t="str">
        <f t="shared" si="123"/>
        <v>US-2014-112914_OFF-BI-10002982</v>
      </c>
      <c r="E7920" t="str">
        <f>IF(COUNTIF(data1!$D:$D,D7920)=0,"Missing in Data1","Present")</f>
        <v>Present</v>
      </c>
    </row>
    <row r="7921" spans="1:5" x14ac:dyDescent="0.25">
      <c r="A7921" s="2" t="s">
        <v>5936</v>
      </c>
      <c r="B7921" s="2" t="s">
        <v>2505</v>
      </c>
      <c r="C7921" s="2">
        <v>2</v>
      </c>
      <c r="D7921" t="str">
        <f t="shared" si="123"/>
        <v>US-2014-112914_OFF-EN-10001509</v>
      </c>
      <c r="E7921" t="str">
        <f>IF(COUNTIF(data1!$D:$D,D7921)=0,"Missing in Data1","Present")</f>
        <v>Present</v>
      </c>
    </row>
    <row r="7922" spans="1:5" x14ac:dyDescent="0.25">
      <c r="A7922" s="2" t="s">
        <v>5936</v>
      </c>
      <c r="B7922" s="2" t="s">
        <v>1164</v>
      </c>
      <c r="C7922" s="2">
        <v>8</v>
      </c>
      <c r="D7922" t="str">
        <f t="shared" si="123"/>
        <v>US-2014-112914_OFF-PA-10003270</v>
      </c>
      <c r="E7922" t="str">
        <f>IF(COUNTIF(data1!$D:$D,D7922)=0,"Missing in Data1","Present")</f>
        <v>Present</v>
      </c>
    </row>
    <row r="7923" spans="1:5" x14ac:dyDescent="0.25">
      <c r="A7923" s="2" t="s">
        <v>5937</v>
      </c>
      <c r="B7923" s="2" t="s">
        <v>136</v>
      </c>
      <c r="C7923" s="2">
        <v>6</v>
      </c>
      <c r="D7923" t="str">
        <f t="shared" si="123"/>
        <v>US-2014-112949_OFF-AP-10001005</v>
      </c>
      <c r="E7923" t="str">
        <f>IF(COUNTIF(data1!$D:$D,D7923)=0,"Missing in Data1","Present")</f>
        <v>Present</v>
      </c>
    </row>
    <row r="7924" spans="1:5" x14ac:dyDescent="0.25">
      <c r="A7924" s="2" t="s">
        <v>5937</v>
      </c>
      <c r="B7924" s="2" t="s">
        <v>719</v>
      </c>
      <c r="C7924" s="2">
        <v>2</v>
      </c>
      <c r="D7924" t="str">
        <f t="shared" si="123"/>
        <v>US-2014-112949_OFF-AR-10003469</v>
      </c>
      <c r="E7924" t="str">
        <f>IF(COUNTIF(data1!$D:$D,D7924)=0,"Missing in Data1","Present")</f>
        <v>Present</v>
      </c>
    </row>
    <row r="7925" spans="1:5" x14ac:dyDescent="0.25">
      <c r="A7925" s="2" t="s">
        <v>5938</v>
      </c>
      <c r="B7925" s="2" t="s">
        <v>2229</v>
      </c>
      <c r="C7925" s="2">
        <v>3</v>
      </c>
      <c r="D7925" t="str">
        <f t="shared" si="123"/>
        <v>US-2014-112991_FUR-CH-10001708</v>
      </c>
      <c r="E7925" t="str">
        <f>IF(COUNTIF(data1!$D:$D,D7925)=0,"Missing in Data1","Present")</f>
        <v>Present</v>
      </c>
    </row>
    <row r="7926" spans="1:5" x14ac:dyDescent="0.25">
      <c r="A7926" s="2" t="s">
        <v>5938</v>
      </c>
      <c r="B7926" s="2" t="s">
        <v>780</v>
      </c>
      <c r="C7926" s="2">
        <v>4</v>
      </c>
      <c r="D7926" t="str">
        <f t="shared" si="123"/>
        <v>US-2014-112991_OFF-PA-10000019</v>
      </c>
      <c r="E7926" t="str">
        <f>IF(COUNTIF(data1!$D:$D,D7926)=0,"Missing in Data1","Present")</f>
        <v>Present</v>
      </c>
    </row>
    <row r="7927" spans="1:5" x14ac:dyDescent="0.25">
      <c r="A7927" s="2" t="s">
        <v>5938</v>
      </c>
      <c r="B7927" s="2" t="s">
        <v>2628</v>
      </c>
      <c r="C7927" s="2">
        <v>4</v>
      </c>
      <c r="D7927" t="str">
        <f t="shared" si="123"/>
        <v>US-2014-112991_OFF-PA-10002222</v>
      </c>
      <c r="E7927" t="str">
        <f>IF(COUNTIF(data1!$D:$D,D7927)=0,"Missing in Data1","Present")</f>
        <v>Present</v>
      </c>
    </row>
    <row r="7928" spans="1:5" x14ac:dyDescent="0.25">
      <c r="A7928" s="2" t="s">
        <v>5939</v>
      </c>
      <c r="B7928" s="2" t="s">
        <v>81</v>
      </c>
      <c r="C7928" s="2">
        <v>2</v>
      </c>
      <c r="D7928" t="str">
        <f t="shared" si="123"/>
        <v>US-2014-113124_OFF-ST-10001511</v>
      </c>
      <c r="E7928" t="str">
        <f>IF(COUNTIF(data1!$D:$D,D7928)=0,"Missing in Data1","Present")</f>
        <v>Present</v>
      </c>
    </row>
    <row r="7929" spans="1:5" x14ac:dyDescent="0.25">
      <c r="A7929" s="2" t="s">
        <v>5940</v>
      </c>
      <c r="B7929" s="2" t="s">
        <v>3486</v>
      </c>
      <c r="C7929" s="2">
        <v>7</v>
      </c>
      <c r="D7929" t="str">
        <f t="shared" si="123"/>
        <v>US-2014-114188_FUR-FU-10000076</v>
      </c>
      <c r="E7929" t="str">
        <f>IF(COUNTIF(data1!$D:$D,D7929)=0,"Missing in Data1","Present")</f>
        <v>Present</v>
      </c>
    </row>
    <row r="7930" spans="1:5" x14ac:dyDescent="0.25">
      <c r="A7930" s="2" t="s">
        <v>5940</v>
      </c>
      <c r="B7930" s="2" t="s">
        <v>5941</v>
      </c>
      <c r="C7930" s="2">
        <v>4</v>
      </c>
      <c r="D7930" t="str">
        <f t="shared" si="123"/>
        <v>US-2014-114188_OFF-AP-10000124</v>
      </c>
      <c r="E7930" t="str">
        <f>IF(COUNTIF(data1!$D:$D,D7930)=0,"Missing in Data1","Present")</f>
        <v>Present</v>
      </c>
    </row>
    <row r="7931" spans="1:5" x14ac:dyDescent="0.25">
      <c r="A7931" s="2" t="s">
        <v>5940</v>
      </c>
      <c r="B7931" s="2" t="s">
        <v>33</v>
      </c>
      <c r="C7931" s="2">
        <v>9</v>
      </c>
      <c r="D7931" t="str">
        <f t="shared" si="123"/>
        <v>US-2014-114188_OFF-AR-10004511</v>
      </c>
      <c r="E7931" t="str">
        <f>IF(COUNTIF(data1!$D:$D,D7931)=0,"Missing in Data1","Present")</f>
        <v>Present</v>
      </c>
    </row>
    <row r="7932" spans="1:5" x14ac:dyDescent="0.25">
      <c r="A7932" s="2" t="s">
        <v>5942</v>
      </c>
      <c r="B7932" s="2" t="s">
        <v>1502</v>
      </c>
      <c r="C7932" s="2">
        <v>5</v>
      </c>
      <c r="D7932" t="str">
        <f t="shared" si="123"/>
        <v>US-2014-114377_FUR-CH-10004754</v>
      </c>
      <c r="E7932" t="str">
        <f>IF(COUNTIF(data1!$D:$D,D7932)=0,"Missing in Data1","Present")</f>
        <v>Present</v>
      </c>
    </row>
    <row r="7933" spans="1:5" x14ac:dyDescent="0.25">
      <c r="A7933" s="2" t="s">
        <v>5943</v>
      </c>
      <c r="B7933" s="2" t="s">
        <v>939</v>
      </c>
      <c r="C7933" s="2">
        <v>3</v>
      </c>
      <c r="D7933" t="str">
        <f t="shared" si="123"/>
        <v>US-2014-115189_FUR-TA-10004575</v>
      </c>
      <c r="E7933" t="str">
        <f>IF(COUNTIF(data1!$D:$D,D7933)=0,"Missing in Data1","Present")</f>
        <v>Present</v>
      </c>
    </row>
    <row r="7934" spans="1:5" x14ac:dyDescent="0.25">
      <c r="A7934" s="2" t="s">
        <v>5943</v>
      </c>
      <c r="B7934" s="2" t="s">
        <v>777</v>
      </c>
      <c r="C7934" s="2">
        <v>6</v>
      </c>
      <c r="D7934" t="str">
        <f t="shared" si="123"/>
        <v>US-2014-115189_TEC-PH-10002170</v>
      </c>
      <c r="E7934" t="str">
        <f>IF(COUNTIF(data1!$D:$D,D7934)=0,"Missing in Data1","Present")</f>
        <v>Present</v>
      </c>
    </row>
    <row r="7935" spans="1:5" x14ac:dyDescent="0.25">
      <c r="A7935" s="2" t="s">
        <v>5944</v>
      </c>
      <c r="B7935" s="2" t="s">
        <v>4687</v>
      </c>
      <c r="C7935" s="2">
        <v>2</v>
      </c>
      <c r="D7935" t="str">
        <f t="shared" si="123"/>
        <v>US-2014-115196_TEC-MA-10002073</v>
      </c>
      <c r="E7935" t="str">
        <f>IF(COUNTIF(data1!$D:$D,D7935)=0,"Missing in Data1","Present")</f>
        <v>Present</v>
      </c>
    </row>
    <row r="7936" spans="1:5" x14ac:dyDescent="0.25">
      <c r="A7936" s="2" t="s">
        <v>5945</v>
      </c>
      <c r="B7936" s="2" t="s">
        <v>3416</v>
      </c>
      <c r="C7936" s="2">
        <v>3</v>
      </c>
      <c r="D7936" t="str">
        <f t="shared" si="123"/>
        <v>US-2014-115413_OFF-AR-10003770</v>
      </c>
      <c r="E7936" t="str">
        <f>IF(COUNTIF(data1!$D:$D,D7936)=0,"Missing in Data1","Present")</f>
        <v>Present</v>
      </c>
    </row>
    <row r="7937" spans="1:5" x14ac:dyDescent="0.25">
      <c r="A7937" s="2" t="s">
        <v>5945</v>
      </c>
      <c r="B7937" s="2" t="s">
        <v>507</v>
      </c>
      <c r="C7937" s="2">
        <v>3</v>
      </c>
      <c r="D7937" t="str">
        <f t="shared" si="123"/>
        <v>US-2014-115413_TEC-AC-10002800</v>
      </c>
      <c r="E7937" t="str">
        <f>IF(COUNTIF(data1!$D:$D,D7937)=0,"Missing in Data1","Present")</f>
        <v>Present</v>
      </c>
    </row>
    <row r="7938" spans="1:5" x14ac:dyDescent="0.25">
      <c r="A7938" s="2" t="s">
        <v>5946</v>
      </c>
      <c r="B7938" s="2" t="s">
        <v>921</v>
      </c>
      <c r="C7938" s="2">
        <v>4</v>
      </c>
      <c r="D7938" t="str">
        <f t="shared" si="123"/>
        <v>US-2014-115987_OFF-BI-10001071</v>
      </c>
      <c r="E7938" t="str">
        <f>IF(COUNTIF(data1!$D:$D,D7938)=0,"Missing in Data1","Present")</f>
        <v>Present</v>
      </c>
    </row>
    <row r="7939" spans="1:5" x14ac:dyDescent="0.25">
      <c r="A7939" s="2" t="s">
        <v>5947</v>
      </c>
      <c r="B7939" s="2" t="s">
        <v>2680</v>
      </c>
      <c r="C7939" s="2">
        <v>6</v>
      </c>
      <c r="D7939" t="str">
        <f t="shared" ref="D7939:D8002" si="124">A7939&amp;"_"&amp;B7939</f>
        <v>US-2014-117058_OFF-BI-10004139</v>
      </c>
      <c r="E7939" t="str">
        <f>IF(COUNTIF(data1!$D:$D,D7939)=0,"Missing in Data1","Present")</f>
        <v>Present</v>
      </c>
    </row>
    <row r="7940" spans="1:5" x14ac:dyDescent="0.25">
      <c r="A7940" s="2" t="s">
        <v>5948</v>
      </c>
      <c r="B7940" s="2" t="s">
        <v>4399</v>
      </c>
      <c r="C7940" s="2">
        <v>1</v>
      </c>
      <c r="D7940" t="str">
        <f t="shared" si="124"/>
        <v>US-2014-117135_FUR-FU-10004071</v>
      </c>
      <c r="E7940" t="str">
        <f>IF(COUNTIF(data1!$D:$D,D7940)=0,"Missing in Data1","Present")</f>
        <v>Present</v>
      </c>
    </row>
    <row r="7941" spans="1:5" x14ac:dyDescent="0.25">
      <c r="A7941" s="2" t="s">
        <v>5948</v>
      </c>
      <c r="B7941" s="2" t="s">
        <v>260</v>
      </c>
      <c r="C7941" s="2">
        <v>3</v>
      </c>
      <c r="D7941" t="str">
        <f t="shared" si="124"/>
        <v>US-2014-117135_OFF-ST-10002444</v>
      </c>
      <c r="E7941" t="str">
        <f>IF(COUNTIF(data1!$D:$D,D7941)=0,"Missing in Data1","Present")</f>
        <v>Present</v>
      </c>
    </row>
    <row r="7942" spans="1:5" x14ac:dyDescent="0.25">
      <c r="A7942" s="2" t="s">
        <v>5948</v>
      </c>
      <c r="B7942" s="2" t="s">
        <v>547</v>
      </c>
      <c r="C7942" s="2">
        <v>1</v>
      </c>
      <c r="D7942" t="str">
        <f t="shared" si="124"/>
        <v>US-2014-117135_TEC-PH-10002033</v>
      </c>
      <c r="E7942" t="str">
        <f>IF(COUNTIF(data1!$D:$D,D7942)=0,"Missing in Data1","Present")</f>
        <v>Present</v>
      </c>
    </row>
    <row r="7943" spans="1:5" x14ac:dyDescent="0.25">
      <c r="A7943" s="2" t="s">
        <v>5949</v>
      </c>
      <c r="B7943" s="2" t="s">
        <v>1744</v>
      </c>
      <c r="C7943" s="2">
        <v>3</v>
      </c>
      <c r="D7943" t="str">
        <f t="shared" si="124"/>
        <v>US-2014-117163_FUR-TA-10003469</v>
      </c>
      <c r="E7943" t="str">
        <f>IF(COUNTIF(data1!$D:$D,D7943)=0,"Missing in Data1","Present")</f>
        <v>Present</v>
      </c>
    </row>
    <row r="7944" spans="1:5" x14ac:dyDescent="0.25">
      <c r="A7944" s="2" t="s">
        <v>5949</v>
      </c>
      <c r="B7944" s="2" t="s">
        <v>210</v>
      </c>
      <c r="C7944" s="2">
        <v>4</v>
      </c>
      <c r="D7944" t="str">
        <f t="shared" si="124"/>
        <v>US-2014-117163_OFF-AR-10003179</v>
      </c>
      <c r="E7944" t="str">
        <f>IF(COUNTIF(data1!$D:$D,D7944)=0,"Missing in Data1","Present")</f>
        <v>Present</v>
      </c>
    </row>
    <row r="7945" spans="1:5" x14ac:dyDescent="0.25">
      <c r="A7945" s="2" t="s">
        <v>5949</v>
      </c>
      <c r="B7945" s="2" t="s">
        <v>1800</v>
      </c>
      <c r="C7945" s="2">
        <v>1</v>
      </c>
      <c r="D7945" t="str">
        <f t="shared" si="124"/>
        <v>US-2014-117163_OFF-ST-10003692</v>
      </c>
      <c r="E7945" t="str">
        <f>IF(COUNTIF(data1!$D:$D,D7945)=0,"Missing in Data1","Present")</f>
        <v>Present</v>
      </c>
    </row>
    <row r="7946" spans="1:5" x14ac:dyDescent="0.25">
      <c r="A7946" s="2" t="s">
        <v>5950</v>
      </c>
      <c r="B7946" s="2" t="s">
        <v>3999</v>
      </c>
      <c r="C7946" s="2">
        <v>1</v>
      </c>
      <c r="D7946" t="str">
        <f t="shared" si="124"/>
        <v>US-2014-117170_OFF-PA-10000682</v>
      </c>
      <c r="E7946" t="str">
        <f>IF(COUNTIF(data1!$D:$D,D7946)=0,"Missing in Data1","Present")</f>
        <v>Present</v>
      </c>
    </row>
    <row r="7947" spans="1:5" x14ac:dyDescent="0.25">
      <c r="A7947" s="2" t="s">
        <v>5950</v>
      </c>
      <c r="B7947" s="2" t="s">
        <v>2690</v>
      </c>
      <c r="C7947" s="2">
        <v>2</v>
      </c>
      <c r="D7947" t="str">
        <f t="shared" si="124"/>
        <v>US-2014-117170_TEC-AC-10001109</v>
      </c>
      <c r="E7947" t="str">
        <f>IF(COUNTIF(data1!$D:$D,D7947)=0,"Missing in Data1","Present")</f>
        <v>Present</v>
      </c>
    </row>
    <row r="7948" spans="1:5" x14ac:dyDescent="0.25">
      <c r="A7948" s="2" t="s">
        <v>5952</v>
      </c>
      <c r="B7948" s="2" t="s">
        <v>678</v>
      </c>
      <c r="C7948" s="2">
        <v>5</v>
      </c>
      <c r="D7948" t="str">
        <f t="shared" si="124"/>
        <v>US-2014-117744_FUR-FU-10001588</v>
      </c>
      <c r="E7948" t="str">
        <f>IF(COUNTIF(data1!$D:$D,D7948)=0,"Missing in Data1","Present")</f>
        <v>Present</v>
      </c>
    </row>
    <row r="7949" spans="1:5" x14ac:dyDescent="0.25">
      <c r="A7949" s="2" t="s">
        <v>5952</v>
      </c>
      <c r="B7949" s="2" t="s">
        <v>359</v>
      </c>
      <c r="C7949" s="2">
        <v>5</v>
      </c>
      <c r="D7949" t="str">
        <f t="shared" si="124"/>
        <v>US-2014-117744_FUR-FU-10002759</v>
      </c>
      <c r="E7949" t="str">
        <f>IF(COUNTIF(data1!$D:$D,D7949)=0,"Missing in Data1","Present")</f>
        <v>Present</v>
      </c>
    </row>
    <row r="7950" spans="1:5" x14ac:dyDescent="0.25">
      <c r="A7950" s="2" t="s">
        <v>5952</v>
      </c>
      <c r="B7950" s="2" t="s">
        <v>3171</v>
      </c>
      <c r="C7950" s="2">
        <v>7</v>
      </c>
      <c r="D7950" t="str">
        <f t="shared" si="124"/>
        <v>US-2014-117744_OFF-AR-10000940</v>
      </c>
      <c r="E7950" t="str">
        <f>IF(COUNTIF(data1!$D:$D,D7950)=0,"Missing in Data1","Present")</f>
        <v>Present</v>
      </c>
    </row>
    <row r="7951" spans="1:5" x14ac:dyDescent="0.25">
      <c r="A7951" s="2" t="s">
        <v>5953</v>
      </c>
      <c r="B7951" s="2" t="s">
        <v>2767</v>
      </c>
      <c r="C7951" s="2">
        <v>5</v>
      </c>
      <c r="D7951" t="str">
        <f t="shared" si="124"/>
        <v>US-2014-117968_FUR-CH-10002335</v>
      </c>
      <c r="E7951" t="str">
        <f>IF(COUNTIF(data1!$D:$D,D7951)=0,"Missing in Data1","Present")</f>
        <v>Present</v>
      </c>
    </row>
    <row r="7952" spans="1:5" x14ac:dyDescent="0.25">
      <c r="A7952" s="2" t="s">
        <v>5953</v>
      </c>
      <c r="B7952" s="2" t="s">
        <v>894</v>
      </c>
      <c r="C7952" s="2">
        <v>3</v>
      </c>
      <c r="D7952" t="str">
        <f t="shared" si="124"/>
        <v>US-2014-117968_OFF-AP-10002765</v>
      </c>
      <c r="E7952" t="str">
        <f>IF(COUNTIF(data1!$D:$D,D7952)=0,"Missing in Data1","Present")</f>
        <v>Present</v>
      </c>
    </row>
    <row r="7953" spans="1:5" x14ac:dyDescent="0.25">
      <c r="A7953" s="2" t="s">
        <v>5953</v>
      </c>
      <c r="B7953" s="2" t="s">
        <v>361</v>
      </c>
      <c r="C7953" s="2">
        <v>2</v>
      </c>
      <c r="D7953" t="str">
        <f t="shared" si="124"/>
        <v>US-2014-117968_OFF-AR-10004165</v>
      </c>
      <c r="E7953" t="str">
        <f>IF(COUNTIF(data1!$D:$D,D7953)=0,"Missing in Data1","Present")</f>
        <v>Present</v>
      </c>
    </row>
    <row r="7954" spans="1:5" x14ac:dyDescent="0.25">
      <c r="A7954" s="2" t="s">
        <v>5954</v>
      </c>
      <c r="B7954" s="2" t="s">
        <v>183</v>
      </c>
      <c r="C7954" s="2">
        <v>3</v>
      </c>
      <c r="D7954" t="str">
        <f t="shared" si="124"/>
        <v>US-2014-118486_FUR-TA-10001039</v>
      </c>
      <c r="E7954" t="str">
        <f>IF(COUNTIF(data1!$D:$D,D7954)=0,"Missing in Data1","Present")</f>
        <v>Present</v>
      </c>
    </row>
    <row r="7955" spans="1:5" x14ac:dyDescent="0.25">
      <c r="A7955" s="2" t="s">
        <v>5954</v>
      </c>
      <c r="B7955" s="2" t="s">
        <v>2537</v>
      </c>
      <c r="C7955" s="2">
        <v>1</v>
      </c>
      <c r="D7955" t="str">
        <f t="shared" si="124"/>
        <v>US-2014-118486_OFF-SU-10004498</v>
      </c>
      <c r="E7955" t="str">
        <f>IF(COUNTIF(data1!$D:$D,D7955)=0,"Missing in Data1","Present")</f>
        <v>Present</v>
      </c>
    </row>
    <row r="7956" spans="1:5" x14ac:dyDescent="0.25">
      <c r="A7956" s="2" t="s">
        <v>5954</v>
      </c>
      <c r="B7956" s="2" t="s">
        <v>1747</v>
      </c>
      <c r="C7956" s="2">
        <v>2</v>
      </c>
      <c r="D7956" t="str">
        <f t="shared" si="124"/>
        <v>US-2014-118486_TEC-AC-10004659</v>
      </c>
      <c r="E7956" t="str">
        <f>IF(COUNTIF(data1!$D:$D,D7956)=0,"Missing in Data1","Present")</f>
        <v>Missing in Data1</v>
      </c>
    </row>
    <row r="7957" spans="1:5" x14ac:dyDescent="0.25">
      <c r="A7957" s="2" t="s">
        <v>5955</v>
      </c>
      <c r="B7957" s="2" t="s">
        <v>2848</v>
      </c>
      <c r="C7957" s="2">
        <v>8</v>
      </c>
      <c r="D7957" t="str">
        <f t="shared" si="124"/>
        <v>US-2014-118997_FUR-TA-10001086</v>
      </c>
      <c r="E7957" t="str">
        <f>IF(COUNTIF(data1!$D:$D,D7957)=0,"Missing in Data1","Present")</f>
        <v>Present</v>
      </c>
    </row>
    <row r="7958" spans="1:5" x14ac:dyDescent="0.25">
      <c r="A7958" s="2" t="s">
        <v>5956</v>
      </c>
      <c r="B7958" s="2" t="s">
        <v>2291</v>
      </c>
      <c r="C7958" s="2">
        <v>2</v>
      </c>
      <c r="D7958" t="str">
        <f t="shared" si="124"/>
        <v>US-2014-119081_FUR-FU-10003464</v>
      </c>
      <c r="E7958" t="str">
        <f>IF(COUNTIF(data1!$D:$D,D7958)=0,"Missing in Data1","Present")</f>
        <v>Present</v>
      </c>
    </row>
    <row r="7959" spans="1:5" x14ac:dyDescent="0.25">
      <c r="A7959" s="2" t="s">
        <v>5956</v>
      </c>
      <c r="B7959" s="2" t="s">
        <v>695</v>
      </c>
      <c r="C7959" s="2">
        <v>3</v>
      </c>
      <c r="D7959" t="str">
        <f t="shared" si="124"/>
        <v>US-2014-119081_OFF-SU-10000157</v>
      </c>
      <c r="E7959" t="str">
        <f>IF(COUNTIF(data1!$D:$D,D7959)=0,"Missing in Data1","Present")</f>
        <v>Present</v>
      </c>
    </row>
    <row r="7960" spans="1:5" x14ac:dyDescent="0.25">
      <c r="A7960" s="2" t="s">
        <v>5956</v>
      </c>
      <c r="B7960" s="2" t="s">
        <v>1012</v>
      </c>
      <c r="C7960" s="2">
        <v>5</v>
      </c>
      <c r="D7960" t="str">
        <f t="shared" si="124"/>
        <v>US-2014-119081_TEC-AC-10001542</v>
      </c>
      <c r="E7960" t="str">
        <f>IF(COUNTIF(data1!$D:$D,D7960)=0,"Missing in Data1","Present")</f>
        <v>Present</v>
      </c>
    </row>
    <row r="7961" spans="1:5" x14ac:dyDescent="0.25">
      <c r="A7961" s="2" t="s">
        <v>5957</v>
      </c>
      <c r="B7961" s="2" t="s">
        <v>1917</v>
      </c>
      <c r="C7961" s="2">
        <v>1</v>
      </c>
      <c r="D7961" t="str">
        <f t="shared" si="124"/>
        <v>US-2014-119137_OFF-AR-10000658</v>
      </c>
      <c r="E7961" t="str">
        <f>IF(COUNTIF(data1!$D:$D,D7961)=0,"Missing in Data1","Present")</f>
        <v>Present</v>
      </c>
    </row>
    <row r="7962" spans="1:5" x14ac:dyDescent="0.25">
      <c r="A7962" s="2" t="s">
        <v>5957</v>
      </c>
      <c r="B7962" s="2" t="s">
        <v>274</v>
      </c>
      <c r="C7962" s="2">
        <v>5</v>
      </c>
      <c r="D7962" t="str">
        <f t="shared" si="124"/>
        <v>US-2014-119137_OFF-BI-10001982</v>
      </c>
      <c r="E7962" t="str">
        <f>IF(COUNTIF(data1!$D:$D,D7962)=0,"Missing in Data1","Present")</f>
        <v>Present</v>
      </c>
    </row>
    <row r="7963" spans="1:5" x14ac:dyDescent="0.25">
      <c r="A7963" s="2" t="s">
        <v>5957</v>
      </c>
      <c r="B7963" s="2" t="s">
        <v>1817</v>
      </c>
      <c r="C7963" s="2">
        <v>10</v>
      </c>
      <c r="D7963" t="str">
        <f t="shared" si="124"/>
        <v>US-2014-119137_TEC-AC-10002076</v>
      </c>
      <c r="E7963" t="str">
        <f>IF(COUNTIF(data1!$D:$D,D7963)=0,"Missing in Data1","Present")</f>
        <v>Present</v>
      </c>
    </row>
    <row r="7964" spans="1:5" x14ac:dyDescent="0.25">
      <c r="A7964" s="2" t="s">
        <v>5957</v>
      </c>
      <c r="B7964" s="2" t="s">
        <v>1574</v>
      </c>
      <c r="C7964" s="2">
        <v>8</v>
      </c>
      <c r="D7964" t="str">
        <f t="shared" si="124"/>
        <v>US-2014-119137_TEC-AC-10003911</v>
      </c>
      <c r="E7964" t="str">
        <f>IF(COUNTIF(data1!$D:$D,D7964)=0,"Missing in Data1","Present")</f>
        <v>Present</v>
      </c>
    </row>
    <row r="7965" spans="1:5" x14ac:dyDescent="0.25">
      <c r="A7965" s="2" t="s">
        <v>5958</v>
      </c>
      <c r="B7965" s="2" t="s">
        <v>2178</v>
      </c>
      <c r="C7965" s="2">
        <v>6</v>
      </c>
      <c r="D7965" t="str">
        <f t="shared" si="124"/>
        <v>US-2014-120175_OFF-EN-10003862</v>
      </c>
      <c r="E7965" t="str">
        <f>IF(COUNTIF(data1!$D:$D,D7965)=0,"Missing in Data1","Present")</f>
        <v>Present</v>
      </c>
    </row>
    <row r="7966" spans="1:5" x14ac:dyDescent="0.25">
      <c r="A7966" s="2" t="s">
        <v>5959</v>
      </c>
      <c r="B7966" s="2" t="s">
        <v>1019</v>
      </c>
      <c r="C7966" s="2">
        <v>5</v>
      </c>
      <c r="D7966" t="str">
        <f t="shared" si="124"/>
        <v>US-2014-120236_OFF-BI-10004099</v>
      </c>
      <c r="E7966" t="str">
        <f>IF(COUNTIF(data1!$D:$D,D7966)=0,"Missing in Data1","Present")</f>
        <v>Present</v>
      </c>
    </row>
    <row r="7967" spans="1:5" x14ac:dyDescent="0.25">
      <c r="A7967" s="2" t="s">
        <v>5960</v>
      </c>
      <c r="B7967" s="2" t="s">
        <v>4072</v>
      </c>
      <c r="C7967" s="2">
        <v>2</v>
      </c>
      <c r="D7967" t="str">
        <f t="shared" si="124"/>
        <v>US-2014-120313_TEC-PH-10003092</v>
      </c>
      <c r="E7967" t="str">
        <f>IF(COUNTIF(data1!$D:$D,D7967)=0,"Missing in Data1","Present")</f>
        <v>Present</v>
      </c>
    </row>
    <row r="7968" spans="1:5" x14ac:dyDescent="0.25">
      <c r="A7968" s="2" t="s">
        <v>5961</v>
      </c>
      <c r="B7968" s="2" t="s">
        <v>118</v>
      </c>
      <c r="C7968" s="2">
        <v>4</v>
      </c>
      <c r="D7968" t="str">
        <f t="shared" si="124"/>
        <v>US-2014-120740_FUR-FU-10004091</v>
      </c>
      <c r="E7968" t="str">
        <f>IF(COUNTIF(data1!$D:$D,D7968)=0,"Missing in Data1","Present")</f>
        <v>Present</v>
      </c>
    </row>
    <row r="7969" spans="1:5" x14ac:dyDescent="0.25">
      <c r="A7969" s="2" t="s">
        <v>5961</v>
      </c>
      <c r="B7969" s="2" t="s">
        <v>1457</v>
      </c>
      <c r="C7969" s="2">
        <v>2</v>
      </c>
      <c r="D7969" t="str">
        <f t="shared" si="124"/>
        <v>US-2014-120740_OFF-AP-10000240</v>
      </c>
      <c r="E7969" t="str">
        <f>IF(COUNTIF(data1!$D:$D,D7969)=0,"Missing in Data1","Present")</f>
        <v>Present</v>
      </c>
    </row>
    <row r="7970" spans="1:5" x14ac:dyDescent="0.25">
      <c r="A7970" s="2" t="s">
        <v>5962</v>
      </c>
      <c r="B7970" s="2" t="s">
        <v>3069</v>
      </c>
      <c r="C7970" s="2">
        <v>3</v>
      </c>
      <c r="D7970" t="str">
        <f t="shared" si="124"/>
        <v>US-2014-121566_OFF-AR-10001026</v>
      </c>
      <c r="E7970" t="str">
        <f>IF(COUNTIF(data1!$D:$D,D7970)=0,"Missing in Data1","Present")</f>
        <v>Present</v>
      </c>
    </row>
    <row r="7971" spans="1:5" x14ac:dyDescent="0.25">
      <c r="A7971" s="2" t="s">
        <v>5962</v>
      </c>
      <c r="B7971" s="2" t="s">
        <v>2806</v>
      </c>
      <c r="C7971" s="2">
        <v>1</v>
      </c>
      <c r="D7971" t="str">
        <f t="shared" si="124"/>
        <v>US-2014-121566_OFF-BI-10004528</v>
      </c>
      <c r="E7971" t="str">
        <f>IF(COUNTIF(data1!$D:$D,D7971)=0,"Missing in Data1","Present")</f>
        <v>Present</v>
      </c>
    </row>
    <row r="7972" spans="1:5" x14ac:dyDescent="0.25">
      <c r="A7972" s="2" t="s">
        <v>5963</v>
      </c>
      <c r="B7972" s="2" t="s">
        <v>1950</v>
      </c>
      <c r="C7972" s="2">
        <v>1</v>
      </c>
      <c r="D7972" t="str">
        <f t="shared" si="124"/>
        <v>US-2014-121734_OFF-BI-10004817</v>
      </c>
      <c r="E7972" t="str">
        <f>IF(COUNTIF(data1!$D:$D,D7972)=0,"Missing in Data1","Present")</f>
        <v>Present</v>
      </c>
    </row>
    <row r="7973" spans="1:5" x14ac:dyDescent="0.25">
      <c r="A7973" s="2" t="s">
        <v>5964</v>
      </c>
      <c r="B7973" s="2" t="s">
        <v>833</v>
      </c>
      <c r="C7973" s="2">
        <v>2</v>
      </c>
      <c r="D7973" t="str">
        <f t="shared" si="124"/>
        <v>US-2014-122021_FUR-CH-10003761</v>
      </c>
      <c r="E7973" t="str">
        <f>IF(COUNTIF(data1!$D:$D,D7973)=0,"Missing in Data1","Present")</f>
        <v>Present</v>
      </c>
    </row>
    <row r="7974" spans="1:5" x14ac:dyDescent="0.25">
      <c r="A7974" s="2" t="s">
        <v>5964</v>
      </c>
      <c r="B7974" s="2" t="s">
        <v>1244</v>
      </c>
      <c r="C7974" s="2">
        <v>2</v>
      </c>
      <c r="D7974" t="str">
        <f t="shared" si="124"/>
        <v>US-2014-122021_OFF-PA-10002230</v>
      </c>
      <c r="E7974" t="str">
        <f>IF(COUNTIF(data1!$D:$D,D7974)=0,"Missing in Data1","Present")</f>
        <v>Present</v>
      </c>
    </row>
    <row r="7975" spans="1:5" x14ac:dyDescent="0.25">
      <c r="A7975" s="2" t="s">
        <v>5965</v>
      </c>
      <c r="B7975" s="2" t="s">
        <v>1382</v>
      </c>
      <c r="C7975" s="2">
        <v>2</v>
      </c>
      <c r="D7975" t="str">
        <f t="shared" si="124"/>
        <v>US-2014-122959_OFF-BI-10003650</v>
      </c>
      <c r="E7975" t="str">
        <f>IF(COUNTIF(data1!$D:$D,D7975)=0,"Missing in Data1","Present")</f>
        <v>Present</v>
      </c>
    </row>
    <row r="7976" spans="1:5" x14ac:dyDescent="0.25">
      <c r="A7976" s="2" t="s">
        <v>5966</v>
      </c>
      <c r="B7976" s="2" t="s">
        <v>1049</v>
      </c>
      <c r="C7976" s="2">
        <v>6</v>
      </c>
      <c r="D7976" t="str">
        <f t="shared" si="124"/>
        <v>US-2014-123183_FUR-BO-10000362</v>
      </c>
      <c r="E7976" t="str">
        <f>IF(COUNTIF(data1!$D:$D,D7976)=0,"Missing in Data1","Present")</f>
        <v>Present</v>
      </c>
    </row>
    <row r="7977" spans="1:5" x14ac:dyDescent="0.25">
      <c r="A7977" s="2" t="s">
        <v>5966</v>
      </c>
      <c r="B7977" s="2" t="s">
        <v>150</v>
      </c>
      <c r="C7977" s="2">
        <v>7</v>
      </c>
      <c r="D7977" t="str">
        <f t="shared" si="124"/>
        <v>US-2014-123183_OFF-BI-10002429</v>
      </c>
      <c r="E7977" t="str">
        <f>IF(COUNTIF(data1!$D:$D,D7977)=0,"Missing in Data1","Present")</f>
        <v>Present</v>
      </c>
    </row>
    <row r="7978" spans="1:5" x14ac:dyDescent="0.25">
      <c r="A7978" s="2" t="s">
        <v>5966</v>
      </c>
      <c r="B7978" s="2" t="s">
        <v>279</v>
      </c>
      <c r="C7978" s="2">
        <v>2</v>
      </c>
      <c r="D7978" t="str">
        <f t="shared" si="124"/>
        <v>US-2014-123183_OFF-LA-10001569</v>
      </c>
      <c r="E7978" t="str">
        <f>IF(COUNTIF(data1!$D:$D,D7978)=0,"Missing in Data1","Present")</f>
        <v>Present</v>
      </c>
    </row>
    <row r="7979" spans="1:5" x14ac:dyDescent="0.25">
      <c r="A7979" s="2" t="s">
        <v>5966</v>
      </c>
      <c r="B7979" s="2" t="s">
        <v>997</v>
      </c>
      <c r="C7979" s="2">
        <v>6</v>
      </c>
      <c r="D7979" t="str">
        <f t="shared" si="124"/>
        <v>US-2014-123183_OFF-LA-10002787</v>
      </c>
      <c r="E7979" t="str">
        <f>IF(COUNTIF(data1!$D:$D,D7979)=0,"Missing in Data1","Present")</f>
        <v>Present</v>
      </c>
    </row>
    <row r="7980" spans="1:5" x14ac:dyDescent="0.25">
      <c r="A7980" s="2" t="s">
        <v>5967</v>
      </c>
      <c r="B7980" s="2" t="s">
        <v>2366</v>
      </c>
      <c r="C7980" s="2">
        <v>1</v>
      </c>
      <c r="D7980" t="str">
        <f t="shared" si="124"/>
        <v>US-2014-123519_FUR-TA-10002645</v>
      </c>
      <c r="E7980" t="str">
        <f>IF(COUNTIF(data1!$D:$D,D7980)=0,"Missing in Data1","Present")</f>
        <v>Present</v>
      </c>
    </row>
    <row r="7981" spans="1:5" x14ac:dyDescent="0.25">
      <c r="A7981" s="2" t="s">
        <v>5967</v>
      </c>
      <c r="B7981" s="2" t="s">
        <v>617</v>
      </c>
      <c r="C7981" s="2">
        <v>1</v>
      </c>
      <c r="D7981" t="str">
        <f t="shared" si="124"/>
        <v>US-2014-123519_OFF-AR-10003829</v>
      </c>
      <c r="E7981" t="str">
        <f>IF(COUNTIF(data1!$D:$D,D7981)=0,"Missing in Data1","Present")</f>
        <v>Present</v>
      </c>
    </row>
    <row r="7982" spans="1:5" x14ac:dyDescent="0.25">
      <c r="A7982" s="2" t="s">
        <v>5967</v>
      </c>
      <c r="B7982" s="2" t="s">
        <v>2361</v>
      </c>
      <c r="C7982" s="2">
        <v>1</v>
      </c>
      <c r="D7982" t="str">
        <f t="shared" si="124"/>
        <v>US-2014-123519_TEC-AC-10003033</v>
      </c>
      <c r="E7982" t="str">
        <f>IF(COUNTIF(data1!$D:$D,D7982)=0,"Missing in Data1","Present")</f>
        <v>Missing in Data1</v>
      </c>
    </row>
    <row r="7983" spans="1:5" x14ac:dyDescent="0.25">
      <c r="A7983" s="2" t="s">
        <v>5968</v>
      </c>
      <c r="B7983" s="2" t="s">
        <v>1870</v>
      </c>
      <c r="C7983" s="2">
        <v>3</v>
      </c>
      <c r="D7983" t="str">
        <f t="shared" si="124"/>
        <v>US-2014-124625_TEC-AC-10003280</v>
      </c>
      <c r="E7983" t="str">
        <f>IF(COUNTIF(data1!$D:$D,D7983)=0,"Missing in Data1","Present")</f>
        <v>Present</v>
      </c>
    </row>
    <row r="7984" spans="1:5" x14ac:dyDescent="0.25">
      <c r="A7984" s="2" t="s">
        <v>5969</v>
      </c>
      <c r="B7984" s="2" t="s">
        <v>1682</v>
      </c>
      <c r="C7984" s="2">
        <v>4</v>
      </c>
      <c r="D7984" t="str">
        <f t="shared" si="124"/>
        <v>US-2014-125521_FUR-CH-10003379</v>
      </c>
      <c r="E7984" t="str">
        <f>IF(COUNTIF(data1!$D:$D,D7984)=0,"Missing in Data1","Present")</f>
        <v>Present</v>
      </c>
    </row>
    <row r="7985" spans="1:5" x14ac:dyDescent="0.25">
      <c r="A7985" s="2" t="s">
        <v>5970</v>
      </c>
      <c r="B7985" s="2" t="s">
        <v>1205</v>
      </c>
      <c r="C7985" s="2">
        <v>3</v>
      </c>
      <c r="D7985" t="str">
        <f t="shared" si="124"/>
        <v>US-2014-126340_TEC-PH-10004447</v>
      </c>
      <c r="E7985" t="str">
        <f>IF(COUNTIF(data1!$D:$D,D7985)=0,"Missing in Data1","Present")</f>
        <v>Present</v>
      </c>
    </row>
    <row r="7986" spans="1:5" x14ac:dyDescent="0.25">
      <c r="A7986" s="2" t="s">
        <v>5971</v>
      </c>
      <c r="B7986" s="2" t="s">
        <v>1646</v>
      </c>
      <c r="C7986" s="2">
        <v>3</v>
      </c>
      <c r="D7986" t="str">
        <f t="shared" si="124"/>
        <v>US-2014-126571_OFF-EN-10002230</v>
      </c>
      <c r="E7986" t="str">
        <f>IF(COUNTIF(data1!$D:$D,D7986)=0,"Missing in Data1","Present")</f>
        <v>Present</v>
      </c>
    </row>
    <row r="7987" spans="1:5" x14ac:dyDescent="0.25">
      <c r="A7987" s="2" t="s">
        <v>5971</v>
      </c>
      <c r="B7987" s="2" t="s">
        <v>2294</v>
      </c>
      <c r="C7987" s="2">
        <v>2</v>
      </c>
      <c r="D7987" t="str">
        <f t="shared" si="124"/>
        <v>US-2014-126571_OFF-ST-10003816</v>
      </c>
      <c r="E7987" t="str">
        <f>IF(COUNTIF(data1!$D:$D,D7987)=0,"Missing in Data1","Present")</f>
        <v>Present</v>
      </c>
    </row>
    <row r="7988" spans="1:5" x14ac:dyDescent="0.25">
      <c r="A7988" s="2" t="s">
        <v>5972</v>
      </c>
      <c r="B7988" s="2" t="s">
        <v>388</v>
      </c>
      <c r="C7988" s="2">
        <v>5</v>
      </c>
      <c r="D7988" t="str">
        <f t="shared" si="124"/>
        <v>US-2014-127635_FUR-FU-10000550</v>
      </c>
      <c r="E7988" t="str">
        <f>IF(COUNTIF(data1!$D:$D,D7988)=0,"Missing in Data1","Present")</f>
        <v>Present</v>
      </c>
    </row>
    <row r="7989" spans="1:5" x14ac:dyDescent="0.25">
      <c r="A7989" s="2" t="s">
        <v>5972</v>
      </c>
      <c r="B7989" s="2" t="s">
        <v>4318</v>
      </c>
      <c r="C7989" s="2">
        <v>2</v>
      </c>
      <c r="D7989" t="str">
        <f t="shared" si="124"/>
        <v>US-2014-127635_OFF-BI-10001721</v>
      </c>
      <c r="E7989" t="str">
        <f>IF(COUNTIF(data1!$D:$D,D7989)=0,"Missing in Data1","Present")</f>
        <v>Present</v>
      </c>
    </row>
    <row r="7990" spans="1:5" x14ac:dyDescent="0.25">
      <c r="A7990" s="2" t="s">
        <v>5973</v>
      </c>
      <c r="B7990" s="2" t="s">
        <v>1343</v>
      </c>
      <c r="C7990" s="2">
        <v>5</v>
      </c>
      <c r="D7990" t="str">
        <f t="shared" si="124"/>
        <v>US-2014-127978_FUR-BO-10001972</v>
      </c>
      <c r="E7990" t="str">
        <f>IF(COUNTIF(data1!$D:$D,D7990)=0,"Missing in Data1","Present")</f>
        <v>Present</v>
      </c>
    </row>
    <row r="7991" spans="1:5" x14ac:dyDescent="0.25">
      <c r="A7991" s="2" t="s">
        <v>5973</v>
      </c>
      <c r="B7991" s="2" t="s">
        <v>575</v>
      </c>
      <c r="C7991" s="2">
        <v>3</v>
      </c>
      <c r="D7991" t="str">
        <f t="shared" si="124"/>
        <v>US-2014-127978_OFF-LA-10000305</v>
      </c>
      <c r="E7991" t="str">
        <f>IF(COUNTIF(data1!$D:$D,D7991)=0,"Missing in Data1","Present")</f>
        <v>Present</v>
      </c>
    </row>
    <row r="7992" spans="1:5" x14ac:dyDescent="0.25">
      <c r="A7992" s="2" t="s">
        <v>5973</v>
      </c>
      <c r="B7992" s="2" t="s">
        <v>2470</v>
      </c>
      <c r="C7992" s="2">
        <v>8</v>
      </c>
      <c r="D7992" t="str">
        <f t="shared" si="124"/>
        <v>US-2014-127978_OFF-ST-10002486</v>
      </c>
      <c r="E7992" t="str">
        <f>IF(COUNTIF(data1!$D:$D,D7992)=0,"Missing in Data1","Present")</f>
        <v>Present</v>
      </c>
    </row>
    <row r="7993" spans="1:5" x14ac:dyDescent="0.25">
      <c r="A7993" s="2" t="s">
        <v>5974</v>
      </c>
      <c r="B7993" s="2" t="s">
        <v>70</v>
      </c>
      <c r="C7993" s="2">
        <v>2</v>
      </c>
      <c r="D7993" t="str">
        <f t="shared" si="124"/>
        <v>US-2014-128685_OFF-BI-10004140</v>
      </c>
      <c r="E7993" t="str">
        <f>IF(COUNTIF(data1!$D:$D,D7993)=0,"Missing in Data1","Present")</f>
        <v>Present</v>
      </c>
    </row>
    <row r="7994" spans="1:5" x14ac:dyDescent="0.25">
      <c r="A7994" s="2" t="s">
        <v>5976</v>
      </c>
      <c r="B7994" s="2" t="s">
        <v>5364</v>
      </c>
      <c r="C7994" s="2">
        <v>9</v>
      </c>
      <c r="D7994" t="str">
        <f t="shared" si="124"/>
        <v>US-2014-130358_OFF-AR-10002766</v>
      </c>
      <c r="E7994" t="str">
        <f>IF(COUNTIF(data1!$D:$D,D7994)=0,"Missing in Data1","Present")</f>
        <v>Present</v>
      </c>
    </row>
    <row r="7995" spans="1:5" x14ac:dyDescent="0.25">
      <c r="A7995" s="2" t="s">
        <v>5976</v>
      </c>
      <c r="B7995" s="2" t="s">
        <v>1341</v>
      </c>
      <c r="C7995" s="2">
        <v>1</v>
      </c>
      <c r="D7995" t="str">
        <f t="shared" si="124"/>
        <v>US-2014-130358_OFF-SU-10002522</v>
      </c>
      <c r="E7995" t="str">
        <f>IF(COUNTIF(data1!$D:$D,D7995)=0,"Missing in Data1","Present")</f>
        <v>Present</v>
      </c>
    </row>
    <row r="7996" spans="1:5" x14ac:dyDescent="0.25">
      <c r="A7996" s="2" t="s">
        <v>5977</v>
      </c>
      <c r="B7996" s="2" t="s">
        <v>748</v>
      </c>
      <c r="C7996" s="2">
        <v>2</v>
      </c>
      <c r="D7996" t="str">
        <f t="shared" si="124"/>
        <v>US-2014-130379_FUR-FU-10002553</v>
      </c>
      <c r="E7996" t="str">
        <f>IF(COUNTIF(data1!$D:$D,D7996)=0,"Missing in Data1","Present")</f>
        <v>Present</v>
      </c>
    </row>
    <row r="7997" spans="1:5" x14ac:dyDescent="0.25">
      <c r="A7997" s="2" t="s">
        <v>5977</v>
      </c>
      <c r="B7997" s="2" t="s">
        <v>2622</v>
      </c>
      <c r="C7997" s="2">
        <v>2</v>
      </c>
      <c r="D7997" t="str">
        <f t="shared" si="124"/>
        <v>US-2014-130379_OFF-AP-10001394</v>
      </c>
      <c r="E7997" t="str">
        <f>IF(COUNTIF(data1!$D:$D,D7997)=0,"Missing in Data1","Present")</f>
        <v>Present</v>
      </c>
    </row>
    <row r="7998" spans="1:5" x14ac:dyDescent="0.25">
      <c r="A7998" s="2" t="s">
        <v>5978</v>
      </c>
      <c r="B7998" s="2" t="s">
        <v>835</v>
      </c>
      <c r="C7998" s="2">
        <v>7</v>
      </c>
      <c r="D7998" t="str">
        <f t="shared" si="124"/>
        <v>US-2014-131275_OFF-ST-10000078</v>
      </c>
      <c r="E7998" t="str">
        <f>IF(COUNTIF(data1!$D:$D,D7998)=0,"Missing in Data1","Present")</f>
        <v>Present</v>
      </c>
    </row>
    <row r="7999" spans="1:5" x14ac:dyDescent="0.25">
      <c r="A7999" s="2" t="s">
        <v>5978</v>
      </c>
      <c r="B7999" s="2" t="s">
        <v>3157</v>
      </c>
      <c r="C7999" s="2">
        <v>4</v>
      </c>
      <c r="D7999" t="str">
        <f t="shared" si="124"/>
        <v>US-2014-131275_TEC-MA-10001148</v>
      </c>
      <c r="E7999" t="str">
        <f>IF(COUNTIF(data1!$D:$D,D7999)=0,"Missing in Data1","Present")</f>
        <v>Present</v>
      </c>
    </row>
    <row r="8000" spans="1:5" x14ac:dyDescent="0.25">
      <c r="A8000" s="2" t="s">
        <v>5979</v>
      </c>
      <c r="B8000" s="2" t="s">
        <v>5229</v>
      </c>
      <c r="C8000" s="2">
        <v>6</v>
      </c>
      <c r="D8000" t="str">
        <f t="shared" si="124"/>
        <v>US-2014-131870_FUR-FU-10002501</v>
      </c>
      <c r="E8000" t="str">
        <f>IF(COUNTIF(data1!$D:$D,D8000)=0,"Missing in Data1","Present")</f>
        <v>Present</v>
      </c>
    </row>
    <row r="8001" spans="1:5" x14ac:dyDescent="0.25">
      <c r="A8001" s="2" t="s">
        <v>5979</v>
      </c>
      <c r="B8001" s="2" t="s">
        <v>95</v>
      </c>
      <c r="C8001" s="2">
        <v>9</v>
      </c>
      <c r="D8001" t="str">
        <f t="shared" si="124"/>
        <v>US-2014-131870_OFF-AR-10000634</v>
      </c>
      <c r="E8001" t="str">
        <f>IF(COUNTIF(data1!$D:$D,D8001)=0,"Missing in Data1","Present")</f>
        <v>Present</v>
      </c>
    </row>
    <row r="8002" spans="1:5" x14ac:dyDescent="0.25">
      <c r="A8002" s="2" t="s">
        <v>5980</v>
      </c>
      <c r="B8002" s="2" t="s">
        <v>2608</v>
      </c>
      <c r="C8002" s="2">
        <v>2</v>
      </c>
      <c r="D8002" t="str">
        <f t="shared" si="124"/>
        <v>US-2014-131982_OFF-BI-10004224</v>
      </c>
      <c r="E8002" t="str">
        <f>IF(COUNTIF(data1!$D:$D,D8002)=0,"Missing in Data1","Present")</f>
        <v>Present</v>
      </c>
    </row>
    <row r="8003" spans="1:5" x14ac:dyDescent="0.25">
      <c r="A8003" s="2" t="s">
        <v>5981</v>
      </c>
      <c r="B8003" s="2" t="s">
        <v>670</v>
      </c>
      <c r="C8003" s="2">
        <v>1</v>
      </c>
      <c r="D8003" t="str">
        <f t="shared" ref="D8003:D8066" si="125">A8003&amp;"_"&amp;B8003</f>
        <v>US-2014-132745_OFF-FA-10000254</v>
      </c>
      <c r="E8003" t="str">
        <f>IF(COUNTIF(data1!$D:$D,D8003)=0,"Missing in Data1","Present")</f>
        <v>Present</v>
      </c>
    </row>
    <row r="8004" spans="1:5" x14ac:dyDescent="0.25">
      <c r="A8004" s="2" t="s">
        <v>5982</v>
      </c>
      <c r="B8004" s="2" t="s">
        <v>16</v>
      </c>
      <c r="C8004" s="2">
        <v>5</v>
      </c>
      <c r="D8004" t="str">
        <f t="shared" si="125"/>
        <v>US-2014-133130_FUR-CH-10002602</v>
      </c>
      <c r="E8004" t="str">
        <f>IF(COUNTIF(data1!$D:$D,D8004)=0,"Missing in Data1","Present")</f>
        <v>Present</v>
      </c>
    </row>
    <row r="8005" spans="1:5" x14ac:dyDescent="0.25">
      <c r="A8005" s="2" t="s">
        <v>5982</v>
      </c>
      <c r="B8005" s="2" t="s">
        <v>1670</v>
      </c>
      <c r="C8005" s="2">
        <v>2</v>
      </c>
      <c r="D8005" t="str">
        <f t="shared" si="125"/>
        <v>US-2014-133130_OFF-PA-10000675</v>
      </c>
      <c r="E8005" t="str">
        <f>IF(COUNTIF(data1!$D:$D,D8005)=0,"Missing in Data1","Present")</f>
        <v>Present</v>
      </c>
    </row>
    <row r="8006" spans="1:5" x14ac:dyDescent="0.25">
      <c r="A8006" s="2" t="s">
        <v>5983</v>
      </c>
      <c r="B8006" s="2" t="s">
        <v>2563</v>
      </c>
      <c r="C8006" s="2">
        <v>7</v>
      </c>
      <c r="D8006" t="str">
        <f t="shared" si="125"/>
        <v>US-2014-133949_TEC-PH-10004908</v>
      </c>
      <c r="E8006" t="str">
        <f>IF(COUNTIF(data1!$D:$D,D8006)=0,"Missing in Data1","Present")</f>
        <v>Present</v>
      </c>
    </row>
    <row r="8007" spans="1:5" x14ac:dyDescent="0.25">
      <c r="A8007" s="2" t="s">
        <v>5984</v>
      </c>
      <c r="B8007" s="2" t="s">
        <v>5690</v>
      </c>
      <c r="C8007" s="2">
        <v>7</v>
      </c>
      <c r="D8007" t="str">
        <f t="shared" si="125"/>
        <v>US-2014-134054_OFF-AR-10000937</v>
      </c>
      <c r="E8007" t="str">
        <f>IF(COUNTIF(data1!$D:$D,D8007)=0,"Missing in Data1","Present")</f>
        <v>Present</v>
      </c>
    </row>
    <row r="8008" spans="1:5" x14ac:dyDescent="0.25">
      <c r="A8008" s="2" t="s">
        <v>5985</v>
      </c>
      <c r="B8008" s="2" t="s">
        <v>3171</v>
      </c>
      <c r="C8008" s="2">
        <v>1</v>
      </c>
      <c r="D8008" t="str">
        <f t="shared" si="125"/>
        <v>US-2014-134187_OFF-AR-10000940</v>
      </c>
      <c r="E8008" t="str">
        <f>IF(COUNTIF(data1!$D:$D,D8008)=0,"Missing in Data1","Present")</f>
        <v>Present</v>
      </c>
    </row>
    <row r="8009" spans="1:5" x14ac:dyDescent="0.25">
      <c r="A8009" s="2" t="s">
        <v>5986</v>
      </c>
      <c r="B8009" s="2" t="s">
        <v>1021</v>
      </c>
      <c r="C8009" s="2">
        <v>6</v>
      </c>
      <c r="D8009" t="str">
        <f t="shared" si="125"/>
        <v>US-2014-134614_FUR-TA-10004534</v>
      </c>
      <c r="E8009" t="str">
        <f>IF(COUNTIF(data1!$D:$D,D8009)=0,"Missing in Data1","Present")</f>
        <v>Present</v>
      </c>
    </row>
    <row r="8010" spans="1:5" x14ac:dyDescent="0.25">
      <c r="A8010" s="2" t="s">
        <v>5987</v>
      </c>
      <c r="B8010" s="2" t="s">
        <v>1320</v>
      </c>
      <c r="C8010" s="2">
        <v>2</v>
      </c>
      <c r="D8010" t="str">
        <f t="shared" si="125"/>
        <v>US-2014-134712_OFF-FA-10003112</v>
      </c>
      <c r="E8010" t="str">
        <f>IF(COUNTIF(data1!$D:$D,D8010)=0,"Missing in Data1","Present")</f>
        <v>Present</v>
      </c>
    </row>
    <row r="8011" spans="1:5" x14ac:dyDescent="0.25">
      <c r="A8011" s="2" t="s">
        <v>5988</v>
      </c>
      <c r="B8011" s="2" t="s">
        <v>411</v>
      </c>
      <c r="C8011" s="2">
        <v>3</v>
      </c>
      <c r="D8011" t="str">
        <f t="shared" si="125"/>
        <v>US-2014-134733_FUR-BO-10002916</v>
      </c>
      <c r="E8011" t="str">
        <f>IF(COUNTIF(data1!$D:$D,D8011)=0,"Missing in Data1","Present")</f>
        <v>Present</v>
      </c>
    </row>
    <row r="8012" spans="1:5" x14ac:dyDescent="0.25">
      <c r="A8012" s="2" t="s">
        <v>5988</v>
      </c>
      <c r="B8012" s="2" t="s">
        <v>244</v>
      </c>
      <c r="C8012" s="2">
        <v>2</v>
      </c>
      <c r="D8012" t="str">
        <f t="shared" si="125"/>
        <v>US-2014-134733_TEC-PH-10002726</v>
      </c>
      <c r="E8012" t="str">
        <f>IF(COUNTIF(data1!$D:$D,D8012)=0,"Missing in Data1","Present")</f>
        <v>Present</v>
      </c>
    </row>
    <row r="8013" spans="1:5" x14ac:dyDescent="0.25">
      <c r="A8013" s="2" t="s">
        <v>5989</v>
      </c>
      <c r="B8013" s="2" t="s">
        <v>1117</v>
      </c>
      <c r="C8013" s="2">
        <v>3</v>
      </c>
      <c r="D8013" t="str">
        <f t="shared" si="125"/>
        <v>US-2014-134971_OFF-BI-10003982</v>
      </c>
      <c r="E8013" t="str">
        <f>IF(COUNTIF(data1!$D:$D,D8013)=0,"Missing in Data1","Present")</f>
        <v>Present</v>
      </c>
    </row>
    <row r="8014" spans="1:5" x14ac:dyDescent="0.25">
      <c r="A8014" s="2" t="s">
        <v>5990</v>
      </c>
      <c r="B8014" s="2" t="s">
        <v>563</v>
      </c>
      <c r="C8014" s="2">
        <v>1</v>
      </c>
      <c r="D8014" t="str">
        <f t="shared" si="125"/>
        <v>US-2014-135881_OFF-AP-10002118</v>
      </c>
      <c r="E8014" t="str">
        <f>IF(COUNTIF(data1!$D:$D,D8014)=0,"Missing in Data1","Present")</f>
        <v>Present</v>
      </c>
    </row>
    <row r="8015" spans="1:5" x14ac:dyDescent="0.25">
      <c r="A8015" s="2" t="s">
        <v>5990</v>
      </c>
      <c r="B8015" s="2" t="s">
        <v>419</v>
      </c>
      <c r="C8015" s="2">
        <v>5</v>
      </c>
      <c r="D8015" t="str">
        <f t="shared" si="125"/>
        <v>US-2014-135881_OFF-BI-10000829</v>
      </c>
      <c r="E8015" t="str">
        <f>IF(COUNTIF(data1!$D:$D,D8015)=0,"Missing in Data1","Present")</f>
        <v>Present</v>
      </c>
    </row>
    <row r="8016" spans="1:5" x14ac:dyDescent="0.25">
      <c r="A8016" s="2" t="s">
        <v>5990</v>
      </c>
      <c r="B8016" s="2" t="s">
        <v>3949</v>
      </c>
      <c r="C8016" s="2">
        <v>2</v>
      </c>
      <c r="D8016" t="str">
        <f t="shared" si="125"/>
        <v>US-2014-135881_OFF-SU-10003002</v>
      </c>
      <c r="E8016" t="str">
        <f>IF(COUNTIF(data1!$D:$D,D8016)=0,"Missing in Data1","Present")</f>
        <v>Present</v>
      </c>
    </row>
    <row r="8017" spans="1:5" x14ac:dyDescent="0.25">
      <c r="A8017" s="2" t="s">
        <v>5991</v>
      </c>
      <c r="B8017" s="2" t="s">
        <v>3011</v>
      </c>
      <c r="C8017" s="2">
        <v>3</v>
      </c>
      <c r="D8017" t="str">
        <f t="shared" si="125"/>
        <v>US-2014-135972_TEC-CO-10002313</v>
      </c>
      <c r="E8017" t="str">
        <f>IF(COUNTIF(data1!$D:$D,D8017)=0,"Missing in Data1","Present")</f>
        <v>Present</v>
      </c>
    </row>
    <row r="8018" spans="1:5" x14ac:dyDescent="0.25">
      <c r="A8018" s="2" t="s">
        <v>5991</v>
      </c>
      <c r="B8018" s="2" t="s">
        <v>1980</v>
      </c>
      <c r="C8018" s="2">
        <v>2</v>
      </c>
      <c r="D8018" t="str">
        <f t="shared" si="125"/>
        <v>US-2014-135972_TEC-PH-10003012</v>
      </c>
      <c r="E8018" t="str">
        <f>IF(COUNTIF(data1!$D:$D,D8018)=0,"Missing in Data1","Present")</f>
        <v>Present</v>
      </c>
    </row>
    <row r="8019" spans="1:5" x14ac:dyDescent="0.25">
      <c r="A8019" s="2" t="s">
        <v>5992</v>
      </c>
      <c r="B8019" s="2" t="s">
        <v>2724</v>
      </c>
      <c r="C8019" s="2">
        <v>6</v>
      </c>
      <c r="D8019" t="str">
        <f t="shared" si="125"/>
        <v>US-2014-137155_FUR-FU-10003142</v>
      </c>
      <c r="E8019" t="str">
        <f>IF(COUNTIF(data1!$D:$D,D8019)=0,"Missing in Data1","Present")</f>
        <v>Present</v>
      </c>
    </row>
    <row r="8020" spans="1:5" x14ac:dyDescent="0.25">
      <c r="A8020" s="2" t="s">
        <v>5992</v>
      </c>
      <c r="B8020" s="2" t="s">
        <v>1189</v>
      </c>
      <c r="C8020" s="2">
        <v>3</v>
      </c>
      <c r="D8020" t="str">
        <f t="shared" si="125"/>
        <v>US-2014-137155_OFF-AP-10002518</v>
      </c>
      <c r="E8020" t="str">
        <f>IF(COUNTIF(data1!$D:$D,D8020)=0,"Missing in Data1","Present")</f>
        <v>Present</v>
      </c>
    </row>
    <row r="8021" spans="1:5" x14ac:dyDescent="0.25">
      <c r="A8021" s="2" t="s">
        <v>5992</v>
      </c>
      <c r="B8021" s="2" t="s">
        <v>829</v>
      </c>
      <c r="C8021" s="2">
        <v>3</v>
      </c>
      <c r="D8021" t="str">
        <f t="shared" si="125"/>
        <v>US-2014-137155_OFF-PA-10000806</v>
      </c>
      <c r="E8021" t="str">
        <f>IF(COUNTIF(data1!$D:$D,D8021)=0,"Missing in Data1","Present")</f>
        <v>Missing in Data1</v>
      </c>
    </row>
    <row r="8022" spans="1:5" x14ac:dyDescent="0.25">
      <c r="A8022" s="2" t="s">
        <v>5993</v>
      </c>
      <c r="B8022" s="2" t="s">
        <v>2029</v>
      </c>
      <c r="C8022" s="2">
        <v>3</v>
      </c>
      <c r="D8022" t="str">
        <f t="shared" si="125"/>
        <v>US-2014-137680_OFF-PA-10000069</v>
      </c>
      <c r="E8022" t="str">
        <f>IF(COUNTIF(data1!$D:$D,D8022)=0,"Missing in Data1","Present")</f>
        <v>Present</v>
      </c>
    </row>
    <row r="8023" spans="1:5" x14ac:dyDescent="0.25">
      <c r="A8023" s="2" t="s">
        <v>5993</v>
      </c>
      <c r="B8023" s="2" t="s">
        <v>155</v>
      </c>
      <c r="C8023" s="2">
        <v>4</v>
      </c>
      <c r="D8023" t="str">
        <f t="shared" si="125"/>
        <v>US-2014-137680_OFF-PA-10000174</v>
      </c>
      <c r="E8023" t="str">
        <f>IF(COUNTIF(data1!$D:$D,D8023)=0,"Missing in Data1","Present")</f>
        <v>Present</v>
      </c>
    </row>
    <row r="8024" spans="1:5" x14ac:dyDescent="0.25">
      <c r="A8024" s="2" t="s">
        <v>5994</v>
      </c>
      <c r="B8024" s="2" t="s">
        <v>318</v>
      </c>
      <c r="C8024" s="2">
        <v>4</v>
      </c>
      <c r="D8024" t="str">
        <f t="shared" si="125"/>
        <v>US-2014-137869_FUR-TA-10003954</v>
      </c>
      <c r="E8024" t="str">
        <f>IF(COUNTIF(data1!$D:$D,D8024)=0,"Missing in Data1","Present")</f>
        <v>Present</v>
      </c>
    </row>
    <row r="8025" spans="1:5" x14ac:dyDescent="0.25">
      <c r="A8025" s="2" t="s">
        <v>5994</v>
      </c>
      <c r="B8025" s="2" t="s">
        <v>2505</v>
      </c>
      <c r="C8025" s="2">
        <v>3</v>
      </c>
      <c r="D8025" t="str">
        <f t="shared" si="125"/>
        <v>US-2014-137869_OFF-EN-10001509</v>
      </c>
      <c r="E8025" t="str">
        <f>IF(COUNTIF(data1!$D:$D,D8025)=0,"Missing in Data1","Present")</f>
        <v>Present</v>
      </c>
    </row>
    <row r="8026" spans="1:5" x14ac:dyDescent="0.25">
      <c r="A8026" s="2" t="s">
        <v>5995</v>
      </c>
      <c r="B8026" s="2" t="s">
        <v>2577</v>
      </c>
      <c r="C8026" s="2">
        <v>1</v>
      </c>
      <c r="D8026" t="str">
        <f t="shared" si="125"/>
        <v>US-2014-138247_FUR-FU-10002554</v>
      </c>
      <c r="E8026" t="str">
        <f>IF(COUNTIF(data1!$D:$D,D8026)=0,"Missing in Data1","Present")</f>
        <v>Present</v>
      </c>
    </row>
    <row r="8027" spans="1:5" x14ac:dyDescent="0.25">
      <c r="A8027" s="2" t="s">
        <v>5995</v>
      </c>
      <c r="B8027" s="2" t="s">
        <v>2407</v>
      </c>
      <c r="C8027" s="2">
        <v>2</v>
      </c>
      <c r="D8027" t="str">
        <f t="shared" si="125"/>
        <v>US-2014-138247_OFF-AP-10000828</v>
      </c>
      <c r="E8027" t="str">
        <f>IF(COUNTIF(data1!$D:$D,D8027)=0,"Missing in Data1","Present")</f>
        <v>Present</v>
      </c>
    </row>
    <row r="8028" spans="1:5" x14ac:dyDescent="0.25">
      <c r="A8028" s="2" t="s">
        <v>5995</v>
      </c>
      <c r="B8028" s="2" t="s">
        <v>1585</v>
      </c>
      <c r="C8028" s="2">
        <v>1</v>
      </c>
      <c r="D8028" t="str">
        <f t="shared" si="125"/>
        <v>US-2014-138247_OFF-ST-10002301</v>
      </c>
      <c r="E8028" t="str">
        <f>IF(COUNTIF(data1!$D:$D,D8028)=0,"Missing in Data1","Present")</f>
        <v>Present</v>
      </c>
    </row>
    <row r="8029" spans="1:5" x14ac:dyDescent="0.25">
      <c r="A8029" s="2" t="s">
        <v>5995</v>
      </c>
      <c r="B8029" s="2" t="s">
        <v>2373</v>
      </c>
      <c r="C8029" s="2">
        <v>3</v>
      </c>
      <c r="D8029" t="str">
        <f t="shared" si="125"/>
        <v>US-2014-138247_TEC-AC-10004708</v>
      </c>
      <c r="E8029" t="str">
        <f>IF(COUNTIF(data1!$D:$D,D8029)=0,"Missing in Data1","Present")</f>
        <v>Present</v>
      </c>
    </row>
    <row r="8030" spans="1:5" x14ac:dyDescent="0.25">
      <c r="A8030" s="2" t="s">
        <v>5995</v>
      </c>
      <c r="B8030" s="2" t="s">
        <v>4758</v>
      </c>
      <c r="C8030" s="2">
        <v>7</v>
      </c>
      <c r="D8030" t="str">
        <f t="shared" si="125"/>
        <v>US-2014-138247_TEC-PH-10000213</v>
      </c>
      <c r="E8030" t="str">
        <f>IF(COUNTIF(data1!$D:$D,D8030)=0,"Missing in Data1","Present")</f>
        <v>Present</v>
      </c>
    </row>
    <row r="8031" spans="1:5" x14ac:dyDescent="0.25">
      <c r="A8031" s="2" t="s">
        <v>5995</v>
      </c>
      <c r="B8031" s="2" t="s">
        <v>602</v>
      </c>
      <c r="C8031" s="2">
        <v>3</v>
      </c>
      <c r="D8031" t="str">
        <f t="shared" si="125"/>
        <v>US-2014-138247_TEC-PH-10001530</v>
      </c>
      <c r="E8031" t="str">
        <f>IF(COUNTIF(data1!$D:$D,D8031)=0,"Missing in Data1","Present")</f>
        <v>Present</v>
      </c>
    </row>
    <row r="8032" spans="1:5" x14ac:dyDescent="0.25">
      <c r="A8032" s="2" t="s">
        <v>5996</v>
      </c>
      <c r="B8032" s="2" t="s">
        <v>1497</v>
      </c>
      <c r="C8032" s="2">
        <v>2</v>
      </c>
      <c r="D8032" t="str">
        <f t="shared" si="125"/>
        <v>US-2014-138758_FUR-CH-10002880</v>
      </c>
      <c r="E8032" t="str">
        <f>IF(COUNTIF(data1!$D:$D,D8032)=0,"Missing in Data1","Present")</f>
        <v>Present</v>
      </c>
    </row>
    <row r="8033" spans="1:5" x14ac:dyDescent="0.25">
      <c r="A8033" s="2" t="s">
        <v>5996</v>
      </c>
      <c r="B8033" s="2" t="s">
        <v>2933</v>
      </c>
      <c r="C8033" s="2">
        <v>2</v>
      </c>
      <c r="D8033" t="str">
        <f t="shared" si="125"/>
        <v>US-2014-138758_FUR-FU-10003039</v>
      </c>
      <c r="E8033" t="str">
        <f>IF(COUNTIF(data1!$D:$D,D8033)=0,"Missing in Data1","Present")</f>
        <v>Present</v>
      </c>
    </row>
    <row r="8034" spans="1:5" x14ac:dyDescent="0.25">
      <c r="A8034" s="2" t="s">
        <v>5997</v>
      </c>
      <c r="B8034" s="2" t="s">
        <v>1917</v>
      </c>
      <c r="C8034" s="2">
        <v>5</v>
      </c>
      <c r="D8034" t="str">
        <f t="shared" si="125"/>
        <v>US-2014-138828_OFF-AR-10000658</v>
      </c>
      <c r="E8034" t="str">
        <f>IF(COUNTIF(data1!$D:$D,D8034)=0,"Missing in Data1","Present")</f>
        <v>Present</v>
      </c>
    </row>
    <row r="8035" spans="1:5" x14ac:dyDescent="0.25">
      <c r="A8035" s="2" t="s">
        <v>5997</v>
      </c>
      <c r="B8035" s="2" t="s">
        <v>1140</v>
      </c>
      <c r="C8035" s="2">
        <v>3</v>
      </c>
      <c r="D8035" t="str">
        <f t="shared" si="125"/>
        <v>US-2014-138828_OFF-PA-10000349</v>
      </c>
      <c r="E8035" t="str">
        <f>IF(COUNTIF(data1!$D:$D,D8035)=0,"Missing in Data1","Present")</f>
        <v>Present</v>
      </c>
    </row>
    <row r="8036" spans="1:5" x14ac:dyDescent="0.25">
      <c r="A8036" s="2" t="s">
        <v>5998</v>
      </c>
      <c r="B8036" s="2" t="s">
        <v>940</v>
      </c>
      <c r="C8036" s="2">
        <v>2</v>
      </c>
      <c r="D8036" t="str">
        <f t="shared" si="125"/>
        <v>US-2014-138835_OFF-BI-10003314</v>
      </c>
      <c r="E8036" t="str">
        <f>IF(COUNTIF(data1!$D:$D,D8036)=0,"Missing in Data1","Present")</f>
        <v>Present</v>
      </c>
    </row>
    <row r="8037" spans="1:5" x14ac:dyDescent="0.25">
      <c r="A8037" s="2" t="s">
        <v>5999</v>
      </c>
      <c r="B8037" s="2" t="s">
        <v>2633</v>
      </c>
      <c r="C8037" s="2">
        <v>2</v>
      </c>
      <c r="D8037" t="str">
        <f t="shared" si="125"/>
        <v>US-2014-139500_FUR-CH-10002017</v>
      </c>
      <c r="E8037" t="str">
        <f>IF(COUNTIF(data1!$D:$D,D8037)=0,"Missing in Data1","Present")</f>
        <v>Present</v>
      </c>
    </row>
    <row r="8038" spans="1:5" x14ac:dyDescent="0.25">
      <c r="A8038" s="2" t="s">
        <v>6000</v>
      </c>
      <c r="B8038" s="2" t="s">
        <v>3742</v>
      </c>
      <c r="C8038" s="2">
        <v>4</v>
      </c>
      <c r="D8038" t="str">
        <f t="shared" si="125"/>
        <v>US-2014-139640_OFF-AR-10002240</v>
      </c>
      <c r="E8038" t="str">
        <f>IF(COUNTIF(data1!$D:$D,D8038)=0,"Missing in Data1","Present")</f>
        <v>Missing in Data1</v>
      </c>
    </row>
    <row r="8039" spans="1:5" x14ac:dyDescent="0.25">
      <c r="A8039" s="2" t="s">
        <v>6000</v>
      </c>
      <c r="B8039" s="2" t="s">
        <v>1219</v>
      </c>
      <c r="C8039" s="2">
        <v>5</v>
      </c>
      <c r="D8039" t="str">
        <f t="shared" si="125"/>
        <v>US-2014-139640_OFF-PA-10000304</v>
      </c>
      <c r="E8039" t="str">
        <f>IF(COUNTIF(data1!$D:$D,D8039)=0,"Missing in Data1","Present")</f>
        <v>Present</v>
      </c>
    </row>
    <row r="8040" spans="1:5" x14ac:dyDescent="0.25">
      <c r="A8040" s="2" t="s">
        <v>6001</v>
      </c>
      <c r="B8040" s="2" t="s">
        <v>1693</v>
      </c>
      <c r="C8040" s="2">
        <v>4</v>
      </c>
      <c r="D8040" t="str">
        <f t="shared" si="125"/>
        <v>US-2014-140116_OFF-AR-10001044</v>
      </c>
      <c r="E8040" t="str">
        <f>IF(COUNTIF(data1!$D:$D,D8040)=0,"Missing in Data1","Present")</f>
        <v>Present</v>
      </c>
    </row>
    <row r="8041" spans="1:5" x14ac:dyDescent="0.25">
      <c r="A8041" s="2" t="s">
        <v>6001</v>
      </c>
      <c r="B8041" s="2" t="s">
        <v>835</v>
      </c>
      <c r="C8041" s="2">
        <v>3</v>
      </c>
      <c r="D8041" t="str">
        <f t="shared" si="125"/>
        <v>US-2014-140116_OFF-ST-10000078</v>
      </c>
      <c r="E8041" t="str">
        <f>IF(COUNTIF(data1!$D:$D,D8041)=0,"Missing in Data1","Present")</f>
        <v>Present</v>
      </c>
    </row>
    <row r="8042" spans="1:5" x14ac:dyDescent="0.25">
      <c r="A8042" s="2" t="s">
        <v>6002</v>
      </c>
      <c r="B8042" s="2" t="s">
        <v>756</v>
      </c>
      <c r="C8042" s="2">
        <v>3</v>
      </c>
      <c r="D8042" t="str">
        <f t="shared" si="125"/>
        <v>US-2014-140452_FUR-FU-10002088</v>
      </c>
      <c r="E8042" t="str">
        <f>IF(COUNTIF(data1!$D:$D,D8042)=0,"Missing in Data1","Present")</f>
        <v>Present</v>
      </c>
    </row>
    <row r="8043" spans="1:5" x14ac:dyDescent="0.25">
      <c r="A8043" s="2" t="s">
        <v>6002</v>
      </c>
      <c r="B8043" s="2" t="s">
        <v>1100</v>
      </c>
      <c r="C8043" s="2">
        <v>5</v>
      </c>
      <c r="D8043" t="str">
        <f t="shared" si="125"/>
        <v>US-2014-140452_FUR-TA-10004086</v>
      </c>
      <c r="E8043" t="str">
        <f>IF(COUNTIF(data1!$D:$D,D8043)=0,"Missing in Data1","Present")</f>
        <v>Present</v>
      </c>
    </row>
    <row r="8044" spans="1:5" x14ac:dyDescent="0.25">
      <c r="A8044" s="2" t="s">
        <v>6002</v>
      </c>
      <c r="B8044" s="2" t="s">
        <v>3906</v>
      </c>
      <c r="C8044" s="2">
        <v>4</v>
      </c>
      <c r="D8044" t="str">
        <f t="shared" si="125"/>
        <v>US-2014-140452_OFF-AP-10004036</v>
      </c>
      <c r="E8044" t="str">
        <f>IF(COUNTIF(data1!$D:$D,D8044)=0,"Missing in Data1","Present")</f>
        <v>Present</v>
      </c>
    </row>
    <row r="8045" spans="1:5" x14ac:dyDescent="0.25">
      <c r="A8045" s="2" t="s">
        <v>6002</v>
      </c>
      <c r="B8045" s="2" t="s">
        <v>1686</v>
      </c>
      <c r="C8045" s="2">
        <v>2</v>
      </c>
      <c r="D8045" t="str">
        <f t="shared" si="125"/>
        <v>US-2014-140452_OFF-BI-10004965</v>
      </c>
      <c r="E8045" t="str">
        <f>IF(COUNTIF(data1!$D:$D,D8045)=0,"Missing in Data1","Present")</f>
        <v>Present</v>
      </c>
    </row>
    <row r="8046" spans="1:5" x14ac:dyDescent="0.25">
      <c r="A8046" s="2" t="s">
        <v>6002</v>
      </c>
      <c r="B8046" s="2" t="s">
        <v>3070</v>
      </c>
      <c r="C8046" s="2">
        <v>2</v>
      </c>
      <c r="D8046" t="str">
        <f t="shared" si="125"/>
        <v>US-2014-140452_OFF-ST-10002485</v>
      </c>
      <c r="E8046" t="str">
        <f>IF(COUNTIF(data1!$D:$D,D8046)=0,"Missing in Data1","Present")</f>
        <v>Present</v>
      </c>
    </row>
    <row r="8047" spans="1:5" x14ac:dyDescent="0.25">
      <c r="A8047" s="2" t="s">
        <v>6002</v>
      </c>
      <c r="B8047" s="2" t="s">
        <v>2131</v>
      </c>
      <c r="C8047" s="2">
        <v>4</v>
      </c>
      <c r="D8047" t="str">
        <f t="shared" si="125"/>
        <v>US-2014-140452_TEC-PH-10000307</v>
      </c>
      <c r="E8047" t="str">
        <f>IF(COUNTIF(data1!$D:$D,D8047)=0,"Missing in Data1","Present")</f>
        <v>Present</v>
      </c>
    </row>
    <row r="8048" spans="1:5" x14ac:dyDescent="0.25">
      <c r="A8048" s="2" t="s">
        <v>6003</v>
      </c>
      <c r="B8048" s="2" t="s">
        <v>1682</v>
      </c>
      <c r="C8048" s="2">
        <v>4</v>
      </c>
      <c r="D8048" t="str">
        <f t="shared" si="125"/>
        <v>US-2014-140914_FUR-CH-10003379</v>
      </c>
      <c r="E8048" t="str">
        <f>IF(COUNTIF(data1!$D:$D,D8048)=0,"Missing in Data1","Present")</f>
        <v>Present</v>
      </c>
    </row>
    <row r="8049" spans="1:5" x14ac:dyDescent="0.25">
      <c r="A8049" s="2" t="s">
        <v>6003</v>
      </c>
      <c r="B8049" s="2" t="s">
        <v>4530</v>
      </c>
      <c r="C8049" s="2">
        <v>2</v>
      </c>
      <c r="D8049" t="str">
        <f t="shared" si="125"/>
        <v>US-2014-140914_FUR-FU-10000175</v>
      </c>
      <c r="E8049" t="str">
        <f>IF(COUNTIF(data1!$D:$D,D8049)=0,"Missing in Data1","Present")</f>
        <v>Present</v>
      </c>
    </row>
    <row r="8050" spans="1:5" x14ac:dyDescent="0.25">
      <c r="A8050" s="2" t="s">
        <v>6004</v>
      </c>
      <c r="B8050" s="2" t="s">
        <v>1682</v>
      </c>
      <c r="C8050" s="2">
        <v>4</v>
      </c>
      <c r="D8050" t="str">
        <f t="shared" si="125"/>
        <v>US-2014-141215_FUR-CH-10003379</v>
      </c>
      <c r="E8050" t="str">
        <f>IF(COUNTIF(data1!$D:$D,D8050)=0,"Missing in Data1","Present")</f>
        <v>Present</v>
      </c>
    </row>
    <row r="8051" spans="1:5" x14ac:dyDescent="0.25">
      <c r="A8051" s="2" t="s">
        <v>6004</v>
      </c>
      <c r="B8051" s="2" t="s">
        <v>2601</v>
      </c>
      <c r="C8051" s="2">
        <v>2</v>
      </c>
      <c r="D8051" t="str">
        <f t="shared" si="125"/>
        <v>US-2014-141215_FUR-TA-10001520</v>
      </c>
      <c r="E8051" t="str">
        <f>IF(COUNTIF(data1!$D:$D,D8051)=0,"Missing in Data1","Present")</f>
        <v>Present</v>
      </c>
    </row>
    <row r="8052" spans="1:5" x14ac:dyDescent="0.25">
      <c r="A8052" s="2" t="s">
        <v>6004</v>
      </c>
      <c r="B8052" s="2" t="s">
        <v>965</v>
      </c>
      <c r="C8052" s="2">
        <v>3</v>
      </c>
      <c r="D8052" t="str">
        <f t="shared" si="125"/>
        <v>US-2014-141215_OFF-BI-10002706</v>
      </c>
      <c r="E8052" t="str">
        <f>IF(COUNTIF(data1!$D:$D,D8052)=0,"Missing in Data1","Present")</f>
        <v>Present</v>
      </c>
    </row>
    <row r="8053" spans="1:5" x14ac:dyDescent="0.25">
      <c r="A8053" s="2" t="s">
        <v>6855</v>
      </c>
      <c r="B8053" s="2" t="s">
        <v>1607</v>
      </c>
      <c r="C8053" s="2">
        <v>3</v>
      </c>
      <c r="D8053" t="str">
        <f t="shared" si="125"/>
        <v>US-2014-141257_FUR-CH-10002758</v>
      </c>
      <c r="E8053" t="str">
        <f>IF(COUNTIF(data1!$D:$D,D8053)=0,"Missing in Data1","Present")</f>
        <v>Missing in Data1</v>
      </c>
    </row>
    <row r="8054" spans="1:5" x14ac:dyDescent="0.25">
      <c r="A8054" s="2" t="s">
        <v>6005</v>
      </c>
      <c r="B8054" s="2" t="s">
        <v>5229</v>
      </c>
      <c r="C8054" s="2">
        <v>5</v>
      </c>
      <c r="D8054" t="str">
        <f t="shared" si="125"/>
        <v>US-2014-143231_FUR-FU-10002501</v>
      </c>
      <c r="E8054" t="str">
        <f>IF(COUNTIF(data1!$D:$D,D8054)=0,"Missing in Data1","Present")</f>
        <v>Present</v>
      </c>
    </row>
    <row r="8055" spans="1:5" x14ac:dyDescent="0.25">
      <c r="A8055" s="2" t="s">
        <v>6005</v>
      </c>
      <c r="B8055" s="2" t="s">
        <v>2665</v>
      </c>
      <c r="C8055" s="2">
        <v>3</v>
      </c>
      <c r="D8055" t="str">
        <f t="shared" si="125"/>
        <v>US-2014-143231_TEC-AC-10000358</v>
      </c>
      <c r="E8055" t="str">
        <f>IF(COUNTIF(data1!$D:$D,D8055)=0,"Missing in Data1","Present")</f>
        <v>Present</v>
      </c>
    </row>
    <row r="8056" spans="1:5" x14ac:dyDescent="0.25">
      <c r="A8056" s="2" t="s">
        <v>6006</v>
      </c>
      <c r="B8056" s="2" t="s">
        <v>2062</v>
      </c>
      <c r="C8056" s="2">
        <v>5</v>
      </c>
      <c r="D8056" t="str">
        <f t="shared" si="125"/>
        <v>US-2014-143287_OFF-PA-10001776</v>
      </c>
      <c r="E8056" t="str">
        <f>IF(COUNTIF(data1!$D:$D,D8056)=0,"Missing in Data1","Present")</f>
        <v>Missing in Data1</v>
      </c>
    </row>
    <row r="8057" spans="1:5" x14ac:dyDescent="0.25">
      <c r="A8057" s="2" t="s">
        <v>6006</v>
      </c>
      <c r="B8057" s="2" t="s">
        <v>3791</v>
      </c>
      <c r="C8057" s="2">
        <v>4</v>
      </c>
      <c r="D8057" t="str">
        <f t="shared" si="125"/>
        <v>US-2014-143287_OFF-PA-10004039</v>
      </c>
      <c r="E8057" t="str">
        <f>IF(COUNTIF(data1!$D:$D,D8057)=0,"Missing in Data1","Present")</f>
        <v>Present</v>
      </c>
    </row>
    <row r="8058" spans="1:5" x14ac:dyDescent="0.25">
      <c r="A8058" s="2" t="s">
        <v>6006</v>
      </c>
      <c r="B8058" s="2" t="s">
        <v>911</v>
      </c>
      <c r="C8058" s="2">
        <v>2</v>
      </c>
      <c r="D8058" t="str">
        <f t="shared" si="125"/>
        <v>US-2014-143287_OFF-SU-10001574</v>
      </c>
      <c r="E8058" t="str">
        <f>IF(COUNTIF(data1!$D:$D,D8058)=0,"Missing in Data1","Present")</f>
        <v>Present</v>
      </c>
    </row>
    <row r="8059" spans="1:5" x14ac:dyDescent="0.25">
      <c r="A8059" s="2" t="s">
        <v>6007</v>
      </c>
      <c r="B8059" s="2" t="s">
        <v>632</v>
      </c>
      <c r="C8059" s="2">
        <v>3</v>
      </c>
      <c r="D8059" t="str">
        <f t="shared" si="125"/>
        <v>US-2014-143581_OFF-ST-10000991</v>
      </c>
      <c r="E8059" t="str">
        <f>IF(COUNTIF(data1!$D:$D,D8059)=0,"Missing in Data1","Present")</f>
        <v>Present</v>
      </c>
    </row>
    <row r="8060" spans="1:5" x14ac:dyDescent="0.25">
      <c r="A8060" s="2" t="s">
        <v>6008</v>
      </c>
      <c r="B8060" s="2" t="s">
        <v>5278</v>
      </c>
      <c r="C8060" s="2">
        <v>3</v>
      </c>
      <c r="D8060" t="str">
        <f t="shared" si="125"/>
        <v>US-2014-143707_TEC-PH-10003655</v>
      </c>
      <c r="E8060" t="str">
        <f>IF(COUNTIF(data1!$D:$D,D8060)=0,"Missing in Data1","Present")</f>
        <v>Present</v>
      </c>
    </row>
    <row r="8061" spans="1:5" x14ac:dyDescent="0.25">
      <c r="A8061" s="2" t="s">
        <v>6009</v>
      </c>
      <c r="B8061" s="2" t="s">
        <v>2314</v>
      </c>
      <c r="C8061" s="2">
        <v>2</v>
      </c>
      <c r="D8061" t="str">
        <f t="shared" si="125"/>
        <v>US-2014-143721_FUR-CH-10001973</v>
      </c>
      <c r="E8061" t="str">
        <f>IF(COUNTIF(data1!$D:$D,D8061)=0,"Missing in Data1","Present")</f>
        <v>Present</v>
      </c>
    </row>
    <row r="8062" spans="1:5" x14ac:dyDescent="0.25">
      <c r="A8062" s="2" t="s">
        <v>6010</v>
      </c>
      <c r="B8062" s="2" t="s">
        <v>2767</v>
      </c>
      <c r="C8062" s="2">
        <v>4</v>
      </c>
      <c r="D8062" t="str">
        <f t="shared" si="125"/>
        <v>US-2014-144078_FUR-CH-10002335</v>
      </c>
      <c r="E8062" t="str">
        <f>IF(COUNTIF(data1!$D:$D,D8062)=0,"Missing in Data1","Present")</f>
        <v>Present</v>
      </c>
    </row>
    <row r="8063" spans="1:5" x14ac:dyDescent="0.25">
      <c r="A8063" s="2" t="s">
        <v>6010</v>
      </c>
      <c r="B8063" s="2" t="s">
        <v>5208</v>
      </c>
      <c r="C8063" s="2">
        <v>3</v>
      </c>
      <c r="D8063" t="str">
        <f t="shared" si="125"/>
        <v>US-2014-144078_OFF-AR-10004707</v>
      </c>
      <c r="E8063" t="str">
        <f>IF(COUNTIF(data1!$D:$D,D8063)=0,"Missing in Data1","Present")</f>
        <v>Present</v>
      </c>
    </row>
    <row r="8064" spans="1:5" x14ac:dyDescent="0.25">
      <c r="A8064" s="2" t="s">
        <v>6010</v>
      </c>
      <c r="B8064" s="2" t="s">
        <v>3446</v>
      </c>
      <c r="C8064" s="2">
        <v>5</v>
      </c>
      <c r="D8064" t="str">
        <f t="shared" si="125"/>
        <v>US-2014-144078_TEC-PH-10001580</v>
      </c>
      <c r="E8064" t="str">
        <f>IF(COUNTIF(data1!$D:$D,D8064)=0,"Missing in Data1","Present")</f>
        <v>Present</v>
      </c>
    </row>
    <row r="8065" spans="1:5" x14ac:dyDescent="0.25">
      <c r="A8065" s="2" t="s">
        <v>6011</v>
      </c>
      <c r="B8065" s="2" t="s">
        <v>609</v>
      </c>
      <c r="C8065" s="2">
        <v>4</v>
      </c>
      <c r="D8065" t="str">
        <f t="shared" si="125"/>
        <v>US-2014-146353_OFF-BI-10003476</v>
      </c>
      <c r="E8065" t="str">
        <f>IF(COUNTIF(data1!$D:$D,D8065)=0,"Missing in Data1","Present")</f>
        <v>Present</v>
      </c>
    </row>
    <row r="8066" spans="1:5" x14ac:dyDescent="0.25">
      <c r="A8066" s="2" t="s">
        <v>6011</v>
      </c>
      <c r="B8066" s="2" t="s">
        <v>764</v>
      </c>
      <c r="C8066" s="2">
        <v>5</v>
      </c>
      <c r="D8066" t="str">
        <f t="shared" si="125"/>
        <v>US-2014-146353_OFF-ST-10001469</v>
      </c>
      <c r="E8066" t="str">
        <f>IF(COUNTIF(data1!$D:$D,D8066)=0,"Missing in Data1","Present")</f>
        <v>Present</v>
      </c>
    </row>
    <row r="8067" spans="1:5" x14ac:dyDescent="0.25">
      <c r="A8067" s="2" t="s">
        <v>6012</v>
      </c>
      <c r="B8067" s="2" t="s">
        <v>1390</v>
      </c>
      <c r="C8067" s="2">
        <v>5</v>
      </c>
      <c r="D8067" t="str">
        <f t="shared" ref="D8067:D8130" si="126">A8067&amp;"_"&amp;B8067</f>
        <v>US-2014-147606_FUR-FU-10003194</v>
      </c>
      <c r="E8067" t="str">
        <f>IF(COUNTIF(data1!$D:$D,D8067)=0,"Missing in Data1","Present")</f>
        <v>Present</v>
      </c>
    </row>
    <row r="8068" spans="1:5" x14ac:dyDescent="0.25">
      <c r="A8068" s="2" t="s">
        <v>6013</v>
      </c>
      <c r="B8068" s="2" t="s">
        <v>3451</v>
      </c>
      <c r="C8068" s="2">
        <v>3</v>
      </c>
      <c r="D8068" t="str">
        <f t="shared" si="126"/>
        <v>US-2014-147627_FUR-CH-10002331</v>
      </c>
      <c r="E8068" t="str">
        <f>IF(COUNTIF(data1!$D:$D,D8068)=0,"Missing in Data1","Present")</f>
        <v>Present</v>
      </c>
    </row>
    <row r="8069" spans="1:5" x14ac:dyDescent="0.25">
      <c r="A8069" s="2" t="s">
        <v>6013</v>
      </c>
      <c r="B8069" s="2" t="s">
        <v>1390</v>
      </c>
      <c r="C8069" s="2">
        <v>4</v>
      </c>
      <c r="D8069" t="str">
        <f t="shared" si="126"/>
        <v>US-2014-147627_FUR-FU-10003194</v>
      </c>
      <c r="E8069" t="str">
        <f>IF(COUNTIF(data1!$D:$D,D8069)=0,"Missing in Data1","Present")</f>
        <v>Present</v>
      </c>
    </row>
    <row r="8070" spans="1:5" x14ac:dyDescent="0.25">
      <c r="A8070" s="2" t="s">
        <v>6013</v>
      </c>
      <c r="B8070" s="2" t="s">
        <v>396</v>
      </c>
      <c r="C8070" s="2">
        <v>7</v>
      </c>
      <c r="D8070" t="str">
        <f t="shared" si="126"/>
        <v>US-2014-147627_OFF-AR-10002375</v>
      </c>
      <c r="E8070" t="str">
        <f>IF(COUNTIF(data1!$D:$D,D8070)=0,"Missing in Data1","Present")</f>
        <v>Present</v>
      </c>
    </row>
    <row r="8071" spans="1:5" x14ac:dyDescent="0.25">
      <c r="A8071" s="2" t="s">
        <v>6013</v>
      </c>
      <c r="B8071" s="2" t="s">
        <v>4063</v>
      </c>
      <c r="C8071" s="2">
        <v>3</v>
      </c>
      <c r="D8071" t="str">
        <f t="shared" si="126"/>
        <v>US-2014-147627_OFF-AR-10003811</v>
      </c>
      <c r="E8071" t="str">
        <f>IF(COUNTIF(data1!$D:$D,D8071)=0,"Missing in Data1","Present")</f>
        <v>Present</v>
      </c>
    </row>
    <row r="8072" spans="1:5" x14ac:dyDescent="0.25">
      <c r="A8072" s="2" t="s">
        <v>6013</v>
      </c>
      <c r="B8072" s="2" t="s">
        <v>1493</v>
      </c>
      <c r="C8072" s="2">
        <v>3</v>
      </c>
      <c r="D8072" t="str">
        <f t="shared" si="126"/>
        <v>US-2014-147627_OFF-EN-10001539</v>
      </c>
      <c r="E8072" t="str">
        <f>IF(COUNTIF(data1!$D:$D,D8072)=0,"Missing in Data1","Present")</f>
        <v>Present</v>
      </c>
    </row>
    <row r="8073" spans="1:5" x14ac:dyDescent="0.25">
      <c r="A8073" s="2" t="s">
        <v>6013</v>
      </c>
      <c r="B8073" s="2" t="s">
        <v>3567</v>
      </c>
      <c r="C8073" s="2">
        <v>7</v>
      </c>
      <c r="D8073" t="str">
        <f t="shared" si="126"/>
        <v>US-2014-147627_TEC-PH-10001061</v>
      </c>
      <c r="E8073" t="str">
        <f>IF(COUNTIF(data1!$D:$D,D8073)=0,"Missing in Data1","Present")</f>
        <v>Present</v>
      </c>
    </row>
    <row r="8074" spans="1:5" x14ac:dyDescent="0.25">
      <c r="A8074" s="2" t="s">
        <v>6014</v>
      </c>
      <c r="B8074" s="2" t="s">
        <v>1435</v>
      </c>
      <c r="C8074" s="2">
        <v>2</v>
      </c>
      <c r="D8074" t="str">
        <f t="shared" si="126"/>
        <v>US-2014-147648_OFF-PA-10001033</v>
      </c>
      <c r="E8074" t="str">
        <f>IF(COUNTIF(data1!$D:$D,D8074)=0,"Missing in Data1","Present")</f>
        <v>Present</v>
      </c>
    </row>
    <row r="8075" spans="1:5" x14ac:dyDescent="0.25">
      <c r="A8075" s="2" t="s">
        <v>6015</v>
      </c>
      <c r="B8075" s="2" t="s">
        <v>3393</v>
      </c>
      <c r="C8075" s="2">
        <v>4</v>
      </c>
      <c r="D8075" t="str">
        <f t="shared" si="126"/>
        <v>US-2014-147704_OFF-BI-10001634</v>
      </c>
      <c r="E8075" t="str">
        <f>IF(COUNTIF(data1!$D:$D,D8075)=0,"Missing in Data1","Present")</f>
        <v>Present</v>
      </c>
    </row>
    <row r="8076" spans="1:5" x14ac:dyDescent="0.25">
      <c r="A8076" s="2" t="s">
        <v>6015</v>
      </c>
      <c r="B8076" s="2" t="s">
        <v>1494</v>
      </c>
      <c r="C8076" s="2">
        <v>5</v>
      </c>
      <c r="D8076" t="str">
        <f t="shared" si="126"/>
        <v>US-2014-147704_OFF-EN-10004483</v>
      </c>
      <c r="E8076" t="str">
        <f>IF(COUNTIF(data1!$D:$D,D8076)=0,"Missing in Data1","Present")</f>
        <v>Present</v>
      </c>
    </row>
    <row r="8077" spans="1:5" x14ac:dyDescent="0.25">
      <c r="A8077" s="2" t="s">
        <v>6015</v>
      </c>
      <c r="B8077" s="2" t="s">
        <v>1164</v>
      </c>
      <c r="C8077" s="2">
        <v>6</v>
      </c>
      <c r="D8077" t="str">
        <f t="shared" si="126"/>
        <v>US-2014-147704_OFF-PA-10003270</v>
      </c>
      <c r="E8077" t="str">
        <f>IF(COUNTIF(data1!$D:$D,D8077)=0,"Missing in Data1","Present")</f>
        <v>Present</v>
      </c>
    </row>
    <row r="8078" spans="1:5" x14ac:dyDescent="0.25">
      <c r="A8078" s="2" t="s">
        <v>6015</v>
      </c>
      <c r="B8078" s="2" t="s">
        <v>1584</v>
      </c>
      <c r="C8078" s="2">
        <v>5</v>
      </c>
      <c r="D8078" t="str">
        <f t="shared" si="126"/>
        <v>US-2014-147704_OFF-ST-10000675</v>
      </c>
      <c r="E8078" t="str">
        <f>IF(COUNTIF(data1!$D:$D,D8078)=0,"Missing in Data1","Present")</f>
        <v>Present</v>
      </c>
    </row>
    <row r="8079" spans="1:5" x14ac:dyDescent="0.25">
      <c r="A8079" s="2" t="s">
        <v>6016</v>
      </c>
      <c r="B8079" s="2" t="s">
        <v>5266</v>
      </c>
      <c r="C8079" s="2">
        <v>1</v>
      </c>
      <c r="D8079" t="str">
        <f t="shared" si="126"/>
        <v>US-2014-147774_OFF-BI-10003091</v>
      </c>
      <c r="E8079" t="str">
        <f>IF(COUNTIF(data1!$D:$D,D8079)=0,"Missing in Data1","Present")</f>
        <v>Present</v>
      </c>
    </row>
    <row r="8080" spans="1:5" x14ac:dyDescent="0.25">
      <c r="A8080" s="2" t="s">
        <v>6017</v>
      </c>
      <c r="B8080" s="2" t="s">
        <v>240</v>
      </c>
      <c r="C8080" s="2">
        <v>7</v>
      </c>
      <c r="D8080" t="str">
        <f t="shared" si="126"/>
        <v>US-2014-148194_FUR-FU-10001852</v>
      </c>
      <c r="E8080" t="str">
        <f>IF(COUNTIF(data1!$D:$D,D8080)=0,"Missing in Data1","Present")</f>
        <v>Present</v>
      </c>
    </row>
    <row r="8081" spans="1:5" x14ac:dyDescent="0.25">
      <c r="A8081" s="2" t="s">
        <v>6017</v>
      </c>
      <c r="B8081" s="2" t="s">
        <v>1221</v>
      </c>
      <c r="C8081" s="2">
        <v>4</v>
      </c>
      <c r="D8081" t="str">
        <f t="shared" si="126"/>
        <v>US-2014-148194_OFF-AP-10000696</v>
      </c>
      <c r="E8081" t="str">
        <f>IF(COUNTIF(data1!$D:$D,D8081)=0,"Missing in Data1","Present")</f>
        <v>Present</v>
      </c>
    </row>
    <row r="8082" spans="1:5" x14ac:dyDescent="0.25">
      <c r="A8082" s="2" t="s">
        <v>6018</v>
      </c>
      <c r="B8082" s="2" t="s">
        <v>4769</v>
      </c>
      <c r="C8082" s="2">
        <v>4</v>
      </c>
      <c r="D8082" t="str">
        <f t="shared" si="126"/>
        <v>US-2014-148838_FUR-TA-10001950</v>
      </c>
      <c r="E8082" t="str">
        <f>IF(COUNTIF(data1!$D:$D,D8082)=0,"Missing in Data1","Present")</f>
        <v>Present</v>
      </c>
    </row>
    <row r="8083" spans="1:5" x14ac:dyDescent="0.25">
      <c r="A8083" s="2" t="s">
        <v>6018</v>
      </c>
      <c r="B8083" s="2" t="s">
        <v>1806</v>
      </c>
      <c r="C8083" s="2">
        <v>7</v>
      </c>
      <c r="D8083" t="str">
        <f t="shared" si="126"/>
        <v>US-2014-148838_FUR-TA-10003473</v>
      </c>
      <c r="E8083" t="str">
        <f>IF(COUNTIF(data1!$D:$D,D8083)=0,"Missing in Data1","Present")</f>
        <v>Present</v>
      </c>
    </row>
    <row r="8084" spans="1:5" x14ac:dyDescent="0.25">
      <c r="A8084" s="2" t="s">
        <v>6018</v>
      </c>
      <c r="B8084" s="2" t="s">
        <v>584</v>
      </c>
      <c r="C8084" s="2">
        <v>3</v>
      </c>
      <c r="D8084" t="str">
        <f t="shared" si="126"/>
        <v>US-2014-148838_FUR-TA-10004175</v>
      </c>
      <c r="E8084" t="str">
        <f>IF(COUNTIF(data1!$D:$D,D8084)=0,"Missing in Data1","Present")</f>
        <v>Present</v>
      </c>
    </row>
    <row r="8085" spans="1:5" x14ac:dyDescent="0.25">
      <c r="A8085" s="2" t="s">
        <v>6018</v>
      </c>
      <c r="B8085" s="2" t="s">
        <v>6019</v>
      </c>
      <c r="C8085" s="2">
        <v>4</v>
      </c>
      <c r="D8085" t="str">
        <f t="shared" si="126"/>
        <v>US-2014-148838_OFF-PA-10000919</v>
      </c>
      <c r="E8085" t="str">
        <f>IF(COUNTIF(data1!$D:$D,D8085)=0,"Missing in Data1","Present")</f>
        <v>Present</v>
      </c>
    </row>
    <row r="8086" spans="1:5" x14ac:dyDescent="0.25">
      <c r="A8086" s="2" t="s">
        <v>6018</v>
      </c>
      <c r="B8086" s="2" t="s">
        <v>6020</v>
      </c>
      <c r="C8086" s="2">
        <v>7</v>
      </c>
      <c r="D8086" t="str">
        <f t="shared" si="126"/>
        <v>US-2014-148838_OFF-PA-10002960</v>
      </c>
      <c r="E8086" t="str">
        <f>IF(COUNTIF(data1!$D:$D,D8086)=0,"Missing in Data1","Present")</f>
        <v>Present</v>
      </c>
    </row>
    <row r="8087" spans="1:5" x14ac:dyDescent="0.25">
      <c r="A8087" s="2" t="s">
        <v>6021</v>
      </c>
      <c r="B8087" s="2" t="s">
        <v>324</v>
      </c>
      <c r="C8087" s="2">
        <v>1</v>
      </c>
      <c r="D8087" t="str">
        <f t="shared" si="126"/>
        <v>US-2014-149034_TEC-AC-10003023</v>
      </c>
      <c r="E8087" t="str">
        <f>IF(COUNTIF(data1!$D:$D,D8087)=0,"Missing in Data1","Present")</f>
        <v>Present</v>
      </c>
    </row>
    <row r="8088" spans="1:5" x14ac:dyDescent="0.25">
      <c r="A8088" s="2" t="s">
        <v>6022</v>
      </c>
      <c r="B8088" s="2" t="s">
        <v>1452</v>
      </c>
      <c r="C8088" s="2">
        <v>4</v>
      </c>
      <c r="D8088" t="str">
        <f t="shared" si="126"/>
        <v>US-2014-150119_FUR-FU-10002191</v>
      </c>
      <c r="E8088" t="str">
        <f>IF(COUNTIF(data1!$D:$D,D8088)=0,"Missing in Data1","Present")</f>
        <v>Present</v>
      </c>
    </row>
    <row r="8089" spans="1:5" x14ac:dyDescent="0.25">
      <c r="A8089" s="2" t="s">
        <v>6022</v>
      </c>
      <c r="B8089" s="2" t="s">
        <v>1152</v>
      </c>
      <c r="C8089" s="2">
        <v>8</v>
      </c>
      <c r="D8089" t="str">
        <f t="shared" si="126"/>
        <v>US-2014-150119_OFF-BI-10000145</v>
      </c>
      <c r="E8089" t="str">
        <f>IF(COUNTIF(data1!$D:$D,D8089)=0,"Missing in Data1","Present")</f>
        <v>Present</v>
      </c>
    </row>
    <row r="8090" spans="1:5" x14ac:dyDescent="0.25">
      <c r="A8090" s="2" t="s">
        <v>6023</v>
      </c>
      <c r="B8090" s="2" t="s">
        <v>4826</v>
      </c>
      <c r="C8090" s="2">
        <v>11</v>
      </c>
      <c r="D8090" t="str">
        <f t="shared" si="126"/>
        <v>US-2014-150126_OFF-PA-10002709</v>
      </c>
      <c r="E8090" t="str">
        <f>IF(COUNTIF(data1!$D:$D,D8090)=0,"Missing in Data1","Present")</f>
        <v>Present</v>
      </c>
    </row>
    <row r="8091" spans="1:5" x14ac:dyDescent="0.25">
      <c r="A8091" s="2" t="s">
        <v>6024</v>
      </c>
      <c r="B8091" s="2" t="s">
        <v>1939</v>
      </c>
      <c r="C8091" s="2">
        <v>1</v>
      </c>
      <c r="D8091" t="str">
        <f t="shared" si="126"/>
        <v>US-2014-150434_FUR-TA-10004152</v>
      </c>
      <c r="E8091" t="str">
        <f>IF(COUNTIF(data1!$D:$D,D8091)=0,"Missing in Data1","Present")</f>
        <v>Present</v>
      </c>
    </row>
    <row r="8092" spans="1:5" x14ac:dyDescent="0.25">
      <c r="A8092" s="2" t="s">
        <v>6024</v>
      </c>
      <c r="B8092" s="2" t="s">
        <v>197</v>
      </c>
      <c r="C8092" s="2">
        <v>1</v>
      </c>
      <c r="D8092" t="str">
        <f t="shared" si="126"/>
        <v>US-2014-150434_OFF-BI-10002160</v>
      </c>
      <c r="E8092" t="str">
        <f>IF(COUNTIF(data1!$D:$D,D8092)=0,"Missing in Data1","Present")</f>
        <v>Present</v>
      </c>
    </row>
    <row r="8093" spans="1:5" x14ac:dyDescent="0.25">
      <c r="A8093" s="2" t="s">
        <v>6024</v>
      </c>
      <c r="B8093" s="2" t="s">
        <v>2516</v>
      </c>
      <c r="C8093" s="2">
        <v>2</v>
      </c>
      <c r="D8093" t="str">
        <f t="shared" si="126"/>
        <v>US-2014-150434_OFF-BI-10003694</v>
      </c>
      <c r="E8093" t="str">
        <f>IF(COUNTIF(data1!$D:$D,D8093)=0,"Missing in Data1","Present")</f>
        <v>Present</v>
      </c>
    </row>
    <row r="8094" spans="1:5" x14ac:dyDescent="0.25">
      <c r="A8094" s="2" t="s">
        <v>6024</v>
      </c>
      <c r="B8094" s="2" t="s">
        <v>148</v>
      </c>
      <c r="C8094" s="2">
        <v>2</v>
      </c>
      <c r="D8094" t="str">
        <f t="shared" si="126"/>
        <v>US-2014-150434_TEC-PH-10000895</v>
      </c>
      <c r="E8094" t="str">
        <f>IF(COUNTIF(data1!$D:$D,D8094)=0,"Missing in Data1","Present")</f>
        <v>Present</v>
      </c>
    </row>
    <row r="8095" spans="1:5" x14ac:dyDescent="0.25">
      <c r="A8095" s="2" t="s">
        <v>6025</v>
      </c>
      <c r="B8095" s="2" t="s">
        <v>1790</v>
      </c>
      <c r="C8095" s="2">
        <v>5</v>
      </c>
      <c r="D8095" t="str">
        <f t="shared" si="126"/>
        <v>US-2014-150532_OFF-ST-10000760</v>
      </c>
      <c r="E8095" t="str">
        <f>IF(COUNTIF(data1!$D:$D,D8095)=0,"Missing in Data1","Present")</f>
        <v>Present</v>
      </c>
    </row>
    <row r="8096" spans="1:5" x14ac:dyDescent="0.25">
      <c r="A8096" s="2" t="s">
        <v>6026</v>
      </c>
      <c r="B8096" s="2" t="s">
        <v>1412</v>
      </c>
      <c r="C8096" s="2">
        <v>2</v>
      </c>
      <c r="D8096" t="str">
        <f t="shared" si="126"/>
        <v>US-2014-150574_OFF-BI-10000773</v>
      </c>
      <c r="E8096" t="str">
        <f>IF(COUNTIF(data1!$D:$D,D8096)=0,"Missing in Data1","Present")</f>
        <v>Missing in Data1</v>
      </c>
    </row>
    <row r="8097" spans="1:5" x14ac:dyDescent="0.25">
      <c r="A8097" s="2" t="s">
        <v>6026</v>
      </c>
      <c r="B8097" s="2" t="s">
        <v>2501</v>
      </c>
      <c r="C8097" s="2">
        <v>5</v>
      </c>
      <c r="D8097" t="str">
        <f t="shared" si="126"/>
        <v>US-2014-150574_TEC-AC-10002600</v>
      </c>
      <c r="E8097" t="str">
        <f>IF(COUNTIF(data1!$D:$D,D8097)=0,"Missing in Data1","Present")</f>
        <v>Present</v>
      </c>
    </row>
    <row r="8098" spans="1:5" x14ac:dyDescent="0.25">
      <c r="A8098" s="2" t="s">
        <v>6027</v>
      </c>
      <c r="B8098" s="2" t="s">
        <v>2891</v>
      </c>
      <c r="C8098" s="2">
        <v>5</v>
      </c>
      <c r="D8098" t="str">
        <f t="shared" si="126"/>
        <v>US-2014-150924_OFF-BI-10004040</v>
      </c>
      <c r="E8098" t="str">
        <f>IF(COUNTIF(data1!$D:$D,D8098)=0,"Missing in Data1","Present")</f>
        <v>Present</v>
      </c>
    </row>
    <row r="8099" spans="1:5" x14ac:dyDescent="0.25">
      <c r="A8099" s="2" t="s">
        <v>6028</v>
      </c>
      <c r="B8099" s="2" t="s">
        <v>9</v>
      </c>
      <c r="C8099" s="2">
        <v>3</v>
      </c>
      <c r="D8099" t="str">
        <f t="shared" si="126"/>
        <v>US-2014-151015_OFF-BI-10000343</v>
      </c>
      <c r="E8099" t="str">
        <f>IF(COUNTIF(data1!$D:$D,D8099)=0,"Missing in Data1","Present")</f>
        <v>Present</v>
      </c>
    </row>
    <row r="8100" spans="1:5" x14ac:dyDescent="0.25">
      <c r="A8100" s="2" t="s">
        <v>6028</v>
      </c>
      <c r="B8100" s="2" t="s">
        <v>2955</v>
      </c>
      <c r="C8100" s="2">
        <v>4</v>
      </c>
      <c r="D8100" t="str">
        <f t="shared" si="126"/>
        <v>US-2014-151015_OFF-PA-10001184</v>
      </c>
      <c r="E8100" t="str">
        <f>IF(COUNTIF(data1!$D:$D,D8100)=0,"Missing in Data1","Present")</f>
        <v>Present</v>
      </c>
    </row>
    <row r="8101" spans="1:5" x14ac:dyDescent="0.25">
      <c r="A8101" s="2" t="s">
        <v>6028</v>
      </c>
      <c r="B8101" s="2" t="s">
        <v>1376</v>
      </c>
      <c r="C8101" s="2">
        <v>13</v>
      </c>
      <c r="D8101" t="str">
        <f t="shared" si="126"/>
        <v>US-2014-151015_OFF-PA-10002581</v>
      </c>
      <c r="E8101" t="str">
        <f>IF(COUNTIF(data1!$D:$D,D8101)=0,"Missing in Data1","Present")</f>
        <v>Present</v>
      </c>
    </row>
    <row r="8102" spans="1:5" x14ac:dyDescent="0.25">
      <c r="A8102" s="2" t="s">
        <v>6856</v>
      </c>
      <c r="B8102" s="2" t="s">
        <v>3591</v>
      </c>
      <c r="C8102" s="2">
        <v>2</v>
      </c>
      <c r="D8102" t="str">
        <f t="shared" si="126"/>
        <v>US-2014-151925_FUR-CH-10002961</v>
      </c>
      <c r="E8102" t="str">
        <f>IF(COUNTIF(data1!$D:$D,D8102)=0,"Missing in Data1","Present")</f>
        <v>Missing in Data1</v>
      </c>
    </row>
    <row r="8103" spans="1:5" x14ac:dyDescent="0.25">
      <c r="A8103" s="2" t="s">
        <v>6029</v>
      </c>
      <c r="B8103" s="2" t="s">
        <v>181</v>
      </c>
      <c r="C8103" s="2">
        <v>3</v>
      </c>
      <c r="D8103" t="str">
        <f t="shared" si="126"/>
        <v>US-2014-152030_FUR-CH-10004063</v>
      </c>
      <c r="E8103" t="str">
        <f>IF(COUNTIF(data1!$D:$D,D8103)=0,"Missing in Data1","Present")</f>
        <v>Present</v>
      </c>
    </row>
    <row r="8104" spans="1:5" x14ac:dyDescent="0.25">
      <c r="A8104" s="2" t="s">
        <v>6030</v>
      </c>
      <c r="B8104" s="2" t="s">
        <v>2342</v>
      </c>
      <c r="C8104" s="2">
        <v>1</v>
      </c>
      <c r="D8104" t="str">
        <f t="shared" si="126"/>
        <v>US-2014-152723_OFF-BI-10003460</v>
      </c>
      <c r="E8104" t="str">
        <f>IF(COUNTIF(data1!$D:$D,D8104)=0,"Missing in Data1","Present")</f>
        <v>Present</v>
      </c>
    </row>
    <row r="8105" spans="1:5" x14ac:dyDescent="0.25">
      <c r="A8105" s="2" t="s">
        <v>6031</v>
      </c>
      <c r="B8105" s="2" t="s">
        <v>1850</v>
      </c>
      <c r="C8105" s="2">
        <v>2</v>
      </c>
      <c r="D8105" t="str">
        <f t="shared" si="126"/>
        <v>US-2014-154655_OFF-SU-10000898</v>
      </c>
      <c r="E8105" t="str">
        <f>IF(COUNTIF(data1!$D:$D,D8105)=0,"Missing in Data1","Present")</f>
        <v>Present</v>
      </c>
    </row>
    <row r="8106" spans="1:5" x14ac:dyDescent="0.25">
      <c r="A8106" s="2" t="s">
        <v>6032</v>
      </c>
      <c r="B8106" s="2" t="s">
        <v>1080</v>
      </c>
      <c r="C8106" s="2">
        <v>6</v>
      </c>
      <c r="D8106" t="str">
        <f t="shared" si="126"/>
        <v>US-2014-154879_OFF-AR-10001897</v>
      </c>
      <c r="E8106" t="str">
        <f>IF(COUNTIF(data1!$D:$D,D8106)=0,"Missing in Data1","Present")</f>
        <v>Present</v>
      </c>
    </row>
    <row r="8107" spans="1:5" x14ac:dyDescent="0.25">
      <c r="A8107" s="2" t="s">
        <v>6033</v>
      </c>
      <c r="B8107" s="2" t="s">
        <v>2864</v>
      </c>
      <c r="C8107" s="2">
        <v>3</v>
      </c>
      <c r="D8107" t="str">
        <f t="shared" si="126"/>
        <v>US-2014-155502_FUR-FU-10001847</v>
      </c>
      <c r="E8107" t="str">
        <f>IF(COUNTIF(data1!$D:$D,D8107)=0,"Missing in Data1","Present")</f>
        <v>Present</v>
      </c>
    </row>
    <row r="8108" spans="1:5" x14ac:dyDescent="0.25">
      <c r="A8108" s="2" t="s">
        <v>6033</v>
      </c>
      <c r="B8108" s="2" t="s">
        <v>709</v>
      </c>
      <c r="C8108" s="2">
        <v>3</v>
      </c>
      <c r="D8108" t="str">
        <f t="shared" si="126"/>
        <v>US-2014-155502_FUR-FU-10004587</v>
      </c>
      <c r="E8108" t="str">
        <f>IF(COUNTIF(data1!$D:$D,D8108)=0,"Missing in Data1","Present")</f>
        <v>Present</v>
      </c>
    </row>
    <row r="8109" spans="1:5" x14ac:dyDescent="0.25">
      <c r="A8109" s="2" t="s">
        <v>6033</v>
      </c>
      <c r="B8109" s="2" t="s">
        <v>2655</v>
      </c>
      <c r="C8109" s="2">
        <v>2</v>
      </c>
      <c r="D8109" t="str">
        <f t="shared" si="126"/>
        <v>US-2014-155502_OFF-PA-10000380</v>
      </c>
      <c r="E8109" t="str">
        <f>IF(COUNTIF(data1!$D:$D,D8109)=0,"Missing in Data1","Present")</f>
        <v>Present</v>
      </c>
    </row>
    <row r="8110" spans="1:5" x14ac:dyDescent="0.25">
      <c r="A8110" s="2" t="s">
        <v>6033</v>
      </c>
      <c r="B8110" s="2" t="s">
        <v>1724</v>
      </c>
      <c r="C8110" s="2">
        <v>3</v>
      </c>
      <c r="D8110" t="str">
        <f t="shared" si="126"/>
        <v>US-2014-155502_OFF-PA-10003072</v>
      </c>
      <c r="E8110" t="str">
        <f>IF(COUNTIF(data1!$D:$D,D8110)=0,"Missing in Data1","Present")</f>
        <v>Present</v>
      </c>
    </row>
    <row r="8111" spans="1:5" x14ac:dyDescent="0.25">
      <c r="A8111" s="2" t="s">
        <v>6033</v>
      </c>
      <c r="B8111" s="2" t="s">
        <v>184</v>
      </c>
      <c r="C8111" s="2">
        <v>8</v>
      </c>
      <c r="D8111" t="str">
        <f t="shared" si="126"/>
        <v>US-2014-155502_OFF-ST-10004337</v>
      </c>
      <c r="E8111" t="str">
        <f>IF(COUNTIF(data1!$D:$D,D8111)=0,"Missing in Data1","Present")</f>
        <v>Present</v>
      </c>
    </row>
    <row r="8112" spans="1:5" x14ac:dyDescent="0.25">
      <c r="A8112" s="2" t="s">
        <v>6033</v>
      </c>
      <c r="B8112" s="2" t="s">
        <v>1425</v>
      </c>
      <c r="C8112" s="2">
        <v>2</v>
      </c>
      <c r="D8112" t="str">
        <f t="shared" si="126"/>
        <v>US-2014-155502_TEC-PH-10002103</v>
      </c>
      <c r="E8112" t="str">
        <f>IF(COUNTIF(data1!$D:$D,D8112)=0,"Missing in Data1","Present")</f>
        <v>Present</v>
      </c>
    </row>
    <row r="8113" spans="1:5" x14ac:dyDescent="0.25">
      <c r="A8113" s="2" t="s">
        <v>6033</v>
      </c>
      <c r="B8113" s="2" t="s">
        <v>3748</v>
      </c>
      <c r="C8113" s="2">
        <v>13</v>
      </c>
      <c r="D8113" t="str">
        <f t="shared" si="126"/>
        <v>US-2014-155502_TEC-PH-10004833</v>
      </c>
      <c r="E8113" t="str">
        <f>IF(COUNTIF(data1!$D:$D,D8113)=0,"Missing in Data1","Present")</f>
        <v>Present</v>
      </c>
    </row>
    <row r="8114" spans="1:5" x14ac:dyDescent="0.25">
      <c r="A8114" s="2" t="s">
        <v>6034</v>
      </c>
      <c r="B8114" s="2" t="s">
        <v>335</v>
      </c>
      <c r="C8114" s="2">
        <v>3</v>
      </c>
      <c r="D8114" t="str">
        <f t="shared" si="126"/>
        <v>US-2014-155544_FUR-CH-10000422</v>
      </c>
      <c r="E8114" t="str">
        <f>IF(COUNTIF(data1!$D:$D,D8114)=0,"Missing in Data1","Present")</f>
        <v>Present</v>
      </c>
    </row>
    <row r="8115" spans="1:5" x14ac:dyDescent="0.25">
      <c r="A8115" s="2" t="s">
        <v>6034</v>
      </c>
      <c r="B8115" s="2" t="s">
        <v>1529</v>
      </c>
      <c r="C8115" s="2">
        <v>3</v>
      </c>
      <c r="D8115" t="str">
        <f t="shared" si="126"/>
        <v>US-2014-155544_FUR-FU-10001473</v>
      </c>
      <c r="E8115" t="str">
        <f>IF(COUNTIF(data1!$D:$D,D8115)=0,"Missing in Data1","Present")</f>
        <v>Present</v>
      </c>
    </row>
    <row r="8116" spans="1:5" x14ac:dyDescent="0.25">
      <c r="A8116" s="2" t="s">
        <v>6034</v>
      </c>
      <c r="B8116" s="2" t="s">
        <v>2582</v>
      </c>
      <c r="C8116" s="2">
        <v>5</v>
      </c>
      <c r="D8116" t="str">
        <f t="shared" si="126"/>
        <v>US-2014-155544_OFF-LA-10004544</v>
      </c>
      <c r="E8116" t="str">
        <f>IF(COUNTIF(data1!$D:$D,D8116)=0,"Missing in Data1","Present")</f>
        <v>Present</v>
      </c>
    </row>
    <row r="8117" spans="1:5" x14ac:dyDescent="0.25">
      <c r="A8117" s="2" t="s">
        <v>6035</v>
      </c>
      <c r="B8117" s="2" t="s">
        <v>1628</v>
      </c>
      <c r="C8117" s="2">
        <v>3</v>
      </c>
      <c r="D8117" t="str">
        <f t="shared" si="126"/>
        <v>US-2014-155817_OFF-AR-10002335</v>
      </c>
      <c r="E8117" t="str">
        <f>IF(COUNTIF(data1!$D:$D,D8117)=0,"Missing in Data1","Present")</f>
        <v>Present</v>
      </c>
    </row>
    <row r="8118" spans="1:5" x14ac:dyDescent="0.25">
      <c r="A8118" s="2" t="s">
        <v>6035</v>
      </c>
      <c r="B8118" s="2" t="s">
        <v>51</v>
      </c>
      <c r="C8118" s="2">
        <v>2</v>
      </c>
      <c r="D8118" t="str">
        <f t="shared" si="126"/>
        <v>US-2014-155817_OFF-ST-10000532</v>
      </c>
      <c r="E8118" t="str">
        <f>IF(COUNTIF(data1!$D:$D,D8118)=0,"Missing in Data1","Present")</f>
        <v>Present</v>
      </c>
    </row>
    <row r="8119" spans="1:5" x14ac:dyDescent="0.25">
      <c r="A8119" s="2" t="s">
        <v>6036</v>
      </c>
      <c r="B8119" s="2" t="s">
        <v>2460</v>
      </c>
      <c r="C8119" s="2">
        <v>3</v>
      </c>
      <c r="D8119" t="str">
        <f t="shared" si="126"/>
        <v>US-2014-155894_OFF-ST-10004804</v>
      </c>
      <c r="E8119" t="str">
        <f>IF(COUNTIF(data1!$D:$D,D8119)=0,"Missing in Data1","Present")</f>
        <v>Present</v>
      </c>
    </row>
    <row r="8120" spans="1:5" x14ac:dyDescent="0.25">
      <c r="A8120" s="2" t="s">
        <v>6037</v>
      </c>
      <c r="B8120" s="2" t="s">
        <v>1816</v>
      </c>
      <c r="C8120" s="2">
        <v>7</v>
      </c>
      <c r="D8120" t="str">
        <f t="shared" si="126"/>
        <v>US-2014-156216_OFF-BI-10001679</v>
      </c>
      <c r="E8120" t="str">
        <f>IF(COUNTIF(data1!$D:$D,D8120)=0,"Missing in Data1","Present")</f>
        <v>Present</v>
      </c>
    </row>
    <row r="8121" spans="1:5" x14ac:dyDescent="0.25">
      <c r="A8121" s="2" t="s">
        <v>6038</v>
      </c>
      <c r="B8121" s="2" t="s">
        <v>1210</v>
      </c>
      <c r="C8121" s="2">
        <v>9</v>
      </c>
      <c r="D8121" t="str">
        <f t="shared" si="126"/>
        <v>US-2014-156559_FUR-BO-10000711</v>
      </c>
      <c r="E8121" t="str">
        <f>IF(COUNTIF(data1!$D:$D,D8121)=0,"Missing in Data1","Present")</f>
        <v>Present</v>
      </c>
    </row>
    <row r="8122" spans="1:5" x14ac:dyDescent="0.25">
      <c r="A8122" s="2" t="s">
        <v>6039</v>
      </c>
      <c r="B8122" s="2" t="s">
        <v>1886</v>
      </c>
      <c r="C8122" s="2">
        <v>4</v>
      </c>
      <c r="D8122" t="str">
        <f t="shared" si="126"/>
        <v>US-2014-157021_OFF-BI-10000042</v>
      </c>
      <c r="E8122" t="str">
        <f>IF(COUNTIF(data1!$D:$D,D8122)=0,"Missing in Data1","Present")</f>
        <v>Present</v>
      </c>
    </row>
    <row r="8123" spans="1:5" x14ac:dyDescent="0.25">
      <c r="A8123" s="2" t="s">
        <v>6039</v>
      </c>
      <c r="B8123" s="2" t="s">
        <v>1044</v>
      </c>
      <c r="C8123" s="2">
        <v>2</v>
      </c>
      <c r="D8123" t="str">
        <f t="shared" si="126"/>
        <v>US-2014-157021_OFF-LA-10002312</v>
      </c>
      <c r="E8123" t="str">
        <f>IF(COUNTIF(data1!$D:$D,D8123)=0,"Missing in Data1","Present")</f>
        <v>Present</v>
      </c>
    </row>
    <row r="8124" spans="1:5" x14ac:dyDescent="0.25">
      <c r="A8124" s="2" t="s">
        <v>6040</v>
      </c>
      <c r="B8124" s="2" t="s">
        <v>1618</v>
      </c>
      <c r="C8124" s="2">
        <v>5</v>
      </c>
      <c r="D8124" t="str">
        <f t="shared" si="126"/>
        <v>US-2014-157070_OFF-AP-10004859</v>
      </c>
      <c r="E8124" t="str">
        <f>IF(COUNTIF(data1!$D:$D,D8124)=0,"Missing in Data1","Present")</f>
        <v>Present</v>
      </c>
    </row>
    <row r="8125" spans="1:5" x14ac:dyDescent="0.25">
      <c r="A8125" s="2" t="s">
        <v>6040</v>
      </c>
      <c r="B8125" s="2" t="s">
        <v>224</v>
      </c>
      <c r="C8125" s="2">
        <v>4</v>
      </c>
      <c r="D8125" t="str">
        <f t="shared" si="126"/>
        <v>US-2014-157070_OFF-BI-10001765</v>
      </c>
      <c r="E8125" t="str">
        <f>IF(COUNTIF(data1!$D:$D,D8125)=0,"Missing in Data1","Present")</f>
        <v>Present</v>
      </c>
    </row>
    <row r="8126" spans="1:5" x14ac:dyDescent="0.25">
      <c r="A8126" s="2" t="s">
        <v>6041</v>
      </c>
      <c r="B8126" s="2" t="s">
        <v>480</v>
      </c>
      <c r="C8126" s="2">
        <v>7</v>
      </c>
      <c r="D8126" t="str">
        <f t="shared" si="126"/>
        <v>US-2014-157231_OFF-BI-10002852</v>
      </c>
      <c r="E8126" t="str">
        <f>IF(COUNTIF(data1!$D:$D,D8126)=0,"Missing in Data1","Present")</f>
        <v>Present</v>
      </c>
    </row>
    <row r="8127" spans="1:5" x14ac:dyDescent="0.25">
      <c r="A8127" s="2" t="s">
        <v>6042</v>
      </c>
      <c r="B8127" s="2" t="s">
        <v>1520</v>
      </c>
      <c r="C8127" s="2">
        <v>2</v>
      </c>
      <c r="D8127" t="str">
        <f t="shared" si="126"/>
        <v>US-2014-157385_FUR-CH-10000595</v>
      </c>
      <c r="E8127" t="str">
        <f>IF(COUNTIF(data1!$D:$D,D8127)=0,"Missing in Data1","Present")</f>
        <v>Present</v>
      </c>
    </row>
    <row r="8128" spans="1:5" x14ac:dyDescent="0.25">
      <c r="A8128" s="2" t="s">
        <v>6042</v>
      </c>
      <c r="B8128" s="2" t="s">
        <v>474</v>
      </c>
      <c r="C8128" s="2">
        <v>5</v>
      </c>
      <c r="D8128" t="str">
        <f t="shared" si="126"/>
        <v>US-2014-157385_FUR-CH-10000863</v>
      </c>
      <c r="E8128" t="str">
        <f>IF(COUNTIF(data1!$D:$D,D8128)=0,"Missing in Data1","Present")</f>
        <v>Present</v>
      </c>
    </row>
    <row r="8129" spans="1:5" x14ac:dyDescent="0.25">
      <c r="A8129" s="2" t="s">
        <v>6042</v>
      </c>
      <c r="B8129" s="2" t="s">
        <v>1010</v>
      </c>
      <c r="C8129" s="2">
        <v>3</v>
      </c>
      <c r="D8129" t="str">
        <f t="shared" si="126"/>
        <v>US-2014-157385_OFF-EN-10003160</v>
      </c>
      <c r="E8129" t="str">
        <f>IF(COUNTIF(data1!$D:$D,D8129)=0,"Missing in Data1","Present")</f>
        <v>Present</v>
      </c>
    </row>
    <row r="8130" spans="1:5" x14ac:dyDescent="0.25">
      <c r="A8130" s="2" t="s">
        <v>6042</v>
      </c>
      <c r="B8130" s="2" t="s">
        <v>1870</v>
      </c>
      <c r="C8130" s="2">
        <v>1</v>
      </c>
      <c r="D8130" t="str">
        <f t="shared" si="126"/>
        <v>US-2014-157385_TEC-AC-10003280</v>
      </c>
      <c r="E8130" t="str">
        <f>IF(COUNTIF(data1!$D:$D,D8130)=0,"Missing in Data1","Present")</f>
        <v>Present</v>
      </c>
    </row>
    <row r="8131" spans="1:5" x14ac:dyDescent="0.25">
      <c r="A8131" s="2" t="s">
        <v>6043</v>
      </c>
      <c r="B8131" s="2" t="s">
        <v>3586</v>
      </c>
      <c r="C8131" s="2">
        <v>3</v>
      </c>
      <c r="D8131" t="str">
        <f t="shared" ref="D8131:D8194" si="127">A8131&amp;"_"&amp;B8131</f>
        <v>US-2014-157406_OFF-AR-10002221</v>
      </c>
      <c r="E8131" t="str">
        <f>IF(COUNTIF(data1!$D:$D,D8131)=0,"Missing in Data1","Present")</f>
        <v>Present</v>
      </c>
    </row>
    <row r="8132" spans="1:5" x14ac:dyDescent="0.25">
      <c r="A8132" s="2" t="s">
        <v>6043</v>
      </c>
      <c r="B8132" s="2" t="s">
        <v>1029</v>
      </c>
      <c r="C8132" s="2">
        <v>2</v>
      </c>
      <c r="D8132" t="str">
        <f t="shared" si="127"/>
        <v>US-2014-157406_OFF-PA-10003543</v>
      </c>
      <c r="E8132" t="str">
        <f>IF(COUNTIF(data1!$D:$D,D8132)=0,"Missing in Data1","Present")</f>
        <v>Present</v>
      </c>
    </row>
    <row r="8133" spans="1:5" x14ac:dyDescent="0.25">
      <c r="A8133" s="2" t="s">
        <v>6044</v>
      </c>
      <c r="B8133" s="2" t="s">
        <v>5431</v>
      </c>
      <c r="C8133" s="2">
        <v>7</v>
      </c>
      <c r="D8133" t="str">
        <f t="shared" si="127"/>
        <v>US-2014-157847_OFF-PA-10001593</v>
      </c>
      <c r="E8133" t="str">
        <f>IF(COUNTIF(data1!$D:$D,D8133)=0,"Missing in Data1","Present")</f>
        <v>Missing in Data1</v>
      </c>
    </row>
    <row r="8134" spans="1:5" x14ac:dyDescent="0.25">
      <c r="A8134" s="2" t="s">
        <v>6044</v>
      </c>
      <c r="B8134" s="2" t="s">
        <v>47</v>
      </c>
      <c r="C8134" s="2">
        <v>5</v>
      </c>
      <c r="D8134" t="str">
        <f t="shared" si="127"/>
        <v>US-2014-157847_OFF-PA-10002986</v>
      </c>
      <c r="E8134" t="str">
        <f>IF(COUNTIF(data1!$D:$D,D8134)=0,"Missing in Data1","Present")</f>
        <v>Present</v>
      </c>
    </row>
    <row r="8135" spans="1:5" x14ac:dyDescent="0.25">
      <c r="A8135" s="2" t="s">
        <v>6045</v>
      </c>
      <c r="B8135" s="2" t="s">
        <v>165</v>
      </c>
      <c r="C8135" s="2">
        <v>5</v>
      </c>
      <c r="D8135" t="str">
        <f t="shared" si="127"/>
        <v>US-2014-158057_OFF-BI-10002735</v>
      </c>
      <c r="E8135" t="str">
        <f>IF(COUNTIF(data1!$D:$D,D8135)=0,"Missing in Data1","Present")</f>
        <v>Present</v>
      </c>
    </row>
    <row r="8136" spans="1:5" x14ac:dyDescent="0.25">
      <c r="A8136" s="2" t="s">
        <v>6045</v>
      </c>
      <c r="B8136" s="2" t="s">
        <v>2186</v>
      </c>
      <c r="C8136" s="2">
        <v>4</v>
      </c>
      <c r="D8136" t="str">
        <f t="shared" si="127"/>
        <v>US-2014-158057_OFF-BI-10004410</v>
      </c>
      <c r="E8136" t="str">
        <f>IF(COUNTIF(data1!$D:$D,D8136)=0,"Missing in Data1","Present")</f>
        <v>Missing in Data1</v>
      </c>
    </row>
    <row r="8137" spans="1:5" x14ac:dyDescent="0.25">
      <c r="A8137" s="2" t="s">
        <v>6046</v>
      </c>
      <c r="B8137" s="2" t="s">
        <v>961</v>
      </c>
      <c r="C8137" s="2">
        <v>5</v>
      </c>
      <c r="D8137" t="str">
        <f t="shared" si="127"/>
        <v>US-2014-158365_OFF-PA-10000289</v>
      </c>
      <c r="E8137" t="str">
        <f>IF(COUNTIF(data1!$D:$D,D8137)=0,"Missing in Data1","Present")</f>
        <v>Present</v>
      </c>
    </row>
    <row r="8138" spans="1:5" x14ac:dyDescent="0.25">
      <c r="A8138" s="2" t="s">
        <v>6047</v>
      </c>
      <c r="B8138" s="2" t="s">
        <v>955</v>
      </c>
      <c r="C8138" s="2">
        <v>4</v>
      </c>
      <c r="D8138" t="str">
        <f t="shared" si="127"/>
        <v>US-2014-158400_OFF-BI-10002353</v>
      </c>
      <c r="E8138" t="str">
        <f>IF(COUNTIF(data1!$D:$D,D8138)=0,"Missing in Data1","Present")</f>
        <v>Present</v>
      </c>
    </row>
    <row r="8139" spans="1:5" x14ac:dyDescent="0.25">
      <c r="A8139" s="2" t="s">
        <v>6048</v>
      </c>
      <c r="B8139" s="2" t="s">
        <v>688</v>
      </c>
      <c r="C8139" s="2">
        <v>4</v>
      </c>
      <c r="D8139" t="str">
        <f t="shared" si="127"/>
        <v>US-2014-158638_OFF-BI-10003712</v>
      </c>
      <c r="E8139" t="str">
        <f>IF(COUNTIF(data1!$D:$D,D8139)=0,"Missing in Data1","Present")</f>
        <v>Present</v>
      </c>
    </row>
    <row r="8140" spans="1:5" x14ac:dyDescent="0.25">
      <c r="A8140" s="2" t="s">
        <v>6049</v>
      </c>
      <c r="B8140" s="2" t="s">
        <v>2459</v>
      </c>
      <c r="C8140" s="2">
        <v>3</v>
      </c>
      <c r="D8140" t="str">
        <f t="shared" si="127"/>
        <v>US-2014-159611_FUR-FU-10004904</v>
      </c>
      <c r="E8140" t="str">
        <f>IF(COUNTIF(data1!$D:$D,D8140)=0,"Missing in Data1","Present")</f>
        <v>Present</v>
      </c>
    </row>
    <row r="8141" spans="1:5" x14ac:dyDescent="0.25">
      <c r="A8141" s="2" t="s">
        <v>6049</v>
      </c>
      <c r="B8141" s="2" t="s">
        <v>3758</v>
      </c>
      <c r="C8141" s="2">
        <v>2</v>
      </c>
      <c r="D8141" t="str">
        <f t="shared" si="127"/>
        <v>US-2014-159611_OFF-ST-10002790</v>
      </c>
      <c r="E8141" t="str">
        <f>IF(COUNTIF(data1!$D:$D,D8141)=0,"Missing in Data1","Present")</f>
        <v>Present</v>
      </c>
    </row>
    <row r="8142" spans="1:5" x14ac:dyDescent="0.25">
      <c r="A8142" s="2" t="s">
        <v>6050</v>
      </c>
      <c r="B8142" s="2" t="s">
        <v>489</v>
      </c>
      <c r="C8142" s="2">
        <v>1</v>
      </c>
      <c r="D8142" t="str">
        <f t="shared" si="127"/>
        <v>US-2014-159618_FUR-BO-10004467</v>
      </c>
      <c r="E8142" t="str">
        <f>IF(COUNTIF(data1!$D:$D,D8142)=0,"Missing in Data1","Present")</f>
        <v>Present</v>
      </c>
    </row>
    <row r="8143" spans="1:5" x14ac:dyDescent="0.25">
      <c r="A8143" s="2" t="s">
        <v>6050</v>
      </c>
      <c r="B8143" s="2" t="s">
        <v>1728</v>
      </c>
      <c r="C8143" s="2">
        <v>7</v>
      </c>
      <c r="D8143" t="str">
        <f t="shared" si="127"/>
        <v>US-2014-159618_OFF-PA-10004100</v>
      </c>
      <c r="E8143" t="str">
        <f>IF(COUNTIF(data1!$D:$D,D8143)=0,"Missing in Data1","Present")</f>
        <v>Present</v>
      </c>
    </row>
    <row r="8144" spans="1:5" x14ac:dyDescent="0.25">
      <c r="A8144" s="2" t="s">
        <v>6050</v>
      </c>
      <c r="B8144" s="2" t="s">
        <v>933</v>
      </c>
      <c r="C8144" s="2">
        <v>6</v>
      </c>
      <c r="D8144" t="str">
        <f t="shared" si="127"/>
        <v>US-2014-159618_OFF-SU-10000432</v>
      </c>
      <c r="E8144" t="str">
        <f>IF(COUNTIF(data1!$D:$D,D8144)=0,"Missing in Data1","Present")</f>
        <v>Present</v>
      </c>
    </row>
    <row r="8145" spans="1:5" x14ac:dyDescent="0.25">
      <c r="A8145" s="2" t="s">
        <v>6050</v>
      </c>
      <c r="B8145" s="2" t="s">
        <v>877</v>
      </c>
      <c r="C8145" s="2">
        <v>3</v>
      </c>
      <c r="D8145" t="str">
        <f t="shared" si="127"/>
        <v>US-2014-159618_TEC-AC-10003832</v>
      </c>
      <c r="E8145" t="str">
        <f>IF(COUNTIF(data1!$D:$D,D8145)=0,"Missing in Data1","Present")</f>
        <v>Present</v>
      </c>
    </row>
    <row r="8146" spans="1:5" x14ac:dyDescent="0.25">
      <c r="A8146" s="2" t="s">
        <v>6051</v>
      </c>
      <c r="B8146" s="2" t="s">
        <v>1529</v>
      </c>
      <c r="C8146" s="2">
        <v>3</v>
      </c>
      <c r="D8146" t="str">
        <f t="shared" si="127"/>
        <v>US-2014-159926_FUR-FU-10001473</v>
      </c>
      <c r="E8146" t="str">
        <f>IF(COUNTIF(data1!$D:$D,D8146)=0,"Missing in Data1","Present")</f>
        <v>Present</v>
      </c>
    </row>
    <row r="8147" spans="1:5" x14ac:dyDescent="0.25">
      <c r="A8147" s="2" t="s">
        <v>6051</v>
      </c>
      <c r="B8147" s="2" t="s">
        <v>702</v>
      </c>
      <c r="C8147" s="2">
        <v>1</v>
      </c>
      <c r="D8147" t="str">
        <f t="shared" si="127"/>
        <v>US-2014-159926_OFF-BI-10003656</v>
      </c>
      <c r="E8147" t="str">
        <f>IF(COUNTIF(data1!$D:$D,D8147)=0,"Missing in Data1","Present")</f>
        <v>Present</v>
      </c>
    </row>
    <row r="8148" spans="1:5" x14ac:dyDescent="0.25">
      <c r="A8148" s="2" t="s">
        <v>6051</v>
      </c>
      <c r="B8148" s="2" t="s">
        <v>853</v>
      </c>
      <c r="C8148" s="2">
        <v>3</v>
      </c>
      <c r="D8148" t="str">
        <f t="shared" si="127"/>
        <v>US-2014-159926_OFF-BI-10004656</v>
      </c>
      <c r="E8148" t="str">
        <f>IF(COUNTIF(data1!$D:$D,D8148)=0,"Missing in Data1","Present")</f>
        <v>Present</v>
      </c>
    </row>
    <row r="8149" spans="1:5" x14ac:dyDescent="0.25">
      <c r="A8149" s="2" t="s">
        <v>6051</v>
      </c>
      <c r="B8149" s="2" t="s">
        <v>2072</v>
      </c>
      <c r="C8149" s="2">
        <v>1</v>
      </c>
      <c r="D8149" t="str">
        <f t="shared" si="127"/>
        <v>US-2014-159926_OFF-ST-10003656</v>
      </c>
      <c r="E8149" t="str">
        <f>IF(COUNTIF(data1!$D:$D,D8149)=0,"Missing in Data1","Present")</f>
        <v>Present</v>
      </c>
    </row>
    <row r="8150" spans="1:5" x14ac:dyDescent="0.25">
      <c r="A8150" s="2" t="s">
        <v>6051</v>
      </c>
      <c r="B8150" s="2" t="s">
        <v>141</v>
      </c>
      <c r="C8150" s="2">
        <v>6</v>
      </c>
      <c r="D8150" t="str">
        <f t="shared" si="127"/>
        <v>US-2014-159926_TEC-PH-10001128</v>
      </c>
      <c r="E8150" t="str">
        <f>IF(COUNTIF(data1!$D:$D,D8150)=0,"Missing in Data1","Present")</f>
        <v>Present</v>
      </c>
    </row>
    <row r="8151" spans="1:5" x14ac:dyDescent="0.25">
      <c r="A8151" s="2" t="s">
        <v>6052</v>
      </c>
      <c r="B8151" s="2" t="s">
        <v>1339</v>
      </c>
      <c r="C8151" s="2">
        <v>11</v>
      </c>
      <c r="D8151" t="str">
        <f t="shared" si="127"/>
        <v>US-2014-160444_OFF-ST-10000563</v>
      </c>
      <c r="E8151" t="str">
        <f>IF(COUNTIF(data1!$D:$D,D8151)=0,"Missing in Data1","Present")</f>
        <v>Present</v>
      </c>
    </row>
    <row r="8152" spans="1:5" x14ac:dyDescent="0.25">
      <c r="A8152" s="2" t="s">
        <v>6052</v>
      </c>
      <c r="B8152" s="2" t="s">
        <v>374</v>
      </c>
      <c r="C8152" s="2">
        <v>3</v>
      </c>
      <c r="D8152" t="str">
        <f t="shared" si="127"/>
        <v>US-2014-160444_OFF-ST-10001522</v>
      </c>
      <c r="E8152" t="str">
        <f>IF(COUNTIF(data1!$D:$D,D8152)=0,"Missing in Data1","Present")</f>
        <v>Present</v>
      </c>
    </row>
    <row r="8153" spans="1:5" x14ac:dyDescent="0.25">
      <c r="A8153" s="2" t="s">
        <v>6053</v>
      </c>
      <c r="B8153" s="2" t="s">
        <v>301</v>
      </c>
      <c r="C8153" s="2">
        <v>7</v>
      </c>
      <c r="D8153" t="str">
        <f t="shared" si="127"/>
        <v>US-2014-160780_OFF-BI-10001116</v>
      </c>
      <c r="E8153" t="str">
        <f>IF(COUNTIF(data1!$D:$D,D8153)=0,"Missing in Data1","Present")</f>
        <v>Missing in Data1</v>
      </c>
    </row>
    <row r="8154" spans="1:5" x14ac:dyDescent="0.25">
      <c r="A8154" s="2" t="s">
        <v>6053</v>
      </c>
      <c r="B8154" s="2" t="s">
        <v>1227</v>
      </c>
      <c r="C8154" s="2">
        <v>2</v>
      </c>
      <c r="D8154" t="str">
        <f t="shared" si="127"/>
        <v>US-2014-160780_OFF-BI-10002931</v>
      </c>
      <c r="E8154" t="str">
        <f>IF(COUNTIF(data1!$D:$D,D8154)=0,"Missing in Data1","Present")</f>
        <v>Present</v>
      </c>
    </row>
    <row r="8155" spans="1:5" x14ac:dyDescent="0.25">
      <c r="A8155" s="2" t="s">
        <v>6054</v>
      </c>
      <c r="B8155" s="2" t="s">
        <v>1483</v>
      </c>
      <c r="C8155" s="2">
        <v>3</v>
      </c>
      <c r="D8155" t="str">
        <f t="shared" si="127"/>
        <v>US-2014-161305_OFF-BI-10002794</v>
      </c>
      <c r="E8155" t="str">
        <f>IF(COUNTIF(data1!$D:$D,D8155)=0,"Missing in Data1","Present")</f>
        <v>Present</v>
      </c>
    </row>
    <row r="8156" spans="1:5" x14ac:dyDescent="0.25">
      <c r="A8156" s="2" t="s">
        <v>6054</v>
      </c>
      <c r="B8156" s="2" t="s">
        <v>1855</v>
      </c>
      <c r="C8156" s="2">
        <v>2</v>
      </c>
      <c r="D8156" t="str">
        <f t="shared" si="127"/>
        <v>US-2014-161305_OFF-EN-10000461</v>
      </c>
      <c r="E8156" t="str">
        <f>IF(COUNTIF(data1!$D:$D,D8156)=0,"Missing in Data1","Present")</f>
        <v>Present</v>
      </c>
    </row>
    <row r="8157" spans="1:5" x14ac:dyDescent="0.25">
      <c r="A8157" s="2" t="s">
        <v>6055</v>
      </c>
      <c r="B8157" s="2" t="s">
        <v>2170</v>
      </c>
      <c r="C8157" s="2">
        <v>3</v>
      </c>
      <c r="D8157" t="str">
        <f t="shared" si="127"/>
        <v>US-2014-161613_FUR-CH-10003746</v>
      </c>
      <c r="E8157" t="str">
        <f>IF(COUNTIF(data1!$D:$D,D8157)=0,"Missing in Data1","Present")</f>
        <v>Present</v>
      </c>
    </row>
    <row r="8158" spans="1:5" x14ac:dyDescent="0.25">
      <c r="A8158" s="2" t="s">
        <v>6056</v>
      </c>
      <c r="B8158" s="2" t="s">
        <v>2645</v>
      </c>
      <c r="C8158" s="2">
        <v>3</v>
      </c>
      <c r="D8158" t="str">
        <f t="shared" si="127"/>
        <v>US-2014-163146_TEC-AC-10002217</v>
      </c>
      <c r="E8158" t="str">
        <f>IF(COUNTIF(data1!$D:$D,D8158)=0,"Missing in Data1","Present")</f>
        <v>Present</v>
      </c>
    </row>
    <row r="8159" spans="1:5" x14ac:dyDescent="0.25">
      <c r="A8159" s="2" t="s">
        <v>6057</v>
      </c>
      <c r="B8159" s="2" t="s">
        <v>1777</v>
      </c>
      <c r="C8159" s="2">
        <v>8</v>
      </c>
      <c r="D8159" t="str">
        <f t="shared" si="127"/>
        <v>US-2014-163797_OFF-FA-10001883</v>
      </c>
      <c r="E8159" t="str">
        <f>IF(COUNTIF(data1!$D:$D,D8159)=0,"Missing in Data1","Present")</f>
        <v>Present</v>
      </c>
    </row>
    <row r="8160" spans="1:5" x14ac:dyDescent="0.25">
      <c r="A8160" s="2" t="s">
        <v>6058</v>
      </c>
      <c r="B8160" s="2" t="s">
        <v>246</v>
      </c>
      <c r="C8160" s="2">
        <v>4</v>
      </c>
      <c r="D8160" t="str">
        <f t="shared" si="127"/>
        <v>US-2014-164406_FUR-CH-10003833</v>
      </c>
      <c r="E8160" t="str">
        <f>IF(COUNTIF(data1!$D:$D,D8160)=0,"Missing in Data1","Present")</f>
        <v>Present</v>
      </c>
    </row>
    <row r="8161" spans="1:5" x14ac:dyDescent="0.25">
      <c r="A8161" s="2" t="s">
        <v>6058</v>
      </c>
      <c r="B8161" s="2" t="s">
        <v>1183</v>
      </c>
      <c r="C8161" s="2">
        <v>3</v>
      </c>
      <c r="D8161" t="str">
        <f t="shared" si="127"/>
        <v>US-2014-164406_OFF-AP-10003287</v>
      </c>
      <c r="E8161" t="str">
        <f>IF(COUNTIF(data1!$D:$D,D8161)=0,"Missing in Data1","Present")</f>
        <v>Present</v>
      </c>
    </row>
    <row r="8162" spans="1:5" x14ac:dyDescent="0.25">
      <c r="A8162" s="2" t="s">
        <v>6058</v>
      </c>
      <c r="B8162" s="2" t="s">
        <v>3655</v>
      </c>
      <c r="C8162" s="2">
        <v>4</v>
      </c>
      <c r="D8162" t="str">
        <f t="shared" si="127"/>
        <v>US-2014-164406_OFF-BI-10002309</v>
      </c>
      <c r="E8162" t="str">
        <f>IF(COUNTIF(data1!$D:$D,D8162)=0,"Missing in Data1","Present")</f>
        <v>Present</v>
      </c>
    </row>
    <row r="8163" spans="1:5" x14ac:dyDescent="0.25">
      <c r="A8163" s="2" t="s">
        <v>6058</v>
      </c>
      <c r="B8163" s="2" t="s">
        <v>1137</v>
      </c>
      <c r="C8163" s="2">
        <v>3</v>
      </c>
      <c r="D8163" t="str">
        <f t="shared" si="127"/>
        <v>US-2014-164406_OFF-BI-10003638</v>
      </c>
      <c r="E8163" t="str">
        <f>IF(COUNTIF(data1!$D:$D,D8163)=0,"Missing in Data1","Present")</f>
        <v>Present</v>
      </c>
    </row>
    <row r="8164" spans="1:5" x14ac:dyDescent="0.25">
      <c r="A8164" s="2" t="s">
        <v>6058</v>
      </c>
      <c r="B8164" s="2" t="s">
        <v>1273</v>
      </c>
      <c r="C8164" s="2">
        <v>3</v>
      </c>
      <c r="D8164" t="str">
        <f t="shared" si="127"/>
        <v>US-2014-164406_OFF-PA-10000167</v>
      </c>
      <c r="E8164" t="str">
        <f>IF(COUNTIF(data1!$D:$D,D8164)=0,"Missing in Data1","Present")</f>
        <v>Present</v>
      </c>
    </row>
    <row r="8165" spans="1:5" x14ac:dyDescent="0.25">
      <c r="A8165" s="2" t="s">
        <v>6059</v>
      </c>
      <c r="B8165" s="2" t="s">
        <v>2324</v>
      </c>
      <c r="C8165" s="2">
        <v>4</v>
      </c>
      <c r="D8165" t="str">
        <f t="shared" si="127"/>
        <v>US-2014-164616_OFF-BI-10001718</v>
      </c>
      <c r="E8165" t="str">
        <f>IF(COUNTIF(data1!$D:$D,D8165)=0,"Missing in Data1","Present")</f>
        <v>Present</v>
      </c>
    </row>
    <row r="8166" spans="1:5" x14ac:dyDescent="0.25">
      <c r="A8166" s="2" t="s">
        <v>6059</v>
      </c>
      <c r="B8166" s="2" t="s">
        <v>6060</v>
      </c>
      <c r="C8166" s="2">
        <v>2</v>
      </c>
      <c r="D8166" t="str">
        <f t="shared" si="127"/>
        <v>US-2014-164616_OFF-SU-10004768</v>
      </c>
      <c r="E8166" t="str">
        <f>IF(COUNTIF(data1!$D:$D,D8166)=0,"Missing in Data1","Present")</f>
        <v>Present</v>
      </c>
    </row>
    <row r="8167" spans="1:5" x14ac:dyDescent="0.25">
      <c r="A8167" s="2" t="s">
        <v>6061</v>
      </c>
      <c r="B8167" s="2" t="s">
        <v>1465</v>
      </c>
      <c r="C8167" s="2">
        <v>1</v>
      </c>
      <c r="D8167" t="str">
        <f t="shared" si="127"/>
        <v>US-2014-164644_OFF-ST-10003123</v>
      </c>
      <c r="E8167" t="str">
        <f>IF(COUNTIF(data1!$D:$D,D8167)=0,"Missing in Data1","Present")</f>
        <v>Present</v>
      </c>
    </row>
    <row r="8168" spans="1:5" x14ac:dyDescent="0.25">
      <c r="A8168" s="2" t="s">
        <v>6062</v>
      </c>
      <c r="B8168" s="2" t="s">
        <v>2346</v>
      </c>
      <c r="C8168" s="2">
        <v>3</v>
      </c>
      <c r="D8168" t="str">
        <f t="shared" si="127"/>
        <v>US-2014-164763_OFF-AP-10003971</v>
      </c>
      <c r="E8168" t="str">
        <f>IF(COUNTIF(data1!$D:$D,D8168)=0,"Missing in Data1","Present")</f>
        <v>Present</v>
      </c>
    </row>
    <row r="8169" spans="1:5" x14ac:dyDescent="0.25">
      <c r="A8169" s="2" t="s">
        <v>6062</v>
      </c>
      <c r="B8169" s="2" t="s">
        <v>59</v>
      </c>
      <c r="C8169" s="2">
        <v>2</v>
      </c>
      <c r="D8169" t="str">
        <f t="shared" si="127"/>
        <v>US-2014-164763_OFF-BI-10000309</v>
      </c>
      <c r="E8169" t="str">
        <f>IF(COUNTIF(data1!$D:$D,D8169)=0,"Missing in Data1","Present")</f>
        <v>Present</v>
      </c>
    </row>
    <row r="8170" spans="1:5" x14ac:dyDescent="0.25">
      <c r="A8170" s="2" t="s">
        <v>6062</v>
      </c>
      <c r="B8170" s="2" t="s">
        <v>1789</v>
      </c>
      <c r="C8170" s="2">
        <v>3</v>
      </c>
      <c r="D8170" t="str">
        <f t="shared" si="127"/>
        <v>US-2014-164763_OFF-BI-10000605</v>
      </c>
      <c r="E8170" t="str">
        <f>IF(COUNTIF(data1!$D:$D,D8170)=0,"Missing in Data1","Present")</f>
        <v>Present</v>
      </c>
    </row>
    <row r="8171" spans="1:5" x14ac:dyDescent="0.25">
      <c r="A8171" s="2" t="s">
        <v>6062</v>
      </c>
      <c r="B8171" s="2" t="s">
        <v>470</v>
      </c>
      <c r="C8171" s="2">
        <v>4</v>
      </c>
      <c r="D8171" t="str">
        <f t="shared" si="127"/>
        <v>US-2014-164763_OFF-PA-10003063</v>
      </c>
      <c r="E8171" t="str">
        <f>IF(COUNTIF(data1!$D:$D,D8171)=0,"Missing in Data1","Present")</f>
        <v>Present</v>
      </c>
    </row>
    <row r="8172" spans="1:5" x14ac:dyDescent="0.25">
      <c r="A8172" s="2" t="s">
        <v>6062</v>
      </c>
      <c r="B8172" s="2" t="s">
        <v>105</v>
      </c>
      <c r="C8172" s="2">
        <v>2</v>
      </c>
      <c r="D8172" t="str">
        <f t="shared" si="127"/>
        <v>US-2014-164763_OFF-PA-10003349</v>
      </c>
      <c r="E8172" t="str">
        <f>IF(COUNTIF(data1!$D:$D,D8172)=0,"Missing in Data1","Present")</f>
        <v>Present</v>
      </c>
    </row>
    <row r="8173" spans="1:5" x14ac:dyDescent="0.25">
      <c r="A8173" s="2" t="s">
        <v>6063</v>
      </c>
      <c r="B8173" s="2" t="s">
        <v>2458</v>
      </c>
      <c r="C8173" s="2">
        <v>5</v>
      </c>
      <c r="D8173" t="str">
        <f t="shared" si="127"/>
        <v>US-2014-165589_FUR-FU-10002396</v>
      </c>
      <c r="E8173" t="str">
        <f>IF(COUNTIF(data1!$D:$D,D8173)=0,"Missing in Data1","Present")</f>
        <v>Present</v>
      </c>
    </row>
    <row r="8174" spans="1:5" x14ac:dyDescent="0.25">
      <c r="A8174" s="2" t="s">
        <v>6064</v>
      </c>
      <c r="B8174" s="2" t="s">
        <v>2317</v>
      </c>
      <c r="C8174" s="2">
        <v>6</v>
      </c>
      <c r="D8174" t="str">
        <f t="shared" si="127"/>
        <v>US-2014-165659_FUR-FU-10001935</v>
      </c>
      <c r="E8174" t="str">
        <f>IF(COUNTIF(data1!$D:$D,D8174)=0,"Missing in Data1","Present")</f>
        <v>Present</v>
      </c>
    </row>
    <row r="8175" spans="1:5" x14ac:dyDescent="0.25">
      <c r="A8175" s="2" t="s">
        <v>6064</v>
      </c>
      <c r="B8175" s="2" t="s">
        <v>3735</v>
      </c>
      <c r="C8175" s="2">
        <v>7</v>
      </c>
      <c r="D8175" t="str">
        <f t="shared" si="127"/>
        <v>US-2014-165659_TEC-PH-10002563</v>
      </c>
      <c r="E8175" t="str">
        <f>IF(COUNTIF(data1!$D:$D,D8175)=0,"Missing in Data1","Present")</f>
        <v>Present</v>
      </c>
    </row>
    <row r="8176" spans="1:5" x14ac:dyDescent="0.25">
      <c r="A8176" s="2" t="s">
        <v>6065</v>
      </c>
      <c r="B8176" s="2" t="s">
        <v>2413</v>
      </c>
      <c r="C8176" s="2">
        <v>3</v>
      </c>
      <c r="D8176" t="str">
        <f t="shared" si="127"/>
        <v>US-2014-165862_FUR-TA-10002855</v>
      </c>
      <c r="E8176" t="str">
        <f>IF(COUNTIF(data1!$D:$D,D8176)=0,"Missing in Data1","Present")</f>
        <v>Present</v>
      </c>
    </row>
    <row r="8177" spans="1:5" x14ac:dyDescent="0.25">
      <c r="A8177" s="2" t="s">
        <v>6066</v>
      </c>
      <c r="B8177" s="2" t="s">
        <v>643</v>
      </c>
      <c r="C8177" s="2">
        <v>2</v>
      </c>
      <c r="D8177" t="str">
        <f t="shared" si="127"/>
        <v>US-2014-166310_FUR-FU-10001546</v>
      </c>
      <c r="E8177" t="str">
        <f>IF(COUNTIF(data1!$D:$D,D8177)=0,"Missing in Data1","Present")</f>
        <v>Present</v>
      </c>
    </row>
    <row r="8178" spans="1:5" x14ac:dyDescent="0.25">
      <c r="A8178" s="2" t="s">
        <v>6067</v>
      </c>
      <c r="B8178" s="2" t="s">
        <v>2752</v>
      </c>
      <c r="C8178" s="2">
        <v>2</v>
      </c>
      <c r="D8178" t="str">
        <f t="shared" si="127"/>
        <v>US-2014-166828_OFF-PA-10001846</v>
      </c>
      <c r="E8178" t="str">
        <f>IF(COUNTIF(data1!$D:$D,D8178)=0,"Missing in Data1","Present")</f>
        <v>Present</v>
      </c>
    </row>
    <row r="8179" spans="1:5" x14ac:dyDescent="0.25">
      <c r="A8179" s="2" t="s">
        <v>6068</v>
      </c>
      <c r="B8179" s="2" t="s">
        <v>1173</v>
      </c>
      <c r="C8179" s="2">
        <v>8</v>
      </c>
      <c r="D8179" t="str">
        <f t="shared" si="127"/>
        <v>US-2014-167262_TEC-PH-10000486</v>
      </c>
      <c r="E8179" t="str">
        <f>IF(COUNTIF(data1!$D:$D,D8179)=0,"Missing in Data1","Present")</f>
        <v>Present</v>
      </c>
    </row>
    <row r="8180" spans="1:5" x14ac:dyDescent="0.25">
      <c r="A8180" s="2" t="s">
        <v>6069</v>
      </c>
      <c r="B8180" s="2" t="s">
        <v>581</v>
      </c>
      <c r="C8180" s="2">
        <v>3</v>
      </c>
      <c r="D8180" t="str">
        <f t="shared" si="127"/>
        <v>US-2014-167633_OFF-PA-10004888</v>
      </c>
      <c r="E8180" t="str">
        <f>IF(COUNTIF(data1!$D:$D,D8180)=0,"Missing in Data1","Present")</f>
        <v>Present</v>
      </c>
    </row>
    <row r="8181" spans="1:5" x14ac:dyDescent="0.25">
      <c r="A8181" s="2" t="s">
        <v>6070</v>
      </c>
      <c r="B8181" s="2" t="s">
        <v>370</v>
      </c>
      <c r="C8181" s="2">
        <v>6</v>
      </c>
      <c r="D8181" t="str">
        <f t="shared" si="127"/>
        <v>US-2014-167738_FUR-CH-10001146</v>
      </c>
      <c r="E8181" t="str">
        <f>IF(COUNTIF(data1!$D:$D,D8181)=0,"Missing in Data1","Present")</f>
        <v>Present</v>
      </c>
    </row>
    <row r="8182" spans="1:5" x14ac:dyDescent="0.25">
      <c r="A8182" s="2" t="s">
        <v>6070</v>
      </c>
      <c r="B8182" s="2" t="s">
        <v>1291</v>
      </c>
      <c r="C8182" s="2">
        <v>1</v>
      </c>
      <c r="D8182" t="str">
        <f t="shared" si="127"/>
        <v>US-2014-167738_OFF-ST-10003306</v>
      </c>
      <c r="E8182" t="str">
        <f>IF(COUNTIF(data1!$D:$D,D8182)=0,"Missing in Data1","Present")</f>
        <v>Present</v>
      </c>
    </row>
    <row r="8183" spans="1:5" x14ac:dyDescent="0.25">
      <c r="A8183" s="2" t="s">
        <v>6071</v>
      </c>
      <c r="B8183" s="2" t="s">
        <v>2505</v>
      </c>
      <c r="C8183" s="2">
        <v>1</v>
      </c>
      <c r="D8183" t="str">
        <f t="shared" si="127"/>
        <v>US-2014-168501_OFF-EN-10001509</v>
      </c>
      <c r="E8183" t="str">
        <f>IF(COUNTIF(data1!$D:$D,D8183)=0,"Missing in Data1","Present")</f>
        <v>Missing in Data1</v>
      </c>
    </row>
    <row r="8184" spans="1:5" x14ac:dyDescent="0.25">
      <c r="A8184" s="2" t="s">
        <v>6071</v>
      </c>
      <c r="B8184" s="2" t="s">
        <v>29</v>
      </c>
      <c r="C8184" s="2">
        <v>5</v>
      </c>
      <c r="D8184" t="str">
        <f t="shared" si="127"/>
        <v>US-2014-168501_TEC-PH-10004922</v>
      </c>
      <c r="E8184" t="str">
        <f>IF(COUNTIF(data1!$D:$D,D8184)=0,"Missing in Data1","Present")</f>
        <v>Present</v>
      </c>
    </row>
    <row r="8185" spans="1:5" x14ac:dyDescent="0.25">
      <c r="A8185" s="2" t="s">
        <v>6072</v>
      </c>
      <c r="B8185" s="2" t="s">
        <v>1735</v>
      </c>
      <c r="C8185" s="2">
        <v>4</v>
      </c>
      <c r="D8185" t="str">
        <f t="shared" si="127"/>
        <v>US-2014-169390_OFF-ST-10001558</v>
      </c>
      <c r="E8185" t="str">
        <f>IF(COUNTIF(data1!$D:$D,D8185)=0,"Missing in Data1","Present")</f>
        <v>Present</v>
      </c>
    </row>
    <row r="8186" spans="1:5" x14ac:dyDescent="0.25">
      <c r="A8186" s="2" t="s">
        <v>6073</v>
      </c>
      <c r="B8186" s="2" t="s">
        <v>113</v>
      </c>
      <c r="C8186" s="2">
        <v>5</v>
      </c>
      <c r="D8186" t="str">
        <f t="shared" si="127"/>
        <v>US-2014-169789_OFF-BI-10004600</v>
      </c>
      <c r="E8186" t="str">
        <f>IF(COUNTIF(data1!$D:$D,D8186)=0,"Missing in Data1","Present")</f>
        <v>Present</v>
      </c>
    </row>
    <row r="8187" spans="1:5" x14ac:dyDescent="0.25">
      <c r="A8187" s="2" t="s">
        <v>6074</v>
      </c>
      <c r="B8187" s="2" t="s">
        <v>142</v>
      </c>
      <c r="C8187" s="2">
        <v>2</v>
      </c>
      <c r="D8187" t="str">
        <f t="shared" si="127"/>
        <v>US-2015-100069_TEC-PH-10004667</v>
      </c>
      <c r="E8187" t="str">
        <f>IF(COUNTIF(data1!$D:$D,D8187)=0,"Missing in Data1","Present")</f>
        <v>Present</v>
      </c>
    </row>
    <row r="8188" spans="1:5" x14ac:dyDescent="0.25">
      <c r="A8188" s="2" t="s">
        <v>6075</v>
      </c>
      <c r="B8188" s="2" t="s">
        <v>1078</v>
      </c>
      <c r="C8188" s="2">
        <v>5</v>
      </c>
      <c r="D8188" t="str">
        <f t="shared" si="127"/>
        <v>US-2015-100377_TEC-CO-10001046</v>
      </c>
      <c r="E8188" t="str">
        <f>IF(COUNTIF(data1!$D:$D,D8188)=0,"Missing in Data1","Present")</f>
        <v>Present</v>
      </c>
    </row>
    <row r="8189" spans="1:5" x14ac:dyDescent="0.25">
      <c r="A8189" s="2" t="s">
        <v>6076</v>
      </c>
      <c r="B8189" s="2" t="s">
        <v>1503</v>
      </c>
      <c r="C8189" s="2">
        <v>3</v>
      </c>
      <c r="D8189" t="str">
        <f t="shared" si="127"/>
        <v>US-2015-100531_FUR-FU-10003849</v>
      </c>
      <c r="E8189" t="str">
        <f>IF(COUNTIF(data1!$D:$D,D8189)=0,"Missing in Data1","Present")</f>
        <v>Present</v>
      </c>
    </row>
    <row r="8190" spans="1:5" x14ac:dyDescent="0.25">
      <c r="A8190" s="2" t="s">
        <v>6076</v>
      </c>
      <c r="B8190" s="2" t="s">
        <v>267</v>
      </c>
      <c r="C8190" s="2">
        <v>2</v>
      </c>
      <c r="D8190" t="str">
        <f t="shared" si="127"/>
        <v>US-2015-100531_OFF-BI-10001670</v>
      </c>
      <c r="E8190" t="str">
        <f>IF(COUNTIF(data1!$D:$D,D8190)=0,"Missing in Data1","Present")</f>
        <v>Present</v>
      </c>
    </row>
    <row r="8191" spans="1:5" x14ac:dyDescent="0.25">
      <c r="A8191" s="2" t="s">
        <v>6077</v>
      </c>
      <c r="B8191" s="2" t="s">
        <v>416</v>
      </c>
      <c r="C8191" s="2">
        <v>7</v>
      </c>
      <c r="D8191" t="str">
        <f t="shared" si="127"/>
        <v>US-2015-101399_FUR-FU-10002918</v>
      </c>
      <c r="E8191" t="str">
        <f>IF(COUNTIF(data1!$D:$D,D8191)=0,"Missing in Data1","Present")</f>
        <v>Present</v>
      </c>
    </row>
    <row r="8192" spans="1:5" x14ac:dyDescent="0.25">
      <c r="A8192" s="2" t="s">
        <v>6078</v>
      </c>
      <c r="B8192" s="2" t="s">
        <v>472</v>
      </c>
      <c r="C8192" s="2">
        <v>7</v>
      </c>
      <c r="D8192" t="str">
        <f t="shared" si="127"/>
        <v>US-2015-101511_FUR-CH-10004698</v>
      </c>
      <c r="E8192" t="str">
        <f>IF(COUNTIF(data1!$D:$D,D8192)=0,"Missing in Data1","Present")</f>
        <v>Present</v>
      </c>
    </row>
    <row r="8193" spans="1:5" x14ac:dyDescent="0.25">
      <c r="A8193" s="2" t="s">
        <v>6078</v>
      </c>
      <c r="B8193" s="2" t="s">
        <v>241</v>
      </c>
      <c r="C8193" s="2">
        <v>5</v>
      </c>
      <c r="D8193" t="str">
        <f t="shared" si="127"/>
        <v>US-2015-101511_OFF-SU-10002189</v>
      </c>
      <c r="E8193" t="str">
        <f>IF(COUNTIF(data1!$D:$D,D8193)=0,"Missing in Data1","Present")</f>
        <v>Present</v>
      </c>
    </row>
    <row r="8194" spans="1:5" x14ac:dyDescent="0.25">
      <c r="A8194" s="2" t="s">
        <v>6079</v>
      </c>
      <c r="B8194" s="2" t="s">
        <v>1739</v>
      </c>
      <c r="C8194" s="2">
        <v>3</v>
      </c>
      <c r="D8194" t="str">
        <f t="shared" si="127"/>
        <v>US-2015-103471_OFF-AR-10003405</v>
      </c>
      <c r="E8194" t="str">
        <f>IF(COUNTIF(data1!$D:$D,D8194)=0,"Missing in Data1","Present")</f>
        <v>Present</v>
      </c>
    </row>
    <row r="8195" spans="1:5" x14ac:dyDescent="0.25">
      <c r="A8195" s="2" t="s">
        <v>6080</v>
      </c>
      <c r="B8195" s="2" t="s">
        <v>111</v>
      </c>
      <c r="C8195" s="2">
        <v>3</v>
      </c>
      <c r="D8195" t="str">
        <f t="shared" ref="D8195:D8258" si="128">A8195&amp;"_"&amp;B8195</f>
        <v>US-2015-103996_FUR-FU-10004586</v>
      </c>
      <c r="E8195" t="str">
        <f>IF(COUNTIF(data1!$D:$D,D8195)=0,"Missing in Data1","Present")</f>
        <v>Present</v>
      </c>
    </row>
    <row r="8196" spans="1:5" x14ac:dyDescent="0.25">
      <c r="A8196" s="2" t="s">
        <v>6080</v>
      </c>
      <c r="B8196" s="2" t="s">
        <v>1517</v>
      </c>
      <c r="C8196" s="2">
        <v>3</v>
      </c>
      <c r="D8196" t="str">
        <f t="shared" si="128"/>
        <v>US-2015-103996_OFF-PA-10001609</v>
      </c>
      <c r="E8196" t="str">
        <f>IF(COUNTIF(data1!$D:$D,D8196)=0,"Missing in Data1","Present")</f>
        <v>Present</v>
      </c>
    </row>
    <row r="8197" spans="1:5" x14ac:dyDescent="0.25">
      <c r="A8197" s="2" t="s">
        <v>6080</v>
      </c>
      <c r="B8197" s="2" t="s">
        <v>3291</v>
      </c>
      <c r="C8197" s="2">
        <v>6</v>
      </c>
      <c r="D8197" t="str">
        <f t="shared" si="128"/>
        <v>US-2015-103996_OFF-PA-10001736</v>
      </c>
      <c r="E8197" t="str">
        <f>IF(COUNTIF(data1!$D:$D,D8197)=0,"Missing in Data1","Present")</f>
        <v>Present</v>
      </c>
    </row>
    <row r="8198" spans="1:5" x14ac:dyDescent="0.25">
      <c r="A8198" s="2" t="s">
        <v>6080</v>
      </c>
      <c r="B8198" s="2" t="s">
        <v>1897</v>
      </c>
      <c r="C8198" s="2">
        <v>3</v>
      </c>
      <c r="D8198" t="str">
        <f t="shared" si="128"/>
        <v>US-2015-103996_TEC-AC-10003116</v>
      </c>
      <c r="E8198" t="str">
        <f>IF(COUNTIF(data1!$D:$D,D8198)=0,"Missing in Data1","Present")</f>
        <v>Present</v>
      </c>
    </row>
    <row r="8199" spans="1:5" x14ac:dyDescent="0.25">
      <c r="A8199" s="2" t="s">
        <v>6081</v>
      </c>
      <c r="B8199" s="2" t="s">
        <v>2019</v>
      </c>
      <c r="C8199" s="2">
        <v>1</v>
      </c>
      <c r="D8199" t="str">
        <f t="shared" si="128"/>
        <v>US-2015-104185_OFF-ST-10001526</v>
      </c>
      <c r="E8199" t="str">
        <f>IF(COUNTIF(data1!$D:$D,D8199)=0,"Missing in Data1","Present")</f>
        <v>Present</v>
      </c>
    </row>
    <row r="8200" spans="1:5" x14ac:dyDescent="0.25">
      <c r="A8200" s="2" t="s">
        <v>6082</v>
      </c>
      <c r="B8200" s="2" t="s">
        <v>3260</v>
      </c>
      <c r="C8200" s="2">
        <v>4</v>
      </c>
      <c r="D8200" t="str">
        <f t="shared" si="128"/>
        <v>US-2015-104430_OFF-BI-10000301</v>
      </c>
      <c r="E8200" t="str">
        <f>IF(COUNTIF(data1!$D:$D,D8200)=0,"Missing in Data1","Present")</f>
        <v>Present</v>
      </c>
    </row>
    <row r="8201" spans="1:5" x14ac:dyDescent="0.25">
      <c r="A8201" s="2" t="s">
        <v>6083</v>
      </c>
      <c r="B8201" s="2" t="s">
        <v>461</v>
      </c>
      <c r="C8201" s="2">
        <v>4</v>
      </c>
      <c r="D8201" t="str">
        <f t="shared" si="128"/>
        <v>US-2015-105676_FUR-FU-10004270</v>
      </c>
      <c r="E8201" t="str">
        <f>IF(COUNTIF(data1!$D:$D,D8201)=0,"Missing in Data1","Present")</f>
        <v>Present</v>
      </c>
    </row>
    <row r="8202" spans="1:5" x14ac:dyDescent="0.25">
      <c r="A8202" s="2" t="s">
        <v>6084</v>
      </c>
      <c r="B8202" s="2" t="s">
        <v>212</v>
      </c>
      <c r="C8202" s="2">
        <v>1</v>
      </c>
      <c r="D8202" t="str">
        <f t="shared" si="128"/>
        <v>US-2015-106495_TEC-AC-10002718</v>
      </c>
      <c r="E8202" t="str">
        <f>IF(COUNTIF(data1!$D:$D,D8202)=0,"Missing in Data1","Present")</f>
        <v>Present</v>
      </c>
    </row>
    <row r="8203" spans="1:5" x14ac:dyDescent="0.25">
      <c r="A8203" s="2" t="s">
        <v>6085</v>
      </c>
      <c r="B8203" s="2" t="s">
        <v>210</v>
      </c>
      <c r="C8203" s="2">
        <v>2</v>
      </c>
      <c r="D8203" t="str">
        <f t="shared" si="128"/>
        <v>US-2015-106873_OFF-AR-10003179</v>
      </c>
      <c r="E8203" t="str">
        <f>IF(COUNTIF(data1!$D:$D,D8203)=0,"Missing in Data1","Present")</f>
        <v>Present</v>
      </c>
    </row>
    <row r="8204" spans="1:5" x14ac:dyDescent="0.25">
      <c r="A8204" s="2" t="s">
        <v>6085</v>
      </c>
      <c r="B8204" s="2" t="s">
        <v>1587</v>
      </c>
      <c r="C8204" s="2">
        <v>2</v>
      </c>
      <c r="D8204" t="str">
        <f t="shared" si="128"/>
        <v>US-2015-106873_TEC-AC-10002345</v>
      </c>
      <c r="E8204" t="str">
        <f>IF(COUNTIF(data1!$D:$D,D8204)=0,"Missing in Data1","Present")</f>
        <v>Present</v>
      </c>
    </row>
    <row r="8205" spans="1:5" x14ac:dyDescent="0.25">
      <c r="A8205" s="2" t="s">
        <v>6086</v>
      </c>
      <c r="B8205" s="2" t="s">
        <v>224</v>
      </c>
      <c r="C8205" s="2">
        <v>6</v>
      </c>
      <c r="D8205" t="str">
        <f t="shared" si="128"/>
        <v>US-2015-107349_OFF-BI-10001765</v>
      </c>
      <c r="E8205" t="str">
        <f>IF(COUNTIF(data1!$D:$D,D8205)=0,"Missing in Data1","Present")</f>
        <v>Present</v>
      </c>
    </row>
    <row r="8206" spans="1:5" x14ac:dyDescent="0.25">
      <c r="A8206" s="2" t="s">
        <v>6087</v>
      </c>
      <c r="B8206" s="2" t="s">
        <v>622</v>
      </c>
      <c r="C8206" s="2">
        <v>11</v>
      </c>
      <c r="D8206" t="str">
        <f t="shared" si="128"/>
        <v>US-2015-107944_OFF-PA-10000659</v>
      </c>
      <c r="E8206" t="str">
        <f>IF(COUNTIF(data1!$D:$D,D8206)=0,"Missing in Data1","Present")</f>
        <v>Present</v>
      </c>
    </row>
    <row r="8207" spans="1:5" x14ac:dyDescent="0.25">
      <c r="A8207" s="2" t="s">
        <v>6087</v>
      </c>
      <c r="B8207" s="2" t="s">
        <v>440</v>
      </c>
      <c r="C8207" s="2">
        <v>3</v>
      </c>
      <c r="D8207" t="str">
        <f t="shared" si="128"/>
        <v>US-2015-107944_TEC-AC-10000736</v>
      </c>
      <c r="E8207" t="str">
        <f>IF(COUNTIF(data1!$D:$D,D8207)=0,"Missing in Data1","Present")</f>
        <v>Present</v>
      </c>
    </row>
    <row r="8208" spans="1:5" x14ac:dyDescent="0.25">
      <c r="A8208" s="2" t="s">
        <v>6088</v>
      </c>
      <c r="B8208" s="2" t="s">
        <v>869</v>
      </c>
      <c r="C8208" s="2">
        <v>5</v>
      </c>
      <c r="D8208" t="str">
        <f t="shared" si="128"/>
        <v>US-2015-108966_FUR-TA-10000577</v>
      </c>
      <c r="E8208" t="str">
        <f>IF(COUNTIF(data1!$D:$D,D8208)=0,"Missing in Data1","Present")</f>
        <v>Present</v>
      </c>
    </row>
    <row r="8209" spans="1:5" x14ac:dyDescent="0.25">
      <c r="A8209" s="2" t="s">
        <v>6088</v>
      </c>
      <c r="B8209" s="2" t="s">
        <v>1790</v>
      </c>
      <c r="C8209" s="2">
        <v>2</v>
      </c>
      <c r="D8209" t="str">
        <f t="shared" si="128"/>
        <v>US-2015-108966_OFF-ST-10000760</v>
      </c>
      <c r="E8209" t="str">
        <f>IF(COUNTIF(data1!$D:$D,D8209)=0,"Missing in Data1","Present")</f>
        <v>Present</v>
      </c>
    </row>
    <row r="8210" spans="1:5" x14ac:dyDescent="0.25">
      <c r="A8210" s="2" t="s">
        <v>6089</v>
      </c>
      <c r="B8210" s="2" t="s">
        <v>725</v>
      </c>
      <c r="C8210" s="2">
        <v>1</v>
      </c>
      <c r="D8210" t="str">
        <f t="shared" si="128"/>
        <v>US-2015-109015_OFF-AP-10001962</v>
      </c>
      <c r="E8210" t="str">
        <f>IF(COUNTIF(data1!$D:$D,D8210)=0,"Missing in Data1","Present")</f>
        <v>Present</v>
      </c>
    </row>
    <row r="8211" spans="1:5" x14ac:dyDescent="0.25">
      <c r="A8211" s="2" t="s">
        <v>6089</v>
      </c>
      <c r="B8211" s="2" t="s">
        <v>2066</v>
      </c>
      <c r="C8211" s="2">
        <v>2</v>
      </c>
      <c r="D8211" t="str">
        <f t="shared" si="128"/>
        <v>US-2015-109015_TEC-PH-10002922</v>
      </c>
      <c r="E8211" t="str">
        <f>IF(COUNTIF(data1!$D:$D,D8211)=0,"Missing in Data1","Present")</f>
        <v>Present</v>
      </c>
    </row>
    <row r="8212" spans="1:5" x14ac:dyDescent="0.25">
      <c r="A8212" s="2" t="s">
        <v>6090</v>
      </c>
      <c r="B8212" s="2" t="s">
        <v>1327</v>
      </c>
      <c r="C8212" s="2">
        <v>1</v>
      </c>
      <c r="D8212" t="str">
        <f t="shared" si="128"/>
        <v>US-2015-110163_OFF-AR-10001683</v>
      </c>
      <c r="E8212" t="str">
        <f>IF(COUNTIF(data1!$D:$D,D8212)=0,"Missing in Data1","Present")</f>
        <v>Present</v>
      </c>
    </row>
    <row r="8213" spans="1:5" x14ac:dyDescent="0.25">
      <c r="A8213" s="2" t="s">
        <v>6091</v>
      </c>
      <c r="B8213" s="2" t="s">
        <v>1092</v>
      </c>
      <c r="C8213" s="2">
        <v>3</v>
      </c>
      <c r="D8213" t="str">
        <f t="shared" si="128"/>
        <v>US-2015-110261_TEC-PH-10001750</v>
      </c>
      <c r="E8213" t="str">
        <f>IF(COUNTIF(data1!$D:$D,D8213)=0,"Missing in Data1","Present")</f>
        <v>Present</v>
      </c>
    </row>
    <row r="8214" spans="1:5" x14ac:dyDescent="0.25">
      <c r="A8214" s="2" t="s">
        <v>6092</v>
      </c>
      <c r="B8214" s="2" t="s">
        <v>326</v>
      </c>
      <c r="C8214" s="2">
        <v>4</v>
      </c>
      <c r="D8214" t="str">
        <f t="shared" si="128"/>
        <v>US-2015-110569_OFF-AP-10004708</v>
      </c>
      <c r="E8214" t="str">
        <f>IF(COUNTIF(data1!$D:$D,D8214)=0,"Missing in Data1","Present")</f>
        <v>Present</v>
      </c>
    </row>
    <row r="8215" spans="1:5" x14ac:dyDescent="0.25">
      <c r="A8215" s="2" t="s">
        <v>6092</v>
      </c>
      <c r="B8215" s="2" t="s">
        <v>811</v>
      </c>
      <c r="C8215" s="2">
        <v>7</v>
      </c>
      <c r="D8215" t="str">
        <f t="shared" si="128"/>
        <v>US-2015-110569_OFF-BI-10001036</v>
      </c>
      <c r="E8215" t="str">
        <f>IF(COUNTIF(data1!$D:$D,D8215)=0,"Missing in Data1","Present")</f>
        <v>Present</v>
      </c>
    </row>
    <row r="8216" spans="1:5" x14ac:dyDescent="0.25">
      <c r="A8216" s="2" t="s">
        <v>6093</v>
      </c>
      <c r="B8216" s="2" t="s">
        <v>1830</v>
      </c>
      <c r="C8216" s="2">
        <v>3</v>
      </c>
      <c r="D8216" t="str">
        <f t="shared" si="128"/>
        <v>US-2015-111927_FUR-FU-10004017</v>
      </c>
      <c r="E8216" t="str">
        <f>IF(COUNTIF(data1!$D:$D,D8216)=0,"Missing in Data1","Present")</f>
        <v>Missing in Data1</v>
      </c>
    </row>
    <row r="8217" spans="1:5" x14ac:dyDescent="0.25">
      <c r="A8217" s="2" t="s">
        <v>6093</v>
      </c>
      <c r="B8217" s="2" t="s">
        <v>247</v>
      </c>
      <c r="C8217" s="2">
        <v>2</v>
      </c>
      <c r="D8217" t="str">
        <f t="shared" si="128"/>
        <v>US-2015-111927_OFF-BI-10002571</v>
      </c>
      <c r="E8217" t="str">
        <f>IF(COUNTIF(data1!$D:$D,D8217)=0,"Missing in Data1","Present")</f>
        <v>Present</v>
      </c>
    </row>
    <row r="8218" spans="1:5" x14ac:dyDescent="0.25">
      <c r="A8218" s="2" t="s">
        <v>6094</v>
      </c>
      <c r="B8218" s="2" t="s">
        <v>3600</v>
      </c>
      <c r="C8218" s="2">
        <v>2</v>
      </c>
      <c r="D8218" t="str">
        <f t="shared" si="128"/>
        <v>US-2015-112508_OFF-AP-10002287</v>
      </c>
      <c r="E8218" t="str">
        <f>IF(COUNTIF(data1!$D:$D,D8218)=0,"Missing in Data1","Present")</f>
        <v>Present</v>
      </c>
    </row>
    <row r="8219" spans="1:5" x14ac:dyDescent="0.25">
      <c r="A8219" s="2" t="s">
        <v>6095</v>
      </c>
      <c r="B8219" s="2" t="s">
        <v>1231</v>
      </c>
      <c r="C8219" s="2">
        <v>2</v>
      </c>
      <c r="D8219" t="str">
        <f t="shared" si="128"/>
        <v>US-2015-113327_OFF-EN-10004459</v>
      </c>
      <c r="E8219" t="str">
        <f>IF(COUNTIF(data1!$D:$D,D8219)=0,"Missing in Data1","Present")</f>
        <v>Present</v>
      </c>
    </row>
    <row r="8220" spans="1:5" x14ac:dyDescent="0.25">
      <c r="A8220" s="2" t="s">
        <v>6095</v>
      </c>
      <c r="B8220" s="2" t="s">
        <v>5559</v>
      </c>
      <c r="C8220" s="2">
        <v>4</v>
      </c>
      <c r="D8220" t="str">
        <f t="shared" si="128"/>
        <v>US-2015-113327_OFF-PA-10003134</v>
      </c>
      <c r="E8220" t="str">
        <f>IF(COUNTIF(data1!$D:$D,D8220)=0,"Missing in Data1","Present")</f>
        <v>Present</v>
      </c>
    </row>
    <row r="8221" spans="1:5" x14ac:dyDescent="0.25">
      <c r="A8221" s="2" t="s">
        <v>6095</v>
      </c>
      <c r="B8221" s="2" t="s">
        <v>131</v>
      </c>
      <c r="C8221" s="2">
        <v>7</v>
      </c>
      <c r="D8221" t="str">
        <f t="shared" si="128"/>
        <v>US-2015-113327_TEC-AC-10003628</v>
      </c>
      <c r="E8221" t="str">
        <f>IF(COUNTIF(data1!$D:$D,D8221)=0,"Missing in Data1","Present")</f>
        <v>Present</v>
      </c>
    </row>
    <row r="8222" spans="1:5" x14ac:dyDescent="0.25">
      <c r="A8222" s="2" t="s">
        <v>6096</v>
      </c>
      <c r="B8222" s="2" t="s">
        <v>51</v>
      </c>
      <c r="C8222" s="2">
        <v>3</v>
      </c>
      <c r="D8222" t="str">
        <f t="shared" si="128"/>
        <v>US-2015-113593_OFF-ST-10000532</v>
      </c>
      <c r="E8222" t="str">
        <f>IF(COUNTIF(data1!$D:$D,D8222)=0,"Missing in Data1","Present")</f>
        <v>Present</v>
      </c>
    </row>
    <row r="8223" spans="1:5" x14ac:dyDescent="0.25">
      <c r="A8223" s="2" t="s">
        <v>6097</v>
      </c>
      <c r="B8223" s="2" t="s">
        <v>6098</v>
      </c>
      <c r="C8223" s="2">
        <v>1</v>
      </c>
      <c r="D8223" t="str">
        <f t="shared" si="128"/>
        <v>US-2015-114741_OFF-PA-10000048</v>
      </c>
      <c r="E8223" t="str">
        <f>IF(COUNTIF(data1!$D:$D,D8223)=0,"Missing in Data1","Present")</f>
        <v>Present</v>
      </c>
    </row>
    <row r="8224" spans="1:5" x14ac:dyDescent="0.25">
      <c r="A8224" s="2" t="s">
        <v>6097</v>
      </c>
      <c r="B8224" s="2" t="s">
        <v>835</v>
      </c>
      <c r="C8224" s="2">
        <v>5</v>
      </c>
      <c r="D8224" t="str">
        <f t="shared" si="128"/>
        <v>US-2015-114741_OFF-ST-10000078</v>
      </c>
      <c r="E8224" t="str">
        <f>IF(COUNTIF(data1!$D:$D,D8224)=0,"Missing in Data1","Present")</f>
        <v>Present</v>
      </c>
    </row>
    <row r="8225" spans="1:5" x14ac:dyDescent="0.25">
      <c r="A8225" s="2" t="s">
        <v>6099</v>
      </c>
      <c r="B8225" s="2" t="s">
        <v>2153</v>
      </c>
      <c r="C8225" s="2">
        <v>2</v>
      </c>
      <c r="D8225" t="str">
        <f t="shared" si="128"/>
        <v>US-2015-114839_FUR-CH-10004086</v>
      </c>
      <c r="E8225" t="str">
        <f>IF(COUNTIF(data1!$D:$D,D8225)=0,"Missing in Data1","Present")</f>
        <v>Present</v>
      </c>
    </row>
    <row r="8226" spans="1:5" x14ac:dyDescent="0.25">
      <c r="A8226" s="2" t="s">
        <v>6100</v>
      </c>
      <c r="B8226" s="2" t="s">
        <v>2908</v>
      </c>
      <c r="C8226" s="2">
        <v>5</v>
      </c>
      <c r="D8226" t="str">
        <f t="shared" si="128"/>
        <v>US-2015-115238_FUR-FU-10001025</v>
      </c>
      <c r="E8226" t="str">
        <f>IF(COUNTIF(data1!$D:$D,D8226)=0,"Missing in Data1","Present")</f>
        <v>Present</v>
      </c>
    </row>
    <row r="8227" spans="1:5" x14ac:dyDescent="0.25">
      <c r="A8227" s="2" t="s">
        <v>6100</v>
      </c>
      <c r="B8227" s="2" t="s">
        <v>3041</v>
      </c>
      <c r="C8227" s="2">
        <v>1</v>
      </c>
      <c r="D8227" t="str">
        <f t="shared" si="128"/>
        <v>US-2015-115238_FUR-FU-10002445</v>
      </c>
      <c r="E8227" t="str">
        <f>IF(COUNTIF(data1!$D:$D,D8227)=0,"Missing in Data1","Present")</f>
        <v>Present</v>
      </c>
    </row>
    <row r="8228" spans="1:5" x14ac:dyDescent="0.25">
      <c r="A8228" s="2" t="s">
        <v>6100</v>
      </c>
      <c r="B8228" s="2" t="s">
        <v>1485</v>
      </c>
      <c r="C8228" s="2">
        <v>5</v>
      </c>
      <c r="D8228" t="str">
        <f t="shared" si="128"/>
        <v>US-2015-115238_FUR-FU-10002960</v>
      </c>
      <c r="E8228" t="str">
        <f>IF(COUNTIF(data1!$D:$D,D8228)=0,"Missing in Data1","Present")</f>
        <v>Present</v>
      </c>
    </row>
    <row r="8229" spans="1:5" x14ac:dyDescent="0.25">
      <c r="A8229" s="2" t="s">
        <v>6100</v>
      </c>
      <c r="B8229" s="2" t="s">
        <v>1085</v>
      </c>
      <c r="C8229" s="2">
        <v>1</v>
      </c>
      <c r="D8229" t="str">
        <f t="shared" si="128"/>
        <v>US-2015-115238_OFF-PA-10002689</v>
      </c>
      <c r="E8229" t="str">
        <f>IF(COUNTIF(data1!$D:$D,D8229)=0,"Missing in Data1","Present")</f>
        <v>Present</v>
      </c>
    </row>
    <row r="8230" spans="1:5" x14ac:dyDescent="0.25">
      <c r="A8230" s="2" t="s">
        <v>6100</v>
      </c>
      <c r="B8230" s="2" t="s">
        <v>3178</v>
      </c>
      <c r="C8230" s="2">
        <v>10</v>
      </c>
      <c r="D8230" t="str">
        <f t="shared" si="128"/>
        <v>US-2015-115238_TEC-PH-10001300</v>
      </c>
      <c r="E8230" t="str">
        <f>IF(COUNTIF(data1!$D:$D,D8230)=0,"Missing in Data1","Present")</f>
        <v>Present</v>
      </c>
    </row>
    <row r="8231" spans="1:5" x14ac:dyDescent="0.25">
      <c r="A8231" s="2" t="s">
        <v>6101</v>
      </c>
      <c r="B8231" s="2" t="s">
        <v>1850</v>
      </c>
      <c r="C8231" s="2">
        <v>5</v>
      </c>
      <c r="D8231" t="str">
        <f t="shared" si="128"/>
        <v>US-2015-115343_OFF-SU-10000898</v>
      </c>
      <c r="E8231" t="str">
        <f>IF(COUNTIF(data1!$D:$D,D8231)=0,"Missing in Data1","Present")</f>
        <v>Present</v>
      </c>
    </row>
    <row r="8232" spans="1:5" x14ac:dyDescent="0.25">
      <c r="A8232" s="2" t="s">
        <v>6101</v>
      </c>
      <c r="B8232" s="2" t="s">
        <v>877</v>
      </c>
      <c r="C8232" s="2">
        <v>3</v>
      </c>
      <c r="D8232" t="str">
        <f t="shared" si="128"/>
        <v>US-2015-115343_TEC-AC-10003832</v>
      </c>
      <c r="E8232" t="str">
        <f>IF(COUNTIF(data1!$D:$D,D8232)=0,"Missing in Data1","Present")</f>
        <v>Present</v>
      </c>
    </row>
    <row r="8233" spans="1:5" x14ac:dyDescent="0.25">
      <c r="A8233" s="2" t="s">
        <v>6102</v>
      </c>
      <c r="B8233" s="2" t="s">
        <v>3750</v>
      </c>
      <c r="C8233" s="2">
        <v>3</v>
      </c>
      <c r="D8233" t="str">
        <f t="shared" si="128"/>
        <v>US-2015-116981_OFF-AP-10000595</v>
      </c>
      <c r="E8233" t="str">
        <f>IF(COUNTIF(data1!$D:$D,D8233)=0,"Missing in Data1","Present")</f>
        <v>Present</v>
      </c>
    </row>
    <row r="8234" spans="1:5" x14ac:dyDescent="0.25">
      <c r="A8234" s="2" t="s">
        <v>6102</v>
      </c>
      <c r="B8234" s="2" t="s">
        <v>790</v>
      </c>
      <c r="C8234" s="2">
        <v>7</v>
      </c>
      <c r="D8234" t="str">
        <f t="shared" si="128"/>
        <v>US-2015-116981_OFF-ST-10002615</v>
      </c>
      <c r="E8234" t="str">
        <f>IF(COUNTIF(data1!$D:$D,D8234)=0,"Missing in Data1","Present")</f>
        <v>Present</v>
      </c>
    </row>
    <row r="8235" spans="1:5" x14ac:dyDescent="0.25">
      <c r="A8235" s="2" t="s">
        <v>6103</v>
      </c>
      <c r="B8235" s="2" t="s">
        <v>2694</v>
      </c>
      <c r="C8235" s="2">
        <v>3</v>
      </c>
      <c r="D8235" t="str">
        <f t="shared" si="128"/>
        <v>US-2015-117184_OFF-PA-10002250</v>
      </c>
      <c r="E8235" t="str">
        <f>IF(COUNTIF(data1!$D:$D,D8235)=0,"Missing in Data1","Present")</f>
        <v>Present</v>
      </c>
    </row>
    <row r="8236" spans="1:5" x14ac:dyDescent="0.25">
      <c r="A8236" s="2" t="s">
        <v>6104</v>
      </c>
      <c r="B8236" s="2" t="s">
        <v>1310</v>
      </c>
      <c r="C8236" s="2">
        <v>9</v>
      </c>
      <c r="D8236" t="str">
        <f t="shared" si="128"/>
        <v>US-2015-117492_OFF-AP-10001492</v>
      </c>
      <c r="E8236" t="str">
        <f>IF(COUNTIF(data1!$D:$D,D8236)=0,"Missing in Data1","Present")</f>
        <v>Present</v>
      </c>
    </row>
    <row r="8237" spans="1:5" x14ac:dyDescent="0.25">
      <c r="A8237" s="2" t="s">
        <v>6105</v>
      </c>
      <c r="B8237" s="2" t="s">
        <v>2917</v>
      </c>
      <c r="C8237" s="2">
        <v>10</v>
      </c>
      <c r="D8237" t="str">
        <f t="shared" si="128"/>
        <v>US-2015-118766_OFF-BI-10002813</v>
      </c>
      <c r="E8237" t="str">
        <f>IF(COUNTIF(data1!$D:$D,D8237)=0,"Missing in Data1","Present")</f>
        <v>Present</v>
      </c>
    </row>
    <row r="8238" spans="1:5" x14ac:dyDescent="0.25">
      <c r="A8238" s="2" t="s">
        <v>6105</v>
      </c>
      <c r="B8238" s="2" t="s">
        <v>439</v>
      </c>
      <c r="C8238" s="2">
        <v>1</v>
      </c>
      <c r="D8238" t="str">
        <f t="shared" si="128"/>
        <v>US-2015-118766_OFF-EN-10001415</v>
      </c>
      <c r="E8238" t="str">
        <f>IF(COUNTIF(data1!$D:$D,D8238)=0,"Missing in Data1","Present")</f>
        <v>Present</v>
      </c>
    </row>
    <row r="8239" spans="1:5" x14ac:dyDescent="0.25">
      <c r="A8239" s="2" t="s">
        <v>6106</v>
      </c>
      <c r="B8239" s="2" t="s">
        <v>1809</v>
      </c>
      <c r="C8239" s="2">
        <v>6</v>
      </c>
      <c r="D8239" t="str">
        <f t="shared" si="128"/>
        <v>US-2015-118906_OFF-ST-10002406</v>
      </c>
      <c r="E8239" t="str">
        <f>IF(COUNTIF(data1!$D:$D,D8239)=0,"Missing in Data1","Present")</f>
        <v>Present</v>
      </c>
    </row>
    <row r="8240" spans="1:5" x14ac:dyDescent="0.25">
      <c r="A8240" s="2" t="s">
        <v>6107</v>
      </c>
      <c r="B8240" s="2" t="s">
        <v>1787</v>
      </c>
      <c r="C8240" s="2">
        <v>5</v>
      </c>
      <c r="D8240" t="str">
        <f t="shared" si="128"/>
        <v>US-2015-118983_OFF-AP-10002311</v>
      </c>
      <c r="E8240" t="str">
        <f>IF(COUNTIF(data1!$D:$D,D8240)=0,"Missing in Data1","Present")</f>
        <v>Present</v>
      </c>
    </row>
    <row r="8241" spans="1:5" x14ac:dyDescent="0.25">
      <c r="A8241" s="2" t="s">
        <v>6107</v>
      </c>
      <c r="B8241" s="2" t="s">
        <v>1651</v>
      </c>
      <c r="C8241" s="2">
        <v>3</v>
      </c>
      <c r="D8241" t="str">
        <f t="shared" si="128"/>
        <v>US-2015-118983_OFF-BI-10000756</v>
      </c>
      <c r="E8241" t="str">
        <f>IF(COUNTIF(data1!$D:$D,D8241)=0,"Missing in Data1","Present")</f>
        <v>Present</v>
      </c>
    </row>
    <row r="8242" spans="1:5" x14ac:dyDescent="0.25">
      <c r="A8242" s="2" t="s">
        <v>6108</v>
      </c>
      <c r="B8242" s="2" t="s">
        <v>166</v>
      </c>
      <c r="C8242" s="2">
        <v>14</v>
      </c>
      <c r="D8242" t="str">
        <f t="shared" si="128"/>
        <v>US-2015-119312_OFF-ST-10000943</v>
      </c>
      <c r="E8242" t="str">
        <f>IF(COUNTIF(data1!$D:$D,D8242)=0,"Missing in Data1","Present")</f>
        <v>Present</v>
      </c>
    </row>
    <row r="8243" spans="1:5" x14ac:dyDescent="0.25">
      <c r="A8243" s="2" t="s">
        <v>6109</v>
      </c>
      <c r="B8243" s="2" t="s">
        <v>465</v>
      </c>
      <c r="C8243" s="2">
        <v>9</v>
      </c>
      <c r="D8243" t="str">
        <f t="shared" si="128"/>
        <v>US-2015-120161_OFF-ST-10001809</v>
      </c>
      <c r="E8243" t="str">
        <f>IF(COUNTIF(data1!$D:$D,D8243)=0,"Missing in Data1","Present")</f>
        <v>Present</v>
      </c>
    </row>
    <row r="8244" spans="1:5" x14ac:dyDescent="0.25">
      <c r="A8244" s="2" t="s">
        <v>6110</v>
      </c>
      <c r="B8244" s="2" t="s">
        <v>2310</v>
      </c>
      <c r="C8244" s="2">
        <v>2</v>
      </c>
      <c r="D8244" t="str">
        <f t="shared" si="128"/>
        <v>US-2015-120502_FUR-FU-10004973</v>
      </c>
      <c r="E8244" t="str">
        <f>IF(COUNTIF(data1!$D:$D,D8244)=0,"Missing in Data1","Present")</f>
        <v>Present</v>
      </c>
    </row>
    <row r="8245" spans="1:5" x14ac:dyDescent="0.25">
      <c r="A8245" s="2" t="s">
        <v>6110</v>
      </c>
      <c r="B8245" s="2" t="s">
        <v>1992</v>
      </c>
      <c r="C8245" s="2">
        <v>2</v>
      </c>
      <c r="D8245" t="str">
        <f t="shared" si="128"/>
        <v>US-2015-120502_OFF-AP-10004980</v>
      </c>
      <c r="E8245" t="str">
        <f>IF(COUNTIF(data1!$D:$D,D8245)=0,"Missing in Data1","Present")</f>
        <v>Present</v>
      </c>
    </row>
    <row r="8246" spans="1:5" x14ac:dyDescent="0.25">
      <c r="A8246" s="2" t="s">
        <v>6110</v>
      </c>
      <c r="B8246" s="2" t="s">
        <v>998</v>
      </c>
      <c r="C8246" s="2">
        <v>2</v>
      </c>
      <c r="D8246" t="str">
        <f t="shared" si="128"/>
        <v>US-2015-120502_TEC-PH-10003645</v>
      </c>
      <c r="E8246" t="str">
        <f>IF(COUNTIF(data1!$D:$D,D8246)=0,"Missing in Data1","Present")</f>
        <v>Present</v>
      </c>
    </row>
    <row r="8247" spans="1:5" x14ac:dyDescent="0.25">
      <c r="A8247" s="2" t="s">
        <v>6111</v>
      </c>
      <c r="B8247" s="2" t="s">
        <v>2048</v>
      </c>
      <c r="C8247" s="2">
        <v>2</v>
      </c>
      <c r="D8247" t="str">
        <f t="shared" si="128"/>
        <v>US-2015-120572_OFF-BI-10001098</v>
      </c>
      <c r="E8247" t="str">
        <f>IF(COUNTIF(data1!$D:$D,D8247)=0,"Missing in Data1","Present")</f>
        <v>Present</v>
      </c>
    </row>
    <row r="8248" spans="1:5" x14ac:dyDescent="0.25">
      <c r="A8248" s="2" t="s">
        <v>6112</v>
      </c>
      <c r="B8248" s="2" t="s">
        <v>367</v>
      </c>
      <c r="C8248" s="2">
        <v>4</v>
      </c>
      <c r="D8248" t="str">
        <f t="shared" si="128"/>
        <v>US-2015-120712_OFF-ST-10000107</v>
      </c>
      <c r="E8248" t="str">
        <f>IF(COUNTIF(data1!$D:$D,D8248)=0,"Missing in Data1","Present")</f>
        <v>Present</v>
      </c>
    </row>
    <row r="8249" spans="1:5" x14ac:dyDescent="0.25">
      <c r="A8249" s="2" t="s">
        <v>6113</v>
      </c>
      <c r="B8249" s="2" t="s">
        <v>3471</v>
      </c>
      <c r="C8249" s="2">
        <v>2</v>
      </c>
      <c r="D8249" t="str">
        <f t="shared" si="128"/>
        <v>US-2015-120957_OFF-PA-10003953</v>
      </c>
      <c r="E8249" t="str">
        <f>IF(COUNTIF(data1!$D:$D,D8249)=0,"Missing in Data1","Present")</f>
        <v>Present</v>
      </c>
    </row>
    <row r="8250" spans="1:5" x14ac:dyDescent="0.25">
      <c r="A8250" s="2" t="s">
        <v>6114</v>
      </c>
      <c r="B8250" s="2" t="s">
        <v>3173</v>
      </c>
      <c r="C8250" s="2">
        <v>2</v>
      </c>
      <c r="D8250" t="str">
        <f t="shared" si="128"/>
        <v>US-2015-122140_OFF-AP-10001242</v>
      </c>
      <c r="E8250" t="str">
        <f>IF(COUNTIF(data1!$D:$D,D8250)=0,"Missing in Data1","Present")</f>
        <v>Present</v>
      </c>
    </row>
    <row r="8251" spans="1:5" x14ac:dyDescent="0.25">
      <c r="A8251" s="2" t="s">
        <v>6114</v>
      </c>
      <c r="B8251" s="2" t="s">
        <v>311</v>
      </c>
      <c r="C8251" s="2">
        <v>7</v>
      </c>
      <c r="D8251" t="str">
        <f t="shared" si="128"/>
        <v>US-2015-122140_TEC-AC-10003038</v>
      </c>
      <c r="E8251" t="str">
        <f>IF(COUNTIF(data1!$D:$D,D8251)=0,"Missing in Data1","Present")</f>
        <v>Present</v>
      </c>
    </row>
    <row r="8252" spans="1:5" x14ac:dyDescent="0.25">
      <c r="A8252" s="2" t="s">
        <v>6114</v>
      </c>
      <c r="B8252" s="2" t="s">
        <v>1912</v>
      </c>
      <c r="C8252" s="2">
        <v>3</v>
      </c>
      <c r="D8252" t="str">
        <f t="shared" si="128"/>
        <v>US-2015-122140_TEC-AC-10003289</v>
      </c>
      <c r="E8252" t="str">
        <f>IF(COUNTIF(data1!$D:$D,D8252)=0,"Missing in Data1","Present")</f>
        <v>Present</v>
      </c>
    </row>
    <row r="8253" spans="1:5" x14ac:dyDescent="0.25">
      <c r="A8253" s="2" t="s">
        <v>6115</v>
      </c>
      <c r="B8253" s="2" t="s">
        <v>1533</v>
      </c>
      <c r="C8253" s="2">
        <v>5</v>
      </c>
      <c r="D8253" t="str">
        <f t="shared" si="128"/>
        <v>US-2015-122784_FUR-BO-10002545</v>
      </c>
      <c r="E8253" t="str">
        <f>IF(COUNTIF(data1!$D:$D,D8253)=0,"Missing in Data1","Present")</f>
        <v>Present</v>
      </c>
    </row>
    <row r="8254" spans="1:5" x14ac:dyDescent="0.25">
      <c r="A8254" s="2" t="s">
        <v>6115</v>
      </c>
      <c r="B8254" s="2" t="s">
        <v>1929</v>
      </c>
      <c r="C8254" s="2">
        <v>4</v>
      </c>
      <c r="D8254" t="str">
        <f t="shared" si="128"/>
        <v>US-2015-122784_FUR-BO-10004690</v>
      </c>
      <c r="E8254" t="str">
        <f>IF(COUNTIF(data1!$D:$D,D8254)=0,"Missing in Data1","Present")</f>
        <v>Present</v>
      </c>
    </row>
    <row r="8255" spans="1:5" x14ac:dyDescent="0.25">
      <c r="A8255" s="2" t="s">
        <v>6115</v>
      </c>
      <c r="B8255" s="2" t="s">
        <v>1636</v>
      </c>
      <c r="C8255" s="2">
        <v>5</v>
      </c>
      <c r="D8255" t="str">
        <f t="shared" si="128"/>
        <v>US-2015-122784_OFF-BI-10000546</v>
      </c>
      <c r="E8255" t="str">
        <f>IF(COUNTIF(data1!$D:$D,D8255)=0,"Missing in Data1","Present")</f>
        <v>Present</v>
      </c>
    </row>
    <row r="8256" spans="1:5" x14ac:dyDescent="0.25">
      <c r="A8256" s="2" t="s">
        <v>6115</v>
      </c>
      <c r="B8256" s="2" t="s">
        <v>312</v>
      </c>
      <c r="C8256" s="2">
        <v>2</v>
      </c>
      <c r="D8256" t="str">
        <f t="shared" si="128"/>
        <v>US-2015-122784_TEC-PH-10001557</v>
      </c>
      <c r="E8256" t="str">
        <f>IF(COUNTIF(data1!$D:$D,D8256)=0,"Missing in Data1","Present")</f>
        <v>Present</v>
      </c>
    </row>
    <row r="8257" spans="1:5" x14ac:dyDescent="0.25">
      <c r="A8257" s="2" t="s">
        <v>6116</v>
      </c>
      <c r="B8257" s="2" t="s">
        <v>1316</v>
      </c>
      <c r="C8257" s="2">
        <v>2</v>
      </c>
      <c r="D8257" t="str">
        <f t="shared" si="128"/>
        <v>US-2015-122910_TEC-PH-10000441</v>
      </c>
      <c r="E8257" t="str">
        <f>IF(COUNTIF(data1!$D:$D,D8257)=0,"Missing in Data1","Present")</f>
        <v>Present</v>
      </c>
    </row>
    <row r="8258" spans="1:5" x14ac:dyDescent="0.25">
      <c r="A8258" s="2" t="s">
        <v>6117</v>
      </c>
      <c r="B8258" s="2" t="s">
        <v>529</v>
      </c>
      <c r="C8258" s="2">
        <v>3</v>
      </c>
      <c r="D8258" t="str">
        <f t="shared" si="128"/>
        <v>US-2015-123218_FUR-BO-10003966</v>
      </c>
      <c r="E8258" t="str">
        <f>IF(COUNTIF(data1!$D:$D,D8258)=0,"Missing in Data1","Present")</f>
        <v>Missing in Data1</v>
      </c>
    </row>
    <row r="8259" spans="1:5" x14ac:dyDescent="0.25">
      <c r="A8259" s="2" t="s">
        <v>6117</v>
      </c>
      <c r="B8259" s="2" t="s">
        <v>440</v>
      </c>
      <c r="C8259" s="2">
        <v>4</v>
      </c>
      <c r="D8259" t="str">
        <f t="shared" ref="D8259:D8322" si="129">A8259&amp;"_"&amp;B8259</f>
        <v>US-2015-123218_TEC-AC-10000736</v>
      </c>
      <c r="E8259" t="str">
        <f>IF(COUNTIF(data1!$D:$D,D8259)=0,"Missing in Data1","Present")</f>
        <v>Present</v>
      </c>
    </row>
    <row r="8260" spans="1:5" x14ac:dyDescent="0.25">
      <c r="A8260" s="2" t="s">
        <v>6117</v>
      </c>
      <c r="B8260" s="2" t="s">
        <v>3567</v>
      </c>
      <c r="C8260" s="2">
        <v>2</v>
      </c>
      <c r="D8260" t="str">
        <f t="shared" si="129"/>
        <v>US-2015-123218_TEC-PH-10001061</v>
      </c>
      <c r="E8260" t="str">
        <f>IF(COUNTIF(data1!$D:$D,D8260)=0,"Missing in Data1","Present")</f>
        <v>Present</v>
      </c>
    </row>
    <row r="8261" spans="1:5" x14ac:dyDescent="0.25">
      <c r="A8261" s="2" t="s">
        <v>6118</v>
      </c>
      <c r="B8261" s="2" t="s">
        <v>1758</v>
      </c>
      <c r="C8261" s="2">
        <v>6</v>
      </c>
      <c r="D8261" t="str">
        <f t="shared" si="129"/>
        <v>US-2015-123918_FUR-FU-10004952</v>
      </c>
      <c r="E8261" t="str">
        <f>IF(COUNTIF(data1!$D:$D,D8261)=0,"Missing in Data1","Present")</f>
        <v>Present</v>
      </c>
    </row>
    <row r="8262" spans="1:5" x14ac:dyDescent="0.25">
      <c r="A8262" s="2" t="s">
        <v>6118</v>
      </c>
      <c r="B8262" s="2" t="s">
        <v>1102</v>
      </c>
      <c r="C8262" s="2">
        <v>1</v>
      </c>
      <c r="D8262" t="str">
        <f t="shared" si="129"/>
        <v>US-2015-123918_OFF-PA-10003001</v>
      </c>
      <c r="E8262" t="str">
        <f>IF(COUNTIF(data1!$D:$D,D8262)=0,"Missing in Data1","Present")</f>
        <v>Present</v>
      </c>
    </row>
    <row r="8263" spans="1:5" x14ac:dyDescent="0.25">
      <c r="A8263" s="2" t="s">
        <v>6119</v>
      </c>
      <c r="B8263" s="2" t="s">
        <v>1814</v>
      </c>
      <c r="C8263" s="2">
        <v>2</v>
      </c>
      <c r="D8263" t="str">
        <f t="shared" si="129"/>
        <v>US-2015-123960_FUR-FU-10004666</v>
      </c>
      <c r="E8263" t="str">
        <f>IF(COUNTIF(data1!$D:$D,D8263)=0,"Missing in Data1","Present")</f>
        <v>Present</v>
      </c>
    </row>
    <row r="8264" spans="1:5" x14ac:dyDescent="0.25">
      <c r="A8264" s="2" t="s">
        <v>6119</v>
      </c>
      <c r="B8264" s="2" t="s">
        <v>2183</v>
      </c>
      <c r="C8264" s="2">
        <v>2</v>
      </c>
      <c r="D8264" t="str">
        <f t="shared" si="129"/>
        <v>US-2015-123960_OFF-AR-10003582</v>
      </c>
      <c r="E8264" t="str">
        <f>IF(COUNTIF(data1!$D:$D,D8264)=0,"Missing in Data1","Present")</f>
        <v>Present</v>
      </c>
    </row>
    <row r="8265" spans="1:5" x14ac:dyDescent="0.25">
      <c r="A8265" s="2" t="s">
        <v>6119</v>
      </c>
      <c r="B8265" s="2" t="s">
        <v>256</v>
      </c>
      <c r="C8265" s="2">
        <v>7</v>
      </c>
      <c r="D8265" t="str">
        <f t="shared" si="129"/>
        <v>US-2015-123960_OFF-BI-10002799</v>
      </c>
      <c r="E8265" t="str">
        <f>IF(COUNTIF(data1!$D:$D,D8265)=0,"Missing in Data1","Present")</f>
        <v>Present</v>
      </c>
    </row>
    <row r="8266" spans="1:5" x14ac:dyDescent="0.25">
      <c r="A8266" s="2" t="s">
        <v>6119</v>
      </c>
      <c r="B8266" s="2" t="s">
        <v>2683</v>
      </c>
      <c r="C8266" s="2">
        <v>5</v>
      </c>
      <c r="D8266" t="str">
        <f t="shared" si="129"/>
        <v>US-2015-123960_OFF-PA-10004451</v>
      </c>
      <c r="E8266" t="str">
        <f>IF(COUNTIF(data1!$D:$D,D8266)=0,"Missing in Data1","Present")</f>
        <v>Present</v>
      </c>
    </row>
    <row r="8267" spans="1:5" x14ac:dyDescent="0.25">
      <c r="A8267" s="2" t="s">
        <v>6119</v>
      </c>
      <c r="B8267" s="2" t="s">
        <v>311</v>
      </c>
      <c r="C8267" s="2">
        <v>6</v>
      </c>
      <c r="D8267" t="str">
        <f t="shared" si="129"/>
        <v>US-2015-123960_TEC-AC-10003038</v>
      </c>
      <c r="E8267" t="str">
        <f>IF(COUNTIF(data1!$D:$D,D8267)=0,"Missing in Data1","Present")</f>
        <v>Present</v>
      </c>
    </row>
    <row r="8268" spans="1:5" x14ac:dyDescent="0.25">
      <c r="A8268" s="2" t="s">
        <v>6120</v>
      </c>
      <c r="B8268" s="2" t="s">
        <v>1279</v>
      </c>
      <c r="C8268" s="2">
        <v>4</v>
      </c>
      <c r="D8268" t="str">
        <f t="shared" si="129"/>
        <v>US-2015-124219_OFF-BI-10002215</v>
      </c>
      <c r="E8268" t="str">
        <f>IF(COUNTIF(data1!$D:$D,D8268)=0,"Missing in Data1","Present")</f>
        <v>Present</v>
      </c>
    </row>
    <row r="8269" spans="1:5" x14ac:dyDescent="0.25">
      <c r="A8269" s="2" t="s">
        <v>6121</v>
      </c>
      <c r="B8269" s="2" t="s">
        <v>858</v>
      </c>
      <c r="C8269" s="2">
        <v>2</v>
      </c>
      <c r="D8269" t="str">
        <f t="shared" si="129"/>
        <v>US-2015-125374_FUR-CH-10003396</v>
      </c>
      <c r="E8269" t="str">
        <f>IF(COUNTIF(data1!$D:$D,D8269)=0,"Missing in Data1","Present")</f>
        <v>Present</v>
      </c>
    </row>
    <row r="8270" spans="1:5" x14ac:dyDescent="0.25">
      <c r="A8270" s="2" t="s">
        <v>6122</v>
      </c>
      <c r="B8270" s="2" t="s">
        <v>1427</v>
      </c>
      <c r="C8270" s="2">
        <v>13</v>
      </c>
      <c r="D8270" t="str">
        <f t="shared" si="129"/>
        <v>US-2015-126214_FUR-TA-10003748</v>
      </c>
      <c r="E8270" t="str">
        <f>IF(COUNTIF(data1!$D:$D,D8270)=0,"Missing in Data1","Present")</f>
        <v>Present</v>
      </c>
    </row>
    <row r="8271" spans="1:5" x14ac:dyDescent="0.25">
      <c r="A8271" s="2" t="s">
        <v>6122</v>
      </c>
      <c r="B8271" s="2" t="s">
        <v>1476</v>
      </c>
      <c r="C8271" s="2">
        <v>1</v>
      </c>
      <c r="D8271" t="str">
        <f t="shared" si="129"/>
        <v>US-2015-126214_TEC-AC-10003198</v>
      </c>
      <c r="E8271" t="str">
        <f>IF(COUNTIF(data1!$D:$D,D8271)=0,"Missing in Data1","Present")</f>
        <v>Present</v>
      </c>
    </row>
    <row r="8272" spans="1:5" x14ac:dyDescent="0.25">
      <c r="A8272" s="2" t="s">
        <v>6123</v>
      </c>
      <c r="B8272" s="2" t="s">
        <v>556</v>
      </c>
      <c r="C8272" s="2">
        <v>2</v>
      </c>
      <c r="D8272" t="str">
        <f t="shared" si="129"/>
        <v>US-2015-126235_FUR-FU-10000719</v>
      </c>
      <c r="E8272" t="str">
        <f>IF(COUNTIF(data1!$D:$D,D8272)=0,"Missing in Data1","Present")</f>
        <v>Present</v>
      </c>
    </row>
    <row r="8273" spans="1:5" x14ac:dyDescent="0.25">
      <c r="A8273" s="2" t="s">
        <v>6124</v>
      </c>
      <c r="B8273" s="2" t="s">
        <v>3455</v>
      </c>
      <c r="C8273" s="2">
        <v>3</v>
      </c>
      <c r="D8273" t="str">
        <f t="shared" si="129"/>
        <v>US-2015-126753_FUR-FU-10001488</v>
      </c>
      <c r="E8273" t="str">
        <f>IF(COUNTIF(data1!$D:$D,D8273)=0,"Missing in Data1","Present")</f>
        <v>Present</v>
      </c>
    </row>
    <row r="8274" spans="1:5" x14ac:dyDescent="0.25">
      <c r="A8274" s="2" t="s">
        <v>6124</v>
      </c>
      <c r="B8274" s="2" t="s">
        <v>1526</v>
      </c>
      <c r="C8274" s="2">
        <v>3</v>
      </c>
      <c r="D8274" t="str">
        <f t="shared" si="129"/>
        <v>US-2015-126753_OFF-BI-10003727</v>
      </c>
      <c r="E8274" t="str">
        <f>IF(COUNTIF(data1!$D:$D,D8274)=0,"Missing in Data1","Present")</f>
        <v>Present</v>
      </c>
    </row>
    <row r="8275" spans="1:5" x14ac:dyDescent="0.25">
      <c r="A8275" s="2" t="s">
        <v>6124</v>
      </c>
      <c r="B8275" s="2" t="s">
        <v>1105</v>
      </c>
      <c r="C8275" s="2">
        <v>2</v>
      </c>
      <c r="D8275" t="str">
        <f t="shared" si="129"/>
        <v>US-2015-126753_OFF-BI-10003981</v>
      </c>
      <c r="E8275" t="str">
        <f>IF(COUNTIF(data1!$D:$D,D8275)=0,"Missing in Data1","Present")</f>
        <v>Present</v>
      </c>
    </row>
    <row r="8276" spans="1:5" x14ac:dyDescent="0.25">
      <c r="A8276" s="2" t="s">
        <v>6124</v>
      </c>
      <c r="B8276" s="2" t="s">
        <v>6125</v>
      </c>
      <c r="C8276" s="2">
        <v>3</v>
      </c>
      <c r="D8276" t="str">
        <f t="shared" si="129"/>
        <v>US-2015-126753_OFF-PA-10000130</v>
      </c>
      <c r="E8276" t="str">
        <f>IF(COUNTIF(data1!$D:$D,D8276)=0,"Missing in Data1","Present")</f>
        <v>Present</v>
      </c>
    </row>
    <row r="8277" spans="1:5" x14ac:dyDescent="0.25">
      <c r="A8277" s="2" t="s">
        <v>6124</v>
      </c>
      <c r="B8277" s="2" t="s">
        <v>2771</v>
      </c>
      <c r="C8277" s="2">
        <v>2</v>
      </c>
      <c r="D8277" t="str">
        <f t="shared" si="129"/>
        <v>US-2015-126753_OFF-PA-10002787</v>
      </c>
      <c r="E8277" t="str">
        <f>IF(COUNTIF(data1!$D:$D,D8277)=0,"Missing in Data1","Present")</f>
        <v>Present</v>
      </c>
    </row>
    <row r="8278" spans="1:5" x14ac:dyDescent="0.25">
      <c r="A8278" s="2" t="s">
        <v>6124</v>
      </c>
      <c r="B8278" s="2" t="s">
        <v>2691</v>
      </c>
      <c r="C8278" s="2">
        <v>4</v>
      </c>
      <c r="D8278" t="str">
        <f t="shared" si="129"/>
        <v>US-2015-126753_TEC-PH-10003580</v>
      </c>
      <c r="E8278" t="str">
        <f>IF(COUNTIF(data1!$D:$D,D8278)=0,"Missing in Data1","Present")</f>
        <v>Present</v>
      </c>
    </row>
    <row r="8279" spans="1:5" x14ac:dyDescent="0.25">
      <c r="A8279" s="2" t="s">
        <v>6126</v>
      </c>
      <c r="B8279" s="2" t="s">
        <v>815</v>
      </c>
      <c r="C8279" s="2">
        <v>5</v>
      </c>
      <c r="D8279" t="str">
        <f t="shared" si="129"/>
        <v>US-2015-126977_FUR-BO-10002213</v>
      </c>
      <c r="E8279" t="str">
        <f>IF(COUNTIF(data1!$D:$D,D8279)=0,"Missing in Data1","Present")</f>
        <v>Present</v>
      </c>
    </row>
    <row r="8280" spans="1:5" x14ac:dyDescent="0.25">
      <c r="A8280" s="2" t="s">
        <v>6126</v>
      </c>
      <c r="B8280" s="2" t="s">
        <v>2314</v>
      </c>
      <c r="C8280" s="2">
        <v>2</v>
      </c>
      <c r="D8280" t="str">
        <f t="shared" si="129"/>
        <v>US-2015-126977_FUR-CH-10001973</v>
      </c>
      <c r="E8280" t="str">
        <f>IF(COUNTIF(data1!$D:$D,D8280)=0,"Missing in Data1","Present")</f>
        <v>Present</v>
      </c>
    </row>
    <row r="8281" spans="1:5" x14ac:dyDescent="0.25">
      <c r="A8281" s="2" t="s">
        <v>6126</v>
      </c>
      <c r="B8281" s="2" t="s">
        <v>557</v>
      </c>
      <c r="C8281" s="2">
        <v>7</v>
      </c>
      <c r="D8281" t="str">
        <f t="shared" si="129"/>
        <v>US-2015-126977_OFF-LA-10002762</v>
      </c>
      <c r="E8281" t="str">
        <f>IF(COUNTIF(data1!$D:$D,D8281)=0,"Missing in Data1","Present")</f>
        <v>Present</v>
      </c>
    </row>
    <row r="8282" spans="1:5" x14ac:dyDescent="0.25">
      <c r="A8282" s="2" t="s">
        <v>6126</v>
      </c>
      <c r="B8282" s="2" t="s">
        <v>477</v>
      </c>
      <c r="C8282" s="2">
        <v>2</v>
      </c>
      <c r="D8282" t="str">
        <f t="shared" si="129"/>
        <v>US-2015-126977_OFF-PA-10004071</v>
      </c>
      <c r="E8282" t="str">
        <f>IF(COUNTIF(data1!$D:$D,D8282)=0,"Missing in Data1","Present")</f>
        <v>Present</v>
      </c>
    </row>
    <row r="8283" spans="1:5" x14ac:dyDescent="0.25">
      <c r="A8283" s="2" t="s">
        <v>6126</v>
      </c>
      <c r="B8283" s="2" t="s">
        <v>462</v>
      </c>
      <c r="C8283" s="2">
        <v>5</v>
      </c>
      <c r="D8283" t="str">
        <f t="shared" si="129"/>
        <v>US-2015-126977_OFF-ST-10000617</v>
      </c>
      <c r="E8283" t="str">
        <f>IF(COUNTIF(data1!$D:$D,D8283)=0,"Missing in Data1","Present")</f>
        <v>Present</v>
      </c>
    </row>
    <row r="8284" spans="1:5" x14ac:dyDescent="0.25">
      <c r="A8284" s="2" t="s">
        <v>6126</v>
      </c>
      <c r="B8284" s="2" t="s">
        <v>599</v>
      </c>
      <c r="C8284" s="2">
        <v>4</v>
      </c>
      <c r="D8284" t="str">
        <f t="shared" si="129"/>
        <v>US-2015-126977_OFF-ST-10003058</v>
      </c>
      <c r="E8284" t="str">
        <f>IF(COUNTIF(data1!$D:$D,D8284)=0,"Missing in Data1","Present")</f>
        <v>Present</v>
      </c>
    </row>
    <row r="8285" spans="1:5" x14ac:dyDescent="0.25">
      <c r="A8285" s="2" t="s">
        <v>6126</v>
      </c>
      <c r="B8285" s="2" t="s">
        <v>2361</v>
      </c>
      <c r="C8285" s="2">
        <v>2</v>
      </c>
      <c r="D8285" t="str">
        <f t="shared" si="129"/>
        <v>US-2015-126977_TEC-AC-10003033</v>
      </c>
      <c r="E8285" t="str">
        <f>IF(COUNTIF(data1!$D:$D,D8285)=0,"Missing in Data1","Present")</f>
        <v>Present</v>
      </c>
    </row>
    <row r="8286" spans="1:5" x14ac:dyDescent="0.25">
      <c r="A8286" s="2" t="s">
        <v>6126</v>
      </c>
      <c r="B8286" s="2" t="s">
        <v>63</v>
      </c>
      <c r="C8286" s="2">
        <v>4</v>
      </c>
      <c r="D8286" t="str">
        <f t="shared" si="129"/>
        <v>US-2015-126977_TEC-PH-10000169</v>
      </c>
      <c r="E8286" t="str">
        <f>IF(COUNTIF(data1!$D:$D,D8286)=0,"Missing in Data1","Present")</f>
        <v>Present</v>
      </c>
    </row>
    <row r="8287" spans="1:5" x14ac:dyDescent="0.25">
      <c r="A8287" s="2" t="s">
        <v>6126</v>
      </c>
      <c r="B8287" s="2" t="s">
        <v>777</v>
      </c>
      <c r="C8287" s="2">
        <v>3</v>
      </c>
      <c r="D8287" t="str">
        <f t="shared" si="129"/>
        <v>US-2015-126977_TEC-PH-10002170</v>
      </c>
      <c r="E8287" t="str">
        <f>IF(COUNTIF(data1!$D:$D,D8287)=0,"Missing in Data1","Present")</f>
        <v>Present</v>
      </c>
    </row>
    <row r="8288" spans="1:5" x14ac:dyDescent="0.25">
      <c r="A8288" s="2" t="s">
        <v>6127</v>
      </c>
      <c r="B8288" s="2" t="s">
        <v>349</v>
      </c>
      <c r="C8288" s="2">
        <v>4</v>
      </c>
      <c r="D8288" t="str">
        <f t="shared" si="129"/>
        <v>US-2015-127040_FUR-FU-10002878</v>
      </c>
      <c r="E8288" t="str">
        <f>IF(COUNTIF(data1!$D:$D,D8288)=0,"Missing in Data1","Present")</f>
        <v>Present</v>
      </c>
    </row>
    <row r="8289" spans="1:5" x14ac:dyDescent="0.25">
      <c r="A8289" s="2" t="s">
        <v>6127</v>
      </c>
      <c r="B8289" s="2" t="s">
        <v>2955</v>
      </c>
      <c r="C8289" s="2">
        <v>7</v>
      </c>
      <c r="D8289" t="str">
        <f t="shared" si="129"/>
        <v>US-2015-127040_OFF-PA-10001184</v>
      </c>
      <c r="E8289" t="str">
        <f>IF(COUNTIF(data1!$D:$D,D8289)=0,"Missing in Data1","Present")</f>
        <v>Present</v>
      </c>
    </row>
    <row r="8290" spans="1:5" x14ac:dyDescent="0.25">
      <c r="A8290" s="2" t="s">
        <v>6127</v>
      </c>
      <c r="B8290" s="2" t="s">
        <v>2579</v>
      </c>
      <c r="C8290" s="2">
        <v>1</v>
      </c>
      <c r="D8290" t="str">
        <f t="shared" si="129"/>
        <v>US-2015-127040_OFF-PA-10004255</v>
      </c>
      <c r="E8290" t="str">
        <f>IF(COUNTIF(data1!$D:$D,D8290)=0,"Missing in Data1","Present")</f>
        <v>Present</v>
      </c>
    </row>
    <row r="8291" spans="1:5" x14ac:dyDescent="0.25">
      <c r="A8291" s="2" t="s">
        <v>6127</v>
      </c>
      <c r="B8291" s="2" t="s">
        <v>2808</v>
      </c>
      <c r="C8291" s="2">
        <v>9</v>
      </c>
      <c r="D8291" t="str">
        <f t="shared" si="129"/>
        <v>US-2015-127040_TEC-AC-10002637</v>
      </c>
      <c r="E8291" t="str">
        <f>IF(COUNTIF(data1!$D:$D,D8291)=0,"Missing in Data1","Present")</f>
        <v>Present</v>
      </c>
    </row>
    <row r="8292" spans="1:5" x14ac:dyDescent="0.25">
      <c r="A8292" s="2" t="s">
        <v>6128</v>
      </c>
      <c r="B8292" s="2" t="s">
        <v>3307</v>
      </c>
      <c r="C8292" s="2">
        <v>1</v>
      </c>
      <c r="D8292" t="str">
        <f t="shared" si="129"/>
        <v>US-2015-128090_OFF-AR-10002255</v>
      </c>
      <c r="E8292" t="str">
        <f>IF(COUNTIF(data1!$D:$D,D8292)=0,"Missing in Data1","Present")</f>
        <v>Present</v>
      </c>
    </row>
    <row r="8293" spans="1:5" x14ac:dyDescent="0.25">
      <c r="A8293" s="2" t="s">
        <v>6128</v>
      </c>
      <c r="B8293" s="2" t="s">
        <v>627</v>
      </c>
      <c r="C8293" s="2">
        <v>2</v>
      </c>
      <c r="D8293" t="str">
        <f t="shared" si="129"/>
        <v>US-2015-128090_OFF-LA-10000452</v>
      </c>
      <c r="E8293" t="str">
        <f>IF(COUNTIF(data1!$D:$D,D8293)=0,"Missing in Data1","Present")</f>
        <v>Present</v>
      </c>
    </row>
    <row r="8294" spans="1:5" x14ac:dyDescent="0.25">
      <c r="A8294" s="2" t="s">
        <v>6128</v>
      </c>
      <c r="B8294" s="2" t="s">
        <v>425</v>
      </c>
      <c r="C8294" s="2">
        <v>8</v>
      </c>
      <c r="D8294" t="str">
        <f t="shared" si="129"/>
        <v>US-2015-128090_OFF-PA-10001878</v>
      </c>
      <c r="E8294" t="str">
        <f>IF(COUNTIF(data1!$D:$D,D8294)=0,"Missing in Data1","Present")</f>
        <v>Present</v>
      </c>
    </row>
    <row r="8295" spans="1:5" x14ac:dyDescent="0.25">
      <c r="A8295" s="2" t="s">
        <v>6128</v>
      </c>
      <c r="B8295" s="2" t="s">
        <v>3339</v>
      </c>
      <c r="C8295" s="2">
        <v>5</v>
      </c>
      <c r="D8295" t="str">
        <f t="shared" si="129"/>
        <v>US-2015-128090_TEC-PH-10002624</v>
      </c>
      <c r="E8295" t="str">
        <f>IF(COUNTIF(data1!$D:$D,D8295)=0,"Missing in Data1","Present")</f>
        <v>Present</v>
      </c>
    </row>
    <row r="8296" spans="1:5" x14ac:dyDescent="0.25">
      <c r="A8296" s="2" t="s">
        <v>6129</v>
      </c>
      <c r="B8296" s="2" t="s">
        <v>6130</v>
      </c>
      <c r="C8296" s="2">
        <v>2</v>
      </c>
      <c r="D8296" t="str">
        <f t="shared" si="129"/>
        <v>US-2015-128587_FUR-FU-10003026</v>
      </c>
      <c r="E8296" t="str">
        <f>IF(COUNTIF(data1!$D:$D,D8296)=0,"Missing in Data1","Present")</f>
        <v>Present</v>
      </c>
    </row>
    <row r="8297" spans="1:5" x14ac:dyDescent="0.25">
      <c r="A8297" s="2" t="s">
        <v>6129</v>
      </c>
      <c r="B8297" s="2" t="s">
        <v>2743</v>
      </c>
      <c r="C8297" s="2">
        <v>7</v>
      </c>
      <c r="D8297" t="str">
        <f t="shared" si="129"/>
        <v>US-2015-128587_TEC-CO-10003763</v>
      </c>
      <c r="E8297" t="str">
        <f>IF(COUNTIF(data1!$D:$D,D8297)=0,"Missing in Data1","Present")</f>
        <v>Present</v>
      </c>
    </row>
    <row r="8298" spans="1:5" x14ac:dyDescent="0.25">
      <c r="A8298" s="2" t="s">
        <v>6131</v>
      </c>
      <c r="B8298" s="2" t="s">
        <v>596</v>
      </c>
      <c r="C8298" s="2">
        <v>3</v>
      </c>
      <c r="D8298" t="str">
        <f t="shared" si="129"/>
        <v>US-2015-129007_FUR-CH-10000155</v>
      </c>
      <c r="E8298" t="str">
        <f>IF(COUNTIF(data1!$D:$D,D8298)=0,"Missing in Data1","Present")</f>
        <v>Present</v>
      </c>
    </row>
    <row r="8299" spans="1:5" x14ac:dyDescent="0.25">
      <c r="A8299" s="2" t="s">
        <v>6131</v>
      </c>
      <c r="B8299" s="2" t="s">
        <v>639</v>
      </c>
      <c r="C8299" s="2">
        <v>5</v>
      </c>
      <c r="D8299" t="str">
        <f t="shared" si="129"/>
        <v>US-2015-129007_FUR-FU-10002379</v>
      </c>
      <c r="E8299" t="str">
        <f>IF(COUNTIF(data1!$D:$D,D8299)=0,"Missing in Data1","Present")</f>
        <v>Present</v>
      </c>
    </row>
    <row r="8300" spans="1:5" x14ac:dyDescent="0.25">
      <c r="A8300" s="2" t="s">
        <v>6131</v>
      </c>
      <c r="B8300" s="2" t="s">
        <v>278</v>
      </c>
      <c r="C8300" s="2">
        <v>3</v>
      </c>
      <c r="D8300" t="str">
        <f t="shared" si="129"/>
        <v>US-2015-129007_FUR-FU-10004018</v>
      </c>
      <c r="E8300" t="str">
        <f>IF(COUNTIF(data1!$D:$D,D8300)=0,"Missing in Data1","Present")</f>
        <v>Present</v>
      </c>
    </row>
    <row r="8301" spans="1:5" x14ac:dyDescent="0.25">
      <c r="A8301" s="2" t="s">
        <v>6131</v>
      </c>
      <c r="B8301" s="2" t="s">
        <v>2310</v>
      </c>
      <c r="C8301" s="2">
        <v>7</v>
      </c>
      <c r="D8301" t="str">
        <f t="shared" si="129"/>
        <v>US-2015-129007_FUR-FU-10004973</v>
      </c>
      <c r="E8301" t="str">
        <f>IF(COUNTIF(data1!$D:$D,D8301)=0,"Missing in Data1","Present")</f>
        <v>Present</v>
      </c>
    </row>
    <row r="8302" spans="1:5" x14ac:dyDescent="0.25">
      <c r="A8302" s="2" t="s">
        <v>6131</v>
      </c>
      <c r="B8302" s="2" t="s">
        <v>626</v>
      </c>
      <c r="C8302" s="2">
        <v>3</v>
      </c>
      <c r="D8302" t="str">
        <f t="shared" si="129"/>
        <v>US-2015-129007_OFF-BI-10001628</v>
      </c>
      <c r="E8302" t="str">
        <f>IF(COUNTIF(data1!$D:$D,D8302)=0,"Missing in Data1","Present")</f>
        <v>Present</v>
      </c>
    </row>
    <row r="8303" spans="1:5" x14ac:dyDescent="0.25">
      <c r="A8303" s="2" t="s">
        <v>6131</v>
      </c>
      <c r="B8303" s="2" t="s">
        <v>2100</v>
      </c>
      <c r="C8303" s="2">
        <v>2</v>
      </c>
      <c r="D8303" t="str">
        <f t="shared" si="129"/>
        <v>US-2015-129007_OFF-PA-10000994</v>
      </c>
      <c r="E8303" t="str">
        <f>IF(COUNTIF(data1!$D:$D,D8303)=0,"Missing in Data1","Present")</f>
        <v>Missing in Data1</v>
      </c>
    </row>
    <row r="8304" spans="1:5" x14ac:dyDescent="0.25">
      <c r="A8304" s="2" t="s">
        <v>6132</v>
      </c>
      <c r="B8304" s="2" t="s">
        <v>1466</v>
      </c>
      <c r="C8304" s="2">
        <v>3</v>
      </c>
      <c r="D8304" t="str">
        <f t="shared" si="129"/>
        <v>US-2015-129553_TEC-PH-10004897</v>
      </c>
      <c r="E8304" t="str">
        <f>IF(COUNTIF(data1!$D:$D,D8304)=0,"Missing in Data1","Present")</f>
        <v>Present</v>
      </c>
    </row>
    <row r="8305" spans="1:5" x14ac:dyDescent="0.25">
      <c r="A8305" s="2" t="s">
        <v>6133</v>
      </c>
      <c r="B8305" s="2" t="s">
        <v>1397</v>
      </c>
      <c r="C8305" s="2">
        <v>2</v>
      </c>
      <c r="D8305" t="str">
        <f t="shared" si="129"/>
        <v>US-2015-129637_FUR-FU-10000965</v>
      </c>
      <c r="E8305" t="str">
        <f>IF(COUNTIF(data1!$D:$D,D8305)=0,"Missing in Data1","Present")</f>
        <v>Present</v>
      </c>
    </row>
    <row r="8306" spans="1:5" x14ac:dyDescent="0.25">
      <c r="A8306" s="2" t="s">
        <v>6133</v>
      </c>
      <c r="B8306" s="2" t="s">
        <v>617</v>
      </c>
      <c r="C8306" s="2">
        <v>5</v>
      </c>
      <c r="D8306" t="str">
        <f t="shared" si="129"/>
        <v>US-2015-129637_OFF-AR-10003829</v>
      </c>
      <c r="E8306" t="str">
        <f>IF(COUNTIF(data1!$D:$D,D8306)=0,"Missing in Data1","Present")</f>
        <v>Present</v>
      </c>
    </row>
    <row r="8307" spans="1:5" x14ac:dyDescent="0.25">
      <c r="A8307" s="2" t="s">
        <v>6133</v>
      </c>
      <c r="B8307" s="2" t="s">
        <v>495</v>
      </c>
      <c r="C8307" s="2">
        <v>1</v>
      </c>
      <c r="D8307" t="str">
        <f t="shared" si="129"/>
        <v>US-2015-129637_OFF-ST-10003716</v>
      </c>
      <c r="E8307" t="str">
        <f>IF(COUNTIF(data1!$D:$D,D8307)=0,"Missing in Data1","Present")</f>
        <v>Present</v>
      </c>
    </row>
    <row r="8308" spans="1:5" x14ac:dyDescent="0.25">
      <c r="A8308" s="2" t="s">
        <v>6134</v>
      </c>
      <c r="B8308" s="2" t="s">
        <v>681</v>
      </c>
      <c r="C8308" s="2">
        <v>2</v>
      </c>
      <c r="D8308" t="str">
        <f t="shared" si="129"/>
        <v>US-2015-130491_OFF-AR-10001149</v>
      </c>
      <c r="E8308" t="str">
        <f>IF(COUNTIF(data1!$D:$D,D8308)=0,"Missing in Data1","Present")</f>
        <v>Present</v>
      </c>
    </row>
    <row r="8309" spans="1:5" x14ac:dyDescent="0.25">
      <c r="A8309" s="2" t="s">
        <v>6134</v>
      </c>
      <c r="B8309" s="2" t="s">
        <v>397</v>
      </c>
      <c r="C8309" s="2">
        <v>1</v>
      </c>
      <c r="D8309" t="str">
        <f t="shared" si="129"/>
        <v>US-2015-130491_OFF-FA-10000134</v>
      </c>
      <c r="E8309" t="str">
        <f>IF(COUNTIF(data1!$D:$D,D8309)=0,"Missing in Data1","Present")</f>
        <v>Present</v>
      </c>
    </row>
    <row r="8310" spans="1:5" x14ac:dyDescent="0.25">
      <c r="A8310" s="2" t="s">
        <v>6134</v>
      </c>
      <c r="B8310" s="2" t="s">
        <v>3814</v>
      </c>
      <c r="C8310" s="2">
        <v>2</v>
      </c>
      <c r="D8310" t="str">
        <f t="shared" si="129"/>
        <v>US-2015-130491_OFF-PA-10000791</v>
      </c>
      <c r="E8310" t="str">
        <f>IF(COUNTIF(data1!$D:$D,D8310)=0,"Missing in Data1","Present")</f>
        <v>Present</v>
      </c>
    </row>
    <row r="8311" spans="1:5" x14ac:dyDescent="0.25">
      <c r="A8311" s="2" t="s">
        <v>6135</v>
      </c>
      <c r="B8311" s="2" t="s">
        <v>1989</v>
      </c>
      <c r="C8311" s="2">
        <v>2</v>
      </c>
      <c r="D8311" t="str">
        <f t="shared" si="129"/>
        <v>US-2015-130512_OFF-BI-10004519</v>
      </c>
      <c r="E8311" t="str">
        <f>IF(COUNTIF(data1!$D:$D,D8311)=0,"Missing in Data1","Present")</f>
        <v>Present</v>
      </c>
    </row>
    <row r="8312" spans="1:5" x14ac:dyDescent="0.25">
      <c r="A8312" s="2" t="s">
        <v>6135</v>
      </c>
      <c r="B8312" s="2" t="s">
        <v>1214</v>
      </c>
      <c r="C8312" s="2">
        <v>2</v>
      </c>
      <c r="D8312" t="str">
        <f t="shared" si="129"/>
        <v>US-2015-130512_OFF-PA-10003625</v>
      </c>
      <c r="E8312" t="str">
        <f>IF(COUNTIF(data1!$D:$D,D8312)=0,"Missing in Data1","Present")</f>
        <v>Present</v>
      </c>
    </row>
    <row r="8313" spans="1:5" x14ac:dyDescent="0.25">
      <c r="A8313" s="2" t="s">
        <v>6135</v>
      </c>
      <c r="B8313" s="2" t="s">
        <v>116</v>
      </c>
      <c r="C8313" s="2">
        <v>6</v>
      </c>
      <c r="D8313" t="str">
        <f t="shared" si="129"/>
        <v>US-2015-130512_OFF-ST-10002574</v>
      </c>
      <c r="E8313" t="str">
        <f>IF(COUNTIF(data1!$D:$D,D8313)=0,"Missing in Data1","Present")</f>
        <v>Present</v>
      </c>
    </row>
    <row r="8314" spans="1:5" x14ac:dyDescent="0.25">
      <c r="A8314" s="2" t="s">
        <v>6135</v>
      </c>
      <c r="B8314" s="2" t="s">
        <v>2150</v>
      </c>
      <c r="C8314" s="2">
        <v>2</v>
      </c>
      <c r="D8314" t="str">
        <f t="shared" si="129"/>
        <v>US-2015-130512_OFF-SU-10001935</v>
      </c>
      <c r="E8314" t="str">
        <f>IF(COUNTIF(data1!$D:$D,D8314)=0,"Missing in Data1","Present")</f>
        <v>Present</v>
      </c>
    </row>
    <row r="8315" spans="1:5" x14ac:dyDescent="0.25">
      <c r="A8315" s="2" t="s">
        <v>6135</v>
      </c>
      <c r="B8315" s="2" t="s">
        <v>406</v>
      </c>
      <c r="C8315" s="2">
        <v>4</v>
      </c>
      <c r="D8315" t="str">
        <f t="shared" si="129"/>
        <v>US-2015-130512_TEC-AC-10000290</v>
      </c>
      <c r="E8315" t="str">
        <f>IF(COUNTIF(data1!$D:$D,D8315)=0,"Missing in Data1","Present")</f>
        <v>Present</v>
      </c>
    </row>
    <row r="8316" spans="1:5" x14ac:dyDescent="0.25">
      <c r="A8316" s="2" t="s">
        <v>6136</v>
      </c>
      <c r="B8316" s="2" t="s">
        <v>21</v>
      </c>
      <c r="C8316" s="2">
        <v>4</v>
      </c>
      <c r="D8316" t="str">
        <f t="shared" si="129"/>
        <v>US-2015-130519_FUR-FU-10002268</v>
      </c>
      <c r="E8316" t="str">
        <f>IF(COUNTIF(data1!$D:$D,D8316)=0,"Missing in Data1","Present")</f>
        <v>Present</v>
      </c>
    </row>
    <row r="8317" spans="1:5" x14ac:dyDescent="0.25">
      <c r="A8317" s="2" t="s">
        <v>6136</v>
      </c>
      <c r="B8317" s="2" t="s">
        <v>2009</v>
      </c>
      <c r="C8317" s="2">
        <v>1</v>
      </c>
      <c r="D8317" t="str">
        <f t="shared" si="129"/>
        <v>US-2015-130519_FUR-FU-10003394</v>
      </c>
      <c r="E8317" t="str">
        <f>IF(COUNTIF(data1!$D:$D,D8317)=0,"Missing in Data1","Present")</f>
        <v>Present</v>
      </c>
    </row>
    <row r="8318" spans="1:5" x14ac:dyDescent="0.25">
      <c r="A8318" s="2" t="s">
        <v>6136</v>
      </c>
      <c r="B8318" s="2" t="s">
        <v>1785</v>
      </c>
      <c r="C8318" s="2">
        <v>3</v>
      </c>
      <c r="D8318" t="str">
        <f t="shared" si="129"/>
        <v>US-2015-130519_OFF-PA-10001937</v>
      </c>
      <c r="E8318" t="str">
        <f>IF(COUNTIF(data1!$D:$D,D8318)=0,"Missing in Data1","Present")</f>
        <v>Present</v>
      </c>
    </row>
    <row r="8319" spans="1:5" x14ac:dyDescent="0.25">
      <c r="A8319" s="2" t="s">
        <v>6136</v>
      </c>
      <c r="B8319" s="2" t="s">
        <v>269</v>
      </c>
      <c r="C8319" s="2">
        <v>2</v>
      </c>
      <c r="D8319" t="str">
        <f t="shared" si="129"/>
        <v>US-2015-130519_OFF-ST-10001321</v>
      </c>
      <c r="E8319" t="str">
        <f>IF(COUNTIF(data1!$D:$D,D8319)=0,"Missing in Data1","Present")</f>
        <v>Present</v>
      </c>
    </row>
    <row r="8320" spans="1:5" x14ac:dyDescent="0.25">
      <c r="A8320" s="2" t="s">
        <v>6137</v>
      </c>
      <c r="B8320" s="2" t="s">
        <v>6130</v>
      </c>
      <c r="C8320" s="2">
        <v>4</v>
      </c>
      <c r="D8320" t="str">
        <f t="shared" si="129"/>
        <v>US-2015-131359_FUR-FU-10003026</v>
      </c>
      <c r="E8320" t="str">
        <f>IF(COUNTIF(data1!$D:$D,D8320)=0,"Missing in Data1","Present")</f>
        <v>Present</v>
      </c>
    </row>
    <row r="8321" spans="1:5" x14ac:dyDescent="0.25">
      <c r="A8321" s="2" t="s">
        <v>6137</v>
      </c>
      <c r="B8321" s="2" t="s">
        <v>759</v>
      </c>
      <c r="C8321" s="2">
        <v>1</v>
      </c>
      <c r="D8321" t="str">
        <f t="shared" si="129"/>
        <v>US-2015-131359_TEC-CO-10001571</v>
      </c>
      <c r="E8321" t="str">
        <f>IF(COUNTIF(data1!$D:$D,D8321)=0,"Missing in Data1","Present")</f>
        <v>Present</v>
      </c>
    </row>
    <row r="8322" spans="1:5" x14ac:dyDescent="0.25">
      <c r="A8322" s="2" t="s">
        <v>6137</v>
      </c>
      <c r="B8322" s="2" t="s">
        <v>2104</v>
      </c>
      <c r="C8322" s="2">
        <v>2</v>
      </c>
      <c r="D8322" t="str">
        <f t="shared" si="129"/>
        <v>US-2015-131359_TEC-MA-10000597</v>
      </c>
      <c r="E8322" t="str">
        <f>IF(COUNTIF(data1!$D:$D,D8322)=0,"Missing in Data1","Present")</f>
        <v>Present</v>
      </c>
    </row>
    <row r="8323" spans="1:5" x14ac:dyDescent="0.25">
      <c r="A8323" s="2" t="s">
        <v>6137</v>
      </c>
      <c r="B8323" s="2" t="s">
        <v>365</v>
      </c>
      <c r="C8323" s="2">
        <v>5</v>
      </c>
      <c r="D8323" t="str">
        <f t="shared" ref="D8323:D8386" si="130">A8323&amp;"_"&amp;B8323</f>
        <v>US-2015-131359_TEC-PH-10004531</v>
      </c>
      <c r="E8323" t="str">
        <f>IF(COUNTIF(data1!$D:$D,D8323)=0,"Missing in Data1","Present")</f>
        <v>Present</v>
      </c>
    </row>
    <row r="8324" spans="1:5" x14ac:dyDescent="0.25">
      <c r="A8324" s="2" t="s">
        <v>6138</v>
      </c>
      <c r="B8324" s="2" t="s">
        <v>1554</v>
      </c>
      <c r="C8324" s="2">
        <v>2</v>
      </c>
      <c r="D8324" t="str">
        <f t="shared" si="130"/>
        <v>US-2015-131842_FUR-CH-10004477</v>
      </c>
      <c r="E8324" t="str">
        <f>IF(COUNTIF(data1!$D:$D,D8324)=0,"Missing in Data1","Present")</f>
        <v>Present</v>
      </c>
    </row>
    <row r="8325" spans="1:5" x14ac:dyDescent="0.25">
      <c r="A8325" s="2" t="s">
        <v>6139</v>
      </c>
      <c r="B8325" s="2" t="s">
        <v>2608</v>
      </c>
      <c r="C8325" s="2">
        <v>6</v>
      </c>
      <c r="D8325" t="str">
        <f t="shared" si="130"/>
        <v>US-2015-132836_OFF-BI-10004224</v>
      </c>
      <c r="E8325" t="str">
        <f>IF(COUNTIF(data1!$D:$D,D8325)=0,"Missing in Data1","Present")</f>
        <v>Present</v>
      </c>
    </row>
    <row r="8326" spans="1:5" x14ac:dyDescent="0.25">
      <c r="A8326" s="2" t="s">
        <v>6139</v>
      </c>
      <c r="B8326" s="2" t="s">
        <v>4931</v>
      </c>
      <c r="C8326" s="2">
        <v>7</v>
      </c>
      <c r="D8326" t="str">
        <f t="shared" si="130"/>
        <v>US-2015-132836_OFF-LA-10004178</v>
      </c>
      <c r="E8326" t="str">
        <f>IF(COUNTIF(data1!$D:$D,D8326)=0,"Missing in Data1","Present")</f>
        <v>Present</v>
      </c>
    </row>
    <row r="8327" spans="1:5" x14ac:dyDescent="0.25">
      <c r="A8327" s="2" t="s">
        <v>6139</v>
      </c>
      <c r="B8327" s="2" t="s">
        <v>3178</v>
      </c>
      <c r="C8327" s="2">
        <v>2</v>
      </c>
      <c r="D8327" t="str">
        <f t="shared" si="130"/>
        <v>US-2015-132836_TEC-PH-10001300</v>
      </c>
      <c r="E8327" t="str">
        <f>IF(COUNTIF(data1!$D:$D,D8327)=0,"Missing in Data1","Present")</f>
        <v>Present</v>
      </c>
    </row>
    <row r="8328" spans="1:5" x14ac:dyDescent="0.25">
      <c r="A8328" s="2" t="s">
        <v>6140</v>
      </c>
      <c r="B8328" s="2" t="s">
        <v>665</v>
      </c>
      <c r="C8328" s="2">
        <v>8</v>
      </c>
      <c r="D8328" t="str">
        <f t="shared" si="130"/>
        <v>US-2015-134026_FUR-CH-10000513</v>
      </c>
      <c r="E8328" t="str">
        <f>IF(COUNTIF(data1!$D:$D,D8328)=0,"Missing in Data1","Present")</f>
        <v>Present</v>
      </c>
    </row>
    <row r="8329" spans="1:5" x14ac:dyDescent="0.25">
      <c r="A8329" s="2" t="s">
        <v>6140</v>
      </c>
      <c r="B8329" s="2" t="s">
        <v>1768</v>
      </c>
      <c r="C8329" s="2">
        <v>2</v>
      </c>
      <c r="D8329" t="str">
        <f t="shared" si="130"/>
        <v>US-2015-134026_FUR-FU-10003708</v>
      </c>
      <c r="E8329" t="str">
        <f>IF(COUNTIF(data1!$D:$D,D8329)=0,"Missing in Data1","Present")</f>
        <v>Present</v>
      </c>
    </row>
    <row r="8330" spans="1:5" x14ac:dyDescent="0.25">
      <c r="A8330" s="2" t="s">
        <v>6140</v>
      </c>
      <c r="B8330" s="2" t="s">
        <v>1761</v>
      </c>
      <c r="C8330" s="2">
        <v>1</v>
      </c>
      <c r="D8330" t="str">
        <f t="shared" si="130"/>
        <v>US-2015-134026_OFF-ST-10004123</v>
      </c>
      <c r="E8330" t="str">
        <f>IF(COUNTIF(data1!$D:$D,D8330)=0,"Missing in Data1","Present")</f>
        <v>Present</v>
      </c>
    </row>
    <row r="8331" spans="1:5" x14ac:dyDescent="0.25">
      <c r="A8331" s="2" t="s">
        <v>6141</v>
      </c>
      <c r="B8331" s="2" t="s">
        <v>2712</v>
      </c>
      <c r="C8331" s="2">
        <v>3</v>
      </c>
      <c r="D8331" t="str">
        <f t="shared" si="130"/>
        <v>US-2015-134271_OFF-LA-10004093</v>
      </c>
      <c r="E8331" t="str">
        <f>IF(COUNTIF(data1!$D:$D,D8331)=0,"Missing in Data1","Present")</f>
        <v>Present</v>
      </c>
    </row>
    <row r="8332" spans="1:5" x14ac:dyDescent="0.25">
      <c r="A8332" s="2" t="s">
        <v>6142</v>
      </c>
      <c r="B8332" s="2" t="s">
        <v>1806</v>
      </c>
      <c r="C8332" s="2">
        <v>4</v>
      </c>
      <c r="D8332" t="str">
        <f t="shared" si="130"/>
        <v>US-2015-134558_FUR-TA-10003473</v>
      </c>
      <c r="E8332" t="str">
        <f>IF(COUNTIF(data1!$D:$D,D8332)=0,"Missing in Data1","Present")</f>
        <v>Present</v>
      </c>
    </row>
    <row r="8333" spans="1:5" x14ac:dyDescent="0.25">
      <c r="A8333" s="2" t="s">
        <v>6142</v>
      </c>
      <c r="B8333" s="2" t="s">
        <v>2955</v>
      </c>
      <c r="C8333" s="2">
        <v>5</v>
      </c>
      <c r="D8333" t="str">
        <f t="shared" si="130"/>
        <v>US-2015-134558_OFF-PA-10001184</v>
      </c>
      <c r="E8333" t="str">
        <f>IF(COUNTIF(data1!$D:$D,D8333)=0,"Missing in Data1","Present")</f>
        <v>Present</v>
      </c>
    </row>
    <row r="8334" spans="1:5" x14ac:dyDescent="0.25">
      <c r="A8334" s="2" t="s">
        <v>6142</v>
      </c>
      <c r="B8334" s="2" t="s">
        <v>2603</v>
      </c>
      <c r="C8334" s="2">
        <v>9</v>
      </c>
      <c r="D8334" t="str">
        <f t="shared" si="130"/>
        <v>US-2015-134558_TEC-AC-10004145</v>
      </c>
      <c r="E8334" t="str">
        <f>IF(COUNTIF(data1!$D:$D,D8334)=0,"Missing in Data1","Present")</f>
        <v>Present</v>
      </c>
    </row>
    <row r="8335" spans="1:5" x14ac:dyDescent="0.25">
      <c r="A8335" s="2" t="s">
        <v>6143</v>
      </c>
      <c r="B8335" s="2" t="s">
        <v>656</v>
      </c>
      <c r="C8335" s="2">
        <v>4</v>
      </c>
      <c r="D8335" t="str">
        <f t="shared" si="130"/>
        <v>US-2015-136259_OFF-SU-10004661</v>
      </c>
      <c r="E8335" t="str">
        <f>IF(COUNTIF(data1!$D:$D,D8335)=0,"Missing in Data1","Present")</f>
        <v>Present</v>
      </c>
    </row>
    <row r="8336" spans="1:5" x14ac:dyDescent="0.25">
      <c r="A8336" s="2" t="s">
        <v>6144</v>
      </c>
      <c r="B8336" s="2" t="s">
        <v>1694</v>
      </c>
      <c r="C8336" s="2">
        <v>7</v>
      </c>
      <c r="D8336" t="str">
        <f t="shared" si="130"/>
        <v>US-2015-136427_TEC-PH-10002070</v>
      </c>
      <c r="E8336" t="str">
        <f>IF(COUNTIF(data1!$D:$D,D8336)=0,"Missing in Data1","Present")</f>
        <v>Present</v>
      </c>
    </row>
    <row r="8337" spans="1:5" x14ac:dyDescent="0.25">
      <c r="A8337" s="2" t="s">
        <v>6145</v>
      </c>
      <c r="B8337" s="2" t="s">
        <v>1382</v>
      </c>
      <c r="C8337" s="2">
        <v>1</v>
      </c>
      <c r="D8337" t="str">
        <f t="shared" si="130"/>
        <v>US-2015-136476_OFF-BI-10003650</v>
      </c>
      <c r="E8337" t="str">
        <f>IF(COUNTIF(data1!$D:$D,D8337)=0,"Missing in Data1","Present")</f>
        <v>Present</v>
      </c>
    </row>
    <row r="8338" spans="1:5" x14ac:dyDescent="0.25">
      <c r="A8338" s="2" t="s">
        <v>6146</v>
      </c>
      <c r="B8338" s="2" t="s">
        <v>91</v>
      </c>
      <c r="C8338" s="2">
        <v>6</v>
      </c>
      <c r="D8338" t="str">
        <f t="shared" si="130"/>
        <v>US-2015-136749_FUR-FU-10000747</v>
      </c>
      <c r="E8338" t="str">
        <f>IF(COUNTIF(data1!$D:$D,D8338)=0,"Missing in Data1","Present")</f>
        <v>Present</v>
      </c>
    </row>
    <row r="8339" spans="1:5" x14ac:dyDescent="0.25">
      <c r="A8339" s="2" t="s">
        <v>6146</v>
      </c>
      <c r="B8339" s="2" t="s">
        <v>2041</v>
      </c>
      <c r="C8339" s="2">
        <v>5</v>
      </c>
      <c r="D8339" t="str">
        <f t="shared" si="130"/>
        <v>US-2015-136749_OFF-BI-10004492</v>
      </c>
      <c r="E8339" t="str">
        <f>IF(COUNTIF(data1!$D:$D,D8339)=0,"Missing in Data1","Present")</f>
        <v>Present</v>
      </c>
    </row>
    <row r="8340" spans="1:5" x14ac:dyDescent="0.25">
      <c r="A8340" s="2" t="s">
        <v>6147</v>
      </c>
      <c r="B8340" s="2" t="s">
        <v>4712</v>
      </c>
      <c r="C8340" s="2">
        <v>2</v>
      </c>
      <c r="D8340" t="str">
        <f t="shared" si="130"/>
        <v>US-2015-136987_OFF-PA-10003127</v>
      </c>
      <c r="E8340" t="str">
        <f>IF(COUNTIF(data1!$D:$D,D8340)=0,"Missing in Data1","Present")</f>
        <v>Present</v>
      </c>
    </row>
    <row r="8341" spans="1:5" x14ac:dyDescent="0.25">
      <c r="A8341" s="2" t="s">
        <v>6147</v>
      </c>
      <c r="B8341" s="2" t="s">
        <v>2030</v>
      </c>
      <c r="C8341" s="2">
        <v>4</v>
      </c>
      <c r="D8341" t="str">
        <f t="shared" si="130"/>
        <v>US-2015-136987_TEC-CO-10001943</v>
      </c>
      <c r="E8341" t="str">
        <f>IF(COUNTIF(data1!$D:$D,D8341)=0,"Missing in Data1","Present")</f>
        <v>Present</v>
      </c>
    </row>
    <row r="8342" spans="1:5" x14ac:dyDescent="0.25">
      <c r="A8342" s="2" t="s">
        <v>6148</v>
      </c>
      <c r="B8342" s="2" t="s">
        <v>758</v>
      </c>
      <c r="C8342" s="2">
        <v>4</v>
      </c>
      <c r="D8342" t="str">
        <f t="shared" si="130"/>
        <v>US-2015-137008_OFF-EN-10002500</v>
      </c>
      <c r="E8342" t="str">
        <f>IF(COUNTIF(data1!$D:$D,D8342)=0,"Missing in Data1","Present")</f>
        <v>Present</v>
      </c>
    </row>
    <row r="8343" spans="1:5" x14ac:dyDescent="0.25">
      <c r="A8343" s="2" t="s">
        <v>6148</v>
      </c>
      <c r="B8343" s="2" t="s">
        <v>1506</v>
      </c>
      <c r="C8343" s="2">
        <v>5</v>
      </c>
      <c r="D8343" t="str">
        <f t="shared" si="130"/>
        <v>US-2015-137008_OFF-PA-10001295</v>
      </c>
      <c r="E8343" t="str">
        <f>IF(COUNTIF(data1!$D:$D,D8343)=0,"Missing in Data1","Present")</f>
        <v>Present</v>
      </c>
    </row>
    <row r="8344" spans="1:5" x14ac:dyDescent="0.25">
      <c r="A8344" s="2" t="s">
        <v>6148</v>
      </c>
      <c r="B8344" s="2" t="s">
        <v>1718</v>
      </c>
      <c r="C8344" s="2">
        <v>1</v>
      </c>
      <c r="D8344" t="str">
        <f t="shared" si="130"/>
        <v>US-2015-137008_TEC-AC-10000892</v>
      </c>
      <c r="E8344" t="str">
        <f>IF(COUNTIF(data1!$D:$D,D8344)=0,"Missing in Data1","Present")</f>
        <v>Present</v>
      </c>
    </row>
    <row r="8345" spans="1:5" x14ac:dyDescent="0.25">
      <c r="A8345" s="2" t="s">
        <v>6149</v>
      </c>
      <c r="B8345" s="2" t="s">
        <v>1737</v>
      </c>
      <c r="C8345" s="2">
        <v>4</v>
      </c>
      <c r="D8345" t="str">
        <f t="shared" si="130"/>
        <v>US-2015-137533_OFF-PA-10003441</v>
      </c>
      <c r="E8345" t="str">
        <f>IF(COUNTIF(data1!$D:$D,D8345)=0,"Missing in Data1","Present")</f>
        <v>Present</v>
      </c>
    </row>
    <row r="8346" spans="1:5" x14ac:dyDescent="0.25">
      <c r="A8346" s="2" t="s">
        <v>6150</v>
      </c>
      <c r="B8346" s="2" t="s">
        <v>2507</v>
      </c>
      <c r="C8346" s="2">
        <v>1</v>
      </c>
      <c r="D8346" t="str">
        <f t="shared" si="130"/>
        <v>US-2015-137960_TEC-AC-10002253</v>
      </c>
      <c r="E8346" t="str">
        <f>IF(COUNTIF(data1!$D:$D,D8346)=0,"Missing in Data1","Present")</f>
        <v>Present</v>
      </c>
    </row>
    <row r="8347" spans="1:5" x14ac:dyDescent="0.25">
      <c r="A8347" s="2" t="s">
        <v>6151</v>
      </c>
      <c r="B8347" s="2" t="s">
        <v>2213</v>
      </c>
      <c r="C8347" s="2">
        <v>3</v>
      </c>
      <c r="D8347" t="str">
        <f t="shared" si="130"/>
        <v>US-2015-138093_FUR-CH-10000785</v>
      </c>
      <c r="E8347" t="str">
        <f>IF(COUNTIF(data1!$D:$D,D8347)=0,"Missing in Data1","Present")</f>
        <v>Present</v>
      </c>
    </row>
    <row r="8348" spans="1:5" x14ac:dyDescent="0.25">
      <c r="A8348" s="2" t="s">
        <v>6151</v>
      </c>
      <c r="B8348" s="2" t="s">
        <v>2616</v>
      </c>
      <c r="C8348" s="2">
        <v>9</v>
      </c>
      <c r="D8348" t="str">
        <f t="shared" si="130"/>
        <v>US-2015-138093_OFF-AR-10000817</v>
      </c>
      <c r="E8348" t="str">
        <f>IF(COUNTIF(data1!$D:$D,D8348)=0,"Missing in Data1","Present")</f>
        <v>Present</v>
      </c>
    </row>
    <row r="8349" spans="1:5" x14ac:dyDescent="0.25">
      <c r="A8349" s="2" t="s">
        <v>6151</v>
      </c>
      <c r="B8349" s="2" t="s">
        <v>1833</v>
      </c>
      <c r="C8349" s="2">
        <v>5</v>
      </c>
      <c r="D8349" t="str">
        <f t="shared" si="130"/>
        <v>US-2015-138093_OFF-PA-10000143</v>
      </c>
      <c r="E8349" t="str">
        <f>IF(COUNTIF(data1!$D:$D,D8349)=0,"Missing in Data1","Present")</f>
        <v>Present</v>
      </c>
    </row>
    <row r="8350" spans="1:5" x14ac:dyDescent="0.25">
      <c r="A8350" s="2" t="s">
        <v>6151</v>
      </c>
      <c r="B8350" s="2" t="s">
        <v>1307</v>
      </c>
      <c r="C8350" s="2">
        <v>5</v>
      </c>
      <c r="D8350" t="str">
        <f t="shared" si="130"/>
        <v>US-2015-138093_OFF-PA-10001509</v>
      </c>
      <c r="E8350" t="str">
        <f>IF(COUNTIF(data1!$D:$D,D8350)=0,"Missing in Data1","Present")</f>
        <v>Present</v>
      </c>
    </row>
    <row r="8351" spans="1:5" x14ac:dyDescent="0.25">
      <c r="A8351" s="2" t="s">
        <v>6151</v>
      </c>
      <c r="B8351" s="2" t="s">
        <v>142</v>
      </c>
      <c r="C8351" s="2">
        <v>1</v>
      </c>
      <c r="D8351" t="str">
        <f t="shared" si="130"/>
        <v>US-2015-138093_TEC-PH-10004667</v>
      </c>
      <c r="E8351" t="str">
        <f>IF(COUNTIF(data1!$D:$D,D8351)=0,"Missing in Data1","Present")</f>
        <v>Present</v>
      </c>
    </row>
    <row r="8352" spans="1:5" x14ac:dyDescent="0.25">
      <c r="A8352" s="2" t="s">
        <v>6152</v>
      </c>
      <c r="B8352" s="2" t="s">
        <v>621</v>
      </c>
      <c r="C8352" s="2">
        <v>9</v>
      </c>
      <c r="D8352" t="str">
        <f t="shared" si="130"/>
        <v>US-2015-138121_FUR-CH-10003817</v>
      </c>
      <c r="E8352" t="str">
        <f>IF(COUNTIF(data1!$D:$D,D8352)=0,"Missing in Data1","Present")</f>
        <v>Present</v>
      </c>
    </row>
    <row r="8353" spans="1:5" x14ac:dyDescent="0.25">
      <c r="A8353" s="2" t="s">
        <v>6152</v>
      </c>
      <c r="B8353" s="2" t="s">
        <v>3939</v>
      </c>
      <c r="C8353" s="2">
        <v>3</v>
      </c>
      <c r="D8353" t="str">
        <f t="shared" si="130"/>
        <v>US-2015-138121_FUR-CH-10003846</v>
      </c>
      <c r="E8353" t="str">
        <f>IF(COUNTIF(data1!$D:$D,D8353)=0,"Missing in Data1","Present")</f>
        <v>Present</v>
      </c>
    </row>
    <row r="8354" spans="1:5" x14ac:dyDescent="0.25">
      <c r="A8354" s="2" t="s">
        <v>6152</v>
      </c>
      <c r="B8354" s="2" t="s">
        <v>1674</v>
      </c>
      <c r="C8354" s="2">
        <v>2</v>
      </c>
      <c r="D8354" t="str">
        <f t="shared" si="130"/>
        <v>US-2015-138121_FUR-CH-10004875</v>
      </c>
      <c r="E8354" t="str">
        <f>IF(COUNTIF(data1!$D:$D,D8354)=0,"Missing in Data1","Present")</f>
        <v>Present</v>
      </c>
    </row>
    <row r="8355" spans="1:5" x14ac:dyDescent="0.25">
      <c r="A8355" s="2" t="s">
        <v>6152</v>
      </c>
      <c r="B8355" s="2" t="s">
        <v>152</v>
      </c>
      <c r="C8355" s="2">
        <v>4</v>
      </c>
      <c r="D8355" t="str">
        <f t="shared" si="130"/>
        <v>US-2015-138121_OFF-BI-10000320</v>
      </c>
      <c r="E8355" t="str">
        <f>IF(COUNTIF(data1!$D:$D,D8355)=0,"Missing in Data1","Present")</f>
        <v>Present</v>
      </c>
    </row>
    <row r="8356" spans="1:5" x14ac:dyDescent="0.25">
      <c r="A8356" s="2" t="s">
        <v>6153</v>
      </c>
      <c r="B8356" s="2" t="s">
        <v>1155</v>
      </c>
      <c r="C8356" s="2">
        <v>6</v>
      </c>
      <c r="D8356" t="str">
        <f t="shared" si="130"/>
        <v>US-2015-138303_OFF-EN-10001335</v>
      </c>
      <c r="E8356" t="str">
        <f>IF(COUNTIF(data1!$D:$D,D8356)=0,"Missing in Data1","Present")</f>
        <v>Present</v>
      </c>
    </row>
    <row r="8357" spans="1:5" x14ac:dyDescent="0.25">
      <c r="A8357" s="2" t="s">
        <v>6153</v>
      </c>
      <c r="B8357" s="2" t="s">
        <v>167</v>
      </c>
      <c r="C8357" s="2">
        <v>3</v>
      </c>
      <c r="D8357" t="str">
        <f t="shared" si="130"/>
        <v>US-2015-138303_OFF-ST-10004963</v>
      </c>
      <c r="E8357" t="str">
        <f>IF(COUNTIF(data1!$D:$D,D8357)=0,"Missing in Data1","Present")</f>
        <v>Present</v>
      </c>
    </row>
    <row r="8358" spans="1:5" x14ac:dyDescent="0.25">
      <c r="A8358" s="2" t="s">
        <v>6153</v>
      </c>
      <c r="B8358" s="2" t="s">
        <v>106</v>
      </c>
      <c r="C8358" s="2">
        <v>1</v>
      </c>
      <c r="D8358" t="str">
        <f t="shared" si="130"/>
        <v>US-2015-138303_OFF-SU-10002881</v>
      </c>
      <c r="E8358" t="str">
        <f>IF(COUNTIF(data1!$D:$D,D8358)=0,"Missing in Data1","Present")</f>
        <v>Present</v>
      </c>
    </row>
    <row r="8359" spans="1:5" x14ac:dyDescent="0.25">
      <c r="A8359" s="2" t="s">
        <v>6155</v>
      </c>
      <c r="B8359" s="2" t="s">
        <v>1879</v>
      </c>
      <c r="C8359" s="2">
        <v>2</v>
      </c>
      <c r="D8359" t="str">
        <f t="shared" si="130"/>
        <v>US-2015-138919_FUR-TA-10004154</v>
      </c>
      <c r="E8359" t="str">
        <f>IF(COUNTIF(data1!$D:$D,D8359)=0,"Missing in Data1","Present")</f>
        <v>Present</v>
      </c>
    </row>
    <row r="8360" spans="1:5" x14ac:dyDescent="0.25">
      <c r="A8360" s="2" t="s">
        <v>6156</v>
      </c>
      <c r="B8360" s="2" t="s">
        <v>181</v>
      </c>
      <c r="C8360" s="2">
        <v>4</v>
      </c>
      <c r="D8360" t="str">
        <f t="shared" si="130"/>
        <v>US-2015-139675_FUR-CH-10004063</v>
      </c>
      <c r="E8360" t="str">
        <f>IF(COUNTIF(data1!$D:$D,D8360)=0,"Missing in Data1","Present")</f>
        <v>Present</v>
      </c>
    </row>
    <row r="8361" spans="1:5" x14ac:dyDescent="0.25">
      <c r="A8361" s="2" t="s">
        <v>6156</v>
      </c>
      <c r="B8361" s="2" t="s">
        <v>1845</v>
      </c>
      <c r="C8361" s="2">
        <v>8</v>
      </c>
      <c r="D8361" t="str">
        <f t="shared" si="130"/>
        <v>US-2015-139675_FUR-FU-10001979</v>
      </c>
      <c r="E8361" t="str">
        <f>IF(COUNTIF(data1!$D:$D,D8361)=0,"Missing in Data1","Present")</f>
        <v>Present</v>
      </c>
    </row>
    <row r="8362" spans="1:5" x14ac:dyDescent="0.25">
      <c r="A8362" s="2" t="s">
        <v>6157</v>
      </c>
      <c r="B8362" s="2" t="s">
        <v>1207</v>
      </c>
      <c r="C8362" s="2">
        <v>1</v>
      </c>
      <c r="D8362" t="str">
        <f t="shared" si="130"/>
        <v>US-2015-139759_FUR-CH-10002774</v>
      </c>
      <c r="E8362" t="str">
        <f>IF(COUNTIF(data1!$D:$D,D8362)=0,"Missing in Data1","Present")</f>
        <v>Missing in Data1</v>
      </c>
    </row>
    <row r="8363" spans="1:5" x14ac:dyDescent="0.25">
      <c r="A8363" s="2" t="s">
        <v>6157</v>
      </c>
      <c r="B8363" s="2" t="s">
        <v>894</v>
      </c>
      <c r="C8363" s="2">
        <v>4</v>
      </c>
      <c r="D8363" t="str">
        <f t="shared" si="130"/>
        <v>US-2015-139759_OFF-AP-10002765</v>
      </c>
      <c r="E8363" t="str">
        <f>IF(COUNTIF(data1!$D:$D,D8363)=0,"Missing in Data1","Present")</f>
        <v>Present</v>
      </c>
    </row>
    <row r="8364" spans="1:5" x14ac:dyDescent="0.25">
      <c r="A8364" s="2" t="s">
        <v>6158</v>
      </c>
      <c r="B8364" s="2" t="s">
        <v>1439</v>
      </c>
      <c r="C8364" s="2">
        <v>3</v>
      </c>
      <c r="D8364" t="str">
        <f t="shared" si="130"/>
        <v>US-2015-140200_FUR-TA-10002356</v>
      </c>
      <c r="E8364" t="str">
        <f>IF(COUNTIF(data1!$D:$D,D8364)=0,"Missing in Data1","Present")</f>
        <v>Present</v>
      </c>
    </row>
    <row r="8365" spans="1:5" x14ac:dyDescent="0.25">
      <c r="A8365" s="2" t="s">
        <v>6159</v>
      </c>
      <c r="B8365" s="2" t="s">
        <v>780</v>
      </c>
      <c r="C8365" s="2">
        <v>6</v>
      </c>
      <c r="D8365" t="str">
        <f t="shared" si="130"/>
        <v>US-2015-140851_OFF-PA-10000019</v>
      </c>
      <c r="E8365" t="str">
        <f>IF(COUNTIF(data1!$D:$D,D8365)=0,"Missing in Data1","Present")</f>
        <v>Present</v>
      </c>
    </row>
    <row r="8366" spans="1:5" x14ac:dyDescent="0.25">
      <c r="A8366" s="2" t="s">
        <v>6160</v>
      </c>
      <c r="B8366" s="2" t="s">
        <v>3260</v>
      </c>
      <c r="C8366" s="2">
        <v>3</v>
      </c>
      <c r="D8366" t="str">
        <f t="shared" si="130"/>
        <v>US-2015-141453_OFF-BI-10000301</v>
      </c>
      <c r="E8366" t="str">
        <f>IF(COUNTIF(data1!$D:$D,D8366)=0,"Missing in Data1","Present")</f>
        <v>Present</v>
      </c>
    </row>
    <row r="8367" spans="1:5" x14ac:dyDescent="0.25">
      <c r="A8367" s="2" t="s">
        <v>6161</v>
      </c>
      <c r="B8367" s="2" t="s">
        <v>3976</v>
      </c>
      <c r="C8367" s="2">
        <v>4</v>
      </c>
      <c r="D8367" t="str">
        <f t="shared" si="130"/>
        <v>US-2015-141684_OFF-PA-10002870</v>
      </c>
      <c r="E8367" t="str">
        <f>IF(COUNTIF(data1!$D:$D,D8367)=0,"Missing in Data1","Present")</f>
        <v>Present</v>
      </c>
    </row>
    <row r="8368" spans="1:5" x14ac:dyDescent="0.25">
      <c r="A8368" s="2" t="s">
        <v>6162</v>
      </c>
      <c r="B8368" s="2" t="s">
        <v>389</v>
      </c>
      <c r="C8368" s="2">
        <v>3</v>
      </c>
      <c r="D8368" t="str">
        <f t="shared" si="130"/>
        <v>US-2015-142020_FUR-FU-10000672</v>
      </c>
      <c r="E8368" t="str">
        <f>IF(COUNTIF(data1!$D:$D,D8368)=0,"Missing in Data1","Present")</f>
        <v>Present</v>
      </c>
    </row>
    <row r="8369" spans="1:5" x14ac:dyDescent="0.25">
      <c r="A8369" s="2" t="s">
        <v>6162</v>
      </c>
      <c r="B8369" s="2" t="s">
        <v>1184</v>
      </c>
      <c r="C8369" s="2">
        <v>4</v>
      </c>
      <c r="D8369" t="str">
        <f t="shared" si="130"/>
        <v>US-2015-142020_OFF-PA-10004569</v>
      </c>
      <c r="E8369" t="str">
        <f>IF(COUNTIF(data1!$D:$D,D8369)=0,"Missing in Data1","Present")</f>
        <v>Present</v>
      </c>
    </row>
    <row r="8370" spans="1:5" x14ac:dyDescent="0.25">
      <c r="A8370" s="2" t="s">
        <v>6163</v>
      </c>
      <c r="B8370" s="2" t="s">
        <v>934</v>
      </c>
      <c r="C8370" s="2">
        <v>5</v>
      </c>
      <c r="D8370" t="str">
        <f t="shared" si="130"/>
        <v>US-2015-142811_TEC-PH-10003095</v>
      </c>
      <c r="E8370" t="str">
        <f>IF(COUNTIF(data1!$D:$D,D8370)=0,"Missing in Data1","Present")</f>
        <v>Present</v>
      </c>
    </row>
    <row r="8371" spans="1:5" x14ac:dyDescent="0.25">
      <c r="A8371" s="2" t="s">
        <v>6164</v>
      </c>
      <c r="B8371" s="2" t="s">
        <v>590</v>
      </c>
      <c r="C8371" s="2">
        <v>1</v>
      </c>
      <c r="D8371" t="str">
        <f t="shared" si="130"/>
        <v>US-2015-144771_FUR-FU-10000629</v>
      </c>
      <c r="E8371" t="str">
        <f>IF(COUNTIF(data1!$D:$D,D8371)=0,"Missing in Data1","Present")</f>
        <v>Present</v>
      </c>
    </row>
    <row r="8372" spans="1:5" x14ac:dyDescent="0.25">
      <c r="A8372" s="2" t="s">
        <v>6164</v>
      </c>
      <c r="B8372" s="2" t="s">
        <v>731</v>
      </c>
      <c r="C8372" s="2">
        <v>3</v>
      </c>
      <c r="D8372" t="str">
        <f t="shared" si="130"/>
        <v>US-2015-144771_TEC-AC-10002323</v>
      </c>
      <c r="E8372" t="str">
        <f>IF(COUNTIF(data1!$D:$D,D8372)=0,"Missing in Data1","Present")</f>
        <v>Present</v>
      </c>
    </row>
    <row r="8373" spans="1:5" x14ac:dyDescent="0.25">
      <c r="A8373" s="2" t="s">
        <v>6165</v>
      </c>
      <c r="B8373" s="2" t="s">
        <v>774</v>
      </c>
      <c r="C8373" s="2">
        <v>5</v>
      </c>
      <c r="D8373" t="str">
        <f t="shared" si="130"/>
        <v>US-2015-145121_OFF-BI-10001078</v>
      </c>
      <c r="E8373" t="str">
        <f>IF(COUNTIF(data1!$D:$D,D8373)=0,"Missing in Data1","Present")</f>
        <v>Present</v>
      </c>
    </row>
    <row r="8374" spans="1:5" x14ac:dyDescent="0.25">
      <c r="A8374" s="2" t="s">
        <v>6857</v>
      </c>
      <c r="B8374" s="2" t="s">
        <v>815</v>
      </c>
      <c r="C8374" s="2">
        <v>3</v>
      </c>
      <c r="D8374" t="str">
        <f t="shared" si="130"/>
        <v>US-2015-145422_FUR-BO-10002213</v>
      </c>
      <c r="E8374" t="str">
        <f>IF(COUNTIF(data1!$D:$D,D8374)=0,"Missing in Data1","Present")</f>
        <v>Missing in Data1</v>
      </c>
    </row>
    <row r="8375" spans="1:5" x14ac:dyDescent="0.25">
      <c r="A8375" s="2" t="s">
        <v>6166</v>
      </c>
      <c r="B8375" s="2" t="s">
        <v>1554</v>
      </c>
      <c r="C8375" s="2">
        <v>8</v>
      </c>
      <c r="D8375" t="str">
        <f t="shared" si="130"/>
        <v>US-2015-145436_FUR-CH-10004477</v>
      </c>
      <c r="E8375" t="str">
        <f>IF(COUNTIF(data1!$D:$D,D8375)=0,"Missing in Data1","Present")</f>
        <v>Present</v>
      </c>
    </row>
    <row r="8376" spans="1:5" x14ac:dyDescent="0.25">
      <c r="A8376" s="2" t="s">
        <v>6166</v>
      </c>
      <c r="B8376" s="2" t="s">
        <v>1162</v>
      </c>
      <c r="C8376" s="2">
        <v>2</v>
      </c>
      <c r="D8376" t="str">
        <f t="shared" si="130"/>
        <v>US-2015-145436_FUR-CH-10004860</v>
      </c>
      <c r="E8376" t="str">
        <f>IF(COUNTIF(data1!$D:$D,D8376)=0,"Missing in Data1","Present")</f>
        <v>Present</v>
      </c>
    </row>
    <row r="8377" spans="1:5" x14ac:dyDescent="0.25">
      <c r="A8377" s="2" t="s">
        <v>6167</v>
      </c>
      <c r="B8377" s="2" t="s">
        <v>733</v>
      </c>
      <c r="C8377" s="2">
        <v>2</v>
      </c>
      <c r="D8377" t="str">
        <f t="shared" si="130"/>
        <v>US-2015-146745_FUR-CH-10002372</v>
      </c>
      <c r="E8377" t="str">
        <f>IF(COUNTIF(data1!$D:$D,D8377)=0,"Missing in Data1","Present")</f>
        <v>Present</v>
      </c>
    </row>
    <row r="8378" spans="1:5" x14ac:dyDescent="0.25">
      <c r="A8378" s="2" t="s">
        <v>6167</v>
      </c>
      <c r="B8378" s="2" t="s">
        <v>1311</v>
      </c>
      <c r="C8378" s="2">
        <v>2</v>
      </c>
      <c r="D8378" t="str">
        <f t="shared" si="130"/>
        <v>US-2015-146745_OFF-BI-10003274</v>
      </c>
      <c r="E8378" t="str">
        <f>IF(COUNTIF(data1!$D:$D,D8378)=0,"Missing in Data1","Present")</f>
        <v>Present</v>
      </c>
    </row>
    <row r="8379" spans="1:5" x14ac:dyDescent="0.25">
      <c r="A8379" s="2" t="s">
        <v>6168</v>
      </c>
      <c r="B8379" s="2" t="s">
        <v>2278</v>
      </c>
      <c r="C8379" s="2">
        <v>2</v>
      </c>
      <c r="D8379" t="str">
        <f t="shared" si="130"/>
        <v>US-2015-147242_FUR-BO-10004695</v>
      </c>
      <c r="E8379" t="str">
        <f>IF(COUNTIF(data1!$D:$D,D8379)=0,"Missing in Data1","Present")</f>
        <v>Present</v>
      </c>
    </row>
    <row r="8380" spans="1:5" x14ac:dyDescent="0.25">
      <c r="A8380" s="2" t="s">
        <v>6168</v>
      </c>
      <c r="B8380" s="2" t="s">
        <v>816</v>
      </c>
      <c r="C8380" s="2">
        <v>2</v>
      </c>
      <c r="D8380" t="str">
        <f t="shared" si="130"/>
        <v>US-2015-147242_OFF-AP-10003842</v>
      </c>
      <c r="E8380" t="str">
        <f>IF(COUNTIF(data1!$D:$D,D8380)=0,"Missing in Data1","Present")</f>
        <v>Present</v>
      </c>
    </row>
    <row r="8381" spans="1:5" x14ac:dyDescent="0.25">
      <c r="A8381" s="2" t="s">
        <v>6169</v>
      </c>
      <c r="B8381" s="2" t="s">
        <v>352</v>
      </c>
      <c r="C8381" s="2">
        <v>3</v>
      </c>
      <c r="D8381" t="str">
        <f t="shared" si="130"/>
        <v>US-2015-147662_OFF-AR-10004999</v>
      </c>
      <c r="E8381" t="str">
        <f>IF(COUNTIF(data1!$D:$D,D8381)=0,"Missing in Data1","Present")</f>
        <v>Present</v>
      </c>
    </row>
    <row r="8382" spans="1:5" x14ac:dyDescent="0.25">
      <c r="A8382" s="2" t="s">
        <v>6169</v>
      </c>
      <c r="B8382" s="2" t="s">
        <v>190</v>
      </c>
      <c r="C8382" s="2">
        <v>2</v>
      </c>
      <c r="D8382" t="str">
        <f t="shared" si="130"/>
        <v>US-2015-147662_OFF-BI-10001658</v>
      </c>
      <c r="E8382" t="str">
        <f>IF(COUNTIF(data1!$D:$D,D8382)=0,"Missing in Data1","Present")</f>
        <v>Present</v>
      </c>
    </row>
    <row r="8383" spans="1:5" x14ac:dyDescent="0.25">
      <c r="A8383" s="2" t="s">
        <v>6169</v>
      </c>
      <c r="B8383" s="2" t="s">
        <v>197</v>
      </c>
      <c r="C8383" s="2">
        <v>2</v>
      </c>
      <c r="D8383" t="str">
        <f t="shared" si="130"/>
        <v>US-2015-147662_OFF-BI-10002160</v>
      </c>
      <c r="E8383" t="str">
        <f>IF(COUNTIF(data1!$D:$D,D8383)=0,"Missing in Data1","Present")</f>
        <v>Present</v>
      </c>
    </row>
    <row r="8384" spans="1:5" x14ac:dyDescent="0.25">
      <c r="A8384" s="2" t="s">
        <v>6169</v>
      </c>
      <c r="B8384" s="2" t="s">
        <v>1870</v>
      </c>
      <c r="C8384" s="2">
        <v>3</v>
      </c>
      <c r="D8384" t="str">
        <f t="shared" si="130"/>
        <v>US-2015-147662_TEC-AC-10003280</v>
      </c>
      <c r="E8384" t="str">
        <f>IF(COUNTIF(data1!$D:$D,D8384)=0,"Missing in Data1","Present")</f>
        <v>Present</v>
      </c>
    </row>
    <row r="8385" spans="1:5" x14ac:dyDescent="0.25">
      <c r="A8385" s="2" t="s">
        <v>6169</v>
      </c>
      <c r="B8385" s="2" t="s">
        <v>4776</v>
      </c>
      <c r="C8385" s="2">
        <v>3</v>
      </c>
      <c r="D8385" t="str">
        <f t="shared" si="130"/>
        <v>US-2015-147662_TEC-PH-10002834</v>
      </c>
      <c r="E8385" t="str">
        <f>IF(COUNTIF(data1!$D:$D,D8385)=0,"Missing in Data1","Present")</f>
        <v>Present</v>
      </c>
    </row>
    <row r="8386" spans="1:5" x14ac:dyDescent="0.25">
      <c r="A8386" s="2" t="s">
        <v>6170</v>
      </c>
      <c r="B8386" s="2" t="s">
        <v>494</v>
      </c>
      <c r="C8386" s="2">
        <v>4</v>
      </c>
      <c r="D8386" t="str">
        <f t="shared" si="130"/>
        <v>US-2015-147739_FUR-FU-10001468</v>
      </c>
      <c r="E8386" t="str">
        <f>IF(COUNTIF(data1!$D:$D,D8386)=0,"Missing in Data1","Present")</f>
        <v>Present</v>
      </c>
    </row>
    <row r="8387" spans="1:5" x14ac:dyDescent="0.25">
      <c r="A8387" s="2" t="s">
        <v>6171</v>
      </c>
      <c r="B8387" s="2" t="s">
        <v>137</v>
      </c>
      <c r="C8387" s="2">
        <v>4</v>
      </c>
      <c r="D8387" t="str">
        <f t="shared" ref="D8387:D8450" si="131">A8387&amp;"_"&amp;B8387</f>
        <v>US-2015-148817_OFF-BI-10004233</v>
      </c>
      <c r="E8387" t="str">
        <f>IF(COUNTIF(data1!$D:$D,D8387)=0,"Missing in Data1","Present")</f>
        <v>Present</v>
      </c>
    </row>
    <row r="8388" spans="1:5" x14ac:dyDescent="0.25">
      <c r="A8388" s="2" t="s">
        <v>6171</v>
      </c>
      <c r="B8388" s="2" t="s">
        <v>269</v>
      </c>
      <c r="C8388" s="2">
        <v>4</v>
      </c>
      <c r="D8388" t="str">
        <f t="shared" si="131"/>
        <v>US-2015-148817_OFF-ST-10001321</v>
      </c>
      <c r="E8388" t="str">
        <f>IF(COUNTIF(data1!$D:$D,D8388)=0,"Missing in Data1","Present")</f>
        <v>Present</v>
      </c>
    </row>
    <row r="8389" spans="1:5" x14ac:dyDescent="0.25">
      <c r="A8389" s="2" t="s">
        <v>6172</v>
      </c>
      <c r="B8389" s="2" t="s">
        <v>1960</v>
      </c>
      <c r="C8389" s="2">
        <v>5</v>
      </c>
      <c r="D8389" t="str">
        <f t="shared" si="131"/>
        <v>US-2015-149629_FUR-BO-10004709</v>
      </c>
      <c r="E8389" t="str">
        <f>IF(COUNTIF(data1!$D:$D,D8389)=0,"Missing in Data1","Present")</f>
        <v>Present</v>
      </c>
    </row>
    <row r="8390" spans="1:5" x14ac:dyDescent="0.25">
      <c r="A8390" s="2" t="s">
        <v>6173</v>
      </c>
      <c r="B8390" s="2" t="s">
        <v>2917</v>
      </c>
      <c r="C8390" s="2">
        <v>7</v>
      </c>
      <c r="D8390" t="str">
        <f t="shared" si="131"/>
        <v>US-2015-149692_OFF-BI-10002813</v>
      </c>
      <c r="E8390" t="str">
        <f>IF(COUNTIF(data1!$D:$D,D8390)=0,"Missing in Data1","Present")</f>
        <v>Present</v>
      </c>
    </row>
    <row r="8391" spans="1:5" x14ac:dyDescent="0.25">
      <c r="A8391" s="2" t="s">
        <v>6174</v>
      </c>
      <c r="B8391" s="2" t="s">
        <v>1815</v>
      </c>
      <c r="C8391" s="2">
        <v>4</v>
      </c>
      <c r="D8391" t="str">
        <f t="shared" si="131"/>
        <v>US-2015-150161_OFF-BI-10001524</v>
      </c>
      <c r="E8391" t="str">
        <f>IF(COUNTIF(data1!$D:$D,D8391)=0,"Missing in Data1","Present")</f>
        <v>Present</v>
      </c>
    </row>
    <row r="8392" spans="1:5" x14ac:dyDescent="0.25">
      <c r="A8392" s="2" t="s">
        <v>6175</v>
      </c>
      <c r="B8392" s="2" t="s">
        <v>3062</v>
      </c>
      <c r="C8392" s="2">
        <v>3</v>
      </c>
      <c r="D8392" t="str">
        <f t="shared" si="131"/>
        <v>US-2015-150231_OFF-AR-10001761</v>
      </c>
      <c r="E8392" t="str">
        <f>IF(COUNTIF(data1!$D:$D,D8392)=0,"Missing in Data1","Present")</f>
        <v>Present</v>
      </c>
    </row>
    <row r="8393" spans="1:5" x14ac:dyDescent="0.25">
      <c r="A8393" s="2" t="s">
        <v>6176</v>
      </c>
      <c r="B8393" s="2" t="s">
        <v>2206</v>
      </c>
      <c r="C8393" s="2">
        <v>7</v>
      </c>
      <c r="D8393" t="str">
        <f t="shared" si="131"/>
        <v>US-2015-150630_FUR-BO-10004834</v>
      </c>
      <c r="E8393" t="str">
        <f>IF(COUNTIF(data1!$D:$D,D8393)=0,"Missing in Data1","Present")</f>
        <v>Present</v>
      </c>
    </row>
    <row r="8394" spans="1:5" x14ac:dyDescent="0.25">
      <c r="A8394" s="2" t="s">
        <v>6176</v>
      </c>
      <c r="B8394" s="2" t="s">
        <v>2725</v>
      </c>
      <c r="C8394" s="2">
        <v>3</v>
      </c>
      <c r="D8394" t="str">
        <f t="shared" si="131"/>
        <v>US-2015-150630_FUR-FU-10004848</v>
      </c>
      <c r="E8394" t="str">
        <f>IF(COUNTIF(data1!$D:$D,D8394)=0,"Missing in Data1","Present")</f>
        <v>Present</v>
      </c>
    </row>
    <row r="8395" spans="1:5" x14ac:dyDescent="0.25">
      <c r="A8395" s="2" t="s">
        <v>6176</v>
      </c>
      <c r="B8395" s="2" t="s">
        <v>1327</v>
      </c>
      <c r="C8395" s="2">
        <v>2</v>
      </c>
      <c r="D8395" t="str">
        <f t="shared" si="131"/>
        <v>US-2015-150630_OFF-AR-10001683</v>
      </c>
      <c r="E8395" t="str">
        <f>IF(COUNTIF(data1!$D:$D,D8395)=0,"Missing in Data1","Present")</f>
        <v>Missing in Data1</v>
      </c>
    </row>
    <row r="8396" spans="1:5" x14ac:dyDescent="0.25">
      <c r="A8396" s="2" t="s">
        <v>6176</v>
      </c>
      <c r="B8396" s="2" t="s">
        <v>839</v>
      </c>
      <c r="C8396" s="2">
        <v>6</v>
      </c>
      <c r="D8396" t="str">
        <f t="shared" si="131"/>
        <v>US-2015-150630_OFF-AR-10004042</v>
      </c>
      <c r="E8396" t="str">
        <f>IF(COUNTIF(data1!$D:$D,D8396)=0,"Missing in Data1","Present")</f>
        <v>Present</v>
      </c>
    </row>
    <row r="8397" spans="1:5" x14ac:dyDescent="0.25">
      <c r="A8397" s="2" t="s">
        <v>6176</v>
      </c>
      <c r="B8397" s="2" t="s">
        <v>606</v>
      </c>
      <c r="C8397" s="2">
        <v>2</v>
      </c>
      <c r="D8397" t="str">
        <f t="shared" si="131"/>
        <v>US-2015-150630_OFF-BI-10000474</v>
      </c>
      <c r="E8397" t="str">
        <f>IF(COUNTIF(data1!$D:$D,D8397)=0,"Missing in Data1","Present")</f>
        <v>Present</v>
      </c>
    </row>
    <row r="8398" spans="1:5" x14ac:dyDescent="0.25">
      <c r="A8398" s="2" t="s">
        <v>6176</v>
      </c>
      <c r="B8398" s="2" t="s">
        <v>1369</v>
      </c>
      <c r="C8398" s="2">
        <v>6</v>
      </c>
      <c r="D8398" t="str">
        <f t="shared" si="131"/>
        <v>US-2015-150630_OFF-BI-10001525</v>
      </c>
      <c r="E8398" t="str">
        <f>IF(COUNTIF(data1!$D:$D,D8398)=0,"Missing in Data1","Present")</f>
        <v>Present</v>
      </c>
    </row>
    <row r="8399" spans="1:5" x14ac:dyDescent="0.25">
      <c r="A8399" s="2" t="s">
        <v>6176</v>
      </c>
      <c r="B8399" s="2" t="s">
        <v>2505</v>
      </c>
      <c r="C8399" s="2">
        <v>2</v>
      </c>
      <c r="D8399" t="str">
        <f t="shared" si="131"/>
        <v>US-2015-150630_OFF-EN-10001509</v>
      </c>
      <c r="E8399" t="str">
        <f>IF(COUNTIF(data1!$D:$D,D8399)=0,"Missing in Data1","Present")</f>
        <v>Present</v>
      </c>
    </row>
    <row r="8400" spans="1:5" x14ac:dyDescent="0.25">
      <c r="A8400" s="2" t="s">
        <v>6177</v>
      </c>
      <c r="B8400" s="2" t="s">
        <v>1683</v>
      </c>
      <c r="C8400" s="2">
        <v>4</v>
      </c>
      <c r="D8400" t="str">
        <f t="shared" si="131"/>
        <v>US-2015-151407_TEC-PH-10003885</v>
      </c>
      <c r="E8400" t="str">
        <f>IF(COUNTIF(data1!$D:$D,D8400)=0,"Missing in Data1","Present")</f>
        <v>Present</v>
      </c>
    </row>
    <row r="8401" spans="1:5" x14ac:dyDescent="0.25">
      <c r="A8401" s="2" t="s">
        <v>6178</v>
      </c>
      <c r="B8401" s="2" t="s">
        <v>183</v>
      </c>
      <c r="C8401" s="2">
        <v>1</v>
      </c>
      <c r="D8401" t="str">
        <f t="shared" si="131"/>
        <v>US-2015-151435_FUR-TA-10001039</v>
      </c>
      <c r="E8401" t="str">
        <f>IF(COUNTIF(data1!$D:$D,D8401)=0,"Missing in Data1","Present")</f>
        <v>Present</v>
      </c>
    </row>
    <row r="8402" spans="1:5" x14ac:dyDescent="0.25">
      <c r="A8402" s="2" t="s">
        <v>6179</v>
      </c>
      <c r="B8402" s="2" t="s">
        <v>889</v>
      </c>
      <c r="C8402" s="2">
        <v>3</v>
      </c>
      <c r="D8402" t="str">
        <f t="shared" si="131"/>
        <v>US-2015-152128_OFF-AR-10002445</v>
      </c>
      <c r="E8402" t="str">
        <f>IF(COUNTIF(data1!$D:$D,D8402)=0,"Missing in Data1","Present")</f>
        <v>Present</v>
      </c>
    </row>
    <row r="8403" spans="1:5" x14ac:dyDescent="0.25">
      <c r="A8403" s="2" t="s">
        <v>6179</v>
      </c>
      <c r="B8403" s="2" t="s">
        <v>2324</v>
      </c>
      <c r="C8403" s="2">
        <v>2</v>
      </c>
      <c r="D8403" t="str">
        <f t="shared" si="131"/>
        <v>US-2015-152128_OFF-BI-10001718</v>
      </c>
      <c r="E8403" t="str">
        <f>IF(COUNTIF(data1!$D:$D,D8403)=0,"Missing in Data1","Present")</f>
        <v>Present</v>
      </c>
    </row>
    <row r="8404" spans="1:5" x14ac:dyDescent="0.25">
      <c r="A8404" s="2" t="s">
        <v>6180</v>
      </c>
      <c r="B8404" s="2" t="s">
        <v>1493</v>
      </c>
      <c r="C8404" s="2">
        <v>2</v>
      </c>
      <c r="D8404" t="str">
        <f t="shared" si="131"/>
        <v>US-2015-153283_OFF-EN-10001539</v>
      </c>
      <c r="E8404" t="str">
        <f>IF(COUNTIF(data1!$D:$D,D8404)=0,"Missing in Data1","Present")</f>
        <v>Present</v>
      </c>
    </row>
    <row r="8405" spans="1:5" x14ac:dyDescent="0.25">
      <c r="A8405" s="2" t="s">
        <v>6181</v>
      </c>
      <c r="B8405" s="2" t="s">
        <v>1428</v>
      </c>
      <c r="C8405" s="2">
        <v>6</v>
      </c>
      <c r="D8405" t="str">
        <f t="shared" si="131"/>
        <v>US-2015-153374_TEC-AC-10001908</v>
      </c>
      <c r="E8405" t="str">
        <f>IF(COUNTIF(data1!$D:$D,D8405)=0,"Missing in Data1","Present")</f>
        <v>Present</v>
      </c>
    </row>
    <row r="8406" spans="1:5" x14ac:dyDescent="0.25">
      <c r="A8406" s="2" t="s">
        <v>6182</v>
      </c>
      <c r="B8406" s="2" t="s">
        <v>5063</v>
      </c>
      <c r="C8406" s="2">
        <v>2</v>
      </c>
      <c r="D8406" t="str">
        <f t="shared" si="131"/>
        <v>US-2015-153500_FUR-FU-10000293</v>
      </c>
      <c r="E8406" t="str">
        <f>IF(COUNTIF(data1!$D:$D,D8406)=0,"Missing in Data1","Present")</f>
        <v>Present</v>
      </c>
    </row>
    <row r="8407" spans="1:5" x14ac:dyDescent="0.25">
      <c r="A8407" s="2" t="s">
        <v>6182</v>
      </c>
      <c r="B8407" s="2" t="s">
        <v>2108</v>
      </c>
      <c r="C8407" s="2">
        <v>2</v>
      </c>
      <c r="D8407" t="str">
        <f t="shared" si="131"/>
        <v>US-2015-153500_OFF-PA-10001307</v>
      </c>
      <c r="E8407" t="str">
        <f>IF(COUNTIF(data1!$D:$D,D8407)=0,"Missing in Data1","Present")</f>
        <v>Present</v>
      </c>
    </row>
    <row r="8408" spans="1:5" x14ac:dyDescent="0.25">
      <c r="A8408" s="2" t="s">
        <v>6183</v>
      </c>
      <c r="B8408" s="2" t="s">
        <v>5588</v>
      </c>
      <c r="C8408" s="2">
        <v>8</v>
      </c>
      <c r="D8408" t="str">
        <f t="shared" si="131"/>
        <v>US-2015-154389_TEC-PH-10002789</v>
      </c>
      <c r="E8408" t="str">
        <f>IF(COUNTIF(data1!$D:$D,D8408)=0,"Missing in Data1","Present")</f>
        <v>Present</v>
      </c>
    </row>
    <row r="8409" spans="1:5" x14ac:dyDescent="0.25">
      <c r="A8409" s="2" t="s">
        <v>6184</v>
      </c>
      <c r="B8409" s="2" t="s">
        <v>518</v>
      </c>
      <c r="C8409" s="2">
        <v>2</v>
      </c>
      <c r="D8409" t="str">
        <f t="shared" si="131"/>
        <v>US-2015-155369_OFF-AP-10002578</v>
      </c>
      <c r="E8409" t="str">
        <f>IF(COUNTIF(data1!$D:$D,D8409)=0,"Missing in Data1","Present")</f>
        <v>Present</v>
      </c>
    </row>
    <row r="8410" spans="1:5" x14ac:dyDescent="0.25">
      <c r="A8410" s="2" t="s">
        <v>6184</v>
      </c>
      <c r="B8410" s="2" t="s">
        <v>601</v>
      </c>
      <c r="C8410" s="2">
        <v>4</v>
      </c>
      <c r="D8410" t="str">
        <f t="shared" si="131"/>
        <v>US-2015-155369_OFF-BI-10003925</v>
      </c>
      <c r="E8410" t="str">
        <f>IF(COUNTIF(data1!$D:$D,D8410)=0,"Missing in Data1","Present")</f>
        <v>Present</v>
      </c>
    </row>
    <row r="8411" spans="1:5" x14ac:dyDescent="0.25">
      <c r="A8411" s="2" t="s">
        <v>6185</v>
      </c>
      <c r="B8411" s="2" t="s">
        <v>199</v>
      </c>
      <c r="C8411" s="2">
        <v>4</v>
      </c>
      <c r="D8411" t="str">
        <f t="shared" si="131"/>
        <v>US-2015-156496_TEC-PH-10000576</v>
      </c>
      <c r="E8411" t="str">
        <f>IF(COUNTIF(data1!$D:$D,D8411)=0,"Missing in Data1","Present")</f>
        <v>Present</v>
      </c>
    </row>
    <row r="8412" spans="1:5" x14ac:dyDescent="0.25">
      <c r="A8412" s="2" t="s">
        <v>6185</v>
      </c>
      <c r="B8412" s="2" t="s">
        <v>633</v>
      </c>
      <c r="C8412" s="2">
        <v>7</v>
      </c>
      <c r="D8412" t="str">
        <f t="shared" si="131"/>
        <v>US-2015-156496_TEC-PH-10004188</v>
      </c>
      <c r="E8412" t="str">
        <f>IF(COUNTIF(data1!$D:$D,D8412)=0,"Missing in Data1","Present")</f>
        <v>Present</v>
      </c>
    </row>
    <row r="8413" spans="1:5" x14ac:dyDescent="0.25">
      <c r="A8413" s="2" t="s">
        <v>6186</v>
      </c>
      <c r="B8413" s="2" t="s">
        <v>1555</v>
      </c>
      <c r="C8413" s="2">
        <v>2</v>
      </c>
      <c r="D8413" t="str">
        <f t="shared" si="131"/>
        <v>US-2015-156797_OFF-AR-10001427</v>
      </c>
      <c r="E8413" t="str">
        <f>IF(COUNTIF(data1!$D:$D,D8413)=0,"Missing in Data1","Present")</f>
        <v>Present</v>
      </c>
    </row>
    <row r="8414" spans="1:5" x14ac:dyDescent="0.25">
      <c r="A8414" s="2" t="s">
        <v>6186</v>
      </c>
      <c r="B8414" s="2" t="s">
        <v>541</v>
      </c>
      <c r="C8414" s="2">
        <v>2</v>
      </c>
      <c r="D8414" t="str">
        <f t="shared" si="131"/>
        <v>US-2015-156797_TEC-PH-10004614</v>
      </c>
      <c r="E8414" t="str">
        <f>IF(COUNTIF(data1!$D:$D,D8414)=0,"Missing in Data1","Present")</f>
        <v>Present</v>
      </c>
    </row>
    <row r="8415" spans="1:5" x14ac:dyDescent="0.25">
      <c r="A8415" s="2" t="s">
        <v>6187</v>
      </c>
      <c r="B8415" s="2" t="s">
        <v>450</v>
      </c>
      <c r="C8415" s="2">
        <v>3</v>
      </c>
      <c r="D8415" t="str">
        <f t="shared" si="131"/>
        <v>US-2015-156867_FUR-FU-10004006</v>
      </c>
      <c r="E8415" t="str">
        <f>IF(COUNTIF(data1!$D:$D,D8415)=0,"Missing in Data1","Present")</f>
        <v>Present</v>
      </c>
    </row>
    <row r="8416" spans="1:5" x14ac:dyDescent="0.25">
      <c r="A8416" s="2" t="s">
        <v>6187</v>
      </c>
      <c r="B8416" s="2" t="s">
        <v>1483</v>
      </c>
      <c r="C8416" s="2">
        <v>3</v>
      </c>
      <c r="D8416" t="str">
        <f t="shared" si="131"/>
        <v>US-2015-156867_OFF-BI-10002794</v>
      </c>
      <c r="E8416" t="str">
        <f>IF(COUNTIF(data1!$D:$D,D8416)=0,"Missing in Data1","Present")</f>
        <v>Present</v>
      </c>
    </row>
    <row r="8417" spans="1:5" x14ac:dyDescent="0.25">
      <c r="A8417" s="2" t="s">
        <v>6187</v>
      </c>
      <c r="B8417" s="2" t="s">
        <v>2375</v>
      </c>
      <c r="C8417" s="2">
        <v>6</v>
      </c>
      <c r="D8417" t="str">
        <f t="shared" si="131"/>
        <v>US-2015-156867_TEC-AC-10001552</v>
      </c>
      <c r="E8417" t="str">
        <f>IF(COUNTIF(data1!$D:$D,D8417)=0,"Missing in Data1","Present")</f>
        <v>Present</v>
      </c>
    </row>
    <row r="8418" spans="1:5" x14ac:dyDescent="0.25">
      <c r="A8418" s="2" t="s">
        <v>6188</v>
      </c>
      <c r="B8418" s="2" t="s">
        <v>1792</v>
      </c>
      <c r="C8418" s="2">
        <v>1</v>
      </c>
      <c r="D8418" t="str">
        <f t="shared" si="131"/>
        <v>US-2015-157014_FUR-BO-10004409</v>
      </c>
      <c r="E8418" t="str">
        <f>IF(COUNTIF(data1!$D:$D,D8418)=0,"Missing in Data1","Present")</f>
        <v>Missing in Data1</v>
      </c>
    </row>
    <row r="8419" spans="1:5" x14ac:dyDescent="0.25">
      <c r="A8419" s="2" t="s">
        <v>6188</v>
      </c>
      <c r="B8419" s="2" t="s">
        <v>4216</v>
      </c>
      <c r="C8419" s="2">
        <v>2</v>
      </c>
      <c r="D8419" t="str">
        <f t="shared" si="131"/>
        <v>US-2015-157014_TEC-AC-10000057</v>
      </c>
      <c r="E8419" t="str">
        <f>IF(COUNTIF(data1!$D:$D,D8419)=0,"Missing in Data1","Present")</f>
        <v>Present</v>
      </c>
    </row>
    <row r="8420" spans="1:5" x14ac:dyDescent="0.25">
      <c r="A8420" s="2" t="s">
        <v>6188</v>
      </c>
      <c r="B8420" s="2" t="s">
        <v>1315</v>
      </c>
      <c r="C8420" s="2">
        <v>2</v>
      </c>
      <c r="D8420" t="str">
        <f t="shared" si="131"/>
        <v>US-2015-157014_TEC-AC-10002167</v>
      </c>
      <c r="E8420" t="str">
        <f>IF(COUNTIF(data1!$D:$D,D8420)=0,"Missing in Data1","Present")</f>
        <v>Present</v>
      </c>
    </row>
    <row r="8421" spans="1:5" x14ac:dyDescent="0.25">
      <c r="A8421" s="2" t="s">
        <v>6189</v>
      </c>
      <c r="B8421" s="2" t="s">
        <v>1130</v>
      </c>
      <c r="C8421" s="2">
        <v>4</v>
      </c>
      <c r="D8421" t="str">
        <f t="shared" si="131"/>
        <v>US-2015-157154_FUR-TA-10001889</v>
      </c>
      <c r="E8421" t="str">
        <f>IF(COUNTIF(data1!$D:$D,D8421)=0,"Missing in Data1","Present")</f>
        <v>Present</v>
      </c>
    </row>
    <row r="8422" spans="1:5" x14ac:dyDescent="0.25">
      <c r="A8422" s="2" t="s">
        <v>6190</v>
      </c>
      <c r="B8422" s="2" t="s">
        <v>643</v>
      </c>
      <c r="C8422" s="2">
        <v>3</v>
      </c>
      <c r="D8422" t="str">
        <f t="shared" si="131"/>
        <v>US-2015-158589_FUR-FU-10001546</v>
      </c>
      <c r="E8422" t="str">
        <f>IF(COUNTIF(data1!$D:$D,D8422)=0,"Missing in Data1","Present")</f>
        <v>Present</v>
      </c>
    </row>
    <row r="8423" spans="1:5" x14ac:dyDescent="0.25">
      <c r="A8423" s="2" t="s">
        <v>6191</v>
      </c>
      <c r="B8423" s="2" t="s">
        <v>569</v>
      </c>
      <c r="C8423" s="2">
        <v>2</v>
      </c>
      <c r="D8423" t="str">
        <f t="shared" si="131"/>
        <v>US-2015-158911_FUR-FU-10003829</v>
      </c>
      <c r="E8423" t="str">
        <f>IF(COUNTIF(data1!$D:$D,D8423)=0,"Missing in Data1","Present")</f>
        <v>Present</v>
      </c>
    </row>
    <row r="8424" spans="1:5" x14ac:dyDescent="0.25">
      <c r="A8424" s="2" t="s">
        <v>6191</v>
      </c>
      <c r="B8424" s="2" t="s">
        <v>443</v>
      </c>
      <c r="C8424" s="2">
        <v>3</v>
      </c>
      <c r="D8424" t="str">
        <f t="shared" si="131"/>
        <v>US-2015-158911_OFF-LA-10003223</v>
      </c>
      <c r="E8424" t="str">
        <f>IF(COUNTIF(data1!$D:$D,D8424)=0,"Missing in Data1","Present")</f>
        <v>Present</v>
      </c>
    </row>
    <row r="8425" spans="1:5" x14ac:dyDescent="0.25">
      <c r="A8425" s="2" t="s">
        <v>6192</v>
      </c>
      <c r="B8425" s="2" t="s">
        <v>4381</v>
      </c>
      <c r="C8425" s="2">
        <v>6</v>
      </c>
      <c r="D8425" t="str">
        <f t="shared" si="131"/>
        <v>US-2015-159499_OFF-AP-10002867</v>
      </c>
      <c r="E8425" t="str">
        <f>IF(COUNTIF(data1!$D:$D,D8425)=0,"Missing in Data1","Present")</f>
        <v>Present</v>
      </c>
    </row>
    <row r="8426" spans="1:5" x14ac:dyDescent="0.25">
      <c r="A8426" s="2" t="s">
        <v>6192</v>
      </c>
      <c r="B8426" s="2" t="s">
        <v>1601</v>
      </c>
      <c r="C8426" s="2">
        <v>5</v>
      </c>
      <c r="D8426" t="str">
        <f t="shared" si="131"/>
        <v>US-2015-159499_OFF-LA-10003121</v>
      </c>
      <c r="E8426" t="str">
        <f>IF(COUNTIF(data1!$D:$D,D8426)=0,"Missing in Data1","Present")</f>
        <v>Present</v>
      </c>
    </row>
    <row r="8427" spans="1:5" x14ac:dyDescent="0.25">
      <c r="A8427" s="2" t="s">
        <v>6192</v>
      </c>
      <c r="B8427" s="2" t="s">
        <v>212</v>
      </c>
      <c r="C8427" s="2">
        <v>2</v>
      </c>
      <c r="D8427" t="str">
        <f t="shared" si="131"/>
        <v>US-2015-159499_TEC-AC-10002718</v>
      </c>
      <c r="E8427" t="str">
        <f>IF(COUNTIF(data1!$D:$D,D8427)=0,"Missing in Data1","Present")</f>
        <v>Present</v>
      </c>
    </row>
    <row r="8428" spans="1:5" x14ac:dyDescent="0.25">
      <c r="A8428" s="2" t="s">
        <v>6193</v>
      </c>
      <c r="B8428" s="2" t="s">
        <v>6194</v>
      </c>
      <c r="C8428" s="2">
        <v>3</v>
      </c>
      <c r="D8428" t="str">
        <f t="shared" si="131"/>
        <v>US-2015-159513_TEC-MA-10003329</v>
      </c>
      <c r="E8428" t="str">
        <f>IF(COUNTIF(data1!$D:$D,D8428)=0,"Missing in Data1","Present")</f>
        <v>Present</v>
      </c>
    </row>
    <row r="8429" spans="1:5" x14ac:dyDescent="0.25">
      <c r="A8429" s="2" t="s">
        <v>6195</v>
      </c>
      <c r="B8429" s="2" t="s">
        <v>876</v>
      </c>
      <c r="C8429" s="2">
        <v>9</v>
      </c>
      <c r="D8429" t="str">
        <f t="shared" si="131"/>
        <v>US-2015-159982_FUR-FU-10002505</v>
      </c>
      <c r="E8429" t="str">
        <f>IF(COUNTIF(data1!$D:$D,D8429)=0,"Missing in Data1","Present")</f>
        <v>Present</v>
      </c>
    </row>
    <row r="8430" spans="1:5" x14ac:dyDescent="0.25">
      <c r="A8430" s="2" t="s">
        <v>6195</v>
      </c>
      <c r="B8430" s="2" t="s">
        <v>2282</v>
      </c>
      <c r="C8430" s="2">
        <v>5</v>
      </c>
      <c r="D8430" t="str">
        <f t="shared" si="131"/>
        <v>US-2015-159982_OFF-ST-10001590</v>
      </c>
      <c r="E8430" t="str">
        <f>IF(COUNTIF(data1!$D:$D,D8430)=0,"Missing in Data1","Present")</f>
        <v>Present</v>
      </c>
    </row>
    <row r="8431" spans="1:5" x14ac:dyDescent="0.25">
      <c r="A8431" s="2" t="s">
        <v>6195</v>
      </c>
      <c r="B8431" s="2" t="s">
        <v>3446</v>
      </c>
      <c r="C8431" s="2">
        <v>6</v>
      </c>
      <c r="D8431" t="str">
        <f t="shared" si="131"/>
        <v>US-2015-159982_TEC-PH-10001580</v>
      </c>
      <c r="E8431" t="str">
        <f>IF(COUNTIF(data1!$D:$D,D8431)=0,"Missing in Data1","Present")</f>
        <v>Present</v>
      </c>
    </row>
    <row r="8432" spans="1:5" x14ac:dyDescent="0.25">
      <c r="A8432" s="2" t="s">
        <v>6196</v>
      </c>
      <c r="B8432" s="2" t="s">
        <v>3797</v>
      </c>
      <c r="C8432" s="2">
        <v>1</v>
      </c>
      <c r="D8432" t="str">
        <f t="shared" si="131"/>
        <v>US-2015-160150_OFF-BI-10004352</v>
      </c>
      <c r="E8432" t="str">
        <f>IF(COUNTIF(data1!$D:$D,D8432)=0,"Missing in Data1","Present")</f>
        <v>Present</v>
      </c>
    </row>
    <row r="8433" spans="1:5" x14ac:dyDescent="0.25">
      <c r="A8433" s="2" t="s">
        <v>6197</v>
      </c>
      <c r="B8433" s="2" t="s">
        <v>128</v>
      </c>
      <c r="C8433" s="2">
        <v>6</v>
      </c>
      <c r="D8433" t="str">
        <f t="shared" si="131"/>
        <v>US-2015-160563_FUR-FU-10001731</v>
      </c>
      <c r="E8433" t="str">
        <f>IF(COUNTIF(data1!$D:$D,D8433)=0,"Missing in Data1","Present")</f>
        <v>Present</v>
      </c>
    </row>
    <row r="8434" spans="1:5" x14ac:dyDescent="0.25">
      <c r="A8434" s="2" t="s">
        <v>6197</v>
      </c>
      <c r="B8434" s="2" t="s">
        <v>710</v>
      </c>
      <c r="C8434" s="2">
        <v>3</v>
      </c>
      <c r="D8434" t="str">
        <f t="shared" si="131"/>
        <v>US-2015-160563_TEC-AC-10002567</v>
      </c>
      <c r="E8434" t="str">
        <f>IF(COUNTIF(data1!$D:$D,D8434)=0,"Missing in Data1","Present")</f>
        <v>Present</v>
      </c>
    </row>
    <row r="8435" spans="1:5" x14ac:dyDescent="0.25">
      <c r="A8435" s="2" t="s">
        <v>6198</v>
      </c>
      <c r="B8435" s="2" t="s">
        <v>1419</v>
      </c>
      <c r="C8435" s="2">
        <v>2</v>
      </c>
      <c r="D8435" t="str">
        <f t="shared" si="131"/>
        <v>US-2015-160857_FUR-CH-10002647</v>
      </c>
      <c r="E8435" t="str">
        <f>IF(COUNTIF(data1!$D:$D,D8435)=0,"Missing in Data1","Present")</f>
        <v>Present</v>
      </c>
    </row>
    <row r="8436" spans="1:5" x14ac:dyDescent="0.25">
      <c r="A8436" s="2" t="s">
        <v>6198</v>
      </c>
      <c r="B8436" s="2" t="s">
        <v>538</v>
      </c>
      <c r="C8436" s="2">
        <v>3</v>
      </c>
      <c r="D8436" t="str">
        <f t="shared" si="131"/>
        <v>US-2015-160857_FUR-FU-10001095</v>
      </c>
      <c r="E8436" t="str">
        <f>IF(COUNTIF(data1!$D:$D,D8436)=0,"Missing in Data1","Present")</f>
        <v>Present</v>
      </c>
    </row>
    <row r="8437" spans="1:5" x14ac:dyDescent="0.25">
      <c r="A8437" s="2" t="s">
        <v>6198</v>
      </c>
      <c r="B8437" s="2" t="s">
        <v>1714</v>
      </c>
      <c r="C8437" s="2">
        <v>3</v>
      </c>
      <c r="D8437" t="str">
        <f t="shared" si="131"/>
        <v>US-2015-160857_OFF-PA-10003363</v>
      </c>
      <c r="E8437" t="str">
        <f>IF(COUNTIF(data1!$D:$D,D8437)=0,"Missing in Data1","Present")</f>
        <v>Present</v>
      </c>
    </row>
    <row r="8438" spans="1:5" x14ac:dyDescent="0.25">
      <c r="A8438" s="2" t="s">
        <v>6198</v>
      </c>
      <c r="B8438" s="2" t="s">
        <v>695</v>
      </c>
      <c r="C8438" s="2">
        <v>3</v>
      </c>
      <c r="D8438" t="str">
        <f t="shared" si="131"/>
        <v>US-2015-160857_OFF-SU-10000157</v>
      </c>
      <c r="E8438" t="str">
        <f>IF(COUNTIF(data1!$D:$D,D8438)=0,"Missing in Data1","Present")</f>
        <v>Present</v>
      </c>
    </row>
    <row r="8439" spans="1:5" x14ac:dyDescent="0.25">
      <c r="A8439" s="2" t="s">
        <v>6198</v>
      </c>
      <c r="B8439" s="2" t="s">
        <v>986</v>
      </c>
      <c r="C8439" s="2">
        <v>7</v>
      </c>
      <c r="D8439" t="str">
        <f t="shared" si="131"/>
        <v>US-2015-160857_TEC-CO-10004115</v>
      </c>
      <c r="E8439" t="str">
        <f>IF(COUNTIF(data1!$D:$D,D8439)=0,"Missing in Data1","Present")</f>
        <v>Present</v>
      </c>
    </row>
    <row r="8440" spans="1:5" x14ac:dyDescent="0.25">
      <c r="A8440" s="2" t="s">
        <v>6199</v>
      </c>
      <c r="B8440" s="2" t="s">
        <v>248</v>
      </c>
      <c r="C8440" s="2">
        <v>1</v>
      </c>
      <c r="D8440" t="str">
        <f t="shared" si="131"/>
        <v>US-2015-161347_OFF-BI-10004209</v>
      </c>
      <c r="E8440" t="str">
        <f>IF(COUNTIF(data1!$D:$D,D8440)=0,"Missing in Data1","Present")</f>
        <v>Present</v>
      </c>
    </row>
    <row r="8441" spans="1:5" x14ac:dyDescent="0.25">
      <c r="A8441" s="2" t="s">
        <v>6200</v>
      </c>
      <c r="B8441" s="2" t="s">
        <v>95</v>
      </c>
      <c r="C8441" s="2">
        <v>2</v>
      </c>
      <c r="D8441" t="str">
        <f t="shared" si="131"/>
        <v>US-2015-161466_OFF-AR-10000634</v>
      </c>
      <c r="E8441" t="str">
        <f>IF(COUNTIF(data1!$D:$D,D8441)=0,"Missing in Data1","Present")</f>
        <v>Present</v>
      </c>
    </row>
    <row r="8442" spans="1:5" x14ac:dyDescent="0.25">
      <c r="A8442" s="2" t="s">
        <v>6201</v>
      </c>
      <c r="B8442" s="2" t="s">
        <v>3452</v>
      </c>
      <c r="C8442" s="2">
        <v>5</v>
      </c>
      <c r="D8442" t="str">
        <f t="shared" si="131"/>
        <v>US-2015-161991_OFF-BI-10004967</v>
      </c>
      <c r="E8442" t="str">
        <f>IF(COUNTIF(data1!$D:$D,D8442)=0,"Missing in Data1","Present")</f>
        <v>Present</v>
      </c>
    </row>
    <row r="8443" spans="1:5" x14ac:dyDescent="0.25">
      <c r="A8443" s="2" t="s">
        <v>6201</v>
      </c>
      <c r="B8443" s="2" t="s">
        <v>313</v>
      </c>
      <c r="C8443" s="2">
        <v>7</v>
      </c>
      <c r="D8443" t="str">
        <f t="shared" si="131"/>
        <v>US-2015-161991_TEC-PH-10001760</v>
      </c>
      <c r="E8443" t="str">
        <f>IF(COUNTIF(data1!$D:$D,D8443)=0,"Missing in Data1","Present")</f>
        <v>Present</v>
      </c>
    </row>
    <row r="8444" spans="1:5" x14ac:dyDescent="0.25">
      <c r="A8444" s="2" t="s">
        <v>6202</v>
      </c>
      <c r="B8444" s="2" t="s">
        <v>91</v>
      </c>
      <c r="C8444" s="2">
        <v>2</v>
      </c>
      <c r="D8444" t="str">
        <f t="shared" si="131"/>
        <v>US-2015-163279_FUR-FU-10000747</v>
      </c>
      <c r="E8444" t="str">
        <f>IF(COUNTIF(data1!$D:$D,D8444)=0,"Missing in Data1","Present")</f>
        <v>Present</v>
      </c>
    </row>
    <row r="8445" spans="1:5" x14ac:dyDescent="0.25">
      <c r="A8445" s="2" t="s">
        <v>6202</v>
      </c>
      <c r="B8445" s="2" t="s">
        <v>4712</v>
      </c>
      <c r="C8445" s="2">
        <v>4</v>
      </c>
      <c r="D8445" t="str">
        <f t="shared" si="131"/>
        <v>US-2015-163279_OFF-PA-10003127</v>
      </c>
      <c r="E8445" t="str">
        <f>IF(COUNTIF(data1!$D:$D,D8445)=0,"Missing in Data1","Present")</f>
        <v>Present</v>
      </c>
    </row>
    <row r="8446" spans="1:5" x14ac:dyDescent="0.25">
      <c r="A8446" s="2" t="s">
        <v>6202</v>
      </c>
      <c r="B8446" s="2" t="s">
        <v>1081</v>
      </c>
      <c r="C8446" s="2">
        <v>3</v>
      </c>
      <c r="D8446" t="str">
        <f t="shared" si="131"/>
        <v>US-2015-163279_TEC-PH-10001795</v>
      </c>
      <c r="E8446" t="str">
        <f>IF(COUNTIF(data1!$D:$D,D8446)=0,"Missing in Data1","Present")</f>
        <v>Present</v>
      </c>
    </row>
    <row r="8447" spans="1:5" x14ac:dyDescent="0.25">
      <c r="A8447" s="2" t="s">
        <v>6203</v>
      </c>
      <c r="B8447" s="2" t="s">
        <v>1119</v>
      </c>
      <c r="C8447" s="2">
        <v>1</v>
      </c>
      <c r="D8447" t="str">
        <f t="shared" si="131"/>
        <v>US-2015-163433_FUR-CH-10000225</v>
      </c>
      <c r="E8447" t="str">
        <f>IF(COUNTIF(data1!$D:$D,D8447)=0,"Missing in Data1","Present")</f>
        <v>Present</v>
      </c>
    </row>
    <row r="8448" spans="1:5" x14ac:dyDescent="0.25">
      <c r="A8448" s="2" t="s">
        <v>6203</v>
      </c>
      <c r="B8448" s="2" t="s">
        <v>1700</v>
      </c>
      <c r="C8448" s="2">
        <v>3</v>
      </c>
      <c r="D8448" t="str">
        <f t="shared" si="131"/>
        <v>US-2015-163433_OFF-AR-10003373</v>
      </c>
      <c r="E8448" t="str">
        <f>IF(COUNTIF(data1!$D:$D,D8448)=0,"Missing in Data1","Present")</f>
        <v>Present</v>
      </c>
    </row>
    <row r="8449" spans="1:5" x14ac:dyDescent="0.25">
      <c r="A8449" s="2" t="s">
        <v>6203</v>
      </c>
      <c r="B8449" s="2" t="s">
        <v>886</v>
      </c>
      <c r="C8449" s="2">
        <v>3</v>
      </c>
      <c r="D8449" t="str">
        <f t="shared" si="131"/>
        <v>US-2015-163433_OFF-AR-10003481</v>
      </c>
      <c r="E8449" t="str">
        <f>IF(COUNTIF(data1!$D:$D,D8449)=0,"Missing in Data1","Present")</f>
        <v>Present</v>
      </c>
    </row>
    <row r="8450" spans="1:5" x14ac:dyDescent="0.25">
      <c r="A8450" s="2" t="s">
        <v>6203</v>
      </c>
      <c r="B8450" s="2" t="s">
        <v>152</v>
      </c>
      <c r="C8450" s="2">
        <v>1</v>
      </c>
      <c r="D8450" t="str">
        <f t="shared" si="131"/>
        <v>US-2015-163433_OFF-BI-10000320</v>
      </c>
      <c r="E8450" t="str">
        <f>IF(COUNTIF(data1!$D:$D,D8450)=0,"Missing in Data1","Present")</f>
        <v>Present</v>
      </c>
    </row>
    <row r="8451" spans="1:5" x14ac:dyDescent="0.25">
      <c r="A8451" s="2" t="s">
        <v>6203</v>
      </c>
      <c r="B8451" s="2" t="s">
        <v>206</v>
      </c>
      <c r="C8451" s="2">
        <v>2</v>
      </c>
      <c r="D8451" t="str">
        <f t="shared" ref="D8451:D8514" si="132">A8451&amp;"_"&amp;B8451</f>
        <v>US-2015-163433_OFF-BI-10003676</v>
      </c>
      <c r="E8451" t="str">
        <f>IF(COUNTIF(data1!$D:$D,D8451)=0,"Missing in Data1","Present")</f>
        <v>Present</v>
      </c>
    </row>
    <row r="8452" spans="1:5" x14ac:dyDescent="0.25">
      <c r="A8452" s="2" t="s">
        <v>6203</v>
      </c>
      <c r="B8452" s="2" t="s">
        <v>385</v>
      </c>
      <c r="C8452" s="2">
        <v>3</v>
      </c>
      <c r="D8452" t="str">
        <f t="shared" si="132"/>
        <v>US-2015-163433_OFF-PA-10003936</v>
      </c>
      <c r="E8452" t="str">
        <f>IF(COUNTIF(data1!$D:$D,D8452)=0,"Missing in Data1","Present")</f>
        <v>Present</v>
      </c>
    </row>
    <row r="8453" spans="1:5" x14ac:dyDescent="0.25">
      <c r="A8453" s="2" t="s">
        <v>6203</v>
      </c>
      <c r="B8453" s="2" t="s">
        <v>2468</v>
      </c>
      <c r="C8453" s="2">
        <v>2</v>
      </c>
      <c r="D8453" t="str">
        <f t="shared" si="132"/>
        <v>US-2015-163433_TEC-AC-10003590</v>
      </c>
      <c r="E8453" t="str">
        <f>IF(COUNTIF(data1!$D:$D,D8453)=0,"Missing in Data1","Present")</f>
        <v>Present</v>
      </c>
    </row>
    <row r="8454" spans="1:5" x14ac:dyDescent="0.25">
      <c r="A8454" s="2" t="s">
        <v>6203</v>
      </c>
      <c r="B8454" s="2" t="s">
        <v>1437</v>
      </c>
      <c r="C8454" s="2">
        <v>2</v>
      </c>
      <c r="D8454" t="str">
        <f t="shared" si="132"/>
        <v>US-2015-163433_TEC-PH-10001870</v>
      </c>
      <c r="E8454" t="str">
        <f>IF(COUNTIF(data1!$D:$D,D8454)=0,"Missing in Data1","Present")</f>
        <v>Present</v>
      </c>
    </row>
    <row r="8455" spans="1:5" x14ac:dyDescent="0.25">
      <c r="A8455" s="2" t="s">
        <v>6203</v>
      </c>
      <c r="B8455" s="2" t="s">
        <v>2256</v>
      </c>
      <c r="C8455" s="2">
        <v>4</v>
      </c>
      <c r="D8455" t="str">
        <f t="shared" si="132"/>
        <v>US-2015-163433_TEC-PH-10003357</v>
      </c>
      <c r="E8455" t="str">
        <f>IF(COUNTIF(data1!$D:$D,D8455)=0,"Missing in Data1","Present")</f>
        <v>Present</v>
      </c>
    </row>
    <row r="8456" spans="1:5" x14ac:dyDescent="0.25">
      <c r="A8456" s="2" t="s">
        <v>6204</v>
      </c>
      <c r="B8456" s="2" t="s">
        <v>1605</v>
      </c>
      <c r="C8456" s="2">
        <v>8</v>
      </c>
      <c r="D8456" t="str">
        <f t="shared" si="132"/>
        <v>US-2015-163685_OFF-BI-10001890</v>
      </c>
      <c r="E8456" t="str">
        <f>IF(COUNTIF(data1!$D:$D,D8456)=0,"Missing in Data1","Present")</f>
        <v>Present</v>
      </c>
    </row>
    <row r="8457" spans="1:5" x14ac:dyDescent="0.25">
      <c r="A8457" s="2" t="s">
        <v>6204</v>
      </c>
      <c r="B8457" s="2" t="s">
        <v>3051</v>
      </c>
      <c r="C8457" s="2">
        <v>10</v>
      </c>
      <c r="D8457" t="str">
        <f t="shared" si="132"/>
        <v>US-2015-163685_OFF-PA-10002606</v>
      </c>
      <c r="E8457" t="str">
        <f>IF(COUNTIF(data1!$D:$D,D8457)=0,"Missing in Data1","Present")</f>
        <v>Present</v>
      </c>
    </row>
    <row r="8458" spans="1:5" x14ac:dyDescent="0.25">
      <c r="A8458" s="2" t="s">
        <v>6205</v>
      </c>
      <c r="B8458" s="2" t="s">
        <v>1045</v>
      </c>
      <c r="C8458" s="2">
        <v>3</v>
      </c>
      <c r="D8458" t="str">
        <f t="shared" si="132"/>
        <v>US-2015-163783_OFF-ST-10002957</v>
      </c>
      <c r="E8458" t="str">
        <f>IF(COUNTIF(data1!$D:$D,D8458)=0,"Missing in Data1","Present")</f>
        <v>Present</v>
      </c>
    </row>
    <row r="8459" spans="1:5" x14ac:dyDescent="0.25">
      <c r="A8459" s="2" t="s">
        <v>6206</v>
      </c>
      <c r="B8459" s="2" t="s">
        <v>907</v>
      </c>
      <c r="C8459" s="2">
        <v>3</v>
      </c>
      <c r="D8459" t="str">
        <f t="shared" si="132"/>
        <v>US-2015-163825_OFF-BI-10003527</v>
      </c>
      <c r="E8459" t="str">
        <f>IF(COUNTIF(data1!$D:$D,D8459)=0,"Missing in Data1","Present")</f>
        <v>Present</v>
      </c>
    </row>
    <row r="8460" spans="1:5" x14ac:dyDescent="0.25">
      <c r="A8460" s="2" t="s">
        <v>6206</v>
      </c>
      <c r="B8460" s="2" t="s">
        <v>29</v>
      </c>
      <c r="C8460" s="2">
        <v>2</v>
      </c>
      <c r="D8460" t="str">
        <f t="shared" si="132"/>
        <v>US-2015-163825_TEC-PH-10004922</v>
      </c>
      <c r="E8460" t="str">
        <f>IF(COUNTIF(data1!$D:$D,D8460)=0,"Missing in Data1","Present")</f>
        <v>Present</v>
      </c>
    </row>
    <row r="8461" spans="1:5" x14ac:dyDescent="0.25">
      <c r="A8461" s="2" t="s">
        <v>6207</v>
      </c>
      <c r="B8461" s="2" t="s">
        <v>370</v>
      </c>
      <c r="C8461" s="2">
        <v>5</v>
      </c>
      <c r="D8461" t="str">
        <f t="shared" si="132"/>
        <v>US-2015-164175_FUR-CH-10001146</v>
      </c>
      <c r="E8461" t="str">
        <f>IF(COUNTIF(data1!$D:$D,D8461)=0,"Missing in Data1","Present")</f>
        <v>Present</v>
      </c>
    </row>
    <row r="8462" spans="1:5" x14ac:dyDescent="0.25">
      <c r="A8462" s="2" t="s">
        <v>6208</v>
      </c>
      <c r="B8462" s="2" t="s">
        <v>5249</v>
      </c>
      <c r="C8462" s="2">
        <v>3</v>
      </c>
      <c r="D8462" t="str">
        <f t="shared" si="132"/>
        <v>US-2015-164238_FUR-BO-10000780</v>
      </c>
      <c r="E8462" t="str">
        <f>IF(COUNTIF(data1!$D:$D,D8462)=0,"Missing in Data1","Present")</f>
        <v>Present</v>
      </c>
    </row>
    <row r="8463" spans="1:5" x14ac:dyDescent="0.25">
      <c r="A8463" s="2" t="s">
        <v>6208</v>
      </c>
      <c r="B8463" s="2" t="s">
        <v>1579</v>
      </c>
      <c r="C8463" s="2">
        <v>7</v>
      </c>
      <c r="D8463" t="str">
        <f t="shared" si="132"/>
        <v>US-2015-164238_OFF-ST-10002352</v>
      </c>
      <c r="E8463" t="str">
        <f>IF(COUNTIF(data1!$D:$D,D8463)=0,"Missing in Data1","Present")</f>
        <v>Present</v>
      </c>
    </row>
    <row r="8464" spans="1:5" x14ac:dyDescent="0.25">
      <c r="A8464" s="2" t="s">
        <v>6209</v>
      </c>
      <c r="B8464" s="2" t="s">
        <v>3715</v>
      </c>
      <c r="C8464" s="2">
        <v>6</v>
      </c>
      <c r="D8464" t="str">
        <f t="shared" si="132"/>
        <v>US-2015-164308_TEC-PH-10004120</v>
      </c>
      <c r="E8464" t="str">
        <f>IF(COUNTIF(data1!$D:$D,D8464)=0,"Missing in Data1","Present")</f>
        <v>Present</v>
      </c>
    </row>
    <row r="8465" spans="1:5" x14ac:dyDescent="0.25">
      <c r="A8465" s="2" t="s">
        <v>6210</v>
      </c>
      <c r="B8465" s="2" t="s">
        <v>5447</v>
      </c>
      <c r="C8465" s="2">
        <v>5</v>
      </c>
      <c r="D8465" t="str">
        <f t="shared" si="132"/>
        <v>US-2015-164357_OFF-AR-10001177</v>
      </c>
      <c r="E8465" t="str">
        <f>IF(COUNTIF(data1!$D:$D,D8465)=0,"Missing in Data1","Present")</f>
        <v>Present</v>
      </c>
    </row>
    <row r="8466" spans="1:5" x14ac:dyDescent="0.25">
      <c r="A8466" s="2" t="s">
        <v>6211</v>
      </c>
      <c r="B8466" s="2" t="s">
        <v>1727</v>
      </c>
      <c r="C8466" s="2">
        <v>2</v>
      </c>
      <c r="D8466" t="str">
        <f t="shared" si="132"/>
        <v>US-2015-164448_OFF-BI-10002949</v>
      </c>
      <c r="E8466" t="str">
        <f>IF(COUNTIF(data1!$D:$D,D8466)=0,"Missing in Data1","Present")</f>
        <v>Present</v>
      </c>
    </row>
    <row r="8467" spans="1:5" x14ac:dyDescent="0.25">
      <c r="A8467" s="2" t="s">
        <v>6211</v>
      </c>
      <c r="B8467" s="2" t="s">
        <v>227</v>
      </c>
      <c r="C8467" s="2">
        <v>5</v>
      </c>
      <c r="D8467" t="str">
        <f t="shared" si="132"/>
        <v>US-2015-164448_OFF-BI-10003708</v>
      </c>
      <c r="E8467" t="str">
        <f>IF(COUNTIF(data1!$D:$D,D8467)=0,"Missing in Data1","Present")</f>
        <v>Present</v>
      </c>
    </row>
    <row r="8468" spans="1:5" x14ac:dyDescent="0.25">
      <c r="A8468" s="2" t="s">
        <v>6211</v>
      </c>
      <c r="B8468" s="2" t="s">
        <v>532</v>
      </c>
      <c r="C8468" s="2">
        <v>5</v>
      </c>
      <c r="D8468" t="str">
        <f t="shared" si="132"/>
        <v>US-2015-164448_OFF-EN-10002600</v>
      </c>
      <c r="E8468" t="str">
        <f>IF(COUNTIF(data1!$D:$D,D8468)=0,"Missing in Data1","Present")</f>
        <v>Present</v>
      </c>
    </row>
    <row r="8469" spans="1:5" x14ac:dyDescent="0.25">
      <c r="A8469" s="2" t="s">
        <v>6211</v>
      </c>
      <c r="B8469" s="2" t="s">
        <v>1125</v>
      </c>
      <c r="C8469" s="2">
        <v>14</v>
      </c>
      <c r="D8469" t="str">
        <f t="shared" si="132"/>
        <v>US-2015-164448_OFF-LA-10003510</v>
      </c>
      <c r="E8469" t="str">
        <f>IF(COUNTIF(data1!$D:$D,D8469)=0,"Missing in Data1","Present")</f>
        <v>Present</v>
      </c>
    </row>
    <row r="8470" spans="1:5" x14ac:dyDescent="0.25">
      <c r="A8470" s="2" t="s">
        <v>6858</v>
      </c>
      <c r="B8470" s="2" t="s">
        <v>1258</v>
      </c>
      <c r="C8470" s="2">
        <v>6</v>
      </c>
      <c r="D8470" t="str">
        <f t="shared" si="132"/>
        <v>US-2015-164966_FUR-CH-10002304</v>
      </c>
      <c r="E8470" t="str">
        <f>IF(COUNTIF(data1!$D:$D,D8470)=0,"Missing in Data1","Present")</f>
        <v>Missing in Data1</v>
      </c>
    </row>
    <row r="8471" spans="1:5" x14ac:dyDescent="0.25">
      <c r="A8471" s="2" t="s">
        <v>6212</v>
      </c>
      <c r="B8471" s="2" t="s">
        <v>6213</v>
      </c>
      <c r="C8471" s="2">
        <v>4</v>
      </c>
      <c r="D8471" t="str">
        <f t="shared" si="132"/>
        <v>US-2015-165449_TEC-AC-10004127</v>
      </c>
      <c r="E8471" t="str">
        <f>IF(COUNTIF(data1!$D:$D,D8471)=0,"Missing in Data1","Present")</f>
        <v>Present</v>
      </c>
    </row>
    <row r="8472" spans="1:5" x14ac:dyDescent="0.25">
      <c r="A8472" s="2" t="s">
        <v>6214</v>
      </c>
      <c r="B8472" s="2" t="s">
        <v>819</v>
      </c>
      <c r="C8472" s="2">
        <v>6</v>
      </c>
      <c r="D8472" t="str">
        <f t="shared" si="132"/>
        <v>US-2015-165512_OFF-BI-10001249</v>
      </c>
      <c r="E8472" t="str">
        <f>IF(COUNTIF(data1!$D:$D,D8472)=0,"Missing in Data1","Present")</f>
        <v>Present</v>
      </c>
    </row>
    <row r="8473" spans="1:5" x14ac:dyDescent="0.25">
      <c r="A8473" s="2" t="s">
        <v>6215</v>
      </c>
      <c r="B8473" s="2" t="s">
        <v>3882</v>
      </c>
      <c r="C8473" s="2">
        <v>6</v>
      </c>
      <c r="D8473" t="str">
        <f t="shared" si="132"/>
        <v>US-2015-165743_FUR-BO-10002268</v>
      </c>
      <c r="E8473" t="str">
        <f>IF(COUNTIF(data1!$D:$D,D8473)=0,"Missing in Data1","Present")</f>
        <v>Present</v>
      </c>
    </row>
    <row r="8474" spans="1:5" x14ac:dyDescent="0.25">
      <c r="A8474" s="2" t="s">
        <v>6215</v>
      </c>
      <c r="B8474" s="2" t="s">
        <v>619</v>
      </c>
      <c r="C8474" s="2">
        <v>6</v>
      </c>
      <c r="D8474" t="str">
        <f t="shared" si="132"/>
        <v>US-2015-165743_OFF-BI-10001758</v>
      </c>
      <c r="E8474" t="str">
        <f>IF(COUNTIF(data1!$D:$D,D8474)=0,"Missing in Data1","Present")</f>
        <v>Present</v>
      </c>
    </row>
    <row r="8475" spans="1:5" x14ac:dyDescent="0.25">
      <c r="A8475" s="2" t="s">
        <v>6215</v>
      </c>
      <c r="B8475" s="2" t="s">
        <v>274</v>
      </c>
      <c r="C8475" s="2">
        <v>3</v>
      </c>
      <c r="D8475" t="str">
        <f t="shared" si="132"/>
        <v>US-2015-165743_OFF-BI-10001982</v>
      </c>
      <c r="E8475" t="str">
        <f>IF(COUNTIF(data1!$D:$D,D8475)=0,"Missing in Data1","Present")</f>
        <v>Present</v>
      </c>
    </row>
    <row r="8476" spans="1:5" x14ac:dyDescent="0.25">
      <c r="A8476" s="2" t="s">
        <v>6216</v>
      </c>
      <c r="B8476" s="2" t="s">
        <v>2359</v>
      </c>
      <c r="C8476" s="2">
        <v>3</v>
      </c>
      <c r="D8476" t="str">
        <f t="shared" si="132"/>
        <v>US-2015-166520_OFF-PA-10000501</v>
      </c>
      <c r="E8476" t="str">
        <f>IF(COUNTIF(data1!$D:$D,D8476)=0,"Missing in Data1","Present")</f>
        <v>Present</v>
      </c>
    </row>
    <row r="8477" spans="1:5" x14ac:dyDescent="0.25">
      <c r="A8477" s="2" t="s">
        <v>6216</v>
      </c>
      <c r="B8477" s="2" t="s">
        <v>3755</v>
      </c>
      <c r="C8477" s="2">
        <v>10</v>
      </c>
      <c r="D8477" t="str">
        <f t="shared" si="132"/>
        <v>US-2015-166520_TEC-AC-10001990</v>
      </c>
      <c r="E8477" t="str">
        <f>IF(COUNTIF(data1!$D:$D,D8477)=0,"Missing in Data1","Present")</f>
        <v>Present</v>
      </c>
    </row>
    <row r="8478" spans="1:5" x14ac:dyDescent="0.25">
      <c r="A8478" s="2" t="s">
        <v>6217</v>
      </c>
      <c r="B8478" s="2" t="s">
        <v>2124</v>
      </c>
      <c r="C8478" s="2">
        <v>4</v>
      </c>
      <c r="D8478" t="str">
        <f t="shared" si="132"/>
        <v>US-2015-167220_TEC-AC-10002018</v>
      </c>
      <c r="E8478" t="str">
        <f>IF(COUNTIF(data1!$D:$D,D8478)=0,"Missing in Data1","Present")</f>
        <v>Present</v>
      </c>
    </row>
    <row r="8479" spans="1:5" x14ac:dyDescent="0.25">
      <c r="A8479" s="2" t="s">
        <v>6218</v>
      </c>
      <c r="B8479" s="2" t="s">
        <v>1840</v>
      </c>
      <c r="C8479" s="2">
        <v>4</v>
      </c>
      <c r="D8479" t="str">
        <f t="shared" si="132"/>
        <v>US-2015-168704_FUR-TA-10000688</v>
      </c>
      <c r="E8479" t="str">
        <f>IF(COUNTIF(data1!$D:$D,D8479)=0,"Missing in Data1","Present")</f>
        <v>Present</v>
      </c>
    </row>
    <row r="8480" spans="1:5" x14ac:dyDescent="0.25">
      <c r="A8480" s="2" t="s">
        <v>6218</v>
      </c>
      <c r="B8480" s="2" t="s">
        <v>1996</v>
      </c>
      <c r="C8480" s="2">
        <v>2</v>
      </c>
      <c r="D8480" t="str">
        <f t="shared" si="132"/>
        <v>US-2015-168704_FUR-TA-10002530</v>
      </c>
      <c r="E8480" t="str">
        <f>IF(COUNTIF(data1!$D:$D,D8480)=0,"Missing in Data1","Present")</f>
        <v>Present</v>
      </c>
    </row>
    <row r="8481" spans="1:5" x14ac:dyDescent="0.25">
      <c r="A8481" s="2" t="s">
        <v>6219</v>
      </c>
      <c r="B8481" s="2" t="s">
        <v>5127</v>
      </c>
      <c r="C8481" s="2">
        <v>1</v>
      </c>
      <c r="D8481" t="str">
        <f t="shared" si="132"/>
        <v>US-2015-168732_OFF-AR-10003087</v>
      </c>
      <c r="E8481" t="str">
        <f>IF(COUNTIF(data1!$D:$D,D8481)=0,"Missing in Data1","Present")</f>
        <v>Present</v>
      </c>
    </row>
    <row r="8482" spans="1:5" x14ac:dyDescent="0.25">
      <c r="A8482" s="2" t="s">
        <v>6219</v>
      </c>
      <c r="B8482" s="2" t="s">
        <v>3228</v>
      </c>
      <c r="C8482" s="2">
        <v>4</v>
      </c>
      <c r="D8482" t="str">
        <f t="shared" si="132"/>
        <v>US-2015-168732_OFF-PA-10000520</v>
      </c>
      <c r="E8482" t="str">
        <f>IF(COUNTIF(data1!$D:$D,D8482)=0,"Missing in Data1","Present")</f>
        <v>Present</v>
      </c>
    </row>
    <row r="8483" spans="1:5" x14ac:dyDescent="0.25">
      <c r="A8483" s="2" t="s">
        <v>6219</v>
      </c>
      <c r="B8483" s="2" t="s">
        <v>1180</v>
      </c>
      <c r="C8483" s="2">
        <v>6</v>
      </c>
      <c r="D8483" t="str">
        <f t="shared" si="132"/>
        <v>US-2015-168732_TEC-AC-10001553</v>
      </c>
      <c r="E8483" t="str">
        <f>IF(COUNTIF(data1!$D:$D,D8483)=0,"Missing in Data1","Present")</f>
        <v>Present</v>
      </c>
    </row>
    <row r="8484" spans="1:5" x14ac:dyDescent="0.25">
      <c r="A8484" s="2" t="s">
        <v>6220</v>
      </c>
      <c r="B8484" s="2" t="s">
        <v>796</v>
      </c>
      <c r="C8484" s="2">
        <v>8</v>
      </c>
      <c r="D8484" t="str">
        <f t="shared" si="132"/>
        <v>US-2015-168914_OFF-AP-10000358</v>
      </c>
      <c r="E8484" t="str">
        <f>IF(COUNTIF(data1!$D:$D,D8484)=0,"Missing in Data1","Present")</f>
        <v>Present</v>
      </c>
    </row>
    <row r="8485" spans="1:5" x14ac:dyDescent="0.25">
      <c r="A8485" s="2" t="s">
        <v>6221</v>
      </c>
      <c r="B8485" s="2" t="s">
        <v>1115</v>
      </c>
      <c r="C8485" s="2">
        <v>3</v>
      </c>
      <c r="D8485" t="str">
        <f t="shared" si="132"/>
        <v>US-2015-168935_FUR-TA-10000617</v>
      </c>
      <c r="E8485" t="str">
        <f>IF(COUNTIF(data1!$D:$D,D8485)=0,"Missing in Data1","Present")</f>
        <v>Present</v>
      </c>
    </row>
    <row r="8486" spans="1:5" x14ac:dyDescent="0.25">
      <c r="A8486" s="2" t="s">
        <v>6221</v>
      </c>
      <c r="B8486" s="2" t="s">
        <v>3487</v>
      </c>
      <c r="C8486" s="2">
        <v>3</v>
      </c>
      <c r="D8486" t="str">
        <f t="shared" si="132"/>
        <v>US-2015-168935_TEC-AC-10002335</v>
      </c>
      <c r="E8486" t="str">
        <f>IF(COUNTIF(data1!$D:$D,D8486)=0,"Missing in Data1","Present")</f>
        <v>Present</v>
      </c>
    </row>
    <row r="8487" spans="1:5" x14ac:dyDescent="0.25">
      <c r="A8487" s="2" t="s">
        <v>6222</v>
      </c>
      <c r="B8487" s="2" t="s">
        <v>194</v>
      </c>
      <c r="C8487" s="2">
        <v>2</v>
      </c>
      <c r="D8487" t="str">
        <f t="shared" si="132"/>
        <v>US-2016-100405_OFF-AR-10000390</v>
      </c>
      <c r="E8487" t="str">
        <f>IF(COUNTIF(data1!$D:$D,D8487)=0,"Missing in Data1","Present")</f>
        <v>Present</v>
      </c>
    </row>
    <row r="8488" spans="1:5" x14ac:dyDescent="0.25">
      <c r="A8488" s="2" t="s">
        <v>6223</v>
      </c>
      <c r="B8488" s="2" t="s">
        <v>2006</v>
      </c>
      <c r="C8488" s="2">
        <v>3</v>
      </c>
      <c r="D8488" t="str">
        <f t="shared" si="132"/>
        <v>US-2016-100419_OFF-BI-10002194</v>
      </c>
      <c r="E8488" t="str">
        <f>IF(COUNTIF(data1!$D:$D,D8488)=0,"Missing in Data1","Present")</f>
        <v>Present</v>
      </c>
    </row>
    <row r="8489" spans="1:5" x14ac:dyDescent="0.25">
      <c r="A8489" s="2" t="s">
        <v>6224</v>
      </c>
      <c r="B8489" s="2" t="s">
        <v>1533</v>
      </c>
      <c r="C8489" s="2">
        <v>6</v>
      </c>
      <c r="D8489" t="str">
        <f t="shared" si="132"/>
        <v>US-2016-100461_FUR-BO-10002545</v>
      </c>
      <c r="E8489" t="str">
        <f>IF(COUNTIF(data1!$D:$D,D8489)=0,"Missing in Data1","Present")</f>
        <v>Present</v>
      </c>
    </row>
    <row r="8490" spans="1:5" x14ac:dyDescent="0.25">
      <c r="A8490" s="2" t="s">
        <v>6224</v>
      </c>
      <c r="B8490" s="2" t="s">
        <v>1843</v>
      </c>
      <c r="C8490" s="2">
        <v>7</v>
      </c>
      <c r="D8490" t="str">
        <f t="shared" si="132"/>
        <v>US-2016-100461_OFF-BI-10001460</v>
      </c>
      <c r="E8490" t="str">
        <f>IF(COUNTIF(data1!$D:$D,D8490)=0,"Missing in Data1","Present")</f>
        <v>Present</v>
      </c>
    </row>
    <row r="8491" spans="1:5" x14ac:dyDescent="0.25">
      <c r="A8491" s="2" t="s">
        <v>6225</v>
      </c>
      <c r="B8491" s="2" t="s">
        <v>2009</v>
      </c>
      <c r="C8491" s="2">
        <v>3</v>
      </c>
      <c r="D8491" t="str">
        <f t="shared" si="132"/>
        <v>US-2016-100566_FUR-FU-10003394</v>
      </c>
      <c r="E8491" t="str">
        <f>IF(COUNTIF(data1!$D:$D,D8491)=0,"Missing in Data1","Present")</f>
        <v>Present</v>
      </c>
    </row>
    <row r="8492" spans="1:5" x14ac:dyDescent="0.25">
      <c r="A8492" s="2" t="s">
        <v>6226</v>
      </c>
      <c r="B8492" s="2" t="s">
        <v>911</v>
      </c>
      <c r="C8492" s="2">
        <v>2</v>
      </c>
      <c r="D8492" t="str">
        <f t="shared" si="132"/>
        <v>US-2016-100720_OFF-SU-10001574</v>
      </c>
      <c r="E8492" t="str">
        <f>IF(COUNTIF(data1!$D:$D,D8492)=0,"Missing in Data1","Present")</f>
        <v>Present</v>
      </c>
    </row>
    <row r="8493" spans="1:5" x14ac:dyDescent="0.25">
      <c r="A8493" s="2" t="s">
        <v>6226</v>
      </c>
      <c r="B8493" s="2" t="s">
        <v>35</v>
      </c>
      <c r="C8493" s="2">
        <v>3</v>
      </c>
      <c r="D8493" t="str">
        <f t="shared" si="132"/>
        <v>US-2016-100720_TEC-PH-10001425</v>
      </c>
      <c r="E8493" t="str">
        <f>IF(COUNTIF(data1!$D:$D,D8493)=0,"Missing in Data1","Present")</f>
        <v>Present</v>
      </c>
    </row>
    <row r="8494" spans="1:5" x14ac:dyDescent="0.25">
      <c r="A8494" s="2" t="s">
        <v>6226</v>
      </c>
      <c r="B8494" s="2" t="s">
        <v>958</v>
      </c>
      <c r="C8494" s="2">
        <v>4</v>
      </c>
      <c r="D8494" t="str">
        <f t="shared" si="132"/>
        <v>US-2016-100720_TEC-PH-10003963</v>
      </c>
      <c r="E8494" t="str">
        <f>IF(COUNTIF(data1!$D:$D,D8494)=0,"Missing in Data1","Present")</f>
        <v>Present</v>
      </c>
    </row>
    <row r="8495" spans="1:5" x14ac:dyDescent="0.25">
      <c r="A8495" s="2" t="s">
        <v>6227</v>
      </c>
      <c r="B8495" s="2" t="s">
        <v>3867</v>
      </c>
      <c r="C8495" s="2">
        <v>3</v>
      </c>
      <c r="D8495" t="str">
        <f t="shared" si="132"/>
        <v>US-2016-100839_FUR-FU-10001617</v>
      </c>
      <c r="E8495" t="str">
        <f>IF(COUNTIF(data1!$D:$D,D8495)=0,"Missing in Data1","Present")</f>
        <v>Present</v>
      </c>
    </row>
    <row r="8496" spans="1:5" x14ac:dyDescent="0.25">
      <c r="A8496" s="2" t="s">
        <v>6227</v>
      </c>
      <c r="B8496" s="2" t="s">
        <v>939</v>
      </c>
      <c r="C8496" s="2">
        <v>5</v>
      </c>
      <c r="D8496" t="str">
        <f t="shared" si="132"/>
        <v>US-2016-100839_FUR-TA-10004575</v>
      </c>
      <c r="E8496" t="str">
        <f>IF(COUNTIF(data1!$D:$D,D8496)=0,"Missing in Data1","Present")</f>
        <v>Present</v>
      </c>
    </row>
    <row r="8497" spans="1:5" x14ac:dyDescent="0.25">
      <c r="A8497" s="2" t="s">
        <v>6228</v>
      </c>
      <c r="B8497" s="2" t="s">
        <v>2460</v>
      </c>
      <c r="C8497" s="2">
        <v>2</v>
      </c>
      <c r="D8497" t="str">
        <f t="shared" si="132"/>
        <v>US-2016-101196_OFF-ST-10004804</v>
      </c>
      <c r="E8497" t="str">
        <f>IF(COUNTIF(data1!$D:$D,D8497)=0,"Missing in Data1","Present")</f>
        <v>Present</v>
      </c>
    </row>
    <row r="8498" spans="1:5" x14ac:dyDescent="0.25">
      <c r="A8498" s="2" t="s">
        <v>6229</v>
      </c>
      <c r="B8498" s="2" t="s">
        <v>7</v>
      </c>
      <c r="C8498" s="2">
        <v>1</v>
      </c>
      <c r="D8498" t="str">
        <f t="shared" si="132"/>
        <v>US-2016-101497_OFF-PA-10000176</v>
      </c>
      <c r="E8498" t="str">
        <f>IF(COUNTIF(data1!$D:$D,D8498)=0,"Missing in Data1","Present")</f>
        <v>Present</v>
      </c>
    </row>
    <row r="8499" spans="1:5" x14ac:dyDescent="0.25">
      <c r="A8499" s="2" t="s">
        <v>6230</v>
      </c>
      <c r="B8499" s="2" t="s">
        <v>2658</v>
      </c>
      <c r="C8499" s="2">
        <v>8</v>
      </c>
      <c r="D8499" t="str">
        <f t="shared" si="132"/>
        <v>US-2016-101616_OFF-BI-10000014</v>
      </c>
      <c r="E8499" t="str">
        <f>IF(COUNTIF(data1!$D:$D,D8499)=0,"Missing in Data1","Present")</f>
        <v>Present</v>
      </c>
    </row>
    <row r="8500" spans="1:5" x14ac:dyDescent="0.25">
      <c r="A8500" s="2" t="s">
        <v>6231</v>
      </c>
      <c r="B8500" s="2" t="s">
        <v>1954</v>
      </c>
      <c r="C8500" s="2">
        <v>8</v>
      </c>
      <c r="D8500" t="str">
        <f t="shared" si="132"/>
        <v>US-2016-102141_OFF-BI-10001510</v>
      </c>
      <c r="E8500" t="str">
        <f>IF(COUNTIF(data1!$D:$D,D8500)=0,"Missing in Data1","Present")</f>
        <v>Present</v>
      </c>
    </row>
    <row r="8501" spans="1:5" x14ac:dyDescent="0.25">
      <c r="A8501" s="2" t="s">
        <v>6232</v>
      </c>
      <c r="B8501" s="2" t="s">
        <v>1922</v>
      </c>
      <c r="C8501" s="2">
        <v>7</v>
      </c>
      <c r="D8501" t="str">
        <f t="shared" si="132"/>
        <v>US-2016-102232_OFF-AR-10000538</v>
      </c>
      <c r="E8501" t="str">
        <f>IF(COUNTIF(data1!$D:$D,D8501)=0,"Missing in Data1","Present")</f>
        <v>Present</v>
      </c>
    </row>
    <row r="8502" spans="1:5" x14ac:dyDescent="0.25">
      <c r="A8502" s="2" t="s">
        <v>6233</v>
      </c>
      <c r="B8502" s="2" t="s">
        <v>4195</v>
      </c>
      <c r="C8502" s="2">
        <v>6</v>
      </c>
      <c r="D8502" t="str">
        <f t="shared" si="132"/>
        <v>US-2016-102239_FUR-TA-10003392</v>
      </c>
      <c r="E8502" t="str">
        <f>IF(COUNTIF(data1!$D:$D,D8502)=0,"Missing in Data1","Present")</f>
        <v>Present</v>
      </c>
    </row>
    <row r="8503" spans="1:5" x14ac:dyDescent="0.25">
      <c r="A8503" s="2" t="s">
        <v>6234</v>
      </c>
      <c r="B8503" s="2" t="s">
        <v>2088</v>
      </c>
      <c r="C8503" s="2">
        <v>3</v>
      </c>
      <c r="D8503" t="str">
        <f t="shared" si="132"/>
        <v>US-2016-103646_OFF-AP-10004487</v>
      </c>
      <c r="E8503" t="str">
        <f>IF(COUNTIF(data1!$D:$D,D8503)=0,"Missing in Data1","Present")</f>
        <v>Present</v>
      </c>
    </row>
    <row r="8504" spans="1:5" x14ac:dyDescent="0.25">
      <c r="A8504" s="2" t="s">
        <v>6234</v>
      </c>
      <c r="B8504" s="2" t="s">
        <v>337</v>
      </c>
      <c r="C8504" s="2">
        <v>8</v>
      </c>
      <c r="D8504" t="str">
        <f t="shared" si="132"/>
        <v>US-2016-103646_OFF-BI-10002854</v>
      </c>
      <c r="E8504" t="str">
        <f>IF(COUNTIF(data1!$D:$D,D8504)=0,"Missing in Data1","Present")</f>
        <v>Present</v>
      </c>
    </row>
    <row r="8505" spans="1:5" x14ac:dyDescent="0.25">
      <c r="A8505" s="2" t="s">
        <v>6234</v>
      </c>
      <c r="B8505" s="2" t="s">
        <v>1339</v>
      </c>
      <c r="C8505" s="2">
        <v>4</v>
      </c>
      <c r="D8505" t="str">
        <f t="shared" si="132"/>
        <v>US-2016-103646_OFF-ST-10000563</v>
      </c>
      <c r="E8505" t="str">
        <f>IF(COUNTIF(data1!$D:$D,D8505)=0,"Missing in Data1","Present")</f>
        <v>Present</v>
      </c>
    </row>
    <row r="8506" spans="1:5" x14ac:dyDescent="0.25">
      <c r="A8506" s="2" t="s">
        <v>6235</v>
      </c>
      <c r="B8506" s="2" t="s">
        <v>625</v>
      </c>
      <c r="C8506" s="2">
        <v>7</v>
      </c>
      <c r="D8506" t="str">
        <f t="shared" si="132"/>
        <v>US-2016-103674_OFF-AR-10004752</v>
      </c>
      <c r="E8506" t="str">
        <f>IF(COUNTIF(data1!$D:$D,D8506)=0,"Missing in Data1","Present")</f>
        <v>Present</v>
      </c>
    </row>
    <row r="8507" spans="1:5" x14ac:dyDescent="0.25">
      <c r="A8507" s="2" t="s">
        <v>6235</v>
      </c>
      <c r="B8507" s="2" t="s">
        <v>637</v>
      </c>
      <c r="C8507" s="2">
        <v>14</v>
      </c>
      <c r="D8507" t="str">
        <f t="shared" si="132"/>
        <v>US-2016-103674_OFF-BI-10002026</v>
      </c>
      <c r="E8507" t="str">
        <f>IF(COUNTIF(data1!$D:$D,D8507)=0,"Missing in Data1","Present")</f>
        <v>Present</v>
      </c>
    </row>
    <row r="8508" spans="1:5" x14ac:dyDescent="0.25">
      <c r="A8508" s="2" t="s">
        <v>6235</v>
      </c>
      <c r="B8508" s="2" t="s">
        <v>1526</v>
      </c>
      <c r="C8508" s="2">
        <v>4</v>
      </c>
      <c r="D8508" t="str">
        <f t="shared" si="132"/>
        <v>US-2016-103674_OFF-BI-10003727</v>
      </c>
      <c r="E8508" t="str">
        <f>IF(COUNTIF(data1!$D:$D,D8508)=0,"Missing in Data1","Present")</f>
        <v>Present</v>
      </c>
    </row>
    <row r="8509" spans="1:5" x14ac:dyDescent="0.25">
      <c r="A8509" s="2" t="s">
        <v>6235</v>
      </c>
      <c r="B8509" s="2" t="s">
        <v>1364</v>
      </c>
      <c r="C8509" s="2">
        <v>7</v>
      </c>
      <c r="D8509" t="str">
        <f t="shared" si="132"/>
        <v>US-2016-103674_OFF-FA-10003467</v>
      </c>
      <c r="E8509" t="str">
        <f>IF(COUNTIF(data1!$D:$D,D8509)=0,"Missing in Data1","Present")</f>
        <v>Present</v>
      </c>
    </row>
    <row r="8510" spans="1:5" x14ac:dyDescent="0.25">
      <c r="A8510" s="2" t="s">
        <v>6235</v>
      </c>
      <c r="B8510" s="2" t="s">
        <v>2176</v>
      </c>
      <c r="C8510" s="2">
        <v>2</v>
      </c>
      <c r="D8510" t="str">
        <f t="shared" si="132"/>
        <v>US-2016-103674_TEC-PH-10002496</v>
      </c>
      <c r="E8510" t="str">
        <f>IF(COUNTIF(data1!$D:$D,D8510)=0,"Missing in Data1","Present")</f>
        <v>Present</v>
      </c>
    </row>
    <row r="8511" spans="1:5" x14ac:dyDescent="0.25">
      <c r="A8511" s="2" t="s">
        <v>6235</v>
      </c>
      <c r="B8511" s="2" t="s">
        <v>3970</v>
      </c>
      <c r="C8511" s="2">
        <v>5</v>
      </c>
      <c r="D8511" t="str">
        <f t="shared" si="132"/>
        <v>US-2016-103674_TEC-PH-10004080</v>
      </c>
      <c r="E8511" t="str">
        <f>IF(COUNTIF(data1!$D:$D,D8511)=0,"Missing in Data1","Present")</f>
        <v>Present</v>
      </c>
    </row>
    <row r="8512" spans="1:5" x14ac:dyDescent="0.25">
      <c r="A8512" s="2" t="s">
        <v>6236</v>
      </c>
      <c r="B8512" s="2" t="s">
        <v>6237</v>
      </c>
      <c r="C8512" s="2">
        <v>2</v>
      </c>
      <c r="D8512" t="str">
        <f t="shared" si="132"/>
        <v>US-2016-104794_OFF-FA-10001754</v>
      </c>
      <c r="E8512" t="str">
        <f>IF(COUNTIF(data1!$D:$D,D8512)=0,"Missing in Data1","Present")</f>
        <v>Present</v>
      </c>
    </row>
    <row r="8513" spans="1:5" x14ac:dyDescent="0.25">
      <c r="A8513" s="2" t="s">
        <v>6238</v>
      </c>
      <c r="B8513" s="2" t="s">
        <v>4343</v>
      </c>
      <c r="C8513" s="2">
        <v>4</v>
      </c>
      <c r="D8513" t="str">
        <f t="shared" si="132"/>
        <v>US-2016-104815_FUR-BO-10003894</v>
      </c>
      <c r="E8513" t="str">
        <f>IF(COUNTIF(data1!$D:$D,D8513)=0,"Missing in Data1","Present")</f>
        <v>Present</v>
      </c>
    </row>
    <row r="8514" spans="1:5" x14ac:dyDescent="0.25">
      <c r="A8514" s="2" t="s">
        <v>6239</v>
      </c>
      <c r="B8514" s="2" t="s">
        <v>851</v>
      </c>
      <c r="C8514" s="2">
        <v>5</v>
      </c>
      <c r="D8514" t="str">
        <f t="shared" si="132"/>
        <v>US-2016-105452_FUR-FU-10003691</v>
      </c>
      <c r="E8514" t="str">
        <f>IF(COUNTIF(data1!$D:$D,D8514)=0,"Missing in Data1","Present")</f>
        <v>Present</v>
      </c>
    </row>
    <row r="8515" spans="1:5" x14ac:dyDescent="0.25">
      <c r="A8515" s="2" t="s">
        <v>6239</v>
      </c>
      <c r="B8515" s="2" t="s">
        <v>3558</v>
      </c>
      <c r="C8515" s="2">
        <v>5</v>
      </c>
      <c r="D8515" t="str">
        <f t="shared" ref="D8515:D8578" si="133">A8515&amp;"_"&amp;B8515</f>
        <v>US-2016-105452_FUR-FU-10003806</v>
      </c>
      <c r="E8515" t="str">
        <f>IF(COUNTIF(data1!$D:$D,D8515)=0,"Missing in Data1","Present")</f>
        <v>Present</v>
      </c>
    </row>
    <row r="8516" spans="1:5" x14ac:dyDescent="0.25">
      <c r="A8516" s="2" t="s">
        <v>6240</v>
      </c>
      <c r="B8516" s="2" t="s">
        <v>583</v>
      </c>
      <c r="C8516" s="2">
        <v>2</v>
      </c>
      <c r="D8516" t="str">
        <f t="shared" si="133"/>
        <v>US-2016-105578_FUR-CH-10001215</v>
      </c>
      <c r="E8516" t="str">
        <f>IF(COUNTIF(data1!$D:$D,D8516)=0,"Missing in Data1","Present")</f>
        <v>Present</v>
      </c>
    </row>
    <row r="8517" spans="1:5" x14ac:dyDescent="0.25">
      <c r="A8517" s="2" t="s">
        <v>6240</v>
      </c>
      <c r="B8517" s="2" t="s">
        <v>3699</v>
      </c>
      <c r="C8517" s="2">
        <v>3</v>
      </c>
      <c r="D8517" t="str">
        <f t="shared" si="133"/>
        <v>US-2016-105578_OFF-BI-10000831</v>
      </c>
      <c r="E8517" t="str">
        <f>IF(COUNTIF(data1!$D:$D,D8517)=0,"Missing in Data1","Present")</f>
        <v>Present</v>
      </c>
    </row>
    <row r="8518" spans="1:5" x14ac:dyDescent="0.25">
      <c r="A8518" s="2" t="s">
        <v>6240</v>
      </c>
      <c r="B8518" s="2" t="s">
        <v>190</v>
      </c>
      <c r="C8518" s="2">
        <v>2</v>
      </c>
      <c r="D8518" t="str">
        <f t="shared" si="133"/>
        <v>US-2016-105578_OFF-BI-10001658</v>
      </c>
      <c r="E8518" t="str">
        <f>IF(COUNTIF(data1!$D:$D,D8518)=0,"Missing in Data1","Present")</f>
        <v>Present</v>
      </c>
    </row>
    <row r="8519" spans="1:5" x14ac:dyDescent="0.25">
      <c r="A8519" s="2" t="s">
        <v>6240</v>
      </c>
      <c r="B8519" s="2" t="s">
        <v>267</v>
      </c>
      <c r="C8519" s="2">
        <v>2</v>
      </c>
      <c r="D8519" t="str">
        <f t="shared" si="133"/>
        <v>US-2016-105578_OFF-BI-10001670</v>
      </c>
      <c r="E8519" t="str">
        <f>IF(COUNTIF(data1!$D:$D,D8519)=0,"Missing in Data1","Present")</f>
        <v>Present</v>
      </c>
    </row>
    <row r="8520" spans="1:5" x14ac:dyDescent="0.25">
      <c r="A8520" s="2" t="s">
        <v>6240</v>
      </c>
      <c r="B8520" s="2" t="s">
        <v>41</v>
      </c>
      <c r="C8520" s="2">
        <v>1</v>
      </c>
      <c r="D8520" t="str">
        <f t="shared" si="133"/>
        <v>US-2016-105578_OFF-PA-10000357</v>
      </c>
      <c r="E8520" t="str">
        <f>IF(COUNTIF(data1!$D:$D,D8520)=0,"Missing in Data1","Present")</f>
        <v>Present</v>
      </c>
    </row>
    <row r="8521" spans="1:5" x14ac:dyDescent="0.25">
      <c r="A8521" s="2" t="s">
        <v>6241</v>
      </c>
      <c r="B8521" s="2" t="s">
        <v>2631</v>
      </c>
      <c r="C8521" s="2">
        <v>3</v>
      </c>
      <c r="D8521" t="str">
        <f t="shared" si="133"/>
        <v>US-2016-106313_OFF-PA-10001870</v>
      </c>
      <c r="E8521" t="str">
        <f>IF(COUNTIF(data1!$D:$D,D8521)=0,"Missing in Data1","Present")</f>
        <v>Present</v>
      </c>
    </row>
    <row r="8522" spans="1:5" x14ac:dyDescent="0.25">
      <c r="A8522" s="2" t="s">
        <v>6242</v>
      </c>
      <c r="B8522" s="2" t="s">
        <v>1760</v>
      </c>
      <c r="C8522" s="2">
        <v>5</v>
      </c>
      <c r="D8522" t="str">
        <f t="shared" si="133"/>
        <v>US-2016-106600_FUR-BO-10001608</v>
      </c>
      <c r="E8522" t="str">
        <f>IF(COUNTIF(data1!$D:$D,D8522)=0,"Missing in Data1","Present")</f>
        <v>Present</v>
      </c>
    </row>
    <row r="8523" spans="1:5" x14ac:dyDescent="0.25">
      <c r="A8523" s="2" t="s">
        <v>6243</v>
      </c>
      <c r="B8523" s="2" t="s">
        <v>1895</v>
      </c>
      <c r="C8523" s="2">
        <v>2</v>
      </c>
      <c r="D8523" t="str">
        <f t="shared" si="133"/>
        <v>US-2016-106677_TEC-PH-10003187</v>
      </c>
      <c r="E8523" t="str">
        <f>IF(COUNTIF(data1!$D:$D,D8523)=0,"Missing in Data1","Present")</f>
        <v>Present</v>
      </c>
    </row>
    <row r="8524" spans="1:5" x14ac:dyDescent="0.25">
      <c r="A8524" s="2" t="s">
        <v>6244</v>
      </c>
      <c r="B8524" s="2" t="s">
        <v>388</v>
      </c>
      <c r="C8524" s="2">
        <v>2</v>
      </c>
      <c r="D8524" t="str">
        <f t="shared" si="133"/>
        <v>US-2016-107440_FUR-FU-10000550</v>
      </c>
      <c r="E8524" t="str">
        <f>IF(COUNTIF(data1!$D:$D,D8524)=0,"Missing in Data1","Present")</f>
        <v>Present</v>
      </c>
    </row>
    <row r="8525" spans="1:5" x14ac:dyDescent="0.25">
      <c r="A8525" s="2" t="s">
        <v>6244</v>
      </c>
      <c r="B8525" s="2" t="s">
        <v>1338</v>
      </c>
      <c r="C8525" s="2">
        <v>5</v>
      </c>
      <c r="D8525" t="str">
        <f t="shared" si="133"/>
        <v>US-2016-107440_OFF-BI-10002432</v>
      </c>
      <c r="E8525" t="str">
        <f>IF(COUNTIF(data1!$D:$D,D8525)=0,"Missing in Data1","Present")</f>
        <v>Present</v>
      </c>
    </row>
    <row r="8526" spans="1:5" x14ac:dyDescent="0.25">
      <c r="A8526" s="2" t="s">
        <v>6244</v>
      </c>
      <c r="B8526" s="2" t="s">
        <v>5366</v>
      </c>
      <c r="C8526" s="2">
        <v>7</v>
      </c>
      <c r="D8526" t="str">
        <f t="shared" si="133"/>
        <v>US-2016-107440_TEC-MA-10001047</v>
      </c>
      <c r="E8526" t="str">
        <f>IF(COUNTIF(data1!$D:$D,D8526)=0,"Missing in Data1","Present")</f>
        <v>Missing in Data1</v>
      </c>
    </row>
    <row r="8527" spans="1:5" x14ac:dyDescent="0.25">
      <c r="A8527" s="2" t="s">
        <v>6245</v>
      </c>
      <c r="B8527" s="2" t="s">
        <v>1263</v>
      </c>
      <c r="C8527" s="2">
        <v>3</v>
      </c>
      <c r="D8527" t="str">
        <f t="shared" si="133"/>
        <v>US-2016-108098_TEC-AC-10000865</v>
      </c>
      <c r="E8527" t="str">
        <f>IF(COUNTIF(data1!$D:$D,D8527)=0,"Missing in Data1","Present")</f>
        <v>Present</v>
      </c>
    </row>
    <row r="8528" spans="1:5" x14ac:dyDescent="0.25">
      <c r="A8528" s="2" t="s">
        <v>6246</v>
      </c>
      <c r="B8528" s="2" t="s">
        <v>1644</v>
      </c>
      <c r="C8528" s="2">
        <v>4</v>
      </c>
      <c r="D8528" t="str">
        <f t="shared" si="133"/>
        <v>US-2016-108455_OFF-PA-10002262</v>
      </c>
      <c r="E8528" t="str">
        <f>IF(COUNTIF(data1!$D:$D,D8528)=0,"Missing in Data1","Present")</f>
        <v>Present</v>
      </c>
    </row>
    <row r="8529" spans="1:5" x14ac:dyDescent="0.25">
      <c r="A8529" s="2" t="s">
        <v>6246</v>
      </c>
      <c r="B8529" s="2" t="s">
        <v>1883</v>
      </c>
      <c r="C8529" s="2">
        <v>7</v>
      </c>
      <c r="D8529" t="str">
        <f t="shared" si="133"/>
        <v>US-2016-108455_OFF-PA-10002464</v>
      </c>
      <c r="E8529" t="str">
        <f>IF(COUNTIF(data1!$D:$D,D8529)=0,"Missing in Data1","Present")</f>
        <v>Present</v>
      </c>
    </row>
    <row r="8530" spans="1:5" x14ac:dyDescent="0.25">
      <c r="A8530" s="2" t="s">
        <v>6246</v>
      </c>
      <c r="B8530" s="2" t="s">
        <v>652</v>
      </c>
      <c r="C8530" s="2">
        <v>3</v>
      </c>
      <c r="D8530" t="str">
        <f t="shared" si="133"/>
        <v>US-2016-108455_OFF-ST-10002214</v>
      </c>
      <c r="E8530" t="str">
        <f>IF(COUNTIF(data1!$D:$D,D8530)=0,"Missing in Data1","Present")</f>
        <v>Present</v>
      </c>
    </row>
    <row r="8531" spans="1:5" x14ac:dyDescent="0.25">
      <c r="A8531" s="2" t="s">
        <v>6247</v>
      </c>
      <c r="B8531" s="2" t="s">
        <v>427</v>
      </c>
      <c r="C8531" s="2">
        <v>5</v>
      </c>
      <c r="D8531" t="str">
        <f t="shared" si="133"/>
        <v>US-2016-108497_FUR-BO-10004218</v>
      </c>
      <c r="E8531" t="str">
        <f>IF(COUNTIF(data1!$D:$D,D8531)=0,"Missing in Data1","Present")</f>
        <v>Present</v>
      </c>
    </row>
    <row r="8532" spans="1:5" x14ac:dyDescent="0.25">
      <c r="A8532" s="2" t="s">
        <v>6248</v>
      </c>
      <c r="B8532" s="2" t="s">
        <v>631</v>
      </c>
      <c r="C8532" s="2">
        <v>2</v>
      </c>
      <c r="D8532" t="str">
        <f t="shared" si="133"/>
        <v>US-2016-108504_FUR-BO-10004015</v>
      </c>
      <c r="E8532" t="str">
        <f>IF(COUNTIF(data1!$D:$D,D8532)=0,"Missing in Data1","Present")</f>
        <v>Present</v>
      </c>
    </row>
    <row r="8533" spans="1:5" x14ac:dyDescent="0.25">
      <c r="A8533" s="2" t="s">
        <v>6248</v>
      </c>
      <c r="B8533" s="2" t="s">
        <v>118</v>
      </c>
      <c r="C8533" s="2">
        <v>3</v>
      </c>
      <c r="D8533" t="str">
        <f t="shared" si="133"/>
        <v>US-2016-108504_FUR-FU-10004091</v>
      </c>
      <c r="E8533" t="str">
        <f>IF(COUNTIF(data1!$D:$D,D8533)=0,"Missing in Data1","Present")</f>
        <v>Present</v>
      </c>
    </row>
    <row r="8534" spans="1:5" x14ac:dyDescent="0.25">
      <c r="A8534" s="2" t="s">
        <v>6248</v>
      </c>
      <c r="B8534" s="2" t="s">
        <v>917</v>
      </c>
      <c r="C8534" s="2">
        <v>2</v>
      </c>
      <c r="D8534" t="str">
        <f t="shared" si="133"/>
        <v>US-2016-108504_OFF-EN-10003001</v>
      </c>
      <c r="E8534" t="str">
        <f>IF(COUNTIF(data1!$D:$D,D8534)=0,"Missing in Data1","Present")</f>
        <v>Present</v>
      </c>
    </row>
    <row r="8535" spans="1:5" x14ac:dyDescent="0.25">
      <c r="A8535" s="2" t="s">
        <v>6248</v>
      </c>
      <c r="B8535" s="2" t="s">
        <v>2305</v>
      </c>
      <c r="C8535" s="2">
        <v>5</v>
      </c>
      <c r="D8535" t="str">
        <f t="shared" si="133"/>
        <v>US-2016-108504_OFF-FA-10000053</v>
      </c>
      <c r="E8535" t="str">
        <f>IF(COUNTIF(data1!$D:$D,D8535)=0,"Missing in Data1","Present")</f>
        <v>Present</v>
      </c>
    </row>
    <row r="8536" spans="1:5" x14ac:dyDescent="0.25">
      <c r="A8536" s="2" t="s">
        <v>6248</v>
      </c>
      <c r="B8536" s="2" t="s">
        <v>41</v>
      </c>
      <c r="C8536" s="2">
        <v>3</v>
      </c>
      <c r="D8536" t="str">
        <f t="shared" si="133"/>
        <v>US-2016-108504_OFF-PA-10000357</v>
      </c>
      <c r="E8536" t="str">
        <f>IF(COUNTIF(data1!$D:$D,D8536)=0,"Missing in Data1","Present")</f>
        <v>Present</v>
      </c>
    </row>
    <row r="8537" spans="1:5" x14ac:dyDescent="0.25">
      <c r="A8537" s="2" t="s">
        <v>6248</v>
      </c>
      <c r="B8537" s="2" t="s">
        <v>789</v>
      </c>
      <c r="C8537" s="2">
        <v>9</v>
      </c>
      <c r="D8537" t="str">
        <f t="shared" si="133"/>
        <v>US-2016-108504_OFF-PA-10001289</v>
      </c>
      <c r="E8537" t="str">
        <f>IF(COUNTIF(data1!$D:$D,D8537)=0,"Missing in Data1","Present")</f>
        <v>Present</v>
      </c>
    </row>
    <row r="8538" spans="1:5" x14ac:dyDescent="0.25">
      <c r="A8538" s="2" t="s">
        <v>6248</v>
      </c>
      <c r="B8538" s="2" t="s">
        <v>2593</v>
      </c>
      <c r="C8538" s="2">
        <v>7</v>
      </c>
      <c r="D8538" t="str">
        <f t="shared" si="133"/>
        <v>US-2016-108504_OFF-PA-10003892</v>
      </c>
      <c r="E8538" t="str">
        <f>IF(COUNTIF(data1!$D:$D,D8538)=0,"Missing in Data1","Present")</f>
        <v>Present</v>
      </c>
    </row>
    <row r="8539" spans="1:5" x14ac:dyDescent="0.25">
      <c r="A8539" s="2" t="s">
        <v>6248</v>
      </c>
      <c r="B8539" s="2" t="s">
        <v>715</v>
      </c>
      <c r="C8539" s="2">
        <v>1</v>
      </c>
      <c r="D8539" t="str">
        <f t="shared" si="133"/>
        <v>US-2016-108504_OFF-ST-10002344</v>
      </c>
      <c r="E8539" t="str">
        <f>IF(COUNTIF(data1!$D:$D,D8539)=0,"Missing in Data1","Present")</f>
        <v>Present</v>
      </c>
    </row>
    <row r="8540" spans="1:5" x14ac:dyDescent="0.25">
      <c r="A8540" s="2" t="s">
        <v>6248</v>
      </c>
      <c r="B8540" s="2" t="s">
        <v>2460</v>
      </c>
      <c r="C8540" s="2">
        <v>3</v>
      </c>
      <c r="D8540" t="str">
        <f t="shared" si="133"/>
        <v>US-2016-108504_OFF-ST-10004804</v>
      </c>
      <c r="E8540" t="str">
        <f>IF(COUNTIF(data1!$D:$D,D8540)=0,"Missing in Data1","Present")</f>
        <v>Present</v>
      </c>
    </row>
    <row r="8541" spans="1:5" x14ac:dyDescent="0.25">
      <c r="A8541" s="2" t="s">
        <v>6248</v>
      </c>
      <c r="B8541" s="2" t="s">
        <v>742</v>
      </c>
      <c r="C8541" s="2">
        <v>3</v>
      </c>
      <c r="D8541" t="str">
        <f t="shared" si="133"/>
        <v>US-2016-108504_TEC-PH-10000215</v>
      </c>
      <c r="E8541" t="str">
        <f>IF(COUNTIF(data1!$D:$D,D8541)=0,"Missing in Data1","Present")</f>
        <v>Present</v>
      </c>
    </row>
    <row r="8542" spans="1:5" x14ac:dyDescent="0.25">
      <c r="A8542" s="2" t="s">
        <v>6248</v>
      </c>
      <c r="B8542" s="2" t="s">
        <v>998</v>
      </c>
      <c r="C8542" s="2">
        <v>3</v>
      </c>
      <c r="D8542" t="str">
        <f t="shared" si="133"/>
        <v>US-2016-108504_TEC-PH-10003645</v>
      </c>
      <c r="E8542" t="str">
        <f>IF(COUNTIF(data1!$D:$D,D8542)=0,"Missing in Data1","Present")</f>
        <v>Present</v>
      </c>
    </row>
    <row r="8543" spans="1:5" x14ac:dyDescent="0.25">
      <c r="A8543" s="2" t="s">
        <v>6249</v>
      </c>
      <c r="B8543" s="2" t="s">
        <v>226</v>
      </c>
      <c r="C8543" s="2">
        <v>2</v>
      </c>
      <c r="D8543" t="str">
        <f t="shared" si="133"/>
        <v>US-2016-108637_FUR-FU-10004864</v>
      </c>
      <c r="E8543" t="str">
        <f>IF(COUNTIF(data1!$D:$D,D8543)=0,"Missing in Data1","Present")</f>
        <v>Present</v>
      </c>
    </row>
    <row r="8544" spans="1:5" x14ac:dyDescent="0.25">
      <c r="A8544" s="2" t="s">
        <v>6249</v>
      </c>
      <c r="B8544" s="2" t="s">
        <v>5216</v>
      </c>
      <c r="C8544" s="2">
        <v>2</v>
      </c>
      <c r="D8544" t="str">
        <f t="shared" si="133"/>
        <v>US-2016-108637_OFF-AP-10004540</v>
      </c>
      <c r="E8544" t="str">
        <f>IF(COUNTIF(data1!$D:$D,D8544)=0,"Missing in Data1","Present")</f>
        <v>Present</v>
      </c>
    </row>
    <row r="8545" spans="1:5" x14ac:dyDescent="0.25">
      <c r="A8545" s="2" t="s">
        <v>6249</v>
      </c>
      <c r="B8545" s="2" t="s">
        <v>1686</v>
      </c>
      <c r="C8545" s="2">
        <v>4</v>
      </c>
      <c r="D8545" t="str">
        <f t="shared" si="133"/>
        <v>US-2016-108637_OFF-BI-10004965</v>
      </c>
      <c r="E8545" t="str">
        <f>IF(COUNTIF(data1!$D:$D,D8545)=0,"Missing in Data1","Present")</f>
        <v>Present</v>
      </c>
    </row>
    <row r="8546" spans="1:5" x14ac:dyDescent="0.25">
      <c r="A8546" s="2" t="s">
        <v>6250</v>
      </c>
      <c r="B8546" s="2" t="s">
        <v>1117</v>
      </c>
      <c r="C8546" s="2">
        <v>3</v>
      </c>
      <c r="D8546" t="str">
        <f t="shared" si="133"/>
        <v>US-2016-108777_OFF-BI-10003982</v>
      </c>
      <c r="E8546" t="str">
        <f>IF(COUNTIF(data1!$D:$D,D8546)=0,"Missing in Data1","Present")</f>
        <v>Present</v>
      </c>
    </row>
    <row r="8547" spans="1:5" x14ac:dyDescent="0.25">
      <c r="A8547" s="2" t="s">
        <v>6250</v>
      </c>
      <c r="B8547" s="2" t="s">
        <v>710</v>
      </c>
      <c r="C8547" s="2">
        <v>6</v>
      </c>
      <c r="D8547" t="str">
        <f t="shared" si="133"/>
        <v>US-2016-108777_TEC-AC-10002567</v>
      </c>
      <c r="E8547" t="str">
        <f>IF(COUNTIF(data1!$D:$D,D8547)=0,"Missing in Data1","Present")</f>
        <v>Present</v>
      </c>
    </row>
    <row r="8548" spans="1:5" x14ac:dyDescent="0.25">
      <c r="A8548" s="2" t="s">
        <v>6252</v>
      </c>
      <c r="B8548" s="2" t="s">
        <v>3306</v>
      </c>
      <c r="C8548" s="2">
        <v>2</v>
      </c>
      <c r="D8548" t="str">
        <f t="shared" si="133"/>
        <v>US-2016-110156_FUR-FU-10000206</v>
      </c>
      <c r="E8548" t="str">
        <f>IF(COUNTIF(data1!$D:$D,D8548)=0,"Missing in Data1","Present")</f>
        <v>Present</v>
      </c>
    </row>
    <row r="8549" spans="1:5" x14ac:dyDescent="0.25">
      <c r="A8549" s="2" t="s">
        <v>6252</v>
      </c>
      <c r="B8549" s="2" t="s">
        <v>459</v>
      </c>
      <c r="C8549" s="2">
        <v>2</v>
      </c>
      <c r="D8549" t="str">
        <f t="shared" si="133"/>
        <v>US-2016-110156_OFF-BI-10002609</v>
      </c>
      <c r="E8549" t="str">
        <f>IF(COUNTIF(data1!$D:$D,D8549)=0,"Missing in Data1","Present")</f>
        <v>Present</v>
      </c>
    </row>
    <row r="8550" spans="1:5" x14ac:dyDescent="0.25">
      <c r="A8550" s="2" t="s">
        <v>6252</v>
      </c>
      <c r="B8550" s="2" t="s">
        <v>206</v>
      </c>
      <c r="C8550" s="2">
        <v>5</v>
      </c>
      <c r="D8550" t="str">
        <f t="shared" si="133"/>
        <v>US-2016-110156_OFF-BI-10003676</v>
      </c>
      <c r="E8550" t="str">
        <f>IF(COUNTIF(data1!$D:$D,D8550)=0,"Missing in Data1","Present")</f>
        <v>Present</v>
      </c>
    </row>
    <row r="8551" spans="1:5" x14ac:dyDescent="0.25">
      <c r="A8551" s="2" t="s">
        <v>6252</v>
      </c>
      <c r="B8551" s="2" t="s">
        <v>2127</v>
      </c>
      <c r="C8551" s="2">
        <v>3</v>
      </c>
      <c r="D8551" t="str">
        <f t="shared" si="133"/>
        <v>US-2016-110156_OFF-EN-10003798</v>
      </c>
      <c r="E8551" t="str">
        <f>IF(COUNTIF(data1!$D:$D,D8551)=0,"Missing in Data1","Present")</f>
        <v>Present</v>
      </c>
    </row>
    <row r="8552" spans="1:5" x14ac:dyDescent="0.25">
      <c r="A8552" s="2" t="s">
        <v>6252</v>
      </c>
      <c r="B8552" s="2" t="s">
        <v>1499</v>
      </c>
      <c r="C8552" s="2">
        <v>12</v>
      </c>
      <c r="D8552" t="str">
        <f t="shared" si="133"/>
        <v>US-2016-110156_OFF-FA-10003495</v>
      </c>
      <c r="E8552" t="str">
        <f>IF(COUNTIF(data1!$D:$D,D8552)=0,"Missing in Data1","Present")</f>
        <v>Missing in Data1</v>
      </c>
    </row>
    <row r="8553" spans="1:5" x14ac:dyDescent="0.25">
      <c r="A8553" s="2" t="s">
        <v>6252</v>
      </c>
      <c r="B8553" s="2" t="s">
        <v>4374</v>
      </c>
      <c r="C8553" s="2">
        <v>2</v>
      </c>
      <c r="D8553" t="str">
        <f t="shared" si="133"/>
        <v>US-2016-110156_OFF-PA-10004735</v>
      </c>
      <c r="E8553" t="str">
        <f>IF(COUNTIF(data1!$D:$D,D8553)=0,"Missing in Data1","Present")</f>
        <v>Present</v>
      </c>
    </row>
    <row r="8554" spans="1:5" x14ac:dyDescent="0.25">
      <c r="A8554" s="2" t="s">
        <v>6252</v>
      </c>
      <c r="B8554" s="2" t="s">
        <v>2500</v>
      </c>
      <c r="C8554" s="2">
        <v>6</v>
      </c>
      <c r="D8554" t="str">
        <f t="shared" si="133"/>
        <v>US-2016-110156_OFF-ST-10000642</v>
      </c>
      <c r="E8554" t="str">
        <f>IF(COUNTIF(data1!$D:$D,D8554)=0,"Missing in Data1","Present")</f>
        <v>Present</v>
      </c>
    </row>
    <row r="8555" spans="1:5" x14ac:dyDescent="0.25">
      <c r="A8555" s="2" t="s">
        <v>6252</v>
      </c>
      <c r="B8555" s="2" t="s">
        <v>716</v>
      </c>
      <c r="C8555" s="2">
        <v>5</v>
      </c>
      <c r="D8555" t="str">
        <f t="shared" si="133"/>
        <v>US-2016-110156_TEC-PH-10003589</v>
      </c>
      <c r="E8555" t="str">
        <f>IF(COUNTIF(data1!$D:$D,D8555)=0,"Missing in Data1","Present")</f>
        <v>Present</v>
      </c>
    </row>
    <row r="8556" spans="1:5" x14ac:dyDescent="0.25">
      <c r="A8556" s="2" t="s">
        <v>6253</v>
      </c>
      <c r="B8556" s="2" t="s">
        <v>5249</v>
      </c>
      <c r="C8556" s="2">
        <v>7</v>
      </c>
      <c r="D8556" t="str">
        <f t="shared" si="133"/>
        <v>US-2016-110170_FUR-BO-10000780</v>
      </c>
      <c r="E8556" t="str">
        <f>IF(COUNTIF(data1!$D:$D,D8556)=0,"Missing in Data1","Present")</f>
        <v>Present</v>
      </c>
    </row>
    <row r="8557" spans="1:5" x14ac:dyDescent="0.25">
      <c r="A8557" s="2" t="s">
        <v>6254</v>
      </c>
      <c r="B8557" s="2" t="s">
        <v>1644</v>
      </c>
      <c r="C8557" s="2">
        <v>5</v>
      </c>
      <c r="D8557" t="str">
        <f t="shared" si="133"/>
        <v>US-2016-111290_OFF-PA-10002262</v>
      </c>
      <c r="E8557" t="str">
        <f>IF(COUNTIF(data1!$D:$D,D8557)=0,"Missing in Data1","Present")</f>
        <v>Present</v>
      </c>
    </row>
    <row r="8558" spans="1:5" x14ac:dyDescent="0.25">
      <c r="A8558" s="2" t="s">
        <v>6254</v>
      </c>
      <c r="B8558" s="2" t="s">
        <v>342</v>
      </c>
      <c r="C8558" s="2">
        <v>5</v>
      </c>
      <c r="D8558" t="str">
        <f t="shared" si="133"/>
        <v>US-2016-111290_OFF-ST-10001932</v>
      </c>
      <c r="E8558" t="str">
        <f>IF(COUNTIF(data1!$D:$D,D8558)=0,"Missing in Data1","Present")</f>
        <v>Present</v>
      </c>
    </row>
    <row r="8559" spans="1:5" x14ac:dyDescent="0.25">
      <c r="A8559" s="2" t="s">
        <v>6255</v>
      </c>
      <c r="B8559" s="2" t="s">
        <v>2006</v>
      </c>
      <c r="C8559" s="2">
        <v>1</v>
      </c>
      <c r="D8559" t="str">
        <f t="shared" si="133"/>
        <v>US-2016-111528_OFF-BI-10002194</v>
      </c>
      <c r="E8559" t="str">
        <f>IF(COUNTIF(data1!$D:$D,D8559)=0,"Missing in Data1","Present")</f>
        <v>Present</v>
      </c>
    </row>
    <row r="8560" spans="1:5" x14ac:dyDescent="0.25">
      <c r="A8560" s="2" t="s">
        <v>6255</v>
      </c>
      <c r="B8560" s="2" t="s">
        <v>2019</v>
      </c>
      <c r="C8560" s="2">
        <v>4</v>
      </c>
      <c r="D8560" t="str">
        <f t="shared" si="133"/>
        <v>US-2016-111528_OFF-ST-10001526</v>
      </c>
      <c r="E8560" t="str">
        <f>IF(COUNTIF(data1!$D:$D,D8560)=0,"Missing in Data1","Present")</f>
        <v>Present</v>
      </c>
    </row>
    <row r="8561" spans="1:5" x14ac:dyDescent="0.25">
      <c r="A8561" s="2" t="s">
        <v>6256</v>
      </c>
      <c r="B8561" s="2" t="s">
        <v>160</v>
      </c>
      <c r="C8561" s="2">
        <v>4</v>
      </c>
      <c r="D8561" t="str">
        <f t="shared" si="133"/>
        <v>US-2016-111563_FUR-FU-10000723</v>
      </c>
      <c r="E8561" t="str">
        <f>IF(COUNTIF(data1!$D:$D,D8561)=0,"Missing in Data1","Present")</f>
        <v>Present</v>
      </c>
    </row>
    <row r="8562" spans="1:5" x14ac:dyDescent="0.25">
      <c r="A8562" s="2" t="s">
        <v>6256</v>
      </c>
      <c r="B8562" s="2" t="s">
        <v>3041</v>
      </c>
      <c r="C8562" s="2">
        <v>3</v>
      </c>
      <c r="D8562" t="str">
        <f t="shared" si="133"/>
        <v>US-2016-111563_FUR-FU-10002445</v>
      </c>
      <c r="E8562" t="str">
        <f>IF(COUNTIF(data1!$D:$D,D8562)=0,"Missing in Data1","Present")</f>
        <v>Present</v>
      </c>
    </row>
    <row r="8563" spans="1:5" x14ac:dyDescent="0.25">
      <c r="A8563" s="2" t="s">
        <v>6257</v>
      </c>
      <c r="B8563" s="2" t="s">
        <v>131</v>
      </c>
      <c r="C8563" s="2">
        <v>3</v>
      </c>
      <c r="D8563" t="str">
        <f t="shared" si="133"/>
        <v>US-2016-112396_TEC-AC-10003628</v>
      </c>
      <c r="E8563" t="str">
        <f>IF(COUNTIF(data1!$D:$D,D8563)=0,"Missing in Data1","Present")</f>
        <v>Present</v>
      </c>
    </row>
    <row r="8564" spans="1:5" x14ac:dyDescent="0.25">
      <c r="A8564" s="2" t="s">
        <v>6257</v>
      </c>
      <c r="B8564" s="2" t="s">
        <v>2025</v>
      </c>
      <c r="C8564" s="2">
        <v>2</v>
      </c>
      <c r="D8564" t="str">
        <f t="shared" si="133"/>
        <v>US-2016-112396_TEC-AC-10004761</v>
      </c>
      <c r="E8564" t="str">
        <f>IF(COUNTIF(data1!$D:$D,D8564)=0,"Missing in Data1","Present")</f>
        <v>Present</v>
      </c>
    </row>
    <row r="8565" spans="1:5" x14ac:dyDescent="0.25">
      <c r="A8565" s="2" t="s">
        <v>6259</v>
      </c>
      <c r="B8565" s="2" t="s">
        <v>437</v>
      </c>
      <c r="C8565" s="2">
        <v>1</v>
      </c>
      <c r="D8565" t="str">
        <f t="shared" si="133"/>
        <v>US-2016-112977_FUR-BO-10003272</v>
      </c>
      <c r="E8565" t="str">
        <f>IF(COUNTIF(data1!$D:$D,D8565)=0,"Missing in Data1","Present")</f>
        <v>Present</v>
      </c>
    </row>
    <row r="8566" spans="1:5" x14ac:dyDescent="0.25">
      <c r="A8566" s="2" t="s">
        <v>6260</v>
      </c>
      <c r="B8566" s="2" t="s">
        <v>3648</v>
      </c>
      <c r="C8566" s="2">
        <v>3</v>
      </c>
      <c r="D8566" t="str">
        <f t="shared" si="133"/>
        <v>US-2016-113509_TEC-AC-10004855</v>
      </c>
      <c r="E8566" t="str">
        <f>IF(COUNTIF(data1!$D:$D,D8566)=0,"Missing in Data1","Present")</f>
        <v>Present</v>
      </c>
    </row>
    <row r="8567" spans="1:5" x14ac:dyDescent="0.25">
      <c r="A8567" s="2" t="s">
        <v>6261</v>
      </c>
      <c r="B8567" s="2" t="s">
        <v>1189</v>
      </c>
      <c r="C8567" s="2">
        <v>4</v>
      </c>
      <c r="D8567" t="str">
        <f t="shared" si="133"/>
        <v>US-2016-113649_OFF-AP-10002518</v>
      </c>
      <c r="E8567" t="str">
        <f>IF(COUNTIF(data1!$D:$D,D8567)=0,"Missing in Data1","Present")</f>
        <v>Present</v>
      </c>
    </row>
    <row r="8568" spans="1:5" x14ac:dyDescent="0.25">
      <c r="A8568" s="2" t="s">
        <v>6261</v>
      </c>
      <c r="B8568" s="2" t="s">
        <v>6125</v>
      </c>
      <c r="C8568" s="2">
        <v>9</v>
      </c>
      <c r="D8568" t="str">
        <f t="shared" si="133"/>
        <v>US-2016-113649_OFF-PA-10000130</v>
      </c>
      <c r="E8568" t="str">
        <f>IF(COUNTIF(data1!$D:$D,D8568)=0,"Missing in Data1","Present")</f>
        <v>Present</v>
      </c>
    </row>
    <row r="8569" spans="1:5" x14ac:dyDescent="0.25">
      <c r="A8569" s="2" t="s">
        <v>6261</v>
      </c>
      <c r="B8569" s="2" t="s">
        <v>2782</v>
      </c>
      <c r="C8569" s="2">
        <v>2</v>
      </c>
      <c r="D8569" t="str">
        <f t="shared" si="133"/>
        <v>US-2016-113649_TEC-PH-10002350</v>
      </c>
      <c r="E8569" t="str">
        <f>IF(COUNTIF(data1!$D:$D,D8569)=0,"Missing in Data1","Present")</f>
        <v>Present</v>
      </c>
    </row>
    <row r="8570" spans="1:5" x14ac:dyDescent="0.25">
      <c r="A8570" s="2" t="s">
        <v>6262</v>
      </c>
      <c r="B8570" s="2" t="s">
        <v>279</v>
      </c>
      <c r="C8570" s="2">
        <v>3</v>
      </c>
      <c r="D8570" t="str">
        <f t="shared" si="133"/>
        <v>US-2016-113677_OFF-LA-10001569</v>
      </c>
      <c r="E8570" t="str">
        <f>IF(COUNTIF(data1!$D:$D,D8570)=0,"Missing in Data1","Present")</f>
        <v>Present</v>
      </c>
    </row>
    <row r="8571" spans="1:5" x14ac:dyDescent="0.25">
      <c r="A8571" s="2" t="s">
        <v>6262</v>
      </c>
      <c r="B8571" s="2" t="s">
        <v>6263</v>
      </c>
      <c r="C8571" s="2">
        <v>4</v>
      </c>
      <c r="D8571" t="str">
        <f t="shared" si="133"/>
        <v>US-2016-113677_TEC-PH-10002114</v>
      </c>
      <c r="E8571" t="str">
        <f>IF(COUNTIF(data1!$D:$D,D8571)=0,"Missing in Data1","Present")</f>
        <v>Present</v>
      </c>
    </row>
    <row r="8572" spans="1:5" x14ac:dyDescent="0.25">
      <c r="A8572" s="2" t="s">
        <v>6264</v>
      </c>
      <c r="B8572" s="2" t="s">
        <v>6130</v>
      </c>
      <c r="C8572" s="2">
        <v>3</v>
      </c>
      <c r="D8572" t="str">
        <f t="shared" si="133"/>
        <v>US-2016-113985_FUR-FU-10003026</v>
      </c>
      <c r="E8572" t="str">
        <f>IF(COUNTIF(data1!$D:$D,D8572)=0,"Missing in Data1","Present")</f>
        <v>Present</v>
      </c>
    </row>
    <row r="8573" spans="1:5" x14ac:dyDescent="0.25">
      <c r="A8573" s="2" t="s">
        <v>6264</v>
      </c>
      <c r="B8573" s="2" t="s">
        <v>706</v>
      </c>
      <c r="C8573" s="2">
        <v>3</v>
      </c>
      <c r="D8573" t="str">
        <f t="shared" si="133"/>
        <v>US-2016-113985_OFF-AP-10001303</v>
      </c>
      <c r="E8573" t="str">
        <f>IF(COUNTIF(data1!$D:$D,D8573)=0,"Missing in Data1","Present")</f>
        <v>Present</v>
      </c>
    </row>
    <row r="8574" spans="1:5" x14ac:dyDescent="0.25">
      <c r="A8574" s="2" t="s">
        <v>6264</v>
      </c>
      <c r="B8574" s="2" t="s">
        <v>740</v>
      </c>
      <c r="C8574" s="2">
        <v>3</v>
      </c>
      <c r="D8574" t="str">
        <f t="shared" si="133"/>
        <v>US-2016-113985_OFF-BI-10000632</v>
      </c>
      <c r="E8574" t="str">
        <f>IF(COUNTIF(data1!$D:$D,D8574)=0,"Missing in Data1","Present")</f>
        <v>Present</v>
      </c>
    </row>
    <row r="8575" spans="1:5" x14ac:dyDescent="0.25">
      <c r="A8575" s="2" t="s">
        <v>6264</v>
      </c>
      <c r="B8575" s="2" t="s">
        <v>955</v>
      </c>
      <c r="C8575" s="2">
        <v>2</v>
      </c>
      <c r="D8575" t="str">
        <f t="shared" si="133"/>
        <v>US-2016-113985_OFF-BI-10002353</v>
      </c>
      <c r="E8575" t="str">
        <f>IF(COUNTIF(data1!$D:$D,D8575)=0,"Missing in Data1","Present")</f>
        <v>Present</v>
      </c>
    </row>
    <row r="8576" spans="1:5" x14ac:dyDescent="0.25">
      <c r="A8576" s="2" t="s">
        <v>6265</v>
      </c>
      <c r="B8576" s="2" t="s">
        <v>1083</v>
      </c>
      <c r="C8576" s="2">
        <v>2</v>
      </c>
      <c r="D8576" t="str">
        <f t="shared" si="133"/>
        <v>US-2016-114013_FUR-CH-10004287</v>
      </c>
      <c r="E8576" t="str">
        <f>IF(COUNTIF(data1!$D:$D,D8576)=0,"Missing in Data1","Present")</f>
        <v>Present</v>
      </c>
    </row>
    <row r="8577" spans="1:5" x14ac:dyDescent="0.25">
      <c r="A8577" s="2" t="s">
        <v>6265</v>
      </c>
      <c r="B8577" s="2" t="s">
        <v>955</v>
      </c>
      <c r="C8577" s="2">
        <v>5</v>
      </c>
      <c r="D8577" t="str">
        <f t="shared" si="133"/>
        <v>US-2016-114013_OFF-BI-10002353</v>
      </c>
      <c r="E8577" t="str">
        <f>IF(COUNTIF(data1!$D:$D,D8577)=0,"Missing in Data1","Present")</f>
        <v>Missing in Data1</v>
      </c>
    </row>
    <row r="8578" spans="1:5" x14ac:dyDescent="0.25">
      <c r="A8578" s="2" t="s">
        <v>6265</v>
      </c>
      <c r="B8578" s="2" t="s">
        <v>3214</v>
      </c>
      <c r="C8578" s="2">
        <v>1</v>
      </c>
      <c r="D8578" t="str">
        <f t="shared" si="133"/>
        <v>US-2016-114013_OFF-BI-10004318</v>
      </c>
      <c r="E8578" t="str">
        <f>IF(COUNTIF(data1!$D:$D,D8578)=0,"Missing in Data1","Present")</f>
        <v>Present</v>
      </c>
    </row>
    <row r="8579" spans="1:5" x14ac:dyDescent="0.25">
      <c r="A8579" s="2" t="s">
        <v>6265</v>
      </c>
      <c r="B8579" s="2" t="s">
        <v>2240</v>
      </c>
      <c r="C8579" s="2">
        <v>5</v>
      </c>
      <c r="D8579" t="str">
        <f t="shared" ref="D8579:D8642" si="134">A8579&amp;"_"&amp;B8579</f>
        <v>US-2016-114013_OFF-PA-10004996</v>
      </c>
      <c r="E8579" t="str">
        <f>IF(COUNTIF(data1!$D:$D,D8579)=0,"Missing in Data1","Present")</f>
        <v>Present</v>
      </c>
    </row>
    <row r="8580" spans="1:5" x14ac:dyDescent="0.25">
      <c r="A8580" s="2" t="s">
        <v>6265</v>
      </c>
      <c r="B8580" s="2" t="s">
        <v>116</v>
      </c>
      <c r="C8580" s="2">
        <v>5</v>
      </c>
      <c r="D8580" t="str">
        <f t="shared" si="134"/>
        <v>US-2016-114013_OFF-ST-10002574</v>
      </c>
      <c r="E8580" t="str">
        <f>IF(COUNTIF(data1!$D:$D,D8580)=0,"Missing in Data1","Present")</f>
        <v>Present</v>
      </c>
    </row>
    <row r="8581" spans="1:5" x14ac:dyDescent="0.25">
      <c r="A8581" s="2" t="s">
        <v>6265</v>
      </c>
      <c r="B8581" s="2" t="s">
        <v>1011</v>
      </c>
      <c r="C8581" s="2">
        <v>2</v>
      </c>
      <c r="D8581" t="str">
        <f t="shared" si="134"/>
        <v>US-2016-114013_OFF-ST-10003641</v>
      </c>
      <c r="E8581" t="str">
        <f>IF(COUNTIF(data1!$D:$D,D8581)=0,"Missing in Data1","Present")</f>
        <v>Present</v>
      </c>
    </row>
    <row r="8582" spans="1:5" x14ac:dyDescent="0.25">
      <c r="A8582" s="2" t="s">
        <v>6265</v>
      </c>
      <c r="B8582" s="2" t="s">
        <v>19</v>
      </c>
      <c r="C8582" s="2">
        <v>5</v>
      </c>
      <c r="D8582" t="str">
        <f t="shared" si="134"/>
        <v>US-2016-114013_TEC-AC-10000474</v>
      </c>
      <c r="E8582" t="str">
        <f>IF(COUNTIF(data1!$D:$D,D8582)=0,"Missing in Data1","Present")</f>
        <v>Present</v>
      </c>
    </row>
    <row r="8583" spans="1:5" x14ac:dyDescent="0.25">
      <c r="A8583" s="2" t="s">
        <v>6265</v>
      </c>
      <c r="B8583" s="2" t="s">
        <v>3157</v>
      </c>
      <c r="C8583" s="2">
        <v>3</v>
      </c>
      <c r="D8583" t="str">
        <f t="shared" si="134"/>
        <v>US-2016-114013_TEC-MA-10001148</v>
      </c>
      <c r="E8583" t="str">
        <f>IF(COUNTIF(data1!$D:$D,D8583)=0,"Missing in Data1","Present")</f>
        <v>Present</v>
      </c>
    </row>
    <row r="8584" spans="1:5" x14ac:dyDescent="0.25">
      <c r="A8584" s="2" t="s">
        <v>6266</v>
      </c>
      <c r="B8584" s="2" t="s">
        <v>1944</v>
      </c>
      <c r="C8584" s="2">
        <v>3</v>
      </c>
      <c r="D8584" t="str">
        <f t="shared" si="134"/>
        <v>US-2016-114174_FUR-BO-10003450</v>
      </c>
      <c r="E8584" t="str">
        <f>IF(COUNTIF(data1!$D:$D,D8584)=0,"Missing in Data1","Present")</f>
        <v>Present</v>
      </c>
    </row>
    <row r="8585" spans="1:5" x14ac:dyDescent="0.25">
      <c r="A8585" s="2" t="s">
        <v>6266</v>
      </c>
      <c r="B8585" s="2" t="s">
        <v>870</v>
      </c>
      <c r="C8585" s="2">
        <v>4</v>
      </c>
      <c r="D8585" t="str">
        <f t="shared" si="134"/>
        <v>US-2016-114174_OFF-LA-10000248</v>
      </c>
      <c r="E8585" t="str">
        <f>IF(COUNTIF(data1!$D:$D,D8585)=0,"Missing in Data1","Present")</f>
        <v>Present</v>
      </c>
    </row>
    <row r="8586" spans="1:5" x14ac:dyDescent="0.25">
      <c r="A8586" s="2" t="s">
        <v>6267</v>
      </c>
      <c r="B8586" s="2" t="s">
        <v>381</v>
      </c>
      <c r="C8586" s="2">
        <v>4</v>
      </c>
      <c r="D8586" t="str">
        <f t="shared" si="134"/>
        <v>US-2016-114230_OFF-ST-10000876</v>
      </c>
      <c r="E8586" t="str">
        <f>IF(COUNTIF(data1!$D:$D,D8586)=0,"Missing in Data1","Present")</f>
        <v>Present</v>
      </c>
    </row>
    <row r="8587" spans="1:5" x14ac:dyDescent="0.25">
      <c r="A8587" s="2" t="s">
        <v>6268</v>
      </c>
      <c r="B8587" s="2" t="s">
        <v>246</v>
      </c>
      <c r="C8587" s="2">
        <v>4</v>
      </c>
      <c r="D8587" t="str">
        <f t="shared" si="134"/>
        <v>US-2016-114293_FUR-CH-10003833</v>
      </c>
      <c r="E8587" t="str">
        <f>IF(COUNTIF(data1!$D:$D,D8587)=0,"Missing in Data1","Present")</f>
        <v>Present</v>
      </c>
    </row>
    <row r="8588" spans="1:5" x14ac:dyDescent="0.25">
      <c r="A8588" s="2" t="s">
        <v>6269</v>
      </c>
      <c r="B8588" s="2" t="s">
        <v>344</v>
      </c>
      <c r="C8588" s="2">
        <v>2</v>
      </c>
      <c r="D8588" t="str">
        <f t="shared" si="134"/>
        <v>US-2016-114622_OFF-BI-10004716</v>
      </c>
      <c r="E8588" t="str">
        <f>IF(COUNTIF(data1!$D:$D,D8588)=0,"Missing in Data1","Present")</f>
        <v>Present</v>
      </c>
    </row>
    <row r="8589" spans="1:5" x14ac:dyDescent="0.25">
      <c r="A8589" s="2" t="s">
        <v>6270</v>
      </c>
      <c r="B8589" s="2" t="s">
        <v>1728</v>
      </c>
      <c r="C8589" s="2">
        <v>3</v>
      </c>
      <c r="D8589" t="str">
        <f t="shared" si="134"/>
        <v>US-2016-114776_OFF-PA-10004100</v>
      </c>
      <c r="E8589" t="str">
        <f>IF(COUNTIF(data1!$D:$D,D8589)=0,"Missing in Data1","Present")</f>
        <v>Present</v>
      </c>
    </row>
    <row r="8590" spans="1:5" x14ac:dyDescent="0.25">
      <c r="A8590" s="2" t="s">
        <v>6271</v>
      </c>
      <c r="B8590" s="2" t="s">
        <v>4501</v>
      </c>
      <c r="C8590" s="2">
        <v>3</v>
      </c>
      <c r="D8590" t="str">
        <f t="shared" si="134"/>
        <v>US-2016-114888_OFF-SU-10001212</v>
      </c>
      <c r="E8590" t="str">
        <f>IF(COUNTIF(data1!$D:$D,D8590)=0,"Missing in Data1","Present")</f>
        <v>Missing in Data1</v>
      </c>
    </row>
    <row r="8591" spans="1:5" x14ac:dyDescent="0.25">
      <c r="A8591" s="2" t="s">
        <v>6272</v>
      </c>
      <c r="B8591" s="2" t="s">
        <v>524</v>
      </c>
      <c r="C8591" s="2">
        <v>4</v>
      </c>
      <c r="D8591" t="str">
        <f t="shared" si="134"/>
        <v>US-2016-115441_FUR-CH-10004626</v>
      </c>
      <c r="E8591" t="str">
        <f>IF(COUNTIF(data1!$D:$D,D8591)=0,"Missing in Data1","Present")</f>
        <v>Present</v>
      </c>
    </row>
    <row r="8592" spans="1:5" x14ac:dyDescent="0.25">
      <c r="A8592" s="2" t="s">
        <v>6272</v>
      </c>
      <c r="B8592" s="2" t="s">
        <v>1411</v>
      </c>
      <c r="C8592" s="2">
        <v>5</v>
      </c>
      <c r="D8592" t="str">
        <f t="shared" si="134"/>
        <v>US-2016-115441_FUR-FU-10001756</v>
      </c>
      <c r="E8592" t="str">
        <f>IF(COUNTIF(data1!$D:$D,D8592)=0,"Missing in Data1","Present")</f>
        <v>Missing in Data1</v>
      </c>
    </row>
    <row r="8593" spans="1:5" x14ac:dyDescent="0.25">
      <c r="A8593" s="2" t="s">
        <v>6272</v>
      </c>
      <c r="B8593" s="2" t="s">
        <v>2240</v>
      </c>
      <c r="C8593" s="2">
        <v>2</v>
      </c>
      <c r="D8593" t="str">
        <f t="shared" si="134"/>
        <v>US-2016-115441_OFF-PA-10004996</v>
      </c>
      <c r="E8593" t="str">
        <f>IF(COUNTIF(data1!$D:$D,D8593)=0,"Missing in Data1","Present")</f>
        <v>Present</v>
      </c>
    </row>
    <row r="8594" spans="1:5" x14ac:dyDescent="0.25">
      <c r="A8594" s="2" t="s">
        <v>6272</v>
      </c>
      <c r="B8594" s="2" t="s">
        <v>2435</v>
      </c>
      <c r="C8594" s="2">
        <v>5</v>
      </c>
      <c r="D8594" t="str">
        <f t="shared" si="134"/>
        <v>US-2016-115441_TEC-PH-10002262</v>
      </c>
      <c r="E8594" t="str">
        <f>IF(COUNTIF(data1!$D:$D,D8594)=0,"Missing in Data1","Present")</f>
        <v>Present</v>
      </c>
    </row>
    <row r="8595" spans="1:5" x14ac:dyDescent="0.25">
      <c r="A8595" s="2" t="s">
        <v>6273</v>
      </c>
      <c r="B8595" s="2" t="s">
        <v>164</v>
      </c>
      <c r="C8595" s="2">
        <v>2</v>
      </c>
      <c r="D8595" t="str">
        <f t="shared" si="134"/>
        <v>US-2016-115455_FUR-FU-10004671</v>
      </c>
      <c r="E8595" t="str">
        <f>IF(COUNTIF(data1!$D:$D,D8595)=0,"Missing in Data1","Present")</f>
        <v>Present</v>
      </c>
    </row>
    <row r="8596" spans="1:5" x14ac:dyDescent="0.25">
      <c r="A8596" s="2" t="s">
        <v>6273</v>
      </c>
      <c r="B8596" s="2" t="s">
        <v>766</v>
      </c>
      <c r="C8596" s="2">
        <v>3</v>
      </c>
      <c r="D8596" t="str">
        <f t="shared" si="134"/>
        <v>US-2016-115455_FUR-TA-10003569</v>
      </c>
      <c r="E8596" t="str">
        <f>IF(COUNTIF(data1!$D:$D,D8596)=0,"Missing in Data1","Present")</f>
        <v>Present</v>
      </c>
    </row>
    <row r="8597" spans="1:5" x14ac:dyDescent="0.25">
      <c r="A8597" s="2" t="s">
        <v>6274</v>
      </c>
      <c r="B8597" s="2" t="s">
        <v>2061</v>
      </c>
      <c r="C8597" s="2">
        <v>3</v>
      </c>
      <c r="D8597" t="str">
        <f t="shared" si="134"/>
        <v>US-2016-115819_OFF-AR-10000823</v>
      </c>
      <c r="E8597" t="str">
        <f>IF(COUNTIF(data1!$D:$D,D8597)=0,"Missing in Data1","Present")</f>
        <v>Present</v>
      </c>
    </row>
    <row r="8598" spans="1:5" x14ac:dyDescent="0.25">
      <c r="A8598" s="2" t="s">
        <v>6274</v>
      </c>
      <c r="B8598" s="2" t="s">
        <v>1788</v>
      </c>
      <c r="C8598" s="2">
        <v>5</v>
      </c>
      <c r="D8598" t="str">
        <f t="shared" si="134"/>
        <v>US-2016-115819_OFF-AR-10004456</v>
      </c>
      <c r="E8598" t="str">
        <f>IF(COUNTIF(data1!$D:$D,D8598)=0,"Missing in Data1","Present")</f>
        <v>Present</v>
      </c>
    </row>
    <row r="8599" spans="1:5" x14ac:dyDescent="0.25">
      <c r="A8599" s="2" t="s">
        <v>6274</v>
      </c>
      <c r="B8599" s="2" t="s">
        <v>211</v>
      </c>
      <c r="C8599" s="2">
        <v>1</v>
      </c>
      <c r="D8599" t="str">
        <f t="shared" si="134"/>
        <v>US-2016-115819_OFF-BI-10000050</v>
      </c>
      <c r="E8599" t="str">
        <f>IF(COUNTIF(data1!$D:$D,D8599)=0,"Missing in Data1","Present")</f>
        <v>Missing in Data1</v>
      </c>
    </row>
    <row r="8600" spans="1:5" x14ac:dyDescent="0.25">
      <c r="A8600" s="2" t="s">
        <v>6274</v>
      </c>
      <c r="B8600" s="2" t="s">
        <v>448</v>
      </c>
      <c r="C8600" s="2">
        <v>3</v>
      </c>
      <c r="D8600" t="str">
        <f t="shared" si="134"/>
        <v>US-2016-115819_OFF-BI-10000591</v>
      </c>
      <c r="E8600" t="str">
        <f>IF(COUNTIF(data1!$D:$D,D8600)=0,"Missing in Data1","Present")</f>
        <v>Present</v>
      </c>
    </row>
    <row r="8601" spans="1:5" x14ac:dyDescent="0.25">
      <c r="A8601" s="2" t="s">
        <v>6274</v>
      </c>
      <c r="B8601" s="2" t="s">
        <v>592</v>
      </c>
      <c r="C8601" s="2">
        <v>4</v>
      </c>
      <c r="D8601" t="str">
        <f t="shared" si="134"/>
        <v>US-2016-115819_OFF-PA-10002377</v>
      </c>
      <c r="E8601" t="str">
        <f>IF(COUNTIF(data1!$D:$D,D8601)=0,"Missing in Data1","Present")</f>
        <v>Present</v>
      </c>
    </row>
    <row r="8602" spans="1:5" x14ac:dyDescent="0.25">
      <c r="A8602" s="2" t="s">
        <v>6274</v>
      </c>
      <c r="B8602" s="2" t="s">
        <v>892</v>
      </c>
      <c r="C8602" s="2">
        <v>5</v>
      </c>
      <c r="D8602" t="str">
        <f t="shared" si="134"/>
        <v>US-2016-115819_TEC-PH-10004700</v>
      </c>
      <c r="E8602" t="str">
        <f>IF(COUNTIF(data1!$D:$D,D8602)=0,"Missing in Data1","Present")</f>
        <v>Present</v>
      </c>
    </row>
    <row r="8603" spans="1:5" x14ac:dyDescent="0.25">
      <c r="A8603" s="2" t="s">
        <v>6275</v>
      </c>
      <c r="B8603" s="2" t="s">
        <v>483</v>
      </c>
      <c r="C8603" s="2">
        <v>5</v>
      </c>
      <c r="D8603" t="str">
        <f t="shared" si="134"/>
        <v>US-2016-115952_OFF-BI-10004654</v>
      </c>
      <c r="E8603" t="str">
        <f>IF(COUNTIF(data1!$D:$D,D8603)=0,"Missing in Data1","Present")</f>
        <v>Present</v>
      </c>
    </row>
    <row r="8604" spans="1:5" x14ac:dyDescent="0.25">
      <c r="A8604" s="2" t="s">
        <v>6276</v>
      </c>
      <c r="B8604" s="2" t="s">
        <v>2645</v>
      </c>
      <c r="C8604" s="2">
        <v>2</v>
      </c>
      <c r="D8604" t="str">
        <f t="shared" si="134"/>
        <v>US-2016-116365_TEC-AC-10002217</v>
      </c>
      <c r="E8604" t="str">
        <f>IF(COUNTIF(data1!$D:$D,D8604)=0,"Missing in Data1","Present")</f>
        <v>Present</v>
      </c>
    </row>
    <row r="8605" spans="1:5" x14ac:dyDescent="0.25">
      <c r="A8605" s="2" t="s">
        <v>6276</v>
      </c>
      <c r="B8605" s="2" t="s">
        <v>578</v>
      </c>
      <c r="C8605" s="2">
        <v>3</v>
      </c>
      <c r="D8605" t="str">
        <f t="shared" si="134"/>
        <v>US-2016-116365_TEC-AC-10002942</v>
      </c>
      <c r="E8605" t="str">
        <f>IF(COUNTIF(data1!$D:$D,D8605)=0,"Missing in Data1","Present")</f>
        <v>Missing in Data1</v>
      </c>
    </row>
    <row r="8606" spans="1:5" x14ac:dyDescent="0.25">
      <c r="A8606" s="2" t="s">
        <v>6276</v>
      </c>
      <c r="B8606" s="2" t="s">
        <v>737</v>
      </c>
      <c r="C8606" s="2">
        <v>5</v>
      </c>
      <c r="D8606" t="str">
        <f t="shared" si="134"/>
        <v>US-2016-116365_TEC-PH-10002890</v>
      </c>
      <c r="E8606" t="str">
        <f>IF(COUNTIF(data1!$D:$D,D8606)=0,"Missing in Data1","Present")</f>
        <v>Present</v>
      </c>
    </row>
    <row r="8607" spans="1:5" x14ac:dyDescent="0.25">
      <c r="A8607" s="2" t="s">
        <v>6277</v>
      </c>
      <c r="B8607" s="2" t="s">
        <v>3538</v>
      </c>
      <c r="C8607" s="2">
        <v>4</v>
      </c>
      <c r="D8607" t="str">
        <f t="shared" si="134"/>
        <v>US-2016-116400_FUR-FU-10003731</v>
      </c>
      <c r="E8607" t="str">
        <f>IF(COUNTIF(data1!$D:$D,D8607)=0,"Missing in Data1","Present")</f>
        <v>Present</v>
      </c>
    </row>
    <row r="8608" spans="1:5" x14ac:dyDescent="0.25">
      <c r="A8608" s="2" t="s">
        <v>6278</v>
      </c>
      <c r="B8608" s="2" t="s">
        <v>1325</v>
      </c>
      <c r="C8608" s="2">
        <v>2</v>
      </c>
      <c r="D8608" t="str">
        <f t="shared" si="134"/>
        <v>US-2016-116442_FUR-FU-10002364</v>
      </c>
      <c r="E8608" t="str">
        <f>IF(COUNTIF(data1!$D:$D,D8608)=0,"Missing in Data1","Present")</f>
        <v>Present</v>
      </c>
    </row>
    <row r="8609" spans="1:5" x14ac:dyDescent="0.25">
      <c r="A8609" s="2" t="s">
        <v>6279</v>
      </c>
      <c r="B8609" s="2" t="s">
        <v>572</v>
      </c>
      <c r="C8609" s="2">
        <v>7</v>
      </c>
      <c r="D8609" t="str">
        <f t="shared" si="134"/>
        <v>US-2016-116729_OFF-PA-10002005</v>
      </c>
      <c r="E8609" t="str">
        <f>IF(COUNTIF(data1!$D:$D,D8609)=0,"Missing in Data1","Present")</f>
        <v>Present</v>
      </c>
    </row>
    <row r="8610" spans="1:5" x14ac:dyDescent="0.25">
      <c r="A8610" s="2" t="s">
        <v>6279</v>
      </c>
      <c r="B8610" s="2" t="s">
        <v>161</v>
      </c>
      <c r="C8610" s="2">
        <v>7</v>
      </c>
      <c r="D8610" t="str">
        <f t="shared" si="134"/>
        <v>US-2016-116729_TEC-AC-10001465</v>
      </c>
      <c r="E8610" t="str">
        <f>IF(COUNTIF(data1!$D:$D,D8610)=0,"Missing in Data1","Present")</f>
        <v>Present</v>
      </c>
    </row>
    <row r="8611" spans="1:5" x14ac:dyDescent="0.25">
      <c r="A8611" s="2" t="s">
        <v>6279</v>
      </c>
      <c r="B8611" s="2" t="s">
        <v>2715</v>
      </c>
      <c r="C8611" s="2">
        <v>7</v>
      </c>
      <c r="D8611" t="str">
        <f t="shared" si="134"/>
        <v>US-2016-116729_TEC-PH-10002200</v>
      </c>
      <c r="E8611" t="str">
        <f>IF(COUNTIF(data1!$D:$D,D8611)=0,"Missing in Data1","Present")</f>
        <v>Present</v>
      </c>
    </row>
    <row r="8612" spans="1:5" x14ac:dyDescent="0.25">
      <c r="A8612" s="2" t="s">
        <v>6280</v>
      </c>
      <c r="B8612" s="2" t="s">
        <v>3711</v>
      </c>
      <c r="C8612" s="2">
        <v>1</v>
      </c>
      <c r="D8612" t="str">
        <f t="shared" si="134"/>
        <v>US-2016-117037_OFF-BI-10000279</v>
      </c>
      <c r="E8612" t="str">
        <f>IF(COUNTIF(data1!$D:$D,D8612)=0,"Missing in Data1","Present")</f>
        <v>Present</v>
      </c>
    </row>
    <row r="8613" spans="1:5" x14ac:dyDescent="0.25">
      <c r="A8613" s="2" t="s">
        <v>6280</v>
      </c>
      <c r="B8613" s="2" t="s">
        <v>821</v>
      </c>
      <c r="C8613" s="2">
        <v>3</v>
      </c>
      <c r="D8613" t="str">
        <f t="shared" si="134"/>
        <v>US-2016-117037_OFF-FA-10000936</v>
      </c>
      <c r="E8613" t="str">
        <f>IF(COUNTIF(data1!$D:$D,D8613)=0,"Missing in Data1","Present")</f>
        <v>Present</v>
      </c>
    </row>
    <row r="8614" spans="1:5" x14ac:dyDescent="0.25">
      <c r="A8614" s="2" t="s">
        <v>6280</v>
      </c>
      <c r="B8614" s="2" t="s">
        <v>3814</v>
      </c>
      <c r="C8614" s="2">
        <v>8</v>
      </c>
      <c r="D8614" t="str">
        <f t="shared" si="134"/>
        <v>US-2016-117037_OFF-PA-10000791</v>
      </c>
      <c r="E8614" t="str">
        <f>IF(COUNTIF(data1!$D:$D,D8614)=0,"Missing in Data1","Present")</f>
        <v>Present</v>
      </c>
    </row>
    <row r="8615" spans="1:5" x14ac:dyDescent="0.25">
      <c r="A8615" s="2" t="s">
        <v>6281</v>
      </c>
      <c r="B8615" s="2" t="s">
        <v>354</v>
      </c>
      <c r="C8615" s="2">
        <v>4</v>
      </c>
      <c r="D8615" t="str">
        <f t="shared" si="134"/>
        <v>US-2016-117387_OFF-BI-10004308</v>
      </c>
      <c r="E8615" t="str">
        <f>IF(COUNTIF(data1!$D:$D,D8615)=0,"Missing in Data1","Present")</f>
        <v>Present</v>
      </c>
    </row>
    <row r="8616" spans="1:5" x14ac:dyDescent="0.25">
      <c r="A8616" s="2" t="s">
        <v>6282</v>
      </c>
      <c r="B8616" s="2" t="s">
        <v>388</v>
      </c>
      <c r="C8616" s="2">
        <v>4</v>
      </c>
      <c r="D8616" t="str">
        <f t="shared" si="134"/>
        <v>US-2016-117541_FUR-FU-10000550</v>
      </c>
      <c r="E8616" t="str">
        <f>IF(COUNTIF(data1!$D:$D,D8616)=0,"Missing in Data1","Present")</f>
        <v>Missing in Data1</v>
      </c>
    </row>
    <row r="8617" spans="1:5" x14ac:dyDescent="0.25">
      <c r="A8617" s="2" t="s">
        <v>6282</v>
      </c>
      <c r="B8617" s="2" t="s">
        <v>1517</v>
      </c>
      <c r="C8617" s="2">
        <v>5</v>
      </c>
      <c r="D8617" t="str">
        <f t="shared" si="134"/>
        <v>US-2016-117541_OFF-PA-10001609</v>
      </c>
      <c r="E8617" t="str">
        <f>IF(COUNTIF(data1!$D:$D,D8617)=0,"Missing in Data1","Present")</f>
        <v>Present</v>
      </c>
    </row>
    <row r="8618" spans="1:5" x14ac:dyDescent="0.25">
      <c r="A8618" s="2" t="s">
        <v>6283</v>
      </c>
      <c r="B8618" s="2" t="s">
        <v>720</v>
      </c>
      <c r="C8618" s="2">
        <v>4</v>
      </c>
      <c r="D8618" t="str">
        <f t="shared" si="134"/>
        <v>US-2016-117793_OFF-LA-10002945</v>
      </c>
      <c r="E8618" t="str">
        <f>IF(COUNTIF(data1!$D:$D,D8618)=0,"Missing in Data1","Present")</f>
        <v>Present</v>
      </c>
    </row>
    <row r="8619" spans="1:5" x14ac:dyDescent="0.25">
      <c r="A8619" s="2" t="s">
        <v>6283</v>
      </c>
      <c r="B8619" s="2" t="s">
        <v>5473</v>
      </c>
      <c r="C8619" s="2">
        <v>3</v>
      </c>
      <c r="D8619" t="str">
        <f t="shared" si="134"/>
        <v>US-2016-117793_OFF-LA-10003537</v>
      </c>
      <c r="E8619" t="str">
        <f>IF(COUNTIF(data1!$D:$D,D8619)=0,"Missing in Data1","Present")</f>
        <v>Present</v>
      </c>
    </row>
    <row r="8620" spans="1:5" x14ac:dyDescent="0.25">
      <c r="A8620" s="2" t="s">
        <v>6283</v>
      </c>
      <c r="B8620" s="2" t="s">
        <v>1809</v>
      </c>
      <c r="C8620" s="2">
        <v>1</v>
      </c>
      <c r="D8620" t="str">
        <f t="shared" si="134"/>
        <v>US-2016-117793_OFF-ST-10002406</v>
      </c>
      <c r="E8620" t="str">
        <f>IF(COUNTIF(data1!$D:$D,D8620)=0,"Missing in Data1","Present")</f>
        <v>Present</v>
      </c>
    </row>
    <row r="8621" spans="1:5" x14ac:dyDescent="0.25">
      <c r="A8621" s="2" t="s">
        <v>6283</v>
      </c>
      <c r="B8621" s="2" t="s">
        <v>1753</v>
      </c>
      <c r="C8621" s="2">
        <v>2</v>
      </c>
      <c r="D8621" t="str">
        <f t="shared" si="134"/>
        <v>US-2016-117793_TEC-AC-10003433</v>
      </c>
      <c r="E8621" t="str">
        <f>IF(COUNTIF(data1!$D:$D,D8621)=0,"Missing in Data1","Present")</f>
        <v>Present</v>
      </c>
    </row>
    <row r="8622" spans="1:5" x14ac:dyDescent="0.25">
      <c r="A8622" s="2" t="s">
        <v>6284</v>
      </c>
      <c r="B8622" s="2" t="s">
        <v>1707</v>
      </c>
      <c r="C8622" s="2">
        <v>1</v>
      </c>
      <c r="D8622" t="str">
        <f t="shared" si="134"/>
        <v>US-2016-118780_OFF-PA-10000575</v>
      </c>
      <c r="E8622" t="str">
        <f>IF(COUNTIF(data1!$D:$D,D8622)=0,"Missing in Data1","Present")</f>
        <v>Present</v>
      </c>
    </row>
    <row r="8623" spans="1:5" x14ac:dyDescent="0.25">
      <c r="A8623" s="2" t="s">
        <v>6284</v>
      </c>
      <c r="B8623" s="2" t="s">
        <v>4144</v>
      </c>
      <c r="C8623" s="2">
        <v>2</v>
      </c>
      <c r="D8623" t="str">
        <f t="shared" si="134"/>
        <v>US-2016-118780_OFF-ST-10000352</v>
      </c>
      <c r="E8623" t="str">
        <f>IF(COUNTIF(data1!$D:$D,D8623)=0,"Missing in Data1","Present")</f>
        <v>Present</v>
      </c>
    </row>
    <row r="8624" spans="1:5" x14ac:dyDescent="0.25">
      <c r="A8624" s="2" t="s">
        <v>6285</v>
      </c>
      <c r="B8624" s="2" t="s">
        <v>1490</v>
      </c>
      <c r="C8624" s="2">
        <v>3</v>
      </c>
      <c r="D8624" t="str">
        <f t="shared" si="134"/>
        <v>US-2016-119046_OFF-BI-10000138</v>
      </c>
      <c r="E8624" t="str">
        <f>IF(COUNTIF(data1!$D:$D,D8624)=0,"Missing in Data1","Present")</f>
        <v>Present</v>
      </c>
    </row>
    <row r="8625" spans="1:5" x14ac:dyDescent="0.25">
      <c r="A8625" s="2" t="s">
        <v>6285</v>
      </c>
      <c r="B8625" s="2" t="s">
        <v>774</v>
      </c>
      <c r="C8625" s="2">
        <v>12</v>
      </c>
      <c r="D8625" t="str">
        <f t="shared" si="134"/>
        <v>US-2016-119046_OFF-BI-10001078</v>
      </c>
      <c r="E8625" t="str">
        <f>IF(COUNTIF(data1!$D:$D,D8625)=0,"Missing in Data1","Present")</f>
        <v>Present</v>
      </c>
    </row>
    <row r="8626" spans="1:5" x14ac:dyDescent="0.25">
      <c r="A8626" s="2" t="s">
        <v>6285</v>
      </c>
      <c r="B8626" s="2" t="s">
        <v>503</v>
      </c>
      <c r="C8626" s="2">
        <v>3</v>
      </c>
      <c r="D8626" t="str">
        <f t="shared" si="134"/>
        <v>US-2016-119046_OFF-PA-10000246</v>
      </c>
      <c r="E8626" t="str">
        <f>IF(COUNTIF(data1!$D:$D,D8626)=0,"Missing in Data1","Present")</f>
        <v>Present</v>
      </c>
    </row>
    <row r="8627" spans="1:5" x14ac:dyDescent="0.25">
      <c r="A8627" s="2" t="s">
        <v>6286</v>
      </c>
      <c r="B8627" s="2" t="s">
        <v>4225</v>
      </c>
      <c r="C8627" s="2">
        <v>2</v>
      </c>
      <c r="D8627" t="str">
        <f t="shared" si="134"/>
        <v>US-2016-119270_OFF-PA-10004022</v>
      </c>
      <c r="E8627" t="str">
        <f>IF(COUNTIF(data1!$D:$D,D8627)=0,"Missing in Data1","Present")</f>
        <v>Present</v>
      </c>
    </row>
    <row r="8628" spans="1:5" x14ac:dyDescent="0.25">
      <c r="A8628" s="2" t="s">
        <v>6288</v>
      </c>
      <c r="B8628" s="2" t="s">
        <v>2310</v>
      </c>
      <c r="C8628" s="2">
        <v>3</v>
      </c>
      <c r="D8628" t="str">
        <f t="shared" si="134"/>
        <v>US-2016-120460_FUR-FU-10004973</v>
      </c>
      <c r="E8628" t="str">
        <f>IF(COUNTIF(data1!$D:$D,D8628)=0,"Missing in Data1","Present")</f>
        <v>Present</v>
      </c>
    </row>
    <row r="8629" spans="1:5" x14ac:dyDescent="0.25">
      <c r="A8629" s="2" t="s">
        <v>6289</v>
      </c>
      <c r="B8629" s="2" t="s">
        <v>1837</v>
      </c>
      <c r="C8629" s="2">
        <v>3</v>
      </c>
      <c r="D8629" t="str">
        <f t="shared" si="134"/>
        <v>US-2016-120929_FUR-TA-10001857</v>
      </c>
      <c r="E8629" t="str">
        <f>IF(COUNTIF(data1!$D:$D,D8629)=0,"Missing in Data1","Present")</f>
        <v>Present</v>
      </c>
    </row>
    <row r="8630" spans="1:5" x14ac:dyDescent="0.25">
      <c r="A8630" s="2" t="s">
        <v>6290</v>
      </c>
      <c r="B8630" s="2" t="s">
        <v>1326</v>
      </c>
      <c r="C8630" s="2">
        <v>3</v>
      </c>
      <c r="D8630" t="str">
        <f t="shared" si="134"/>
        <v>US-2016-121013_FUR-TA-10003238</v>
      </c>
      <c r="E8630" t="str">
        <f>IF(COUNTIF(data1!$D:$D,D8630)=0,"Missing in Data1","Present")</f>
        <v>Present</v>
      </c>
    </row>
    <row r="8631" spans="1:5" x14ac:dyDescent="0.25">
      <c r="A8631" s="2" t="s">
        <v>6290</v>
      </c>
      <c r="B8631" s="2" t="s">
        <v>3076</v>
      </c>
      <c r="C8631" s="2">
        <v>2</v>
      </c>
      <c r="D8631" t="str">
        <f t="shared" si="134"/>
        <v>US-2016-121013_OFF-LA-10004545</v>
      </c>
      <c r="E8631" t="str">
        <f>IF(COUNTIF(data1!$D:$D,D8631)=0,"Missing in Data1","Present")</f>
        <v>Present</v>
      </c>
    </row>
    <row r="8632" spans="1:5" x14ac:dyDescent="0.25">
      <c r="A8632" s="2" t="s">
        <v>6291</v>
      </c>
      <c r="B8632" s="2" t="s">
        <v>507</v>
      </c>
      <c r="C8632" s="2">
        <v>1</v>
      </c>
      <c r="D8632" t="str">
        <f t="shared" si="134"/>
        <v>US-2016-122182_TEC-AC-10002800</v>
      </c>
      <c r="E8632" t="str">
        <f>IF(COUNTIF(data1!$D:$D,D8632)=0,"Missing in Data1","Present")</f>
        <v>Present</v>
      </c>
    </row>
    <row r="8633" spans="1:5" x14ac:dyDescent="0.25">
      <c r="A8633" s="2" t="s">
        <v>6292</v>
      </c>
      <c r="B8633" s="2" t="s">
        <v>1439</v>
      </c>
      <c r="C8633" s="2">
        <v>3</v>
      </c>
      <c r="D8633" t="str">
        <f t="shared" si="134"/>
        <v>US-2016-122245_FUR-TA-10002356</v>
      </c>
      <c r="E8633" t="str">
        <f>IF(COUNTIF(data1!$D:$D,D8633)=0,"Missing in Data1","Present")</f>
        <v>Present</v>
      </c>
    </row>
    <row r="8634" spans="1:5" x14ac:dyDescent="0.25">
      <c r="A8634" s="2" t="s">
        <v>6293</v>
      </c>
      <c r="B8634" s="2" t="s">
        <v>1183</v>
      </c>
      <c r="C8634" s="2">
        <v>3</v>
      </c>
      <c r="D8634" t="str">
        <f t="shared" si="134"/>
        <v>US-2016-123470_OFF-AP-10003287</v>
      </c>
      <c r="E8634" t="str">
        <f>IF(COUNTIF(data1!$D:$D,D8634)=0,"Missing in Data1","Present")</f>
        <v>Present</v>
      </c>
    </row>
    <row r="8635" spans="1:5" x14ac:dyDescent="0.25">
      <c r="A8635" s="2" t="s">
        <v>6293</v>
      </c>
      <c r="B8635" s="2" t="s">
        <v>1223</v>
      </c>
      <c r="C8635" s="2">
        <v>3</v>
      </c>
      <c r="D8635" t="str">
        <f t="shared" si="134"/>
        <v>US-2016-123470_OFF-BI-10001989</v>
      </c>
      <c r="E8635" t="str">
        <f>IF(COUNTIF(data1!$D:$D,D8635)=0,"Missing in Data1","Present")</f>
        <v>Present</v>
      </c>
    </row>
    <row r="8636" spans="1:5" x14ac:dyDescent="0.25">
      <c r="A8636" s="2" t="s">
        <v>6294</v>
      </c>
      <c r="B8636" s="2" t="s">
        <v>2910</v>
      </c>
      <c r="C8636" s="2">
        <v>1</v>
      </c>
      <c r="D8636" t="str">
        <f t="shared" si="134"/>
        <v>US-2016-123610_OFF-AP-10002222</v>
      </c>
      <c r="E8636" t="str">
        <f>IF(COUNTIF(data1!$D:$D,D8636)=0,"Missing in Data1","Present")</f>
        <v>Present</v>
      </c>
    </row>
    <row r="8637" spans="1:5" x14ac:dyDescent="0.25">
      <c r="A8637" s="2" t="s">
        <v>6294</v>
      </c>
      <c r="B8637" s="2" t="s">
        <v>4438</v>
      </c>
      <c r="C8637" s="2">
        <v>6</v>
      </c>
      <c r="D8637" t="str">
        <f t="shared" si="134"/>
        <v>US-2016-123610_TEC-AC-10004518</v>
      </c>
      <c r="E8637" t="str">
        <f>IF(COUNTIF(data1!$D:$D,D8637)=0,"Missing in Data1","Present")</f>
        <v>Present</v>
      </c>
    </row>
    <row r="8638" spans="1:5" x14ac:dyDescent="0.25">
      <c r="A8638" s="2" t="s">
        <v>6295</v>
      </c>
      <c r="B8638" s="2" t="s">
        <v>3778</v>
      </c>
      <c r="C8638" s="2">
        <v>2</v>
      </c>
      <c r="D8638" t="str">
        <f t="shared" si="134"/>
        <v>US-2016-123750_OFF-BI-10004584</v>
      </c>
      <c r="E8638" t="str">
        <f>IF(COUNTIF(data1!$D:$D,D8638)=0,"Missing in Data1","Present")</f>
        <v>Present</v>
      </c>
    </row>
    <row r="8639" spans="1:5" x14ac:dyDescent="0.25">
      <c r="A8639" s="2" t="s">
        <v>6295</v>
      </c>
      <c r="B8639" s="2" t="s">
        <v>462</v>
      </c>
      <c r="C8639" s="2">
        <v>2</v>
      </c>
      <c r="D8639" t="str">
        <f t="shared" si="134"/>
        <v>US-2016-123750_OFF-ST-10000617</v>
      </c>
      <c r="E8639" t="str">
        <f>IF(COUNTIF(data1!$D:$D,D8639)=0,"Missing in Data1","Present")</f>
        <v>Present</v>
      </c>
    </row>
    <row r="8640" spans="1:5" x14ac:dyDescent="0.25">
      <c r="A8640" s="2" t="s">
        <v>6295</v>
      </c>
      <c r="B8640" s="2" t="s">
        <v>1747</v>
      </c>
      <c r="C8640" s="2">
        <v>12</v>
      </c>
      <c r="D8640" t="str">
        <f t="shared" si="134"/>
        <v>US-2016-123750_TEC-AC-10004659</v>
      </c>
      <c r="E8640" t="str">
        <f>IF(COUNTIF(data1!$D:$D,D8640)=0,"Missing in Data1","Present")</f>
        <v>Present</v>
      </c>
    </row>
    <row r="8641" spans="1:5" x14ac:dyDescent="0.25">
      <c r="A8641" s="2" t="s">
        <v>6296</v>
      </c>
      <c r="B8641" s="2" t="s">
        <v>1050</v>
      </c>
      <c r="C8641" s="2">
        <v>2</v>
      </c>
      <c r="D8641" t="str">
        <f t="shared" si="134"/>
        <v>US-2016-124163_FUR-CH-10004218</v>
      </c>
      <c r="E8641" t="str">
        <f>IF(COUNTIF(data1!$D:$D,D8641)=0,"Missing in Data1","Present")</f>
        <v>Missing in Data1</v>
      </c>
    </row>
    <row r="8642" spans="1:5" x14ac:dyDescent="0.25">
      <c r="A8642" s="2" t="s">
        <v>6296</v>
      </c>
      <c r="B8642" s="2" t="s">
        <v>3894</v>
      </c>
      <c r="C8642" s="2">
        <v>11</v>
      </c>
      <c r="D8642" t="str">
        <f t="shared" si="134"/>
        <v>US-2016-124163_FUR-FU-10000755</v>
      </c>
      <c r="E8642" t="str">
        <f>IF(COUNTIF(data1!$D:$D,D8642)=0,"Missing in Data1","Present")</f>
        <v>Present</v>
      </c>
    </row>
    <row r="8643" spans="1:5" x14ac:dyDescent="0.25">
      <c r="A8643" s="2" t="s">
        <v>6296</v>
      </c>
      <c r="B8643" s="2" t="s">
        <v>2616</v>
      </c>
      <c r="C8643" s="2">
        <v>1</v>
      </c>
      <c r="D8643" t="str">
        <f t="shared" ref="D8643:D8706" si="135">A8643&amp;"_"&amp;B8643</f>
        <v>US-2016-124163_OFF-AR-10000817</v>
      </c>
      <c r="E8643" t="str">
        <f>IF(COUNTIF(data1!$D:$D,D8643)=0,"Missing in Data1","Present")</f>
        <v>Present</v>
      </c>
    </row>
    <row r="8644" spans="1:5" x14ac:dyDescent="0.25">
      <c r="A8644" s="2" t="s">
        <v>6296</v>
      </c>
      <c r="B8644" s="2" t="s">
        <v>1428</v>
      </c>
      <c r="C8644" s="2">
        <v>5</v>
      </c>
      <c r="D8644" t="str">
        <f t="shared" si="135"/>
        <v>US-2016-124163_TEC-AC-10001908</v>
      </c>
      <c r="E8644" t="str">
        <f>IF(COUNTIF(data1!$D:$D,D8644)=0,"Missing in Data1","Present")</f>
        <v>Present</v>
      </c>
    </row>
    <row r="8645" spans="1:5" x14ac:dyDescent="0.25">
      <c r="A8645" s="2" t="s">
        <v>6297</v>
      </c>
      <c r="B8645" s="2" t="s">
        <v>2884</v>
      </c>
      <c r="C8645" s="2">
        <v>4</v>
      </c>
      <c r="D8645" t="str">
        <f t="shared" si="135"/>
        <v>US-2016-125402_FUR-CH-10000665</v>
      </c>
      <c r="E8645" t="str">
        <f>IF(COUNTIF(data1!$D:$D,D8645)=0,"Missing in Data1","Present")</f>
        <v>Present</v>
      </c>
    </row>
    <row r="8646" spans="1:5" x14ac:dyDescent="0.25">
      <c r="A8646" s="2" t="s">
        <v>6297</v>
      </c>
      <c r="B8646" s="2" t="s">
        <v>3307</v>
      </c>
      <c r="C8646" s="2">
        <v>2</v>
      </c>
      <c r="D8646" t="str">
        <f t="shared" si="135"/>
        <v>US-2016-125402_OFF-AR-10002255</v>
      </c>
      <c r="E8646" t="str">
        <f>IF(COUNTIF(data1!$D:$D,D8646)=0,"Missing in Data1","Present")</f>
        <v>Present</v>
      </c>
    </row>
    <row r="8647" spans="1:5" x14ac:dyDescent="0.25">
      <c r="A8647" s="2" t="s">
        <v>6297</v>
      </c>
      <c r="B8647" s="2" t="s">
        <v>97</v>
      </c>
      <c r="C8647" s="2">
        <v>1</v>
      </c>
      <c r="D8647" t="str">
        <f t="shared" si="135"/>
        <v>US-2016-125402_OFF-LA-10001771</v>
      </c>
      <c r="E8647" t="str">
        <f>IF(COUNTIF(data1!$D:$D,D8647)=0,"Missing in Data1","Present")</f>
        <v>Present</v>
      </c>
    </row>
    <row r="8648" spans="1:5" x14ac:dyDescent="0.25">
      <c r="A8648" s="2" t="s">
        <v>6297</v>
      </c>
      <c r="B8648" s="2" t="s">
        <v>86</v>
      </c>
      <c r="C8648" s="2">
        <v>2</v>
      </c>
      <c r="D8648" t="str">
        <f t="shared" si="135"/>
        <v>US-2016-125402_OFF-LA-10003923</v>
      </c>
      <c r="E8648" t="str">
        <f>IF(COUNTIF(data1!$D:$D,D8648)=0,"Missing in Data1","Present")</f>
        <v>Present</v>
      </c>
    </row>
    <row r="8649" spans="1:5" x14ac:dyDescent="0.25">
      <c r="A8649" s="2" t="s">
        <v>6297</v>
      </c>
      <c r="B8649" s="2" t="s">
        <v>1349</v>
      </c>
      <c r="C8649" s="2">
        <v>5</v>
      </c>
      <c r="D8649" t="str">
        <f t="shared" si="135"/>
        <v>US-2016-125402_OFF-PA-10000141</v>
      </c>
      <c r="E8649" t="str">
        <f>IF(COUNTIF(data1!$D:$D,D8649)=0,"Missing in Data1","Present")</f>
        <v>Present</v>
      </c>
    </row>
    <row r="8650" spans="1:5" x14ac:dyDescent="0.25">
      <c r="A8650" s="2" t="s">
        <v>6297</v>
      </c>
      <c r="B8650" s="2" t="s">
        <v>2952</v>
      </c>
      <c r="C8650" s="2">
        <v>8</v>
      </c>
      <c r="D8650" t="str">
        <f t="shared" si="135"/>
        <v>US-2016-125402_TEC-PH-10003356</v>
      </c>
      <c r="E8650" t="str">
        <f>IF(COUNTIF(data1!$D:$D,D8650)=0,"Missing in Data1","Present")</f>
        <v>Present</v>
      </c>
    </row>
    <row r="8651" spans="1:5" x14ac:dyDescent="0.25">
      <c r="A8651" s="2" t="s">
        <v>6298</v>
      </c>
      <c r="B8651" s="2" t="s">
        <v>370</v>
      </c>
      <c r="C8651" s="2">
        <v>2</v>
      </c>
      <c r="D8651" t="str">
        <f t="shared" si="135"/>
        <v>US-2016-125969_FUR-CH-10001146</v>
      </c>
      <c r="E8651" t="str">
        <f>IF(COUNTIF(data1!$D:$D,D8651)=0,"Missing in Data1","Present")</f>
        <v>Present</v>
      </c>
    </row>
    <row r="8652" spans="1:5" x14ac:dyDescent="0.25">
      <c r="A8652" s="2" t="s">
        <v>6298</v>
      </c>
      <c r="B8652" s="2" t="s">
        <v>57</v>
      </c>
      <c r="C8652" s="2">
        <v>3</v>
      </c>
      <c r="D8652" t="str">
        <f t="shared" si="135"/>
        <v>US-2016-125969_FUR-FU-10003773</v>
      </c>
      <c r="E8652" t="str">
        <f>IF(COUNTIF(data1!$D:$D,D8652)=0,"Missing in Data1","Present")</f>
        <v>Present</v>
      </c>
    </row>
    <row r="8653" spans="1:5" x14ac:dyDescent="0.25">
      <c r="A8653" s="2" t="s">
        <v>6299</v>
      </c>
      <c r="B8653" s="2" t="s">
        <v>391</v>
      </c>
      <c r="C8653" s="2">
        <v>1</v>
      </c>
      <c r="D8653" t="str">
        <f t="shared" si="135"/>
        <v>US-2016-126431_OFF-LA-10001474</v>
      </c>
      <c r="E8653" t="str">
        <f>IF(COUNTIF(data1!$D:$D,D8653)=0,"Missing in Data1","Present")</f>
        <v>Present</v>
      </c>
    </row>
    <row r="8654" spans="1:5" x14ac:dyDescent="0.25">
      <c r="A8654" s="2" t="s">
        <v>6299</v>
      </c>
      <c r="B8654" s="2" t="s">
        <v>2363</v>
      </c>
      <c r="C8654" s="2">
        <v>9</v>
      </c>
      <c r="D8654" t="str">
        <f t="shared" si="135"/>
        <v>US-2016-126431_OFF-PA-10001950</v>
      </c>
      <c r="E8654" t="str">
        <f>IF(COUNTIF(data1!$D:$D,D8654)=0,"Missing in Data1","Present")</f>
        <v>Present</v>
      </c>
    </row>
    <row r="8655" spans="1:5" x14ac:dyDescent="0.25">
      <c r="A8655" s="2" t="s">
        <v>6299</v>
      </c>
      <c r="B8655" s="2" t="s">
        <v>872</v>
      </c>
      <c r="C8655" s="2">
        <v>3</v>
      </c>
      <c r="D8655" t="str">
        <f t="shared" si="135"/>
        <v>US-2016-126431_TEC-AC-10001635</v>
      </c>
      <c r="E8655" t="str">
        <f>IF(COUNTIF(data1!$D:$D,D8655)=0,"Missing in Data1","Present")</f>
        <v>Present</v>
      </c>
    </row>
    <row r="8656" spans="1:5" x14ac:dyDescent="0.25">
      <c r="A8656" s="2" t="s">
        <v>6300</v>
      </c>
      <c r="B8656" s="2" t="s">
        <v>766</v>
      </c>
      <c r="C8656" s="2">
        <v>9</v>
      </c>
      <c r="D8656" t="str">
        <f t="shared" si="135"/>
        <v>US-2016-126452_FUR-TA-10003569</v>
      </c>
      <c r="E8656" t="str">
        <f>IF(COUNTIF(data1!$D:$D,D8656)=0,"Missing in Data1","Present")</f>
        <v>Present</v>
      </c>
    </row>
    <row r="8657" spans="1:5" x14ac:dyDescent="0.25">
      <c r="A8657" s="2" t="s">
        <v>6300</v>
      </c>
      <c r="B8657" s="2" t="s">
        <v>3533</v>
      </c>
      <c r="C8657" s="2">
        <v>2</v>
      </c>
      <c r="D8657" t="str">
        <f t="shared" si="135"/>
        <v>US-2016-126452_OFF-BI-10004465</v>
      </c>
      <c r="E8657" t="str">
        <f>IF(COUNTIF(data1!$D:$D,D8657)=0,"Missing in Data1","Present")</f>
        <v>Present</v>
      </c>
    </row>
    <row r="8658" spans="1:5" x14ac:dyDescent="0.25">
      <c r="A8658" s="2" t="s">
        <v>6300</v>
      </c>
      <c r="B8658" s="2" t="s">
        <v>3051</v>
      </c>
      <c r="C8658" s="2">
        <v>9</v>
      </c>
      <c r="D8658" t="str">
        <f t="shared" si="135"/>
        <v>US-2016-126452_OFF-PA-10002606</v>
      </c>
      <c r="E8658" t="str">
        <f>IF(COUNTIF(data1!$D:$D,D8658)=0,"Missing in Data1","Present")</f>
        <v>Present</v>
      </c>
    </row>
    <row r="8659" spans="1:5" x14ac:dyDescent="0.25">
      <c r="A8659" s="2" t="s">
        <v>6300</v>
      </c>
      <c r="B8659" s="2" t="s">
        <v>2011</v>
      </c>
      <c r="C8659" s="2">
        <v>2</v>
      </c>
      <c r="D8659" t="str">
        <f t="shared" si="135"/>
        <v>US-2016-126452_OFF-PA-10003848</v>
      </c>
      <c r="E8659" t="str">
        <f>IF(COUNTIF(data1!$D:$D,D8659)=0,"Missing in Data1","Present")</f>
        <v>Present</v>
      </c>
    </row>
    <row r="8660" spans="1:5" x14ac:dyDescent="0.25">
      <c r="A8660" s="2" t="s">
        <v>6300</v>
      </c>
      <c r="B8660" s="2" t="s">
        <v>265</v>
      </c>
      <c r="C8660" s="2">
        <v>3</v>
      </c>
      <c r="D8660" t="str">
        <f t="shared" si="135"/>
        <v>US-2016-126452_TEC-AC-10000844</v>
      </c>
      <c r="E8660" t="str">
        <f>IF(COUNTIF(data1!$D:$D,D8660)=0,"Missing in Data1","Present")</f>
        <v>Present</v>
      </c>
    </row>
    <row r="8661" spans="1:5" x14ac:dyDescent="0.25">
      <c r="A8661" s="2" t="s">
        <v>6300</v>
      </c>
      <c r="B8661" s="2" t="s">
        <v>1895</v>
      </c>
      <c r="C8661" s="2">
        <v>2</v>
      </c>
      <c r="D8661" t="str">
        <f t="shared" si="135"/>
        <v>US-2016-126452_TEC-PH-10003187</v>
      </c>
      <c r="E8661" t="str">
        <f>IF(COUNTIF(data1!$D:$D,D8661)=0,"Missing in Data1","Present")</f>
        <v>Present</v>
      </c>
    </row>
    <row r="8662" spans="1:5" x14ac:dyDescent="0.25">
      <c r="A8662" s="2" t="s">
        <v>6300</v>
      </c>
      <c r="B8662" s="2" t="s">
        <v>2452</v>
      </c>
      <c r="C8662" s="2">
        <v>5</v>
      </c>
      <c r="D8662" t="str">
        <f t="shared" si="135"/>
        <v>US-2016-126452_TEC-PH-10003555</v>
      </c>
      <c r="E8662" t="str">
        <f>IF(COUNTIF(data1!$D:$D,D8662)=0,"Missing in Data1","Present")</f>
        <v>Present</v>
      </c>
    </row>
    <row r="8663" spans="1:5" x14ac:dyDescent="0.25">
      <c r="A8663" s="2" t="s">
        <v>6301</v>
      </c>
      <c r="B8663" s="2" t="s">
        <v>3138</v>
      </c>
      <c r="C8663" s="2">
        <v>8</v>
      </c>
      <c r="D8663" t="str">
        <f t="shared" si="135"/>
        <v>US-2016-126844_FUR-FU-10004909</v>
      </c>
      <c r="E8663" t="str">
        <f>IF(COUNTIF(data1!$D:$D,D8663)=0,"Missing in Data1","Present")</f>
        <v>Present</v>
      </c>
    </row>
    <row r="8664" spans="1:5" x14ac:dyDescent="0.25">
      <c r="A8664" s="2" t="s">
        <v>6859</v>
      </c>
      <c r="B8664" s="2" t="s">
        <v>2074</v>
      </c>
      <c r="C8664" s="2">
        <v>3</v>
      </c>
      <c r="D8664" t="str">
        <f t="shared" si="135"/>
        <v>US-2016-126893_TEC-PH-10004165</v>
      </c>
      <c r="E8664" t="str">
        <f>IF(COUNTIF(data1!$D:$D,D8664)=0,"Missing in Data1","Present")</f>
        <v>Missing in Data1</v>
      </c>
    </row>
    <row r="8665" spans="1:5" x14ac:dyDescent="0.25">
      <c r="A8665" s="2" t="s">
        <v>6302</v>
      </c>
      <c r="B8665" s="2" t="s">
        <v>1806</v>
      </c>
      <c r="C8665" s="2">
        <v>3</v>
      </c>
      <c r="D8665" t="str">
        <f t="shared" si="135"/>
        <v>US-2016-127334_FUR-TA-10003473</v>
      </c>
      <c r="E8665" t="str">
        <f>IF(COUNTIF(data1!$D:$D,D8665)=0,"Missing in Data1","Present")</f>
        <v>Present</v>
      </c>
    </row>
    <row r="8666" spans="1:5" x14ac:dyDescent="0.25">
      <c r="A8666" s="2" t="s">
        <v>6302</v>
      </c>
      <c r="B8666" s="2" t="s">
        <v>2238</v>
      </c>
      <c r="C8666" s="2">
        <v>2</v>
      </c>
      <c r="D8666" t="str">
        <f t="shared" si="135"/>
        <v>US-2016-127334_OFF-AP-10001205</v>
      </c>
      <c r="E8666" t="str">
        <f>IF(COUNTIF(data1!$D:$D,D8666)=0,"Missing in Data1","Present")</f>
        <v>Present</v>
      </c>
    </row>
    <row r="8667" spans="1:5" x14ac:dyDescent="0.25">
      <c r="A8667" s="2" t="s">
        <v>6303</v>
      </c>
      <c r="B8667" s="2" t="s">
        <v>507</v>
      </c>
      <c r="C8667" s="2">
        <v>5</v>
      </c>
      <c r="D8667" t="str">
        <f t="shared" si="135"/>
        <v>US-2016-127425_TEC-AC-10002800</v>
      </c>
      <c r="E8667" t="str">
        <f>IF(COUNTIF(data1!$D:$D,D8667)=0,"Missing in Data1","Present")</f>
        <v>Present</v>
      </c>
    </row>
    <row r="8668" spans="1:5" x14ac:dyDescent="0.25">
      <c r="A8668" s="2" t="s">
        <v>6303</v>
      </c>
      <c r="B8668" s="2" t="s">
        <v>3626</v>
      </c>
      <c r="C8668" s="2">
        <v>6</v>
      </c>
      <c r="D8668" t="str">
        <f t="shared" si="135"/>
        <v>US-2016-127425_TEC-PH-10003442</v>
      </c>
      <c r="E8668" t="str">
        <f>IF(COUNTIF(data1!$D:$D,D8668)=0,"Missing in Data1","Present")</f>
        <v>Present</v>
      </c>
    </row>
    <row r="8669" spans="1:5" x14ac:dyDescent="0.25">
      <c r="A8669" s="2" t="s">
        <v>6304</v>
      </c>
      <c r="B8669" s="2" t="s">
        <v>373</v>
      </c>
      <c r="C8669" s="2">
        <v>5</v>
      </c>
      <c r="D8669" t="str">
        <f t="shared" si="135"/>
        <v>US-2016-127971_FUR-CH-10003774</v>
      </c>
      <c r="E8669" t="str">
        <f>IF(COUNTIF(data1!$D:$D,D8669)=0,"Missing in Data1","Present")</f>
        <v>Present</v>
      </c>
    </row>
    <row r="8670" spans="1:5" x14ac:dyDescent="0.25">
      <c r="A8670" s="2" t="s">
        <v>6304</v>
      </c>
      <c r="B8670" s="2" t="s">
        <v>1324</v>
      </c>
      <c r="C8670" s="2">
        <v>3</v>
      </c>
      <c r="D8670" t="str">
        <f t="shared" si="135"/>
        <v>US-2016-127971_FUR-FU-10000023</v>
      </c>
      <c r="E8670" t="str">
        <f>IF(COUNTIF(data1!$D:$D,D8670)=0,"Missing in Data1","Present")</f>
        <v>Present</v>
      </c>
    </row>
    <row r="8671" spans="1:5" x14ac:dyDescent="0.25">
      <c r="A8671" s="2" t="s">
        <v>6304</v>
      </c>
      <c r="B8671" s="2" t="s">
        <v>934</v>
      </c>
      <c r="C8671" s="2">
        <v>7</v>
      </c>
      <c r="D8671" t="str">
        <f t="shared" si="135"/>
        <v>US-2016-127971_TEC-PH-10003095</v>
      </c>
      <c r="E8671" t="str">
        <f>IF(COUNTIF(data1!$D:$D,D8671)=0,"Missing in Data1","Present")</f>
        <v>Present</v>
      </c>
    </row>
    <row r="8672" spans="1:5" x14ac:dyDescent="0.25">
      <c r="A8672" s="2" t="s">
        <v>6305</v>
      </c>
      <c r="B8672" s="2" t="s">
        <v>2819</v>
      </c>
      <c r="C8672" s="2">
        <v>5</v>
      </c>
      <c r="D8672" t="str">
        <f t="shared" si="135"/>
        <v>US-2016-128195_OFF-BI-10002003</v>
      </c>
      <c r="E8672" t="str">
        <f>IF(COUNTIF(data1!$D:$D,D8672)=0,"Missing in Data1","Present")</f>
        <v>Present</v>
      </c>
    </row>
    <row r="8673" spans="1:5" x14ac:dyDescent="0.25">
      <c r="A8673" s="2" t="s">
        <v>6860</v>
      </c>
      <c r="B8673" s="2" t="s">
        <v>299</v>
      </c>
      <c r="C8673" s="2">
        <v>1</v>
      </c>
      <c r="D8673" t="str">
        <f t="shared" si="135"/>
        <v>US-2016-128293_OFF-ST-10000736</v>
      </c>
      <c r="E8673" t="str">
        <f>IF(COUNTIF(data1!$D:$D,D8673)=0,"Missing in Data1","Present")</f>
        <v>Missing in Data1</v>
      </c>
    </row>
    <row r="8674" spans="1:5" x14ac:dyDescent="0.25">
      <c r="A8674" s="2" t="s">
        <v>6306</v>
      </c>
      <c r="B8674" s="2" t="s">
        <v>275</v>
      </c>
      <c r="C8674" s="2">
        <v>7</v>
      </c>
      <c r="D8674" t="str">
        <f t="shared" si="135"/>
        <v>US-2016-128678_OFF-BI-10002103</v>
      </c>
      <c r="E8674" t="str">
        <f>IF(COUNTIF(data1!$D:$D,D8674)=0,"Missing in Data1","Present")</f>
        <v>Present</v>
      </c>
    </row>
    <row r="8675" spans="1:5" x14ac:dyDescent="0.25">
      <c r="A8675" s="2" t="s">
        <v>6306</v>
      </c>
      <c r="B8675" s="2" t="s">
        <v>3624</v>
      </c>
      <c r="C8675" s="2">
        <v>5</v>
      </c>
      <c r="D8675" t="str">
        <f t="shared" si="135"/>
        <v>US-2016-128678_OFF-PA-10000807</v>
      </c>
      <c r="E8675" t="str">
        <f>IF(COUNTIF(data1!$D:$D,D8675)=0,"Missing in Data1","Present")</f>
        <v>Present</v>
      </c>
    </row>
    <row r="8676" spans="1:5" x14ac:dyDescent="0.25">
      <c r="A8676" s="2" t="s">
        <v>6307</v>
      </c>
      <c r="B8676" s="2" t="s">
        <v>2635</v>
      </c>
      <c r="C8676" s="2">
        <v>2</v>
      </c>
      <c r="D8676" t="str">
        <f t="shared" si="135"/>
        <v>US-2016-128902_FUR-TA-10001095</v>
      </c>
      <c r="E8676" t="str">
        <f>IF(COUNTIF(data1!$D:$D,D8676)=0,"Missing in Data1","Present")</f>
        <v>Present</v>
      </c>
    </row>
    <row r="8677" spans="1:5" x14ac:dyDescent="0.25">
      <c r="A8677" s="2" t="s">
        <v>6308</v>
      </c>
      <c r="B8677" s="2" t="s">
        <v>4399</v>
      </c>
      <c r="C8677" s="2">
        <v>4</v>
      </c>
      <c r="D8677" t="str">
        <f t="shared" si="135"/>
        <v>US-2016-128909_FUR-FU-10004071</v>
      </c>
      <c r="E8677" t="str">
        <f>IF(COUNTIF(data1!$D:$D,D8677)=0,"Missing in Data1","Present")</f>
        <v>Present</v>
      </c>
    </row>
    <row r="8678" spans="1:5" x14ac:dyDescent="0.25">
      <c r="A8678" s="2" t="s">
        <v>6308</v>
      </c>
      <c r="B8678" s="2" t="s">
        <v>5431</v>
      </c>
      <c r="C8678" s="2">
        <v>4</v>
      </c>
      <c r="D8678" t="str">
        <f t="shared" si="135"/>
        <v>US-2016-128909_OFF-PA-10001593</v>
      </c>
      <c r="E8678" t="str">
        <f>IF(COUNTIF(data1!$D:$D,D8678)=0,"Missing in Data1","Present")</f>
        <v>Present</v>
      </c>
    </row>
    <row r="8679" spans="1:5" x14ac:dyDescent="0.25">
      <c r="A8679" s="2" t="s">
        <v>6309</v>
      </c>
      <c r="B8679" s="2" t="s">
        <v>1802</v>
      </c>
      <c r="C8679" s="2">
        <v>6</v>
      </c>
      <c r="D8679" t="str">
        <f t="shared" si="135"/>
        <v>US-2016-129469_FUR-FU-10002298</v>
      </c>
      <c r="E8679" t="str">
        <f>IF(COUNTIF(data1!$D:$D,D8679)=0,"Missing in Data1","Present")</f>
        <v>Present</v>
      </c>
    </row>
    <row r="8680" spans="1:5" x14ac:dyDescent="0.25">
      <c r="A8680" s="2" t="s">
        <v>6309</v>
      </c>
      <c r="B8680" s="2" t="s">
        <v>4152</v>
      </c>
      <c r="C8680" s="2">
        <v>2</v>
      </c>
      <c r="D8680" t="str">
        <f t="shared" si="135"/>
        <v>US-2016-129469_OFF-AR-10000315</v>
      </c>
      <c r="E8680" t="str">
        <f>IF(COUNTIF(data1!$D:$D,D8680)=0,"Missing in Data1","Present")</f>
        <v>Present</v>
      </c>
    </row>
    <row r="8681" spans="1:5" x14ac:dyDescent="0.25">
      <c r="A8681" s="2" t="s">
        <v>6310</v>
      </c>
      <c r="B8681" s="2" t="s">
        <v>776</v>
      </c>
      <c r="C8681" s="2">
        <v>7</v>
      </c>
      <c r="D8681" t="str">
        <f t="shared" si="135"/>
        <v>US-2016-131058_OFF-LA-10001613</v>
      </c>
      <c r="E8681" t="str">
        <f>IF(COUNTIF(data1!$D:$D,D8681)=0,"Missing in Data1","Present")</f>
        <v>Present</v>
      </c>
    </row>
    <row r="8682" spans="1:5" x14ac:dyDescent="0.25">
      <c r="A8682" s="2" t="s">
        <v>6311</v>
      </c>
      <c r="B8682" s="2" t="s">
        <v>2346</v>
      </c>
      <c r="C8682" s="2">
        <v>2</v>
      </c>
      <c r="D8682" t="str">
        <f t="shared" si="135"/>
        <v>US-2016-131114_OFF-AP-10003971</v>
      </c>
      <c r="E8682" t="str">
        <f>IF(COUNTIF(data1!$D:$D,D8682)=0,"Missing in Data1","Present")</f>
        <v>Present</v>
      </c>
    </row>
    <row r="8683" spans="1:5" x14ac:dyDescent="0.25">
      <c r="A8683" s="2" t="s">
        <v>6311</v>
      </c>
      <c r="B8683" s="2" t="s">
        <v>1352</v>
      </c>
      <c r="C8683" s="2">
        <v>3</v>
      </c>
      <c r="D8683" t="str">
        <f t="shared" si="135"/>
        <v>US-2016-131114_OFF-SU-10001664</v>
      </c>
      <c r="E8683" t="str">
        <f>IF(COUNTIF(data1!$D:$D,D8683)=0,"Missing in Data1","Present")</f>
        <v>Present</v>
      </c>
    </row>
    <row r="8684" spans="1:5" x14ac:dyDescent="0.25">
      <c r="A8684" s="2" t="s">
        <v>6311</v>
      </c>
      <c r="B8684" s="2" t="s">
        <v>158</v>
      </c>
      <c r="C8684" s="2">
        <v>4</v>
      </c>
      <c r="D8684" t="str">
        <f t="shared" si="135"/>
        <v>US-2016-131114_TEC-AC-10000199</v>
      </c>
      <c r="E8684" t="str">
        <f>IF(COUNTIF(data1!$D:$D,D8684)=0,"Missing in Data1","Present")</f>
        <v>Missing in Data1</v>
      </c>
    </row>
    <row r="8685" spans="1:5" x14ac:dyDescent="0.25">
      <c r="A8685" s="2" t="s">
        <v>6312</v>
      </c>
      <c r="B8685" s="2" t="s">
        <v>400</v>
      </c>
      <c r="C8685" s="2">
        <v>4</v>
      </c>
      <c r="D8685" t="str">
        <f t="shared" si="135"/>
        <v>US-2016-131149_OFF-AR-10002135</v>
      </c>
      <c r="E8685" t="str">
        <f>IF(COUNTIF(data1!$D:$D,D8685)=0,"Missing in Data1","Present")</f>
        <v>Present</v>
      </c>
    </row>
    <row r="8686" spans="1:5" x14ac:dyDescent="0.25">
      <c r="A8686" s="2" t="s">
        <v>6312</v>
      </c>
      <c r="B8686" s="2" t="s">
        <v>1235</v>
      </c>
      <c r="C8686" s="2">
        <v>3</v>
      </c>
      <c r="D8686" t="str">
        <f t="shared" si="135"/>
        <v>US-2016-131149_OFF-ST-10000689</v>
      </c>
      <c r="E8686" t="str">
        <f>IF(COUNTIF(data1!$D:$D,D8686)=0,"Missing in Data1","Present")</f>
        <v>Present</v>
      </c>
    </row>
    <row r="8687" spans="1:5" x14ac:dyDescent="0.25">
      <c r="A8687" s="2" t="s">
        <v>6313</v>
      </c>
      <c r="B8687" s="2" t="s">
        <v>5249</v>
      </c>
      <c r="C8687" s="2">
        <v>7</v>
      </c>
      <c r="D8687" t="str">
        <f t="shared" si="135"/>
        <v>US-2016-131611_FUR-BO-10000780</v>
      </c>
      <c r="E8687" t="str">
        <f>IF(COUNTIF(data1!$D:$D,D8687)=0,"Missing in Data1","Present")</f>
        <v>Present</v>
      </c>
    </row>
    <row r="8688" spans="1:5" x14ac:dyDescent="0.25">
      <c r="A8688" s="2" t="s">
        <v>6313</v>
      </c>
      <c r="B8688" s="2" t="s">
        <v>2718</v>
      </c>
      <c r="C8688" s="2">
        <v>8</v>
      </c>
      <c r="D8688" t="str">
        <f t="shared" si="135"/>
        <v>US-2016-131611_FUR-TA-10002774</v>
      </c>
      <c r="E8688" t="str">
        <f>IF(COUNTIF(data1!$D:$D,D8688)=0,"Missing in Data1","Present")</f>
        <v>Present</v>
      </c>
    </row>
    <row r="8689" spans="1:5" x14ac:dyDescent="0.25">
      <c r="A8689" s="2" t="s">
        <v>6313</v>
      </c>
      <c r="B8689" s="2" t="s">
        <v>1223</v>
      </c>
      <c r="C8689" s="2">
        <v>3</v>
      </c>
      <c r="D8689" t="str">
        <f t="shared" si="135"/>
        <v>US-2016-131611_OFF-BI-10001989</v>
      </c>
      <c r="E8689" t="str">
        <f>IF(COUNTIF(data1!$D:$D,D8689)=0,"Missing in Data1","Present")</f>
        <v>Present</v>
      </c>
    </row>
    <row r="8690" spans="1:5" x14ac:dyDescent="0.25">
      <c r="A8690" s="2" t="s">
        <v>6313</v>
      </c>
      <c r="B8690" s="2" t="s">
        <v>432</v>
      </c>
      <c r="C8690" s="2">
        <v>3</v>
      </c>
      <c r="D8690" t="str">
        <f t="shared" si="135"/>
        <v>US-2016-131611_OFF-BI-10004364</v>
      </c>
      <c r="E8690" t="str">
        <f>IF(COUNTIF(data1!$D:$D,D8690)=0,"Missing in Data1","Present")</f>
        <v>Present</v>
      </c>
    </row>
    <row r="8691" spans="1:5" x14ac:dyDescent="0.25">
      <c r="A8691" s="2" t="s">
        <v>6313</v>
      </c>
      <c r="B8691" s="2" t="s">
        <v>4612</v>
      </c>
      <c r="C8691" s="2">
        <v>5</v>
      </c>
      <c r="D8691" t="str">
        <f t="shared" si="135"/>
        <v>US-2016-131611_TEC-AC-10004001</v>
      </c>
      <c r="E8691" t="str">
        <f>IF(COUNTIF(data1!$D:$D,D8691)=0,"Missing in Data1","Present")</f>
        <v>Present</v>
      </c>
    </row>
    <row r="8692" spans="1:5" x14ac:dyDescent="0.25">
      <c r="A8692" s="2" t="s">
        <v>6314</v>
      </c>
      <c r="B8692" s="2" t="s">
        <v>497</v>
      </c>
      <c r="C8692" s="2">
        <v>2</v>
      </c>
      <c r="D8692" t="str">
        <f t="shared" si="135"/>
        <v>US-2016-131674_TEC-AC-10004864</v>
      </c>
      <c r="E8692" t="str">
        <f>IF(COUNTIF(data1!$D:$D,D8692)=0,"Missing in Data1","Present")</f>
        <v>Present</v>
      </c>
    </row>
    <row r="8693" spans="1:5" x14ac:dyDescent="0.25">
      <c r="A8693" s="2" t="s">
        <v>6315</v>
      </c>
      <c r="B8693" s="2" t="s">
        <v>1384</v>
      </c>
      <c r="C8693" s="2">
        <v>3</v>
      </c>
      <c r="D8693" t="str">
        <f t="shared" si="135"/>
        <v>US-2016-131891_OFF-BI-10000201</v>
      </c>
      <c r="E8693" t="str">
        <f>IF(COUNTIF(data1!$D:$D,D8693)=0,"Missing in Data1","Present")</f>
        <v>Present</v>
      </c>
    </row>
    <row r="8694" spans="1:5" x14ac:dyDescent="0.25">
      <c r="A8694" s="2" t="s">
        <v>6316</v>
      </c>
      <c r="B8694" s="2" t="s">
        <v>2913</v>
      </c>
      <c r="C8694" s="2">
        <v>1</v>
      </c>
      <c r="D8694" t="str">
        <f t="shared" si="135"/>
        <v>US-2016-131912_OFF-BI-10004236</v>
      </c>
      <c r="E8694" t="str">
        <f>IF(COUNTIF(data1!$D:$D,D8694)=0,"Missing in Data1","Present")</f>
        <v>Present</v>
      </c>
    </row>
    <row r="8695" spans="1:5" x14ac:dyDescent="0.25">
      <c r="A8695" s="2" t="s">
        <v>6317</v>
      </c>
      <c r="B8695" s="2" t="s">
        <v>1808</v>
      </c>
      <c r="C8695" s="2">
        <v>5</v>
      </c>
      <c r="D8695" t="str">
        <f t="shared" si="135"/>
        <v>US-2016-132423_OFF-FA-10002988</v>
      </c>
      <c r="E8695" t="str">
        <f>IF(COUNTIF(data1!$D:$D,D8695)=0,"Missing in Data1","Present")</f>
        <v>Present</v>
      </c>
    </row>
    <row r="8696" spans="1:5" x14ac:dyDescent="0.25">
      <c r="A8696" s="2" t="s">
        <v>6318</v>
      </c>
      <c r="B8696" s="2" t="s">
        <v>886</v>
      </c>
      <c r="C8696" s="2">
        <v>9</v>
      </c>
      <c r="D8696" t="str">
        <f t="shared" si="135"/>
        <v>US-2016-132577_OFF-AR-10003481</v>
      </c>
      <c r="E8696" t="str">
        <f>IF(COUNTIF(data1!$D:$D,D8696)=0,"Missing in Data1","Present")</f>
        <v>Present</v>
      </c>
    </row>
    <row r="8697" spans="1:5" x14ac:dyDescent="0.25">
      <c r="A8697" s="2" t="s">
        <v>6318</v>
      </c>
      <c r="B8697" s="2" t="s">
        <v>1525</v>
      </c>
      <c r="C8697" s="2">
        <v>6</v>
      </c>
      <c r="D8697" t="str">
        <f t="shared" si="135"/>
        <v>US-2016-132577_OFF-BI-10003196</v>
      </c>
      <c r="E8697" t="str">
        <f>IF(COUNTIF(data1!$D:$D,D8697)=0,"Missing in Data1","Present")</f>
        <v>Present</v>
      </c>
    </row>
    <row r="8698" spans="1:5" x14ac:dyDescent="0.25">
      <c r="A8698" s="2" t="s">
        <v>6318</v>
      </c>
      <c r="B8698" s="2" t="s">
        <v>2891</v>
      </c>
      <c r="C8698" s="2">
        <v>6</v>
      </c>
      <c r="D8698" t="str">
        <f t="shared" si="135"/>
        <v>US-2016-132577_OFF-BI-10004040</v>
      </c>
      <c r="E8698" t="str">
        <f>IF(COUNTIF(data1!$D:$D,D8698)=0,"Missing in Data1","Present")</f>
        <v>Present</v>
      </c>
    </row>
    <row r="8699" spans="1:5" x14ac:dyDescent="0.25">
      <c r="A8699" s="2" t="s">
        <v>6318</v>
      </c>
      <c r="B8699" s="2" t="s">
        <v>379</v>
      </c>
      <c r="C8699" s="2">
        <v>1</v>
      </c>
      <c r="D8699" t="str">
        <f t="shared" si="135"/>
        <v>US-2016-132577_OFF-LA-10000262</v>
      </c>
      <c r="E8699" t="str">
        <f>IF(COUNTIF(data1!$D:$D,D8699)=0,"Missing in Data1","Present")</f>
        <v>Present</v>
      </c>
    </row>
    <row r="8700" spans="1:5" x14ac:dyDescent="0.25">
      <c r="A8700" s="2" t="s">
        <v>6318</v>
      </c>
      <c r="B8700" s="2" t="s">
        <v>2069</v>
      </c>
      <c r="C8700" s="2">
        <v>2</v>
      </c>
      <c r="D8700" t="str">
        <f t="shared" si="135"/>
        <v>US-2016-132577_TEC-AC-10000387</v>
      </c>
      <c r="E8700" t="str">
        <f>IF(COUNTIF(data1!$D:$D,D8700)=0,"Missing in Data1","Present")</f>
        <v>Present</v>
      </c>
    </row>
    <row r="8701" spans="1:5" x14ac:dyDescent="0.25">
      <c r="A8701" s="2" t="s">
        <v>6319</v>
      </c>
      <c r="B8701" s="2" t="s">
        <v>1920</v>
      </c>
      <c r="C8701" s="2">
        <v>3</v>
      </c>
      <c r="D8701" t="str">
        <f t="shared" si="135"/>
        <v>US-2016-132857_OFF-AR-10003251</v>
      </c>
      <c r="E8701" t="str">
        <f>IF(COUNTIF(data1!$D:$D,D8701)=0,"Missing in Data1","Present")</f>
        <v>Present</v>
      </c>
    </row>
    <row r="8702" spans="1:5" x14ac:dyDescent="0.25">
      <c r="A8702" s="2" t="s">
        <v>6320</v>
      </c>
      <c r="B8702" s="2" t="s">
        <v>397</v>
      </c>
      <c r="C8702" s="2">
        <v>5</v>
      </c>
      <c r="D8702" t="str">
        <f t="shared" si="135"/>
        <v>US-2016-133508_OFF-FA-10000134</v>
      </c>
      <c r="E8702" t="str">
        <f>IF(COUNTIF(data1!$D:$D,D8702)=0,"Missing in Data1","Present")</f>
        <v>Present</v>
      </c>
    </row>
    <row r="8703" spans="1:5" x14ac:dyDescent="0.25">
      <c r="A8703" s="2" t="s">
        <v>6321</v>
      </c>
      <c r="B8703" s="2" t="s">
        <v>2884</v>
      </c>
      <c r="C8703" s="2">
        <v>5</v>
      </c>
      <c r="D8703" t="str">
        <f t="shared" si="135"/>
        <v>US-2016-133879_FUR-CH-10000665</v>
      </c>
      <c r="E8703" t="str">
        <f>IF(COUNTIF(data1!$D:$D,D8703)=0,"Missing in Data1","Present")</f>
        <v>Present</v>
      </c>
    </row>
    <row r="8704" spans="1:5" x14ac:dyDescent="0.25">
      <c r="A8704" s="2" t="s">
        <v>6321</v>
      </c>
      <c r="B8704" s="2" t="s">
        <v>4527</v>
      </c>
      <c r="C8704" s="2">
        <v>3</v>
      </c>
      <c r="D8704" t="str">
        <f t="shared" si="135"/>
        <v>US-2016-133879_OFF-AR-10004956</v>
      </c>
      <c r="E8704" t="str">
        <f>IF(COUNTIF(data1!$D:$D,D8704)=0,"Missing in Data1","Present")</f>
        <v>Present</v>
      </c>
    </row>
    <row r="8705" spans="1:5" x14ac:dyDescent="0.25">
      <c r="A8705" s="2" t="s">
        <v>6321</v>
      </c>
      <c r="B8705" s="2" t="s">
        <v>3533</v>
      </c>
      <c r="C8705" s="2">
        <v>2</v>
      </c>
      <c r="D8705" t="str">
        <f t="shared" si="135"/>
        <v>US-2016-133879_OFF-BI-10004465</v>
      </c>
      <c r="E8705" t="str">
        <f>IF(COUNTIF(data1!$D:$D,D8705)=0,"Missing in Data1","Present")</f>
        <v>Present</v>
      </c>
    </row>
    <row r="8706" spans="1:5" x14ac:dyDescent="0.25">
      <c r="A8706" s="2" t="s">
        <v>6322</v>
      </c>
      <c r="B8706" s="2" t="s">
        <v>157</v>
      </c>
      <c r="C8706" s="2">
        <v>2</v>
      </c>
      <c r="D8706" t="str">
        <f t="shared" si="135"/>
        <v>US-2016-134369_OFF-PA-10002195</v>
      </c>
      <c r="E8706" t="str">
        <f>IF(COUNTIF(data1!$D:$D,D8706)=0,"Missing in Data1","Present")</f>
        <v>Present</v>
      </c>
    </row>
    <row r="8707" spans="1:5" x14ac:dyDescent="0.25">
      <c r="A8707" s="2" t="s">
        <v>6323</v>
      </c>
      <c r="B8707" s="2" t="s">
        <v>2190</v>
      </c>
      <c r="C8707" s="2">
        <v>2</v>
      </c>
      <c r="D8707" t="str">
        <f t="shared" ref="D8707:D8770" si="136">A8707&amp;"_"&amp;B8707</f>
        <v>US-2016-134488_FUR-CH-10003199</v>
      </c>
      <c r="E8707" t="str">
        <f>IF(COUNTIF(data1!$D:$D,D8707)=0,"Missing in Data1","Present")</f>
        <v>Present</v>
      </c>
    </row>
    <row r="8708" spans="1:5" x14ac:dyDescent="0.25">
      <c r="A8708" s="2" t="s">
        <v>6324</v>
      </c>
      <c r="B8708" s="2" t="s">
        <v>1006</v>
      </c>
      <c r="C8708" s="2">
        <v>4</v>
      </c>
      <c r="D8708" t="str">
        <f t="shared" si="136"/>
        <v>US-2016-134656_OFF-PA-10003039</v>
      </c>
      <c r="E8708" t="str">
        <f>IF(COUNTIF(data1!$D:$D,D8708)=0,"Missing in Data1","Present")</f>
        <v>Present</v>
      </c>
    </row>
    <row r="8709" spans="1:5" x14ac:dyDescent="0.25">
      <c r="A8709" s="2" t="s">
        <v>6325</v>
      </c>
      <c r="B8709" s="2" t="s">
        <v>737</v>
      </c>
      <c r="C8709" s="2">
        <v>1</v>
      </c>
      <c r="D8709" t="str">
        <f t="shared" si="136"/>
        <v>US-2016-134761_TEC-PH-10002890</v>
      </c>
      <c r="E8709" t="str">
        <f>IF(COUNTIF(data1!$D:$D,D8709)=0,"Missing in Data1","Present")</f>
        <v>Present</v>
      </c>
    </row>
    <row r="8710" spans="1:5" x14ac:dyDescent="0.25">
      <c r="A8710" s="2" t="s">
        <v>6326</v>
      </c>
      <c r="B8710" s="2" t="s">
        <v>3249</v>
      </c>
      <c r="C8710" s="2">
        <v>3</v>
      </c>
      <c r="D8710" t="str">
        <f t="shared" si="136"/>
        <v>US-2016-134908_OFF-LA-10000973</v>
      </c>
      <c r="E8710" t="str">
        <f>IF(COUNTIF(data1!$D:$D,D8710)=0,"Missing in Data1","Present")</f>
        <v>Present</v>
      </c>
    </row>
    <row r="8711" spans="1:5" x14ac:dyDescent="0.25">
      <c r="A8711" s="2" t="s">
        <v>6326</v>
      </c>
      <c r="B8711" s="2" t="s">
        <v>39</v>
      </c>
      <c r="C8711" s="2">
        <v>4</v>
      </c>
      <c r="D8711" t="str">
        <f t="shared" si="136"/>
        <v>US-2016-134908_OFF-ST-10003479</v>
      </c>
      <c r="E8711" t="str">
        <f>IF(COUNTIF(data1!$D:$D,D8711)=0,"Missing in Data1","Present")</f>
        <v>Present</v>
      </c>
    </row>
    <row r="8712" spans="1:5" x14ac:dyDescent="0.25">
      <c r="A8712" s="2" t="s">
        <v>6327</v>
      </c>
      <c r="B8712" s="2" t="s">
        <v>1833</v>
      </c>
      <c r="C8712" s="2">
        <v>6</v>
      </c>
      <c r="D8712" t="str">
        <f t="shared" si="136"/>
        <v>US-2016-135209_OFF-PA-10000143</v>
      </c>
      <c r="E8712" t="str">
        <f>IF(COUNTIF(data1!$D:$D,D8712)=0,"Missing in Data1","Present")</f>
        <v>Present</v>
      </c>
    </row>
    <row r="8713" spans="1:5" x14ac:dyDescent="0.25">
      <c r="A8713" s="2" t="s">
        <v>6327</v>
      </c>
      <c r="B8713" s="2" t="s">
        <v>47</v>
      </c>
      <c r="C8713" s="2">
        <v>7</v>
      </c>
      <c r="D8713" t="str">
        <f t="shared" si="136"/>
        <v>US-2016-135209_OFF-PA-10002986</v>
      </c>
      <c r="E8713" t="str">
        <f>IF(COUNTIF(data1!$D:$D,D8713)=0,"Missing in Data1","Present")</f>
        <v>Missing in Data1</v>
      </c>
    </row>
    <row r="8714" spans="1:5" x14ac:dyDescent="0.25">
      <c r="A8714" s="2" t="s">
        <v>6328</v>
      </c>
      <c r="B8714" s="2" t="s">
        <v>251</v>
      </c>
      <c r="C8714" s="2">
        <v>3</v>
      </c>
      <c r="D8714" t="str">
        <f t="shared" si="136"/>
        <v>US-2016-135720_OFF-ST-10001963</v>
      </c>
      <c r="E8714" t="str">
        <f>IF(COUNTIF(data1!$D:$D,D8714)=0,"Missing in Data1","Present")</f>
        <v>Present</v>
      </c>
    </row>
    <row r="8715" spans="1:5" x14ac:dyDescent="0.25">
      <c r="A8715" s="2" t="s">
        <v>6328</v>
      </c>
      <c r="B8715" s="2" t="s">
        <v>261</v>
      </c>
      <c r="C8715" s="2">
        <v>5</v>
      </c>
      <c r="D8715" t="str">
        <f t="shared" si="136"/>
        <v>US-2016-135720_TEC-AC-10001267</v>
      </c>
      <c r="E8715" t="str">
        <f>IF(COUNTIF(data1!$D:$D,D8715)=0,"Missing in Data1","Present")</f>
        <v>Present</v>
      </c>
    </row>
    <row r="8716" spans="1:5" x14ac:dyDescent="0.25">
      <c r="A8716" s="2" t="s">
        <v>6328</v>
      </c>
      <c r="B8716" s="2" t="s">
        <v>1425</v>
      </c>
      <c r="C8716" s="2">
        <v>4</v>
      </c>
      <c r="D8716" t="str">
        <f t="shared" si="136"/>
        <v>US-2016-135720_TEC-PH-10002103</v>
      </c>
      <c r="E8716" t="str">
        <f>IF(COUNTIF(data1!$D:$D,D8716)=0,"Missing in Data1","Present")</f>
        <v>Present</v>
      </c>
    </row>
    <row r="8717" spans="1:5" x14ac:dyDescent="0.25">
      <c r="A8717" s="2" t="s">
        <v>6329</v>
      </c>
      <c r="B8717" s="2" t="s">
        <v>815</v>
      </c>
      <c r="C8717" s="2">
        <v>4</v>
      </c>
      <c r="D8717" t="str">
        <f t="shared" si="136"/>
        <v>US-2016-135923_FUR-BO-10002213</v>
      </c>
      <c r="E8717" t="str">
        <f>IF(COUNTIF(data1!$D:$D,D8717)=0,"Missing in Data1","Present")</f>
        <v>Present</v>
      </c>
    </row>
    <row r="8718" spans="1:5" x14ac:dyDescent="0.25">
      <c r="A8718" s="2" t="s">
        <v>6329</v>
      </c>
      <c r="B8718" s="2" t="s">
        <v>499</v>
      </c>
      <c r="C8718" s="2">
        <v>8</v>
      </c>
      <c r="D8718" t="str">
        <f t="shared" si="136"/>
        <v>US-2016-135923_FUR-FU-10002107</v>
      </c>
      <c r="E8718" t="str">
        <f>IF(COUNTIF(data1!$D:$D,D8718)=0,"Missing in Data1","Present")</f>
        <v>Present</v>
      </c>
    </row>
    <row r="8719" spans="1:5" x14ac:dyDescent="0.25">
      <c r="A8719" s="2" t="s">
        <v>6329</v>
      </c>
      <c r="B8719" s="2" t="s">
        <v>647</v>
      </c>
      <c r="C8719" s="2">
        <v>4</v>
      </c>
      <c r="D8719" t="str">
        <f t="shared" si="136"/>
        <v>US-2016-135923_OFF-AP-10000692</v>
      </c>
      <c r="E8719" t="str">
        <f>IF(COUNTIF(data1!$D:$D,D8719)=0,"Missing in Data1","Present")</f>
        <v>Present</v>
      </c>
    </row>
    <row r="8720" spans="1:5" x14ac:dyDescent="0.25">
      <c r="A8720" s="2" t="s">
        <v>6331</v>
      </c>
      <c r="B8720" s="2" t="s">
        <v>1034</v>
      </c>
      <c r="C8720" s="2">
        <v>3</v>
      </c>
      <c r="D8720" t="str">
        <f t="shared" si="136"/>
        <v>US-2016-137295_OFF-AR-10001955</v>
      </c>
      <c r="E8720" t="str">
        <f>IF(COUNTIF(data1!$D:$D,D8720)=0,"Missing in Data1","Present")</f>
        <v>Present</v>
      </c>
    </row>
    <row r="8721" spans="1:5" x14ac:dyDescent="0.25">
      <c r="A8721" s="2" t="s">
        <v>6331</v>
      </c>
      <c r="B8721" s="2" t="s">
        <v>2913</v>
      </c>
      <c r="C8721" s="2">
        <v>7</v>
      </c>
      <c r="D8721" t="str">
        <f t="shared" si="136"/>
        <v>US-2016-137295_OFF-BI-10004236</v>
      </c>
      <c r="E8721" t="str">
        <f>IF(COUNTIF(data1!$D:$D,D8721)=0,"Missing in Data1","Present")</f>
        <v>Present</v>
      </c>
    </row>
    <row r="8722" spans="1:5" x14ac:dyDescent="0.25">
      <c r="A8722" s="2" t="s">
        <v>6331</v>
      </c>
      <c r="B8722" s="2" t="s">
        <v>3970</v>
      </c>
      <c r="C8722" s="2">
        <v>2</v>
      </c>
      <c r="D8722" t="str">
        <f t="shared" si="136"/>
        <v>US-2016-137295_TEC-PH-10004080</v>
      </c>
      <c r="E8722" t="str">
        <f>IF(COUNTIF(data1!$D:$D,D8722)=0,"Missing in Data1","Present")</f>
        <v>Present</v>
      </c>
    </row>
    <row r="8723" spans="1:5" x14ac:dyDescent="0.25">
      <c r="A8723" s="2" t="s">
        <v>6332</v>
      </c>
      <c r="B8723" s="2" t="s">
        <v>3483</v>
      </c>
      <c r="C8723" s="2">
        <v>3</v>
      </c>
      <c r="D8723" t="str">
        <f t="shared" si="136"/>
        <v>US-2016-137547_TEC-PH-10002365</v>
      </c>
      <c r="E8723" t="str">
        <f>IF(COUNTIF(data1!$D:$D,D8723)=0,"Missing in Data1","Present")</f>
        <v>Present</v>
      </c>
    </row>
    <row r="8724" spans="1:5" x14ac:dyDescent="0.25">
      <c r="A8724" s="2" t="s">
        <v>6333</v>
      </c>
      <c r="B8724" s="2" t="s">
        <v>3005</v>
      </c>
      <c r="C8724" s="2">
        <v>4</v>
      </c>
      <c r="D8724" t="str">
        <f t="shared" si="136"/>
        <v>US-2016-138408_TEC-AC-10003870</v>
      </c>
      <c r="E8724" t="str">
        <f>IF(COUNTIF(data1!$D:$D,D8724)=0,"Missing in Data1","Present")</f>
        <v>Present</v>
      </c>
    </row>
    <row r="8725" spans="1:5" x14ac:dyDescent="0.25">
      <c r="A8725" s="2" t="s">
        <v>6334</v>
      </c>
      <c r="B8725" s="2" t="s">
        <v>2864</v>
      </c>
      <c r="C8725" s="2">
        <v>3</v>
      </c>
      <c r="D8725" t="str">
        <f t="shared" si="136"/>
        <v>US-2016-139087_FUR-FU-10001847</v>
      </c>
      <c r="E8725" t="str">
        <f>IF(COUNTIF(data1!$D:$D,D8725)=0,"Missing in Data1","Present")</f>
        <v>Present</v>
      </c>
    </row>
    <row r="8726" spans="1:5" x14ac:dyDescent="0.25">
      <c r="A8726" s="2" t="s">
        <v>6334</v>
      </c>
      <c r="B8726" s="2" t="s">
        <v>6335</v>
      </c>
      <c r="C8726" s="2">
        <v>5</v>
      </c>
      <c r="D8726" t="str">
        <f t="shared" si="136"/>
        <v>US-2016-139087_FUR-FU-10004164</v>
      </c>
      <c r="E8726" t="str">
        <f>IF(COUNTIF(data1!$D:$D,D8726)=0,"Missing in Data1","Present")</f>
        <v>Present</v>
      </c>
    </row>
    <row r="8727" spans="1:5" x14ac:dyDescent="0.25">
      <c r="A8727" s="2" t="s">
        <v>6334</v>
      </c>
      <c r="B8727" s="2" t="s">
        <v>540</v>
      </c>
      <c r="C8727" s="2">
        <v>7</v>
      </c>
      <c r="D8727" t="str">
        <f t="shared" si="136"/>
        <v>US-2016-139087_OFF-LA-10001074</v>
      </c>
      <c r="E8727" t="str">
        <f>IF(COUNTIF(data1!$D:$D,D8727)=0,"Missing in Data1","Present")</f>
        <v>Present</v>
      </c>
    </row>
    <row r="8728" spans="1:5" x14ac:dyDescent="0.25">
      <c r="A8728" s="2" t="s">
        <v>6334</v>
      </c>
      <c r="B8728" s="2" t="s">
        <v>2149</v>
      </c>
      <c r="C8728" s="2">
        <v>2</v>
      </c>
      <c r="D8728" t="str">
        <f t="shared" si="136"/>
        <v>US-2016-139087_OFF-ST-10000604</v>
      </c>
      <c r="E8728" t="str">
        <f>IF(COUNTIF(data1!$D:$D,D8728)=0,"Missing in Data1","Present")</f>
        <v>Present</v>
      </c>
    </row>
    <row r="8729" spans="1:5" x14ac:dyDescent="0.25">
      <c r="A8729" s="2" t="s">
        <v>6334</v>
      </c>
      <c r="B8729" s="2" t="s">
        <v>6336</v>
      </c>
      <c r="C8729" s="2">
        <v>3</v>
      </c>
      <c r="D8729" t="str">
        <f t="shared" si="136"/>
        <v>US-2016-139087_TEC-AC-10004595</v>
      </c>
      <c r="E8729" t="str">
        <f>IF(COUNTIF(data1!$D:$D,D8729)=0,"Missing in Data1","Present")</f>
        <v>Present</v>
      </c>
    </row>
    <row r="8730" spans="1:5" x14ac:dyDescent="0.25">
      <c r="A8730" s="2" t="s">
        <v>6334</v>
      </c>
      <c r="B8730" s="2" t="s">
        <v>3666</v>
      </c>
      <c r="C8730" s="2">
        <v>2</v>
      </c>
      <c r="D8730" t="str">
        <f t="shared" si="136"/>
        <v>US-2016-139087_TEC-PH-10000148</v>
      </c>
      <c r="E8730" t="str">
        <f>IF(COUNTIF(data1!$D:$D,D8730)=0,"Missing in Data1","Present")</f>
        <v>Missing in Data1</v>
      </c>
    </row>
    <row r="8731" spans="1:5" x14ac:dyDescent="0.25">
      <c r="A8731" s="2" t="s">
        <v>6337</v>
      </c>
      <c r="B8731" s="2" t="s">
        <v>637</v>
      </c>
      <c r="C8731" s="2">
        <v>2</v>
      </c>
      <c r="D8731" t="str">
        <f t="shared" si="136"/>
        <v>US-2016-139262_OFF-BI-10002026</v>
      </c>
      <c r="E8731" t="str">
        <f>IF(COUNTIF(data1!$D:$D,D8731)=0,"Missing in Data1","Present")</f>
        <v>Present</v>
      </c>
    </row>
    <row r="8732" spans="1:5" x14ac:dyDescent="0.25">
      <c r="A8732" s="2" t="s">
        <v>6337</v>
      </c>
      <c r="B8732" s="2" t="s">
        <v>1526</v>
      </c>
      <c r="C8732" s="2">
        <v>3</v>
      </c>
      <c r="D8732" t="str">
        <f t="shared" si="136"/>
        <v>US-2016-139262_OFF-BI-10003727</v>
      </c>
      <c r="E8732" t="str">
        <f>IF(COUNTIF(data1!$D:$D,D8732)=0,"Missing in Data1","Present")</f>
        <v>Present</v>
      </c>
    </row>
    <row r="8733" spans="1:5" x14ac:dyDescent="0.25">
      <c r="A8733" s="2" t="s">
        <v>6337</v>
      </c>
      <c r="B8733" s="2" t="s">
        <v>258</v>
      </c>
      <c r="C8733" s="2">
        <v>3</v>
      </c>
      <c r="D8733" t="str">
        <f t="shared" si="136"/>
        <v>US-2016-139262_OFF-ST-10001496</v>
      </c>
      <c r="E8733" t="str">
        <f>IF(COUNTIF(data1!$D:$D,D8733)=0,"Missing in Data1","Present")</f>
        <v>Present</v>
      </c>
    </row>
    <row r="8734" spans="1:5" x14ac:dyDescent="0.25">
      <c r="A8734" s="2" t="s">
        <v>6861</v>
      </c>
      <c r="B8734" s="2" t="s">
        <v>2834</v>
      </c>
      <c r="C8734" s="2">
        <v>4</v>
      </c>
      <c r="D8734" t="str">
        <f t="shared" si="136"/>
        <v>US-2016-139388_OFF-FA-10004968</v>
      </c>
      <c r="E8734" t="str">
        <f>IF(COUNTIF(data1!$D:$D,D8734)=0,"Missing in Data1","Present")</f>
        <v>Missing in Data1</v>
      </c>
    </row>
    <row r="8735" spans="1:5" x14ac:dyDescent="0.25">
      <c r="A8735" s="2" t="s">
        <v>6338</v>
      </c>
      <c r="B8735" s="2" t="s">
        <v>877</v>
      </c>
      <c r="C8735" s="2">
        <v>2</v>
      </c>
      <c r="D8735" t="str">
        <f t="shared" si="136"/>
        <v>US-2016-139486_TEC-AC-10003832</v>
      </c>
      <c r="E8735" t="str">
        <f>IF(COUNTIF(data1!$D:$D,D8735)=0,"Missing in Data1","Present")</f>
        <v>Present</v>
      </c>
    </row>
    <row r="8736" spans="1:5" x14ac:dyDescent="0.25">
      <c r="A8736" s="2" t="s">
        <v>6338</v>
      </c>
      <c r="B8736" s="2" t="s">
        <v>2452</v>
      </c>
      <c r="C8736" s="2">
        <v>3</v>
      </c>
      <c r="D8736" t="str">
        <f t="shared" si="136"/>
        <v>US-2016-139486_TEC-PH-10003555</v>
      </c>
      <c r="E8736" t="str">
        <f>IF(COUNTIF(data1!$D:$D,D8736)=0,"Missing in Data1","Present")</f>
        <v>Missing in Data1</v>
      </c>
    </row>
    <row r="8737" spans="1:5" x14ac:dyDescent="0.25">
      <c r="A8737" s="2" t="s">
        <v>6339</v>
      </c>
      <c r="B8737" s="2" t="s">
        <v>2968</v>
      </c>
      <c r="C8737" s="2">
        <v>3</v>
      </c>
      <c r="D8737" t="str">
        <f t="shared" si="136"/>
        <v>US-2016-139710_TEC-PH-10001198</v>
      </c>
      <c r="E8737" t="str">
        <f>IF(COUNTIF(data1!$D:$D,D8737)=0,"Missing in Data1","Present")</f>
        <v>Present</v>
      </c>
    </row>
    <row r="8738" spans="1:5" x14ac:dyDescent="0.25">
      <c r="A8738" s="2" t="s">
        <v>6340</v>
      </c>
      <c r="B8738" s="2" t="s">
        <v>859</v>
      </c>
      <c r="C8738" s="2">
        <v>1</v>
      </c>
      <c r="D8738" t="str">
        <f t="shared" si="136"/>
        <v>US-2016-140158_OFF-BI-10000977</v>
      </c>
      <c r="E8738" t="str">
        <f>IF(COUNTIF(data1!$D:$D,D8738)=0,"Missing in Data1","Present")</f>
        <v>Present</v>
      </c>
    </row>
    <row r="8739" spans="1:5" x14ac:dyDescent="0.25">
      <c r="A8739" s="2" t="s">
        <v>6340</v>
      </c>
      <c r="B8739" s="2" t="s">
        <v>6341</v>
      </c>
      <c r="C8739" s="2">
        <v>3</v>
      </c>
      <c r="D8739" t="str">
        <f t="shared" si="136"/>
        <v>US-2016-140158_OFF-ST-10000136</v>
      </c>
      <c r="E8739" t="str">
        <f>IF(COUNTIF(data1!$D:$D,D8739)=0,"Missing in Data1","Present")</f>
        <v>Present</v>
      </c>
    </row>
    <row r="8740" spans="1:5" x14ac:dyDescent="0.25">
      <c r="A8740" s="2" t="s">
        <v>6340</v>
      </c>
      <c r="B8740" s="2" t="s">
        <v>567</v>
      </c>
      <c r="C8740" s="2">
        <v>9</v>
      </c>
      <c r="D8740" t="str">
        <f t="shared" si="136"/>
        <v>US-2016-140158_TEC-CO-10001449</v>
      </c>
      <c r="E8740" t="str">
        <f>IF(COUNTIF(data1!$D:$D,D8740)=0,"Missing in Data1","Present")</f>
        <v>Present</v>
      </c>
    </row>
    <row r="8741" spans="1:5" x14ac:dyDescent="0.25">
      <c r="A8741" s="2" t="s">
        <v>6342</v>
      </c>
      <c r="B8741" s="2" t="s">
        <v>5364</v>
      </c>
      <c r="C8741" s="2">
        <v>5</v>
      </c>
      <c r="D8741" t="str">
        <f t="shared" si="136"/>
        <v>US-2016-140172_OFF-AR-10002766</v>
      </c>
      <c r="E8741" t="str">
        <f>IF(COUNTIF(data1!$D:$D,D8741)=0,"Missing in Data1","Present")</f>
        <v>Present</v>
      </c>
    </row>
    <row r="8742" spans="1:5" x14ac:dyDescent="0.25">
      <c r="A8742" s="2" t="s">
        <v>6343</v>
      </c>
      <c r="B8742" s="2" t="s">
        <v>652</v>
      </c>
      <c r="C8742" s="2">
        <v>5</v>
      </c>
      <c r="D8742" t="str">
        <f t="shared" si="136"/>
        <v>US-2016-140809_OFF-ST-10002214</v>
      </c>
      <c r="E8742" t="str">
        <f>IF(COUNTIF(data1!$D:$D,D8742)=0,"Missing in Data1","Present")</f>
        <v>Present</v>
      </c>
    </row>
    <row r="8743" spans="1:5" x14ac:dyDescent="0.25">
      <c r="A8743" s="2" t="s">
        <v>6344</v>
      </c>
      <c r="B8743" s="2" t="s">
        <v>947</v>
      </c>
      <c r="C8743" s="2">
        <v>1</v>
      </c>
      <c r="D8743" t="str">
        <f t="shared" si="136"/>
        <v>US-2016-141264_OFF-AP-10002534</v>
      </c>
      <c r="E8743" t="str">
        <f>IF(COUNTIF(data1!$D:$D,D8743)=0,"Missing in Data1","Present")</f>
        <v>Present</v>
      </c>
    </row>
    <row r="8744" spans="1:5" x14ac:dyDescent="0.25">
      <c r="A8744" s="2" t="s">
        <v>6344</v>
      </c>
      <c r="B8744" s="2" t="s">
        <v>3354</v>
      </c>
      <c r="C8744" s="2">
        <v>2</v>
      </c>
      <c r="D8744" t="str">
        <f t="shared" si="136"/>
        <v>US-2016-141264_OFF-SU-10003505</v>
      </c>
      <c r="E8744" t="str">
        <f>IF(COUNTIF(data1!$D:$D,D8744)=0,"Missing in Data1","Present")</f>
        <v>Present</v>
      </c>
    </row>
    <row r="8745" spans="1:5" x14ac:dyDescent="0.25">
      <c r="A8745" s="2" t="s">
        <v>6345</v>
      </c>
      <c r="B8745" s="2" t="s">
        <v>2290</v>
      </c>
      <c r="C8745" s="2">
        <v>4</v>
      </c>
      <c r="D8745" t="str">
        <f t="shared" si="136"/>
        <v>US-2016-141544_FUR-CH-10003312</v>
      </c>
      <c r="E8745" t="str">
        <f>IF(COUNTIF(data1!$D:$D,D8745)=0,"Missing in Data1","Present")</f>
        <v>Present</v>
      </c>
    </row>
    <row r="8746" spans="1:5" x14ac:dyDescent="0.25">
      <c r="A8746" s="2" t="s">
        <v>6345</v>
      </c>
      <c r="B8746" s="2" t="s">
        <v>1815</v>
      </c>
      <c r="C8746" s="2">
        <v>6</v>
      </c>
      <c r="D8746" t="str">
        <f t="shared" si="136"/>
        <v>US-2016-141544_OFF-BI-10001524</v>
      </c>
      <c r="E8746" t="str">
        <f>IF(COUNTIF(data1!$D:$D,D8746)=0,"Missing in Data1","Present")</f>
        <v>Present</v>
      </c>
    </row>
    <row r="8747" spans="1:5" x14ac:dyDescent="0.25">
      <c r="A8747" s="2" t="s">
        <v>6345</v>
      </c>
      <c r="B8747" s="2" t="s">
        <v>540</v>
      </c>
      <c r="C8747" s="2">
        <v>10</v>
      </c>
      <c r="D8747" t="str">
        <f t="shared" si="136"/>
        <v>US-2016-141544_OFF-LA-10001074</v>
      </c>
      <c r="E8747" t="str">
        <f>IF(COUNTIF(data1!$D:$D,D8747)=0,"Missing in Data1","Present")</f>
        <v>Present</v>
      </c>
    </row>
    <row r="8748" spans="1:5" x14ac:dyDescent="0.25">
      <c r="A8748" s="2" t="s">
        <v>6345</v>
      </c>
      <c r="B8748" s="2" t="s">
        <v>1584</v>
      </c>
      <c r="C8748" s="2">
        <v>2</v>
      </c>
      <c r="D8748" t="str">
        <f t="shared" si="136"/>
        <v>US-2016-141544_OFF-ST-10000675</v>
      </c>
      <c r="E8748" t="str">
        <f>IF(COUNTIF(data1!$D:$D,D8748)=0,"Missing in Data1","Present")</f>
        <v>Present</v>
      </c>
    </row>
    <row r="8749" spans="1:5" x14ac:dyDescent="0.25">
      <c r="A8749" s="2" t="s">
        <v>6345</v>
      </c>
      <c r="B8749" s="2" t="s">
        <v>998</v>
      </c>
      <c r="C8749" s="2">
        <v>3</v>
      </c>
      <c r="D8749" t="str">
        <f t="shared" si="136"/>
        <v>US-2016-141544_TEC-PH-10003645</v>
      </c>
      <c r="E8749" t="str">
        <f>IF(COUNTIF(data1!$D:$D,D8749)=0,"Missing in Data1","Present")</f>
        <v>Present</v>
      </c>
    </row>
    <row r="8750" spans="1:5" x14ac:dyDescent="0.25">
      <c r="A8750" s="2" t="s">
        <v>6346</v>
      </c>
      <c r="B8750" s="2" t="s">
        <v>1845</v>
      </c>
      <c r="C8750" s="2">
        <v>3</v>
      </c>
      <c r="D8750" t="str">
        <f t="shared" si="136"/>
        <v>US-2016-141880_FUR-FU-10001979</v>
      </c>
      <c r="E8750" t="str">
        <f>IF(COUNTIF(data1!$D:$D,D8750)=0,"Missing in Data1","Present")</f>
        <v>Present</v>
      </c>
    </row>
    <row r="8751" spans="1:5" x14ac:dyDescent="0.25">
      <c r="A8751" s="2" t="s">
        <v>6347</v>
      </c>
      <c r="B8751" s="2" t="s">
        <v>47</v>
      </c>
      <c r="C8751" s="2">
        <v>6</v>
      </c>
      <c r="D8751" t="str">
        <f t="shared" si="136"/>
        <v>US-2016-142251_OFF-PA-10002986</v>
      </c>
      <c r="E8751" t="str">
        <f>IF(COUNTIF(data1!$D:$D,D8751)=0,"Missing in Data1","Present")</f>
        <v>Present</v>
      </c>
    </row>
    <row r="8752" spans="1:5" x14ac:dyDescent="0.25">
      <c r="A8752" s="2" t="s">
        <v>6348</v>
      </c>
      <c r="B8752" s="2" t="s">
        <v>695</v>
      </c>
      <c r="C8752" s="2">
        <v>7</v>
      </c>
      <c r="D8752" t="str">
        <f t="shared" si="136"/>
        <v>US-2016-142685_OFF-SU-10000157</v>
      </c>
      <c r="E8752" t="str">
        <f>IF(COUNTIF(data1!$D:$D,D8752)=0,"Missing in Data1","Present")</f>
        <v>Present</v>
      </c>
    </row>
    <row r="8753" spans="1:5" x14ac:dyDescent="0.25">
      <c r="A8753" s="2" t="s">
        <v>6349</v>
      </c>
      <c r="B8753" s="2" t="s">
        <v>382</v>
      </c>
      <c r="C8753" s="2">
        <v>1</v>
      </c>
      <c r="D8753" t="str">
        <f t="shared" si="136"/>
        <v>US-2016-143280_TEC-AC-10003399</v>
      </c>
      <c r="E8753" t="str">
        <f>IF(COUNTIF(data1!$D:$D,D8753)=0,"Missing in Data1","Present")</f>
        <v>Present</v>
      </c>
    </row>
    <row r="8754" spans="1:5" x14ac:dyDescent="0.25">
      <c r="A8754" s="2" t="s">
        <v>6349</v>
      </c>
      <c r="B8754" s="2" t="s">
        <v>987</v>
      </c>
      <c r="C8754" s="2">
        <v>5</v>
      </c>
      <c r="D8754" t="str">
        <f t="shared" si="136"/>
        <v>US-2016-143280_TEC-PH-10002398</v>
      </c>
      <c r="E8754" t="str">
        <f>IF(COUNTIF(data1!$D:$D,D8754)=0,"Missing in Data1","Present")</f>
        <v>Present</v>
      </c>
    </row>
    <row r="8755" spans="1:5" x14ac:dyDescent="0.25">
      <c r="A8755" s="2" t="s">
        <v>6350</v>
      </c>
      <c r="B8755" s="2" t="s">
        <v>1682</v>
      </c>
      <c r="C8755" s="2">
        <v>5</v>
      </c>
      <c r="D8755" t="str">
        <f t="shared" si="136"/>
        <v>US-2016-143448_FUR-CH-10003379</v>
      </c>
      <c r="E8755" t="str">
        <f>IF(COUNTIF(data1!$D:$D,D8755)=0,"Missing in Data1","Present")</f>
        <v>Present</v>
      </c>
    </row>
    <row r="8756" spans="1:5" x14ac:dyDescent="0.25">
      <c r="A8756" s="2" t="s">
        <v>6351</v>
      </c>
      <c r="B8756" s="2" t="s">
        <v>2635</v>
      </c>
      <c r="C8756" s="2">
        <v>8</v>
      </c>
      <c r="D8756" t="str">
        <f t="shared" si="136"/>
        <v>US-2016-143819_FUR-TA-10001095</v>
      </c>
      <c r="E8756" t="str">
        <f>IF(COUNTIF(data1!$D:$D,D8756)=0,"Missing in Data1","Present")</f>
        <v>Present</v>
      </c>
    </row>
    <row r="8757" spans="1:5" x14ac:dyDescent="0.25">
      <c r="A8757" s="2" t="s">
        <v>6351</v>
      </c>
      <c r="B8757" s="2" t="s">
        <v>4712</v>
      </c>
      <c r="C8757" s="2">
        <v>1</v>
      </c>
      <c r="D8757" t="str">
        <f t="shared" si="136"/>
        <v>US-2016-143819_OFF-PA-10003127</v>
      </c>
      <c r="E8757" t="str">
        <f>IF(COUNTIF(data1!$D:$D,D8757)=0,"Missing in Data1","Present")</f>
        <v>Present</v>
      </c>
    </row>
    <row r="8758" spans="1:5" x14ac:dyDescent="0.25">
      <c r="A8758" s="2" t="s">
        <v>6351</v>
      </c>
      <c r="B8758" s="2" t="s">
        <v>550</v>
      </c>
      <c r="C8758" s="2">
        <v>2</v>
      </c>
      <c r="D8758" t="str">
        <f t="shared" si="136"/>
        <v>US-2016-143819_OFF-ST-10003208</v>
      </c>
      <c r="E8758" t="str">
        <f>IF(COUNTIF(data1!$D:$D,D8758)=0,"Missing in Data1","Present")</f>
        <v>Present</v>
      </c>
    </row>
    <row r="8759" spans="1:5" x14ac:dyDescent="0.25">
      <c r="A8759" s="2" t="s">
        <v>6351</v>
      </c>
      <c r="B8759" s="2" t="s">
        <v>1632</v>
      </c>
      <c r="C8759" s="2">
        <v>7</v>
      </c>
      <c r="D8759" t="str">
        <f t="shared" si="136"/>
        <v>US-2016-143819_TEC-MA-10003979</v>
      </c>
      <c r="E8759" t="str">
        <f>IF(COUNTIF(data1!$D:$D,D8759)=0,"Missing in Data1","Present")</f>
        <v>Present</v>
      </c>
    </row>
    <row r="8760" spans="1:5" x14ac:dyDescent="0.25">
      <c r="A8760" s="2" t="s">
        <v>6352</v>
      </c>
      <c r="B8760" s="2" t="s">
        <v>5624</v>
      </c>
      <c r="C8760" s="2">
        <v>4</v>
      </c>
      <c r="D8760" t="str">
        <f t="shared" si="136"/>
        <v>US-2016-144057_OFF-AP-10000390</v>
      </c>
      <c r="E8760" t="str">
        <f>IF(COUNTIF(data1!$D:$D,D8760)=0,"Missing in Data1","Present")</f>
        <v>Present</v>
      </c>
    </row>
    <row r="8761" spans="1:5" x14ac:dyDescent="0.25">
      <c r="A8761" s="2" t="s">
        <v>6352</v>
      </c>
      <c r="B8761" s="2" t="s">
        <v>955</v>
      </c>
      <c r="C8761" s="2">
        <v>6</v>
      </c>
      <c r="D8761" t="str">
        <f t="shared" si="136"/>
        <v>US-2016-144057_OFF-BI-10002353</v>
      </c>
      <c r="E8761" t="str">
        <f>IF(COUNTIF(data1!$D:$D,D8761)=0,"Missing in Data1","Present")</f>
        <v>Present</v>
      </c>
    </row>
    <row r="8762" spans="1:5" x14ac:dyDescent="0.25">
      <c r="A8762" s="2" t="s">
        <v>6352</v>
      </c>
      <c r="B8762" s="2" t="s">
        <v>480</v>
      </c>
      <c r="C8762" s="2">
        <v>4</v>
      </c>
      <c r="D8762" t="str">
        <f t="shared" si="136"/>
        <v>US-2016-144057_OFF-BI-10002852</v>
      </c>
      <c r="E8762" t="str">
        <f>IF(COUNTIF(data1!$D:$D,D8762)=0,"Missing in Data1","Present")</f>
        <v>Present</v>
      </c>
    </row>
    <row r="8763" spans="1:5" x14ac:dyDescent="0.25">
      <c r="A8763" s="2" t="s">
        <v>6352</v>
      </c>
      <c r="B8763" s="2" t="s">
        <v>3511</v>
      </c>
      <c r="C8763" s="2">
        <v>2</v>
      </c>
      <c r="D8763" t="str">
        <f t="shared" si="136"/>
        <v>US-2016-144057_OFF-PA-10004327</v>
      </c>
      <c r="E8763" t="str">
        <f>IF(COUNTIF(data1!$D:$D,D8763)=0,"Missing in Data1","Present")</f>
        <v>Present</v>
      </c>
    </row>
    <row r="8764" spans="1:5" x14ac:dyDescent="0.25">
      <c r="A8764" s="2" t="s">
        <v>6352</v>
      </c>
      <c r="B8764" s="2" t="s">
        <v>34</v>
      </c>
      <c r="C8764" s="2">
        <v>6</v>
      </c>
      <c r="D8764" t="str">
        <f t="shared" si="136"/>
        <v>US-2016-144057_OFF-ST-10001490</v>
      </c>
      <c r="E8764" t="str">
        <f>IF(COUNTIF(data1!$D:$D,D8764)=0,"Missing in Data1","Present")</f>
        <v>Missing in Data1</v>
      </c>
    </row>
    <row r="8765" spans="1:5" x14ac:dyDescent="0.25">
      <c r="A8765" s="2" t="s">
        <v>6353</v>
      </c>
      <c r="B8765" s="2" t="s">
        <v>1495</v>
      </c>
      <c r="C8765" s="2">
        <v>3</v>
      </c>
      <c r="D8765" t="str">
        <f t="shared" si="136"/>
        <v>US-2016-144211_OFF-PA-10002246</v>
      </c>
      <c r="E8765" t="str">
        <f>IF(COUNTIF(data1!$D:$D,D8765)=0,"Missing in Data1","Present")</f>
        <v>Present</v>
      </c>
    </row>
    <row r="8766" spans="1:5" x14ac:dyDescent="0.25">
      <c r="A8766" s="2" t="s">
        <v>6353</v>
      </c>
      <c r="B8766" s="2" t="s">
        <v>737</v>
      </c>
      <c r="C8766" s="2">
        <v>3</v>
      </c>
      <c r="D8766" t="str">
        <f t="shared" si="136"/>
        <v>US-2016-144211_TEC-PH-10002890</v>
      </c>
      <c r="E8766" t="str">
        <f>IF(COUNTIF(data1!$D:$D,D8766)=0,"Missing in Data1","Present")</f>
        <v>Present</v>
      </c>
    </row>
    <row r="8767" spans="1:5" x14ac:dyDescent="0.25">
      <c r="A8767" s="2" t="s">
        <v>6354</v>
      </c>
      <c r="B8767" s="2" t="s">
        <v>989</v>
      </c>
      <c r="C8767" s="2">
        <v>3</v>
      </c>
      <c r="D8767" t="str">
        <f t="shared" si="136"/>
        <v>US-2016-144351_TEC-PH-10001644</v>
      </c>
      <c r="E8767" t="str">
        <f>IF(COUNTIF(data1!$D:$D,D8767)=0,"Missing in Data1","Present")</f>
        <v>Present</v>
      </c>
    </row>
    <row r="8768" spans="1:5" x14ac:dyDescent="0.25">
      <c r="A8768" s="2" t="s">
        <v>6355</v>
      </c>
      <c r="B8768" s="2" t="s">
        <v>2913</v>
      </c>
      <c r="C8768" s="2">
        <v>4</v>
      </c>
      <c r="D8768" t="str">
        <f t="shared" si="136"/>
        <v>US-2016-144393_OFF-BI-10004236</v>
      </c>
      <c r="E8768" t="str">
        <f>IF(COUNTIF(data1!$D:$D,D8768)=0,"Missing in Data1","Present")</f>
        <v>Present</v>
      </c>
    </row>
    <row r="8769" spans="1:5" x14ac:dyDescent="0.25">
      <c r="A8769" s="2" t="s">
        <v>6356</v>
      </c>
      <c r="B8769" s="2" t="s">
        <v>3945</v>
      </c>
      <c r="C8769" s="2">
        <v>4</v>
      </c>
      <c r="D8769" t="str">
        <f t="shared" si="136"/>
        <v>US-2016-144477_OFF-AR-10000914</v>
      </c>
      <c r="E8769" t="str">
        <f>IF(COUNTIF(data1!$D:$D,D8769)=0,"Missing in Data1","Present")</f>
        <v>Present</v>
      </c>
    </row>
    <row r="8770" spans="1:5" x14ac:dyDescent="0.25">
      <c r="A8770" s="2" t="s">
        <v>6357</v>
      </c>
      <c r="B8770" s="2" t="s">
        <v>5395</v>
      </c>
      <c r="C8770" s="2">
        <v>7</v>
      </c>
      <c r="D8770" t="str">
        <f t="shared" si="136"/>
        <v>US-2016-144547_TEC-AC-10004901</v>
      </c>
      <c r="E8770" t="str">
        <f>IF(COUNTIF(data1!$D:$D,D8770)=0,"Missing in Data1","Present")</f>
        <v>Present</v>
      </c>
    </row>
    <row r="8771" spans="1:5" x14ac:dyDescent="0.25">
      <c r="A8771" s="2" t="s">
        <v>6358</v>
      </c>
      <c r="B8771" s="2" t="s">
        <v>1996</v>
      </c>
      <c r="C8771" s="2">
        <v>9</v>
      </c>
      <c r="D8771" t="str">
        <f t="shared" ref="D8771:D8834" si="137">A8771&amp;"_"&amp;B8771</f>
        <v>US-2016-146066_FUR-TA-10002530</v>
      </c>
      <c r="E8771" t="str">
        <f>IF(COUNTIF(data1!$D:$D,D8771)=0,"Missing in Data1","Present")</f>
        <v>Present</v>
      </c>
    </row>
    <row r="8772" spans="1:5" x14ac:dyDescent="0.25">
      <c r="A8772" s="2" t="s">
        <v>6359</v>
      </c>
      <c r="B8772" s="2" t="s">
        <v>2785</v>
      </c>
      <c r="C8772" s="2">
        <v>3</v>
      </c>
      <c r="D8772" t="str">
        <f t="shared" si="137"/>
        <v>US-2016-146570_OFF-AR-10003856</v>
      </c>
      <c r="E8772" t="str">
        <f>IF(COUNTIF(data1!$D:$D,D8772)=0,"Missing in Data1","Present")</f>
        <v>Present</v>
      </c>
    </row>
    <row r="8773" spans="1:5" x14ac:dyDescent="0.25">
      <c r="A8773" s="2" t="s">
        <v>6359</v>
      </c>
      <c r="B8773" s="2" t="s">
        <v>1422</v>
      </c>
      <c r="C8773" s="2">
        <v>4</v>
      </c>
      <c r="D8773" t="str">
        <f t="shared" si="137"/>
        <v>US-2016-146570_OFF-AR-10004602</v>
      </c>
      <c r="E8773" t="str">
        <f>IF(COUNTIF(data1!$D:$D,D8773)=0,"Missing in Data1","Present")</f>
        <v>Missing in Data1</v>
      </c>
    </row>
    <row r="8774" spans="1:5" x14ac:dyDescent="0.25">
      <c r="A8774" s="2" t="s">
        <v>6359</v>
      </c>
      <c r="B8774" s="2" t="s">
        <v>2324</v>
      </c>
      <c r="C8774" s="2">
        <v>8</v>
      </c>
      <c r="D8774" t="str">
        <f t="shared" si="137"/>
        <v>US-2016-146570_OFF-BI-10001718</v>
      </c>
      <c r="E8774" t="str">
        <f>IF(COUNTIF(data1!$D:$D,D8774)=0,"Missing in Data1","Present")</f>
        <v>Present</v>
      </c>
    </row>
    <row r="8775" spans="1:5" x14ac:dyDescent="0.25">
      <c r="A8775" s="2" t="s">
        <v>6360</v>
      </c>
      <c r="B8775" s="2" t="s">
        <v>1968</v>
      </c>
      <c r="C8775" s="2">
        <v>1</v>
      </c>
      <c r="D8775" t="str">
        <f t="shared" si="137"/>
        <v>US-2016-146710_OFF-PA-10002615</v>
      </c>
      <c r="E8775" t="str">
        <f>IF(COUNTIF(data1!$D:$D,D8775)=0,"Missing in Data1","Present")</f>
        <v>Present</v>
      </c>
    </row>
    <row r="8776" spans="1:5" x14ac:dyDescent="0.25">
      <c r="A8776" s="2" t="s">
        <v>6360</v>
      </c>
      <c r="B8776" s="2" t="s">
        <v>2528</v>
      </c>
      <c r="C8776" s="2">
        <v>1</v>
      </c>
      <c r="D8776" t="str">
        <f t="shared" si="137"/>
        <v>US-2016-146710_OFF-PA-10004971</v>
      </c>
      <c r="E8776" t="str">
        <f>IF(COUNTIF(data1!$D:$D,D8776)=0,"Missing in Data1","Present")</f>
        <v>Present</v>
      </c>
    </row>
    <row r="8777" spans="1:5" x14ac:dyDescent="0.25">
      <c r="A8777" s="2" t="s">
        <v>6360</v>
      </c>
      <c r="B8777" s="2" t="s">
        <v>3048</v>
      </c>
      <c r="C8777" s="2">
        <v>4</v>
      </c>
      <c r="D8777" t="str">
        <f t="shared" si="137"/>
        <v>US-2016-146710_OFF-SU-10004261</v>
      </c>
      <c r="E8777" t="str">
        <f>IF(COUNTIF(data1!$D:$D,D8777)=0,"Missing in Data1","Present")</f>
        <v>Present</v>
      </c>
    </row>
    <row r="8778" spans="1:5" x14ac:dyDescent="0.25">
      <c r="A8778" s="2" t="s">
        <v>6360</v>
      </c>
      <c r="B8778" s="2" t="s">
        <v>2537</v>
      </c>
      <c r="C8778" s="2">
        <v>5</v>
      </c>
      <c r="D8778" t="str">
        <f t="shared" si="137"/>
        <v>US-2016-146710_OFF-SU-10004498</v>
      </c>
      <c r="E8778" t="str">
        <f>IF(COUNTIF(data1!$D:$D,D8778)=0,"Missing in Data1","Present")</f>
        <v>Present</v>
      </c>
    </row>
    <row r="8779" spans="1:5" x14ac:dyDescent="0.25">
      <c r="A8779" s="2" t="s">
        <v>6361</v>
      </c>
      <c r="B8779" s="2" t="s">
        <v>489</v>
      </c>
      <c r="C8779" s="2">
        <v>5</v>
      </c>
      <c r="D8779" t="str">
        <f t="shared" si="137"/>
        <v>US-2016-146794_FUR-BO-10004467</v>
      </c>
      <c r="E8779" t="str">
        <f>IF(COUNTIF(data1!$D:$D,D8779)=0,"Missing in Data1","Present")</f>
        <v>Present</v>
      </c>
    </row>
    <row r="8780" spans="1:5" x14ac:dyDescent="0.25">
      <c r="A8780" s="2" t="s">
        <v>6362</v>
      </c>
      <c r="B8780" s="2" t="s">
        <v>2238</v>
      </c>
      <c r="C8780" s="2">
        <v>1</v>
      </c>
      <c r="D8780" t="str">
        <f t="shared" si="137"/>
        <v>US-2016-146857_OFF-AP-10001205</v>
      </c>
      <c r="E8780" t="str">
        <f>IF(COUNTIF(data1!$D:$D,D8780)=0,"Missing in Data1","Present")</f>
        <v>Present</v>
      </c>
    </row>
    <row r="8781" spans="1:5" x14ac:dyDescent="0.25">
      <c r="A8781" s="2" t="s">
        <v>6862</v>
      </c>
      <c r="B8781" s="2" t="s">
        <v>5229</v>
      </c>
      <c r="C8781" s="2">
        <v>5</v>
      </c>
      <c r="D8781" t="str">
        <f t="shared" si="137"/>
        <v>US-2016-147340_FUR-FU-10002501</v>
      </c>
      <c r="E8781" t="str">
        <f>IF(COUNTIF(data1!$D:$D,D8781)=0,"Missing in Data1","Present")</f>
        <v>Missing in Data1</v>
      </c>
    </row>
    <row r="8782" spans="1:5" x14ac:dyDescent="0.25">
      <c r="A8782" s="2" t="s">
        <v>6363</v>
      </c>
      <c r="B8782" s="2" t="s">
        <v>635</v>
      </c>
      <c r="C8782" s="2">
        <v>3</v>
      </c>
      <c r="D8782" t="str">
        <f t="shared" si="137"/>
        <v>US-2016-147711_FUR-BO-10003159</v>
      </c>
      <c r="E8782" t="str">
        <f>IF(COUNTIF(data1!$D:$D,D8782)=0,"Missing in Data1","Present")</f>
        <v>Present</v>
      </c>
    </row>
    <row r="8783" spans="1:5" x14ac:dyDescent="0.25">
      <c r="A8783" s="2" t="s">
        <v>6363</v>
      </c>
      <c r="B8783" s="2" t="s">
        <v>1325</v>
      </c>
      <c r="C8783" s="2">
        <v>2</v>
      </c>
      <c r="D8783" t="str">
        <f t="shared" si="137"/>
        <v>US-2016-147711_FUR-FU-10002364</v>
      </c>
      <c r="E8783" t="str">
        <f>IF(COUNTIF(data1!$D:$D,D8783)=0,"Missing in Data1","Present")</f>
        <v>Present</v>
      </c>
    </row>
    <row r="8784" spans="1:5" x14ac:dyDescent="0.25">
      <c r="A8784" s="2" t="s">
        <v>6363</v>
      </c>
      <c r="B8784" s="2" t="s">
        <v>413</v>
      </c>
      <c r="C8784" s="2">
        <v>2</v>
      </c>
      <c r="D8784" t="str">
        <f t="shared" si="137"/>
        <v>US-2016-147711_OFF-BI-10003350</v>
      </c>
      <c r="E8784" t="str">
        <f>IF(COUNTIF(data1!$D:$D,D8784)=0,"Missing in Data1","Present")</f>
        <v>Present</v>
      </c>
    </row>
    <row r="8785" spans="1:5" x14ac:dyDescent="0.25">
      <c r="A8785" s="2" t="s">
        <v>6363</v>
      </c>
      <c r="B8785" s="2" t="s">
        <v>2712</v>
      </c>
      <c r="C8785" s="2">
        <v>8</v>
      </c>
      <c r="D8785" t="str">
        <f t="shared" si="137"/>
        <v>US-2016-147711_OFF-LA-10004093</v>
      </c>
      <c r="E8785" t="str">
        <f>IF(COUNTIF(data1!$D:$D,D8785)=0,"Missing in Data1","Present")</f>
        <v>Present</v>
      </c>
    </row>
    <row r="8786" spans="1:5" x14ac:dyDescent="0.25">
      <c r="A8786" s="2" t="s">
        <v>6364</v>
      </c>
      <c r="B8786" s="2" t="s">
        <v>461</v>
      </c>
      <c r="C8786" s="2">
        <v>5</v>
      </c>
      <c r="D8786" t="str">
        <f t="shared" si="137"/>
        <v>US-2016-147991_FUR-FU-10004270</v>
      </c>
      <c r="E8786" t="str">
        <f>IF(COUNTIF(data1!$D:$D,D8786)=0,"Missing in Data1","Present")</f>
        <v>Present</v>
      </c>
    </row>
    <row r="8787" spans="1:5" x14ac:dyDescent="0.25">
      <c r="A8787" s="2" t="s">
        <v>6365</v>
      </c>
      <c r="B8787" s="2" t="s">
        <v>1419</v>
      </c>
      <c r="C8787" s="2">
        <v>7</v>
      </c>
      <c r="D8787" t="str">
        <f t="shared" si="137"/>
        <v>US-2016-148110_FUR-CH-10002647</v>
      </c>
      <c r="E8787" t="str">
        <f>IF(COUNTIF(data1!$D:$D,D8787)=0,"Missing in Data1","Present")</f>
        <v>Present</v>
      </c>
    </row>
    <row r="8788" spans="1:5" x14ac:dyDescent="0.25">
      <c r="A8788" s="2" t="s">
        <v>6366</v>
      </c>
      <c r="B8788" s="2" t="s">
        <v>206</v>
      </c>
      <c r="C8788" s="2">
        <v>2</v>
      </c>
      <c r="D8788" t="str">
        <f t="shared" si="137"/>
        <v>US-2016-148334_OFF-BI-10003676</v>
      </c>
      <c r="E8788" t="str">
        <f>IF(COUNTIF(data1!$D:$D,D8788)=0,"Missing in Data1","Present")</f>
        <v>Present</v>
      </c>
    </row>
    <row r="8789" spans="1:5" x14ac:dyDescent="0.25">
      <c r="A8789" s="2" t="s">
        <v>6367</v>
      </c>
      <c r="B8789" s="2" t="s">
        <v>2565</v>
      </c>
      <c r="C8789" s="2">
        <v>3</v>
      </c>
      <c r="D8789" t="str">
        <f t="shared" si="137"/>
        <v>US-2016-148803_OFF-ST-10001476</v>
      </c>
      <c r="E8789" t="str">
        <f>IF(COUNTIF(data1!$D:$D,D8789)=0,"Missing in Data1","Present")</f>
        <v>Present</v>
      </c>
    </row>
    <row r="8790" spans="1:5" x14ac:dyDescent="0.25">
      <c r="A8790" s="2" t="s">
        <v>6368</v>
      </c>
      <c r="B8790" s="2" t="s">
        <v>2458</v>
      </c>
      <c r="C8790" s="2">
        <v>3</v>
      </c>
      <c r="D8790" t="str">
        <f t="shared" si="137"/>
        <v>US-2016-148901_FUR-FU-10002396</v>
      </c>
      <c r="E8790" t="str">
        <f>IF(COUNTIF(data1!$D:$D,D8790)=0,"Missing in Data1","Present")</f>
        <v>Present</v>
      </c>
    </row>
    <row r="8791" spans="1:5" x14ac:dyDescent="0.25">
      <c r="A8791" s="2" t="s">
        <v>6368</v>
      </c>
      <c r="B8791" s="2" t="s">
        <v>1903</v>
      </c>
      <c r="C8791" s="2">
        <v>2</v>
      </c>
      <c r="D8791" t="str">
        <f t="shared" si="137"/>
        <v>US-2016-148901_OFF-AR-10002467</v>
      </c>
      <c r="E8791" t="str">
        <f>IF(COUNTIF(data1!$D:$D,D8791)=0,"Missing in Data1","Present")</f>
        <v>Present</v>
      </c>
    </row>
    <row r="8792" spans="1:5" x14ac:dyDescent="0.25">
      <c r="A8792" s="2" t="s">
        <v>6368</v>
      </c>
      <c r="B8792" s="2" t="s">
        <v>2324</v>
      </c>
      <c r="C8792" s="2">
        <v>3</v>
      </c>
      <c r="D8792" t="str">
        <f t="shared" si="137"/>
        <v>US-2016-148901_OFF-BI-10001718</v>
      </c>
      <c r="E8792" t="str">
        <f>IF(COUNTIF(data1!$D:$D,D8792)=0,"Missing in Data1","Present")</f>
        <v>Present</v>
      </c>
    </row>
    <row r="8793" spans="1:5" x14ac:dyDescent="0.25">
      <c r="A8793" s="2" t="s">
        <v>6368</v>
      </c>
      <c r="B8793" s="2" t="s">
        <v>3655</v>
      </c>
      <c r="C8793" s="2">
        <v>8</v>
      </c>
      <c r="D8793" t="str">
        <f t="shared" si="137"/>
        <v>US-2016-148901_OFF-BI-10002309</v>
      </c>
      <c r="E8793" t="str">
        <f>IF(COUNTIF(data1!$D:$D,D8793)=0,"Missing in Data1","Present")</f>
        <v>Present</v>
      </c>
    </row>
    <row r="8794" spans="1:5" x14ac:dyDescent="0.25">
      <c r="A8794" s="2" t="s">
        <v>6368</v>
      </c>
      <c r="B8794" s="2" t="s">
        <v>2543</v>
      </c>
      <c r="C8794" s="2">
        <v>2</v>
      </c>
      <c r="D8794" t="str">
        <f t="shared" si="137"/>
        <v>US-2016-148901_OFF-BI-10004002</v>
      </c>
      <c r="E8794" t="str">
        <f>IF(COUNTIF(data1!$D:$D,D8794)=0,"Missing in Data1","Present")</f>
        <v>Present</v>
      </c>
    </row>
    <row r="8795" spans="1:5" x14ac:dyDescent="0.25">
      <c r="A8795" s="2" t="s">
        <v>6368</v>
      </c>
      <c r="B8795" s="2" t="s">
        <v>177</v>
      </c>
      <c r="C8795" s="2">
        <v>6</v>
      </c>
      <c r="D8795" t="str">
        <f t="shared" si="137"/>
        <v>US-2016-148901_OFF-PA-10004983</v>
      </c>
      <c r="E8795" t="str">
        <f>IF(COUNTIF(data1!$D:$D,D8795)=0,"Missing in Data1","Present")</f>
        <v>Present</v>
      </c>
    </row>
    <row r="8796" spans="1:5" x14ac:dyDescent="0.25">
      <c r="A8796" s="2" t="s">
        <v>6368</v>
      </c>
      <c r="B8796" s="2" t="s">
        <v>1616</v>
      </c>
      <c r="C8796" s="2">
        <v>5</v>
      </c>
      <c r="D8796" t="str">
        <f t="shared" si="137"/>
        <v>US-2016-148901_TEC-PH-10003988</v>
      </c>
      <c r="E8796" t="str">
        <f>IF(COUNTIF(data1!$D:$D,D8796)=0,"Missing in Data1","Present")</f>
        <v>Present</v>
      </c>
    </row>
    <row r="8797" spans="1:5" x14ac:dyDescent="0.25">
      <c r="A8797" s="2" t="s">
        <v>6369</v>
      </c>
      <c r="B8797" s="2" t="s">
        <v>945</v>
      </c>
      <c r="C8797" s="2">
        <v>4</v>
      </c>
      <c r="D8797" t="str">
        <f t="shared" si="137"/>
        <v>US-2016-148957_OFF-LA-10002195</v>
      </c>
      <c r="E8797" t="str">
        <f>IF(COUNTIF(data1!$D:$D,D8797)=0,"Missing in Data1","Present")</f>
        <v>Present</v>
      </c>
    </row>
    <row r="8798" spans="1:5" x14ac:dyDescent="0.25">
      <c r="A8798" s="2" t="s">
        <v>6370</v>
      </c>
      <c r="B8798" s="2" t="s">
        <v>637</v>
      </c>
      <c r="C8798" s="2">
        <v>2</v>
      </c>
      <c r="D8798" t="str">
        <f t="shared" si="137"/>
        <v>US-2016-149790_OFF-BI-10002026</v>
      </c>
      <c r="E8798" t="str">
        <f>IF(COUNTIF(data1!$D:$D,D8798)=0,"Missing in Data1","Present")</f>
        <v>Present</v>
      </c>
    </row>
    <row r="8799" spans="1:5" x14ac:dyDescent="0.25">
      <c r="A8799" s="2" t="s">
        <v>6371</v>
      </c>
      <c r="B8799" s="2" t="s">
        <v>1290</v>
      </c>
      <c r="C8799" s="2">
        <v>2</v>
      </c>
      <c r="D8799" t="str">
        <f t="shared" si="137"/>
        <v>US-2016-150035_FUR-FU-10003724</v>
      </c>
      <c r="E8799" t="str">
        <f>IF(COUNTIF(data1!$D:$D,D8799)=0,"Missing in Data1","Present")</f>
        <v>Present</v>
      </c>
    </row>
    <row r="8800" spans="1:5" x14ac:dyDescent="0.25">
      <c r="A8800" s="2" t="s">
        <v>6372</v>
      </c>
      <c r="B8800" s="2" t="s">
        <v>3146</v>
      </c>
      <c r="C8800" s="2">
        <v>5</v>
      </c>
      <c r="D8800" t="str">
        <f t="shared" si="137"/>
        <v>US-2016-150140_TEC-PH-10002555</v>
      </c>
      <c r="E8800" t="str">
        <f>IF(COUNTIF(data1!$D:$D,D8800)=0,"Missing in Data1","Present")</f>
        <v>Present</v>
      </c>
    </row>
    <row r="8801" spans="1:5" x14ac:dyDescent="0.25">
      <c r="A8801" s="2" t="s">
        <v>6373</v>
      </c>
      <c r="B8801" s="2" t="s">
        <v>2708</v>
      </c>
      <c r="C8801" s="2">
        <v>2</v>
      </c>
      <c r="D8801" t="str">
        <f t="shared" si="137"/>
        <v>US-2016-150147_OFF-BI-10001153</v>
      </c>
      <c r="E8801" t="str">
        <f>IF(COUNTIF(data1!$D:$D,D8801)=0,"Missing in Data1","Present")</f>
        <v>Present</v>
      </c>
    </row>
    <row r="8802" spans="1:5" x14ac:dyDescent="0.25">
      <c r="A8802" s="2" t="s">
        <v>6373</v>
      </c>
      <c r="B8802" s="2" t="s">
        <v>274</v>
      </c>
      <c r="C8802" s="2">
        <v>3</v>
      </c>
      <c r="D8802" t="str">
        <f t="shared" si="137"/>
        <v>US-2016-150147_OFF-BI-10001982</v>
      </c>
      <c r="E8802" t="str">
        <f>IF(COUNTIF(data1!$D:$D,D8802)=0,"Missing in Data1","Present")</f>
        <v>Present</v>
      </c>
    </row>
    <row r="8803" spans="1:5" x14ac:dyDescent="0.25">
      <c r="A8803" s="2" t="s">
        <v>6373</v>
      </c>
      <c r="B8803" s="2" t="s">
        <v>541</v>
      </c>
      <c r="C8803" s="2">
        <v>2</v>
      </c>
      <c r="D8803" t="str">
        <f t="shared" si="137"/>
        <v>US-2016-150147_TEC-PH-10004614</v>
      </c>
      <c r="E8803" t="str">
        <f>IF(COUNTIF(data1!$D:$D,D8803)=0,"Missing in Data1","Present")</f>
        <v>Present</v>
      </c>
    </row>
    <row r="8804" spans="1:5" x14ac:dyDescent="0.25">
      <c r="A8804" s="2" t="s">
        <v>6374</v>
      </c>
      <c r="B8804" s="2" t="s">
        <v>1825</v>
      </c>
      <c r="C8804" s="2">
        <v>3</v>
      </c>
      <c r="D8804" t="str">
        <f t="shared" si="137"/>
        <v>US-2016-150357_OFF-BI-10002557</v>
      </c>
      <c r="E8804" t="str">
        <f>IF(COUNTIF(data1!$D:$D,D8804)=0,"Missing in Data1","Present")</f>
        <v>Present</v>
      </c>
    </row>
    <row r="8805" spans="1:5" x14ac:dyDescent="0.25">
      <c r="A8805" s="2" t="s">
        <v>6374</v>
      </c>
      <c r="B8805" s="2" t="s">
        <v>2537</v>
      </c>
      <c r="C8805" s="2">
        <v>2</v>
      </c>
      <c r="D8805" t="str">
        <f t="shared" si="137"/>
        <v>US-2016-150357_OFF-SU-10004498</v>
      </c>
      <c r="E8805" t="str">
        <f>IF(COUNTIF(data1!$D:$D,D8805)=0,"Missing in Data1","Present")</f>
        <v>Present</v>
      </c>
    </row>
    <row r="8806" spans="1:5" x14ac:dyDescent="0.25">
      <c r="A8806" s="2" t="s">
        <v>6375</v>
      </c>
      <c r="B8806" s="2" t="s">
        <v>1149</v>
      </c>
      <c r="C8806" s="2">
        <v>6</v>
      </c>
      <c r="D8806" t="str">
        <f t="shared" si="137"/>
        <v>US-2016-150567_OFF-BI-10000069</v>
      </c>
      <c r="E8806" t="str">
        <f>IF(COUNTIF(data1!$D:$D,D8806)=0,"Missing in Data1","Present")</f>
        <v>Present</v>
      </c>
    </row>
    <row r="8807" spans="1:5" x14ac:dyDescent="0.25">
      <c r="A8807" s="2" t="s">
        <v>6375</v>
      </c>
      <c r="B8807" s="2" t="s">
        <v>1065</v>
      </c>
      <c r="C8807" s="2">
        <v>2</v>
      </c>
      <c r="D8807" t="str">
        <f t="shared" si="137"/>
        <v>US-2016-150567_OFF-BI-10001757</v>
      </c>
      <c r="E8807" t="str">
        <f>IF(COUNTIF(data1!$D:$D,D8807)=0,"Missing in Data1","Present")</f>
        <v>Present</v>
      </c>
    </row>
    <row r="8808" spans="1:5" x14ac:dyDescent="0.25">
      <c r="A8808" s="2" t="s">
        <v>6376</v>
      </c>
      <c r="B8808" s="2" t="s">
        <v>949</v>
      </c>
      <c r="C8808" s="2">
        <v>3</v>
      </c>
      <c r="D8808" t="str">
        <f t="shared" si="137"/>
        <v>US-2016-150861_FUR-CH-10002965</v>
      </c>
      <c r="E8808" t="str">
        <f>IF(COUNTIF(data1!$D:$D,D8808)=0,"Missing in Data1","Present")</f>
        <v>Present</v>
      </c>
    </row>
    <row r="8809" spans="1:5" x14ac:dyDescent="0.25">
      <c r="A8809" s="2" t="s">
        <v>6376</v>
      </c>
      <c r="B8809" s="2" t="s">
        <v>1537</v>
      </c>
      <c r="C8809" s="2">
        <v>2</v>
      </c>
      <c r="D8809" t="str">
        <f t="shared" si="137"/>
        <v>US-2016-150861_FUR-TA-10002228</v>
      </c>
      <c r="E8809" t="str">
        <f>IF(COUNTIF(data1!$D:$D,D8809)=0,"Missing in Data1","Present")</f>
        <v>Missing in Data1</v>
      </c>
    </row>
    <row r="8810" spans="1:5" x14ac:dyDescent="0.25">
      <c r="A8810" s="2" t="s">
        <v>6376</v>
      </c>
      <c r="B8810" s="2" t="s">
        <v>3116</v>
      </c>
      <c r="C8810" s="2">
        <v>2</v>
      </c>
      <c r="D8810" t="str">
        <f t="shared" si="137"/>
        <v>US-2016-150861_OFF-LA-10001317</v>
      </c>
      <c r="E8810" t="str">
        <f>IF(COUNTIF(data1!$D:$D,D8810)=0,"Missing in Data1","Present")</f>
        <v>Present</v>
      </c>
    </row>
    <row r="8811" spans="1:5" x14ac:dyDescent="0.25">
      <c r="A8811" s="2" t="s">
        <v>6376</v>
      </c>
      <c r="B8811" s="2" t="s">
        <v>2512</v>
      </c>
      <c r="C8811" s="2">
        <v>8</v>
      </c>
      <c r="D8811" t="str">
        <f t="shared" si="137"/>
        <v>US-2016-150861_OFF-PA-10001954</v>
      </c>
      <c r="E8811" t="str">
        <f>IF(COUNTIF(data1!$D:$D,D8811)=0,"Missing in Data1","Present")</f>
        <v>Present</v>
      </c>
    </row>
    <row r="8812" spans="1:5" x14ac:dyDescent="0.25">
      <c r="A8812" s="2" t="s">
        <v>6376</v>
      </c>
      <c r="B8812" s="2" t="s">
        <v>1087</v>
      </c>
      <c r="C8812" s="2">
        <v>3</v>
      </c>
      <c r="D8812" t="str">
        <f t="shared" si="137"/>
        <v>US-2016-150861_OFF-ST-10004634</v>
      </c>
      <c r="E8812" t="str">
        <f>IF(COUNTIF(data1!$D:$D,D8812)=0,"Missing in Data1","Present")</f>
        <v>Present</v>
      </c>
    </row>
    <row r="8813" spans="1:5" x14ac:dyDescent="0.25">
      <c r="A8813" s="2" t="s">
        <v>6377</v>
      </c>
      <c r="B8813" s="2" t="s">
        <v>545</v>
      </c>
      <c r="C8813" s="2">
        <v>4</v>
      </c>
      <c r="D8813" t="str">
        <f t="shared" si="137"/>
        <v>US-2016-151260_OFF-AP-10002892</v>
      </c>
      <c r="E8813" t="str">
        <f>IF(COUNTIF(data1!$D:$D,D8813)=0,"Missing in Data1","Present")</f>
        <v>Present</v>
      </c>
    </row>
    <row r="8814" spans="1:5" x14ac:dyDescent="0.25">
      <c r="A8814" s="2" t="s">
        <v>6378</v>
      </c>
      <c r="B8814" s="2" t="s">
        <v>1912</v>
      </c>
      <c r="C8814" s="2">
        <v>2</v>
      </c>
      <c r="D8814" t="str">
        <f t="shared" si="137"/>
        <v>US-2016-151827_TEC-AC-10003289</v>
      </c>
      <c r="E8814" t="str">
        <f>IF(COUNTIF(data1!$D:$D,D8814)=0,"Missing in Data1","Present")</f>
        <v>Present</v>
      </c>
    </row>
    <row r="8815" spans="1:5" x14ac:dyDescent="0.25">
      <c r="A8815" s="2" t="s">
        <v>6378</v>
      </c>
      <c r="B8815" s="2" t="s">
        <v>5588</v>
      </c>
      <c r="C8815" s="2">
        <v>3</v>
      </c>
      <c r="D8815" t="str">
        <f t="shared" si="137"/>
        <v>US-2016-151827_TEC-PH-10002789</v>
      </c>
      <c r="E8815" t="str">
        <f>IF(COUNTIF(data1!$D:$D,D8815)=0,"Missing in Data1","Present")</f>
        <v>Missing in Data1</v>
      </c>
    </row>
    <row r="8816" spans="1:5" x14ac:dyDescent="0.25">
      <c r="A8816" s="2" t="s">
        <v>6379</v>
      </c>
      <c r="B8816" s="2" t="s">
        <v>6380</v>
      </c>
      <c r="C8816" s="2">
        <v>2</v>
      </c>
      <c r="D8816" t="str">
        <f t="shared" si="137"/>
        <v>US-2016-151862_TEC-PH-10003535</v>
      </c>
      <c r="E8816" t="str">
        <f>IF(COUNTIF(data1!$D:$D,D8816)=0,"Missing in Data1","Present")</f>
        <v>Present</v>
      </c>
    </row>
    <row r="8817" spans="1:5" x14ac:dyDescent="0.25">
      <c r="A8817" s="2" t="s">
        <v>6381</v>
      </c>
      <c r="B8817" s="2" t="s">
        <v>949</v>
      </c>
      <c r="C8817" s="2">
        <v>3</v>
      </c>
      <c r="D8817" t="str">
        <f t="shared" si="137"/>
        <v>US-2016-152051_FUR-CH-10002965</v>
      </c>
      <c r="E8817" t="str">
        <f>IF(COUNTIF(data1!$D:$D,D8817)=0,"Missing in Data1","Present")</f>
        <v>Present</v>
      </c>
    </row>
    <row r="8818" spans="1:5" x14ac:dyDescent="0.25">
      <c r="A8818" s="2" t="s">
        <v>6381</v>
      </c>
      <c r="B8818" s="2" t="s">
        <v>1907</v>
      </c>
      <c r="C8818" s="2">
        <v>4</v>
      </c>
      <c r="D8818" t="str">
        <f t="shared" si="137"/>
        <v>US-2016-152051_OFF-BI-10004781</v>
      </c>
      <c r="E8818" t="str">
        <f>IF(COUNTIF(data1!$D:$D,D8818)=0,"Missing in Data1","Present")</f>
        <v>Present</v>
      </c>
    </row>
    <row r="8819" spans="1:5" x14ac:dyDescent="0.25">
      <c r="A8819" s="2" t="s">
        <v>6381</v>
      </c>
      <c r="B8819" s="2" t="s">
        <v>1347</v>
      </c>
      <c r="C8819" s="2">
        <v>6</v>
      </c>
      <c r="D8819" t="str">
        <f t="shared" si="137"/>
        <v>US-2016-152051_OFF-ST-10001713</v>
      </c>
      <c r="E8819" t="str">
        <f>IF(COUNTIF(data1!$D:$D,D8819)=0,"Missing in Data1","Present")</f>
        <v>Present</v>
      </c>
    </row>
    <row r="8820" spans="1:5" x14ac:dyDescent="0.25">
      <c r="A8820" s="2" t="s">
        <v>6382</v>
      </c>
      <c r="B8820" s="2" t="s">
        <v>39</v>
      </c>
      <c r="C8820" s="2">
        <v>3</v>
      </c>
      <c r="D8820" t="str">
        <f t="shared" si="137"/>
        <v>US-2016-152373_OFF-ST-10003479</v>
      </c>
      <c r="E8820" t="str">
        <f>IF(COUNTIF(data1!$D:$D,D8820)=0,"Missing in Data1","Present")</f>
        <v>Present</v>
      </c>
    </row>
    <row r="8821" spans="1:5" x14ac:dyDescent="0.25">
      <c r="A8821" s="2" t="s">
        <v>6383</v>
      </c>
      <c r="B8821" s="2" t="s">
        <v>3622</v>
      </c>
      <c r="C8821" s="2">
        <v>3</v>
      </c>
      <c r="D8821" t="str">
        <f t="shared" si="137"/>
        <v>US-2016-152415_FUR-FU-10002597</v>
      </c>
      <c r="E8821" t="str">
        <f>IF(COUNTIF(data1!$D:$D,D8821)=0,"Missing in Data1","Present")</f>
        <v>Present</v>
      </c>
    </row>
    <row r="8822" spans="1:5" x14ac:dyDescent="0.25">
      <c r="A8822" s="2" t="s">
        <v>6383</v>
      </c>
      <c r="B8822" s="2" t="s">
        <v>226</v>
      </c>
      <c r="C8822" s="2">
        <v>3</v>
      </c>
      <c r="D8822" t="str">
        <f t="shared" si="137"/>
        <v>US-2016-152415_FUR-FU-10004864</v>
      </c>
      <c r="E8822" t="str">
        <f>IF(COUNTIF(data1!$D:$D,D8822)=0,"Missing in Data1","Present")</f>
        <v>Present</v>
      </c>
    </row>
    <row r="8823" spans="1:5" x14ac:dyDescent="0.25">
      <c r="A8823" s="2" t="s">
        <v>6384</v>
      </c>
      <c r="B8823" s="2" t="s">
        <v>1278</v>
      </c>
      <c r="C8823" s="2">
        <v>5</v>
      </c>
      <c r="D8823" t="str">
        <f t="shared" si="137"/>
        <v>US-2016-152835_OFF-AR-10003056</v>
      </c>
      <c r="E8823" t="str">
        <f>IF(COUNTIF(data1!$D:$D,D8823)=0,"Missing in Data1","Present")</f>
        <v>Present</v>
      </c>
    </row>
    <row r="8824" spans="1:5" x14ac:dyDescent="0.25">
      <c r="A8824" s="2" t="s">
        <v>6385</v>
      </c>
      <c r="B8824" s="2" t="s">
        <v>4498</v>
      </c>
      <c r="C8824" s="2">
        <v>5</v>
      </c>
      <c r="D8824" t="str">
        <f t="shared" si="137"/>
        <v>US-2016-153129_OFF-PA-10003673</v>
      </c>
      <c r="E8824" t="str">
        <f>IF(COUNTIF(data1!$D:$D,D8824)=0,"Missing in Data1","Present")</f>
        <v>Present</v>
      </c>
    </row>
    <row r="8825" spans="1:5" x14ac:dyDescent="0.25">
      <c r="A8825" s="2" t="s">
        <v>6386</v>
      </c>
      <c r="B8825" s="2" t="s">
        <v>665</v>
      </c>
      <c r="C8825" s="2">
        <v>2</v>
      </c>
      <c r="D8825" t="str">
        <f t="shared" si="137"/>
        <v>US-2016-153815_FUR-CH-10000513</v>
      </c>
      <c r="E8825" t="str">
        <f>IF(COUNTIF(data1!$D:$D,D8825)=0,"Missing in Data1","Present")</f>
        <v>Present</v>
      </c>
    </row>
    <row r="8826" spans="1:5" x14ac:dyDescent="0.25">
      <c r="A8826" s="2" t="s">
        <v>6386</v>
      </c>
      <c r="B8826" s="2" t="s">
        <v>1111</v>
      </c>
      <c r="C8826" s="2">
        <v>2</v>
      </c>
      <c r="D8826" t="str">
        <f t="shared" si="137"/>
        <v>US-2016-153815_FUR-FU-10004090</v>
      </c>
      <c r="E8826" t="str">
        <f>IF(COUNTIF(data1!$D:$D,D8826)=0,"Missing in Data1","Present")</f>
        <v>Present</v>
      </c>
    </row>
    <row r="8827" spans="1:5" x14ac:dyDescent="0.25">
      <c r="A8827" s="2" t="s">
        <v>6386</v>
      </c>
      <c r="B8827" s="2" t="s">
        <v>3620</v>
      </c>
      <c r="C8827" s="2">
        <v>2</v>
      </c>
      <c r="D8827" t="str">
        <f t="shared" si="137"/>
        <v>US-2016-153815_OFF-PA-10002421</v>
      </c>
      <c r="E8827" t="str">
        <f>IF(COUNTIF(data1!$D:$D,D8827)=0,"Missing in Data1","Present")</f>
        <v>Present</v>
      </c>
    </row>
    <row r="8828" spans="1:5" x14ac:dyDescent="0.25">
      <c r="A8828" s="2" t="s">
        <v>6386</v>
      </c>
      <c r="B8828" s="2" t="s">
        <v>477</v>
      </c>
      <c r="C8828" s="2">
        <v>2</v>
      </c>
      <c r="D8828" t="str">
        <f t="shared" si="137"/>
        <v>US-2016-153815_OFF-PA-10004071</v>
      </c>
      <c r="E8828" t="str">
        <f>IF(COUNTIF(data1!$D:$D,D8828)=0,"Missing in Data1","Present")</f>
        <v>Present</v>
      </c>
    </row>
    <row r="8829" spans="1:5" x14ac:dyDescent="0.25">
      <c r="A8829" s="2" t="s">
        <v>6387</v>
      </c>
      <c r="B8829" s="2" t="s">
        <v>114</v>
      </c>
      <c r="C8829" s="2">
        <v>7</v>
      </c>
      <c r="D8829" t="str">
        <f t="shared" si="137"/>
        <v>US-2016-154256_OFF-LA-10003720</v>
      </c>
      <c r="E8829" t="str">
        <f>IF(COUNTIF(data1!$D:$D,D8829)=0,"Missing in Data1","Present")</f>
        <v>Present</v>
      </c>
    </row>
    <row r="8830" spans="1:5" x14ac:dyDescent="0.25">
      <c r="A8830" s="2" t="s">
        <v>6388</v>
      </c>
      <c r="B8830" s="2" t="s">
        <v>1033</v>
      </c>
      <c r="C8830" s="2">
        <v>5</v>
      </c>
      <c r="D8830" t="str">
        <f t="shared" si="137"/>
        <v>US-2016-154361_FUR-FU-10004020</v>
      </c>
      <c r="E8830" t="str">
        <f>IF(COUNTIF(data1!$D:$D,D8830)=0,"Missing in Data1","Present")</f>
        <v>Present</v>
      </c>
    </row>
    <row r="8831" spans="1:5" x14ac:dyDescent="0.25">
      <c r="A8831" s="2" t="s">
        <v>6389</v>
      </c>
      <c r="B8831" s="2" t="s">
        <v>2913</v>
      </c>
      <c r="C8831" s="2">
        <v>3</v>
      </c>
      <c r="D8831" t="str">
        <f t="shared" si="137"/>
        <v>US-2016-155103_OFF-BI-10004236</v>
      </c>
      <c r="E8831" t="str">
        <f>IF(COUNTIF(data1!$D:$D,D8831)=0,"Missing in Data1","Present")</f>
        <v>Present</v>
      </c>
    </row>
    <row r="8832" spans="1:5" x14ac:dyDescent="0.25">
      <c r="A8832" s="2" t="s">
        <v>6389</v>
      </c>
      <c r="B8832" s="2" t="s">
        <v>3214</v>
      </c>
      <c r="C8832" s="2">
        <v>3</v>
      </c>
      <c r="D8832" t="str">
        <f t="shared" si="137"/>
        <v>US-2016-155103_OFF-BI-10004318</v>
      </c>
      <c r="E8832" t="str">
        <f>IF(COUNTIF(data1!$D:$D,D8832)=0,"Missing in Data1","Present")</f>
        <v>Present</v>
      </c>
    </row>
    <row r="8833" spans="1:5" x14ac:dyDescent="0.25">
      <c r="A8833" s="2" t="s">
        <v>6389</v>
      </c>
      <c r="B8833" s="2" t="s">
        <v>1510</v>
      </c>
      <c r="C8833" s="2">
        <v>1</v>
      </c>
      <c r="D8833" t="str">
        <f t="shared" si="137"/>
        <v>US-2016-155103_OFF-PA-10000062</v>
      </c>
      <c r="E8833" t="str">
        <f>IF(COUNTIF(data1!$D:$D,D8833)=0,"Missing in Data1","Present")</f>
        <v>Present</v>
      </c>
    </row>
    <row r="8834" spans="1:5" x14ac:dyDescent="0.25">
      <c r="A8834" s="2" t="s">
        <v>6390</v>
      </c>
      <c r="B8834" s="2" t="s">
        <v>1734</v>
      </c>
      <c r="C8834" s="2">
        <v>1</v>
      </c>
      <c r="D8834" t="str">
        <f t="shared" si="137"/>
        <v>US-2016-155173_OFF-BI-10002982</v>
      </c>
      <c r="E8834" t="str">
        <f>IF(COUNTIF(data1!$D:$D,D8834)=0,"Missing in Data1","Present")</f>
        <v>Present</v>
      </c>
    </row>
    <row r="8835" spans="1:5" x14ac:dyDescent="0.25">
      <c r="A8835" s="2" t="s">
        <v>6390</v>
      </c>
      <c r="B8835" s="2" t="s">
        <v>1741</v>
      </c>
      <c r="C8835" s="2">
        <v>3</v>
      </c>
      <c r="D8835" t="str">
        <f t="shared" ref="D8835:D8898" si="138">A8835&amp;"_"&amp;B8835</f>
        <v>US-2016-155173_TEC-PH-10002538</v>
      </c>
      <c r="E8835" t="str">
        <f>IF(COUNTIF(data1!$D:$D,D8835)=0,"Missing in Data1","Present")</f>
        <v>Present</v>
      </c>
    </row>
    <row r="8836" spans="1:5" x14ac:dyDescent="0.25">
      <c r="A8836" s="2" t="s">
        <v>6390</v>
      </c>
      <c r="B8836" s="2" t="s">
        <v>1500</v>
      </c>
      <c r="C8836" s="2">
        <v>2</v>
      </c>
      <c r="D8836" t="str">
        <f t="shared" si="138"/>
        <v>US-2016-155173_TEC-PH-10004586</v>
      </c>
      <c r="E8836" t="str">
        <f>IF(COUNTIF(data1!$D:$D,D8836)=0,"Missing in Data1","Present")</f>
        <v>Present</v>
      </c>
    </row>
    <row r="8837" spans="1:5" x14ac:dyDescent="0.25">
      <c r="A8837" s="2" t="s">
        <v>6391</v>
      </c>
      <c r="B8837" s="2" t="s">
        <v>1463</v>
      </c>
      <c r="C8837" s="2">
        <v>4</v>
      </c>
      <c r="D8837" t="str">
        <f t="shared" si="138"/>
        <v>US-2016-155180_OFF-BI-10004506</v>
      </c>
      <c r="E8837" t="str">
        <f>IF(COUNTIF(data1!$D:$D,D8837)=0,"Missing in Data1","Present")</f>
        <v>Present</v>
      </c>
    </row>
    <row r="8838" spans="1:5" x14ac:dyDescent="0.25">
      <c r="A8838" s="2" t="s">
        <v>6392</v>
      </c>
      <c r="B8838" s="2" t="s">
        <v>111</v>
      </c>
      <c r="C8838" s="2">
        <v>2</v>
      </c>
      <c r="D8838" t="str">
        <f t="shared" si="138"/>
        <v>US-2016-155404_FUR-FU-10004586</v>
      </c>
      <c r="E8838" t="str">
        <f>IF(COUNTIF(data1!$D:$D,D8838)=0,"Missing in Data1","Present")</f>
        <v>Present</v>
      </c>
    </row>
    <row r="8839" spans="1:5" x14ac:dyDescent="0.25">
      <c r="A8839" s="2" t="s">
        <v>6393</v>
      </c>
      <c r="B8839" s="2" t="s">
        <v>1649</v>
      </c>
      <c r="C8839" s="2">
        <v>2</v>
      </c>
      <c r="D8839" t="str">
        <f t="shared" si="138"/>
        <v>US-2016-155768_FUR-FU-10000448</v>
      </c>
      <c r="E8839" t="str">
        <f>IF(COUNTIF(data1!$D:$D,D8839)=0,"Missing in Data1","Present")</f>
        <v>Present</v>
      </c>
    </row>
    <row r="8840" spans="1:5" x14ac:dyDescent="0.25">
      <c r="A8840" s="2" t="s">
        <v>6393</v>
      </c>
      <c r="B8840" s="2" t="s">
        <v>909</v>
      </c>
      <c r="C8840" s="2">
        <v>3</v>
      </c>
      <c r="D8840" t="str">
        <f t="shared" si="138"/>
        <v>US-2016-155768_OFF-EN-10001219</v>
      </c>
      <c r="E8840" t="str">
        <f>IF(COUNTIF(data1!$D:$D,D8840)=0,"Missing in Data1","Present")</f>
        <v>Present</v>
      </c>
    </row>
    <row r="8841" spans="1:5" x14ac:dyDescent="0.25">
      <c r="A8841" s="2" t="s">
        <v>6393</v>
      </c>
      <c r="B8841" s="2" t="s">
        <v>2394</v>
      </c>
      <c r="C8841" s="2">
        <v>1</v>
      </c>
      <c r="D8841" t="str">
        <f t="shared" si="138"/>
        <v>US-2016-155768_OFF-PA-10001357</v>
      </c>
      <c r="E8841" t="str">
        <f>IF(COUNTIF(data1!$D:$D,D8841)=0,"Missing in Data1","Present")</f>
        <v>Present</v>
      </c>
    </row>
    <row r="8842" spans="1:5" x14ac:dyDescent="0.25">
      <c r="A8842" s="2" t="s">
        <v>6394</v>
      </c>
      <c r="B8842" s="2" t="s">
        <v>6395</v>
      </c>
      <c r="C8842" s="2">
        <v>5</v>
      </c>
      <c r="D8842" t="str">
        <f t="shared" si="138"/>
        <v>US-2016-155971_OFF-PA-10000210</v>
      </c>
      <c r="E8842" t="str">
        <f>IF(COUNTIF(data1!$D:$D,D8842)=0,"Missing in Data1","Present")</f>
        <v>Present</v>
      </c>
    </row>
    <row r="8843" spans="1:5" x14ac:dyDescent="0.25">
      <c r="A8843" s="2" t="s">
        <v>6396</v>
      </c>
      <c r="B8843" s="2" t="s">
        <v>583</v>
      </c>
      <c r="C8843" s="2">
        <v>2</v>
      </c>
      <c r="D8843" t="str">
        <f t="shared" si="138"/>
        <v>US-2016-156097_FUR-CH-10001215</v>
      </c>
      <c r="E8843" t="str">
        <f>IF(COUNTIF(data1!$D:$D,D8843)=0,"Missing in Data1","Present")</f>
        <v>Present</v>
      </c>
    </row>
    <row r="8844" spans="1:5" x14ac:dyDescent="0.25">
      <c r="A8844" s="2" t="s">
        <v>6396</v>
      </c>
      <c r="B8844" s="2" t="s">
        <v>483</v>
      </c>
      <c r="C8844" s="2">
        <v>2</v>
      </c>
      <c r="D8844" t="str">
        <f t="shared" si="138"/>
        <v>US-2016-156097_OFF-BI-10004654</v>
      </c>
      <c r="E8844" t="str">
        <f>IF(COUNTIF(data1!$D:$D,D8844)=0,"Missing in Data1","Present")</f>
        <v>Present</v>
      </c>
    </row>
    <row r="8845" spans="1:5" x14ac:dyDescent="0.25">
      <c r="A8845" s="2" t="s">
        <v>6397</v>
      </c>
      <c r="B8845" s="2" t="s">
        <v>2910</v>
      </c>
      <c r="C8845" s="2">
        <v>2</v>
      </c>
      <c r="D8845" t="str">
        <f t="shared" si="138"/>
        <v>US-2016-156692_OFF-AP-10002222</v>
      </c>
      <c r="E8845" t="str">
        <f>IF(COUNTIF(data1!$D:$D,D8845)=0,"Missing in Data1","Present")</f>
        <v>Present</v>
      </c>
    </row>
    <row r="8846" spans="1:5" x14ac:dyDescent="0.25">
      <c r="A8846" s="2" t="s">
        <v>6397</v>
      </c>
      <c r="B8846" s="2" t="s">
        <v>2371</v>
      </c>
      <c r="C8846" s="2">
        <v>2</v>
      </c>
      <c r="D8846" t="str">
        <f t="shared" si="138"/>
        <v>US-2016-156692_TEC-AC-10000158</v>
      </c>
      <c r="E8846" t="str">
        <f>IF(COUNTIF(data1!$D:$D,D8846)=0,"Missing in Data1","Present")</f>
        <v>Present</v>
      </c>
    </row>
    <row r="8847" spans="1:5" x14ac:dyDescent="0.25">
      <c r="A8847" s="2" t="s">
        <v>6398</v>
      </c>
      <c r="B8847" s="2" t="s">
        <v>1564</v>
      </c>
      <c r="C8847" s="2">
        <v>3</v>
      </c>
      <c r="D8847" t="str">
        <f t="shared" si="138"/>
        <v>US-2016-156986_OFF-BI-10002498</v>
      </c>
      <c r="E8847" t="str">
        <f>IF(COUNTIF(data1!$D:$D,D8847)=0,"Missing in Data1","Present")</f>
        <v>Present</v>
      </c>
    </row>
    <row r="8848" spans="1:5" x14ac:dyDescent="0.25">
      <c r="A8848" s="2" t="s">
        <v>6398</v>
      </c>
      <c r="B8848" s="2" t="s">
        <v>572</v>
      </c>
      <c r="C8848" s="2">
        <v>4</v>
      </c>
      <c r="D8848" t="str">
        <f t="shared" si="138"/>
        <v>US-2016-156986_OFF-PA-10002005</v>
      </c>
      <c r="E8848" t="str">
        <f>IF(COUNTIF(data1!$D:$D,D8848)=0,"Missing in Data1","Present")</f>
        <v>Present</v>
      </c>
    </row>
    <row r="8849" spans="1:5" x14ac:dyDescent="0.25">
      <c r="A8849" s="2" t="s">
        <v>6398</v>
      </c>
      <c r="B8849" s="2" t="s">
        <v>2051</v>
      </c>
      <c r="C8849" s="2">
        <v>2</v>
      </c>
      <c r="D8849" t="str">
        <f t="shared" si="138"/>
        <v>US-2016-156986_OFF-PA-10004101</v>
      </c>
      <c r="E8849" t="str">
        <f>IF(COUNTIF(data1!$D:$D,D8849)=0,"Missing in Data1","Present")</f>
        <v>Present</v>
      </c>
    </row>
    <row r="8850" spans="1:5" x14ac:dyDescent="0.25">
      <c r="A8850" s="2" t="s">
        <v>6398</v>
      </c>
      <c r="B8850" s="2" t="s">
        <v>1940</v>
      </c>
      <c r="C8850" s="2">
        <v>2</v>
      </c>
      <c r="D8850" t="str">
        <f t="shared" si="138"/>
        <v>US-2016-156986_TEC-PH-10003800</v>
      </c>
      <c r="E8850" t="str">
        <f>IF(COUNTIF(data1!$D:$D,D8850)=0,"Missing in Data1","Present")</f>
        <v>Present</v>
      </c>
    </row>
    <row r="8851" spans="1:5" x14ac:dyDescent="0.25">
      <c r="A8851" s="2" t="s">
        <v>6399</v>
      </c>
      <c r="B8851" s="2" t="s">
        <v>688</v>
      </c>
      <c r="C8851" s="2">
        <v>4</v>
      </c>
      <c r="D8851" t="str">
        <f t="shared" si="138"/>
        <v>US-2016-157308_OFF-BI-10003712</v>
      </c>
      <c r="E8851" t="str">
        <f>IF(COUNTIF(data1!$D:$D,D8851)=0,"Missing in Data1","Present")</f>
        <v>Present</v>
      </c>
    </row>
    <row r="8852" spans="1:5" x14ac:dyDescent="0.25">
      <c r="A8852" s="2" t="s">
        <v>6400</v>
      </c>
      <c r="B8852" s="2" t="s">
        <v>247</v>
      </c>
      <c r="C8852" s="2">
        <v>4</v>
      </c>
      <c r="D8852" t="str">
        <f t="shared" si="138"/>
        <v>US-2016-157490_OFF-BI-10002571</v>
      </c>
      <c r="E8852" t="str">
        <f>IF(COUNTIF(data1!$D:$D,D8852)=0,"Missing in Data1","Present")</f>
        <v>Present</v>
      </c>
    </row>
    <row r="8853" spans="1:5" x14ac:dyDescent="0.25">
      <c r="A8853" s="2" t="s">
        <v>6400</v>
      </c>
      <c r="B8853" s="2" t="s">
        <v>1255</v>
      </c>
      <c r="C8853" s="2">
        <v>4</v>
      </c>
      <c r="D8853" t="str">
        <f t="shared" si="138"/>
        <v>US-2016-157490_OFF-BI-10002824</v>
      </c>
      <c r="E8853" t="str">
        <f>IF(COUNTIF(data1!$D:$D,D8853)=0,"Missing in Data1","Present")</f>
        <v>Present</v>
      </c>
    </row>
    <row r="8854" spans="1:5" x14ac:dyDescent="0.25">
      <c r="A8854" s="2" t="s">
        <v>6400</v>
      </c>
      <c r="B8854" s="2" t="s">
        <v>1180</v>
      </c>
      <c r="C8854" s="2">
        <v>5</v>
      </c>
      <c r="D8854" t="str">
        <f t="shared" si="138"/>
        <v>US-2016-157490_TEC-AC-10001553</v>
      </c>
      <c r="E8854" t="str">
        <f>IF(COUNTIF(data1!$D:$D,D8854)=0,"Missing in Data1","Present")</f>
        <v>Present</v>
      </c>
    </row>
    <row r="8855" spans="1:5" x14ac:dyDescent="0.25">
      <c r="A8855" s="2" t="s">
        <v>6400</v>
      </c>
      <c r="B8855" s="2" t="s">
        <v>6401</v>
      </c>
      <c r="C8855" s="2">
        <v>6</v>
      </c>
      <c r="D8855" t="str">
        <f t="shared" si="138"/>
        <v>US-2016-157490_TEC-MA-10001695</v>
      </c>
      <c r="E8855" t="str">
        <f>IF(COUNTIF(data1!$D:$D,D8855)=0,"Missing in Data1","Present")</f>
        <v>Present</v>
      </c>
    </row>
    <row r="8856" spans="1:5" x14ac:dyDescent="0.25">
      <c r="A8856" s="2" t="s">
        <v>6402</v>
      </c>
      <c r="B8856" s="2" t="s">
        <v>157</v>
      </c>
      <c r="C8856" s="2">
        <v>7</v>
      </c>
      <c r="D8856" t="str">
        <f t="shared" si="138"/>
        <v>US-2016-157728_OFF-PA-10002195</v>
      </c>
      <c r="E8856" t="str">
        <f>IF(COUNTIF(data1!$D:$D,D8856)=0,"Missing in Data1","Present")</f>
        <v>Present</v>
      </c>
    </row>
    <row r="8857" spans="1:5" x14ac:dyDescent="0.25">
      <c r="A8857" s="2" t="s">
        <v>6402</v>
      </c>
      <c r="B8857" s="2" t="s">
        <v>1527</v>
      </c>
      <c r="C8857" s="2">
        <v>2</v>
      </c>
      <c r="D8857" t="str">
        <f t="shared" si="138"/>
        <v>US-2016-157728_TEC-PH-10001305</v>
      </c>
      <c r="E8857" t="str">
        <f>IF(COUNTIF(data1!$D:$D,D8857)=0,"Missing in Data1","Present")</f>
        <v>Present</v>
      </c>
    </row>
    <row r="8858" spans="1:5" x14ac:dyDescent="0.25">
      <c r="A8858" s="2" t="s">
        <v>6403</v>
      </c>
      <c r="B8858" s="2" t="s">
        <v>4498</v>
      </c>
      <c r="C8858" s="2">
        <v>5</v>
      </c>
      <c r="D8858" t="str">
        <f t="shared" si="138"/>
        <v>US-2016-157840_OFF-PA-10003673</v>
      </c>
      <c r="E8858" t="str">
        <f>IF(COUNTIF(data1!$D:$D,D8858)=0,"Missing in Data1","Present")</f>
        <v>Present</v>
      </c>
    </row>
    <row r="8859" spans="1:5" x14ac:dyDescent="0.25">
      <c r="A8859" s="2" t="s">
        <v>6404</v>
      </c>
      <c r="B8859" s="2" t="s">
        <v>3451</v>
      </c>
      <c r="C8859" s="2">
        <v>3</v>
      </c>
      <c r="D8859" t="str">
        <f t="shared" si="138"/>
        <v>US-2016-157945_FUR-CH-10002331</v>
      </c>
      <c r="E8859" t="str">
        <f>IF(COUNTIF(data1!$D:$D,D8859)=0,"Missing in Data1","Present")</f>
        <v>Present</v>
      </c>
    </row>
    <row r="8860" spans="1:5" x14ac:dyDescent="0.25">
      <c r="A8860" s="2" t="s">
        <v>6404</v>
      </c>
      <c r="B8860" s="2" t="s">
        <v>439</v>
      </c>
      <c r="C8860" s="2">
        <v>2</v>
      </c>
      <c r="D8860" t="str">
        <f t="shared" si="138"/>
        <v>US-2016-157945_OFF-EN-10001415</v>
      </c>
      <c r="E8860" t="str">
        <f>IF(COUNTIF(data1!$D:$D,D8860)=0,"Missing in Data1","Present")</f>
        <v>Present</v>
      </c>
    </row>
    <row r="8861" spans="1:5" x14ac:dyDescent="0.25">
      <c r="A8861" s="2" t="s">
        <v>6405</v>
      </c>
      <c r="B8861" s="2" t="s">
        <v>2638</v>
      </c>
      <c r="C8861" s="2">
        <v>9</v>
      </c>
      <c r="D8861" t="str">
        <f t="shared" si="138"/>
        <v>US-2016-158288_OFF-BI-10003364</v>
      </c>
      <c r="E8861" t="str">
        <f>IF(COUNTIF(data1!$D:$D,D8861)=0,"Missing in Data1","Present")</f>
        <v>Present</v>
      </c>
    </row>
    <row r="8862" spans="1:5" x14ac:dyDescent="0.25">
      <c r="A8862" s="2" t="s">
        <v>6406</v>
      </c>
      <c r="B8862" s="2" t="s">
        <v>1152</v>
      </c>
      <c r="C8862" s="2">
        <v>4</v>
      </c>
      <c r="D8862" t="str">
        <f t="shared" si="138"/>
        <v>US-2016-158309_OFF-BI-10000145</v>
      </c>
      <c r="E8862" t="str">
        <f>IF(COUNTIF(data1!$D:$D,D8862)=0,"Missing in Data1","Present")</f>
        <v>Present</v>
      </c>
    </row>
    <row r="8863" spans="1:5" x14ac:dyDescent="0.25">
      <c r="A8863" s="2" t="s">
        <v>6407</v>
      </c>
      <c r="B8863" s="2" t="s">
        <v>1152</v>
      </c>
      <c r="C8863" s="2">
        <v>1</v>
      </c>
      <c r="D8863" t="str">
        <f t="shared" si="138"/>
        <v>US-2016-158680_OFF-BI-10000145</v>
      </c>
      <c r="E8863" t="str">
        <f>IF(COUNTIF(data1!$D:$D,D8863)=0,"Missing in Data1","Present")</f>
        <v>Present</v>
      </c>
    </row>
    <row r="8864" spans="1:5" x14ac:dyDescent="0.25">
      <c r="A8864" s="2" t="s">
        <v>6408</v>
      </c>
      <c r="B8864" s="2" t="s">
        <v>6409</v>
      </c>
      <c r="C8864" s="2">
        <v>2</v>
      </c>
      <c r="D8864" t="str">
        <f t="shared" si="138"/>
        <v>US-2016-158708_TEC-AC-10003133</v>
      </c>
      <c r="E8864" t="str">
        <f>IF(COUNTIF(data1!$D:$D,D8864)=0,"Missing in Data1","Present")</f>
        <v>Present</v>
      </c>
    </row>
    <row r="8865" spans="1:5" x14ac:dyDescent="0.25">
      <c r="A8865" s="2" t="s">
        <v>6410</v>
      </c>
      <c r="B8865" s="2" t="s">
        <v>5270</v>
      </c>
      <c r="C8865" s="2">
        <v>4</v>
      </c>
      <c r="D8865" t="str">
        <f t="shared" si="138"/>
        <v>US-2016-159093_OFF-PA-10001260</v>
      </c>
      <c r="E8865" t="str">
        <f>IF(COUNTIF(data1!$D:$D,D8865)=0,"Missing in Data1","Present")</f>
        <v>Present</v>
      </c>
    </row>
    <row r="8866" spans="1:5" x14ac:dyDescent="0.25">
      <c r="A8866" s="2" t="s">
        <v>6411</v>
      </c>
      <c r="B8866" s="2" t="s">
        <v>5046</v>
      </c>
      <c r="C8866" s="2">
        <v>5</v>
      </c>
      <c r="D8866" t="str">
        <f t="shared" si="138"/>
        <v>US-2016-159415_FUR-FU-10003798</v>
      </c>
      <c r="E8866" t="str">
        <f>IF(COUNTIF(data1!$D:$D,D8866)=0,"Missing in Data1","Present")</f>
        <v>Present</v>
      </c>
    </row>
    <row r="8867" spans="1:5" x14ac:dyDescent="0.25">
      <c r="A8867" s="2" t="s">
        <v>6412</v>
      </c>
      <c r="B8867" s="2" t="s">
        <v>858</v>
      </c>
      <c r="C8867" s="2">
        <v>5</v>
      </c>
      <c r="D8867" t="str">
        <f t="shared" si="138"/>
        <v>US-2016-159856_FUR-CH-10003396</v>
      </c>
      <c r="E8867" t="str">
        <f>IF(COUNTIF(data1!$D:$D,D8867)=0,"Missing in Data1","Present")</f>
        <v>Present</v>
      </c>
    </row>
    <row r="8868" spans="1:5" x14ac:dyDescent="0.25">
      <c r="A8868" s="2" t="s">
        <v>6413</v>
      </c>
      <c r="B8868" s="2" t="s">
        <v>3666</v>
      </c>
      <c r="C8868" s="2">
        <v>1</v>
      </c>
      <c r="D8868" t="str">
        <f t="shared" si="138"/>
        <v>US-2016-160206_TEC-PH-10000148</v>
      </c>
      <c r="E8868" t="str">
        <f>IF(COUNTIF(data1!$D:$D,D8868)=0,"Missing in Data1","Present")</f>
        <v>Present</v>
      </c>
    </row>
    <row r="8869" spans="1:5" x14ac:dyDescent="0.25">
      <c r="A8869" s="2" t="s">
        <v>6414</v>
      </c>
      <c r="B8869" s="2" t="s">
        <v>2310</v>
      </c>
      <c r="C8869" s="2">
        <v>3</v>
      </c>
      <c r="D8869" t="str">
        <f t="shared" si="138"/>
        <v>US-2016-160528_FUR-FU-10004973</v>
      </c>
      <c r="E8869" t="str">
        <f>IF(COUNTIF(data1!$D:$D,D8869)=0,"Missing in Data1","Present")</f>
        <v>Present</v>
      </c>
    </row>
    <row r="8870" spans="1:5" x14ac:dyDescent="0.25">
      <c r="A8870" s="2" t="s">
        <v>6414</v>
      </c>
      <c r="B8870" s="2" t="s">
        <v>444</v>
      </c>
      <c r="C8870" s="2">
        <v>8</v>
      </c>
      <c r="D8870" t="str">
        <f t="shared" si="138"/>
        <v>US-2016-160528_OFF-ST-10002743</v>
      </c>
      <c r="E8870" t="str">
        <f>IF(COUNTIF(data1!$D:$D,D8870)=0,"Missing in Data1","Present")</f>
        <v>Present</v>
      </c>
    </row>
    <row r="8871" spans="1:5" x14ac:dyDescent="0.25">
      <c r="A8871" s="2" t="s">
        <v>6414</v>
      </c>
      <c r="B8871" s="2" t="s">
        <v>345</v>
      </c>
      <c r="C8871" s="2">
        <v>7</v>
      </c>
      <c r="D8871" t="str">
        <f t="shared" si="138"/>
        <v>US-2016-160528_TEC-AC-10002842</v>
      </c>
      <c r="E8871" t="str">
        <f>IF(COUNTIF(data1!$D:$D,D8871)=0,"Missing in Data1","Present")</f>
        <v>Present</v>
      </c>
    </row>
    <row r="8872" spans="1:5" x14ac:dyDescent="0.25">
      <c r="A8872" s="2" t="s">
        <v>6415</v>
      </c>
      <c r="B8872" s="2" t="s">
        <v>2707</v>
      </c>
      <c r="C8872" s="2">
        <v>2</v>
      </c>
      <c r="D8872" t="str">
        <f t="shared" si="138"/>
        <v>US-2016-161396_FUR-TA-10002622</v>
      </c>
      <c r="E8872" t="str">
        <f>IF(COUNTIF(data1!$D:$D,D8872)=0,"Missing in Data1","Present")</f>
        <v>Present</v>
      </c>
    </row>
    <row r="8873" spans="1:5" x14ac:dyDescent="0.25">
      <c r="A8873" s="2" t="s">
        <v>6415</v>
      </c>
      <c r="B8873" s="2" t="s">
        <v>1243</v>
      </c>
      <c r="C8873" s="2">
        <v>5</v>
      </c>
      <c r="D8873" t="str">
        <f t="shared" si="138"/>
        <v>US-2016-161396_OFF-PA-10000418</v>
      </c>
      <c r="E8873" t="str">
        <f>IF(COUNTIF(data1!$D:$D,D8873)=0,"Missing in Data1","Present")</f>
        <v>Present</v>
      </c>
    </row>
    <row r="8874" spans="1:5" x14ac:dyDescent="0.25">
      <c r="A8874" s="2" t="s">
        <v>6416</v>
      </c>
      <c r="B8874" s="2" t="s">
        <v>1867</v>
      </c>
      <c r="C8874" s="2">
        <v>4</v>
      </c>
      <c r="D8874" t="str">
        <f t="shared" si="138"/>
        <v>US-2016-161683_OFF-AP-10000179</v>
      </c>
      <c r="E8874" t="str">
        <f>IF(COUNTIF(data1!$D:$D,D8874)=0,"Missing in Data1","Present")</f>
        <v>Missing in Data1</v>
      </c>
    </row>
    <row r="8875" spans="1:5" x14ac:dyDescent="0.25">
      <c r="A8875" s="2" t="s">
        <v>6416</v>
      </c>
      <c r="B8875" s="2" t="s">
        <v>401</v>
      </c>
      <c r="C8875" s="2">
        <v>4</v>
      </c>
      <c r="D8875" t="str">
        <f t="shared" si="138"/>
        <v>US-2016-161683_OFF-BI-10001072</v>
      </c>
      <c r="E8875" t="str">
        <f>IF(COUNTIF(data1!$D:$D,D8875)=0,"Missing in Data1","Present")</f>
        <v>Present</v>
      </c>
    </row>
    <row r="8876" spans="1:5" x14ac:dyDescent="0.25">
      <c r="A8876" s="2" t="s">
        <v>6417</v>
      </c>
      <c r="B8876" s="2" t="s">
        <v>513</v>
      </c>
      <c r="C8876" s="2">
        <v>3</v>
      </c>
      <c r="D8876" t="str">
        <f t="shared" si="138"/>
        <v>US-2016-161844_FUR-TA-10001676</v>
      </c>
      <c r="E8876" t="str">
        <f>IF(COUNTIF(data1!$D:$D,D8876)=0,"Missing in Data1","Present")</f>
        <v>Present</v>
      </c>
    </row>
    <row r="8877" spans="1:5" x14ac:dyDescent="0.25">
      <c r="A8877" s="2" t="s">
        <v>6417</v>
      </c>
      <c r="B8877" s="2" t="s">
        <v>688</v>
      </c>
      <c r="C8877" s="2">
        <v>2</v>
      </c>
      <c r="D8877" t="str">
        <f t="shared" si="138"/>
        <v>US-2016-161844_OFF-BI-10003712</v>
      </c>
      <c r="E8877" t="str">
        <f>IF(COUNTIF(data1!$D:$D,D8877)=0,"Missing in Data1","Present")</f>
        <v>Present</v>
      </c>
    </row>
    <row r="8878" spans="1:5" x14ac:dyDescent="0.25">
      <c r="A8878" s="2" t="s">
        <v>6418</v>
      </c>
      <c r="B8878" s="2" t="s">
        <v>1273</v>
      </c>
      <c r="C8878" s="2">
        <v>2</v>
      </c>
      <c r="D8878" t="str">
        <f t="shared" si="138"/>
        <v>US-2016-162026_OFF-PA-10000167</v>
      </c>
      <c r="E8878" t="str">
        <f>IF(COUNTIF(data1!$D:$D,D8878)=0,"Missing in Data1","Present")</f>
        <v>Present</v>
      </c>
    </row>
    <row r="8879" spans="1:5" x14ac:dyDescent="0.25">
      <c r="A8879" s="2" t="s">
        <v>6419</v>
      </c>
      <c r="B8879" s="2" t="s">
        <v>2994</v>
      </c>
      <c r="C8879" s="2">
        <v>2</v>
      </c>
      <c r="D8879" t="str">
        <f t="shared" si="138"/>
        <v>US-2016-162103_OFF-BI-10000285</v>
      </c>
      <c r="E8879" t="str">
        <f>IF(COUNTIF(data1!$D:$D,D8879)=0,"Missing in Data1","Present")</f>
        <v>Present</v>
      </c>
    </row>
    <row r="8880" spans="1:5" x14ac:dyDescent="0.25">
      <c r="A8880" s="2" t="s">
        <v>6420</v>
      </c>
      <c r="B8880" s="2" t="s">
        <v>2068</v>
      </c>
      <c r="C8880" s="2">
        <v>5</v>
      </c>
      <c r="D8880" t="str">
        <f t="shared" si="138"/>
        <v>US-2016-162677_OFF-ST-10001291</v>
      </c>
      <c r="E8880" t="str">
        <f>IF(COUNTIF(data1!$D:$D,D8880)=0,"Missing in Data1","Present")</f>
        <v>Present</v>
      </c>
    </row>
    <row r="8881" spans="1:5" x14ac:dyDescent="0.25">
      <c r="A8881" s="2" t="s">
        <v>6421</v>
      </c>
      <c r="B8881" s="2" t="s">
        <v>1894</v>
      </c>
      <c r="C8881" s="2">
        <v>8</v>
      </c>
      <c r="D8881" t="str">
        <f t="shared" si="138"/>
        <v>US-2016-162852_FUR-CH-10004853</v>
      </c>
      <c r="E8881" t="str">
        <f>IF(COUNTIF(data1!$D:$D,D8881)=0,"Missing in Data1","Present")</f>
        <v>Present</v>
      </c>
    </row>
    <row r="8882" spans="1:5" x14ac:dyDescent="0.25">
      <c r="A8882" s="2" t="s">
        <v>6422</v>
      </c>
      <c r="B8882" s="2" t="s">
        <v>552</v>
      </c>
      <c r="C8882" s="2">
        <v>4</v>
      </c>
      <c r="D8882" t="str">
        <f t="shared" si="138"/>
        <v>US-2016-162859_OFF-FA-10000304</v>
      </c>
      <c r="E8882" t="str">
        <f>IF(COUNTIF(data1!$D:$D,D8882)=0,"Missing in Data1","Present")</f>
        <v>Present</v>
      </c>
    </row>
    <row r="8883" spans="1:5" x14ac:dyDescent="0.25">
      <c r="A8883" s="2" t="s">
        <v>6863</v>
      </c>
      <c r="B8883" s="2" t="s">
        <v>1490</v>
      </c>
      <c r="C8883" s="2">
        <v>3</v>
      </c>
      <c r="D8883" t="str">
        <f t="shared" si="138"/>
        <v>US-2016-163258_OFF-BI-10000138</v>
      </c>
      <c r="E8883" t="str">
        <f>IF(COUNTIF(data1!$D:$D,D8883)=0,"Missing in Data1","Present")</f>
        <v>Missing in Data1</v>
      </c>
    </row>
    <row r="8884" spans="1:5" x14ac:dyDescent="0.25">
      <c r="A8884" s="2" t="s">
        <v>6423</v>
      </c>
      <c r="B8884" s="2" t="s">
        <v>5559</v>
      </c>
      <c r="C8884" s="2">
        <v>2</v>
      </c>
      <c r="D8884" t="str">
        <f t="shared" si="138"/>
        <v>US-2016-163461_OFF-PA-10003134</v>
      </c>
      <c r="E8884" t="str">
        <f>IF(COUNTIF(data1!$D:$D,D8884)=0,"Missing in Data1","Present")</f>
        <v>Present</v>
      </c>
    </row>
    <row r="8885" spans="1:5" x14ac:dyDescent="0.25">
      <c r="A8885" s="2" t="s">
        <v>6424</v>
      </c>
      <c r="B8885" s="2" t="s">
        <v>1603</v>
      </c>
      <c r="C8885" s="2">
        <v>3</v>
      </c>
      <c r="D8885" t="str">
        <f t="shared" si="138"/>
        <v>US-2016-163538_TEC-AC-10002006</v>
      </c>
      <c r="E8885" t="str">
        <f>IF(COUNTIF(data1!$D:$D,D8885)=0,"Missing in Data1","Present")</f>
        <v>Present</v>
      </c>
    </row>
    <row r="8886" spans="1:5" x14ac:dyDescent="0.25">
      <c r="A8886" s="2" t="s">
        <v>6425</v>
      </c>
      <c r="B8886" s="2" t="s">
        <v>294</v>
      </c>
      <c r="C8886" s="2">
        <v>6</v>
      </c>
      <c r="D8886" t="str">
        <f t="shared" si="138"/>
        <v>US-2016-163881_FUR-CH-10001394</v>
      </c>
      <c r="E8886" t="str">
        <f>IF(COUNTIF(data1!$D:$D,D8886)=0,"Missing in Data1","Present")</f>
        <v>Present</v>
      </c>
    </row>
    <row r="8887" spans="1:5" x14ac:dyDescent="0.25">
      <c r="A8887" s="2" t="s">
        <v>6425</v>
      </c>
      <c r="B8887" s="2" t="s">
        <v>3325</v>
      </c>
      <c r="C8887" s="2">
        <v>8</v>
      </c>
      <c r="D8887" t="str">
        <f t="shared" si="138"/>
        <v>US-2016-163881_TEC-AC-10000420</v>
      </c>
      <c r="E8887" t="str">
        <f>IF(COUNTIF(data1!$D:$D,D8887)=0,"Missing in Data1","Present")</f>
        <v>Present</v>
      </c>
    </row>
    <row r="8888" spans="1:5" x14ac:dyDescent="0.25">
      <c r="A8888" s="2" t="s">
        <v>6425</v>
      </c>
      <c r="B8888" s="2" t="s">
        <v>2361</v>
      </c>
      <c r="C8888" s="2">
        <v>2</v>
      </c>
      <c r="D8888" t="str">
        <f t="shared" si="138"/>
        <v>US-2016-163881_TEC-AC-10003033</v>
      </c>
      <c r="E8888" t="str">
        <f>IF(COUNTIF(data1!$D:$D,D8888)=0,"Missing in Data1","Present")</f>
        <v>Present</v>
      </c>
    </row>
    <row r="8889" spans="1:5" x14ac:dyDescent="0.25">
      <c r="A8889" s="2" t="s">
        <v>6426</v>
      </c>
      <c r="B8889" s="2" t="s">
        <v>350</v>
      </c>
      <c r="C8889" s="2">
        <v>4</v>
      </c>
      <c r="D8889" t="str">
        <f t="shared" si="138"/>
        <v>US-2016-164189_TEC-PH-10003691</v>
      </c>
      <c r="E8889" t="str">
        <f>IF(COUNTIF(data1!$D:$D,D8889)=0,"Missing in Data1","Present")</f>
        <v>Present</v>
      </c>
    </row>
    <row r="8890" spans="1:5" x14ac:dyDescent="0.25">
      <c r="A8890" s="2" t="s">
        <v>6864</v>
      </c>
      <c r="B8890" s="2" t="s">
        <v>4769</v>
      </c>
      <c r="C8890" s="2">
        <v>6</v>
      </c>
      <c r="D8890" t="str">
        <f t="shared" si="138"/>
        <v>US-2016-164196_FUR-TA-10001950</v>
      </c>
      <c r="E8890" t="str">
        <f>IF(COUNTIF(data1!$D:$D,D8890)=0,"Missing in Data1","Present")</f>
        <v>Missing in Data1</v>
      </c>
    </row>
    <row r="8891" spans="1:5" x14ac:dyDescent="0.25">
      <c r="A8891" s="2" t="s">
        <v>6427</v>
      </c>
      <c r="B8891" s="2" t="s">
        <v>1278</v>
      </c>
      <c r="C8891" s="2">
        <v>3</v>
      </c>
      <c r="D8891" t="str">
        <f t="shared" si="138"/>
        <v>US-2016-164588_OFF-AR-10003056</v>
      </c>
      <c r="E8891" t="str">
        <f>IF(COUNTIF(data1!$D:$D,D8891)=0,"Missing in Data1","Present")</f>
        <v>Present</v>
      </c>
    </row>
    <row r="8892" spans="1:5" x14ac:dyDescent="0.25">
      <c r="A8892" s="2" t="s">
        <v>6428</v>
      </c>
      <c r="B8892" s="2" t="s">
        <v>3908</v>
      </c>
      <c r="C8892" s="2">
        <v>4</v>
      </c>
      <c r="D8892" t="str">
        <f t="shared" si="138"/>
        <v>US-2016-164630_TEC-CO-10000971</v>
      </c>
      <c r="E8892" t="str">
        <f>IF(COUNTIF(data1!$D:$D,D8892)=0,"Missing in Data1","Present")</f>
        <v>Present</v>
      </c>
    </row>
    <row r="8893" spans="1:5" x14ac:dyDescent="0.25">
      <c r="A8893" s="2" t="s">
        <v>6865</v>
      </c>
      <c r="B8893" s="2" t="s">
        <v>1815</v>
      </c>
      <c r="C8893" s="2">
        <v>8</v>
      </c>
      <c r="D8893" t="str">
        <f t="shared" si="138"/>
        <v>US-2016-164945_OFF-BI-10001524</v>
      </c>
      <c r="E8893" t="str">
        <f>IF(COUNTIF(data1!$D:$D,D8893)=0,"Missing in Data1","Present")</f>
        <v>Missing in Data1</v>
      </c>
    </row>
    <row r="8894" spans="1:5" x14ac:dyDescent="0.25">
      <c r="A8894" s="2" t="s">
        <v>6429</v>
      </c>
      <c r="B8894" s="2" t="s">
        <v>1270</v>
      </c>
      <c r="C8894" s="2">
        <v>2</v>
      </c>
      <c r="D8894" t="str">
        <f t="shared" si="138"/>
        <v>US-2016-165078_OFF-AR-10002987</v>
      </c>
      <c r="E8894" t="str">
        <f>IF(COUNTIF(data1!$D:$D,D8894)=0,"Missing in Data1","Present")</f>
        <v>Present</v>
      </c>
    </row>
    <row r="8895" spans="1:5" x14ac:dyDescent="0.25">
      <c r="A8895" s="2" t="s">
        <v>6429</v>
      </c>
      <c r="B8895" s="2" t="s">
        <v>1223</v>
      </c>
      <c r="C8895" s="2">
        <v>5</v>
      </c>
      <c r="D8895" t="str">
        <f t="shared" si="138"/>
        <v>US-2016-165078_OFF-BI-10001989</v>
      </c>
      <c r="E8895" t="str">
        <f>IF(COUNTIF(data1!$D:$D,D8895)=0,"Missing in Data1","Present")</f>
        <v>Present</v>
      </c>
    </row>
    <row r="8896" spans="1:5" x14ac:dyDescent="0.25">
      <c r="A8896" s="2" t="s">
        <v>6429</v>
      </c>
      <c r="B8896" s="2" t="s">
        <v>2382</v>
      </c>
      <c r="C8896" s="2">
        <v>5</v>
      </c>
      <c r="D8896" t="str">
        <f t="shared" si="138"/>
        <v>US-2016-165078_OFF-LA-10000414</v>
      </c>
      <c r="E8896" t="str">
        <f>IF(COUNTIF(data1!$D:$D,D8896)=0,"Missing in Data1","Present")</f>
        <v>Present</v>
      </c>
    </row>
    <row r="8897" spans="1:5" x14ac:dyDescent="0.25">
      <c r="A8897" s="2" t="s">
        <v>6430</v>
      </c>
      <c r="B8897" s="2" t="s">
        <v>6866</v>
      </c>
      <c r="C8897" s="2">
        <v>6</v>
      </c>
      <c r="D8897" t="str">
        <f t="shared" si="138"/>
        <v>US-2016-165505_OFF-AR-10003477</v>
      </c>
      <c r="E8897" t="str">
        <f>IF(COUNTIF(data1!$D:$D,D8897)=0,"Missing in Data1","Present")</f>
        <v>Missing in Data1</v>
      </c>
    </row>
    <row r="8898" spans="1:5" x14ac:dyDescent="0.25">
      <c r="A8898" s="2" t="s">
        <v>6430</v>
      </c>
      <c r="B8898" s="2" t="s">
        <v>2019</v>
      </c>
      <c r="C8898" s="2">
        <v>13</v>
      </c>
      <c r="D8898" t="str">
        <f t="shared" si="138"/>
        <v>US-2016-165505_OFF-ST-10001526</v>
      </c>
      <c r="E8898" t="str">
        <f>IF(COUNTIF(data1!$D:$D,D8898)=0,"Missing in Data1","Present")</f>
        <v>Present</v>
      </c>
    </row>
    <row r="8899" spans="1:5" x14ac:dyDescent="0.25">
      <c r="A8899" s="2" t="s">
        <v>6430</v>
      </c>
      <c r="B8899" s="2" t="s">
        <v>1406</v>
      </c>
      <c r="C8899" s="2">
        <v>2</v>
      </c>
      <c r="D8899" t="str">
        <f t="shared" ref="D8899:D8962" si="139">A8899&amp;"_"&amp;B8899</f>
        <v>US-2016-165505_TEC-AC-10002926</v>
      </c>
      <c r="E8899" t="str">
        <f>IF(COUNTIF(data1!$D:$D,D8899)=0,"Missing in Data1","Present")</f>
        <v>Present</v>
      </c>
    </row>
    <row r="8900" spans="1:5" x14ac:dyDescent="0.25">
      <c r="A8900" s="2" t="s">
        <v>6431</v>
      </c>
      <c r="B8900" s="2" t="s">
        <v>1559</v>
      </c>
      <c r="C8900" s="2">
        <v>1</v>
      </c>
      <c r="D8900" t="str">
        <f t="shared" si="139"/>
        <v>US-2016-166660_FUR-BO-10000468</v>
      </c>
      <c r="E8900" t="str">
        <f>IF(COUNTIF(data1!$D:$D,D8900)=0,"Missing in Data1","Present")</f>
        <v>Present</v>
      </c>
    </row>
    <row r="8901" spans="1:5" x14ac:dyDescent="0.25">
      <c r="A8901" s="2" t="s">
        <v>6431</v>
      </c>
      <c r="B8901" s="2" t="s">
        <v>3465</v>
      </c>
      <c r="C8901" s="2">
        <v>4</v>
      </c>
      <c r="D8901" t="str">
        <f t="shared" si="139"/>
        <v>US-2016-166660_FUR-CH-10001190</v>
      </c>
      <c r="E8901" t="str">
        <f>IF(COUNTIF(data1!$D:$D,D8901)=0,"Missing in Data1","Present")</f>
        <v>Missing in Data1</v>
      </c>
    </row>
    <row r="8902" spans="1:5" x14ac:dyDescent="0.25">
      <c r="A8902" s="2" t="s">
        <v>6432</v>
      </c>
      <c r="B8902" s="2" t="s">
        <v>2213</v>
      </c>
      <c r="C8902" s="2">
        <v>7</v>
      </c>
      <c r="D8902" t="str">
        <f t="shared" si="139"/>
        <v>US-2016-167339_FUR-CH-10000785</v>
      </c>
      <c r="E8902" t="str">
        <f>IF(COUNTIF(data1!$D:$D,D8902)=0,"Missing in Data1","Present")</f>
        <v>Present</v>
      </c>
    </row>
    <row r="8903" spans="1:5" x14ac:dyDescent="0.25">
      <c r="A8903" s="2" t="s">
        <v>6432</v>
      </c>
      <c r="B8903" s="2" t="s">
        <v>1333</v>
      </c>
      <c r="C8903" s="2">
        <v>2</v>
      </c>
      <c r="D8903" t="str">
        <f t="shared" si="139"/>
        <v>US-2016-167339_FUR-CH-10004289</v>
      </c>
      <c r="E8903" t="str">
        <f>IF(COUNTIF(data1!$D:$D,D8903)=0,"Missing in Data1","Present")</f>
        <v>Present</v>
      </c>
    </row>
    <row r="8904" spans="1:5" x14ac:dyDescent="0.25">
      <c r="A8904" s="2" t="s">
        <v>6433</v>
      </c>
      <c r="B8904" s="2" t="s">
        <v>448</v>
      </c>
      <c r="C8904" s="2">
        <v>3</v>
      </c>
      <c r="D8904" t="str">
        <f t="shared" si="139"/>
        <v>US-2016-167472_OFF-BI-10000591</v>
      </c>
      <c r="E8904" t="str">
        <f>IF(COUNTIF(data1!$D:$D,D8904)=0,"Missing in Data1","Present")</f>
        <v>Present</v>
      </c>
    </row>
    <row r="8905" spans="1:5" x14ac:dyDescent="0.25">
      <c r="A8905" s="2" t="s">
        <v>6433</v>
      </c>
      <c r="B8905" s="2" t="s">
        <v>4318</v>
      </c>
      <c r="C8905" s="2">
        <v>3</v>
      </c>
      <c r="D8905" t="str">
        <f t="shared" si="139"/>
        <v>US-2016-167472_OFF-BI-10001721</v>
      </c>
      <c r="E8905" t="str">
        <f>IF(COUNTIF(data1!$D:$D,D8905)=0,"Missing in Data1","Present")</f>
        <v>Present</v>
      </c>
    </row>
    <row r="8906" spans="1:5" x14ac:dyDescent="0.25">
      <c r="A8906" s="2" t="s">
        <v>6433</v>
      </c>
      <c r="B8906" s="2" t="s">
        <v>2602</v>
      </c>
      <c r="C8906" s="2">
        <v>3</v>
      </c>
      <c r="D8906" t="str">
        <f t="shared" si="139"/>
        <v>US-2016-167472_OFF-PA-10000157</v>
      </c>
      <c r="E8906" t="str">
        <f>IF(COUNTIF(data1!$D:$D,D8906)=0,"Missing in Data1","Present")</f>
        <v>Present</v>
      </c>
    </row>
    <row r="8907" spans="1:5" x14ac:dyDescent="0.25">
      <c r="A8907" s="2" t="s">
        <v>6433</v>
      </c>
      <c r="B8907" s="2" t="s">
        <v>4611</v>
      </c>
      <c r="C8907" s="2">
        <v>2</v>
      </c>
      <c r="D8907" t="str">
        <f t="shared" si="139"/>
        <v>US-2016-167472_OFF-PA-10001534</v>
      </c>
      <c r="E8907" t="str">
        <f>IF(COUNTIF(data1!$D:$D,D8907)=0,"Missing in Data1","Present")</f>
        <v>Present</v>
      </c>
    </row>
    <row r="8908" spans="1:5" x14ac:dyDescent="0.25">
      <c r="A8908" s="2" t="s">
        <v>6433</v>
      </c>
      <c r="B8908" s="2" t="s">
        <v>2690</v>
      </c>
      <c r="C8908" s="2">
        <v>6</v>
      </c>
      <c r="D8908" t="str">
        <f t="shared" si="139"/>
        <v>US-2016-167472_TEC-AC-10001109</v>
      </c>
      <c r="E8908" t="str">
        <f>IF(COUNTIF(data1!$D:$D,D8908)=0,"Missing in Data1","Present")</f>
        <v>Missing in Data1</v>
      </c>
    </row>
    <row r="8909" spans="1:5" x14ac:dyDescent="0.25">
      <c r="A8909" s="2" t="s">
        <v>6433</v>
      </c>
      <c r="B8909" s="2" t="s">
        <v>311</v>
      </c>
      <c r="C8909" s="2">
        <v>3</v>
      </c>
      <c r="D8909" t="str">
        <f t="shared" si="139"/>
        <v>US-2016-167472_TEC-AC-10003038</v>
      </c>
      <c r="E8909" t="str">
        <f>IF(COUNTIF(data1!$D:$D,D8909)=0,"Missing in Data1","Present")</f>
        <v>Present</v>
      </c>
    </row>
    <row r="8910" spans="1:5" x14ac:dyDescent="0.25">
      <c r="A8910" s="2" t="s">
        <v>6433</v>
      </c>
      <c r="B8910" s="2" t="s">
        <v>1658</v>
      </c>
      <c r="C8910" s="2">
        <v>3</v>
      </c>
      <c r="D8910" t="str">
        <f t="shared" si="139"/>
        <v>US-2016-167472_TEC-AC-10003174</v>
      </c>
      <c r="E8910" t="str">
        <f>IF(COUNTIF(data1!$D:$D,D8910)=0,"Missing in Data1","Present")</f>
        <v>Present</v>
      </c>
    </row>
    <row r="8911" spans="1:5" x14ac:dyDescent="0.25">
      <c r="A8911" s="2" t="s">
        <v>6434</v>
      </c>
      <c r="B8911" s="2" t="s">
        <v>1368</v>
      </c>
      <c r="C8911" s="2">
        <v>3</v>
      </c>
      <c r="D8911" t="str">
        <f t="shared" si="139"/>
        <v>US-2016-168095_FUR-CH-10004886</v>
      </c>
      <c r="E8911" t="str">
        <f>IF(COUNTIF(data1!$D:$D,D8911)=0,"Missing in Data1","Present")</f>
        <v>Present</v>
      </c>
    </row>
    <row r="8912" spans="1:5" x14ac:dyDescent="0.25">
      <c r="A8912" s="2" t="s">
        <v>6434</v>
      </c>
      <c r="B8912" s="2" t="s">
        <v>884</v>
      </c>
      <c r="C8912" s="2">
        <v>5</v>
      </c>
      <c r="D8912" t="str">
        <f t="shared" si="139"/>
        <v>US-2016-168095_OFF-PA-10003641</v>
      </c>
      <c r="E8912" t="str">
        <f>IF(COUNTIF(data1!$D:$D,D8912)=0,"Missing in Data1","Present")</f>
        <v>Present</v>
      </c>
    </row>
    <row r="8913" spans="1:5" x14ac:dyDescent="0.25">
      <c r="A8913" s="2" t="s">
        <v>6435</v>
      </c>
      <c r="B8913" s="2" t="s">
        <v>590</v>
      </c>
      <c r="C8913" s="2">
        <v>5</v>
      </c>
      <c r="D8913" t="str">
        <f t="shared" si="139"/>
        <v>US-2016-168410_FUR-FU-10000629</v>
      </c>
      <c r="E8913" t="str">
        <f>IF(COUNTIF(data1!$D:$D,D8913)=0,"Missing in Data1","Present")</f>
        <v>Present</v>
      </c>
    </row>
    <row r="8914" spans="1:5" x14ac:dyDescent="0.25">
      <c r="A8914" s="2" t="s">
        <v>6435</v>
      </c>
      <c r="B8914" s="2" t="s">
        <v>357</v>
      </c>
      <c r="C8914" s="2">
        <v>3</v>
      </c>
      <c r="D8914" t="str">
        <f t="shared" si="139"/>
        <v>US-2016-168410_OFF-ST-10000036</v>
      </c>
      <c r="E8914" t="str">
        <f>IF(COUNTIF(data1!$D:$D,D8914)=0,"Missing in Data1","Present")</f>
        <v>Present</v>
      </c>
    </row>
    <row r="8915" spans="1:5" x14ac:dyDescent="0.25">
      <c r="A8915" s="2" t="s">
        <v>6436</v>
      </c>
      <c r="B8915" s="2" t="s">
        <v>539</v>
      </c>
      <c r="C8915" s="2">
        <v>3</v>
      </c>
      <c r="D8915" t="str">
        <f t="shared" si="139"/>
        <v>US-2016-168620_OFF-BI-10001575</v>
      </c>
      <c r="E8915" t="str">
        <f>IF(COUNTIF(data1!$D:$D,D8915)=0,"Missing in Data1","Present")</f>
        <v>Present</v>
      </c>
    </row>
    <row r="8916" spans="1:5" x14ac:dyDescent="0.25">
      <c r="A8916" s="2" t="s">
        <v>6436</v>
      </c>
      <c r="B8916" s="2" t="s">
        <v>495</v>
      </c>
      <c r="C8916" s="2">
        <v>3</v>
      </c>
      <c r="D8916" t="str">
        <f t="shared" si="139"/>
        <v>US-2016-168620_OFF-ST-10003716</v>
      </c>
      <c r="E8916" t="str">
        <f>IF(COUNTIF(data1!$D:$D,D8916)=0,"Missing in Data1","Present")</f>
        <v>Present</v>
      </c>
    </row>
    <row r="8917" spans="1:5" x14ac:dyDescent="0.25">
      <c r="A8917" s="2" t="s">
        <v>6436</v>
      </c>
      <c r="B8917" s="2" t="s">
        <v>2802</v>
      </c>
      <c r="C8917" s="2">
        <v>8</v>
      </c>
      <c r="D8917" t="str">
        <f t="shared" si="139"/>
        <v>US-2016-168620_TEC-AC-10004469</v>
      </c>
      <c r="E8917" t="str">
        <f>IF(COUNTIF(data1!$D:$D,D8917)=0,"Missing in Data1","Present")</f>
        <v>Present</v>
      </c>
    </row>
    <row r="8918" spans="1:5" x14ac:dyDescent="0.25">
      <c r="A8918" s="2" t="s">
        <v>6437</v>
      </c>
      <c r="B8918" s="2" t="s">
        <v>951</v>
      </c>
      <c r="C8918" s="2">
        <v>7</v>
      </c>
      <c r="D8918" t="str">
        <f t="shared" si="139"/>
        <v>US-2016-169040_OFF-BI-10001636</v>
      </c>
      <c r="E8918" t="str">
        <f>IF(COUNTIF(data1!$D:$D,D8918)=0,"Missing in Data1","Present")</f>
        <v>Present</v>
      </c>
    </row>
    <row r="8919" spans="1:5" x14ac:dyDescent="0.25">
      <c r="A8919" s="2" t="s">
        <v>6437</v>
      </c>
      <c r="B8919" s="2" t="s">
        <v>190</v>
      </c>
      <c r="C8919" s="2">
        <v>3</v>
      </c>
      <c r="D8919" t="str">
        <f t="shared" si="139"/>
        <v>US-2016-169040_OFF-BI-10001658</v>
      </c>
      <c r="E8919" t="str">
        <f>IF(COUNTIF(data1!$D:$D,D8919)=0,"Missing in Data1","Present")</f>
        <v>Missing in Data1</v>
      </c>
    </row>
    <row r="8920" spans="1:5" x14ac:dyDescent="0.25">
      <c r="A8920" s="2" t="s">
        <v>6437</v>
      </c>
      <c r="B8920" s="2" t="s">
        <v>2236</v>
      </c>
      <c r="C8920" s="2">
        <v>1</v>
      </c>
      <c r="D8920" t="str">
        <f t="shared" si="139"/>
        <v>US-2016-169040_OFF-EN-10000927</v>
      </c>
      <c r="E8920" t="str">
        <f>IF(COUNTIF(data1!$D:$D,D8920)=0,"Missing in Data1","Present")</f>
        <v>Present</v>
      </c>
    </row>
    <row r="8921" spans="1:5" x14ac:dyDescent="0.25">
      <c r="A8921" s="2" t="s">
        <v>6437</v>
      </c>
      <c r="B8921" s="2" t="s">
        <v>1335</v>
      </c>
      <c r="C8921" s="2">
        <v>5</v>
      </c>
      <c r="D8921" t="str">
        <f t="shared" si="139"/>
        <v>US-2016-169040_OFF-PA-10000482</v>
      </c>
      <c r="E8921" t="str">
        <f>IF(COUNTIF(data1!$D:$D,D8921)=0,"Missing in Data1","Present")</f>
        <v>Present</v>
      </c>
    </row>
    <row r="8922" spans="1:5" x14ac:dyDescent="0.25">
      <c r="A8922" s="2" t="s">
        <v>6437</v>
      </c>
      <c r="B8922" s="2" t="s">
        <v>3291</v>
      </c>
      <c r="C8922" s="2">
        <v>7</v>
      </c>
      <c r="D8922" t="str">
        <f t="shared" si="139"/>
        <v>US-2016-169040_OFF-PA-10001736</v>
      </c>
      <c r="E8922" t="str">
        <f>IF(COUNTIF(data1!$D:$D,D8922)=0,"Missing in Data1","Present")</f>
        <v>Present</v>
      </c>
    </row>
    <row r="8923" spans="1:5" x14ac:dyDescent="0.25">
      <c r="A8923" s="2" t="s">
        <v>6437</v>
      </c>
      <c r="B8923" s="2" t="s">
        <v>831</v>
      </c>
      <c r="C8923" s="2">
        <v>1</v>
      </c>
      <c r="D8923" t="str">
        <f t="shared" si="139"/>
        <v>US-2016-169040_TEC-PH-10002310</v>
      </c>
      <c r="E8923" t="str">
        <f>IF(COUNTIF(data1!$D:$D,D8923)=0,"Missing in Data1","Present")</f>
        <v>Present</v>
      </c>
    </row>
    <row r="8924" spans="1:5" x14ac:dyDescent="0.25">
      <c r="A8924" s="2" t="s">
        <v>6437</v>
      </c>
      <c r="B8924" s="2" t="s">
        <v>4776</v>
      </c>
      <c r="C8924" s="2">
        <v>3</v>
      </c>
      <c r="D8924" t="str">
        <f t="shared" si="139"/>
        <v>US-2016-169040_TEC-PH-10002834</v>
      </c>
      <c r="E8924" t="str">
        <f>IF(COUNTIF(data1!$D:$D,D8924)=0,"Missing in Data1","Present")</f>
        <v>Present</v>
      </c>
    </row>
    <row r="8925" spans="1:5" x14ac:dyDescent="0.25">
      <c r="A8925" s="2" t="s">
        <v>6438</v>
      </c>
      <c r="B8925" s="2" t="s">
        <v>109</v>
      </c>
      <c r="C8925" s="2">
        <v>5</v>
      </c>
      <c r="D8925" t="str">
        <f t="shared" si="139"/>
        <v>US-2016-169369_TEC-AC-10001314</v>
      </c>
      <c r="E8925" t="str">
        <f>IF(COUNTIF(data1!$D:$D,D8925)=0,"Missing in Data1","Present")</f>
        <v>Present</v>
      </c>
    </row>
    <row r="8926" spans="1:5" x14ac:dyDescent="0.25">
      <c r="A8926" s="2" t="s">
        <v>6439</v>
      </c>
      <c r="B8926" s="2" t="s">
        <v>616</v>
      </c>
      <c r="C8926" s="2">
        <v>6</v>
      </c>
      <c r="D8926" t="str">
        <f t="shared" si="139"/>
        <v>US-2017-100048_OFF-AP-10001154</v>
      </c>
      <c r="E8926" t="str">
        <f>IF(COUNTIF(data1!$D:$D,D8926)=0,"Missing in Data1","Present")</f>
        <v>Present</v>
      </c>
    </row>
    <row r="8927" spans="1:5" x14ac:dyDescent="0.25">
      <c r="A8927" s="2" t="s">
        <v>6439</v>
      </c>
      <c r="B8927" s="2" t="s">
        <v>1128</v>
      </c>
      <c r="C8927" s="2">
        <v>3</v>
      </c>
      <c r="D8927" t="str">
        <f t="shared" si="139"/>
        <v>US-2017-100048_TEC-AC-10001606</v>
      </c>
      <c r="E8927" t="str">
        <f>IF(COUNTIF(data1!$D:$D,D8927)=0,"Missing in Data1","Present")</f>
        <v>Present</v>
      </c>
    </row>
    <row r="8928" spans="1:5" x14ac:dyDescent="0.25">
      <c r="A8928" s="2" t="s">
        <v>6439</v>
      </c>
      <c r="B8928" s="2" t="s">
        <v>1980</v>
      </c>
      <c r="C8928" s="2">
        <v>2</v>
      </c>
      <c r="D8928" t="str">
        <f t="shared" si="139"/>
        <v>US-2017-100048_TEC-PH-10003012</v>
      </c>
      <c r="E8928" t="str">
        <f>IF(COUNTIF(data1!$D:$D,D8928)=0,"Missing in Data1","Present")</f>
        <v>Present</v>
      </c>
    </row>
    <row r="8929" spans="1:5" x14ac:dyDescent="0.25">
      <c r="A8929" s="2" t="s">
        <v>6440</v>
      </c>
      <c r="B8929" s="2" t="s">
        <v>1225</v>
      </c>
      <c r="C8929" s="2">
        <v>2</v>
      </c>
      <c r="D8929" t="str">
        <f t="shared" si="139"/>
        <v>US-2017-100209_OFF-BI-10002012</v>
      </c>
      <c r="E8929" t="str">
        <f>IF(COUNTIF(data1!$D:$D,D8929)=0,"Missing in Data1","Present")</f>
        <v>Present</v>
      </c>
    </row>
    <row r="8930" spans="1:5" x14ac:dyDescent="0.25">
      <c r="A8930" s="2" t="s">
        <v>6441</v>
      </c>
      <c r="B8930" s="2" t="s">
        <v>823</v>
      </c>
      <c r="C8930" s="2">
        <v>3</v>
      </c>
      <c r="D8930" t="str">
        <f t="shared" si="139"/>
        <v>US-2017-100398_OFF-BI-10002133</v>
      </c>
      <c r="E8930" t="str">
        <f>IF(COUNTIF(data1!$D:$D,D8930)=0,"Missing in Data1","Present")</f>
        <v>Present</v>
      </c>
    </row>
    <row r="8931" spans="1:5" x14ac:dyDescent="0.25">
      <c r="A8931" s="2" t="s">
        <v>6442</v>
      </c>
      <c r="B8931" s="2" t="s">
        <v>2467</v>
      </c>
      <c r="C8931" s="2">
        <v>2</v>
      </c>
      <c r="D8931" t="str">
        <f t="shared" si="139"/>
        <v>US-2017-100482_OFF-ST-10001325</v>
      </c>
      <c r="E8931" t="str">
        <f>IF(COUNTIF(data1!$D:$D,D8931)=0,"Missing in Data1","Present")</f>
        <v>Present</v>
      </c>
    </row>
    <row r="8932" spans="1:5" x14ac:dyDescent="0.25">
      <c r="A8932" s="2" t="s">
        <v>6442</v>
      </c>
      <c r="B8932" s="2" t="s">
        <v>1841</v>
      </c>
      <c r="C8932" s="2">
        <v>2</v>
      </c>
      <c r="D8932" t="str">
        <f t="shared" si="139"/>
        <v>US-2017-100482_TEC-AC-10003441</v>
      </c>
      <c r="E8932" t="str">
        <f>IF(COUNTIF(data1!$D:$D,D8932)=0,"Missing in Data1","Present")</f>
        <v>Missing in Data1</v>
      </c>
    </row>
    <row r="8933" spans="1:5" x14ac:dyDescent="0.25">
      <c r="A8933" s="2" t="s">
        <v>6443</v>
      </c>
      <c r="B8933" s="2" t="s">
        <v>1830</v>
      </c>
      <c r="C8933" s="2">
        <v>3</v>
      </c>
      <c r="D8933" t="str">
        <f t="shared" si="139"/>
        <v>US-2017-100930_FUR-FU-10004017</v>
      </c>
      <c r="E8933" t="str">
        <f>IF(COUNTIF(data1!$D:$D,D8933)=0,"Missing in Data1","Present")</f>
        <v>Present</v>
      </c>
    </row>
    <row r="8934" spans="1:5" x14ac:dyDescent="0.25">
      <c r="A8934" s="2" t="s">
        <v>6443</v>
      </c>
      <c r="B8934" s="2" t="s">
        <v>2627</v>
      </c>
      <c r="C8934" s="2">
        <v>2</v>
      </c>
      <c r="D8934" t="str">
        <f t="shared" si="139"/>
        <v>US-2017-100930_FUR-TA-10001705</v>
      </c>
      <c r="E8934" t="str">
        <f>IF(COUNTIF(data1!$D:$D,D8934)=0,"Missing in Data1","Present")</f>
        <v>Present</v>
      </c>
    </row>
    <row r="8935" spans="1:5" x14ac:dyDescent="0.25">
      <c r="A8935" s="2" t="s">
        <v>6443</v>
      </c>
      <c r="B8935" s="2" t="s">
        <v>1806</v>
      </c>
      <c r="C8935" s="2">
        <v>3</v>
      </c>
      <c r="D8935" t="str">
        <f t="shared" si="139"/>
        <v>US-2017-100930_FUR-TA-10003473</v>
      </c>
      <c r="E8935" t="str">
        <f>IF(COUNTIF(data1!$D:$D,D8935)=0,"Missing in Data1","Present")</f>
        <v>Present</v>
      </c>
    </row>
    <row r="8936" spans="1:5" x14ac:dyDescent="0.25">
      <c r="A8936" s="2" t="s">
        <v>6443</v>
      </c>
      <c r="B8936" s="2" t="s">
        <v>1816</v>
      </c>
      <c r="C8936" s="2">
        <v>2</v>
      </c>
      <c r="D8936" t="str">
        <f t="shared" si="139"/>
        <v>US-2017-100930_OFF-BI-10001679</v>
      </c>
      <c r="E8936" t="str">
        <f>IF(COUNTIF(data1!$D:$D,D8936)=0,"Missing in Data1","Present")</f>
        <v>Missing in Data1</v>
      </c>
    </row>
    <row r="8937" spans="1:5" x14ac:dyDescent="0.25">
      <c r="A8937" s="2" t="s">
        <v>6443</v>
      </c>
      <c r="B8937" s="2" t="s">
        <v>877</v>
      </c>
      <c r="C8937" s="2">
        <v>3</v>
      </c>
      <c r="D8937" t="str">
        <f t="shared" si="139"/>
        <v>US-2017-100930_TEC-AC-10003832</v>
      </c>
      <c r="E8937" t="str">
        <f>IF(COUNTIF(data1!$D:$D,D8937)=0,"Missing in Data1","Present")</f>
        <v>Present</v>
      </c>
    </row>
    <row r="8938" spans="1:5" x14ac:dyDescent="0.25">
      <c r="A8938" s="2" t="s">
        <v>6444</v>
      </c>
      <c r="B8938" s="2" t="s">
        <v>1180</v>
      </c>
      <c r="C8938" s="2">
        <v>3</v>
      </c>
      <c r="D8938" t="str">
        <f t="shared" si="139"/>
        <v>US-2017-101518_TEC-AC-10001553</v>
      </c>
      <c r="E8938" t="str">
        <f>IF(COUNTIF(data1!$D:$D,D8938)=0,"Missing in Data1","Present")</f>
        <v>Present</v>
      </c>
    </row>
    <row r="8939" spans="1:5" x14ac:dyDescent="0.25">
      <c r="A8939" s="2" t="s">
        <v>6445</v>
      </c>
      <c r="B8939" s="2" t="s">
        <v>1431</v>
      </c>
      <c r="C8939" s="2">
        <v>1</v>
      </c>
      <c r="D8939" t="str">
        <f t="shared" si="139"/>
        <v>US-2017-101539_OFF-PA-10001972</v>
      </c>
      <c r="E8939" t="str">
        <f>IF(COUNTIF(data1!$D:$D,D8939)=0,"Missing in Data1","Present")</f>
        <v>Present</v>
      </c>
    </row>
    <row r="8940" spans="1:5" x14ac:dyDescent="0.25">
      <c r="A8940" s="2" t="s">
        <v>6445</v>
      </c>
      <c r="B8940" s="2" t="s">
        <v>3191</v>
      </c>
      <c r="C8940" s="2">
        <v>1</v>
      </c>
      <c r="D8940" t="str">
        <f t="shared" si="139"/>
        <v>US-2017-101539_OFF-ST-10004180</v>
      </c>
      <c r="E8940" t="str">
        <f>IF(COUNTIF(data1!$D:$D,D8940)=0,"Missing in Data1","Present")</f>
        <v>Present</v>
      </c>
    </row>
    <row r="8941" spans="1:5" x14ac:dyDescent="0.25">
      <c r="A8941" s="2" t="s">
        <v>6445</v>
      </c>
      <c r="B8941" s="2" t="s">
        <v>2074</v>
      </c>
      <c r="C8941" s="2">
        <v>3</v>
      </c>
      <c r="D8941" t="str">
        <f t="shared" si="139"/>
        <v>US-2017-101539_TEC-PH-10004165</v>
      </c>
      <c r="E8941" t="str">
        <f>IF(COUNTIF(data1!$D:$D,D8941)=0,"Missing in Data1","Present")</f>
        <v>Present</v>
      </c>
    </row>
    <row r="8942" spans="1:5" x14ac:dyDescent="0.25">
      <c r="A8942" s="2" t="s">
        <v>6446</v>
      </c>
      <c r="B8942" s="2" t="s">
        <v>884</v>
      </c>
      <c r="C8942" s="2">
        <v>3</v>
      </c>
      <c r="D8942" t="str">
        <f t="shared" si="139"/>
        <v>US-2017-101721_OFF-PA-10003641</v>
      </c>
      <c r="E8942" t="str">
        <f>IF(COUNTIF(data1!$D:$D,D8942)=0,"Missing in Data1","Present")</f>
        <v>Present</v>
      </c>
    </row>
    <row r="8943" spans="1:5" x14ac:dyDescent="0.25">
      <c r="A8943" s="2" t="s">
        <v>6447</v>
      </c>
      <c r="B8943" s="2" t="s">
        <v>370</v>
      </c>
      <c r="C8943" s="2">
        <v>3</v>
      </c>
      <c r="D8943" t="str">
        <f t="shared" si="139"/>
        <v>US-2017-101784_FUR-CH-10001146</v>
      </c>
      <c r="E8943" t="str">
        <f>IF(COUNTIF(data1!$D:$D,D8943)=0,"Missing in Data1","Present")</f>
        <v>Present</v>
      </c>
    </row>
    <row r="8944" spans="1:5" x14ac:dyDescent="0.25">
      <c r="A8944" s="2" t="s">
        <v>6448</v>
      </c>
      <c r="B8944" s="2" t="s">
        <v>3711</v>
      </c>
      <c r="C8944" s="2">
        <v>4</v>
      </c>
      <c r="D8944" t="str">
        <f t="shared" si="139"/>
        <v>US-2017-101840_OFF-BI-10000279</v>
      </c>
      <c r="E8944" t="str">
        <f>IF(COUNTIF(data1!$D:$D,D8944)=0,"Missing in Data1","Present")</f>
        <v>Present</v>
      </c>
    </row>
    <row r="8945" spans="1:5" x14ac:dyDescent="0.25">
      <c r="A8945" s="2" t="s">
        <v>6448</v>
      </c>
      <c r="B8945" s="2" t="s">
        <v>1741</v>
      </c>
      <c r="C8945" s="2">
        <v>6</v>
      </c>
      <c r="D8945" t="str">
        <f t="shared" si="139"/>
        <v>US-2017-101840_TEC-PH-10002538</v>
      </c>
      <c r="E8945" t="str">
        <f>IF(COUNTIF(data1!$D:$D,D8945)=0,"Missing in Data1","Present")</f>
        <v>Present</v>
      </c>
    </row>
    <row r="8946" spans="1:5" x14ac:dyDescent="0.25">
      <c r="A8946" s="2" t="s">
        <v>6449</v>
      </c>
      <c r="B8946" s="2" t="s">
        <v>502</v>
      </c>
      <c r="C8946" s="2">
        <v>6</v>
      </c>
      <c r="D8946" t="str">
        <f t="shared" si="139"/>
        <v>US-2017-102183_OFF-BI-10001359</v>
      </c>
      <c r="E8946" t="str">
        <f>IF(COUNTIF(data1!$D:$D,D8946)=0,"Missing in Data1","Present")</f>
        <v>Present</v>
      </c>
    </row>
    <row r="8947" spans="1:5" x14ac:dyDescent="0.25">
      <c r="A8947" s="2" t="s">
        <v>6449</v>
      </c>
      <c r="B8947" s="2" t="s">
        <v>609</v>
      </c>
      <c r="C8947" s="2">
        <v>7</v>
      </c>
      <c r="D8947" t="str">
        <f t="shared" si="139"/>
        <v>US-2017-102183_OFF-BI-10003476</v>
      </c>
      <c r="E8947" t="str">
        <f>IF(COUNTIF(data1!$D:$D,D8947)=0,"Missing in Data1","Present")</f>
        <v>Present</v>
      </c>
    </row>
    <row r="8948" spans="1:5" x14ac:dyDescent="0.25">
      <c r="A8948" s="2" t="s">
        <v>6450</v>
      </c>
      <c r="B8948" s="2" t="s">
        <v>2408</v>
      </c>
      <c r="C8948" s="2">
        <v>1</v>
      </c>
      <c r="D8948" t="str">
        <f t="shared" si="139"/>
        <v>US-2017-102288_OFF-AP-10002906</v>
      </c>
      <c r="E8948" t="str">
        <f>IF(COUNTIF(data1!$D:$D,D8948)=0,"Missing in Data1","Present")</f>
        <v>Present</v>
      </c>
    </row>
    <row r="8949" spans="1:5" x14ac:dyDescent="0.25">
      <c r="A8949" s="2" t="s">
        <v>6450</v>
      </c>
      <c r="B8949" s="2" t="s">
        <v>3093</v>
      </c>
      <c r="C8949" s="2">
        <v>1</v>
      </c>
      <c r="D8949" t="str">
        <f t="shared" si="139"/>
        <v>US-2017-102288_OFF-AP-10004655</v>
      </c>
      <c r="E8949" t="str">
        <f>IF(COUNTIF(data1!$D:$D,D8949)=0,"Missing in Data1","Present")</f>
        <v>Present</v>
      </c>
    </row>
    <row r="8950" spans="1:5" x14ac:dyDescent="0.25">
      <c r="A8950" s="2" t="s">
        <v>6450</v>
      </c>
      <c r="B8950" s="2" t="s">
        <v>3651</v>
      </c>
      <c r="C8950" s="2">
        <v>8</v>
      </c>
      <c r="D8950" t="str">
        <f t="shared" si="139"/>
        <v>US-2017-102288_OFF-PA-10000740</v>
      </c>
      <c r="E8950" t="str">
        <f>IF(COUNTIF(data1!$D:$D,D8950)=0,"Missing in Data1","Present")</f>
        <v>Present</v>
      </c>
    </row>
    <row r="8951" spans="1:5" x14ac:dyDescent="0.25">
      <c r="A8951" s="2" t="s">
        <v>6452</v>
      </c>
      <c r="B8951" s="2" t="s">
        <v>869</v>
      </c>
      <c r="C8951" s="2">
        <v>5</v>
      </c>
      <c r="D8951" t="str">
        <f t="shared" si="139"/>
        <v>US-2017-102890_FUR-TA-10000577</v>
      </c>
      <c r="E8951" t="str">
        <f>IF(COUNTIF(data1!$D:$D,D8951)=0,"Missing in Data1","Present")</f>
        <v>Present</v>
      </c>
    </row>
    <row r="8952" spans="1:5" x14ac:dyDescent="0.25">
      <c r="A8952" s="2" t="s">
        <v>6453</v>
      </c>
      <c r="B8952" s="2" t="s">
        <v>3164</v>
      </c>
      <c r="C8952" s="2">
        <v>8</v>
      </c>
      <c r="D8952" t="str">
        <f t="shared" si="139"/>
        <v>US-2017-102904_TEC-AC-10000927</v>
      </c>
      <c r="E8952" t="str">
        <f>IF(COUNTIF(data1!$D:$D,D8952)=0,"Missing in Data1","Present")</f>
        <v>Present</v>
      </c>
    </row>
    <row r="8953" spans="1:5" x14ac:dyDescent="0.25">
      <c r="A8953" s="2" t="s">
        <v>6454</v>
      </c>
      <c r="B8953" s="2" t="s">
        <v>3730</v>
      </c>
      <c r="C8953" s="2">
        <v>3</v>
      </c>
      <c r="D8953" t="str">
        <f t="shared" si="139"/>
        <v>US-2017-103226_OFF-PA-10002666</v>
      </c>
      <c r="E8953" t="str">
        <f>IF(COUNTIF(data1!$D:$D,D8953)=0,"Missing in Data1","Present")</f>
        <v>Present</v>
      </c>
    </row>
    <row r="8954" spans="1:5" x14ac:dyDescent="0.25">
      <c r="A8954" s="2" t="s">
        <v>6455</v>
      </c>
      <c r="B8954" s="2" t="s">
        <v>2041</v>
      </c>
      <c r="C8954" s="2">
        <v>3</v>
      </c>
      <c r="D8954" t="str">
        <f t="shared" si="139"/>
        <v>US-2017-103247_OFF-BI-10004492</v>
      </c>
      <c r="E8954" t="str">
        <f>IF(COUNTIF(data1!$D:$D,D8954)=0,"Missing in Data1","Present")</f>
        <v>Present</v>
      </c>
    </row>
    <row r="8955" spans="1:5" x14ac:dyDescent="0.25">
      <c r="A8955" s="2" t="s">
        <v>6455</v>
      </c>
      <c r="B8955" s="2" t="s">
        <v>2452</v>
      </c>
      <c r="C8955" s="2">
        <v>7</v>
      </c>
      <c r="D8955" t="str">
        <f t="shared" si="139"/>
        <v>US-2017-103247_TEC-PH-10003555</v>
      </c>
      <c r="E8955" t="str">
        <f>IF(COUNTIF(data1!$D:$D,D8955)=0,"Missing in Data1","Present")</f>
        <v>Present</v>
      </c>
    </row>
    <row r="8956" spans="1:5" x14ac:dyDescent="0.25">
      <c r="A8956" s="2" t="s">
        <v>6456</v>
      </c>
      <c r="B8956" s="2" t="s">
        <v>802</v>
      </c>
      <c r="C8956" s="2">
        <v>9</v>
      </c>
      <c r="D8956" t="str">
        <f t="shared" si="139"/>
        <v>US-2017-103814_OFF-PA-10001019</v>
      </c>
      <c r="E8956" t="str">
        <f>IF(COUNTIF(data1!$D:$D,D8956)=0,"Missing in Data1","Present")</f>
        <v>Present</v>
      </c>
    </row>
    <row r="8957" spans="1:5" x14ac:dyDescent="0.25">
      <c r="A8957" s="2" t="s">
        <v>6457</v>
      </c>
      <c r="B8957" s="2" t="s">
        <v>43</v>
      </c>
      <c r="C8957" s="2">
        <v>7</v>
      </c>
      <c r="D8957" t="str">
        <f t="shared" si="139"/>
        <v>US-2017-103828_OFF-AP-10004249</v>
      </c>
      <c r="E8957" t="str">
        <f>IF(COUNTIF(data1!$D:$D,D8957)=0,"Missing in Data1","Present")</f>
        <v>Present</v>
      </c>
    </row>
    <row r="8958" spans="1:5" x14ac:dyDescent="0.25">
      <c r="A8958" s="2" t="s">
        <v>6457</v>
      </c>
      <c r="B8958" s="2" t="s">
        <v>1821</v>
      </c>
      <c r="C8958" s="2">
        <v>3</v>
      </c>
      <c r="D8958" t="str">
        <f t="shared" si="139"/>
        <v>US-2017-103828_OFF-AR-10000588</v>
      </c>
      <c r="E8958" t="str">
        <f>IF(COUNTIF(data1!$D:$D,D8958)=0,"Missing in Data1","Present")</f>
        <v>Present</v>
      </c>
    </row>
    <row r="8959" spans="1:5" x14ac:dyDescent="0.25">
      <c r="A8959" s="2" t="s">
        <v>6457</v>
      </c>
      <c r="B8959" s="2" t="s">
        <v>2467</v>
      </c>
      <c r="C8959" s="2">
        <v>3</v>
      </c>
      <c r="D8959" t="str">
        <f t="shared" si="139"/>
        <v>US-2017-103828_OFF-ST-10001325</v>
      </c>
      <c r="E8959" t="str">
        <f>IF(COUNTIF(data1!$D:$D,D8959)=0,"Missing in Data1","Present")</f>
        <v>Present</v>
      </c>
    </row>
    <row r="8960" spans="1:5" x14ac:dyDescent="0.25">
      <c r="A8960" s="2" t="s">
        <v>6457</v>
      </c>
      <c r="B8960" s="2" t="s">
        <v>3376</v>
      </c>
      <c r="C8960" s="2">
        <v>4</v>
      </c>
      <c r="D8960" t="str">
        <f t="shared" si="139"/>
        <v>US-2017-103828_OFF-SU-10000946</v>
      </c>
      <c r="E8960" t="str">
        <f>IF(COUNTIF(data1!$D:$D,D8960)=0,"Missing in Data1","Present")</f>
        <v>Present</v>
      </c>
    </row>
    <row r="8961" spans="1:5" x14ac:dyDescent="0.25">
      <c r="A8961" s="2" t="s">
        <v>6458</v>
      </c>
      <c r="B8961" s="2" t="s">
        <v>101</v>
      </c>
      <c r="C8961" s="2">
        <v>1</v>
      </c>
      <c r="D8961" t="str">
        <f t="shared" si="139"/>
        <v>US-2017-104094_TEC-AC-10002134</v>
      </c>
      <c r="E8961" t="str">
        <f>IF(COUNTIF(data1!$D:$D,D8961)=0,"Missing in Data1","Present")</f>
        <v>Present</v>
      </c>
    </row>
    <row r="8962" spans="1:5" x14ac:dyDescent="0.25">
      <c r="A8962" s="2" t="s">
        <v>6459</v>
      </c>
      <c r="B8962" s="2" t="s">
        <v>2225</v>
      </c>
      <c r="C8962" s="2">
        <v>3</v>
      </c>
      <c r="D8962" t="str">
        <f t="shared" si="139"/>
        <v>US-2017-104437_TEC-PH-10000193</v>
      </c>
      <c r="E8962" t="str">
        <f>IF(COUNTIF(data1!$D:$D,D8962)=0,"Missing in Data1","Present")</f>
        <v>Present</v>
      </c>
    </row>
    <row r="8963" spans="1:5" x14ac:dyDescent="0.25">
      <c r="A8963" s="2" t="s">
        <v>6460</v>
      </c>
      <c r="B8963" s="2" t="s">
        <v>647</v>
      </c>
      <c r="C8963" s="2">
        <v>4</v>
      </c>
      <c r="D8963" t="str">
        <f t="shared" ref="D8963:D9026" si="140">A8963&amp;"_"&amp;B8963</f>
        <v>US-2017-104451_OFF-AP-10000692</v>
      </c>
      <c r="E8963" t="str">
        <f>IF(COUNTIF(data1!$D:$D,D8963)=0,"Missing in Data1","Present")</f>
        <v>Present</v>
      </c>
    </row>
    <row r="8964" spans="1:5" x14ac:dyDescent="0.25">
      <c r="A8964" s="2" t="s">
        <v>6461</v>
      </c>
      <c r="B8964" s="2" t="s">
        <v>2048</v>
      </c>
      <c r="C8964" s="2">
        <v>1</v>
      </c>
      <c r="D8964" t="str">
        <f t="shared" si="140"/>
        <v>US-2017-104661_OFF-BI-10001098</v>
      </c>
      <c r="E8964" t="str">
        <f>IF(COUNTIF(data1!$D:$D,D8964)=0,"Missing in Data1","Present")</f>
        <v>Present</v>
      </c>
    </row>
    <row r="8965" spans="1:5" x14ac:dyDescent="0.25">
      <c r="A8965" s="2" t="s">
        <v>6461</v>
      </c>
      <c r="B8965" s="2" t="s">
        <v>5</v>
      </c>
      <c r="C8965" s="2">
        <v>4</v>
      </c>
      <c r="D8965" t="str">
        <f t="shared" si="140"/>
        <v>US-2017-104661_OFF-BI-10001597</v>
      </c>
      <c r="E8965" t="str">
        <f>IF(COUNTIF(data1!$D:$D,D8965)=0,"Missing in Data1","Present")</f>
        <v>Present</v>
      </c>
    </row>
    <row r="8966" spans="1:5" x14ac:dyDescent="0.25">
      <c r="A8966" s="2" t="s">
        <v>6461</v>
      </c>
      <c r="B8966" s="2" t="s">
        <v>1266</v>
      </c>
      <c r="C8966" s="2">
        <v>8</v>
      </c>
      <c r="D8966" t="str">
        <f t="shared" si="140"/>
        <v>US-2017-104661_TEC-AC-10002331</v>
      </c>
      <c r="E8966" t="str">
        <f>IF(COUNTIF(data1!$D:$D,D8966)=0,"Missing in Data1","Present")</f>
        <v>Present</v>
      </c>
    </row>
    <row r="8967" spans="1:5" x14ac:dyDescent="0.25">
      <c r="A8967" s="2" t="s">
        <v>6461</v>
      </c>
      <c r="B8967" s="2" t="s">
        <v>131</v>
      </c>
      <c r="C8967" s="2">
        <v>2</v>
      </c>
      <c r="D8967" t="str">
        <f t="shared" si="140"/>
        <v>US-2017-104661_TEC-AC-10003628</v>
      </c>
      <c r="E8967" t="str">
        <f>IF(COUNTIF(data1!$D:$D,D8967)=0,"Missing in Data1","Present")</f>
        <v>Present</v>
      </c>
    </row>
    <row r="8968" spans="1:5" x14ac:dyDescent="0.25">
      <c r="A8968" s="2" t="s">
        <v>6462</v>
      </c>
      <c r="B8968" s="2" t="s">
        <v>1601</v>
      </c>
      <c r="C8968" s="2">
        <v>7</v>
      </c>
      <c r="D8968" t="str">
        <f t="shared" si="140"/>
        <v>US-2017-104955_OFF-LA-10003121</v>
      </c>
      <c r="E8968" t="str">
        <f>IF(COUNTIF(data1!$D:$D,D8968)=0,"Missing in Data1","Present")</f>
        <v>Present</v>
      </c>
    </row>
    <row r="8969" spans="1:5" x14ac:dyDescent="0.25">
      <c r="A8969" s="2" t="s">
        <v>6463</v>
      </c>
      <c r="B8969" s="2" t="s">
        <v>2725</v>
      </c>
      <c r="C8969" s="2">
        <v>4</v>
      </c>
      <c r="D8969" t="str">
        <f t="shared" si="140"/>
        <v>US-2017-105046_FUR-FU-10004848</v>
      </c>
      <c r="E8969" t="str">
        <f>IF(COUNTIF(data1!$D:$D,D8969)=0,"Missing in Data1","Present")</f>
        <v>Present</v>
      </c>
    </row>
    <row r="8970" spans="1:5" x14ac:dyDescent="0.25">
      <c r="A8970" s="2" t="s">
        <v>6463</v>
      </c>
      <c r="B8970" s="2" t="s">
        <v>121</v>
      </c>
      <c r="C8970" s="2">
        <v>5</v>
      </c>
      <c r="D8970" t="str">
        <f t="shared" si="140"/>
        <v>US-2017-105046_OFF-PA-10004353</v>
      </c>
      <c r="E8970" t="str">
        <f>IF(COUNTIF(data1!$D:$D,D8970)=0,"Missing in Data1","Present")</f>
        <v>Present</v>
      </c>
    </row>
    <row r="8971" spans="1:5" x14ac:dyDescent="0.25">
      <c r="A8971" s="2" t="s">
        <v>6463</v>
      </c>
      <c r="B8971" s="2" t="s">
        <v>3440</v>
      </c>
      <c r="C8971" s="2">
        <v>2</v>
      </c>
      <c r="D8971" t="str">
        <f t="shared" si="140"/>
        <v>US-2017-105046_TEC-PH-10004536</v>
      </c>
      <c r="E8971" t="str">
        <f>IF(COUNTIF(data1!$D:$D,D8971)=0,"Missing in Data1","Present")</f>
        <v>Present</v>
      </c>
    </row>
    <row r="8972" spans="1:5" x14ac:dyDescent="0.25">
      <c r="A8972" s="2" t="s">
        <v>6464</v>
      </c>
      <c r="B8972" s="2" t="s">
        <v>95</v>
      </c>
      <c r="C8972" s="2">
        <v>3</v>
      </c>
      <c r="D8972" t="str">
        <f t="shared" si="140"/>
        <v>US-2017-105389_OFF-AR-10000634</v>
      </c>
      <c r="E8972" t="str">
        <f>IF(COUNTIF(data1!$D:$D,D8972)=0,"Missing in Data1","Present")</f>
        <v>Present</v>
      </c>
    </row>
    <row r="8973" spans="1:5" x14ac:dyDescent="0.25">
      <c r="A8973" s="2" t="s">
        <v>6464</v>
      </c>
      <c r="B8973" s="2" t="s">
        <v>432</v>
      </c>
      <c r="C8973" s="2">
        <v>3</v>
      </c>
      <c r="D8973" t="str">
        <f t="shared" si="140"/>
        <v>US-2017-105389_OFF-BI-10004364</v>
      </c>
      <c r="E8973" t="str">
        <f>IF(COUNTIF(data1!$D:$D,D8973)=0,"Missing in Data1","Present")</f>
        <v>Present</v>
      </c>
    </row>
    <row r="8974" spans="1:5" x14ac:dyDescent="0.25">
      <c r="A8974" s="2" t="s">
        <v>6464</v>
      </c>
      <c r="B8974" s="2" t="s">
        <v>4132</v>
      </c>
      <c r="C8974" s="2">
        <v>5</v>
      </c>
      <c r="D8974" t="str">
        <f t="shared" si="140"/>
        <v>US-2017-105389_TEC-PH-10002824</v>
      </c>
      <c r="E8974" t="str">
        <f>IF(COUNTIF(data1!$D:$D,D8974)=0,"Missing in Data1","Present")</f>
        <v>Missing in Data1</v>
      </c>
    </row>
    <row r="8975" spans="1:5" x14ac:dyDescent="0.25">
      <c r="A8975" s="2" t="s">
        <v>6465</v>
      </c>
      <c r="B8975" s="2" t="s">
        <v>252</v>
      </c>
      <c r="C8975" s="2">
        <v>2</v>
      </c>
      <c r="D8975" t="str">
        <f t="shared" si="140"/>
        <v>US-2017-105697_OFF-ST-10003996</v>
      </c>
      <c r="E8975" t="str">
        <f>IF(COUNTIF(data1!$D:$D,D8975)=0,"Missing in Data1","Present")</f>
        <v>Present</v>
      </c>
    </row>
    <row r="8976" spans="1:5" x14ac:dyDescent="0.25">
      <c r="A8976" s="2" t="s">
        <v>6466</v>
      </c>
      <c r="B8976" s="2" t="s">
        <v>1756</v>
      </c>
      <c r="C8976" s="2">
        <v>4</v>
      </c>
      <c r="D8976" t="str">
        <f t="shared" si="140"/>
        <v>US-2017-105830_OFF-ST-10002554</v>
      </c>
      <c r="E8976" t="str">
        <f>IF(COUNTIF(data1!$D:$D,D8976)=0,"Missing in Data1","Present")</f>
        <v>Present</v>
      </c>
    </row>
    <row r="8977" spans="1:5" x14ac:dyDescent="0.25">
      <c r="A8977" s="2" t="s">
        <v>6467</v>
      </c>
      <c r="B8977" s="2" t="s">
        <v>2498</v>
      </c>
      <c r="C8977" s="2">
        <v>4</v>
      </c>
      <c r="D8977" t="str">
        <f t="shared" si="140"/>
        <v>US-2017-105935_FUR-FU-10002157</v>
      </c>
      <c r="E8977" t="str">
        <f>IF(COUNTIF(data1!$D:$D,D8977)=0,"Missing in Data1","Present")</f>
        <v>Present</v>
      </c>
    </row>
    <row r="8978" spans="1:5" x14ac:dyDescent="0.25">
      <c r="A8978" s="2" t="s">
        <v>6467</v>
      </c>
      <c r="B8978" s="2" t="s">
        <v>984</v>
      </c>
      <c r="C8978" s="2">
        <v>7</v>
      </c>
      <c r="D8978" t="str">
        <f t="shared" si="140"/>
        <v>US-2017-105935_TEC-PH-10001459</v>
      </c>
      <c r="E8978" t="str">
        <f>IF(COUNTIF(data1!$D:$D,D8978)=0,"Missing in Data1","Present")</f>
        <v>Present</v>
      </c>
    </row>
    <row r="8979" spans="1:5" x14ac:dyDescent="0.25">
      <c r="A8979" s="2" t="s">
        <v>6468</v>
      </c>
      <c r="B8979" s="2" t="s">
        <v>2635</v>
      </c>
      <c r="C8979" s="2">
        <v>12</v>
      </c>
      <c r="D8979" t="str">
        <f t="shared" si="140"/>
        <v>US-2017-105998_FUR-TA-10001095</v>
      </c>
      <c r="E8979" t="str">
        <f>IF(COUNTIF(data1!$D:$D,D8979)=0,"Missing in Data1","Present")</f>
        <v>Present</v>
      </c>
    </row>
    <row r="8980" spans="1:5" x14ac:dyDescent="0.25">
      <c r="A8980" s="2" t="s">
        <v>6468</v>
      </c>
      <c r="B8980" s="2" t="s">
        <v>2802</v>
      </c>
      <c r="C8980" s="2">
        <v>5</v>
      </c>
      <c r="D8980" t="str">
        <f t="shared" si="140"/>
        <v>US-2017-105998_TEC-AC-10004469</v>
      </c>
      <c r="E8980" t="str">
        <f>IF(COUNTIF(data1!$D:$D,D8980)=0,"Missing in Data1","Present")</f>
        <v>Present</v>
      </c>
    </row>
    <row r="8981" spans="1:5" x14ac:dyDescent="0.25">
      <c r="A8981" s="2" t="s">
        <v>6469</v>
      </c>
      <c r="B8981" s="2" t="s">
        <v>2732</v>
      </c>
      <c r="C8981" s="2">
        <v>9</v>
      </c>
      <c r="D8981" t="str">
        <f t="shared" si="140"/>
        <v>US-2017-106131_OFF-ST-10003638</v>
      </c>
      <c r="E8981" t="str">
        <f>IF(COUNTIF(data1!$D:$D,D8981)=0,"Missing in Data1","Present")</f>
        <v>Present</v>
      </c>
    </row>
    <row r="8982" spans="1:5" x14ac:dyDescent="0.25">
      <c r="A8982" s="2" t="s">
        <v>6469</v>
      </c>
      <c r="B8982" s="2" t="s">
        <v>6470</v>
      </c>
      <c r="C8982" s="2">
        <v>7</v>
      </c>
      <c r="D8982" t="str">
        <f t="shared" si="140"/>
        <v>US-2017-106131_TEC-AC-10003027</v>
      </c>
      <c r="E8982" t="str">
        <f>IF(COUNTIF(data1!$D:$D,D8982)=0,"Missing in Data1","Present")</f>
        <v>Present</v>
      </c>
    </row>
    <row r="8983" spans="1:5" x14ac:dyDescent="0.25">
      <c r="A8983" s="2" t="s">
        <v>6471</v>
      </c>
      <c r="B8983" s="2" t="s">
        <v>569</v>
      </c>
      <c r="C8983" s="2">
        <v>3</v>
      </c>
      <c r="D8983" t="str">
        <f t="shared" si="140"/>
        <v>US-2017-106145_FUR-FU-10003829</v>
      </c>
      <c r="E8983" t="str">
        <f>IF(COUNTIF(data1!$D:$D,D8983)=0,"Missing in Data1","Present")</f>
        <v>Present</v>
      </c>
    </row>
    <row r="8984" spans="1:5" x14ac:dyDescent="0.25">
      <c r="A8984" s="2" t="s">
        <v>6471</v>
      </c>
      <c r="B8984" s="2" t="s">
        <v>1279</v>
      </c>
      <c r="C8984" s="2">
        <v>3</v>
      </c>
      <c r="D8984" t="str">
        <f t="shared" si="140"/>
        <v>US-2017-106145_OFF-BI-10002215</v>
      </c>
      <c r="E8984" t="str">
        <f>IF(COUNTIF(data1!$D:$D,D8984)=0,"Missing in Data1","Present")</f>
        <v>Present</v>
      </c>
    </row>
    <row r="8985" spans="1:5" x14ac:dyDescent="0.25">
      <c r="A8985" s="2" t="s">
        <v>6471</v>
      </c>
      <c r="B8985" s="2" t="s">
        <v>601</v>
      </c>
      <c r="C8985" s="2">
        <v>3</v>
      </c>
      <c r="D8985" t="str">
        <f t="shared" si="140"/>
        <v>US-2017-106145_OFF-BI-10003925</v>
      </c>
      <c r="E8985" t="str">
        <f>IF(COUNTIF(data1!$D:$D,D8985)=0,"Missing in Data1","Present")</f>
        <v>Present</v>
      </c>
    </row>
    <row r="8986" spans="1:5" x14ac:dyDescent="0.25">
      <c r="A8986" s="2" t="s">
        <v>6471</v>
      </c>
      <c r="B8986" s="2" t="s">
        <v>2230</v>
      </c>
      <c r="C8986" s="2">
        <v>6</v>
      </c>
      <c r="D8986" t="str">
        <f t="shared" si="140"/>
        <v>US-2017-106145_OFF-EN-10001028</v>
      </c>
      <c r="E8986" t="str">
        <f>IF(COUNTIF(data1!$D:$D,D8986)=0,"Missing in Data1","Present")</f>
        <v>Present</v>
      </c>
    </row>
    <row r="8987" spans="1:5" x14ac:dyDescent="0.25">
      <c r="A8987" s="2" t="s">
        <v>6471</v>
      </c>
      <c r="B8987" s="2" t="s">
        <v>1094</v>
      </c>
      <c r="C8987" s="2">
        <v>6</v>
      </c>
      <c r="D8987" t="str">
        <f t="shared" si="140"/>
        <v>US-2017-106145_OFF-PA-10002245</v>
      </c>
      <c r="E8987" t="str">
        <f>IF(COUNTIF(data1!$D:$D,D8987)=0,"Missing in Data1","Present")</f>
        <v>Present</v>
      </c>
    </row>
    <row r="8988" spans="1:5" x14ac:dyDescent="0.25">
      <c r="A8988" s="2" t="s">
        <v>6472</v>
      </c>
      <c r="B8988" s="2" t="s">
        <v>680</v>
      </c>
      <c r="C8988" s="2">
        <v>4</v>
      </c>
      <c r="D8988" t="str">
        <f t="shared" si="140"/>
        <v>US-2017-106551_FUR-CH-10004997</v>
      </c>
      <c r="E8988" t="str">
        <f>IF(COUNTIF(data1!$D:$D,D8988)=0,"Missing in Data1","Present")</f>
        <v>Present</v>
      </c>
    </row>
    <row r="8989" spans="1:5" x14ac:dyDescent="0.25">
      <c r="A8989" s="2" t="s">
        <v>6473</v>
      </c>
      <c r="B8989" s="2" t="s">
        <v>59</v>
      </c>
      <c r="C8989" s="2">
        <v>4</v>
      </c>
      <c r="D8989" t="str">
        <f t="shared" si="140"/>
        <v>US-2017-106579_OFF-BI-10000309</v>
      </c>
      <c r="E8989" t="str">
        <f>IF(COUNTIF(data1!$D:$D,D8989)=0,"Missing in Data1","Present")</f>
        <v>Present</v>
      </c>
    </row>
    <row r="8990" spans="1:5" x14ac:dyDescent="0.25">
      <c r="A8990" s="2" t="s">
        <v>6474</v>
      </c>
      <c r="B8990" s="2" t="s">
        <v>359</v>
      </c>
      <c r="C8990" s="2">
        <v>3</v>
      </c>
      <c r="D8990" t="str">
        <f t="shared" si="140"/>
        <v>US-2017-106663_FUR-FU-10002759</v>
      </c>
      <c r="E8990" t="str">
        <f>IF(COUNTIF(data1!$D:$D,D8990)=0,"Missing in Data1","Present")</f>
        <v>Present</v>
      </c>
    </row>
    <row r="8991" spans="1:5" x14ac:dyDescent="0.25">
      <c r="A8991" s="2" t="s">
        <v>6474</v>
      </c>
      <c r="B8991" s="2" t="s">
        <v>1840</v>
      </c>
      <c r="C8991" s="2">
        <v>1</v>
      </c>
      <c r="D8991" t="str">
        <f t="shared" si="140"/>
        <v>US-2017-106663_FUR-TA-10000688</v>
      </c>
      <c r="E8991" t="str">
        <f>IF(COUNTIF(data1!$D:$D,D8991)=0,"Missing in Data1","Present")</f>
        <v>Present</v>
      </c>
    </row>
    <row r="8992" spans="1:5" x14ac:dyDescent="0.25">
      <c r="A8992" s="2" t="s">
        <v>6474</v>
      </c>
      <c r="B8992" s="2" t="s">
        <v>592</v>
      </c>
      <c r="C8992" s="2">
        <v>8</v>
      </c>
      <c r="D8992" t="str">
        <f t="shared" si="140"/>
        <v>US-2017-106663_OFF-PA-10002377</v>
      </c>
      <c r="E8992" t="str">
        <f>IF(COUNTIF(data1!$D:$D,D8992)=0,"Missing in Data1","Present")</f>
        <v>Present</v>
      </c>
    </row>
    <row r="8993" spans="1:5" x14ac:dyDescent="0.25">
      <c r="A8993" s="2" t="s">
        <v>6475</v>
      </c>
      <c r="B8993" s="2" t="s">
        <v>1307</v>
      </c>
      <c r="C8993" s="2">
        <v>5</v>
      </c>
      <c r="D8993" t="str">
        <f t="shared" si="140"/>
        <v>US-2017-106705_OFF-PA-10001509</v>
      </c>
      <c r="E8993" t="str">
        <f>IF(COUNTIF(data1!$D:$D,D8993)=0,"Missing in Data1","Present")</f>
        <v>Present</v>
      </c>
    </row>
    <row r="8994" spans="1:5" x14ac:dyDescent="0.25">
      <c r="A8994" s="2" t="s">
        <v>6476</v>
      </c>
      <c r="B8994" s="2" t="s">
        <v>574</v>
      </c>
      <c r="C8994" s="2">
        <v>3</v>
      </c>
      <c r="D8994" t="str">
        <f t="shared" si="140"/>
        <v>US-2017-106796_OFF-AR-10003504</v>
      </c>
      <c r="E8994" t="str">
        <f>IF(COUNTIF(data1!$D:$D,D8994)=0,"Missing in Data1","Present")</f>
        <v>Present</v>
      </c>
    </row>
    <row r="8995" spans="1:5" x14ac:dyDescent="0.25">
      <c r="A8995" s="2" t="s">
        <v>6477</v>
      </c>
      <c r="B8995" s="2" t="s">
        <v>1717</v>
      </c>
      <c r="C8995" s="2">
        <v>7</v>
      </c>
      <c r="D8995" t="str">
        <f t="shared" si="140"/>
        <v>US-2017-107272_OFF-ST-10002974</v>
      </c>
      <c r="E8995" t="str">
        <f>IF(COUNTIF(data1!$D:$D,D8995)=0,"Missing in Data1","Present")</f>
        <v>Present</v>
      </c>
    </row>
    <row r="8996" spans="1:5" x14ac:dyDescent="0.25">
      <c r="A8996" s="2" t="s">
        <v>6478</v>
      </c>
      <c r="B8996" s="2" t="s">
        <v>564</v>
      </c>
      <c r="C8996" s="2">
        <v>5</v>
      </c>
      <c r="D8996" t="str">
        <f t="shared" si="140"/>
        <v>US-2017-107384_OFF-AR-10001315</v>
      </c>
      <c r="E8996" t="str">
        <f>IF(COUNTIF(data1!$D:$D,D8996)=0,"Missing in Data1","Present")</f>
        <v>Present</v>
      </c>
    </row>
    <row r="8997" spans="1:5" x14ac:dyDescent="0.25">
      <c r="A8997" s="2" t="s">
        <v>6478</v>
      </c>
      <c r="B8997" s="2" t="s">
        <v>1217</v>
      </c>
      <c r="C8997" s="2">
        <v>5</v>
      </c>
      <c r="D8997" t="str">
        <f t="shared" si="140"/>
        <v>US-2017-107384_TEC-AC-10001539</v>
      </c>
      <c r="E8997" t="str">
        <f>IF(COUNTIF(data1!$D:$D,D8997)=0,"Missing in Data1","Present")</f>
        <v>Present</v>
      </c>
    </row>
    <row r="8998" spans="1:5" x14ac:dyDescent="0.25">
      <c r="A8998" s="2" t="s">
        <v>6478</v>
      </c>
      <c r="B8998" s="2" t="s">
        <v>6336</v>
      </c>
      <c r="C8998" s="2">
        <v>1</v>
      </c>
      <c r="D8998" t="str">
        <f t="shared" si="140"/>
        <v>US-2017-107384_TEC-AC-10004595</v>
      </c>
      <c r="E8998" t="str">
        <f>IF(COUNTIF(data1!$D:$D,D8998)=0,"Missing in Data1","Present")</f>
        <v>Present</v>
      </c>
    </row>
    <row r="8999" spans="1:5" x14ac:dyDescent="0.25">
      <c r="A8999" s="2" t="s">
        <v>6479</v>
      </c>
      <c r="B8999" s="2" t="s">
        <v>6480</v>
      </c>
      <c r="C8999" s="2">
        <v>2</v>
      </c>
      <c r="D8999" t="str">
        <f t="shared" si="140"/>
        <v>US-2017-107636_OFF-LA-10003388</v>
      </c>
      <c r="E8999" t="str">
        <f>IF(COUNTIF(data1!$D:$D,D8999)=0,"Missing in Data1","Present")</f>
        <v>Present</v>
      </c>
    </row>
    <row r="9000" spans="1:5" x14ac:dyDescent="0.25">
      <c r="A9000" s="2" t="s">
        <v>6481</v>
      </c>
      <c r="B9000" s="2" t="s">
        <v>2009</v>
      </c>
      <c r="C9000" s="2">
        <v>2</v>
      </c>
      <c r="D9000" t="str">
        <f t="shared" si="140"/>
        <v>US-2017-107888_FUR-FU-10003394</v>
      </c>
      <c r="E9000" t="str">
        <f>IF(COUNTIF(data1!$D:$D,D9000)=0,"Missing in Data1","Present")</f>
        <v>Present</v>
      </c>
    </row>
    <row r="9001" spans="1:5" x14ac:dyDescent="0.25">
      <c r="A9001" s="2" t="s">
        <v>6481</v>
      </c>
      <c r="B9001" s="2" t="s">
        <v>60</v>
      </c>
      <c r="C9001" s="2">
        <v>6</v>
      </c>
      <c r="D9001" t="str">
        <f t="shared" si="140"/>
        <v>US-2017-107888_OFF-PA-10001363</v>
      </c>
      <c r="E9001" t="str">
        <f>IF(COUNTIF(data1!$D:$D,D9001)=0,"Missing in Data1","Present")</f>
        <v>Present</v>
      </c>
    </row>
    <row r="9002" spans="1:5" x14ac:dyDescent="0.25">
      <c r="A9002" s="2" t="s">
        <v>6481</v>
      </c>
      <c r="B9002" s="2" t="s">
        <v>1465</v>
      </c>
      <c r="C9002" s="2">
        <v>1</v>
      </c>
      <c r="D9002" t="str">
        <f t="shared" si="140"/>
        <v>US-2017-107888_OFF-ST-10003123</v>
      </c>
      <c r="E9002" t="str">
        <f>IF(COUNTIF(data1!$D:$D,D9002)=0,"Missing in Data1","Present")</f>
        <v>Present</v>
      </c>
    </row>
    <row r="9003" spans="1:5" x14ac:dyDescent="0.25">
      <c r="A9003" s="2" t="s">
        <v>6481</v>
      </c>
      <c r="B9003" s="2" t="s">
        <v>1288</v>
      </c>
      <c r="C9003" s="2">
        <v>3</v>
      </c>
      <c r="D9003" t="str">
        <f t="shared" si="140"/>
        <v>US-2017-107888_TEC-PH-10003171</v>
      </c>
      <c r="E9003" t="str">
        <f>IF(COUNTIF(data1!$D:$D,D9003)=0,"Missing in Data1","Present")</f>
        <v>Present</v>
      </c>
    </row>
    <row r="9004" spans="1:5" x14ac:dyDescent="0.25">
      <c r="A9004" s="2" t="s">
        <v>6482</v>
      </c>
      <c r="B9004" s="2" t="s">
        <v>3070</v>
      </c>
      <c r="C9004" s="2">
        <v>2</v>
      </c>
      <c r="D9004" t="str">
        <f t="shared" si="140"/>
        <v>US-2017-107979_OFF-ST-10002485</v>
      </c>
      <c r="E9004" t="str">
        <f>IF(COUNTIF(data1!$D:$D,D9004)=0,"Missing in Data1","Present")</f>
        <v>Present</v>
      </c>
    </row>
    <row r="9005" spans="1:5" x14ac:dyDescent="0.25">
      <c r="A9005" s="2" t="s">
        <v>6482</v>
      </c>
      <c r="B9005" s="2" t="s">
        <v>1603</v>
      </c>
      <c r="C9005" s="2">
        <v>7</v>
      </c>
      <c r="D9005" t="str">
        <f t="shared" si="140"/>
        <v>US-2017-107979_TEC-AC-10002006</v>
      </c>
      <c r="E9005" t="str">
        <f>IF(COUNTIF(data1!$D:$D,D9005)=0,"Missing in Data1","Present")</f>
        <v>Present</v>
      </c>
    </row>
    <row r="9006" spans="1:5" x14ac:dyDescent="0.25">
      <c r="A9006" s="2" t="s">
        <v>6483</v>
      </c>
      <c r="B9006" s="2" t="s">
        <v>49</v>
      </c>
      <c r="C9006" s="2">
        <v>7</v>
      </c>
      <c r="D9006" t="str">
        <f t="shared" si="140"/>
        <v>US-2017-108014_OFF-BI-10003984</v>
      </c>
      <c r="E9006" t="str">
        <f>IF(COUNTIF(data1!$D:$D,D9006)=0,"Missing in Data1","Present")</f>
        <v>Present</v>
      </c>
    </row>
    <row r="9007" spans="1:5" x14ac:dyDescent="0.25">
      <c r="A9007" s="2" t="s">
        <v>6484</v>
      </c>
      <c r="B9007" s="2" t="s">
        <v>2546</v>
      </c>
      <c r="C9007" s="2">
        <v>3</v>
      </c>
      <c r="D9007" t="str">
        <f t="shared" si="140"/>
        <v>US-2017-108063_OFF-AR-10001446</v>
      </c>
      <c r="E9007" t="str">
        <f>IF(COUNTIF(data1!$D:$D,D9007)=0,"Missing in Data1","Present")</f>
        <v>Present</v>
      </c>
    </row>
    <row r="9008" spans="1:5" x14ac:dyDescent="0.25">
      <c r="A9008" s="2" t="s">
        <v>6485</v>
      </c>
      <c r="B9008" s="2" t="s">
        <v>1412</v>
      </c>
      <c r="C9008" s="2">
        <v>7</v>
      </c>
      <c r="D9008" t="str">
        <f t="shared" si="140"/>
        <v>US-2017-108245_OFF-BI-10000773</v>
      </c>
      <c r="E9008" t="str">
        <f>IF(COUNTIF(data1!$D:$D,D9008)=0,"Missing in Data1","Present")</f>
        <v>Present</v>
      </c>
    </row>
    <row r="9009" spans="1:5" x14ac:dyDescent="0.25">
      <c r="A9009" s="2" t="s">
        <v>6485</v>
      </c>
      <c r="B9009" s="2" t="s">
        <v>439</v>
      </c>
      <c r="C9009" s="2">
        <v>3</v>
      </c>
      <c r="D9009" t="str">
        <f t="shared" si="140"/>
        <v>US-2017-108245_OFF-EN-10001415</v>
      </c>
      <c r="E9009" t="str">
        <f>IF(COUNTIF(data1!$D:$D,D9009)=0,"Missing in Data1","Present")</f>
        <v>Present</v>
      </c>
    </row>
    <row r="9010" spans="1:5" x14ac:dyDescent="0.25">
      <c r="A9010" s="2" t="s">
        <v>6486</v>
      </c>
      <c r="B9010" s="2" t="s">
        <v>91</v>
      </c>
      <c r="C9010" s="2">
        <v>6</v>
      </c>
      <c r="D9010" t="str">
        <f t="shared" si="140"/>
        <v>US-2017-108315_FUR-FU-10000747</v>
      </c>
      <c r="E9010" t="str">
        <f>IF(COUNTIF(data1!$D:$D,D9010)=0,"Missing in Data1","Present")</f>
        <v>Present</v>
      </c>
    </row>
    <row r="9011" spans="1:5" x14ac:dyDescent="0.25">
      <c r="A9011" s="2" t="s">
        <v>6486</v>
      </c>
      <c r="B9011" s="2" t="s">
        <v>1196</v>
      </c>
      <c r="C9011" s="2">
        <v>3</v>
      </c>
      <c r="D9011" t="str">
        <f t="shared" si="140"/>
        <v>US-2017-108315_OFF-BI-10000822</v>
      </c>
      <c r="E9011" t="str">
        <f>IF(COUNTIF(data1!$D:$D,D9011)=0,"Missing in Data1","Present")</f>
        <v>Present</v>
      </c>
    </row>
    <row r="9012" spans="1:5" x14ac:dyDescent="0.25">
      <c r="A9012" s="2" t="s">
        <v>6487</v>
      </c>
      <c r="B9012" s="2" t="s">
        <v>91</v>
      </c>
      <c r="C9012" s="2">
        <v>4</v>
      </c>
      <c r="D9012" t="str">
        <f t="shared" si="140"/>
        <v>US-2017-108343_FUR-FU-10000747</v>
      </c>
      <c r="E9012" t="str">
        <f>IF(COUNTIF(data1!$D:$D,D9012)=0,"Missing in Data1","Present")</f>
        <v>Present</v>
      </c>
    </row>
    <row r="9013" spans="1:5" x14ac:dyDescent="0.25">
      <c r="A9013" s="2" t="s">
        <v>6487</v>
      </c>
      <c r="B9013" s="2" t="s">
        <v>2493</v>
      </c>
      <c r="C9013" s="2">
        <v>2</v>
      </c>
      <c r="D9013" t="str">
        <f t="shared" si="140"/>
        <v>US-2017-108343_OFF-PA-10000743</v>
      </c>
      <c r="E9013" t="str">
        <f>IF(COUNTIF(data1!$D:$D,D9013)=0,"Missing in Data1","Present")</f>
        <v>Present</v>
      </c>
    </row>
    <row r="9014" spans="1:5" x14ac:dyDescent="0.25">
      <c r="A9014" s="2" t="s">
        <v>6488</v>
      </c>
      <c r="B9014" s="2" t="s">
        <v>12</v>
      </c>
      <c r="C9014" s="2">
        <v>6</v>
      </c>
      <c r="D9014" t="str">
        <f t="shared" si="140"/>
        <v>US-2017-108700_OFF-PA-10004733</v>
      </c>
      <c r="E9014" t="str">
        <f>IF(COUNTIF(data1!$D:$D,D9014)=0,"Missing in Data1","Present")</f>
        <v>Present</v>
      </c>
    </row>
    <row r="9015" spans="1:5" x14ac:dyDescent="0.25">
      <c r="A9015" s="2" t="s">
        <v>6489</v>
      </c>
      <c r="B9015" s="2" t="s">
        <v>846</v>
      </c>
      <c r="C9015" s="2">
        <v>4</v>
      </c>
      <c r="D9015" t="str">
        <f t="shared" si="140"/>
        <v>US-2017-109253_FUR-FU-10000193</v>
      </c>
      <c r="E9015" t="str">
        <f>IF(COUNTIF(data1!$D:$D,D9015)=0,"Missing in Data1","Present")</f>
        <v>Present</v>
      </c>
    </row>
    <row r="9016" spans="1:5" x14ac:dyDescent="0.25">
      <c r="A9016" s="2" t="s">
        <v>6489</v>
      </c>
      <c r="B9016" s="2" t="s">
        <v>544</v>
      </c>
      <c r="C9016" s="2">
        <v>3</v>
      </c>
      <c r="D9016" t="str">
        <f t="shared" si="140"/>
        <v>US-2017-109253_FUR-TA-10001539</v>
      </c>
      <c r="E9016" t="str">
        <f>IF(COUNTIF(data1!$D:$D,D9016)=0,"Missing in Data1","Present")</f>
        <v>Present</v>
      </c>
    </row>
    <row r="9017" spans="1:5" x14ac:dyDescent="0.25">
      <c r="A9017" s="2" t="s">
        <v>6489</v>
      </c>
      <c r="B9017" s="2" t="s">
        <v>4381</v>
      </c>
      <c r="C9017" s="2">
        <v>3</v>
      </c>
      <c r="D9017" t="str">
        <f t="shared" si="140"/>
        <v>US-2017-109253_OFF-AP-10002867</v>
      </c>
      <c r="E9017" t="str">
        <f>IF(COUNTIF(data1!$D:$D,D9017)=0,"Missing in Data1","Present")</f>
        <v>Present</v>
      </c>
    </row>
    <row r="9018" spans="1:5" x14ac:dyDescent="0.25">
      <c r="A9018" s="2" t="s">
        <v>6489</v>
      </c>
      <c r="B9018" s="2" t="s">
        <v>4919</v>
      </c>
      <c r="C9018" s="2">
        <v>4</v>
      </c>
      <c r="D9018" t="str">
        <f t="shared" si="140"/>
        <v>US-2017-109253_OFF-AR-10000203</v>
      </c>
      <c r="E9018" t="str">
        <f>IF(COUNTIF(data1!$D:$D,D9018)=0,"Missing in Data1","Present")</f>
        <v>Present</v>
      </c>
    </row>
    <row r="9019" spans="1:5" x14ac:dyDescent="0.25">
      <c r="A9019" s="2" t="s">
        <v>6489</v>
      </c>
      <c r="B9019" s="2" t="s">
        <v>1014</v>
      </c>
      <c r="C9019" s="2">
        <v>9</v>
      </c>
      <c r="D9019" t="str">
        <f t="shared" si="140"/>
        <v>US-2017-109253_OFF-BI-10000962</v>
      </c>
      <c r="E9019" t="str">
        <f>IF(COUNTIF(data1!$D:$D,D9019)=0,"Missing in Data1","Present")</f>
        <v>Present</v>
      </c>
    </row>
    <row r="9020" spans="1:5" x14ac:dyDescent="0.25">
      <c r="A9020" s="2" t="s">
        <v>6489</v>
      </c>
      <c r="B9020" s="2" t="s">
        <v>775</v>
      </c>
      <c r="C9020" s="2">
        <v>5</v>
      </c>
      <c r="D9020" t="str">
        <f t="shared" si="140"/>
        <v>US-2017-109253_OFF-LA-10001158</v>
      </c>
      <c r="E9020" t="str">
        <f>IF(COUNTIF(data1!$D:$D,D9020)=0,"Missing in Data1","Present")</f>
        <v>Present</v>
      </c>
    </row>
    <row r="9021" spans="1:5" x14ac:dyDescent="0.25">
      <c r="A9021" s="2" t="s">
        <v>6489</v>
      </c>
      <c r="B9021" s="2" t="s">
        <v>142</v>
      </c>
      <c r="C9021" s="2">
        <v>4</v>
      </c>
      <c r="D9021" t="str">
        <f t="shared" si="140"/>
        <v>US-2017-109253_TEC-PH-10004667</v>
      </c>
      <c r="E9021" t="str">
        <f>IF(COUNTIF(data1!$D:$D,D9021)=0,"Missing in Data1","Present")</f>
        <v>Present</v>
      </c>
    </row>
    <row r="9022" spans="1:5" x14ac:dyDescent="0.25">
      <c r="A9022" s="2" t="s">
        <v>6490</v>
      </c>
      <c r="B9022" s="2" t="s">
        <v>2206</v>
      </c>
      <c r="C9022" s="2">
        <v>2</v>
      </c>
      <c r="D9022" t="str">
        <f t="shared" si="140"/>
        <v>US-2017-109316_FUR-BO-10004834</v>
      </c>
      <c r="E9022" t="str">
        <f>IF(COUNTIF(data1!$D:$D,D9022)=0,"Missing in Data1","Present")</f>
        <v>Present</v>
      </c>
    </row>
    <row r="9023" spans="1:5" x14ac:dyDescent="0.25">
      <c r="A9023" s="2" t="s">
        <v>6490</v>
      </c>
      <c r="B9023" s="2" t="s">
        <v>2131</v>
      </c>
      <c r="C9023" s="2">
        <v>2</v>
      </c>
      <c r="D9023" t="str">
        <f t="shared" si="140"/>
        <v>US-2017-109316_TEC-PH-10000307</v>
      </c>
      <c r="E9023" t="str">
        <f>IF(COUNTIF(data1!$D:$D,D9023)=0,"Missing in Data1","Present")</f>
        <v>Present</v>
      </c>
    </row>
    <row r="9024" spans="1:5" x14ac:dyDescent="0.25">
      <c r="A9024" s="2" t="s">
        <v>6491</v>
      </c>
      <c r="B9024" s="2" t="s">
        <v>1709</v>
      </c>
      <c r="C9024" s="2">
        <v>1</v>
      </c>
      <c r="D9024" t="str">
        <f t="shared" si="140"/>
        <v>US-2017-109484_OFF-BI-10004738</v>
      </c>
      <c r="E9024" t="str">
        <f>IF(COUNTIF(data1!$D:$D,D9024)=0,"Missing in Data1","Present")</f>
        <v>Present</v>
      </c>
    </row>
    <row r="9025" spans="1:5" x14ac:dyDescent="0.25">
      <c r="A9025" s="2" t="s">
        <v>6492</v>
      </c>
      <c r="B9025" s="2" t="s">
        <v>477</v>
      </c>
      <c r="C9025" s="2">
        <v>3</v>
      </c>
      <c r="D9025" t="str">
        <f t="shared" si="140"/>
        <v>US-2017-109582_OFF-PA-10004071</v>
      </c>
      <c r="E9025" t="str">
        <f>IF(COUNTIF(data1!$D:$D,D9025)=0,"Missing in Data1","Present")</f>
        <v>Present</v>
      </c>
    </row>
    <row r="9026" spans="1:5" x14ac:dyDescent="0.25">
      <c r="A9026" s="2" t="s">
        <v>6493</v>
      </c>
      <c r="B9026" s="2" t="s">
        <v>658</v>
      </c>
      <c r="C9026" s="2">
        <v>2</v>
      </c>
      <c r="D9026" t="str">
        <f t="shared" si="140"/>
        <v>US-2017-109610_FUR-CH-10001854</v>
      </c>
      <c r="E9026" t="str">
        <f>IF(COUNTIF(data1!$D:$D,D9026)=0,"Missing in Data1","Present")</f>
        <v>Present</v>
      </c>
    </row>
    <row r="9027" spans="1:5" x14ac:dyDescent="0.25">
      <c r="A9027" s="2" t="s">
        <v>6494</v>
      </c>
      <c r="B9027" s="2" t="s">
        <v>1690</v>
      </c>
      <c r="C9027" s="2">
        <v>5</v>
      </c>
      <c r="D9027" t="str">
        <f t="shared" ref="D9027:D9090" si="141">A9027&amp;"_"&amp;B9027</f>
        <v>US-2017-110149_FUR-FU-10001475</v>
      </c>
      <c r="E9027" t="str">
        <f>IF(COUNTIF(data1!$D:$D,D9027)=0,"Missing in Data1","Present")</f>
        <v>Present</v>
      </c>
    </row>
    <row r="9028" spans="1:5" x14ac:dyDescent="0.25">
      <c r="A9028" s="2" t="s">
        <v>6494</v>
      </c>
      <c r="B9028" s="2" t="s">
        <v>2658</v>
      </c>
      <c r="C9028" s="2">
        <v>1</v>
      </c>
      <c r="D9028" t="str">
        <f t="shared" si="141"/>
        <v>US-2017-110149_OFF-BI-10000014</v>
      </c>
      <c r="E9028" t="str">
        <f>IF(COUNTIF(data1!$D:$D,D9028)=0,"Missing in Data1","Present")</f>
        <v>Present</v>
      </c>
    </row>
    <row r="9029" spans="1:5" x14ac:dyDescent="0.25">
      <c r="A9029" s="2" t="s">
        <v>6495</v>
      </c>
      <c r="B9029" s="2" t="s">
        <v>3987</v>
      </c>
      <c r="C9029" s="2">
        <v>7</v>
      </c>
      <c r="D9029" t="str">
        <f t="shared" si="141"/>
        <v>US-2017-110576_FUR-FU-10003601</v>
      </c>
      <c r="E9029" t="str">
        <f>IF(COUNTIF(data1!$D:$D,D9029)=0,"Missing in Data1","Present")</f>
        <v>Present</v>
      </c>
    </row>
    <row r="9030" spans="1:5" x14ac:dyDescent="0.25">
      <c r="A9030" s="2" t="s">
        <v>6495</v>
      </c>
      <c r="B9030" s="2" t="s">
        <v>1879</v>
      </c>
      <c r="C9030" s="2">
        <v>12</v>
      </c>
      <c r="D9030" t="str">
        <f t="shared" si="141"/>
        <v>US-2017-110576_FUR-TA-10004154</v>
      </c>
      <c r="E9030" t="str">
        <f>IF(COUNTIF(data1!$D:$D,D9030)=0,"Missing in Data1","Present")</f>
        <v>Present</v>
      </c>
    </row>
    <row r="9031" spans="1:5" x14ac:dyDescent="0.25">
      <c r="A9031" s="2" t="s">
        <v>6495</v>
      </c>
      <c r="B9031" s="2" t="s">
        <v>320</v>
      </c>
      <c r="C9031" s="2">
        <v>3</v>
      </c>
      <c r="D9031" t="str">
        <f t="shared" si="141"/>
        <v>US-2017-110576_OFF-PA-10000788</v>
      </c>
      <c r="E9031" t="str">
        <f>IF(COUNTIF(data1!$D:$D,D9031)=0,"Missing in Data1","Present")</f>
        <v>Present</v>
      </c>
    </row>
    <row r="9032" spans="1:5" x14ac:dyDescent="0.25">
      <c r="A9032" s="2" t="s">
        <v>6495</v>
      </c>
      <c r="B9032" s="2" t="s">
        <v>682</v>
      </c>
      <c r="C9032" s="2">
        <v>6</v>
      </c>
      <c r="D9032" t="str">
        <f t="shared" si="141"/>
        <v>US-2017-110576_OFF-PA-10002479</v>
      </c>
      <c r="E9032" t="str">
        <f>IF(COUNTIF(data1!$D:$D,D9032)=0,"Missing in Data1","Present")</f>
        <v>Present</v>
      </c>
    </row>
    <row r="9033" spans="1:5" x14ac:dyDescent="0.25">
      <c r="A9033" s="2" t="s">
        <v>6496</v>
      </c>
      <c r="B9033" s="2" t="s">
        <v>2633</v>
      </c>
      <c r="C9033" s="2">
        <v>2</v>
      </c>
      <c r="D9033" t="str">
        <f t="shared" si="141"/>
        <v>US-2017-110604_FUR-CH-10002017</v>
      </c>
      <c r="E9033" t="str">
        <f>IF(COUNTIF(data1!$D:$D,D9033)=0,"Missing in Data1","Present")</f>
        <v>Missing in Data1</v>
      </c>
    </row>
    <row r="9034" spans="1:5" x14ac:dyDescent="0.25">
      <c r="A9034" s="2" t="s">
        <v>6496</v>
      </c>
      <c r="B9034" s="2" t="s">
        <v>1083</v>
      </c>
      <c r="C9034" s="2">
        <v>1</v>
      </c>
      <c r="D9034" t="str">
        <f t="shared" si="141"/>
        <v>US-2017-110604_FUR-CH-10004287</v>
      </c>
      <c r="E9034" t="str">
        <f>IF(COUNTIF(data1!$D:$D,D9034)=0,"Missing in Data1","Present")</f>
        <v>Present</v>
      </c>
    </row>
    <row r="9035" spans="1:5" x14ac:dyDescent="0.25">
      <c r="A9035" s="2" t="s">
        <v>6497</v>
      </c>
      <c r="B9035" s="2" t="s">
        <v>3936</v>
      </c>
      <c r="C9035" s="2">
        <v>5</v>
      </c>
      <c r="D9035" t="str">
        <f t="shared" si="141"/>
        <v>US-2017-110646_OFF-LA-10001404</v>
      </c>
      <c r="E9035" t="str">
        <f>IF(COUNTIF(data1!$D:$D,D9035)=0,"Missing in Data1","Present")</f>
        <v>Present</v>
      </c>
    </row>
    <row r="9036" spans="1:5" x14ac:dyDescent="0.25">
      <c r="A9036" s="2" t="s">
        <v>6497</v>
      </c>
      <c r="B9036" s="2" t="s">
        <v>2306</v>
      </c>
      <c r="C9036" s="2">
        <v>5</v>
      </c>
      <c r="D9036" t="str">
        <f t="shared" si="141"/>
        <v>US-2017-110646_TEC-PH-10002807</v>
      </c>
      <c r="E9036" t="str">
        <f>IF(COUNTIF(data1!$D:$D,D9036)=0,"Missing in Data1","Present")</f>
        <v>Present</v>
      </c>
    </row>
    <row r="9037" spans="1:5" x14ac:dyDescent="0.25">
      <c r="A9037" s="2" t="s">
        <v>6498</v>
      </c>
      <c r="B9037" s="2" t="s">
        <v>1587</v>
      </c>
      <c r="C9037" s="2">
        <v>3</v>
      </c>
      <c r="D9037" t="str">
        <f t="shared" si="141"/>
        <v>US-2017-110989_TEC-AC-10002345</v>
      </c>
      <c r="E9037" t="str">
        <f>IF(COUNTIF(data1!$D:$D,D9037)=0,"Missing in Data1","Present")</f>
        <v>Present</v>
      </c>
    </row>
    <row r="9038" spans="1:5" x14ac:dyDescent="0.25">
      <c r="A9038" s="2" t="s">
        <v>6499</v>
      </c>
      <c r="B9038" s="2" t="s">
        <v>2429</v>
      </c>
      <c r="C9038" s="2">
        <v>5</v>
      </c>
      <c r="D9038" t="str">
        <f t="shared" si="141"/>
        <v>US-2017-110996_FUR-CH-10003956</v>
      </c>
      <c r="E9038" t="str">
        <f>IF(COUNTIF(data1!$D:$D,D9038)=0,"Missing in Data1","Present")</f>
        <v>Present</v>
      </c>
    </row>
    <row r="9039" spans="1:5" x14ac:dyDescent="0.25">
      <c r="A9039" s="2" t="s">
        <v>6500</v>
      </c>
      <c r="B9039" s="2" t="s">
        <v>238</v>
      </c>
      <c r="C9039" s="2">
        <v>2</v>
      </c>
      <c r="D9039" t="str">
        <f t="shared" si="141"/>
        <v>US-2017-111024_FUR-TA-10002041</v>
      </c>
      <c r="E9039" t="str">
        <f>IF(COUNTIF(data1!$D:$D,D9039)=0,"Missing in Data1","Present")</f>
        <v>Present</v>
      </c>
    </row>
    <row r="9040" spans="1:5" x14ac:dyDescent="0.25">
      <c r="A9040" s="2" t="s">
        <v>6500</v>
      </c>
      <c r="B9040" s="2" t="s">
        <v>155</v>
      </c>
      <c r="C9040" s="2">
        <v>4</v>
      </c>
      <c r="D9040" t="str">
        <f t="shared" si="141"/>
        <v>US-2017-111024_OFF-PA-10000174</v>
      </c>
      <c r="E9040" t="str">
        <f>IF(COUNTIF(data1!$D:$D,D9040)=0,"Missing in Data1","Present")</f>
        <v>Present</v>
      </c>
    </row>
    <row r="9041" spans="1:5" x14ac:dyDescent="0.25">
      <c r="A9041" s="2" t="s">
        <v>6500</v>
      </c>
      <c r="B9041" s="2" t="s">
        <v>1495</v>
      </c>
      <c r="C9041" s="2">
        <v>6</v>
      </c>
      <c r="D9041" t="str">
        <f t="shared" si="141"/>
        <v>US-2017-111024_OFF-PA-10002246</v>
      </c>
      <c r="E9041" t="str">
        <f>IF(COUNTIF(data1!$D:$D,D9041)=0,"Missing in Data1","Present")</f>
        <v>Present</v>
      </c>
    </row>
    <row r="9042" spans="1:5" x14ac:dyDescent="0.25">
      <c r="A9042" s="2" t="s">
        <v>6501</v>
      </c>
      <c r="B9042" s="2" t="s">
        <v>1345</v>
      </c>
      <c r="C9042" s="2">
        <v>5</v>
      </c>
      <c r="D9042" t="str">
        <f t="shared" si="141"/>
        <v>US-2017-111241_OFF-BI-10002867</v>
      </c>
      <c r="E9042" t="str">
        <f>IF(COUNTIF(data1!$D:$D,D9042)=0,"Missing in Data1","Present")</f>
        <v>Present</v>
      </c>
    </row>
    <row r="9043" spans="1:5" x14ac:dyDescent="0.25">
      <c r="A9043" s="2" t="s">
        <v>6502</v>
      </c>
      <c r="B9043" s="2" t="s">
        <v>1296</v>
      </c>
      <c r="C9043" s="2">
        <v>2</v>
      </c>
      <c r="D9043" t="str">
        <f t="shared" si="141"/>
        <v>US-2017-111423_FUR-CH-10003981</v>
      </c>
      <c r="E9043" t="str">
        <f>IF(COUNTIF(data1!$D:$D,D9043)=0,"Missing in Data1","Present")</f>
        <v>Present</v>
      </c>
    </row>
    <row r="9044" spans="1:5" x14ac:dyDescent="0.25">
      <c r="A9044" s="2" t="s">
        <v>6502</v>
      </c>
      <c r="B9044" s="2" t="s">
        <v>5266</v>
      </c>
      <c r="C9044" s="2">
        <v>5</v>
      </c>
      <c r="D9044" t="str">
        <f t="shared" si="141"/>
        <v>US-2017-111423_OFF-BI-10003091</v>
      </c>
      <c r="E9044" t="str">
        <f>IF(COUNTIF(data1!$D:$D,D9044)=0,"Missing in Data1","Present")</f>
        <v>Present</v>
      </c>
    </row>
    <row r="9045" spans="1:5" x14ac:dyDescent="0.25">
      <c r="A9045" s="2" t="s">
        <v>6503</v>
      </c>
      <c r="B9045" s="2" t="s">
        <v>1574</v>
      </c>
      <c r="C9045" s="2">
        <v>1</v>
      </c>
      <c r="D9045" t="str">
        <f t="shared" si="141"/>
        <v>US-2017-111745_TEC-AC-10003911</v>
      </c>
      <c r="E9045" t="str">
        <f>IF(COUNTIF(data1!$D:$D,D9045)=0,"Missing in Data1","Present")</f>
        <v>Present</v>
      </c>
    </row>
    <row r="9046" spans="1:5" x14ac:dyDescent="0.25">
      <c r="A9046" s="2" t="s">
        <v>6504</v>
      </c>
      <c r="B9046" s="2" t="s">
        <v>210</v>
      </c>
      <c r="C9046" s="2">
        <v>4</v>
      </c>
      <c r="D9046" t="str">
        <f t="shared" si="141"/>
        <v>US-2017-111920_OFF-AR-10003179</v>
      </c>
      <c r="E9046" t="str">
        <f>IF(COUNTIF(data1!$D:$D,D9046)=0,"Missing in Data1","Present")</f>
        <v>Present</v>
      </c>
    </row>
    <row r="9047" spans="1:5" x14ac:dyDescent="0.25">
      <c r="A9047" s="2" t="s">
        <v>6505</v>
      </c>
      <c r="B9047" s="2" t="s">
        <v>1678</v>
      </c>
      <c r="C9047" s="2">
        <v>8</v>
      </c>
      <c r="D9047" t="str">
        <f t="shared" si="141"/>
        <v>US-2017-112347_FUR-BO-10003546</v>
      </c>
      <c r="E9047" t="str">
        <f>IF(COUNTIF(data1!$D:$D,D9047)=0,"Missing in Data1","Present")</f>
        <v>Present</v>
      </c>
    </row>
    <row r="9048" spans="1:5" x14ac:dyDescent="0.25">
      <c r="A9048" s="2" t="s">
        <v>6505</v>
      </c>
      <c r="B9048" s="2" t="s">
        <v>2767</v>
      </c>
      <c r="C9048" s="2">
        <v>5</v>
      </c>
      <c r="D9048" t="str">
        <f t="shared" si="141"/>
        <v>US-2017-112347_FUR-CH-10002335</v>
      </c>
      <c r="E9048" t="str">
        <f>IF(COUNTIF(data1!$D:$D,D9048)=0,"Missing in Data1","Present")</f>
        <v>Present</v>
      </c>
    </row>
    <row r="9049" spans="1:5" x14ac:dyDescent="0.25">
      <c r="A9049" s="2" t="s">
        <v>6505</v>
      </c>
      <c r="B9049" s="2" t="s">
        <v>3455</v>
      </c>
      <c r="C9049" s="2">
        <v>6</v>
      </c>
      <c r="D9049" t="str">
        <f t="shared" si="141"/>
        <v>US-2017-112347_FUR-FU-10001488</v>
      </c>
      <c r="E9049" t="str">
        <f>IF(COUNTIF(data1!$D:$D,D9049)=0,"Missing in Data1","Present")</f>
        <v>Present</v>
      </c>
    </row>
    <row r="9050" spans="1:5" x14ac:dyDescent="0.25">
      <c r="A9050" s="2" t="s">
        <v>6505</v>
      </c>
      <c r="B9050" s="2" t="s">
        <v>2040</v>
      </c>
      <c r="C9050" s="2">
        <v>8</v>
      </c>
      <c r="D9050" t="str">
        <f t="shared" si="141"/>
        <v>US-2017-112347_OFF-BI-10003707</v>
      </c>
      <c r="E9050" t="str">
        <f>IF(COUNTIF(data1!$D:$D,D9050)=0,"Missing in Data1","Present")</f>
        <v>Present</v>
      </c>
    </row>
    <row r="9051" spans="1:5" x14ac:dyDescent="0.25">
      <c r="A9051" s="2" t="s">
        <v>6505</v>
      </c>
      <c r="B9051" s="2" t="s">
        <v>1291</v>
      </c>
      <c r="C9051" s="2">
        <v>1</v>
      </c>
      <c r="D9051" t="str">
        <f t="shared" si="141"/>
        <v>US-2017-112347_OFF-ST-10003306</v>
      </c>
      <c r="E9051" t="str">
        <f>IF(COUNTIF(data1!$D:$D,D9051)=0,"Missing in Data1","Present")</f>
        <v>Present</v>
      </c>
    </row>
    <row r="9052" spans="1:5" x14ac:dyDescent="0.25">
      <c r="A9052" s="2" t="s">
        <v>6505</v>
      </c>
      <c r="B9052" s="2" t="s">
        <v>4758</v>
      </c>
      <c r="C9052" s="2">
        <v>2</v>
      </c>
      <c r="D9052" t="str">
        <f t="shared" si="141"/>
        <v>US-2017-112347_TEC-PH-10000213</v>
      </c>
      <c r="E9052" t="str">
        <f>IF(COUNTIF(data1!$D:$D,D9052)=0,"Missing in Data1","Present")</f>
        <v>Present</v>
      </c>
    </row>
    <row r="9053" spans="1:5" x14ac:dyDescent="0.25">
      <c r="A9053" s="2" t="s">
        <v>6505</v>
      </c>
      <c r="B9053" s="2" t="s">
        <v>3748</v>
      </c>
      <c r="C9053" s="2">
        <v>6</v>
      </c>
      <c r="D9053" t="str">
        <f t="shared" si="141"/>
        <v>US-2017-112347_TEC-PH-10004833</v>
      </c>
      <c r="E9053" t="str">
        <f>IF(COUNTIF(data1!$D:$D,D9053)=0,"Missing in Data1","Present")</f>
        <v>Present</v>
      </c>
    </row>
    <row r="9054" spans="1:5" x14ac:dyDescent="0.25">
      <c r="A9054" s="2" t="s">
        <v>6506</v>
      </c>
      <c r="B9054" s="2" t="s">
        <v>1634</v>
      </c>
      <c r="C9054" s="2">
        <v>4</v>
      </c>
      <c r="D9054" t="str">
        <f t="shared" si="141"/>
        <v>US-2017-112613_TEC-PH-10001536</v>
      </c>
      <c r="E9054" t="str">
        <f>IF(COUNTIF(data1!$D:$D,D9054)=0,"Missing in Data1","Present")</f>
        <v>Present</v>
      </c>
    </row>
    <row r="9055" spans="1:5" x14ac:dyDescent="0.25">
      <c r="A9055" s="2" t="s">
        <v>6507</v>
      </c>
      <c r="B9055" s="2" t="s">
        <v>3600</v>
      </c>
      <c r="C9055" s="2">
        <v>5</v>
      </c>
      <c r="D9055" t="str">
        <f t="shared" si="141"/>
        <v>US-2017-112928_OFF-AP-10002287</v>
      </c>
      <c r="E9055" t="str">
        <f>IF(COUNTIF(data1!$D:$D,D9055)=0,"Missing in Data1","Present")</f>
        <v>Present</v>
      </c>
    </row>
    <row r="9056" spans="1:5" x14ac:dyDescent="0.25">
      <c r="A9056" s="2" t="s">
        <v>6508</v>
      </c>
      <c r="B9056" s="2" t="s">
        <v>1670</v>
      </c>
      <c r="C9056" s="2">
        <v>5</v>
      </c>
      <c r="D9056" t="str">
        <f t="shared" si="141"/>
        <v>US-2017-113201_OFF-PA-10000675</v>
      </c>
      <c r="E9056" t="str">
        <f>IF(COUNTIF(data1!$D:$D,D9056)=0,"Missing in Data1","Present")</f>
        <v>Present</v>
      </c>
    </row>
    <row r="9057" spans="1:5" x14ac:dyDescent="0.25">
      <c r="A9057" s="2" t="s">
        <v>6509</v>
      </c>
      <c r="B9057" s="2" t="s">
        <v>6470</v>
      </c>
      <c r="C9057" s="2">
        <v>3</v>
      </c>
      <c r="D9057" t="str">
        <f t="shared" si="141"/>
        <v>US-2017-113852_TEC-AC-10003027</v>
      </c>
      <c r="E9057" t="str">
        <f>IF(COUNTIF(data1!$D:$D,D9057)=0,"Missing in Data1","Present")</f>
        <v>Present</v>
      </c>
    </row>
    <row r="9058" spans="1:5" x14ac:dyDescent="0.25">
      <c r="A9058" s="2" t="s">
        <v>6510</v>
      </c>
      <c r="B9058" s="2" t="s">
        <v>869</v>
      </c>
      <c r="C9058" s="2">
        <v>4</v>
      </c>
      <c r="D9058" t="str">
        <f t="shared" si="141"/>
        <v>US-2017-113992_FUR-TA-10000577</v>
      </c>
      <c r="E9058" t="str">
        <f>IF(COUNTIF(data1!$D:$D,D9058)=0,"Missing in Data1","Present")</f>
        <v>Present</v>
      </c>
    </row>
    <row r="9059" spans="1:5" x14ac:dyDescent="0.25">
      <c r="A9059" s="2" t="s">
        <v>6511</v>
      </c>
      <c r="B9059" s="2" t="s">
        <v>4374</v>
      </c>
      <c r="C9059" s="2">
        <v>6</v>
      </c>
      <c r="D9059" t="str">
        <f t="shared" si="141"/>
        <v>US-2017-114034_OFF-PA-10004735</v>
      </c>
      <c r="E9059" t="str">
        <f>IF(COUNTIF(data1!$D:$D,D9059)=0,"Missing in Data1","Present")</f>
        <v>Present</v>
      </c>
    </row>
    <row r="9060" spans="1:5" x14ac:dyDescent="0.25">
      <c r="A9060" s="2" t="s">
        <v>6512</v>
      </c>
      <c r="B9060" s="2" t="s">
        <v>1288</v>
      </c>
      <c r="C9060" s="2">
        <v>1</v>
      </c>
      <c r="D9060" t="str">
        <f t="shared" si="141"/>
        <v>US-2017-114356_TEC-PH-10003171</v>
      </c>
      <c r="E9060" t="str">
        <f>IF(COUNTIF(data1!$D:$D,D9060)=0,"Missing in Data1","Present")</f>
        <v>Present</v>
      </c>
    </row>
    <row r="9061" spans="1:5" x14ac:dyDescent="0.25">
      <c r="A9061" s="2" t="s">
        <v>6513</v>
      </c>
      <c r="B9061" s="2" t="s">
        <v>4753</v>
      </c>
      <c r="C9061" s="2">
        <v>4</v>
      </c>
      <c r="D9061" t="str">
        <f t="shared" si="141"/>
        <v>US-2017-114657_TEC-MA-10003173</v>
      </c>
      <c r="E9061" t="str">
        <f>IF(COUNTIF(data1!$D:$D,D9061)=0,"Missing in Data1","Present")</f>
        <v>Present</v>
      </c>
    </row>
    <row r="9062" spans="1:5" x14ac:dyDescent="0.25">
      <c r="A9062" s="2" t="s">
        <v>6514</v>
      </c>
      <c r="B9062" s="2" t="s">
        <v>1250</v>
      </c>
      <c r="C9062" s="2">
        <v>3</v>
      </c>
      <c r="D9062" t="str">
        <f t="shared" si="141"/>
        <v>US-2017-115252_OFF-PA-10001667</v>
      </c>
      <c r="E9062" t="str">
        <f>IF(COUNTIF(data1!$D:$D,D9062)=0,"Missing in Data1","Present")</f>
        <v>Present</v>
      </c>
    </row>
    <row r="9063" spans="1:5" x14ac:dyDescent="0.25">
      <c r="A9063" s="2" t="s">
        <v>6514</v>
      </c>
      <c r="B9063" s="2" t="s">
        <v>3348</v>
      </c>
      <c r="C9063" s="2">
        <v>2</v>
      </c>
      <c r="D9063" t="str">
        <f t="shared" si="141"/>
        <v>US-2017-115252_TEC-PH-10004071</v>
      </c>
      <c r="E9063" t="str">
        <f>IF(COUNTIF(data1!$D:$D,D9063)=0,"Missing in Data1","Present")</f>
        <v>Present</v>
      </c>
    </row>
    <row r="9064" spans="1:5" x14ac:dyDescent="0.25">
      <c r="A9064" s="2" t="s">
        <v>6515</v>
      </c>
      <c r="B9064" s="2" t="s">
        <v>1960</v>
      </c>
      <c r="C9064" s="2">
        <v>2</v>
      </c>
      <c r="D9064" t="str">
        <f t="shared" si="141"/>
        <v>US-2017-115301_FUR-BO-10004709</v>
      </c>
      <c r="E9064" t="str">
        <f>IF(COUNTIF(data1!$D:$D,D9064)=0,"Missing in Data1","Present")</f>
        <v>Present</v>
      </c>
    </row>
    <row r="9065" spans="1:5" x14ac:dyDescent="0.25">
      <c r="A9065" s="2" t="s">
        <v>6516</v>
      </c>
      <c r="B9065" s="2" t="s">
        <v>3913</v>
      </c>
      <c r="C9065" s="2">
        <v>5</v>
      </c>
      <c r="D9065" t="str">
        <f t="shared" si="141"/>
        <v>US-2017-115595_OFF-PA-10001745</v>
      </c>
      <c r="E9065" t="str">
        <f>IF(COUNTIF(data1!$D:$D,D9065)=0,"Missing in Data1","Present")</f>
        <v>Present</v>
      </c>
    </row>
    <row r="9066" spans="1:5" x14ac:dyDescent="0.25">
      <c r="A9066" s="2" t="s">
        <v>6517</v>
      </c>
      <c r="B9066" s="2" t="s">
        <v>2830</v>
      </c>
      <c r="C9066" s="2">
        <v>5</v>
      </c>
      <c r="D9066" t="str">
        <f t="shared" si="141"/>
        <v>US-2017-115609_OFF-AP-10003040</v>
      </c>
      <c r="E9066" t="str">
        <f>IF(COUNTIF(data1!$D:$D,D9066)=0,"Missing in Data1","Present")</f>
        <v>Present</v>
      </c>
    </row>
    <row r="9067" spans="1:5" x14ac:dyDescent="0.25">
      <c r="A9067" s="2" t="s">
        <v>6518</v>
      </c>
      <c r="B9067" s="2" t="s">
        <v>365</v>
      </c>
      <c r="C9067" s="2">
        <v>2</v>
      </c>
      <c r="D9067" t="str">
        <f t="shared" si="141"/>
        <v>US-2017-116491_TEC-PH-10004531</v>
      </c>
      <c r="E9067" t="str">
        <f>IF(COUNTIF(data1!$D:$D,D9067)=0,"Missing in Data1","Present")</f>
        <v>Present</v>
      </c>
    </row>
    <row r="9068" spans="1:5" x14ac:dyDescent="0.25">
      <c r="A9068" s="2" t="s">
        <v>6519</v>
      </c>
      <c r="B9068" s="2" t="s">
        <v>211</v>
      </c>
      <c r="C9068" s="2">
        <v>6</v>
      </c>
      <c r="D9068" t="str">
        <f t="shared" si="141"/>
        <v>US-2017-116505_OFF-BI-10000050</v>
      </c>
      <c r="E9068" t="str">
        <f>IF(COUNTIF(data1!$D:$D,D9068)=0,"Missing in Data1","Present")</f>
        <v>Present</v>
      </c>
    </row>
    <row r="9069" spans="1:5" x14ac:dyDescent="0.25">
      <c r="A9069" s="2" t="s">
        <v>6520</v>
      </c>
      <c r="B9069" s="2" t="s">
        <v>3591</v>
      </c>
      <c r="C9069" s="2">
        <v>3</v>
      </c>
      <c r="D9069" t="str">
        <f t="shared" si="141"/>
        <v>US-2017-116652_FUR-CH-10002961</v>
      </c>
      <c r="E9069" t="str">
        <f>IF(COUNTIF(data1!$D:$D,D9069)=0,"Missing in Data1","Present")</f>
        <v>Present</v>
      </c>
    </row>
    <row r="9070" spans="1:5" x14ac:dyDescent="0.25">
      <c r="A9070" s="2" t="s">
        <v>6520</v>
      </c>
      <c r="B9070" s="2" t="s">
        <v>3455</v>
      </c>
      <c r="C9070" s="2">
        <v>5</v>
      </c>
      <c r="D9070" t="str">
        <f t="shared" si="141"/>
        <v>US-2017-116652_FUR-FU-10001488</v>
      </c>
      <c r="E9070" t="str">
        <f>IF(COUNTIF(data1!$D:$D,D9070)=0,"Missing in Data1","Present")</f>
        <v>Present</v>
      </c>
    </row>
    <row r="9071" spans="1:5" x14ac:dyDescent="0.25">
      <c r="A9071" s="2" t="s">
        <v>6520</v>
      </c>
      <c r="B9071" s="2" t="s">
        <v>2238</v>
      </c>
      <c r="C9071" s="2">
        <v>2</v>
      </c>
      <c r="D9071" t="str">
        <f t="shared" si="141"/>
        <v>US-2017-116652_OFF-AP-10001205</v>
      </c>
      <c r="E9071" t="str">
        <f>IF(COUNTIF(data1!$D:$D,D9071)=0,"Missing in Data1","Present")</f>
        <v>Present</v>
      </c>
    </row>
    <row r="9072" spans="1:5" x14ac:dyDescent="0.25">
      <c r="A9072" s="2" t="s">
        <v>6520</v>
      </c>
      <c r="B9072" s="2" t="s">
        <v>1819</v>
      </c>
      <c r="C9072" s="2">
        <v>10</v>
      </c>
      <c r="D9072" t="str">
        <f t="shared" si="141"/>
        <v>US-2017-116652_OFF-AR-10001915</v>
      </c>
      <c r="E9072" t="str">
        <f>IF(COUNTIF(data1!$D:$D,D9072)=0,"Missing in Data1","Present")</f>
        <v>Present</v>
      </c>
    </row>
    <row r="9073" spans="1:5" x14ac:dyDescent="0.25">
      <c r="A9073" s="2" t="s">
        <v>6520</v>
      </c>
      <c r="B9073" s="2" t="s">
        <v>2806</v>
      </c>
      <c r="C9073" s="2">
        <v>1</v>
      </c>
      <c r="D9073" t="str">
        <f t="shared" si="141"/>
        <v>US-2017-116652_OFF-BI-10004528</v>
      </c>
      <c r="E9073" t="str">
        <f>IF(COUNTIF(data1!$D:$D,D9073)=0,"Missing in Data1","Present")</f>
        <v>Present</v>
      </c>
    </row>
    <row r="9074" spans="1:5" x14ac:dyDescent="0.25">
      <c r="A9074" s="2" t="s">
        <v>6867</v>
      </c>
      <c r="B9074" s="2" t="s">
        <v>4132</v>
      </c>
      <c r="C9074" s="2">
        <v>3</v>
      </c>
      <c r="D9074" t="str">
        <f t="shared" si="141"/>
        <v>US-2017-116659_TEC-PH-10002824</v>
      </c>
      <c r="E9074" t="str">
        <f>IF(COUNTIF(data1!$D:$D,D9074)=0,"Missing in Data1","Present")</f>
        <v>Missing in Data1</v>
      </c>
    </row>
    <row r="9075" spans="1:5" x14ac:dyDescent="0.25">
      <c r="A9075" s="2" t="s">
        <v>6521</v>
      </c>
      <c r="B9075" s="2" t="s">
        <v>1240</v>
      </c>
      <c r="C9075" s="2">
        <v>2</v>
      </c>
      <c r="D9075" t="str">
        <f t="shared" si="141"/>
        <v>US-2017-116701_OFF-AP-10003217</v>
      </c>
      <c r="E9075" t="str">
        <f>IF(COUNTIF(data1!$D:$D,D9075)=0,"Missing in Data1","Present")</f>
        <v>Present</v>
      </c>
    </row>
    <row r="9076" spans="1:5" x14ac:dyDescent="0.25">
      <c r="A9076" s="2" t="s">
        <v>6522</v>
      </c>
      <c r="B9076" s="2" t="s">
        <v>3616</v>
      </c>
      <c r="C9076" s="2">
        <v>4</v>
      </c>
      <c r="D9076" t="str">
        <f t="shared" si="141"/>
        <v>US-2017-116897_FUR-FU-10004963</v>
      </c>
      <c r="E9076" t="str">
        <f>IF(COUNTIF(data1!$D:$D,D9076)=0,"Missing in Data1","Present")</f>
        <v>Present</v>
      </c>
    </row>
    <row r="9077" spans="1:5" x14ac:dyDescent="0.25">
      <c r="A9077" s="2" t="s">
        <v>6522</v>
      </c>
      <c r="B9077" s="2" t="s">
        <v>1657</v>
      </c>
      <c r="C9077" s="2">
        <v>5</v>
      </c>
      <c r="D9077" t="str">
        <f t="shared" si="141"/>
        <v>US-2017-116897_OFF-ST-10000025</v>
      </c>
      <c r="E9077" t="str">
        <f>IF(COUNTIF(data1!$D:$D,D9077)=0,"Missing in Data1","Present")</f>
        <v>Present</v>
      </c>
    </row>
    <row r="9078" spans="1:5" x14ac:dyDescent="0.25">
      <c r="A9078" s="2" t="s">
        <v>6522</v>
      </c>
      <c r="B9078" s="2" t="s">
        <v>5692</v>
      </c>
      <c r="C9078" s="2">
        <v>3</v>
      </c>
      <c r="D9078" t="str">
        <f t="shared" si="141"/>
        <v>US-2017-116897_TEC-PH-10004389</v>
      </c>
      <c r="E9078" t="str">
        <f>IF(COUNTIF(data1!$D:$D,D9078)=0,"Missing in Data1","Present")</f>
        <v>Present</v>
      </c>
    </row>
    <row r="9079" spans="1:5" x14ac:dyDescent="0.25">
      <c r="A9079" s="2" t="s">
        <v>6523</v>
      </c>
      <c r="B9079" s="2" t="s">
        <v>513</v>
      </c>
      <c r="C9079" s="2">
        <v>3</v>
      </c>
      <c r="D9079" t="str">
        <f t="shared" si="141"/>
        <v>US-2017-117247_FUR-TA-10001676</v>
      </c>
      <c r="E9079" t="str">
        <f>IF(COUNTIF(data1!$D:$D,D9079)=0,"Missing in Data1","Present")</f>
        <v>Present</v>
      </c>
    </row>
    <row r="9080" spans="1:5" x14ac:dyDescent="0.25">
      <c r="A9080" s="2" t="s">
        <v>6523</v>
      </c>
      <c r="B9080" s="2" t="s">
        <v>841</v>
      </c>
      <c r="C9080" s="2">
        <v>5</v>
      </c>
      <c r="D9080" t="str">
        <f t="shared" si="141"/>
        <v>US-2017-117247_FUR-TA-10002958</v>
      </c>
      <c r="E9080" t="str">
        <f>IF(COUNTIF(data1!$D:$D,D9080)=0,"Missing in Data1","Present")</f>
        <v>Present</v>
      </c>
    </row>
    <row r="9081" spans="1:5" x14ac:dyDescent="0.25">
      <c r="A9081" s="2" t="s">
        <v>6524</v>
      </c>
      <c r="B9081" s="2" t="s">
        <v>49</v>
      </c>
      <c r="C9081" s="2">
        <v>1</v>
      </c>
      <c r="D9081" t="str">
        <f t="shared" si="141"/>
        <v>US-2017-117331_OFF-BI-10003984</v>
      </c>
      <c r="E9081" t="str">
        <f>IF(COUNTIF(data1!$D:$D,D9081)=0,"Missing in Data1","Present")</f>
        <v>Present</v>
      </c>
    </row>
    <row r="9082" spans="1:5" x14ac:dyDescent="0.25">
      <c r="A9082" s="2" t="s">
        <v>6525</v>
      </c>
      <c r="B9082" s="2" t="s">
        <v>621</v>
      </c>
      <c r="C9082" s="2">
        <v>2</v>
      </c>
      <c r="D9082" t="str">
        <f t="shared" si="141"/>
        <v>US-2017-117450_FUR-CH-10003817</v>
      </c>
      <c r="E9082" t="str">
        <f>IF(COUNTIF(data1!$D:$D,D9082)=0,"Missing in Data1","Present")</f>
        <v>Present</v>
      </c>
    </row>
    <row r="9083" spans="1:5" x14ac:dyDescent="0.25">
      <c r="A9083" s="2" t="s">
        <v>6525</v>
      </c>
      <c r="B9083" s="2" t="s">
        <v>961</v>
      </c>
      <c r="C9083" s="2">
        <v>2</v>
      </c>
      <c r="D9083" t="str">
        <f t="shared" si="141"/>
        <v>US-2017-117450_OFF-PA-10000289</v>
      </c>
      <c r="E9083" t="str">
        <f>IF(COUNTIF(data1!$D:$D,D9083)=0,"Missing in Data1","Present")</f>
        <v>Present</v>
      </c>
    </row>
    <row r="9084" spans="1:5" x14ac:dyDescent="0.25">
      <c r="A9084" s="2" t="s">
        <v>6526</v>
      </c>
      <c r="B9084" s="2" t="s">
        <v>1543</v>
      </c>
      <c r="C9084" s="2">
        <v>4</v>
      </c>
      <c r="D9084" t="str">
        <f t="shared" si="141"/>
        <v>US-2017-117534_OFF-AP-10002403</v>
      </c>
      <c r="E9084" t="str">
        <f>IF(COUNTIF(data1!$D:$D,D9084)=0,"Missing in Data1","Present")</f>
        <v>Present</v>
      </c>
    </row>
    <row r="9085" spans="1:5" x14ac:dyDescent="0.25">
      <c r="A9085" s="2" t="s">
        <v>6526</v>
      </c>
      <c r="B9085" s="2" t="s">
        <v>5127</v>
      </c>
      <c r="C9085" s="2">
        <v>9</v>
      </c>
      <c r="D9085" t="str">
        <f t="shared" si="141"/>
        <v>US-2017-117534_OFF-AR-10003087</v>
      </c>
      <c r="E9085" t="str">
        <f>IF(COUNTIF(data1!$D:$D,D9085)=0,"Missing in Data1","Present")</f>
        <v>Missing in Data1</v>
      </c>
    </row>
    <row r="9086" spans="1:5" x14ac:dyDescent="0.25">
      <c r="A9086" s="2" t="s">
        <v>6526</v>
      </c>
      <c r="B9086" s="2" t="s">
        <v>637</v>
      </c>
      <c r="C9086" s="2">
        <v>4</v>
      </c>
      <c r="D9086" t="str">
        <f t="shared" si="141"/>
        <v>US-2017-117534_OFF-BI-10002026</v>
      </c>
      <c r="E9086" t="str">
        <f>IF(COUNTIF(data1!$D:$D,D9086)=0,"Missing in Data1","Present")</f>
        <v>Present</v>
      </c>
    </row>
    <row r="9087" spans="1:5" x14ac:dyDescent="0.25">
      <c r="A9087" s="2" t="s">
        <v>6526</v>
      </c>
      <c r="B9087" s="2" t="s">
        <v>3908</v>
      </c>
      <c r="C9087" s="2">
        <v>2</v>
      </c>
      <c r="D9087" t="str">
        <f t="shared" si="141"/>
        <v>US-2017-117534_TEC-CO-10000971</v>
      </c>
      <c r="E9087" t="str">
        <f>IF(COUNTIF(data1!$D:$D,D9087)=0,"Missing in Data1","Present")</f>
        <v>Missing in Data1</v>
      </c>
    </row>
    <row r="9088" spans="1:5" x14ac:dyDescent="0.25">
      <c r="A9088" s="2" t="s">
        <v>6526</v>
      </c>
      <c r="B9088" s="2" t="s">
        <v>3679</v>
      </c>
      <c r="C9088" s="2">
        <v>4</v>
      </c>
      <c r="D9088" t="str">
        <f t="shared" si="141"/>
        <v>US-2017-117534_TEC-PH-10000141</v>
      </c>
      <c r="E9088" t="str">
        <f>IF(COUNTIF(data1!$D:$D,D9088)=0,"Missing in Data1","Present")</f>
        <v>Present</v>
      </c>
    </row>
    <row r="9089" spans="1:5" x14ac:dyDescent="0.25">
      <c r="A9089" s="2" t="s">
        <v>6527</v>
      </c>
      <c r="B9089" s="2" t="s">
        <v>1514</v>
      </c>
      <c r="C9089" s="2">
        <v>6</v>
      </c>
      <c r="D9089" t="str">
        <f t="shared" si="141"/>
        <v>US-2017-117723_OFF-ST-10004459</v>
      </c>
      <c r="E9089" t="str">
        <f>IF(COUNTIF(data1!$D:$D,D9089)=0,"Missing in Data1","Present")</f>
        <v>Present</v>
      </c>
    </row>
    <row r="9090" spans="1:5" x14ac:dyDescent="0.25">
      <c r="A9090" s="2" t="s">
        <v>6528</v>
      </c>
      <c r="B9090" s="2" t="s">
        <v>3720</v>
      </c>
      <c r="C9090" s="2">
        <v>3</v>
      </c>
      <c r="D9090" t="str">
        <f t="shared" si="141"/>
        <v>US-2017-118038_FUR-FU-10000260</v>
      </c>
      <c r="E9090" t="str">
        <f>IF(COUNTIF(data1!$D:$D,D9090)=0,"Missing in Data1","Present")</f>
        <v>Present</v>
      </c>
    </row>
    <row r="9091" spans="1:5" x14ac:dyDescent="0.25">
      <c r="A9091" s="2" t="s">
        <v>6528</v>
      </c>
      <c r="B9091" s="2" t="s">
        <v>2322</v>
      </c>
      <c r="C9091" s="2">
        <v>3</v>
      </c>
      <c r="D9091" t="str">
        <f t="shared" ref="D9091:D9154" si="142">A9091&amp;"_"&amp;B9091</f>
        <v>US-2017-118038_OFF-BI-10004182</v>
      </c>
      <c r="E9091" t="str">
        <f>IF(COUNTIF(data1!$D:$D,D9091)=0,"Missing in Data1","Present")</f>
        <v>Present</v>
      </c>
    </row>
    <row r="9092" spans="1:5" x14ac:dyDescent="0.25">
      <c r="A9092" s="2" t="s">
        <v>6528</v>
      </c>
      <c r="B9092" s="2" t="s">
        <v>1443</v>
      </c>
      <c r="C9092" s="2">
        <v>3</v>
      </c>
      <c r="D9092" t="str">
        <f t="shared" si="142"/>
        <v>US-2017-118038_OFF-ST-10000615</v>
      </c>
      <c r="E9092" t="str">
        <f>IF(COUNTIF(data1!$D:$D,D9092)=0,"Missing in Data1","Present")</f>
        <v>Present</v>
      </c>
    </row>
    <row r="9093" spans="1:5" x14ac:dyDescent="0.25">
      <c r="A9093" s="2" t="s">
        <v>6529</v>
      </c>
      <c r="B9093" s="2" t="s">
        <v>1162</v>
      </c>
      <c r="C9093" s="2">
        <v>2</v>
      </c>
      <c r="D9093" t="str">
        <f t="shared" si="142"/>
        <v>US-2017-118087_FUR-CH-10004860</v>
      </c>
      <c r="E9093" t="str">
        <f>IF(COUNTIF(data1!$D:$D,D9093)=0,"Missing in Data1","Present")</f>
        <v>Present</v>
      </c>
    </row>
    <row r="9094" spans="1:5" x14ac:dyDescent="0.25">
      <c r="A9094" s="2" t="s">
        <v>6529</v>
      </c>
      <c r="B9094" s="2" t="s">
        <v>1592</v>
      </c>
      <c r="C9094" s="2">
        <v>2</v>
      </c>
      <c r="D9094" t="str">
        <f t="shared" si="142"/>
        <v>US-2017-118087_FUR-FU-10001867</v>
      </c>
      <c r="E9094" t="str">
        <f>IF(COUNTIF(data1!$D:$D,D9094)=0,"Missing in Data1","Present")</f>
        <v>Present</v>
      </c>
    </row>
    <row r="9095" spans="1:5" x14ac:dyDescent="0.25">
      <c r="A9095" s="2" t="s">
        <v>6529</v>
      </c>
      <c r="B9095" s="2" t="s">
        <v>2303</v>
      </c>
      <c r="C9095" s="2">
        <v>1</v>
      </c>
      <c r="D9095" t="str">
        <f t="shared" si="142"/>
        <v>US-2017-118087_OFF-AR-10003602</v>
      </c>
      <c r="E9095" t="str">
        <f>IF(COUNTIF(data1!$D:$D,D9095)=0,"Missing in Data1","Present")</f>
        <v>Present</v>
      </c>
    </row>
    <row r="9096" spans="1:5" x14ac:dyDescent="0.25">
      <c r="A9096" s="2" t="s">
        <v>6529</v>
      </c>
      <c r="B9096" s="2" t="s">
        <v>1338</v>
      </c>
      <c r="C9096" s="2">
        <v>2</v>
      </c>
      <c r="D9096" t="str">
        <f t="shared" si="142"/>
        <v>US-2017-118087_OFF-BI-10002432</v>
      </c>
      <c r="E9096" t="str">
        <f>IF(COUNTIF(data1!$D:$D,D9096)=0,"Missing in Data1","Present")</f>
        <v>Present</v>
      </c>
    </row>
    <row r="9097" spans="1:5" x14ac:dyDescent="0.25">
      <c r="A9097" s="2" t="s">
        <v>6529</v>
      </c>
      <c r="B9097" s="2" t="s">
        <v>1658</v>
      </c>
      <c r="C9097" s="2">
        <v>3</v>
      </c>
      <c r="D9097" t="str">
        <f t="shared" si="142"/>
        <v>US-2017-118087_TEC-AC-10003174</v>
      </c>
      <c r="E9097" t="str">
        <f>IF(COUNTIF(data1!$D:$D,D9097)=0,"Missing in Data1","Present")</f>
        <v>Present</v>
      </c>
    </row>
    <row r="9098" spans="1:5" x14ac:dyDescent="0.25">
      <c r="A9098" s="2" t="s">
        <v>6529</v>
      </c>
      <c r="B9098" s="2" t="s">
        <v>2802</v>
      </c>
      <c r="C9098" s="2">
        <v>3</v>
      </c>
      <c r="D9098" t="str">
        <f t="shared" si="142"/>
        <v>US-2017-118087_TEC-AC-10004469</v>
      </c>
      <c r="E9098" t="str">
        <f>IF(COUNTIF(data1!$D:$D,D9098)=0,"Missing in Data1","Present")</f>
        <v>Present</v>
      </c>
    </row>
    <row r="9099" spans="1:5" x14ac:dyDescent="0.25">
      <c r="A9099" s="2" t="s">
        <v>6529</v>
      </c>
      <c r="B9099" s="2" t="s">
        <v>2715</v>
      </c>
      <c r="C9099" s="2">
        <v>7</v>
      </c>
      <c r="D9099" t="str">
        <f t="shared" si="142"/>
        <v>US-2017-118087_TEC-PH-10002200</v>
      </c>
      <c r="E9099" t="str">
        <f>IF(COUNTIF(data1!$D:$D,D9099)=0,"Missing in Data1","Present")</f>
        <v>Present</v>
      </c>
    </row>
    <row r="9100" spans="1:5" x14ac:dyDescent="0.25">
      <c r="A9100" s="2" t="s">
        <v>6868</v>
      </c>
      <c r="B9100" s="2" t="s">
        <v>1231</v>
      </c>
      <c r="C9100" s="2">
        <v>2</v>
      </c>
      <c r="D9100" t="str">
        <f t="shared" si="142"/>
        <v>US-2017-118157_OFF-EN-10004459</v>
      </c>
      <c r="E9100" t="str">
        <f>IF(COUNTIF(data1!$D:$D,D9100)=0,"Missing in Data1","Present")</f>
        <v>Missing in Data1</v>
      </c>
    </row>
    <row r="9101" spans="1:5" x14ac:dyDescent="0.25">
      <c r="A9101" s="2" t="s">
        <v>6530</v>
      </c>
      <c r="B9101" s="2" t="s">
        <v>3420</v>
      </c>
      <c r="C9101" s="2">
        <v>2</v>
      </c>
      <c r="D9101" t="str">
        <f t="shared" si="142"/>
        <v>US-2017-118535_OFF-LA-10001297</v>
      </c>
      <c r="E9101" t="str">
        <f>IF(COUNTIF(data1!$D:$D,D9101)=0,"Missing in Data1","Present")</f>
        <v>Present</v>
      </c>
    </row>
    <row r="9102" spans="1:5" x14ac:dyDescent="0.25">
      <c r="A9102" s="2" t="s">
        <v>6531</v>
      </c>
      <c r="B9102" s="2" t="s">
        <v>370</v>
      </c>
      <c r="C9102" s="2">
        <v>3</v>
      </c>
      <c r="D9102" t="str">
        <f t="shared" si="142"/>
        <v>US-2017-118556_FUR-CH-10001146</v>
      </c>
      <c r="E9102" t="str">
        <f>IF(COUNTIF(data1!$D:$D,D9102)=0,"Missing in Data1","Present")</f>
        <v>Present</v>
      </c>
    </row>
    <row r="9103" spans="1:5" x14ac:dyDescent="0.25">
      <c r="A9103" s="2" t="s">
        <v>6531</v>
      </c>
      <c r="B9103" s="2" t="s">
        <v>432</v>
      </c>
      <c r="C9103" s="2">
        <v>3</v>
      </c>
      <c r="D9103" t="str">
        <f t="shared" si="142"/>
        <v>US-2017-118556_OFF-BI-10004364</v>
      </c>
      <c r="E9103" t="str">
        <f>IF(COUNTIF(data1!$D:$D,D9103)=0,"Missing in Data1","Present")</f>
        <v>Present</v>
      </c>
    </row>
    <row r="9104" spans="1:5" x14ac:dyDescent="0.25">
      <c r="A9104" s="2" t="s">
        <v>6532</v>
      </c>
      <c r="B9104" s="2" t="s">
        <v>1145</v>
      </c>
      <c r="C9104" s="2">
        <v>6</v>
      </c>
      <c r="D9104" t="str">
        <f t="shared" si="142"/>
        <v>US-2017-118598_TEC-PH-10002583</v>
      </c>
      <c r="E9104" t="str">
        <f>IF(COUNTIF(data1!$D:$D,D9104)=0,"Missing in Data1","Present")</f>
        <v>Present</v>
      </c>
    </row>
    <row r="9105" spans="1:5" x14ac:dyDescent="0.25">
      <c r="A9105" s="2" t="s">
        <v>6533</v>
      </c>
      <c r="B9105" s="2" t="s">
        <v>3451</v>
      </c>
      <c r="C9105" s="2">
        <v>5</v>
      </c>
      <c r="D9105" t="str">
        <f t="shared" si="142"/>
        <v>US-2017-118941_FUR-CH-10002331</v>
      </c>
      <c r="E9105" t="str">
        <f>IF(COUNTIF(data1!$D:$D,D9105)=0,"Missing in Data1","Present")</f>
        <v>Present</v>
      </c>
    </row>
    <row r="9106" spans="1:5" x14ac:dyDescent="0.25">
      <c r="A9106" s="2" t="s">
        <v>6533</v>
      </c>
      <c r="B9106" s="2" t="s">
        <v>1062</v>
      </c>
      <c r="C9106" s="2">
        <v>5</v>
      </c>
      <c r="D9106" t="str">
        <f t="shared" si="142"/>
        <v>US-2017-118941_OFF-AR-10001953</v>
      </c>
      <c r="E9106" t="str">
        <f>IF(COUNTIF(data1!$D:$D,D9106)=0,"Missing in Data1","Present")</f>
        <v>Present</v>
      </c>
    </row>
    <row r="9107" spans="1:5" x14ac:dyDescent="0.25">
      <c r="A9107" s="2" t="s">
        <v>6533</v>
      </c>
      <c r="B9107" s="2" t="s">
        <v>1096</v>
      </c>
      <c r="C9107" s="2">
        <v>3</v>
      </c>
      <c r="D9107" t="str">
        <f t="shared" si="142"/>
        <v>US-2017-118941_OFF-AR-10004078</v>
      </c>
      <c r="E9107" t="str">
        <f>IF(COUNTIF(data1!$D:$D,D9107)=0,"Missing in Data1","Present")</f>
        <v>Present</v>
      </c>
    </row>
    <row r="9108" spans="1:5" x14ac:dyDescent="0.25">
      <c r="A9108" s="2" t="s">
        <v>6534</v>
      </c>
      <c r="B9108" s="2" t="s">
        <v>2322</v>
      </c>
      <c r="C9108" s="2">
        <v>9</v>
      </c>
      <c r="D9108" t="str">
        <f t="shared" si="142"/>
        <v>US-2017-119039_OFF-BI-10004182</v>
      </c>
      <c r="E9108" t="str">
        <f>IF(COUNTIF(data1!$D:$D,D9108)=0,"Missing in Data1","Present")</f>
        <v>Present</v>
      </c>
    </row>
    <row r="9109" spans="1:5" x14ac:dyDescent="0.25">
      <c r="A9109" s="2" t="s">
        <v>6535</v>
      </c>
      <c r="B9109" s="2" t="s">
        <v>1276</v>
      </c>
      <c r="C9109" s="2">
        <v>5</v>
      </c>
      <c r="D9109" t="str">
        <f t="shared" si="142"/>
        <v>US-2017-119319_FUR-FU-10003878</v>
      </c>
      <c r="E9109" t="str">
        <f>IF(COUNTIF(data1!$D:$D,D9109)=0,"Missing in Data1","Present")</f>
        <v>Present</v>
      </c>
    </row>
    <row r="9110" spans="1:5" x14ac:dyDescent="0.25">
      <c r="A9110" s="2" t="s">
        <v>6536</v>
      </c>
      <c r="B9110" s="2" t="s">
        <v>769</v>
      </c>
      <c r="C9110" s="2">
        <v>3</v>
      </c>
      <c r="D9110" t="str">
        <f t="shared" si="142"/>
        <v>US-2017-119438_FUR-FU-10003553</v>
      </c>
      <c r="E9110" t="str">
        <f>IF(COUNTIF(data1!$D:$D,D9110)=0,"Missing in Data1","Present")</f>
        <v>Present</v>
      </c>
    </row>
    <row r="9111" spans="1:5" x14ac:dyDescent="0.25">
      <c r="A9111" s="2" t="s">
        <v>6536</v>
      </c>
      <c r="B9111" s="2" t="s">
        <v>2520</v>
      </c>
      <c r="C9111" s="2">
        <v>3</v>
      </c>
      <c r="D9111" t="str">
        <f t="shared" si="142"/>
        <v>US-2017-119438_OFF-AP-10000804</v>
      </c>
      <c r="E9111" t="str">
        <f>IF(COUNTIF(data1!$D:$D,D9111)=0,"Missing in Data1","Present")</f>
        <v>Present</v>
      </c>
    </row>
    <row r="9112" spans="1:5" x14ac:dyDescent="0.25">
      <c r="A9112" s="2" t="s">
        <v>6536</v>
      </c>
      <c r="B9112" s="2" t="s">
        <v>820</v>
      </c>
      <c r="C9112" s="2">
        <v>3</v>
      </c>
      <c r="D9112" t="str">
        <f t="shared" si="142"/>
        <v>US-2017-119438_OFF-BI-10004632</v>
      </c>
      <c r="E9112" t="str">
        <f>IF(COUNTIF(data1!$D:$D,D9112)=0,"Missing in Data1","Present")</f>
        <v>Present</v>
      </c>
    </row>
    <row r="9113" spans="1:5" x14ac:dyDescent="0.25">
      <c r="A9113" s="2" t="s">
        <v>6536</v>
      </c>
      <c r="B9113" s="2" t="s">
        <v>1571</v>
      </c>
      <c r="C9113" s="2">
        <v>3</v>
      </c>
      <c r="D9113" t="str">
        <f t="shared" si="142"/>
        <v>US-2017-119438_TEC-AC-10003614</v>
      </c>
      <c r="E9113" t="str">
        <f>IF(COUNTIF(data1!$D:$D,D9113)=0,"Missing in Data1","Present")</f>
        <v>Present</v>
      </c>
    </row>
    <row r="9114" spans="1:5" x14ac:dyDescent="0.25">
      <c r="A9114" s="2" t="s">
        <v>6537</v>
      </c>
      <c r="B9114" s="2" t="s">
        <v>2072</v>
      </c>
      <c r="C9114" s="2">
        <v>3</v>
      </c>
      <c r="D9114" t="str">
        <f t="shared" si="142"/>
        <v>US-2017-119662_OFF-ST-10003656</v>
      </c>
      <c r="E9114" t="str">
        <f>IF(COUNTIF(data1!$D:$D,D9114)=0,"Missing in Data1","Present")</f>
        <v>Present</v>
      </c>
    </row>
    <row r="9115" spans="1:5" x14ac:dyDescent="0.25">
      <c r="A9115" s="2" t="s">
        <v>6538</v>
      </c>
      <c r="B9115" s="2" t="s">
        <v>2725</v>
      </c>
      <c r="C9115" s="2">
        <v>5</v>
      </c>
      <c r="D9115" t="str">
        <f t="shared" si="142"/>
        <v>US-2017-119816_FUR-FU-10004848</v>
      </c>
      <c r="E9115" t="str">
        <f>IF(COUNTIF(data1!$D:$D,D9115)=0,"Missing in Data1","Present")</f>
        <v>Present</v>
      </c>
    </row>
    <row r="9116" spans="1:5" x14ac:dyDescent="0.25">
      <c r="A9116" s="2" t="s">
        <v>6538</v>
      </c>
      <c r="B9116" s="2" t="s">
        <v>2832</v>
      </c>
      <c r="C9116" s="2">
        <v>1</v>
      </c>
      <c r="D9116" t="str">
        <f t="shared" si="142"/>
        <v>US-2017-119816_OFF-LA-10002381</v>
      </c>
      <c r="E9116" t="str">
        <f>IF(COUNTIF(data1!$D:$D,D9116)=0,"Missing in Data1","Present")</f>
        <v>Present</v>
      </c>
    </row>
    <row r="9117" spans="1:5" x14ac:dyDescent="0.25">
      <c r="A9117" s="2" t="s">
        <v>6538</v>
      </c>
      <c r="B9117" s="2" t="s">
        <v>173</v>
      </c>
      <c r="C9117" s="2">
        <v>1</v>
      </c>
      <c r="D9117" t="str">
        <f t="shared" si="142"/>
        <v>US-2017-119816_OFF-ST-10000918</v>
      </c>
      <c r="E9117" t="str">
        <f>IF(COUNTIF(data1!$D:$D,D9117)=0,"Missing in Data1","Present")</f>
        <v>Present</v>
      </c>
    </row>
    <row r="9118" spans="1:5" x14ac:dyDescent="0.25">
      <c r="A9118" s="2" t="s">
        <v>6539</v>
      </c>
      <c r="B9118" s="2" t="s">
        <v>2267</v>
      </c>
      <c r="C9118" s="2">
        <v>4</v>
      </c>
      <c r="D9118" t="str">
        <f t="shared" si="142"/>
        <v>US-2017-120089_OFF-AP-10003779</v>
      </c>
      <c r="E9118" t="str">
        <f>IF(COUNTIF(data1!$D:$D,D9118)=0,"Missing in Data1","Present")</f>
        <v>Present</v>
      </c>
    </row>
    <row r="9119" spans="1:5" x14ac:dyDescent="0.25">
      <c r="A9119" s="2" t="s">
        <v>6540</v>
      </c>
      <c r="B9119" s="2" t="s">
        <v>2616</v>
      </c>
      <c r="C9119" s="2">
        <v>2</v>
      </c>
      <c r="D9119" t="str">
        <f t="shared" si="142"/>
        <v>US-2017-120147_OFF-AR-10000817</v>
      </c>
      <c r="E9119" t="str">
        <f>IF(COUNTIF(data1!$D:$D,D9119)=0,"Missing in Data1","Present")</f>
        <v>Present</v>
      </c>
    </row>
    <row r="9120" spans="1:5" x14ac:dyDescent="0.25">
      <c r="A9120" s="2" t="s">
        <v>6540</v>
      </c>
      <c r="B9120" s="2" t="s">
        <v>3279</v>
      </c>
      <c r="C9120" s="2">
        <v>1</v>
      </c>
      <c r="D9120" t="str">
        <f t="shared" si="142"/>
        <v>US-2017-120147_TEC-PH-10002447</v>
      </c>
      <c r="E9120" t="str">
        <f>IF(COUNTIF(data1!$D:$D,D9120)=0,"Missing in Data1","Present")</f>
        <v>Present</v>
      </c>
    </row>
    <row r="9121" spans="1:5" x14ac:dyDescent="0.25">
      <c r="A9121" s="2" t="s">
        <v>6541</v>
      </c>
      <c r="B9121" s="2" t="s">
        <v>1302</v>
      </c>
      <c r="C9121" s="2">
        <v>4</v>
      </c>
      <c r="D9121" t="str">
        <f t="shared" si="142"/>
        <v>US-2017-120390_OFF-BI-10004995</v>
      </c>
      <c r="E9121" t="str">
        <f>IF(COUNTIF(data1!$D:$D,D9121)=0,"Missing in Data1","Present")</f>
        <v>Present</v>
      </c>
    </row>
    <row r="9122" spans="1:5" x14ac:dyDescent="0.25">
      <c r="A9122" s="2" t="s">
        <v>6542</v>
      </c>
      <c r="B9122" s="2" t="s">
        <v>294</v>
      </c>
      <c r="C9122" s="2">
        <v>1</v>
      </c>
      <c r="D9122" t="str">
        <f t="shared" si="142"/>
        <v>US-2017-120418_FUR-CH-10001394</v>
      </c>
      <c r="E9122" t="str">
        <f>IF(COUNTIF(data1!$D:$D,D9122)=0,"Missing in Data1","Present")</f>
        <v>Present</v>
      </c>
    </row>
    <row r="9123" spans="1:5" x14ac:dyDescent="0.25">
      <c r="A9123" s="2" t="s">
        <v>6542</v>
      </c>
      <c r="B9123" s="2" t="s">
        <v>1034</v>
      </c>
      <c r="C9123" s="2">
        <v>1</v>
      </c>
      <c r="D9123" t="str">
        <f t="shared" si="142"/>
        <v>US-2017-120418_OFF-AR-10001955</v>
      </c>
      <c r="E9123" t="str">
        <f>IF(COUNTIF(data1!$D:$D,D9123)=0,"Missing in Data1","Present")</f>
        <v>Present</v>
      </c>
    </row>
    <row r="9124" spans="1:5" x14ac:dyDescent="0.25">
      <c r="A9124" s="2" t="s">
        <v>6542</v>
      </c>
      <c r="B9124" s="2" t="s">
        <v>4092</v>
      </c>
      <c r="C9124" s="2">
        <v>5</v>
      </c>
      <c r="D9124" t="str">
        <f t="shared" si="142"/>
        <v>US-2017-120418_OFF-AR-10002956</v>
      </c>
      <c r="E9124" t="str">
        <f>IF(COUNTIF(data1!$D:$D,D9124)=0,"Missing in Data1","Present")</f>
        <v>Present</v>
      </c>
    </row>
    <row r="9125" spans="1:5" x14ac:dyDescent="0.25">
      <c r="A9125" s="2" t="s">
        <v>6542</v>
      </c>
      <c r="B9125" s="2" t="s">
        <v>465</v>
      </c>
      <c r="C9125" s="2">
        <v>3</v>
      </c>
      <c r="D9125" t="str">
        <f t="shared" si="142"/>
        <v>US-2017-120418_OFF-ST-10001809</v>
      </c>
      <c r="E9125" t="str">
        <f>IF(COUNTIF(data1!$D:$D,D9125)=0,"Missing in Data1","Present")</f>
        <v>Present</v>
      </c>
    </row>
    <row r="9126" spans="1:5" x14ac:dyDescent="0.25">
      <c r="A9126" s="2" t="s">
        <v>6542</v>
      </c>
      <c r="B9126" s="2" t="s">
        <v>1178</v>
      </c>
      <c r="C9126" s="2">
        <v>4</v>
      </c>
      <c r="D9126" t="str">
        <f t="shared" si="142"/>
        <v>US-2017-120418_OFF-ST-10002370</v>
      </c>
      <c r="E9126" t="str">
        <f>IF(COUNTIF(data1!$D:$D,D9126)=0,"Missing in Data1","Present")</f>
        <v>Present</v>
      </c>
    </row>
    <row r="9127" spans="1:5" x14ac:dyDescent="0.25">
      <c r="A9127" s="2" t="s">
        <v>6543</v>
      </c>
      <c r="B9127" s="2" t="s">
        <v>3027</v>
      </c>
      <c r="C9127" s="2">
        <v>4</v>
      </c>
      <c r="D9127" t="str">
        <f t="shared" si="142"/>
        <v>US-2017-120607_OFF-PA-10003129</v>
      </c>
      <c r="E9127" t="str">
        <f>IF(COUNTIF(data1!$D:$D,D9127)=0,"Missing in Data1","Present")</f>
        <v>Present</v>
      </c>
    </row>
    <row r="9128" spans="1:5" x14ac:dyDescent="0.25">
      <c r="A9128" s="2" t="s">
        <v>6544</v>
      </c>
      <c r="B9128" s="2" t="s">
        <v>1945</v>
      </c>
      <c r="C9128" s="2">
        <v>2</v>
      </c>
      <c r="D9128" t="str">
        <f t="shared" si="142"/>
        <v>US-2017-120649_OFF-AR-10001545</v>
      </c>
      <c r="E9128" t="str">
        <f>IF(COUNTIF(data1!$D:$D,D9128)=0,"Missing in Data1","Present")</f>
        <v>Present</v>
      </c>
    </row>
    <row r="9129" spans="1:5" x14ac:dyDescent="0.25">
      <c r="A9129" s="2" t="s">
        <v>6545</v>
      </c>
      <c r="B9129" s="2" t="s">
        <v>2112</v>
      </c>
      <c r="C9129" s="2">
        <v>7</v>
      </c>
      <c r="D9129" t="str">
        <f t="shared" si="142"/>
        <v>US-2017-120908_OFF-LA-10004677</v>
      </c>
      <c r="E9129" t="str">
        <f>IF(COUNTIF(data1!$D:$D,D9129)=0,"Missing in Data1","Present")</f>
        <v>Present</v>
      </c>
    </row>
    <row r="9130" spans="1:5" x14ac:dyDescent="0.25">
      <c r="A9130" s="2" t="s">
        <v>6546</v>
      </c>
      <c r="B9130" s="2" t="s">
        <v>3066</v>
      </c>
      <c r="C9130" s="2">
        <v>2</v>
      </c>
      <c r="D9130" t="str">
        <f t="shared" si="142"/>
        <v>US-2017-121251_FUR-BO-10001918</v>
      </c>
      <c r="E9130" t="str">
        <f>IF(COUNTIF(data1!$D:$D,D9130)=0,"Missing in Data1","Present")</f>
        <v>Present</v>
      </c>
    </row>
    <row r="9131" spans="1:5" x14ac:dyDescent="0.25">
      <c r="A9131" s="2" t="s">
        <v>6546</v>
      </c>
      <c r="B9131" s="2" t="s">
        <v>1588</v>
      </c>
      <c r="C9131" s="2">
        <v>4</v>
      </c>
      <c r="D9131" t="str">
        <f t="shared" si="142"/>
        <v>US-2017-121251_TEC-PH-10004896</v>
      </c>
      <c r="E9131" t="str">
        <f>IF(COUNTIF(data1!$D:$D,D9131)=0,"Missing in Data1","Present")</f>
        <v>Present</v>
      </c>
    </row>
    <row r="9132" spans="1:5" x14ac:dyDescent="0.25">
      <c r="A9132" s="2" t="s">
        <v>6547</v>
      </c>
      <c r="B9132" s="2" t="s">
        <v>150</v>
      </c>
      <c r="C9132" s="2">
        <v>7</v>
      </c>
      <c r="D9132" t="str">
        <f t="shared" si="142"/>
        <v>US-2017-122637_OFF-BI-10002429</v>
      </c>
      <c r="E9132" t="str">
        <f>IF(COUNTIF(data1!$D:$D,D9132)=0,"Missing in Data1","Present")</f>
        <v>Present</v>
      </c>
    </row>
    <row r="9133" spans="1:5" x14ac:dyDescent="0.25">
      <c r="A9133" s="2" t="s">
        <v>6548</v>
      </c>
      <c r="B9133" s="2" t="s">
        <v>715</v>
      </c>
      <c r="C9133" s="2">
        <v>3</v>
      </c>
      <c r="D9133" t="str">
        <f t="shared" si="142"/>
        <v>US-2017-122672_OFF-ST-10002344</v>
      </c>
      <c r="E9133" t="str">
        <f>IF(COUNTIF(data1!$D:$D,D9133)=0,"Missing in Data1","Present")</f>
        <v>Present</v>
      </c>
    </row>
    <row r="9134" spans="1:5" x14ac:dyDescent="0.25">
      <c r="A9134" s="2" t="s">
        <v>6548</v>
      </c>
      <c r="B9134" s="2" t="s">
        <v>731</v>
      </c>
      <c r="C9134" s="2">
        <v>4</v>
      </c>
      <c r="D9134" t="str">
        <f t="shared" si="142"/>
        <v>US-2017-122672_TEC-AC-10002323</v>
      </c>
      <c r="E9134" t="str">
        <f>IF(COUNTIF(data1!$D:$D,D9134)=0,"Missing in Data1","Present")</f>
        <v>Present</v>
      </c>
    </row>
    <row r="9135" spans="1:5" x14ac:dyDescent="0.25">
      <c r="A9135" s="2" t="s">
        <v>6549</v>
      </c>
      <c r="B9135" s="2" t="s">
        <v>580</v>
      </c>
      <c r="C9135" s="2">
        <v>5</v>
      </c>
      <c r="D9135" t="str">
        <f t="shared" si="142"/>
        <v>US-2017-122714_OFF-BI-10001120</v>
      </c>
      <c r="E9135" t="str">
        <f>IF(COUNTIF(data1!$D:$D,D9135)=0,"Missing in Data1","Present")</f>
        <v>Present</v>
      </c>
    </row>
    <row r="9136" spans="1:5" x14ac:dyDescent="0.25">
      <c r="A9136" s="2" t="s">
        <v>6550</v>
      </c>
      <c r="B9136" s="2" t="s">
        <v>3600</v>
      </c>
      <c r="C9136" s="2">
        <v>4</v>
      </c>
      <c r="D9136" t="str">
        <f t="shared" si="142"/>
        <v>US-2017-123204_OFF-AP-10002287</v>
      </c>
      <c r="E9136" t="str">
        <f>IF(COUNTIF(data1!$D:$D,D9136)=0,"Missing in Data1","Present")</f>
        <v>Present</v>
      </c>
    </row>
    <row r="9137" spans="1:5" x14ac:dyDescent="0.25">
      <c r="A9137" s="2" t="s">
        <v>6551</v>
      </c>
      <c r="B9137" s="2" t="s">
        <v>1290</v>
      </c>
      <c r="C9137" s="2">
        <v>3</v>
      </c>
      <c r="D9137" t="str">
        <f t="shared" si="142"/>
        <v>US-2017-123281_FUR-FU-10003724</v>
      </c>
      <c r="E9137" t="str">
        <f>IF(COUNTIF(data1!$D:$D,D9137)=0,"Missing in Data1","Present")</f>
        <v>Present</v>
      </c>
    </row>
    <row r="9138" spans="1:5" x14ac:dyDescent="0.25">
      <c r="A9138" s="2" t="s">
        <v>6552</v>
      </c>
      <c r="B9138" s="2" t="s">
        <v>2235</v>
      </c>
      <c r="C9138" s="2">
        <v>4</v>
      </c>
      <c r="D9138" t="str">
        <f t="shared" si="142"/>
        <v>US-2017-123463_OFF-AR-10001118</v>
      </c>
      <c r="E9138" t="str">
        <f>IF(COUNTIF(data1!$D:$D,D9138)=0,"Missing in Data1","Present")</f>
        <v>Present</v>
      </c>
    </row>
    <row r="9139" spans="1:5" x14ac:dyDescent="0.25">
      <c r="A9139" s="2" t="s">
        <v>6553</v>
      </c>
      <c r="B9139" s="2" t="s">
        <v>513</v>
      </c>
      <c r="C9139" s="2">
        <v>4</v>
      </c>
      <c r="D9139" t="str">
        <f t="shared" si="142"/>
        <v>US-2017-123834_FUR-TA-10001676</v>
      </c>
      <c r="E9139" t="str">
        <f>IF(COUNTIF(data1!$D:$D,D9139)=0,"Missing in Data1","Present")</f>
        <v>Present</v>
      </c>
    </row>
    <row r="9140" spans="1:5" x14ac:dyDescent="0.25">
      <c r="A9140" s="2" t="s">
        <v>6554</v>
      </c>
      <c r="B9140" s="2" t="s">
        <v>1790</v>
      </c>
      <c r="C9140" s="2">
        <v>11</v>
      </c>
      <c r="D9140" t="str">
        <f t="shared" si="142"/>
        <v>US-2017-123862_OFF-ST-10000760</v>
      </c>
      <c r="E9140" t="str">
        <f>IF(COUNTIF(data1!$D:$D,D9140)=0,"Missing in Data1","Present")</f>
        <v>Present</v>
      </c>
    </row>
    <row r="9141" spans="1:5" x14ac:dyDescent="0.25">
      <c r="A9141" s="2" t="s">
        <v>6554</v>
      </c>
      <c r="B9141" s="2" t="s">
        <v>1585</v>
      </c>
      <c r="C9141" s="2">
        <v>3</v>
      </c>
      <c r="D9141" t="str">
        <f t="shared" si="142"/>
        <v>US-2017-123862_OFF-ST-10002301</v>
      </c>
      <c r="E9141" t="str">
        <f>IF(COUNTIF(data1!$D:$D,D9141)=0,"Missing in Data1","Present")</f>
        <v>Present</v>
      </c>
    </row>
    <row r="9142" spans="1:5" x14ac:dyDescent="0.25">
      <c r="A9142" s="2" t="s">
        <v>6554</v>
      </c>
      <c r="B9142" s="2" t="s">
        <v>2451</v>
      </c>
      <c r="C9142" s="2">
        <v>7</v>
      </c>
      <c r="D9142" t="str">
        <f t="shared" si="142"/>
        <v>US-2017-123862_OFF-SU-10004884</v>
      </c>
      <c r="E9142" t="str">
        <f>IF(COUNTIF(data1!$D:$D,D9142)=0,"Missing in Data1","Present")</f>
        <v>Present</v>
      </c>
    </row>
    <row r="9143" spans="1:5" x14ac:dyDescent="0.25">
      <c r="A9143" s="2" t="s">
        <v>6555</v>
      </c>
      <c r="B9143" s="2" t="s">
        <v>9</v>
      </c>
      <c r="C9143" s="2">
        <v>2</v>
      </c>
      <c r="D9143" t="str">
        <f t="shared" si="142"/>
        <v>US-2017-124303_OFF-BI-10000343</v>
      </c>
      <c r="E9143" t="str">
        <f>IF(COUNTIF(data1!$D:$D,D9143)=0,"Missing in Data1","Present")</f>
        <v>Present</v>
      </c>
    </row>
    <row r="9144" spans="1:5" x14ac:dyDescent="0.25">
      <c r="A9144" s="2" t="s">
        <v>6555</v>
      </c>
      <c r="B9144" s="2" t="s">
        <v>5108</v>
      </c>
      <c r="C9144" s="2">
        <v>3</v>
      </c>
      <c r="D9144" t="str">
        <f t="shared" si="142"/>
        <v>US-2017-124303_OFF-PA-10002749</v>
      </c>
      <c r="E9144" t="str">
        <f>IF(COUNTIF(data1!$D:$D,D9144)=0,"Missing in Data1","Present")</f>
        <v>Present</v>
      </c>
    </row>
    <row r="9145" spans="1:5" x14ac:dyDescent="0.25">
      <c r="A9145" s="2" t="s">
        <v>6556</v>
      </c>
      <c r="B9145" s="2" t="s">
        <v>1857</v>
      </c>
      <c r="C9145" s="2">
        <v>5</v>
      </c>
      <c r="D9145" t="str">
        <f t="shared" si="142"/>
        <v>US-2017-124779_FUR-CH-10003535</v>
      </c>
      <c r="E9145" t="str">
        <f>IF(COUNTIF(data1!$D:$D,D9145)=0,"Missing in Data1","Present")</f>
        <v>Present</v>
      </c>
    </row>
    <row r="9146" spans="1:5" x14ac:dyDescent="0.25">
      <c r="A9146" s="2" t="s">
        <v>6556</v>
      </c>
      <c r="B9146" s="2" t="s">
        <v>538</v>
      </c>
      <c r="C9146" s="2">
        <v>2</v>
      </c>
      <c r="D9146" t="str">
        <f t="shared" si="142"/>
        <v>US-2017-124779_FUR-FU-10001095</v>
      </c>
      <c r="E9146" t="str">
        <f>IF(COUNTIF(data1!$D:$D,D9146)=0,"Missing in Data1","Present")</f>
        <v>Present</v>
      </c>
    </row>
    <row r="9147" spans="1:5" x14ac:dyDescent="0.25">
      <c r="A9147" s="2" t="s">
        <v>6556</v>
      </c>
      <c r="B9147" s="2" t="s">
        <v>150</v>
      </c>
      <c r="C9147" s="2">
        <v>7</v>
      </c>
      <c r="D9147" t="str">
        <f t="shared" si="142"/>
        <v>US-2017-124779_OFF-BI-10002429</v>
      </c>
      <c r="E9147" t="str">
        <f>IF(COUNTIF(data1!$D:$D,D9147)=0,"Missing in Data1","Present")</f>
        <v>Present</v>
      </c>
    </row>
    <row r="9148" spans="1:5" x14ac:dyDescent="0.25">
      <c r="A9148" s="2" t="s">
        <v>6556</v>
      </c>
      <c r="B9148" s="2" t="s">
        <v>417</v>
      </c>
      <c r="C9148" s="2">
        <v>5</v>
      </c>
      <c r="D9148" t="str">
        <f t="shared" si="142"/>
        <v>US-2017-124779_OFF-FA-10004854</v>
      </c>
      <c r="E9148" t="str">
        <f>IF(COUNTIF(data1!$D:$D,D9148)=0,"Missing in Data1","Present")</f>
        <v>Present</v>
      </c>
    </row>
    <row r="9149" spans="1:5" x14ac:dyDescent="0.25">
      <c r="A9149" s="2" t="s">
        <v>6556</v>
      </c>
      <c r="B9149" s="2" t="s">
        <v>1001</v>
      </c>
      <c r="C9149" s="2">
        <v>4</v>
      </c>
      <c r="D9149" t="str">
        <f t="shared" si="142"/>
        <v>US-2017-124779_OFF-PA-10000061</v>
      </c>
      <c r="E9149" t="str">
        <f>IF(COUNTIF(data1!$D:$D,D9149)=0,"Missing in Data1","Present")</f>
        <v>Present</v>
      </c>
    </row>
    <row r="9150" spans="1:5" x14ac:dyDescent="0.25">
      <c r="A9150" s="2" t="s">
        <v>6556</v>
      </c>
      <c r="B9150" s="2" t="s">
        <v>2030</v>
      </c>
      <c r="C9150" s="2">
        <v>2</v>
      </c>
      <c r="D9150" t="str">
        <f t="shared" si="142"/>
        <v>US-2017-124779_TEC-CO-10001943</v>
      </c>
      <c r="E9150" t="str">
        <f>IF(COUNTIF(data1!$D:$D,D9150)=0,"Missing in Data1","Present")</f>
        <v>Present</v>
      </c>
    </row>
    <row r="9151" spans="1:5" x14ac:dyDescent="0.25">
      <c r="A9151" s="2" t="s">
        <v>6557</v>
      </c>
      <c r="B9151" s="2" t="s">
        <v>1840</v>
      </c>
      <c r="C9151" s="2">
        <v>4</v>
      </c>
      <c r="D9151" t="str">
        <f t="shared" si="142"/>
        <v>US-2017-124821_FUR-TA-10000688</v>
      </c>
      <c r="E9151" t="str">
        <f>IF(COUNTIF(data1!$D:$D,D9151)=0,"Missing in Data1","Present")</f>
        <v>Present</v>
      </c>
    </row>
    <row r="9152" spans="1:5" x14ac:dyDescent="0.25">
      <c r="A9152" s="2" t="s">
        <v>6558</v>
      </c>
      <c r="B9152" s="2" t="s">
        <v>1084</v>
      </c>
      <c r="C9152" s="2">
        <v>6</v>
      </c>
      <c r="D9152" t="str">
        <f t="shared" si="142"/>
        <v>US-2017-124926_OFF-AP-10004868</v>
      </c>
      <c r="E9152" t="str">
        <f>IF(COUNTIF(data1!$D:$D,D9152)=0,"Missing in Data1","Present")</f>
        <v>Present</v>
      </c>
    </row>
    <row r="9153" spans="1:5" x14ac:dyDescent="0.25">
      <c r="A9153" s="2" t="s">
        <v>6559</v>
      </c>
      <c r="B9153" s="2" t="s">
        <v>1057</v>
      </c>
      <c r="C9153" s="2">
        <v>7</v>
      </c>
      <c r="D9153" t="str">
        <f t="shared" si="142"/>
        <v>US-2017-124968_FUR-TA-10004289</v>
      </c>
      <c r="E9153" t="str">
        <f>IF(COUNTIF(data1!$D:$D,D9153)=0,"Missing in Data1","Present")</f>
        <v>Present</v>
      </c>
    </row>
    <row r="9154" spans="1:5" x14ac:dyDescent="0.25">
      <c r="A9154" s="2" t="s">
        <v>6560</v>
      </c>
      <c r="B9154" s="2" t="s">
        <v>1358</v>
      </c>
      <c r="C9154" s="2">
        <v>3</v>
      </c>
      <c r="D9154" t="str">
        <f t="shared" si="142"/>
        <v>US-2017-125213_OFF-FA-10001561</v>
      </c>
      <c r="E9154" t="str">
        <f>IF(COUNTIF(data1!$D:$D,D9154)=0,"Missing in Data1","Present")</f>
        <v>Present</v>
      </c>
    </row>
    <row r="9155" spans="1:5" x14ac:dyDescent="0.25">
      <c r="A9155" s="2" t="s">
        <v>6561</v>
      </c>
      <c r="B9155" s="2" t="s">
        <v>5624</v>
      </c>
      <c r="C9155" s="2">
        <v>6</v>
      </c>
      <c r="D9155" t="str">
        <f t="shared" ref="D9155:D9218" si="143">A9155&amp;"_"&amp;B9155</f>
        <v>US-2017-125647_OFF-AP-10000390</v>
      </c>
      <c r="E9155" t="str">
        <f>IF(COUNTIF(data1!$D:$D,D9155)=0,"Missing in Data1","Present")</f>
        <v>Present</v>
      </c>
    </row>
    <row r="9156" spans="1:5" x14ac:dyDescent="0.25">
      <c r="A9156" s="2" t="s">
        <v>6561</v>
      </c>
      <c r="B9156" s="2" t="s">
        <v>581</v>
      </c>
      <c r="C9156" s="2">
        <v>4</v>
      </c>
      <c r="D9156" t="str">
        <f t="shared" si="143"/>
        <v>US-2017-125647_OFF-PA-10004888</v>
      </c>
      <c r="E9156" t="str">
        <f>IF(COUNTIF(data1!$D:$D,D9156)=0,"Missing in Data1","Present")</f>
        <v>Present</v>
      </c>
    </row>
    <row r="9157" spans="1:5" x14ac:dyDescent="0.25">
      <c r="A9157" s="2" t="s">
        <v>6561</v>
      </c>
      <c r="B9157" s="2" t="s">
        <v>633</v>
      </c>
      <c r="C9157" s="2">
        <v>2</v>
      </c>
      <c r="D9157" t="str">
        <f t="shared" si="143"/>
        <v>US-2017-125647_TEC-PH-10004188</v>
      </c>
      <c r="E9157" t="str">
        <f>IF(COUNTIF(data1!$D:$D,D9157)=0,"Missing in Data1","Present")</f>
        <v>Present</v>
      </c>
    </row>
    <row r="9158" spans="1:5" x14ac:dyDescent="0.25">
      <c r="A9158" s="2" t="s">
        <v>6562</v>
      </c>
      <c r="B9158" s="2" t="s">
        <v>1845</v>
      </c>
      <c r="C9158" s="2">
        <v>1</v>
      </c>
      <c r="D9158" t="str">
        <f t="shared" si="143"/>
        <v>US-2017-125717_FUR-FU-10001979</v>
      </c>
      <c r="E9158" t="str">
        <f>IF(COUNTIF(data1!$D:$D,D9158)=0,"Missing in Data1","Present")</f>
        <v>Present</v>
      </c>
    </row>
    <row r="9159" spans="1:5" x14ac:dyDescent="0.25">
      <c r="A9159" s="2" t="s">
        <v>6562</v>
      </c>
      <c r="B9159" s="2" t="s">
        <v>3826</v>
      </c>
      <c r="C9159" s="2">
        <v>2</v>
      </c>
      <c r="D9159" t="str">
        <f t="shared" si="143"/>
        <v>US-2017-125717_OFF-AP-10000891</v>
      </c>
      <c r="E9159" t="str">
        <f>IF(COUNTIF(data1!$D:$D,D9159)=0,"Missing in Data1","Present")</f>
        <v>Present</v>
      </c>
    </row>
    <row r="9160" spans="1:5" x14ac:dyDescent="0.25">
      <c r="A9160" s="2" t="s">
        <v>6562</v>
      </c>
      <c r="B9160" s="2" t="s">
        <v>2324</v>
      </c>
      <c r="C9160" s="2">
        <v>4</v>
      </c>
      <c r="D9160" t="str">
        <f t="shared" si="143"/>
        <v>US-2017-125717_OFF-BI-10001718</v>
      </c>
      <c r="E9160" t="str">
        <f>IF(COUNTIF(data1!$D:$D,D9160)=0,"Missing in Data1","Present")</f>
        <v>Present</v>
      </c>
    </row>
    <row r="9161" spans="1:5" x14ac:dyDescent="0.25">
      <c r="A9161" s="2" t="s">
        <v>6562</v>
      </c>
      <c r="B9161" s="2" t="s">
        <v>1469</v>
      </c>
      <c r="C9161" s="2">
        <v>3</v>
      </c>
      <c r="D9161" t="str">
        <f t="shared" si="143"/>
        <v>US-2017-125717_OFF-PA-10003022</v>
      </c>
      <c r="E9161" t="str">
        <f>IF(COUNTIF(data1!$D:$D,D9161)=0,"Missing in Data1","Present")</f>
        <v>Present</v>
      </c>
    </row>
    <row r="9162" spans="1:5" x14ac:dyDescent="0.25">
      <c r="A9162" s="2" t="s">
        <v>6562</v>
      </c>
      <c r="B9162" s="2" t="s">
        <v>374</v>
      </c>
      <c r="C9162" s="2">
        <v>2</v>
      </c>
      <c r="D9162" t="str">
        <f t="shared" si="143"/>
        <v>US-2017-125717_OFF-ST-10001522</v>
      </c>
      <c r="E9162" t="str">
        <f>IF(COUNTIF(data1!$D:$D,D9162)=0,"Missing in Data1","Present")</f>
        <v>Present</v>
      </c>
    </row>
    <row r="9163" spans="1:5" x14ac:dyDescent="0.25">
      <c r="A9163" s="2" t="s">
        <v>6563</v>
      </c>
      <c r="B9163" s="2" t="s">
        <v>2752</v>
      </c>
      <c r="C9163" s="2">
        <v>2</v>
      </c>
      <c r="D9163" t="str">
        <f t="shared" si="143"/>
        <v>US-2017-125808_OFF-PA-10001846</v>
      </c>
      <c r="E9163" t="str">
        <f>IF(COUNTIF(data1!$D:$D,D9163)=0,"Missing in Data1","Present")</f>
        <v>Present</v>
      </c>
    </row>
    <row r="9164" spans="1:5" x14ac:dyDescent="0.25">
      <c r="A9164" s="2" t="s">
        <v>6564</v>
      </c>
      <c r="B9164" s="2" t="s">
        <v>3457</v>
      </c>
      <c r="C9164" s="2">
        <v>2</v>
      </c>
      <c r="D9164" t="str">
        <f t="shared" si="143"/>
        <v>US-2017-126053_FUR-FU-10001934</v>
      </c>
      <c r="E9164" t="str">
        <f>IF(COUNTIF(data1!$D:$D,D9164)=0,"Missing in Data1","Present")</f>
        <v>Present</v>
      </c>
    </row>
    <row r="9165" spans="1:5" x14ac:dyDescent="0.25">
      <c r="A9165" s="2" t="s">
        <v>6564</v>
      </c>
      <c r="B9165" s="2" t="s">
        <v>1849</v>
      </c>
      <c r="C9165" s="2">
        <v>3</v>
      </c>
      <c r="D9165" t="str">
        <f t="shared" si="143"/>
        <v>US-2017-126053_OFF-LA-10003766</v>
      </c>
      <c r="E9165" t="str">
        <f>IF(COUNTIF(data1!$D:$D,D9165)=0,"Missing in Data1","Present")</f>
        <v>Present</v>
      </c>
    </row>
    <row r="9166" spans="1:5" x14ac:dyDescent="0.25">
      <c r="A9166" s="2" t="s">
        <v>6565</v>
      </c>
      <c r="B9166" s="2" t="s">
        <v>1403</v>
      </c>
      <c r="C9166" s="2">
        <v>8</v>
      </c>
      <c r="D9166" t="str">
        <f t="shared" si="143"/>
        <v>US-2017-126060_FUR-BO-10003433</v>
      </c>
      <c r="E9166" t="str">
        <f>IF(COUNTIF(data1!$D:$D,D9166)=0,"Missing in Data1","Present")</f>
        <v>Present</v>
      </c>
    </row>
    <row r="9167" spans="1:5" x14ac:dyDescent="0.25">
      <c r="A9167" s="2" t="s">
        <v>6566</v>
      </c>
      <c r="B9167" s="2" t="s">
        <v>3471</v>
      </c>
      <c r="C9167" s="2">
        <v>1</v>
      </c>
      <c r="D9167" t="str">
        <f t="shared" si="143"/>
        <v>US-2017-126081_OFF-PA-10003953</v>
      </c>
      <c r="E9167" t="str">
        <f>IF(COUNTIF(data1!$D:$D,D9167)=0,"Missing in Data1","Present")</f>
        <v>Present</v>
      </c>
    </row>
    <row r="9168" spans="1:5" x14ac:dyDescent="0.25">
      <c r="A9168" s="2" t="s">
        <v>6567</v>
      </c>
      <c r="B9168" s="2" t="s">
        <v>2577</v>
      </c>
      <c r="C9168" s="2">
        <v>1</v>
      </c>
      <c r="D9168" t="str">
        <f t="shared" si="143"/>
        <v>US-2017-126179_FUR-FU-10002554</v>
      </c>
      <c r="E9168" t="str">
        <f>IF(COUNTIF(data1!$D:$D,D9168)=0,"Missing in Data1","Present")</f>
        <v>Present</v>
      </c>
    </row>
    <row r="9169" spans="1:5" x14ac:dyDescent="0.25">
      <c r="A9169" s="2" t="s">
        <v>6567</v>
      </c>
      <c r="B9169" s="2" t="s">
        <v>312</v>
      </c>
      <c r="C9169" s="2">
        <v>3</v>
      </c>
      <c r="D9169" t="str">
        <f t="shared" si="143"/>
        <v>US-2017-126179_TEC-PH-10001557</v>
      </c>
      <c r="E9169" t="str">
        <f>IF(COUNTIF(data1!$D:$D,D9169)=0,"Missing in Data1","Present")</f>
        <v>Present</v>
      </c>
    </row>
    <row r="9170" spans="1:5" x14ac:dyDescent="0.25">
      <c r="A9170" s="2" t="s">
        <v>6568</v>
      </c>
      <c r="B9170" s="2" t="s">
        <v>2407</v>
      </c>
      <c r="C9170" s="2">
        <v>3</v>
      </c>
      <c r="D9170" t="str">
        <f t="shared" si="143"/>
        <v>US-2017-127292_OFF-AP-10000828</v>
      </c>
      <c r="E9170" t="str">
        <f>IF(COUNTIF(data1!$D:$D,D9170)=0,"Missing in Data1","Present")</f>
        <v>Present</v>
      </c>
    </row>
    <row r="9171" spans="1:5" x14ac:dyDescent="0.25">
      <c r="A9171" s="2" t="s">
        <v>6568</v>
      </c>
      <c r="B9171" s="2" t="s">
        <v>2505</v>
      </c>
      <c r="C9171" s="2">
        <v>1</v>
      </c>
      <c r="D9171" t="str">
        <f t="shared" si="143"/>
        <v>US-2017-127292_OFF-EN-10001509</v>
      </c>
      <c r="E9171" t="str">
        <f>IF(COUNTIF(data1!$D:$D,D9171)=0,"Missing in Data1","Present")</f>
        <v>Present</v>
      </c>
    </row>
    <row r="9172" spans="1:5" x14ac:dyDescent="0.25">
      <c r="A9172" s="2" t="s">
        <v>6568</v>
      </c>
      <c r="B9172" s="2" t="s">
        <v>2602</v>
      </c>
      <c r="C9172" s="2">
        <v>4</v>
      </c>
      <c r="D9172" t="str">
        <f t="shared" si="143"/>
        <v>US-2017-127292_OFF-PA-10000157</v>
      </c>
      <c r="E9172" t="str">
        <f>IF(COUNTIF(data1!$D:$D,D9172)=0,"Missing in Data1","Present")</f>
        <v>Present</v>
      </c>
    </row>
    <row r="9173" spans="1:5" x14ac:dyDescent="0.25">
      <c r="A9173" s="2" t="s">
        <v>6568</v>
      </c>
      <c r="B9173" s="2" t="s">
        <v>1039</v>
      </c>
      <c r="C9173" s="2">
        <v>1</v>
      </c>
      <c r="D9173" t="str">
        <f t="shared" si="143"/>
        <v>US-2017-127292_OFF-PA-10001970</v>
      </c>
      <c r="E9173" t="str">
        <f>IF(COUNTIF(data1!$D:$D,D9173)=0,"Missing in Data1","Present")</f>
        <v>Present</v>
      </c>
    </row>
    <row r="9174" spans="1:5" x14ac:dyDescent="0.25">
      <c r="A9174" s="2" t="s">
        <v>6569</v>
      </c>
      <c r="B9174" s="2" t="s">
        <v>401</v>
      </c>
      <c r="C9174" s="2">
        <v>4</v>
      </c>
      <c r="D9174" t="str">
        <f t="shared" si="143"/>
        <v>US-2017-127341_OFF-BI-10001072</v>
      </c>
      <c r="E9174" t="str">
        <f>IF(COUNTIF(data1!$D:$D,D9174)=0,"Missing in Data1","Present")</f>
        <v>Present</v>
      </c>
    </row>
    <row r="9175" spans="1:5" x14ac:dyDescent="0.25">
      <c r="A9175" s="2" t="s">
        <v>6570</v>
      </c>
      <c r="B9175" s="2" t="s">
        <v>3575</v>
      </c>
      <c r="C9175" s="2">
        <v>1</v>
      </c>
      <c r="D9175" t="str">
        <f t="shared" si="143"/>
        <v>US-2017-127719_OFF-PA-10001934</v>
      </c>
      <c r="E9175" t="str">
        <f>IF(COUNTIF(data1!$D:$D,D9175)=0,"Missing in Data1","Present")</f>
        <v>Present</v>
      </c>
    </row>
    <row r="9176" spans="1:5" x14ac:dyDescent="0.25">
      <c r="A9176" s="2" t="s">
        <v>6571</v>
      </c>
      <c r="B9176" s="2" t="s">
        <v>4685</v>
      </c>
      <c r="C9176" s="2">
        <v>3</v>
      </c>
      <c r="D9176" t="str">
        <f t="shared" si="143"/>
        <v>US-2017-128118_OFF-BI-10000216</v>
      </c>
      <c r="E9176" t="str">
        <f>IF(COUNTIF(data1!$D:$D,D9176)=0,"Missing in Data1","Present")</f>
        <v>Present</v>
      </c>
    </row>
    <row r="9177" spans="1:5" x14ac:dyDescent="0.25">
      <c r="A9177" s="2" t="s">
        <v>6571</v>
      </c>
      <c r="B9177" s="2" t="s">
        <v>6572</v>
      </c>
      <c r="C9177" s="2">
        <v>7</v>
      </c>
      <c r="D9177" t="str">
        <f t="shared" si="143"/>
        <v>US-2017-128118_OFF-EN-10003448</v>
      </c>
      <c r="E9177" t="str">
        <f>IF(COUNTIF(data1!$D:$D,D9177)=0,"Missing in Data1","Present")</f>
        <v>Present</v>
      </c>
    </row>
    <row r="9178" spans="1:5" x14ac:dyDescent="0.25">
      <c r="A9178" s="2" t="s">
        <v>6573</v>
      </c>
      <c r="B9178" s="2" t="s">
        <v>3408</v>
      </c>
      <c r="C9178" s="2">
        <v>4</v>
      </c>
      <c r="D9178" t="str">
        <f t="shared" si="143"/>
        <v>US-2017-128398_TEC-AC-10001714</v>
      </c>
      <c r="E9178" t="str">
        <f>IF(COUNTIF(data1!$D:$D,D9178)=0,"Missing in Data1","Present")</f>
        <v>Present</v>
      </c>
    </row>
    <row r="9179" spans="1:5" x14ac:dyDescent="0.25">
      <c r="A9179" s="2" t="s">
        <v>6574</v>
      </c>
      <c r="B9179" s="2" t="s">
        <v>5216</v>
      </c>
      <c r="C9179" s="2">
        <v>5</v>
      </c>
      <c r="D9179" t="str">
        <f t="shared" si="143"/>
        <v>US-2017-128447_OFF-AP-10004540</v>
      </c>
      <c r="E9179" t="str">
        <f>IF(COUNTIF(data1!$D:$D,D9179)=0,"Missing in Data1","Present")</f>
        <v>Present</v>
      </c>
    </row>
    <row r="9180" spans="1:5" x14ac:dyDescent="0.25">
      <c r="A9180" s="2" t="s">
        <v>6574</v>
      </c>
      <c r="B9180" s="2" t="s">
        <v>1413</v>
      </c>
      <c r="C9180" s="2">
        <v>1</v>
      </c>
      <c r="D9180" t="str">
        <f t="shared" si="143"/>
        <v>US-2017-128447_OFF-BI-10001543</v>
      </c>
      <c r="E9180" t="str">
        <f>IF(COUNTIF(data1!$D:$D,D9180)=0,"Missing in Data1","Present")</f>
        <v>Present</v>
      </c>
    </row>
    <row r="9181" spans="1:5" x14ac:dyDescent="0.25">
      <c r="A9181" s="2" t="s">
        <v>6575</v>
      </c>
      <c r="B9181" s="2" t="s">
        <v>3648</v>
      </c>
      <c r="C9181" s="2">
        <v>2</v>
      </c>
      <c r="D9181" t="str">
        <f t="shared" si="143"/>
        <v>US-2017-128832_TEC-AC-10004855</v>
      </c>
      <c r="E9181" t="str">
        <f>IF(COUNTIF(data1!$D:$D,D9181)=0,"Missing in Data1","Present")</f>
        <v>Present</v>
      </c>
    </row>
    <row r="9182" spans="1:5" x14ac:dyDescent="0.25">
      <c r="A9182" s="2" t="s">
        <v>6576</v>
      </c>
      <c r="B9182" s="2" t="s">
        <v>939</v>
      </c>
      <c r="C9182" s="2">
        <v>3</v>
      </c>
      <c r="D9182" t="str">
        <f t="shared" si="143"/>
        <v>US-2017-128951_FUR-TA-10004575</v>
      </c>
      <c r="E9182" t="str">
        <f>IF(COUNTIF(data1!$D:$D,D9182)=0,"Missing in Data1","Present")</f>
        <v>Present</v>
      </c>
    </row>
    <row r="9183" spans="1:5" x14ac:dyDescent="0.25">
      <c r="A9183" s="2" t="s">
        <v>6576</v>
      </c>
      <c r="B9183" s="2" t="s">
        <v>1704</v>
      </c>
      <c r="C9183" s="2">
        <v>3</v>
      </c>
      <c r="D9183" t="str">
        <f t="shared" si="143"/>
        <v>US-2017-128951_OFF-AP-10002191</v>
      </c>
      <c r="E9183" t="str">
        <f>IF(COUNTIF(data1!$D:$D,D9183)=0,"Missing in Data1","Present")</f>
        <v>Present</v>
      </c>
    </row>
    <row r="9184" spans="1:5" x14ac:dyDescent="0.25">
      <c r="A9184" s="2" t="s">
        <v>6576</v>
      </c>
      <c r="B9184" s="2" t="s">
        <v>1158</v>
      </c>
      <c r="C9184" s="2">
        <v>2</v>
      </c>
      <c r="D9184" t="str">
        <f t="shared" si="143"/>
        <v>US-2017-128951_OFF-PA-10003177</v>
      </c>
      <c r="E9184" t="str">
        <f>IF(COUNTIF(data1!$D:$D,D9184)=0,"Missing in Data1","Present")</f>
        <v>Present</v>
      </c>
    </row>
    <row r="9185" spans="1:5" x14ac:dyDescent="0.25">
      <c r="A9185" s="2" t="s">
        <v>6577</v>
      </c>
      <c r="B9185" s="2" t="s">
        <v>2398</v>
      </c>
      <c r="C9185" s="2">
        <v>4</v>
      </c>
      <c r="D9185" t="str">
        <f t="shared" si="143"/>
        <v>US-2017-129203_OFF-ST-10001418</v>
      </c>
      <c r="E9185" t="str">
        <f>IF(COUNTIF(data1!$D:$D,D9185)=0,"Missing in Data1","Present")</f>
        <v>Present</v>
      </c>
    </row>
    <row r="9186" spans="1:5" x14ac:dyDescent="0.25">
      <c r="A9186" s="2" t="s">
        <v>6578</v>
      </c>
      <c r="B9186" s="2" t="s">
        <v>2339</v>
      </c>
      <c r="C9186" s="2">
        <v>2</v>
      </c>
      <c r="D9186" t="str">
        <f t="shared" si="143"/>
        <v>US-2017-129224_OFF-LA-10003190</v>
      </c>
      <c r="E9186" t="str">
        <f>IF(COUNTIF(data1!$D:$D,D9186)=0,"Missing in Data1","Present")</f>
        <v>Present</v>
      </c>
    </row>
    <row r="9187" spans="1:5" x14ac:dyDescent="0.25">
      <c r="A9187" s="2" t="s">
        <v>6579</v>
      </c>
      <c r="B9187" s="2" t="s">
        <v>1649</v>
      </c>
      <c r="C9187" s="2">
        <v>3</v>
      </c>
      <c r="D9187" t="str">
        <f t="shared" si="143"/>
        <v>US-2017-129441_FUR-FU-10000448</v>
      </c>
      <c r="E9187" t="str">
        <f>IF(COUNTIF(data1!$D:$D,D9187)=0,"Missing in Data1","Present")</f>
        <v>Present</v>
      </c>
    </row>
    <row r="9188" spans="1:5" x14ac:dyDescent="0.25">
      <c r="A9188" s="2" t="s">
        <v>6580</v>
      </c>
      <c r="B9188" s="2" t="s">
        <v>1039</v>
      </c>
      <c r="C9188" s="2">
        <v>2</v>
      </c>
      <c r="D9188" t="str">
        <f t="shared" si="143"/>
        <v>US-2017-129777_OFF-PA-10001970</v>
      </c>
      <c r="E9188" t="str">
        <f>IF(COUNTIF(data1!$D:$D,D9188)=0,"Missing in Data1","Present")</f>
        <v>Missing in Data1</v>
      </c>
    </row>
    <row r="9189" spans="1:5" x14ac:dyDescent="0.25">
      <c r="A9189" s="2" t="s">
        <v>6580</v>
      </c>
      <c r="B9189" s="2" t="s">
        <v>2468</v>
      </c>
      <c r="C9189" s="2">
        <v>10</v>
      </c>
      <c r="D9189" t="str">
        <f t="shared" si="143"/>
        <v>US-2017-129777_TEC-AC-10003590</v>
      </c>
      <c r="E9189" t="str">
        <f>IF(COUNTIF(data1!$D:$D,D9189)=0,"Missing in Data1","Present")</f>
        <v>Present</v>
      </c>
    </row>
    <row r="9190" spans="1:5" x14ac:dyDescent="0.25">
      <c r="A9190" s="2" t="s">
        <v>6581</v>
      </c>
      <c r="B9190" s="2" t="s">
        <v>3260</v>
      </c>
      <c r="C9190" s="2">
        <v>9</v>
      </c>
      <c r="D9190" t="str">
        <f t="shared" si="143"/>
        <v>US-2017-130603_OFF-BI-10000301</v>
      </c>
      <c r="E9190" t="str">
        <f>IF(COUNTIF(data1!$D:$D,D9190)=0,"Missing in Data1","Present")</f>
        <v>Present</v>
      </c>
    </row>
    <row r="9191" spans="1:5" x14ac:dyDescent="0.25">
      <c r="A9191" s="2" t="s">
        <v>6582</v>
      </c>
      <c r="B9191" s="2" t="s">
        <v>3539</v>
      </c>
      <c r="C9191" s="2">
        <v>4</v>
      </c>
      <c r="D9191" t="str">
        <f t="shared" si="143"/>
        <v>US-2017-130687_FUR-FU-10004053</v>
      </c>
      <c r="E9191" t="str">
        <f>IF(COUNTIF(data1!$D:$D,D9191)=0,"Missing in Data1","Present")</f>
        <v>Present</v>
      </c>
    </row>
    <row r="9192" spans="1:5" x14ac:dyDescent="0.25">
      <c r="A9192" s="2" t="s">
        <v>6582</v>
      </c>
      <c r="B9192" s="2" t="s">
        <v>4929</v>
      </c>
      <c r="C9192" s="2">
        <v>1</v>
      </c>
      <c r="D9192" t="str">
        <f t="shared" si="143"/>
        <v>US-2017-130687_OFF-AR-10004260</v>
      </c>
      <c r="E9192" t="str">
        <f>IF(COUNTIF(data1!$D:$D,D9192)=0,"Missing in Data1","Present")</f>
        <v>Present</v>
      </c>
    </row>
    <row r="9193" spans="1:5" x14ac:dyDescent="0.25">
      <c r="A9193" s="2" t="s">
        <v>6582</v>
      </c>
      <c r="B9193" s="2" t="s">
        <v>547</v>
      </c>
      <c r="C9193" s="2">
        <v>2</v>
      </c>
      <c r="D9193" t="str">
        <f t="shared" si="143"/>
        <v>US-2017-130687_TEC-PH-10002033</v>
      </c>
      <c r="E9193" t="str">
        <f>IF(COUNTIF(data1!$D:$D,D9193)=0,"Missing in Data1","Present")</f>
        <v>Present</v>
      </c>
    </row>
    <row r="9194" spans="1:5" x14ac:dyDescent="0.25">
      <c r="A9194" s="2" t="s">
        <v>6583</v>
      </c>
      <c r="B9194" s="2" t="s">
        <v>524</v>
      </c>
      <c r="C9194" s="2">
        <v>3</v>
      </c>
      <c r="D9194" t="str">
        <f t="shared" si="143"/>
        <v>US-2017-130953_FUR-CH-10004626</v>
      </c>
      <c r="E9194" t="str">
        <f>IF(COUNTIF(data1!$D:$D,D9194)=0,"Missing in Data1","Present")</f>
        <v>Present</v>
      </c>
    </row>
    <row r="9195" spans="1:5" x14ac:dyDescent="0.25">
      <c r="A9195" s="2" t="s">
        <v>6583</v>
      </c>
      <c r="B9195" s="2" t="s">
        <v>1787</v>
      </c>
      <c r="C9195" s="2">
        <v>2</v>
      </c>
      <c r="D9195" t="str">
        <f t="shared" si="143"/>
        <v>US-2017-130953_OFF-AP-10002311</v>
      </c>
      <c r="E9195" t="str">
        <f>IF(COUNTIF(data1!$D:$D,D9195)=0,"Missing in Data1","Present")</f>
        <v>Present</v>
      </c>
    </row>
    <row r="9196" spans="1:5" x14ac:dyDescent="0.25">
      <c r="A9196" s="2" t="s">
        <v>6583</v>
      </c>
      <c r="B9196" s="2" t="s">
        <v>1106</v>
      </c>
      <c r="C9196" s="2">
        <v>2</v>
      </c>
      <c r="D9196" t="str">
        <f t="shared" si="143"/>
        <v>US-2017-130953_OFF-BI-10004828</v>
      </c>
      <c r="E9196" t="str">
        <f>IF(COUNTIF(data1!$D:$D,D9196)=0,"Missing in Data1","Present")</f>
        <v>Missing in Data1</v>
      </c>
    </row>
    <row r="9197" spans="1:5" x14ac:dyDescent="0.25">
      <c r="A9197" s="2" t="s">
        <v>6583</v>
      </c>
      <c r="B9197" s="2" t="s">
        <v>1980</v>
      </c>
      <c r="C9197" s="2">
        <v>3</v>
      </c>
      <c r="D9197" t="str">
        <f t="shared" si="143"/>
        <v>US-2017-130953_TEC-PH-10003012</v>
      </c>
      <c r="E9197" t="str">
        <f>IF(COUNTIF(data1!$D:$D,D9197)=0,"Missing in Data1","Present")</f>
        <v>Present</v>
      </c>
    </row>
    <row r="9198" spans="1:5" x14ac:dyDescent="0.25">
      <c r="A9198" s="2" t="s">
        <v>6584</v>
      </c>
      <c r="B9198" s="2" t="s">
        <v>2655</v>
      </c>
      <c r="C9198" s="2">
        <v>6</v>
      </c>
      <c r="D9198" t="str">
        <f t="shared" si="143"/>
        <v>US-2017-131583_OFF-PA-10000380</v>
      </c>
      <c r="E9198" t="str">
        <f>IF(COUNTIF(data1!$D:$D,D9198)=0,"Missing in Data1","Present")</f>
        <v>Present</v>
      </c>
    </row>
    <row r="9199" spans="1:5" x14ac:dyDescent="0.25">
      <c r="A9199" s="2" t="s">
        <v>6585</v>
      </c>
      <c r="B9199" s="2" t="s">
        <v>6335</v>
      </c>
      <c r="C9199" s="2">
        <v>1</v>
      </c>
      <c r="D9199" t="str">
        <f t="shared" si="143"/>
        <v>US-2017-131849_FUR-FU-10004164</v>
      </c>
      <c r="E9199" t="str">
        <f>IF(COUNTIF(data1!$D:$D,D9199)=0,"Missing in Data1","Present")</f>
        <v>Present</v>
      </c>
    </row>
    <row r="9200" spans="1:5" x14ac:dyDescent="0.25">
      <c r="A9200" s="2" t="s">
        <v>6585</v>
      </c>
      <c r="B9200" s="2" t="s">
        <v>1045</v>
      </c>
      <c r="C9200" s="2">
        <v>5</v>
      </c>
      <c r="D9200" t="str">
        <f t="shared" si="143"/>
        <v>US-2017-131849_OFF-ST-10002957</v>
      </c>
      <c r="E9200" t="str">
        <f>IF(COUNTIF(data1!$D:$D,D9200)=0,"Missing in Data1","Present")</f>
        <v>Present</v>
      </c>
    </row>
    <row r="9201" spans="1:5" x14ac:dyDescent="0.25">
      <c r="A9201" s="2" t="s">
        <v>6586</v>
      </c>
      <c r="B9201" s="2" t="s">
        <v>1190</v>
      </c>
      <c r="C9201" s="2">
        <v>4</v>
      </c>
      <c r="D9201" t="str">
        <f t="shared" si="143"/>
        <v>US-2017-131961_OFF-AR-10004441</v>
      </c>
      <c r="E9201" t="str">
        <f>IF(COUNTIF(data1!$D:$D,D9201)=0,"Missing in Data1","Present")</f>
        <v>Present</v>
      </c>
    </row>
    <row r="9202" spans="1:5" x14ac:dyDescent="0.25">
      <c r="A9202" s="2" t="s">
        <v>6586</v>
      </c>
      <c r="B9202" s="2" t="s">
        <v>4307</v>
      </c>
      <c r="C9202" s="2">
        <v>2</v>
      </c>
      <c r="D9202" t="str">
        <f t="shared" si="143"/>
        <v>US-2017-131961_TEC-PH-10001924</v>
      </c>
      <c r="E9202" t="str">
        <f>IF(COUNTIF(data1!$D:$D,D9202)=0,"Missing in Data1","Present")</f>
        <v>Present</v>
      </c>
    </row>
    <row r="9203" spans="1:5" x14ac:dyDescent="0.25">
      <c r="A9203" s="2" t="s">
        <v>6587</v>
      </c>
      <c r="B9203" s="2" t="s">
        <v>1343</v>
      </c>
      <c r="C9203" s="2">
        <v>4</v>
      </c>
      <c r="D9203" t="str">
        <f t="shared" si="143"/>
        <v>US-2017-132031_FUR-BO-10001972</v>
      </c>
      <c r="E9203" t="str">
        <f>IF(COUNTIF(data1!$D:$D,D9203)=0,"Missing in Data1","Present")</f>
        <v>Present</v>
      </c>
    </row>
    <row r="9204" spans="1:5" x14ac:dyDescent="0.25">
      <c r="A9204" s="2" t="s">
        <v>6587</v>
      </c>
      <c r="B9204" s="2" t="s">
        <v>846</v>
      </c>
      <c r="C9204" s="2">
        <v>3</v>
      </c>
      <c r="D9204" t="str">
        <f t="shared" si="143"/>
        <v>US-2017-132031_FUR-FU-10000193</v>
      </c>
      <c r="E9204" t="str">
        <f>IF(COUNTIF(data1!$D:$D,D9204)=0,"Missing in Data1","Present")</f>
        <v>Present</v>
      </c>
    </row>
    <row r="9205" spans="1:5" x14ac:dyDescent="0.25">
      <c r="A9205" s="2" t="s">
        <v>6587</v>
      </c>
      <c r="B9205" s="2" t="s">
        <v>3604</v>
      </c>
      <c r="C9205" s="2">
        <v>1</v>
      </c>
      <c r="D9205" t="str">
        <f t="shared" si="143"/>
        <v>US-2017-132031_OFF-LA-10000081</v>
      </c>
      <c r="E9205" t="str">
        <f>IF(COUNTIF(data1!$D:$D,D9205)=0,"Missing in Data1","Present")</f>
        <v>Present</v>
      </c>
    </row>
    <row r="9206" spans="1:5" x14ac:dyDescent="0.25">
      <c r="A9206" s="2" t="s">
        <v>6587</v>
      </c>
      <c r="B9206" s="2" t="s">
        <v>1076</v>
      </c>
      <c r="C9206" s="2">
        <v>2</v>
      </c>
      <c r="D9206" t="str">
        <f t="shared" si="143"/>
        <v>US-2017-132031_TEC-AC-10002473</v>
      </c>
      <c r="E9206" t="str">
        <f>IF(COUNTIF(data1!$D:$D,D9206)=0,"Missing in Data1","Present")</f>
        <v>Present</v>
      </c>
    </row>
    <row r="9207" spans="1:5" x14ac:dyDescent="0.25">
      <c r="A9207" s="2" t="s">
        <v>6588</v>
      </c>
      <c r="B9207" s="2" t="s">
        <v>2465</v>
      </c>
      <c r="C9207" s="2">
        <v>2</v>
      </c>
      <c r="D9207" t="str">
        <f t="shared" si="143"/>
        <v>US-2017-132059_FUR-BO-10001811</v>
      </c>
      <c r="E9207" t="str">
        <f>IF(COUNTIF(data1!$D:$D,D9207)=0,"Missing in Data1","Present")</f>
        <v>Present</v>
      </c>
    </row>
    <row r="9208" spans="1:5" x14ac:dyDescent="0.25">
      <c r="A9208" s="2" t="s">
        <v>6588</v>
      </c>
      <c r="B9208" s="2" t="s">
        <v>1870</v>
      </c>
      <c r="C9208" s="2">
        <v>2</v>
      </c>
      <c r="D9208" t="str">
        <f t="shared" si="143"/>
        <v>US-2017-132059_TEC-AC-10003280</v>
      </c>
      <c r="E9208" t="str">
        <f>IF(COUNTIF(data1!$D:$D,D9208)=0,"Missing in Data1","Present")</f>
        <v>Present</v>
      </c>
    </row>
    <row r="9209" spans="1:5" x14ac:dyDescent="0.25">
      <c r="A9209" s="2" t="s">
        <v>6589</v>
      </c>
      <c r="B9209" s="2" t="s">
        <v>1651</v>
      </c>
      <c r="C9209" s="2">
        <v>7</v>
      </c>
      <c r="D9209" t="str">
        <f t="shared" si="143"/>
        <v>US-2017-132206_OFF-BI-10000756</v>
      </c>
      <c r="E9209" t="str">
        <f>IF(COUNTIF(data1!$D:$D,D9209)=0,"Missing in Data1","Present")</f>
        <v>Present</v>
      </c>
    </row>
    <row r="9210" spans="1:5" x14ac:dyDescent="0.25">
      <c r="A9210" s="2" t="s">
        <v>6590</v>
      </c>
      <c r="B9210" s="2" t="s">
        <v>963</v>
      </c>
      <c r="C9210" s="2">
        <v>6</v>
      </c>
      <c r="D9210" t="str">
        <f t="shared" si="143"/>
        <v>US-2017-132220_TEC-AC-10004227</v>
      </c>
      <c r="E9210" t="str">
        <f>IF(COUNTIF(data1!$D:$D,D9210)=0,"Missing in Data1","Present")</f>
        <v>Present</v>
      </c>
    </row>
    <row r="9211" spans="1:5" x14ac:dyDescent="0.25">
      <c r="A9211" s="2" t="s">
        <v>6591</v>
      </c>
      <c r="B9211" s="2" t="s">
        <v>2638</v>
      </c>
      <c r="C9211" s="2">
        <v>2</v>
      </c>
      <c r="D9211" t="str">
        <f t="shared" si="143"/>
        <v>US-2017-132297_OFF-BI-10003364</v>
      </c>
      <c r="E9211" t="str">
        <f>IF(COUNTIF(data1!$D:$D,D9211)=0,"Missing in Data1","Present")</f>
        <v>Present</v>
      </c>
    </row>
    <row r="9212" spans="1:5" x14ac:dyDescent="0.25">
      <c r="A9212" s="2" t="s">
        <v>6591</v>
      </c>
      <c r="B9212" s="2" t="s">
        <v>4776</v>
      </c>
      <c r="C9212" s="2">
        <v>3</v>
      </c>
      <c r="D9212" t="str">
        <f t="shared" si="143"/>
        <v>US-2017-132297_TEC-PH-10002834</v>
      </c>
      <c r="E9212" t="str">
        <f>IF(COUNTIF(data1!$D:$D,D9212)=0,"Missing in Data1","Present")</f>
        <v>Present</v>
      </c>
    </row>
    <row r="9213" spans="1:5" x14ac:dyDescent="0.25">
      <c r="A9213" s="2" t="s">
        <v>6593</v>
      </c>
      <c r="B9213" s="2" t="s">
        <v>301</v>
      </c>
      <c r="C9213" s="2">
        <v>2</v>
      </c>
      <c r="D9213" t="str">
        <f t="shared" si="143"/>
        <v>US-2017-132444_OFF-BI-10001116</v>
      </c>
      <c r="E9213" t="str">
        <f>IF(COUNTIF(data1!$D:$D,D9213)=0,"Missing in Data1","Present")</f>
        <v>Present</v>
      </c>
    </row>
    <row r="9214" spans="1:5" x14ac:dyDescent="0.25">
      <c r="A9214" s="2" t="s">
        <v>6593</v>
      </c>
      <c r="B9214" s="2" t="s">
        <v>11</v>
      </c>
      <c r="C9214" s="2">
        <v>2</v>
      </c>
      <c r="D9214" t="str">
        <f t="shared" si="143"/>
        <v>US-2017-132444_OFF-FA-10000611</v>
      </c>
      <c r="E9214" t="str">
        <f>IF(COUNTIF(data1!$D:$D,D9214)=0,"Missing in Data1","Present")</f>
        <v>Present</v>
      </c>
    </row>
    <row r="9215" spans="1:5" x14ac:dyDescent="0.25">
      <c r="A9215" s="2" t="s">
        <v>6593</v>
      </c>
      <c r="B9215" s="2" t="s">
        <v>1339</v>
      </c>
      <c r="C9215" s="2">
        <v>3</v>
      </c>
      <c r="D9215" t="str">
        <f t="shared" si="143"/>
        <v>US-2017-132444_OFF-ST-10000563</v>
      </c>
      <c r="E9215" t="str">
        <f>IF(COUNTIF(data1!$D:$D,D9215)=0,"Missing in Data1","Present")</f>
        <v>Present</v>
      </c>
    </row>
    <row r="9216" spans="1:5" x14ac:dyDescent="0.25">
      <c r="A9216" s="2" t="s">
        <v>6593</v>
      </c>
      <c r="B9216" s="2" t="s">
        <v>71</v>
      </c>
      <c r="C9216" s="2">
        <v>6</v>
      </c>
      <c r="D9216" t="str">
        <f t="shared" si="143"/>
        <v>US-2017-132444_OFF-ST-10003442</v>
      </c>
      <c r="E9216" t="str">
        <f>IF(COUNTIF(data1!$D:$D,D9216)=0,"Missing in Data1","Present")</f>
        <v>Present</v>
      </c>
    </row>
    <row r="9217" spans="1:5" x14ac:dyDescent="0.25">
      <c r="A9217" s="2" t="s">
        <v>6593</v>
      </c>
      <c r="B9217" s="2" t="s">
        <v>877</v>
      </c>
      <c r="C9217" s="2">
        <v>4</v>
      </c>
      <c r="D9217" t="str">
        <f t="shared" si="143"/>
        <v>US-2017-132444_TEC-AC-10003832</v>
      </c>
      <c r="E9217" t="str">
        <f>IF(COUNTIF(data1!$D:$D,D9217)=0,"Missing in Data1","Present")</f>
        <v>Present</v>
      </c>
    </row>
    <row r="9218" spans="1:5" x14ac:dyDescent="0.25">
      <c r="A9218" s="2" t="s">
        <v>6594</v>
      </c>
      <c r="B9218" s="2" t="s">
        <v>903</v>
      </c>
      <c r="C9218" s="2">
        <v>3</v>
      </c>
      <c r="D9218" t="str">
        <f t="shared" si="143"/>
        <v>US-2017-132675_OFF-AR-10000034</v>
      </c>
      <c r="E9218" t="str">
        <f>IF(COUNTIF(data1!$D:$D,D9218)=0,"Missing in Data1","Present")</f>
        <v>Present</v>
      </c>
    </row>
    <row r="9219" spans="1:5" x14ac:dyDescent="0.25">
      <c r="A9219" s="2" t="s">
        <v>6594</v>
      </c>
      <c r="B9219" s="2" t="s">
        <v>2841</v>
      </c>
      <c r="C9219" s="2">
        <v>4</v>
      </c>
      <c r="D9219" t="str">
        <f t="shared" ref="D9219:D9282" si="144">A9219&amp;"_"&amp;B9219</f>
        <v>US-2017-132675_OFF-AR-10000614</v>
      </c>
      <c r="E9219" t="str">
        <f>IF(COUNTIF(data1!$D:$D,D9219)=0,"Missing in Data1","Present")</f>
        <v>Present</v>
      </c>
    </row>
    <row r="9220" spans="1:5" x14ac:dyDescent="0.25">
      <c r="A9220" s="2" t="s">
        <v>6594</v>
      </c>
      <c r="B9220" s="2" t="s">
        <v>1849</v>
      </c>
      <c r="C9220" s="2">
        <v>5</v>
      </c>
      <c r="D9220" t="str">
        <f t="shared" si="144"/>
        <v>US-2017-132675_OFF-LA-10003766</v>
      </c>
      <c r="E9220" t="str">
        <f>IF(COUNTIF(data1!$D:$D,D9220)=0,"Missing in Data1","Present")</f>
        <v>Present</v>
      </c>
    </row>
    <row r="9221" spans="1:5" x14ac:dyDescent="0.25">
      <c r="A9221" s="2" t="s">
        <v>6594</v>
      </c>
      <c r="B9221" s="2" t="s">
        <v>45</v>
      </c>
      <c r="C9221" s="2">
        <v>1</v>
      </c>
      <c r="D9221" t="str">
        <f t="shared" si="144"/>
        <v>US-2017-132675_OFF-ST-10004950</v>
      </c>
      <c r="E9221" t="str">
        <f>IF(COUNTIF(data1!$D:$D,D9221)=0,"Missing in Data1","Present")</f>
        <v>Present</v>
      </c>
    </row>
    <row r="9222" spans="1:5" x14ac:dyDescent="0.25">
      <c r="A9222" s="2" t="s">
        <v>6594</v>
      </c>
      <c r="B9222" s="2" t="s">
        <v>1288</v>
      </c>
      <c r="C9222" s="2">
        <v>2</v>
      </c>
      <c r="D9222" t="str">
        <f t="shared" si="144"/>
        <v>US-2017-132675_TEC-PH-10003171</v>
      </c>
      <c r="E9222" t="str">
        <f>IF(COUNTIF(data1!$D:$D,D9222)=0,"Missing in Data1","Present")</f>
        <v>Present</v>
      </c>
    </row>
    <row r="9223" spans="1:5" x14ac:dyDescent="0.25">
      <c r="A9223" s="2" t="s">
        <v>6595</v>
      </c>
      <c r="B9223" s="2" t="s">
        <v>301</v>
      </c>
      <c r="C9223" s="2">
        <v>7</v>
      </c>
      <c r="D9223" t="str">
        <f t="shared" si="144"/>
        <v>US-2017-132927_OFF-BI-10001116</v>
      </c>
      <c r="E9223" t="str">
        <f>IF(COUNTIF(data1!$D:$D,D9223)=0,"Missing in Data1","Present")</f>
        <v>Present</v>
      </c>
    </row>
    <row r="9224" spans="1:5" x14ac:dyDescent="0.25">
      <c r="A9224" s="2" t="s">
        <v>6596</v>
      </c>
      <c r="B9224" s="2" t="s">
        <v>4103</v>
      </c>
      <c r="C9224" s="2">
        <v>1</v>
      </c>
      <c r="D9224" t="str">
        <f t="shared" si="144"/>
        <v>US-2017-133081_FUR-FU-10001379</v>
      </c>
      <c r="E9224" t="str">
        <f>IF(COUNTIF(data1!$D:$D,D9224)=0,"Missing in Data1","Present")</f>
        <v>Present</v>
      </c>
    </row>
    <row r="9225" spans="1:5" x14ac:dyDescent="0.25">
      <c r="A9225" s="2" t="s">
        <v>6596</v>
      </c>
      <c r="B9225" s="2" t="s">
        <v>1779</v>
      </c>
      <c r="C9225" s="2">
        <v>4</v>
      </c>
      <c r="D9225" t="str">
        <f t="shared" si="144"/>
        <v>US-2017-133081_TEC-AC-10001772</v>
      </c>
      <c r="E9225" t="str">
        <f>IF(COUNTIF(data1!$D:$D,D9225)=0,"Missing in Data1","Present")</f>
        <v>Present</v>
      </c>
    </row>
    <row r="9226" spans="1:5" x14ac:dyDescent="0.25">
      <c r="A9226" s="2" t="s">
        <v>6597</v>
      </c>
      <c r="B9226" s="2" t="s">
        <v>1306</v>
      </c>
      <c r="C9226" s="2">
        <v>7</v>
      </c>
      <c r="D9226" t="str">
        <f t="shared" si="144"/>
        <v>US-2017-133200_FUR-BO-10001601</v>
      </c>
      <c r="E9226" t="str">
        <f>IF(COUNTIF(data1!$D:$D,D9226)=0,"Missing in Data1","Present")</f>
        <v>Present</v>
      </c>
    </row>
    <row r="9227" spans="1:5" x14ac:dyDescent="0.25">
      <c r="A9227" s="2" t="s">
        <v>6597</v>
      </c>
      <c r="B9227" s="2" t="s">
        <v>403</v>
      </c>
      <c r="C9227" s="2">
        <v>10</v>
      </c>
      <c r="D9227" t="str">
        <f t="shared" si="144"/>
        <v>US-2017-133200_OFF-BI-10002827</v>
      </c>
      <c r="E9227" t="str">
        <f>IF(COUNTIF(data1!$D:$D,D9227)=0,"Missing in Data1","Present")</f>
        <v>Present</v>
      </c>
    </row>
    <row r="9228" spans="1:5" x14ac:dyDescent="0.25">
      <c r="A9228" s="2" t="s">
        <v>6597</v>
      </c>
      <c r="B9228" s="2" t="s">
        <v>342</v>
      </c>
      <c r="C9228" s="2">
        <v>5</v>
      </c>
      <c r="D9228" t="str">
        <f t="shared" si="144"/>
        <v>US-2017-133200_OFF-ST-10001932</v>
      </c>
      <c r="E9228" t="str">
        <f>IF(COUNTIF(data1!$D:$D,D9228)=0,"Missing in Data1","Present")</f>
        <v>Present</v>
      </c>
    </row>
    <row r="9229" spans="1:5" x14ac:dyDescent="0.25">
      <c r="A9229" s="2" t="s">
        <v>6598</v>
      </c>
      <c r="B9229" s="2" t="s">
        <v>815</v>
      </c>
      <c r="C9229" s="2">
        <v>3</v>
      </c>
      <c r="D9229" t="str">
        <f t="shared" si="144"/>
        <v>US-2017-133312_FUR-BO-10002213</v>
      </c>
      <c r="E9229" t="str">
        <f>IF(COUNTIF(data1!$D:$D,D9229)=0,"Missing in Data1","Present")</f>
        <v>Present</v>
      </c>
    </row>
    <row r="9230" spans="1:5" x14ac:dyDescent="0.25">
      <c r="A9230" s="2" t="s">
        <v>6598</v>
      </c>
      <c r="B9230" s="2" t="s">
        <v>2467</v>
      </c>
      <c r="C9230" s="2">
        <v>1</v>
      </c>
      <c r="D9230" t="str">
        <f t="shared" si="144"/>
        <v>US-2017-133312_OFF-ST-10001325</v>
      </c>
      <c r="E9230" t="str">
        <f>IF(COUNTIF(data1!$D:$D,D9230)=0,"Missing in Data1","Present")</f>
        <v>Present</v>
      </c>
    </row>
    <row r="9231" spans="1:5" x14ac:dyDescent="0.25">
      <c r="A9231" s="2" t="s">
        <v>6599</v>
      </c>
      <c r="B9231" s="2" t="s">
        <v>1766</v>
      </c>
      <c r="C9231" s="2">
        <v>2</v>
      </c>
      <c r="D9231" t="str">
        <f t="shared" si="144"/>
        <v>US-2017-133361_FUR-CH-10003298</v>
      </c>
      <c r="E9231" t="str">
        <f>IF(COUNTIF(data1!$D:$D,D9231)=0,"Missing in Data1","Present")</f>
        <v>Present</v>
      </c>
    </row>
    <row r="9232" spans="1:5" x14ac:dyDescent="0.25">
      <c r="A9232" s="2" t="s">
        <v>6599</v>
      </c>
      <c r="B9232" s="2" t="s">
        <v>899</v>
      </c>
      <c r="C9232" s="2">
        <v>2</v>
      </c>
      <c r="D9232" t="str">
        <f t="shared" si="144"/>
        <v>US-2017-133361_OFF-AR-10001919</v>
      </c>
      <c r="E9232" t="str">
        <f>IF(COUNTIF(data1!$D:$D,D9232)=0,"Missing in Data1","Present")</f>
        <v>Present</v>
      </c>
    </row>
    <row r="9233" spans="1:5" x14ac:dyDescent="0.25">
      <c r="A9233" s="2" t="s">
        <v>6599</v>
      </c>
      <c r="B9233" s="2" t="s">
        <v>298</v>
      </c>
      <c r="C9233" s="2">
        <v>5</v>
      </c>
      <c r="D9233" t="str">
        <f t="shared" si="144"/>
        <v>US-2017-133361_OFF-AR-10003045</v>
      </c>
      <c r="E9233" t="str">
        <f>IF(COUNTIF(data1!$D:$D,D9233)=0,"Missing in Data1","Present")</f>
        <v>Present</v>
      </c>
    </row>
    <row r="9234" spans="1:5" x14ac:dyDescent="0.25">
      <c r="A9234" s="2" t="s">
        <v>6599</v>
      </c>
      <c r="B9234" s="2" t="s">
        <v>904</v>
      </c>
      <c r="C9234" s="2">
        <v>5</v>
      </c>
      <c r="D9234" t="str">
        <f t="shared" si="144"/>
        <v>US-2017-133361_OFF-AR-10003338</v>
      </c>
      <c r="E9234" t="str">
        <f>IF(COUNTIF(data1!$D:$D,D9234)=0,"Missing in Data1","Present")</f>
        <v>Present</v>
      </c>
    </row>
    <row r="9235" spans="1:5" x14ac:dyDescent="0.25">
      <c r="A9235" s="2" t="s">
        <v>6599</v>
      </c>
      <c r="B9235" s="2" t="s">
        <v>2582</v>
      </c>
      <c r="C9235" s="2">
        <v>5</v>
      </c>
      <c r="D9235" t="str">
        <f t="shared" si="144"/>
        <v>US-2017-133361_OFF-LA-10004544</v>
      </c>
      <c r="E9235" t="str">
        <f>IF(COUNTIF(data1!$D:$D,D9235)=0,"Missing in Data1","Present")</f>
        <v>Present</v>
      </c>
    </row>
    <row r="9236" spans="1:5" x14ac:dyDescent="0.25">
      <c r="A9236" s="2" t="s">
        <v>6599</v>
      </c>
      <c r="B9236" s="2" t="s">
        <v>1870</v>
      </c>
      <c r="C9236" s="2">
        <v>3</v>
      </c>
      <c r="D9236" t="str">
        <f t="shared" si="144"/>
        <v>US-2017-133361_TEC-AC-10003280</v>
      </c>
      <c r="E9236" t="str">
        <f>IF(COUNTIF(data1!$D:$D,D9236)=0,"Missing in Data1","Present")</f>
        <v>Missing in Data1</v>
      </c>
    </row>
    <row r="9237" spans="1:5" x14ac:dyDescent="0.25">
      <c r="A9237" s="2" t="s">
        <v>6869</v>
      </c>
      <c r="B9237" s="2" t="s">
        <v>1494</v>
      </c>
      <c r="C9237" s="2">
        <v>3</v>
      </c>
      <c r="D9237" t="str">
        <f t="shared" si="144"/>
        <v>US-2017-133781_OFF-EN-10004483</v>
      </c>
      <c r="E9237" t="str">
        <f>IF(COUNTIF(data1!$D:$D,D9237)=0,"Missing in Data1","Present")</f>
        <v>Missing in Data1</v>
      </c>
    </row>
    <row r="9238" spans="1:5" x14ac:dyDescent="0.25">
      <c r="A9238" s="2" t="s">
        <v>6600</v>
      </c>
      <c r="B9238" s="2" t="s">
        <v>3246</v>
      </c>
      <c r="C9238" s="2">
        <v>7</v>
      </c>
      <c r="D9238" t="str">
        <f t="shared" si="144"/>
        <v>US-2017-134481_FUR-TA-10004915</v>
      </c>
      <c r="E9238" t="str">
        <f>IF(COUNTIF(data1!$D:$D,D9238)=0,"Missing in Data1","Present")</f>
        <v>Present</v>
      </c>
    </row>
    <row r="9239" spans="1:5" x14ac:dyDescent="0.25">
      <c r="A9239" s="2" t="s">
        <v>6601</v>
      </c>
      <c r="B9239" s="2" t="s">
        <v>1960</v>
      </c>
      <c r="C9239" s="2">
        <v>5</v>
      </c>
      <c r="D9239" t="str">
        <f t="shared" si="144"/>
        <v>US-2017-134642_FUR-BO-10004709</v>
      </c>
      <c r="E9239" t="str">
        <f>IF(COUNTIF(data1!$D:$D,D9239)=0,"Missing in Data1","Present")</f>
        <v>Present</v>
      </c>
    </row>
    <row r="9240" spans="1:5" x14ac:dyDescent="0.25">
      <c r="A9240" s="2" t="s">
        <v>6601</v>
      </c>
      <c r="B9240" s="2" t="s">
        <v>1497</v>
      </c>
      <c r="C9240" s="2">
        <v>2</v>
      </c>
      <c r="D9240" t="str">
        <f t="shared" si="144"/>
        <v>US-2017-134642_FUR-CH-10002880</v>
      </c>
      <c r="E9240" t="str">
        <f>IF(COUNTIF(data1!$D:$D,D9240)=0,"Missing in Data1","Present")</f>
        <v>Present</v>
      </c>
    </row>
    <row r="9241" spans="1:5" x14ac:dyDescent="0.25">
      <c r="A9241" s="2" t="s">
        <v>6602</v>
      </c>
      <c r="B9241" s="2" t="s">
        <v>567</v>
      </c>
      <c r="C9241" s="2">
        <v>5</v>
      </c>
      <c r="D9241" t="str">
        <f t="shared" si="144"/>
        <v>US-2017-135013_TEC-CO-10001449</v>
      </c>
      <c r="E9241" t="str">
        <f>IF(COUNTIF(data1!$D:$D,D9241)=0,"Missing in Data1","Present")</f>
        <v>Present</v>
      </c>
    </row>
    <row r="9242" spans="1:5" x14ac:dyDescent="0.25">
      <c r="A9242" s="2" t="s">
        <v>6603</v>
      </c>
      <c r="B9242" s="2" t="s">
        <v>915</v>
      </c>
      <c r="C9242" s="2">
        <v>7</v>
      </c>
      <c r="D9242" t="str">
        <f t="shared" si="144"/>
        <v>US-2017-135062_OFF-PA-10000100</v>
      </c>
      <c r="E9242" t="str">
        <f>IF(COUNTIF(data1!$D:$D,D9242)=0,"Missing in Data1","Present")</f>
        <v>Present</v>
      </c>
    </row>
    <row r="9243" spans="1:5" x14ac:dyDescent="0.25">
      <c r="A9243" s="2" t="s">
        <v>6604</v>
      </c>
      <c r="B9243" s="2" t="s">
        <v>2352</v>
      </c>
      <c r="C9243" s="2">
        <v>1</v>
      </c>
      <c r="D9243" t="str">
        <f t="shared" si="144"/>
        <v>US-2017-135230_OFF-AR-10001166</v>
      </c>
      <c r="E9243" t="str">
        <f>IF(COUNTIF(data1!$D:$D,D9243)=0,"Missing in Data1","Present")</f>
        <v>Present</v>
      </c>
    </row>
    <row r="9244" spans="1:5" x14ac:dyDescent="0.25">
      <c r="A9244" s="2" t="s">
        <v>6605</v>
      </c>
      <c r="B9244" s="2" t="s">
        <v>1325</v>
      </c>
      <c r="C9244" s="2">
        <v>2</v>
      </c>
      <c r="D9244" t="str">
        <f t="shared" si="144"/>
        <v>US-2017-135503_FUR-FU-10002364</v>
      </c>
      <c r="E9244" t="str">
        <f>IF(COUNTIF(data1!$D:$D,D9244)=0,"Missing in Data1","Present")</f>
        <v>Present</v>
      </c>
    </row>
    <row r="9245" spans="1:5" x14ac:dyDescent="0.25">
      <c r="A9245" s="2" t="s">
        <v>6606</v>
      </c>
      <c r="B9245" s="2" t="s">
        <v>4611</v>
      </c>
      <c r="C9245" s="2">
        <v>5</v>
      </c>
      <c r="D9245" t="str">
        <f t="shared" si="144"/>
        <v>US-2017-135986_OFF-PA-10001534</v>
      </c>
      <c r="E9245" t="str">
        <f>IF(COUNTIF(data1!$D:$D,D9245)=0,"Missing in Data1","Present")</f>
        <v>Present</v>
      </c>
    </row>
    <row r="9246" spans="1:5" x14ac:dyDescent="0.25">
      <c r="A9246" s="2" t="s">
        <v>6606</v>
      </c>
      <c r="B9246" s="2" t="s">
        <v>350</v>
      </c>
      <c r="C9246" s="2">
        <v>4</v>
      </c>
      <c r="D9246" t="str">
        <f t="shared" si="144"/>
        <v>US-2017-135986_TEC-PH-10003691</v>
      </c>
      <c r="E9246" t="str">
        <f>IF(COUNTIF(data1!$D:$D,D9246)=0,"Missing in Data1","Present")</f>
        <v>Present</v>
      </c>
    </row>
    <row r="9247" spans="1:5" x14ac:dyDescent="0.25">
      <c r="A9247" s="2" t="s">
        <v>6607</v>
      </c>
      <c r="B9247" s="2" t="s">
        <v>4530</v>
      </c>
      <c r="C9247" s="2">
        <v>6</v>
      </c>
      <c r="D9247" t="str">
        <f t="shared" si="144"/>
        <v>US-2017-136189_FUR-FU-10000175</v>
      </c>
      <c r="E9247" t="str">
        <f>IF(COUNTIF(data1!$D:$D,D9247)=0,"Missing in Data1","Present")</f>
        <v>Present</v>
      </c>
    </row>
    <row r="9248" spans="1:5" x14ac:dyDescent="0.25">
      <c r="A9248" s="2" t="s">
        <v>6608</v>
      </c>
      <c r="B9248" s="2" t="s">
        <v>2183</v>
      </c>
      <c r="C9248" s="2">
        <v>2</v>
      </c>
      <c r="D9248" t="str">
        <f t="shared" si="144"/>
        <v>US-2017-136679_OFF-AR-10003582</v>
      </c>
      <c r="E9248" t="str">
        <f>IF(COUNTIF(data1!$D:$D,D9248)=0,"Missing in Data1","Present")</f>
        <v>Present</v>
      </c>
    </row>
    <row r="9249" spans="1:5" x14ac:dyDescent="0.25">
      <c r="A9249" s="2" t="s">
        <v>6608</v>
      </c>
      <c r="B9249" s="2" t="s">
        <v>3648</v>
      </c>
      <c r="C9249" s="2">
        <v>6</v>
      </c>
      <c r="D9249" t="str">
        <f t="shared" si="144"/>
        <v>US-2017-136679_TEC-AC-10004855</v>
      </c>
      <c r="E9249" t="str">
        <f>IF(COUNTIF(data1!$D:$D,D9249)=0,"Missing in Data1","Present")</f>
        <v>Present</v>
      </c>
    </row>
    <row r="9250" spans="1:5" x14ac:dyDescent="0.25">
      <c r="A9250" s="2" t="s">
        <v>6609</v>
      </c>
      <c r="B9250" s="2" t="s">
        <v>2342</v>
      </c>
      <c r="C9250" s="2">
        <v>4</v>
      </c>
      <c r="D9250" t="str">
        <f t="shared" si="144"/>
        <v>US-2017-136707_OFF-BI-10003460</v>
      </c>
      <c r="E9250" t="str">
        <f>IF(COUNTIF(data1!$D:$D,D9250)=0,"Missing in Data1","Present")</f>
        <v>Present</v>
      </c>
    </row>
    <row r="9251" spans="1:5" x14ac:dyDescent="0.25">
      <c r="A9251" s="2" t="s">
        <v>6610</v>
      </c>
      <c r="B9251" s="2" t="s">
        <v>1357</v>
      </c>
      <c r="C9251" s="2">
        <v>3</v>
      </c>
      <c r="D9251" t="str">
        <f t="shared" si="144"/>
        <v>US-2017-136721_FUR-FU-10004188</v>
      </c>
      <c r="E9251" t="str">
        <f>IF(COUNTIF(data1!$D:$D,D9251)=0,"Missing in Data1","Present")</f>
        <v>Present</v>
      </c>
    </row>
    <row r="9252" spans="1:5" x14ac:dyDescent="0.25">
      <c r="A9252" s="2" t="s">
        <v>6610</v>
      </c>
      <c r="B9252" s="2" t="s">
        <v>973</v>
      </c>
      <c r="C9252" s="2">
        <v>2</v>
      </c>
      <c r="D9252" t="str">
        <f t="shared" si="144"/>
        <v>US-2017-136721_FUR-FU-10004665</v>
      </c>
      <c r="E9252" t="str">
        <f>IF(COUNTIF(data1!$D:$D,D9252)=0,"Missing in Data1","Present")</f>
        <v>Present</v>
      </c>
    </row>
    <row r="9253" spans="1:5" x14ac:dyDescent="0.25">
      <c r="A9253" s="2" t="s">
        <v>6612</v>
      </c>
      <c r="B9253" s="2" t="s">
        <v>592</v>
      </c>
      <c r="C9253" s="2">
        <v>3</v>
      </c>
      <c r="D9253" t="str">
        <f t="shared" si="144"/>
        <v>US-2017-136868_OFF-PA-10002377</v>
      </c>
      <c r="E9253" t="str">
        <f>IF(COUNTIF(data1!$D:$D,D9253)=0,"Missing in Data1","Present")</f>
        <v>Present</v>
      </c>
    </row>
    <row r="9254" spans="1:5" x14ac:dyDescent="0.25">
      <c r="A9254" s="2" t="s">
        <v>6612</v>
      </c>
      <c r="B9254" s="2" t="s">
        <v>632</v>
      </c>
      <c r="C9254" s="2">
        <v>3</v>
      </c>
      <c r="D9254" t="str">
        <f t="shared" si="144"/>
        <v>US-2017-136868_OFF-ST-10000991</v>
      </c>
      <c r="E9254" t="str">
        <f>IF(COUNTIF(data1!$D:$D,D9254)=0,"Missing in Data1","Present")</f>
        <v>Present</v>
      </c>
    </row>
    <row r="9255" spans="1:5" x14ac:dyDescent="0.25">
      <c r="A9255" s="2" t="s">
        <v>6612</v>
      </c>
      <c r="B9255" s="2" t="s">
        <v>1217</v>
      </c>
      <c r="C9255" s="2">
        <v>4</v>
      </c>
      <c r="D9255" t="str">
        <f t="shared" si="144"/>
        <v>US-2017-136868_TEC-AC-10001539</v>
      </c>
      <c r="E9255" t="str">
        <f>IF(COUNTIF(data1!$D:$D,D9255)=0,"Missing in Data1","Present")</f>
        <v>Present</v>
      </c>
    </row>
    <row r="9256" spans="1:5" x14ac:dyDescent="0.25">
      <c r="A9256" s="2" t="s">
        <v>6613</v>
      </c>
      <c r="B9256" s="2" t="s">
        <v>62</v>
      </c>
      <c r="C9256" s="2">
        <v>2</v>
      </c>
      <c r="D9256" t="str">
        <f t="shared" si="144"/>
        <v>US-2017-137491_FUR-CH-10004675</v>
      </c>
      <c r="E9256" t="str">
        <f>IF(COUNTIF(data1!$D:$D,D9256)=0,"Missing in Data1","Present")</f>
        <v>Present</v>
      </c>
    </row>
    <row r="9257" spans="1:5" x14ac:dyDescent="0.25">
      <c r="A9257" s="2" t="s">
        <v>6614</v>
      </c>
      <c r="B9257" s="2" t="s">
        <v>5459</v>
      </c>
      <c r="C9257" s="2">
        <v>3</v>
      </c>
      <c r="D9257" t="str">
        <f t="shared" si="144"/>
        <v>US-2017-138086_OFF-AP-10000027</v>
      </c>
      <c r="E9257" t="str">
        <f>IF(COUNTIF(data1!$D:$D,D9257)=0,"Missing in Data1","Present")</f>
        <v>Present</v>
      </c>
    </row>
    <row r="9258" spans="1:5" x14ac:dyDescent="0.25">
      <c r="A9258" s="2" t="s">
        <v>6615</v>
      </c>
      <c r="B9258" s="2" t="s">
        <v>546</v>
      </c>
      <c r="C9258" s="2">
        <v>6</v>
      </c>
      <c r="D9258" t="str">
        <f t="shared" si="144"/>
        <v>US-2017-139465_OFF-BI-10003910</v>
      </c>
      <c r="E9258" t="str">
        <f>IF(COUNTIF(data1!$D:$D,D9258)=0,"Missing in Data1","Present")</f>
        <v>Present</v>
      </c>
    </row>
    <row r="9259" spans="1:5" x14ac:dyDescent="0.25">
      <c r="A9259" s="2" t="s">
        <v>6615</v>
      </c>
      <c r="B9259" s="2" t="s">
        <v>1579</v>
      </c>
      <c r="C9259" s="2">
        <v>8</v>
      </c>
      <c r="D9259" t="str">
        <f t="shared" si="144"/>
        <v>US-2017-139465_OFF-ST-10002352</v>
      </c>
      <c r="E9259" t="str">
        <f>IF(COUNTIF(data1!$D:$D,D9259)=0,"Missing in Data1","Present")</f>
        <v>Present</v>
      </c>
    </row>
    <row r="9260" spans="1:5" x14ac:dyDescent="0.25">
      <c r="A9260" s="2" t="s">
        <v>6615</v>
      </c>
      <c r="B9260" s="2" t="s">
        <v>767</v>
      </c>
      <c r="C9260" s="2">
        <v>3</v>
      </c>
      <c r="D9260" t="str">
        <f t="shared" si="144"/>
        <v>US-2017-139465_TEC-PH-10000455</v>
      </c>
      <c r="E9260" t="str">
        <f>IF(COUNTIF(data1!$D:$D,D9260)=0,"Missing in Data1","Present")</f>
        <v>Present</v>
      </c>
    </row>
    <row r="9261" spans="1:5" x14ac:dyDescent="0.25">
      <c r="A9261" s="2" t="s">
        <v>6616</v>
      </c>
      <c r="B9261" s="2" t="s">
        <v>2373</v>
      </c>
      <c r="C9261" s="2">
        <v>5</v>
      </c>
      <c r="D9261" t="str">
        <f t="shared" si="144"/>
        <v>US-2017-139577_TEC-AC-10004708</v>
      </c>
      <c r="E9261" t="str">
        <f>IF(COUNTIF(data1!$D:$D,D9261)=0,"Missing in Data1","Present")</f>
        <v>Present</v>
      </c>
    </row>
    <row r="9262" spans="1:5" x14ac:dyDescent="0.25">
      <c r="A9262" s="2" t="s">
        <v>6617</v>
      </c>
      <c r="B9262" s="2" t="s">
        <v>489</v>
      </c>
      <c r="C9262" s="2">
        <v>7</v>
      </c>
      <c r="D9262" t="str">
        <f t="shared" si="144"/>
        <v>US-2017-139647_FUR-BO-10004467</v>
      </c>
      <c r="E9262" t="str">
        <f>IF(COUNTIF(data1!$D:$D,D9262)=0,"Missing in Data1","Present")</f>
        <v>Present</v>
      </c>
    </row>
    <row r="9263" spans="1:5" x14ac:dyDescent="0.25">
      <c r="A9263" s="2" t="s">
        <v>6618</v>
      </c>
      <c r="B9263" s="2" t="s">
        <v>2150</v>
      </c>
      <c r="C9263" s="2">
        <v>1</v>
      </c>
      <c r="D9263" t="str">
        <f t="shared" si="144"/>
        <v>US-2017-139955_OFF-SU-10001935</v>
      </c>
      <c r="E9263" t="str">
        <f>IF(COUNTIF(data1!$D:$D,D9263)=0,"Missing in Data1","Present")</f>
        <v>Present</v>
      </c>
    </row>
    <row r="9264" spans="1:5" x14ac:dyDescent="0.25">
      <c r="A9264" s="2" t="s">
        <v>6619</v>
      </c>
      <c r="B9264" s="2" t="s">
        <v>2314</v>
      </c>
      <c r="C9264" s="2">
        <v>3</v>
      </c>
      <c r="D9264" t="str">
        <f t="shared" si="144"/>
        <v>US-2017-139969_FUR-CH-10001973</v>
      </c>
      <c r="E9264" t="str">
        <f>IF(COUNTIF(data1!$D:$D,D9264)=0,"Missing in Data1","Present")</f>
        <v>Present</v>
      </c>
    </row>
    <row r="9265" spans="1:5" x14ac:dyDescent="0.25">
      <c r="A9265" s="2" t="s">
        <v>6620</v>
      </c>
      <c r="B9265" s="2" t="s">
        <v>4663</v>
      </c>
      <c r="C9265" s="2">
        <v>6</v>
      </c>
      <c r="D9265" t="str">
        <f t="shared" si="144"/>
        <v>US-2017-140074_OFF-PA-10002741</v>
      </c>
      <c r="E9265" t="str">
        <f>IF(COUNTIF(data1!$D:$D,D9265)=0,"Missing in Data1","Present")</f>
        <v>Present</v>
      </c>
    </row>
    <row r="9266" spans="1:5" x14ac:dyDescent="0.25">
      <c r="A9266" s="2" t="s">
        <v>6621</v>
      </c>
      <c r="B9266" s="2" t="s">
        <v>3626</v>
      </c>
      <c r="C9266" s="2">
        <v>5</v>
      </c>
      <c r="D9266" t="str">
        <f t="shared" si="144"/>
        <v>US-2017-140312_TEC-PH-10003442</v>
      </c>
      <c r="E9266" t="str">
        <f>IF(COUNTIF(data1!$D:$D,D9266)=0,"Missing in Data1","Present")</f>
        <v>Present</v>
      </c>
    </row>
    <row r="9267" spans="1:5" x14ac:dyDescent="0.25">
      <c r="A9267" s="2" t="s">
        <v>6622</v>
      </c>
      <c r="B9267" s="2" t="s">
        <v>5663</v>
      </c>
      <c r="C9267" s="2">
        <v>3</v>
      </c>
      <c r="D9267" t="str">
        <f t="shared" si="144"/>
        <v>US-2017-140907_OFF-AR-10000799</v>
      </c>
      <c r="E9267" t="str">
        <f>IF(COUNTIF(data1!$D:$D,D9267)=0,"Missing in Data1","Present")</f>
        <v>Present</v>
      </c>
    </row>
    <row r="9268" spans="1:5" x14ac:dyDescent="0.25">
      <c r="A9268" s="2" t="s">
        <v>6622</v>
      </c>
      <c r="B9268" s="2" t="s">
        <v>2918</v>
      </c>
      <c r="C9268" s="2">
        <v>5</v>
      </c>
      <c r="D9268" t="str">
        <f t="shared" si="144"/>
        <v>US-2017-140907_OFF-ST-10000060</v>
      </c>
      <c r="E9268" t="str">
        <f>IF(COUNTIF(data1!$D:$D,D9268)=0,"Missing in Data1","Present")</f>
        <v>Present</v>
      </c>
    </row>
    <row r="9269" spans="1:5" x14ac:dyDescent="0.25">
      <c r="A9269" s="2" t="s">
        <v>6622</v>
      </c>
      <c r="B9269" s="2" t="s">
        <v>676</v>
      </c>
      <c r="C9269" s="2">
        <v>3</v>
      </c>
      <c r="D9269" t="str">
        <f t="shared" si="144"/>
        <v>US-2017-140907_TEC-AC-10004510</v>
      </c>
      <c r="E9269" t="str">
        <f>IF(COUNTIF(data1!$D:$D,D9269)=0,"Missing in Data1","Present")</f>
        <v>Present</v>
      </c>
    </row>
    <row r="9270" spans="1:5" x14ac:dyDescent="0.25">
      <c r="A9270" s="2" t="s">
        <v>6623</v>
      </c>
      <c r="B9270" s="2" t="s">
        <v>585</v>
      </c>
      <c r="C9270" s="2">
        <v>5</v>
      </c>
      <c r="D9270" t="str">
        <f t="shared" si="144"/>
        <v>US-2017-141509_OFF-AR-10002067</v>
      </c>
      <c r="E9270" t="str">
        <f>IF(COUNTIF(data1!$D:$D,D9270)=0,"Missing in Data1","Present")</f>
        <v>Present</v>
      </c>
    </row>
    <row r="9271" spans="1:5" x14ac:dyDescent="0.25">
      <c r="A9271" s="2" t="s">
        <v>6624</v>
      </c>
      <c r="B9271" s="2" t="s">
        <v>1100</v>
      </c>
      <c r="C9271" s="2">
        <v>3</v>
      </c>
      <c r="D9271" t="str">
        <f t="shared" si="144"/>
        <v>US-2017-141558_FUR-TA-10004086</v>
      </c>
      <c r="E9271" t="str">
        <f>IF(COUNTIF(data1!$D:$D,D9271)=0,"Missing in Data1","Present")</f>
        <v>Present</v>
      </c>
    </row>
    <row r="9272" spans="1:5" x14ac:dyDescent="0.25">
      <c r="A9272" s="2" t="s">
        <v>6624</v>
      </c>
      <c r="B9272" s="2" t="s">
        <v>1483</v>
      </c>
      <c r="C9272" s="2">
        <v>1</v>
      </c>
      <c r="D9272" t="str">
        <f t="shared" si="144"/>
        <v>US-2017-141558_OFF-BI-10002794</v>
      </c>
      <c r="E9272" t="str">
        <f>IF(COUNTIF(data1!$D:$D,D9272)=0,"Missing in Data1","Present")</f>
        <v>Present</v>
      </c>
    </row>
    <row r="9273" spans="1:5" x14ac:dyDescent="0.25">
      <c r="A9273" s="2" t="s">
        <v>6624</v>
      </c>
      <c r="B9273" s="2" t="s">
        <v>1354</v>
      </c>
      <c r="C9273" s="2">
        <v>1</v>
      </c>
      <c r="D9273" t="str">
        <f t="shared" si="144"/>
        <v>US-2017-141558_OFF-ST-10004946</v>
      </c>
      <c r="E9273" t="str">
        <f>IF(COUNTIF(data1!$D:$D,D9273)=0,"Missing in Data1","Present")</f>
        <v>Present</v>
      </c>
    </row>
    <row r="9274" spans="1:5" x14ac:dyDescent="0.25">
      <c r="A9274" s="2" t="s">
        <v>6624</v>
      </c>
      <c r="B9274" s="2" t="s">
        <v>3146</v>
      </c>
      <c r="C9274" s="2">
        <v>5</v>
      </c>
      <c r="D9274" t="str">
        <f t="shared" si="144"/>
        <v>US-2017-141558_TEC-PH-10002555</v>
      </c>
      <c r="E9274" t="str">
        <f>IF(COUNTIF(data1!$D:$D,D9274)=0,"Missing in Data1","Present")</f>
        <v>Present</v>
      </c>
    </row>
    <row r="9275" spans="1:5" x14ac:dyDescent="0.25">
      <c r="A9275" s="2" t="s">
        <v>6625</v>
      </c>
      <c r="B9275" s="2" t="s">
        <v>2238</v>
      </c>
      <c r="C9275" s="2">
        <v>8</v>
      </c>
      <c r="D9275" t="str">
        <f t="shared" si="144"/>
        <v>US-2017-141677_OFF-AP-10001205</v>
      </c>
      <c r="E9275" t="str">
        <f>IF(COUNTIF(data1!$D:$D,D9275)=0,"Missing in Data1","Present")</f>
        <v>Present</v>
      </c>
    </row>
    <row r="9276" spans="1:5" x14ac:dyDescent="0.25">
      <c r="A9276" s="2" t="s">
        <v>6625</v>
      </c>
      <c r="B9276" s="2" t="s">
        <v>1376</v>
      </c>
      <c r="C9276" s="2">
        <v>3</v>
      </c>
      <c r="D9276" t="str">
        <f t="shared" si="144"/>
        <v>US-2017-141677_OFF-PA-10002581</v>
      </c>
      <c r="E9276" t="str">
        <f>IF(COUNTIF(data1!$D:$D,D9276)=0,"Missing in Data1","Present")</f>
        <v>Present</v>
      </c>
    </row>
    <row r="9277" spans="1:5" x14ac:dyDescent="0.25">
      <c r="A9277" s="2" t="s">
        <v>6625</v>
      </c>
      <c r="B9277" s="2" t="s">
        <v>2556</v>
      </c>
      <c r="C9277" s="2">
        <v>3</v>
      </c>
      <c r="D9277" t="str">
        <f t="shared" si="144"/>
        <v>US-2017-141677_OFF-ST-10000344</v>
      </c>
      <c r="E9277" t="str">
        <f>IF(COUNTIF(data1!$D:$D,D9277)=0,"Missing in Data1","Present")</f>
        <v>Present</v>
      </c>
    </row>
    <row r="9278" spans="1:5" x14ac:dyDescent="0.25">
      <c r="A9278" s="2" t="s">
        <v>6625</v>
      </c>
      <c r="B9278" s="2" t="s">
        <v>2371</v>
      </c>
      <c r="C9278" s="2">
        <v>5</v>
      </c>
      <c r="D9278" t="str">
        <f t="shared" si="144"/>
        <v>US-2017-141677_TEC-AC-10000158</v>
      </c>
      <c r="E9278" t="str">
        <f>IF(COUNTIF(data1!$D:$D,D9278)=0,"Missing in Data1","Present")</f>
        <v>Present</v>
      </c>
    </row>
    <row r="9279" spans="1:5" x14ac:dyDescent="0.25">
      <c r="A9279" s="2" t="s">
        <v>6625</v>
      </c>
      <c r="B9279" s="2" t="s">
        <v>3011</v>
      </c>
      <c r="C9279" s="2">
        <v>5</v>
      </c>
      <c r="D9279" t="str">
        <f t="shared" si="144"/>
        <v>US-2017-141677_TEC-CO-10002313</v>
      </c>
      <c r="E9279" t="str">
        <f>IF(COUNTIF(data1!$D:$D,D9279)=0,"Missing in Data1","Present")</f>
        <v>Present</v>
      </c>
    </row>
    <row r="9280" spans="1:5" x14ac:dyDescent="0.25">
      <c r="A9280" s="2" t="s">
        <v>6626</v>
      </c>
      <c r="B9280" s="2" t="s">
        <v>6627</v>
      </c>
      <c r="C9280" s="2">
        <v>4</v>
      </c>
      <c r="D9280" t="str">
        <f t="shared" si="144"/>
        <v>US-2017-141698_OFF-PA-10001826</v>
      </c>
      <c r="E9280" t="str">
        <f>IF(COUNTIF(data1!$D:$D,D9280)=0,"Missing in Data1","Present")</f>
        <v>Present</v>
      </c>
    </row>
    <row r="9281" spans="1:5" x14ac:dyDescent="0.25">
      <c r="A9281" s="2" t="s">
        <v>6628</v>
      </c>
      <c r="B9281" s="2" t="s">
        <v>1324</v>
      </c>
      <c r="C9281" s="2">
        <v>8</v>
      </c>
      <c r="D9281" t="str">
        <f t="shared" si="144"/>
        <v>US-2017-141852_FUR-FU-10000023</v>
      </c>
      <c r="E9281" t="str">
        <f>IF(COUNTIF(data1!$D:$D,D9281)=0,"Missing in Data1","Present")</f>
        <v>Present</v>
      </c>
    </row>
    <row r="9282" spans="1:5" x14ac:dyDescent="0.25">
      <c r="A9282" s="2" t="s">
        <v>6870</v>
      </c>
      <c r="B9282" s="2" t="s">
        <v>6572</v>
      </c>
      <c r="C9282" s="2">
        <v>2</v>
      </c>
      <c r="D9282" t="str">
        <f t="shared" si="144"/>
        <v>US-2017-141943_OFF-EN-10003448</v>
      </c>
      <c r="E9282" t="str">
        <f>IF(COUNTIF(data1!$D:$D,D9282)=0,"Missing in Data1","Present")</f>
        <v>Missing in Data1</v>
      </c>
    </row>
    <row r="9283" spans="1:5" x14ac:dyDescent="0.25">
      <c r="A9283" s="2" t="s">
        <v>6629</v>
      </c>
      <c r="B9283" s="2" t="s">
        <v>2190</v>
      </c>
      <c r="C9283" s="2">
        <v>2</v>
      </c>
      <c r="D9283" t="str">
        <f t="shared" ref="D9283:D9346" si="145">A9283&amp;"_"&amp;B9283</f>
        <v>US-2017-142188_FUR-CH-10003199</v>
      </c>
      <c r="E9283" t="str">
        <f>IF(COUNTIF(data1!$D:$D,D9283)=0,"Missing in Data1","Present")</f>
        <v>Present</v>
      </c>
    </row>
    <row r="9284" spans="1:5" x14ac:dyDescent="0.25">
      <c r="A9284" s="2" t="s">
        <v>6629</v>
      </c>
      <c r="B9284" s="2" t="s">
        <v>113</v>
      </c>
      <c r="C9284" s="2">
        <v>5</v>
      </c>
      <c r="D9284" t="str">
        <f t="shared" si="145"/>
        <v>US-2017-142188_OFF-BI-10004600</v>
      </c>
      <c r="E9284" t="str">
        <f>IF(COUNTIF(data1!$D:$D,D9284)=0,"Missing in Data1","Present")</f>
        <v>Present</v>
      </c>
    </row>
    <row r="9285" spans="1:5" x14ac:dyDescent="0.25">
      <c r="A9285" s="2" t="s">
        <v>6629</v>
      </c>
      <c r="B9285" s="2" t="s">
        <v>572</v>
      </c>
      <c r="C9285" s="2">
        <v>3</v>
      </c>
      <c r="D9285" t="str">
        <f t="shared" si="145"/>
        <v>US-2017-142188_OFF-PA-10002005</v>
      </c>
      <c r="E9285" t="str">
        <f>IF(COUNTIF(data1!$D:$D,D9285)=0,"Missing in Data1","Present")</f>
        <v>Present</v>
      </c>
    </row>
    <row r="9286" spans="1:5" x14ac:dyDescent="0.25">
      <c r="A9286" s="2" t="s">
        <v>6629</v>
      </c>
      <c r="B9286" s="2" t="s">
        <v>2051</v>
      </c>
      <c r="C9286" s="2">
        <v>11</v>
      </c>
      <c r="D9286" t="str">
        <f t="shared" si="145"/>
        <v>US-2017-142188_OFF-PA-10004101</v>
      </c>
      <c r="E9286" t="str">
        <f>IF(COUNTIF(data1!$D:$D,D9286)=0,"Missing in Data1","Present")</f>
        <v>Present</v>
      </c>
    </row>
    <row r="9287" spans="1:5" x14ac:dyDescent="0.25">
      <c r="A9287" s="2" t="s">
        <v>6629</v>
      </c>
      <c r="B9287" s="2" t="s">
        <v>4514</v>
      </c>
      <c r="C9287" s="2">
        <v>5</v>
      </c>
      <c r="D9287" t="str">
        <f t="shared" si="145"/>
        <v>US-2017-142188_TEC-PH-10000127</v>
      </c>
      <c r="E9287" t="str">
        <f>IF(COUNTIF(data1!$D:$D,D9287)=0,"Missing in Data1","Present")</f>
        <v>Present</v>
      </c>
    </row>
    <row r="9288" spans="1:5" x14ac:dyDescent="0.25">
      <c r="A9288" s="2" t="s">
        <v>6630</v>
      </c>
      <c r="B9288" s="2" t="s">
        <v>665</v>
      </c>
      <c r="C9288" s="2">
        <v>3</v>
      </c>
      <c r="D9288" t="str">
        <f t="shared" si="145"/>
        <v>US-2017-142573_FUR-CH-10000513</v>
      </c>
      <c r="E9288" t="str">
        <f>IF(COUNTIF(data1!$D:$D,D9288)=0,"Missing in Data1","Present")</f>
        <v>Present</v>
      </c>
    </row>
    <row r="9289" spans="1:5" x14ac:dyDescent="0.25">
      <c r="A9289" s="2" t="s">
        <v>6630</v>
      </c>
      <c r="B9289" s="2" t="s">
        <v>1050</v>
      </c>
      <c r="C9289" s="2">
        <v>2</v>
      </c>
      <c r="D9289" t="str">
        <f t="shared" si="145"/>
        <v>US-2017-142573_FUR-CH-10004218</v>
      </c>
      <c r="E9289" t="str">
        <f>IF(COUNTIF(data1!$D:$D,D9289)=0,"Missing in Data1","Present")</f>
        <v>Present</v>
      </c>
    </row>
    <row r="9290" spans="1:5" x14ac:dyDescent="0.25">
      <c r="A9290" s="2" t="s">
        <v>6630</v>
      </c>
      <c r="B9290" s="2" t="s">
        <v>413</v>
      </c>
      <c r="C9290" s="2">
        <v>4</v>
      </c>
      <c r="D9290" t="str">
        <f t="shared" si="145"/>
        <v>US-2017-142573_OFF-BI-10003350</v>
      </c>
      <c r="E9290" t="str">
        <f>IF(COUNTIF(data1!$D:$D,D9290)=0,"Missing in Data1","Present")</f>
        <v>Present</v>
      </c>
    </row>
    <row r="9291" spans="1:5" x14ac:dyDescent="0.25">
      <c r="A9291" s="2" t="s">
        <v>6630</v>
      </c>
      <c r="B9291" s="2" t="s">
        <v>503</v>
      </c>
      <c r="C9291" s="2">
        <v>2</v>
      </c>
      <c r="D9291" t="str">
        <f t="shared" si="145"/>
        <v>US-2017-142573_OFF-PA-10000246</v>
      </c>
      <c r="E9291" t="str">
        <f>IF(COUNTIF(data1!$D:$D,D9291)=0,"Missing in Data1","Present")</f>
        <v>Present</v>
      </c>
    </row>
    <row r="9292" spans="1:5" x14ac:dyDescent="0.25">
      <c r="A9292" s="2" t="s">
        <v>6631</v>
      </c>
      <c r="B9292" s="2" t="s">
        <v>1709</v>
      </c>
      <c r="C9292" s="2">
        <v>3</v>
      </c>
      <c r="D9292" t="str">
        <f t="shared" si="145"/>
        <v>US-2017-143028_OFF-BI-10004738</v>
      </c>
      <c r="E9292" t="str">
        <f>IF(COUNTIF(data1!$D:$D,D9292)=0,"Missing in Data1","Present")</f>
        <v>Present</v>
      </c>
    </row>
    <row r="9293" spans="1:5" x14ac:dyDescent="0.25">
      <c r="A9293" s="2" t="s">
        <v>6632</v>
      </c>
      <c r="B9293" s="2" t="s">
        <v>1465</v>
      </c>
      <c r="C9293" s="2">
        <v>3</v>
      </c>
      <c r="D9293" t="str">
        <f t="shared" si="145"/>
        <v>US-2017-143175_OFF-ST-10003123</v>
      </c>
      <c r="E9293" t="str">
        <f>IF(COUNTIF(data1!$D:$D,D9293)=0,"Missing in Data1","Present")</f>
        <v>Present</v>
      </c>
    </row>
    <row r="9294" spans="1:5" x14ac:dyDescent="0.25">
      <c r="A9294" s="2" t="s">
        <v>6633</v>
      </c>
      <c r="B9294" s="2" t="s">
        <v>781</v>
      </c>
      <c r="C9294" s="2">
        <v>2</v>
      </c>
      <c r="D9294" t="str">
        <f t="shared" si="145"/>
        <v>US-2017-143770_OFF-PA-10001125</v>
      </c>
      <c r="E9294" t="str">
        <f>IF(COUNTIF(data1!$D:$D,D9294)=0,"Missing in Data1","Present")</f>
        <v>Present</v>
      </c>
    </row>
    <row r="9295" spans="1:5" x14ac:dyDescent="0.25">
      <c r="A9295" s="2" t="s">
        <v>6633</v>
      </c>
      <c r="B9295" s="2" t="s">
        <v>345</v>
      </c>
      <c r="C9295" s="2">
        <v>2</v>
      </c>
      <c r="D9295" t="str">
        <f t="shared" si="145"/>
        <v>US-2017-143770_TEC-AC-10002842</v>
      </c>
      <c r="E9295" t="str">
        <f>IF(COUNTIF(data1!$D:$D,D9295)=0,"Missing in Data1","Present")</f>
        <v>Present</v>
      </c>
    </row>
    <row r="9296" spans="1:5" x14ac:dyDescent="0.25">
      <c r="A9296" s="2" t="s">
        <v>6634</v>
      </c>
      <c r="B9296" s="2" t="s">
        <v>539</v>
      </c>
      <c r="C9296" s="2">
        <v>7</v>
      </c>
      <c r="D9296" t="str">
        <f t="shared" si="145"/>
        <v>US-2017-144582_OFF-BI-10001575</v>
      </c>
      <c r="E9296" t="str">
        <f>IF(COUNTIF(data1!$D:$D,D9296)=0,"Missing in Data1","Present")</f>
        <v>Present</v>
      </c>
    </row>
    <row r="9297" spans="1:5" x14ac:dyDescent="0.25">
      <c r="A9297" s="2" t="s">
        <v>6635</v>
      </c>
      <c r="B9297" s="2" t="s">
        <v>3016</v>
      </c>
      <c r="C9297" s="2">
        <v>3</v>
      </c>
      <c r="D9297" t="str">
        <f t="shared" si="145"/>
        <v>US-2017-145366_OFF-EN-10004386</v>
      </c>
      <c r="E9297" t="str">
        <f>IF(COUNTIF(data1!$D:$D,D9297)=0,"Missing in Data1","Present")</f>
        <v>Present</v>
      </c>
    </row>
    <row r="9298" spans="1:5" x14ac:dyDescent="0.25">
      <c r="A9298" s="2" t="s">
        <v>6635</v>
      </c>
      <c r="B9298" s="2" t="s">
        <v>3191</v>
      </c>
      <c r="C9298" s="2">
        <v>1</v>
      </c>
      <c r="D9298" t="str">
        <f t="shared" si="145"/>
        <v>US-2017-145366_OFF-ST-10004180</v>
      </c>
      <c r="E9298" t="str">
        <f>IF(COUNTIF(data1!$D:$D,D9298)=0,"Missing in Data1","Present")</f>
        <v>Present</v>
      </c>
    </row>
    <row r="9299" spans="1:5" x14ac:dyDescent="0.25">
      <c r="A9299" s="2" t="s">
        <v>6636</v>
      </c>
      <c r="B9299" s="2" t="s">
        <v>3156</v>
      </c>
      <c r="C9299" s="2">
        <v>4</v>
      </c>
      <c r="D9299" t="str">
        <f t="shared" si="145"/>
        <v>US-2017-145597_OFF-AR-10001958</v>
      </c>
      <c r="E9299" t="str">
        <f>IF(COUNTIF(data1!$D:$D,D9299)=0,"Missing in Data1","Present")</f>
        <v>Present</v>
      </c>
    </row>
    <row r="9300" spans="1:5" x14ac:dyDescent="0.25">
      <c r="A9300" s="2" t="s">
        <v>6637</v>
      </c>
      <c r="B9300" s="2" t="s">
        <v>70</v>
      </c>
      <c r="C9300" s="2">
        <v>3</v>
      </c>
      <c r="D9300" t="str">
        <f t="shared" si="145"/>
        <v>US-2017-145863_OFF-BI-10004140</v>
      </c>
      <c r="E9300" t="str">
        <f>IF(COUNTIF(data1!$D:$D,D9300)=0,"Missing in Data1","Present")</f>
        <v>Present</v>
      </c>
    </row>
    <row r="9301" spans="1:5" x14ac:dyDescent="0.25">
      <c r="A9301" s="2" t="s">
        <v>6638</v>
      </c>
      <c r="B9301" s="2" t="s">
        <v>4505</v>
      </c>
      <c r="C9301" s="2">
        <v>4</v>
      </c>
      <c r="D9301" t="str">
        <f t="shared" si="145"/>
        <v>US-2017-146213_TEC-AC-10001114</v>
      </c>
      <c r="E9301" t="str">
        <f>IF(COUNTIF(data1!$D:$D,D9301)=0,"Missing in Data1","Present")</f>
        <v>Present</v>
      </c>
    </row>
    <row r="9302" spans="1:5" x14ac:dyDescent="0.25">
      <c r="A9302" s="2" t="s">
        <v>6639</v>
      </c>
      <c r="B9302" s="2" t="s">
        <v>126</v>
      </c>
      <c r="C9302" s="2">
        <v>4</v>
      </c>
      <c r="D9302" t="str">
        <f t="shared" si="145"/>
        <v>US-2017-146416_OFF-BI-10001787</v>
      </c>
      <c r="E9302" t="str">
        <f>IF(COUNTIF(data1!$D:$D,D9302)=0,"Missing in Data1","Present")</f>
        <v>Present</v>
      </c>
    </row>
    <row r="9303" spans="1:5" x14ac:dyDescent="0.25">
      <c r="A9303" s="2" t="s">
        <v>6639</v>
      </c>
      <c r="B9303" s="2" t="s">
        <v>1887</v>
      </c>
      <c r="C9303" s="2">
        <v>1</v>
      </c>
      <c r="D9303" t="str">
        <f t="shared" si="145"/>
        <v>US-2017-146416_OFF-LA-10003714</v>
      </c>
      <c r="E9303" t="str">
        <f>IF(COUNTIF(data1!$D:$D,D9303)=0,"Missing in Data1","Present")</f>
        <v>Present</v>
      </c>
    </row>
    <row r="9304" spans="1:5" x14ac:dyDescent="0.25">
      <c r="A9304" s="2" t="s">
        <v>6640</v>
      </c>
      <c r="B9304" s="2" t="s">
        <v>2455</v>
      </c>
      <c r="C9304" s="2">
        <v>4</v>
      </c>
      <c r="D9304" t="str">
        <f t="shared" si="145"/>
        <v>US-2017-146822_OFF-PA-10000249</v>
      </c>
      <c r="E9304" t="str">
        <f>IF(COUNTIF(data1!$D:$D,D9304)=0,"Missing in Data1","Present")</f>
        <v>Present</v>
      </c>
    </row>
    <row r="9305" spans="1:5" x14ac:dyDescent="0.25">
      <c r="A9305" s="2" t="s">
        <v>6641</v>
      </c>
      <c r="B9305" s="2" t="s">
        <v>1483</v>
      </c>
      <c r="C9305" s="2">
        <v>1</v>
      </c>
      <c r="D9305" t="str">
        <f t="shared" si="145"/>
        <v>US-2017-146878_OFF-BI-10002794</v>
      </c>
      <c r="E9305" t="str">
        <f>IF(COUNTIF(data1!$D:$D,D9305)=0,"Missing in Data1","Present")</f>
        <v>Present</v>
      </c>
    </row>
    <row r="9306" spans="1:5" x14ac:dyDescent="0.25">
      <c r="A9306" s="2" t="s">
        <v>6642</v>
      </c>
      <c r="B9306" s="2" t="s">
        <v>1436</v>
      </c>
      <c r="C9306" s="2">
        <v>2</v>
      </c>
      <c r="D9306" t="str">
        <f t="shared" si="145"/>
        <v>US-2017-146906_TEC-PH-10001809</v>
      </c>
      <c r="E9306" t="str">
        <f>IF(COUNTIF(data1!$D:$D,D9306)=0,"Missing in Data1","Present")</f>
        <v>Present</v>
      </c>
    </row>
    <row r="9307" spans="1:5" x14ac:dyDescent="0.25">
      <c r="A9307" s="2" t="s">
        <v>6643</v>
      </c>
      <c r="B9307" s="2" t="s">
        <v>1033</v>
      </c>
      <c r="C9307" s="2">
        <v>4</v>
      </c>
      <c r="D9307" t="str">
        <f t="shared" si="145"/>
        <v>US-2017-147221_FUR-FU-10004020</v>
      </c>
      <c r="E9307" t="str">
        <f>IF(COUNTIF(data1!$D:$D,D9307)=0,"Missing in Data1","Present")</f>
        <v>Present</v>
      </c>
    </row>
    <row r="9308" spans="1:5" x14ac:dyDescent="0.25">
      <c r="A9308" s="2" t="s">
        <v>6643</v>
      </c>
      <c r="B9308" s="2" t="s">
        <v>947</v>
      </c>
      <c r="C9308" s="2">
        <v>5</v>
      </c>
      <c r="D9308" t="str">
        <f t="shared" si="145"/>
        <v>US-2017-147221_OFF-AP-10002534</v>
      </c>
      <c r="E9308" t="str">
        <f>IF(COUNTIF(data1!$D:$D,D9308)=0,"Missing in Data1","Present")</f>
        <v>Present</v>
      </c>
    </row>
    <row r="9309" spans="1:5" x14ac:dyDescent="0.25">
      <c r="A9309" s="2" t="s">
        <v>6644</v>
      </c>
      <c r="B9309" s="2" t="s">
        <v>1227</v>
      </c>
      <c r="C9309" s="2">
        <v>7</v>
      </c>
      <c r="D9309" t="str">
        <f t="shared" si="145"/>
        <v>US-2017-147655_OFF-BI-10002931</v>
      </c>
      <c r="E9309" t="str">
        <f>IF(COUNTIF(data1!$D:$D,D9309)=0,"Missing in Data1","Present")</f>
        <v>Present</v>
      </c>
    </row>
    <row r="9310" spans="1:5" x14ac:dyDescent="0.25">
      <c r="A9310" s="2" t="s">
        <v>6645</v>
      </c>
      <c r="B9310" s="2" t="s">
        <v>2366</v>
      </c>
      <c r="C9310" s="2">
        <v>2</v>
      </c>
      <c r="D9310" t="str">
        <f t="shared" si="145"/>
        <v>US-2017-147669_FUR-TA-10002645</v>
      </c>
      <c r="E9310" t="str">
        <f>IF(COUNTIF(data1!$D:$D,D9310)=0,"Missing in Data1","Present")</f>
        <v>Present</v>
      </c>
    </row>
    <row r="9311" spans="1:5" x14ac:dyDescent="0.25">
      <c r="A9311" s="2" t="s">
        <v>6645</v>
      </c>
      <c r="B9311" s="2" t="s">
        <v>740</v>
      </c>
      <c r="C9311" s="2">
        <v>1</v>
      </c>
      <c r="D9311" t="str">
        <f t="shared" si="145"/>
        <v>US-2017-147669_OFF-BI-10000632</v>
      </c>
      <c r="E9311" t="str">
        <f>IF(COUNTIF(data1!$D:$D,D9311)=0,"Missing in Data1","Present")</f>
        <v>Present</v>
      </c>
    </row>
    <row r="9312" spans="1:5" x14ac:dyDescent="0.25">
      <c r="A9312" s="2" t="s">
        <v>6645</v>
      </c>
      <c r="B9312" s="2" t="s">
        <v>249</v>
      </c>
      <c r="C9312" s="2">
        <v>13</v>
      </c>
      <c r="D9312" t="str">
        <f t="shared" si="145"/>
        <v>US-2017-147669_OFF-FA-10002975</v>
      </c>
      <c r="E9312" t="str">
        <f>IF(COUNTIF(data1!$D:$D,D9312)=0,"Missing in Data1","Present")</f>
        <v>Present</v>
      </c>
    </row>
    <row r="9313" spans="1:5" x14ac:dyDescent="0.25">
      <c r="A9313" s="2" t="s">
        <v>6646</v>
      </c>
      <c r="B9313" s="2" t="s">
        <v>538</v>
      </c>
      <c r="C9313" s="2">
        <v>1</v>
      </c>
      <c r="D9313" t="str">
        <f t="shared" si="145"/>
        <v>US-2017-147886_FUR-FU-10001095</v>
      </c>
      <c r="E9313" t="str">
        <f>IF(COUNTIF(data1!$D:$D,D9313)=0,"Missing in Data1","Present")</f>
        <v>Present</v>
      </c>
    </row>
    <row r="9314" spans="1:5" x14ac:dyDescent="0.25">
      <c r="A9314" s="2" t="s">
        <v>6646</v>
      </c>
      <c r="B9314" s="2" t="s">
        <v>569</v>
      </c>
      <c r="C9314" s="2">
        <v>7</v>
      </c>
      <c r="D9314" t="str">
        <f t="shared" si="145"/>
        <v>US-2017-147886_FUR-FU-10003829</v>
      </c>
      <c r="E9314" t="str">
        <f>IF(COUNTIF(data1!$D:$D,D9314)=0,"Missing in Data1","Present")</f>
        <v>Present</v>
      </c>
    </row>
    <row r="9315" spans="1:5" x14ac:dyDescent="0.25">
      <c r="A9315" s="2" t="s">
        <v>6646</v>
      </c>
      <c r="B9315" s="2" t="s">
        <v>3461</v>
      </c>
      <c r="C9315" s="2">
        <v>2</v>
      </c>
      <c r="D9315" t="str">
        <f t="shared" si="145"/>
        <v>US-2017-147886_OFF-PA-10000232</v>
      </c>
      <c r="E9315" t="str">
        <f>IF(COUNTIF(data1!$D:$D,D9315)=0,"Missing in Data1","Present")</f>
        <v>Missing in Data1</v>
      </c>
    </row>
    <row r="9316" spans="1:5" x14ac:dyDescent="0.25">
      <c r="A9316" s="2" t="s">
        <v>6646</v>
      </c>
      <c r="B9316" s="2" t="s">
        <v>2493</v>
      </c>
      <c r="C9316" s="2">
        <v>3</v>
      </c>
      <c r="D9316" t="str">
        <f t="shared" si="145"/>
        <v>US-2017-147886_OFF-PA-10000743</v>
      </c>
      <c r="E9316" t="str">
        <f>IF(COUNTIF(data1!$D:$D,D9316)=0,"Missing in Data1","Present")</f>
        <v>Present</v>
      </c>
    </row>
    <row r="9317" spans="1:5" x14ac:dyDescent="0.25">
      <c r="A9317" s="2" t="s">
        <v>6646</v>
      </c>
      <c r="B9317" s="2" t="s">
        <v>4704</v>
      </c>
      <c r="C9317" s="2">
        <v>4</v>
      </c>
      <c r="D9317" t="str">
        <f t="shared" si="145"/>
        <v>US-2017-147886_OFF-PA-10003651</v>
      </c>
      <c r="E9317" t="str">
        <f>IF(COUNTIF(data1!$D:$D,D9317)=0,"Missing in Data1","Present")</f>
        <v>Present</v>
      </c>
    </row>
    <row r="9318" spans="1:5" x14ac:dyDescent="0.25">
      <c r="A9318" s="2" t="s">
        <v>6646</v>
      </c>
      <c r="B9318" s="2" t="s">
        <v>444</v>
      </c>
      <c r="C9318" s="2">
        <v>7</v>
      </c>
      <c r="D9318" t="str">
        <f t="shared" si="145"/>
        <v>US-2017-147886_OFF-ST-10002743</v>
      </c>
      <c r="E9318" t="str">
        <f>IF(COUNTIF(data1!$D:$D,D9318)=0,"Missing in Data1","Present")</f>
        <v>Present</v>
      </c>
    </row>
    <row r="9319" spans="1:5" x14ac:dyDescent="0.25">
      <c r="A9319" s="2" t="s">
        <v>6646</v>
      </c>
      <c r="B9319" s="2" t="s">
        <v>690</v>
      </c>
      <c r="C9319" s="2">
        <v>2</v>
      </c>
      <c r="D9319" t="str">
        <f t="shared" si="145"/>
        <v>US-2017-147886_TEC-MA-10004679</v>
      </c>
      <c r="E9319" t="str">
        <f>IF(COUNTIF(data1!$D:$D,D9319)=0,"Missing in Data1","Present")</f>
        <v>Present</v>
      </c>
    </row>
    <row r="9320" spans="1:5" x14ac:dyDescent="0.25">
      <c r="A9320" s="2" t="s">
        <v>6647</v>
      </c>
      <c r="B9320" s="2" t="s">
        <v>829</v>
      </c>
      <c r="C9320" s="2">
        <v>5</v>
      </c>
      <c r="D9320" t="str">
        <f t="shared" si="145"/>
        <v>US-2017-147984_OFF-PA-10000806</v>
      </c>
      <c r="E9320" t="str">
        <f>IF(COUNTIF(data1!$D:$D,D9320)=0,"Missing in Data1","Present")</f>
        <v>Present</v>
      </c>
    </row>
    <row r="9321" spans="1:5" x14ac:dyDescent="0.25">
      <c r="A9321" s="2" t="s">
        <v>6648</v>
      </c>
      <c r="B9321" s="2" t="s">
        <v>1961</v>
      </c>
      <c r="C9321" s="2">
        <v>5</v>
      </c>
      <c r="D9321" t="str">
        <f t="shared" si="145"/>
        <v>US-2017-147998_OFF-BI-10002082</v>
      </c>
      <c r="E9321" t="str">
        <f>IF(COUNTIF(data1!$D:$D,D9321)=0,"Missing in Data1","Present")</f>
        <v>Present</v>
      </c>
    </row>
    <row r="9322" spans="1:5" x14ac:dyDescent="0.25">
      <c r="A9322" s="2" t="s">
        <v>6649</v>
      </c>
      <c r="B9322" s="2" t="s">
        <v>2369</v>
      </c>
      <c r="C9322" s="2">
        <v>2</v>
      </c>
      <c r="D9322" t="str">
        <f t="shared" si="145"/>
        <v>US-2017-148054_FUR-FU-10003247</v>
      </c>
      <c r="E9322" t="str">
        <f>IF(COUNTIF(data1!$D:$D,D9322)=0,"Missing in Data1","Present")</f>
        <v>Present</v>
      </c>
    </row>
    <row r="9323" spans="1:5" x14ac:dyDescent="0.25">
      <c r="A9323" s="2" t="s">
        <v>6649</v>
      </c>
      <c r="B9323" s="2" t="s">
        <v>662</v>
      </c>
      <c r="C9323" s="2">
        <v>4</v>
      </c>
      <c r="D9323" t="str">
        <f t="shared" si="145"/>
        <v>US-2017-148054_OFF-AP-10004336</v>
      </c>
      <c r="E9323" t="str">
        <f>IF(COUNTIF(data1!$D:$D,D9323)=0,"Missing in Data1","Present")</f>
        <v>Present</v>
      </c>
    </row>
    <row r="9324" spans="1:5" x14ac:dyDescent="0.25">
      <c r="A9324" s="2" t="s">
        <v>6649</v>
      </c>
      <c r="B9324" s="2" t="s">
        <v>1506</v>
      </c>
      <c r="C9324" s="2">
        <v>2</v>
      </c>
      <c r="D9324" t="str">
        <f t="shared" si="145"/>
        <v>US-2017-148054_OFF-PA-10001295</v>
      </c>
      <c r="E9324" t="str">
        <f>IF(COUNTIF(data1!$D:$D,D9324)=0,"Missing in Data1","Present")</f>
        <v>Present</v>
      </c>
    </row>
    <row r="9325" spans="1:5" x14ac:dyDescent="0.25">
      <c r="A9325" s="2" t="s">
        <v>6650</v>
      </c>
      <c r="B9325" s="2" t="s">
        <v>1737</v>
      </c>
      <c r="C9325" s="2">
        <v>4</v>
      </c>
      <c r="D9325" t="str">
        <f t="shared" si="145"/>
        <v>US-2017-148362_OFF-PA-10003441</v>
      </c>
      <c r="E9325" t="str">
        <f>IF(COUNTIF(data1!$D:$D,D9325)=0,"Missing in Data1","Present")</f>
        <v>Present</v>
      </c>
    </row>
    <row r="9326" spans="1:5" x14ac:dyDescent="0.25">
      <c r="A9326" s="2" t="s">
        <v>6650</v>
      </c>
      <c r="B9326" s="2" t="s">
        <v>1201</v>
      </c>
      <c r="C9326" s="2">
        <v>4</v>
      </c>
      <c r="D9326" t="str">
        <f t="shared" si="145"/>
        <v>US-2017-148362_OFF-ST-10001128</v>
      </c>
      <c r="E9326" t="str">
        <f>IF(COUNTIF(data1!$D:$D,D9326)=0,"Missing in Data1","Present")</f>
        <v>Present</v>
      </c>
    </row>
    <row r="9327" spans="1:5" x14ac:dyDescent="0.25">
      <c r="A9327" s="2" t="s">
        <v>6651</v>
      </c>
      <c r="B9327" s="2" t="s">
        <v>2499</v>
      </c>
      <c r="C9327" s="2">
        <v>5</v>
      </c>
      <c r="D9327" t="str">
        <f t="shared" si="145"/>
        <v>US-2017-148551_OFF-BI-10000545</v>
      </c>
      <c r="E9327" t="str">
        <f>IF(COUNTIF(data1!$D:$D,D9327)=0,"Missing in Data1","Present")</f>
        <v>Present</v>
      </c>
    </row>
    <row r="9328" spans="1:5" x14ac:dyDescent="0.25">
      <c r="A9328" s="2" t="s">
        <v>6652</v>
      </c>
      <c r="B9328" s="2" t="s">
        <v>2159</v>
      </c>
      <c r="C9328" s="2">
        <v>3</v>
      </c>
      <c r="D9328" t="str">
        <f t="shared" si="145"/>
        <v>US-2017-148768_TEC-PH-10002564</v>
      </c>
      <c r="E9328" t="str">
        <f>IF(COUNTIF(data1!$D:$D,D9328)=0,"Missing in Data1","Present")</f>
        <v>Present</v>
      </c>
    </row>
    <row r="9329" spans="1:5" x14ac:dyDescent="0.25">
      <c r="A9329" s="2" t="s">
        <v>6653</v>
      </c>
      <c r="B9329" s="2" t="s">
        <v>1717</v>
      </c>
      <c r="C9329" s="2">
        <v>8</v>
      </c>
      <c r="D9329" t="str">
        <f t="shared" si="145"/>
        <v>US-2017-148831_OFF-ST-10002974</v>
      </c>
      <c r="E9329" t="str">
        <f>IF(COUNTIF(data1!$D:$D,D9329)=0,"Missing in Data1","Present")</f>
        <v>Present</v>
      </c>
    </row>
    <row r="9330" spans="1:5" x14ac:dyDescent="0.25">
      <c r="A9330" s="2" t="s">
        <v>6871</v>
      </c>
      <c r="B9330" s="2" t="s">
        <v>2838</v>
      </c>
      <c r="C9330" s="2">
        <v>5</v>
      </c>
      <c r="D9330" t="str">
        <f t="shared" si="145"/>
        <v>US-2017-148866_OFF-PA-10004782</v>
      </c>
      <c r="E9330" t="str">
        <f>IF(COUNTIF(data1!$D:$D,D9330)=0,"Missing in Data1","Present")</f>
        <v>Missing in Data1</v>
      </c>
    </row>
    <row r="9331" spans="1:5" x14ac:dyDescent="0.25">
      <c r="A9331" s="2" t="s">
        <v>6654</v>
      </c>
      <c r="B9331" s="2" t="s">
        <v>6655</v>
      </c>
      <c r="C9331" s="2">
        <v>1</v>
      </c>
      <c r="D9331" t="str">
        <f t="shared" si="145"/>
        <v>US-2017-149006_OFF-ST-10003221</v>
      </c>
      <c r="E9331" t="str">
        <f>IF(COUNTIF(data1!$D:$D,D9331)=0,"Missing in Data1","Present")</f>
        <v>Present</v>
      </c>
    </row>
    <row r="9332" spans="1:5" x14ac:dyDescent="0.25">
      <c r="A9332" s="2" t="s">
        <v>6656</v>
      </c>
      <c r="B9332" s="2" t="s">
        <v>514</v>
      </c>
      <c r="C9332" s="2">
        <v>3</v>
      </c>
      <c r="D9332" t="str">
        <f t="shared" si="145"/>
        <v>US-2017-149510_OFF-AP-10002350</v>
      </c>
      <c r="E9332" t="str">
        <f>IF(COUNTIF(data1!$D:$D,D9332)=0,"Missing in Data1","Present")</f>
        <v>Present</v>
      </c>
    </row>
    <row r="9333" spans="1:5" x14ac:dyDescent="0.25">
      <c r="A9333" s="2" t="s">
        <v>6656</v>
      </c>
      <c r="B9333" s="2" t="s">
        <v>137</v>
      </c>
      <c r="C9333" s="2">
        <v>6</v>
      </c>
      <c r="D9333" t="str">
        <f t="shared" si="145"/>
        <v>US-2017-149510_OFF-BI-10004233</v>
      </c>
      <c r="E9333" t="str">
        <f>IF(COUNTIF(data1!$D:$D,D9333)=0,"Missing in Data1","Present")</f>
        <v>Missing in Data1</v>
      </c>
    </row>
    <row r="9334" spans="1:5" x14ac:dyDescent="0.25">
      <c r="A9334" s="2" t="s">
        <v>6656</v>
      </c>
      <c r="B9334" s="2" t="s">
        <v>3399</v>
      </c>
      <c r="C9334" s="2">
        <v>4</v>
      </c>
      <c r="D9334" t="str">
        <f t="shared" si="145"/>
        <v>US-2017-149510_OFF-PA-10001892</v>
      </c>
      <c r="E9334" t="str">
        <f>IF(COUNTIF(data1!$D:$D,D9334)=0,"Missing in Data1","Present")</f>
        <v>Present</v>
      </c>
    </row>
    <row r="9335" spans="1:5" x14ac:dyDescent="0.25">
      <c r="A9335" s="2" t="s">
        <v>6657</v>
      </c>
      <c r="B9335" s="2" t="s">
        <v>1162</v>
      </c>
      <c r="C9335" s="2">
        <v>2</v>
      </c>
      <c r="D9335" t="str">
        <f t="shared" si="145"/>
        <v>US-2017-150070_FUR-CH-10004860</v>
      </c>
      <c r="E9335" t="str">
        <f>IF(COUNTIF(data1!$D:$D,D9335)=0,"Missing in Data1","Present")</f>
        <v>Present</v>
      </c>
    </row>
    <row r="9336" spans="1:5" x14ac:dyDescent="0.25">
      <c r="A9336" s="2" t="s">
        <v>6658</v>
      </c>
      <c r="B9336" s="2" t="s">
        <v>665</v>
      </c>
      <c r="C9336" s="2">
        <v>2</v>
      </c>
      <c r="D9336" t="str">
        <f t="shared" si="145"/>
        <v>US-2017-150595_FUR-CH-10000513</v>
      </c>
      <c r="E9336" t="str">
        <f>IF(COUNTIF(data1!$D:$D,D9336)=0,"Missing in Data1","Present")</f>
        <v>Present</v>
      </c>
    </row>
    <row r="9337" spans="1:5" x14ac:dyDescent="0.25">
      <c r="A9337" s="2" t="s">
        <v>6658</v>
      </c>
      <c r="B9337" s="2" t="s">
        <v>1311</v>
      </c>
      <c r="C9337" s="2">
        <v>2</v>
      </c>
      <c r="D9337" t="str">
        <f t="shared" si="145"/>
        <v>US-2017-150595_OFF-BI-10003274</v>
      </c>
      <c r="E9337" t="str">
        <f>IF(COUNTIF(data1!$D:$D,D9337)=0,"Missing in Data1","Present")</f>
        <v>Present</v>
      </c>
    </row>
    <row r="9338" spans="1:5" x14ac:dyDescent="0.25">
      <c r="A9338" s="2" t="s">
        <v>6659</v>
      </c>
      <c r="B9338" s="2" t="s">
        <v>2683</v>
      </c>
      <c r="C9338" s="2">
        <v>2</v>
      </c>
      <c r="D9338" t="str">
        <f t="shared" si="145"/>
        <v>US-2017-150847_OFF-PA-10004451</v>
      </c>
      <c r="E9338" t="str">
        <f>IF(COUNTIF(data1!$D:$D,D9338)=0,"Missing in Data1","Present")</f>
        <v>Present</v>
      </c>
    </row>
    <row r="9339" spans="1:5" x14ac:dyDescent="0.25">
      <c r="A9339" s="2" t="s">
        <v>6660</v>
      </c>
      <c r="B9339" s="2" t="s">
        <v>889</v>
      </c>
      <c r="C9339" s="2">
        <v>7</v>
      </c>
      <c r="D9339" t="str">
        <f t="shared" si="145"/>
        <v>US-2017-151127_OFF-AR-10002445</v>
      </c>
      <c r="E9339" t="str">
        <f>IF(COUNTIF(data1!$D:$D,D9339)=0,"Missing in Data1","Present")</f>
        <v>Present</v>
      </c>
    </row>
    <row r="9340" spans="1:5" x14ac:dyDescent="0.25">
      <c r="A9340" s="2" t="s">
        <v>6661</v>
      </c>
      <c r="B9340" s="2" t="s">
        <v>820</v>
      </c>
      <c r="C9340" s="2">
        <v>3</v>
      </c>
      <c r="D9340" t="str">
        <f t="shared" si="145"/>
        <v>US-2017-151316_OFF-BI-10004632</v>
      </c>
      <c r="E9340" t="str">
        <f>IF(COUNTIF(data1!$D:$D,D9340)=0,"Missing in Data1","Present")</f>
        <v>Present</v>
      </c>
    </row>
    <row r="9341" spans="1:5" x14ac:dyDescent="0.25">
      <c r="A9341" s="2" t="s">
        <v>6661</v>
      </c>
      <c r="B9341" s="2" t="s">
        <v>408</v>
      </c>
      <c r="C9341" s="2">
        <v>3</v>
      </c>
      <c r="D9341" t="str">
        <f t="shared" si="145"/>
        <v>US-2017-151316_OFF-PA-10000327</v>
      </c>
      <c r="E9341" t="str">
        <f>IF(COUNTIF(data1!$D:$D,D9341)=0,"Missing in Data1","Present")</f>
        <v>Present</v>
      </c>
    </row>
    <row r="9342" spans="1:5" x14ac:dyDescent="0.25">
      <c r="A9342" s="2" t="s">
        <v>6662</v>
      </c>
      <c r="B9342" s="2" t="s">
        <v>41</v>
      </c>
      <c r="C9342" s="2">
        <v>3</v>
      </c>
      <c r="D9342" t="str">
        <f t="shared" si="145"/>
        <v>US-2017-152002_OFF-PA-10000357</v>
      </c>
      <c r="E9342" t="str">
        <f>IF(COUNTIF(data1!$D:$D,D9342)=0,"Missing in Data1","Present")</f>
        <v>Present</v>
      </c>
    </row>
    <row r="9343" spans="1:5" x14ac:dyDescent="0.25">
      <c r="A9343" s="2" t="s">
        <v>6663</v>
      </c>
      <c r="B9343" s="2" t="s">
        <v>2333</v>
      </c>
      <c r="C9343" s="2">
        <v>4</v>
      </c>
      <c r="D9343" t="str">
        <f t="shared" si="145"/>
        <v>US-2017-152366_OFF-AP-10002684</v>
      </c>
      <c r="E9343" t="str">
        <f>IF(COUNTIF(data1!$D:$D,D9343)=0,"Missing in Data1","Present")</f>
        <v>Present</v>
      </c>
    </row>
    <row r="9344" spans="1:5" x14ac:dyDescent="0.25">
      <c r="A9344" s="2" t="s">
        <v>6664</v>
      </c>
      <c r="B9344" s="2" t="s">
        <v>1679</v>
      </c>
      <c r="C9344" s="2">
        <v>3</v>
      </c>
      <c r="D9344" t="str">
        <f t="shared" si="145"/>
        <v>US-2017-152380_FUR-TA-10002533</v>
      </c>
      <c r="E9344" t="str">
        <f>IF(COUNTIF(data1!$D:$D,D9344)=0,"Missing in Data1","Present")</f>
        <v>Present</v>
      </c>
    </row>
    <row r="9345" spans="1:5" x14ac:dyDescent="0.25">
      <c r="A9345" s="2" t="s">
        <v>6665</v>
      </c>
      <c r="B9345" s="2" t="s">
        <v>596</v>
      </c>
      <c r="C9345" s="2">
        <v>1</v>
      </c>
      <c r="D9345" t="str">
        <f t="shared" si="145"/>
        <v>US-2017-152492_FUR-CH-10000155</v>
      </c>
      <c r="E9345" t="str">
        <f>IF(COUNTIF(data1!$D:$D,D9345)=0,"Missing in Data1","Present")</f>
        <v>Present</v>
      </c>
    </row>
    <row r="9346" spans="1:5" x14ac:dyDescent="0.25">
      <c r="A9346" s="2" t="s">
        <v>6666</v>
      </c>
      <c r="B9346" s="2" t="s">
        <v>3291</v>
      </c>
      <c r="C9346" s="2">
        <v>2</v>
      </c>
      <c r="D9346" t="str">
        <f t="shared" si="145"/>
        <v>US-2017-152569_OFF-PA-10001736</v>
      </c>
      <c r="E9346" t="str">
        <f>IF(COUNTIF(data1!$D:$D,D9346)=0,"Missing in Data1","Present")</f>
        <v>Present</v>
      </c>
    </row>
    <row r="9347" spans="1:5" x14ac:dyDescent="0.25">
      <c r="A9347" s="2" t="s">
        <v>6666</v>
      </c>
      <c r="B9347" s="2" t="s">
        <v>654</v>
      </c>
      <c r="C9347" s="2">
        <v>2</v>
      </c>
      <c r="D9347" t="str">
        <f t="shared" ref="D9347:D9410" si="146">A9347&amp;"_"&amp;B9347</f>
        <v>US-2017-152569_TEC-PH-10002185</v>
      </c>
      <c r="E9347" t="str">
        <f>IF(COUNTIF(data1!$D:$D,D9347)=0,"Missing in Data1","Present")</f>
        <v>Missing in Data1</v>
      </c>
    </row>
    <row r="9348" spans="1:5" x14ac:dyDescent="0.25">
      <c r="A9348" s="2" t="s">
        <v>6667</v>
      </c>
      <c r="B9348" s="2" t="s">
        <v>1050</v>
      </c>
      <c r="C9348" s="2">
        <v>3</v>
      </c>
      <c r="D9348" t="str">
        <f t="shared" si="146"/>
        <v>US-2017-152842_FUR-CH-10004218</v>
      </c>
      <c r="E9348" t="str">
        <f>IF(COUNTIF(data1!$D:$D,D9348)=0,"Missing in Data1","Present")</f>
        <v>Present</v>
      </c>
    </row>
    <row r="9349" spans="1:5" x14ac:dyDescent="0.25">
      <c r="A9349" s="2" t="s">
        <v>6668</v>
      </c>
      <c r="B9349" s="2" t="s">
        <v>5459</v>
      </c>
      <c r="C9349" s="2">
        <v>5</v>
      </c>
      <c r="D9349" t="str">
        <f t="shared" si="146"/>
        <v>US-2017-152898_OFF-AP-10000027</v>
      </c>
      <c r="E9349" t="str">
        <f>IF(COUNTIF(data1!$D:$D,D9349)=0,"Missing in Data1","Present")</f>
        <v>Present</v>
      </c>
    </row>
    <row r="9350" spans="1:5" x14ac:dyDescent="0.25">
      <c r="A9350" s="2" t="s">
        <v>6669</v>
      </c>
      <c r="B9350" s="2" t="s">
        <v>427</v>
      </c>
      <c r="C9350" s="2">
        <v>2</v>
      </c>
      <c r="D9350" t="str">
        <f t="shared" si="146"/>
        <v>US-2017-153255_FUR-BO-10004218</v>
      </c>
      <c r="E9350" t="str">
        <f>IF(COUNTIF(data1!$D:$D,D9350)=0,"Missing in Data1","Present")</f>
        <v>Present</v>
      </c>
    </row>
    <row r="9351" spans="1:5" x14ac:dyDescent="0.25">
      <c r="A9351" s="2" t="s">
        <v>6670</v>
      </c>
      <c r="B9351" s="2" t="s">
        <v>1628</v>
      </c>
      <c r="C9351" s="2">
        <v>1</v>
      </c>
      <c r="D9351" t="str">
        <f t="shared" si="146"/>
        <v>US-2017-153633_OFF-AR-10002335</v>
      </c>
      <c r="E9351" t="str">
        <f>IF(COUNTIF(data1!$D:$D,D9351)=0,"Missing in Data1","Present")</f>
        <v>Present</v>
      </c>
    </row>
    <row r="9352" spans="1:5" x14ac:dyDescent="0.25">
      <c r="A9352" s="2" t="s">
        <v>6671</v>
      </c>
      <c r="B9352" s="2" t="s">
        <v>2382</v>
      </c>
      <c r="C9352" s="2">
        <v>4</v>
      </c>
      <c r="D9352" t="str">
        <f t="shared" si="146"/>
        <v>US-2017-153948_OFF-LA-10000414</v>
      </c>
      <c r="E9352" t="str">
        <f>IF(COUNTIF(data1!$D:$D,D9352)=0,"Missing in Data1","Present")</f>
        <v>Present</v>
      </c>
    </row>
    <row r="9353" spans="1:5" x14ac:dyDescent="0.25">
      <c r="A9353" s="2" t="s">
        <v>6671</v>
      </c>
      <c r="B9353" s="2" t="s">
        <v>1833</v>
      </c>
      <c r="C9353" s="2">
        <v>5</v>
      </c>
      <c r="D9353" t="str">
        <f t="shared" si="146"/>
        <v>US-2017-153948_OFF-PA-10000143</v>
      </c>
      <c r="E9353" t="str">
        <f>IF(COUNTIF(data1!$D:$D,D9353)=0,"Missing in Data1","Present")</f>
        <v>Present</v>
      </c>
    </row>
    <row r="9354" spans="1:5" x14ac:dyDescent="0.25">
      <c r="A9354" s="2" t="s">
        <v>6671</v>
      </c>
      <c r="B9354" s="2" t="s">
        <v>3714</v>
      </c>
      <c r="C9354" s="2">
        <v>4</v>
      </c>
      <c r="D9354" t="str">
        <f t="shared" si="146"/>
        <v>US-2017-153948_OFF-PA-10002764</v>
      </c>
      <c r="E9354" t="str">
        <f>IF(COUNTIF(data1!$D:$D,D9354)=0,"Missing in Data1","Present")</f>
        <v>Present</v>
      </c>
    </row>
    <row r="9355" spans="1:5" x14ac:dyDescent="0.25">
      <c r="A9355" s="2" t="s">
        <v>6672</v>
      </c>
      <c r="B9355" s="2" t="s">
        <v>1369</v>
      </c>
      <c r="C9355" s="2">
        <v>5</v>
      </c>
      <c r="D9355" t="str">
        <f t="shared" si="146"/>
        <v>US-2017-154851_OFF-BI-10001525</v>
      </c>
      <c r="E9355" t="str">
        <f>IF(COUNTIF(data1!$D:$D,D9355)=0,"Missing in Data1","Present")</f>
        <v>Present</v>
      </c>
    </row>
    <row r="9356" spans="1:5" x14ac:dyDescent="0.25">
      <c r="A9356" s="2" t="s">
        <v>6673</v>
      </c>
      <c r="B9356" s="2" t="s">
        <v>510</v>
      </c>
      <c r="C9356" s="2">
        <v>5</v>
      </c>
      <c r="D9356" t="str">
        <f t="shared" si="146"/>
        <v>US-2017-154872_OFF-BI-10003007</v>
      </c>
      <c r="E9356" t="str">
        <f>IF(COUNTIF(data1!$D:$D,D9356)=0,"Missing in Data1","Present")</f>
        <v>Present</v>
      </c>
    </row>
    <row r="9357" spans="1:5" x14ac:dyDescent="0.25">
      <c r="A9357" s="2" t="s">
        <v>6673</v>
      </c>
      <c r="B9357" s="2" t="s">
        <v>3249</v>
      </c>
      <c r="C9357" s="2">
        <v>2</v>
      </c>
      <c r="D9357" t="str">
        <f t="shared" si="146"/>
        <v>US-2017-154872_OFF-LA-10000973</v>
      </c>
      <c r="E9357" t="str">
        <f>IF(COUNTIF(data1!$D:$D,D9357)=0,"Missing in Data1","Present")</f>
        <v>Present</v>
      </c>
    </row>
    <row r="9358" spans="1:5" x14ac:dyDescent="0.25">
      <c r="A9358" s="2" t="s">
        <v>6673</v>
      </c>
      <c r="B9358" s="2" t="s">
        <v>4140</v>
      </c>
      <c r="C9358" s="2">
        <v>1</v>
      </c>
      <c r="D9358" t="str">
        <f t="shared" si="146"/>
        <v>US-2017-154872_OFF-PA-10000483</v>
      </c>
      <c r="E9358" t="str">
        <f>IF(COUNTIF(data1!$D:$D,D9358)=0,"Missing in Data1","Present")</f>
        <v>Present</v>
      </c>
    </row>
    <row r="9359" spans="1:5" x14ac:dyDescent="0.25">
      <c r="A9359" s="2" t="s">
        <v>6674</v>
      </c>
      <c r="B9359" s="2" t="s">
        <v>6675</v>
      </c>
      <c r="C9359" s="2">
        <v>2</v>
      </c>
      <c r="D9359" t="str">
        <f t="shared" si="146"/>
        <v>US-2017-155299_OFF-AP-10002203</v>
      </c>
      <c r="E9359" t="str">
        <f>IF(COUNTIF(data1!$D:$D,D9359)=0,"Missing in Data1","Present")</f>
        <v>Present</v>
      </c>
    </row>
    <row r="9360" spans="1:5" x14ac:dyDescent="0.25">
      <c r="A9360" s="2" t="s">
        <v>6676</v>
      </c>
      <c r="B9360" s="2" t="s">
        <v>2290</v>
      </c>
      <c r="C9360" s="2">
        <v>4</v>
      </c>
      <c r="D9360" t="str">
        <f t="shared" si="146"/>
        <v>US-2017-155425_FUR-CH-10003312</v>
      </c>
      <c r="E9360" t="str">
        <f>IF(COUNTIF(data1!$D:$D,D9360)=0,"Missing in Data1","Present")</f>
        <v>Present</v>
      </c>
    </row>
    <row r="9361" spans="1:5" x14ac:dyDescent="0.25">
      <c r="A9361" s="2" t="s">
        <v>6676</v>
      </c>
      <c r="B9361" s="2" t="s">
        <v>811</v>
      </c>
      <c r="C9361" s="2">
        <v>14</v>
      </c>
      <c r="D9361" t="str">
        <f t="shared" si="146"/>
        <v>US-2017-155425_OFF-BI-10001036</v>
      </c>
      <c r="E9361" t="str">
        <f>IF(COUNTIF(data1!$D:$D,D9361)=0,"Missing in Data1","Present")</f>
        <v>Present</v>
      </c>
    </row>
    <row r="9362" spans="1:5" x14ac:dyDescent="0.25">
      <c r="A9362" s="2" t="s">
        <v>6676</v>
      </c>
      <c r="B9362" s="2" t="s">
        <v>109</v>
      </c>
      <c r="C9362" s="2">
        <v>6</v>
      </c>
      <c r="D9362" t="str">
        <f t="shared" si="146"/>
        <v>US-2017-155425_TEC-AC-10001314</v>
      </c>
      <c r="E9362" t="str">
        <f>IF(COUNTIF(data1!$D:$D,D9362)=0,"Missing in Data1","Present")</f>
        <v>Present</v>
      </c>
    </row>
    <row r="9363" spans="1:5" x14ac:dyDescent="0.25">
      <c r="A9363" s="2" t="s">
        <v>6676</v>
      </c>
      <c r="B9363" s="2" t="s">
        <v>393</v>
      </c>
      <c r="C9363" s="2">
        <v>2</v>
      </c>
      <c r="D9363" t="str">
        <f t="shared" si="146"/>
        <v>US-2017-155425_TEC-MA-10003183</v>
      </c>
      <c r="E9363" t="str">
        <f>IF(COUNTIF(data1!$D:$D,D9363)=0,"Missing in Data1","Present")</f>
        <v>Present</v>
      </c>
    </row>
    <row r="9364" spans="1:5" x14ac:dyDescent="0.25">
      <c r="A9364" s="2" t="s">
        <v>6677</v>
      </c>
      <c r="B9364" s="2" t="s">
        <v>118</v>
      </c>
      <c r="C9364" s="2">
        <v>4</v>
      </c>
      <c r="D9364" t="str">
        <f t="shared" si="146"/>
        <v>US-2017-155866_FUR-FU-10004091</v>
      </c>
      <c r="E9364" t="str">
        <f>IF(COUNTIF(data1!$D:$D,D9364)=0,"Missing in Data1","Present")</f>
        <v>Present</v>
      </c>
    </row>
    <row r="9365" spans="1:5" x14ac:dyDescent="0.25">
      <c r="A9365" s="2" t="s">
        <v>6677</v>
      </c>
      <c r="B9365" s="2" t="s">
        <v>4374</v>
      </c>
      <c r="C9365" s="2">
        <v>6</v>
      </c>
      <c r="D9365" t="str">
        <f t="shared" si="146"/>
        <v>US-2017-155866_OFF-PA-10004735</v>
      </c>
      <c r="E9365" t="str">
        <f>IF(COUNTIF(data1!$D:$D,D9365)=0,"Missing in Data1","Present")</f>
        <v>Present</v>
      </c>
    </row>
    <row r="9366" spans="1:5" x14ac:dyDescent="0.25">
      <c r="A9366" s="2" t="s">
        <v>6678</v>
      </c>
      <c r="B9366" s="2" t="s">
        <v>2875</v>
      </c>
      <c r="C9366" s="2">
        <v>2</v>
      </c>
      <c r="D9366" t="str">
        <f t="shared" si="146"/>
        <v>US-2017-155999_OFF-BI-10000404</v>
      </c>
      <c r="E9366" t="str">
        <f>IF(COUNTIF(data1!$D:$D,D9366)=0,"Missing in Data1","Present")</f>
        <v>Present</v>
      </c>
    </row>
    <row r="9367" spans="1:5" x14ac:dyDescent="0.25">
      <c r="A9367" s="2" t="s">
        <v>6678</v>
      </c>
      <c r="B9367" s="2" t="s">
        <v>368</v>
      </c>
      <c r="C9367" s="2">
        <v>5</v>
      </c>
      <c r="D9367" t="str">
        <f t="shared" si="146"/>
        <v>US-2017-155999_TEC-PH-10000439</v>
      </c>
      <c r="E9367" t="str">
        <f>IF(COUNTIF(data1!$D:$D,D9367)=0,"Missing in Data1","Present")</f>
        <v>Present</v>
      </c>
    </row>
    <row r="9368" spans="1:5" x14ac:dyDescent="0.25">
      <c r="A9368" s="2" t="s">
        <v>6679</v>
      </c>
      <c r="B9368" s="2" t="s">
        <v>861</v>
      </c>
      <c r="C9368" s="2">
        <v>2</v>
      </c>
      <c r="D9368" t="str">
        <f t="shared" si="146"/>
        <v>US-2017-156083_OFF-PA-10001560</v>
      </c>
      <c r="E9368" t="str">
        <f>IF(COUNTIF(data1!$D:$D,D9368)=0,"Missing in Data1","Present")</f>
        <v>Present</v>
      </c>
    </row>
    <row r="9369" spans="1:5" x14ac:dyDescent="0.25">
      <c r="A9369" s="2" t="s">
        <v>6680</v>
      </c>
      <c r="B9369" s="2" t="s">
        <v>534</v>
      </c>
      <c r="C9369" s="2">
        <v>1</v>
      </c>
      <c r="D9369" t="str">
        <f t="shared" si="146"/>
        <v>US-2017-156356_OFF-BI-10001107</v>
      </c>
      <c r="E9369" t="str">
        <f>IF(COUNTIF(data1!$D:$D,D9369)=0,"Missing in Data1","Present")</f>
        <v>Present</v>
      </c>
    </row>
    <row r="9370" spans="1:5" x14ac:dyDescent="0.25">
      <c r="A9370" s="2" t="s">
        <v>6680</v>
      </c>
      <c r="B9370" s="2" t="s">
        <v>1585</v>
      </c>
      <c r="C9370" s="2">
        <v>2</v>
      </c>
      <c r="D9370" t="str">
        <f t="shared" si="146"/>
        <v>US-2017-156356_OFF-ST-10002301</v>
      </c>
      <c r="E9370" t="str">
        <f>IF(COUNTIF(data1!$D:$D,D9370)=0,"Missing in Data1","Present")</f>
        <v>Present</v>
      </c>
    </row>
    <row r="9371" spans="1:5" x14ac:dyDescent="0.25">
      <c r="A9371" s="2" t="s">
        <v>6681</v>
      </c>
      <c r="B9371" s="2" t="s">
        <v>1207</v>
      </c>
      <c r="C9371" s="2">
        <v>2</v>
      </c>
      <c r="D9371" t="str">
        <f t="shared" si="146"/>
        <v>US-2017-156909_FUR-CH-10002774</v>
      </c>
      <c r="E9371" t="str">
        <f>IF(COUNTIF(data1!$D:$D,D9371)=0,"Missing in Data1","Present")</f>
        <v>Present</v>
      </c>
    </row>
    <row r="9372" spans="1:5" x14ac:dyDescent="0.25">
      <c r="A9372" s="2" t="s">
        <v>6682</v>
      </c>
      <c r="B9372" s="2" t="s">
        <v>788</v>
      </c>
      <c r="C9372" s="2">
        <v>9</v>
      </c>
      <c r="D9372" t="str">
        <f t="shared" si="146"/>
        <v>US-2017-157224_OFF-LA-10000121</v>
      </c>
      <c r="E9372" t="str">
        <f>IF(COUNTIF(data1!$D:$D,D9372)=0,"Missing in Data1","Present")</f>
        <v>Present</v>
      </c>
    </row>
    <row r="9373" spans="1:5" x14ac:dyDescent="0.25">
      <c r="A9373" s="2" t="s">
        <v>6684</v>
      </c>
      <c r="B9373" s="2" t="s">
        <v>823</v>
      </c>
      <c r="C9373" s="2">
        <v>4</v>
      </c>
      <c r="D9373" t="str">
        <f t="shared" si="146"/>
        <v>US-2017-158218_OFF-BI-10002133</v>
      </c>
      <c r="E9373" t="str">
        <f>IF(COUNTIF(data1!$D:$D,D9373)=0,"Missing in Data1","Present")</f>
        <v>Present</v>
      </c>
    </row>
    <row r="9374" spans="1:5" x14ac:dyDescent="0.25">
      <c r="A9374" s="2" t="s">
        <v>6684</v>
      </c>
      <c r="B9374" s="2" t="s">
        <v>1339</v>
      </c>
      <c r="C9374" s="2">
        <v>5</v>
      </c>
      <c r="D9374" t="str">
        <f t="shared" si="146"/>
        <v>US-2017-158218_OFF-ST-10000563</v>
      </c>
      <c r="E9374" t="str">
        <f>IF(COUNTIF(data1!$D:$D,D9374)=0,"Missing in Data1","Present")</f>
        <v>Present</v>
      </c>
    </row>
    <row r="9375" spans="1:5" x14ac:dyDescent="0.25">
      <c r="A9375" s="2" t="s">
        <v>6685</v>
      </c>
      <c r="B9375" s="2" t="s">
        <v>1693</v>
      </c>
      <c r="C9375" s="2">
        <v>1</v>
      </c>
      <c r="D9375" t="str">
        <f t="shared" si="146"/>
        <v>US-2017-158505_OFF-AR-10001044</v>
      </c>
      <c r="E9375" t="str">
        <f>IF(COUNTIF(data1!$D:$D,D9375)=0,"Missing in Data1","Present")</f>
        <v>Present</v>
      </c>
    </row>
    <row r="9376" spans="1:5" x14ac:dyDescent="0.25">
      <c r="A9376" s="2" t="s">
        <v>6685</v>
      </c>
      <c r="B9376" s="2" t="s">
        <v>3348</v>
      </c>
      <c r="C9376" s="2">
        <v>9</v>
      </c>
      <c r="D9376" t="str">
        <f t="shared" si="146"/>
        <v>US-2017-158505_TEC-PH-10004071</v>
      </c>
      <c r="E9376" t="str">
        <f>IF(COUNTIF(data1!$D:$D,D9376)=0,"Missing in Data1","Present")</f>
        <v>Present</v>
      </c>
    </row>
    <row r="9377" spans="1:5" x14ac:dyDescent="0.25">
      <c r="A9377" s="2" t="s">
        <v>6686</v>
      </c>
      <c r="B9377" s="2" t="s">
        <v>2310</v>
      </c>
      <c r="C9377" s="2">
        <v>2</v>
      </c>
      <c r="D9377" t="str">
        <f t="shared" si="146"/>
        <v>US-2017-158512_FUR-FU-10004973</v>
      </c>
      <c r="E9377" t="str">
        <f>IF(COUNTIF(data1!$D:$D,D9377)=0,"Missing in Data1","Present")</f>
        <v>Present</v>
      </c>
    </row>
    <row r="9378" spans="1:5" x14ac:dyDescent="0.25">
      <c r="A9378" s="2" t="s">
        <v>6686</v>
      </c>
      <c r="B9378" s="2" t="s">
        <v>89</v>
      </c>
      <c r="C9378" s="2">
        <v>6</v>
      </c>
      <c r="D9378" t="str">
        <f t="shared" si="146"/>
        <v>US-2017-158512_OFF-PA-10001804</v>
      </c>
      <c r="E9378" t="str">
        <f>IF(COUNTIF(data1!$D:$D,D9378)=0,"Missing in Data1","Present")</f>
        <v>Present</v>
      </c>
    </row>
    <row r="9379" spans="1:5" x14ac:dyDescent="0.25">
      <c r="A9379" s="2" t="s">
        <v>6687</v>
      </c>
      <c r="B9379" s="2" t="s">
        <v>976</v>
      </c>
      <c r="C9379" s="2">
        <v>3</v>
      </c>
      <c r="D9379" t="str">
        <f t="shared" si="146"/>
        <v>US-2017-158526_FUR-CH-10001270</v>
      </c>
      <c r="E9379" t="str">
        <f>IF(COUNTIF(data1!$D:$D,D9379)=0,"Missing in Data1","Present")</f>
        <v>Present</v>
      </c>
    </row>
    <row r="9380" spans="1:5" x14ac:dyDescent="0.25">
      <c r="A9380" s="2" t="s">
        <v>6687</v>
      </c>
      <c r="B9380" s="2" t="s">
        <v>16</v>
      </c>
      <c r="C9380" s="2">
        <v>8</v>
      </c>
      <c r="D9380" t="str">
        <f t="shared" si="146"/>
        <v>US-2017-158526_FUR-CH-10002602</v>
      </c>
      <c r="E9380" t="str">
        <f>IF(COUNTIF(data1!$D:$D,D9380)=0,"Missing in Data1","Present")</f>
        <v>Missing in Data1</v>
      </c>
    </row>
    <row r="9381" spans="1:5" x14ac:dyDescent="0.25">
      <c r="A9381" s="2" t="s">
        <v>6687</v>
      </c>
      <c r="B9381" s="2" t="s">
        <v>193</v>
      </c>
      <c r="C9381" s="2">
        <v>1</v>
      </c>
      <c r="D9381" t="str">
        <f t="shared" si="146"/>
        <v>US-2017-158526_FUR-CH-10004495</v>
      </c>
      <c r="E9381" t="str">
        <f>IF(COUNTIF(data1!$D:$D,D9381)=0,"Missing in Data1","Present")</f>
        <v>Present</v>
      </c>
    </row>
    <row r="9382" spans="1:5" x14ac:dyDescent="0.25">
      <c r="A9382" s="2" t="s">
        <v>6687</v>
      </c>
      <c r="B9382" s="2" t="s">
        <v>2553</v>
      </c>
      <c r="C9382" s="2">
        <v>1</v>
      </c>
      <c r="D9382" t="str">
        <f t="shared" si="146"/>
        <v>US-2017-158526_OFF-AR-10003696</v>
      </c>
      <c r="E9382" t="str">
        <f>IF(COUNTIF(data1!$D:$D,D9382)=0,"Missing in Data1","Present")</f>
        <v>Present</v>
      </c>
    </row>
    <row r="9383" spans="1:5" x14ac:dyDescent="0.25">
      <c r="A9383" s="2" t="s">
        <v>6688</v>
      </c>
      <c r="B9383" s="2" t="s">
        <v>3188</v>
      </c>
      <c r="C9383" s="2">
        <v>7</v>
      </c>
      <c r="D9383" t="str">
        <f t="shared" si="146"/>
        <v>US-2017-158946_OFF-AR-10001860</v>
      </c>
      <c r="E9383" t="str">
        <f>IF(COUNTIF(data1!$D:$D,D9383)=0,"Missing in Data1","Present")</f>
        <v>Present</v>
      </c>
    </row>
    <row r="9384" spans="1:5" x14ac:dyDescent="0.25">
      <c r="A9384" s="2" t="s">
        <v>6689</v>
      </c>
      <c r="B9384" s="2" t="s">
        <v>124</v>
      </c>
      <c r="C9384" s="2">
        <v>5</v>
      </c>
      <c r="D9384" t="str">
        <f t="shared" si="146"/>
        <v>US-2017-159205_FUR-FU-10001591</v>
      </c>
      <c r="E9384" t="str">
        <f>IF(COUNTIF(data1!$D:$D,D9384)=0,"Missing in Data1","Present")</f>
        <v>Present</v>
      </c>
    </row>
    <row r="9385" spans="1:5" x14ac:dyDescent="0.25">
      <c r="A9385" s="2" t="s">
        <v>6689</v>
      </c>
      <c r="B9385" s="2" t="s">
        <v>1633</v>
      </c>
      <c r="C9385" s="2">
        <v>7</v>
      </c>
      <c r="D9385" t="str">
        <f t="shared" si="146"/>
        <v>US-2017-159205_TEC-PH-10000526</v>
      </c>
      <c r="E9385" t="str">
        <f>IF(COUNTIF(data1!$D:$D,D9385)=0,"Missing in Data1","Present")</f>
        <v>Present</v>
      </c>
    </row>
    <row r="9386" spans="1:5" x14ac:dyDescent="0.25">
      <c r="A9386" s="2" t="s">
        <v>6690</v>
      </c>
      <c r="B9386" s="2" t="s">
        <v>1855</v>
      </c>
      <c r="C9386" s="2">
        <v>2</v>
      </c>
      <c r="D9386" t="str">
        <f t="shared" si="146"/>
        <v>US-2017-159562_OFF-EN-10000461</v>
      </c>
      <c r="E9386" t="str">
        <f>IF(COUNTIF(data1!$D:$D,D9386)=0,"Missing in Data1","Present")</f>
        <v>Present</v>
      </c>
    </row>
    <row r="9387" spans="1:5" x14ac:dyDescent="0.25">
      <c r="A9387" s="2" t="s">
        <v>6691</v>
      </c>
      <c r="B9387" s="2" t="s">
        <v>2166</v>
      </c>
      <c r="C9387" s="2">
        <v>3</v>
      </c>
      <c r="D9387" t="str">
        <f t="shared" si="146"/>
        <v>US-2017-160143_OFF-SU-10004231</v>
      </c>
      <c r="E9387" t="str">
        <f>IF(COUNTIF(data1!$D:$D,D9387)=0,"Missing in Data1","Present")</f>
        <v>Present</v>
      </c>
    </row>
    <row r="9388" spans="1:5" x14ac:dyDescent="0.25">
      <c r="A9388" s="2" t="s">
        <v>6692</v>
      </c>
      <c r="B9388" s="2" t="s">
        <v>267</v>
      </c>
      <c r="C9388" s="2">
        <v>3</v>
      </c>
      <c r="D9388" t="str">
        <f t="shared" si="146"/>
        <v>US-2017-160465_OFF-BI-10001670</v>
      </c>
      <c r="E9388" t="str">
        <f>IF(COUNTIF(data1!$D:$D,D9388)=0,"Missing in Data1","Present")</f>
        <v>Present</v>
      </c>
    </row>
    <row r="9389" spans="1:5" x14ac:dyDescent="0.25">
      <c r="A9389" s="2" t="s">
        <v>6692</v>
      </c>
      <c r="B9389" s="2" t="s">
        <v>6341</v>
      </c>
      <c r="C9389" s="2">
        <v>7</v>
      </c>
      <c r="D9389" t="str">
        <f t="shared" si="146"/>
        <v>US-2017-160465_OFF-ST-10000136</v>
      </c>
      <c r="E9389" t="str">
        <f>IF(COUNTIF(data1!$D:$D,D9389)=0,"Missing in Data1","Present")</f>
        <v>Present</v>
      </c>
    </row>
    <row r="9390" spans="1:5" x14ac:dyDescent="0.25">
      <c r="A9390" s="2" t="s">
        <v>6692</v>
      </c>
      <c r="B9390" s="2" t="s">
        <v>2698</v>
      </c>
      <c r="C9390" s="2">
        <v>6</v>
      </c>
      <c r="D9390" t="str">
        <f t="shared" si="146"/>
        <v>US-2017-160465_TEC-PH-10004522</v>
      </c>
      <c r="E9390" t="str">
        <f>IF(COUNTIF(data1!$D:$D,D9390)=0,"Missing in Data1","Present")</f>
        <v>Missing in Data1</v>
      </c>
    </row>
    <row r="9391" spans="1:5" x14ac:dyDescent="0.25">
      <c r="A9391" s="2" t="s">
        <v>6693</v>
      </c>
      <c r="B9391" s="2" t="s">
        <v>3591</v>
      </c>
      <c r="C9391" s="2">
        <v>1</v>
      </c>
      <c r="D9391" t="str">
        <f t="shared" si="146"/>
        <v>US-2017-160759_FUR-CH-10002961</v>
      </c>
      <c r="E9391" t="str">
        <f>IF(COUNTIF(data1!$D:$D,D9391)=0,"Missing in Data1","Present")</f>
        <v>Present</v>
      </c>
    </row>
    <row r="9392" spans="1:5" x14ac:dyDescent="0.25">
      <c r="A9392" s="2" t="s">
        <v>6694</v>
      </c>
      <c r="B9392" s="2" t="s">
        <v>2413</v>
      </c>
      <c r="C9392" s="2">
        <v>5</v>
      </c>
      <c r="D9392" t="str">
        <f t="shared" si="146"/>
        <v>US-2017-160836_FUR-TA-10002855</v>
      </c>
      <c r="E9392" t="str">
        <f>IF(COUNTIF(data1!$D:$D,D9392)=0,"Missing in Data1","Present")</f>
        <v>Present</v>
      </c>
    </row>
    <row r="9393" spans="1:5" x14ac:dyDescent="0.25">
      <c r="A9393" s="2" t="s">
        <v>6694</v>
      </c>
      <c r="B9393" s="2" t="s">
        <v>3014</v>
      </c>
      <c r="C9393" s="2">
        <v>3</v>
      </c>
      <c r="D9393" t="str">
        <f t="shared" si="146"/>
        <v>US-2017-160836_OFF-PA-10004239</v>
      </c>
      <c r="E9393" t="str">
        <f>IF(COUNTIF(data1!$D:$D,D9393)=0,"Missing in Data1","Present")</f>
        <v>Present</v>
      </c>
    </row>
    <row r="9394" spans="1:5" x14ac:dyDescent="0.25">
      <c r="A9394" s="2" t="s">
        <v>6695</v>
      </c>
      <c r="B9394" s="2" t="s">
        <v>3306</v>
      </c>
      <c r="C9394" s="2">
        <v>2</v>
      </c>
      <c r="D9394" t="str">
        <f t="shared" si="146"/>
        <v>US-2017-161193_FUR-FU-10000206</v>
      </c>
      <c r="E9394" t="str">
        <f>IF(COUNTIF(data1!$D:$D,D9394)=0,"Missing in Data1","Present")</f>
        <v>Present</v>
      </c>
    </row>
    <row r="9395" spans="1:5" x14ac:dyDescent="0.25">
      <c r="A9395" s="2" t="s">
        <v>6695</v>
      </c>
      <c r="B9395" s="2" t="s">
        <v>979</v>
      </c>
      <c r="C9395" s="2">
        <v>5</v>
      </c>
      <c r="D9395" t="str">
        <f t="shared" si="146"/>
        <v>US-2017-161193_FUR-FU-10001861</v>
      </c>
      <c r="E9395" t="str">
        <f>IF(COUNTIF(data1!$D:$D,D9395)=0,"Missing in Data1","Present")</f>
        <v>Present</v>
      </c>
    </row>
    <row r="9396" spans="1:5" x14ac:dyDescent="0.25">
      <c r="A9396" s="2" t="s">
        <v>6696</v>
      </c>
      <c r="B9396" s="2" t="s">
        <v>2850</v>
      </c>
      <c r="C9396" s="2">
        <v>5</v>
      </c>
      <c r="D9396" t="str">
        <f t="shared" si="146"/>
        <v>US-2017-161935_FUR-FU-10002937</v>
      </c>
      <c r="E9396" t="str">
        <f>IF(COUNTIF(data1!$D:$D,D9396)=0,"Missing in Data1","Present")</f>
        <v>Present</v>
      </c>
    </row>
    <row r="9397" spans="1:5" x14ac:dyDescent="0.25">
      <c r="A9397" s="2" t="s">
        <v>6696</v>
      </c>
      <c r="B9397" s="2" t="s">
        <v>58</v>
      </c>
      <c r="C9397" s="2">
        <v>5</v>
      </c>
      <c r="D9397" t="str">
        <f t="shared" si="146"/>
        <v>US-2017-161935_OFF-AR-10004757</v>
      </c>
      <c r="E9397" t="str">
        <f>IF(COUNTIF(data1!$D:$D,D9397)=0,"Missing in Data1","Present")</f>
        <v>Present</v>
      </c>
    </row>
    <row r="9398" spans="1:5" x14ac:dyDescent="0.25">
      <c r="A9398" s="2" t="s">
        <v>6696</v>
      </c>
      <c r="B9398" s="2" t="s">
        <v>3103</v>
      </c>
      <c r="C9398" s="2">
        <v>2</v>
      </c>
      <c r="D9398" t="str">
        <f t="shared" si="146"/>
        <v>US-2017-161935_OFF-PA-10000605</v>
      </c>
      <c r="E9398" t="str">
        <f>IF(COUNTIF(data1!$D:$D,D9398)=0,"Missing in Data1","Present")</f>
        <v>Present</v>
      </c>
    </row>
    <row r="9399" spans="1:5" x14ac:dyDescent="0.25">
      <c r="A9399" s="2" t="s">
        <v>6696</v>
      </c>
      <c r="B9399" s="2" t="s">
        <v>1297</v>
      </c>
      <c r="C9399" s="2">
        <v>7</v>
      </c>
      <c r="D9399" t="str">
        <f t="shared" si="146"/>
        <v>US-2017-161935_OFF-ST-10001837</v>
      </c>
      <c r="E9399" t="str">
        <f>IF(COUNTIF(data1!$D:$D,D9399)=0,"Missing in Data1","Present")</f>
        <v>Present</v>
      </c>
    </row>
    <row r="9400" spans="1:5" x14ac:dyDescent="0.25">
      <c r="A9400" s="2" t="s">
        <v>6696</v>
      </c>
      <c r="B9400" s="2" t="s">
        <v>1433</v>
      </c>
      <c r="C9400" s="2">
        <v>5</v>
      </c>
      <c r="D9400" t="str">
        <f t="shared" si="146"/>
        <v>US-2017-161935_OFF-ST-10003455</v>
      </c>
      <c r="E9400" t="str">
        <f>IF(COUNTIF(data1!$D:$D,D9400)=0,"Missing in Data1","Present")</f>
        <v>Present</v>
      </c>
    </row>
    <row r="9401" spans="1:5" x14ac:dyDescent="0.25">
      <c r="A9401" s="2" t="s">
        <v>6696</v>
      </c>
      <c r="B9401" s="2" t="s">
        <v>234</v>
      </c>
      <c r="C9401" s="2">
        <v>9</v>
      </c>
      <c r="D9401" t="str">
        <f t="shared" si="146"/>
        <v>US-2017-161935_TEC-PH-10000560</v>
      </c>
      <c r="E9401" t="str">
        <f>IF(COUNTIF(data1!$D:$D,D9401)=0,"Missing in Data1","Present")</f>
        <v>Present</v>
      </c>
    </row>
    <row r="9402" spans="1:5" x14ac:dyDescent="0.25">
      <c r="A9402" s="2" t="s">
        <v>6697</v>
      </c>
      <c r="B9402" s="2" t="s">
        <v>2917</v>
      </c>
      <c r="C9402" s="2">
        <v>2</v>
      </c>
      <c r="D9402" t="str">
        <f t="shared" si="146"/>
        <v>US-2017-162068_OFF-BI-10002813</v>
      </c>
      <c r="E9402" t="str">
        <f>IF(COUNTIF(data1!$D:$D,D9402)=0,"Missing in Data1","Present")</f>
        <v>Present</v>
      </c>
    </row>
    <row r="9403" spans="1:5" x14ac:dyDescent="0.25">
      <c r="A9403" s="2" t="s">
        <v>6698</v>
      </c>
      <c r="B9403" s="2" t="s">
        <v>3755</v>
      </c>
      <c r="C9403" s="2">
        <v>4</v>
      </c>
      <c r="D9403" t="str">
        <f t="shared" si="146"/>
        <v>US-2017-162124_TEC-AC-10001990</v>
      </c>
      <c r="E9403" t="str">
        <f>IF(COUNTIF(data1!$D:$D,D9403)=0,"Missing in Data1","Present")</f>
        <v>Present</v>
      </c>
    </row>
    <row r="9404" spans="1:5" x14ac:dyDescent="0.25">
      <c r="A9404" s="2" t="s">
        <v>6699</v>
      </c>
      <c r="B9404" s="2" t="s">
        <v>323</v>
      </c>
      <c r="C9404" s="2">
        <v>1</v>
      </c>
      <c r="D9404" t="str">
        <f t="shared" si="146"/>
        <v>US-2017-162208_OFF-EN-10004030</v>
      </c>
      <c r="E9404" t="str">
        <f>IF(COUNTIF(data1!$D:$D,D9404)=0,"Missing in Data1","Present")</f>
        <v>Present</v>
      </c>
    </row>
    <row r="9405" spans="1:5" x14ac:dyDescent="0.25">
      <c r="A9405" s="2" t="s">
        <v>6700</v>
      </c>
      <c r="B9405" s="2" t="s">
        <v>851</v>
      </c>
      <c r="C9405" s="2">
        <v>2</v>
      </c>
      <c r="D9405" t="str">
        <f t="shared" si="146"/>
        <v>US-2017-162558_FUR-FU-10003691</v>
      </c>
      <c r="E9405" t="str">
        <f>IF(COUNTIF(data1!$D:$D,D9405)=0,"Missing in Data1","Present")</f>
        <v>Present</v>
      </c>
    </row>
    <row r="9406" spans="1:5" x14ac:dyDescent="0.25">
      <c r="A9406" s="2" t="s">
        <v>6700</v>
      </c>
      <c r="B9406" s="2" t="s">
        <v>226</v>
      </c>
      <c r="C9406" s="2">
        <v>1</v>
      </c>
      <c r="D9406" t="str">
        <f t="shared" si="146"/>
        <v>US-2017-162558_FUR-FU-10004864</v>
      </c>
      <c r="E9406" t="str">
        <f>IF(COUNTIF(data1!$D:$D,D9406)=0,"Missing in Data1","Present")</f>
        <v>Present</v>
      </c>
    </row>
    <row r="9407" spans="1:5" x14ac:dyDescent="0.25">
      <c r="A9407" s="2" t="s">
        <v>6700</v>
      </c>
      <c r="B9407" s="2" t="s">
        <v>2199</v>
      </c>
      <c r="C9407" s="2">
        <v>7</v>
      </c>
      <c r="D9407" t="str">
        <f t="shared" si="146"/>
        <v>US-2017-162558_FUR-TA-10000198</v>
      </c>
      <c r="E9407" t="str">
        <f>IF(COUNTIF(data1!$D:$D,D9407)=0,"Missing in Data1","Present")</f>
        <v>Present</v>
      </c>
    </row>
    <row r="9408" spans="1:5" x14ac:dyDescent="0.25">
      <c r="A9408" s="2" t="s">
        <v>6700</v>
      </c>
      <c r="B9408" s="2" t="s">
        <v>859</v>
      </c>
      <c r="C9408" s="2">
        <v>3</v>
      </c>
      <c r="D9408" t="str">
        <f t="shared" si="146"/>
        <v>US-2017-162558_OFF-BI-10000977</v>
      </c>
      <c r="E9408" t="str">
        <f>IF(COUNTIF(data1!$D:$D,D9408)=0,"Missing in Data1","Present")</f>
        <v>Present</v>
      </c>
    </row>
    <row r="9409" spans="1:5" x14ac:dyDescent="0.25">
      <c r="A9409" s="2" t="s">
        <v>6700</v>
      </c>
      <c r="B9409" s="2" t="s">
        <v>49</v>
      </c>
      <c r="C9409" s="2">
        <v>4</v>
      </c>
      <c r="D9409" t="str">
        <f t="shared" si="146"/>
        <v>US-2017-162558_OFF-BI-10003984</v>
      </c>
      <c r="E9409" t="str">
        <f>IF(COUNTIF(data1!$D:$D,D9409)=0,"Missing in Data1","Present")</f>
        <v>Present</v>
      </c>
    </row>
    <row r="9410" spans="1:5" x14ac:dyDescent="0.25">
      <c r="A9410" s="2" t="s">
        <v>6700</v>
      </c>
      <c r="B9410" s="2" t="s">
        <v>1909</v>
      </c>
      <c r="C9410" s="2">
        <v>4</v>
      </c>
      <c r="D9410" t="str">
        <f t="shared" si="146"/>
        <v>US-2017-162558_OFF-PA-10003172</v>
      </c>
      <c r="E9410" t="str">
        <f>IF(COUNTIF(data1!$D:$D,D9410)=0,"Missing in Data1","Present")</f>
        <v>Present</v>
      </c>
    </row>
    <row r="9411" spans="1:5" x14ac:dyDescent="0.25">
      <c r="A9411" s="2" t="s">
        <v>6701</v>
      </c>
      <c r="B9411" s="2" t="s">
        <v>452</v>
      </c>
      <c r="C9411" s="2">
        <v>3</v>
      </c>
      <c r="D9411" t="str">
        <f t="shared" ref="D9411:D9474" si="147">A9411&amp;"_"&amp;B9411</f>
        <v>US-2017-162670_OFF-EN-10001453</v>
      </c>
      <c r="E9411" t="str">
        <f>IF(COUNTIF(data1!$D:$D,D9411)=0,"Missing in Data1","Present")</f>
        <v>Present</v>
      </c>
    </row>
    <row r="9412" spans="1:5" x14ac:dyDescent="0.25">
      <c r="A9412" s="2" t="s">
        <v>6701</v>
      </c>
      <c r="B9412" s="2" t="s">
        <v>3435</v>
      </c>
      <c r="C9412" s="2">
        <v>2</v>
      </c>
      <c r="D9412" t="str">
        <f t="shared" si="147"/>
        <v>US-2017-162670_OFF-PA-10001994</v>
      </c>
      <c r="E9412" t="str">
        <f>IF(COUNTIF(data1!$D:$D,D9412)=0,"Missing in Data1","Present")</f>
        <v>Present</v>
      </c>
    </row>
    <row r="9413" spans="1:5" x14ac:dyDescent="0.25">
      <c r="A9413" s="2" t="s">
        <v>6701</v>
      </c>
      <c r="B9413" s="2" t="s">
        <v>2856</v>
      </c>
      <c r="C9413" s="2">
        <v>4</v>
      </c>
      <c r="D9413" t="str">
        <f t="shared" si="147"/>
        <v>US-2017-162670_OFF-ST-10001328</v>
      </c>
      <c r="E9413" t="str">
        <f>IF(COUNTIF(data1!$D:$D,D9413)=0,"Missing in Data1","Present")</f>
        <v>Present</v>
      </c>
    </row>
    <row r="9414" spans="1:5" x14ac:dyDescent="0.25">
      <c r="A9414" s="2" t="s">
        <v>6701</v>
      </c>
      <c r="B9414" s="2" t="s">
        <v>374</v>
      </c>
      <c r="C9414" s="2">
        <v>4</v>
      </c>
      <c r="D9414" t="str">
        <f t="shared" si="147"/>
        <v>US-2017-162670_OFF-ST-10001522</v>
      </c>
      <c r="E9414" t="str">
        <f>IF(COUNTIF(data1!$D:$D,D9414)=0,"Missing in Data1","Present")</f>
        <v>Present</v>
      </c>
    </row>
    <row r="9415" spans="1:5" x14ac:dyDescent="0.25">
      <c r="A9415" s="2" t="s">
        <v>6701</v>
      </c>
      <c r="B9415" s="2" t="s">
        <v>3077</v>
      </c>
      <c r="C9415" s="2">
        <v>3</v>
      </c>
      <c r="D9415" t="str">
        <f t="shared" si="147"/>
        <v>US-2017-162670_TEC-PH-10003601</v>
      </c>
      <c r="E9415" t="str">
        <f>IF(COUNTIF(data1!$D:$D,D9415)=0,"Missing in Data1","Present")</f>
        <v>Present</v>
      </c>
    </row>
    <row r="9416" spans="1:5" x14ac:dyDescent="0.25">
      <c r="A9416" s="2" t="s">
        <v>6702</v>
      </c>
      <c r="B9416" s="2" t="s">
        <v>2347</v>
      </c>
      <c r="C9416" s="2">
        <v>3</v>
      </c>
      <c r="D9416" t="str">
        <f t="shared" si="147"/>
        <v>US-2017-163195_TEC-PH-10003875</v>
      </c>
      <c r="E9416" t="str">
        <f>IF(COUNTIF(data1!$D:$D,D9416)=0,"Missing in Data1","Present")</f>
        <v>Present</v>
      </c>
    </row>
    <row r="9417" spans="1:5" x14ac:dyDescent="0.25">
      <c r="A9417" s="2" t="s">
        <v>6703</v>
      </c>
      <c r="B9417" s="2" t="s">
        <v>858</v>
      </c>
      <c r="C9417" s="2">
        <v>3</v>
      </c>
      <c r="D9417" t="str">
        <f t="shared" si="147"/>
        <v>US-2017-163300_FUR-CH-10003396</v>
      </c>
      <c r="E9417" t="str">
        <f>IF(COUNTIF(data1!$D:$D,D9417)=0,"Missing in Data1","Present")</f>
        <v>Present</v>
      </c>
    </row>
    <row r="9418" spans="1:5" x14ac:dyDescent="0.25">
      <c r="A9418" s="2" t="s">
        <v>6703</v>
      </c>
      <c r="B9418" s="2" t="s">
        <v>895</v>
      </c>
      <c r="C9418" s="2">
        <v>7</v>
      </c>
      <c r="D9418" t="str">
        <f t="shared" si="147"/>
        <v>US-2017-163300_OFF-BI-10004390</v>
      </c>
      <c r="E9418" t="str">
        <f>IF(COUNTIF(data1!$D:$D,D9418)=0,"Missing in Data1","Present")</f>
        <v>Present</v>
      </c>
    </row>
    <row r="9419" spans="1:5" x14ac:dyDescent="0.25">
      <c r="A9419" s="2" t="s">
        <v>6703</v>
      </c>
      <c r="B9419" s="2" t="s">
        <v>2325</v>
      </c>
      <c r="C9419" s="2">
        <v>7</v>
      </c>
      <c r="D9419" t="str">
        <f t="shared" si="147"/>
        <v>US-2017-163300_TEC-PH-10001700</v>
      </c>
      <c r="E9419" t="str">
        <f>IF(COUNTIF(data1!$D:$D,D9419)=0,"Missing in Data1","Present")</f>
        <v>Present</v>
      </c>
    </row>
    <row r="9420" spans="1:5" x14ac:dyDescent="0.25">
      <c r="A9420" s="2" t="s">
        <v>6704</v>
      </c>
      <c r="B9420" s="2" t="s">
        <v>37</v>
      </c>
      <c r="C9420" s="2">
        <v>2</v>
      </c>
      <c r="D9420" t="str">
        <f t="shared" si="147"/>
        <v>US-2017-163657_FUR-TA-10004607</v>
      </c>
      <c r="E9420" t="str">
        <f>IF(COUNTIF(data1!$D:$D,D9420)=0,"Missing in Data1","Present")</f>
        <v>Present</v>
      </c>
    </row>
    <row r="9421" spans="1:5" x14ac:dyDescent="0.25">
      <c r="A9421" s="2" t="s">
        <v>6705</v>
      </c>
      <c r="B9421" s="2" t="s">
        <v>169</v>
      </c>
      <c r="C9421" s="2">
        <v>3</v>
      </c>
      <c r="D9421" t="str">
        <f t="shared" si="147"/>
        <v>US-2017-163790_FUR-FU-10002508</v>
      </c>
      <c r="E9421" t="str">
        <f>IF(COUNTIF(data1!$D:$D,D9421)=0,"Missing in Data1","Present")</f>
        <v>Present</v>
      </c>
    </row>
    <row r="9422" spans="1:5" x14ac:dyDescent="0.25">
      <c r="A9422" s="2" t="s">
        <v>6705</v>
      </c>
      <c r="B9422" s="2" t="s">
        <v>719</v>
      </c>
      <c r="C9422" s="2">
        <v>5</v>
      </c>
      <c r="D9422" t="str">
        <f t="shared" si="147"/>
        <v>US-2017-163790_OFF-AR-10003469</v>
      </c>
      <c r="E9422" t="str">
        <f>IF(COUNTIF(data1!$D:$D,D9422)=0,"Missing in Data1","Present")</f>
        <v>Present</v>
      </c>
    </row>
    <row r="9423" spans="1:5" x14ac:dyDescent="0.25">
      <c r="A9423" s="2" t="s">
        <v>6705</v>
      </c>
      <c r="B9423" s="2" t="s">
        <v>2734</v>
      </c>
      <c r="C9423" s="2">
        <v>6</v>
      </c>
      <c r="D9423" t="str">
        <f t="shared" si="147"/>
        <v>US-2017-163790_OFF-BI-10003718</v>
      </c>
      <c r="E9423" t="str">
        <f>IF(COUNTIF(data1!$D:$D,D9423)=0,"Missing in Data1","Present")</f>
        <v>Present</v>
      </c>
    </row>
    <row r="9424" spans="1:5" x14ac:dyDescent="0.25">
      <c r="A9424" s="2" t="s">
        <v>6705</v>
      </c>
      <c r="B9424" s="2" t="s">
        <v>1155</v>
      </c>
      <c r="C9424" s="2">
        <v>7</v>
      </c>
      <c r="D9424" t="str">
        <f t="shared" si="147"/>
        <v>US-2017-163790_OFF-EN-10001335</v>
      </c>
      <c r="E9424" t="str">
        <f>IF(COUNTIF(data1!$D:$D,D9424)=0,"Missing in Data1","Present")</f>
        <v>Present</v>
      </c>
    </row>
    <row r="9425" spans="1:5" x14ac:dyDescent="0.25">
      <c r="A9425" s="2" t="s">
        <v>6705</v>
      </c>
      <c r="B9425" s="2" t="s">
        <v>1639</v>
      </c>
      <c r="C9425" s="2">
        <v>3</v>
      </c>
      <c r="D9425" t="str">
        <f t="shared" si="147"/>
        <v>US-2017-163790_OFF-FA-10004838</v>
      </c>
      <c r="E9425" t="str">
        <f>IF(COUNTIF(data1!$D:$D,D9425)=0,"Missing in Data1","Present")</f>
        <v>Present</v>
      </c>
    </row>
    <row r="9426" spans="1:5" x14ac:dyDescent="0.25">
      <c r="A9426" s="2" t="s">
        <v>6705</v>
      </c>
      <c r="B9426" s="2" t="s">
        <v>81</v>
      </c>
      <c r="C9426" s="2">
        <v>7</v>
      </c>
      <c r="D9426" t="str">
        <f t="shared" si="147"/>
        <v>US-2017-163790_OFF-ST-10001511</v>
      </c>
      <c r="E9426" t="str">
        <f>IF(COUNTIF(data1!$D:$D,D9426)=0,"Missing in Data1","Present")</f>
        <v>Present</v>
      </c>
    </row>
    <row r="9427" spans="1:5" x14ac:dyDescent="0.25">
      <c r="A9427" s="2" t="s">
        <v>6707</v>
      </c>
      <c r="B9427" s="2" t="s">
        <v>703</v>
      </c>
      <c r="C9427" s="2">
        <v>9</v>
      </c>
      <c r="D9427" t="str">
        <f t="shared" si="147"/>
        <v>US-2017-164147_OFF-FA-10002780</v>
      </c>
      <c r="E9427" t="str">
        <f>IF(COUNTIF(data1!$D:$D,D9427)=0,"Missing in Data1","Present")</f>
        <v>Present</v>
      </c>
    </row>
    <row r="9428" spans="1:5" x14ac:dyDescent="0.25">
      <c r="A9428" s="2" t="s">
        <v>6707</v>
      </c>
      <c r="B9428" s="2" t="s">
        <v>592</v>
      </c>
      <c r="C9428" s="2">
        <v>2</v>
      </c>
      <c r="D9428" t="str">
        <f t="shared" si="147"/>
        <v>US-2017-164147_OFF-PA-10002377</v>
      </c>
      <c r="E9428" t="str">
        <f>IF(COUNTIF(data1!$D:$D,D9428)=0,"Missing in Data1","Present")</f>
        <v>Present</v>
      </c>
    </row>
    <row r="9429" spans="1:5" x14ac:dyDescent="0.25">
      <c r="A9429" s="2" t="s">
        <v>6707</v>
      </c>
      <c r="B9429" s="2" t="s">
        <v>3106</v>
      </c>
      <c r="C9429" s="2">
        <v>5</v>
      </c>
      <c r="D9429" t="str">
        <f t="shared" si="147"/>
        <v>US-2017-164147_TEC-PH-10002293</v>
      </c>
      <c r="E9429" t="str">
        <f>IF(COUNTIF(data1!$D:$D,D9429)=0,"Missing in Data1","Present")</f>
        <v>Present</v>
      </c>
    </row>
    <row r="9430" spans="1:5" x14ac:dyDescent="0.25">
      <c r="A9430" s="2" t="s">
        <v>6708</v>
      </c>
      <c r="B9430" s="2" t="s">
        <v>1525</v>
      </c>
      <c r="C9430" s="2">
        <v>10</v>
      </c>
      <c r="D9430" t="str">
        <f t="shared" si="147"/>
        <v>US-2017-165344_OFF-BI-10003196</v>
      </c>
      <c r="E9430" t="str">
        <f>IF(COUNTIF(data1!$D:$D,D9430)=0,"Missing in Data1","Present")</f>
        <v>Missing in Data1</v>
      </c>
    </row>
    <row r="9431" spans="1:5" x14ac:dyDescent="0.25">
      <c r="A9431" s="2" t="s">
        <v>6708</v>
      </c>
      <c r="B9431" s="2" t="s">
        <v>179</v>
      </c>
      <c r="C9431" s="2">
        <v>4</v>
      </c>
      <c r="D9431" t="str">
        <f t="shared" si="147"/>
        <v>US-2017-165344_TEC-AC-10002399</v>
      </c>
      <c r="E9431" t="str">
        <f>IF(COUNTIF(data1!$D:$D,D9431)=0,"Missing in Data1","Present")</f>
        <v>Present</v>
      </c>
    </row>
    <row r="9432" spans="1:5" x14ac:dyDescent="0.25">
      <c r="A9432" s="2" t="s">
        <v>6708</v>
      </c>
      <c r="B9432" s="2" t="s">
        <v>6709</v>
      </c>
      <c r="C9432" s="2">
        <v>7</v>
      </c>
      <c r="D9432" t="str">
        <f t="shared" si="147"/>
        <v>US-2017-165344_TEC-MA-10002210</v>
      </c>
      <c r="E9432" t="str">
        <f>IF(COUNTIF(data1!$D:$D,D9432)=0,"Missing in Data1","Present")</f>
        <v>Present</v>
      </c>
    </row>
    <row r="9433" spans="1:5" x14ac:dyDescent="0.25">
      <c r="A9433" s="2" t="s">
        <v>6710</v>
      </c>
      <c r="B9433" s="2" t="s">
        <v>1419</v>
      </c>
      <c r="C9433" s="2">
        <v>4</v>
      </c>
      <c r="D9433" t="str">
        <f t="shared" si="147"/>
        <v>US-2017-165358_FUR-CH-10002647</v>
      </c>
      <c r="E9433" t="str">
        <f>IF(COUNTIF(data1!$D:$D,D9433)=0,"Missing in Data1","Present")</f>
        <v>Present</v>
      </c>
    </row>
    <row r="9434" spans="1:5" x14ac:dyDescent="0.25">
      <c r="A9434" s="2" t="s">
        <v>6710</v>
      </c>
      <c r="B9434" s="2" t="s">
        <v>6060</v>
      </c>
      <c r="C9434" s="2">
        <v>2</v>
      </c>
      <c r="D9434" t="str">
        <f t="shared" si="147"/>
        <v>US-2017-165358_OFF-SU-10004768</v>
      </c>
      <c r="E9434" t="str">
        <f>IF(COUNTIF(data1!$D:$D,D9434)=0,"Missing in Data1","Present")</f>
        <v>Present</v>
      </c>
    </row>
    <row r="9435" spans="1:5" x14ac:dyDescent="0.25">
      <c r="A9435" s="2" t="s">
        <v>6710</v>
      </c>
      <c r="B9435" s="2" t="s">
        <v>2030</v>
      </c>
      <c r="C9435" s="2">
        <v>5</v>
      </c>
      <c r="D9435" t="str">
        <f t="shared" si="147"/>
        <v>US-2017-165358_TEC-CO-10001943</v>
      </c>
      <c r="E9435" t="str">
        <f>IF(COUNTIF(data1!$D:$D,D9435)=0,"Missing in Data1","Present")</f>
        <v>Missing in Data1</v>
      </c>
    </row>
    <row r="9436" spans="1:5" x14ac:dyDescent="0.25">
      <c r="A9436" s="2" t="s">
        <v>6712</v>
      </c>
      <c r="B9436" s="2" t="s">
        <v>2047</v>
      </c>
      <c r="C9436" s="2">
        <v>6</v>
      </c>
      <c r="D9436" t="str">
        <f t="shared" si="147"/>
        <v>US-2017-165869_OFF-AP-10002472</v>
      </c>
      <c r="E9436" t="str">
        <f>IF(COUNTIF(data1!$D:$D,D9436)=0,"Missing in Data1","Present")</f>
        <v>Present</v>
      </c>
    </row>
    <row r="9437" spans="1:5" x14ac:dyDescent="0.25">
      <c r="A9437" s="2" t="s">
        <v>6712</v>
      </c>
      <c r="B9437" s="2" t="s">
        <v>2342</v>
      </c>
      <c r="C9437" s="2">
        <v>4</v>
      </c>
      <c r="D9437" t="str">
        <f t="shared" si="147"/>
        <v>US-2017-165869_OFF-BI-10003460</v>
      </c>
      <c r="E9437" t="str">
        <f>IF(COUNTIF(data1!$D:$D,D9437)=0,"Missing in Data1","Present")</f>
        <v>Present</v>
      </c>
    </row>
    <row r="9438" spans="1:5" x14ac:dyDescent="0.25">
      <c r="A9438" s="2" t="s">
        <v>6713</v>
      </c>
      <c r="B9438" s="2" t="s">
        <v>1821</v>
      </c>
      <c r="C9438" s="2">
        <v>3</v>
      </c>
      <c r="D9438" t="str">
        <f t="shared" si="147"/>
        <v>US-2017-165953_OFF-AR-10000588</v>
      </c>
      <c r="E9438" t="str">
        <f>IF(COUNTIF(data1!$D:$D,D9438)=0,"Missing in Data1","Present")</f>
        <v>Present</v>
      </c>
    </row>
    <row r="9439" spans="1:5" x14ac:dyDescent="0.25">
      <c r="A9439" s="2" t="s">
        <v>6713</v>
      </c>
      <c r="B9439" s="2" t="s">
        <v>2694</v>
      </c>
      <c r="C9439" s="2">
        <v>5</v>
      </c>
      <c r="D9439" t="str">
        <f t="shared" si="147"/>
        <v>US-2017-165953_OFF-PA-10002250</v>
      </c>
      <c r="E9439" t="str">
        <f>IF(COUNTIF(data1!$D:$D,D9439)=0,"Missing in Data1","Present")</f>
        <v>Present</v>
      </c>
    </row>
    <row r="9440" spans="1:5" x14ac:dyDescent="0.25">
      <c r="A9440" s="2" t="s">
        <v>6714</v>
      </c>
      <c r="B9440" s="2" t="s">
        <v>507</v>
      </c>
      <c r="C9440" s="2">
        <v>9</v>
      </c>
      <c r="D9440" t="str">
        <f t="shared" si="147"/>
        <v>US-2017-166037_TEC-AC-10002800</v>
      </c>
      <c r="E9440" t="str">
        <f>IF(COUNTIF(data1!$D:$D,D9440)=0,"Missing in Data1","Present")</f>
        <v>Present</v>
      </c>
    </row>
    <row r="9441" spans="1:5" x14ac:dyDescent="0.25">
      <c r="A9441" s="2" t="s">
        <v>6715</v>
      </c>
      <c r="B9441" s="2" t="s">
        <v>1315</v>
      </c>
      <c r="C9441" s="2">
        <v>2</v>
      </c>
      <c r="D9441" t="str">
        <f t="shared" si="147"/>
        <v>US-2017-166233_TEC-AC-10002167</v>
      </c>
      <c r="E9441" t="str">
        <f>IF(COUNTIF(data1!$D:$D,D9441)=0,"Missing in Data1","Present")</f>
        <v>Present</v>
      </c>
    </row>
    <row r="9442" spans="1:5" x14ac:dyDescent="0.25">
      <c r="A9442" s="2" t="s">
        <v>6716</v>
      </c>
      <c r="B9442" s="2" t="s">
        <v>423</v>
      </c>
      <c r="C9442" s="2">
        <v>5</v>
      </c>
      <c r="D9442" t="str">
        <f t="shared" si="147"/>
        <v>US-2017-166324_OFF-BI-10000174</v>
      </c>
      <c r="E9442" t="str">
        <f>IF(COUNTIF(data1!$D:$D,D9442)=0,"Missing in Data1","Present")</f>
        <v>Present</v>
      </c>
    </row>
    <row r="9443" spans="1:5" x14ac:dyDescent="0.25">
      <c r="A9443" s="2" t="s">
        <v>6716</v>
      </c>
      <c r="B9443" s="2" t="s">
        <v>835</v>
      </c>
      <c r="C9443" s="2">
        <v>4</v>
      </c>
      <c r="D9443" t="str">
        <f t="shared" si="147"/>
        <v>US-2017-166324_OFF-ST-10000078</v>
      </c>
      <c r="E9443" t="str">
        <f>IF(COUNTIF(data1!$D:$D,D9443)=0,"Missing in Data1","Present")</f>
        <v>Present</v>
      </c>
    </row>
    <row r="9444" spans="1:5" x14ac:dyDescent="0.25">
      <c r="A9444" s="2" t="s">
        <v>6716</v>
      </c>
      <c r="B9444" s="2" t="s">
        <v>3970</v>
      </c>
      <c r="C9444" s="2">
        <v>3</v>
      </c>
      <c r="D9444" t="str">
        <f t="shared" si="147"/>
        <v>US-2017-166324_TEC-PH-10004080</v>
      </c>
      <c r="E9444" t="str">
        <f>IF(COUNTIF(data1!$D:$D,D9444)=0,"Missing in Data1","Present")</f>
        <v>Present</v>
      </c>
    </row>
    <row r="9445" spans="1:5" x14ac:dyDescent="0.25">
      <c r="A9445" s="2" t="s">
        <v>6717</v>
      </c>
      <c r="B9445" s="2" t="s">
        <v>1187</v>
      </c>
      <c r="C9445" s="2">
        <v>6</v>
      </c>
      <c r="D9445" t="str">
        <f t="shared" si="147"/>
        <v>US-2017-166394_OFF-FA-10001843</v>
      </c>
      <c r="E9445" t="str">
        <f>IF(COUNTIF(data1!$D:$D,D9445)=0,"Missing in Data1","Present")</f>
        <v>Present</v>
      </c>
    </row>
    <row r="9446" spans="1:5" x14ac:dyDescent="0.25">
      <c r="A9446" s="2" t="s">
        <v>6718</v>
      </c>
      <c r="B9446" s="2" t="s">
        <v>666</v>
      </c>
      <c r="C9446" s="2">
        <v>9</v>
      </c>
      <c r="D9446" t="str">
        <f t="shared" si="147"/>
        <v>US-2017-166611_OFF-BI-10001191</v>
      </c>
      <c r="E9446" t="str">
        <f>IF(COUNTIF(data1!$D:$D,D9446)=0,"Missing in Data1","Present")</f>
        <v>Present</v>
      </c>
    </row>
    <row r="9447" spans="1:5" x14ac:dyDescent="0.25">
      <c r="A9447" s="2" t="s">
        <v>6719</v>
      </c>
      <c r="B9447" s="2" t="s">
        <v>796</v>
      </c>
      <c r="C9447" s="2">
        <v>5</v>
      </c>
      <c r="D9447" t="str">
        <f t="shared" si="147"/>
        <v>US-2017-166688_OFF-AP-10000358</v>
      </c>
      <c r="E9447" t="str">
        <f>IF(COUNTIF(data1!$D:$D,D9447)=0,"Missing in Data1","Present")</f>
        <v>Present</v>
      </c>
    </row>
    <row r="9448" spans="1:5" x14ac:dyDescent="0.25">
      <c r="A9448" s="2" t="s">
        <v>6719</v>
      </c>
      <c r="B9448" s="2" t="s">
        <v>2891</v>
      </c>
      <c r="C9448" s="2">
        <v>2</v>
      </c>
      <c r="D9448" t="str">
        <f t="shared" si="147"/>
        <v>US-2017-166688_OFF-BI-10004040</v>
      </c>
      <c r="E9448" t="str">
        <f>IF(COUNTIF(data1!$D:$D,D9448)=0,"Missing in Data1","Present")</f>
        <v>Present</v>
      </c>
    </row>
    <row r="9449" spans="1:5" x14ac:dyDescent="0.25">
      <c r="A9449" s="2" t="s">
        <v>6719</v>
      </c>
      <c r="B9449" s="2" t="s">
        <v>2421</v>
      </c>
      <c r="C9449" s="2">
        <v>9</v>
      </c>
      <c r="D9449" t="str">
        <f t="shared" si="147"/>
        <v>US-2017-166688_TEC-PH-10004094</v>
      </c>
      <c r="E9449" t="str">
        <f>IF(COUNTIF(data1!$D:$D,D9449)=0,"Missing in Data1","Present")</f>
        <v>Present</v>
      </c>
    </row>
    <row r="9450" spans="1:5" x14ac:dyDescent="0.25">
      <c r="A9450" s="2" t="s">
        <v>6720</v>
      </c>
      <c r="B9450" s="2" t="s">
        <v>2884</v>
      </c>
      <c r="C9450" s="2">
        <v>3</v>
      </c>
      <c r="D9450" t="str">
        <f t="shared" si="147"/>
        <v>US-2017-167318_FUR-CH-10000665</v>
      </c>
      <c r="E9450" t="str">
        <f>IF(COUNTIF(data1!$D:$D,D9450)=0,"Missing in Data1","Present")</f>
        <v>Present</v>
      </c>
    </row>
    <row r="9451" spans="1:5" x14ac:dyDescent="0.25">
      <c r="A9451" s="2" t="s">
        <v>6720</v>
      </c>
      <c r="B9451" s="2" t="s">
        <v>3005</v>
      </c>
      <c r="C9451" s="2">
        <v>5</v>
      </c>
      <c r="D9451" t="str">
        <f t="shared" si="147"/>
        <v>US-2017-167318_TEC-AC-10003870</v>
      </c>
      <c r="E9451" t="str">
        <f>IF(COUNTIF(data1!$D:$D,D9451)=0,"Missing in Data1","Present")</f>
        <v>Present</v>
      </c>
    </row>
    <row r="9452" spans="1:5" x14ac:dyDescent="0.25">
      <c r="A9452" s="2" t="s">
        <v>6721</v>
      </c>
      <c r="B9452" s="2" t="s">
        <v>1760</v>
      </c>
      <c r="C9452" s="2">
        <v>3</v>
      </c>
      <c r="D9452" t="str">
        <f t="shared" si="147"/>
        <v>US-2017-167402_FUR-BO-10001608</v>
      </c>
      <c r="E9452" t="str">
        <f>IF(COUNTIF(data1!$D:$D,D9452)=0,"Missing in Data1","Present")</f>
        <v>Present</v>
      </c>
    </row>
    <row r="9453" spans="1:5" x14ac:dyDescent="0.25">
      <c r="A9453" s="2" t="s">
        <v>6721</v>
      </c>
      <c r="B9453" s="2" t="s">
        <v>322</v>
      </c>
      <c r="C9453" s="2">
        <v>6</v>
      </c>
      <c r="D9453" t="str">
        <f t="shared" si="147"/>
        <v>US-2017-167402_OFF-AR-10004010</v>
      </c>
      <c r="E9453" t="str">
        <f>IF(COUNTIF(data1!$D:$D,D9453)=0,"Missing in Data1","Present")</f>
        <v>Present</v>
      </c>
    </row>
    <row r="9454" spans="1:5" x14ac:dyDescent="0.25">
      <c r="A9454" s="2" t="s">
        <v>6721</v>
      </c>
      <c r="B9454" s="2" t="s">
        <v>177</v>
      </c>
      <c r="C9454" s="2">
        <v>5</v>
      </c>
      <c r="D9454" t="str">
        <f t="shared" si="147"/>
        <v>US-2017-167402_OFF-PA-10004983</v>
      </c>
      <c r="E9454" t="str">
        <f>IF(COUNTIF(data1!$D:$D,D9454)=0,"Missing in Data1","Present")</f>
        <v>Present</v>
      </c>
    </row>
    <row r="9455" spans="1:5" x14ac:dyDescent="0.25">
      <c r="A9455" s="2" t="s">
        <v>6721</v>
      </c>
      <c r="B9455" s="2" t="s">
        <v>106</v>
      </c>
      <c r="C9455" s="2">
        <v>5</v>
      </c>
      <c r="D9455" t="str">
        <f t="shared" si="147"/>
        <v>US-2017-167402_OFF-SU-10002881</v>
      </c>
      <c r="E9455" t="str">
        <f>IF(COUNTIF(data1!$D:$D,D9455)=0,"Missing in Data1","Present")</f>
        <v>Present</v>
      </c>
    </row>
    <row r="9456" spans="1:5" x14ac:dyDescent="0.25">
      <c r="A9456" s="2" t="s">
        <v>6722</v>
      </c>
      <c r="B9456" s="2" t="s">
        <v>858</v>
      </c>
      <c r="C9456" s="2">
        <v>4</v>
      </c>
      <c r="D9456" t="str">
        <f t="shared" si="147"/>
        <v>US-2017-167570_FUR-CH-10003396</v>
      </c>
      <c r="E9456" t="str">
        <f>IF(COUNTIF(data1!$D:$D,D9456)=0,"Missing in Data1","Present")</f>
        <v>Present</v>
      </c>
    </row>
    <row r="9457" spans="1:5" x14ac:dyDescent="0.25">
      <c r="A9457" s="2" t="s">
        <v>6723</v>
      </c>
      <c r="B9457" s="2" t="s">
        <v>3299</v>
      </c>
      <c r="C9457" s="2">
        <v>5</v>
      </c>
      <c r="D9457" t="str">
        <f t="shared" si="147"/>
        <v>US-2017-167920_OFF-AP-10000159</v>
      </c>
      <c r="E9457" t="str">
        <f>IF(COUNTIF(data1!$D:$D,D9457)=0,"Missing in Data1","Present")</f>
        <v>Missing in Data1</v>
      </c>
    </row>
    <row r="9458" spans="1:5" x14ac:dyDescent="0.25">
      <c r="A9458" s="2" t="s">
        <v>6723</v>
      </c>
      <c r="B9458" s="2" t="s">
        <v>1311</v>
      </c>
      <c r="C9458" s="2">
        <v>4</v>
      </c>
      <c r="D9458" t="str">
        <f t="shared" si="147"/>
        <v>US-2017-167920_OFF-BI-10003274</v>
      </c>
      <c r="E9458" t="str">
        <f>IF(COUNTIF(data1!$D:$D,D9458)=0,"Missing in Data1","Present")</f>
        <v>Present</v>
      </c>
    </row>
    <row r="9459" spans="1:5" x14ac:dyDescent="0.25">
      <c r="A9459" s="2" t="s">
        <v>6723</v>
      </c>
      <c r="B9459" s="2" t="s">
        <v>2913</v>
      </c>
      <c r="C9459" s="2">
        <v>2</v>
      </c>
      <c r="D9459" t="str">
        <f t="shared" si="147"/>
        <v>US-2017-167920_OFF-BI-10004236</v>
      </c>
      <c r="E9459" t="str">
        <f>IF(COUNTIF(data1!$D:$D,D9459)=0,"Missing in Data1","Present")</f>
        <v>Present</v>
      </c>
    </row>
    <row r="9460" spans="1:5" x14ac:dyDescent="0.25">
      <c r="A9460" s="2" t="s">
        <v>6723</v>
      </c>
      <c r="B9460" s="2" t="s">
        <v>329</v>
      </c>
      <c r="C9460" s="2">
        <v>2</v>
      </c>
      <c r="D9460" t="str">
        <f t="shared" si="147"/>
        <v>US-2017-167920_OFF-LA-10004409</v>
      </c>
      <c r="E9460" t="str">
        <f>IF(COUNTIF(data1!$D:$D,D9460)=0,"Missing in Data1","Present")</f>
        <v>Present</v>
      </c>
    </row>
    <row r="9461" spans="1:5" x14ac:dyDescent="0.25">
      <c r="A9461" s="2" t="s">
        <v>6723</v>
      </c>
      <c r="B9461" s="2" t="s">
        <v>167</v>
      </c>
      <c r="C9461" s="2">
        <v>1</v>
      </c>
      <c r="D9461" t="str">
        <f t="shared" si="147"/>
        <v>US-2017-167920_OFF-ST-10004963</v>
      </c>
      <c r="E9461" t="str">
        <f>IF(COUNTIF(data1!$D:$D,D9461)=0,"Missing in Data1","Present")</f>
        <v>Present</v>
      </c>
    </row>
    <row r="9462" spans="1:5" x14ac:dyDescent="0.25">
      <c r="A9462" s="2" t="s">
        <v>6723</v>
      </c>
      <c r="B9462" s="2" t="s">
        <v>1171</v>
      </c>
      <c r="C9462" s="2">
        <v>5</v>
      </c>
      <c r="D9462" t="str">
        <f t="shared" si="147"/>
        <v>US-2017-167920_TEC-AC-10001013</v>
      </c>
      <c r="E9462" t="str">
        <f>IF(COUNTIF(data1!$D:$D,D9462)=0,"Missing in Data1","Present")</f>
        <v>Present</v>
      </c>
    </row>
    <row r="9463" spans="1:5" x14ac:dyDescent="0.25">
      <c r="A9463" s="2" t="s">
        <v>6723</v>
      </c>
      <c r="B9463" s="2" t="s">
        <v>1078</v>
      </c>
      <c r="C9463" s="2">
        <v>2</v>
      </c>
      <c r="D9463" t="str">
        <f t="shared" si="147"/>
        <v>US-2017-167920_TEC-CO-10001046</v>
      </c>
      <c r="E9463" t="str">
        <f>IF(COUNTIF(data1!$D:$D,D9463)=0,"Missing in Data1","Present")</f>
        <v>Present</v>
      </c>
    </row>
    <row r="9464" spans="1:5" x14ac:dyDescent="0.25">
      <c r="A9464" s="2" t="s">
        <v>6724</v>
      </c>
      <c r="B9464" s="2" t="s">
        <v>3095</v>
      </c>
      <c r="C9464" s="2">
        <v>2</v>
      </c>
      <c r="D9464" t="str">
        <f t="shared" si="147"/>
        <v>US-2017-168116_OFF-AP-10002457</v>
      </c>
      <c r="E9464" t="str">
        <f>IF(COUNTIF(data1!$D:$D,D9464)=0,"Missing in Data1","Present")</f>
        <v>Present</v>
      </c>
    </row>
    <row r="9465" spans="1:5" x14ac:dyDescent="0.25">
      <c r="A9465" s="2" t="s">
        <v>6724</v>
      </c>
      <c r="B9465" s="2" t="s">
        <v>6725</v>
      </c>
      <c r="C9465" s="2">
        <v>4</v>
      </c>
      <c r="D9465" t="str">
        <f t="shared" si="147"/>
        <v>US-2017-168116_TEC-MA-10004125</v>
      </c>
      <c r="E9465" t="str">
        <f>IF(COUNTIF(data1!$D:$D,D9465)=0,"Missing in Data1","Present")</f>
        <v>Present</v>
      </c>
    </row>
    <row r="9466" spans="1:5" x14ac:dyDescent="0.25">
      <c r="A9466" s="2" t="s">
        <v>6726</v>
      </c>
      <c r="B9466" s="2" t="s">
        <v>733</v>
      </c>
      <c r="C9466" s="2">
        <v>2</v>
      </c>
      <c r="D9466" t="str">
        <f t="shared" si="147"/>
        <v>US-2017-168613_FUR-CH-10002372</v>
      </c>
      <c r="E9466" t="str">
        <f>IF(COUNTIF(data1!$D:$D,D9466)=0,"Missing in Data1","Present")</f>
        <v>Present</v>
      </c>
    </row>
    <row r="9467" spans="1:5" x14ac:dyDescent="0.25">
      <c r="A9467" s="2" t="s">
        <v>6727</v>
      </c>
      <c r="B9467" s="2" t="s">
        <v>1152</v>
      </c>
      <c r="C9467" s="2">
        <v>3</v>
      </c>
      <c r="D9467" t="str">
        <f t="shared" si="147"/>
        <v>US-2017-168690_OFF-BI-10000145</v>
      </c>
      <c r="E9467" t="str">
        <f>IF(COUNTIF(data1!$D:$D,D9467)=0,"Missing in Data1","Present")</f>
        <v>Present</v>
      </c>
    </row>
    <row r="9468" spans="1:5" x14ac:dyDescent="0.25">
      <c r="A9468" s="2" t="s">
        <v>6728</v>
      </c>
      <c r="B9468" s="2" t="s">
        <v>2414</v>
      </c>
      <c r="C9468" s="2">
        <v>4</v>
      </c>
      <c r="D9468" t="str">
        <f t="shared" si="147"/>
        <v>US-2017-168802_OFF-BI-10002393</v>
      </c>
      <c r="E9468" t="str">
        <f>IF(COUNTIF(data1!$D:$D,D9468)=0,"Missing in Data1","Present")</f>
        <v>Present</v>
      </c>
    </row>
    <row r="9469" spans="1:5" x14ac:dyDescent="0.25">
      <c r="A9469" s="2" t="s">
        <v>6729</v>
      </c>
      <c r="B9469" s="2" t="s">
        <v>2303</v>
      </c>
      <c r="C9469" s="2">
        <v>2</v>
      </c>
      <c r="D9469" t="str">
        <f t="shared" si="147"/>
        <v>US-2017-169320_OFF-AR-10003602</v>
      </c>
      <c r="E9469" t="str">
        <f>IF(COUNTIF(data1!$D:$D,D9469)=0,"Missing in Data1","Present")</f>
        <v>Present</v>
      </c>
    </row>
    <row r="9470" spans="1:5" x14ac:dyDescent="0.25">
      <c r="A9470" s="2" t="s">
        <v>6729</v>
      </c>
      <c r="B9470" s="2" t="s">
        <v>1055</v>
      </c>
      <c r="C9470" s="2">
        <v>5</v>
      </c>
      <c r="D9470" t="str">
        <f t="shared" si="147"/>
        <v>US-2017-169320_TEC-AC-10002550</v>
      </c>
      <c r="E9470" t="str">
        <f>IF(COUNTIF(data1!$D:$D,D9470)=0,"Missing in Data1","Present")</f>
        <v>Present</v>
      </c>
    </row>
    <row r="9471" spans="1:5" x14ac:dyDescent="0.25">
      <c r="A9471" s="2" t="s">
        <v>6730</v>
      </c>
      <c r="B9471" s="2" t="s">
        <v>2602</v>
      </c>
      <c r="C9471" s="2">
        <v>2</v>
      </c>
      <c r="D9471" t="str">
        <f t="shared" si="147"/>
        <v>US-2017-169488_OFF-PA-10000157</v>
      </c>
      <c r="E9471" t="str">
        <f>IF(COUNTIF(data1!$D:$D,D9471)=0,"Missing in Data1","Present")</f>
        <v>Present</v>
      </c>
    </row>
    <row r="9472" spans="1:5" x14ac:dyDescent="0.25">
      <c r="A9472" s="2" t="s">
        <v>6730</v>
      </c>
      <c r="B9472" s="2" t="s">
        <v>129</v>
      </c>
      <c r="C9472" s="2">
        <v>5</v>
      </c>
      <c r="D9472" t="str">
        <f t="shared" si="147"/>
        <v>US-2017-169488_OFF-PA-10002659</v>
      </c>
      <c r="E9472" t="str">
        <f>IF(COUNTIF(data1!$D:$D,D9472)=0,"Missing in Data1","Present")</f>
        <v>Present</v>
      </c>
    </row>
    <row r="9473" spans="1:5" x14ac:dyDescent="0.25">
      <c r="A9473" s="2" t="s">
        <v>6731</v>
      </c>
      <c r="B9473" s="2" t="s">
        <v>2280</v>
      </c>
      <c r="C9473" s="2">
        <v>5</v>
      </c>
      <c r="D9473" t="str">
        <f t="shared" si="147"/>
        <v>US-2017-169502_OFF-AP-10001947</v>
      </c>
      <c r="E9473" t="str">
        <f>IF(COUNTIF(data1!$D:$D,D9473)=0,"Missing in Data1","Present")</f>
        <v>Missing in Data1</v>
      </c>
    </row>
    <row r="9474" spans="1:5" x14ac:dyDescent="0.25">
      <c r="A9474" s="2" t="s">
        <v>6731</v>
      </c>
      <c r="B9474" s="2" t="s">
        <v>667</v>
      </c>
      <c r="C9474" s="2">
        <v>3</v>
      </c>
      <c r="D9474" t="str">
        <f t="shared" si="147"/>
        <v>US-2017-169502_OFF-SU-10004115</v>
      </c>
      <c r="E9474" t="str">
        <f>IF(COUNTIF(data1!$D:$D,D9474)=0,"Missing in Data1","Present")</f>
        <v>Present</v>
      </c>
    </row>
    <row r="9475" spans="1:5" x14ac:dyDescent="0.25">
      <c r="A9475" s="2" t="s">
        <v>6732</v>
      </c>
      <c r="B9475" s="2" t="s">
        <v>1852</v>
      </c>
      <c r="C9475" s="2">
        <v>3</v>
      </c>
      <c r="D9475" t="str">
        <f t="shared" ref="D9475:D9480" si="148">A9475&amp;"_"&amp;B9475</f>
        <v>US-2017-169551_FUR-BO-10001519</v>
      </c>
      <c r="E9475" t="str">
        <f>IF(COUNTIF(data1!$D:$D,D9475)=0,"Missing in Data1","Present")</f>
        <v>Missing in Data1</v>
      </c>
    </row>
    <row r="9476" spans="1:5" x14ac:dyDescent="0.25">
      <c r="A9476" s="2" t="s">
        <v>6732</v>
      </c>
      <c r="B9476" s="2" t="s">
        <v>1728</v>
      </c>
      <c r="C9476" s="2">
        <v>3</v>
      </c>
      <c r="D9476" t="str">
        <f t="shared" si="148"/>
        <v>US-2017-169551_OFF-PA-10004100</v>
      </c>
      <c r="E9476" t="str">
        <f>IF(COUNTIF(data1!$D:$D,D9476)=0,"Missing in Data1","Present")</f>
        <v>Present</v>
      </c>
    </row>
    <row r="9477" spans="1:5" x14ac:dyDescent="0.25">
      <c r="A9477" s="2" t="s">
        <v>6732</v>
      </c>
      <c r="B9477" s="2" t="s">
        <v>4726</v>
      </c>
      <c r="C9477" s="2">
        <v>3</v>
      </c>
      <c r="D9477" t="str">
        <f t="shared" si="148"/>
        <v>US-2017-169551_OFF-ST-10004835</v>
      </c>
      <c r="E9477" t="str">
        <f>IF(COUNTIF(data1!$D:$D,D9477)=0,"Missing in Data1","Present")</f>
        <v>Present</v>
      </c>
    </row>
    <row r="9478" spans="1:5" x14ac:dyDescent="0.25">
      <c r="A9478" s="2" t="s">
        <v>6732</v>
      </c>
      <c r="B9478" s="2" t="s">
        <v>2124</v>
      </c>
      <c r="C9478" s="2">
        <v>3</v>
      </c>
      <c r="D9478" t="str">
        <f t="shared" si="148"/>
        <v>US-2017-169551_TEC-AC-10002018</v>
      </c>
      <c r="E9478" t="str">
        <f>IF(COUNTIF(data1!$D:$D,D9478)=0,"Missing in Data1","Present")</f>
        <v>Present</v>
      </c>
    </row>
    <row r="9479" spans="1:5" x14ac:dyDescent="0.25">
      <c r="A9479" s="2" t="s">
        <v>6732</v>
      </c>
      <c r="B9479" s="2" t="s">
        <v>2361</v>
      </c>
      <c r="C9479" s="2">
        <v>2</v>
      </c>
      <c r="D9479" t="str">
        <f t="shared" si="148"/>
        <v>US-2017-169551_TEC-AC-10003033</v>
      </c>
      <c r="E9479" t="str">
        <f>IF(COUNTIF(data1!$D:$D,D9479)=0,"Missing in Data1","Present")</f>
        <v>Present</v>
      </c>
    </row>
    <row r="9480" spans="1:5" x14ac:dyDescent="0.25">
      <c r="A9480" s="2" t="s">
        <v>6732</v>
      </c>
      <c r="B9480" s="2" t="s">
        <v>844</v>
      </c>
      <c r="C9480" s="2">
        <v>2</v>
      </c>
      <c r="D9480" t="str">
        <f t="shared" si="148"/>
        <v>US-2017-169551_TEC-PH-10001363</v>
      </c>
      <c r="E9480" t="str">
        <f>IF(COUNTIF(data1!$D:$D,D9480)=0,"Missing in Data1","Present")</f>
        <v>Present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Nished singhal</dc:creator>
  <cp:lastModifiedBy>Shrirang Awaghad</cp:lastModifiedBy>
  <dcterms:created xsi:type="dcterms:W3CDTF">2021-09-07T06:17:54Z</dcterms:created>
  <dcterms:modified xsi:type="dcterms:W3CDTF">2026-08-04T11:05:53Z</dcterms:modified>
</cp:coreProperties>
</file>